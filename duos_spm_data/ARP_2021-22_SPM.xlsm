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icing\DUoS\April 2021\Published\"/>
    </mc:Choice>
  </mc:AlternateContent>
  <xr:revisionPtr revIDLastSave="0" documentId="10_ncr:100000_{7E8465B6-91CA-42E3-B6B7-AF1D5F52D5EA}" xr6:coauthVersionLast="31" xr6:coauthVersionMax="31" xr10:uidLastSave="{00000000-0000-0000-0000-000000000000}"/>
  <workbookProtection lockStructure="1"/>
  <bookViews>
    <workbookView xWindow="-105" yWindow="-105" windowWidth="19425" windowHeight="10425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12" r:id="rId14"/>
    <sheet name="Inputs by customer type" sheetId="134" r:id="rId15"/>
    <sheet name="Inputs by network level" sheetId="135" r:id="rId16"/>
    <sheet name="General inputs" sheetId="136" r:id="rId17"/>
    <sheet name="Standing charge factors" sheetId="137" r:id="rId18"/>
    <sheet name="Load &amp; loss characteristics" sheetId="138" r:id="rId19"/>
    <sheet name="Customer contributions" sheetId="139" r:id="rId20"/>
    <sheet name="Volume adjustments" sheetId="140" r:id="rId21"/>
    <sheet name="Pseudo-load coefficients" sheetId="141" r:id="rId22"/>
    <sheet name="System peak demand" sheetId="142" r:id="rId23"/>
    <sheet name="Service model assets" sheetId="143" r:id="rId24"/>
    <sheet name="Unit costs" sheetId="144" r:id="rId25"/>
    <sheet name="Initial unit rates" sheetId="145" r:id="rId26"/>
    <sheet name="Service model charges" sheetId="146" r:id="rId27"/>
    <sheet name="Unit rate charges" sheetId="147" r:id="rId28"/>
    <sheet name="Reactive power charges" sheetId="148" r:id="rId29"/>
    <sheet name="Capacity charges" sheetId="149" r:id="rId30"/>
    <sheet name="Fixed charges" sheetId="150" r:id="rId31"/>
    <sheet name="Revenue matching" sheetId="151" r:id="rId32"/>
    <sheet name="Fixed charge adder" sheetId="152" r:id="rId33"/>
    <sheet name="Rounding" sheetId="153" r:id="rId34"/>
    <sheet name="Net revenue summary" sheetId="154" r:id="rId35"/>
    <sheet name="Tariff summary" sheetId="106" r:id="rId36"/>
    <sheet name="Typical bills" sheetId="107" r:id="rId37"/>
  </sheets>
  <externalReferences>
    <externalReference r:id="rId38"/>
  </externalReferences>
  <definedNames>
    <definedName name="_xlnm._FilterDatabase" localSheetId="12" hidden="1">'ARP_General inputs'!$A$6:$JL$114</definedName>
    <definedName name="_xlnm._FilterDatabase" localSheetId="10" hidden="1">'ARP_Inputs by customer type'!$A$6:$JL$526</definedName>
    <definedName name="_xlnm._FilterDatabase" localSheetId="11" hidden="1">'ARP_Inputs by network level'!$A$6:$IV$186</definedName>
    <definedName name="_xlnm._FilterDatabase" localSheetId="35" hidden="1">'Tariff summary'!$5:$349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9" hidden="1">{"'Sheet1'!$A$1:$G$85"}</definedName>
    <definedName name="HTML_Control" localSheetId="0" hidden="1">{"'Sheet1'!$A$1:$G$85"}</definedName>
    <definedName name="HTML_Control" localSheetId="32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8" hidden="1">{"'Sheet1'!$A$1:$G$85"}</definedName>
    <definedName name="HTML_Control" localSheetId="31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bills'!$J$18:$J$69</definedName>
    <definedName name="live_results_tariffs" comment="Tariffs for selected charging year">'Tariff summary'!$J$18:$P$69</definedName>
    <definedName name="PowerFactor" comment="Power factor, equal to 0.95">'Fixed inputs'!$H$37</definedName>
    <definedName name="results_4_bills" comment="Typical bills for current charging year">'Typical bills'!$L$18:$L$69</definedName>
    <definedName name="results_4_tariffs" comment="Tariffs for current charging year">'Tariff summary'!$J$74:$P$125</definedName>
    <definedName name="results_5_bills" comment="Typical bills for current charging year + 1">'Typical bills'!$M$18:$M$69</definedName>
    <definedName name="results_5_tariffs" comment="Tariffs for current charging year + 1">'Tariff summary'!$J$130:$P$181</definedName>
    <definedName name="results_6_bills" comment="Typical bills for current charging year + 2">'Typical bills'!$N$18:$N$69</definedName>
    <definedName name="results_6_tariffs" comment="Tariffs for current charging year + 2">'Tariff summary'!$J$186:$P$237</definedName>
    <definedName name="results_7_bills" comment="Typical bills for current charging year + 3">'Typical bills'!$O$18:$O$69</definedName>
    <definedName name="results_7_tariffs" comment="Tariffs for current charging year + 3">'Tariff summary'!$J$242:$P$293</definedName>
    <definedName name="results_8_bills" comment="Typical bills for current charging year + 4">'Typical bills'!$P$18:$P$69</definedName>
    <definedName name="results_8_tariffs" comment="Tariffs for current charging year + 4">'Tariff summary'!$J$298:$P$349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2" i="98" l="1"/>
  <c r="R72" i="98"/>
  <c r="Q72" i="98"/>
  <c r="S59" i="98"/>
  <c r="R59" i="98"/>
  <c r="Q59" i="98"/>
  <c r="S47" i="98"/>
  <c r="S48" i="98" s="1"/>
  <c r="R47" i="98"/>
  <c r="R48" i="98" s="1"/>
  <c r="Q47" i="98"/>
  <c r="Q48" i="98" s="1"/>
  <c r="N47" i="98"/>
  <c r="N48" i="98" s="1"/>
  <c r="M47" i="98"/>
  <c r="M48" i="98" s="1"/>
  <c r="O89" i="98"/>
  <c r="Q122" i="98"/>
  <c r="P47" i="98" l="1"/>
  <c r="P48" i="98"/>
  <c r="P59" i="98"/>
  <c r="P72" i="98"/>
  <c r="S75" i="98"/>
  <c r="R75" i="98"/>
  <c r="Q75" i="98"/>
  <c r="P75" i="98" l="1"/>
  <c r="Q121" i="98" l="1"/>
  <c r="O59" i="98" l="1"/>
  <c r="O72" i="98"/>
  <c r="O47" i="98"/>
  <c r="O48" i="98" s="1"/>
  <c r="O75" i="98" l="1"/>
  <c r="O82" i="98" l="1"/>
  <c r="O83" i="98" l="1"/>
  <c r="O96" i="98" s="1"/>
  <c r="O90" i="98" l="1"/>
  <c r="O91" i="98" s="1"/>
  <c r="G89" i="85" l="1"/>
  <c r="G88" i="85"/>
  <c r="G87" i="85"/>
  <c r="G86" i="85"/>
  <c r="G79" i="85"/>
  <c r="G78" i="85"/>
  <c r="G77" i="85"/>
  <c r="G76" i="85"/>
  <c r="G75" i="85"/>
  <c r="G74" i="85"/>
  <c r="G73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Y49" i="140" l="1"/>
  <c r="X49" i="140"/>
  <c r="W49" i="140"/>
  <c r="V49" i="140"/>
  <c r="U49" i="140"/>
  <c r="T49" i="140"/>
  <c r="S49" i="140"/>
  <c r="R49" i="140"/>
  <c r="Q49" i="140"/>
  <c r="P49" i="140"/>
  <c r="O49" i="140"/>
  <c r="N49" i="140"/>
  <c r="M49" i="140"/>
  <c r="L49" i="140"/>
  <c r="K49" i="140"/>
  <c r="Y48" i="140"/>
  <c r="X48" i="140"/>
  <c r="W48" i="140"/>
  <c r="V48" i="140"/>
  <c r="U48" i="140"/>
  <c r="T48" i="140"/>
  <c r="S48" i="140"/>
  <c r="R48" i="140"/>
  <c r="Q48" i="140"/>
  <c r="P48" i="140"/>
  <c r="O48" i="140"/>
  <c r="N48" i="140"/>
  <c r="M48" i="140"/>
  <c r="L48" i="140"/>
  <c r="K48" i="140"/>
  <c r="Y47" i="140"/>
  <c r="X47" i="140"/>
  <c r="W47" i="140"/>
  <c r="V47" i="140"/>
  <c r="U47" i="140"/>
  <c r="T47" i="140"/>
  <c r="S47" i="140"/>
  <c r="R47" i="140"/>
  <c r="Q47" i="140"/>
  <c r="P47" i="140"/>
  <c r="O47" i="140"/>
  <c r="N47" i="140"/>
  <c r="M47" i="140"/>
  <c r="L47" i="140"/>
  <c r="K47" i="140"/>
  <c r="Y46" i="140"/>
  <c r="X46" i="140"/>
  <c r="W46" i="140"/>
  <c r="V46" i="140"/>
  <c r="U46" i="140"/>
  <c r="T46" i="140"/>
  <c r="S46" i="140"/>
  <c r="R46" i="140"/>
  <c r="Q46" i="140"/>
  <c r="P46" i="140"/>
  <c r="O46" i="140"/>
  <c r="N46" i="140"/>
  <c r="M46" i="140"/>
  <c r="L46" i="140"/>
  <c r="K46" i="140"/>
  <c r="Y45" i="140"/>
  <c r="X45" i="140"/>
  <c r="W45" i="140"/>
  <c r="V45" i="140"/>
  <c r="U45" i="140"/>
  <c r="T45" i="140"/>
  <c r="S45" i="140"/>
  <c r="R45" i="140"/>
  <c r="Q45" i="140"/>
  <c r="P45" i="140"/>
  <c r="O45" i="140"/>
  <c r="N45" i="140"/>
  <c r="M45" i="140"/>
  <c r="L45" i="140"/>
  <c r="K45" i="140"/>
  <c r="J49" i="140"/>
  <c r="J48" i="140"/>
  <c r="J47" i="140"/>
  <c r="J46" i="140"/>
  <c r="J45" i="140"/>
  <c r="Y43" i="140"/>
  <c r="X43" i="140"/>
  <c r="W43" i="140"/>
  <c r="V43" i="140"/>
  <c r="U43" i="140"/>
  <c r="T43" i="140"/>
  <c r="S43" i="140"/>
  <c r="R43" i="140"/>
  <c r="Q43" i="140"/>
  <c r="P43" i="140"/>
  <c r="O43" i="140"/>
  <c r="N43" i="140"/>
  <c r="M43" i="140"/>
  <c r="L43" i="140"/>
  <c r="K43" i="140"/>
  <c r="Y42" i="140"/>
  <c r="X42" i="140"/>
  <c r="W42" i="140"/>
  <c r="V42" i="140"/>
  <c r="U42" i="140"/>
  <c r="T42" i="140"/>
  <c r="S42" i="140"/>
  <c r="R42" i="140"/>
  <c r="Q42" i="140"/>
  <c r="P42" i="140"/>
  <c r="O42" i="140"/>
  <c r="N42" i="140"/>
  <c r="M42" i="140"/>
  <c r="L42" i="140"/>
  <c r="K42" i="140"/>
  <c r="Y41" i="140"/>
  <c r="X41" i="140"/>
  <c r="W41" i="140"/>
  <c r="V41" i="140"/>
  <c r="U41" i="140"/>
  <c r="T41" i="140"/>
  <c r="S41" i="140"/>
  <c r="R41" i="140"/>
  <c r="Q41" i="140"/>
  <c r="P41" i="140"/>
  <c r="O41" i="140"/>
  <c r="N41" i="140"/>
  <c r="M41" i="140"/>
  <c r="L41" i="140"/>
  <c r="K41" i="140"/>
  <c r="Y40" i="140"/>
  <c r="X40" i="140"/>
  <c r="W40" i="140"/>
  <c r="V40" i="140"/>
  <c r="U40" i="140"/>
  <c r="T40" i="140"/>
  <c r="S40" i="140"/>
  <c r="R40" i="140"/>
  <c r="Q40" i="140"/>
  <c r="P40" i="140"/>
  <c r="O40" i="140"/>
  <c r="N40" i="140"/>
  <c r="M40" i="140"/>
  <c r="L40" i="140"/>
  <c r="K40" i="140"/>
  <c r="Y39" i="140"/>
  <c r="X39" i="140"/>
  <c r="W39" i="140"/>
  <c r="V39" i="140"/>
  <c r="U39" i="140"/>
  <c r="T39" i="140"/>
  <c r="S39" i="140"/>
  <c r="R39" i="140"/>
  <c r="Q39" i="140"/>
  <c r="P39" i="140"/>
  <c r="O39" i="140"/>
  <c r="N39" i="140"/>
  <c r="M39" i="140"/>
  <c r="L39" i="140"/>
  <c r="K39" i="140"/>
  <c r="J43" i="140"/>
  <c r="J42" i="140"/>
  <c r="J41" i="140"/>
  <c r="J40" i="140"/>
  <c r="J39" i="140"/>
  <c r="Y78" i="148" l="1"/>
  <c r="X78" i="148"/>
  <c r="W78" i="148"/>
  <c r="V78" i="148"/>
  <c r="U78" i="148"/>
  <c r="T78" i="148"/>
  <c r="S78" i="148"/>
  <c r="R78" i="148"/>
  <c r="Q78" i="148"/>
  <c r="P78" i="148"/>
  <c r="O78" i="148"/>
  <c r="N78" i="148"/>
  <c r="M78" i="148"/>
  <c r="L78" i="148"/>
  <c r="K78" i="148"/>
  <c r="J78" i="148"/>
  <c r="Y123" i="149"/>
  <c r="X123" i="149"/>
  <c r="W123" i="149"/>
  <c r="V123" i="149"/>
  <c r="U123" i="149"/>
  <c r="T123" i="149"/>
  <c r="S123" i="149"/>
  <c r="R123" i="149"/>
  <c r="Q123" i="149"/>
  <c r="P123" i="149"/>
  <c r="O123" i="149"/>
  <c r="N123" i="149"/>
  <c r="M123" i="149"/>
  <c r="L123" i="149"/>
  <c r="K123" i="149"/>
  <c r="Y122" i="149"/>
  <c r="X122" i="149"/>
  <c r="W122" i="149"/>
  <c r="V122" i="149"/>
  <c r="U122" i="149"/>
  <c r="T122" i="149"/>
  <c r="S122" i="149"/>
  <c r="R122" i="149"/>
  <c r="Q122" i="149"/>
  <c r="P122" i="149"/>
  <c r="O122" i="149"/>
  <c r="N122" i="149"/>
  <c r="M122" i="149"/>
  <c r="L122" i="149"/>
  <c r="K122" i="149"/>
  <c r="Y121" i="149"/>
  <c r="X121" i="149"/>
  <c r="W121" i="149"/>
  <c r="V121" i="149"/>
  <c r="U121" i="149"/>
  <c r="T121" i="149"/>
  <c r="S121" i="149"/>
  <c r="R121" i="149"/>
  <c r="Q121" i="149"/>
  <c r="P121" i="149"/>
  <c r="O121" i="149"/>
  <c r="N121" i="149"/>
  <c r="M121" i="149"/>
  <c r="L121" i="149"/>
  <c r="K121" i="149"/>
  <c r="J123" i="149"/>
  <c r="J122" i="149"/>
  <c r="J121" i="149"/>
  <c r="Y63" i="150"/>
  <c r="X63" i="150"/>
  <c r="W63" i="150"/>
  <c r="V63" i="150"/>
  <c r="U63" i="150"/>
  <c r="T63" i="150"/>
  <c r="S63" i="150"/>
  <c r="R63" i="150"/>
  <c r="Q63" i="150"/>
  <c r="P63" i="150"/>
  <c r="O63" i="150"/>
  <c r="N63" i="150"/>
  <c r="M63" i="150"/>
  <c r="L63" i="150"/>
  <c r="K63" i="150"/>
  <c r="J63" i="150"/>
  <c r="Y198" i="142"/>
  <c r="X198" i="142"/>
  <c r="W198" i="142"/>
  <c r="V198" i="142"/>
  <c r="U198" i="142"/>
  <c r="T198" i="142"/>
  <c r="S198" i="142"/>
  <c r="R198" i="142"/>
  <c r="Q198" i="142"/>
  <c r="P198" i="142"/>
  <c r="O198" i="142"/>
  <c r="N198" i="142"/>
  <c r="M198" i="142"/>
  <c r="L198" i="142"/>
  <c r="K198" i="142"/>
  <c r="J198" i="142"/>
  <c r="M38" i="141"/>
  <c r="L38" i="141"/>
  <c r="K38" i="141"/>
  <c r="J38" i="141"/>
  <c r="Y20" i="141"/>
  <c r="X20" i="141"/>
  <c r="W20" i="141"/>
  <c r="V20" i="141"/>
  <c r="U20" i="141"/>
  <c r="T20" i="141"/>
  <c r="S20" i="141"/>
  <c r="R20" i="141"/>
  <c r="Q20" i="141"/>
  <c r="P20" i="141"/>
  <c r="O20" i="141"/>
  <c r="N20" i="141"/>
  <c r="M20" i="141"/>
  <c r="L20" i="141"/>
  <c r="K20" i="141"/>
  <c r="J20" i="141"/>
  <c r="Q34" i="137"/>
  <c r="P34" i="137"/>
  <c r="O34" i="137"/>
  <c r="N34" i="137"/>
  <c r="M34" i="137"/>
  <c r="L34" i="137"/>
  <c r="K34" i="137"/>
  <c r="Q33" i="137"/>
  <c r="P33" i="137"/>
  <c r="O33" i="137"/>
  <c r="N33" i="137"/>
  <c r="M33" i="137"/>
  <c r="L33" i="137"/>
  <c r="K33" i="137"/>
  <c r="J33" i="137"/>
  <c r="Q32" i="137"/>
  <c r="P32" i="137"/>
  <c r="O32" i="137"/>
  <c r="N32" i="137"/>
  <c r="M32" i="137"/>
  <c r="L32" i="137"/>
  <c r="K32" i="137"/>
  <c r="J32" i="137"/>
  <c r="Q31" i="137"/>
  <c r="P31" i="137"/>
  <c r="O31" i="137"/>
  <c r="N31" i="137"/>
  <c r="M31" i="137"/>
  <c r="L31" i="137"/>
  <c r="K31" i="137"/>
  <c r="J31" i="137"/>
  <c r="Q30" i="137"/>
  <c r="P30" i="137"/>
  <c r="O30" i="137"/>
  <c r="N30" i="137"/>
  <c r="M30" i="137"/>
  <c r="L30" i="137"/>
  <c r="K30" i="137"/>
  <c r="J30" i="137"/>
  <c r="Q29" i="137"/>
  <c r="P29" i="137"/>
  <c r="O29" i="137"/>
  <c r="N29" i="137"/>
  <c r="M29" i="137"/>
  <c r="L29" i="137"/>
  <c r="K29" i="137"/>
  <c r="J29" i="137"/>
  <c r="Q28" i="137"/>
  <c r="P28" i="137"/>
  <c r="O28" i="137"/>
  <c r="N28" i="137"/>
  <c r="M28" i="137"/>
  <c r="L28" i="137"/>
  <c r="K28" i="137"/>
  <c r="J28" i="137"/>
  <c r="Q27" i="137"/>
  <c r="P27" i="137"/>
  <c r="O27" i="137"/>
  <c r="N27" i="137"/>
  <c r="M27" i="137"/>
  <c r="L27" i="137"/>
  <c r="K27" i="137"/>
  <c r="J27" i="137"/>
  <c r="Q26" i="137"/>
  <c r="P26" i="137"/>
  <c r="O26" i="137"/>
  <c r="N26" i="137"/>
  <c r="M26" i="137"/>
  <c r="L26" i="137"/>
  <c r="K26" i="137"/>
  <c r="J26" i="137"/>
  <c r="Q25" i="137"/>
  <c r="P25" i="137"/>
  <c r="O25" i="137"/>
  <c r="N25" i="137"/>
  <c r="M25" i="137"/>
  <c r="L25" i="137"/>
  <c r="K25" i="137"/>
  <c r="J25" i="137"/>
  <c r="J34" i="137"/>
  <c r="Y27" i="152"/>
  <c r="X27" i="152"/>
  <c r="W27" i="152"/>
  <c r="V27" i="152"/>
  <c r="U27" i="152"/>
  <c r="T27" i="152"/>
  <c r="S27" i="152"/>
  <c r="R27" i="152"/>
  <c r="Q27" i="152"/>
  <c r="P27" i="152"/>
  <c r="O27" i="152"/>
  <c r="N27" i="152"/>
  <c r="M27" i="152"/>
  <c r="L27" i="152"/>
  <c r="K27" i="152"/>
  <c r="J27" i="152"/>
  <c r="Y26" i="152"/>
  <c r="X26" i="152"/>
  <c r="W26" i="152"/>
  <c r="V26" i="152"/>
  <c r="U26" i="152"/>
  <c r="T26" i="152"/>
  <c r="S26" i="152"/>
  <c r="R26" i="152"/>
  <c r="Q26" i="152"/>
  <c r="P26" i="152"/>
  <c r="O26" i="152"/>
  <c r="N26" i="152"/>
  <c r="M26" i="152"/>
  <c r="L26" i="152"/>
  <c r="K26" i="152"/>
  <c r="J26" i="152"/>
  <c r="A2" i="154"/>
  <c r="H81" i="153"/>
  <c r="H80" i="153"/>
  <c r="H79" i="153"/>
  <c r="H78" i="153"/>
  <c r="H77" i="153"/>
  <c r="H76" i="153"/>
  <c r="H75" i="153"/>
  <c r="A2" i="153"/>
  <c r="A2" i="152"/>
  <c r="A2" i="151"/>
  <c r="A2" i="150"/>
  <c r="A2" i="149"/>
  <c r="A2" i="148"/>
  <c r="A2" i="147"/>
  <c r="A2" i="146"/>
  <c r="A2" i="145"/>
  <c r="H84" i="144"/>
  <c r="H39" i="144"/>
  <c r="H24" i="144"/>
  <c r="A2" i="144"/>
  <c r="A2" i="143"/>
  <c r="A2" i="142"/>
  <c r="A2" i="141"/>
  <c r="Y33" i="140"/>
  <c r="X33" i="140"/>
  <c r="W33" i="140"/>
  <c r="V33" i="140"/>
  <c r="U33" i="140"/>
  <c r="T33" i="140"/>
  <c r="S33" i="140"/>
  <c r="R33" i="140"/>
  <c r="Q33" i="140"/>
  <c r="P33" i="140"/>
  <c r="O33" i="140"/>
  <c r="N33" i="140"/>
  <c r="M33" i="140"/>
  <c r="L33" i="140"/>
  <c r="K33" i="140"/>
  <c r="J33" i="140"/>
  <c r="Y32" i="140"/>
  <c r="X32" i="140"/>
  <c r="W32" i="140"/>
  <c r="V32" i="140"/>
  <c r="U32" i="140"/>
  <c r="T32" i="140"/>
  <c r="S32" i="140"/>
  <c r="R32" i="140"/>
  <c r="Q32" i="140"/>
  <c r="P32" i="140"/>
  <c r="O32" i="140"/>
  <c r="N32" i="140"/>
  <c r="M32" i="140"/>
  <c r="L32" i="140"/>
  <c r="K32" i="140"/>
  <c r="J32" i="140"/>
  <c r="Y31" i="140"/>
  <c r="X31" i="140"/>
  <c r="W31" i="140"/>
  <c r="V31" i="140"/>
  <c r="U31" i="140"/>
  <c r="T31" i="140"/>
  <c r="S31" i="140"/>
  <c r="R31" i="140"/>
  <c r="Q31" i="140"/>
  <c r="P31" i="140"/>
  <c r="O31" i="140"/>
  <c r="N31" i="140"/>
  <c r="M31" i="140"/>
  <c r="L31" i="140"/>
  <c r="K31" i="140"/>
  <c r="J31" i="140"/>
  <c r="Y30" i="140"/>
  <c r="X30" i="140"/>
  <c r="W30" i="140"/>
  <c r="V30" i="140"/>
  <c r="U30" i="140"/>
  <c r="T30" i="140"/>
  <c r="S30" i="140"/>
  <c r="R30" i="140"/>
  <c r="Q30" i="140"/>
  <c r="P30" i="140"/>
  <c r="O30" i="140"/>
  <c r="N30" i="140"/>
  <c r="M30" i="140"/>
  <c r="L30" i="140"/>
  <c r="K30" i="140"/>
  <c r="J30" i="140"/>
  <c r="A2" i="140"/>
  <c r="J21" i="139" a="1"/>
  <c r="L36" i="139" s="1"/>
  <c r="A2" i="139"/>
  <c r="J84" i="138" a="1"/>
  <c r="O99" i="138" s="1"/>
  <c r="J46" i="138" a="1"/>
  <c r="R61" i="138" s="1"/>
  <c r="A2" i="138"/>
  <c r="A2" i="137"/>
  <c r="A2" i="136"/>
  <c r="A2" i="135"/>
  <c r="A2" i="134"/>
  <c r="S89" i="98"/>
  <c r="S82" i="98"/>
  <c r="R89" i="98"/>
  <c r="R82" i="98"/>
  <c r="Q89" i="98"/>
  <c r="Q82" i="98"/>
  <c r="P89" i="98"/>
  <c r="P82" i="98"/>
  <c r="N96" i="98"/>
  <c r="N89" i="98"/>
  <c r="N82" i="98"/>
  <c r="N72" i="98"/>
  <c r="N59" i="98"/>
  <c r="M96" i="98"/>
  <c r="M89" i="98"/>
  <c r="M82" i="98"/>
  <c r="M72" i="98"/>
  <c r="M59" i="98"/>
  <c r="L96" i="98"/>
  <c r="L95" i="98"/>
  <c r="L89" i="98"/>
  <c r="L82" i="98"/>
  <c r="L72" i="98"/>
  <c r="L59" i="98"/>
  <c r="G31" i="96"/>
  <c r="P83" i="98" l="1"/>
  <c r="M75" i="98"/>
  <c r="M83" i="98" s="1"/>
  <c r="M90" i="98" s="1"/>
  <c r="M91" i="98" s="1"/>
  <c r="J84" i="138"/>
  <c r="M98" i="138"/>
  <c r="N75" i="98"/>
  <c r="N94" i="98" s="1"/>
  <c r="R83" i="98"/>
  <c r="K86" i="138"/>
  <c r="Q88" i="138"/>
  <c r="K95" i="138"/>
  <c r="S91" i="138"/>
  <c r="L28" i="139"/>
  <c r="N46" i="138"/>
  <c r="J48" i="138"/>
  <c r="O84" i="138"/>
  <c r="Q86" i="138"/>
  <c r="O89" i="138"/>
  <c r="Q92" i="138"/>
  <c r="S95" i="138"/>
  <c r="K99" i="138"/>
  <c r="M21" i="139"/>
  <c r="M25" i="139"/>
  <c r="M29" i="139"/>
  <c r="M33" i="139"/>
  <c r="J46" i="138"/>
  <c r="P47" i="138"/>
  <c r="L24" i="139"/>
  <c r="L32" i="139"/>
  <c r="R46" i="138"/>
  <c r="N48" i="138"/>
  <c r="K85" i="138"/>
  <c r="L87" i="138"/>
  <c r="M90" i="138"/>
  <c r="O93" i="138"/>
  <c r="Q96" i="138"/>
  <c r="S99" i="138"/>
  <c r="L22" i="139"/>
  <c r="L26" i="139"/>
  <c r="L30" i="139"/>
  <c r="L34" i="139"/>
  <c r="L47" i="138"/>
  <c r="P85" i="138"/>
  <c r="S87" i="138"/>
  <c r="K91" i="138"/>
  <c r="M94" i="138"/>
  <c r="O97" i="138"/>
  <c r="M23" i="139"/>
  <c r="M27" i="139"/>
  <c r="M31" i="139"/>
  <c r="L49" i="138"/>
  <c r="J50" i="138"/>
  <c r="R50" i="138"/>
  <c r="P51" i="138"/>
  <c r="N52" i="138"/>
  <c r="L53" i="138"/>
  <c r="J54" i="138"/>
  <c r="R54" i="138"/>
  <c r="P55" i="138"/>
  <c r="N56" i="138"/>
  <c r="L57" i="138"/>
  <c r="J58" i="138"/>
  <c r="R58" i="138"/>
  <c r="P59" i="138"/>
  <c r="O60" i="138"/>
  <c r="P61" i="138"/>
  <c r="K46" i="138"/>
  <c r="S46" i="138"/>
  <c r="Q47" i="138"/>
  <c r="O48" i="138"/>
  <c r="M49" i="138"/>
  <c r="O50" i="138"/>
  <c r="M51" i="138"/>
  <c r="K52" i="138"/>
  <c r="S52" i="138"/>
  <c r="Q53" i="138"/>
  <c r="O54" i="138"/>
  <c r="S54" i="138"/>
  <c r="Q55" i="138"/>
  <c r="K56" i="138"/>
  <c r="O56" i="138"/>
  <c r="S56" i="138"/>
  <c r="M57" i="138"/>
  <c r="Q57" i="138"/>
  <c r="K58" i="138"/>
  <c r="O58" i="138"/>
  <c r="S58" i="138"/>
  <c r="Q59" i="138"/>
  <c r="K60" i="138"/>
  <c r="P60" i="138"/>
  <c r="L61" i="138"/>
  <c r="Q61" i="138"/>
  <c r="K84" i="138"/>
  <c r="Q84" i="138"/>
  <c r="L85" i="138"/>
  <c r="Q85" i="138"/>
  <c r="M86" i="138"/>
  <c r="R86" i="138"/>
  <c r="M87" i="138"/>
  <c r="J88" i="138"/>
  <c r="R88" i="138"/>
  <c r="P89" i="138"/>
  <c r="N90" i="138"/>
  <c r="L91" i="138"/>
  <c r="J92" i="138"/>
  <c r="R92" i="138"/>
  <c r="P93" i="138"/>
  <c r="N94" i="138"/>
  <c r="L95" i="138"/>
  <c r="J96" i="138"/>
  <c r="R96" i="138"/>
  <c r="P97" i="138"/>
  <c r="N98" i="138"/>
  <c r="L99" i="138"/>
  <c r="K36" i="139"/>
  <c r="K35" i="139"/>
  <c r="K34" i="139"/>
  <c r="K33" i="139"/>
  <c r="K32" i="139"/>
  <c r="K31" i="139"/>
  <c r="K30" i="139"/>
  <c r="K29" i="139"/>
  <c r="K28" i="139"/>
  <c r="K27" i="139"/>
  <c r="K26" i="139"/>
  <c r="K25" i="139"/>
  <c r="K24" i="139"/>
  <c r="K23" i="139"/>
  <c r="K22" i="139"/>
  <c r="K21" i="139"/>
  <c r="J36" i="139"/>
  <c r="J35" i="139"/>
  <c r="J34" i="139"/>
  <c r="J33" i="139"/>
  <c r="J32" i="139"/>
  <c r="J31" i="139"/>
  <c r="J30" i="139"/>
  <c r="J29" i="139"/>
  <c r="J28" i="139"/>
  <c r="J27" i="139"/>
  <c r="J26" i="139"/>
  <c r="J25" i="139"/>
  <c r="J24" i="139"/>
  <c r="J23" i="139"/>
  <c r="J22" i="139"/>
  <c r="J21" i="139"/>
  <c r="M22" i="139"/>
  <c r="M24" i="139"/>
  <c r="M26" i="139"/>
  <c r="M28" i="139"/>
  <c r="M30" i="139"/>
  <c r="M32" i="139"/>
  <c r="M34" i="139"/>
  <c r="M36" i="139"/>
  <c r="R48" i="138"/>
  <c r="P49" i="138"/>
  <c r="N50" i="138"/>
  <c r="L51" i="138"/>
  <c r="J52" i="138"/>
  <c r="R52" i="138"/>
  <c r="P53" i="138"/>
  <c r="N54" i="138"/>
  <c r="L55" i="138"/>
  <c r="J56" i="138"/>
  <c r="R56" i="138"/>
  <c r="P57" i="138"/>
  <c r="N58" i="138"/>
  <c r="L59" i="138"/>
  <c r="J60" i="138"/>
  <c r="J61" i="138"/>
  <c r="O46" i="138"/>
  <c r="M47" i="138"/>
  <c r="K48" i="138"/>
  <c r="S48" i="138"/>
  <c r="Q49" i="138"/>
  <c r="K50" i="138"/>
  <c r="S50" i="138"/>
  <c r="Q51" i="138"/>
  <c r="O52" i="138"/>
  <c r="M53" i="138"/>
  <c r="K54" i="138"/>
  <c r="M55" i="138"/>
  <c r="M59" i="138"/>
  <c r="L46" i="138"/>
  <c r="P46" i="138"/>
  <c r="J47" i="138"/>
  <c r="N47" i="138"/>
  <c r="R47" i="138"/>
  <c r="L48" i="138"/>
  <c r="P48" i="138"/>
  <c r="J49" i="138"/>
  <c r="N49" i="138"/>
  <c r="R49" i="138"/>
  <c r="L50" i="138"/>
  <c r="P50" i="138"/>
  <c r="J51" i="138"/>
  <c r="N51" i="138"/>
  <c r="R51" i="138"/>
  <c r="L52" i="138"/>
  <c r="P52" i="138"/>
  <c r="J53" i="138"/>
  <c r="N53" i="138"/>
  <c r="R53" i="138"/>
  <c r="L54" i="138"/>
  <c r="P54" i="138"/>
  <c r="J55" i="138"/>
  <c r="N55" i="138"/>
  <c r="R55" i="138"/>
  <c r="L56" i="138"/>
  <c r="P56" i="138"/>
  <c r="J57" i="138"/>
  <c r="N57" i="138"/>
  <c r="R57" i="138"/>
  <c r="L58" i="138"/>
  <c r="P58" i="138"/>
  <c r="J59" i="138"/>
  <c r="N59" i="138"/>
  <c r="R59" i="138"/>
  <c r="L60" i="138"/>
  <c r="R60" i="138"/>
  <c r="M61" i="138"/>
  <c r="M84" i="138"/>
  <c r="R84" i="138"/>
  <c r="M85" i="138"/>
  <c r="S85" i="138"/>
  <c r="N86" i="138"/>
  <c r="S86" i="138"/>
  <c r="O87" i="138"/>
  <c r="M88" i="138"/>
  <c r="K89" i="138"/>
  <c r="S89" i="138"/>
  <c r="Q90" i="138"/>
  <c r="O91" i="138"/>
  <c r="M92" i="138"/>
  <c r="K93" i="138"/>
  <c r="S93" i="138"/>
  <c r="Q94" i="138"/>
  <c r="O95" i="138"/>
  <c r="M96" i="138"/>
  <c r="K97" i="138"/>
  <c r="S97" i="138"/>
  <c r="Q98" i="138"/>
  <c r="L21" i="139"/>
  <c r="L23" i="139"/>
  <c r="L25" i="139"/>
  <c r="L27" i="139"/>
  <c r="L29" i="139"/>
  <c r="L31" i="139"/>
  <c r="L33" i="139"/>
  <c r="L35" i="139"/>
  <c r="S61" i="138"/>
  <c r="O61" i="138"/>
  <c r="K61" i="138"/>
  <c r="Q60" i="138"/>
  <c r="M60" i="138"/>
  <c r="M46" i="138"/>
  <c r="Q46" i="138"/>
  <c r="K47" i="138"/>
  <c r="O47" i="138"/>
  <c r="S47" i="138"/>
  <c r="M48" i="138"/>
  <c r="Q48" i="138"/>
  <c r="K49" i="138"/>
  <c r="O49" i="138"/>
  <c r="S49" i="138"/>
  <c r="M50" i="138"/>
  <c r="Q50" i="138"/>
  <c r="K51" i="138"/>
  <c r="O51" i="138"/>
  <c r="S51" i="138"/>
  <c r="M52" i="138"/>
  <c r="Q52" i="138"/>
  <c r="K53" i="138"/>
  <c r="O53" i="138"/>
  <c r="S53" i="138"/>
  <c r="M54" i="138"/>
  <c r="Q54" i="138"/>
  <c r="K55" i="138"/>
  <c r="O55" i="138"/>
  <c r="S55" i="138"/>
  <c r="M56" i="138"/>
  <c r="Q56" i="138"/>
  <c r="K57" i="138"/>
  <c r="O57" i="138"/>
  <c r="S57" i="138"/>
  <c r="M58" i="138"/>
  <c r="Q58" i="138"/>
  <c r="K59" i="138"/>
  <c r="O59" i="138"/>
  <c r="S59" i="138"/>
  <c r="N60" i="138"/>
  <c r="S60" i="138"/>
  <c r="N61" i="138"/>
  <c r="R99" i="138"/>
  <c r="N99" i="138"/>
  <c r="J99" i="138"/>
  <c r="P98" i="138"/>
  <c r="L98" i="138"/>
  <c r="R97" i="138"/>
  <c r="N97" i="138"/>
  <c r="J97" i="138"/>
  <c r="P96" i="138"/>
  <c r="L96" i="138"/>
  <c r="R95" i="138"/>
  <c r="N95" i="138"/>
  <c r="J95" i="138"/>
  <c r="P94" i="138"/>
  <c r="L94" i="138"/>
  <c r="R93" i="138"/>
  <c r="N93" i="138"/>
  <c r="J93" i="138"/>
  <c r="P92" i="138"/>
  <c r="L92" i="138"/>
  <c r="R91" i="138"/>
  <c r="N91" i="138"/>
  <c r="J91" i="138"/>
  <c r="P90" i="138"/>
  <c r="L90" i="138"/>
  <c r="R89" i="138"/>
  <c r="N89" i="138"/>
  <c r="J89" i="138"/>
  <c r="P88" i="138"/>
  <c r="L88" i="138"/>
  <c r="R87" i="138"/>
  <c r="N87" i="138"/>
  <c r="J87" i="138"/>
  <c r="P86" i="138"/>
  <c r="L86" i="138"/>
  <c r="R85" i="138"/>
  <c r="N85" i="138"/>
  <c r="J85" i="138"/>
  <c r="P84" i="138"/>
  <c r="L84" i="138"/>
  <c r="Q99" i="138"/>
  <c r="M99" i="138"/>
  <c r="S98" i="138"/>
  <c r="O98" i="138"/>
  <c r="K98" i="138"/>
  <c r="Q97" i="138"/>
  <c r="M97" i="138"/>
  <c r="S96" i="138"/>
  <c r="O96" i="138"/>
  <c r="K96" i="138"/>
  <c r="Q95" i="138"/>
  <c r="M95" i="138"/>
  <c r="S94" i="138"/>
  <c r="O94" i="138"/>
  <c r="K94" i="138"/>
  <c r="Q93" i="138"/>
  <c r="M93" i="138"/>
  <c r="S92" i="138"/>
  <c r="O92" i="138"/>
  <c r="K92" i="138"/>
  <c r="Q91" i="138"/>
  <c r="M91" i="138"/>
  <c r="S90" i="138"/>
  <c r="O90" i="138"/>
  <c r="K90" i="138"/>
  <c r="Q89" i="138"/>
  <c r="M89" i="138"/>
  <c r="S88" i="138"/>
  <c r="O88" i="138"/>
  <c r="K88" i="138"/>
  <c r="Q87" i="138"/>
  <c r="N84" i="138"/>
  <c r="S84" i="138"/>
  <c r="O85" i="138"/>
  <c r="J86" i="138"/>
  <c r="O86" i="138"/>
  <c r="K87" i="138"/>
  <c r="P87" i="138"/>
  <c r="N88" i="138"/>
  <c r="L89" i="138"/>
  <c r="J90" i="138"/>
  <c r="R90" i="138"/>
  <c r="P91" i="138"/>
  <c r="N92" i="138"/>
  <c r="L93" i="138"/>
  <c r="J94" i="138"/>
  <c r="R94" i="138"/>
  <c r="P95" i="138"/>
  <c r="N96" i="138"/>
  <c r="L97" i="138"/>
  <c r="J98" i="138"/>
  <c r="R98" i="138"/>
  <c r="P99" i="138"/>
  <c r="M35" i="139"/>
  <c r="P90" i="98" l="1"/>
  <c r="P91" i="98" s="1"/>
  <c r="R90" i="98"/>
  <c r="R91" i="98" s="1"/>
  <c r="R94" i="98"/>
  <c r="R95" i="98"/>
  <c r="N83" i="98"/>
  <c r="N90" i="98" s="1"/>
  <c r="N91" i="98" s="1"/>
  <c r="Q83" i="98"/>
  <c r="Q95" i="98"/>
  <c r="N95" i="98"/>
  <c r="S95" i="98"/>
  <c r="S83" i="98"/>
  <c r="M94" i="98"/>
  <c r="P96" i="98" l="1"/>
  <c r="P94" i="98"/>
  <c r="Q90" i="98"/>
  <c r="Q91" i="98" s="1"/>
  <c r="S90" i="98"/>
  <c r="S91" i="98" s="1"/>
  <c r="S94" i="98"/>
  <c r="H11" i="135"/>
  <c r="H11" i="136"/>
  <c r="H11" i="134"/>
  <c r="Y69" i="154"/>
  <c r="W69" i="154"/>
  <c r="U69" i="154"/>
  <c r="Y68" i="154"/>
  <c r="W68" i="154"/>
  <c r="U68" i="154"/>
  <c r="Y67" i="154"/>
  <c r="W67" i="154"/>
  <c r="U67" i="154"/>
  <c r="Y66" i="154"/>
  <c r="W66" i="154"/>
  <c r="U66" i="154"/>
  <c r="Y65" i="154"/>
  <c r="W65" i="154"/>
  <c r="U65" i="154"/>
  <c r="Y64" i="154"/>
  <c r="W64" i="154"/>
  <c r="U64" i="154"/>
  <c r="Y63" i="154"/>
  <c r="W63" i="154"/>
  <c r="U63" i="154"/>
  <c r="Y60" i="154"/>
  <c r="X60" i="154"/>
  <c r="W60" i="154"/>
  <c r="V60" i="154"/>
  <c r="U60" i="154"/>
  <c r="S60" i="154"/>
  <c r="P60" i="154"/>
  <c r="O60" i="154"/>
  <c r="Y59" i="154"/>
  <c r="X59" i="154"/>
  <c r="W59" i="154"/>
  <c r="V59" i="154"/>
  <c r="U59" i="154"/>
  <c r="S59" i="154"/>
  <c r="P59" i="154"/>
  <c r="O59" i="154"/>
  <c r="Y58" i="154"/>
  <c r="X58" i="154"/>
  <c r="W58" i="154"/>
  <c r="V58" i="154"/>
  <c r="U58" i="154"/>
  <c r="S58" i="154"/>
  <c r="P58" i="154"/>
  <c r="O58" i="154"/>
  <c r="Y57" i="154"/>
  <c r="X57" i="154"/>
  <c r="W57" i="154"/>
  <c r="V57" i="154"/>
  <c r="U57" i="154"/>
  <c r="S57" i="154"/>
  <c r="P57" i="154"/>
  <c r="O57" i="154"/>
  <c r="Y56" i="154"/>
  <c r="X56" i="154"/>
  <c r="W56" i="154"/>
  <c r="V56" i="154"/>
  <c r="U56" i="154"/>
  <c r="S56" i="154"/>
  <c r="P56" i="154"/>
  <c r="O56" i="154"/>
  <c r="Y55" i="154"/>
  <c r="X55" i="154"/>
  <c r="W55" i="154"/>
  <c r="V55" i="154"/>
  <c r="U55" i="154"/>
  <c r="S55" i="154"/>
  <c r="P55" i="154"/>
  <c r="O55" i="154"/>
  <c r="Y54" i="154"/>
  <c r="X54" i="154"/>
  <c r="W54" i="154"/>
  <c r="V54" i="154"/>
  <c r="U54" i="154"/>
  <c r="S54" i="154"/>
  <c r="P54" i="154"/>
  <c r="O54" i="154"/>
  <c r="Y40" i="154"/>
  <c r="W40" i="154"/>
  <c r="U40" i="154"/>
  <c r="S40" i="154"/>
  <c r="R40" i="154"/>
  <c r="Q40" i="154"/>
  <c r="M40" i="154"/>
  <c r="L40" i="154"/>
  <c r="K40" i="154"/>
  <c r="J40" i="154"/>
  <c r="Y39" i="154"/>
  <c r="X39" i="154"/>
  <c r="W39" i="154"/>
  <c r="V39" i="154"/>
  <c r="U39" i="154"/>
  <c r="T39" i="154"/>
  <c r="S39" i="154"/>
  <c r="R39" i="154"/>
  <c r="Q39" i="154"/>
  <c r="M39" i="154"/>
  <c r="L39" i="154"/>
  <c r="K39" i="154"/>
  <c r="J39" i="154"/>
  <c r="Y38" i="154"/>
  <c r="X38" i="154"/>
  <c r="W38" i="154"/>
  <c r="V38" i="154"/>
  <c r="U38" i="154"/>
  <c r="T38" i="154"/>
  <c r="S38" i="154"/>
  <c r="R38" i="154"/>
  <c r="Q38" i="154"/>
  <c r="M38" i="154"/>
  <c r="L38" i="154"/>
  <c r="K38" i="154"/>
  <c r="J38" i="154"/>
  <c r="Y37" i="154"/>
  <c r="Y130" i="154" s="1"/>
  <c r="W37" i="154"/>
  <c r="U37" i="154"/>
  <c r="U130" i="154" s="1"/>
  <c r="Y36" i="154"/>
  <c r="Y106" i="154" s="1"/>
  <c r="W36" i="154"/>
  <c r="U36" i="154"/>
  <c r="U106" i="154" s="1"/>
  <c r="Y35" i="154"/>
  <c r="Y105" i="154" s="1"/>
  <c r="W35" i="154"/>
  <c r="W105" i="154" s="1"/>
  <c r="U35" i="154"/>
  <c r="Y34" i="154"/>
  <c r="W34" i="154"/>
  <c r="U34" i="154"/>
  <c r="Y31" i="154"/>
  <c r="X31" i="154"/>
  <c r="X100" i="154" s="1"/>
  <c r="W31" i="154"/>
  <c r="W100" i="154" s="1"/>
  <c r="V31" i="154"/>
  <c r="V100" i="154" s="1"/>
  <c r="U31" i="154"/>
  <c r="S31" i="154"/>
  <c r="S100" i="154" s="1"/>
  <c r="R31" i="154"/>
  <c r="Q31" i="154"/>
  <c r="P31" i="154"/>
  <c r="O31" i="154"/>
  <c r="M31" i="154"/>
  <c r="L31" i="154"/>
  <c r="K31" i="154"/>
  <c r="J31" i="154"/>
  <c r="Y30" i="154"/>
  <c r="X30" i="154"/>
  <c r="W30" i="154"/>
  <c r="V30" i="154"/>
  <c r="U30" i="154"/>
  <c r="T30" i="154"/>
  <c r="S30" i="154"/>
  <c r="R30" i="154"/>
  <c r="Q30" i="154"/>
  <c r="P30" i="154"/>
  <c r="O30" i="154"/>
  <c r="M30" i="154"/>
  <c r="L30" i="154"/>
  <c r="K30" i="154"/>
  <c r="J30" i="154"/>
  <c r="Y29" i="154"/>
  <c r="X29" i="154"/>
  <c r="W29" i="154"/>
  <c r="V29" i="154"/>
  <c r="U29" i="154"/>
  <c r="T29" i="154"/>
  <c r="S29" i="154"/>
  <c r="R29" i="154"/>
  <c r="Q29" i="154"/>
  <c r="P29" i="154"/>
  <c r="O29" i="154"/>
  <c r="M29" i="154"/>
  <c r="L29" i="154"/>
  <c r="K29" i="154"/>
  <c r="J29" i="154"/>
  <c r="Y28" i="154"/>
  <c r="Y129" i="154" s="1"/>
  <c r="X28" i="154"/>
  <c r="W28" i="154"/>
  <c r="V28" i="154"/>
  <c r="V129" i="154" s="1"/>
  <c r="U28" i="154"/>
  <c r="U129" i="154" s="1"/>
  <c r="S28" i="154"/>
  <c r="S129" i="154" s="1"/>
  <c r="P28" i="154"/>
  <c r="O28" i="154"/>
  <c r="Y27" i="154"/>
  <c r="Y96" i="154" s="1"/>
  <c r="X27" i="154"/>
  <c r="W27" i="154"/>
  <c r="V27" i="154"/>
  <c r="U27" i="154"/>
  <c r="U96" i="154" s="1"/>
  <c r="S27" i="154"/>
  <c r="S96" i="154" s="1"/>
  <c r="P27" i="154"/>
  <c r="P96" i="154" s="1"/>
  <c r="O27" i="154"/>
  <c r="Y26" i="154"/>
  <c r="X26" i="154"/>
  <c r="W26" i="154"/>
  <c r="V26" i="154"/>
  <c r="U26" i="154"/>
  <c r="S26" i="154"/>
  <c r="S95" i="154" s="1"/>
  <c r="P26" i="154"/>
  <c r="P95" i="154" s="1"/>
  <c r="O26" i="154"/>
  <c r="Y25" i="154"/>
  <c r="X25" i="154"/>
  <c r="W25" i="154"/>
  <c r="V25" i="154"/>
  <c r="U25" i="154"/>
  <c r="S25" i="154"/>
  <c r="P25" i="154"/>
  <c r="O25" i="154"/>
  <c r="Y22" i="154"/>
  <c r="W22" i="154"/>
  <c r="U22" i="154"/>
  <c r="S22" i="154"/>
  <c r="R22" i="154"/>
  <c r="Q22" i="154"/>
  <c r="M22" i="154"/>
  <c r="L22" i="154"/>
  <c r="K22" i="154"/>
  <c r="J22" i="154"/>
  <c r="Y21" i="154"/>
  <c r="X21" i="154"/>
  <c r="W21" i="154"/>
  <c r="V21" i="154"/>
  <c r="U21" i="154"/>
  <c r="T21" i="154"/>
  <c r="S21" i="154"/>
  <c r="R21" i="154"/>
  <c r="Q21" i="154"/>
  <c r="M21" i="154"/>
  <c r="L21" i="154"/>
  <c r="K21" i="154"/>
  <c r="J21" i="154"/>
  <c r="Y20" i="154"/>
  <c r="X20" i="154"/>
  <c r="W20" i="154"/>
  <c r="V20" i="154"/>
  <c r="U20" i="154"/>
  <c r="T20" i="154"/>
  <c r="S20" i="154"/>
  <c r="R20" i="154"/>
  <c r="Q20" i="154"/>
  <c r="M20" i="154"/>
  <c r="L20" i="154"/>
  <c r="K20" i="154"/>
  <c r="J20" i="154"/>
  <c r="A1" i="154"/>
  <c r="Y34" i="153"/>
  <c r="X34" i="153"/>
  <c r="W34" i="153"/>
  <c r="V34" i="153"/>
  <c r="U34" i="153"/>
  <c r="T34" i="153"/>
  <c r="S34" i="153"/>
  <c r="R34" i="153"/>
  <c r="Y33" i="153"/>
  <c r="X33" i="153"/>
  <c r="W33" i="153"/>
  <c r="V33" i="153"/>
  <c r="U33" i="153"/>
  <c r="T33" i="153"/>
  <c r="S33" i="153"/>
  <c r="R33" i="153"/>
  <c r="Y32" i="153"/>
  <c r="X32" i="153"/>
  <c r="W32" i="153"/>
  <c r="V32" i="153"/>
  <c r="U32" i="153"/>
  <c r="T32" i="153"/>
  <c r="S32" i="153"/>
  <c r="R32" i="153"/>
  <c r="A1" i="153"/>
  <c r="Y45" i="152"/>
  <c r="V45" i="152"/>
  <c r="U45" i="152"/>
  <c r="S45" i="152"/>
  <c r="R45" i="152"/>
  <c r="Q45" i="152"/>
  <c r="M45" i="152"/>
  <c r="K45" i="152"/>
  <c r="Y44" i="152"/>
  <c r="Y46" i="152" s="1"/>
  <c r="Y47" i="153" s="1"/>
  <c r="V44" i="152"/>
  <c r="U44" i="152"/>
  <c r="U46" i="152" s="1"/>
  <c r="U47" i="153" s="1"/>
  <c r="S44" i="152"/>
  <c r="R44" i="152"/>
  <c r="Q44" i="152"/>
  <c r="O44" i="152"/>
  <c r="N44" i="152"/>
  <c r="M44" i="152"/>
  <c r="K44" i="152"/>
  <c r="X45" i="152"/>
  <c r="T45" i="152"/>
  <c r="X44" i="152"/>
  <c r="T44" i="152"/>
  <c r="P44" i="152"/>
  <c r="L44" i="152"/>
  <c r="Y22" i="152"/>
  <c r="W22" i="152"/>
  <c r="U22" i="152"/>
  <c r="Y21" i="152"/>
  <c r="X21" i="152"/>
  <c r="W21" i="152"/>
  <c r="V21" i="152"/>
  <c r="U21" i="152"/>
  <c r="S21" i="152"/>
  <c r="P21" i="152"/>
  <c r="O21" i="152"/>
  <c r="A1" i="152"/>
  <c r="K116" i="151"/>
  <c r="L116" i="151" s="1"/>
  <c r="BE103" i="151"/>
  <c r="BD103" i="151"/>
  <c r="BC103" i="151"/>
  <c r="BB103" i="151"/>
  <c r="BA103" i="151"/>
  <c r="AZ103" i="151"/>
  <c r="AY103" i="151"/>
  <c r="AX103" i="151"/>
  <c r="AO103" i="151"/>
  <c r="AN103" i="151"/>
  <c r="AM103" i="151"/>
  <c r="AL103" i="151"/>
  <c r="AK103" i="151"/>
  <c r="AJ103" i="151"/>
  <c r="AI103" i="151"/>
  <c r="AH103" i="151"/>
  <c r="Y103" i="151"/>
  <c r="X103" i="151"/>
  <c r="W103" i="151"/>
  <c r="V103" i="151"/>
  <c r="U103" i="151"/>
  <c r="T103" i="151"/>
  <c r="S103" i="151"/>
  <c r="R103" i="151"/>
  <c r="Y25" i="151"/>
  <c r="Y25" i="153" s="1"/>
  <c r="Y95" i="153" s="1"/>
  <c r="Y106" i="153" s="1"/>
  <c r="Y135" i="153" s="1"/>
  <c r="Y50" i="154" s="1"/>
  <c r="X25" i="151"/>
  <c r="X25" i="153" s="1"/>
  <c r="X95" i="153" s="1"/>
  <c r="W25" i="151"/>
  <c r="W25" i="153" s="1"/>
  <c r="W95" i="153" s="1"/>
  <c r="W106" i="153" s="1"/>
  <c r="W135" i="153" s="1"/>
  <c r="W50" i="154" s="1"/>
  <c r="V25" i="151"/>
  <c r="V25" i="153" s="1"/>
  <c r="V95" i="153" s="1"/>
  <c r="U25" i="151"/>
  <c r="U25" i="153" s="1"/>
  <c r="U95" i="153" s="1"/>
  <c r="U106" i="153" s="1"/>
  <c r="U135" i="153" s="1"/>
  <c r="U50" i="154" s="1"/>
  <c r="T25" i="151"/>
  <c r="T25" i="153" s="1"/>
  <c r="T95" i="153" s="1"/>
  <c r="S25" i="151"/>
  <c r="S25" i="153" s="1"/>
  <c r="S95" i="153" s="1"/>
  <c r="R25" i="151"/>
  <c r="R25" i="153" s="1"/>
  <c r="R95" i="153" s="1"/>
  <c r="Y24" i="151"/>
  <c r="Y24" i="153" s="1"/>
  <c r="Y94" i="153" s="1"/>
  <c r="Y105" i="153" s="1"/>
  <c r="Y134" i="153" s="1"/>
  <c r="Y49" i="154" s="1"/>
  <c r="X24" i="151"/>
  <c r="X24" i="153" s="1"/>
  <c r="X94" i="153" s="1"/>
  <c r="W24" i="151"/>
  <c r="W24" i="153" s="1"/>
  <c r="W94" i="153" s="1"/>
  <c r="W105" i="153" s="1"/>
  <c r="W134" i="153" s="1"/>
  <c r="W49" i="154" s="1"/>
  <c r="V24" i="151"/>
  <c r="V24" i="153" s="1"/>
  <c r="V94" i="153" s="1"/>
  <c r="U24" i="151"/>
  <c r="U24" i="153" s="1"/>
  <c r="U94" i="153" s="1"/>
  <c r="U105" i="153" s="1"/>
  <c r="U134" i="153" s="1"/>
  <c r="U49" i="154" s="1"/>
  <c r="T24" i="151"/>
  <c r="T24" i="153" s="1"/>
  <c r="T94" i="153" s="1"/>
  <c r="S24" i="151"/>
  <c r="S24" i="153" s="1"/>
  <c r="S94" i="153" s="1"/>
  <c r="R24" i="151"/>
  <c r="R24" i="153" s="1"/>
  <c r="R94" i="153" s="1"/>
  <c r="A1" i="151"/>
  <c r="Q157" i="150"/>
  <c r="Q156" i="150"/>
  <c r="Y48" i="150"/>
  <c r="X48" i="150"/>
  <c r="W48" i="150"/>
  <c r="V48" i="150"/>
  <c r="U48" i="150"/>
  <c r="T48" i="150"/>
  <c r="S48" i="150"/>
  <c r="R48" i="150"/>
  <c r="Y47" i="150"/>
  <c r="X47" i="150"/>
  <c r="W47" i="150"/>
  <c r="V47" i="150"/>
  <c r="U47" i="150"/>
  <c r="T47" i="150"/>
  <c r="S47" i="150"/>
  <c r="R47" i="150"/>
  <c r="Y46" i="150"/>
  <c r="X46" i="150"/>
  <c r="W46" i="150"/>
  <c r="V46" i="150"/>
  <c r="U46" i="150"/>
  <c r="T46" i="150"/>
  <c r="S46" i="150"/>
  <c r="R46" i="150"/>
  <c r="Y45" i="150"/>
  <c r="X45" i="150"/>
  <c r="W45" i="150"/>
  <c r="V45" i="150"/>
  <c r="U45" i="150"/>
  <c r="T45" i="150"/>
  <c r="S45" i="150"/>
  <c r="R45" i="150"/>
  <c r="Y44" i="150"/>
  <c r="X44" i="150"/>
  <c r="W44" i="150"/>
  <c r="V44" i="150"/>
  <c r="U44" i="150"/>
  <c r="T44" i="150"/>
  <c r="S44" i="150"/>
  <c r="R44" i="150"/>
  <c r="Y43" i="150"/>
  <c r="X43" i="150"/>
  <c r="W43" i="150"/>
  <c r="V43" i="150"/>
  <c r="U43" i="150"/>
  <c r="T43" i="150"/>
  <c r="S43" i="150"/>
  <c r="R43" i="150"/>
  <c r="Y42" i="150"/>
  <c r="X42" i="150"/>
  <c r="W42" i="150"/>
  <c r="V42" i="150"/>
  <c r="U42" i="150"/>
  <c r="T42" i="150"/>
  <c r="S42" i="150"/>
  <c r="R42" i="150"/>
  <c r="Y41" i="150"/>
  <c r="X41" i="150"/>
  <c r="W41" i="150"/>
  <c r="V41" i="150"/>
  <c r="U41" i="150"/>
  <c r="T41" i="150"/>
  <c r="S41" i="150"/>
  <c r="R41" i="150"/>
  <c r="Y40" i="150"/>
  <c r="X40" i="150"/>
  <c r="W40" i="150"/>
  <c r="V40" i="150"/>
  <c r="U40" i="150"/>
  <c r="T40" i="150"/>
  <c r="S40" i="150"/>
  <c r="R40" i="150"/>
  <c r="Y39" i="150"/>
  <c r="X39" i="150"/>
  <c r="W39" i="150"/>
  <c r="V39" i="150"/>
  <c r="U39" i="150"/>
  <c r="T39" i="150"/>
  <c r="S39" i="150"/>
  <c r="R39" i="150"/>
  <c r="Y34" i="150"/>
  <c r="X34" i="150"/>
  <c r="W34" i="150"/>
  <c r="V34" i="150"/>
  <c r="U34" i="150"/>
  <c r="T34" i="150"/>
  <c r="S34" i="150"/>
  <c r="R34" i="150"/>
  <c r="Y33" i="150"/>
  <c r="X33" i="150"/>
  <c r="W33" i="150"/>
  <c r="V33" i="150"/>
  <c r="U33" i="150"/>
  <c r="T33" i="150"/>
  <c r="S33" i="150"/>
  <c r="R33" i="150"/>
  <c r="Y32" i="150"/>
  <c r="X32" i="150"/>
  <c r="W32" i="150"/>
  <c r="V32" i="150"/>
  <c r="U32" i="150"/>
  <c r="T32" i="150"/>
  <c r="S32" i="150"/>
  <c r="R32" i="150"/>
  <c r="Y31" i="150"/>
  <c r="X31" i="150"/>
  <c r="W31" i="150"/>
  <c r="V31" i="150"/>
  <c r="U31" i="150"/>
  <c r="T31" i="150"/>
  <c r="S31" i="150"/>
  <c r="R31" i="150"/>
  <c r="Y30" i="150"/>
  <c r="X30" i="150"/>
  <c r="W30" i="150"/>
  <c r="V30" i="150"/>
  <c r="U30" i="150"/>
  <c r="T30" i="150"/>
  <c r="S30" i="150"/>
  <c r="R30" i="150"/>
  <c r="Y29" i="150"/>
  <c r="X29" i="150"/>
  <c r="W29" i="150"/>
  <c r="V29" i="150"/>
  <c r="U29" i="150"/>
  <c r="T29" i="150"/>
  <c r="S29" i="150"/>
  <c r="R29" i="150"/>
  <c r="Y28" i="150"/>
  <c r="X28" i="150"/>
  <c r="W28" i="150"/>
  <c r="V28" i="150"/>
  <c r="U28" i="150"/>
  <c r="T28" i="150"/>
  <c r="S28" i="150"/>
  <c r="R28" i="150"/>
  <c r="Y27" i="150"/>
  <c r="X27" i="150"/>
  <c r="W27" i="150"/>
  <c r="V27" i="150"/>
  <c r="U27" i="150"/>
  <c r="T27" i="150"/>
  <c r="S27" i="150"/>
  <c r="R27" i="150"/>
  <c r="Y20" i="150"/>
  <c r="Y90" i="150" s="1"/>
  <c r="X20" i="150"/>
  <c r="W20" i="150"/>
  <c r="V20" i="150"/>
  <c r="U20" i="150"/>
  <c r="U90" i="150" s="1"/>
  <c r="T20" i="150"/>
  <c r="S20" i="150"/>
  <c r="R20" i="150"/>
  <c r="A1" i="150"/>
  <c r="Y293" i="149"/>
  <c r="U293" i="149"/>
  <c r="Q293" i="149"/>
  <c r="M293" i="149"/>
  <c r="X293" i="149"/>
  <c r="W293" i="149"/>
  <c r="V293" i="149"/>
  <c r="T293" i="149"/>
  <c r="S293" i="149"/>
  <c r="R293" i="149"/>
  <c r="O293" i="149"/>
  <c r="K293" i="149"/>
  <c r="Y102" i="149"/>
  <c r="X102" i="149"/>
  <c r="W102" i="149"/>
  <c r="V102" i="149"/>
  <c r="U102" i="149"/>
  <c r="T102" i="149"/>
  <c r="S102" i="149"/>
  <c r="R102" i="149"/>
  <c r="Y101" i="149"/>
  <c r="X101" i="149"/>
  <c r="W101" i="149"/>
  <c r="V101" i="149"/>
  <c r="U101" i="149"/>
  <c r="T101" i="149"/>
  <c r="S101" i="149"/>
  <c r="R101" i="149"/>
  <c r="Y100" i="149"/>
  <c r="X100" i="149"/>
  <c r="W100" i="149"/>
  <c r="V100" i="149"/>
  <c r="U100" i="149"/>
  <c r="T100" i="149"/>
  <c r="S100" i="149"/>
  <c r="R100" i="149"/>
  <c r="Y99" i="149"/>
  <c r="X99" i="149"/>
  <c r="W99" i="149"/>
  <c r="V99" i="149"/>
  <c r="U99" i="149"/>
  <c r="T99" i="149"/>
  <c r="S99" i="149"/>
  <c r="R99" i="149"/>
  <c r="Y98" i="149"/>
  <c r="X98" i="149"/>
  <c r="W98" i="149"/>
  <c r="V98" i="149"/>
  <c r="U98" i="149"/>
  <c r="T98" i="149"/>
  <c r="S98" i="149"/>
  <c r="R98" i="149"/>
  <c r="Y97" i="149"/>
  <c r="X97" i="149"/>
  <c r="W97" i="149"/>
  <c r="V97" i="149"/>
  <c r="U97" i="149"/>
  <c r="T97" i="149"/>
  <c r="S97" i="149"/>
  <c r="R97" i="149"/>
  <c r="Y96" i="149"/>
  <c r="X96" i="149"/>
  <c r="W96" i="149"/>
  <c r="V96" i="149"/>
  <c r="U96" i="149"/>
  <c r="T96" i="149"/>
  <c r="S96" i="149"/>
  <c r="R96" i="149"/>
  <c r="Y95" i="149"/>
  <c r="X95" i="149"/>
  <c r="W95" i="149"/>
  <c r="V95" i="149"/>
  <c r="U95" i="149"/>
  <c r="T95" i="149"/>
  <c r="S95" i="149"/>
  <c r="R95" i="149"/>
  <c r="Y94" i="149"/>
  <c r="X94" i="149"/>
  <c r="W94" i="149"/>
  <c r="V94" i="149"/>
  <c r="U94" i="149"/>
  <c r="T94" i="149"/>
  <c r="S94" i="149"/>
  <c r="R94" i="149"/>
  <c r="Q94" i="149"/>
  <c r="P94" i="149"/>
  <c r="O94" i="149"/>
  <c r="N94" i="149"/>
  <c r="M94" i="149"/>
  <c r="L94" i="149"/>
  <c r="K94" i="149"/>
  <c r="J94" i="149"/>
  <c r="A1" i="149"/>
  <c r="Y89" i="148"/>
  <c r="X89" i="148"/>
  <c r="W89" i="148"/>
  <c r="V89" i="148"/>
  <c r="U89" i="148"/>
  <c r="T89" i="148"/>
  <c r="S89" i="148"/>
  <c r="R89" i="148"/>
  <c r="Y88" i="148"/>
  <c r="X88" i="148"/>
  <c r="W88" i="148"/>
  <c r="V88" i="148"/>
  <c r="U88" i="148"/>
  <c r="T88" i="148"/>
  <c r="S88" i="148"/>
  <c r="R88" i="148"/>
  <c r="Y87" i="148"/>
  <c r="X87" i="148"/>
  <c r="W87" i="148"/>
  <c r="V87" i="148"/>
  <c r="U87" i="148"/>
  <c r="T87" i="148"/>
  <c r="S87" i="148"/>
  <c r="R87" i="148"/>
  <c r="Y86" i="148"/>
  <c r="X86" i="148"/>
  <c r="W86" i="148"/>
  <c r="V86" i="148"/>
  <c r="U86" i="148"/>
  <c r="T86" i="148"/>
  <c r="S86" i="148"/>
  <c r="R86" i="148"/>
  <c r="Y85" i="148"/>
  <c r="X85" i="148"/>
  <c r="W85" i="148"/>
  <c r="V85" i="148"/>
  <c r="U85" i="148"/>
  <c r="T85" i="148"/>
  <c r="S85" i="148"/>
  <c r="R85" i="148"/>
  <c r="Y84" i="148"/>
  <c r="X84" i="148"/>
  <c r="W84" i="148"/>
  <c r="V84" i="148"/>
  <c r="U84" i="148"/>
  <c r="T84" i="148"/>
  <c r="S84" i="148"/>
  <c r="R84" i="148"/>
  <c r="Y83" i="148"/>
  <c r="X83" i="148"/>
  <c r="W83" i="148"/>
  <c r="V83" i="148"/>
  <c r="U83" i="148"/>
  <c r="T83" i="148"/>
  <c r="S83" i="148"/>
  <c r="R83" i="148"/>
  <c r="Y82" i="148"/>
  <c r="X82" i="148"/>
  <c r="W82" i="148"/>
  <c r="V82" i="148"/>
  <c r="U82" i="148"/>
  <c r="T82" i="148"/>
  <c r="S82" i="148"/>
  <c r="R82" i="148"/>
  <c r="Y81" i="148"/>
  <c r="X81" i="148"/>
  <c r="W81" i="148"/>
  <c r="V81" i="148"/>
  <c r="U81" i="148"/>
  <c r="T81" i="148"/>
  <c r="S81" i="148"/>
  <c r="R81" i="148"/>
  <c r="Q81" i="148"/>
  <c r="P81" i="148"/>
  <c r="O81" i="148"/>
  <c r="N81" i="148"/>
  <c r="M81" i="148"/>
  <c r="L81" i="148"/>
  <c r="K81" i="148"/>
  <c r="J81" i="148"/>
  <c r="A1" i="148"/>
  <c r="Y120" i="147"/>
  <c r="X120" i="147"/>
  <c r="W120" i="147"/>
  <c r="V120" i="147"/>
  <c r="U120" i="147"/>
  <c r="T120" i="147"/>
  <c r="S120" i="147"/>
  <c r="R120" i="147"/>
  <c r="Y119" i="147"/>
  <c r="X119" i="147"/>
  <c r="W119" i="147"/>
  <c r="V119" i="147"/>
  <c r="U119" i="147"/>
  <c r="T119" i="147"/>
  <c r="S119" i="147"/>
  <c r="R119" i="147"/>
  <c r="Y118" i="147"/>
  <c r="X118" i="147"/>
  <c r="W118" i="147"/>
  <c r="V118" i="147"/>
  <c r="U118" i="147"/>
  <c r="T118" i="147"/>
  <c r="S118" i="147"/>
  <c r="R118" i="147"/>
  <c r="Y117" i="147"/>
  <c r="X117" i="147"/>
  <c r="W117" i="147"/>
  <c r="V117" i="147"/>
  <c r="U117" i="147"/>
  <c r="T117" i="147"/>
  <c r="S117" i="147"/>
  <c r="R117" i="147"/>
  <c r="Y116" i="147"/>
  <c r="X116" i="147"/>
  <c r="W116" i="147"/>
  <c r="V116" i="147"/>
  <c r="U116" i="147"/>
  <c r="T116" i="147"/>
  <c r="S116" i="147"/>
  <c r="R116" i="147"/>
  <c r="Y115" i="147"/>
  <c r="X115" i="147"/>
  <c r="W115" i="147"/>
  <c r="V115" i="147"/>
  <c r="U115" i="147"/>
  <c r="T115" i="147"/>
  <c r="S115" i="147"/>
  <c r="R115" i="147"/>
  <c r="Y114" i="147"/>
  <c r="X114" i="147"/>
  <c r="W114" i="147"/>
  <c r="V114" i="147"/>
  <c r="U114" i="147"/>
  <c r="T114" i="147"/>
  <c r="S114" i="147"/>
  <c r="R114" i="147"/>
  <c r="Y113" i="147"/>
  <c r="X113" i="147"/>
  <c r="W113" i="147"/>
  <c r="V113" i="147"/>
  <c r="U113" i="147"/>
  <c r="T113" i="147"/>
  <c r="S113" i="147"/>
  <c r="R113" i="147"/>
  <c r="Y112" i="147"/>
  <c r="X112" i="147"/>
  <c r="W112" i="147"/>
  <c r="V112" i="147"/>
  <c r="U112" i="147"/>
  <c r="T112" i="147"/>
  <c r="S112" i="147"/>
  <c r="R112" i="147"/>
  <c r="Q112" i="147"/>
  <c r="P112" i="147"/>
  <c r="O112" i="147"/>
  <c r="N112" i="147"/>
  <c r="M112" i="147"/>
  <c r="L112" i="147"/>
  <c r="K112" i="147"/>
  <c r="J112" i="147"/>
  <c r="A1" i="147"/>
  <c r="W26" i="146"/>
  <c r="V26" i="146"/>
  <c r="U26" i="146"/>
  <c r="T26" i="146"/>
  <c r="S26" i="146"/>
  <c r="R26" i="146"/>
  <c r="O26" i="146"/>
  <c r="N26" i="146"/>
  <c r="M26" i="146"/>
  <c r="L26" i="146"/>
  <c r="K26" i="146"/>
  <c r="J26" i="146"/>
  <c r="Y25" i="146"/>
  <c r="X25" i="146"/>
  <c r="P25" i="146"/>
  <c r="M25" i="146"/>
  <c r="K25" i="146"/>
  <c r="A1" i="146"/>
  <c r="A1" i="145"/>
  <c r="U129" i="144"/>
  <c r="T129" i="144"/>
  <c r="K76" i="144"/>
  <c r="A1" i="144"/>
  <c r="W22" i="143"/>
  <c r="V22" i="143"/>
  <c r="U22" i="143"/>
  <c r="T22" i="143"/>
  <c r="S22" i="143"/>
  <c r="R22" i="143"/>
  <c r="O22" i="143"/>
  <c r="N22" i="143"/>
  <c r="M22" i="143"/>
  <c r="L22" i="143"/>
  <c r="K22" i="143"/>
  <c r="J22" i="143"/>
  <c r="Y21" i="143"/>
  <c r="X21" i="143"/>
  <c r="P21" i="143"/>
  <c r="M21" i="143"/>
  <c r="K21" i="143"/>
  <c r="A1" i="143"/>
  <c r="M204" i="142"/>
  <c r="K204" i="142"/>
  <c r="Y31" i="142"/>
  <c r="X31" i="142"/>
  <c r="W31" i="142"/>
  <c r="V31" i="142"/>
  <c r="U31" i="142"/>
  <c r="T31" i="142"/>
  <c r="S31" i="142"/>
  <c r="R31" i="142"/>
  <c r="Y30" i="142"/>
  <c r="X30" i="142"/>
  <c r="W30" i="142"/>
  <c r="V30" i="142"/>
  <c r="U30" i="142"/>
  <c r="T30" i="142"/>
  <c r="S30" i="142"/>
  <c r="R30" i="142"/>
  <c r="Y29" i="142"/>
  <c r="X29" i="142"/>
  <c r="W29" i="142"/>
  <c r="V29" i="142"/>
  <c r="U29" i="142"/>
  <c r="T29" i="142"/>
  <c r="S29" i="142"/>
  <c r="R29" i="142"/>
  <c r="Y28" i="142"/>
  <c r="X28" i="142"/>
  <c r="W28" i="142"/>
  <c r="V28" i="142"/>
  <c r="U28" i="142"/>
  <c r="T28" i="142"/>
  <c r="S28" i="142"/>
  <c r="R28" i="142"/>
  <c r="Y27" i="142"/>
  <c r="X27" i="142"/>
  <c r="W27" i="142"/>
  <c r="V27" i="142"/>
  <c r="U27" i="142"/>
  <c r="T27" i="142"/>
  <c r="S27" i="142"/>
  <c r="R27" i="142"/>
  <c r="Y26" i="142"/>
  <c r="X26" i="142"/>
  <c r="W26" i="142"/>
  <c r="V26" i="142"/>
  <c r="U26" i="142"/>
  <c r="T26" i="142"/>
  <c r="S26" i="142"/>
  <c r="R26" i="142"/>
  <c r="Y25" i="142"/>
  <c r="X25" i="142"/>
  <c r="W25" i="142"/>
  <c r="V25" i="142"/>
  <c r="U25" i="142"/>
  <c r="T25" i="142"/>
  <c r="S25" i="142"/>
  <c r="R25" i="142"/>
  <c r="Y24" i="142"/>
  <c r="X24" i="142"/>
  <c r="W24" i="142"/>
  <c r="V24" i="142"/>
  <c r="U24" i="142"/>
  <c r="T24" i="142"/>
  <c r="S24" i="142"/>
  <c r="R24" i="142"/>
  <c r="Y23" i="142"/>
  <c r="X23" i="142"/>
  <c r="W23" i="142"/>
  <c r="V23" i="142"/>
  <c r="U23" i="142"/>
  <c r="T23" i="142"/>
  <c r="S23" i="142"/>
  <c r="R23" i="142"/>
  <c r="Q23" i="142"/>
  <c r="P23" i="142"/>
  <c r="O23" i="142"/>
  <c r="N23" i="142"/>
  <c r="M23" i="142"/>
  <c r="L23" i="142"/>
  <c r="K23" i="142"/>
  <c r="J23" i="142"/>
  <c r="A1" i="142"/>
  <c r="Y63" i="141"/>
  <c r="Y85" i="141" s="1"/>
  <c r="X63" i="141"/>
  <c r="X85" i="141" s="1"/>
  <c r="W63" i="141"/>
  <c r="W85" i="141" s="1"/>
  <c r="V63" i="141"/>
  <c r="V85" i="141" s="1"/>
  <c r="U63" i="141"/>
  <c r="U85" i="141" s="1"/>
  <c r="T63" i="141"/>
  <c r="T85" i="141" s="1"/>
  <c r="S63" i="141"/>
  <c r="S85" i="141" s="1"/>
  <c r="R63" i="141"/>
  <c r="R85" i="141" s="1"/>
  <c r="M63" i="141"/>
  <c r="K63" i="141"/>
  <c r="Y62" i="141"/>
  <c r="X62" i="141"/>
  <c r="W62" i="141"/>
  <c r="W83" i="141" s="1"/>
  <c r="V62" i="141"/>
  <c r="V83" i="141" s="1"/>
  <c r="U62" i="141"/>
  <c r="T62" i="141"/>
  <c r="S62" i="141"/>
  <c r="S83" i="141" s="1"/>
  <c r="R62" i="141"/>
  <c r="R83" i="141" s="1"/>
  <c r="A1" i="141"/>
  <c r="Y131" i="140"/>
  <c r="W131" i="140"/>
  <c r="U131" i="140"/>
  <c r="S131" i="140"/>
  <c r="R131" i="140"/>
  <c r="Q131" i="140"/>
  <c r="M131" i="140"/>
  <c r="L131" i="140"/>
  <c r="K131" i="140"/>
  <c r="J131" i="140"/>
  <c r="Y130" i="140"/>
  <c r="X130" i="140"/>
  <c r="W130" i="140"/>
  <c r="V130" i="140"/>
  <c r="U130" i="140"/>
  <c r="S130" i="140"/>
  <c r="R130" i="140"/>
  <c r="Q130" i="140"/>
  <c r="P130" i="140"/>
  <c r="O130" i="140"/>
  <c r="M130" i="140"/>
  <c r="L130" i="140"/>
  <c r="K130" i="140"/>
  <c r="J130" i="140"/>
  <c r="Y129" i="140"/>
  <c r="W129" i="140"/>
  <c r="U129" i="140"/>
  <c r="S129" i="140"/>
  <c r="R129" i="140"/>
  <c r="Q129" i="140"/>
  <c r="M129" i="140"/>
  <c r="L129" i="140"/>
  <c r="K129" i="140"/>
  <c r="J129" i="140"/>
  <c r="Y120" i="140"/>
  <c r="X120" i="140"/>
  <c r="W120" i="140"/>
  <c r="V120" i="140"/>
  <c r="U120" i="140"/>
  <c r="T120" i="140"/>
  <c r="S120" i="140"/>
  <c r="R120" i="140"/>
  <c r="Q120" i="140"/>
  <c r="M120" i="140"/>
  <c r="L120" i="140"/>
  <c r="K120" i="140"/>
  <c r="J120" i="140"/>
  <c r="Y119" i="140"/>
  <c r="X119" i="140"/>
  <c r="W119" i="140"/>
  <c r="V119" i="140"/>
  <c r="U119" i="140"/>
  <c r="T119" i="140"/>
  <c r="S119" i="140"/>
  <c r="R119" i="140"/>
  <c r="Q119" i="140"/>
  <c r="P119" i="140"/>
  <c r="O119" i="140"/>
  <c r="M119" i="140"/>
  <c r="L119" i="140"/>
  <c r="K119" i="140"/>
  <c r="J119" i="140"/>
  <c r="Y118" i="140"/>
  <c r="X118" i="140"/>
  <c r="W118" i="140"/>
  <c r="V118" i="140"/>
  <c r="U118" i="140"/>
  <c r="T118" i="140"/>
  <c r="S118" i="140"/>
  <c r="R118" i="140"/>
  <c r="Q118" i="140"/>
  <c r="M118" i="140"/>
  <c r="L118" i="140"/>
  <c r="K118" i="140"/>
  <c r="J118" i="140"/>
  <c r="Y109" i="140"/>
  <c r="X109" i="140"/>
  <c r="W109" i="140"/>
  <c r="V109" i="140"/>
  <c r="U109" i="140"/>
  <c r="T109" i="140"/>
  <c r="S109" i="140"/>
  <c r="R109" i="140"/>
  <c r="Q109" i="140"/>
  <c r="M109" i="140"/>
  <c r="L109" i="140"/>
  <c r="K109" i="140"/>
  <c r="J109" i="140"/>
  <c r="Y108" i="140"/>
  <c r="X108" i="140"/>
  <c r="W108" i="140"/>
  <c r="V108" i="140"/>
  <c r="U108" i="140"/>
  <c r="T108" i="140"/>
  <c r="S108" i="140"/>
  <c r="R108" i="140"/>
  <c r="Q108" i="140"/>
  <c r="P108" i="140"/>
  <c r="O108" i="140"/>
  <c r="M108" i="140"/>
  <c r="L108" i="140"/>
  <c r="K108" i="140"/>
  <c r="J108" i="140"/>
  <c r="Y107" i="140"/>
  <c r="X107" i="140"/>
  <c r="W107" i="140"/>
  <c r="V107" i="140"/>
  <c r="U107" i="140"/>
  <c r="T107" i="140"/>
  <c r="S107" i="140"/>
  <c r="R107" i="140"/>
  <c r="Q107" i="140"/>
  <c r="M107" i="140"/>
  <c r="L107" i="140"/>
  <c r="K107" i="140"/>
  <c r="J107" i="140"/>
  <c r="Y98" i="140"/>
  <c r="W98" i="140"/>
  <c r="U98" i="140"/>
  <c r="Y97" i="140"/>
  <c r="X97" i="140"/>
  <c r="W97" i="140"/>
  <c r="V97" i="140"/>
  <c r="U97" i="140"/>
  <c r="S97" i="140"/>
  <c r="P97" i="140"/>
  <c r="O97" i="140"/>
  <c r="Y83" i="140"/>
  <c r="W83" i="140"/>
  <c r="U83" i="140"/>
  <c r="Y82" i="140"/>
  <c r="X82" i="140"/>
  <c r="W82" i="140"/>
  <c r="V82" i="140"/>
  <c r="U82" i="140"/>
  <c r="S82" i="140"/>
  <c r="P82" i="140"/>
  <c r="O82" i="140"/>
  <c r="Y72" i="140"/>
  <c r="W72" i="140"/>
  <c r="U72" i="140"/>
  <c r="Y71" i="140"/>
  <c r="X71" i="140"/>
  <c r="W71" i="140"/>
  <c r="V71" i="140"/>
  <c r="U71" i="140"/>
  <c r="S71" i="140"/>
  <c r="P71" i="140"/>
  <c r="O71" i="140"/>
  <c r="Y61" i="140"/>
  <c r="W61" i="140"/>
  <c r="U61" i="140"/>
  <c r="Y60" i="140"/>
  <c r="X60" i="140"/>
  <c r="W60" i="140"/>
  <c r="V60" i="140"/>
  <c r="U60" i="140"/>
  <c r="S60" i="140"/>
  <c r="P60" i="140"/>
  <c r="O60" i="140"/>
  <c r="A1" i="140"/>
  <c r="S46" i="139"/>
  <c r="R46" i="139"/>
  <c r="Q46" i="139"/>
  <c r="P46" i="139"/>
  <c r="S45" i="139"/>
  <c r="R45" i="139"/>
  <c r="S44" i="139"/>
  <c r="A1" i="139"/>
  <c r="Q119" i="138"/>
  <c r="S118" i="138"/>
  <c r="K118" i="138"/>
  <c r="Q117" i="138"/>
  <c r="S116" i="138"/>
  <c r="K116" i="138"/>
  <c r="Q115" i="138"/>
  <c r="S114" i="138"/>
  <c r="K114" i="138"/>
  <c r="Q113" i="138"/>
  <c r="S112" i="138"/>
  <c r="K112" i="138"/>
  <c r="Q111" i="138"/>
  <c r="S110" i="138"/>
  <c r="K110" i="138"/>
  <c r="Q109" i="138"/>
  <c r="S108" i="138"/>
  <c r="K108" i="138"/>
  <c r="Q107" i="138"/>
  <c r="S106" i="138"/>
  <c r="K106" i="138"/>
  <c r="Q105" i="138"/>
  <c r="S104" i="138"/>
  <c r="K104" i="138"/>
  <c r="R80" i="138"/>
  <c r="L80" i="138"/>
  <c r="J80" i="138"/>
  <c r="R79" i="138"/>
  <c r="L79" i="138"/>
  <c r="J79" i="138"/>
  <c r="R78" i="138"/>
  <c r="L78" i="138"/>
  <c r="J78" i="138"/>
  <c r="R77" i="138"/>
  <c r="L77" i="138"/>
  <c r="J77" i="138"/>
  <c r="R76" i="138"/>
  <c r="L76" i="138"/>
  <c r="J76" i="138"/>
  <c r="R75" i="138"/>
  <c r="L75" i="138"/>
  <c r="J75" i="138"/>
  <c r="R74" i="138"/>
  <c r="L74" i="138"/>
  <c r="J74" i="138"/>
  <c r="R73" i="138"/>
  <c r="L73" i="138"/>
  <c r="J73" i="138"/>
  <c r="R72" i="138"/>
  <c r="L72" i="138"/>
  <c r="J72" i="138"/>
  <c r="R71" i="138"/>
  <c r="L71" i="138"/>
  <c r="J71" i="138"/>
  <c r="R70" i="138"/>
  <c r="L70" i="138"/>
  <c r="J70" i="138"/>
  <c r="R69" i="138"/>
  <c r="L69" i="138"/>
  <c r="J69" i="138"/>
  <c r="R68" i="138"/>
  <c r="L68" i="138"/>
  <c r="J68" i="138"/>
  <c r="R67" i="138"/>
  <c r="L67" i="138"/>
  <c r="J67" i="138"/>
  <c r="R66" i="138"/>
  <c r="L66" i="138"/>
  <c r="J66" i="138"/>
  <c r="R65" i="138"/>
  <c r="L65" i="138"/>
  <c r="J65" i="138"/>
  <c r="S80" i="138"/>
  <c r="J20" i="138"/>
  <c r="A1" i="138"/>
  <c r="Q52" i="137"/>
  <c r="O52" i="137"/>
  <c r="M52" i="137"/>
  <c r="K52" i="137"/>
  <c r="Q51" i="137"/>
  <c r="O51" i="137"/>
  <c r="M51" i="137"/>
  <c r="K51" i="137"/>
  <c r="Q50" i="137"/>
  <c r="O50" i="137"/>
  <c r="M50" i="137"/>
  <c r="K50" i="137"/>
  <c r="Q49" i="137"/>
  <c r="O49" i="137"/>
  <c r="M49" i="137"/>
  <c r="K49" i="137"/>
  <c r="Q48" i="137"/>
  <c r="O48" i="137"/>
  <c r="M48" i="137"/>
  <c r="K48" i="137"/>
  <c r="Q47" i="137"/>
  <c r="O47" i="137"/>
  <c r="M47" i="137"/>
  <c r="K47" i="137"/>
  <c r="Q46" i="137"/>
  <c r="O46" i="137"/>
  <c r="M46" i="137"/>
  <c r="K46" i="137"/>
  <c r="P52" i="137"/>
  <c r="N52" i="137"/>
  <c r="L52" i="137"/>
  <c r="J52" i="137"/>
  <c r="P51" i="137"/>
  <c r="N51" i="137"/>
  <c r="L51" i="137"/>
  <c r="J51" i="137"/>
  <c r="P50" i="137"/>
  <c r="N50" i="137"/>
  <c r="L50" i="137"/>
  <c r="J50" i="137"/>
  <c r="P47" i="137"/>
  <c r="N47" i="137"/>
  <c r="L47" i="137"/>
  <c r="J47" i="137"/>
  <c r="P46" i="137"/>
  <c r="N46" i="137"/>
  <c r="L46" i="137"/>
  <c r="J46" i="137"/>
  <c r="A1" i="137"/>
  <c r="A1" i="136"/>
  <c r="A1" i="135"/>
  <c r="A1" i="134"/>
  <c r="U110" i="154" l="1"/>
  <c r="R96" i="98"/>
  <c r="Q94" i="98"/>
  <c r="S96" i="98"/>
  <c r="Q96" i="98"/>
  <c r="U87" i="150"/>
  <c r="U73" i="150"/>
  <c r="U75" i="150"/>
  <c r="U93" i="150"/>
  <c r="U85" i="150"/>
  <c r="Y73" i="150"/>
  <c r="U89" i="150"/>
  <c r="Y89" i="150"/>
  <c r="X95" i="154"/>
  <c r="X96" i="154"/>
  <c r="U77" i="150"/>
  <c r="U91" i="150"/>
  <c r="Y77" i="150"/>
  <c r="O95" i="154"/>
  <c r="O96" i="154"/>
  <c r="U79" i="150"/>
  <c r="Y93" i="150"/>
  <c r="Y85" i="150"/>
  <c r="Q46" i="152"/>
  <c r="Q47" i="153" s="1"/>
  <c r="V46" i="152"/>
  <c r="V47" i="153" s="1"/>
  <c r="Y79" i="150"/>
  <c r="Y91" i="150"/>
  <c r="W95" i="154"/>
  <c r="R72" i="150"/>
  <c r="R73" i="150"/>
  <c r="R74" i="150"/>
  <c r="R75" i="150"/>
  <c r="R76" i="150"/>
  <c r="R77" i="150"/>
  <c r="R78" i="150"/>
  <c r="R79" i="150"/>
  <c r="R84" i="150"/>
  <c r="R85" i="150"/>
  <c r="R86" i="150"/>
  <c r="R87" i="150"/>
  <c r="R88" i="150"/>
  <c r="R89" i="150"/>
  <c r="R90" i="150"/>
  <c r="R91" i="150"/>
  <c r="R92" i="150"/>
  <c r="R93" i="150"/>
  <c r="U72" i="150"/>
  <c r="U76" i="150"/>
  <c r="U84" i="150"/>
  <c r="U88" i="150"/>
  <c r="U92" i="150"/>
  <c r="V95" i="154"/>
  <c r="V96" i="154"/>
  <c r="Y75" i="150"/>
  <c r="Y87" i="150"/>
  <c r="W96" i="154"/>
  <c r="Y89" i="141"/>
  <c r="Y267" i="141" s="1"/>
  <c r="Y78" i="145" s="1"/>
  <c r="Y72" i="150"/>
  <c r="Y76" i="150"/>
  <c r="Y84" i="150"/>
  <c r="Y88" i="150"/>
  <c r="Y92" i="150"/>
  <c r="V72" i="150"/>
  <c r="V73" i="150"/>
  <c r="V74" i="150"/>
  <c r="V75" i="150"/>
  <c r="V76" i="150"/>
  <c r="V77" i="150"/>
  <c r="V78" i="150"/>
  <c r="V79" i="150"/>
  <c r="V84" i="150"/>
  <c r="V85" i="150"/>
  <c r="V86" i="150"/>
  <c r="V87" i="150"/>
  <c r="V88" i="150"/>
  <c r="V89" i="150"/>
  <c r="V90" i="150"/>
  <c r="V91" i="150"/>
  <c r="V92" i="150"/>
  <c r="V93" i="150"/>
  <c r="U74" i="150"/>
  <c r="U78" i="150"/>
  <c r="U86" i="150"/>
  <c r="O100" i="154"/>
  <c r="U89" i="141"/>
  <c r="U267" i="141" s="1"/>
  <c r="U78" i="145" s="1"/>
  <c r="Y74" i="150"/>
  <c r="Y78" i="150"/>
  <c r="Y86" i="150"/>
  <c r="P100" i="154"/>
  <c r="Y110" i="154"/>
  <c r="R46" i="152"/>
  <c r="R47" i="153" s="1"/>
  <c r="T46" i="152"/>
  <c r="T47" i="153" s="1"/>
  <c r="X46" i="152"/>
  <c r="X47" i="153" s="1"/>
  <c r="S46" i="152"/>
  <c r="S47" i="153" s="1"/>
  <c r="U100" i="154"/>
  <c r="Y100" i="154"/>
  <c r="W106" i="154"/>
  <c r="W110" i="154"/>
  <c r="U95" i="154"/>
  <c r="Y95" i="154"/>
  <c r="U105" i="154"/>
  <c r="R91" i="141"/>
  <c r="V91" i="141"/>
  <c r="T89" i="141"/>
  <c r="T267" i="141" s="1"/>
  <c r="T78" i="145" s="1"/>
  <c r="X89" i="141"/>
  <c r="X267" i="141" s="1"/>
  <c r="X78" i="145" s="1"/>
  <c r="W89" i="141"/>
  <c r="W267" i="141" s="1"/>
  <c r="W78" i="145" s="1"/>
  <c r="S91" i="141"/>
  <c r="Y83" i="141"/>
  <c r="Y91" i="141" s="1"/>
  <c r="S89" i="141"/>
  <c r="S267" i="141" s="1"/>
  <c r="S78" i="145" s="1"/>
  <c r="W91" i="141"/>
  <c r="R89" i="141"/>
  <c r="R267" i="141" s="1"/>
  <c r="R78" i="145" s="1"/>
  <c r="V89" i="141"/>
  <c r="V267" i="141" s="1"/>
  <c r="V78" i="145" s="1"/>
  <c r="U83" i="141"/>
  <c r="U91" i="141" s="1"/>
  <c r="K46" i="152"/>
  <c r="K47" i="153" s="1"/>
  <c r="V94" i="154"/>
  <c r="M46" i="152"/>
  <c r="L83" i="148"/>
  <c r="L96" i="149"/>
  <c r="L114" i="147"/>
  <c r="L25" i="142"/>
  <c r="P83" i="148"/>
  <c r="P96" i="149"/>
  <c r="P114" i="147"/>
  <c r="P25" i="142"/>
  <c r="L97" i="149"/>
  <c r="L84" i="148"/>
  <c r="L115" i="147"/>
  <c r="L26" i="142"/>
  <c r="P97" i="149"/>
  <c r="P84" i="148"/>
  <c r="P115" i="147"/>
  <c r="P26" i="142"/>
  <c r="L49" i="137"/>
  <c r="L48" i="137"/>
  <c r="P49" i="137"/>
  <c r="P48" i="137"/>
  <c r="L100" i="149"/>
  <c r="L87" i="148"/>
  <c r="L118" i="147"/>
  <c r="L29" i="142"/>
  <c r="P87" i="148"/>
  <c r="P100" i="149"/>
  <c r="P118" i="147"/>
  <c r="P29" i="142"/>
  <c r="L101" i="149"/>
  <c r="L88" i="148"/>
  <c r="L119" i="147"/>
  <c r="L30" i="142"/>
  <c r="P101" i="149"/>
  <c r="P88" i="148"/>
  <c r="P119" i="147"/>
  <c r="P30" i="142"/>
  <c r="L89" i="148"/>
  <c r="L102" i="149"/>
  <c r="L120" i="147"/>
  <c r="L31" i="142"/>
  <c r="P102" i="149"/>
  <c r="P89" i="148"/>
  <c r="P120" i="147"/>
  <c r="P31" i="142"/>
  <c r="M96" i="149"/>
  <c r="M83" i="148"/>
  <c r="M114" i="147"/>
  <c r="M25" i="142"/>
  <c r="M97" i="149"/>
  <c r="M84" i="148"/>
  <c r="M115" i="147"/>
  <c r="M26" i="142"/>
  <c r="M98" i="149"/>
  <c r="M85" i="148"/>
  <c r="M116" i="147"/>
  <c r="M27" i="142"/>
  <c r="M99" i="149"/>
  <c r="M117" i="147"/>
  <c r="M86" i="148"/>
  <c r="M28" i="142"/>
  <c r="M100" i="149"/>
  <c r="M87" i="148"/>
  <c r="M118" i="147"/>
  <c r="M29" i="142"/>
  <c r="M101" i="149"/>
  <c r="M119" i="147"/>
  <c r="M88" i="148"/>
  <c r="M30" i="142"/>
  <c r="M102" i="149"/>
  <c r="M89" i="148"/>
  <c r="M120" i="147"/>
  <c r="M31" i="142"/>
  <c r="N96" i="149"/>
  <c r="N114" i="147"/>
  <c r="N83" i="148"/>
  <c r="N25" i="142"/>
  <c r="N97" i="149"/>
  <c r="N115" i="147"/>
  <c r="N84" i="148"/>
  <c r="N26" i="142"/>
  <c r="N49" i="137"/>
  <c r="N48" i="137"/>
  <c r="N100" i="149"/>
  <c r="N118" i="147"/>
  <c r="N87" i="148"/>
  <c r="N29" i="142"/>
  <c r="N101" i="149"/>
  <c r="N119" i="147"/>
  <c r="N88" i="148"/>
  <c r="N30" i="142"/>
  <c r="N102" i="149"/>
  <c r="N120" i="147"/>
  <c r="N89" i="148"/>
  <c r="N31" i="142"/>
  <c r="Q97" i="149"/>
  <c r="Q84" i="148"/>
  <c r="Q115" i="147"/>
  <c r="Q26" i="142"/>
  <c r="Q99" i="149"/>
  <c r="Q86" i="148"/>
  <c r="Q117" i="147"/>
  <c r="Q28" i="142"/>
  <c r="Q101" i="149"/>
  <c r="Q88" i="148"/>
  <c r="Q119" i="147"/>
  <c r="Q30" i="142"/>
  <c r="J96" i="149"/>
  <c r="J114" i="147"/>
  <c r="J83" i="148"/>
  <c r="J25" i="142"/>
  <c r="J97" i="149"/>
  <c r="J115" i="147"/>
  <c r="J84" i="148"/>
  <c r="J26" i="142"/>
  <c r="J49" i="137"/>
  <c r="J48" i="137"/>
  <c r="J100" i="149"/>
  <c r="J118" i="147"/>
  <c r="J87" i="148"/>
  <c r="J29" i="142"/>
  <c r="J101" i="149"/>
  <c r="J119" i="147"/>
  <c r="J88" i="148"/>
  <c r="J30" i="142"/>
  <c r="J102" i="149"/>
  <c r="J120" i="147"/>
  <c r="J89" i="148"/>
  <c r="J31" i="142"/>
  <c r="Q96" i="149"/>
  <c r="Q83" i="148"/>
  <c r="Q114" i="147"/>
  <c r="Q25" i="142"/>
  <c r="Q85" i="148"/>
  <c r="Q98" i="149"/>
  <c r="Q116" i="147"/>
  <c r="Q27" i="142"/>
  <c r="Q100" i="149"/>
  <c r="Q87" i="148"/>
  <c r="Q118" i="147"/>
  <c r="Q29" i="142"/>
  <c r="Q102" i="149"/>
  <c r="Q89" i="148"/>
  <c r="Q120" i="147"/>
  <c r="Q31" i="142"/>
  <c r="K96" i="149"/>
  <c r="K83" i="148"/>
  <c r="K114" i="147"/>
  <c r="K25" i="142"/>
  <c r="K97" i="149"/>
  <c r="K84" i="148"/>
  <c r="K115" i="147"/>
  <c r="K26" i="142"/>
  <c r="K85" i="148"/>
  <c r="K98" i="149"/>
  <c r="K116" i="147"/>
  <c r="K27" i="142"/>
  <c r="K99" i="149"/>
  <c r="K86" i="148"/>
  <c r="K117" i="147"/>
  <c r="K28" i="142"/>
  <c r="K100" i="149"/>
  <c r="K87" i="148"/>
  <c r="K118" i="147"/>
  <c r="K29" i="142"/>
  <c r="K101" i="149"/>
  <c r="K88" i="148"/>
  <c r="K119" i="147"/>
  <c r="K30" i="142"/>
  <c r="K89" i="148"/>
  <c r="K102" i="149"/>
  <c r="K120" i="147"/>
  <c r="K31" i="142"/>
  <c r="K105" i="138"/>
  <c r="S105" i="138"/>
  <c r="Q106" i="138"/>
  <c r="K109" i="138"/>
  <c r="S109" i="138"/>
  <c r="Q110" i="138"/>
  <c r="K113" i="138"/>
  <c r="S113" i="138"/>
  <c r="Q114" i="138"/>
  <c r="K117" i="138"/>
  <c r="S117" i="138"/>
  <c r="Q118" i="138"/>
  <c r="O96" i="149"/>
  <c r="O83" i="148"/>
  <c r="O114" i="147"/>
  <c r="O25" i="142"/>
  <c r="O84" i="148"/>
  <c r="O97" i="149"/>
  <c r="O115" i="147"/>
  <c r="O26" i="142"/>
  <c r="O98" i="149"/>
  <c r="O85" i="148"/>
  <c r="O116" i="147"/>
  <c r="O27" i="142"/>
  <c r="O99" i="149"/>
  <c r="O86" i="148"/>
  <c r="O117" i="147"/>
  <c r="O28" i="142"/>
  <c r="O100" i="149"/>
  <c r="O87" i="148"/>
  <c r="O118" i="147"/>
  <c r="O29" i="142"/>
  <c r="O101" i="149"/>
  <c r="O88" i="148"/>
  <c r="O119" i="147"/>
  <c r="O30" i="142"/>
  <c r="O102" i="149"/>
  <c r="O89" i="148"/>
  <c r="O120" i="147"/>
  <c r="O31" i="142"/>
  <c r="J21" i="138"/>
  <c r="J23" i="138" s="1"/>
  <c r="R119" i="138"/>
  <c r="J119" i="138"/>
  <c r="L118" i="138"/>
  <c r="R117" i="138"/>
  <c r="J117" i="138"/>
  <c r="L116" i="138"/>
  <c r="R115" i="138"/>
  <c r="J115" i="138"/>
  <c r="L114" i="138"/>
  <c r="R113" i="138"/>
  <c r="J113" i="138"/>
  <c r="L112" i="138"/>
  <c r="R111" i="138"/>
  <c r="J111" i="138"/>
  <c r="L110" i="138"/>
  <c r="R109" i="138"/>
  <c r="J109" i="138"/>
  <c r="L108" i="138"/>
  <c r="R107" i="138"/>
  <c r="J107" i="138"/>
  <c r="L106" i="138"/>
  <c r="R105" i="138"/>
  <c r="J105" i="138"/>
  <c r="L104" i="138"/>
  <c r="L119" i="138"/>
  <c r="R118" i="138"/>
  <c r="J118" i="138"/>
  <c r="L117" i="138"/>
  <c r="R116" i="138"/>
  <c r="J116" i="138"/>
  <c r="L115" i="138"/>
  <c r="R114" i="138"/>
  <c r="J114" i="138"/>
  <c r="L113" i="138"/>
  <c r="R112" i="138"/>
  <c r="J112" i="138"/>
  <c r="L111" i="138"/>
  <c r="R110" i="138"/>
  <c r="J110" i="138"/>
  <c r="L109" i="138"/>
  <c r="R108" i="138"/>
  <c r="J108" i="138"/>
  <c r="L107" i="138"/>
  <c r="R106" i="138"/>
  <c r="J106" i="138"/>
  <c r="L105" i="138"/>
  <c r="R104" i="138"/>
  <c r="J104" i="138"/>
  <c r="Q104" i="138"/>
  <c r="K107" i="138"/>
  <c r="S107" i="138"/>
  <c r="Q108" i="138"/>
  <c r="K111" i="138"/>
  <c r="S111" i="138"/>
  <c r="Q112" i="138"/>
  <c r="K115" i="138"/>
  <c r="S115" i="138"/>
  <c r="Q116" i="138"/>
  <c r="K119" i="138"/>
  <c r="S119" i="138"/>
  <c r="K65" i="138"/>
  <c r="S65" i="138"/>
  <c r="Q66" i="138"/>
  <c r="K67" i="138"/>
  <c r="S67" i="138"/>
  <c r="Q68" i="138"/>
  <c r="K69" i="138"/>
  <c r="S69" i="138"/>
  <c r="Q70" i="138"/>
  <c r="K71" i="138"/>
  <c r="S71" i="138"/>
  <c r="Q72" i="138"/>
  <c r="K73" i="138"/>
  <c r="S73" i="138"/>
  <c r="Q74" i="138"/>
  <c r="K75" i="138"/>
  <c r="S75" i="138"/>
  <c r="Q76" i="138"/>
  <c r="K77" i="138"/>
  <c r="S77" i="138"/>
  <c r="Q78" i="138"/>
  <c r="K79" i="138"/>
  <c r="S79" i="138"/>
  <c r="Q80" i="138"/>
  <c r="T83" i="141"/>
  <c r="T91" i="141" s="1"/>
  <c r="X83" i="141"/>
  <c r="X91" i="141" s="1"/>
  <c r="Q65" i="138"/>
  <c r="K66" i="138"/>
  <c r="S66" i="138"/>
  <c r="Q67" i="138"/>
  <c r="K68" i="138"/>
  <c r="S68" i="138"/>
  <c r="Q69" i="138"/>
  <c r="K70" i="138"/>
  <c r="S70" i="138"/>
  <c r="Q71" i="138"/>
  <c r="K72" i="138"/>
  <c r="S72" i="138"/>
  <c r="Q73" i="138"/>
  <c r="K74" i="138"/>
  <c r="S74" i="138"/>
  <c r="Q75" i="138"/>
  <c r="K76" i="138"/>
  <c r="S76" i="138"/>
  <c r="Q77" i="138"/>
  <c r="K78" i="138"/>
  <c r="S78" i="138"/>
  <c r="Q79" i="138"/>
  <c r="K80" i="138"/>
  <c r="K108" i="144"/>
  <c r="L293" i="149"/>
  <c r="P293" i="149"/>
  <c r="N293" i="149"/>
  <c r="S93" i="150"/>
  <c r="S92" i="150"/>
  <c r="S91" i="150"/>
  <c r="S90" i="150"/>
  <c r="S89" i="150"/>
  <c r="S88" i="150"/>
  <c r="S87" i="150"/>
  <c r="S86" i="150"/>
  <c r="S85" i="150"/>
  <c r="S84" i="150"/>
  <c r="S79" i="150"/>
  <c r="S78" i="150"/>
  <c r="S77" i="150"/>
  <c r="S76" i="150"/>
  <c r="S75" i="150"/>
  <c r="S74" i="150"/>
  <c r="S73" i="150"/>
  <c r="S72" i="150"/>
  <c r="W93" i="150"/>
  <c r="W92" i="150"/>
  <c r="W91" i="150"/>
  <c r="W90" i="150"/>
  <c r="W89" i="150"/>
  <c r="W88" i="150"/>
  <c r="W87" i="150"/>
  <c r="W86" i="150"/>
  <c r="W85" i="150"/>
  <c r="W84" i="150"/>
  <c r="W79" i="150"/>
  <c r="W78" i="150"/>
  <c r="W77" i="150"/>
  <c r="W76" i="150"/>
  <c r="W75" i="150"/>
  <c r="W74" i="150"/>
  <c r="W73" i="150"/>
  <c r="W72" i="150"/>
  <c r="T93" i="150"/>
  <c r="T92" i="150"/>
  <c r="T91" i="150"/>
  <c r="T90" i="150"/>
  <c r="T89" i="150"/>
  <c r="T88" i="150"/>
  <c r="T87" i="150"/>
  <c r="T86" i="150"/>
  <c r="T85" i="150"/>
  <c r="T84" i="150"/>
  <c r="T79" i="150"/>
  <c r="T78" i="150"/>
  <c r="T77" i="150"/>
  <c r="T76" i="150"/>
  <c r="T75" i="150"/>
  <c r="T74" i="150"/>
  <c r="T73" i="150"/>
  <c r="T72" i="150"/>
  <c r="X93" i="150"/>
  <c r="X92" i="150"/>
  <c r="X91" i="150"/>
  <c r="X90" i="150"/>
  <c r="X89" i="150"/>
  <c r="X88" i="150"/>
  <c r="X87" i="150"/>
  <c r="X86" i="150"/>
  <c r="X85" i="150"/>
  <c r="X84" i="150"/>
  <c r="X79" i="150"/>
  <c r="X78" i="150"/>
  <c r="X77" i="150"/>
  <c r="X76" i="150"/>
  <c r="X75" i="150"/>
  <c r="X74" i="150"/>
  <c r="X73" i="150"/>
  <c r="X72" i="150"/>
  <c r="J293" i="149"/>
  <c r="V105" i="153"/>
  <c r="V134" i="153" s="1"/>
  <c r="V49" i="154" s="1"/>
  <c r="T106" i="153"/>
  <c r="T135" i="153" s="1"/>
  <c r="T50" i="154" s="1"/>
  <c r="X106" i="153"/>
  <c r="X135" i="153" s="1"/>
  <c r="X50" i="154" s="1"/>
  <c r="S105" i="153"/>
  <c r="S134" i="153" s="1"/>
  <c r="S49" i="154" s="1"/>
  <c r="T105" i="153"/>
  <c r="T134" i="153" s="1"/>
  <c r="T49" i="154" s="1"/>
  <c r="X105" i="153"/>
  <c r="X134" i="153" s="1"/>
  <c r="X49" i="154" s="1"/>
  <c r="V106" i="153"/>
  <c r="V135" i="153" s="1"/>
  <c r="V50" i="154" s="1"/>
  <c r="S106" i="153"/>
  <c r="S135" i="153" s="1"/>
  <c r="S50" i="154" s="1"/>
  <c r="M116" i="151"/>
  <c r="R105" i="153"/>
  <c r="R134" i="153" s="1"/>
  <c r="R49" i="154" s="1"/>
  <c r="R106" i="153"/>
  <c r="R135" i="153" s="1"/>
  <c r="R50" i="154" s="1"/>
  <c r="W44" i="152"/>
  <c r="W45" i="152"/>
  <c r="O94" i="154"/>
  <c r="S94" i="154"/>
  <c r="O129" i="154"/>
  <c r="W129" i="154"/>
  <c r="W104" i="154"/>
  <c r="W130" i="154"/>
  <c r="W94" i="154"/>
  <c r="P94" i="154"/>
  <c r="X94" i="154"/>
  <c r="P129" i="154"/>
  <c r="X129" i="154"/>
  <c r="U104" i="154"/>
  <c r="Y104" i="154"/>
  <c r="U94" i="154"/>
  <c r="Y94" i="154"/>
  <c r="A2" i="112"/>
  <c r="M47" i="153" l="1"/>
  <c r="J99" i="149"/>
  <c r="J117" i="147"/>
  <c r="J86" i="148"/>
  <c r="J28" i="142"/>
  <c r="L99" i="149"/>
  <c r="L86" i="148"/>
  <c r="L117" i="147"/>
  <c r="L28" i="142"/>
  <c r="N98" i="149"/>
  <c r="N116" i="147"/>
  <c r="N85" i="148"/>
  <c r="N27" i="142"/>
  <c r="P98" i="149"/>
  <c r="P85" i="148"/>
  <c r="P116" i="147"/>
  <c r="P27" i="142"/>
  <c r="N116" i="151"/>
  <c r="W46" i="152"/>
  <c r="N99" i="149"/>
  <c r="N117" i="147"/>
  <c r="N86" i="148"/>
  <c r="N28" i="142"/>
  <c r="P99" i="149"/>
  <c r="P86" i="148"/>
  <c r="P117" i="147"/>
  <c r="P28" i="142"/>
  <c r="H293" i="149"/>
  <c r="J98" i="149"/>
  <c r="J116" i="147"/>
  <c r="J85" i="148"/>
  <c r="J27" i="142"/>
  <c r="L85" i="148"/>
  <c r="L98" i="149"/>
  <c r="L116" i="147"/>
  <c r="L27" i="142"/>
  <c r="O116" i="151" l="1"/>
  <c r="W47" i="153"/>
  <c r="P116" i="151" l="1"/>
  <c r="Y170" i="112"/>
  <c r="X170" i="112"/>
  <c r="W170" i="112"/>
  <c r="V170" i="112"/>
  <c r="U170" i="112"/>
  <c r="T170" i="112"/>
  <c r="S170" i="112"/>
  <c r="R170" i="112"/>
  <c r="Q170" i="112"/>
  <c r="P170" i="112"/>
  <c r="O170" i="112"/>
  <c r="N170" i="112"/>
  <c r="M170" i="112"/>
  <c r="L170" i="112"/>
  <c r="K170" i="112"/>
  <c r="J170" i="112"/>
  <c r="Y169" i="112"/>
  <c r="X169" i="112"/>
  <c r="W169" i="112"/>
  <c r="V169" i="112"/>
  <c r="U169" i="112"/>
  <c r="T169" i="112"/>
  <c r="S169" i="112"/>
  <c r="R169" i="112"/>
  <c r="Q169" i="112"/>
  <c r="P169" i="112"/>
  <c r="O169" i="112"/>
  <c r="N169" i="112"/>
  <c r="M169" i="112"/>
  <c r="L169" i="112"/>
  <c r="K169" i="112"/>
  <c r="J169" i="112"/>
  <c r="Y168" i="112"/>
  <c r="X168" i="112"/>
  <c r="W168" i="112"/>
  <c r="V168" i="112"/>
  <c r="U168" i="112"/>
  <c r="T168" i="112"/>
  <c r="S168" i="112"/>
  <c r="R168" i="112"/>
  <c r="Q168" i="112"/>
  <c r="P168" i="112"/>
  <c r="O168" i="112"/>
  <c r="N168" i="112"/>
  <c r="M168" i="112"/>
  <c r="L168" i="112"/>
  <c r="K168" i="112"/>
  <c r="J168" i="112"/>
  <c r="Y167" i="112"/>
  <c r="X167" i="112"/>
  <c r="W167" i="112"/>
  <c r="V167" i="112"/>
  <c r="U167" i="112"/>
  <c r="T167" i="112"/>
  <c r="S167" i="112"/>
  <c r="R167" i="112"/>
  <c r="Q167" i="112"/>
  <c r="P167" i="112"/>
  <c r="O167" i="112"/>
  <c r="N167" i="112"/>
  <c r="M167" i="112"/>
  <c r="L167" i="112"/>
  <c r="K167" i="112"/>
  <c r="J167" i="112"/>
  <c r="Y166" i="112"/>
  <c r="X166" i="112"/>
  <c r="W166" i="112"/>
  <c r="V166" i="112"/>
  <c r="U166" i="112"/>
  <c r="T166" i="112"/>
  <c r="S166" i="112"/>
  <c r="R166" i="112"/>
  <c r="Q166" i="112"/>
  <c r="P166" i="112"/>
  <c r="O166" i="112"/>
  <c r="N166" i="112"/>
  <c r="M166" i="112"/>
  <c r="L166" i="112"/>
  <c r="K166" i="112"/>
  <c r="J166" i="112"/>
  <c r="H163" i="112" a="1"/>
  <c r="H163" i="112" s="1"/>
  <c r="A1" i="112"/>
  <c r="H170" i="112" l="1"/>
  <c r="H168" i="112"/>
  <c r="H167" i="112"/>
  <c r="H166" i="112"/>
  <c r="H169" i="112"/>
  <c r="Q116" i="151"/>
  <c r="O32" i="94"/>
  <c r="N32" i="94"/>
  <c r="L32" i="94"/>
  <c r="K26" i="94"/>
  <c r="M26" i="94"/>
  <c r="H172" i="112" l="1"/>
  <c r="A4" i="112" s="1"/>
  <c r="R116" i="151"/>
  <c r="J37" i="55" l="1"/>
  <c r="S116" i="151"/>
  <c r="E109" i="106"/>
  <c r="E91" i="106"/>
  <c r="E73" i="106"/>
  <c r="E53" i="106"/>
  <c r="E35" i="106"/>
  <c r="E17" i="106"/>
  <c r="T116" i="151" l="1"/>
  <c r="B12" i="27"/>
  <c r="U116" i="151" l="1"/>
  <c r="H15" i="55"/>
  <c r="V116" i="151" l="1"/>
  <c r="H13" i="55"/>
  <c r="D12" i="27" s="1"/>
  <c r="W116" i="151" l="1"/>
  <c r="S192" i="100"/>
  <c r="R192" i="100"/>
  <c r="Q192" i="100"/>
  <c r="P192" i="100"/>
  <c r="O192" i="100"/>
  <c r="X116" i="151" l="1"/>
  <c r="H192" i="100"/>
  <c r="Y116" i="151" l="1"/>
  <c r="Z116" i="151" l="1"/>
  <c r="F34" i="55"/>
  <c r="AA116" i="151" l="1"/>
  <c r="AB116" i="151" l="1"/>
  <c r="R209" i="100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N121" i="98"/>
  <c r="N122" i="98"/>
  <c r="R121" i="98"/>
  <c r="R122" i="98"/>
  <c r="O122" i="98"/>
  <c r="O121" i="98"/>
  <c r="S122" i="98"/>
  <c r="S121" i="98"/>
  <c r="P122" i="98"/>
  <c r="P121" i="98"/>
  <c r="AC116" i="151" l="1"/>
  <c r="H209" i="100"/>
  <c r="H213" i="100"/>
  <c r="R210" i="100"/>
  <c r="O95" i="98" l="1"/>
  <c r="O94" i="98"/>
  <c r="P95" i="98"/>
  <c r="AD116" i="151"/>
  <c r="S210" i="100"/>
  <c r="H210" i="100" s="1"/>
  <c r="AE116" i="151" l="1"/>
  <c r="AF116" i="151" l="1"/>
  <c r="F36" i="55"/>
  <c r="F35" i="55"/>
  <c r="S204" i="100"/>
  <c r="R204" i="100"/>
  <c r="Q204" i="100"/>
  <c r="P204" i="100"/>
  <c r="O204" i="100"/>
  <c r="S203" i="100"/>
  <c r="R203" i="100"/>
  <c r="Q203" i="100"/>
  <c r="P203" i="100"/>
  <c r="O203" i="100"/>
  <c r="S202" i="100"/>
  <c r="R202" i="100"/>
  <c r="Q202" i="100"/>
  <c r="P202" i="100"/>
  <c r="O202" i="100"/>
  <c r="S200" i="100"/>
  <c r="R200" i="100"/>
  <c r="Q200" i="100"/>
  <c r="P200" i="100"/>
  <c r="O200" i="100"/>
  <c r="S199" i="100"/>
  <c r="R199" i="100"/>
  <c r="Q199" i="100"/>
  <c r="P199" i="100"/>
  <c r="O199" i="100"/>
  <c r="S196" i="100"/>
  <c r="R196" i="100"/>
  <c r="Q196" i="100"/>
  <c r="P196" i="100"/>
  <c r="O196" i="100"/>
  <c r="C16" i="135" l="1"/>
  <c r="G124" i="85" s="1"/>
  <c r="C110" i="144"/>
  <c r="G176" i="85" s="1"/>
  <c r="C13" i="154"/>
  <c r="G230" i="85" s="1"/>
  <c r="C159" i="149"/>
  <c r="G201" i="85" s="1"/>
  <c r="C25" i="138"/>
  <c r="G136" i="85" s="1"/>
  <c r="C127" i="153"/>
  <c r="G229" i="85" s="1"/>
  <c r="C266" i="142"/>
  <c r="G164" i="85" s="1"/>
  <c r="C190" i="148"/>
  <c r="G197" i="85" s="1"/>
  <c r="C33" i="146"/>
  <c r="G184" i="85" s="1"/>
  <c r="C50" i="144"/>
  <c r="G170" i="85" s="1"/>
  <c r="C127" i="150"/>
  <c r="G212" i="85" s="1"/>
  <c r="C265" i="141"/>
  <c r="G154" i="85" s="1"/>
  <c r="C87" i="153"/>
  <c r="G227" i="85" s="1"/>
  <c r="C184" i="147"/>
  <c r="G192" i="85" s="1"/>
  <c r="C118" i="145"/>
  <c r="G179" i="85" s="1"/>
  <c r="C13" i="112"/>
  <c r="G112" i="85" s="1"/>
  <c r="C97" i="150"/>
  <c r="G211" i="85" s="1"/>
  <c r="C62" i="144"/>
  <c r="G171" i="85" s="1"/>
  <c r="C38" i="136"/>
  <c r="G130" i="85" s="1"/>
  <c r="C16" i="139"/>
  <c r="G140" i="85" s="1"/>
  <c r="C151" i="112"/>
  <c r="G119" i="85" s="1"/>
  <c r="C141" i="112"/>
  <c r="G118" i="85" s="1"/>
  <c r="C113" i="154"/>
  <c r="G234" i="85" s="1"/>
  <c r="C131" i="151"/>
  <c r="G218" i="85" s="1"/>
  <c r="C33" i="112"/>
  <c r="G114" i="85" s="1"/>
  <c r="C15" i="140"/>
  <c r="G142" i="85" s="1"/>
  <c r="C204" i="145"/>
  <c r="G182" i="85" s="1"/>
  <c r="C28" i="141"/>
  <c r="G145" i="85" s="1"/>
  <c r="C104" i="144"/>
  <c r="G175" i="85" s="1"/>
  <c r="C65" i="141"/>
  <c r="G149" i="85" s="1"/>
  <c r="C34" i="135"/>
  <c r="G126" i="85" s="1"/>
  <c r="C81" i="154"/>
  <c r="G233" i="85" s="1"/>
  <c r="C71" i="154"/>
  <c r="G232" i="85" s="1"/>
  <c r="C214" i="147"/>
  <c r="G193" i="85" s="1"/>
  <c r="C58" i="150"/>
  <c r="G209" i="85" s="1"/>
  <c r="C33" i="152"/>
  <c r="G220" i="85" s="1"/>
  <c r="C174" i="141"/>
  <c r="G152" i="85" s="1"/>
  <c r="C28" i="136"/>
  <c r="G129" i="85" s="1"/>
  <c r="C72" i="153"/>
  <c r="G226" i="85" s="1"/>
  <c r="C79" i="147"/>
  <c r="G188" i="85" s="1"/>
  <c r="C155" i="112"/>
  <c r="G120" i="85" s="1"/>
  <c r="C16" i="153"/>
  <c r="G222" i="85" s="1"/>
  <c r="C42" i="154"/>
  <c r="G231" i="85" s="1"/>
  <c r="C19" i="147"/>
  <c r="G186" i="85" s="1"/>
  <c r="C92" i="151"/>
  <c r="G217" i="85" s="1"/>
  <c r="C60" i="141"/>
  <c r="G148" i="85" s="1"/>
  <c r="C14" i="143"/>
  <c r="G165" i="85" s="1"/>
  <c r="C20" i="112"/>
  <c r="G113" i="85" s="1"/>
  <c r="C100" i="141"/>
  <c r="G151" i="85" s="1"/>
  <c r="C16" i="150"/>
  <c r="G206" i="85" s="1"/>
  <c r="C146" i="145"/>
  <c r="G180" i="85" s="1"/>
  <c r="C236" i="142"/>
  <c r="G162" i="85" s="1"/>
  <c r="C52" i="150"/>
  <c r="G208" i="85" s="1"/>
  <c r="C42" i="144"/>
  <c r="G169" i="85" s="1"/>
  <c r="C67" i="150"/>
  <c r="G210" i="85" s="1"/>
  <c r="C19" i="149"/>
  <c r="G199" i="85" s="1"/>
  <c r="C220" i="148"/>
  <c r="G198" i="85" s="1"/>
  <c r="C18" i="141"/>
  <c r="G144" i="85" s="1"/>
  <c r="C52" i="141"/>
  <c r="G147" i="85" s="1"/>
  <c r="C28" i="153"/>
  <c r="G223" i="85" s="1"/>
  <c r="C48" i="152"/>
  <c r="G221" i="85" s="1"/>
  <c r="C102" i="136"/>
  <c r="G133" i="85" s="1"/>
  <c r="C68" i="151"/>
  <c r="G216" i="85" s="1"/>
  <c r="C52" i="134"/>
  <c r="G123" i="85" s="1"/>
  <c r="C16" i="134"/>
  <c r="G121" i="85" s="1"/>
  <c r="C99" i="112"/>
  <c r="G117" i="85" s="1"/>
  <c r="C154" i="147"/>
  <c r="G191" i="85" s="1"/>
  <c r="C269" i="141"/>
  <c r="G155" i="85" s="1"/>
  <c r="C98" i="136"/>
  <c r="G132" i="85" s="1"/>
  <c r="C117" i="144"/>
  <c r="G177" i="85" s="1"/>
  <c r="C19" i="137"/>
  <c r="G134" i="85" s="1"/>
  <c r="C15" i="151"/>
  <c r="G214" i="85" s="1"/>
  <c r="C124" i="147"/>
  <c r="G190" i="85" s="1"/>
  <c r="C40" i="138"/>
  <c r="G138" i="85" s="1"/>
  <c r="C17" i="138"/>
  <c r="G135" i="85" s="1"/>
  <c r="C16" i="152"/>
  <c r="G219" i="85" s="1"/>
  <c r="C40" i="153"/>
  <c r="G224" i="85" s="1"/>
  <c r="C92" i="136"/>
  <c r="G131" i="85" s="1"/>
  <c r="C80" i="144"/>
  <c r="G173" i="85" s="1"/>
  <c r="C189" i="149"/>
  <c r="G202" i="85" s="1"/>
  <c r="C37" i="146"/>
  <c r="G185" i="85" s="1"/>
  <c r="C259" i="149"/>
  <c r="G205" i="85" s="1"/>
  <c r="C21" i="134"/>
  <c r="G122" i="85" s="1"/>
  <c r="C55" i="140"/>
  <c r="G143" i="85" s="1"/>
  <c r="C38" i="139"/>
  <c r="G141" i="85" s="1"/>
  <c r="C69" i="144"/>
  <c r="G172" i="85" s="1"/>
  <c r="C120" i="148"/>
  <c r="G195" i="85" s="1"/>
  <c r="C164" i="142"/>
  <c r="G159" i="85" s="1"/>
  <c r="C43" i="112"/>
  <c r="G115" i="85" s="1"/>
  <c r="C138" i="142"/>
  <c r="G158" i="85" s="1"/>
  <c r="C175" i="145"/>
  <c r="G181" i="85" s="1"/>
  <c r="C19" i="144"/>
  <c r="G166" i="85" s="1"/>
  <c r="C129" i="149"/>
  <c r="G200" i="85" s="1"/>
  <c r="C17" i="146"/>
  <c r="G183" i="85" s="1"/>
  <c r="C36" i="141"/>
  <c r="G146" i="85" s="1"/>
  <c r="C49" i="147"/>
  <c r="G187" i="85" s="1"/>
  <c r="C254" i="149"/>
  <c r="G204" i="85" s="1"/>
  <c r="C27" i="144"/>
  <c r="G167" i="85" s="1"/>
  <c r="C221" i="141"/>
  <c r="G153" i="85" s="1"/>
  <c r="C52" i="153"/>
  <c r="G225" i="85" s="1"/>
  <c r="C38" i="135"/>
  <c r="G127" i="85" s="1"/>
  <c r="C194" i="142"/>
  <c r="G161" i="85" s="1"/>
  <c r="C13" i="145"/>
  <c r="G178" i="85" s="1"/>
  <c r="C92" i="144"/>
  <c r="G174" i="85" s="1"/>
  <c r="C98" i="153"/>
  <c r="G228" i="85" s="1"/>
  <c r="C35" i="144"/>
  <c r="G168" i="85" s="1"/>
  <c r="C249" i="142"/>
  <c r="G163" i="85" s="1"/>
  <c r="C121" i="138"/>
  <c r="G139" i="85" s="1"/>
  <c r="C18" i="142"/>
  <c r="G156" i="85" s="1"/>
  <c r="C159" i="150"/>
  <c r="G213" i="85" s="1"/>
  <c r="C87" i="141"/>
  <c r="G150" i="85" s="1"/>
  <c r="C126" i="154"/>
  <c r="G235" i="85" s="1"/>
  <c r="C84" i="112"/>
  <c r="G116" i="85" s="1"/>
  <c r="C219" i="149"/>
  <c r="G203" i="85" s="1"/>
  <c r="C16" i="136"/>
  <c r="G128" i="85" s="1"/>
  <c r="C17" i="148"/>
  <c r="G194" i="85" s="1"/>
  <c r="C22" i="150"/>
  <c r="G207" i="85" s="1"/>
  <c r="C26" i="135"/>
  <c r="G125" i="85" s="1"/>
  <c r="C35" i="138"/>
  <c r="G137" i="85" s="1"/>
  <c r="C155" i="148"/>
  <c r="G196" i="85" s="1"/>
  <c r="C45" i="151"/>
  <c r="G215" i="85" s="1"/>
  <c r="C67" i="142"/>
  <c r="G157" i="85" s="1"/>
  <c r="C184" i="142"/>
  <c r="G160" i="85" s="1"/>
  <c r="C109" i="147"/>
  <c r="G189" i="85" s="1"/>
  <c r="AG116" i="151"/>
  <c r="H204" i="100"/>
  <c r="AH116" i="151" l="1"/>
  <c r="A2" i="106"/>
  <c r="A2" i="107"/>
  <c r="A2" i="92"/>
  <c r="A2" i="93"/>
  <c r="A2" i="94"/>
  <c r="A2" i="95"/>
  <c r="A2" i="96"/>
  <c r="A2" i="97"/>
  <c r="A2" i="100"/>
  <c r="A2" i="98"/>
  <c r="H11" i="55"/>
  <c r="H9" i="55"/>
  <c r="AI116" i="151" l="1"/>
  <c r="H7" i="55"/>
  <c r="J5" i="107"/>
  <c r="A1" i="107"/>
  <c r="C15" i="107" s="1"/>
  <c r="G242" i="85" s="1"/>
  <c r="A1" i="106"/>
  <c r="C71" i="106" s="1"/>
  <c r="G237" i="85" s="1"/>
  <c r="J5" i="100"/>
  <c r="A1" i="100"/>
  <c r="C134" i="100" s="1"/>
  <c r="G105" i="85" s="1"/>
  <c r="J5" i="98"/>
  <c r="A1" i="98"/>
  <c r="C107" i="98" s="1"/>
  <c r="G111" i="85" s="1"/>
  <c r="J5" i="97"/>
  <c r="A1" i="97"/>
  <c r="E31" i="96"/>
  <c r="A1" i="96"/>
  <c r="S45" i="95"/>
  <c r="R45" i="95"/>
  <c r="Q45" i="95"/>
  <c r="O45" i="95"/>
  <c r="N45" i="95"/>
  <c r="M45" i="95"/>
  <c r="L45" i="95"/>
  <c r="K45" i="95"/>
  <c r="S39" i="95"/>
  <c r="R39" i="95"/>
  <c r="Q39" i="95"/>
  <c r="O39" i="95"/>
  <c r="N39" i="95"/>
  <c r="M39" i="95"/>
  <c r="L39" i="95"/>
  <c r="K39" i="95"/>
  <c r="S33" i="95"/>
  <c r="R33" i="95"/>
  <c r="Q33" i="95"/>
  <c r="O33" i="95"/>
  <c r="N33" i="95"/>
  <c r="M33" i="95"/>
  <c r="L33" i="95"/>
  <c r="K33" i="95"/>
  <c r="S27" i="95"/>
  <c r="R27" i="95"/>
  <c r="Q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506" i="97" l="1"/>
  <c r="G98" i="85" s="1"/>
  <c r="C442" i="97"/>
  <c r="G95" i="85" s="1"/>
  <c r="C466" i="97"/>
  <c r="G96" i="85" s="1"/>
  <c r="C486" i="97"/>
  <c r="G97" i="85" s="1"/>
  <c r="AJ116" i="151"/>
  <c r="G32" i="96"/>
  <c r="E165" i="106" s="1"/>
  <c r="C314" i="97"/>
  <c r="G94" i="85" s="1"/>
  <c r="C58" i="97"/>
  <c r="G92" i="85" s="1"/>
  <c r="C186" i="97"/>
  <c r="G93" i="85" s="1"/>
  <c r="C16" i="97"/>
  <c r="G90" i="85" s="1"/>
  <c r="C36" i="97"/>
  <c r="G91" i="85" s="1"/>
  <c r="C72" i="100"/>
  <c r="G103" i="85" s="1"/>
  <c r="C120" i="100"/>
  <c r="G104" i="85" s="1"/>
  <c r="C44" i="100"/>
  <c r="G101" i="85" s="1"/>
  <c r="C58" i="100"/>
  <c r="G102" i="85" s="1"/>
  <c r="C16" i="100"/>
  <c r="G99" i="85" s="1"/>
  <c r="C30" i="100"/>
  <c r="G100" i="85" s="1"/>
  <c r="C98" i="98"/>
  <c r="G109" i="85" s="1"/>
  <c r="C103" i="98"/>
  <c r="G110" i="85" s="1"/>
  <c r="C28" i="98"/>
  <c r="G107" i="85" s="1"/>
  <c r="C38" i="98"/>
  <c r="G108" i="85" s="1"/>
  <c r="C16" i="98"/>
  <c r="G106" i="85" s="1"/>
  <c r="C15" i="106"/>
  <c r="G236" i="85" s="1"/>
  <c r="H203" i="100"/>
  <c r="H199" i="100"/>
  <c r="H202" i="100"/>
  <c r="G30" i="96"/>
  <c r="H196" i="100"/>
  <c r="H200" i="100"/>
  <c r="C127" i="106" l="1"/>
  <c r="G238" i="85" s="1"/>
  <c r="G33" i="96"/>
  <c r="G34" i="96" s="1"/>
  <c r="E129" i="106"/>
  <c r="E147" i="106"/>
  <c r="AK116" i="151"/>
  <c r="G29" i="96"/>
  <c r="G28" i="96" s="1"/>
  <c r="H18" i="94" s="1"/>
  <c r="H17" i="94" s="1"/>
  <c r="E203" i="106" l="1"/>
  <c r="E221" i="106"/>
  <c r="E185" i="106"/>
  <c r="C183" i="106"/>
  <c r="G239" i="85" s="1"/>
  <c r="AL116" i="151"/>
  <c r="C239" i="106"/>
  <c r="G240" i="85" s="1"/>
  <c r="E277" i="106"/>
  <c r="E259" i="106"/>
  <c r="E241" i="106"/>
  <c r="H19" i="95"/>
  <c r="F32" i="95" s="1"/>
  <c r="F25" i="94"/>
  <c r="F31" i="94"/>
  <c r="G35" i="96"/>
  <c r="F24" i="94"/>
  <c r="H16" i="94"/>
  <c r="F30" i="94"/>
  <c r="AM116" i="151" l="1"/>
  <c r="H18" i="95"/>
  <c r="H17" i="95" s="1"/>
  <c r="F30" i="95" s="1"/>
  <c r="C295" i="106"/>
  <c r="G241" i="85" s="1"/>
  <c r="E333" i="106"/>
  <c r="E315" i="106"/>
  <c r="E29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H12" i="134" l="1"/>
  <c r="H12" i="136"/>
  <c r="H12" i="135"/>
  <c r="J39" i="100"/>
  <c r="P20" i="135" s="1"/>
  <c r="J57" i="98"/>
  <c r="H57" i="136" s="1"/>
  <c r="H31" i="152" s="1"/>
  <c r="J458" i="97"/>
  <c r="J454" i="97"/>
  <c r="J450" i="97"/>
  <c r="J446" i="97"/>
  <c r="J56" i="98"/>
  <c r="H56" i="136" s="1"/>
  <c r="H30" i="152" s="1"/>
  <c r="J457" i="97"/>
  <c r="J453" i="97"/>
  <c r="J449" i="97"/>
  <c r="J445" i="97"/>
  <c r="J460" i="97"/>
  <c r="J456" i="97"/>
  <c r="J452" i="97"/>
  <c r="J448" i="97"/>
  <c r="J459" i="97"/>
  <c r="J455" i="97"/>
  <c r="J451" i="97"/>
  <c r="J447" i="97"/>
  <c r="AN116" i="151"/>
  <c r="F31" i="95"/>
  <c r="J516" i="97"/>
  <c r="Q59" i="134" s="1"/>
  <c r="J482" i="97"/>
  <c r="W56" i="134" s="1"/>
  <c r="J471" i="97"/>
  <c r="L56" i="134" s="1"/>
  <c r="J380" i="97"/>
  <c r="S45" i="134" s="1"/>
  <c r="J376" i="97"/>
  <c r="O45" i="134" s="1"/>
  <c r="J372" i="97"/>
  <c r="K45" i="134" s="1"/>
  <c r="J363" i="97"/>
  <c r="T44" i="134" s="1"/>
  <c r="J359" i="97"/>
  <c r="P44" i="134" s="1"/>
  <c r="J355" i="97"/>
  <c r="L44" i="134" s="1"/>
  <c r="J347" i="97"/>
  <c r="V43" i="134" s="1"/>
  <c r="J342" i="97"/>
  <c r="Q43" i="134" s="1"/>
  <c r="J338" i="97"/>
  <c r="M43" i="134" s="1"/>
  <c r="J439" i="97"/>
  <c r="X48" i="134" s="1"/>
  <c r="J430" i="97"/>
  <c r="O48" i="134" s="1"/>
  <c r="J411" i="97"/>
  <c r="N47" i="134" s="1"/>
  <c r="J331" i="97"/>
  <c r="X42" i="134" s="1"/>
  <c r="J325" i="97"/>
  <c r="R42" i="134" s="1"/>
  <c r="J321" i="97"/>
  <c r="N42" i="134" s="1"/>
  <c r="J317" i="97"/>
  <c r="J42" i="134" s="1"/>
  <c r="J247" i="97"/>
  <c r="N36" i="134" s="1"/>
  <c r="J243" i="97"/>
  <c r="J36" i="134" s="1"/>
  <c r="J229" i="97"/>
  <c r="N35" i="134" s="1"/>
  <c r="J225" i="97"/>
  <c r="J35" i="134" s="1"/>
  <c r="J211" i="97"/>
  <c r="N34" i="134" s="1"/>
  <c r="J207" i="97"/>
  <c r="J34" i="134" s="1"/>
  <c r="J265" i="97"/>
  <c r="N37" i="134" s="1"/>
  <c r="J193" i="97"/>
  <c r="N33" i="134" s="1"/>
  <c r="J189" i="97"/>
  <c r="J33" i="134" s="1"/>
  <c r="J175" i="97"/>
  <c r="P30" i="134" s="1"/>
  <c r="J156" i="97"/>
  <c r="O29" i="134" s="1"/>
  <c r="J137" i="97"/>
  <c r="N28" i="134" s="1"/>
  <c r="J127" i="97"/>
  <c r="V27" i="134" s="1"/>
  <c r="J123" i="97"/>
  <c r="R27" i="134" s="1"/>
  <c r="J119" i="97"/>
  <c r="N27" i="134" s="1"/>
  <c r="J115" i="97"/>
  <c r="J27" i="134" s="1"/>
  <c r="J109" i="97"/>
  <c r="V26" i="134" s="1"/>
  <c r="J105" i="97"/>
  <c r="R26" i="134" s="1"/>
  <c r="J101" i="97"/>
  <c r="N26" i="134" s="1"/>
  <c r="J97" i="97"/>
  <c r="J26" i="134" s="1"/>
  <c r="J91" i="97"/>
  <c r="V25" i="134" s="1"/>
  <c r="J87" i="97"/>
  <c r="R25" i="134" s="1"/>
  <c r="J83" i="97"/>
  <c r="N25" i="134" s="1"/>
  <c r="J79" i="97"/>
  <c r="J25" i="134" s="1"/>
  <c r="J437" i="97"/>
  <c r="V48" i="134" s="1"/>
  <c r="J395" i="97"/>
  <c r="P46" i="134" s="1"/>
  <c r="J329" i="97"/>
  <c r="V42" i="134" s="1"/>
  <c r="J320" i="97"/>
  <c r="M42" i="134" s="1"/>
  <c r="J253" i="97"/>
  <c r="T36" i="134" s="1"/>
  <c r="J246" i="97"/>
  <c r="M36" i="134" s="1"/>
  <c r="J235" i="97"/>
  <c r="T35" i="134" s="1"/>
  <c r="J228" i="97"/>
  <c r="M35" i="134" s="1"/>
  <c r="J217" i="97"/>
  <c r="T34" i="134" s="1"/>
  <c r="J210" i="97"/>
  <c r="M34" i="134" s="1"/>
  <c r="J307" i="97"/>
  <c r="T39" i="134" s="1"/>
  <c r="J192" i="97"/>
  <c r="M33" i="134" s="1"/>
  <c r="J179" i="97"/>
  <c r="T30" i="134" s="1"/>
  <c r="J174" i="97"/>
  <c r="O30" i="134" s="1"/>
  <c r="J130" i="97"/>
  <c r="Y27" i="134" s="1"/>
  <c r="J126" i="97"/>
  <c r="U27" i="134" s="1"/>
  <c r="J118" i="97"/>
  <c r="M27" i="134" s="1"/>
  <c r="J108" i="97"/>
  <c r="U26" i="134" s="1"/>
  <c r="J100" i="97"/>
  <c r="M26" i="134" s="1"/>
  <c r="J90" i="97"/>
  <c r="U25" i="134" s="1"/>
  <c r="J82" i="97"/>
  <c r="M25" i="134" s="1"/>
  <c r="J503" i="97"/>
  <c r="X57" i="134" s="1"/>
  <c r="J474" i="97"/>
  <c r="O56" i="134" s="1"/>
  <c r="J383" i="97"/>
  <c r="V45" i="134" s="1"/>
  <c r="J378" i="97"/>
  <c r="Q45" i="134" s="1"/>
  <c r="J367" i="97"/>
  <c r="X44" i="134" s="1"/>
  <c r="J353" i="97"/>
  <c r="J44" i="134" s="1"/>
  <c r="J435" i="97"/>
  <c r="T48" i="134" s="1"/>
  <c r="J394" i="97"/>
  <c r="O46" i="134" s="1"/>
  <c r="J323" i="97"/>
  <c r="P42" i="134" s="1"/>
  <c r="J245" i="97"/>
  <c r="L36" i="134" s="1"/>
  <c r="J227" i="97"/>
  <c r="L35" i="134" s="1"/>
  <c r="J209" i="97"/>
  <c r="L34" i="134" s="1"/>
  <c r="J197" i="97"/>
  <c r="R33" i="134" s="1"/>
  <c r="J504" i="97"/>
  <c r="Y57" i="134" s="1"/>
  <c r="J477" i="97"/>
  <c r="R56" i="134" s="1"/>
  <c r="J385" i="97"/>
  <c r="X45" i="134" s="1"/>
  <c r="J379" i="97"/>
  <c r="R45" i="134" s="1"/>
  <c r="J375" i="97"/>
  <c r="N45" i="134" s="1"/>
  <c r="J371" i="97"/>
  <c r="J45" i="134" s="1"/>
  <c r="J362" i="97"/>
  <c r="S44" i="134" s="1"/>
  <c r="J358" i="97"/>
  <c r="O44" i="134" s="1"/>
  <c r="J354" i="97"/>
  <c r="K44" i="134" s="1"/>
  <c r="J345" i="97"/>
  <c r="T43" i="134" s="1"/>
  <c r="J341" i="97"/>
  <c r="P43" i="134" s="1"/>
  <c r="J337" i="97"/>
  <c r="L43" i="134" s="1"/>
  <c r="J429" i="97"/>
  <c r="N48" i="134" s="1"/>
  <c r="J324" i="97"/>
  <c r="Q42" i="134" s="1"/>
  <c r="J199" i="97"/>
  <c r="T33" i="134" s="1"/>
  <c r="J155" i="97"/>
  <c r="N29" i="134" s="1"/>
  <c r="J122" i="97"/>
  <c r="Q27" i="134" s="1"/>
  <c r="J112" i="97"/>
  <c r="Y26" i="134" s="1"/>
  <c r="J104" i="97"/>
  <c r="Q26" i="134" s="1"/>
  <c r="J94" i="97"/>
  <c r="Y25" i="134" s="1"/>
  <c r="J86" i="97"/>
  <c r="Q25" i="134" s="1"/>
  <c r="J374" i="97"/>
  <c r="M45" i="134" s="1"/>
  <c r="J361" i="97"/>
  <c r="R44" i="134" s="1"/>
  <c r="J357" i="97"/>
  <c r="N44" i="134" s="1"/>
  <c r="J344" i="97"/>
  <c r="S43" i="134" s="1"/>
  <c r="J340" i="97"/>
  <c r="O43" i="134" s="1"/>
  <c r="J336" i="97"/>
  <c r="K43" i="134" s="1"/>
  <c r="J413" i="97"/>
  <c r="P47" i="134" s="1"/>
  <c r="J327" i="97"/>
  <c r="T42" i="134" s="1"/>
  <c r="J319" i="97"/>
  <c r="L42" i="134" s="1"/>
  <c r="J233" i="97"/>
  <c r="R35" i="134" s="1"/>
  <c r="J215" i="97"/>
  <c r="R34" i="134" s="1"/>
  <c r="J301" i="97"/>
  <c r="N39" i="134" s="1"/>
  <c r="J251" i="97"/>
  <c r="R36" i="134" s="1"/>
  <c r="J473" i="97"/>
  <c r="N56" i="134" s="1"/>
  <c r="J365" i="97"/>
  <c r="V44" i="134" s="1"/>
  <c r="J343" i="97"/>
  <c r="R43" i="134" s="1"/>
  <c r="J412" i="97"/>
  <c r="O47" i="134" s="1"/>
  <c r="J318" i="97"/>
  <c r="K42" i="134" s="1"/>
  <c r="J226" i="97"/>
  <c r="K35" i="134" s="1"/>
  <c r="J196" i="97"/>
  <c r="Q33" i="134" s="1"/>
  <c r="J183" i="97"/>
  <c r="X30" i="134" s="1"/>
  <c r="J138" i="97"/>
  <c r="O28" i="134" s="1"/>
  <c r="J124" i="97"/>
  <c r="S27" i="134" s="1"/>
  <c r="J116" i="97"/>
  <c r="K27" i="134" s="1"/>
  <c r="J106" i="97"/>
  <c r="S26" i="134" s="1"/>
  <c r="J98" i="97"/>
  <c r="K26" i="134" s="1"/>
  <c r="J88" i="97"/>
  <c r="S25" i="134" s="1"/>
  <c r="J80" i="97"/>
  <c r="K25" i="134" s="1"/>
  <c r="J381" i="97"/>
  <c r="T45" i="134" s="1"/>
  <c r="J360" i="97"/>
  <c r="Q44" i="134" s="1"/>
  <c r="J339" i="97"/>
  <c r="N43" i="134" s="1"/>
  <c r="J393" i="97"/>
  <c r="N46" i="134" s="1"/>
  <c r="J250" i="97"/>
  <c r="Q36" i="134" s="1"/>
  <c r="J214" i="97"/>
  <c r="Q34" i="134" s="1"/>
  <c r="J191" i="97"/>
  <c r="L33" i="134" s="1"/>
  <c r="J173" i="97"/>
  <c r="N30" i="134" s="1"/>
  <c r="J129" i="97"/>
  <c r="X27" i="134" s="1"/>
  <c r="J121" i="97"/>
  <c r="P27" i="134" s="1"/>
  <c r="J111" i="97"/>
  <c r="X26" i="134" s="1"/>
  <c r="J103" i="97"/>
  <c r="P26" i="134" s="1"/>
  <c r="J93" i="97"/>
  <c r="X25" i="134" s="1"/>
  <c r="J85" i="97"/>
  <c r="P25" i="134" s="1"/>
  <c r="J377" i="97"/>
  <c r="P45" i="134" s="1"/>
  <c r="J356" i="97"/>
  <c r="M44" i="134" s="1"/>
  <c r="J335" i="97"/>
  <c r="J43" i="134" s="1"/>
  <c r="J326" i="97"/>
  <c r="S42" i="134" s="1"/>
  <c r="J244" i="97"/>
  <c r="K36" i="134" s="1"/>
  <c r="J208" i="97"/>
  <c r="K34" i="134" s="1"/>
  <c r="J190" i="97"/>
  <c r="K33" i="134" s="1"/>
  <c r="J157" i="97"/>
  <c r="P29" i="134" s="1"/>
  <c r="J128" i="97"/>
  <c r="W27" i="134" s="1"/>
  <c r="J120" i="97"/>
  <c r="O27" i="134" s="1"/>
  <c r="J110" i="97"/>
  <c r="W26" i="134" s="1"/>
  <c r="J102" i="97"/>
  <c r="O26" i="134" s="1"/>
  <c r="J92" i="97"/>
  <c r="W25" i="134" s="1"/>
  <c r="J84" i="97"/>
  <c r="O25" i="134" s="1"/>
  <c r="J495" i="97"/>
  <c r="P57" i="134" s="1"/>
  <c r="J373" i="97"/>
  <c r="L45" i="134" s="1"/>
  <c r="J349" i="97"/>
  <c r="X43" i="134" s="1"/>
  <c r="J431" i="97"/>
  <c r="P48" i="134" s="1"/>
  <c r="J322" i="97"/>
  <c r="O42" i="134" s="1"/>
  <c r="J232" i="97"/>
  <c r="Q35" i="134" s="1"/>
  <c r="J283" i="97"/>
  <c r="N38" i="134" s="1"/>
  <c r="J181" i="97"/>
  <c r="V30" i="134" s="1"/>
  <c r="J139" i="97"/>
  <c r="P28" i="134" s="1"/>
  <c r="J125" i="97"/>
  <c r="T27" i="134" s="1"/>
  <c r="J117" i="97"/>
  <c r="L27" i="134" s="1"/>
  <c r="J107" i="97"/>
  <c r="T26" i="134" s="1"/>
  <c r="J99" i="97"/>
  <c r="L26" i="134" s="1"/>
  <c r="J89" i="97"/>
  <c r="T25" i="134" s="1"/>
  <c r="J81" i="97"/>
  <c r="L25" i="134" s="1"/>
  <c r="F37" i="95"/>
  <c r="F43" i="95"/>
  <c r="F36" i="95"/>
  <c r="F42" i="95"/>
  <c r="F24" i="95"/>
  <c r="F25" i="95"/>
  <c r="J481" i="97"/>
  <c r="V56" i="134" s="1"/>
  <c r="J469" i="97"/>
  <c r="J56" i="134" s="1"/>
  <c r="J480" i="97"/>
  <c r="U56" i="134" s="1"/>
  <c r="J479" i="97"/>
  <c r="T56" i="134" s="1"/>
  <c r="J478" i="97"/>
  <c r="S56" i="134" s="1"/>
  <c r="J93" i="98"/>
  <c r="J96" i="98"/>
  <c r="J94" i="98"/>
  <c r="J95" i="98"/>
  <c r="J91" i="98"/>
  <c r="J100" i="98"/>
  <c r="H94" i="136" s="1"/>
  <c r="J59" i="98"/>
  <c r="J47" i="98"/>
  <c r="J46" i="98"/>
  <c r="H46" i="136" s="1"/>
  <c r="J45" i="98"/>
  <c r="H45" i="136" s="1"/>
  <c r="J44" i="98"/>
  <c r="H44" i="136" s="1"/>
  <c r="J43" i="98"/>
  <c r="H43" i="136" s="1"/>
  <c r="J36" i="98"/>
  <c r="H36" i="136" s="1"/>
  <c r="J35" i="98"/>
  <c r="H35" i="136" s="1"/>
  <c r="J34" i="98"/>
  <c r="H34" i="136" s="1"/>
  <c r="J33" i="98"/>
  <c r="H33" i="136" s="1"/>
  <c r="J26" i="98"/>
  <c r="H26" i="136" s="1"/>
  <c r="J25" i="98"/>
  <c r="H25" i="136" s="1"/>
  <c r="J24" i="98"/>
  <c r="H24" i="136" s="1"/>
  <c r="J21" i="98"/>
  <c r="H21" i="136" s="1"/>
  <c r="J20" i="98"/>
  <c r="H20" i="136" s="1"/>
  <c r="J19" i="98"/>
  <c r="H19" i="136" s="1"/>
  <c r="J184" i="100"/>
  <c r="S46" i="135" s="1"/>
  <c r="H170" i="141" s="1"/>
  <c r="J183" i="100"/>
  <c r="R46" i="135" s="1"/>
  <c r="H162" i="141" s="1"/>
  <c r="J182" i="100"/>
  <c r="Q46" i="135" s="1"/>
  <c r="H154" i="141" s="1"/>
  <c r="J181" i="100"/>
  <c r="P46" i="135" s="1"/>
  <c r="H146" i="141" s="1"/>
  <c r="J180" i="100"/>
  <c r="O46" i="135" s="1"/>
  <c r="H138" i="141" s="1"/>
  <c r="J179" i="100"/>
  <c r="N46" i="135" s="1"/>
  <c r="H130" i="141" s="1"/>
  <c r="J178" i="100"/>
  <c r="M46" i="135" s="1"/>
  <c r="H122" i="141" s="1"/>
  <c r="J177" i="100"/>
  <c r="L46" i="135" s="1"/>
  <c r="H114" i="141" s="1"/>
  <c r="J176" i="100"/>
  <c r="K46" i="135" s="1"/>
  <c r="H106" i="141" s="1"/>
  <c r="J172" i="100"/>
  <c r="S45" i="135" s="1"/>
  <c r="H169" i="141" s="1"/>
  <c r="J171" i="100"/>
  <c r="R45" i="135" s="1"/>
  <c r="H161" i="141" s="1"/>
  <c r="J170" i="100"/>
  <c r="Q45" i="135" s="1"/>
  <c r="H153" i="141" s="1"/>
  <c r="J169" i="100"/>
  <c r="P45" i="135" s="1"/>
  <c r="H145" i="141" s="1"/>
  <c r="J168" i="100"/>
  <c r="O45" i="135" s="1"/>
  <c r="H137" i="141" s="1"/>
  <c r="J167" i="100"/>
  <c r="N45" i="135" s="1"/>
  <c r="H129" i="141" s="1"/>
  <c r="J166" i="100"/>
  <c r="M45" i="135" s="1"/>
  <c r="H121" i="141" s="1"/>
  <c r="J165" i="100"/>
  <c r="L45" i="135" s="1"/>
  <c r="H113" i="141" s="1"/>
  <c r="J164" i="100"/>
  <c r="K45" i="135" s="1"/>
  <c r="H105" i="141" s="1"/>
  <c r="J160" i="100"/>
  <c r="S44" i="135" s="1"/>
  <c r="H168" i="141" s="1"/>
  <c r="J159" i="100"/>
  <c r="R44" i="135" s="1"/>
  <c r="H160" i="141" s="1"/>
  <c r="J158" i="100"/>
  <c r="Q44" i="135" s="1"/>
  <c r="H152" i="141" s="1"/>
  <c r="J157" i="100"/>
  <c r="P44" i="135" s="1"/>
  <c r="H144" i="141" s="1"/>
  <c r="J156" i="100"/>
  <c r="O44" i="135" s="1"/>
  <c r="H136" i="141" s="1"/>
  <c r="J155" i="100"/>
  <c r="N44" i="135" s="1"/>
  <c r="H128" i="141" s="1"/>
  <c r="J154" i="100"/>
  <c r="M44" i="135" s="1"/>
  <c r="H120" i="141" s="1"/>
  <c r="J153" i="100"/>
  <c r="L44" i="135" s="1"/>
  <c r="H112" i="141" s="1"/>
  <c r="J152" i="100"/>
  <c r="K44" i="135" s="1"/>
  <c r="H104" i="141" s="1"/>
  <c r="J148" i="100"/>
  <c r="S43" i="135" s="1"/>
  <c r="J147" i="100"/>
  <c r="R43" i="135" s="1"/>
  <c r="J146" i="100"/>
  <c r="Q43" i="135" s="1"/>
  <c r="J145" i="100"/>
  <c r="P43" i="135" s="1"/>
  <c r="J144" i="100"/>
  <c r="O43" i="135" s="1"/>
  <c r="J143" i="100"/>
  <c r="N43" i="135" s="1"/>
  <c r="J142" i="100"/>
  <c r="M43" i="135" s="1"/>
  <c r="J141" i="100"/>
  <c r="L43" i="135" s="1"/>
  <c r="J140" i="100"/>
  <c r="K43" i="135" s="1"/>
  <c r="J132" i="100"/>
  <c r="S36" i="135" s="1"/>
  <c r="S54" i="144" s="1"/>
  <c r="J131" i="100"/>
  <c r="R36" i="135" s="1"/>
  <c r="R54" i="144" s="1"/>
  <c r="J130" i="100"/>
  <c r="Q36" i="135" s="1"/>
  <c r="Q54" i="144" s="1"/>
  <c r="J129" i="100"/>
  <c r="P36" i="135" s="1"/>
  <c r="P54" i="144" s="1"/>
  <c r="J128" i="100"/>
  <c r="O36" i="135" s="1"/>
  <c r="O54" i="144" s="1"/>
  <c r="J127" i="100"/>
  <c r="N36" i="135" s="1"/>
  <c r="N54" i="144" s="1"/>
  <c r="J112" i="98"/>
  <c r="H107" i="136" s="1"/>
  <c r="J111" i="98"/>
  <c r="H106" i="136" s="1"/>
  <c r="J110" i="98"/>
  <c r="H105" i="136" s="1"/>
  <c r="J105" i="98"/>
  <c r="H100" i="136" s="1"/>
  <c r="J101" i="98"/>
  <c r="H95" i="136" s="1"/>
  <c r="J89" i="98"/>
  <c r="J88" i="98"/>
  <c r="H88" i="136" s="1"/>
  <c r="J87" i="98"/>
  <c r="H87" i="136" s="1"/>
  <c r="J86" i="98"/>
  <c r="H86" i="136" s="1"/>
  <c r="J85" i="98"/>
  <c r="H85" i="136" s="1"/>
  <c r="J48" i="100"/>
  <c r="K22" i="135" s="1"/>
  <c r="J74" i="98"/>
  <c r="H74" i="136" s="1"/>
  <c r="J72" i="98"/>
  <c r="J71" i="98"/>
  <c r="H71" i="136" s="1"/>
  <c r="J70" i="98"/>
  <c r="H70" i="136" s="1"/>
  <c r="J69" i="98"/>
  <c r="H69" i="136" s="1"/>
  <c r="J68" i="98"/>
  <c r="H68" i="136" s="1"/>
  <c r="J67" i="98"/>
  <c r="H67" i="136" s="1"/>
  <c r="J66" i="98"/>
  <c r="H66" i="136" s="1"/>
  <c r="J65" i="98"/>
  <c r="H65" i="136" s="1"/>
  <c r="J64" i="98"/>
  <c r="H64" i="136" s="1"/>
  <c r="J63" i="98"/>
  <c r="H63" i="136" s="1"/>
  <c r="J62" i="98"/>
  <c r="H62" i="136" s="1"/>
  <c r="J61" i="98"/>
  <c r="H61" i="136" s="1"/>
  <c r="J58" i="98"/>
  <c r="J55" i="98"/>
  <c r="H55" i="136" s="1"/>
  <c r="J54" i="98"/>
  <c r="H54" i="136" s="1"/>
  <c r="J53" i="98"/>
  <c r="H53" i="136" s="1"/>
  <c r="J52" i="98"/>
  <c r="H52" i="136" s="1"/>
  <c r="J51" i="98"/>
  <c r="H51" i="136" s="1"/>
  <c r="J50" i="98"/>
  <c r="H50" i="136" s="1"/>
  <c r="J126" i="100"/>
  <c r="M36" i="135" s="1"/>
  <c r="M54" i="144" s="1"/>
  <c r="J125" i="100"/>
  <c r="L36" i="135" s="1"/>
  <c r="L54" i="144" s="1"/>
  <c r="J114" i="100"/>
  <c r="O32" i="135" s="1"/>
  <c r="O46" i="139" s="1"/>
  <c r="J113" i="100"/>
  <c r="N32" i="135" s="1"/>
  <c r="N46" i="139" s="1"/>
  <c r="J112" i="100"/>
  <c r="M32" i="135" s="1"/>
  <c r="M46" i="139" s="1"/>
  <c r="J111" i="100"/>
  <c r="L32" i="135" s="1"/>
  <c r="L46" i="139" s="1"/>
  <c r="J105" i="100"/>
  <c r="Q31" i="135" s="1"/>
  <c r="Q45" i="139" s="1"/>
  <c r="J104" i="100"/>
  <c r="P31" i="135" s="1"/>
  <c r="P45" i="139" s="1"/>
  <c r="J103" i="100"/>
  <c r="O31" i="135" s="1"/>
  <c r="O45" i="139" s="1"/>
  <c r="J102" i="100"/>
  <c r="N31" i="135" s="1"/>
  <c r="N45" i="139" s="1"/>
  <c r="J101" i="100"/>
  <c r="M31" i="135" s="1"/>
  <c r="M45" i="139" s="1"/>
  <c r="J100" i="100"/>
  <c r="L31" i="135" s="1"/>
  <c r="L45" i="139" s="1"/>
  <c r="J95" i="100"/>
  <c r="R30" i="135" s="1"/>
  <c r="R44" i="139" s="1"/>
  <c r="J94" i="100"/>
  <c r="Q30" i="135" s="1"/>
  <c r="Q44" i="139" s="1"/>
  <c r="J93" i="100"/>
  <c r="P30" i="135" s="1"/>
  <c r="P44" i="139" s="1"/>
  <c r="J92" i="100"/>
  <c r="O30" i="135" s="1"/>
  <c r="O44" i="139" s="1"/>
  <c r="J91" i="100"/>
  <c r="N30" i="135" s="1"/>
  <c r="N44" i="139" s="1"/>
  <c r="J90" i="100"/>
  <c r="M30" i="135" s="1"/>
  <c r="M44" i="139" s="1"/>
  <c r="J89" i="100"/>
  <c r="L30" i="135" s="1"/>
  <c r="L44" i="139" s="1"/>
  <c r="J85" i="100"/>
  <c r="S29" i="135" s="1"/>
  <c r="S43" i="139" s="1"/>
  <c r="J84" i="100"/>
  <c r="R29" i="135" s="1"/>
  <c r="R43" i="139" s="1"/>
  <c r="J83" i="100"/>
  <c r="Q29" i="135" s="1"/>
  <c r="Q43" i="139" s="1"/>
  <c r="J82" i="100"/>
  <c r="P29" i="135" s="1"/>
  <c r="P43" i="139" s="1"/>
  <c r="J81" i="100"/>
  <c r="O29" i="135" s="1"/>
  <c r="O43" i="139" s="1"/>
  <c r="J80" i="100"/>
  <c r="N29" i="135" s="1"/>
  <c r="N43" i="139" s="1"/>
  <c r="J79" i="100"/>
  <c r="M29" i="135" s="1"/>
  <c r="M43" i="139" s="1"/>
  <c r="J78" i="100"/>
  <c r="L29" i="135" s="1"/>
  <c r="L43" i="139" s="1"/>
  <c r="J70" i="100"/>
  <c r="S24" i="135" s="1"/>
  <c r="J69" i="100"/>
  <c r="R24" i="135" s="1"/>
  <c r="J68" i="100"/>
  <c r="Q24" i="135" s="1"/>
  <c r="J67" i="100"/>
  <c r="P24" i="135" s="1"/>
  <c r="J66" i="100"/>
  <c r="O24" i="135" s="1"/>
  <c r="J65" i="100"/>
  <c r="N24" i="135" s="1"/>
  <c r="J64" i="100"/>
  <c r="M24" i="135" s="1"/>
  <c r="J63" i="100"/>
  <c r="L24" i="135" s="1"/>
  <c r="J62" i="100"/>
  <c r="K24" i="135" s="1"/>
  <c r="J56" i="100"/>
  <c r="S22" i="135" s="1"/>
  <c r="S27" i="138" s="1"/>
  <c r="S29" i="138" s="1"/>
  <c r="J55" i="100"/>
  <c r="R22" i="135" s="1"/>
  <c r="R27" i="138" s="1"/>
  <c r="R29" i="138" s="1"/>
  <c r="J54" i="100"/>
  <c r="Q22" i="135" s="1"/>
  <c r="Q27" i="138" s="1"/>
  <c r="Q29" i="138" s="1"/>
  <c r="J52" i="100"/>
  <c r="O22" i="135" s="1"/>
  <c r="O27" i="138" s="1"/>
  <c r="J51" i="100"/>
  <c r="N22" i="135" s="1"/>
  <c r="N27" i="138" s="1"/>
  <c r="N29" i="138" s="1"/>
  <c r="J50" i="100"/>
  <c r="M22" i="135" s="1"/>
  <c r="M27" i="138" s="1"/>
  <c r="M29" i="138" s="1"/>
  <c r="J49" i="100"/>
  <c r="L22" i="135" s="1"/>
  <c r="L27" i="138" s="1"/>
  <c r="L29" i="138" s="1"/>
  <c r="J82" i="98"/>
  <c r="J81" i="98"/>
  <c r="H81" i="136" s="1"/>
  <c r="J80" i="98"/>
  <c r="H80" i="136" s="1"/>
  <c r="J79" i="98"/>
  <c r="H79" i="136" s="1"/>
  <c r="J78" i="98"/>
  <c r="H78" i="136" s="1"/>
  <c r="J77" i="98"/>
  <c r="H77" i="136" s="1"/>
  <c r="J69" i="97"/>
  <c r="R24" i="134" s="1"/>
  <c r="J61" i="97"/>
  <c r="J24" i="134" s="1"/>
  <c r="J63" i="97"/>
  <c r="L24" i="134" s="1"/>
  <c r="J71" i="97"/>
  <c r="T24" i="134" s="1"/>
  <c r="J65" i="97"/>
  <c r="N24" i="134" s="1"/>
  <c r="J73" i="97"/>
  <c r="V24" i="134" s="1"/>
  <c r="J67" i="97"/>
  <c r="P24" i="134" s="1"/>
  <c r="J75" i="97"/>
  <c r="X24" i="134" s="1"/>
  <c r="J74" i="97"/>
  <c r="W24" i="134" s="1"/>
  <c r="J72" i="97"/>
  <c r="U24" i="134" s="1"/>
  <c r="J62" i="97"/>
  <c r="K24" i="134" s="1"/>
  <c r="J68" i="97"/>
  <c r="Q24" i="134" s="1"/>
  <c r="J23" i="100"/>
  <c r="N18" i="135" s="1"/>
  <c r="N19" i="138" s="1"/>
  <c r="J75" i="98"/>
  <c r="J64" i="97"/>
  <c r="M24" i="134" s="1"/>
  <c r="J76" i="97"/>
  <c r="Y24" i="134" s="1"/>
  <c r="J26" i="100"/>
  <c r="Q18" i="135" s="1"/>
  <c r="Q19" i="138" s="1"/>
  <c r="J70" i="97"/>
  <c r="S24" i="134" s="1"/>
  <c r="J21" i="100"/>
  <c r="L18" i="135" s="1"/>
  <c r="L19" i="138" s="1"/>
  <c r="J66" i="97"/>
  <c r="O24" i="134" s="1"/>
  <c r="J20" i="100"/>
  <c r="K18" i="135" s="1"/>
  <c r="J48" i="98"/>
  <c r="J83" i="98"/>
  <c r="J90" i="98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P22" i="143" l="1"/>
  <c r="P26" i="146"/>
  <c r="X26" i="146"/>
  <c r="X22" i="143"/>
  <c r="W25" i="146"/>
  <c r="W21" i="143"/>
  <c r="V25" i="146"/>
  <c r="V21" i="143"/>
  <c r="Y26" i="146"/>
  <c r="Y22" i="143"/>
  <c r="Q23" i="143"/>
  <c r="Q27" i="146"/>
  <c r="H82" i="136"/>
  <c r="H72" i="136"/>
  <c r="H89" i="136"/>
  <c r="H58" i="136"/>
  <c r="H50" i="135" a="1"/>
  <c r="H50" i="135" s="1"/>
  <c r="K19" i="138"/>
  <c r="N31" i="144"/>
  <c r="H48" i="142"/>
  <c r="S141" i="138"/>
  <c r="H53" i="142"/>
  <c r="S139" i="138"/>
  <c r="S31" i="144"/>
  <c r="S132" i="138"/>
  <c r="S129" i="138"/>
  <c r="S130" i="138"/>
  <c r="S133" i="138"/>
  <c r="S140" i="138"/>
  <c r="S137" i="138"/>
  <c r="S128" i="138"/>
  <c r="S135" i="138"/>
  <c r="S134" i="138"/>
  <c r="S131" i="138"/>
  <c r="S127" i="138"/>
  <c r="S138" i="138"/>
  <c r="S136" i="138"/>
  <c r="S126" i="138"/>
  <c r="N66" i="139"/>
  <c r="N63" i="139"/>
  <c r="N59" i="139"/>
  <c r="N55" i="139"/>
  <c r="N51" i="139"/>
  <c r="N62" i="139"/>
  <c r="N58" i="139"/>
  <c r="N54" i="139"/>
  <c r="N64" i="139"/>
  <c r="N60" i="139"/>
  <c r="N56" i="139"/>
  <c r="N52" i="139"/>
  <c r="N65" i="139"/>
  <c r="N61" i="139"/>
  <c r="N57" i="139"/>
  <c r="N53" i="139"/>
  <c r="R66" i="139"/>
  <c r="R64" i="139"/>
  <c r="R60" i="139"/>
  <c r="R56" i="139"/>
  <c r="R52" i="139"/>
  <c r="R63" i="139"/>
  <c r="R59" i="139"/>
  <c r="R55" i="139"/>
  <c r="R51" i="139"/>
  <c r="R65" i="139"/>
  <c r="R61" i="139"/>
  <c r="R57" i="139"/>
  <c r="R53" i="139"/>
  <c r="R62" i="139"/>
  <c r="R58" i="139"/>
  <c r="R54" i="139"/>
  <c r="M57" i="135"/>
  <c r="H119" i="141"/>
  <c r="Q187" i="141" s="1"/>
  <c r="W183" i="141"/>
  <c r="V183" i="141"/>
  <c r="J183" i="141"/>
  <c r="N183" i="141"/>
  <c r="O183" i="141"/>
  <c r="P183" i="141"/>
  <c r="M183" i="141"/>
  <c r="R183" i="141"/>
  <c r="K183" i="141"/>
  <c r="T183" i="141"/>
  <c r="S183" i="141"/>
  <c r="X183" i="141"/>
  <c r="U183" i="141"/>
  <c r="Y183" i="141"/>
  <c r="L183" i="141"/>
  <c r="W179" i="141"/>
  <c r="J179" i="141"/>
  <c r="S179" i="141"/>
  <c r="R179" i="141"/>
  <c r="N179" i="141"/>
  <c r="O179" i="141"/>
  <c r="H108" i="141"/>
  <c r="Q179" i="141" s="1"/>
  <c r="V179" i="141"/>
  <c r="P179" i="141"/>
  <c r="M179" i="141"/>
  <c r="T179" i="141"/>
  <c r="K179" i="141"/>
  <c r="X179" i="141"/>
  <c r="U179" i="141"/>
  <c r="L179" i="141"/>
  <c r="Y179" i="141"/>
  <c r="W219" i="141"/>
  <c r="U219" i="141"/>
  <c r="P219" i="141"/>
  <c r="S219" i="141"/>
  <c r="N219" i="141"/>
  <c r="O219" i="141"/>
  <c r="Y219" i="141"/>
  <c r="T219" i="141"/>
  <c r="V219" i="141"/>
  <c r="X219" i="141"/>
  <c r="J219" i="141"/>
  <c r="R219" i="141"/>
  <c r="K219" i="141"/>
  <c r="M219" i="141"/>
  <c r="L219" i="141"/>
  <c r="H172" i="141"/>
  <c r="Q219" i="141" s="1"/>
  <c r="P28" i="138"/>
  <c r="P29" i="138" s="1"/>
  <c r="O29" i="138"/>
  <c r="O66" i="139"/>
  <c r="O62" i="139"/>
  <c r="O58" i="139"/>
  <c r="O54" i="139"/>
  <c r="O56" i="139"/>
  <c r="O52" i="139"/>
  <c r="O65" i="139"/>
  <c r="O61" i="139"/>
  <c r="O57" i="139"/>
  <c r="O53" i="139"/>
  <c r="O63" i="139"/>
  <c r="O59" i="139"/>
  <c r="O55" i="139"/>
  <c r="O51" i="139"/>
  <c r="O64" i="139"/>
  <c r="O60" i="139"/>
  <c r="K27" i="138"/>
  <c r="H52" i="135"/>
  <c r="R56" i="135"/>
  <c r="H159" i="141"/>
  <c r="Q212" i="141" s="1"/>
  <c r="W208" i="141"/>
  <c r="J208" i="141"/>
  <c r="S208" i="141"/>
  <c r="V208" i="141"/>
  <c r="R208" i="141"/>
  <c r="N208" i="141"/>
  <c r="K208" i="141"/>
  <c r="P208" i="141"/>
  <c r="Y208" i="141"/>
  <c r="O208" i="141"/>
  <c r="T208" i="141"/>
  <c r="X208" i="141"/>
  <c r="M208" i="141"/>
  <c r="L208" i="141"/>
  <c r="U208" i="141"/>
  <c r="W204" i="141"/>
  <c r="H148" i="141"/>
  <c r="Q204" i="141" s="1"/>
  <c r="R204" i="141"/>
  <c r="K204" i="141"/>
  <c r="N204" i="141"/>
  <c r="V204" i="141"/>
  <c r="J204" i="141"/>
  <c r="O204" i="141"/>
  <c r="P204" i="141"/>
  <c r="U204" i="141"/>
  <c r="S204" i="141"/>
  <c r="T204" i="141"/>
  <c r="Y204" i="141"/>
  <c r="X204" i="141"/>
  <c r="M204" i="141"/>
  <c r="L204" i="141"/>
  <c r="L31" i="144"/>
  <c r="H46" i="142"/>
  <c r="H51" i="142"/>
  <c r="Q128" i="138"/>
  <c r="Q31" i="144"/>
  <c r="Q136" i="138"/>
  <c r="Q133" i="138"/>
  <c r="Q135" i="138"/>
  <c r="Q129" i="138"/>
  <c r="Q126" i="138"/>
  <c r="Q132" i="138"/>
  <c r="Q130" i="138"/>
  <c r="Q141" i="138"/>
  <c r="Q131" i="138"/>
  <c r="Q137" i="138"/>
  <c r="Q134" i="138"/>
  <c r="Q140" i="138"/>
  <c r="Q138" i="138"/>
  <c r="Q139" i="138"/>
  <c r="Q127" i="138"/>
  <c r="L66" i="139"/>
  <c r="L63" i="139"/>
  <c r="L59" i="139"/>
  <c r="L55" i="139"/>
  <c r="L51" i="139"/>
  <c r="L65" i="139"/>
  <c r="L61" i="139"/>
  <c r="L57" i="139"/>
  <c r="L53" i="139"/>
  <c r="L62" i="139"/>
  <c r="L64" i="139"/>
  <c r="L60" i="139"/>
  <c r="L56" i="139"/>
  <c r="L52" i="139"/>
  <c r="L58" i="139"/>
  <c r="L54" i="139"/>
  <c r="P66" i="139"/>
  <c r="P64" i="139"/>
  <c r="P60" i="139"/>
  <c r="P56" i="139"/>
  <c r="P52" i="139"/>
  <c r="P65" i="139"/>
  <c r="P61" i="139"/>
  <c r="P57" i="139"/>
  <c r="P53" i="139"/>
  <c r="P62" i="139"/>
  <c r="P58" i="139"/>
  <c r="P54" i="139"/>
  <c r="P63" i="139"/>
  <c r="P59" i="139"/>
  <c r="P55" i="139"/>
  <c r="P51" i="139"/>
  <c r="K56" i="135"/>
  <c r="H103" i="141"/>
  <c r="Q177" i="141" s="1"/>
  <c r="H135" i="141"/>
  <c r="Q197" i="141" s="1"/>
  <c r="O56" i="135"/>
  <c r="S56" i="135"/>
  <c r="H167" i="141"/>
  <c r="Q217" i="141" s="1"/>
  <c r="W193" i="141"/>
  <c r="V193" i="141"/>
  <c r="J193" i="141"/>
  <c r="N193" i="141"/>
  <c r="O193" i="141"/>
  <c r="S193" i="141"/>
  <c r="P193" i="141"/>
  <c r="T193" i="141"/>
  <c r="U193" i="141"/>
  <c r="R193" i="141"/>
  <c r="X193" i="141"/>
  <c r="Y193" i="141"/>
  <c r="L193" i="141"/>
  <c r="M193" i="141"/>
  <c r="K193" i="141"/>
  <c r="W213" i="141"/>
  <c r="V213" i="141"/>
  <c r="J213" i="141"/>
  <c r="N213" i="141"/>
  <c r="R213" i="141"/>
  <c r="S213" i="141"/>
  <c r="L213" i="141"/>
  <c r="Y213" i="141"/>
  <c r="P213" i="141"/>
  <c r="K213" i="141"/>
  <c r="T213" i="141"/>
  <c r="M213" i="141"/>
  <c r="X213" i="141"/>
  <c r="U213" i="141"/>
  <c r="O213" i="141"/>
  <c r="W189" i="141"/>
  <c r="R189" i="141"/>
  <c r="V189" i="141"/>
  <c r="K189" i="141"/>
  <c r="S189" i="141"/>
  <c r="H124" i="141"/>
  <c r="Q189" i="141" s="1"/>
  <c r="O189" i="141"/>
  <c r="P189" i="141"/>
  <c r="T189" i="141"/>
  <c r="U189" i="141"/>
  <c r="N189" i="141"/>
  <c r="X189" i="141"/>
  <c r="Y189" i="141"/>
  <c r="J189" i="141"/>
  <c r="M189" i="141"/>
  <c r="L189" i="141"/>
  <c r="W209" i="141"/>
  <c r="H156" i="141"/>
  <c r="Q209" i="141" s="1"/>
  <c r="N209" i="141"/>
  <c r="Y209" i="141"/>
  <c r="X209" i="141"/>
  <c r="M209" i="141"/>
  <c r="O209" i="141"/>
  <c r="U209" i="141"/>
  <c r="S209" i="141"/>
  <c r="V209" i="141"/>
  <c r="T209" i="141"/>
  <c r="P209" i="141"/>
  <c r="J209" i="141"/>
  <c r="K209" i="141"/>
  <c r="R209" i="141"/>
  <c r="L209" i="141"/>
  <c r="H151" i="141"/>
  <c r="Q207" i="141" s="1"/>
  <c r="Q56" i="135"/>
  <c r="W203" i="141"/>
  <c r="V203" i="141"/>
  <c r="J203" i="141"/>
  <c r="N203" i="141"/>
  <c r="P203" i="141"/>
  <c r="U203" i="141"/>
  <c r="K203" i="141"/>
  <c r="T203" i="141"/>
  <c r="Y203" i="141"/>
  <c r="O203" i="141"/>
  <c r="X203" i="141"/>
  <c r="M203" i="141"/>
  <c r="S203" i="141"/>
  <c r="R203" i="141"/>
  <c r="L203" i="141"/>
  <c r="W199" i="141"/>
  <c r="H140" i="141"/>
  <c r="Q199" i="141" s="1"/>
  <c r="S199" i="141"/>
  <c r="K199" i="141"/>
  <c r="N199" i="141"/>
  <c r="O199" i="141"/>
  <c r="J199" i="141"/>
  <c r="V199" i="141"/>
  <c r="P199" i="141"/>
  <c r="U199" i="141"/>
  <c r="R199" i="141"/>
  <c r="T199" i="141"/>
  <c r="Y199" i="141"/>
  <c r="X199" i="141"/>
  <c r="M199" i="141"/>
  <c r="L199" i="141"/>
  <c r="H22" i="148" a="1"/>
  <c r="S66" i="139"/>
  <c r="S65" i="139"/>
  <c r="S61" i="139"/>
  <c r="S57" i="139"/>
  <c r="S53" i="139"/>
  <c r="S62" i="139"/>
  <c r="S58" i="139"/>
  <c r="S54" i="139"/>
  <c r="S63" i="139"/>
  <c r="S59" i="139"/>
  <c r="S55" i="139"/>
  <c r="S51" i="139"/>
  <c r="S64" i="139"/>
  <c r="S60" i="139"/>
  <c r="S56" i="139"/>
  <c r="S52" i="139"/>
  <c r="N56" i="135"/>
  <c r="H127" i="141"/>
  <c r="Q192" i="141" s="1"/>
  <c r="W188" i="141"/>
  <c r="S188" i="141"/>
  <c r="V188" i="141"/>
  <c r="N188" i="141"/>
  <c r="J188" i="141"/>
  <c r="R188" i="141"/>
  <c r="K188" i="141"/>
  <c r="P188" i="141"/>
  <c r="M188" i="141"/>
  <c r="T188" i="141"/>
  <c r="U188" i="141"/>
  <c r="O188" i="141"/>
  <c r="X188" i="141"/>
  <c r="Y188" i="141"/>
  <c r="L188" i="141"/>
  <c r="W184" i="141"/>
  <c r="V184" i="141"/>
  <c r="J184" i="141"/>
  <c r="R184" i="141"/>
  <c r="K184" i="141"/>
  <c r="N184" i="141"/>
  <c r="H116" i="141"/>
  <c r="Q184" i="141" s="1"/>
  <c r="S184" i="141"/>
  <c r="P184" i="141"/>
  <c r="M184" i="141"/>
  <c r="T184" i="141"/>
  <c r="X184" i="141"/>
  <c r="U184" i="141"/>
  <c r="L184" i="141"/>
  <c r="Y184" i="141"/>
  <c r="O184" i="141"/>
  <c r="H47" i="142"/>
  <c r="M31" i="144"/>
  <c r="R31" i="144"/>
  <c r="H52" i="142"/>
  <c r="R141" i="138"/>
  <c r="R133" i="138"/>
  <c r="R134" i="138"/>
  <c r="R127" i="138"/>
  <c r="R135" i="138"/>
  <c r="R131" i="138"/>
  <c r="R137" i="138"/>
  <c r="R136" i="138"/>
  <c r="R126" i="138"/>
  <c r="R138" i="138"/>
  <c r="R139" i="138"/>
  <c r="R129" i="138"/>
  <c r="R128" i="138"/>
  <c r="R132" i="138"/>
  <c r="R140" i="138"/>
  <c r="R130" i="138"/>
  <c r="M66" i="139"/>
  <c r="M65" i="139"/>
  <c r="M61" i="139"/>
  <c r="M57" i="139"/>
  <c r="M53" i="139"/>
  <c r="M62" i="139"/>
  <c r="M58" i="139"/>
  <c r="M54" i="139"/>
  <c r="M63" i="139"/>
  <c r="M59" i="139"/>
  <c r="M55" i="139"/>
  <c r="M51" i="139"/>
  <c r="M64" i="139"/>
  <c r="M60" i="139"/>
  <c r="M56" i="139"/>
  <c r="M52" i="139"/>
  <c r="Q66" i="139"/>
  <c r="Q62" i="139"/>
  <c r="Q58" i="139"/>
  <c r="Q54" i="139"/>
  <c r="Q65" i="139"/>
  <c r="Q61" i="139"/>
  <c r="Q57" i="139"/>
  <c r="Q53" i="139"/>
  <c r="Q63" i="139"/>
  <c r="Q59" i="139"/>
  <c r="Q55" i="139"/>
  <c r="Q51" i="139"/>
  <c r="Q64" i="139"/>
  <c r="Q60" i="139"/>
  <c r="Q56" i="139"/>
  <c r="Q52" i="139"/>
  <c r="H111" i="141"/>
  <c r="Q182" i="141" s="1"/>
  <c r="L57" i="135"/>
  <c r="H143" i="141"/>
  <c r="Q202" i="141" s="1"/>
  <c r="P57" i="135"/>
  <c r="W178" i="141"/>
  <c r="R178" i="141"/>
  <c r="S178" i="141"/>
  <c r="K178" i="141"/>
  <c r="N178" i="141"/>
  <c r="O178" i="141"/>
  <c r="P178" i="141"/>
  <c r="V178" i="141"/>
  <c r="J178" i="141"/>
  <c r="T178" i="141"/>
  <c r="M178" i="141"/>
  <c r="X178" i="141"/>
  <c r="U178" i="141"/>
  <c r="L178" i="141"/>
  <c r="Y178" i="141"/>
  <c r="W198" i="141"/>
  <c r="R198" i="141"/>
  <c r="S198" i="141"/>
  <c r="N198" i="141"/>
  <c r="J198" i="141"/>
  <c r="K198" i="141"/>
  <c r="O198" i="141"/>
  <c r="P198" i="141"/>
  <c r="U198" i="141"/>
  <c r="T198" i="141"/>
  <c r="Y198" i="141"/>
  <c r="V198" i="141"/>
  <c r="X198" i="141"/>
  <c r="L198" i="141"/>
  <c r="M198" i="141"/>
  <c r="W218" i="141"/>
  <c r="J218" i="141"/>
  <c r="O218" i="141"/>
  <c r="L218" i="141"/>
  <c r="Y218" i="141"/>
  <c r="S218" i="141"/>
  <c r="P218" i="141"/>
  <c r="M218" i="141"/>
  <c r="R218" i="141"/>
  <c r="T218" i="141"/>
  <c r="N218" i="141"/>
  <c r="V218" i="141"/>
  <c r="X218" i="141"/>
  <c r="U218" i="141"/>
  <c r="K218" i="141"/>
  <c r="W194" i="141"/>
  <c r="H132" i="141"/>
  <c r="Q194" i="141" s="1"/>
  <c r="K194" i="141"/>
  <c r="N194" i="141"/>
  <c r="V194" i="141"/>
  <c r="R194" i="141"/>
  <c r="S194" i="141"/>
  <c r="J194" i="141"/>
  <c r="P194" i="141"/>
  <c r="O194" i="141"/>
  <c r="T194" i="141"/>
  <c r="U194" i="141"/>
  <c r="X194" i="141"/>
  <c r="Y194" i="141"/>
  <c r="L194" i="141"/>
  <c r="M194" i="141"/>
  <c r="W214" i="141"/>
  <c r="N214" i="141"/>
  <c r="R214" i="141"/>
  <c r="V214" i="141"/>
  <c r="L214" i="141"/>
  <c r="Y214" i="141"/>
  <c r="K214" i="141"/>
  <c r="P214" i="141"/>
  <c r="M214" i="141"/>
  <c r="O214" i="141"/>
  <c r="T214" i="141"/>
  <c r="H164" i="141"/>
  <c r="Q214" i="141" s="1"/>
  <c r="S214" i="141"/>
  <c r="U214" i="141"/>
  <c r="J214" i="141"/>
  <c r="X214" i="141"/>
  <c r="P46" i="144"/>
  <c r="H37" i="138"/>
  <c r="H39" i="137"/>
  <c r="T59" i="140"/>
  <c r="T16" i="154"/>
  <c r="T19" i="154"/>
  <c r="T96" i="140"/>
  <c r="T20" i="152"/>
  <c r="L37" i="154"/>
  <c r="L22" i="152"/>
  <c r="L98" i="140"/>
  <c r="W96" i="140"/>
  <c r="W20" i="152"/>
  <c r="W19" i="154"/>
  <c r="W128" i="154" s="1"/>
  <c r="P37" i="154"/>
  <c r="P22" i="152"/>
  <c r="P98" i="140"/>
  <c r="N38" i="154"/>
  <c r="N109" i="140"/>
  <c r="K19" i="154"/>
  <c r="K20" i="152"/>
  <c r="K96" i="140"/>
  <c r="R35" i="154"/>
  <c r="R72" i="140"/>
  <c r="T61" i="140"/>
  <c r="T34" i="154"/>
  <c r="Q17" i="154"/>
  <c r="Q70" i="140"/>
  <c r="N131" i="140"/>
  <c r="N40" i="154"/>
  <c r="N98" i="140"/>
  <c r="N37" i="154"/>
  <c r="N22" i="152"/>
  <c r="L28" i="154"/>
  <c r="L97" i="140"/>
  <c r="L21" i="152"/>
  <c r="U20" i="152"/>
  <c r="U96" i="140"/>
  <c r="U19" i="154"/>
  <c r="U128" i="154" s="1"/>
  <c r="M27" i="154"/>
  <c r="M82" i="140"/>
  <c r="J70" i="140"/>
  <c r="J17" i="154"/>
  <c r="J20" i="152"/>
  <c r="J19" i="154"/>
  <c r="J96" i="140"/>
  <c r="N25" i="154"/>
  <c r="N60" i="140"/>
  <c r="J61" i="140"/>
  <c r="J34" i="154"/>
  <c r="T83" i="140"/>
  <c r="T36" i="154"/>
  <c r="T21" i="143"/>
  <c r="T25" i="146"/>
  <c r="R25" i="146"/>
  <c r="R21" i="143"/>
  <c r="O16" i="154"/>
  <c r="O59" i="140"/>
  <c r="M16" i="154"/>
  <c r="M59" i="140"/>
  <c r="U16" i="154"/>
  <c r="U59" i="140"/>
  <c r="P59" i="140"/>
  <c r="P16" i="154"/>
  <c r="P20" i="154"/>
  <c r="P107" i="140"/>
  <c r="P118" i="140"/>
  <c r="P21" i="154"/>
  <c r="S61" i="140"/>
  <c r="S34" i="154"/>
  <c r="X18" i="154"/>
  <c r="X81" i="140"/>
  <c r="N35" i="154"/>
  <c r="N72" i="140"/>
  <c r="S19" i="154"/>
  <c r="S96" i="140"/>
  <c r="S20" i="152"/>
  <c r="V83" i="140"/>
  <c r="V36" i="154"/>
  <c r="P120" i="140"/>
  <c r="P39" i="154"/>
  <c r="Y70" i="140"/>
  <c r="Y17" i="154"/>
  <c r="L35" i="154"/>
  <c r="L72" i="140"/>
  <c r="R25" i="154"/>
  <c r="R60" i="140"/>
  <c r="X83" i="140"/>
  <c r="X36" i="154"/>
  <c r="Y20" i="152"/>
  <c r="Y19" i="154"/>
  <c r="Y128" i="154" s="1"/>
  <c r="Y96" i="140"/>
  <c r="T27" i="154"/>
  <c r="T82" i="140"/>
  <c r="N18" i="154"/>
  <c r="N81" i="140"/>
  <c r="N19" i="154"/>
  <c r="N20" i="152"/>
  <c r="N96" i="140"/>
  <c r="N108" i="140"/>
  <c r="N29" i="154"/>
  <c r="N34" i="154"/>
  <c r="N61" i="140"/>
  <c r="V72" i="140"/>
  <c r="V35" i="154"/>
  <c r="W16" i="154"/>
  <c r="W59" i="140"/>
  <c r="V59" i="140"/>
  <c r="V16" i="154"/>
  <c r="J59" i="140"/>
  <c r="J16" i="154"/>
  <c r="T81" i="140"/>
  <c r="T18" i="154"/>
  <c r="V129" i="140"/>
  <c r="V22" i="154"/>
  <c r="P131" i="140"/>
  <c r="P40" i="154"/>
  <c r="W81" i="140"/>
  <c r="W18" i="154"/>
  <c r="K25" i="154"/>
  <c r="K60" i="140"/>
  <c r="J72" i="140"/>
  <c r="J35" i="154"/>
  <c r="P70" i="140"/>
  <c r="P17" i="154"/>
  <c r="P19" i="154"/>
  <c r="P96" i="140"/>
  <c r="P20" i="152"/>
  <c r="Q26" i="154"/>
  <c r="Q71" i="140"/>
  <c r="Q36" i="154"/>
  <c r="Q83" i="140"/>
  <c r="K18" i="154"/>
  <c r="K81" i="140"/>
  <c r="O20" i="154"/>
  <c r="O107" i="140"/>
  <c r="K34" i="154"/>
  <c r="K61" i="140"/>
  <c r="R82" i="140"/>
  <c r="R27" i="154"/>
  <c r="K35" i="154"/>
  <c r="K72" i="140"/>
  <c r="R36" i="154"/>
  <c r="R83" i="140"/>
  <c r="Q18" i="154"/>
  <c r="Q81" i="140"/>
  <c r="T25" i="154"/>
  <c r="T60" i="140"/>
  <c r="P35" i="154"/>
  <c r="P72" i="140"/>
  <c r="S36" i="154"/>
  <c r="S83" i="140"/>
  <c r="X98" i="140"/>
  <c r="X37" i="154"/>
  <c r="X130" i="154" s="1"/>
  <c r="X22" i="152"/>
  <c r="L71" i="140"/>
  <c r="L26" i="154"/>
  <c r="O38" i="154"/>
  <c r="O109" i="140"/>
  <c r="Q22" i="152"/>
  <c r="Q98" i="140"/>
  <c r="Q37" i="154"/>
  <c r="U18" i="154"/>
  <c r="U81" i="140"/>
  <c r="O129" i="140"/>
  <c r="O22" i="154"/>
  <c r="M71" i="140"/>
  <c r="M26" i="154"/>
  <c r="M28" i="154"/>
  <c r="M129" i="154" s="1"/>
  <c r="M21" i="152"/>
  <c r="M97" i="140"/>
  <c r="P109" i="140"/>
  <c r="P38" i="154"/>
  <c r="R70" i="140"/>
  <c r="R17" i="154"/>
  <c r="R18" i="154"/>
  <c r="R81" i="140"/>
  <c r="R20" i="152"/>
  <c r="R96" i="140"/>
  <c r="R19" i="154"/>
  <c r="P22" i="154"/>
  <c r="P129" i="140"/>
  <c r="J71" i="140"/>
  <c r="J26" i="154"/>
  <c r="J28" i="154"/>
  <c r="J21" i="152"/>
  <c r="J97" i="140"/>
  <c r="R34" i="154"/>
  <c r="R61" i="140"/>
  <c r="X40" i="154"/>
  <c r="X131" i="140"/>
  <c r="L83" i="140"/>
  <c r="L36" i="154"/>
  <c r="O37" i="154"/>
  <c r="O98" i="140"/>
  <c r="O22" i="152"/>
  <c r="L25" i="146"/>
  <c r="L21" i="143"/>
  <c r="J21" i="143"/>
  <c r="J25" i="146"/>
  <c r="S59" i="140"/>
  <c r="S16" i="154"/>
  <c r="Y59" i="140"/>
  <c r="Y16" i="154"/>
  <c r="X59" i="140"/>
  <c r="X16" i="154"/>
  <c r="T70" i="140"/>
  <c r="T17" i="154"/>
  <c r="Q27" i="154"/>
  <c r="Q82" i="140"/>
  <c r="W17" i="154"/>
  <c r="W70" i="140"/>
  <c r="K21" i="152"/>
  <c r="K28" i="154"/>
  <c r="K129" i="154" s="1"/>
  <c r="K97" i="140"/>
  <c r="P81" i="140"/>
  <c r="P18" i="154"/>
  <c r="N129" i="140"/>
  <c r="N22" i="154"/>
  <c r="K17" i="154"/>
  <c r="K70" i="140"/>
  <c r="Q60" i="140"/>
  <c r="Q25" i="154"/>
  <c r="N130" i="140"/>
  <c r="N31" i="154"/>
  <c r="S35" i="154"/>
  <c r="S72" i="140"/>
  <c r="Q19" i="154"/>
  <c r="Q96" i="140"/>
  <c r="Q20" i="152"/>
  <c r="K36" i="154"/>
  <c r="K83" i="140"/>
  <c r="J36" i="154"/>
  <c r="J83" i="140"/>
  <c r="U17" i="154"/>
  <c r="U70" i="140"/>
  <c r="M60" i="140"/>
  <c r="M25" i="154"/>
  <c r="M61" i="140"/>
  <c r="M34" i="154"/>
  <c r="J81" i="140"/>
  <c r="J18" i="154"/>
  <c r="N107" i="140"/>
  <c r="N20" i="154"/>
  <c r="J82" i="140"/>
  <c r="J27" i="154"/>
  <c r="N120" i="140"/>
  <c r="N39" i="154"/>
  <c r="Q72" i="140"/>
  <c r="Q35" i="154"/>
  <c r="U21" i="143"/>
  <c r="U25" i="146"/>
  <c r="O21" i="143"/>
  <c r="O25" i="146"/>
  <c r="Q16" i="154"/>
  <c r="Q59" i="140"/>
  <c r="L16" i="154"/>
  <c r="L59" i="140"/>
  <c r="L81" i="140"/>
  <c r="L18" i="154"/>
  <c r="O34" i="154"/>
  <c r="O61" i="140"/>
  <c r="O18" i="154"/>
  <c r="O81" i="140"/>
  <c r="L60" i="140"/>
  <c r="L25" i="154"/>
  <c r="S17" i="154"/>
  <c r="S70" i="140"/>
  <c r="K27" i="154"/>
  <c r="K82" i="140"/>
  <c r="R71" i="140"/>
  <c r="R26" i="154"/>
  <c r="N83" i="140"/>
  <c r="N36" i="154"/>
  <c r="N118" i="140"/>
  <c r="N21" i="154"/>
  <c r="O36" i="154"/>
  <c r="O83" i="140"/>
  <c r="R37" i="154"/>
  <c r="R130" i="154" s="1"/>
  <c r="R98" i="140"/>
  <c r="R22" i="152"/>
  <c r="P61" i="140"/>
  <c r="P34" i="154"/>
  <c r="M18" i="154"/>
  <c r="M81" i="140"/>
  <c r="T130" i="140"/>
  <c r="T31" i="154"/>
  <c r="V34" i="154"/>
  <c r="V61" i="140"/>
  <c r="N17" i="154"/>
  <c r="N70" i="140"/>
  <c r="O21" i="154"/>
  <c r="O118" i="140"/>
  <c r="N27" i="154"/>
  <c r="N82" i="140"/>
  <c r="O40" i="154"/>
  <c r="O131" i="140"/>
  <c r="K37" i="154"/>
  <c r="K130" i="154" s="1"/>
  <c r="K98" i="140"/>
  <c r="K22" i="152"/>
  <c r="S21" i="143"/>
  <c r="S25" i="146"/>
  <c r="K16" i="154"/>
  <c r="K59" i="140"/>
  <c r="N16" i="154"/>
  <c r="N59" i="140"/>
  <c r="R59" i="140"/>
  <c r="R16" i="154"/>
  <c r="L70" i="140"/>
  <c r="L17" i="154"/>
  <c r="L19" i="154"/>
  <c r="L96" i="140"/>
  <c r="L20" i="152"/>
  <c r="N119" i="140"/>
  <c r="N30" i="154"/>
  <c r="X72" i="140"/>
  <c r="X35" i="154"/>
  <c r="O17" i="154"/>
  <c r="O70" i="140"/>
  <c r="O19" i="154"/>
  <c r="O20" i="152"/>
  <c r="O96" i="140"/>
  <c r="K26" i="154"/>
  <c r="K71" i="140"/>
  <c r="M36" i="154"/>
  <c r="M83" i="140"/>
  <c r="X70" i="140"/>
  <c r="X17" i="154"/>
  <c r="X19" i="154"/>
  <c r="X20" i="152"/>
  <c r="X96" i="140"/>
  <c r="Q21" i="152"/>
  <c r="Q28" i="154"/>
  <c r="Q97" i="140"/>
  <c r="T37" i="154"/>
  <c r="T130" i="154" s="1"/>
  <c r="T22" i="152"/>
  <c r="T98" i="140"/>
  <c r="S18" i="154"/>
  <c r="S81" i="140"/>
  <c r="X22" i="154"/>
  <c r="X129" i="140"/>
  <c r="O39" i="154"/>
  <c r="O120" i="140"/>
  <c r="R28" i="154"/>
  <c r="R129" i="154" s="1"/>
  <c r="R21" i="152"/>
  <c r="R97" i="140"/>
  <c r="L61" i="140"/>
  <c r="L34" i="154"/>
  <c r="O72" i="140"/>
  <c r="O35" i="154"/>
  <c r="M37" i="154"/>
  <c r="M130" i="154" s="1"/>
  <c r="M22" i="152"/>
  <c r="M98" i="140"/>
  <c r="Y18" i="154"/>
  <c r="Y81" i="140"/>
  <c r="Q34" i="154"/>
  <c r="Q61" i="140"/>
  <c r="T35" i="154"/>
  <c r="T72" i="140"/>
  <c r="J37" i="154"/>
  <c r="J98" i="140"/>
  <c r="J22" i="152"/>
  <c r="L82" i="140"/>
  <c r="L27" i="154"/>
  <c r="T131" i="140"/>
  <c r="T40" i="154"/>
  <c r="V22" i="152"/>
  <c r="V98" i="140"/>
  <c r="V37" i="154"/>
  <c r="V130" i="154" s="1"/>
  <c r="M17" i="154"/>
  <c r="M70" i="140"/>
  <c r="M19" i="154"/>
  <c r="M96" i="140"/>
  <c r="M20" i="152"/>
  <c r="T129" i="140"/>
  <c r="T22" i="154"/>
  <c r="T26" i="154"/>
  <c r="T71" i="140"/>
  <c r="T28" i="154"/>
  <c r="T129" i="154" s="1"/>
  <c r="T97" i="140"/>
  <c r="T21" i="152"/>
  <c r="V40" i="154"/>
  <c r="V131" i="140"/>
  <c r="V17" i="154"/>
  <c r="V70" i="140"/>
  <c r="V18" i="154"/>
  <c r="V81" i="140"/>
  <c r="V96" i="140"/>
  <c r="V20" i="152"/>
  <c r="V19" i="154"/>
  <c r="J25" i="154"/>
  <c r="J60" i="140"/>
  <c r="N26" i="154"/>
  <c r="N71" i="140"/>
  <c r="N28" i="154"/>
  <c r="N21" i="152"/>
  <c r="N97" i="140"/>
  <c r="X61" i="140"/>
  <c r="X34" i="154"/>
  <c r="M72" i="140"/>
  <c r="M35" i="154"/>
  <c r="P83" i="140"/>
  <c r="P36" i="154"/>
  <c r="S37" i="154"/>
  <c r="S130" i="154" s="1"/>
  <c r="S98" i="140"/>
  <c r="S22" i="152"/>
  <c r="N21" i="143"/>
  <c r="N25" i="146"/>
  <c r="J50" i="134" a="1"/>
  <c r="AO116" i="151"/>
  <c r="H190" i="100" a="1"/>
  <c r="H190" i="100" s="1"/>
  <c r="H218" i="100" s="1"/>
  <c r="Q45" i="137" l="1"/>
  <c r="M45" i="137"/>
  <c r="N45" i="137"/>
  <c r="J45" i="137"/>
  <c r="P45" i="137"/>
  <c r="L45" i="137"/>
  <c r="K45" i="137"/>
  <c r="O45" i="137"/>
  <c r="H57" i="135"/>
  <c r="H70" i="139" a="1"/>
  <c r="H70" i="139" s="1"/>
  <c r="V182" i="141"/>
  <c r="O182" i="141"/>
  <c r="S182" i="141"/>
  <c r="W182" i="141"/>
  <c r="K182" i="141"/>
  <c r="H115" i="141"/>
  <c r="Q183" i="141" s="1"/>
  <c r="J182" i="141"/>
  <c r="P182" i="141"/>
  <c r="M182" i="141"/>
  <c r="N182" i="141"/>
  <c r="T182" i="141"/>
  <c r="R182" i="141"/>
  <c r="X182" i="141"/>
  <c r="U182" i="141"/>
  <c r="Y182" i="141"/>
  <c r="L182" i="141"/>
  <c r="H26" i="148"/>
  <c r="H30" i="148"/>
  <c r="H25" i="148"/>
  <c r="H22" i="148"/>
  <c r="H28" i="148"/>
  <c r="H29" i="148"/>
  <c r="H24" i="148"/>
  <c r="H27" i="148"/>
  <c r="H23" i="148"/>
  <c r="W197" i="141"/>
  <c r="J197" i="141"/>
  <c r="V197" i="141"/>
  <c r="O197" i="141"/>
  <c r="H139" i="141"/>
  <c r="Q198" i="141" s="1"/>
  <c r="P197" i="141"/>
  <c r="T197" i="141"/>
  <c r="U197" i="141"/>
  <c r="K197" i="141"/>
  <c r="X197" i="141"/>
  <c r="Y197" i="141"/>
  <c r="S197" i="141"/>
  <c r="M197" i="141"/>
  <c r="R197" i="141"/>
  <c r="N197" i="141"/>
  <c r="L197" i="141"/>
  <c r="J69" i="145" a="1"/>
  <c r="J109" i="148" a="1"/>
  <c r="J107" i="149" a="1"/>
  <c r="V212" i="141"/>
  <c r="K212" i="141"/>
  <c r="O212" i="141"/>
  <c r="N212" i="141"/>
  <c r="J212" i="141"/>
  <c r="S212" i="141"/>
  <c r="W212" i="141"/>
  <c r="R212" i="141"/>
  <c r="L212" i="141"/>
  <c r="U212" i="141"/>
  <c r="P212" i="141"/>
  <c r="Y212" i="141"/>
  <c r="H163" i="141"/>
  <c r="Q213" i="141" s="1"/>
  <c r="T212" i="141"/>
  <c r="M212" i="141"/>
  <c r="X212" i="141"/>
  <c r="K29" i="138"/>
  <c r="J28" i="138"/>
  <c r="J29" i="138" s="1"/>
  <c r="V192" i="141"/>
  <c r="H131" i="141"/>
  <c r="Q193" i="141" s="1"/>
  <c r="S192" i="141"/>
  <c r="K192" i="141"/>
  <c r="O192" i="141"/>
  <c r="J192" i="141"/>
  <c r="N192" i="141"/>
  <c r="W192" i="141"/>
  <c r="R192" i="141"/>
  <c r="P192" i="141"/>
  <c r="T192" i="141"/>
  <c r="U192" i="141"/>
  <c r="X192" i="141"/>
  <c r="Y192" i="141"/>
  <c r="L192" i="141"/>
  <c r="M192" i="141"/>
  <c r="W207" i="141"/>
  <c r="O207" i="141"/>
  <c r="H155" i="141"/>
  <c r="Q208" i="141" s="1"/>
  <c r="N207" i="141"/>
  <c r="R207" i="141"/>
  <c r="V207" i="141"/>
  <c r="P207" i="141"/>
  <c r="U207" i="141"/>
  <c r="T207" i="141"/>
  <c r="Y207" i="141"/>
  <c r="J207" i="141"/>
  <c r="K207" i="141"/>
  <c r="X207" i="141"/>
  <c r="M207" i="141"/>
  <c r="L207" i="141"/>
  <c r="S207" i="141"/>
  <c r="W217" i="141"/>
  <c r="J217" i="141"/>
  <c r="N217" i="141"/>
  <c r="H171" i="141"/>
  <c r="Q218" i="141" s="1"/>
  <c r="R217" i="141"/>
  <c r="K217" i="141"/>
  <c r="L217" i="141"/>
  <c r="Y217" i="141"/>
  <c r="V217" i="141"/>
  <c r="O217" i="141"/>
  <c r="P217" i="141"/>
  <c r="M217" i="141"/>
  <c r="S217" i="141"/>
  <c r="T217" i="141"/>
  <c r="U217" i="141"/>
  <c r="X217" i="141"/>
  <c r="W177" i="141"/>
  <c r="V177" i="141"/>
  <c r="O177" i="141"/>
  <c r="J177" i="141"/>
  <c r="N177" i="141"/>
  <c r="R177" i="141"/>
  <c r="P177" i="141"/>
  <c r="Y177" i="141"/>
  <c r="T177" i="141"/>
  <c r="M177" i="141"/>
  <c r="K177" i="141"/>
  <c r="X177" i="141"/>
  <c r="H107" i="141"/>
  <c r="Q178" i="141" s="1"/>
  <c r="S177" i="141"/>
  <c r="U177" i="141"/>
  <c r="L177" i="141"/>
  <c r="O31" i="144"/>
  <c r="H49" i="142"/>
  <c r="K20" i="138"/>
  <c r="P47" i="144"/>
  <c r="N47" i="144"/>
  <c r="M47" i="144"/>
  <c r="O47" i="144"/>
  <c r="P38" i="138"/>
  <c r="N38" i="138"/>
  <c r="M38" i="138"/>
  <c r="O38" i="138"/>
  <c r="V202" i="141"/>
  <c r="K202" i="141"/>
  <c r="W202" i="141"/>
  <c r="J202" i="141"/>
  <c r="H147" i="141"/>
  <c r="Q203" i="141" s="1"/>
  <c r="R202" i="141"/>
  <c r="N202" i="141"/>
  <c r="P202" i="141"/>
  <c r="U202" i="141"/>
  <c r="O202" i="141"/>
  <c r="T202" i="141"/>
  <c r="Y202" i="141"/>
  <c r="S202" i="141"/>
  <c r="X202" i="141"/>
  <c r="M202" i="141"/>
  <c r="L202" i="141"/>
  <c r="H56" i="135"/>
  <c r="P31" i="144"/>
  <c r="H50" i="142"/>
  <c r="W187" i="141"/>
  <c r="N187" i="141"/>
  <c r="O187" i="141"/>
  <c r="J187" i="141"/>
  <c r="R187" i="141"/>
  <c r="V187" i="141"/>
  <c r="H123" i="141"/>
  <c r="Q188" i="141" s="1"/>
  <c r="K187" i="141"/>
  <c r="P187" i="141"/>
  <c r="M187" i="141"/>
  <c r="S187" i="141"/>
  <c r="T187" i="141"/>
  <c r="X187" i="141"/>
  <c r="U187" i="141"/>
  <c r="L187" i="141"/>
  <c r="Y187" i="141"/>
  <c r="J50" i="134"/>
  <c r="X50" i="134"/>
  <c r="X23" i="152" s="1"/>
  <c r="T50" i="134"/>
  <c r="T23" i="152" s="1"/>
  <c r="K50" i="134"/>
  <c r="K23" i="152" s="1"/>
  <c r="M50" i="134"/>
  <c r="M23" i="152" s="1"/>
  <c r="Q50" i="134"/>
  <c r="Q23" i="152" s="1"/>
  <c r="W50" i="134"/>
  <c r="W23" i="152" s="1"/>
  <c r="V50" i="134"/>
  <c r="V23" i="152" s="1"/>
  <c r="U50" i="134"/>
  <c r="U23" i="152" s="1"/>
  <c r="Y50" i="134"/>
  <c r="Y23" i="152" s="1"/>
  <c r="S50" i="134"/>
  <c r="S23" i="152" s="1"/>
  <c r="R50" i="134"/>
  <c r="R23" i="152" s="1"/>
  <c r="P50" i="134"/>
  <c r="P23" i="152" s="1"/>
  <c r="L50" i="134"/>
  <c r="L23" i="152" s="1"/>
  <c r="O50" i="134"/>
  <c r="O23" i="152" s="1"/>
  <c r="N50" i="134"/>
  <c r="N23" i="152" s="1"/>
  <c r="AP116" i="151"/>
  <c r="H59" i="135" l="1"/>
  <c r="A4" i="135" s="1"/>
  <c r="A4" i="139"/>
  <c r="J43" i="55"/>
  <c r="H58" i="137" a="1"/>
  <c r="H58" i="137" s="1"/>
  <c r="K76" i="145"/>
  <c r="K75" i="145"/>
  <c r="K74" i="145"/>
  <c r="K73" i="145"/>
  <c r="K72" i="145"/>
  <c r="K71" i="145"/>
  <c r="K70" i="145"/>
  <c r="K69" i="145"/>
  <c r="V75" i="145"/>
  <c r="Q74" i="145"/>
  <c r="L73" i="145"/>
  <c r="V71" i="145"/>
  <c r="Q70" i="145"/>
  <c r="L69" i="145"/>
  <c r="U75" i="145"/>
  <c r="P74" i="145"/>
  <c r="J73" i="145"/>
  <c r="U71" i="145"/>
  <c r="P70" i="145"/>
  <c r="J69" i="145"/>
  <c r="Y75" i="145"/>
  <c r="T74" i="145"/>
  <c r="N73" i="145"/>
  <c r="Y71" i="145"/>
  <c r="T70" i="145"/>
  <c r="N69" i="145"/>
  <c r="X75" i="145"/>
  <c r="R74" i="145"/>
  <c r="M73" i="145"/>
  <c r="X71" i="145"/>
  <c r="R70" i="145"/>
  <c r="M69" i="145"/>
  <c r="O76" i="145"/>
  <c r="O74" i="145"/>
  <c r="O72" i="145"/>
  <c r="O70" i="145"/>
  <c r="L76" i="145"/>
  <c r="Q73" i="145"/>
  <c r="Q69" i="145"/>
  <c r="U74" i="145"/>
  <c r="U70" i="145"/>
  <c r="N76" i="145"/>
  <c r="T73" i="145"/>
  <c r="Y70" i="145"/>
  <c r="M76" i="145"/>
  <c r="R73" i="145"/>
  <c r="X70" i="145"/>
  <c r="W76" i="145"/>
  <c r="W75" i="145"/>
  <c r="W74" i="145"/>
  <c r="W73" i="145"/>
  <c r="W72" i="145"/>
  <c r="W71" i="145"/>
  <c r="W70" i="145"/>
  <c r="W69" i="145"/>
  <c r="V76" i="145"/>
  <c r="Q75" i="145"/>
  <c r="L74" i="145"/>
  <c r="V72" i="145"/>
  <c r="Q71" i="145"/>
  <c r="L70" i="145"/>
  <c r="U76" i="145"/>
  <c r="P75" i="145"/>
  <c r="J74" i="145"/>
  <c r="U72" i="145"/>
  <c r="P71" i="145"/>
  <c r="J70" i="145"/>
  <c r="Y76" i="145"/>
  <c r="T75" i="145"/>
  <c r="N74" i="145"/>
  <c r="Y72" i="145"/>
  <c r="T71" i="145"/>
  <c r="N70" i="145"/>
  <c r="X76" i="145"/>
  <c r="R75" i="145"/>
  <c r="M74" i="145"/>
  <c r="X72" i="145"/>
  <c r="R71" i="145"/>
  <c r="M70" i="145"/>
  <c r="O75" i="145"/>
  <c r="O73" i="145"/>
  <c r="O71" i="145"/>
  <c r="O69" i="145"/>
  <c r="V74" i="145"/>
  <c r="L72" i="145"/>
  <c r="V70" i="145"/>
  <c r="J76" i="145"/>
  <c r="P73" i="145"/>
  <c r="J72" i="145"/>
  <c r="P69" i="145"/>
  <c r="Y74" i="145"/>
  <c r="N72" i="145"/>
  <c r="T69" i="145"/>
  <c r="X74" i="145"/>
  <c r="M72" i="145"/>
  <c r="R69" i="145"/>
  <c r="S76" i="145"/>
  <c r="S75" i="145"/>
  <c r="S74" i="145"/>
  <c r="S73" i="145"/>
  <c r="S72" i="145"/>
  <c r="S71" i="145"/>
  <c r="S70" i="145"/>
  <c r="S69" i="145"/>
  <c r="Q76" i="145"/>
  <c r="L75" i="145"/>
  <c r="V73" i="145"/>
  <c r="Q72" i="145"/>
  <c r="L71" i="145"/>
  <c r="V69" i="145"/>
  <c r="P76" i="145"/>
  <c r="J75" i="145"/>
  <c r="U73" i="145"/>
  <c r="P72" i="145"/>
  <c r="J71" i="145"/>
  <c r="U69" i="145"/>
  <c r="T76" i="145"/>
  <c r="N75" i="145"/>
  <c r="Y73" i="145"/>
  <c r="T72" i="145"/>
  <c r="N71" i="145"/>
  <c r="Y69" i="145"/>
  <c r="R76" i="145"/>
  <c r="M75" i="145"/>
  <c r="X73" i="145"/>
  <c r="R72" i="145"/>
  <c r="M71" i="145"/>
  <c r="X69" i="145"/>
  <c r="N113" i="147"/>
  <c r="N95" i="149"/>
  <c r="N82" i="148"/>
  <c r="N24" i="142"/>
  <c r="Q95" i="149"/>
  <c r="Q82" i="148"/>
  <c r="Q113" i="147"/>
  <c r="Q24" i="142"/>
  <c r="V116" i="148"/>
  <c r="V115" i="148"/>
  <c r="V114" i="148"/>
  <c r="V113" i="148"/>
  <c r="V112" i="148"/>
  <c r="V111" i="148"/>
  <c r="V110" i="148"/>
  <c r="V109" i="148"/>
  <c r="Y116" i="148"/>
  <c r="Y115" i="148"/>
  <c r="Y114" i="148"/>
  <c r="Y113" i="148"/>
  <c r="Y112" i="148"/>
  <c r="Y111" i="148"/>
  <c r="Y110" i="148"/>
  <c r="Y109" i="148"/>
  <c r="W116" i="148"/>
  <c r="W114" i="148"/>
  <c r="W112" i="148"/>
  <c r="W110" i="148"/>
  <c r="T116" i="148"/>
  <c r="T114" i="148"/>
  <c r="T112" i="148"/>
  <c r="T110" i="148"/>
  <c r="S116" i="148"/>
  <c r="S114" i="148"/>
  <c r="S112" i="148"/>
  <c r="S110" i="148"/>
  <c r="X116" i="148"/>
  <c r="X114" i="148"/>
  <c r="X112" i="148"/>
  <c r="X110" i="148"/>
  <c r="R116" i="148"/>
  <c r="R115" i="148"/>
  <c r="R114" i="148"/>
  <c r="R113" i="148"/>
  <c r="R112" i="148"/>
  <c r="R111" i="148"/>
  <c r="R110" i="148"/>
  <c r="R109" i="148"/>
  <c r="U116" i="148"/>
  <c r="U115" i="148"/>
  <c r="U114" i="148"/>
  <c r="U113" i="148"/>
  <c r="U112" i="148"/>
  <c r="U111" i="148"/>
  <c r="U110" i="148"/>
  <c r="U109" i="148"/>
  <c r="O116" i="148"/>
  <c r="O114" i="148"/>
  <c r="O112" i="148"/>
  <c r="O110" i="148"/>
  <c r="L116" i="148"/>
  <c r="L114" i="148"/>
  <c r="L112" i="148"/>
  <c r="L110" i="148"/>
  <c r="K116" i="148"/>
  <c r="K114" i="148"/>
  <c r="K112" i="148"/>
  <c r="K110" i="148"/>
  <c r="P116" i="148"/>
  <c r="P114" i="148"/>
  <c r="P112" i="148"/>
  <c r="P110" i="148"/>
  <c r="N116" i="148"/>
  <c r="N115" i="148"/>
  <c r="N114" i="148"/>
  <c r="N113" i="148"/>
  <c r="N112" i="148"/>
  <c r="N111" i="148"/>
  <c r="N110" i="148"/>
  <c r="N109" i="148"/>
  <c r="Q116" i="148"/>
  <c r="Q115" i="148"/>
  <c r="Q114" i="148"/>
  <c r="Q113" i="148"/>
  <c r="Q112" i="148"/>
  <c r="Q111" i="148"/>
  <c r="Q110" i="148"/>
  <c r="Q109" i="148"/>
  <c r="W115" i="148"/>
  <c r="W113" i="148"/>
  <c r="W111" i="148"/>
  <c r="W109" i="148"/>
  <c r="T115" i="148"/>
  <c r="T113" i="148"/>
  <c r="T111" i="148"/>
  <c r="T109" i="148"/>
  <c r="S115" i="148"/>
  <c r="S113" i="148"/>
  <c r="S111" i="148"/>
  <c r="S109" i="148"/>
  <c r="X115" i="148"/>
  <c r="X113" i="148"/>
  <c r="X111" i="148"/>
  <c r="X109" i="148"/>
  <c r="J115" i="148"/>
  <c r="J111" i="148"/>
  <c r="M115" i="148"/>
  <c r="M111" i="148"/>
  <c r="O113" i="148"/>
  <c r="L113" i="148"/>
  <c r="K113" i="148"/>
  <c r="P113" i="148"/>
  <c r="J116" i="148"/>
  <c r="J112" i="148"/>
  <c r="M116" i="148"/>
  <c r="M112" i="148"/>
  <c r="O115" i="148"/>
  <c r="L115" i="148"/>
  <c r="K115" i="148"/>
  <c r="P115" i="148"/>
  <c r="J114" i="148"/>
  <c r="J110" i="148"/>
  <c r="M114" i="148"/>
  <c r="M110" i="148"/>
  <c r="O111" i="148"/>
  <c r="L111" i="148"/>
  <c r="K111" i="148"/>
  <c r="P111" i="148"/>
  <c r="J113" i="148"/>
  <c r="J109" i="148"/>
  <c r="M113" i="148"/>
  <c r="M109" i="148"/>
  <c r="O109" i="148"/>
  <c r="L109" i="148"/>
  <c r="K109" i="148"/>
  <c r="P109" i="148"/>
  <c r="M105" i="138"/>
  <c r="M107" i="138"/>
  <c r="M117" i="138"/>
  <c r="M74" i="138"/>
  <c r="M112" i="138"/>
  <c r="M80" i="138"/>
  <c r="M113" i="138"/>
  <c r="M67" i="138"/>
  <c r="M118" i="138"/>
  <c r="M109" i="138"/>
  <c r="M65" i="138"/>
  <c r="M114" i="138"/>
  <c r="M66" i="138"/>
  <c r="M70" i="138"/>
  <c r="M77" i="138"/>
  <c r="M72" i="138"/>
  <c r="M71" i="138"/>
  <c r="M79" i="138"/>
  <c r="M106" i="138"/>
  <c r="M116" i="138"/>
  <c r="M69" i="138"/>
  <c r="M110" i="138"/>
  <c r="M115" i="138"/>
  <c r="M78" i="138"/>
  <c r="M108" i="138"/>
  <c r="M76" i="138"/>
  <c r="M119" i="138"/>
  <c r="M111" i="138"/>
  <c r="M75" i="138"/>
  <c r="M104" i="138"/>
  <c r="M73" i="138"/>
  <c r="M68" i="138"/>
  <c r="K21" i="138"/>
  <c r="K23" i="138" s="1"/>
  <c r="K32" i="144" s="1"/>
  <c r="K33" i="144" s="1"/>
  <c r="P40" i="144" s="1"/>
  <c r="P48" i="144" s="1"/>
  <c r="L20" i="138"/>
  <c r="P95" i="149"/>
  <c r="P82" i="148"/>
  <c r="P24" i="142"/>
  <c r="P113" i="147"/>
  <c r="K95" i="149"/>
  <c r="K82" i="148"/>
  <c r="K113" i="147"/>
  <c r="K24" i="142"/>
  <c r="H43" i="145" a="1"/>
  <c r="H37" i="149" a="1"/>
  <c r="H35" i="148" a="1"/>
  <c r="N67" i="138"/>
  <c r="N118" i="138"/>
  <c r="N107" i="138"/>
  <c r="N117" i="138"/>
  <c r="N112" i="138"/>
  <c r="N119" i="138"/>
  <c r="N78" i="138"/>
  <c r="N68" i="138"/>
  <c r="N71" i="138"/>
  <c r="N72" i="138"/>
  <c r="N110" i="138"/>
  <c r="N106" i="138"/>
  <c r="N80" i="138"/>
  <c r="N108" i="138"/>
  <c r="N65" i="138"/>
  <c r="N74" i="138"/>
  <c r="N73" i="138"/>
  <c r="N115" i="138"/>
  <c r="N114" i="138"/>
  <c r="N109" i="138"/>
  <c r="N105" i="138"/>
  <c r="N79" i="138"/>
  <c r="N77" i="138"/>
  <c r="N66" i="138"/>
  <c r="N75" i="138"/>
  <c r="N69" i="138"/>
  <c r="N116" i="138"/>
  <c r="N104" i="138"/>
  <c r="N111" i="138"/>
  <c r="N113" i="138"/>
  <c r="N70" i="138"/>
  <c r="N76" i="138"/>
  <c r="J95" i="149"/>
  <c r="J113" i="147"/>
  <c r="J82" i="148"/>
  <c r="J24" i="142"/>
  <c r="L24" i="142"/>
  <c r="L95" i="149"/>
  <c r="L82" i="148"/>
  <c r="L113" i="147"/>
  <c r="H45" i="142"/>
  <c r="K31" i="144"/>
  <c r="O116" i="138"/>
  <c r="O118" i="138"/>
  <c r="O107" i="138"/>
  <c r="O110" i="138"/>
  <c r="O119" i="138"/>
  <c r="O106" i="138"/>
  <c r="O113" i="138"/>
  <c r="O80" i="138"/>
  <c r="O78" i="138"/>
  <c r="O69" i="138"/>
  <c r="O105" i="138"/>
  <c r="O117" i="138"/>
  <c r="O112" i="138"/>
  <c r="O104" i="138"/>
  <c r="O79" i="138"/>
  <c r="O65" i="138"/>
  <c r="O72" i="138"/>
  <c r="O68" i="138"/>
  <c r="O66" i="138"/>
  <c r="O77" i="138"/>
  <c r="O67" i="138"/>
  <c r="O71" i="138"/>
  <c r="O111" i="138"/>
  <c r="O73" i="138"/>
  <c r="O115" i="138"/>
  <c r="O70" i="138"/>
  <c r="O76" i="138"/>
  <c r="O74" i="138"/>
  <c r="O75" i="138"/>
  <c r="O109" i="138"/>
  <c r="O114" i="138"/>
  <c r="O108" i="138"/>
  <c r="P65" i="138"/>
  <c r="P126" i="138" s="1"/>
  <c r="P70" i="138"/>
  <c r="P131" i="138" s="1"/>
  <c r="P75" i="138"/>
  <c r="P136" i="138" s="1"/>
  <c r="P108" i="138"/>
  <c r="P80" i="138"/>
  <c r="P141" i="138" s="1"/>
  <c r="P69" i="138"/>
  <c r="P130" i="138" s="1"/>
  <c r="P74" i="138"/>
  <c r="P135" i="138" s="1"/>
  <c r="P79" i="138"/>
  <c r="P140" i="138" s="1"/>
  <c r="P68" i="138"/>
  <c r="P129" i="138" s="1"/>
  <c r="P73" i="138"/>
  <c r="P134" i="138" s="1"/>
  <c r="P78" i="138"/>
  <c r="P139" i="138" s="1"/>
  <c r="P77" i="138"/>
  <c r="P138" i="138" s="1"/>
  <c r="P67" i="138"/>
  <c r="P128" i="138" s="1"/>
  <c r="P72" i="138"/>
  <c r="P133" i="138" s="1"/>
  <c r="P76" i="138"/>
  <c r="P137" i="138" s="1"/>
  <c r="P71" i="138"/>
  <c r="P132" i="138" s="1"/>
  <c r="P66" i="138"/>
  <c r="P127" i="138" s="1"/>
  <c r="P116" i="138"/>
  <c r="P111" i="138"/>
  <c r="P118" i="138"/>
  <c r="P104" i="138"/>
  <c r="P114" i="138"/>
  <c r="P119" i="138"/>
  <c r="P105" i="138"/>
  <c r="P112" i="138"/>
  <c r="P109" i="138"/>
  <c r="P113" i="138"/>
  <c r="P107" i="138"/>
  <c r="P117" i="138"/>
  <c r="P110" i="138"/>
  <c r="P115" i="138"/>
  <c r="P106" i="138"/>
  <c r="O82" i="148"/>
  <c r="O113" i="147"/>
  <c r="O24" i="142"/>
  <c r="O95" i="149"/>
  <c r="M82" i="148"/>
  <c r="M113" i="147"/>
  <c r="M24" i="142"/>
  <c r="M95" i="149"/>
  <c r="M114" i="149"/>
  <c r="M113" i="149"/>
  <c r="M112" i="149"/>
  <c r="M111" i="149"/>
  <c r="M110" i="149"/>
  <c r="M109" i="149"/>
  <c r="M108" i="149"/>
  <c r="M107" i="149"/>
  <c r="V113" i="149"/>
  <c r="P112" i="149"/>
  <c r="K111" i="149"/>
  <c r="V109" i="149"/>
  <c r="P108" i="149"/>
  <c r="K107" i="149"/>
  <c r="T113" i="149"/>
  <c r="O112" i="149"/>
  <c r="J111" i="149"/>
  <c r="T109" i="149"/>
  <c r="O108" i="149"/>
  <c r="J107" i="149"/>
  <c r="X112" i="149"/>
  <c r="N110" i="149"/>
  <c r="S107" i="149"/>
  <c r="W112" i="149"/>
  <c r="L110" i="149"/>
  <c r="R107" i="149"/>
  <c r="S112" i="149"/>
  <c r="X109" i="149"/>
  <c r="N107" i="149"/>
  <c r="R112" i="149"/>
  <c r="W109" i="149"/>
  <c r="L107" i="149"/>
  <c r="Y114" i="149"/>
  <c r="Y113" i="149"/>
  <c r="Y112" i="149"/>
  <c r="Y111" i="149"/>
  <c r="Y110" i="149"/>
  <c r="Y109" i="149"/>
  <c r="Y108" i="149"/>
  <c r="Y107" i="149"/>
  <c r="V114" i="149"/>
  <c r="P113" i="149"/>
  <c r="K112" i="149"/>
  <c r="V110" i="149"/>
  <c r="P109" i="149"/>
  <c r="K108" i="149"/>
  <c r="T114" i="149"/>
  <c r="O113" i="149"/>
  <c r="J112" i="149"/>
  <c r="T110" i="149"/>
  <c r="O109" i="149"/>
  <c r="J108" i="149"/>
  <c r="X114" i="149"/>
  <c r="N112" i="149"/>
  <c r="S109" i="149"/>
  <c r="U114" i="149"/>
  <c r="U113" i="149"/>
  <c r="U112" i="149"/>
  <c r="U111" i="149"/>
  <c r="U110" i="149"/>
  <c r="U109" i="149"/>
  <c r="U108" i="149"/>
  <c r="U107" i="149"/>
  <c r="P114" i="149"/>
  <c r="K113" i="149"/>
  <c r="V111" i="149"/>
  <c r="P110" i="149"/>
  <c r="K109" i="149"/>
  <c r="V107" i="149"/>
  <c r="O114" i="149"/>
  <c r="J113" i="149"/>
  <c r="T111" i="149"/>
  <c r="O110" i="149"/>
  <c r="J109" i="149"/>
  <c r="T107" i="149"/>
  <c r="N114" i="149"/>
  <c r="S111" i="149"/>
  <c r="X108" i="149"/>
  <c r="L114" i="149"/>
  <c r="R111" i="149"/>
  <c r="W108" i="149"/>
  <c r="X113" i="149"/>
  <c r="N111" i="149"/>
  <c r="S108" i="149"/>
  <c r="W113" i="149"/>
  <c r="L111" i="149"/>
  <c r="R108" i="149"/>
  <c r="Q111" i="149"/>
  <c r="Q107" i="149"/>
  <c r="K110" i="149"/>
  <c r="T112" i="149"/>
  <c r="O107" i="149"/>
  <c r="W114" i="149"/>
  <c r="R109" i="149"/>
  <c r="X111" i="149"/>
  <c r="R114" i="149"/>
  <c r="L109" i="149"/>
  <c r="Q112" i="149"/>
  <c r="Q108" i="149"/>
  <c r="P111" i="149"/>
  <c r="J114" i="149"/>
  <c r="N108" i="149"/>
  <c r="W110" i="149"/>
  <c r="N113" i="149"/>
  <c r="X107" i="149"/>
  <c r="R110" i="149"/>
  <c r="Q114" i="149"/>
  <c r="Q110" i="149"/>
  <c r="K114" i="149"/>
  <c r="V108" i="149"/>
  <c r="O111" i="149"/>
  <c r="S113" i="149"/>
  <c r="R113" i="149"/>
  <c r="L108" i="149"/>
  <c r="S110" i="149"/>
  <c r="L113" i="149"/>
  <c r="W107" i="149"/>
  <c r="T108" i="149"/>
  <c r="Q113" i="149"/>
  <c r="Q109" i="149"/>
  <c r="V112" i="149"/>
  <c r="P107" i="149"/>
  <c r="J110" i="149"/>
  <c r="X110" i="149"/>
  <c r="L112" i="149"/>
  <c r="S114" i="149"/>
  <c r="N109" i="149"/>
  <c r="W111" i="149"/>
  <c r="P36" i="152"/>
  <c r="P37" i="152"/>
  <c r="U36" i="152"/>
  <c r="U37" i="152"/>
  <c r="M36" i="152"/>
  <c r="M37" i="152"/>
  <c r="J23" i="152"/>
  <c r="N37" i="152"/>
  <c r="N36" i="152"/>
  <c r="R37" i="152"/>
  <c r="R36" i="152"/>
  <c r="V37" i="152"/>
  <c r="V36" i="152"/>
  <c r="K37" i="152"/>
  <c r="K36" i="152"/>
  <c r="O36" i="152"/>
  <c r="O37" i="152"/>
  <c r="S36" i="152"/>
  <c r="S37" i="152"/>
  <c r="W37" i="152"/>
  <c r="W36" i="152"/>
  <c r="T37" i="152"/>
  <c r="T36" i="152"/>
  <c r="L36" i="152"/>
  <c r="L37" i="152"/>
  <c r="Y36" i="152"/>
  <c r="Y37" i="152"/>
  <c r="Q36" i="152"/>
  <c r="Q37" i="152"/>
  <c r="X37" i="152"/>
  <c r="X36" i="152"/>
  <c r="AQ116" i="151"/>
  <c r="J39" i="55" l="1"/>
  <c r="O134" i="138"/>
  <c r="O126" i="138"/>
  <c r="A4" i="137"/>
  <c r="J41" i="55"/>
  <c r="O135" i="138"/>
  <c r="O141" i="138"/>
  <c r="N130" i="138"/>
  <c r="N133" i="138"/>
  <c r="O127" i="138"/>
  <c r="N128" i="138"/>
  <c r="O129" i="138"/>
  <c r="O137" i="138"/>
  <c r="O140" i="138"/>
  <c r="N134" i="138"/>
  <c r="H51" i="145"/>
  <c r="H45" i="145"/>
  <c r="H52" i="145"/>
  <c r="H47" i="145"/>
  <c r="H50" i="145"/>
  <c r="H48" i="145"/>
  <c r="H43" i="145"/>
  <c r="H49" i="145"/>
  <c r="H44" i="145"/>
  <c r="H46" i="145"/>
  <c r="K134" i="138"/>
  <c r="M134" i="138"/>
  <c r="J134" i="138"/>
  <c r="L134" i="138"/>
  <c r="K138" i="138"/>
  <c r="J138" i="138"/>
  <c r="L138" i="138"/>
  <c r="M138" i="138"/>
  <c r="K126" i="138"/>
  <c r="J126" i="138"/>
  <c r="L126" i="138"/>
  <c r="H44" i="149"/>
  <c r="H42" i="149"/>
  <c r="H45" i="149"/>
  <c r="H40" i="149"/>
  <c r="H37" i="149"/>
  <c r="H39" i="149"/>
  <c r="H43" i="149"/>
  <c r="H46" i="149"/>
  <c r="H38" i="149"/>
  <c r="H41" i="149"/>
  <c r="M139" i="138"/>
  <c r="L139" i="138"/>
  <c r="K139" i="138"/>
  <c r="J139" i="138"/>
  <c r="L133" i="138"/>
  <c r="J133" i="138"/>
  <c r="M133" i="138"/>
  <c r="K133" i="138"/>
  <c r="J128" i="138"/>
  <c r="K128" i="138"/>
  <c r="M128" i="138"/>
  <c r="L128" i="138"/>
  <c r="N136" i="138"/>
  <c r="N141" i="138"/>
  <c r="N132" i="138"/>
  <c r="O131" i="138"/>
  <c r="O132" i="138"/>
  <c r="O130" i="138"/>
  <c r="L137" i="138"/>
  <c r="N137" i="138"/>
  <c r="K127" i="138"/>
  <c r="N127" i="138"/>
  <c r="K135" i="138"/>
  <c r="N135" i="138"/>
  <c r="N129" i="138"/>
  <c r="P55" i="144"/>
  <c r="P129" i="144"/>
  <c r="L21" i="138"/>
  <c r="L23" i="138" s="1"/>
  <c r="M20" i="138"/>
  <c r="M137" i="138"/>
  <c r="J137" i="138"/>
  <c r="K137" i="138"/>
  <c r="J140" i="138"/>
  <c r="M140" i="138"/>
  <c r="K140" i="138"/>
  <c r="L140" i="138"/>
  <c r="J131" i="138"/>
  <c r="L131" i="138"/>
  <c r="M131" i="138"/>
  <c r="J141" i="138"/>
  <c r="L141" i="138"/>
  <c r="M141" i="138"/>
  <c r="K141" i="138"/>
  <c r="O138" i="138"/>
  <c r="N140" i="138"/>
  <c r="J129" i="138"/>
  <c r="M129" i="138"/>
  <c r="L129" i="138"/>
  <c r="K129" i="138"/>
  <c r="J135" i="138"/>
  <c r="L135" i="138"/>
  <c r="M135" i="138"/>
  <c r="O136" i="138"/>
  <c r="O128" i="138"/>
  <c r="O133" i="138"/>
  <c r="O139" i="138"/>
  <c r="K131" i="138"/>
  <c r="N131" i="138"/>
  <c r="N138" i="138"/>
  <c r="M126" i="138"/>
  <c r="N126" i="138"/>
  <c r="N139" i="138"/>
  <c r="H43" i="148"/>
  <c r="H38" i="148"/>
  <c r="H36" i="148"/>
  <c r="H39" i="148"/>
  <c r="H40" i="148"/>
  <c r="H41" i="148"/>
  <c r="H35" i="148"/>
  <c r="H37" i="148"/>
  <c r="H42" i="148"/>
  <c r="H44" i="148"/>
  <c r="Q40" i="144"/>
  <c r="Q48" i="144" s="1"/>
  <c r="M40" i="144"/>
  <c r="M48" i="144" s="1"/>
  <c r="M55" i="144" s="1"/>
  <c r="N40" i="144"/>
  <c r="N48" i="144" s="1"/>
  <c r="L40" i="144"/>
  <c r="L48" i="144" s="1"/>
  <c r="L55" i="144" s="1"/>
  <c r="K40" i="144"/>
  <c r="K48" i="144" s="1"/>
  <c r="R40" i="144"/>
  <c r="R48" i="144" s="1"/>
  <c r="O40" i="144"/>
  <c r="O48" i="144" s="1"/>
  <c r="S40" i="144"/>
  <c r="S48" i="144" s="1"/>
  <c r="M136" i="138"/>
  <c r="J136" i="138"/>
  <c r="L136" i="138"/>
  <c r="K136" i="138"/>
  <c r="K130" i="138"/>
  <c r="J130" i="138"/>
  <c r="L130" i="138"/>
  <c r="M130" i="138"/>
  <c r="M132" i="138"/>
  <c r="J132" i="138"/>
  <c r="K132" i="138"/>
  <c r="L132" i="138"/>
  <c r="J127" i="138"/>
  <c r="M127" i="138"/>
  <c r="L127" i="138"/>
  <c r="J36" i="152"/>
  <c r="J37" i="152"/>
  <c r="AR116" i="151"/>
  <c r="H121" i="98"/>
  <c r="H122" i="98"/>
  <c r="H134" i="138" l="1"/>
  <c r="M172" i="138" s="1"/>
  <c r="H136" i="138"/>
  <c r="N174" i="138" s="1"/>
  <c r="S55" i="144"/>
  <c r="S129" i="144"/>
  <c r="H141" i="138"/>
  <c r="N20" i="138"/>
  <c r="M21" i="138"/>
  <c r="H128" i="138"/>
  <c r="H126" i="138"/>
  <c r="H138" i="138"/>
  <c r="H131" i="138"/>
  <c r="O55" i="144"/>
  <c r="O129" i="144"/>
  <c r="N55" i="144"/>
  <c r="N129" i="144"/>
  <c r="H137" i="138"/>
  <c r="H139" i="138"/>
  <c r="Q55" i="144"/>
  <c r="Q129" i="144"/>
  <c r="H140" i="138"/>
  <c r="H127" i="138"/>
  <c r="H130" i="138"/>
  <c r="R55" i="144"/>
  <c r="R129" i="144"/>
  <c r="H135" i="138"/>
  <c r="H129" i="138"/>
  <c r="H132" i="138"/>
  <c r="H133" i="138"/>
  <c r="AS116" i="151"/>
  <c r="A2" i="85"/>
  <c r="A1" i="85"/>
  <c r="A2" i="84"/>
  <c r="A1" i="84"/>
  <c r="Q155" i="138" l="1"/>
  <c r="R155" i="138"/>
  <c r="P155" i="138"/>
  <c r="J155" i="138"/>
  <c r="Q174" i="138"/>
  <c r="J174" i="138"/>
  <c r="N155" i="138"/>
  <c r="K174" i="138"/>
  <c r="P174" i="138"/>
  <c r="S155" i="138"/>
  <c r="O172" i="138"/>
  <c r="K172" i="138"/>
  <c r="O153" i="138"/>
  <c r="R153" i="138"/>
  <c r="L172" i="138"/>
  <c r="J153" i="138"/>
  <c r="J172" i="138"/>
  <c r="S172" i="138"/>
  <c r="M153" i="138"/>
  <c r="L153" i="138"/>
  <c r="N153" i="138"/>
  <c r="P153" i="138"/>
  <c r="K153" i="138"/>
  <c r="Q172" i="138"/>
  <c r="Q153" i="138"/>
  <c r="R172" i="138"/>
  <c r="N172" i="138"/>
  <c r="S153" i="138"/>
  <c r="P172" i="138"/>
  <c r="K155" i="138"/>
  <c r="R174" i="138"/>
  <c r="S174" i="138"/>
  <c r="M174" i="138"/>
  <c r="L174" i="138"/>
  <c r="M155" i="138"/>
  <c r="O174" i="138"/>
  <c r="O155" i="138"/>
  <c r="L155" i="138"/>
  <c r="H129" i="144"/>
  <c r="M146" i="138"/>
  <c r="N146" i="138"/>
  <c r="P146" i="138"/>
  <c r="S146" i="138"/>
  <c r="L146" i="138"/>
  <c r="O146" i="138"/>
  <c r="R146" i="138"/>
  <c r="J146" i="138"/>
  <c r="K146" i="138"/>
  <c r="Q146" i="138"/>
  <c r="M145" i="138"/>
  <c r="S145" i="138"/>
  <c r="J145" i="138"/>
  <c r="K145" i="138"/>
  <c r="L145" i="138"/>
  <c r="P145" i="138"/>
  <c r="Q145" i="138"/>
  <c r="N145" i="138"/>
  <c r="O145" i="138"/>
  <c r="R145" i="138"/>
  <c r="M160" i="138"/>
  <c r="S160" i="138"/>
  <c r="J179" i="138"/>
  <c r="N160" i="138"/>
  <c r="P160" i="138"/>
  <c r="S179" i="138"/>
  <c r="R160" i="138"/>
  <c r="Q160" i="138"/>
  <c r="R179" i="138"/>
  <c r="P179" i="138"/>
  <c r="Q179" i="138"/>
  <c r="O160" i="138"/>
  <c r="L179" i="138"/>
  <c r="K179" i="138"/>
  <c r="N179" i="138"/>
  <c r="M179" i="138"/>
  <c r="O179" i="138"/>
  <c r="K160" i="138"/>
  <c r="J160" i="138"/>
  <c r="L160" i="138"/>
  <c r="S148" i="138"/>
  <c r="M148" i="138"/>
  <c r="R148" i="138"/>
  <c r="P148" i="138"/>
  <c r="L148" i="138"/>
  <c r="Q148" i="138"/>
  <c r="O148" i="138"/>
  <c r="K148" i="138"/>
  <c r="N148" i="138"/>
  <c r="J148" i="138"/>
  <c r="Q149" i="138"/>
  <c r="L149" i="138"/>
  <c r="S149" i="138"/>
  <c r="M149" i="138"/>
  <c r="R149" i="138"/>
  <c r="O149" i="138"/>
  <c r="P149" i="138"/>
  <c r="J149" i="138"/>
  <c r="K149" i="138"/>
  <c r="N149" i="138"/>
  <c r="L176" i="138"/>
  <c r="O176" i="138"/>
  <c r="K176" i="138"/>
  <c r="S157" i="138"/>
  <c r="O157" i="138"/>
  <c r="K157" i="138"/>
  <c r="Q176" i="138"/>
  <c r="P157" i="138"/>
  <c r="Q157" i="138"/>
  <c r="M157" i="138"/>
  <c r="L157" i="138"/>
  <c r="R176" i="138"/>
  <c r="N157" i="138"/>
  <c r="N176" i="138"/>
  <c r="J157" i="138"/>
  <c r="R157" i="138"/>
  <c r="S176" i="138"/>
  <c r="P176" i="138"/>
  <c r="J176" i="138"/>
  <c r="M176" i="138"/>
  <c r="N21" i="138"/>
  <c r="N23" i="138" s="1"/>
  <c r="O20" i="138"/>
  <c r="M154" i="138"/>
  <c r="S154" i="138"/>
  <c r="N154" i="138"/>
  <c r="J154" i="138"/>
  <c r="L154" i="138"/>
  <c r="K173" i="138"/>
  <c r="L173" i="138"/>
  <c r="Q173" i="138"/>
  <c r="S173" i="138"/>
  <c r="O154" i="138"/>
  <c r="R173" i="138"/>
  <c r="P173" i="138"/>
  <c r="Q154" i="138"/>
  <c r="N173" i="138"/>
  <c r="R154" i="138"/>
  <c r="M173" i="138"/>
  <c r="O173" i="138"/>
  <c r="K154" i="138"/>
  <c r="J173" i="138"/>
  <c r="P154" i="138"/>
  <c r="M177" i="138"/>
  <c r="O177" i="138"/>
  <c r="K158" i="138"/>
  <c r="R177" i="138"/>
  <c r="P177" i="138"/>
  <c r="Q158" i="138"/>
  <c r="K177" i="138"/>
  <c r="N177" i="138"/>
  <c r="J177" i="138"/>
  <c r="P158" i="138"/>
  <c r="M158" i="138"/>
  <c r="S158" i="138"/>
  <c r="N158" i="138"/>
  <c r="R158" i="138"/>
  <c r="L158" i="138"/>
  <c r="O158" i="138"/>
  <c r="S177" i="138"/>
  <c r="L177" i="138"/>
  <c r="Q177" i="138"/>
  <c r="J158" i="138"/>
  <c r="O152" i="138"/>
  <c r="N152" i="138"/>
  <c r="Q152" i="138"/>
  <c r="K152" i="138"/>
  <c r="L152" i="138"/>
  <c r="M152" i="138"/>
  <c r="R152" i="138"/>
  <c r="P152" i="138"/>
  <c r="S152" i="138"/>
  <c r="J152" i="138"/>
  <c r="M159" i="138"/>
  <c r="K178" i="138"/>
  <c r="Q178" i="138"/>
  <c r="N159" i="138"/>
  <c r="K159" i="138"/>
  <c r="Q159" i="138"/>
  <c r="L159" i="138"/>
  <c r="S178" i="138"/>
  <c r="J159" i="138"/>
  <c r="J178" i="138"/>
  <c r="N178" i="138"/>
  <c r="L178" i="138"/>
  <c r="O159" i="138"/>
  <c r="R178" i="138"/>
  <c r="P159" i="138"/>
  <c r="P178" i="138"/>
  <c r="R159" i="138"/>
  <c r="M178" i="138"/>
  <c r="S159" i="138"/>
  <c r="O178" i="138"/>
  <c r="M156" i="138"/>
  <c r="S156" i="138"/>
  <c r="J175" i="138"/>
  <c r="N156" i="138"/>
  <c r="P156" i="138"/>
  <c r="K175" i="138"/>
  <c r="N175" i="138"/>
  <c r="Q175" i="138"/>
  <c r="S175" i="138"/>
  <c r="O156" i="138"/>
  <c r="R156" i="138"/>
  <c r="L175" i="138"/>
  <c r="Q156" i="138"/>
  <c r="R175" i="138"/>
  <c r="P175" i="138"/>
  <c r="M175" i="138"/>
  <c r="O175" i="138"/>
  <c r="K156" i="138"/>
  <c r="J156" i="138"/>
  <c r="L156" i="138"/>
  <c r="S147" i="138"/>
  <c r="Q147" i="138"/>
  <c r="N147" i="138"/>
  <c r="J147" i="138"/>
  <c r="M147" i="138"/>
  <c r="P147" i="138"/>
  <c r="R147" i="138"/>
  <c r="L147" i="138"/>
  <c r="K147" i="138"/>
  <c r="O147" i="138"/>
  <c r="K151" i="138"/>
  <c r="R151" i="138"/>
  <c r="S151" i="138"/>
  <c r="M151" i="138"/>
  <c r="N151" i="138"/>
  <c r="Q151" i="138"/>
  <c r="O151" i="138"/>
  <c r="L151" i="138"/>
  <c r="J151" i="138"/>
  <c r="P151" i="138"/>
  <c r="Q150" i="138"/>
  <c r="M150" i="138"/>
  <c r="N150" i="138"/>
  <c r="L150" i="138"/>
  <c r="K150" i="138"/>
  <c r="S150" i="138"/>
  <c r="R150" i="138"/>
  <c r="P150" i="138"/>
  <c r="O150" i="138"/>
  <c r="J150" i="138"/>
  <c r="P22" i="138"/>
  <c r="P23" i="138" s="1"/>
  <c r="M23" i="138"/>
  <c r="AT116" i="151"/>
  <c r="R93" i="148" l="1" a="1"/>
  <c r="W101" i="148" s="1"/>
  <c r="J55" i="145" a="1"/>
  <c r="O21" i="138"/>
  <c r="O23" i="138" s="1"/>
  <c r="P20" i="138"/>
  <c r="J34" i="142" a="1"/>
  <c r="J80" i="149" a="1"/>
  <c r="AU116" i="151"/>
  <c r="A1" i="55"/>
  <c r="R96" i="148" l="1"/>
  <c r="W94" i="148"/>
  <c r="Y99" i="148"/>
  <c r="Y93" i="148"/>
  <c r="W95" i="148"/>
  <c r="T97" i="148"/>
  <c r="R100" i="148"/>
  <c r="Y100" i="148"/>
  <c r="X102" i="148"/>
  <c r="W98" i="148"/>
  <c r="U100" i="148"/>
  <c r="V102" i="148"/>
  <c r="X101" i="148"/>
  <c r="U99" i="148"/>
  <c r="R102" i="148"/>
  <c r="Y97" i="148"/>
  <c r="U93" i="148"/>
  <c r="X99" i="148"/>
  <c r="R99" i="148"/>
  <c r="S97" i="148"/>
  <c r="Y98" i="148"/>
  <c r="U94" i="148"/>
  <c r="X100" i="148"/>
  <c r="V99" i="148"/>
  <c r="W97" i="148"/>
  <c r="T102" i="148"/>
  <c r="S102" i="148"/>
  <c r="X94" i="148"/>
  <c r="T94" i="148"/>
  <c r="V98" i="148"/>
  <c r="T101" i="148"/>
  <c r="R98" i="148"/>
  <c r="T99" i="148"/>
  <c r="X95" i="148"/>
  <c r="R97" i="148"/>
  <c r="S95" i="148"/>
  <c r="Y94" i="148"/>
  <c r="T100" i="148"/>
  <c r="X96" i="148"/>
  <c r="V97" i="148"/>
  <c r="U95" i="148"/>
  <c r="S94" i="148"/>
  <c r="T98" i="148"/>
  <c r="V96" i="148"/>
  <c r="W102" i="148"/>
  <c r="X98" i="148"/>
  <c r="W96" i="148"/>
  <c r="Y95" i="148"/>
  <c r="X97" i="148"/>
  <c r="S96" i="148"/>
  <c r="Y101" i="148"/>
  <c r="U97" i="148"/>
  <c r="R93" i="148"/>
  <c r="R101" i="148"/>
  <c r="S99" i="148"/>
  <c r="Y102" i="148"/>
  <c r="U98" i="148"/>
  <c r="V93" i="148"/>
  <c r="V101" i="148"/>
  <c r="W99" i="148"/>
  <c r="X93" i="148"/>
  <c r="S98" i="148"/>
  <c r="U96" i="148"/>
  <c r="V100" i="148"/>
  <c r="Y96" i="148"/>
  <c r="V94" i="148"/>
  <c r="W100" i="148"/>
  <c r="T93" i="148"/>
  <c r="R94" i="148"/>
  <c r="S100" i="148"/>
  <c r="T95" i="148"/>
  <c r="U101" i="148"/>
  <c r="R95" i="148"/>
  <c r="S93" i="148"/>
  <c r="S101" i="148"/>
  <c r="T96" i="148"/>
  <c r="U102" i="148"/>
  <c r="V95" i="148"/>
  <c r="W93" i="148"/>
  <c r="V42" i="142"/>
  <c r="L40" i="142"/>
  <c r="K38" i="142"/>
  <c r="Y35" i="142"/>
  <c r="T40" i="142"/>
  <c r="K39" i="142"/>
  <c r="Y37" i="142"/>
  <c r="R35" i="142"/>
  <c r="L34" i="142"/>
  <c r="Q35" i="142"/>
  <c r="R37" i="142"/>
  <c r="L36" i="142"/>
  <c r="K34" i="142"/>
  <c r="J34" i="142"/>
  <c r="M38" i="142"/>
  <c r="S38" i="142"/>
  <c r="T37" i="142"/>
  <c r="R36" i="142"/>
  <c r="U39" i="142"/>
  <c r="M37" i="142"/>
  <c r="O34" i="142"/>
  <c r="O38" i="142"/>
  <c r="O42" i="142"/>
  <c r="P37" i="142"/>
  <c r="P41" i="142"/>
  <c r="N36" i="142"/>
  <c r="N40" i="142"/>
  <c r="Y40" i="142"/>
  <c r="Q38" i="142"/>
  <c r="W36" i="142"/>
  <c r="W40" i="142"/>
  <c r="X35" i="142"/>
  <c r="X39" i="142"/>
  <c r="V34" i="142"/>
  <c r="V38" i="142"/>
  <c r="T34" i="142"/>
  <c r="J40" i="142"/>
  <c r="Q41" i="142"/>
  <c r="L39" i="142"/>
  <c r="U42" i="142"/>
  <c r="S39" i="142"/>
  <c r="U40" i="142"/>
  <c r="S42" i="142"/>
  <c r="R40" i="142"/>
  <c r="R41" i="142"/>
  <c r="Q36" i="142"/>
  <c r="P35" i="142"/>
  <c r="N34" i="142"/>
  <c r="N42" i="142"/>
  <c r="J39" i="142"/>
  <c r="L37" i="142"/>
  <c r="S35" i="142"/>
  <c r="U34" i="142"/>
  <c r="L38" i="142"/>
  <c r="K36" i="142"/>
  <c r="U36" i="142"/>
  <c r="L42" i="142"/>
  <c r="K40" i="142"/>
  <c r="M34" i="142"/>
  <c r="J35" i="142"/>
  <c r="K42" i="142"/>
  <c r="M42" i="142"/>
  <c r="Q37" i="142"/>
  <c r="S40" i="142"/>
  <c r="T39" i="142"/>
  <c r="R38" i="142"/>
  <c r="R39" i="142"/>
  <c r="Y34" i="142"/>
  <c r="M41" i="142"/>
  <c r="O35" i="142"/>
  <c r="O39" i="142"/>
  <c r="P34" i="142"/>
  <c r="P38" i="142"/>
  <c r="P42" i="142"/>
  <c r="N37" i="142"/>
  <c r="N41" i="142"/>
  <c r="U37" i="142"/>
  <c r="M35" i="142"/>
  <c r="Q42" i="142"/>
  <c r="W37" i="142"/>
  <c r="W41" i="142"/>
  <c r="X36" i="142"/>
  <c r="X40" i="142"/>
  <c r="V35" i="142"/>
  <c r="V39" i="142"/>
  <c r="J36" i="142"/>
  <c r="Q39" i="142"/>
  <c r="L35" i="142"/>
  <c r="J42" i="142"/>
  <c r="S37" i="142"/>
  <c r="L41" i="142"/>
  <c r="Y41" i="142"/>
  <c r="S34" i="142"/>
  <c r="T41" i="142"/>
  <c r="Y38" i="142"/>
  <c r="O36" i="142"/>
  <c r="O40" i="142"/>
  <c r="P39" i="142"/>
  <c r="N38" i="142"/>
  <c r="M36" i="142"/>
  <c r="J38" i="142"/>
  <c r="T38" i="142"/>
  <c r="T35" i="142"/>
  <c r="O37" i="142"/>
  <c r="N35" i="142"/>
  <c r="Q34" i="142"/>
  <c r="W39" i="142"/>
  <c r="X38" i="142"/>
  <c r="V37" i="142"/>
  <c r="U38" i="142"/>
  <c r="Y39" i="142"/>
  <c r="R42" i="142"/>
  <c r="Y42" i="142"/>
  <c r="P36" i="142"/>
  <c r="Y36" i="142"/>
  <c r="X34" i="142"/>
  <c r="V41" i="142"/>
  <c r="K41" i="142"/>
  <c r="M40" i="142"/>
  <c r="J41" i="142"/>
  <c r="S36" i="142"/>
  <c r="Q40" i="142"/>
  <c r="P40" i="142"/>
  <c r="W38" i="142"/>
  <c r="V36" i="142"/>
  <c r="J37" i="142"/>
  <c r="T36" i="142"/>
  <c r="K37" i="142"/>
  <c r="R34" i="142"/>
  <c r="U35" i="142"/>
  <c r="O41" i="142"/>
  <c r="N39" i="142"/>
  <c r="U41" i="142"/>
  <c r="W34" i="142"/>
  <c r="W42" i="142"/>
  <c r="X41" i="142"/>
  <c r="V40" i="142"/>
  <c r="T42" i="142"/>
  <c r="S41" i="142"/>
  <c r="K35" i="142"/>
  <c r="W35" i="142"/>
  <c r="X42" i="142"/>
  <c r="M39" i="142"/>
  <c r="X37" i="142"/>
  <c r="Q20" i="138"/>
  <c r="P21" i="138"/>
  <c r="J89" i="149"/>
  <c r="N82" i="149"/>
  <c r="W81" i="149"/>
  <c r="N80" i="149"/>
  <c r="Q86" i="149"/>
  <c r="N84" i="149"/>
  <c r="M88" i="149"/>
  <c r="W88" i="149"/>
  <c r="W82" i="149"/>
  <c r="P85" i="149"/>
  <c r="R84" i="149"/>
  <c r="O83" i="149"/>
  <c r="K80" i="149"/>
  <c r="L84" i="149"/>
  <c r="P86" i="149"/>
  <c r="N85" i="149"/>
  <c r="Q83" i="149"/>
  <c r="S87" i="149"/>
  <c r="P81" i="149"/>
  <c r="R81" i="149"/>
  <c r="R89" i="149"/>
  <c r="X82" i="149"/>
  <c r="O80" i="149"/>
  <c r="Q87" i="149"/>
  <c r="Q84" i="149"/>
  <c r="Q81" i="149"/>
  <c r="S88" i="149"/>
  <c r="P84" i="149"/>
  <c r="U89" i="149"/>
  <c r="V83" i="149"/>
  <c r="V87" i="149"/>
  <c r="T80" i="149"/>
  <c r="T88" i="149"/>
  <c r="O84" i="149"/>
  <c r="O81" i="149"/>
  <c r="Q88" i="149"/>
  <c r="Q85" i="149"/>
  <c r="K82" i="149"/>
  <c r="P87" i="149"/>
  <c r="J82" i="149"/>
  <c r="J86" i="149"/>
  <c r="Q82" i="149"/>
  <c r="P82" i="149"/>
  <c r="W85" i="149"/>
  <c r="R88" i="149"/>
  <c r="L87" i="149"/>
  <c r="U87" i="149"/>
  <c r="M80" i="149"/>
  <c r="W84" i="149"/>
  <c r="M81" i="149"/>
  <c r="N88" i="149"/>
  <c r="O88" i="149"/>
  <c r="Y81" i="149"/>
  <c r="M82" i="149"/>
  <c r="O86" i="149"/>
  <c r="K88" i="149"/>
  <c r="R86" i="149"/>
  <c r="O87" i="149"/>
  <c r="S83" i="149"/>
  <c r="T87" i="149"/>
  <c r="K89" i="149"/>
  <c r="N87" i="149"/>
  <c r="L81" i="149"/>
  <c r="Y86" i="149"/>
  <c r="Y80" i="149"/>
  <c r="K84" i="149"/>
  <c r="R83" i="149"/>
  <c r="Y89" i="149"/>
  <c r="L82" i="149"/>
  <c r="M89" i="149"/>
  <c r="M86" i="149"/>
  <c r="M83" i="149"/>
  <c r="P80" i="149"/>
  <c r="U85" i="149"/>
  <c r="V80" i="149"/>
  <c r="V84" i="149"/>
  <c r="V88" i="149"/>
  <c r="W87" i="149"/>
  <c r="S85" i="149"/>
  <c r="L86" i="149"/>
  <c r="L83" i="149"/>
  <c r="L80" i="149"/>
  <c r="M87" i="149"/>
  <c r="P83" i="149"/>
  <c r="U88" i="149"/>
  <c r="J83" i="149"/>
  <c r="J87" i="149"/>
  <c r="X85" i="149"/>
  <c r="O85" i="149"/>
  <c r="O82" i="149"/>
  <c r="T81" i="149"/>
  <c r="X89" i="149"/>
  <c r="R80" i="149"/>
  <c r="Y82" i="149"/>
  <c r="N86" i="149"/>
  <c r="M84" i="149"/>
  <c r="R82" i="149"/>
  <c r="S80" i="149"/>
  <c r="N83" i="149"/>
  <c r="L89" i="149"/>
  <c r="L88" i="149"/>
  <c r="R87" i="149"/>
  <c r="W83" i="149"/>
  <c r="T82" i="149"/>
  <c r="W86" i="149"/>
  <c r="P88" i="149"/>
  <c r="V86" i="149"/>
  <c r="S81" i="149"/>
  <c r="T89" i="149"/>
  <c r="T83" i="149"/>
  <c r="K86" i="149"/>
  <c r="J85" i="149"/>
  <c r="U83" i="149"/>
  <c r="Y83" i="149"/>
  <c r="T85" i="149"/>
  <c r="K83" i="149"/>
  <c r="T86" i="149"/>
  <c r="X88" i="149"/>
  <c r="K85" i="149"/>
  <c r="N81" i="149"/>
  <c r="S84" i="149"/>
  <c r="R85" i="149"/>
  <c r="X86" i="149"/>
  <c r="Y84" i="149"/>
  <c r="V85" i="149"/>
  <c r="X87" i="149"/>
  <c r="U84" i="149"/>
  <c r="J84" i="149"/>
  <c r="Q89" i="149"/>
  <c r="M85" i="149"/>
  <c r="K81" i="149"/>
  <c r="N89" i="149"/>
  <c r="Q80" i="149"/>
  <c r="U86" i="149"/>
  <c r="X83" i="149"/>
  <c r="Y87" i="149"/>
  <c r="U81" i="149"/>
  <c r="V81" i="149"/>
  <c r="V89" i="149"/>
  <c r="W80" i="149"/>
  <c r="X84" i="149"/>
  <c r="Y88" i="149"/>
  <c r="J80" i="149"/>
  <c r="J88" i="149"/>
  <c r="O89" i="149"/>
  <c r="S89" i="149"/>
  <c r="P89" i="149"/>
  <c r="Y85" i="149"/>
  <c r="W89" i="149"/>
  <c r="V82" i="149"/>
  <c r="S82" i="149"/>
  <c r="U80" i="149"/>
  <c r="J81" i="149"/>
  <c r="U82" i="149"/>
  <c r="S86" i="149"/>
  <c r="L85" i="149"/>
  <c r="X80" i="149"/>
  <c r="K87" i="149"/>
  <c r="T84" i="149"/>
  <c r="X81" i="149"/>
  <c r="L64" i="145"/>
  <c r="K62" i="145"/>
  <c r="Y57" i="145"/>
  <c r="M59" i="145"/>
  <c r="M58" i="145"/>
  <c r="V60" i="145"/>
  <c r="Q56" i="145"/>
  <c r="M60" i="145"/>
  <c r="Y58" i="145"/>
  <c r="R64" i="145"/>
  <c r="U59" i="145"/>
  <c r="U64" i="145"/>
  <c r="V64" i="145"/>
  <c r="P64" i="145"/>
  <c r="O62" i="145"/>
  <c r="J56" i="145"/>
  <c r="O56" i="145"/>
  <c r="X58" i="145"/>
  <c r="T64" i="145"/>
  <c r="M55" i="145"/>
  <c r="J60" i="145"/>
  <c r="R57" i="145"/>
  <c r="S64" i="145"/>
  <c r="V63" i="145"/>
  <c r="M63" i="145"/>
  <c r="U58" i="145"/>
  <c r="J64" i="145"/>
  <c r="R56" i="145"/>
  <c r="Y60" i="145"/>
  <c r="W55" i="145"/>
  <c r="K60" i="145"/>
  <c r="P55" i="145"/>
  <c r="R59" i="145"/>
  <c r="W64" i="145"/>
  <c r="X62" i="145"/>
  <c r="S62" i="145"/>
  <c r="K57" i="145"/>
  <c r="V61" i="145"/>
  <c r="T56" i="145"/>
  <c r="M61" i="145"/>
  <c r="L60" i="145"/>
  <c r="S60" i="145"/>
  <c r="S55" i="145"/>
  <c r="W62" i="145"/>
  <c r="T62" i="145"/>
  <c r="O57" i="145"/>
  <c r="N57" i="145"/>
  <c r="Q63" i="145"/>
  <c r="P61" i="145"/>
  <c r="O55" i="145"/>
  <c r="V55" i="145"/>
  <c r="L55" i="145"/>
  <c r="J63" i="145"/>
  <c r="S57" i="145"/>
  <c r="N58" i="145"/>
  <c r="S61" i="145"/>
  <c r="X57" i="145"/>
  <c r="V57" i="145"/>
  <c r="U60" i="145"/>
  <c r="Q59" i="145"/>
  <c r="W61" i="145"/>
  <c r="M57" i="145"/>
  <c r="Y55" i="145"/>
  <c r="J62" i="145"/>
  <c r="S56" i="145"/>
  <c r="L56" i="145"/>
  <c r="T59" i="145"/>
  <c r="U63" i="145"/>
  <c r="Y56" i="145"/>
  <c r="R58" i="145"/>
  <c r="N62" i="145"/>
  <c r="W56" i="145"/>
  <c r="Q61" i="145"/>
  <c r="P56" i="145"/>
  <c r="W60" i="145"/>
  <c r="X59" i="145"/>
  <c r="X63" i="145"/>
  <c r="Y63" i="145"/>
  <c r="K58" i="145"/>
  <c r="K63" i="145"/>
  <c r="T57" i="145"/>
  <c r="R62" i="145"/>
  <c r="L61" i="145"/>
  <c r="M64" i="145"/>
  <c r="U57" i="145"/>
  <c r="Y62" i="145"/>
  <c r="R61" i="145"/>
  <c r="N59" i="145"/>
  <c r="M56" i="145"/>
  <c r="O58" i="145"/>
  <c r="U62" i="145"/>
  <c r="O59" i="145"/>
  <c r="Q57" i="145"/>
  <c r="L57" i="145"/>
  <c r="X56" i="145"/>
  <c r="N55" i="145"/>
  <c r="T60" i="145"/>
  <c r="O60" i="145"/>
  <c r="X55" i="145"/>
  <c r="N56" i="145"/>
  <c r="Y61" i="145"/>
  <c r="R60" i="145"/>
  <c r="V58" i="145"/>
  <c r="S59" i="145"/>
  <c r="W58" i="145"/>
  <c r="P58" i="145"/>
  <c r="X61" i="145"/>
  <c r="K56" i="145"/>
  <c r="T55" i="145"/>
  <c r="L59" i="145"/>
  <c r="P63" i="145"/>
  <c r="N63" i="145"/>
  <c r="K61" i="145"/>
  <c r="Y64" i="145"/>
  <c r="R63" i="145"/>
  <c r="N61" i="145"/>
  <c r="W59" i="145"/>
  <c r="U61" i="145"/>
  <c r="V59" i="145"/>
  <c r="Q62" i="145"/>
  <c r="Y59" i="145"/>
  <c r="L58" i="145"/>
  <c r="O63" i="145"/>
  <c r="P57" i="145"/>
  <c r="Q64" i="145"/>
  <c r="W63" i="145"/>
  <c r="J58" i="145"/>
  <c r="J57" i="145"/>
  <c r="O61" i="145"/>
  <c r="U55" i="145"/>
  <c r="N60" i="145"/>
  <c r="P59" i="145"/>
  <c r="Q58" i="145"/>
  <c r="S58" i="145"/>
  <c r="T61" i="145"/>
  <c r="J59" i="145"/>
  <c r="S63" i="145"/>
  <c r="V62" i="145"/>
  <c r="M62" i="145"/>
  <c r="X64" i="145"/>
  <c r="K59" i="145"/>
  <c r="T58" i="145"/>
  <c r="L62" i="145"/>
  <c r="P60" i="145"/>
  <c r="R55" i="145"/>
  <c r="U56" i="145"/>
  <c r="P62" i="145"/>
  <c r="J55" i="145"/>
  <c r="T63" i="145"/>
  <c r="O64" i="145"/>
  <c r="K64" i="145"/>
  <c r="Q60" i="145"/>
  <c r="L63" i="145"/>
  <c r="N64" i="145"/>
  <c r="Q55" i="145"/>
  <c r="J61" i="145"/>
  <c r="V56" i="145"/>
  <c r="W57" i="145"/>
  <c r="X60" i="145"/>
  <c r="K55" i="145"/>
  <c r="AV116" i="151"/>
  <c r="R204" i="142" l="1"/>
  <c r="U204" i="142"/>
  <c r="W204" i="142"/>
  <c r="S204" i="142"/>
  <c r="X204" i="142"/>
  <c r="T204" i="142"/>
  <c r="R20" i="138"/>
  <c r="Q21" i="138"/>
  <c r="Q23" i="138" s="1"/>
  <c r="Y204" i="142"/>
  <c r="V204" i="142"/>
  <c r="AW116" i="151"/>
  <c r="S20" i="138" l="1"/>
  <c r="S21" i="138" s="1"/>
  <c r="S23" i="138" s="1"/>
  <c r="R21" i="138"/>
  <c r="R23" i="138" s="1"/>
  <c r="AX116" i="151"/>
  <c r="H183" i="138" l="1" a="1"/>
  <c r="H183" i="138" s="1"/>
  <c r="H214" i="142" a="1"/>
  <c r="H221" i="142" s="1"/>
  <c r="H233" i="142" s="1"/>
  <c r="AY116" i="151"/>
  <c r="B14" i="27"/>
  <c r="B10" i="27"/>
  <c r="B6" i="27"/>
  <c r="B8" i="27"/>
  <c r="A4" i="138" l="1"/>
  <c r="J42" i="55"/>
  <c r="H215" i="142"/>
  <c r="H227" i="142" s="1"/>
  <c r="H25" i="149" s="1"/>
  <c r="H217" i="142"/>
  <c r="H229" i="142" s="1"/>
  <c r="H27" i="149" s="1"/>
  <c r="H214" i="142"/>
  <c r="H226" i="142" s="1"/>
  <c r="H24" i="149" s="1"/>
  <c r="H216" i="142"/>
  <c r="H228" i="142" s="1"/>
  <c r="H219" i="142"/>
  <c r="H231" i="142" s="1"/>
  <c r="H29" i="149" s="1"/>
  <c r="H222" i="142"/>
  <c r="H220" i="142"/>
  <c r="H232" i="142" s="1"/>
  <c r="H218" i="142"/>
  <c r="H230" i="142" s="1"/>
  <c r="H31" i="149"/>
  <c r="AZ116" i="151"/>
  <c r="A2" i="28"/>
  <c r="A2" i="55"/>
  <c r="D14" i="27"/>
  <c r="D10" i="27"/>
  <c r="D8" i="27"/>
  <c r="D6" i="27"/>
  <c r="H23" i="149" l="1"/>
  <c r="A3" i="152"/>
  <c r="A3" i="150"/>
  <c r="A3" i="148"/>
  <c r="A3" i="146"/>
  <c r="A3" i="137"/>
  <c r="A3" i="134"/>
  <c r="A3" i="140"/>
  <c r="A3" i="154"/>
  <c r="A3" i="143"/>
  <c r="A3" i="141"/>
  <c r="A3" i="139"/>
  <c r="A3" i="135"/>
  <c r="A3" i="144"/>
  <c r="A3" i="136"/>
  <c r="A3" i="153"/>
  <c r="A3" i="151"/>
  <c r="A3" i="149"/>
  <c r="A3" i="147"/>
  <c r="A3" i="145"/>
  <c r="A3" i="142"/>
  <c r="A3" i="138"/>
  <c r="A3" i="112"/>
  <c r="H28" i="149"/>
  <c r="H30" i="149"/>
  <c r="H26" i="149"/>
  <c r="BA116" i="15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BB116" i="151" l="1"/>
  <c r="A1" i="28"/>
  <c r="BC116" i="151" l="1"/>
  <c r="BD116" i="151" l="1"/>
  <c r="BE116" i="151" l="1"/>
  <c r="J35" i="55" l="1"/>
  <c r="A4" i="100" l="1"/>
  <c r="H86" i="144" l="1"/>
  <c r="H23" i="140"/>
  <c r="H41" i="151"/>
  <c r="H87" i="144"/>
  <c r="H24" i="140"/>
  <c r="H23" i="144"/>
  <c r="H88" i="144"/>
  <c r="Q25" i="141"/>
  <c r="Q225" i="141" s="1"/>
  <c r="H25" i="140"/>
  <c r="J98" i="144"/>
  <c r="Q26" i="141"/>
  <c r="Q226" i="141" s="1"/>
  <c r="H22" i="140"/>
  <c r="H47" i="136"/>
  <c r="H48" i="136" s="1"/>
  <c r="T25" i="141" l="1"/>
  <c r="T225" i="141" s="1"/>
  <c r="Y25" i="141"/>
  <c r="Y225" i="141" s="1"/>
  <c r="N25" i="141"/>
  <c r="N225" i="141" s="1"/>
  <c r="O25" i="141"/>
  <c r="O225" i="141" s="1"/>
  <c r="X25" i="141"/>
  <c r="X225" i="141" s="1"/>
  <c r="M25" i="141"/>
  <c r="M225" i="141" s="1"/>
  <c r="R25" i="141"/>
  <c r="R225" i="141" s="1"/>
  <c r="S25" i="141"/>
  <c r="S225" i="141" s="1"/>
  <c r="P25" i="141"/>
  <c r="P225" i="141" s="1"/>
  <c r="J25" i="141"/>
  <c r="J225" i="141" s="1"/>
  <c r="W25" i="141"/>
  <c r="W225" i="141" s="1"/>
  <c r="U25" i="141"/>
  <c r="U225" i="141" s="1"/>
  <c r="V25" i="141"/>
  <c r="V225" i="141" s="1"/>
  <c r="L25" i="141"/>
  <c r="L225" i="141" s="1"/>
  <c r="K25" i="141"/>
  <c r="K225" i="141" s="1"/>
  <c r="T24" i="141"/>
  <c r="T224" i="141" s="1"/>
  <c r="Y24" i="141"/>
  <c r="Y224" i="141" s="1"/>
  <c r="N24" i="141"/>
  <c r="N224" i="141" s="1"/>
  <c r="O24" i="141"/>
  <c r="O224" i="141" s="1"/>
  <c r="X24" i="141"/>
  <c r="X224" i="141" s="1"/>
  <c r="M24" i="141"/>
  <c r="M224" i="141" s="1"/>
  <c r="R24" i="141"/>
  <c r="R224" i="141" s="1"/>
  <c r="S24" i="141"/>
  <c r="S224" i="141" s="1"/>
  <c r="W24" i="141"/>
  <c r="W224" i="141" s="1"/>
  <c r="U24" i="141"/>
  <c r="U224" i="141" s="1"/>
  <c r="V24" i="141"/>
  <c r="V224" i="141" s="1"/>
  <c r="L24" i="141"/>
  <c r="L224" i="141" s="1"/>
  <c r="K24" i="141"/>
  <c r="K224" i="141" s="1"/>
  <c r="P24" i="141"/>
  <c r="P224" i="141" s="1"/>
  <c r="J24" i="141"/>
  <c r="K26" i="141"/>
  <c r="K226" i="141" s="1"/>
  <c r="W26" i="141"/>
  <c r="W226" i="141" s="1"/>
  <c r="T26" i="141"/>
  <c r="T226" i="141" s="1"/>
  <c r="Y26" i="141"/>
  <c r="Y226" i="141" s="1"/>
  <c r="S26" i="141"/>
  <c r="S226" i="141" s="1"/>
  <c r="N26" i="141"/>
  <c r="N226" i="141" s="1"/>
  <c r="X26" i="141"/>
  <c r="X226" i="141" s="1"/>
  <c r="M26" i="141"/>
  <c r="M226" i="141" s="1"/>
  <c r="P26" i="141"/>
  <c r="P226" i="141" s="1"/>
  <c r="J26" i="141"/>
  <c r="J226" i="141" s="1"/>
  <c r="U26" i="141"/>
  <c r="U226" i="141" s="1"/>
  <c r="O26" i="141"/>
  <c r="O226" i="141" s="1"/>
  <c r="L26" i="141"/>
  <c r="L226" i="141" s="1"/>
  <c r="R26" i="141"/>
  <c r="R226" i="141" s="1"/>
  <c r="V26" i="141"/>
  <c r="V226" i="141" s="1"/>
  <c r="H40" i="151"/>
  <c r="H25" i="144"/>
  <c r="Q24" i="141"/>
  <c r="Q224" i="141" s="1"/>
  <c r="P35" i="140"/>
  <c r="J35" i="140"/>
  <c r="M35" i="140"/>
  <c r="W35" i="140"/>
  <c r="N35" i="140"/>
  <c r="Q35" i="140"/>
  <c r="K35" i="140"/>
  <c r="X35" i="140"/>
  <c r="V35" i="140"/>
  <c r="Y35" i="140"/>
  <c r="S35" i="140"/>
  <c r="R35" i="140"/>
  <c r="U35" i="140"/>
  <c r="O35" i="140"/>
  <c r="L35" i="140"/>
  <c r="T35" i="140"/>
  <c r="H90" i="144"/>
  <c r="H122" i="144" s="1"/>
  <c r="H20" i="146" s="1"/>
  <c r="H59" i="136"/>
  <c r="L34" i="140"/>
  <c r="K34" i="140"/>
  <c r="Y34" i="140"/>
  <c r="J34" i="140"/>
  <c r="P34" i="140"/>
  <c r="O34" i="140"/>
  <c r="M34" i="140"/>
  <c r="N34" i="140"/>
  <c r="X34" i="140"/>
  <c r="Q34" i="140"/>
  <c r="S34" i="140"/>
  <c r="U34" i="140"/>
  <c r="R34" i="140"/>
  <c r="W34" i="140"/>
  <c r="V34" i="140"/>
  <c r="T34" i="140"/>
  <c r="H96" i="136"/>
  <c r="Q258" i="141" s="1"/>
  <c r="P99" i="154"/>
  <c r="P98" i="154"/>
  <c r="S99" i="154"/>
  <c r="U99" i="154"/>
  <c r="U109" i="154"/>
  <c r="R50" i="152"/>
  <c r="S97" i="154"/>
  <c r="W88" i="154"/>
  <c r="X88" i="154"/>
  <c r="U88" i="154"/>
  <c r="X99" i="154"/>
  <c r="X98" i="154"/>
  <c r="O98" i="154"/>
  <c r="W99" i="154"/>
  <c r="Y99" i="154"/>
  <c r="U98" i="154"/>
  <c r="S89" i="154"/>
  <c r="W97" i="154"/>
  <c r="T89" i="154"/>
  <c r="X97" i="154"/>
  <c r="S98" i="154"/>
  <c r="W108" i="154"/>
  <c r="U108" i="154"/>
  <c r="Q50" i="152"/>
  <c r="V50" i="152"/>
  <c r="Y50" i="152"/>
  <c r="O97" i="154"/>
  <c r="X89" i="154"/>
  <c r="P97" i="154"/>
  <c r="V98" i="154"/>
  <c r="V97" i="154"/>
  <c r="Y109" i="154"/>
  <c r="S88" i="154"/>
  <c r="Y89" i="154"/>
  <c r="U107" i="154"/>
  <c r="W98" i="154"/>
  <c r="Y108" i="154"/>
  <c r="Y88" i="154"/>
  <c r="V99" i="154"/>
  <c r="W109" i="154"/>
  <c r="Y98" i="154"/>
  <c r="U89" i="154"/>
  <c r="W107" i="154"/>
  <c r="Y107" i="154"/>
  <c r="O99" i="154"/>
  <c r="Y97" i="154"/>
  <c r="W89" i="154"/>
  <c r="U97" i="154"/>
  <c r="U50" i="152"/>
  <c r="M50" i="152"/>
  <c r="V88" i="154"/>
  <c r="R89" i="154"/>
  <c r="S50" i="152"/>
  <c r="K50" i="152"/>
  <c r="T50" i="152"/>
  <c r="X50" i="152"/>
  <c r="T88" i="154"/>
  <c r="V89" i="154"/>
  <c r="R88" i="154"/>
  <c r="W50" i="152"/>
  <c r="V54" i="152"/>
  <c r="W54" i="152"/>
  <c r="X54" i="152"/>
  <c r="S54" i="152"/>
  <c r="R54" i="152"/>
  <c r="U54" i="152"/>
  <c r="K54" i="152"/>
  <c r="T54" i="152"/>
  <c r="Q54" i="152"/>
  <c r="M54" i="152"/>
  <c r="Y54" i="152"/>
  <c r="H41" i="152"/>
  <c r="T60" i="152" l="1"/>
  <c r="M60" i="152"/>
  <c r="S60" i="152"/>
  <c r="R99" i="140"/>
  <c r="R121" i="140"/>
  <c r="R62" i="140"/>
  <c r="R73" i="140"/>
  <c r="R84" i="140"/>
  <c r="R110" i="140"/>
  <c r="R132" i="140"/>
  <c r="X84" i="140"/>
  <c r="X62" i="140"/>
  <c r="X110" i="140"/>
  <c r="X132" i="140"/>
  <c r="X73" i="140"/>
  <c r="X99" i="140"/>
  <c r="X121" i="140"/>
  <c r="S122" i="140"/>
  <c r="S74" i="140"/>
  <c r="S111" i="140"/>
  <c r="S85" i="140"/>
  <c r="S133" i="140"/>
  <c r="S100" i="140"/>
  <c r="S63" i="140"/>
  <c r="T84" i="140"/>
  <c r="T62" i="140"/>
  <c r="T110" i="140"/>
  <c r="T132" i="140"/>
  <c r="T73" i="140"/>
  <c r="T99" i="140"/>
  <c r="T121" i="140"/>
  <c r="U110" i="140"/>
  <c r="U84" i="140"/>
  <c r="U132" i="140"/>
  <c r="U99" i="140"/>
  <c r="U62" i="140"/>
  <c r="U121" i="140"/>
  <c r="U73" i="140"/>
  <c r="Y63" i="140"/>
  <c r="Y122" i="140"/>
  <c r="Y74" i="140"/>
  <c r="Y111" i="140"/>
  <c r="Y85" i="140"/>
  <c r="Y133" i="140"/>
  <c r="Y100" i="140"/>
  <c r="V99" i="140"/>
  <c r="V121" i="140"/>
  <c r="V62" i="140"/>
  <c r="V73" i="140"/>
  <c r="V84" i="140"/>
  <c r="V110" i="140"/>
  <c r="V132" i="140"/>
  <c r="S121" i="140"/>
  <c r="S73" i="140"/>
  <c r="S110" i="140"/>
  <c r="S84" i="140"/>
  <c r="S132" i="140"/>
  <c r="S99" i="140"/>
  <c r="S62" i="140"/>
  <c r="Y62" i="140"/>
  <c r="Y121" i="140"/>
  <c r="Y73" i="140"/>
  <c r="Y110" i="140"/>
  <c r="Y84" i="140"/>
  <c r="Y132" i="140"/>
  <c r="Y99" i="140"/>
  <c r="U111" i="140"/>
  <c r="U85" i="140"/>
  <c r="U133" i="140"/>
  <c r="U100" i="140"/>
  <c r="U63" i="140"/>
  <c r="U122" i="140"/>
  <c r="U74" i="140"/>
  <c r="V122" i="140"/>
  <c r="V100" i="140"/>
  <c r="V133" i="140"/>
  <c r="V111" i="140"/>
  <c r="V85" i="140"/>
  <c r="V63" i="140"/>
  <c r="V74" i="140"/>
  <c r="W132" i="140"/>
  <c r="W99" i="140"/>
  <c r="W62" i="140"/>
  <c r="W121" i="140"/>
  <c r="W73" i="140"/>
  <c r="W110" i="140"/>
  <c r="W84" i="140"/>
  <c r="T85" i="140"/>
  <c r="T63" i="140"/>
  <c r="T111" i="140"/>
  <c r="T133" i="140"/>
  <c r="T74" i="140"/>
  <c r="T100" i="140"/>
  <c r="T122" i="140"/>
  <c r="R133" i="140"/>
  <c r="R111" i="140"/>
  <c r="R85" i="140"/>
  <c r="R122" i="140"/>
  <c r="R100" i="140"/>
  <c r="R63" i="140"/>
  <c r="R74" i="140"/>
  <c r="X85" i="140"/>
  <c r="X63" i="140"/>
  <c r="X111" i="140"/>
  <c r="X133" i="140"/>
  <c r="X74" i="140"/>
  <c r="X100" i="140"/>
  <c r="X122" i="140"/>
  <c r="W133" i="140"/>
  <c r="W100" i="140"/>
  <c r="W63" i="140"/>
  <c r="W122" i="140"/>
  <c r="W74" i="140"/>
  <c r="W111" i="140"/>
  <c r="W85" i="140"/>
  <c r="W101" i="154"/>
  <c r="Q246" i="141"/>
  <c r="Q248" i="141"/>
  <c r="W60" i="152"/>
  <c r="U111" i="154"/>
  <c r="X101" i="154"/>
  <c r="Y60" i="152"/>
  <c r="K60" i="152"/>
  <c r="X60" i="152"/>
  <c r="U101" i="154"/>
  <c r="Y111" i="154"/>
  <c r="P101" i="154"/>
  <c r="Q244" i="141"/>
  <c r="Q247" i="141"/>
  <c r="N62" i="140"/>
  <c r="N73" i="140"/>
  <c r="N84" i="140"/>
  <c r="N99" i="140"/>
  <c r="N110" i="140"/>
  <c r="N121" i="140"/>
  <c r="N132" i="140"/>
  <c r="J73" i="140"/>
  <c r="J110" i="140"/>
  <c r="J62" i="140"/>
  <c r="J84" i="140"/>
  <c r="J132" i="140"/>
  <c r="J99" i="140"/>
  <c r="J121" i="140"/>
  <c r="O122" i="140"/>
  <c r="O74" i="140"/>
  <c r="O85" i="140"/>
  <c r="O111" i="140"/>
  <c r="O133" i="140"/>
  <c r="O63" i="140"/>
  <c r="O100" i="140"/>
  <c r="Q122" i="140"/>
  <c r="Q74" i="140"/>
  <c r="Q111" i="140"/>
  <c r="Q100" i="140"/>
  <c r="Q85" i="140"/>
  <c r="Q133" i="140"/>
  <c r="Q63" i="140"/>
  <c r="J122" i="140"/>
  <c r="J111" i="140"/>
  <c r="J85" i="140"/>
  <c r="J74" i="140"/>
  <c r="J63" i="140"/>
  <c r="J133" i="140"/>
  <c r="J100" i="140"/>
  <c r="H114" i="136"/>
  <c r="O257" i="141"/>
  <c r="O251" i="141"/>
  <c r="O252" i="141"/>
  <c r="O259" i="141"/>
  <c r="O258" i="141"/>
  <c r="O253" i="141"/>
  <c r="O254" i="141"/>
  <c r="O255" i="141"/>
  <c r="O256" i="141"/>
  <c r="M259" i="141"/>
  <c r="M252" i="141"/>
  <c r="M253" i="141"/>
  <c r="M255" i="141"/>
  <c r="M257" i="141"/>
  <c r="M258" i="141"/>
  <c r="M254" i="141"/>
  <c r="M251" i="141"/>
  <c r="M256" i="141"/>
  <c r="Y255" i="141"/>
  <c r="Y251" i="141"/>
  <c r="Y259" i="141"/>
  <c r="Y257" i="141"/>
  <c r="Y253" i="141"/>
  <c r="Y258" i="141"/>
  <c r="Y256" i="141"/>
  <c r="Y254" i="141"/>
  <c r="Y252" i="141"/>
  <c r="H75" i="136"/>
  <c r="H83" i="136" s="1"/>
  <c r="H90" i="136" s="1"/>
  <c r="Q256" i="141"/>
  <c r="K236" i="141"/>
  <c r="K233" i="141"/>
  <c r="K232" i="141"/>
  <c r="K234" i="141"/>
  <c r="K237" i="141"/>
  <c r="K231" i="141"/>
  <c r="K235" i="141"/>
  <c r="K229" i="141"/>
  <c r="K230" i="141"/>
  <c r="W235" i="141"/>
  <c r="W230" i="141"/>
  <c r="W237" i="141"/>
  <c r="W234" i="141"/>
  <c r="W229" i="141"/>
  <c r="W232" i="141"/>
  <c r="W236" i="141"/>
  <c r="W233" i="141"/>
  <c r="W231" i="141"/>
  <c r="X236" i="141"/>
  <c r="X232" i="141"/>
  <c r="X237" i="141"/>
  <c r="X230" i="141"/>
  <c r="X229" i="141"/>
  <c r="X235" i="141"/>
  <c r="X233" i="141"/>
  <c r="X231" i="141"/>
  <c r="X234" i="141"/>
  <c r="T236" i="141"/>
  <c r="T232" i="141"/>
  <c r="T234" i="141"/>
  <c r="T235" i="141"/>
  <c r="T237" i="141"/>
  <c r="T230" i="141"/>
  <c r="T233" i="141"/>
  <c r="T231" i="141"/>
  <c r="T229" i="141"/>
  <c r="U241" i="141"/>
  <c r="U247" i="141"/>
  <c r="U242" i="141"/>
  <c r="U244" i="141"/>
  <c r="U243" i="141"/>
  <c r="U245" i="141"/>
  <c r="U240" i="141"/>
  <c r="U246" i="141"/>
  <c r="U248" i="141"/>
  <c r="S245" i="141"/>
  <c r="S241" i="141"/>
  <c r="S246" i="141"/>
  <c r="S242" i="141"/>
  <c r="S248" i="141"/>
  <c r="S243" i="141"/>
  <c r="S247" i="141"/>
  <c r="S240" i="141"/>
  <c r="S244" i="141"/>
  <c r="O245" i="141"/>
  <c r="O242" i="141"/>
  <c r="O243" i="141"/>
  <c r="O246" i="141"/>
  <c r="O241" i="141"/>
  <c r="O244" i="141"/>
  <c r="O240" i="141"/>
  <c r="O247" i="141"/>
  <c r="O248" i="141"/>
  <c r="U60" i="152"/>
  <c r="W111" i="154"/>
  <c r="V101" i="154"/>
  <c r="H115" i="136"/>
  <c r="W124" i="145"/>
  <c r="S123" i="145"/>
  <c r="S124" i="145"/>
  <c r="R124" i="145"/>
  <c r="W123" i="145"/>
  <c r="U124" i="145"/>
  <c r="T124" i="145"/>
  <c r="R123" i="145"/>
  <c r="X123" i="145"/>
  <c r="X124" i="145"/>
  <c r="U123" i="145"/>
  <c r="Y123" i="145"/>
  <c r="V123" i="145"/>
  <c r="Y124" i="145"/>
  <c r="T123" i="145"/>
  <c r="V124" i="145"/>
  <c r="Q240" i="141"/>
  <c r="Q245" i="141"/>
  <c r="M110" i="140"/>
  <c r="M73" i="140"/>
  <c r="M84" i="140"/>
  <c r="M132" i="140"/>
  <c r="M62" i="140"/>
  <c r="M121" i="140"/>
  <c r="M99" i="140"/>
  <c r="N100" i="140"/>
  <c r="N122" i="140"/>
  <c r="N63" i="140"/>
  <c r="N74" i="140"/>
  <c r="N85" i="140"/>
  <c r="N133" i="140"/>
  <c r="N111" i="140"/>
  <c r="P100" i="140"/>
  <c r="P74" i="140"/>
  <c r="P122" i="140"/>
  <c r="P63" i="140"/>
  <c r="P85" i="140"/>
  <c r="P133" i="140"/>
  <c r="P111" i="140"/>
  <c r="V255" i="141"/>
  <c r="V254" i="141"/>
  <c r="V251" i="141"/>
  <c r="V257" i="141"/>
  <c r="V256" i="141"/>
  <c r="V253" i="141"/>
  <c r="V258" i="141"/>
  <c r="V259" i="141"/>
  <c r="V252" i="141"/>
  <c r="U259" i="141"/>
  <c r="U253" i="141"/>
  <c r="U257" i="141"/>
  <c r="U254" i="141"/>
  <c r="U252" i="141"/>
  <c r="U251" i="141"/>
  <c r="U255" i="141"/>
  <c r="U258" i="141"/>
  <c r="U256" i="141"/>
  <c r="X259" i="141"/>
  <c r="X256" i="141"/>
  <c r="X252" i="141"/>
  <c r="X255" i="141"/>
  <c r="X253" i="141"/>
  <c r="X254" i="141"/>
  <c r="X258" i="141"/>
  <c r="X251" i="141"/>
  <c r="X257" i="141"/>
  <c r="T256" i="141"/>
  <c r="T252" i="141"/>
  <c r="T257" i="141"/>
  <c r="T255" i="141"/>
  <c r="T253" i="141"/>
  <c r="T258" i="141"/>
  <c r="T251" i="141"/>
  <c r="T254" i="141"/>
  <c r="T259" i="141"/>
  <c r="Q257" i="141"/>
  <c r="Q253" i="141"/>
  <c r="Q254" i="141"/>
  <c r="L237" i="141"/>
  <c r="L233" i="141"/>
  <c r="L229" i="141"/>
  <c r="L232" i="141"/>
  <c r="L230" i="141"/>
  <c r="L231" i="141"/>
  <c r="L235" i="141"/>
  <c r="L236" i="141"/>
  <c r="L234" i="141"/>
  <c r="S236" i="141"/>
  <c r="S233" i="141"/>
  <c r="S235" i="141"/>
  <c r="S232" i="141"/>
  <c r="S229" i="141"/>
  <c r="S234" i="141"/>
  <c r="S231" i="141"/>
  <c r="S230" i="141"/>
  <c r="S237" i="141"/>
  <c r="O236" i="141"/>
  <c r="O230" i="141"/>
  <c r="O233" i="141"/>
  <c r="O235" i="141"/>
  <c r="O237" i="141"/>
  <c r="O231" i="141"/>
  <c r="O234" i="141"/>
  <c r="O229" i="141"/>
  <c r="O232" i="141"/>
  <c r="K246" i="141"/>
  <c r="K245" i="141"/>
  <c r="K240" i="141"/>
  <c r="K247" i="141"/>
  <c r="K244" i="141"/>
  <c r="K248" i="141"/>
  <c r="K243" i="141"/>
  <c r="K241" i="141"/>
  <c r="K242" i="141"/>
  <c r="W246" i="141"/>
  <c r="W241" i="141"/>
  <c r="W248" i="141"/>
  <c r="W247" i="141"/>
  <c r="W244" i="141"/>
  <c r="W243" i="141"/>
  <c r="W242" i="141"/>
  <c r="W240" i="141"/>
  <c r="W245" i="141"/>
  <c r="R244" i="141"/>
  <c r="R243" i="141"/>
  <c r="R245" i="141"/>
  <c r="R241" i="141"/>
  <c r="R242" i="141"/>
  <c r="R246" i="141"/>
  <c r="R247" i="141"/>
  <c r="R240" i="141"/>
  <c r="R248" i="141"/>
  <c r="N240" i="141"/>
  <c r="N246" i="141"/>
  <c r="N247" i="141"/>
  <c r="N245" i="141"/>
  <c r="N244" i="141"/>
  <c r="N243" i="141"/>
  <c r="N248" i="141"/>
  <c r="N241" i="141"/>
  <c r="N242" i="141"/>
  <c r="Q60" i="152"/>
  <c r="R60" i="152"/>
  <c r="V60" i="152"/>
  <c r="Y101" i="154"/>
  <c r="O101" i="154"/>
  <c r="S101" i="154"/>
  <c r="Q241" i="141"/>
  <c r="Q243" i="141"/>
  <c r="Q242" i="141"/>
  <c r="Q110" i="140"/>
  <c r="Q62" i="140"/>
  <c r="Q132" i="140"/>
  <c r="Q73" i="140"/>
  <c r="Q99" i="140"/>
  <c r="Q121" i="140"/>
  <c r="Q84" i="140"/>
  <c r="O73" i="140"/>
  <c r="O110" i="140"/>
  <c r="O62" i="140"/>
  <c r="O121" i="140"/>
  <c r="O132" i="140"/>
  <c r="O99" i="140"/>
  <c r="O84" i="140"/>
  <c r="K121" i="140"/>
  <c r="K110" i="140"/>
  <c r="K62" i="140"/>
  <c r="K99" i="140"/>
  <c r="K132" i="140"/>
  <c r="K84" i="140"/>
  <c r="K73" i="140"/>
  <c r="H121" i="144"/>
  <c r="H19" i="146" s="1"/>
  <c r="S56" i="144"/>
  <c r="S114" i="144" s="1"/>
  <c r="L56" i="144"/>
  <c r="L114" i="144" s="1"/>
  <c r="Q56" i="144"/>
  <c r="Q114" i="144" s="1"/>
  <c r="M56" i="144"/>
  <c r="M114" i="144" s="1"/>
  <c r="P56" i="144"/>
  <c r="P114" i="144" s="1"/>
  <c r="R56" i="144"/>
  <c r="R114" i="144" s="1"/>
  <c r="N56" i="144"/>
  <c r="N114" i="144" s="1"/>
  <c r="O56" i="144"/>
  <c r="O114" i="144" s="1"/>
  <c r="R253" i="141"/>
  <c r="R254" i="141"/>
  <c r="R252" i="141"/>
  <c r="R257" i="141"/>
  <c r="R255" i="141"/>
  <c r="R251" i="141"/>
  <c r="R256" i="141"/>
  <c r="R258" i="141"/>
  <c r="R259" i="141"/>
  <c r="J253" i="141"/>
  <c r="J255" i="141"/>
  <c r="J257" i="141"/>
  <c r="J251" i="141"/>
  <c r="J256" i="141"/>
  <c r="J254" i="141"/>
  <c r="J252" i="141"/>
  <c r="J259" i="141"/>
  <c r="J258" i="141"/>
  <c r="N256" i="141"/>
  <c r="N259" i="141"/>
  <c r="N252" i="141"/>
  <c r="N255" i="141"/>
  <c r="N251" i="141"/>
  <c r="N257" i="141"/>
  <c r="N258" i="141"/>
  <c r="N253" i="141"/>
  <c r="N254" i="141"/>
  <c r="W256" i="141"/>
  <c r="W255" i="141"/>
  <c r="W258" i="141"/>
  <c r="W253" i="141"/>
  <c r="W254" i="141"/>
  <c r="W257" i="141"/>
  <c r="W251" i="141"/>
  <c r="W259" i="141"/>
  <c r="W252" i="141"/>
  <c r="Q255" i="141"/>
  <c r="Q251" i="141"/>
  <c r="J224" i="141"/>
  <c r="V234" i="141"/>
  <c r="V236" i="141"/>
  <c r="V230" i="141"/>
  <c r="V232" i="141"/>
  <c r="V235" i="141"/>
  <c r="V237" i="141"/>
  <c r="V229" i="141"/>
  <c r="V231" i="141"/>
  <c r="V233" i="141"/>
  <c r="R233" i="141"/>
  <c r="R236" i="141"/>
  <c r="R230" i="141"/>
  <c r="R229" i="141"/>
  <c r="R234" i="141"/>
  <c r="R232" i="141"/>
  <c r="R235" i="141"/>
  <c r="R237" i="141"/>
  <c r="R231" i="141"/>
  <c r="N235" i="141"/>
  <c r="N236" i="141"/>
  <c r="N230" i="141"/>
  <c r="N229" i="141"/>
  <c r="N233" i="141"/>
  <c r="N231" i="141"/>
  <c r="N234" i="141"/>
  <c r="N237" i="141"/>
  <c r="N232" i="141"/>
  <c r="L245" i="141"/>
  <c r="L241" i="141"/>
  <c r="L248" i="141"/>
  <c r="L246" i="141"/>
  <c r="L247" i="141"/>
  <c r="L244" i="141"/>
  <c r="L242" i="141"/>
  <c r="L240" i="141"/>
  <c r="L243" i="141"/>
  <c r="J243" i="141"/>
  <c r="J246" i="141"/>
  <c r="J248" i="141"/>
  <c r="J247" i="141"/>
  <c r="J244" i="141"/>
  <c r="J241" i="141"/>
  <c r="J240" i="141"/>
  <c r="J245" i="141"/>
  <c r="J242" i="141"/>
  <c r="M244" i="141"/>
  <c r="M240" i="141"/>
  <c r="M245" i="141"/>
  <c r="M247" i="141"/>
  <c r="M248" i="141"/>
  <c r="M241" i="141"/>
  <c r="M246" i="141"/>
  <c r="M242" i="141"/>
  <c r="M243" i="141"/>
  <c r="Y247" i="141"/>
  <c r="Y243" i="141"/>
  <c r="Y248" i="141"/>
  <c r="Y241" i="141"/>
  <c r="Y240" i="141"/>
  <c r="Y246" i="141"/>
  <c r="Y244" i="141"/>
  <c r="Y242" i="141"/>
  <c r="Y245" i="141"/>
  <c r="N45" i="152"/>
  <c r="N46" i="152" s="1"/>
  <c r="O45" i="152"/>
  <c r="O46" i="152" s="1"/>
  <c r="P45" i="152"/>
  <c r="P46" i="152" s="1"/>
  <c r="L45" i="152"/>
  <c r="L46" i="152" s="1"/>
  <c r="J45" i="152"/>
  <c r="P73" i="140"/>
  <c r="P99" i="140"/>
  <c r="P62" i="140"/>
  <c r="P132" i="140"/>
  <c r="P110" i="140"/>
  <c r="P84" i="140"/>
  <c r="P121" i="140"/>
  <c r="L73" i="140"/>
  <c r="L99" i="140"/>
  <c r="L62" i="140"/>
  <c r="L132" i="140"/>
  <c r="L84" i="140"/>
  <c r="L121" i="140"/>
  <c r="L110" i="140"/>
  <c r="L63" i="140"/>
  <c r="L133" i="140"/>
  <c r="L85" i="140"/>
  <c r="L74" i="140"/>
  <c r="L100" i="140"/>
  <c r="L111" i="140"/>
  <c r="L122" i="140"/>
  <c r="K133" i="140"/>
  <c r="K85" i="140"/>
  <c r="K100" i="140"/>
  <c r="K63" i="140"/>
  <c r="K74" i="140"/>
  <c r="K122" i="140"/>
  <c r="K111" i="140"/>
  <c r="M111" i="140"/>
  <c r="M63" i="140"/>
  <c r="M133" i="140"/>
  <c r="M74" i="140"/>
  <c r="M100" i="140"/>
  <c r="M122" i="140"/>
  <c r="M85" i="140"/>
  <c r="Q230" i="141"/>
  <c r="Q231" i="141"/>
  <c r="Q232" i="141"/>
  <c r="Q235" i="141"/>
  <c r="Q234" i="141"/>
  <c r="Q229" i="141"/>
  <c r="Q237" i="141"/>
  <c r="Q236" i="141"/>
  <c r="Q233" i="141"/>
  <c r="H40" i="152"/>
  <c r="J44" i="152" s="1"/>
  <c r="L259" i="141"/>
  <c r="L257" i="141"/>
  <c r="L253" i="141"/>
  <c r="L255" i="141"/>
  <c r="L254" i="141"/>
  <c r="L258" i="141"/>
  <c r="L251" i="141"/>
  <c r="L256" i="141"/>
  <c r="L252" i="141"/>
  <c r="P259" i="141"/>
  <c r="P257" i="141"/>
  <c r="P253" i="141"/>
  <c r="P255" i="141"/>
  <c r="P254" i="141"/>
  <c r="P258" i="141"/>
  <c r="P251" i="141"/>
  <c r="P256" i="141"/>
  <c r="P252" i="141"/>
  <c r="S253" i="141"/>
  <c r="S251" i="141"/>
  <c r="S257" i="141"/>
  <c r="S259" i="141"/>
  <c r="S255" i="141"/>
  <c r="S258" i="141"/>
  <c r="S256" i="141"/>
  <c r="S252" i="141"/>
  <c r="S254" i="141"/>
  <c r="K259" i="141"/>
  <c r="K255" i="141"/>
  <c r="K257" i="141"/>
  <c r="K256" i="141"/>
  <c r="K253" i="141"/>
  <c r="K254" i="141"/>
  <c r="K258" i="141"/>
  <c r="K251" i="141"/>
  <c r="K252" i="141"/>
  <c r="Q252" i="141"/>
  <c r="Q259" i="141"/>
  <c r="P237" i="141"/>
  <c r="P233" i="141"/>
  <c r="P229" i="141"/>
  <c r="P232" i="141"/>
  <c r="P230" i="141"/>
  <c r="P231" i="141"/>
  <c r="P235" i="141"/>
  <c r="P234" i="141"/>
  <c r="P236" i="141"/>
  <c r="U233" i="141"/>
  <c r="U229" i="141"/>
  <c r="U234" i="141"/>
  <c r="U230" i="141"/>
  <c r="U235" i="141"/>
  <c r="U237" i="141"/>
  <c r="U236" i="141"/>
  <c r="U232" i="141"/>
  <c r="U231" i="141"/>
  <c r="M232" i="141"/>
  <c r="M233" i="141"/>
  <c r="M229" i="141"/>
  <c r="M234" i="141"/>
  <c r="M237" i="141"/>
  <c r="M231" i="141"/>
  <c r="M230" i="141"/>
  <c r="M235" i="141"/>
  <c r="M236" i="141"/>
  <c r="Y235" i="141"/>
  <c r="Y231" i="141"/>
  <c r="Y234" i="141"/>
  <c r="Y232" i="141"/>
  <c r="Y233" i="141"/>
  <c r="Y237" i="141"/>
  <c r="Y230" i="141"/>
  <c r="Y236" i="141"/>
  <c r="Y229" i="141"/>
  <c r="V242" i="141"/>
  <c r="V241" i="141"/>
  <c r="V244" i="141"/>
  <c r="V240" i="141"/>
  <c r="V245" i="141"/>
  <c r="V243" i="141"/>
  <c r="V248" i="141"/>
  <c r="V246" i="141"/>
  <c r="V247" i="141"/>
  <c r="P245" i="141"/>
  <c r="P241" i="141"/>
  <c r="P248" i="141"/>
  <c r="P246" i="141"/>
  <c r="P247" i="141"/>
  <c r="P244" i="141"/>
  <c r="P242" i="141"/>
  <c r="P240" i="141"/>
  <c r="P243" i="141"/>
  <c r="X248" i="141"/>
  <c r="X244" i="141"/>
  <c r="X240" i="141"/>
  <c r="X246" i="141"/>
  <c r="X247" i="141"/>
  <c r="X245" i="141"/>
  <c r="X242" i="141"/>
  <c r="X241" i="141"/>
  <c r="X243" i="141"/>
  <c r="T248" i="141"/>
  <c r="T244" i="141"/>
  <c r="T240" i="141"/>
  <c r="T243" i="141"/>
  <c r="T241" i="141"/>
  <c r="T242" i="141"/>
  <c r="T246" i="141"/>
  <c r="T245" i="141"/>
  <c r="T247" i="141"/>
  <c r="W66" i="153" l="1"/>
  <c r="W87" i="140"/>
  <c r="W64" i="153"/>
  <c r="W65" i="140"/>
  <c r="X67" i="153"/>
  <c r="X102" i="140"/>
  <c r="X64" i="153"/>
  <c r="X65" i="140"/>
  <c r="R67" i="153"/>
  <c r="R102" i="140"/>
  <c r="R70" i="153"/>
  <c r="R135" i="140"/>
  <c r="T70" i="153"/>
  <c r="T135" i="140"/>
  <c r="W57" i="153"/>
  <c r="W86" i="140"/>
  <c r="W88" i="140" s="1"/>
  <c r="W55" i="153"/>
  <c r="W64" i="140"/>
  <c r="V64" i="153"/>
  <c r="V65" i="140"/>
  <c r="V67" i="153"/>
  <c r="V102" i="140"/>
  <c r="U64" i="153"/>
  <c r="U65" i="140"/>
  <c r="U68" i="153"/>
  <c r="U113" i="140"/>
  <c r="Y59" i="153"/>
  <c r="Y112" i="140"/>
  <c r="S55" i="153"/>
  <c r="S64" i="140"/>
  <c r="S59" i="153"/>
  <c r="S112" i="140"/>
  <c r="V59" i="153"/>
  <c r="V112" i="140"/>
  <c r="V60" i="153"/>
  <c r="V123" i="140"/>
  <c r="Y66" i="153"/>
  <c r="Y87" i="140"/>
  <c r="Y64" i="153"/>
  <c r="Y65" i="140"/>
  <c r="U58" i="153"/>
  <c r="U101" i="140"/>
  <c r="T60" i="153"/>
  <c r="T115" i="153" s="1"/>
  <c r="T144" i="153" s="1"/>
  <c r="T59" i="154" s="1"/>
  <c r="T99" i="154" s="1"/>
  <c r="T123" i="140"/>
  <c r="T59" i="153"/>
  <c r="T114" i="153" s="1"/>
  <c r="T143" i="153" s="1"/>
  <c r="T58" i="154" s="1"/>
  <c r="T98" i="154" s="1"/>
  <c r="T112" i="140"/>
  <c r="S67" i="153"/>
  <c r="S102" i="140"/>
  <c r="S65" i="153"/>
  <c r="S76" i="140"/>
  <c r="X56" i="153"/>
  <c r="X75" i="140"/>
  <c r="X57" i="153"/>
  <c r="X86" i="140"/>
  <c r="R56" i="153"/>
  <c r="R75" i="140"/>
  <c r="W68" i="153"/>
  <c r="W113" i="140"/>
  <c r="W67" i="153"/>
  <c r="W102" i="140"/>
  <c r="X65" i="153"/>
  <c r="X76" i="140"/>
  <c r="X66" i="153"/>
  <c r="X87" i="140"/>
  <c r="R69" i="153"/>
  <c r="R124" i="153" s="1"/>
  <c r="R153" i="153" s="1"/>
  <c r="R68" i="154" s="1"/>
  <c r="R109" i="154" s="1"/>
  <c r="R124" i="140"/>
  <c r="T69" i="153"/>
  <c r="T124" i="153" s="1"/>
  <c r="T153" i="153" s="1"/>
  <c r="T68" i="154" s="1"/>
  <c r="T109" i="154" s="1"/>
  <c r="T124" i="140"/>
  <c r="T68" i="153"/>
  <c r="T123" i="153" s="1"/>
  <c r="T152" i="153" s="1"/>
  <c r="T67" i="154" s="1"/>
  <c r="T108" i="154" s="1"/>
  <c r="T113" i="140"/>
  <c r="W59" i="153"/>
  <c r="W112" i="140"/>
  <c r="W58" i="153"/>
  <c r="W101" i="140"/>
  <c r="V66" i="153"/>
  <c r="V87" i="140"/>
  <c r="V69" i="153"/>
  <c r="V124" i="153" s="1"/>
  <c r="V153" i="153" s="1"/>
  <c r="V68" i="154" s="1"/>
  <c r="V109" i="154" s="1"/>
  <c r="V124" i="140"/>
  <c r="U67" i="153"/>
  <c r="U102" i="140"/>
  <c r="Y58" i="153"/>
  <c r="Y101" i="140"/>
  <c r="Y56" i="153"/>
  <c r="Y75" i="140"/>
  <c r="S58" i="153"/>
  <c r="S101" i="140"/>
  <c r="S56" i="153"/>
  <c r="S75" i="140"/>
  <c r="V57" i="153"/>
  <c r="V86" i="140"/>
  <c r="V58" i="153"/>
  <c r="V101" i="140"/>
  <c r="Y68" i="153"/>
  <c r="Y113" i="140"/>
  <c r="U56" i="153"/>
  <c r="U75" i="140"/>
  <c r="U61" i="153"/>
  <c r="U134" i="140"/>
  <c r="T58" i="153"/>
  <c r="T101" i="140"/>
  <c r="T55" i="153"/>
  <c r="T64" i="140"/>
  <c r="S70" i="153"/>
  <c r="S135" i="140"/>
  <c r="S69" i="153"/>
  <c r="S124" i="153" s="1"/>
  <c r="S153" i="153" s="1"/>
  <c r="S68" i="154" s="1"/>
  <c r="S109" i="154" s="1"/>
  <c r="S124" i="140"/>
  <c r="X61" i="153"/>
  <c r="X134" i="140"/>
  <c r="R61" i="153"/>
  <c r="R134" i="140"/>
  <c r="R55" i="153"/>
  <c r="R64" i="140"/>
  <c r="W65" i="153"/>
  <c r="W76" i="140"/>
  <c r="W70" i="153"/>
  <c r="W135" i="140"/>
  <c r="X70" i="153"/>
  <c r="X135" i="140"/>
  <c r="R65" i="153"/>
  <c r="R76" i="140"/>
  <c r="R66" i="153"/>
  <c r="R87" i="140"/>
  <c r="T67" i="153"/>
  <c r="T102" i="140"/>
  <c r="T64" i="153"/>
  <c r="T65" i="140"/>
  <c r="W56" i="153"/>
  <c r="W75" i="140"/>
  <c r="W61" i="153"/>
  <c r="W134" i="140"/>
  <c r="V68" i="153"/>
  <c r="V123" i="153" s="1"/>
  <c r="V152" i="153" s="1"/>
  <c r="V67" i="154" s="1"/>
  <c r="V108" i="154" s="1"/>
  <c r="V113" i="140"/>
  <c r="U65" i="153"/>
  <c r="U76" i="140"/>
  <c r="U70" i="153"/>
  <c r="U135" i="140"/>
  <c r="U136" i="140" s="1"/>
  <c r="U35" i="151" s="1"/>
  <c r="U156" i="151" s="1"/>
  <c r="Y61" i="153"/>
  <c r="Y134" i="140"/>
  <c r="Y60" i="153"/>
  <c r="Y123" i="140"/>
  <c r="S61" i="153"/>
  <c r="S134" i="140"/>
  <c r="S60" i="153"/>
  <c r="S123" i="140"/>
  <c r="V56" i="153"/>
  <c r="V75" i="140"/>
  <c r="Y67" i="153"/>
  <c r="Y102" i="140"/>
  <c r="Y65" i="153"/>
  <c r="Y76" i="140"/>
  <c r="U60" i="153"/>
  <c r="U123" i="140"/>
  <c r="U57" i="153"/>
  <c r="U86" i="140"/>
  <c r="T56" i="153"/>
  <c r="T75" i="140"/>
  <c r="T57" i="153"/>
  <c r="T86" i="140"/>
  <c r="S66" i="153"/>
  <c r="S87" i="140"/>
  <c r="X60" i="153"/>
  <c r="X123" i="140"/>
  <c r="X59" i="153"/>
  <c r="X112" i="140"/>
  <c r="R59" i="153"/>
  <c r="R114" i="153" s="1"/>
  <c r="R143" i="153" s="1"/>
  <c r="R58" i="154" s="1"/>
  <c r="R98" i="154" s="1"/>
  <c r="R112" i="140"/>
  <c r="R60" i="153"/>
  <c r="R115" i="153" s="1"/>
  <c r="R144" i="153" s="1"/>
  <c r="R59" i="154" s="1"/>
  <c r="R99" i="154" s="1"/>
  <c r="R123" i="140"/>
  <c r="W69" i="153"/>
  <c r="W124" i="140"/>
  <c r="X69" i="153"/>
  <c r="X124" i="153" s="1"/>
  <c r="X153" i="153" s="1"/>
  <c r="X68" i="154" s="1"/>
  <c r="X109" i="154" s="1"/>
  <c r="X124" i="140"/>
  <c r="X68" i="153"/>
  <c r="X123" i="153" s="1"/>
  <c r="X152" i="153" s="1"/>
  <c r="X67" i="154" s="1"/>
  <c r="X108" i="154" s="1"/>
  <c r="X113" i="140"/>
  <c r="R64" i="153"/>
  <c r="R65" i="140"/>
  <c r="R68" i="153"/>
  <c r="R123" i="153" s="1"/>
  <c r="R152" i="153" s="1"/>
  <c r="R67" i="154" s="1"/>
  <c r="R108" i="154" s="1"/>
  <c r="R113" i="140"/>
  <c r="T65" i="153"/>
  <c r="T76" i="140"/>
  <c r="T66" i="153"/>
  <c r="T87" i="140"/>
  <c r="W60" i="153"/>
  <c r="W123" i="140"/>
  <c r="V65" i="153"/>
  <c r="V76" i="140"/>
  <c r="V70" i="153"/>
  <c r="V135" i="140"/>
  <c r="U69" i="153"/>
  <c r="U124" i="140"/>
  <c r="U66" i="153"/>
  <c r="U87" i="140"/>
  <c r="Y57" i="153"/>
  <c r="Y86" i="140"/>
  <c r="Y88" i="140" s="1"/>
  <c r="Y55" i="153"/>
  <c r="Y64" i="140"/>
  <c r="S57" i="153"/>
  <c r="S86" i="140"/>
  <c r="V61" i="153"/>
  <c r="V134" i="140"/>
  <c r="V55" i="153"/>
  <c r="V64" i="140"/>
  <c r="Y70" i="153"/>
  <c r="Y135" i="140"/>
  <c r="Y69" i="153"/>
  <c r="Y124" i="140"/>
  <c r="U55" i="153"/>
  <c r="U64" i="140"/>
  <c r="U66" i="140" s="1"/>
  <c r="U59" i="153"/>
  <c r="U112" i="140"/>
  <c r="U114" i="140" s="1"/>
  <c r="T61" i="153"/>
  <c r="T134" i="140"/>
  <c r="S64" i="153"/>
  <c r="S65" i="140"/>
  <c r="S68" i="153"/>
  <c r="S123" i="153" s="1"/>
  <c r="S152" i="153" s="1"/>
  <c r="S67" i="154" s="1"/>
  <c r="S108" i="154" s="1"/>
  <c r="S113" i="140"/>
  <c r="X58" i="153"/>
  <c r="X101" i="140"/>
  <c r="X103" i="140" s="1"/>
  <c r="X55" i="153"/>
  <c r="X64" i="140"/>
  <c r="R57" i="153"/>
  <c r="R86" i="140"/>
  <c r="R88" i="140" s="1"/>
  <c r="R58" i="153"/>
  <c r="R101" i="140"/>
  <c r="J46" i="152"/>
  <c r="J50" i="152" s="1"/>
  <c r="H51" i="148" a="1"/>
  <c r="H54" i="148" s="1"/>
  <c r="P59" i="153"/>
  <c r="P112" i="140"/>
  <c r="M69" i="153"/>
  <c r="M124" i="140"/>
  <c r="M65" i="140"/>
  <c r="M64" i="153"/>
  <c r="K76" i="140"/>
  <c r="K65" i="153"/>
  <c r="K135" i="140"/>
  <c r="K70" i="153"/>
  <c r="L65" i="153"/>
  <c r="L76" i="140"/>
  <c r="L59" i="153"/>
  <c r="L112" i="140"/>
  <c r="L55" i="153"/>
  <c r="L64" i="140"/>
  <c r="P57" i="153"/>
  <c r="P86" i="140"/>
  <c r="P58" i="153"/>
  <c r="P101" i="140"/>
  <c r="O47" i="153"/>
  <c r="O50" i="152"/>
  <c r="O54" i="152"/>
  <c r="K61" i="153"/>
  <c r="K134" i="140"/>
  <c r="K60" i="153"/>
  <c r="K123" i="140"/>
  <c r="O60" i="153"/>
  <c r="O123" i="140"/>
  <c r="Q57" i="153"/>
  <c r="Q86" i="140"/>
  <c r="Q61" i="153"/>
  <c r="Q134" i="140"/>
  <c r="P66" i="153"/>
  <c r="P87" i="140"/>
  <c r="P67" i="153"/>
  <c r="P102" i="140"/>
  <c r="N65" i="153"/>
  <c r="N76" i="140"/>
  <c r="M58" i="153"/>
  <c r="M101" i="140"/>
  <c r="M57" i="153"/>
  <c r="M86" i="140"/>
  <c r="J64" i="153"/>
  <c r="J65" i="140"/>
  <c r="J69" i="153"/>
  <c r="J124" i="140"/>
  <c r="Q102" i="140"/>
  <c r="Q67" i="153"/>
  <c r="O102" i="140"/>
  <c r="O67" i="153"/>
  <c r="O66" i="153"/>
  <c r="O87" i="140"/>
  <c r="J58" i="153"/>
  <c r="J101" i="140"/>
  <c r="J59" i="153"/>
  <c r="J112" i="140"/>
  <c r="N59" i="153"/>
  <c r="N112" i="140"/>
  <c r="N55" i="153"/>
  <c r="N64" i="140"/>
  <c r="K58" i="153"/>
  <c r="K101" i="140"/>
  <c r="O57" i="153"/>
  <c r="O86" i="140"/>
  <c r="O55" i="153"/>
  <c r="O64" i="140"/>
  <c r="Q60" i="153"/>
  <c r="Q123" i="140"/>
  <c r="Q55" i="153"/>
  <c r="Q64" i="140"/>
  <c r="P64" i="153"/>
  <c r="P65" i="140"/>
  <c r="N68" i="153"/>
  <c r="N113" i="140"/>
  <c r="N64" i="153"/>
  <c r="N65" i="140"/>
  <c r="M123" i="140"/>
  <c r="M60" i="153"/>
  <c r="M56" i="153"/>
  <c r="M75" i="140"/>
  <c r="H73" i="154"/>
  <c r="H115" i="154" s="1"/>
  <c r="H37" i="151"/>
  <c r="H43" i="151" s="1"/>
  <c r="J65" i="153"/>
  <c r="J76" i="140"/>
  <c r="Q64" i="153"/>
  <c r="Q65" i="140"/>
  <c r="Q113" i="140"/>
  <c r="Q68" i="153"/>
  <c r="O64" i="153"/>
  <c r="O65" i="140"/>
  <c r="O76" i="140"/>
  <c r="O65" i="153"/>
  <c r="J61" i="153"/>
  <c r="J134" i="140"/>
  <c r="J56" i="153"/>
  <c r="J75" i="140"/>
  <c r="N58" i="153"/>
  <c r="N101" i="140"/>
  <c r="L54" i="152"/>
  <c r="L50" i="152"/>
  <c r="L47" i="153"/>
  <c r="J234" i="141"/>
  <c r="J232" i="141"/>
  <c r="J233" i="141"/>
  <c r="J235" i="141"/>
  <c r="J230" i="141"/>
  <c r="J231" i="141"/>
  <c r="J237" i="141"/>
  <c r="J236" i="141"/>
  <c r="J229" i="141"/>
  <c r="K56" i="153"/>
  <c r="K75" i="140"/>
  <c r="K55" i="153"/>
  <c r="K64" i="140"/>
  <c r="O58" i="153"/>
  <c r="O101" i="140"/>
  <c r="O59" i="153"/>
  <c r="O112" i="140"/>
  <c r="Q58" i="153"/>
  <c r="Q101" i="140"/>
  <c r="Q59" i="153"/>
  <c r="Q112" i="140"/>
  <c r="P68" i="153"/>
  <c r="P113" i="140"/>
  <c r="P69" i="153"/>
  <c r="P124" i="140"/>
  <c r="N70" i="153"/>
  <c r="N135" i="140"/>
  <c r="N69" i="153"/>
  <c r="N124" i="140"/>
  <c r="M55" i="153"/>
  <c r="M64" i="140"/>
  <c r="M112" i="140"/>
  <c r="M59" i="153"/>
  <c r="J67" i="153"/>
  <c r="J102" i="140"/>
  <c r="J66" i="153"/>
  <c r="J87" i="140"/>
  <c r="Q70" i="153"/>
  <c r="Q135" i="140"/>
  <c r="Q136" i="140" s="1"/>
  <c r="Q35" i="151" s="1"/>
  <c r="Q65" i="153"/>
  <c r="Q76" i="140"/>
  <c r="O135" i="140"/>
  <c r="O70" i="153"/>
  <c r="O69" i="153"/>
  <c r="O124" i="140"/>
  <c r="J57" i="153"/>
  <c r="J86" i="140"/>
  <c r="N61" i="153"/>
  <c r="N134" i="140"/>
  <c r="N57" i="153"/>
  <c r="N86" i="140"/>
  <c r="M102" i="140"/>
  <c r="M67" i="153"/>
  <c r="M113" i="140"/>
  <c r="M68" i="153"/>
  <c r="K64" i="153"/>
  <c r="K65" i="140"/>
  <c r="L69" i="153"/>
  <c r="L124" i="140"/>
  <c r="L66" i="153"/>
  <c r="L87" i="140"/>
  <c r="L60" i="153"/>
  <c r="L123" i="140"/>
  <c r="L58" i="153"/>
  <c r="L101" i="140"/>
  <c r="P56" i="153"/>
  <c r="P75" i="140"/>
  <c r="N50" i="152"/>
  <c r="N54" i="152"/>
  <c r="N47" i="153"/>
  <c r="M65" i="153"/>
  <c r="M76" i="140"/>
  <c r="K113" i="140"/>
  <c r="K68" i="153"/>
  <c r="K67" i="153"/>
  <c r="K102" i="140"/>
  <c r="L68" i="153"/>
  <c r="L113" i="140"/>
  <c r="L70" i="153"/>
  <c r="L135" i="140"/>
  <c r="L57" i="153"/>
  <c r="L86" i="140"/>
  <c r="L56" i="153"/>
  <c r="L75" i="140"/>
  <c r="P61" i="153"/>
  <c r="P134" i="140"/>
  <c r="M66" i="153"/>
  <c r="M87" i="140"/>
  <c r="M70" i="153"/>
  <c r="M135" i="140"/>
  <c r="K69" i="153"/>
  <c r="K124" i="140"/>
  <c r="K66" i="153"/>
  <c r="K87" i="140"/>
  <c r="L102" i="140"/>
  <c r="L67" i="153"/>
  <c r="L65" i="140"/>
  <c r="L64" i="153"/>
  <c r="L61" i="153"/>
  <c r="L134" i="140"/>
  <c r="P60" i="153"/>
  <c r="P123" i="140"/>
  <c r="P55" i="153"/>
  <c r="P64" i="140"/>
  <c r="P54" i="152"/>
  <c r="P50" i="152"/>
  <c r="P47" i="153"/>
  <c r="H20" i="145" a="1"/>
  <c r="H53" i="149" a="1"/>
  <c r="K57" i="153"/>
  <c r="K86" i="140"/>
  <c r="K59" i="153"/>
  <c r="K112" i="140"/>
  <c r="O61" i="153"/>
  <c r="O134" i="140"/>
  <c r="O56" i="153"/>
  <c r="O75" i="140"/>
  <c r="Q56" i="153"/>
  <c r="Q75" i="140"/>
  <c r="P70" i="153"/>
  <c r="P135" i="140"/>
  <c r="P65" i="153"/>
  <c r="P76" i="140"/>
  <c r="N66" i="153"/>
  <c r="N87" i="140"/>
  <c r="N67" i="153"/>
  <c r="N102" i="140"/>
  <c r="M61" i="153"/>
  <c r="M134" i="140"/>
  <c r="J135" i="140"/>
  <c r="J70" i="153"/>
  <c r="J68" i="153"/>
  <c r="J113" i="140"/>
  <c r="Q66" i="153"/>
  <c r="Q87" i="140"/>
  <c r="Q124" i="140"/>
  <c r="Q69" i="153"/>
  <c r="O68" i="153"/>
  <c r="O113" i="140"/>
  <c r="J60" i="153"/>
  <c r="J123" i="140"/>
  <c r="J55" i="153"/>
  <c r="J64" i="140"/>
  <c r="N60" i="153"/>
  <c r="N123" i="140"/>
  <c r="N56" i="153"/>
  <c r="N75" i="140"/>
  <c r="H111" i="136" a="1"/>
  <c r="H111" i="136" s="1"/>
  <c r="H117" i="136" s="1"/>
  <c r="W125" i="140" l="1"/>
  <c r="W34" i="151" s="1"/>
  <c r="R125" i="140"/>
  <c r="R189" i="142" s="1"/>
  <c r="S125" i="140"/>
  <c r="S34" i="151" s="1"/>
  <c r="W114" i="140"/>
  <c r="W33" i="151" s="1"/>
  <c r="R103" i="140"/>
  <c r="R16" i="143" s="1"/>
  <c r="V103" i="140"/>
  <c r="V16" i="143" s="1"/>
  <c r="S77" i="140"/>
  <c r="S30" i="151" s="1"/>
  <c r="S151" i="151" s="1"/>
  <c r="T136" i="140"/>
  <c r="T35" i="151" s="1"/>
  <c r="T156" i="151" s="1"/>
  <c r="V136" i="140"/>
  <c r="V35" i="151" s="1"/>
  <c r="V156" i="151" s="1"/>
  <c r="K125" i="140"/>
  <c r="K189" i="142" s="1"/>
  <c r="X66" i="140"/>
  <c r="X29" i="151" s="1"/>
  <c r="X150" i="151" s="1"/>
  <c r="Y66" i="140"/>
  <c r="Y29" i="151" s="1"/>
  <c r="Y150" i="151" s="1"/>
  <c r="J125" i="140"/>
  <c r="J136" i="140"/>
  <c r="J35" i="151" s="1"/>
  <c r="J156" i="151" s="1"/>
  <c r="A4" i="136"/>
  <c r="J40" i="55"/>
  <c r="J77" i="140"/>
  <c r="J30" i="151" s="1"/>
  <c r="N136" i="140"/>
  <c r="N35" i="151" s="1"/>
  <c r="N156" i="151" s="1"/>
  <c r="P114" i="140"/>
  <c r="P33" i="151" s="1"/>
  <c r="L114" i="140"/>
  <c r="L33" i="151" s="1"/>
  <c r="V66" i="140"/>
  <c r="V31" i="141" s="1"/>
  <c r="S88" i="140"/>
  <c r="S33" i="141" s="1"/>
  <c r="R114" i="140"/>
  <c r="R188" i="142" s="1"/>
  <c r="T88" i="140"/>
  <c r="T58" i="142" s="1"/>
  <c r="V77" i="140"/>
  <c r="V57" i="142" s="1"/>
  <c r="S136" i="140"/>
  <c r="S35" i="151" s="1"/>
  <c r="S156" i="151" s="1"/>
  <c r="W136" i="140"/>
  <c r="W35" i="151" s="1"/>
  <c r="W156" i="151" s="1"/>
  <c r="R136" i="140"/>
  <c r="R35" i="151" s="1"/>
  <c r="R156" i="151" s="1"/>
  <c r="V88" i="140"/>
  <c r="S103" i="140"/>
  <c r="S18" i="150" s="1"/>
  <c r="W103" i="140"/>
  <c r="W18" i="150" s="1"/>
  <c r="W66" i="140"/>
  <c r="W56" i="142" s="1"/>
  <c r="R32" i="151"/>
  <c r="R153" i="151" s="1"/>
  <c r="R18" i="150"/>
  <c r="U56" i="142"/>
  <c r="U31" i="141"/>
  <c r="U29" i="151"/>
  <c r="U150" i="151" s="1"/>
  <c r="W189" i="142"/>
  <c r="X125" i="140"/>
  <c r="U88" i="140"/>
  <c r="Y136" i="140"/>
  <c r="Y35" i="151" s="1"/>
  <c r="Y156" i="151" s="1"/>
  <c r="R66" i="140"/>
  <c r="X136" i="140"/>
  <c r="X35" i="151" s="1"/>
  <c r="X156" i="151" s="1"/>
  <c r="T103" i="140"/>
  <c r="U77" i="140"/>
  <c r="Y77" i="140"/>
  <c r="X88" i="140"/>
  <c r="T114" i="140"/>
  <c r="U103" i="140"/>
  <c r="V114" i="140"/>
  <c r="S66" i="140"/>
  <c r="R33" i="141"/>
  <c r="R58" i="142"/>
  <c r="R31" i="151"/>
  <c r="R152" i="151" s="1"/>
  <c r="X32" i="151"/>
  <c r="X153" i="151" s="1"/>
  <c r="X16" i="143"/>
  <c r="X18" i="150"/>
  <c r="U33" i="151"/>
  <c r="U188" i="142"/>
  <c r="Y58" i="142"/>
  <c r="Y33" i="141"/>
  <c r="Y31" i="151"/>
  <c r="Y152" i="151" s="1"/>
  <c r="R34" i="151"/>
  <c r="X114" i="140"/>
  <c r="T77" i="140"/>
  <c r="U125" i="140"/>
  <c r="Y125" i="140"/>
  <c r="W77" i="140"/>
  <c r="T66" i="140"/>
  <c r="Y103" i="140"/>
  <c r="R77" i="140"/>
  <c r="X77" i="140"/>
  <c r="T125" i="140"/>
  <c r="V125" i="140"/>
  <c r="S114" i="140"/>
  <c r="Y114" i="140"/>
  <c r="W31" i="151"/>
  <c r="W152" i="151" s="1"/>
  <c r="W58" i="142"/>
  <c r="W33" i="141"/>
  <c r="H56" i="148"/>
  <c r="S165" i="148" s="1"/>
  <c r="S200" i="148" s="1"/>
  <c r="S230" i="148" s="1"/>
  <c r="Q125" i="140"/>
  <c r="Q189" i="142" s="1"/>
  <c r="H51" i="148"/>
  <c r="U160" i="148" s="1"/>
  <c r="U195" i="148" s="1"/>
  <c r="U225" i="148" s="1"/>
  <c r="J54" i="152"/>
  <c r="J60" i="152" s="1"/>
  <c r="J66" i="140"/>
  <c r="J31" i="141" s="1"/>
  <c r="P136" i="140"/>
  <c r="P35" i="151" s="1"/>
  <c r="P156" i="151" s="1"/>
  <c r="M114" i="140"/>
  <c r="M188" i="142" s="1"/>
  <c r="O125" i="140"/>
  <c r="O189" i="142" s="1"/>
  <c r="N66" i="140"/>
  <c r="N56" i="142" s="1"/>
  <c r="N125" i="140"/>
  <c r="N189" i="142" s="1"/>
  <c r="J47" i="153"/>
  <c r="H57" i="148"/>
  <c r="V166" i="148" s="1"/>
  <c r="V201" i="148" s="1"/>
  <c r="V231" i="148" s="1"/>
  <c r="H55" i="148"/>
  <c r="T164" i="148" s="1"/>
  <c r="T199" i="148" s="1"/>
  <c r="T229" i="148" s="1"/>
  <c r="H58" i="148"/>
  <c r="R167" i="148" s="1"/>
  <c r="R202" i="148" s="1"/>
  <c r="R232" i="148" s="1"/>
  <c r="H52" i="148"/>
  <c r="W161" i="148" s="1"/>
  <c r="W196" i="148" s="1"/>
  <c r="W226" i="148" s="1"/>
  <c r="P88" i="140"/>
  <c r="P31" i="151" s="1"/>
  <c r="Q103" i="140"/>
  <c r="Q32" i="151" s="1"/>
  <c r="O114" i="140"/>
  <c r="O33" i="151" s="1"/>
  <c r="H53" i="148"/>
  <c r="Y162" i="148" s="1"/>
  <c r="Y197" i="148" s="1"/>
  <c r="Y227" i="148" s="1"/>
  <c r="L66" i="140"/>
  <c r="L56" i="142" s="1"/>
  <c r="K66" i="140"/>
  <c r="K29" i="151" s="1"/>
  <c r="K103" i="140"/>
  <c r="K18" i="150" s="1"/>
  <c r="L103" i="140"/>
  <c r="L18" i="150" s="1"/>
  <c r="M77" i="140"/>
  <c r="M57" i="142" s="1"/>
  <c r="O60" i="152"/>
  <c r="Q88" i="140"/>
  <c r="Q33" i="141" s="1"/>
  <c r="P60" i="152"/>
  <c r="K88" i="140"/>
  <c r="K33" i="141" s="1"/>
  <c r="L88" i="140"/>
  <c r="L33" i="141" s="1"/>
  <c r="Q66" i="140"/>
  <c r="Q31" i="141" s="1"/>
  <c r="K114" i="140"/>
  <c r="K33" i="151" s="1"/>
  <c r="K136" i="140"/>
  <c r="K35" i="151" s="1"/>
  <c r="K156" i="151" s="1"/>
  <c r="N114" i="140"/>
  <c r="H59" i="149"/>
  <c r="H55" i="149"/>
  <c r="H54" i="149"/>
  <c r="H60" i="149"/>
  <c r="H53" i="149"/>
  <c r="H58" i="149"/>
  <c r="H56" i="149"/>
  <c r="H57" i="149"/>
  <c r="M136" i="140"/>
  <c r="M35" i="151" s="1"/>
  <c r="L136" i="140"/>
  <c r="L35" i="151" s="1"/>
  <c r="N60" i="152"/>
  <c r="O77" i="140"/>
  <c r="Q114" i="140"/>
  <c r="O103" i="140"/>
  <c r="L77" i="140"/>
  <c r="M125" i="140"/>
  <c r="N77" i="140"/>
  <c r="H20" i="145"/>
  <c r="H22" i="145"/>
  <c r="H25" i="145"/>
  <c r="H27" i="145"/>
  <c r="H21" i="145"/>
  <c r="H26" i="145"/>
  <c r="H24" i="145"/>
  <c r="H23" i="145"/>
  <c r="P77" i="140"/>
  <c r="L125" i="140"/>
  <c r="H52" i="152"/>
  <c r="H76" i="154" s="1"/>
  <c r="H118" i="154" s="1"/>
  <c r="N88" i="140"/>
  <c r="J88" i="140"/>
  <c r="Q156" i="151"/>
  <c r="J103" i="140"/>
  <c r="P125" i="140"/>
  <c r="L60" i="152"/>
  <c r="N103" i="140"/>
  <c r="O66" i="140"/>
  <c r="P66" i="140"/>
  <c r="R163" i="148"/>
  <c r="R198" i="148" s="1"/>
  <c r="R228" i="148" s="1"/>
  <c r="Y163" i="148"/>
  <c r="Y198" i="148" s="1"/>
  <c r="Y228" i="148" s="1"/>
  <c r="S163" i="148"/>
  <c r="S198" i="148" s="1"/>
  <c r="S228" i="148" s="1"/>
  <c r="U163" i="148"/>
  <c r="U198" i="148" s="1"/>
  <c r="U228" i="148" s="1"/>
  <c r="V163" i="148"/>
  <c r="V198" i="148" s="1"/>
  <c r="V228" i="148" s="1"/>
  <c r="W163" i="148"/>
  <c r="W198" i="148" s="1"/>
  <c r="W228" i="148" s="1"/>
  <c r="T163" i="148"/>
  <c r="T198" i="148" s="1"/>
  <c r="T228" i="148" s="1"/>
  <c r="X163" i="148"/>
  <c r="X198" i="148" s="1"/>
  <c r="X228" i="148" s="1"/>
  <c r="J114" i="140"/>
  <c r="O88" i="140"/>
  <c r="M103" i="140"/>
  <c r="P103" i="140"/>
  <c r="K77" i="140"/>
  <c r="J189" i="142"/>
  <c r="J34" i="151"/>
  <c r="M66" i="140"/>
  <c r="Q77" i="140"/>
  <c r="M88" i="140"/>
  <c r="O136" i="140"/>
  <c r="O35" i="151" s="1"/>
  <c r="AV122" i="151"/>
  <c r="AF122" i="151"/>
  <c r="P122" i="151"/>
  <c r="AU122" i="151"/>
  <c r="AE122" i="151"/>
  <c r="O122" i="151"/>
  <c r="AK122" i="151"/>
  <c r="AX122" i="151"/>
  <c r="R122" i="151"/>
  <c r="AO122" i="151"/>
  <c r="AL122" i="151"/>
  <c r="AT122" i="151"/>
  <c r="AN122" i="151"/>
  <c r="T122" i="151"/>
  <c r="AQ122" i="151"/>
  <c r="W122" i="151"/>
  <c r="AS122" i="151"/>
  <c r="AP122" i="151"/>
  <c r="BE122" i="151"/>
  <c r="Q122" i="151"/>
  <c r="N122" i="151"/>
  <c r="AZ122" i="151"/>
  <c r="BC122" i="151"/>
  <c r="K122" i="151"/>
  <c r="U122" i="151"/>
  <c r="AG122" i="151"/>
  <c r="BD122" i="151"/>
  <c r="AJ122" i="151"/>
  <c r="L122" i="151"/>
  <c r="AM122" i="151"/>
  <c r="S122" i="151"/>
  <c r="AC122" i="151"/>
  <c r="AH122" i="151"/>
  <c r="AW122" i="151"/>
  <c r="AD122" i="151"/>
  <c r="AB122" i="151"/>
  <c r="AI122" i="151"/>
  <c r="Z122" i="151"/>
  <c r="BB122" i="151"/>
  <c r="AA122" i="151"/>
  <c r="Y122" i="151"/>
  <c r="AR122" i="151"/>
  <c r="BA122" i="151"/>
  <c r="V122" i="151"/>
  <c r="X122" i="151"/>
  <c r="M122" i="151"/>
  <c r="AY122" i="151"/>
  <c r="J122" i="151"/>
  <c r="V18" i="150" l="1"/>
  <c r="W188" i="142"/>
  <c r="S189" i="142"/>
  <c r="P188" i="142"/>
  <c r="S32" i="141"/>
  <c r="V32" i="151"/>
  <c r="V153" i="151" s="1"/>
  <c r="K34" i="151"/>
  <c r="K155" i="151" s="1"/>
  <c r="W16" i="143"/>
  <c r="W27" i="143" s="1"/>
  <c r="W33" i="143" s="1"/>
  <c r="S57" i="142"/>
  <c r="Y56" i="142"/>
  <c r="Y92" i="140"/>
  <c r="Y17" i="143" s="1"/>
  <c r="Y31" i="141"/>
  <c r="V160" i="148"/>
  <c r="V195" i="148" s="1"/>
  <c r="V225" i="148" s="1"/>
  <c r="R33" i="151"/>
  <c r="R154" i="151" s="1"/>
  <c r="X56" i="142"/>
  <c r="X31" i="141"/>
  <c r="V92" i="140"/>
  <c r="V17" i="143" s="1"/>
  <c r="L188" i="142"/>
  <c r="N34" i="151"/>
  <c r="N155" i="151" s="1"/>
  <c r="W31" i="141"/>
  <c r="T33" i="141"/>
  <c r="S162" i="148"/>
  <c r="S197" i="148" s="1"/>
  <c r="S227" i="148" s="1"/>
  <c r="J32" i="141"/>
  <c r="V29" i="151"/>
  <c r="V150" i="151" s="1"/>
  <c r="W162" i="148"/>
  <c r="W197" i="148" s="1"/>
  <c r="W227" i="148" s="1"/>
  <c r="V31" i="151"/>
  <c r="V152" i="151" s="1"/>
  <c r="V32" i="141"/>
  <c r="S160" i="148"/>
  <c r="S195" i="148" s="1"/>
  <c r="S225" i="148" s="1"/>
  <c r="V58" i="142"/>
  <c r="O34" i="151"/>
  <c r="O155" i="151" s="1"/>
  <c r="U166" i="148"/>
  <c r="U201" i="148" s="1"/>
  <c r="U231" i="148" s="1"/>
  <c r="L58" i="142"/>
  <c r="T165" i="148"/>
  <c r="T200" i="148" s="1"/>
  <c r="T230" i="148" s="1"/>
  <c r="P58" i="142"/>
  <c r="W32" i="151"/>
  <c r="W153" i="151" s="1"/>
  <c r="V30" i="151"/>
  <c r="V151" i="151" s="1"/>
  <c r="Y165" i="148"/>
  <c r="Y200" i="148" s="1"/>
  <c r="Y230" i="148" s="1"/>
  <c r="U164" i="148"/>
  <c r="U199" i="148" s="1"/>
  <c r="U229" i="148" s="1"/>
  <c r="H56" i="152"/>
  <c r="H77" i="154" s="1"/>
  <c r="H119" i="154" s="1"/>
  <c r="R160" i="148"/>
  <c r="R195" i="148" s="1"/>
  <c r="R225" i="148" s="1"/>
  <c r="Y160" i="148"/>
  <c r="Y195" i="148" s="1"/>
  <c r="Y225" i="148" s="1"/>
  <c r="R162" i="148"/>
  <c r="R197" i="148" s="1"/>
  <c r="R227" i="148" s="1"/>
  <c r="T162" i="148"/>
  <c r="T197" i="148" s="1"/>
  <c r="T227" i="148" s="1"/>
  <c r="X160" i="148"/>
  <c r="X195" i="148" s="1"/>
  <c r="X225" i="148" s="1"/>
  <c r="W160" i="148"/>
  <c r="W195" i="148" s="1"/>
  <c r="W225" i="148" s="1"/>
  <c r="U162" i="148"/>
  <c r="U197" i="148" s="1"/>
  <c r="U227" i="148" s="1"/>
  <c r="X162" i="148"/>
  <c r="X197" i="148" s="1"/>
  <c r="X227" i="148" s="1"/>
  <c r="T160" i="148"/>
  <c r="T195" i="148" s="1"/>
  <c r="T225" i="148" s="1"/>
  <c r="K188" i="142"/>
  <c r="K191" i="142" s="1"/>
  <c r="K192" i="142" s="1"/>
  <c r="V162" i="148"/>
  <c r="V197" i="148" s="1"/>
  <c r="V227" i="148" s="1"/>
  <c r="S58" i="142"/>
  <c r="X165" i="148"/>
  <c r="X200" i="148" s="1"/>
  <c r="X230" i="148" s="1"/>
  <c r="L31" i="151"/>
  <c r="L84" i="151" s="1"/>
  <c r="AR103" i="151" s="1"/>
  <c r="W165" i="148"/>
  <c r="W200" i="148" s="1"/>
  <c r="W230" i="148" s="1"/>
  <c r="V165" i="148"/>
  <c r="V200" i="148" s="1"/>
  <c r="V230" i="148" s="1"/>
  <c r="R165" i="148"/>
  <c r="R200" i="148" s="1"/>
  <c r="R230" i="148" s="1"/>
  <c r="J57" i="142"/>
  <c r="K56" i="142"/>
  <c r="S16" i="143"/>
  <c r="S28" i="143" s="1"/>
  <c r="S34" i="143" s="1"/>
  <c r="V33" i="141"/>
  <c r="V56" i="142"/>
  <c r="V59" i="142" s="1"/>
  <c r="W191" i="142"/>
  <c r="W192" i="142" s="1"/>
  <c r="W202" i="142" s="1"/>
  <c r="W206" i="142" s="1"/>
  <c r="K31" i="141"/>
  <c r="U165" i="148"/>
  <c r="U200" i="148" s="1"/>
  <c r="U230" i="148" s="1"/>
  <c r="N29" i="151"/>
  <c r="N82" i="151" s="1"/>
  <c r="N103" i="151" s="1"/>
  <c r="J29" i="151"/>
  <c r="J82" i="151" s="1"/>
  <c r="J103" i="151" s="1"/>
  <c r="S164" i="148"/>
  <c r="S199" i="148" s="1"/>
  <c r="S229" i="148" s="1"/>
  <c r="S166" i="148"/>
  <c r="S201" i="148" s="1"/>
  <c r="S231" i="148" s="1"/>
  <c r="M30" i="151"/>
  <c r="M83" i="151" s="1"/>
  <c r="AC103" i="151" s="1"/>
  <c r="W92" i="140"/>
  <c r="W17" i="143" s="1"/>
  <c r="T31" i="151"/>
  <c r="T152" i="151" s="1"/>
  <c r="W29" i="151"/>
  <c r="W150" i="151" s="1"/>
  <c r="T167" i="148"/>
  <c r="T202" i="148" s="1"/>
  <c r="T232" i="148" s="1"/>
  <c r="S32" i="151"/>
  <c r="S153" i="151" s="1"/>
  <c r="S92" i="140"/>
  <c r="S17" i="143" s="1"/>
  <c r="U167" i="148"/>
  <c r="U202" i="148" s="1"/>
  <c r="U232" i="148" s="1"/>
  <c r="Q34" i="151"/>
  <c r="Q155" i="151" s="1"/>
  <c r="S31" i="151"/>
  <c r="S152" i="151" s="1"/>
  <c r="V34" i="151"/>
  <c r="V189" i="142"/>
  <c r="W32" i="141"/>
  <c r="W57" i="142"/>
  <c r="W59" i="142" s="1"/>
  <c r="W30" i="151"/>
  <c r="W151" i="151" s="1"/>
  <c r="U34" i="151"/>
  <c r="U189" i="142"/>
  <c r="U191" i="142" s="1"/>
  <c r="U192" i="142" s="1"/>
  <c r="R155" i="151"/>
  <c r="R56" i="151"/>
  <c r="S29" i="151"/>
  <c r="S150" i="151" s="1"/>
  <c r="S56" i="142"/>
  <c r="S31" i="141"/>
  <c r="X92" i="140"/>
  <c r="X17" i="143" s="1"/>
  <c r="X31" i="151"/>
  <c r="X152" i="151" s="1"/>
  <c r="X33" i="141"/>
  <c r="X58" i="142"/>
  <c r="R191" i="142"/>
  <c r="R192" i="142" s="1"/>
  <c r="T189" i="142"/>
  <c r="T34" i="151"/>
  <c r="Y189" i="142"/>
  <c r="Y34" i="151"/>
  <c r="T30" i="151"/>
  <c r="T151" i="151" s="1"/>
  <c r="T32" i="141"/>
  <c r="T57" i="142"/>
  <c r="U154" i="151"/>
  <c r="U55" i="151"/>
  <c r="V33" i="151"/>
  <c r="V188" i="142"/>
  <c r="V27" i="143"/>
  <c r="V33" i="143" s="1"/>
  <c r="V28" i="143"/>
  <c r="V34" i="143" s="1"/>
  <c r="R29" i="151"/>
  <c r="R150" i="151" s="1"/>
  <c r="R56" i="142"/>
  <c r="R31" i="141"/>
  <c r="T92" i="140"/>
  <c r="T17" i="143" s="1"/>
  <c r="R55" i="151"/>
  <c r="R27" i="143"/>
  <c r="R33" i="143" s="1"/>
  <c r="R28" i="143"/>
  <c r="R34" i="143" s="1"/>
  <c r="Y33" i="151"/>
  <c r="Y188" i="142"/>
  <c r="X30" i="151"/>
  <c r="X151" i="151" s="1"/>
  <c r="X57" i="142"/>
  <c r="X32" i="141"/>
  <c r="X188" i="142"/>
  <c r="X33" i="151"/>
  <c r="U18" i="150"/>
  <c r="U16" i="143"/>
  <c r="U32" i="151"/>
  <c r="U153" i="151" s="1"/>
  <c r="W154" i="151"/>
  <c r="W55" i="151"/>
  <c r="U30" i="151"/>
  <c r="U151" i="151" s="1"/>
  <c r="U57" i="142"/>
  <c r="U32" i="141"/>
  <c r="U33" i="141"/>
  <c r="U58" i="142"/>
  <c r="U92" i="140"/>
  <c r="U17" i="143" s="1"/>
  <c r="U31" i="151"/>
  <c r="U152" i="151" s="1"/>
  <c r="W155" i="151"/>
  <c r="W56" i="151"/>
  <c r="S33" i="151"/>
  <c r="S188" i="142"/>
  <c r="R30" i="151"/>
  <c r="R151" i="151" s="1"/>
  <c r="R57" i="142"/>
  <c r="R32" i="141"/>
  <c r="Y16" i="143"/>
  <c r="Y32" i="151"/>
  <c r="Y153" i="151" s="1"/>
  <c r="Y18" i="150"/>
  <c r="T56" i="142"/>
  <c r="T31" i="141"/>
  <c r="T29" i="151"/>
  <c r="T150" i="151" s="1"/>
  <c r="S155" i="151"/>
  <c r="S56" i="151"/>
  <c r="X27" i="143"/>
  <c r="X33" i="143" s="1"/>
  <c r="X28" i="143"/>
  <c r="X34" i="143" s="1"/>
  <c r="R92" i="140"/>
  <c r="R17" i="143" s="1"/>
  <c r="T188" i="142"/>
  <c r="T33" i="151"/>
  <c r="Y57" i="142"/>
  <c r="Y30" i="151"/>
  <c r="Y151" i="151" s="1"/>
  <c r="Y32" i="141"/>
  <c r="T18" i="150"/>
  <c r="T16" i="143"/>
  <c r="T32" i="151"/>
  <c r="T153" i="151" s="1"/>
  <c r="X189" i="142"/>
  <c r="X34" i="151"/>
  <c r="N31" i="141"/>
  <c r="O188" i="142"/>
  <c r="O191" i="142" s="1"/>
  <c r="O192" i="142" s="1"/>
  <c r="J56" i="142"/>
  <c r="P33" i="141"/>
  <c r="Y164" i="148"/>
  <c r="Y199" i="148" s="1"/>
  <c r="Y229" i="148" s="1"/>
  <c r="W164" i="148"/>
  <c r="W199" i="148" s="1"/>
  <c r="W229" i="148" s="1"/>
  <c r="R164" i="148"/>
  <c r="R199" i="148" s="1"/>
  <c r="R229" i="148" s="1"/>
  <c r="X164" i="148"/>
  <c r="X199" i="148" s="1"/>
  <c r="X229" i="148" s="1"/>
  <c r="K31" i="151"/>
  <c r="V164" i="148"/>
  <c r="V199" i="148" s="1"/>
  <c r="V229" i="148" s="1"/>
  <c r="L32" i="151"/>
  <c r="L153" i="151" s="1"/>
  <c r="Q16" i="143"/>
  <c r="Q27" i="143" s="1"/>
  <c r="M33" i="151"/>
  <c r="M154" i="151" s="1"/>
  <c r="L31" i="141"/>
  <c r="W167" i="148"/>
  <c r="W202" i="148" s="1"/>
  <c r="W232" i="148" s="1"/>
  <c r="S167" i="148"/>
  <c r="S202" i="148" s="1"/>
  <c r="S232" i="148" s="1"/>
  <c r="L16" i="143"/>
  <c r="L27" i="143" s="1"/>
  <c r="L33" i="143" s="1"/>
  <c r="Q18" i="150"/>
  <c r="L29" i="151"/>
  <c r="L82" i="151" s="1"/>
  <c r="L103" i="151" s="1"/>
  <c r="Q31" i="151"/>
  <c r="Q84" i="151" s="1"/>
  <c r="AW103" i="151" s="1"/>
  <c r="L92" i="140"/>
  <c r="L17" i="143" s="1"/>
  <c r="V167" i="148"/>
  <c r="V202" i="148" s="1"/>
  <c r="V232" i="148" s="1"/>
  <c r="Y167" i="148"/>
  <c r="Y202" i="148" s="1"/>
  <c r="Y232" i="148" s="1"/>
  <c r="X167" i="148"/>
  <c r="X202" i="148" s="1"/>
  <c r="X232" i="148" s="1"/>
  <c r="R166" i="148"/>
  <c r="R201" i="148" s="1"/>
  <c r="R231" i="148" s="1"/>
  <c r="S161" i="148"/>
  <c r="S196" i="148" s="1"/>
  <c r="S226" i="148" s="1"/>
  <c r="U161" i="148"/>
  <c r="U196" i="148" s="1"/>
  <c r="U226" i="148" s="1"/>
  <c r="K32" i="151"/>
  <c r="K153" i="151" s="1"/>
  <c r="T161" i="148"/>
  <c r="T196" i="148" s="1"/>
  <c r="T226" i="148" s="1"/>
  <c r="Y166" i="148"/>
  <c r="Y201" i="148" s="1"/>
  <c r="Y231" i="148" s="1"/>
  <c r="X166" i="148"/>
  <c r="X201" i="148" s="1"/>
  <c r="X231" i="148" s="1"/>
  <c r="T166" i="148"/>
  <c r="T201" i="148" s="1"/>
  <c r="T231" i="148" s="1"/>
  <c r="X161" i="148"/>
  <c r="X196" i="148" s="1"/>
  <c r="X226" i="148" s="1"/>
  <c r="Y161" i="148"/>
  <c r="Y196" i="148" s="1"/>
  <c r="Y226" i="148" s="1"/>
  <c r="M32" i="141"/>
  <c r="K16" i="143"/>
  <c r="K28" i="143" s="1"/>
  <c r="K34" i="143" s="1"/>
  <c r="V161" i="148"/>
  <c r="V196" i="148" s="1"/>
  <c r="V226" i="148" s="1"/>
  <c r="W166" i="148"/>
  <c r="W201" i="148" s="1"/>
  <c r="W231" i="148" s="1"/>
  <c r="R161" i="148"/>
  <c r="R196" i="148" s="1"/>
  <c r="R226" i="148" s="1"/>
  <c r="K58" i="142"/>
  <c r="Q58" i="142"/>
  <c r="Q29" i="151"/>
  <c r="Q82" i="151" s="1"/>
  <c r="Q103" i="151" s="1"/>
  <c r="H62" i="152"/>
  <c r="H64" i="152" s="1"/>
  <c r="Q56" i="142"/>
  <c r="K57" i="142"/>
  <c r="K30" i="151"/>
  <c r="K32" i="141"/>
  <c r="P31" i="141"/>
  <c r="P56" i="142"/>
  <c r="P29" i="151"/>
  <c r="P32" i="141"/>
  <c r="P57" i="142"/>
  <c r="P30" i="151"/>
  <c r="Q188" i="142"/>
  <c r="Q191" i="142" s="1"/>
  <c r="Q192" i="142" s="1"/>
  <c r="Q33" i="151"/>
  <c r="M156" i="151"/>
  <c r="K84" i="151"/>
  <c r="AQ103" i="151" s="1"/>
  <c r="L134" i="149"/>
  <c r="K134" i="149"/>
  <c r="N164" i="149"/>
  <c r="N224" i="149" s="1"/>
  <c r="O134" i="149"/>
  <c r="L164" i="149"/>
  <c r="L224" i="149" s="1"/>
  <c r="O164" i="149"/>
  <c r="O224" i="149" s="1"/>
  <c r="J164" i="149"/>
  <c r="J224" i="149" s="1"/>
  <c r="P134" i="149"/>
  <c r="J134" i="149"/>
  <c r="N134" i="149"/>
  <c r="M164" i="149"/>
  <c r="M224" i="149" s="1"/>
  <c r="Q164" i="149"/>
  <c r="Q224" i="149" s="1"/>
  <c r="M134" i="149"/>
  <c r="Q134" i="149"/>
  <c r="P164" i="149"/>
  <c r="P224" i="149" s="1"/>
  <c r="K164" i="149"/>
  <c r="K224" i="149" s="1"/>
  <c r="P140" i="149"/>
  <c r="L140" i="149"/>
  <c r="N170" i="149"/>
  <c r="N230" i="149" s="1"/>
  <c r="M170" i="149"/>
  <c r="M230" i="149" s="1"/>
  <c r="M140" i="149"/>
  <c r="K170" i="149"/>
  <c r="K230" i="149" s="1"/>
  <c r="J170" i="149"/>
  <c r="J230" i="149" s="1"/>
  <c r="Q170" i="149"/>
  <c r="Q230" i="149" s="1"/>
  <c r="P170" i="149"/>
  <c r="P230" i="149" s="1"/>
  <c r="L170" i="149"/>
  <c r="L230" i="149" s="1"/>
  <c r="O140" i="149"/>
  <c r="N140" i="149"/>
  <c r="J140" i="149"/>
  <c r="Q140" i="149"/>
  <c r="K140" i="149"/>
  <c r="O170" i="149"/>
  <c r="O230" i="149" s="1"/>
  <c r="N33" i="151"/>
  <c r="N188" i="142"/>
  <c r="N191" i="142" s="1"/>
  <c r="N192" i="142" s="1"/>
  <c r="O156" i="151"/>
  <c r="Q30" i="151"/>
  <c r="Q32" i="141"/>
  <c r="Q34" i="141" s="1"/>
  <c r="Q57" i="142"/>
  <c r="J155" i="151"/>
  <c r="J33" i="151"/>
  <c r="J188" i="142"/>
  <c r="J191" i="142" s="1"/>
  <c r="J192" i="142" s="1"/>
  <c r="J33" i="141"/>
  <c r="J58" i="142"/>
  <c r="J92" i="140"/>
  <c r="J17" i="143" s="1"/>
  <c r="J31" i="151"/>
  <c r="U131" i="145"/>
  <c r="X131" i="145"/>
  <c r="V131" i="145"/>
  <c r="Y131" i="145"/>
  <c r="R131" i="145"/>
  <c r="S131" i="145"/>
  <c r="T131" i="145"/>
  <c r="W131" i="145"/>
  <c r="V127" i="145"/>
  <c r="T127" i="145"/>
  <c r="S127" i="145"/>
  <c r="R127" i="145"/>
  <c r="X127" i="145"/>
  <c r="Y127" i="145"/>
  <c r="U127" i="145"/>
  <c r="W127" i="145"/>
  <c r="M189" i="142"/>
  <c r="M191" i="142" s="1"/>
  <c r="M192" i="142" s="1"/>
  <c r="M34" i="151"/>
  <c r="M155" i="151" s="1"/>
  <c r="O32" i="151"/>
  <c r="O16" i="143"/>
  <c r="O18" i="150"/>
  <c r="O32" i="141"/>
  <c r="O57" i="142"/>
  <c r="O30" i="151"/>
  <c r="M138" i="149"/>
  <c r="K168" i="149"/>
  <c r="K228" i="149" s="1"/>
  <c r="K138" i="149"/>
  <c r="L168" i="149"/>
  <c r="L228" i="149" s="1"/>
  <c r="N168" i="149"/>
  <c r="N228" i="149" s="1"/>
  <c r="Q168" i="149"/>
  <c r="Q228" i="149" s="1"/>
  <c r="J138" i="149"/>
  <c r="M168" i="149"/>
  <c r="M228" i="149" s="1"/>
  <c r="J168" i="149"/>
  <c r="J228" i="149" s="1"/>
  <c r="O138" i="149"/>
  <c r="P168" i="149"/>
  <c r="P228" i="149" s="1"/>
  <c r="N138" i="149"/>
  <c r="O168" i="149"/>
  <c r="O228" i="149" s="1"/>
  <c r="Q138" i="149"/>
  <c r="L138" i="149"/>
  <c r="P138" i="149"/>
  <c r="P92" i="140"/>
  <c r="P17" i="143" s="1"/>
  <c r="K82" i="151"/>
  <c r="K103" i="151" s="1"/>
  <c r="M56" i="142"/>
  <c r="M29" i="151"/>
  <c r="M31" i="141"/>
  <c r="P154" i="151"/>
  <c r="K154" i="151"/>
  <c r="P18" i="150"/>
  <c r="P32" i="151"/>
  <c r="P153" i="151" s="1"/>
  <c r="P16" i="143"/>
  <c r="J32" i="151"/>
  <c r="J16" i="143"/>
  <c r="J18" i="150"/>
  <c r="N31" i="151"/>
  <c r="N58" i="142"/>
  <c r="N33" i="141"/>
  <c r="N92" i="140"/>
  <c r="N17" i="143" s="1"/>
  <c r="S126" i="145"/>
  <c r="V126" i="145"/>
  <c r="T126" i="145"/>
  <c r="R126" i="145"/>
  <c r="X126" i="145"/>
  <c r="U126" i="145"/>
  <c r="W126" i="145"/>
  <c r="Y126" i="145"/>
  <c r="V125" i="145"/>
  <c r="T125" i="145"/>
  <c r="S125" i="145"/>
  <c r="R125" i="145"/>
  <c r="X125" i="145"/>
  <c r="U125" i="145"/>
  <c r="Y125" i="145"/>
  <c r="W125" i="145"/>
  <c r="O154" i="151"/>
  <c r="N30" i="151"/>
  <c r="N32" i="141"/>
  <c r="N57" i="142"/>
  <c r="L30" i="151"/>
  <c r="L32" i="141"/>
  <c r="L57" i="142"/>
  <c r="N137" i="149"/>
  <c r="L137" i="149"/>
  <c r="P167" i="149"/>
  <c r="P227" i="149" s="1"/>
  <c r="J167" i="149"/>
  <c r="J227" i="149" s="1"/>
  <c r="L167" i="149"/>
  <c r="L227" i="149" s="1"/>
  <c r="P137" i="149"/>
  <c r="J137" i="149"/>
  <c r="Q137" i="149"/>
  <c r="K137" i="149"/>
  <c r="N167" i="149"/>
  <c r="N227" i="149" s="1"/>
  <c r="O137" i="149"/>
  <c r="O167" i="149"/>
  <c r="O227" i="149" s="1"/>
  <c r="M167" i="149"/>
  <c r="M227" i="149" s="1"/>
  <c r="K167" i="149"/>
  <c r="K227" i="149" s="1"/>
  <c r="Q167" i="149"/>
  <c r="Q227" i="149" s="1"/>
  <c r="M137" i="149"/>
  <c r="M165" i="149"/>
  <c r="M225" i="149" s="1"/>
  <c r="P165" i="149"/>
  <c r="P225" i="149" s="1"/>
  <c r="L165" i="149"/>
  <c r="L225" i="149" s="1"/>
  <c r="J165" i="149"/>
  <c r="J225" i="149" s="1"/>
  <c r="L135" i="149"/>
  <c r="P135" i="149"/>
  <c r="N135" i="149"/>
  <c r="N165" i="149"/>
  <c r="N225" i="149" s="1"/>
  <c r="O165" i="149"/>
  <c r="O225" i="149" s="1"/>
  <c r="Q135" i="149"/>
  <c r="O135" i="149"/>
  <c r="M135" i="149"/>
  <c r="K165" i="149"/>
  <c r="K225" i="149" s="1"/>
  <c r="Q165" i="149"/>
  <c r="Q225" i="149" s="1"/>
  <c r="J135" i="149"/>
  <c r="K135" i="149"/>
  <c r="J83" i="151"/>
  <c r="Z103" i="151" s="1"/>
  <c r="Q153" i="151"/>
  <c r="M33" i="141"/>
  <c r="M92" i="140"/>
  <c r="M17" i="143" s="1"/>
  <c r="M58" i="142"/>
  <c r="M31" i="151"/>
  <c r="O58" i="142"/>
  <c r="O31" i="151"/>
  <c r="O33" i="141"/>
  <c r="O92" i="140"/>
  <c r="O17" i="143" s="1"/>
  <c r="N32" i="151"/>
  <c r="N18" i="150"/>
  <c r="N16" i="143"/>
  <c r="P34" i="151"/>
  <c r="P189" i="142"/>
  <c r="V129" i="145"/>
  <c r="T129" i="145"/>
  <c r="S129" i="145"/>
  <c r="R129" i="145"/>
  <c r="X129" i="145"/>
  <c r="Y129" i="145"/>
  <c r="W129" i="145"/>
  <c r="U129" i="145"/>
  <c r="S130" i="145"/>
  <c r="V130" i="145"/>
  <c r="T130" i="145"/>
  <c r="Y130" i="145"/>
  <c r="U130" i="145"/>
  <c r="W130" i="145"/>
  <c r="R130" i="145"/>
  <c r="X130" i="145"/>
  <c r="L154" i="151"/>
  <c r="M32" i="151"/>
  <c r="M16" i="143"/>
  <c r="M18" i="150"/>
  <c r="O56" i="142"/>
  <c r="O31" i="141"/>
  <c r="O29" i="151"/>
  <c r="L189" i="142"/>
  <c r="L34" i="151"/>
  <c r="L155" i="151" s="1"/>
  <c r="V128" i="145"/>
  <c r="T128" i="145"/>
  <c r="S128" i="145"/>
  <c r="R128" i="145"/>
  <c r="X128" i="145"/>
  <c r="Y128" i="145"/>
  <c r="W128" i="145"/>
  <c r="U128" i="145"/>
  <c r="U132" i="145"/>
  <c r="X132" i="145"/>
  <c r="V132" i="145"/>
  <c r="Y132" i="145"/>
  <c r="S132" i="145"/>
  <c r="T132" i="145"/>
  <c r="W132" i="145"/>
  <c r="R132" i="145"/>
  <c r="Q92" i="140"/>
  <c r="Q17" i="143" s="1"/>
  <c r="Q29" i="143" s="1"/>
  <c r="L156" i="151"/>
  <c r="K92" i="140"/>
  <c r="K17" i="143" s="1"/>
  <c r="O139" i="149"/>
  <c r="N169" i="149"/>
  <c r="N229" i="149" s="1"/>
  <c r="P139" i="149"/>
  <c r="N139" i="149"/>
  <c r="K139" i="149"/>
  <c r="M139" i="149"/>
  <c r="P169" i="149"/>
  <c r="P229" i="149" s="1"/>
  <c r="Q139" i="149"/>
  <c r="K169" i="149"/>
  <c r="K229" i="149" s="1"/>
  <c r="M169" i="149"/>
  <c r="M229" i="149" s="1"/>
  <c r="L139" i="149"/>
  <c r="Q169" i="149"/>
  <c r="Q229" i="149" s="1"/>
  <c r="L169" i="149"/>
  <c r="L229" i="149" s="1"/>
  <c r="O169" i="149"/>
  <c r="O229" i="149" s="1"/>
  <c r="J169" i="149"/>
  <c r="J229" i="149" s="1"/>
  <c r="J139" i="149"/>
  <c r="N166" i="149"/>
  <c r="N226" i="149" s="1"/>
  <c r="O136" i="149"/>
  <c r="J136" i="149"/>
  <c r="K136" i="149"/>
  <c r="P136" i="149"/>
  <c r="Q136" i="149"/>
  <c r="K166" i="149"/>
  <c r="K226" i="149" s="1"/>
  <c r="L166" i="149"/>
  <c r="L226" i="149" s="1"/>
  <c r="M166" i="149"/>
  <c r="M226" i="149" s="1"/>
  <c r="O166" i="149"/>
  <c r="O226" i="149" s="1"/>
  <c r="M136" i="149"/>
  <c r="J166" i="149"/>
  <c r="J226" i="149" s="1"/>
  <c r="Q166" i="149"/>
  <c r="Q226" i="149" s="1"/>
  <c r="L136" i="149"/>
  <c r="N136" i="149"/>
  <c r="P166" i="149"/>
  <c r="P226" i="149" s="1"/>
  <c r="P84" i="151"/>
  <c r="AV103" i="151" s="1"/>
  <c r="P191" i="142" l="1"/>
  <c r="P192" i="142" s="1"/>
  <c r="P245" i="142" s="1"/>
  <c r="S191" i="142"/>
  <c r="S192" i="142" s="1"/>
  <c r="Y34" i="141"/>
  <c r="Y49" i="141" s="1"/>
  <c r="W28" i="143"/>
  <c r="W34" i="143" s="1"/>
  <c r="S34" i="141"/>
  <c r="S49" i="141" s="1"/>
  <c r="W241" i="142"/>
  <c r="V34" i="141"/>
  <c r="V49" i="141" s="1"/>
  <c r="W255" i="142"/>
  <c r="Y59" i="142"/>
  <c r="X59" i="142"/>
  <c r="L191" i="142"/>
  <c r="L192" i="142" s="1"/>
  <c r="L202" i="142" s="1"/>
  <c r="L59" i="142"/>
  <c r="W245" i="142"/>
  <c r="W244" i="142"/>
  <c r="W34" i="141"/>
  <c r="W50" i="141" s="1"/>
  <c r="W243" i="142"/>
  <c r="W239" i="142"/>
  <c r="W254" i="142"/>
  <c r="W259" i="142"/>
  <c r="Q28" i="143"/>
  <c r="Q34" i="143" s="1"/>
  <c r="J59" i="142"/>
  <c r="L28" i="143"/>
  <c r="L34" i="143" s="1"/>
  <c r="K34" i="141"/>
  <c r="H66" i="152" a="1"/>
  <c r="H66" i="152" s="1"/>
  <c r="A4" i="152" s="1"/>
  <c r="W258" i="142"/>
  <c r="W252" i="142"/>
  <c r="W242" i="142"/>
  <c r="W253" i="142"/>
  <c r="W256" i="142"/>
  <c r="W257" i="142"/>
  <c r="W246" i="142"/>
  <c r="W240" i="142"/>
  <c r="T34" i="141"/>
  <c r="T50" i="141" s="1"/>
  <c r="S59" i="142"/>
  <c r="S27" i="143"/>
  <c r="S33" i="143" s="1"/>
  <c r="K27" i="143"/>
  <c r="K33" i="143" s="1"/>
  <c r="T191" i="142"/>
  <c r="T192" i="142" s="1"/>
  <c r="T202" i="142" s="1"/>
  <c r="T206" i="142" s="1"/>
  <c r="T59" i="142"/>
  <c r="Y191" i="142"/>
  <c r="Y192" i="142" s="1"/>
  <c r="Y246" i="142" s="1"/>
  <c r="X34" i="141"/>
  <c r="X48" i="141" s="1"/>
  <c r="X54" i="141" s="1"/>
  <c r="X93" i="141" s="1"/>
  <c r="O202" i="142"/>
  <c r="O244" i="142"/>
  <c r="O246" i="142"/>
  <c r="U34" i="141"/>
  <c r="U48" i="141" s="1"/>
  <c r="U54" i="141" s="1"/>
  <c r="U93" i="141" s="1"/>
  <c r="V191" i="142"/>
  <c r="V192" i="142" s="1"/>
  <c r="V253" i="142" s="1"/>
  <c r="R59" i="142"/>
  <c r="U59" i="142"/>
  <c r="Y48" i="141"/>
  <c r="Y54" i="141" s="1"/>
  <c r="Y93" i="141" s="1"/>
  <c r="T28" i="143"/>
  <c r="T34" i="143" s="1"/>
  <c r="T27" i="143"/>
  <c r="T33" i="143" s="1"/>
  <c r="S154" i="151"/>
  <c r="S55" i="151"/>
  <c r="X154" i="151"/>
  <c r="X55" i="151"/>
  <c r="R34" i="141"/>
  <c r="X155" i="151"/>
  <c r="X56" i="151"/>
  <c r="T154" i="151"/>
  <c r="T55" i="151"/>
  <c r="X191" i="142"/>
  <c r="X192" i="142" s="1"/>
  <c r="Y155" i="151"/>
  <c r="Y56" i="151"/>
  <c r="T155" i="151"/>
  <c r="T56" i="151"/>
  <c r="Y154" i="151"/>
  <c r="Y55" i="151"/>
  <c r="V155" i="151"/>
  <c r="V56" i="151"/>
  <c r="V48" i="141"/>
  <c r="V54" i="141" s="1"/>
  <c r="V93" i="141" s="1"/>
  <c r="Y28" i="143"/>
  <c r="Y34" i="143" s="1"/>
  <c r="Y27" i="143"/>
  <c r="Y33" i="143" s="1"/>
  <c r="S202" i="142"/>
  <c r="S206" i="142" s="1"/>
  <c r="S255" i="142"/>
  <c r="S242" i="142"/>
  <c r="S258" i="142"/>
  <c r="S253" i="142"/>
  <c r="S245" i="142"/>
  <c r="S259" i="142"/>
  <c r="S257" i="142"/>
  <c r="S246" i="142"/>
  <c r="S256" i="142"/>
  <c r="S252" i="142"/>
  <c r="S254" i="142"/>
  <c r="S241" i="142"/>
  <c r="S244" i="142"/>
  <c r="S243" i="142"/>
  <c r="S240" i="142"/>
  <c r="S239" i="142"/>
  <c r="U27" i="143"/>
  <c r="U33" i="143" s="1"/>
  <c r="U28" i="143"/>
  <c r="U34" i="143" s="1"/>
  <c r="V154" i="151"/>
  <c r="V55" i="151"/>
  <c r="R202" i="142"/>
  <c r="R206" i="142" s="1"/>
  <c r="R244" i="142"/>
  <c r="R255" i="142"/>
  <c r="R257" i="142"/>
  <c r="R258" i="142"/>
  <c r="R240" i="142"/>
  <c r="R245" i="142"/>
  <c r="R246" i="142"/>
  <c r="R259" i="142"/>
  <c r="R253" i="142"/>
  <c r="R242" i="142"/>
  <c r="R243" i="142"/>
  <c r="R239" i="142"/>
  <c r="R256" i="142"/>
  <c r="R252" i="142"/>
  <c r="R254" i="142"/>
  <c r="R241" i="142"/>
  <c r="U202" i="142"/>
  <c r="U206" i="142" s="1"/>
  <c r="U240" i="142"/>
  <c r="U255" i="142"/>
  <c r="U258" i="142"/>
  <c r="U257" i="142"/>
  <c r="U239" i="142"/>
  <c r="U259" i="142"/>
  <c r="U246" i="142"/>
  <c r="U242" i="142"/>
  <c r="U252" i="142"/>
  <c r="U253" i="142"/>
  <c r="U256" i="142"/>
  <c r="U241" i="142"/>
  <c r="U244" i="142"/>
  <c r="U245" i="142"/>
  <c r="U243" i="142"/>
  <c r="U254" i="142"/>
  <c r="U155" i="151"/>
  <c r="U56" i="151"/>
  <c r="O239" i="142"/>
  <c r="O243" i="142"/>
  <c r="O241" i="142"/>
  <c r="O242" i="142"/>
  <c r="O245" i="142"/>
  <c r="O240" i="142"/>
  <c r="K59" i="142"/>
  <c r="Q59" i="142"/>
  <c r="N34" i="141"/>
  <c r="N49" i="141" s="1"/>
  <c r="W129" i="150"/>
  <c r="W132" i="150" s="1"/>
  <c r="U129" i="150"/>
  <c r="U133" i="150" s="1"/>
  <c r="P129" i="150"/>
  <c r="P133" i="150" s="1"/>
  <c r="T129" i="150"/>
  <c r="T133" i="150" s="1"/>
  <c r="O34" i="141"/>
  <c r="O49" i="141" s="1"/>
  <c r="Q129" i="150"/>
  <c r="Q132" i="150" s="1"/>
  <c r="K129" i="150"/>
  <c r="K132" i="150" s="1"/>
  <c r="M260" i="142"/>
  <c r="M257" i="142"/>
  <c r="M253" i="142"/>
  <c r="M259" i="142"/>
  <c r="M255" i="142"/>
  <c r="M202" i="142"/>
  <c r="M206" i="142" s="1"/>
  <c r="M258" i="142"/>
  <c r="M256" i="142"/>
  <c r="M254" i="142"/>
  <c r="M252" i="142"/>
  <c r="M239" i="142"/>
  <c r="M244" i="142"/>
  <c r="M241" i="142"/>
  <c r="M246" i="142"/>
  <c r="M243" i="142"/>
  <c r="M242" i="142"/>
  <c r="M245" i="142"/>
  <c r="M240" i="142"/>
  <c r="P241" i="142"/>
  <c r="P242" i="142"/>
  <c r="P196" i="149"/>
  <c r="P266" i="149"/>
  <c r="P29" i="150" s="1"/>
  <c r="K199" i="149"/>
  <c r="K269" i="149"/>
  <c r="K32" i="150" s="1"/>
  <c r="L265" i="149"/>
  <c r="L28" i="150" s="1"/>
  <c r="L195" i="149"/>
  <c r="N198" i="149"/>
  <c r="N268" i="149"/>
  <c r="N31" i="150" s="1"/>
  <c r="J84" i="151"/>
  <c r="AP103" i="151" s="1"/>
  <c r="K196" i="149"/>
  <c r="K266" i="149"/>
  <c r="K29" i="150" s="1"/>
  <c r="J199" i="149"/>
  <c r="J269" i="149"/>
  <c r="J32" i="150" s="1"/>
  <c r="Q269" i="149"/>
  <c r="Q32" i="150" s="1"/>
  <c r="Q199" i="149"/>
  <c r="N269" i="149"/>
  <c r="N32" i="150" s="1"/>
  <c r="N199" i="149"/>
  <c r="O59" i="142"/>
  <c r="N27" i="143"/>
  <c r="N33" i="143" s="1"/>
  <c r="N28" i="143"/>
  <c r="N34" i="143" s="1"/>
  <c r="K265" i="149"/>
  <c r="K28" i="150" s="1"/>
  <c r="K195" i="149"/>
  <c r="M265" i="149"/>
  <c r="M28" i="150" s="1"/>
  <c r="M195" i="149"/>
  <c r="M267" i="149"/>
  <c r="M30" i="150" s="1"/>
  <c r="M197" i="149"/>
  <c r="Q197" i="149"/>
  <c r="Q267" i="149"/>
  <c r="Q30" i="150" s="1"/>
  <c r="N129" i="150"/>
  <c r="X129" i="150"/>
  <c r="Y129" i="150"/>
  <c r="L83" i="151"/>
  <c r="AB103" i="151" s="1"/>
  <c r="N59" i="142"/>
  <c r="J27" i="143"/>
  <c r="J33" i="143" s="1"/>
  <c r="J28" i="143"/>
  <c r="J34" i="143" s="1"/>
  <c r="M34" i="141"/>
  <c r="L268" i="149"/>
  <c r="L31" i="150" s="1"/>
  <c r="L198" i="149"/>
  <c r="J268" i="149"/>
  <c r="J31" i="150" s="1"/>
  <c r="J198" i="149"/>
  <c r="K198" i="149"/>
  <c r="K268" i="149"/>
  <c r="K31" i="150" s="1"/>
  <c r="Q83" i="151"/>
  <c r="AG103" i="151" s="1"/>
  <c r="J200" i="149"/>
  <c r="J270" i="149"/>
  <c r="J33" i="150" s="1"/>
  <c r="M200" i="149"/>
  <c r="M270" i="149"/>
  <c r="M33" i="150" s="1"/>
  <c r="P270" i="149"/>
  <c r="P33" i="150" s="1"/>
  <c r="P200" i="149"/>
  <c r="Q264" i="149"/>
  <c r="Q27" i="150" s="1"/>
  <c r="Q194" i="149"/>
  <c r="N194" i="149"/>
  <c r="N264" i="149"/>
  <c r="N27" i="150" s="1"/>
  <c r="K264" i="149"/>
  <c r="K27" i="150" s="1"/>
  <c r="K194" i="149"/>
  <c r="P83" i="151"/>
  <c r="AF103" i="151" s="1"/>
  <c r="P82" i="151"/>
  <c r="P103" i="151" s="1"/>
  <c r="K83" i="151"/>
  <c r="AA103" i="151" s="1"/>
  <c r="O199" i="149"/>
  <c r="O269" i="149"/>
  <c r="O32" i="150" s="1"/>
  <c r="P155" i="151"/>
  <c r="N267" i="149"/>
  <c r="N30" i="150" s="1"/>
  <c r="N197" i="149"/>
  <c r="L129" i="150"/>
  <c r="J129" i="150"/>
  <c r="P268" i="149"/>
  <c r="P31" i="150" s="1"/>
  <c r="P198" i="149"/>
  <c r="N196" i="149"/>
  <c r="N266" i="149"/>
  <c r="N29" i="150" s="1"/>
  <c r="M196" i="149"/>
  <c r="M266" i="149"/>
  <c r="M29" i="150" s="1"/>
  <c r="J196" i="149"/>
  <c r="J266" i="149"/>
  <c r="J29" i="150" s="1"/>
  <c r="L199" i="149"/>
  <c r="L269" i="149"/>
  <c r="L32" i="150" s="1"/>
  <c r="P269" i="149"/>
  <c r="P32" i="150" s="1"/>
  <c r="P199" i="149"/>
  <c r="M27" i="143"/>
  <c r="M33" i="143" s="1"/>
  <c r="M28" i="143"/>
  <c r="M34" i="143" s="1"/>
  <c r="K202" i="142"/>
  <c r="K206" i="142" s="1"/>
  <c r="K257" i="142"/>
  <c r="K253" i="142"/>
  <c r="K260" i="142"/>
  <c r="K256" i="142"/>
  <c r="K252" i="142"/>
  <c r="K254" i="142"/>
  <c r="K259" i="142"/>
  <c r="K258" i="142"/>
  <c r="K255" i="142"/>
  <c r="K244" i="142"/>
  <c r="K246" i="142"/>
  <c r="K239" i="142"/>
  <c r="K242" i="142"/>
  <c r="K243" i="142"/>
  <c r="K245" i="142"/>
  <c r="K240" i="142"/>
  <c r="K241" i="142"/>
  <c r="O84" i="151"/>
  <c r="AU103" i="151" s="1"/>
  <c r="J195" i="149"/>
  <c r="J265" i="149"/>
  <c r="J28" i="150" s="1"/>
  <c r="O195" i="149"/>
  <c r="O265" i="149"/>
  <c r="O28" i="150" s="1"/>
  <c r="N265" i="149"/>
  <c r="N28" i="150" s="1"/>
  <c r="N195" i="149"/>
  <c r="O267" i="149"/>
  <c r="O30" i="150" s="1"/>
  <c r="O197" i="149"/>
  <c r="J267" i="149"/>
  <c r="J30" i="150" s="1"/>
  <c r="J197" i="149"/>
  <c r="R129" i="150"/>
  <c r="S129" i="150"/>
  <c r="M129" i="150"/>
  <c r="J153" i="151"/>
  <c r="P27" i="143"/>
  <c r="P33" i="143" s="1"/>
  <c r="P28" i="143"/>
  <c r="P34" i="143" s="1"/>
  <c r="M82" i="151"/>
  <c r="M103" i="151" s="1"/>
  <c r="Q33" i="143"/>
  <c r="H140" i="140" a="1"/>
  <c r="H140" i="140" s="1"/>
  <c r="Q198" i="149"/>
  <c r="Q268" i="149"/>
  <c r="Q31" i="150" s="1"/>
  <c r="O198" i="149"/>
  <c r="O268" i="149"/>
  <c r="O31" i="150" s="1"/>
  <c r="O83" i="151"/>
  <c r="AE103" i="151" s="1"/>
  <c r="O28" i="143"/>
  <c r="O34" i="143" s="1"/>
  <c r="O27" i="143"/>
  <c r="O33" i="143" s="1"/>
  <c r="J202" i="142"/>
  <c r="J242" i="142"/>
  <c r="J244" i="142"/>
  <c r="J246" i="142"/>
  <c r="J243" i="142"/>
  <c r="J240" i="142"/>
  <c r="J239" i="142"/>
  <c r="J245" i="142"/>
  <c r="J241" i="142"/>
  <c r="N202" i="142"/>
  <c r="N241" i="142"/>
  <c r="N245" i="142"/>
  <c r="N246" i="142"/>
  <c r="N243" i="142"/>
  <c r="N242" i="142"/>
  <c r="N239" i="142"/>
  <c r="N240" i="142"/>
  <c r="N244" i="142"/>
  <c r="N200" i="149"/>
  <c r="N270" i="149"/>
  <c r="N33" i="150" s="1"/>
  <c r="M194" i="149"/>
  <c r="M264" i="149"/>
  <c r="M27" i="150" s="1"/>
  <c r="J264" i="149"/>
  <c r="J27" i="150" s="1"/>
  <c r="J194" i="149"/>
  <c r="L194" i="149"/>
  <c r="L264" i="149"/>
  <c r="L27" i="150" s="1"/>
  <c r="Q154" i="151"/>
  <c r="P59" i="142"/>
  <c r="Q50" i="141"/>
  <c r="Q48" i="141"/>
  <c r="Q54" i="141" s="1"/>
  <c r="Q49" i="141"/>
  <c r="K197" i="149"/>
  <c r="K267" i="149"/>
  <c r="K30" i="150" s="1"/>
  <c r="Q200" i="149"/>
  <c r="Q270" i="149"/>
  <c r="Q33" i="150" s="1"/>
  <c r="L200" i="149"/>
  <c r="L270" i="149"/>
  <c r="L33" i="150" s="1"/>
  <c r="L196" i="149"/>
  <c r="L266" i="149"/>
  <c r="L29" i="150" s="1"/>
  <c r="Q266" i="149"/>
  <c r="Q29" i="150" s="1"/>
  <c r="Q196" i="149"/>
  <c r="O196" i="149"/>
  <c r="O266" i="149"/>
  <c r="O29" i="150" s="1"/>
  <c r="M269" i="149"/>
  <c r="M32" i="150" s="1"/>
  <c r="M199" i="149"/>
  <c r="L34" i="141"/>
  <c r="O82" i="151"/>
  <c r="O103" i="151" s="1"/>
  <c r="M153" i="151"/>
  <c r="N153" i="151"/>
  <c r="M84" i="151"/>
  <c r="AS103" i="151" s="1"/>
  <c r="Q195" i="149"/>
  <c r="Q265" i="149"/>
  <c r="Q28" i="150" s="1"/>
  <c r="P265" i="149"/>
  <c r="P28" i="150" s="1"/>
  <c r="P195" i="149"/>
  <c r="P197" i="149"/>
  <c r="P267" i="149"/>
  <c r="P30" i="150" s="1"/>
  <c r="L267" i="149"/>
  <c r="L30" i="150" s="1"/>
  <c r="L197" i="149"/>
  <c r="V129" i="150"/>
  <c r="O129" i="150"/>
  <c r="N83" i="151"/>
  <c r="AD103" i="151" s="1"/>
  <c r="N84" i="151"/>
  <c r="AT103" i="151" s="1"/>
  <c r="M59" i="142"/>
  <c r="L241" i="142"/>
  <c r="L240" i="142"/>
  <c r="L239" i="142"/>
  <c r="M268" i="149"/>
  <c r="M31" i="150" s="1"/>
  <c r="M198" i="149"/>
  <c r="O153" i="151"/>
  <c r="J34" i="141"/>
  <c r="J154" i="151"/>
  <c r="N154" i="151"/>
  <c r="K200" i="149"/>
  <c r="K270" i="149"/>
  <c r="K33" i="150" s="1"/>
  <c r="O270" i="149"/>
  <c r="O33" i="150" s="1"/>
  <c r="O200" i="149"/>
  <c r="P194" i="149"/>
  <c r="P264" i="149"/>
  <c r="P27" i="150" s="1"/>
  <c r="O194" i="149"/>
  <c r="O264" i="149"/>
  <c r="O27" i="150" s="1"/>
  <c r="Q202" i="142"/>
  <c r="Q241" i="142"/>
  <c r="Q245" i="142"/>
  <c r="Q240" i="142"/>
  <c r="Q244" i="142"/>
  <c r="Q246" i="142"/>
  <c r="Q242" i="142"/>
  <c r="Q239" i="142"/>
  <c r="Q243" i="142"/>
  <c r="P34" i="141"/>
  <c r="L242" i="142" l="1"/>
  <c r="P243" i="142"/>
  <c r="P202" i="142"/>
  <c r="S50" i="141"/>
  <c r="P244" i="142"/>
  <c r="P246" i="142"/>
  <c r="P240" i="142"/>
  <c r="P239" i="142"/>
  <c r="L243" i="142"/>
  <c r="Y50" i="141"/>
  <c r="L244" i="142"/>
  <c r="V50" i="141"/>
  <c r="S48" i="141"/>
  <c r="S54" i="141" s="1"/>
  <c r="S93" i="141" s="1"/>
  <c r="S278" i="141" s="1"/>
  <c r="L245" i="142"/>
  <c r="L246" i="142"/>
  <c r="T253" i="142"/>
  <c r="V245" i="142"/>
  <c r="T252" i="142"/>
  <c r="T259" i="142"/>
  <c r="T241" i="142"/>
  <c r="T239" i="142"/>
  <c r="T243" i="142"/>
  <c r="T246" i="142"/>
  <c r="W49" i="141"/>
  <c r="N258" i="142"/>
  <c r="N254" i="142"/>
  <c r="N259" i="142"/>
  <c r="N253" i="142"/>
  <c r="N252" i="142"/>
  <c r="N255" i="142"/>
  <c r="N257" i="142"/>
  <c r="W48" i="141"/>
  <c r="W54" i="141" s="1"/>
  <c r="W93" i="141" s="1"/>
  <c r="W296" i="141" s="1"/>
  <c r="T48" i="141"/>
  <c r="T54" i="141" s="1"/>
  <c r="T93" i="141" s="1"/>
  <c r="T277" i="141" s="1"/>
  <c r="T258" i="142"/>
  <c r="T49" i="141"/>
  <c r="T254" i="142"/>
  <c r="T256" i="142"/>
  <c r="T242" i="142"/>
  <c r="T240" i="142"/>
  <c r="T245" i="142"/>
  <c r="T257" i="142"/>
  <c r="T255" i="142"/>
  <c r="T244" i="142"/>
  <c r="N48" i="141"/>
  <c r="N54" i="141" s="1"/>
  <c r="K69" i="141"/>
  <c r="K133" i="150"/>
  <c r="Y244" i="142"/>
  <c r="X50" i="141"/>
  <c r="J56" i="55"/>
  <c r="U50" i="141"/>
  <c r="U49" i="141"/>
  <c r="T132" i="150"/>
  <c r="Y242" i="142"/>
  <c r="Y259" i="142"/>
  <c r="Y257" i="142"/>
  <c r="N50" i="141"/>
  <c r="Y241" i="142"/>
  <c r="Y256" i="142"/>
  <c r="Y253" i="142"/>
  <c r="Y252" i="142"/>
  <c r="Y239" i="142"/>
  <c r="Y258" i="142"/>
  <c r="Y245" i="142"/>
  <c r="Y202" i="142"/>
  <c r="Y206" i="142" s="1"/>
  <c r="Y243" i="142"/>
  <c r="Y254" i="142"/>
  <c r="Y255" i="142"/>
  <c r="Y240" i="142"/>
  <c r="A4" i="140"/>
  <c r="J44" i="55"/>
  <c r="V239" i="142"/>
  <c r="V243" i="142"/>
  <c r="X49" i="141"/>
  <c r="V246" i="142"/>
  <c r="V254" i="142"/>
  <c r="V256" i="142"/>
  <c r="V244" i="142"/>
  <c r="V255" i="142"/>
  <c r="V202" i="142"/>
  <c r="V206" i="142" s="1"/>
  <c r="V258" i="142"/>
  <c r="V241" i="142"/>
  <c r="V240" i="142"/>
  <c r="V242" i="142"/>
  <c r="V257" i="142"/>
  <c r="V252" i="142"/>
  <c r="V259" i="142"/>
  <c r="V283" i="141"/>
  <c r="V299" i="141"/>
  <c r="V290" i="141"/>
  <c r="V274" i="141"/>
  <c r="V276" i="141"/>
  <c r="V296" i="141"/>
  <c r="V272" i="141"/>
  <c r="V286" i="141"/>
  <c r="V298" i="141"/>
  <c r="V288" i="141"/>
  <c r="V275" i="141"/>
  <c r="V278" i="141"/>
  <c r="V297" i="141"/>
  <c r="V273" i="141"/>
  <c r="V284" i="141"/>
  <c r="V285" i="141"/>
  <c r="V277" i="141"/>
  <c r="V289" i="141"/>
  <c r="V295" i="141"/>
  <c r="V302" i="141"/>
  <c r="V287" i="141"/>
  <c r="V300" i="141"/>
  <c r="V280" i="141"/>
  <c r="V301" i="141"/>
  <c r="V279" i="141"/>
  <c r="V294" i="141"/>
  <c r="V291" i="141"/>
  <c r="X202" i="142"/>
  <c r="X206" i="142" s="1"/>
  <c r="X239" i="142"/>
  <c r="X253" i="142"/>
  <c r="X255" i="142"/>
  <c r="X242" i="142"/>
  <c r="X259" i="142"/>
  <c r="X246" i="142"/>
  <c r="X240" i="142"/>
  <c r="X244" i="142"/>
  <c r="X254" i="142"/>
  <c r="X258" i="142"/>
  <c r="X257" i="142"/>
  <c r="X243" i="142"/>
  <c r="X241" i="142"/>
  <c r="X256" i="142"/>
  <c r="X245" i="142"/>
  <c r="X252" i="142"/>
  <c r="R49" i="141"/>
  <c r="R48" i="141"/>
  <c r="R54" i="141" s="1"/>
  <c r="R93" i="141" s="1"/>
  <c r="R50" i="141"/>
  <c r="U279" i="141"/>
  <c r="U296" i="141"/>
  <c r="U280" i="141"/>
  <c r="U299" i="141"/>
  <c r="U278" i="141"/>
  <c r="U273" i="141"/>
  <c r="U284" i="141"/>
  <c r="U277" i="141"/>
  <c r="U272" i="141"/>
  <c r="U295" i="141"/>
  <c r="U276" i="141"/>
  <c r="U301" i="141"/>
  <c r="U283" i="141"/>
  <c r="U302" i="141"/>
  <c r="U297" i="141"/>
  <c r="U298" i="141"/>
  <c r="U285" i="141"/>
  <c r="U291" i="141"/>
  <c r="U289" i="141"/>
  <c r="U294" i="141"/>
  <c r="U274" i="141"/>
  <c r="U275" i="141"/>
  <c r="U300" i="141"/>
  <c r="U286" i="141"/>
  <c r="U287" i="141"/>
  <c r="U288" i="141"/>
  <c r="U290" i="141"/>
  <c r="X284" i="141"/>
  <c r="X295" i="141"/>
  <c r="X297" i="141"/>
  <c r="X300" i="141"/>
  <c r="X272" i="141"/>
  <c r="X275" i="141"/>
  <c r="X286" i="141"/>
  <c r="X289" i="141"/>
  <c r="X285" i="141"/>
  <c r="X299" i="141"/>
  <c r="X296" i="141"/>
  <c r="X279" i="141"/>
  <c r="X276" i="141"/>
  <c r="X290" i="141"/>
  <c r="X294" i="141"/>
  <c r="X283" i="141"/>
  <c r="X288" i="141"/>
  <c r="X302" i="141"/>
  <c r="X280" i="141"/>
  <c r="X291" i="141"/>
  <c r="X298" i="141"/>
  <c r="X301" i="141"/>
  <c r="X287" i="141"/>
  <c r="X277" i="141"/>
  <c r="X278" i="141"/>
  <c r="X274" i="141"/>
  <c r="X273" i="141"/>
  <c r="Y288" i="141"/>
  <c r="Y279" i="141"/>
  <c r="Y287" i="141"/>
  <c r="Y286" i="141"/>
  <c r="Y301" i="141"/>
  <c r="Y302" i="141"/>
  <c r="Y272" i="141"/>
  <c r="Y283" i="141"/>
  <c r="Y275" i="141"/>
  <c r="Y291" i="141"/>
  <c r="Y280" i="141"/>
  <c r="Y294" i="141"/>
  <c r="Y276" i="141"/>
  <c r="Y290" i="141"/>
  <c r="Y285" i="141"/>
  <c r="Y274" i="141"/>
  <c r="Y278" i="141"/>
  <c r="Y284" i="141"/>
  <c r="Y277" i="141"/>
  <c r="Y289" i="141"/>
  <c r="Y299" i="141"/>
  <c r="Y295" i="141"/>
  <c r="Y297" i="141"/>
  <c r="Y296" i="141"/>
  <c r="Y273" i="141"/>
  <c r="Y300" i="141"/>
  <c r="Y298" i="141"/>
  <c r="W133" i="150"/>
  <c r="O50" i="141"/>
  <c r="O48" i="141"/>
  <c r="O54" i="141" s="1"/>
  <c r="P132" i="150"/>
  <c r="Q133" i="150"/>
  <c r="K44" i="141"/>
  <c r="K50" i="141" s="1"/>
  <c r="U132" i="150"/>
  <c r="J44" i="141"/>
  <c r="J50" i="141" s="1"/>
  <c r="M43" i="141"/>
  <c r="M49" i="141" s="1"/>
  <c r="M133" i="150"/>
  <c r="M132" i="150"/>
  <c r="J133" i="150"/>
  <c r="J132" i="150"/>
  <c r="X133" i="150"/>
  <c r="X132" i="150"/>
  <c r="O255" i="142"/>
  <c r="O253" i="142"/>
  <c r="O256" i="142"/>
  <c r="O258" i="142"/>
  <c r="O257" i="142"/>
  <c r="O254" i="142"/>
  <c r="O259" i="142"/>
  <c r="O252" i="142"/>
  <c r="P253" i="142"/>
  <c r="P259" i="142"/>
  <c r="P256" i="142"/>
  <c r="P254" i="142"/>
  <c r="J69" i="141"/>
  <c r="J43" i="141"/>
  <c r="J49" i="141" s="1"/>
  <c r="J42" i="141"/>
  <c r="J48" i="141" s="1"/>
  <c r="J54" i="141" s="1"/>
  <c r="O133" i="150"/>
  <c r="O132" i="150"/>
  <c r="L69" i="141"/>
  <c r="L42" i="141"/>
  <c r="L48" i="141" s="1"/>
  <c r="L54" i="141" s="1"/>
  <c r="M44" i="141"/>
  <c r="M50" i="141" s="1"/>
  <c r="L43" i="141"/>
  <c r="L49" i="141" s="1"/>
  <c r="S133" i="150"/>
  <c r="S132" i="150"/>
  <c r="L133" i="150"/>
  <c r="L132" i="150"/>
  <c r="K42" i="141"/>
  <c r="K48" i="141" s="1"/>
  <c r="K54" i="141" s="1"/>
  <c r="H34" i="143"/>
  <c r="U74" i="144" s="1"/>
  <c r="U76" i="144" s="1"/>
  <c r="N133" i="150"/>
  <c r="N132" i="150"/>
  <c r="V133" i="150"/>
  <c r="V132" i="150"/>
  <c r="R133" i="150"/>
  <c r="R132" i="150"/>
  <c r="H33" i="143"/>
  <c r="T74" i="144" s="1"/>
  <c r="T76" i="144" s="1"/>
  <c r="K43" i="141"/>
  <c r="K49" i="141" s="1"/>
  <c r="P252" i="142"/>
  <c r="P50" i="141"/>
  <c r="P48" i="141"/>
  <c r="P54" i="141" s="1"/>
  <c r="P49" i="141"/>
  <c r="M42" i="141"/>
  <c r="M48" i="141" s="1"/>
  <c r="M54" i="141" s="1"/>
  <c r="M69" i="141"/>
  <c r="Y132" i="150"/>
  <c r="Y133" i="150"/>
  <c r="L44" i="141"/>
  <c r="L50" i="141" s="1"/>
  <c r="P257" i="142"/>
  <c r="P255" i="142"/>
  <c r="S280" i="141" l="1"/>
  <c r="S296" i="141"/>
  <c r="S276" i="141"/>
  <c r="S74" i="142" s="1"/>
  <c r="S86" i="142" s="1"/>
  <c r="S291" i="141"/>
  <c r="S102" i="145" s="1"/>
  <c r="S190" i="145" s="1"/>
  <c r="S61" i="147" s="1"/>
  <c r="S166" i="147" s="1"/>
  <c r="S301" i="141"/>
  <c r="S274" i="141"/>
  <c r="S84" i="145" s="1"/>
  <c r="S155" i="145" s="1"/>
  <c r="S25" i="147" s="1"/>
  <c r="S130" i="147" s="1"/>
  <c r="S297" i="141"/>
  <c r="S119" i="142" s="1"/>
  <c r="S131" i="142" s="1"/>
  <c r="S299" i="141"/>
  <c r="S111" i="145" s="1"/>
  <c r="S216" i="145" s="1"/>
  <c r="S88" i="147" s="1"/>
  <c r="S193" i="147" s="1"/>
  <c r="S285" i="141"/>
  <c r="S96" i="145" s="1"/>
  <c r="S184" i="145" s="1"/>
  <c r="S55" i="147" s="1"/>
  <c r="S160" i="147" s="1"/>
  <c r="S294" i="141"/>
  <c r="S106" i="145" s="1"/>
  <c r="S211" i="145" s="1"/>
  <c r="S83" i="147" s="1"/>
  <c r="S188" i="147" s="1"/>
  <c r="S273" i="141"/>
  <c r="S83" i="145" s="1"/>
  <c r="S154" i="145" s="1"/>
  <c r="S24" i="147" s="1"/>
  <c r="S129" i="147" s="1"/>
  <c r="S295" i="141"/>
  <c r="S117" i="142" s="1"/>
  <c r="S129" i="142" s="1"/>
  <c r="S272" i="141"/>
  <c r="S81" i="145" s="1"/>
  <c r="S152" i="145" s="1"/>
  <c r="S22" i="147" s="1"/>
  <c r="S127" i="147" s="1"/>
  <c r="S283" i="141"/>
  <c r="S93" i="145" s="1"/>
  <c r="S181" i="145" s="1"/>
  <c r="S52" i="147" s="1"/>
  <c r="S157" i="147" s="1"/>
  <c r="S287" i="141"/>
  <c r="S97" i="142" s="1"/>
  <c r="S109" i="142" s="1"/>
  <c r="S288" i="141"/>
  <c r="S99" i="145" s="1"/>
  <c r="S187" i="145" s="1"/>
  <c r="S58" i="147" s="1"/>
  <c r="S163" i="147" s="1"/>
  <c r="S302" i="141"/>
  <c r="S114" i="145" s="1"/>
  <c r="S219" i="145" s="1"/>
  <c r="S91" i="147" s="1"/>
  <c r="S196" i="147" s="1"/>
  <c r="S298" i="141"/>
  <c r="S110" i="145" s="1"/>
  <c r="S215" i="145" s="1"/>
  <c r="S87" i="147" s="1"/>
  <c r="S192" i="147" s="1"/>
  <c r="S289" i="141"/>
  <c r="S100" i="145" s="1"/>
  <c r="S188" i="145" s="1"/>
  <c r="S59" i="147" s="1"/>
  <c r="S164" i="147" s="1"/>
  <c r="S290" i="141"/>
  <c r="S100" i="142" s="1"/>
  <c r="S112" i="142" s="1"/>
  <c r="S300" i="141"/>
  <c r="S122" i="142" s="1"/>
  <c r="S134" i="142" s="1"/>
  <c r="S284" i="141"/>
  <c r="S95" i="145" s="1"/>
  <c r="S183" i="145" s="1"/>
  <c r="S54" i="147" s="1"/>
  <c r="S159" i="147" s="1"/>
  <c r="S275" i="141"/>
  <c r="S73" i="142" s="1"/>
  <c r="S85" i="142" s="1"/>
  <c r="S286" i="141"/>
  <c r="S96" i="142" s="1"/>
  <c r="S108" i="142" s="1"/>
  <c r="S279" i="141"/>
  <c r="S77" i="142" s="1"/>
  <c r="S89" i="142" s="1"/>
  <c r="S277" i="141"/>
  <c r="S87" i="145" s="1"/>
  <c r="S158" i="145" s="1"/>
  <c r="S28" i="147" s="1"/>
  <c r="S133" i="147" s="1"/>
  <c r="W274" i="141"/>
  <c r="W72" i="142" s="1"/>
  <c r="W84" i="142" s="1"/>
  <c r="W290" i="141"/>
  <c r="W100" i="142" s="1"/>
  <c r="W112" i="142" s="1"/>
  <c r="W298" i="141"/>
  <c r="W120" i="142" s="1"/>
  <c r="W132" i="142" s="1"/>
  <c r="W287" i="141"/>
  <c r="W97" i="142" s="1"/>
  <c r="W109" i="142" s="1"/>
  <c r="W279" i="141"/>
  <c r="W291" i="141"/>
  <c r="W101" i="142" s="1"/>
  <c r="W113" i="142" s="1"/>
  <c r="W299" i="141"/>
  <c r="W111" i="145" s="1"/>
  <c r="W216" i="145" s="1"/>
  <c r="W88" i="147" s="1"/>
  <c r="W193" i="147" s="1"/>
  <c r="T275" i="141"/>
  <c r="T85" i="145" s="1"/>
  <c r="T156" i="145" s="1"/>
  <c r="T26" i="147" s="1"/>
  <c r="T131" i="147" s="1"/>
  <c r="W280" i="141"/>
  <c r="W90" i="145" s="1"/>
  <c r="W161" i="145" s="1"/>
  <c r="W31" i="147" s="1"/>
  <c r="W136" i="147" s="1"/>
  <c r="W301" i="141"/>
  <c r="W113" i="145" s="1"/>
  <c r="W218" i="145" s="1"/>
  <c r="W90" i="147" s="1"/>
  <c r="W195" i="147" s="1"/>
  <c r="W276" i="141"/>
  <c r="W74" i="142" s="1"/>
  <c r="W86" i="142" s="1"/>
  <c r="W302" i="141"/>
  <c r="W114" i="145" s="1"/>
  <c r="W219" i="145" s="1"/>
  <c r="W91" i="147" s="1"/>
  <c r="W196" i="147" s="1"/>
  <c r="W275" i="141"/>
  <c r="W85" i="145" s="1"/>
  <c r="W156" i="145" s="1"/>
  <c r="W26" i="147" s="1"/>
  <c r="W131" i="147" s="1"/>
  <c r="W295" i="141"/>
  <c r="W117" i="142" s="1"/>
  <c r="W129" i="142" s="1"/>
  <c r="W288" i="141"/>
  <c r="W99" i="145" s="1"/>
  <c r="W187" i="145" s="1"/>
  <c r="W58" i="147" s="1"/>
  <c r="W163" i="147" s="1"/>
  <c r="W294" i="141"/>
  <c r="W105" i="145" s="1"/>
  <c r="W210" i="145" s="1"/>
  <c r="W82" i="147" s="1"/>
  <c r="W187" i="147" s="1"/>
  <c r="T291" i="141"/>
  <c r="T102" i="145" s="1"/>
  <c r="T190" i="145" s="1"/>
  <c r="T61" i="147" s="1"/>
  <c r="T166" i="147" s="1"/>
  <c r="W278" i="141"/>
  <c r="W76" i="142" s="1"/>
  <c r="W88" i="142" s="1"/>
  <c r="W289" i="141"/>
  <c r="W100" i="145" s="1"/>
  <c r="W188" i="145" s="1"/>
  <c r="W59" i="147" s="1"/>
  <c r="W164" i="147" s="1"/>
  <c r="W284" i="141"/>
  <c r="W95" i="145" s="1"/>
  <c r="W183" i="145" s="1"/>
  <c r="W54" i="147" s="1"/>
  <c r="W159" i="147" s="1"/>
  <c r="W277" i="141"/>
  <c r="W75" i="142" s="1"/>
  <c r="W87" i="142" s="1"/>
  <c r="W285" i="141"/>
  <c r="W95" i="142" s="1"/>
  <c r="W107" i="142" s="1"/>
  <c r="W272" i="141"/>
  <c r="W70" i="142" s="1"/>
  <c r="W82" i="142" s="1"/>
  <c r="W273" i="141"/>
  <c r="W83" i="145" s="1"/>
  <c r="W154" i="145" s="1"/>
  <c r="W24" i="147" s="1"/>
  <c r="W129" i="147" s="1"/>
  <c r="W297" i="141"/>
  <c r="W119" i="142" s="1"/>
  <c r="W131" i="142" s="1"/>
  <c r="W283" i="141"/>
  <c r="W93" i="142" s="1"/>
  <c r="W105" i="142" s="1"/>
  <c r="W300" i="141"/>
  <c r="W112" i="145" s="1"/>
  <c r="W217" i="145" s="1"/>
  <c r="W89" i="147" s="1"/>
  <c r="W194" i="147" s="1"/>
  <c r="W286" i="141"/>
  <c r="W97" i="145" s="1"/>
  <c r="W185" i="145" s="1"/>
  <c r="W56" i="147" s="1"/>
  <c r="W161" i="147" s="1"/>
  <c r="T295" i="141"/>
  <c r="T107" i="145" s="1"/>
  <c r="T212" i="145" s="1"/>
  <c r="T84" i="147" s="1"/>
  <c r="T189" i="147" s="1"/>
  <c r="T298" i="141"/>
  <c r="T110" i="145" s="1"/>
  <c r="T215" i="145" s="1"/>
  <c r="T87" i="147" s="1"/>
  <c r="T192" i="147" s="1"/>
  <c r="T294" i="141"/>
  <c r="T105" i="145" s="1"/>
  <c r="T210" i="145" s="1"/>
  <c r="T82" i="147" s="1"/>
  <c r="T187" i="147" s="1"/>
  <c r="T296" i="141"/>
  <c r="T118" i="142" s="1"/>
  <c r="T130" i="142" s="1"/>
  <c r="T290" i="141"/>
  <c r="T100" i="142" s="1"/>
  <c r="T112" i="142" s="1"/>
  <c r="T276" i="141"/>
  <c r="T74" i="142" s="1"/>
  <c r="T86" i="142" s="1"/>
  <c r="T301" i="141"/>
  <c r="T113" i="145" s="1"/>
  <c r="T218" i="145" s="1"/>
  <c r="T90" i="147" s="1"/>
  <c r="T195" i="147" s="1"/>
  <c r="T278" i="141"/>
  <c r="T274" i="141"/>
  <c r="T72" i="142" s="1"/>
  <c r="T84" i="142" s="1"/>
  <c r="T279" i="141"/>
  <c r="T77" i="142" s="1"/>
  <c r="T89" i="142" s="1"/>
  <c r="T300" i="141"/>
  <c r="T273" i="141"/>
  <c r="T71" i="142" s="1"/>
  <c r="T83" i="142" s="1"/>
  <c r="T299" i="141"/>
  <c r="T111" i="145" s="1"/>
  <c r="T216" i="145" s="1"/>
  <c r="T88" i="147" s="1"/>
  <c r="T193" i="147" s="1"/>
  <c r="T286" i="141"/>
  <c r="T96" i="142" s="1"/>
  <c r="T108" i="142" s="1"/>
  <c r="T289" i="141"/>
  <c r="T100" i="145" s="1"/>
  <c r="T188" i="145" s="1"/>
  <c r="T59" i="147" s="1"/>
  <c r="T164" i="147" s="1"/>
  <c r="T280" i="141"/>
  <c r="T78" i="142" s="1"/>
  <c r="T90" i="142" s="1"/>
  <c r="T272" i="141"/>
  <c r="T70" i="142" s="1"/>
  <c r="T82" i="142" s="1"/>
  <c r="T283" i="141"/>
  <c r="T93" i="145" s="1"/>
  <c r="T181" i="145" s="1"/>
  <c r="T52" i="147" s="1"/>
  <c r="T157" i="147" s="1"/>
  <c r="T288" i="141"/>
  <c r="T98" i="142" s="1"/>
  <c r="T110" i="142" s="1"/>
  <c r="T297" i="141"/>
  <c r="T119" i="142" s="1"/>
  <c r="T131" i="142" s="1"/>
  <c r="T287" i="141"/>
  <c r="T98" i="145" s="1"/>
  <c r="T186" i="145" s="1"/>
  <c r="T57" i="147" s="1"/>
  <c r="T162" i="147" s="1"/>
  <c r="T285" i="141"/>
  <c r="T96" i="145" s="1"/>
  <c r="T184" i="145" s="1"/>
  <c r="T55" i="147" s="1"/>
  <c r="T160" i="147" s="1"/>
  <c r="T284" i="141"/>
  <c r="T94" i="142" s="1"/>
  <c r="T106" i="142" s="1"/>
  <c r="T302" i="141"/>
  <c r="T124" i="142" s="1"/>
  <c r="T136" i="142" s="1"/>
  <c r="Y112" i="145"/>
  <c r="Y217" i="145" s="1"/>
  <c r="Y89" i="147" s="1"/>
  <c r="Y194" i="147" s="1"/>
  <c r="Y122" i="142"/>
  <c r="Y134" i="142" s="1"/>
  <c r="Y107" i="145"/>
  <c r="Y212" i="145" s="1"/>
  <c r="Y84" i="147" s="1"/>
  <c r="Y189" i="147" s="1"/>
  <c r="Y117" i="142"/>
  <c r="Y129" i="142" s="1"/>
  <c r="Y95" i="145"/>
  <c r="Y183" i="145" s="1"/>
  <c r="Y54" i="147" s="1"/>
  <c r="Y159" i="147" s="1"/>
  <c r="Y94" i="142"/>
  <c r="Y106" i="142" s="1"/>
  <c r="Y100" i="142"/>
  <c r="Y112" i="142" s="1"/>
  <c r="Y101" i="145"/>
  <c r="Y189" i="145" s="1"/>
  <c r="Y60" i="147" s="1"/>
  <c r="Y165" i="147" s="1"/>
  <c r="Y101" i="142"/>
  <c r="Y113" i="142" s="1"/>
  <c r="Y102" i="145"/>
  <c r="Y190" i="145" s="1"/>
  <c r="Y61" i="147" s="1"/>
  <c r="Y166" i="147" s="1"/>
  <c r="Y114" i="145"/>
  <c r="Y219" i="145" s="1"/>
  <c r="Y91" i="147" s="1"/>
  <c r="Y196" i="147" s="1"/>
  <c r="Y124" i="142"/>
  <c r="Y136" i="142" s="1"/>
  <c r="Y89" i="145"/>
  <c r="Y160" i="145" s="1"/>
  <c r="Y30" i="147" s="1"/>
  <c r="Y135" i="147" s="1"/>
  <c r="Y77" i="142"/>
  <c r="Y89" i="142" s="1"/>
  <c r="X76" i="142"/>
  <c r="X88" i="142" s="1"/>
  <c r="X88" i="145"/>
  <c r="X159" i="145" s="1"/>
  <c r="X29" i="147" s="1"/>
  <c r="X134" i="147" s="1"/>
  <c r="X120" i="142"/>
  <c r="X132" i="142" s="1"/>
  <c r="X110" i="145"/>
  <c r="X215" i="145" s="1"/>
  <c r="X87" i="147" s="1"/>
  <c r="X192" i="147" s="1"/>
  <c r="X99" i="145"/>
  <c r="X187" i="145" s="1"/>
  <c r="X58" i="147" s="1"/>
  <c r="X163" i="147" s="1"/>
  <c r="X98" i="142"/>
  <c r="X110" i="142" s="1"/>
  <c r="X86" i="145"/>
  <c r="X157" i="145" s="1"/>
  <c r="X27" i="147" s="1"/>
  <c r="X132" i="147" s="1"/>
  <c r="X74" i="142"/>
  <c r="X86" i="142" s="1"/>
  <c r="X95" i="142"/>
  <c r="X107" i="142" s="1"/>
  <c r="X96" i="145"/>
  <c r="X184" i="145" s="1"/>
  <c r="X55" i="147" s="1"/>
  <c r="X160" i="147" s="1"/>
  <c r="X82" i="145"/>
  <c r="X153" i="145" s="1"/>
  <c r="X23" i="147" s="1"/>
  <c r="X128" i="147" s="1"/>
  <c r="X81" i="145"/>
  <c r="X152" i="145" s="1"/>
  <c r="X22" i="147" s="1"/>
  <c r="X127" i="147" s="1"/>
  <c r="X70" i="142"/>
  <c r="X82" i="142" s="1"/>
  <c r="X94" i="142"/>
  <c r="X106" i="142" s="1"/>
  <c r="X95" i="145"/>
  <c r="X183" i="145" s="1"/>
  <c r="X54" i="147" s="1"/>
  <c r="X159" i="147" s="1"/>
  <c r="S121" i="142"/>
  <c r="S133" i="142" s="1"/>
  <c r="S95" i="142"/>
  <c r="S107" i="142" s="1"/>
  <c r="S82" i="145"/>
  <c r="S153" i="145" s="1"/>
  <c r="S23" i="147" s="1"/>
  <c r="S128" i="147" s="1"/>
  <c r="S70" i="142"/>
  <c r="S82" i="142" s="1"/>
  <c r="U101" i="145"/>
  <c r="U189" i="145" s="1"/>
  <c r="U60" i="147" s="1"/>
  <c r="U165" i="147" s="1"/>
  <c r="U100" i="142"/>
  <c r="U112" i="142" s="1"/>
  <c r="U112" i="145"/>
  <c r="U217" i="145" s="1"/>
  <c r="U89" i="147" s="1"/>
  <c r="U194" i="147" s="1"/>
  <c r="U122" i="142"/>
  <c r="U134" i="142" s="1"/>
  <c r="U100" i="145"/>
  <c r="U188" i="145" s="1"/>
  <c r="U59" i="147" s="1"/>
  <c r="U164" i="147" s="1"/>
  <c r="U99" i="142"/>
  <c r="U111" i="142" s="1"/>
  <c r="U109" i="145"/>
  <c r="U214" i="145" s="1"/>
  <c r="U86" i="147" s="1"/>
  <c r="U191" i="147" s="1"/>
  <c r="U119" i="142"/>
  <c r="U131" i="142" s="1"/>
  <c r="U86" i="145"/>
  <c r="U157" i="145" s="1"/>
  <c r="U27" i="147" s="1"/>
  <c r="U132" i="147" s="1"/>
  <c r="U74" i="142"/>
  <c r="U86" i="142" s="1"/>
  <c r="U95" i="145"/>
  <c r="U183" i="145" s="1"/>
  <c r="U54" i="147" s="1"/>
  <c r="U159" i="147" s="1"/>
  <c r="U94" i="142"/>
  <c r="U106" i="142" s="1"/>
  <c r="U78" i="142"/>
  <c r="U90" i="142" s="1"/>
  <c r="U90" i="145"/>
  <c r="U161" i="145" s="1"/>
  <c r="U31" i="147" s="1"/>
  <c r="U136" i="147" s="1"/>
  <c r="R279" i="141"/>
  <c r="R297" i="141"/>
  <c r="R274" i="141"/>
  <c r="R298" i="141"/>
  <c r="R301" i="141"/>
  <c r="R287" i="141"/>
  <c r="R295" i="141"/>
  <c r="R290" i="141"/>
  <c r="R277" i="141"/>
  <c r="R296" i="141"/>
  <c r="R300" i="141"/>
  <c r="R278" i="141"/>
  <c r="R283" i="141"/>
  <c r="R288" i="141"/>
  <c r="R276" i="141"/>
  <c r="R286" i="141"/>
  <c r="R280" i="141"/>
  <c r="R291" i="141"/>
  <c r="R273" i="141"/>
  <c r="R284" i="141"/>
  <c r="R275" i="141"/>
  <c r="R294" i="141"/>
  <c r="R302" i="141"/>
  <c r="R272" i="141"/>
  <c r="R285" i="141"/>
  <c r="R299" i="141"/>
  <c r="R289" i="141"/>
  <c r="V89" i="145"/>
  <c r="V160" i="145" s="1"/>
  <c r="V30" i="147" s="1"/>
  <c r="V135" i="147" s="1"/>
  <c r="V77" i="142"/>
  <c r="V89" i="142" s="1"/>
  <c r="V98" i="145"/>
  <c r="V186" i="145" s="1"/>
  <c r="V57" i="147" s="1"/>
  <c r="V162" i="147" s="1"/>
  <c r="V97" i="142"/>
  <c r="V109" i="142" s="1"/>
  <c r="V87" i="145"/>
  <c r="V158" i="145" s="1"/>
  <c r="V28" i="147" s="1"/>
  <c r="V133" i="147" s="1"/>
  <c r="V75" i="142"/>
  <c r="V87" i="142" s="1"/>
  <c r="V119" i="142"/>
  <c r="V131" i="142" s="1"/>
  <c r="V109" i="145"/>
  <c r="V214" i="145" s="1"/>
  <c r="V86" i="147" s="1"/>
  <c r="V191" i="147" s="1"/>
  <c r="V110" i="145"/>
  <c r="V215" i="145" s="1"/>
  <c r="V87" i="147" s="1"/>
  <c r="V192" i="147" s="1"/>
  <c r="V120" i="142"/>
  <c r="V132" i="142" s="1"/>
  <c r="V74" i="142"/>
  <c r="V86" i="142" s="1"/>
  <c r="V86" i="145"/>
  <c r="V157" i="145" s="1"/>
  <c r="V27" i="147" s="1"/>
  <c r="V132" i="147" s="1"/>
  <c r="V93" i="145"/>
  <c r="V181" i="145" s="1"/>
  <c r="V52" i="147" s="1"/>
  <c r="V157" i="147" s="1"/>
  <c r="V93" i="142"/>
  <c r="V105" i="142" s="1"/>
  <c r="V94" i="145"/>
  <c r="V182" i="145" s="1"/>
  <c r="V53" i="147" s="1"/>
  <c r="V158" i="147" s="1"/>
  <c r="Y71" i="142"/>
  <c r="Y83" i="142" s="1"/>
  <c r="Y83" i="145"/>
  <c r="Y154" i="145" s="1"/>
  <c r="Y24" i="147" s="1"/>
  <c r="Y129" i="147" s="1"/>
  <c r="Y121" i="142"/>
  <c r="Y133" i="142" s="1"/>
  <c r="Y111" i="145"/>
  <c r="Y216" i="145" s="1"/>
  <c r="Y88" i="147" s="1"/>
  <c r="Y193" i="147" s="1"/>
  <c r="Y88" i="145"/>
  <c r="Y159" i="145" s="1"/>
  <c r="Y29" i="147" s="1"/>
  <c r="Y134" i="147" s="1"/>
  <c r="Y76" i="142"/>
  <c r="Y88" i="142" s="1"/>
  <c r="Y74" i="142"/>
  <c r="Y86" i="142" s="1"/>
  <c r="Y86" i="145"/>
  <c r="Y157" i="145" s="1"/>
  <c r="Y27" i="147" s="1"/>
  <c r="Y132" i="147" s="1"/>
  <c r="Y73" i="142"/>
  <c r="Y85" i="142" s="1"/>
  <c r="Y85" i="145"/>
  <c r="Y156" i="145" s="1"/>
  <c r="Y26" i="147" s="1"/>
  <c r="Y131" i="147" s="1"/>
  <c r="Y113" i="145"/>
  <c r="Y218" i="145" s="1"/>
  <c r="Y90" i="147" s="1"/>
  <c r="Y195" i="147" s="1"/>
  <c r="Y123" i="142"/>
  <c r="Y135" i="142" s="1"/>
  <c r="Y98" i="142"/>
  <c r="Y110" i="142" s="1"/>
  <c r="Y99" i="145"/>
  <c r="Y187" i="145" s="1"/>
  <c r="Y58" i="147" s="1"/>
  <c r="Y163" i="147" s="1"/>
  <c r="X75" i="142"/>
  <c r="X87" i="142" s="1"/>
  <c r="X87" i="145"/>
  <c r="X158" i="145" s="1"/>
  <c r="X28" i="147" s="1"/>
  <c r="X133" i="147" s="1"/>
  <c r="X102" i="145"/>
  <c r="X190" i="145" s="1"/>
  <c r="X61" i="147" s="1"/>
  <c r="X166" i="147" s="1"/>
  <c r="X101" i="142"/>
  <c r="X113" i="142" s="1"/>
  <c r="X94" i="145"/>
  <c r="X182" i="145" s="1"/>
  <c r="X53" i="147" s="1"/>
  <c r="X158" i="147" s="1"/>
  <c r="X93" i="142"/>
  <c r="X105" i="142" s="1"/>
  <c r="X93" i="145"/>
  <c r="X181" i="145" s="1"/>
  <c r="X52" i="147" s="1"/>
  <c r="X157" i="147" s="1"/>
  <c r="X89" i="145"/>
  <c r="X160" i="145" s="1"/>
  <c r="X30" i="147" s="1"/>
  <c r="X135" i="147" s="1"/>
  <c r="X77" i="142"/>
  <c r="X89" i="142" s="1"/>
  <c r="X100" i="145"/>
  <c r="X188" i="145" s="1"/>
  <c r="X59" i="147" s="1"/>
  <c r="X164" i="147" s="1"/>
  <c r="X99" i="142"/>
  <c r="X111" i="142" s="1"/>
  <c r="X122" i="142"/>
  <c r="X134" i="142" s="1"/>
  <c r="X112" i="145"/>
  <c r="X217" i="145" s="1"/>
  <c r="X89" i="147" s="1"/>
  <c r="X194" i="147" s="1"/>
  <c r="S124" i="142"/>
  <c r="S136" i="142" s="1"/>
  <c r="U98" i="142"/>
  <c r="U110" i="142" s="1"/>
  <c r="U99" i="145"/>
  <c r="U187" i="145" s="1"/>
  <c r="U58" i="147" s="1"/>
  <c r="U163" i="147" s="1"/>
  <c r="U85" i="145"/>
  <c r="U156" i="145" s="1"/>
  <c r="U26" i="147" s="1"/>
  <c r="U131" i="147" s="1"/>
  <c r="U73" i="142"/>
  <c r="U85" i="142" s="1"/>
  <c r="U102" i="145"/>
  <c r="U190" i="145" s="1"/>
  <c r="U61" i="147" s="1"/>
  <c r="U166" i="147" s="1"/>
  <c r="U101" i="142"/>
  <c r="U113" i="142" s="1"/>
  <c r="U114" i="145"/>
  <c r="U219" i="145" s="1"/>
  <c r="U91" i="147" s="1"/>
  <c r="U196" i="147" s="1"/>
  <c r="U124" i="142"/>
  <c r="U136" i="142" s="1"/>
  <c r="U117" i="142"/>
  <c r="U129" i="142" s="1"/>
  <c r="U107" i="145"/>
  <c r="U212" i="145" s="1"/>
  <c r="U84" i="147" s="1"/>
  <c r="U189" i="147" s="1"/>
  <c r="U83" i="145"/>
  <c r="U154" i="145" s="1"/>
  <c r="U24" i="147" s="1"/>
  <c r="U129" i="147" s="1"/>
  <c r="U71" i="142"/>
  <c r="U83" i="142" s="1"/>
  <c r="U118" i="142"/>
  <c r="U130" i="142" s="1"/>
  <c r="U108" i="145"/>
  <c r="U213" i="145" s="1"/>
  <c r="U85" i="147" s="1"/>
  <c r="U190" i="147" s="1"/>
  <c r="V123" i="142"/>
  <c r="V135" i="142" s="1"/>
  <c r="V113" i="145"/>
  <c r="V218" i="145" s="1"/>
  <c r="V90" i="147" s="1"/>
  <c r="V195" i="147" s="1"/>
  <c r="V114" i="145"/>
  <c r="V219" i="145" s="1"/>
  <c r="V91" i="147" s="1"/>
  <c r="V196" i="147" s="1"/>
  <c r="V124" i="142"/>
  <c r="V136" i="142" s="1"/>
  <c r="V95" i="142"/>
  <c r="V107" i="142" s="1"/>
  <c r="V96" i="145"/>
  <c r="V184" i="145" s="1"/>
  <c r="V55" i="147" s="1"/>
  <c r="V160" i="147" s="1"/>
  <c r="V76" i="142"/>
  <c r="V88" i="142" s="1"/>
  <c r="V88" i="145"/>
  <c r="V159" i="145" s="1"/>
  <c r="V29" i="147" s="1"/>
  <c r="V134" i="147" s="1"/>
  <c r="V96" i="142"/>
  <c r="V108" i="142" s="1"/>
  <c r="V97" i="145"/>
  <c r="V185" i="145" s="1"/>
  <c r="V56" i="147" s="1"/>
  <c r="V161" i="147" s="1"/>
  <c r="V72" i="142"/>
  <c r="V84" i="142" s="1"/>
  <c r="V84" i="145"/>
  <c r="V155" i="145" s="1"/>
  <c r="V25" i="147" s="1"/>
  <c r="V130" i="147" s="1"/>
  <c r="Y108" i="145"/>
  <c r="Y213" i="145" s="1"/>
  <c r="Y85" i="147" s="1"/>
  <c r="Y190" i="147" s="1"/>
  <c r="Y118" i="142"/>
  <c r="Y130" i="142" s="1"/>
  <c r="Y100" i="145"/>
  <c r="Y188" i="145" s="1"/>
  <c r="Y59" i="147" s="1"/>
  <c r="Y164" i="147" s="1"/>
  <c r="Y99" i="142"/>
  <c r="Y111" i="142" s="1"/>
  <c r="Y84" i="145"/>
  <c r="Y155" i="145" s="1"/>
  <c r="Y25" i="147" s="1"/>
  <c r="Y130" i="147" s="1"/>
  <c r="Y72" i="142"/>
  <c r="Y84" i="142" s="1"/>
  <c r="Y106" i="145"/>
  <c r="Y211" i="145" s="1"/>
  <c r="Y83" i="147" s="1"/>
  <c r="Y188" i="147" s="1"/>
  <c r="Y116" i="142"/>
  <c r="Y128" i="142" s="1"/>
  <c r="Y105" i="145"/>
  <c r="Y210" i="145" s="1"/>
  <c r="Y82" i="147" s="1"/>
  <c r="Y187" i="147" s="1"/>
  <c r="Y93" i="145"/>
  <c r="Y181" i="145" s="1"/>
  <c r="Y52" i="147" s="1"/>
  <c r="Y157" i="147" s="1"/>
  <c r="Y94" i="145"/>
  <c r="Y182" i="145" s="1"/>
  <c r="Y53" i="147" s="1"/>
  <c r="Y158" i="147" s="1"/>
  <c r="Y93" i="142"/>
  <c r="Y105" i="142" s="1"/>
  <c r="Y97" i="145"/>
  <c r="Y185" i="145" s="1"/>
  <c r="Y56" i="147" s="1"/>
  <c r="Y161" i="147" s="1"/>
  <c r="Y96" i="142"/>
  <c r="Y108" i="142" s="1"/>
  <c r="X83" i="145"/>
  <c r="X154" i="145" s="1"/>
  <c r="X24" i="147" s="1"/>
  <c r="X129" i="147" s="1"/>
  <c r="X71" i="142"/>
  <c r="X83" i="142" s="1"/>
  <c r="X97" i="142"/>
  <c r="X109" i="142" s="1"/>
  <c r="X98" i="145"/>
  <c r="X186" i="145" s="1"/>
  <c r="X57" i="147" s="1"/>
  <c r="X162" i="147" s="1"/>
  <c r="X90" i="145"/>
  <c r="X161" i="145" s="1"/>
  <c r="X31" i="147" s="1"/>
  <c r="X136" i="147" s="1"/>
  <c r="X78" i="142"/>
  <c r="X90" i="142" s="1"/>
  <c r="X116" i="142"/>
  <c r="X128" i="142" s="1"/>
  <c r="X106" i="145"/>
  <c r="X211" i="145" s="1"/>
  <c r="X83" i="147" s="1"/>
  <c r="X188" i="147" s="1"/>
  <c r="X105" i="145"/>
  <c r="X210" i="145" s="1"/>
  <c r="X82" i="147" s="1"/>
  <c r="X187" i="147" s="1"/>
  <c r="X108" i="145"/>
  <c r="X213" i="145" s="1"/>
  <c r="X85" i="147" s="1"/>
  <c r="X190" i="147" s="1"/>
  <c r="X118" i="142"/>
  <c r="X130" i="142" s="1"/>
  <c r="X97" i="145"/>
  <c r="X185" i="145" s="1"/>
  <c r="X56" i="147" s="1"/>
  <c r="X161" i="147" s="1"/>
  <c r="X96" i="142"/>
  <c r="X108" i="142" s="1"/>
  <c r="X109" i="145"/>
  <c r="X214" i="145" s="1"/>
  <c r="X86" i="147" s="1"/>
  <c r="X191" i="147" s="1"/>
  <c r="X119" i="142"/>
  <c r="X131" i="142" s="1"/>
  <c r="S112" i="145"/>
  <c r="S217" i="145" s="1"/>
  <c r="S89" i="147" s="1"/>
  <c r="S194" i="147" s="1"/>
  <c r="S94" i="142"/>
  <c r="S106" i="142" s="1"/>
  <c r="S89" i="145"/>
  <c r="S160" i="145" s="1"/>
  <c r="S30" i="147" s="1"/>
  <c r="S135" i="147" s="1"/>
  <c r="S76" i="142"/>
  <c r="S88" i="142" s="1"/>
  <c r="S88" i="145"/>
  <c r="S159" i="145" s="1"/>
  <c r="S29" i="147" s="1"/>
  <c r="S134" i="147" s="1"/>
  <c r="U97" i="142"/>
  <c r="U109" i="142" s="1"/>
  <c r="U98" i="145"/>
  <c r="U186" i="145" s="1"/>
  <c r="U57" i="147" s="1"/>
  <c r="U162" i="147" s="1"/>
  <c r="U72" i="142"/>
  <c r="U84" i="142" s="1"/>
  <c r="U84" i="145"/>
  <c r="U155" i="145" s="1"/>
  <c r="U25" i="147" s="1"/>
  <c r="U130" i="147" s="1"/>
  <c r="U95" i="142"/>
  <c r="U107" i="142" s="1"/>
  <c r="U96" i="145"/>
  <c r="U184" i="145" s="1"/>
  <c r="U55" i="147" s="1"/>
  <c r="U160" i="147" s="1"/>
  <c r="U94" i="145"/>
  <c r="U182" i="145" s="1"/>
  <c r="U53" i="147" s="1"/>
  <c r="U158" i="147" s="1"/>
  <c r="U93" i="145"/>
  <c r="U181" i="145" s="1"/>
  <c r="U52" i="147" s="1"/>
  <c r="U157" i="147" s="1"/>
  <c r="U93" i="142"/>
  <c r="U105" i="142" s="1"/>
  <c r="U81" i="145"/>
  <c r="U152" i="145" s="1"/>
  <c r="U22" i="147" s="1"/>
  <c r="U127" i="147" s="1"/>
  <c r="U82" i="145"/>
  <c r="U153" i="145" s="1"/>
  <c r="U23" i="147" s="1"/>
  <c r="U128" i="147" s="1"/>
  <c r="U70" i="142"/>
  <c r="U82" i="142" s="1"/>
  <c r="U76" i="142"/>
  <c r="U88" i="142" s="1"/>
  <c r="U88" i="145"/>
  <c r="U159" i="145" s="1"/>
  <c r="U29" i="147" s="1"/>
  <c r="U134" i="147" s="1"/>
  <c r="U89" i="145"/>
  <c r="U160" i="145" s="1"/>
  <c r="U30" i="147" s="1"/>
  <c r="U135" i="147" s="1"/>
  <c r="U77" i="142"/>
  <c r="U89" i="142" s="1"/>
  <c r="V102" i="145"/>
  <c r="V190" i="145" s="1"/>
  <c r="V61" i="147" s="1"/>
  <c r="V166" i="147" s="1"/>
  <c r="V101" i="142"/>
  <c r="V113" i="142" s="1"/>
  <c r="V78" i="142"/>
  <c r="V90" i="142" s="1"/>
  <c r="V90" i="145"/>
  <c r="V161" i="145" s="1"/>
  <c r="V31" i="147" s="1"/>
  <c r="V136" i="147" s="1"/>
  <c r="V107" i="145"/>
  <c r="V212" i="145" s="1"/>
  <c r="V84" i="147" s="1"/>
  <c r="V189" i="147" s="1"/>
  <c r="V117" i="142"/>
  <c r="V129" i="142" s="1"/>
  <c r="V94" i="142"/>
  <c r="V106" i="142" s="1"/>
  <c r="V95" i="145"/>
  <c r="V183" i="145" s="1"/>
  <c r="V54" i="147" s="1"/>
  <c r="V159" i="147" s="1"/>
  <c r="V73" i="142"/>
  <c r="V85" i="142" s="1"/>
  <c r="V85" i="145"/>
  <c r="V156" i="145" s="1"/>
  <c r="V26" i="147" s="1"/>
  <c r="V131" i="147" s="1"/>
  <c r="V82" i="145"/>
  <c r="V153" i="145" s="1"/>
  <c r="V23" i="147" s="1"/>
  <c r="V128" i="147" s="1"/>
  <c r="V81" i="145"/>
  <c r="V152" i="145" s="1"/>
  <c r="V22" i="147" s="1"/>
  <c r="V127" i="147" s="1"/>
  <c r="V70" i="142"/>
  <c r="V82" i="142" s="1"/>
  <c r="V101" i="145"/>
  <c r="V189" i="145" s="1"/>
  <c r="V60" i="147" s="1"/>
  <c r="V165" i="147" s="1"/>
  <c r="V100" i="142"/>
  <c r="V112" i="142" s="1"/>
  <c r="Y110" i="145"/>
  <c r="Y215" i="145" s="1"/>
  <c r="Y87" i="147" s="1"/>
  <c r="Y192" i="147" s="1"/>
  <c r="Y120" i="142"/>
  <c r="Y132" i="142" s="1"/>
  <c r="Y109" i="145"/>
  <c r="Y214" i="145" s="1"/>
  <c r="Y86" i="147" s="1"/>
  <c r="Y191" i="147" s="1"/>
  <c r="Y119" i="142"/>
  <c r="Y131" i="142" s="1"/>
  <c r="Y87" i="145"/>
  <c r="Y158" i="145" s="1"/>
  <c r="Y28" i="147" s="1"/>
  <c r="Y133" i="147" s="1"/>
  <c r="Y75" i="142"/>
  <c r="Y87" i="142" s="1"/>
  <c r="Y96" i="145"/>
  <c r="Y184" i="145" s="1"/>
  <c r="Y55" i="147" s="1"/>
  <c r="Y160" i="147" s="1"/>
  <c r="Y95" i="142"/>
  <c r="Y107" i="142" s="1"/>
  <c r="Y90" i="145"/>
  <c r="Y161" i="145" s="1"/>
  <c r="Y31" i="147" s="1"/>
  <c r="Y136" i="147" s="1"/>
  <c r="Y78" i="142"/>
  <c r="Y90" i="142" s="1"/>
  <c r="Y70" i="142"/>
  <c r="Y82" i="142" s="1"/>
  <c r="Y82" i="145"/>
  <c r="Y153" i="145" s="1"/>
  <c r="Y23" i="147" s="1"/>
  <c r="Y128" i="147" s="1"/>
  <c r="Y81" i="145"/>
  <c r="Y152" i="145" s="1"/>
  <c r="Y22" i="147" s="1"/>
  <c r="Y127" i="147" s="1"/>
  <c r="Y97" i="142"/>
  <c r="Y109" i="142" s="1"/>
  <c r="Y98" i="145"/>
  <c r="Y186" i="145" s="1"/>
  <c r="Y57" i="147" s="1"/>
  <c r="Y162" i="147" s="1"/>
  <c r="X84" i="145"/>
  <c r="X155" i="145" s="1"/>
  <c r="X25" i="147" s="1"/>
  <c r="X130" i="147" s="1"/>
  <c r="X72" i="142"/>
  <c r="X84" i="142" s="1"/>
  <c r="X123" i="142"/>
  <c r="X135" i="142" s="1"/>
  <c r="X113" i="145"/>
  <c r="X218" i="145" s="1"/>
  <c r="X90" i="147" s="1"/>
  <c r="X195" i="147" s="1"/>
  <c r="X114" i="145"/>
  <c r="X219" i="145" s="1"/>
  <c r="X91" i="147" s="1"/>
  <c r="X196" i="147" s="1"/>
  <c r="X124" i="142"/>
  <c r="X136" i="142" s="1"/>
  <c r="X100" i="142"/>
  <c r="X112" i="142" s="1"/>
  <c r="X101" i="145"/>
  <c r="X189" i="145" s="1"/>
  <c r="X60" i="147" s="1"/>
  <c r="X165" i="147" s="1"/>
  <c r="X121" i="142"/>
  <c r="X133" i="142" s="1"/>
  <c r="X111" i="145"/>
  <c r="X216" i="145" s="1"/>
  <c r="X88" i="147" s="1"/>
  <c r="X193" i="147" s="1"/>
  <c r="X85" i="145"/>
  <c r="X156" i="145" s="1"/>
  <c r="X26" i="147" s="1"/>
  <c r="X131" i="147" s="1"/>
  <c r="X73" i="142"/>
  <c r="X85" i="142" s="1"/>
  <c r="X107" i="145"/>
  <c r="X212" i="145" s="1"/>
  <c r="X84" i="147" s="1"/>
  <c r="X189" i="147" s="1"/>
  <c r="X117" i="142"/>
  <c r="X129" i="142" s="1"/>
  <c r="S118" i="142"/>
  <c r="S130" i="142" s="1"/>
  <c r="S108" i="145"/>
  <c r="S213" i="145" s="1"/>
  <c r="S85" i="147" s="1"/>
  <c r="S190" i="147" s="1"/>
  <c r="S113" i="145"/>
  <c r="S218" i="145" s="1"/>
  <c r="S90" i="147" s="1"/>
  <c r="S195" i="147" s="1"/>
  <c r="S123" i="142"/>
  <c r="S135" i="142" s="1"/>
  <c r="S90" i="145"/>
  <c r="S161" i="145" s="1"/>
  <c r="S31" i="147" s="1"/>
  <c r="S136" i="147" s="1"/>
  <c r="S78" i="142"/>
  <c r="S90" i="142" s="1"/>
  <c r="U97" i="145"/>
  <c r="U185" i="145" s="1"/>
  <c r="U56" i="147" s="1"/>
  <c r="U161" i="147" s="1"/>
  <c r="U96" i="142"/>
  <c r="U108" i="142" s="1"/>
  <c r="U105" i="145"/>
  <c r="U210" i="145" s="1"/>
  <c r="U82" i="147" s="1"/>
  <c r="U187" i="147" s="1"/>
  <c r="U116" i="142"/>
  <c r="U128" i="142" s="1"/>
  <c r="U106" i="145"/>
  <c r="U211" i="145" s="1"/>
  <c r="U83" i="147" s="1"/>
  <c r="U188" i="147" s="1"/>
  <c r="U110" i="145"/>
  <c r="U215" i="145" s="1"/>
  <c r="U87" i="147" s="1"/>
  <c r="U192" i="147" s="1"/>
  <c r="U120" i="142"/>
  <c r="U132" i="142" s="1"/>
  <c r="U123" i="142"/>
  <c r="U135" i="142" s="1"/>
  <c r="U113" i="145"/>
  <c r="U218" i="145" s="1"/>
  <c r="U90" i="147" s="1"/>
  <c r="U195" i="147" s="1"/>
  <c r="U87" i="145"/>
  <c r="U158" i="145" s="1"/>
  <c r="U28" i="147" s="1"/>
  <c r="U133" i="147" s="1"/>
  <c r="U75" i="142"/>
  <c r="U87" i="142" s="1"/>
  <c r="U121" i="142"/>
  <c r="U133" i="142" s="1"/>
  <c r="U111" i="145"/>
  <c r="U216" i="145" s="1"/>
  <c r="U88" i="147" s="1"/>
  <c r="U193" i="147" s="1"/>
  <c r="W118" i="142"/>
  <c r="W130" i="142" s="1"/>
  <c r="W108" i="145"/>
  <c r="W213" i="145" s="1"/>
  <c r="W85" i="147" s="1"/>
  <c r="W190" i="147" s="1"/>
  <c r="V106" i="145"/>
  <c r="V211" i="145" s="1"/>
  <c r="V83" i="147" s="1"/>
  <c r="V188" i="147" s="1"/>
  <c r="V105" i="145"/>
  <c r="V210" i="145" s="1"/>
  <c r="V82" i="147" s="1"/>
  <c r="V187" i="147" s="1"/>
  <c r="V116" i="142"/>
  <c r="V128" i="142" s="1"/>
  <c r="V112" i="145"/>
  <c r="V217" i="145" s="1"/>
  <c r="V89" i="147" s="1"/>
  <c r="V194" i="147" s="1"/>
  <c r="V122" i="142"/>
  <c r="V134" i="142" s="1"/>
  <c r="V100" i="145"/>
  <c r="V188" i="145" s="1"/>
  <c r="V59" i="147" s="1"/>
  <c r="V164" i="147" s="1"/>
  <c r="V99" i="142"/>
  <c r="V111" i="142" s="1"/>
  <c r="V71" i="142"/>
  <c r="V83" i="142" s="1"/>
  <c r="V83" i="145"/>
  <c r="V154" i="145" s="1"/>
  <c r="V24" i="147" s="1"/>
  <c r="V129" i="147" s="1"/>
  <c r="V98" i="142"/>
  <c r="V110" i="142" s="1"/>
  <c r="V99" i="145"/>
  <c r="V187" i="145" s="1"/>
  <c r="V58" i="147" s="1"/>
  <c r="V163" i="147" s="1"/>
  <c r="V118" i="142"/>
  <c r="V130" i="142" s="1"/>
  <c r="V108" i="145"/>
  <c r="V213" i="145" s="1"/>
  <c r="V85" i="147" s="1"/>
  <c r="V190" i="147" s="1"/>
  <c r="V111" i="145"/>
  <c r="V216" i="145" s="1"/>
  <c r="V88" i="147" s="1"/>
  <c r="V193" i="147" s="1"/>
  <c r="V121" i="142"/>
  <c r="V133" i="142" s="1"/>
  <c r="T87" i="145"/>
  <c r="T158" i="145" s="1"/>
  <c r="T28" i="147" s="1"/>
  <c r="T133" i="147" s="1"/>
  <c r="T75" i="142"/>
  <c r="T87" i="142" s="1"/>
  <c r="U108" i="144"/>
  <c r="H38" i="143" a="1"/>
  <c r="H38" i="143" s="1"/>
  <c r="T108" i="144"/>
  <c r="S86" i="145" l="1"/>
  <c r="S157" i="145" s="1"/>
  <c r="S27" i="147" s="1"/>
  <c r="S132" i="147" s="1"/>
  <c r="S109" i="145"/>
  <c r="S214" i="145" s="1"/>
  <c r="S86" i="147" s="1"/>
  <c r="S191" i="147" s="1"/>
  <c r="S85" i="145"/>
  <c r="S156" i="145" s="1"/>
  <c r="S26" i="147" s="1"/>
  <c r="S131" i="147" s="1"/>
  <c r="W84" i="145"/>
  <c r="W155" i="145" s="1"/>
  <c r="W25" i="147" s="1"/>
  <c r="W130" i="147" s="1"/>
  <c r="S98" i="142"/>
  <c r="S110" i="142" s="1"/>
  <c r="S107" i="145"/>
  <c r="S212" i="145" s="1"/>
  <c r="S84" i="147" s="1"/>
  <c r="S189" i="147" s="1"/>
  <c r="S101" i="145"/>
  <c r="S189" i="145" s="1"/>
  <c r="S60" i="147" s="1"/>
  <c r="S165" i="147" s="1"/>
  <c r="S98" i="145"/>
  <c r="S186" i="145" s="1"/>
  <c r="S57" i="147" s="1"/>
  <c r="S162" i="147" s="1"/>
  <c r="S71" i="142"/>
  <c r="S83" i="142" s="1"/>
  <c r="S143" i="142" s="1"/>
  <c r="S169" i="142" s="1"/>
  <c r="S270" i="142" s="1"/>
  <c r="S101" i="142"/>
  <c r="S113" i="142" s="1"/>
  <c r="S97" i="145"/>
  <c r="S185" i="145" s="1"/>
  <c r="S56" i="147" s="1"/>
  <c r="S161" i="147" s="1"/>
  <c r="S99" i="142"/>
  <c r="S111" i="142" s="1"/>
  <c r="S148" i="142" s="1"/>
  <c r="S174" i="142" s="1"/>
  <c r="S275" i="142" s="1"/>
  <c r="W101" i="145"/>
  <c r="W189" i="145" s="1"/>
  <c r="W60" i="147" s="1"/>
  <c r="W165" i="147" s="1"/>
  <c r="S72" i="142"/>
  <c r="S84" i="142" s="1"/>
  <c r="S116" i="142"/>
  <c r="S128" i="142" s="1"/>
  <c r="S75" i="142"/>
  <c r="S87" i="142" s="1"/>
  <c r="S93" i="142"/>
  <c r="S105" i="142" s="1"/>
  <c r="S105" i="145"/>
  <c r="S210" i="145" s="1"/>
  <c r="S82" i="147" s="1"/>
  <c r="S187" i="147" s="1"/>
  <c r="S120" i="142"/>
  <c r="S132" i="142" s="1"/>
  <c r="S146" i="142" s="1"/>
  <c r="S172" i="142" s="1"/>
  <c r="S273" i="142" s="1"/>
  <c r="S94" i="145"/>
  <c r="S182" i="145" s="1"/>
  <c r="S53" i="147" s="1"/>
  <c r="S158" i="147" s="1"/>
  <c r="W73" i="142"/>
  <c r="W85" i="142" s="1"/>
  <c r="W78" i="142"/>
  <c r="W90" i="142" s="1"/>
  <c r="W110" i="145"/>
  <c r="W215" i="145" s="1"/>
  <c r="W87" i="147" s="1"/>
  <c r="W192" i="147" s="1"/>
  <c r="W123" i="142"/>
  <c r="W135" i="142" s="1"/>
  <c r="W87" i="145"/>
  <c r="W158" i="145" s="1"/>
  <c r="W28" i="147" s="1"/>
  <c r="W133" i="147" s="1"/>
  <c r="W94" i="145"/>
  <c r="W182" i="145" s="1"/>
  <c r="W53" i="147" s="1"/>
  <c r="W158" i="147" s="1"/>
  <c r="W81" i="145"/>
  <c r="W152" i="145" s="1"/>
  <c r="W22" i="147" s="1"/>
  <c r="W127" i="147" s="1"/>
  <c r="W121" i="142"/>
  <c r="W133" i="142" s="1"/>
  <c r="W94" i="142"/>
  <c r="W106" i="142" s="1"/>
  <c r="W82" i="145"/>
  <c r="W153" i="145" s="1"/>
  <c r="W23" i="147" s="1"/>
  <c r="W128" i="147" s="1"/>
  <c r="W96" i="142"/>
  <c r="W108" i="142" s="1"/>
  <c r="W71" i="142"/>
  <c r="W83" i="142" s="1"/>
  <c r="T108" i="145"/>
  <c r="T213" i="145" s="1"/>
  <c r="T85" i="147" s="1"/>
  <c r="T190" i="147" s="1"/>
  <c r="W106" i="145"/>
  <c r="W211" i="145" s="1"/>
  <c r="W83" i="147" s="1"/>
  <c r="W188" i="147" s="1"/>
  <c r="W116" i="142"/>
  <c r="W128" i="142" s="1"/>
  <c r="W142" i="142" s="1"/>
  <c r="W168" i="142" s="1"/>
  <c r="T114" i="145"/>
  <c r="T219" i="145" s="1"/>
  <c r="T91" i="147" s="1"/>
  <c r="T196" i="147" s="1"/>
  <c r="T112" i="145"/>
  <c r="T217" i="145" s="1"/>
  <c r="T89" i="147" s="1"/>
  <c r="T194" i="147" s="1"/>
  <c r="T122" i="142"/>
  <c r="T134" i="142" s="1"/>
  <c r="T88" i="145"/>
  <c r="T159" i="145" s="1"/>
  <c r="T29" i="147" s="1"/>
  <c r="T134" i="147" s="1"/>
  <c r="T76" i="142"/>
  <c r="T88" i="142" s="1"/>
  <c r="W77" i="142"/>
  <c r="W89" i="142" s="1"/>
  <c r="W89" i="145"/>
  <c r="W160" i="145" s="1"/>
  <c r="W30" i="147" s="1"/>
  <c r="W135" i="147" s="1"/>
  <c r="T116" i="142"/>
  <c r="T128" i="142" s="1"/>
  <c r="T90" i="145"/>
  <c r="T161" i="145" s="1"/>
  <c r="T31" i="147" s="1"/>
  <c r="T136" i="147" s="1"/>
  <c r="T101" i="142"/>
  <c r="T113" i="142" s="1"/>
  <c r="T150" i="142" s="1"/>
  <c r="T95" i="142"/>
  <c r="T107" i="142" s="1"/>
  <c r="T144" i="142" s="1"/>
  <c r="T170" i="142" s="1"/>
  <c r="T271" i="142" s="1"/>
  <c r="T121" i="142"/>
  <c r="T133" i="142" s="1"/>
  <c r="T147" i="142" s="1"/>
  <c r="T173" i="142" s="1"/>
  <c r="T274" i="142" s="1"/>
  <c r="W109" i="145"/>
  <c r="W214" i="145" s="1"/>
  <c r="W86" i="147" s="1"/>
  <c r="W191" i="147" s="1"/>
  <c r="T117" i="142"/>
  <c r="T129" i="142" s="1"/>
  <c r="T143" i="142" s="1"/>
  <c r="T169" i="142" s="1"/>
  <c r="T270" i="142" s="1"/>
  <c r="T73" i="142"/>
  <c r="T85" i="142" s="1"/>
  <c r="T145" i="142" s="1"/>
  <c r="T171" i="142" s="1"/>
  <c r="T272" i="142" s="1"/>
  <c r="W98" i="145"/>
  <c r="W186" i="145" s="1"/>
  <c r="W57" i="147" s="1"/>
  <c r="W162" i="147" s="1"/>
  <c r="W107" i="145"/>
  <c r="W212" i="145" s="1"/>
  <c r="W84" i="147" s="1"/>
  <c r="W189" i="147" s="1"/>
  <c r="T106" i="145"/>
  <c r="T211" i="145" s="1"/>
  <c r="T83" i="147" s="1"/>
  <c r="T188" i="147" s="1"/>
  <c r="W98" i="142"/>
  <c r="W110" i="142" s="1"/>
  <c r="W99" i="142"/>
  <c r="W111" i="142" s="1"/>
  <c r="W93" i="145"/>
  <c r="W181" i="145" s="1"/>
  <c r="W52" i="147" s="1"/>
  <c r="W157" i="147" s="1"/>
  <c r="W86" i="145"/>
  <c r="W157" i="145" s="1"/>
  <c r="W27" i="147" s="1"/>
  <c r="W132" i="147" s="1"/>
  <c r="T109" i="145"/>
  <c r="T214" i="145" s="1"/>
  <c r="T86" i="147" s="1"/>
  <c r="T191" i="147" s="1"/>
  <c r="T83" i="145"/>
  <c r="T154" i="145" s="1"/>
  <c r="T24" i="147" s="1"/>
  <c r="T129" i="147" s="1"/>
  <c r="W102" i="145"/>
  <c r="W190" i="145" s="1"/>
  <c r="W61" i="147" s="1"/>
  <c r="W166" i="147" s="1"/>
  <c r="W122" i="142"/>
  <c r="W134" i="142" s="1"/>
  <c r="W124" i="142"/>
  <c r="W136" i="142" s="1"/>
  <c r="W150" i="142" s="1"/>
  <c r="W96" i="145"/>
  <c r="W184" i="145" s="1"/>
  <c r="W55" i="147" s="1"/>
  <c r="W160" i="147" s="1"/>
  <c r="W88" i="145"/>
  <c r="W159" i="145" s="1"/>
  <c r="W29" i="147" s="1"/>
  <c r="W134" i="147" s="1"/>
  <c r="T89" i="145"/>
  <c r="T160" i="145" s="1"/>
  <c r="T30" i="147" s="1"/>
  <c r="T135" i="147" s="1"/>
  <c r="T120" i="142"/>
  <c r="T132" i="142" s="1"/>
  <c r="T93" i="142"/>
  <c r="T105" i="142" s="1"/>
  <c r="T142" i="142" s="1"/>
  <c r="T168" i="142" s="1"/>
  <c r="T81" i="145"/>
  <c r="T152" i="145" s="1"/>
  <c r="T22" i="147" s="1"/>
  <c r="T127" i="147" s="1"/>
  <c r="T86" i="145"/>
  <c r="T157" i="145" s="1"/>
  <c r="T27" i="147" s="1"/>
  <c r="T132" i="147" s="1"/>
  <c r="T101" i="145"/>
  <c r="T189" i="145" s="1"/>
  <c r="T60" i="147" s="1"/>
  <c r="T165" i="147" s="1"/>
  <c r="T97" i="142"/>
  <c r="T109" i="142" s="1"/>
  <c r="T84" i="145"/>
  <c r="T155" i="145" s="1"/>
  <c r="T25" i="147" s="1"/>
  <c r="T130" i="147" s="1"/>
  <c r="T94" i="145"/>
  <c r="T182" i="145" s="1"/>
  <c r="T53" i="147" s="1"/>
  <c r="T158" i="147" s="1"/>
  <c r="T97" i="145"/>
  <c r="T185" i="145" s="1"/>
  <c r="T56" i="147" s="1"/>
  <c r="T161" i="147" s="1"/>
  <c r="T123" i="142"/>
  <c r="T135" i="142" s="1"/>
  <c r="T149" i="142" s="1"/>
  <c r="T175" i="142" s="1"/>
  <c r="T276" i="142" s="1"/>
  <c r="T95" i="145"/>
  <c r="T183" i="145" s="1"/>
  <c r="T54" i="147" s="1"/>
  <c r="T159" i="147" s="1"/>
  <c r="V142" i="142"/>
  <c r="V168" i="142" s="1"/>
  <c r="V269" i="142" s="1"/>
  <c r="T82" i="145"/>
  <c r="T153" i="145" s="1"/>
  <c r="T23" i="147" s="1"/>
  <c r="T128" i="147" s="1"/>
  <c r="T99" i="145"/>
  <c r="T187" i="145" s="1"/>
  <c r="T58" i="147" s="1"/>
  <c r="T163" i="147" s="1"/>
  <c r="T99" i="142"/>
  <c r="T111" i="142" s="1"/>
  <c r="Y145" i="142"/>
  <c r="Y171" i="142" s="1"/>
  <c r="Y272" i="142" s="1"/>
  <c r="W146" i="142"/>
  <c r="W172" i="142" s="1"/>
  <c r="W273" i="142" s="1"/>
  <c r="U145" i="142"/>
  <c r="U171" i="142" s="1"/>
  <c r="U272" i="142" s="1"/>
  <c r="Y142" i="142"/>
  <c r="Y168" i="142" s="1"/>
  <c r="Y269" i="142" s="1"/>
  <c r="X145" i="142"/>
  <c r="X171" i="142" s="1"/>
  <c r="X272" i="142" s="1"/>
  <c r="A4" i="143"/>
  <c r="J47" i="55"/>
  <c r="Y143" i="142"/>
  <c r="Y169" i="142" s="1"/>
  <c r="Y270" i="142" s="1"/>
  <c r="X144" i="142"/>
  <c r="X170" i="142" s="1"/>
  <c r="X271" i="142" s="1"/>
  <c r="V144" i="142"/>
  <c r="V170" i="142" s="1"/>
  <c r="V271" i="142" s="1"/>
  <c r="V143" i="142"/>
  <c r="V169" i="142" s="1"/>
  <c r="V270" i="142" s="1"/>
  <c r="U144" i="142"/>
  <c r="U170" i="142" s="1"/>
  <c r="U271" i="142" s="1"/>
  <c r="U150" i="142"/>
  <c r="U208" i="142" s="1"/>
  <c r="V146" i="142"/>
  <c r="V172" i="142" s="1"/>
  <c r="V273" i="142" s="1"/>
  <c r="S150" i="142"/>
  <c r="Y146" i="142"/>
  <c r="Y172" i="142" s="1"/>
  <c r="Y273" i="142" s="1"/>
  <c r="U147" i="142"/>
  <c r="U173" i="142" s="1"/>
  <c r="U274" i="142" s="1"/>
  <c r="X149" i="142"/>
  <c r="X175" i="142" s="1"/>
  <c r="X276" i="142" s="1"/>
  <c r="Y147" i="142"/>
  <c r="Y173" i="142" s="1"/>
  <c r="Y274" i="142" s="1"/>
  <c r="V145" i="142"/>
  <c r="V171" i="142" s="1"/>
  <c r="V272" i="142" s="1"/>
  <c r="R70" i="142"/>
  <c r="R82" i="142" s="1"/>
  <c r="R81" i="145"/>
  <c r="R152" i="145" s="1"/>
  <c r="R22" i="147" s="1"/>
  <c r="R127" i="147" s="1"/>
  <c r="R82" i="145"/>
  <c r="R153" i="145" s="1"/>
  <c r="R23" i="147" s="1"/>
  <c r="R128" i="147" s="1"/>
  <c r="R95" i="145"/>
  <c r="R183" i="145" s="1"/>
  <c r="R54" i="147" s="1"/>
  <c r="R159" i="147" s="1"/>
  <c r="R94" i="142"/>
  <c r="R106" i="142" s="1"/>
  <c r="R96" i="142"/>
  <c r="R108" i="142" s="1"/>
  <c r="R97" i="145"/>
  <c r="R185" i="145" s="1"/>
  <c r="R56" i="147" s="1"/>
  <c r="R161" i="147" s="1"/>
  <c r="R76" i="142"/>
  <c r="R88" i="142" s="1"/>
  <c r="R88" i="145"/>
  <c r="R159" i="145" s="1"/>
  <c r="R29" i="147" s="1"/>
  <c r="R134" i="147" s="1"/>
  <c r="R100" i="142"/>
  <c r="R112" i="142" s="1"/>
  <c r="R101" i="145"/>
  <c r="R189" i="145" s="1"/>
  <c r="R60" i="147" s="1"/>
  <c r="R165" i="147" s="1"/>
  <c r="R110" i="145"/>
  <c r="R215" i="145" s="1"/>
  <c r="R87" i="147" s="1"/>
  <c r="R192" i="147" s="1"/>
  <c r="R120" i="142"/>
  <c r="R132" i="142" s="1"/>
  <c r="U148" i="142"/>
  <c r="U174" i="142" s="1"/>
  <c r="U275" i="142" s="1"/>
  <c r="U149" i="142"/>
  <c r="U175" i="142" s="1"/>
  <c r="U276" i="142" s="1"/>
  <c r="U146" i="142"/>
  <c r="U172" i="142" s="1"/>
  <c r="U273" i="142" s="1"/>
  <c r="S145" i="142"/>
  <c r="S171" i="142" s="1"/>
  <c r="S272" i="142" s="1"/>
  <c r="X150" i="142"/>
  <c r="X143" i="142"/>
  <c r="X169" i="142" s="1"/>
  <c r="X270" i="142" s="1"/>
  <c r="U143" i="142"/>
  <c r="U169" i="142" s="1"/>
  <c r="U270" i="142" s="1"/>
  <c r="Y148" i="142"/>
  <c r="Y174" i="142" s="1"/>
  <c r="Y275" i="142" s="1"/>
  <c r="V147" i="142"/>
  <c r="V173" i="142" s="1"/>
  <c r="V274" i="142" s="1"/>
  <c r="V149" i="142"/>
  <c r="V175" i="142" s="1"/>
  <c r="V276" i="142" s="1"/>
  <c r="R100" i="145"/>
  <c r="R188" i="145" s="1"/>
  <c r="R59" i="147" s="1"/>
  <c r="R164" i="147" s="1"/>
  <c r="R99" i="142"/>
  <c r="R111" i="142" s="1"/>
  <c r="R114" i="145"/>
  <c r="R219" i="145" s="1"/>
  <c r="R91" i="147" s="1"/>
  <c r="R196" i="147" s="1"/>
  <c r="R124" i="142"/>
  <c r="R136" i="142" s="1"/>
  <c r="R83" i="145"/>
  <c r="R154" i="145" s="1"/>
  <c r="R24" i="147" s="1"/>
  <c r="R129" i="147" s="1"/>
  <c r="R71" i="142"/>
  <c r="R83" i="142" s="1"/>
  <c r="R86" i="145"/>
  <c r="R157" i="145" s="1"/>
  <c r="R27" i="147" s="1"/>
  <c r="R132" i="147" s="1"/>
  <c r="R74" i="142"/>
  <c r="R86" i="142" s="1"/>
  <c r="R122" i="142"/>
  <c r="R134" i="142" s="1"/>
  <c r="R112" i="145"/>
  <c r="R217" i="145" s="1"/>
  <c r="R89" i="147" s="1"/>
  <c r="R194" i="147" s="1"/>
  <c r="R107" i="145"/>
  <c r="R212" i="145" s="1"/>
  <c r="R84" i="147" s="1"/>
  <c r="R189" i="147" s="1"/>
  <c r="R117" i="142"/>
  <c r="R129" i="142" s="1"/>
  <c r="R72" i="142"/>
  <c r="R84" i="142" s="1"/>
  <c r="R84" i="145"/>
  <c r="R155" i="145" s="1"/>
  <c r="R25" i="147" s="1"/>
  <c r="R130" i="147" s="1"/>
  <c r="X147" i="142"/>
  <c r="X173" i="142" s="1"/>
  <c r="X274" i="142" s="1"/>
  <c r="Y150" i="142"/>
  <c r="S144" i="142"/>
  <c r="S170" i="142" s="1"/>
  <c r="S271" i="142" s="1"/>
  <c r="V150" i="142"/>
  <c r="U142" i="142"/>
  <c r="U168" i="142" s="1"/>
  <c r="U269" i="142" s="1"/>
  <c r="V148" i="142"/>
  <c r="V174" i="142" s="1"/>
  <c r="V275" i="142" s="1"/>
  <c r="S149" i="142"/>
  <c r="S175" i="142" s="1"/>
  <c r="S276" i="142" s="1"/>
  <c r="R111" i="145"/>
  <c r="R216" i="145" s="1"/>
  <c r="R88" i="147" s="1"/>
  <c r="R193" i="147" s="1"/>
  <c r="R121" i="142"/>
  <c r="R133" i="142" s="1"/>
  <c r="R116" i="142"/>
  <c r="R128" i="142" s="1"/>
  <c r="R106" i="145"/>
  <c r="R211" i="145" s="1"/>
  <c r="R83" i="147" s="1"/>
  <c r="R188" i="147" s="1"/>
  <c r="R105" i="145"/>
  <c r="R210" i="145" s="1"/>
  <c r="R82" i="147" s="1"/>
  <c r="R187" i="147" s="1"/>
  <c r="R101" i="142"/>
  <c r="R113" i="142" s="1"/>
  <c r="R102" i="145"/>
  <c r="R190" i="145" s="1"/>
  <c r="R61" i="147" s="1"/>
  <c r="R166" i="147" s="1"/>
  <c r="R98" i="142"/>
  <c r="R110" i="142" s="1"/>
  <c r="R99" i="145"/>
  <c r="R187" i="145" s="1"/>
  <c r="R58" i="147" s="1"/>
  <c r="R163" i="147" s="1"/>
  <c r="R118" i="142"/>
  <c r="R130" i="142" s="1"/>
  <c r="R108" i="145"/>
  <c r="R213" i="145" s="1"/>
  <c r="R85" i="147" s="1"/>
  <c r="R190" i="147" s="1"/>
  <c r="R98" i="145"/>
  <c r="R186" i="145" s="1"/>
  <c r="R57" i="147" s="1"/>
  <c r="R162" i="147" s="1"/>
  <c r="R97" i="142"/>
  <c r="R109" i="142" s="1"/>
  <c r="R109" i="145"/>
  <c r="R214" i="145" s="1"/>
  <c r="R86" i="147" s="1"/>
  <c r="R191" i="147" s="1"/>
  <c r="R119" i="142"/>
  <c r="R131" i="142" s="1"/>
  <c r="X148" i="142"/>
  <c r="X174" i="142" s="1"/>
  <c r="X275" i="142" s="1"/>
  <c r="Y144" i="142"/>
  <c r="Y170" i="142" s="1"/>
  <c r="Y271" i="142" s="1"/>
  <c r="X142" i="142"/>
  <c r="X168" i="142" s="1"/>
  <c r="X269" i="142" s="1"/>
  <c r="W144" i="142"/>
  <c r="W170" i="142" s="1"/>
  <c r="W271" i="142" s="1"/>
  <c r="R96" i="145"/>
  <c r="R184" i="145" s="1"/>
  <c r="R55" i="147" s="1"/>
  <c r="R160" i="147" s="1"/>
  <c r="R95" i="142"/>
  <c r="R107" i="142" s="1"/>
  <c r="R85" i="145"/>
  <c r="R156" i="145" s="1"/>
  <c r="R26" i="147" s="1"/>
  <c r="R131" i="147" s="1"/>
  <c r="R73" i="142"/>
  <c r="R85" i="142" s="1"/>
  <c r="R90" i="145"/>
  <c r="R161" i="145" s="1"/>
  <c r="R31" i="147" s="1"/>
  <c r="R136" i="147" s="1"/>
  <c r="R78" i="142"/>
  <c r="R90" i="142" s="1"/>
  <c r="R93" i="142"/>
  <c r="R105" i="142" s="1"/>
  <c r="R93" i="145"/>
  <c r="R181" i="145" s="1"/>
  <c r="R52" i="147" s="1"/>
  <c r="R157" i="147" s="1"/>
  <c r="R94" i="145"/>
  <c r="R182" i="145" s="1"/>
  <c r="R53" i="147" s="1"/>
  <c r="R158" i="147" s="1"/>
  <c r="R75" i="142"/>
  <c r="R87" i="142" s="1"/>
  <c r="R87" i="145"/>
  <c r="R158" i="145" s="1"/>
  <c r="R28" i="147" s="1"/>
  <c r="R133" i="147" s="1"/>
  <c r="R113" i="145"/>
  <c r="R218" i="145" s="1"/>
  <c r="R90" i="147" s="1"/>
  <c r="R195" i="147" s="1"/>
  <c r="R123" i="142"/>
  <c r="R135" i="142" s="1"/>
  <c r="R77" i="142"/>
  <c r="R89" i="142" s="1"/>
  <c r="R89" i="145"/>
  <c r="R160" i="145" s="1"/>
  <c r="R30" i="147" s="1"/>
  <c r="R135" i="147" s="1"/>
  <c r="X146" i="142"/>
  <c r="X172" i="142" s="1"/>
  <c r="X273" i="142" s="1"/>
  <c r="Y149" i="142"/>
  <c r="Y175" i="142" s="1"/>
  <c r="Y276" i="142" s="1"/>
  <c r="S147" i="142" l="1"/>
  <c r="S173" i="142" s="1"/>
  <c r="S274" i="142" s="1"/>
  <c r="S142" i="142"/>
  <c r="S168" i="142" s="1"/>
  <c r="S269" i="142" s="1"/>
  <c r="W145" i="142"/>
  <c r="W171" i="142" s="1"/>
  <c r="W272" i="142" s="1"/>
  <c r="W149" i="142"/>
  <c r="W175" i="142" s="1"/>
  <c r="W276" i="142" s="1"/>
  <c r="W147" i="142"/>
  <c r="W173" i="142" s="1"/>
  <c r="W274" i="142" s="1"/>
  <c r="W143" i="142"/>
  <c r="W169" i="142" s="1"/>
  <c r="W270" i="142" s="1"/>
  <c r="T148" i="142"/>
  <c r="T174" i="142" s="1"/>
  <c r="T275" i="142" s="1"/>
  <c r="W148" i="142"/>
  <c r="W174" i="142" s="1"/>
  <c r="W275" i="142" s="1"/>
  <c r="T146" i="142"/>
  <c r="T172" i="142" s="1"/>
  <c r="T273" i="142" s="1"/>
  <c r="R145" i="142"/>
  <c r="R171" i="142" s="1"/>
  <c r="R272" i="142" s="1"/>
  <c r="U176" i="142"/>
  <c r="U177" i="142" s="1"/>
  <c r="R150" i="142"/>
  <c r="R208" i="142" s="1"/>
  <c r="R143" i="142"/>
  <c r="R169" i="142" s="1"/>
  <c r="R270" i="142" s="1"/>
  <c r="R149" i="142"/>
  <c r="R175" i="142" s="1"/>
  <c r="R276" i="142" s="1"/>
  <c r="R147" i="142"/>
  <c r="R173" i="142" s="1"/>
  <c r="R274" i="142" s="1"/>
  <c r="V208" i="142"/>
  <c r="V176" i="142"/>
  <c r="V177" i="142" s="1"/>
  <c r="R142" i="142"/>
  <c r="R168" i="142" s="1"/>
  <c r="R269" i="142" s="1"/>
  <c r="T269" i="142"/>
  <c r="T208" i="142"/>
  <c r="T176" i="142"/>
  <c r="W176" i="142"/>
  <c r="W208" i="142"/>
  <c r="R148" i="142"/>
  <c r="R174" i="142" s="1"/>
  <c r="R275" i="142" s="1"/>
  <c r="R144" i="142"/>
  <c r="R170" i="142" s="1"/>
  <c r="R271" i="142" s="1"/>
  <c r="X208" i="142"/>
  <c r="X176" i="142"/>
  <c r="X177" i="142" s="1"/>
  <c r="W269" i="142"/>
  <c r="S176" i="142"/>
  <c r="S208" i="142"/>
  <c r="Y208" i="142"/>
  <c r="Y176" i="142"/>
  <c r="Y177" i="142" s="1"/>
  <c r="R146" i="142"/>
  <c r="R172" i="142" s="1"/>
  <c r="R273" i="142" s="1"/>
  <c r="S177" i="142" l="1"/>
  <c r="W177" i="142"/>
  <c r="T177" i="142"/>
  <c r="R176" i="142"/>
  <c r="R177" i="142" s="1"/>
  <c r="P260" i="142" l="1"/>
  <c r="O260" i="142"/>
  <c r="N260" i="142"/>
  <c r="J25" i="97" l="1"/>
  <c r="P18" i="134" s="1"/>
  <c r="P61" i="142" s="1"/>
  <c r="P200" i="142" s="1"/>
  <c r="J43" i="97"/>
  <c r="N19" i="134" s="1"/>
  <c r="N63" i="141" s="1"/>
  <c r="N85" i="141" s="1"/>
  <c r="J24" i="97"/>
  <c r="O18" i="134" s="1"/>
  <c r="O61" i="142" s="1"/>
  <c r="O200" i="142" s="1"/>
  <c r="J20" i="97"/>
  <c r="K18" i="134" s="1"/>
  <c r="K62" i="141" s="1"/>
  <c r="J46" i="97"/>
  <c r="Q19" i="134" s="1"/>
  <c r="Q63" i="141" s="1"/>
  <c r="Q85" i="141" s="1"/>
  <c r="J21" i="97"/>
  <c r="L18" i="134" s="1"/>
  <c r="L62" i="141" s="1"/>
  <c r="J19" i="97"/>
  <c r="J18" i="134" s="1"/>
  <c r="J23" i="97"/>
  <c r="N18" i="134" s="1"/>
  <c r="N62" i="141" s="1"/>
  <c r="J39" i="97"/>
  <c r="J19" i="134" s="1"/>
  <c r="J63" i="141" s="1"/>
  <c r="J45" i="97"/>
  <c r="P19" i="134" s="1"/>
  <c r="P63" i="141" s="1"/>
  <c r="P85" i="141" s="1"/>
  <c r="J26" i="97"/>
  <c r="Q18" i="134" s="1"/>
  <c r="Q61" i="142" s="1"/>
  <c r="Q200" i="142" s="1"/>
  <c r="J22" i="97"/>
  <c r="M18" i="134" s="1"/>
  <c r="M62" i="141" s="1"/>
  <c r="J41" i="97"/>
  <c r="L19" i="134" s="1"/>
  <c r="L63" i="141" s="1"/>
  <c r="J44" i="97"/>
  <c r="O19" i="134" s="1"/>
  <c r="O63" i="141" s="1"/>
  <c r="O85" i="141" s="1"/>
  <c r="O62" i="141"/>
  <c r="L61" i="142" l="1"/>
  <c r="L200" i="142" s="1"/>
  <c r="L253" i="142" s="1"/>
  <c r="K61" i="142"/>
  <c r="K200" i="142" s="1"/>
  <c r="K20" i="150" s="1"/>
  <c r="N61" i="142"/>
  <c r="N200" i="142" s="1"/>
  <c r="N204" i="142" s="1"/>
  <c r="N206" i="142" s="1"/>
  <c r="Q62" i="141"/>
  <c r="Q89" i="141" s="1"/>
  <c r="Q267" i="141" s="1"/>
  <c r="Q78" i="145" s="1"/>
  <c r="H528" i="97" a="1"/>
  <c r="H528" i="97" s="1"/>
  <c r="H530" i="97" s="1"/>
  <c r="A4" i="97" s="1"/>
  <c r="M61" i="142"/>
  <c r="M200" i="142" s="1"/>
  <c r="M20" i="150" s="1"/>
  <c r="M72" i="150" s="1"/>
  <c r="P62" i="141"/>
  <c r="P83" i="141" s="1"/>
  <c r="P91" i="141" s="1"/>
  <c r="P93" i="141" s="1"/>
  <c r="M89" i="141"/>
  <c r="M267" i="141" s="1"/>
  <c r="M78" i="145" s="1"/>
  <c r="M71" i="141"/>
  <c r="M73" i="141" s="1"/>
  <c r="O89" i="141"/>
  <c r="O267" i="141" s="1"/>
  <c r="O78" i="145" s="1"/>
  <c r="O83" i="141"/>
  <c r="O91" i="141" s="1"/>
  <c r="O93" i="141" s="1"/>
  <c r="P258" i="142"/>
  <c r="P20" i="150"/>
  <c r="P204" i="142"/>
  <c r="P206" i="142" s="1"/>
  <c r="N83" i="141"/>
  <c r="N91" i="141" s="1"/>
  <c r="N93" i="141" s="1"/>
  <c r="N89" i="141"/>
  <c r="N267" i="141" s="1"/>
  <c r="N78" i="145" s="1"/>
  <c r="K89" i="141"/>
  <c r="K267" i="141" s="1"/>
  <c r="K78" i="145" s="1"/>
  <c r="K71" i="141"/>
  <c r="K73" i="141" s="1"/>
  <c r="Q20" i="150"/>
  <c r="Q253" i="142"/>
  <c r="Q204" i="142"/>
  <c r="Q206" i="142" s="1"/>
  <c r="Q259" i="142"/>
  <c r="Q256" i="142"/>
  <c r="Q257" i="142"/>
  <c r="Q255" i="142"/>
  <c r="Q252" i="142"/>
  <c r="Q258" i="142"/>
  <c r="Q254" i="142"/>
  <c r="L204" i="142"/>
  <c r="L206" i="142" s="1"/>
  <c r="L258" i="142"/>
  <c r="L259" i="142"/>
  <c r="L256" i="142"/>
  <c r="L255" i="142"/>
  <c r="L254" i="142"/>
  <c r="L252" i="142"/>
  <c r="L257" i="142"/>
  <c r="L20" i="150"/>
  <c r="N256" i="142"/>
  <c r="K78" i="150"/>
  <c r="K73" i="150"/>
  <c r="K75" i="150"/>
  <c r="K74" i="150"/>
  <c r="K72" i="150"/>
  <c r="K77" i="150"/>
  <c r="K76" i="150"/>
  <c r="L89" i="141"/>
  <c r="L267" i="141" s="1"/>
  <c r="L78" i="145" s="1"/>
  <c r="L71" i="141"/>
  <c r="O204" i="142"/>
  <c r="O206" i="142" s="1"/>
  <c r="O20" i="150"/>
  <c r="J62" i="141"/>
  <c r="J61" i="142"/>
  <c r="H63" i="134" a="1"/>
  <c r="H63" i="134" s="1"/>
  <c r="H65" i="134" s="1"/>
  <c r="Q83" i="141" l="1"/>
  <c r="Q91" i="141" s="1"/>
  <c r="Q93" i="141" s="1"/>
  <c r="N20" i="150"/>
  <c r="O298" i="141"/>
  <c r="O296" i="141"/>
  <c r="O284" i="141"/>
  <c r="O94" i="142" s="1"/>
  <c r="O106" i="142" s="1"/>
  <c r="O285" i="141"/>
  <c r="O95" i="142" s="1"/>
  <c r="O107" i="142" s="1"/>
  <c r="O288" i="141"/>
  <c r="O98" i="142" s="1"/>
  <c r="O110" i="142" s="1"/>
  <c r="O286" i="141"/>
  <c r="O97" i="145" s="1"/>
  <c r="O185" i="145" s="1"/>
  <c r="O56" i="147" s="1"/>
  <c r="O161" i="147" s="1"/>
  <c r="O275" i="141"/>
  <c r="O85" i="145" s="1"/>
  <c r="O156" i="145" s="1"/>
  <c r="O26" i="147" s="1"/>
  <c r="O131" i="147" s="1"/>
  <c r="O295" i="141"/>
  <c r="O107" i="145" s="1"/>
  <c r="O212" i="145" s="1"/>
  <c r="O84" i="147" s="1"/>
  <c r="O189" i="147" s="1"/>
  <c r="O297" i="141"/>
  <c r="O109" i="145" s="1"/>
  <c r="O214" i="145" s="1"/>
  <c r="O86" i="147" s="1"/>
  <c r="O191" i="147" s="1"/>
  <c r="O299" i="141"/>
  <c r="O111" i="145" s="1"/>
  <c r="O216" i="145" s="1"/>
  <c r="O88" i="147" s="1"/>
  <c r="O193" i="147" s="1"/>
  <c r="O300" i="141"/>
  <c r="O122" i="142" s="1"/>
  <c r="O134" i="142" s="1"/>
  <c r="O289" i="141"/>
  <c r="O100" i="145" s="1"/>
  <c r="O188" i="145" s="1"/>
  <c r="O59" i="147" s="1"/>
  <c r="O164" i="147" s="1"/>
  <c r="O274" i="141"/>
  <c r="O279" i="141"/>
  <c r="O89" i="145" s="1"/>
  <c r="O160" i="145" s="1"/>
  <c r="O30" i="147" s="1"/>
  <c r="O135" i="147" s="1"/>
  <c r="O273" i="141"/>
  <c r="O83" i="145" s="1"/>
  <c r="O154" i="145" s="1"/>
  <c r="O24" i="147" s="1"/>
  <c r="O129" i="147" s="1"/>
  <c r="O302" i="141"/>
  <c r="O114" i="145" s="1"/>
  <c r="O219" i="145" s="1"/>
  <c r="O91" i="147" s="1"/>
  <c r="O196" i="147" s="1"/>
  <c r="O290" i="141"/>
  <c r="O101" i="145" s="1"/>
  <c r="O189" i="145" s="1"/>
  <c r="O60" i="147" s="1"/>
  <c r="O165" i="147" s="1"/>
  <c r="O280" i="141"/>
  <c r="O90" i="145" s="1"/>
  <c r="O161" i="145" s="1"/>
  <c r="O31" i="147" s="1"/>
  <c r="O136" i="147" s="1"/>
  <c r="O277" i="141"/>
  <c r="O87" i="145" s="1"/>
  <c r="O158" i="145" s="1"/>
  <c r="O28" i="147" s="1"/>
  <c r="O133" i="147" s="1"/>
  <c r="O291" i="141"/>
  <c r="O102" i="145" s="1"/>
  <c r="O190" i="145" s="1"/>
  <c r="O61" i="147" s="1"/>
  <c r="O166" i="147" s="1"/>
  <c r="O272" i="141"/>
  <c r="O82" i="145" s="1"/>
  <c r="O153" i="145" s="1"/>
  <c r="O23" i="147" s="1"/>
  <c r="O128" i="147" s="1"/>
  <c r="O287" i="141"/>
  <c r="O97" i="142" s="1"/>
  <c r="O109" i="142" s="1"/>
  <c r="O276" i="141"/>
  <c r="O74" i="142" s="1"/>
  <c r="O86" i="142" s="1"/>
  <c r="O283" i="141"/>
  <c r="O93" i="142" s="1"/>
  <c r="O105" i="142" s="1"/>
  <c r="O301" i="141"/>
  <c r="O123" i="142" s="1"/>
  <c r="O135" i="142" s="1"/>
  <c r="O278" i="141"/>
  <c r="O294" i="141"/>
  <c r="O106" i="145" s="1"/>
  <c r="O211" i="145" s="1"/>
  <c r="O83" i="147" s="1"/>
  <c r="O188" i="147" s="1"/>
  <c r="N294" i="141"/>
  <c r="N272" i="141"/>
  <c r="N70" i="142" s="1"/>
  <c r="N82" i="142" s="1"/>
  <c r="N295" i="141"/>
  <c r="N117" i="142" s="1"/>
  <c r="N129" i="142" s="1"/>
  <c r="N302" i="141"/>
  <c r="N124" i="142" s="1"/>
  <c r="N136" i="142" s="1"/>
  <c r="N278" i="141"/>
  <c r="N88" i="145" s="1"/>
  <c r="N159" i="145" s="1"/>
  <c r="N29" i="147" s="1"/>
  <c r="N134" i="147" s="1"/>
  <c r="N273" i="141"/>
  <c r="N83" i="145" s="1"/>
  <c r="N154" i="145" s="1"/>
  <c r="N24" i="147" s="1"/>
  <c r="N129" i="147" s="1"/>
  <c r="N300" i="141"/>
  <c r="N112" i="145" s="1"/>
  <c r="N217" i="145" s="1"/>
  <c r="N89" i="147" s="1"/>
  <c r="N194" i="147" s="1"/>
  <c r="N286" i="141"/>
  <c r="N96" i="142" s="1"/>
  <c r="N108" i="142" s="1"/>
  <c r="N287" i="141"/>
  <c r="N97" i="142" s="1"/>
  <c r="N109" i="142" s="1"/>
  <c r="N277" i="141"/>
  <c r="N75" i="142" s="1"/>
  <c r="N87" i="142" s="1"/>
  <c r="N284" i="141"/>
  <c r="N94" i="142" s="1"/>
  <c r="N106" i="142" s="1"/>
  <c r="N289" i="141"/>
  <c r="N99" i="142" s="1"/>
  <c r="N111" i="142" s="1"/>
  <c r="N298" i="141"/>
  <c r="N110" i="145" s="1"/>
  <c r="N215" i="145" s="1"/>
  <c r="N87" i="147" s="1"/>
  <c r="N192" i="147" s="1"/>
  <c r="N280" i="141"/>
  <c r="N90" i="145" s="1"/>
  <c r="N161" i="145" s="1"/>
  <c r="N31" i="147" s="1"/>
  <c r="N136" i="147" s="1"/>
  <c r="N291" i="141"/>
  <c r="N101" i="142" s="1"/>
  <c r="N113" i="142" s="1"/>
  <c r="N301" i="141"/>
  <c r="N123" i="142" s="1"/>
  <c r="N135" i="142" s="1"/>
  <c r="N276" i="141"/>
  <c r="N74" i="142" s="1"/>
  <c r="N86" i="142" s="1"/>
  <c r="N285" i="141"/>
  <c r="N95" i="142" s="1"/>
  <c r="N107" i="142" s="1"/>
  <c r="N297" i="141"/>
  <c r="N119" i="142" s="1"/>
  <c r="N131" i="142" s="1"/>
  <c r="N290" i="141"/>
  <c r="N101" i="145" s="1"/>
  <c r="N189" i="145" s="1"/>
  <c r="N60" i="147" s="1"/>
  <c r="N165" i="147" s="1"/>
  <c r="N279" i="141"/>
  <c r="N77" i="142" s="1"/>
  <c r="N89" i="142" s="1"/>
  <c r="N288" i="141"/>
  <c r="N283" i="141"/>
  <c r="N93" i="142" s="1"/>
  <c r="N105" i="142" s="1"/>
  <c r="N274" i="141"/>
  <c r="N84" i="145" s="1"/>
  <c r="N155" i="145" s="1"/>
  <c r="N25" i="147" s="1"/>
  <c r="N130" i="147" s="1"/>
  <c r="N296" i="141"/>
  <c r="N118" i="142" s="1"/>
  <c r="N130" i="142" s="1"/>
  <c r="N299" i="141"/>
  <c r="N275" i="141"/>
  <c r="P286" i="141"/>
  <c r="P291" i="141"/>
  <c r="P102" i="145" s="1"/>
  <c r="P190" i="145" s="1"/>
  <c r="P61" i="147" s="1"/>
  <c r="P166" i="147" s="1"/>
  <c r="P298" i="141"/>
  <c r="P110" i="145" s="1"/>
  <c r="P215" i="145" s="1"/>
  <c r="P87" i="147" s="1"/>
  <c r="P192" i="147" s="1"/>
  <c r="P295" i="141"/>
  <c r="P117" i="142" s="1"/>
  <c r="P129" i="142" s="1"/>
  <c r="P300" i="141"/>
  <c r="P112" i="145" s="1"/>
  <c r="P217" i="145" s="1"/>
  <c r="P89" i="147" s="1"/>
  <c r="P194" i="147" s="1"/>
  <c r="P278" i="141"/>
  <c r="P88" i="145" s="1"/>
  <c r="P159" i="145" s="1"/>
  <c r="P29" i="147" s="1"/>
  <c r="P134" i="147" s="1"/>
  <c r="P275" i="141"/>
  <c r="P85" i="145" s="1"/>
  <c r="P156" i="145" s="1"/>
  <c r="P26" i="147" s="1"/>
  <c r="P131" i="147" s="1"/>
  <c r="P285" i="141"/>
  <c r="P299" i="141"/>
  <c r="P111" i="145" s="1"/>
  <c r="P216" i="145" s="1"/>
  <c r="P88" i="147" s="1"/>
  <c r="P193" i="147" s="1"/>
  <c r="P280" i="141"/>
  <c r="P78" i="142" s="1"/>
  <c r="P90" i="142" s="1"/>
  <c r="P279" i="141"/>
  <c r="P89" i="145" s="1"/>
  <c r="P160" i="145" s="1"/>
  <c r="P30" i="147" s="1"/>
  <c r="P135" i="147" s="1"/>
  <c r="P297" i="141"/>
  <c r="P119" i="142" s="1"/>
  <c r="P131" i="142" s="1"/>
  <c r="P287" i="141"/>
  <c r="P97" i="142" s="1"/>
  <c r="P109" i="142" s="1"/>
  <c r="P274" i="141"/>
  <c r="P72" i="142" s="1"/>
  <c r="P84" i="142" s="1"/>
  <c r="P272" i="141"/>
  <c r="P70" i="142" s="1"/>
  <c r="P82" i="142" s="1"/>
  <c r="P289" i="141"/>
  <c r="P100" i="145" s="1"/>
  <c r="P188" i="145" s="1"/>
  <c r="P59" i="147" s="1"/>
  <c r="P164" i="147" s="1"/>
  <c r="P296" i="141"/>
  <c r="P118" i="142" s="1"/>
  <c r="P130" i="142" s="1"/>
  <c r="P294" i="141"/>
  <c r="P116" i="142" s="1"/>
  <c r="P128" i="142" s="1"/>
  <c r="P301" i="141"/>
  <c r="P123" i="142" s="1"/>
  <c r="P135" i="142" s="1"/>
  <c r="P302" i="141"/>
  <c r="P288" i="141"/>
  <c r="P273" i="141"/>
  <c r="P277" i="141"/>
  <c r="P75" i="142" s="1"/>
  <c r="P87" i="142" s="1"/>
  <c r="P276" i="141"/>
  <c r="P290" i="141"/>
  <c r="P100" i="142" s="1"/>
  <c r="P112" i="142" s="1"/>
  <c r="P283" i="141"/>
  <c r="P93" i="145" s="1"/>
  <c r="P181" i="145" s="1"/>
  <c r="P52" i="147" s="1"/>
  <c r="P157" i="147" s="1"/>
  <c r="P284" i="141"/>
  <c r="P94" i="142" s="1"/>
  <c r="P106" i="142" s="1"/>
  <c r="Q300" i="141"/>
  <c r="Q289" i="141"/>
  <c r="Q100" i="145" s="1"/>
  <c r="Q188" i="145" s="1"/>
  <c r="Q59" i="147" s="1"/>
  <c r="Q164" i="147" s="1"/>
  <c r="Q294" i="141"/>
  <c r="Q105" i="145" s="1"/>
  <c r="Q210" i="145" s="1"/>
  <c r="Q82" i="147" s="1"/>
  <c r="Q187" i="147" s="1"/>
  <c r="Q290" i="141"/>
  <c r="Q101" i="145" s="1"/>
  <c r="Q189" i="145" s="1"/>
  <c r="Q60" i="147" s="1"/>
  <c r="Q165" i="147" s="1"/>
  <c r="Q276" i="141"/>
  <c r="Q74" i="142" s="1"/>
  <c r="Q86" i="142" s="1"/>
  <c r="Q285" i="141"/>
  <c r="Q96" i="145" s="1"/>
  <c r="Q184" i="145" s="1"/>
  <c r="Q55" i="147" s="1"/>
  <c r="Q160" i="147" s="1"/>
  <c r="Q284" i="141"/>
  <c r="Q95" i="145" s="1"/>
  <c r="Q183" i="145" s="1"/>
  <c r="Q54" i="147" s="1"/>
  <c r="Q159" i="147" s="1"/>
  <c r="Q296" i="141"/>
  <c r="Q108" i="145" s="1"/>
  <c r="Q213" i="145" s="1"/>
  <c r="Q85" i="147" s="1"/>
  <c r="Q190" i="147" s="1"/>
  <c r="Q287" i="141"/>
  <c r="Q98" i="145" s="1"/>
  <c r="Q186" i="145" s="1"/>
  <c r="Q57" i="147" s="1"/>
  <c r="Q162" i="147" s="1"/>
  <c r="Q298" i="141"/>
  <c r="Q110" i="145" s="1"/>
  <c r="Q215" i="145" s="1"/>
  <c r="Q87" i="147" s="1"/>
  <c r="Q192" i="147" s="1"/>
  <c r="Q297" i="141"/>
  <c r="Q109" i="145" s="1"/>
  <c r="Q214" i="145" s="1"/>
  <c r="Q86" i="147" s="1"/>
  <c r="Q191" i="147" s="1"/>
  <c r="Q302" i="141"/>
  <c r="Q124" i="142" s="1"/>
  <c r="Q136" i="142" s="1"/>
  <c r="Q274" i="141"/>
  <c r="Q84" i="145" s="1"/>
  <c r="Q155" i="145" s="1"/>
  <c r="Q25" i="147" s="1"/>
  <c r="Q130" i="147" s="1"/>
  <c r="Q286" i="141"/>
  <c r="Q96" i="142" s="1"/>
  <c r="Q108" i="142" s="1"/>
  <c r="Q280" i="141"/>
  <c r="Q90" i="145" s="1"/>
  <c r="Q161" i="145" s="1"/>
  <c r="Q31" i="147" s="1"/>
  <c r="Q136" i="147" s="1"/>
  <c r="Q301" i="141"/>
  <c r="Q123" i="142" s="1"/>
  <c r="Q135" i="142" s="1"/>
  <c r="Q277" i="141"/>
  <c r="Q87" i="145" s="1"/>
  <c r="Q158" i="145" s="1"/>
  <c r="Q28" i="147" s="1"/>
  <c r="Q133" i="147" s="1"/>
  <c r="Q283" i="141"/>
  <c r="Q93" i="145" s="1"/>
  <c r="Q181" i="145" s="1"/>
  <c r="Q52" i="147" s="1"/>
  <c r="Q157" i="147" s="1"/>
  <c r="Q299" i="141"/>
  <c r="Q111" i="145" s="1"/>
  <c r="Q216" i="145" s="1"/>
  <c r="Q88" i="147" s="1"/>
  <c r="Q193" i="147" s="1"/>
  <c r="Q273" i="141"/>
  <c r="Q71" i="142" s="1"/>
  <c r="Q83" i="142" s="1"/>
  <c r="Q278" i="141"/>
  <c r="Q88" i="145" s="1"/>
  <c r="Q159" i="145" s="1"/>
  <c r="Q29" i="147" s="1"/>
  <c r="Q134" i="147" s="1"/>
  <c r="Q288" i="141"/>
  <c r="Q99" i="145" s="1"/>
  <c r="Q187" i="145" s="1"/>
  <c r="Q58" i="147" s="1"/>
  <c r="Q163" i="147" s="1"/>
  <c r="Q279" i="141"/>
  <c r="Q272" i="141"/>
  <c r="Q70" i="142" s="1"/>
  <c r="Q82" i="142" s="1"/>
  <c r="Q275" i="141"/>
  <c r="Q85" i="145" s="1"/>
  <c r="Q156" i="145" s="1"/>
  <c r="Q26" i="147" s="1"/>
  <c r="Q131" i="147" s="1"/>
  <c r="Q295" i="141"/>
  <c r="Q107" i="145" s="1"/>
  <c r="Q212" i="145" s="1"/>
  <c r="Q84" i="147" s="1"/>
  <c r="Q189" i="147" s="1"/>
  <c r="Q291" i="141"/>
  <c r="Q102" i="145" s="1"/>
  <c r="Q190" i="145" s="1"/>
  <c r="Q61" i="147" s="1"/>
  <c r="Q166" i="147" s="1"/>
  <c r="O113" i="145"/>
  <c r="O218" i="145" s="1"/>
  <c r="O90" i="147" s="1"/>
  <c r="O195" i="147" s="1"/>
  <c r="O100" i="142"/>
  <c r="O112" i="142" s="1"/>
  <c r="O86" i="145"/>
  <c r="O157" i="145" s="1"/>
  <c r="O27" i="147" s="1"/>
  <c r="O132" i="147" s="1"/>
  <c r="O81" i="145"/>
  <c r="O152" i="145" s="1"/>
  <c r="O22" i="147" s="1"/>
  <c r="O127" i="147" s="1"/>
  <c r="P73" i="142"/>
  <c r="P85" i="142" s="1"/>
  <c r="N114" i="145"/>
  <c r="N219" i="145" s="1"/>
  <c r="N91" i="147" s="1"/>
  <c r="N196" i="147" s="1"/>
  <c r="Q120" i="142"/>
  <c r="Q132" i="142" s="1"/>
  <c r="M75" i="150"/>
  <c r="M77" i="150"/>
  <c r="M73" i="150"/>
  <c r="J34" i="55"/>
  <c r="P89" i="141"/>
  <c r="P267" i="141" s="1"/>
  <c r="P78" i="145" s="1"/>
  <c r="P124" i="145" s="1"/>
  <c r="M76" i="150"/>
  <c r="M74" i="150"/>
  <c r="M78" i="150"/>
  <c r="L73" i="141"/>
  <c r="L77" i="141"/>
  <c r="L83" i="141" s="1"/>
  <c r="M77" i="141"/>
  <c r="M83" i="141" s="1"/>
  <c r="L78" i="150"/>
  <c r="L72" i="150"/>
  <c r="L76" i="150"/>
  <c r="L74" i="150"/>
  <c r="L75" i="150"/>
  <c r="L73" i="150"/>
  <c r="L77" i="150"/>
  <c r="Q78" i="150"/>
  <c r="Q74" i="150"/>
  <c r="Q72" i="150"/>
  <c r="Q73" i="150"/>
  <c r="Q76" i="150"/>
  <c r="Q75" i="150"/>
  <c r="Q77" i="150"/>
  <c r="N123" i="145"/>
  <c r="N124" i="145"/>
  <c r="N132" i="145"/>
  <c r="N132" i="148" s="1"/>
  <c r="N202" i="148" s="1"/>
  <c r="N232" i="148" s="1"/>
  <c r="N127" i="145"/>
  <c r="N127" i="148" s="1"/>
  <c r="N197" i="148" s="1"/>
  <c r="N227" i="148" s="1"/>
  <c r="N129" i="145"/>
  <c r="N129" i="148" s="1"/>
  <c r="N199" i="148" s="1"/>
  <c r="N229" i="148" s="1"/>
  <c r="N126" i="145"/>
  <c r="N126" i="148" s="1"/>
  <c r="N196" i="148" s="1"/>
  <c r="N226" i="148" s="1"/>
  <c r="N131" i="145"/>
  <c r="N131" i="148" s="1"/>
  <c r="N201" i="148" s="1"/>
  <c r="N231" i="148" s="1"/>
  <c r="N125" i="145"/>
  <c r="N125" i="148" s="1"/>
  <c r="N195" i="148" s="1"/>
  <c r="N225" i="148" s="1"/>
  <c r="N130" i="145"/>
  <c r="N130" i="148" s="1"/>
  <c r="N200" i="148" s="1"/>
  <c r="N230" i="148" s="1"/>
  <c r="N128" i="145"/>
  <c r="N128" i="148" s="1"/>
  <c r="N198" i="148" s="1"/>
  <c r="N228" i="148" s="1"/>
  <c r="M124" i="145"/>
  <c r="M123" i="145"/>
  <c r="M126" i="145"/>
  <c r="M126" i="148" s="1"/>
  <c r="M196" i="148" s="1"/>
  <c r="M226" i="148" s="1"/>
  <c r="M128" i="145"/>
  <c r="M128" i="148" s="1"/>
  <c r="M198" i="148" s="1"/>
  <c r="M228" i="148" s="1"/>
  <c r="M131" i="145"/>
  <c r="M131" i="148" s="1"/>
  <c r="M201" i="148" s="1"/>
  <c r="M231" i="148" s="1"/>
  <c r="M127" i="145"/>
  <c r="M127" i="148" s="1"/>
  <c r="M197" i="148" s="1"/>
  <c r="M227" i="148" s="1"/>
  <c r="M129" i="145"/>
  <c r="M129" i="148" s="1"/>
  <c r="M199" i="148" s="1"/>
  <c r="M229" i="148" s="1"/>
  <c r="M130" i="145"/>
  <c r="M130" i="148" s="1"/>
  <c r="M200" i="148" s="1"/>
  <c r="M230" i="148" s="1"/>
  <c r="M132" i="145"/>
  <c r="M132" i="148" s="1"/>
  <c r="M202" i="148" s="1"/>
  <c r="M232" i="148" s="1"/>
  <c r="M125" i="145"/>
  <c r="M125" i="148" s="1"/>
  <c r="M195" i="148" s="1"/>
  <c r="M225" i="148" s="1"/>
  <c r="J89" i="141"/>
  <c r="J267" i="141" s="1"/>
  <c r="J78" i="145" s="1"/>
  <c r="J71" i="141"/>
  <c r="L123" i="145"/>
  <c r="L124" i="145"/>
  <c r="L131" i="145"/>
  <c r="L131" i="148" s="1"/>
  <c r="L201" i="148" s="1"/>
  <c r="L231" i="148" s="1"/>
  <c r="L126" i="145"/>
  <c r="L126" i="148" s="1"/>
  <c r="L196" i="148" s="1"/>
  <c r="L226" i="148" s="1"/>
  <c r="L125" i="145"/>
  <c r="L125" i="148" s="1"/>
  <c r="L195" i="148" s="1"/>
  <c r="L225" i="148" s="1"/>
  <c r="L130" i="145"/>
  <c r="L130" i="148" s="1"/>
  <c r="L200" i="148" s="1"/>
  <c r="L230" i="148" s="1"/>
  <c r="L128" i="145"/>
  <c r="L128" i="148" s="1"/>
  <c r="L198" i="148" s="1"/>
  <c r="L228" i="148" s="1"/>
  <c r="L127" i="145"/>
  <c r="L127" i="148" s="1"/>
  <c r="L197" i="148" s="1"/>
  <c r="L227" i="148" s="1"/>
  <c r="L129" i="145"/>
  <c r="L129" i="148" s="1"/>
  <c r="L199" i="148" s="1"/>
  <c r="L229" i="148" s="1"/>
  <c r="L132" i="145"/>
  <c r="L132" i="148" s="1"/>
  <c r="L202" i="148" s="1"/>
  <c r="L232" i="148" s="1"/>
  <c r="N75" i="150"/>
  <c r="N77" i="150"/>
  <c r="N76" i="150"/>
  <c r="N73" i="150"/>
  <c r="N72" i="150"/>
  <c r="N74" i="150"/>
  <c r="N78" i="150"/>
  <c r="O123" i="145"/>
  <c r="O124" i="145"/>
  <c r="O131" i="145"/>
  <c r="O131" i="148" s="1"/>
  <c r="O201" i="148" s="1"/>
  <c r="O231" i="148" s="1"/>
  <c r="O125" i="145"/>
  <c r="O125" i="148" s="1"/>
  <c r="O195" i="148" s="1"/>
  <c r="O225" i="148" s="1"/>
  <c r="O130" i="145"/>
  <c r="O130" i="148" s="1"/>
  <c r="O200" i="148" s="1"/>
  <c r="O230" i="148" s="1"/>
  <c r="O128" i="145"/>
  <c r="O128" i="148" s="1"/>
  <c r="O198" i="148" s="1"/>
  <c r="O228" i="148" s="1"/>
  <c r="O127" i="145"/>
  <c r="O127" i="148" s="1"/>
  <c r="O197" i="148" s="1"/>
  <c r="O227" i="148" s="1"/>
  <c r="O126" i="145"/>
  <c r="O126" i="148" s="1"/>
  <c r="O196" i="148" s="1"/>
  <c r="O226" i="148" s="1"/>
  <c r="O132" i="145"/>
  <c r="O132" i="148" s="1"/>
  <c r="O202" i="148" s="1"/>
  <c r="O232" i="148" s="1"/>
  <c r="O129" i="145"/>
  <c r="O129" i="148" s="1"/>
  <c r="O199" i="148" s="1"/>
  <c r="O229" i="148" s="1"/>
  <c r="J200" i="142"/>
  <c r="J38" i="55"/>
  <c r="A4" i="134"/>
  <c r="O72" i="150"/>
  <c r="O74" i="150"/>
  <c r="O77" i="150"/>
  <c r="O76" i="150"/>
  <c r="O78" i="150"/>
  <c r="O75" i="150"/>
  <c r="O73" i="150"/>
  <c r="Q123" i="145"/>
  <c r="Q124" i="145"/>
  <c r="Q127" i="145"/>
  <c r="Q127" i="148" s="1"/>
  <c r="Q197" i="148" s="1"/>
  <c r="Q227" i="148" s="1"/>
  <c r="Q129" i="145"/>
  <c r="Q129" i="148" s="1"/>
  <c r="Q199" i="148" s="1"/>
  <c r="Q229" i="148" s="1"/>
  <c r="Q130" i="145"/>
  <c r="Q130" i="148" s="1"/>
  <c r="Q200" i="148" s="1"/>
  <c r="Q230" i="148" s="1"/>
  <c r="Q125" i="145"/>
  <c r="Q125" i="148" s="1"/>
  <c r="Q195" i="148" s="1"/>
  <c r="Q225" i="148" s="1"/>
  <c r="Q128" i="145"/>
  <c r="Q128" i="148" s="1"/>
  <c r="Q198" i="148" s="1"/>
  <c r="Q228" i="148" s="1"/>
  <c r="Q132" i="145"/>
  <c r="Q132" i="148" s="1"/>
  <c r="Q202" i="148" s="1"/>
  <c r="Q232" i="148" s="1"/>
  <c r="Q131" i="145"/>
  <c r="Q131" i="148" s="1"/>
  <c r="Q201" i="148" s="1"/>
  <c r="Q231" i="148" s="1"/>
  <c r="Q126" i="145"/>
  <c r="Q126" i="148" s="1"/>
  <c r="Q196" i="148" s="1"/>
  <c r="Q226" i="148" s="1"/>
  <c r="K123" i="145"/>
  <c r="K124" i="145"/>
  <c r="K127" i="145"/>
  <c r="K127" i="148" s="1"/>
  <c r="K197" i="148" s="1"/>
  <c r="K227" i="148" s="1"/>
  <c r="K132" i="145"/>
  <c r="K132" i="148" s="1"/>
  <c r="K202" i="148" s="1"/>
  <c r="K232" i="148" s="1"/>
  <c r="K131" i="145"/>
  <c r="K131" i="148" s="1"/>
  <c r="K201" i="148" s="1"/>
  <c r="K231" i="148" s="1"/>
  <c r="K125" i="145"/>
  <c r="K125" i="148" s="1"/>
  <c r="K195" i="148" s="1"/>
  <c r="K225" i="148" s="1"/>
  <c r="K129" i="145"/>
  <c r="K129" i="148" s="1"/>
  <c r="K199" i="148" s="1"/>
  <c r="K229" i="148" s="1"/>
  <c r="K130" i="145"/>
  <c r="K130" i="148" s="1"/>
  <c r="K200" i="148" s="1"/>
  <c r="K230" i="148" s="1"/>
  <c r="K126" i="145"/>
  <c r="K126" i="148" s="1"/>
  <c r="K196" i="148" s="1"/>
  <c r="K226" i="148" s="1"/>
  <c r="K128" i="145"/>
  <c r="K128" i="148" s="1"/>
  <c r="K198" i="148" s="1"/>
  <c r="K228" i="148" s="1"/>
  <c r="P74" i="150"/>
  <c r="P75" i="150"/>
  <c r="P73" i="150"/>
  <c r="P78" i="150"/>
  <c r="P76" i="150"/>
  <c r="P72" i="150"/>
  <c r="P77" i="150"/>
  <c r="N87" i="145" l="1"/>
  <c r="N158" i="145" s="1"/>
  <c r="N28" i="147" s="1"/>
  <c r="N133" i="147" s="1"/>
  <c r="N82" i="145"/>
  <c r="N153" i="145" s="1"/>
  <c r="N23" i="147" s="1"/>
  <c r="N128" i="147" s="1"/>
  <c r="Q83" i="145"/>
  <c r="Q154" i="145" s="1"/>
  <c r="Q24" i="147" s="1"/>
  <c r="Q129" i="147" s="1"/>
  <c r="P77" i="142"/>
  <c r="P89" i="142" s="1"/>
  <c r="P149" i="142" s="1"/>
  <c r="P175" i="142" s="1"/>
  <c r="P276" i="142" s="1"/>
  <c r="O99" i="145"/>
  <c r="O187" i="145" s="1"/>
  <c r="O58" i="147" s="1"/>
  <c r="O163" i="147" s="1"/>
  <c r="P81" i="145"/>
  <c r="P152" i="145" s="1"/>
  <c r="P22" i="147" s="1"/>
  <c r="P127" i="147" s="1"/>
  <c r="N71" i="142"/>
  <c r="N83" i="142" s="1"/>
  <c r="N143" i="142" s="1"/>
  <c r="N169" i="142" s="1"/>
  <c r="N270" i="142" s="1"/>
  <c r="Q100" i="142"/>
  <c r="Q112" i="142" s="1"/>
  <c r="N96" i="145"/>
  <c r="N184" i="145" s="1"/>
  <c r="N55" i="147" s="1"/>
  <c r="N160" i="147" s="1"/>
  <c r="P87" i="145"/>
  <c r="P158" i="145" s="1"/>
  <c r="P28" i="147" s="1"/>
  <c r="P133" i="147" s="1"/>
  <c r="N78" i="142"/>
  <c r="N90" i="142" s="1"/>
  <c r="N150" i="142" s="1"/>
  <c r="N176" i="142" s="1"/>
  <c r="P82" i="145"/>
  <c r="P153" i="145" s="1"/>
  <c r="P23" i="147" s="1"/>
  <c r="P128" i="147" s="1"/>
  <c r="P113" i="145"/>
  <c r="P218" i="145" s="1"/>
  <c r="P90" i="147" s="1"/>
  <c r="P195" i="147" s="1"/>
  <c r="Q118" i="142"/>
  <c r="Q130" i="142" s="1"/>
  <c r="Q114" i="145"/>
  <c r="Q219" i="145" s="1"/>
  <c r="Q91" i="147" s="1"/>
  <c r="Q196" i="147" s="1"/>
  <c r="Q113" i="145"/>
  <c r="Q218" i="145" s="1"/>
  <c r="Q90" i="147" s="1"/>
  <c r="Q195" i="147" s="1"/>
  <c r="O119" i="142"/>
  <c r="O131" i="142" s="1"/>
  <c r="O70" i="142"/>
  <c r="O82" i="142" s="1"/>
  <c r="P120" i="142"/>
  <c r="P132" i="142" s="1"/>
  <c r="N81" i="145"/>
  <c r="N152" i="145" s="1"/>
  <c r="N22" i="147" s="1"/>
  <c r="N127" i="147" s="1"/>
  <c r="P132" i="145"/>
  <c r="P132" i="148" s="1"/>
  <c r="P202" i="148" s="1"/>
  <c r="P232" i="148" s="1"/>
  <c r="Q97" i="142"/>
  <c r="Q109" i="142" s="1"/>
  <c r="N102" i="145"/>
  <c r="N190" i="145" s="1"/>
  <c r="N61" i="147" s="1"/>
  <c r="N166" i="147" s="1"/>
  <c r="N122" i="142"/>
  <c r="N134" i="142" s="1"/>
  <c r="N107" i="145"/>
  <c r="N212" i="145" s="1"/>
  <c r="N84" i="147" s="1"/>
  <c r="N189" i="147" s="1"/>
  <c r="N93" i="145"/>
  <c r="N181" i="145" s="1"/>
  <c r="N52" i="147" s="1"/>
  <c r="N157" i="147" s="1"/>
  <c r="P129" i="145"/>
  <c r="P129" i="148" s="1"/>
  <c r="P199" i="148" s="1"/>
  <c r="P229" i="148" s="1"/>
  <c r="P109" i="145"/>
  <c r="P214" i="145" s="1"/>
  <c r="P86" i="147" s="1"/>
  <c r="P191" i="147" s="1"/>
  <c r="O96" i="142"/>
  <c r="O108" i="142" s="1"/>
  <c r="O73" i="142"/>
  <c r="O85" i="142" s="1"/>
  <c r="O71" i="142"/>
  <c r="O83" i="142" s="1"/>
  <c r="Q75" i="142"/>
  <c r="Q87" i="142" s="1"/>
  <c r="Q86" i="145"/>
  <c r="Q157" i="145" s="1"/>
  <c r="Q27" i="147" s="1"/>
  <c r="Q132" i="147" s="1"/>
  <c r="O77" i="142"/>
  <c r="O89" i="142" s="1"/>
  <c r="P107" i="145"/>
  <c r="P212" i="145" s="1"/>
  <c r="P84" i="147" s="1"/>
  <c r="P189" i="147" s="1"/>
  <c r="Q72" i="142"/>
  <c r="Q84" i="142" s="1"/>
  <c r="O121" i="142"/>
  <c r="O133" i="142" s="1"/>
  <c r="P99" i="142"/>
  <c r="P111" i="142" s="1"/>
  <c r="O78" i="142"/>
  <c r="O90" i="142" s="1"/>
  <c r="N94" i="145"/>
  <c r="N182" i="145" s="1"/>
  <c r="N53" i="147" s="1"/>
  <c r="N158" i="147" s="1"/>
  <c r="O98" i="145"/>
  <c r="O186" i="145" s="1"/>
  <c r="O57" i="147" s="1"/>
  <c r="O162" i="147" s="1"/>
  <c r="P126" i="145"/>
  <c r="P126" i="148" s="1"/>
  <c r="P196" i="148" s="1"/>
  <c r="P226" i="148" s="1"/>
  <c r="Q73" i="142"/>
  <c r="Q85" i="142" s="1"/>
  <c r="N109" i="145"/>
  <c r="N214" i="145" s="1"/>
  <c r="N86" i="147" s="1"/>
  <c r="N191" i="147" s="1"/>
  <c r="N95" i="145"/>
  <c r="N183" i="145" s="1"/>
  <c r="N54" i="147" s="1"/>
  <c r="N159" i="147" s="1"/>
  <c r="P95" i="145"/>
  <c r="P183" i="145" s="1"/>
  <c r="P54" i="147" s="1"/>
  <c r="P159" i="147" s="1"/>
  <c r="Q97" i="145"/>
  <c r="Q185" i="145" s="1"/>
  <c r="Q56" i="147" s="1"/>
  <c r="Q161" i="147" s="1"/>
  <c r="N97" i="145"/>
  <c r="N185" i="145" s="1"/>
  <c r="N56" i="147" s="1"/>
  <c r="N161" i="147" s="1"/>
  <c r="P108" i="145"/>
  <c r="P213" i="145" s="1"/>
  <c r="P85" i="147" s="1"/>
  <c r="P190" i="147" s="1"/>
  <c r="Q93" i="142"/>
  <c r="Q105" i="142" s="1"/>
  <c r="P98" i="145"/>
  <c r="P186" i="145" s="1"/>
  <c r="P57" i="147" s="1"/>
  <c r="P162" i="147" s="1"/>
  <c r="O95" i="145"/>
  <c r="O183" i="145" s="1"/>
  <c r="O54" i="147" s="1"/>
  <c r="O159" i="147" s="1"/>
  <c r="P127" i="145"/>
  <c r="P127" i="148" s="1"/>
  <c r="P197" i="148" s="1"/>
  <c r="P227" i="148" s="1"/>
  <c r="Q98" i="142"/>
  <c r="Q110" i="142" s="1"/>
  <c r="Q76" i="142"/>
  <c r="Q88" i="142" s="1"/>
  <c r="P90" i="145"/>
  <c r="P161" i="145" s="1"/>
  <c r="P31" i="147" s="1"/>
  <c r="P136" i="147" s="1"/>
  <c r="O149" i="142"/>
  <c r="O175" i="142" s="1"/>
  <c r="O276" i="142" s="1"/>
  <c r="N108" i="145"/>
  <c r="N213" i="145" s="1"/>
  <c r="N85" i="147" s="1"/>
  <c r="N190" i="147" s="1"/>
  <c r="P128" i="145"/>
  <c r="P128" i="148" s="1"/>
  <c r="P198" i="148" s="1"/>
  <c r="P228" i="148" s="1"/>
  <c r="P125" i="145"/>
  <c r="P125" i="148" s="1"/>
  <c r="P195" i="148" s="1"/>
  <c r="P225" i="148" s="1"/>
  <c r="P123" i="145"/>
  <c r="Q95" i="142"/>
  <c r="Q107" i="142" s="1"/>
  <c r="N100" i="142"/>
  <c r="N112" i="142" s="1"/>
  <c r="N149" i="142" s="1"/>
  <c r="N175" i="142" s="1"/>
  <c r="N276" i="142" s="1"/>
  <c r="P101" i="145"/>
  <c r="P189" i="145" s="1"/>
  <c r="P60" i="147" s="1"/>
  <c r="P165" i="147" s="1"/>
  <c r="P122" i="142"/>
  <c r="P134" i="142" s="1"/>
  <c r="O75" i="142"/>
  <c r="O87" i="142" s="1"/>
  <c r="P130" i="145"/>
  <c r="P130" i="148" s="1"/>
  <c r="P200" i="148" s="1"/>
  <c r="P230" i="148" s="1"/>
  <c r="P131" i="145"/>
  <c r="P131" i="148" s="1"/>
  <c r="P201" i="148" s="1"/>
  <c r="P231" i="148" s="1"/>
  <c r="Q117" i="142"/>
  <c r="Q129" i="142" s="1"/>
  <c r="Q119" i="142"/>
  <c r="Q131" i="142" s="1"/>
  <c r="Q94" i="145"/>
  <c r="Q182" i="145" s="1"/>
  <c r="Q53" i="147" s="1"/>
  <c r="Q158" i="147" s="1"/>
  <c r="N113" i="145"/>
  <c r="N218" i="145" s="1"/>
  <c r="N90" i="147" s="1"/>
  <c r="N195" i="147" s="1"/>
  <c r="N72" i="142"/>
  <c r="N84" i="142" s="1"/>
  <c r="N144" i="142" s="1"/>
  <c r="N170" i="142" s="1"/>
  <c r="N271" i="142" s="1"/>
  <c r="Q99" i="142"/>
  <c r="Q111" i="142" s="1"/>
  <c r="O112" i="145"/>
  <c r="O217" i="145" s="1"/>
  <c r="O89" i="147" s="1"/>
  <c r="O194" i="147" s="1"/>
  <c r="N100" i="145"/>
  <c r="N188" i="145" s="1"/>
  <c r="N59" i="147" s="1"/>
  <c r="N164" i="147" s="1"/>
  <c r="P121" i="142"/>
  <c r="P133" i="142" s="1"/>
  <c r="Q106" i="145"/>
  <c r="Q211" i="145" s="1"/>
  <c r="Q83" i="147" s="1"/>
  <c r="Q188" i="147" s="1"/>
  <c r="N98" i="145"/>
  <c r="N186" i="145" s="1"/>
  <c r="N57" i="147" s="1"/>
  <c r="N162" i="147" s="1"/>
  <c r="N120" i="142"/>
  <c r="N132" i="142" s="1"/>
  <c r="N146" i="142" s="1"/>
  <c r="N172" i="142" s="1"/>
  <c r="N273" i="142" s="1"/>
  <c r="O99" i="142"/>
  <c r="O111" i="142" s="1"/>
  <c r="O124" i="142"/>
  <c r="O136" i="142" s="1"/>
  <c r="P101" i="142"/>
  <c r="P113" i="142" s="1"/>
  <c r="Q121" i="142"/>
  <c r="Q133" i="142" s="1"/>
  <c r="Q116" i="142"/>
  <c r="Q128" i="142" s="1"/>
  <c r="Q142" i="142" s="1"/>
  <c r="Q168" i="142" s="1"/>
  <c r="Q269" i="142" s="1"/>
  <c r="P105" i="145"/>
  <c r="P210" i="145" s="1"/>
  <c r="P82" i="147" s="1"/>
  <c r="P187" i="147" s="1"/>
  <c r="O96" i="145"/>
  <c r="O184" i="145" s="1"/>
  <c r="O55" i="147" s="1"/>
  <c r="O160" i="147" s="1"/>
  <c r="P76" i="142"/>
  <c r="P88" i="142" s="1"/>
  <c r="O101" i="142"/>
  <c r="O113" i="142" s="1"/>
  <c r="Q101" i="142"/>
  <c r="Q113" i="142" s="1"/>
  <c r="Q78" i="142"/>
  <c r="Q90" i="142" s="1"/>
  <c r="Q94" i="142"/>
  <c r="Q106" i="142" s="1"/>
  <c r="N89" i="145"/>
  <c r="N160" i="145" s="1"/>
  <c r="N30" i="147" s="1"/>
  <c r="N135" i="147" s="1"/>
  <c r="P106" i="145"/>
  <c r="P211" i="145" s="1"/>
  <c r="P83" i="147" s="1"/>
  <c r="P188" i="147" s="1"/>
  <c r="N76" i="142"/>
  <c r="N88" i="142" s="1"/>
  <c r="O117" i="142"/>
  <c r="O129" i="142" s="1"/>
  <c r="P84" i="145"/>
  <c r="P155" i="145" s="1"/>
  <c r="P25" i="147" s="1"/>
  <c r="P130" i="147" s="1"/>
  <c r="N86" i="145"/>
  <c r="N157" i="145" s="1"/>
  <c r="N27" i="147" s="1"/>
  <c r="N132" i="147" s="1"/>
  <c r="Q77" i="142"/>
  <c r="Q89" i="142" s="1"/>
  <c r="Q89" i="145"/>
  <c r="Q160" i="145" s="1"/>
  <c r="Q30" i="147" s="1"/>
  <c r="Q135" i="147" s="1"/>
  <c r="P94" i="145"/>
  <c r="P182" i="145" s="1"/>
  <c r="P53" i="147" s="1"/>
  <c r="P158" i="147" s="1"/>
  <c r="P93" i="142"/>
  <c r="P105" i="142" s="1"/>
  <c r="P142" i="142" s="1"/>
  <c r="P168" i="142" s="1"/>
  <c r="P269" i="142" s="1"/>
  <c r="P71" i="142"/>
  <c r="P83" i="142" s="1"/>
  <c r="P143" i="142" s="1"/>
  <c r="P169" i="142" s="1"/>
  <c r="P270" i="142" s="1"/>
  <c r="P83" i="145"/>
  <c r="P154" i="145" s="1"/>
  <c r="P24" i="147" s="1"/>
  <c r="P129" i="147" s="1"/>
  <c r="N116" i="142"/>
  <c r="N128" i="142" s="1"/>
  <c r="N142" i="142" s="1"/>
  <c r="N168" i="142" s="1"/>
  <c r="N269" i="142" s="1"/>
  <c r="N106" i="145"/>
  <c r="N211" i="145" s="1"/>
  <c r="N83" i="147" s="1"/>
  <c r="N188" i="147" s="1"/>
  <c r="N105" i="145"/>
  <c r="N210" i="145" s="1"/>
  <c r="N82" i="147" s="1"/>
  <c r="N187" i="147" s="1"/>
  <c r="O94" i="145"/>
  <c r="O182" i="145" s="1"/>
  <c r="O53" i="147" s="1"/>
  <c r="O158" i="147" s="1"/>
  <c r="O93" i="145"/>
  <c r="O181" i="145" s="1"/>
  <c r="O52" i="147" s="1"/>
  <c r="O157" i="147" s="1"/>
  <c r="P99" i="145"/>
  <c r="P187" i="145" s="1"/>
  <c r="P58" i="147" s="1"/>
  <c r="P163" i="147" s="1"/>
  <c r="P98" i="142"/>
  <c r="P110" i="142" s="1"/>
  <c r="P96" i="142"/>
  <c r="P108" i="142" s="1"/>
  <c r="P145" i="142" s="1"/>
  <c r="P171" i="142" s="1"/>
  <c r="P272" i="142" s="1"/>
  <c r="P97" i="145"/>
  <c r="P185" i="145" s="1"/>
  <c r="P56" i="147" s="1"/>
  <c r="P161" i="147" s="1"/>
  <c r="O116" i="142"/>
  <c r="O128" i="142" s="1"/>
  <c r="O142" i="142" s="1"/>
  <c r="O168" i="142" s="1"/>
  <c r="O269" i="142" s="1"/>
  <c r="O105" i="145"/>
  <c r="O210" i="145" s="1"/>
  <c r="O82" i="147" s="1"/>
  <c r="O187" i="147" s="1"/>
  <c r="Q122" i="142"/>
  <c r="Q134" i="142" s="1"/>
  <c r="Q112" i="145"/>
  <c r="Q217" i="145" s="1"/>
  <c r="Q89" i="147" s="1"/>
  <c r="Q194" i="147" s="1"/>
  <c r="P74" i="142"/>
  <c r="P86" i="142" s="1"/>
  <c r="P86" i="145"/>
  <c r="P157" i="145" s="1"/>
  <c r="P27" i="147" s="1"/>
  <c r="P132" i="147" s="1"/>
  <c r="P124" i="142"/>
  <c r="P136" i="142" s="1"/>
  <c r="P114" i="145"/>
  <c r="P219" i="145" s="1"/>
  <c r="P91" i="147" s="1"/>
  <c r="P196" i="147" s="1"/>
  <c r="P95" i="142"/>
  <c r="P107" i="142" s="1"/>
  <c r="P144" i="142" s="1"/>
  <c r="P170" i="142" s="1"/>
  <c r="P271" i="142" s="1"/>
  <c r="P96" i="145"/>
  <c r="P184" i="145" s="1"/>
  <c r="P55" i="147" s="1"/>
  <c r="P160" i="147" s="1"/>
  <c r="N73" i="142"/>
  <c r="N85" i="142" s="1"/>
  <c r="N145" i="142" s="1"/>
  <c r="N171" i="142" s="1"/>
  <c r="N272" i="142" s="1"/>
  <c r="N85" i="145"/>
  <c r="N156" i="145" s="1"/>
  <c r="N26" i="147" s="1"/>
  <c r="N131" i="147" s="1"/>
  <c r="O76" i="142"/>
  <c r="O88" i="142" s="1"/>
  <c r="O88" i="145"/>
  <c r="O159" i="145" s="1"/>
  <c r="O29" i="147" s="1"/>
  <c r="O134" i="147" s="1"/>
  <c r="O118" i="142"/>
  <c r="O130" i="142" s="1"/>
  <c r="O108" i="145"/>
  <c r="O213" i="145" s="1"/>
  <c r="O85" i="147" s="1"/>
  <c r="O190" i="147" s="1"/>
  <c r="Q81" i="145"/>
  <c r="Q152" i="145" s="1"/>
  <c r="Q22" i="147" s="1"/>
  <c r="Q127" i="147" s="1"/>
  <c r="Q82" i="145"/>
  <c r="Q153" i="145" s="1"/>
  <c r="Q23" i="147" s="1"/>
  <c r="Q128" i="147" s="1"/>
  <c r="N111" i="145"/>
  <c r="N216" i="145" s="1"/>
  <c r="N88" i="147" s="1"/>
  <c r="N193" i="147" s="1"/>
  <c r="N121" i="142"/>
  <c r="N133" i="142" s="1"/>
  <c r="N98" i="142"/>
  <c r="N110" i="142" s="1"/>
  <c r="N99" i="145"/>
  <c r="N187" i="145" s="1"/>
  <c r="N58" i="147" s="1"/>
  <c r="N163" i="147" s="1"/>
  <c r="O72" i="142"/>
  <c r="O84" i="142" s="1"/>
  <c r="O84" i="145"/>
  <c r="O155" i="145" s="1"/>
  <c r="O25" i="147" s="1"/>
  <c r="O130" i="147" s="1"/>
  <c r="O110" i="145"/>
  <c r="O215" i="145" s="1"/>
  <c r="O87" i="147" s="1"/>
  <c r="O192" i="147" s="1"/>
  <c r="O120" i="142"/>
  <c r="O132" i="142" s="1"/>
  <c r="O146" i="142" s="1"/>
  <c r="O172" i="142" s="1"/>
  <c r="O273" i="142" s="1"/>
  <c r="R106" i="150"/>
  <c r="R138" i="150" s="1"/>
  <c r="Y106" i="150"/>
  <c r="Y138" i="150" s="1"/>
  <c r="Q105" i="150"/>
  <c r="Q137" i="150" s="1"/>
  <c r="Q104" i="150"/>
  <c r="Q136" i="150" s="1"/>
  <c r="W102" i="150"/>
  <c r="W134" i="150" s="1"/>
  <c r="P106" i="150"/>
  <c r="P138" i="150" s="1"/>
  <c r="W104" i="150"/>
  <c r="W136" i="150" s="1"/>
  <c r="M102" i="150"/>
  <c r="M134" i="150" s="1"/>
  <c r="R105" i="150"/>
  <c r="R137" i="150" s="1"/>
  <c r="U105" i="150"/>
  <c r="U137" i="150" s="1"/>
  <c r="K106" i="150"/>
  <c r="K138" i="150" s="1"/>
  <c r="R108" i="150"/>
  <c r="R140" i="150" s="1"/>
  <c r="U104" i="150"/>
  <c r="U136" i="150" s="1"/>
  <c r="Y102" i="150"/>
  <c r="Y134" i="150" s="1"/>
  <c r="S106" i="150"/>
  <c r="S138" i="150" s="1"/>
  <c r="Y103" i="150"/>
  <c r="Y135" i="150" s="1"/>
  <c r="W105" i="150"/>
  <c r="W137" i="150" s="1"/>
  <c r="Y104" i="150"/>
  <c r="Y136" i="150" s="1"/>
  <c r="N103" i="150"/>
  <c r="N135" i="150" s="1"/>
  <c r="Q107" i="150"/>
  <c r="Q139" i="150" s="1"/>
  <c r="K102" i="150"/>
  <c r="K134" i="150" s="1"/>
  <c r="V102" i="150"/>
  <c r="V134" i="150" s="1"/>
  <c r="M103" i="150"/>
  <c r="M135" i="150" s="1"/>
  <c r="T105" i="150"/>
  <c r="T137" i="150" s="1"/>
  <c r="Y105" i="150"/>
  <c r="Y137" i="150" s="1"/>
  <c r="O105" i="150"/>
  <c r="O137" i="150" s="1"/>
  <c r="T106" i="150"/>
  <c r="T138" i="150" s="1"/>
  <c r="M106" i="150"/>
  <c r="M138" i="150" s="1"/>
  <c r="U106" i="150"/>
  <c r="U138" i="150" s="1"/>
  <c r="Q106" i="150"/>
  <c r="Q138" i="150" s="1"/>
  <c r="V107" i="150"/>
  <c r="V139" i="150" s="1"/>
  <c r="P107" i="150"/>
  <c r="P139" i="150" s="1"/>
  <c r="S107" i="150"/>
  <c r="S139" i="150" s="1"/>
  <c r="U107" i="150"/>
  <c r="U139" i="150" s="1"/>
  <c r="M104" i="150"/>
  <c r="M136" i="150" s="1"/>
  <c r="K104" i="150"/>
  <c r="K136" i="150" s="1"/>
  <c r="P104" i="150"/>
  <c r="P136" i="150" s="1"/>
  <c r="O104" i="150"/>
  <c r="O136" i="150" s="1"/>
  <c r="X103" i="150"/>
  <c r="X135" i="150" s="1"/>
  <c r="O103" i="150"/>
  <c r="O135" i="150" s="1"/>
  <c r="Q103" i="150"/>
  <c r="Q135" i="150" s="1"/>
  <c r="V108" i="150"/>
  <c r="V140" i="150" s="1"/>
  <c r="W108" i="150"/>
  <c r="W140" i="150" s="1"/>
  <c r="X108" i="150"/>
  <c r="X140" i="150" s="1"/>
  <c r="P102" i="150"/>
  <c r="P134" i="150" s="1"/>
  <c r="O102" i="150"/>
  <c r="O134" i="150" s="1"/>
  <c r="X102" i="150"/>
  <c r="X134" i="150" s="1"/>
  <c r="T102" i="150"/>
  <c r="T134" i="150" s="1"/>
  <c r="W107" i="150"/>
  <c r="W139" i="150" s="1"/>
  <c r="N107" i="150"/>
  <c r="N139" i="150" s="1"/>
  <c r="X107" i="150"/>
  <c r="X139" i="150" s="1"/>
  <c r="K103" i="150"/>
  <c r="K135" i="150" s="1"/>
  <c r="O108" i="150"/>
  <c r="O140" i="150" s="1"/>
  <c r="N108" i="150"/>
  <c r="N140" i="150" s="1"/>
  <c r="N105" i="150"/>
  <c r="N137" i="150" s="1"/>
  <c r="K105" i="150"/>
  <c r="K137" i="150" s="1"/>
  <c r="V105" i="150"/>
  <c r="V137" i="150" s="1"/>
  <c r="M105" i="150"/>
  <c r="M137" i="150" s="1"/>
  <c r="W106" i="150"/>
  <c r="W138" i="150" s="1"/>
  <c r="N106" i="150"/>
  <c r="N138" i="150" s="1"/>
  <c r="X106" i="150"/>
  <c r="X138" i="150" s="1"/>
  <c r="O107" i="150"/>
  <c r="O139" i="150" s="1"/>
  <c r="T107" i="150"/>
  <c r="T139" i="150" s="1"/>
  <c r="K107" i="150"/>
  <c r="K139" i="150" s="1"/>
  <c r="Y107" i="150"/>
  <c r="Y139" i="150" s="1"/>
  <c r="T104" i="150"/>
  <c r="T136" i="150" s="1"/>
  <c r="S104" i="150"/>
  <c r="S136" i="150" s="1"/>
  <c r="R104" i="150"/>
  <c r="R136" i="150" s="1"/>
  <c r="T103" i="150"/>
  <c r="T135" i="150" s="1"/>
  <c r="R103" i="150"/>
  <c r="R135" i="150" s="1"/>
  <c r="U103" i="150"/>
  <c r="U135" i="150" s="1"/>
  <c r="Y108" i="150"/>
  <c r="Y140" i="150" s="1"/>
  <c r="M108" i="150"/>
  <c r="M140" i="150" s="1"/>
  <c r="S108" i="150"/>
  <c r="S140" i="150" s="1"/>
  <c r="K108" i="150"/>
  <c r="K140" i="150" s="1"/>
  <c r="Q102" i="150"/>
  <c r="Q134" i="150" s="1"/>
  <c r="N102" i="150"/>
  <c r="N134" i="150" s="1"/>
  <c r="S102" i="150"/>
  <c r="S134" i="150" s="1"/>
  <c r="P103" i="150"/>
  <c r="P135" i="150" s="1"/>
  <c r="U108" i="150"/>
  <c r="U140" i="150" s="1"/>
  <c r="P105" i="150"/>
  <c r="P137" i="150" s="1"/>
  <c r="S105" i="150"/>
  <c r="S137" i="150" s="1"/>
  <c r="X105" i="150"/>
  <c r="X137" i="150" s="1"/>
  <c r="O106" i="150"/>
  <c r="O138" i="150" s="1"/>
  <c r="V106" i="150"/>
  <c r="V138" i="150" s="1"/>
  <c r="M107" i="150"/>
  <c r="M139" i="150" s="1"/>
  <c r="R107" i="150"/>
  <c r="R139" i="150" s="1"/>
  <c r="N104" i="150"/>
  <c r="N136" i="150" s="1"/>
  <c r="X104" i="150"/>
  <c r="X136" i="150" s="1"/>
  <c r="V104" i="150"/>
  <c r="V136" i="150" s="1"/>
  <c r="S103" i="150"/>
  <c r="S135" i="150" s="1"/>
  <c r="V103" i="150"/>
  <c r="V135" i="150" s="1"/>
  <c r="W103" i="150"/>
  <c r="W135" i="150" s="1"/>
  <c r="T108" i="150"/>
  <c r="T140" i="150" s="1"/>
  <c r="P108" i="150"/>
  <c r="P140" i="150" s="1"/>
  <c r="Q108" i="150"/>
  <c r="Q140" i="150" s="1"/>
  <c r="U102" i="150"/>
  <c r="U134" i="150" s="1"/>
  <c r="R102" i="150"/>
  <c r="R134" i="150" s="1"/>
  <c r="O145" i="142"/>
  <c r="O171" i="142" s="1"/>
  <c r="O272" i="142" s="1"/>
  <c r="Q146" i="142"/>
  <c r="Q172" i="142" s="1"/>
  <c r="Q273" i="142" s="1"/>
  <c r="J123" i="145"/>
  <c r="J124" i="145"/>
  <c r="J127" i="145"/>
  <c r="J127" i="148" s="1"/>
  <c r="J197" i="148" s="1"/>
  <c r="J227" i="148" s="1"/>
  <c r="J129" i="145"/>
  <c r="J129" i="148" s="1"/>
  <c r="J199" i="148" s="1"/>
  <c r="J229" i="148" s="1"/>
  <c r="J130" i="145"/>
  <c r="J130" i="148" s="1"/>
  <c r="J200" i="148" s="1"/>
  <c r="J230" i="148" s="1"/>
  <c r="J132" i="145"/>
  <c r="J132" i="148" s="1"/>
  <c r="J202" i="148" s="1"/>
  <c r="J232" i="148" s="1"/>
  <c r="J126" i="145"/>
  <c r="J126" i="148" s="1"/>
  <c r="J196" i="148" s="1"/>
  <c r="J226" i="148" s="1"/>
  <c r="J125" i="145"/>
  <c r="J125" i="148" s="1"/>
  <c r="J195" i="148" s="1"/>
  <c r="J225" i="148" s="1"/>
  <c r="J128" i="145"/>
  <c r="J128" i="148" s="1"/>
  <c r="J198" i="148" s="1"/>
  <c r="J228" i="148" s="1"/>
  <c r="J131" i="145"/>
  <c r="J131" i="148" s="1"/>
  <c r="J201" i="148" s="1"/>
  <c r="J231" i="148" s="1"/>
  <c r="M79" i="141"/>
  <c r="M85" i="141" s="1"/>
  <c r="M91" i="141" s="1"/>
  <c r="M93" i="141" s="1"/>
  <c r="L79" i="141"/>
  <c r="L85" i="141" s="1"/>
  <c r="L91" i="141" s="1"/>
  <c r="L93" i="141" s="1"/>
  <c r="J73" i="141"/>
  <c r="J77" i="141"/>
  <c r="J83" i="141" s="1"/>
  <c r="K77" i="141"/>
  <c r="K83" i="141" s="1"/>
  <c r="J20" i="150"/>
  <c r="J254" i="142"/>
  <c r="J253" i="142"/>
  <c r="J252" i="142"/>
  <c r="J258" i="142"/>
  <c r="J259" i="142"/>
  <c r="J204" i="142"/>
  <c r="J206" i="142" s="1"/>
  <c r="J255" i="142"/>
  <c r="J257" i="142"/>
  <c r="J256" i="142"/>
  <c r="O147" i="142" l="1"/>
  <c r="O173" i="142" s="1"/>
  <c r="O274" i="142" s="1"/>
  <c r="O143" i="142"/>
  <c r="O169" i="142" s="1"/>
  <c r="O270" i="142" s="1"/>
  <c r="P146" i="142"/>
  <c r="P172" i="142" s="1"/>
  <c r="P273" i="142" s="1"/>
  <c r="Q149" i="142"/>
  <c r="Q175" i="142" s="1"/>
  <c r="Q276" i="142" s="1"/>
  <c r="N148" i="142"/>
  <c r="N174" i="142" s="1"/>
  <c r="N275" i="142" s="1"/>
  <c r="Q143" i="142"/>
  <c r="Q169" i="142" s="1"/>
  <c r="Q270" i="142" s="1"/>
  <c r="Q147" i="142"/>
  <c r="Q173" i="142" s="1"/>
  <c r="Q274" i="142" s="1"/>
  <c r="Q144" i="142"/>
  <c r="Q170" i="142" s="1"/>
  <c r="Q271" i="142" s="1"/>
  <c r="O148" i="142"/>
  <c r="O174" i="142" s="1"/>
  <c r="O275" i="142" s="1"/>
  <c r="Q145" i="142"/>
  <c r="Q171" i="142" s="1"/>
  <c r="Q272" i="142" s="1"/>
  <c r="P150" i="142"/>
  <c r="P208" i="142" s="1"/>
  <c r="Q150" i="142"/>
  <c r="Q176" i="142" s="1"/>
  <c r="Q148" i="142"/>
  <c r="Q174" i="142" s="1"/>
  <c r="Q275" i="142" s="1"/>
  <c r="N208" i="142"/>
  <c r="P147" i="142"/>
  <c r="P173" i="142" s="1"/>
  <c r="P274" i="142" s="1"/>
  <c r="O144" i="142"/>
  <c r="O170" i="142" s="1"/>
  <c r="O271" i="142" s="1"/>
  <c r="O150" i="142"/>
  <c r="O208" i="142" s="1"/>
  <c r="P148" i="142"/>
  <c r="P174" i="142" s="1"/>
  <c r="P275" i="142" s="1"/>
  <c r="N147" i="142"/>
  <c r="N173" i="142" s="1"/>
  <c r="N274" i="142" s="1"/>
  <c r="Q208" i="142"/>
  <c r="J74" i="150"/>
  <c r="J72" i="150"/>
  <c r="J75" i="150"/>
  <c r="J76" i="150"/>
  <c r="J77" i="150"/>
  <c r="J73" i="150"/>
  <c r="J78" i="150"/>
  <c r="L299" i="141"/>
  <c r="L277" i="141"/>
  <c r="L275" i="141"/>
  <c r="L298" i="141"/>
  <c r="L300" i="141"/>
  <c r="L290" i="141"/>
  <c r="L294" i="141"/>
  <c r="L296" i="141"/>
  <c r="L274" i="141"/>
  <c r="L285" i="141"/>
  <c r="L288" i="141"/>
  <c r="L276" i="141"/>
  <c r="L297" i="141"/>
  <c r="L284" i="141"/>
  <c r="L278" i="141"/>
  <c r="L272" i="141"/>
  <c r="L295" i="141"/>
  <c r="L273" i="141"/>
  <c r="L301" i="141"/>
  <c r="L291" i="141"/>
  <c r="L289" i="141"/>
  <c r="L280" i="141"/>
  <c r="L302" i="141"/>
  <c r="L283" i="141"/>
  <c r="L287" i="141"/>
  <c r="L286" i="141"/>
  <c r="L279" i="141"/>
  <c r="K79" i="141"/>
  <c r="K85" i="141" s="1"/>
  <c r="K91" i="141" s="1"/>
  <c r="K93" i="141" s="1"/>
  <c r="J79" i="141"/>
  <c r="M273" i="141"/>
  <c r="M284" i="141"/>
  <c r="M291" i="141"/>
  <c r="M283" i="141"/>
  <c r="M288" i="141"/>
  <c r="M299" i="141"/>
  <c r="M296" i="141"/>
  <c r="M278" i="141"/>
  <c r="M300" i="141"/>
  <c r="M295" i="141"/>
  <c r="M279" i="141"/>
  <c r="M298" i="141"/>
  <c r="M297" i="141"/>
  <c r="M276" i="141"/>
  <c r="M290" i="141"/>
  <c r="M289" i="141"/>
  <c r="M275" i="141"/>
  <c r="M285" i="141"/>
  <c r="M287" i="141"/>
  <c r="M294" i="141"/>
  <c r="M272" i="141"/>
  <c r="M286" i="141"/>
  <c r="M302" i="141"/>
  <c r="M274" i="141"/>
  <c r="M280" i="141"/>
  <c r="M301" i="141"/>
  <c r="M277" i="141"/>
  <c r="P176" i="142" l="1"/>
  <c r="P177" i="142" s="1"/>
  <c r="Q177" i="142"/>
  <c r="N177" i="142"/>
  <c r="O176" i="142"/>
  <c r="O177" i="142" s="1"/>
  <c r="L89" i="145"/>
  <c r="L160" i="145" s="1"/>
  <c r="L30" i="147" s="1"/>
  <c r="L135" i="147" s="1"/>
  <c r="L77" i="142"/>
  <c r="L89" i="142" s="1"/>
  <c r="L124" i="142"/>
  <c r="L136" i="142" s="1"/>
  <c r="L114" i="145"/>
  <c r="L219" i="145" s="1"/>
  <c r="L91" i="147" s="1"/>
  <c r="L196" i="147" s="1"/>
  <c r="L113" i="145"/>
  <c r="L218" i="145" s="1"/>
  <c r="L90" i="147" s="1"/>
  <c r="L195" i="147" s="1"/>
  <c r="L123" i="142"/>
  <c r="L135" i="142" s="1"/>
  <c r="L88" i="145"/>
  <c r="L159" i="145" s="1"/>
  <c r="L29" i="147" s="1"/>
  <c r="L134" i="147" s="1"/>
  <c r="L76" i="142"/>
  <c r="L88" i="142" s="1"/>
  <c r="L98" i="142"/>
  <c r="L110" i="142" s="1"/>
  <c r="L99" i="145"/>
  <c r="L187" i="145" s="1"/>
  <c r="L58" i="147" s="1"/>
  <c r="L163" i="147" s="1"/>
  <c r="L106" i="145"/>
  <c r="L211" i="145" s="1"/>
  <c r="L83" i="147" s="1"/>
  <c r="L188" i="147" s="1"/>
  <c r="L105" i="145"/>
  <c r="L210" i="145" s="1"/>
  <c r="L82" i="147" s="1"/>
  <c r="L187" i="147" s="1"/>
  <c r="L116" i="142"/>
  <c r="L128" i="142" s="1"/>
  <c r="L85" i="145"/>
  <c r="L156" i="145" s="1"/>
  <c r="L26" i="147" s="1"/>
  <c r="L131" i="147" s="1"/>
  <c r="L73" i="142"/>
  <c r="L85" i="142" s="1"/>
  <c r="L107" i="150"/>
  <c r="L139" i="150" s="1"/>
  <c r="J107" i="150"/>
  <c r="J139" i="150" s="1"/>
  <c r="J104" i="150"/>
  <c r="J136" i="150" s="1"/>
  <c r="L104" i="150"/>
  <c r="L136" i="150" s="1"/>
  <c r="J106" i="150"/>
  <c r="J138" i="150" s="1"/>
  <c r="L106" i="150"/>
  <c r="L138" i="150" s="1"/>
  <c r="K300" i="141"/>
  <c r="K287" i="141"/>
  <c r="K299" i="141"/>
  <c r="K280" i="141"/>
  <c r="K298" i="141"/>
  <c r="K294" i="141"/>
  <c r="K275" i="141"/>
  <c r="K278" i="141"/>
  <c r="K290" i="141"/>
  <c r="K296" i="141"/>
  <c r="K297" i="141"/>
  <c r="K289" i="141"/>
  <c r="K274" i="141"/>
  <c r="K288" i="141"/>
  <c r="K276" i="141"/>
  <c r="K272" i="141"/>
  <c r="K301" i="141"/>
  <c r="K277" i="141"/>
  <c r="K283" i="141"/>
  <c r="K286" i="141"/>
  <c r="K291" i="141"/>
  <c r="K279" i="141"/>
  <c r="K295" i="141"/>
  <c r="K273" i="141"/>
  <c r="K285" i="141"/>
  <c r="K302" i="141"/>
  <c r="K284" i="141"/>
  <c r="M90" i="145"/>
  <c r="M161" i="145" s="1"/>
  <c r="M31" i="147" s="1"/>
  <c r="M136" i="147" s="1"/>
  <c r="M78" i="142"/>
  <c r="M90" i="142" s="1"/>
  <c r="M82" i="145"/>
  <c r="M153" i="145" s="1"/>
  <c r="M23" i="147" s="1"/>
  <c r="M128" i="147" s="1"/>
  <c r="M70" i="142"/>
  <c r="M82" i="142" s="1"/>
  <c r="M81" i="145"/>
  <c r="M152" i="145" s="1"/>
  <c r="M73" i="142"/>
  <c r="M85" i="142" s="1"/>
  <c r="M85" i="145"/>
  <c r="M156" i="145" s="1"/>
  <c r="M26" i="147" s="1"/>
  <c r="M131" i="147" s="1"/>
  <c r="M119" i="142"/>
  <c r="M131" i="142" s="1"/>
  <c r="M109" i="145"/>
  <c r="M214" i="145" s="1"/>
  <c r="M86" i="147" s="1"/>
  <c r="M191" i="147" s="1"/>
  <c r="M122" i="142"/>
  <c r="M134" i="142" s="1"/>
  <c r="M112" i="145"/>
  <c r="M217" i="145" s="1"/>
  <c r="M89" i="147" s="1"/>
  <c r="M194" i="147" s="1"/>
  <c r="M99" i="145"/>
  <c r="M187" i="145" s="1"/>
  <c r="M58" i="147" s="1"/>
  <c r="M163" i="147" s="1"/>
  <c r="M98" i="142"/>
  <c r="M110" i="142" s="1"/>
  <c r="M83" i="145"/>
  <c r="M154" i="145" s="1"/>
  <c r="M24" i="147" s="1"/>
  <c r="M129" i="147" s="1"/>
  <c r="M71" i="142"/>
  <c r="M83" i="142" s="1"/>
  <c r="J85" i="141"/>
  <c r="J91" i="141" s="1"/>
  <c r="J93" i="141" s="1"/>
  <c r="L98" i="145"/>
  <c r="L186" i="145" s="1"/>
  <c r="L57" i="147" s="1"/>
  <c r="L162" i="147" s="1"/>
  <c r="L97" i="142"/>
  <c r="L109" i="142" s="1"/>
  <c r="L100" i="145"/>
  <c r="L188" i="145" s="1"/>
  <c r="L59" i="147" s="1"/>
  <c r="L164" i="147" s="1"/>
  <c r="L99" i="142"/>
  <c r="L111" i="142" s="1"/>
  <c r="L107" i="145"/>
  <c r="L212" i="145" s="1"/>
  <c r="L84" i="147" s="1"/>
  <c r="L189" i="147" s="1"/>
  <c r="L117" i="142"/>
  <c r="L129" i="142" s="1"/>
  <c r="L109" i="145"/>
  <c r="L214" i="145" s="1"/>
  <c r="L86" i="147" s="1"/>
  <c r="L191" i="147" s="1"/>
  <c r="L119" i="142"/>
  <c r="L131" i="142" s="1"/>
  <c r="L84" i="145"/>
  <c r="L155" i="145" s="1"/>
  <c r="L25" i="147" s="1"/>
  <c r="L130" i="147" s="1"/>
  <c r="L72" i="142"/>
  <c r="L84" i="142" s="1"/>
  <c r="L112" i="145"/>
  <c r="L217" i="145" s="1"/>
  <c r="L89" i="147" s="1"/>
  <c r="L194" i="147" s="1"/>
  <c r="L122" i="142"/>
  <c r="L134" i="142" s="1"/>
  <c r="L121" i="142"/>
  <c r="L133" i="142" s="1"/>
  <c r="L111" i="145"/>
  <c r="L216" i="145" s="1"/>
  <c r="L88" i="147" s="1"/>
  <c r="L193" i="147" s="1"/>
  <c r="J108" i="150"/>
  <c r="J140" i="150" s="1"/>
  <c r="L108" i="150"/>
  <c r="L140" i="150" s="1"/>
  <c r="L105" i="150"/>
  <c r="L137" i="150" s="1"/>
  <c r="J105" i="150"/>
  <c r="J137" i="150" s="1"/>
  <c r="M87" i="145"/>
  <c r="M158" i="145" s="1"/>
  <c r="M28" i="147" s="1"/>
  <c r="M133" i="147" s="1"/>
  <c r="M75" i="142"/>
  <c r="M87" i="142" s="1"/>
  <c r="M124" i="142"/>
  <c r="M136" i="142" s="1"/>
  <c r="M114" i="145"/>
  <c r="M219" i="145" s="1"/>
  <c r="M91" i="147" s="1"/>
  <c r="M196" i="147" s="1"/>
  <c r="M97" i="142"/>
  <c r="M109" i="142" s="1"/>
  <c r="M98" i="145"/>
  <c r="M186" i="145" s="1"/>
  <c r="M57" i="147" s="1"/>
  <c r="M162" i="147" s="1"/>
  <c r="M100" i="142"/>
  <c r="M112" i="142" s="1"/>
  <c r="M101" i="145"/>
  <c r="M189" i="145" s="1"/>
  <c r="M60" i="147" s="1"/>
  <c r="M165" i="147" s="1"/>
  <c r="M77" i="142"/>
  <c r="M89" i="142" s="1"/>
  <c r="M89" i="145"/>
  <c r="M160" i="145" s="1"/>
  <c r="M30" i="147" s="1"/>
  <c r="M135" i="147" s="1"/>
  <c r="M108" i="145"/>
  <c r="M213" i="145" s="1"/>
  <c r="M85" i="147" s="1"/>
  <c r="M190" i="147" s="1"/>
  <c r="M118" i="142"/>
  <c r="M130" i="142" s="1"/>
  <c r="M101" i="142"/>
  <c r="M113" i="142" s="1"/>
  <c r="M102" i="145"/>
  <c r="M190" i="145" s="1"/>
  <c r="M61" i="147" s="1"/>
  <c r="M166" i="147" s="1"/>
  <c r="M123" i="142"/>
  <c r="M135" i="142" s="1"/>
  <c r="M113" i="145"/>
  <c r="M218" i="145" s="1"/>
  <c r="M90" i="147" s="1"/>
  <c r="M195" i="147" s="1"/>
  <c r="M96" i="142"/>
  <c r="M108" i="142" s="1"/>
  <c r="M97" i="145"/>
  <c r="M185" i="145" s="1"/>
  <c r="M56" i="147" s="1"/>
  <c r="M161" i="147" s="1"/>
  <c r="M96" i="145"/>
  <c r="M184" i="145" s="1"/>
  <c r="M55" i="147" s="1"/>
  <c r="M160" i="147" s="1"/>
  <c r="M95" i="142"/>
  <c r="M107" i="142" s="1"/>
  <c r="M74" i="142"/>
  <c r="M86" i="142" s="1"/>
  <c r="M86" i="145"/>
  <c r="M157" i="145" s="1"/>
  <c r="M27" i="147" s="1"/>
  <c r="M132" i="147" s="1"/>
  <c r="M117" i="142"/>
  <c r="M129" i="142" s="1"/>
  <c r="M107" i="145"/>
  <c r="M212" i="145" s="1"/>
  <c r="M84" i="147" s="1"/>
  <c r="M189" i="147" s="1"/>
  <c r="M111" i="145"/>
  <c r="M216" i="145" s="1"/>
  <c r="M88" i="147" s="1"/>
  <c r="M193" i="147" s="1"/>
  <c r="M121" i="142"/>
  <c r="M133" i="142" s="1"/>
  <c r="M95" i="145"/>
  <c r="M183" i="145" s="1"/>
  <c r="M54" i="147" s="1"/>
  <c r="M159" i="147" s="1"/>
  <c r="M94" i="142"/>
  <c r="M106" i="142" s="1"/>
  <c r="L97" i="145"/>
  <c r="L185" i="145" s="1"/>
  <c r="L56" i="147" s="1"/>
  <c r="L161" i="147" s="1"/>
  <c r="L96" i="142"/>
  <c r="L108" i="142" s="1"/>
  <c r="L78" i="142"/>
  <c r="L90" i="142" s="1"/>
  <c r="L90" i="145"/>
  <c r="L161" i="145" s="1"/>
  <c r="L31" i="147" s="1"/>
  <c r="L136" i="147" s="1"/>
  <c r="L71" i="142"/>
  <c r="L83" i="142" s="1"/>
  <c r="L83" i="145"/>
  <c r="L154" i="145" s="1"/>
  <c r="L24" i="147" s="1"/>
  <c r="L129" i="147" s="1"/>
  <c r="L95" i="145"/>
  <c r="L183" i="145" s="1"/>
  <c r="L54" i="147" s="1"/>
  <c r="L159" i="147" s="1"/>
  <c r="L94" i="142"/>
  <c r="L106" i="142" s="1"/>
  <c r="L96" i="145"/>
  <c r="L184" i="145" s="1"/>
  <c r="L55" i="147" s="1"/>
  <c r="L160" i="147" s="1"/>
  <c r="L95" i="142"/>
  <c r="L107" i="142" s="1"/>
  <c r="L101" i="145"/>
  <c r="L189" i="145" s="1"/>
  <c r="L60" i="147" s="1"/>
  <c r="L165" i="147" s="1"/>
  <c r="L100" i="142"/>
  <c r="L112" i="142" s="1"/>
  <c r="L75" i="142"/>
  <c r="L87" i="142" s="1"/>
  <c r="L87" i="145"/>
  <c r="L158" i="145" s="1"/>
  <c r="L28" i="147" s="1"/>
  <c r="L133" i="147" s="1"/>
  <c r="M84" i="145"/>
  <c r="M155" i="145" s="1"/>
  <c r="M25" i="147" s="1"/>
  <c r="M130" i="147" s="1"/>
  <c r="M72" i="142"/>
  <c r="M84" i="142" s="1"/>
  <c r="M144" i="142" s="1"/>
  <c r="M170" i="142" s="1"/>
  <c r="M271" i="142" s="1"/>
  <c r="M116" i="142"/>
  <c r="M128" i="142" s="1"/>
  <c r="M105" i="145"/>
  <c r="M210" i="145" s="1"/>
  <c r="M82" i="147" s="1"/>
  <c r="M187" i="147" s="1"/>
  <c r="M106" i="145"/>
  <c r="M211" i="145" s="1"/>
  <c r="M83" i="147" s="1"/>
  <c r="M188" i="147" s="1"/>
  <c r="M100" i="145"/>
  <c r="M188" i="145" s="1"/>
  <c r="M59" i="147" s="1"/>
  <c r="M164" i="147" s="1"/>
  <c r="M99" i="142"/>
  <c r="M111" i="142" s="1"/>
  <c r="M110" i="145"/>
  <c r="M215" i="145" s="1"/>
  <c r="M87" i="147" s="1"/>
  <c r="M192" i="147" s="1"/>
  <c r="M120" i="142"/>
  <c r="M132" i="142" s="1"/>
  <c r="M88" i="145"/>
  <c r="M159" i="145" s="1"/>
  <c r="M29" i="147" s="1"/>
  <c r="M134" i="147" s="1"/>
  <c r="M76" i="142"/>
  <c r="M88" i="142" s="1"/>
  <c r="M93" i="142"/>
  <c r="M105" i="142" s="1"/>
  <c r="M93" i="145"/>
  <c r="M181" i="145" s="1"/>
  <c r="M52" i="147" s="1"/>
  <c r="M157" i="147" s="1"/>
  <c r="M94" i="145"/>
  <c r="M182" i="145" s="1"/>
  <c r="M53" i="147" s="1"/>
  <c r="M158" i="147" s="1"/>
  <c r="L93" i="145"/>
  <c r="L181" i="145" s="1"/>
  <c r="L52" i="147" s="1"/>
  <c r="L157" i="147" s="1"/>
  <c r="L93" i="142"/>
  <c r="L105" i="142" s="1"/>
  <c r="L94" i="145"/>
  <c r="L182" i="145" s="1"/>
  <c r="L53" i="147" s="1"/>
  <c r="L158" i="147" s="1"/>
  <c r="L102" i="145"/>
  <c r="L190" i="145" s="1"/>
  <c r="L61" i="147" s="1"/>
  <c r="L166" i="147" s="1"/>
  <c r="L101" i="142"/>
  <c r="L113" i="142" s="1"/>
  <c r="L70" i="142"/>
  <c r="L82" i="142" s="1"/>
  <c r="L82" i="145"/>
  <c r="L153" i="145" s="1"/>
  <c r="L23" i="147" s="1"/>
  <c r="L128" i="147" s="1"/>
  <c r="L81" i="145"/>
  <c r="L152" i="145" s="1"/>
  <c r="L74" i="142"/>
  <c r="L86" i="142" s="1"/>
  <c r="L86" i="145"/>
  <c r="L157" i="145" s="1"/>
  <c r="L27" i="147" s="1"/>
  <c r="L132" i="147" s="1"/>
  <c r="L118" i="142"/>
  <c r="L130" i="142" s="1"/>
  <c r="L108" i="145"/>
  <c r="L213" i="145" s="1"/>
  <c r="L85" i="147" s="1"/>
  <c r="L190" i="147" s="1"/>
  <c r="L120" i="142"/>
  <c r="L132" i="142" s="1"/>
  <c r="L110" i="145"/>
  <c r="L215" i="145" s="1"/>
  <c r="L87" i="147" s="1"/>
  <c r="L192" i="147" s="1"/>
  <c r="L103" i="150"/>
  <c r="L135" i="150" s="1"/>
  <c r="J103" i="150"/>
  <c r="J135" i="150" s="1"/>
  <c r="L102" i="150"/>
  <c r="L134" i="150" s="1"/>
  <c r="J102" i="150"/>
  <c r="J134" i="150" s="1"/>
  <c r="M148" i="142" l="1"/>
  <c r="M174" i="142" s="1"/>
  <c r="M275" i="142" s="1"/>
  <c r="L147" i="142"/>
  <c r="L173" i="142" s="1"/>
  <c r="L274" i="142" s="1"/>
  <c r="L142" i="142"/>
  <c r="L168" i="142" s="1"/>
  <c r="L269" i="142" s="1"/>
  <c r="L143" i="142"/>
  <c r="L169" i="142" s="1"/>
  <c r="L270" i="142" s="1"/>
  <c r="L144" i="142"/>
  <c r="L170" i="142" s="1"/>
  <c r="L271" i="142" s="1"/>
  <c r="L148" i="142"/>
  <c r="L174" i="142" s="1"/>
  <c r="L275" i="142" s="1"/>
  <c r="M146" i="142"/>
  <c r="M172" i="142" s="1"/>
  <c r="M273" i="142" s="1"/>
  <c r="M143" i="142"/>
  <c r="M169" i="142" s="1"/>
  <c r="M270" i="142" s="1"/>
  <c r="K114" i="145"/>
  <c r="K219" i="145" s="1"/>
  <c r="K91" i="147" s="1"/>
  <c r="K196" i="147" s="1"/>
  <c r="K124" i="142"/>
  <c r="K136" i="142" s="1"/>
  <c r="K89" i="145"/>
  <c r="K160" i="145" s="1"/>
  <c r="K30" i="147" s="1"/>
  <c r="K135" i="147" s="1"/>
  <c r="K77" i="142"/>
  <c r="K89" i="142" s="1"/>
  <c r="K75" i="142"/>
  <c r="K87" i="142" s="1"/>
  <c r="K87" i="145"/>
  <c r="K158" i="145" s="1"/>
  <c r="K28" i="147" s="1"/>
  <c r="K133" i="147" s="1"/>
  <c r="K98" i="142"/>
  <c r="K110" i="142" s="1"/>
  <c r="K99" i="145"/>
  <c r="K187" i="145" s="1"/>
  <c r="K58" i="147" s="1"/>
  <c r="K163" i="147" s="1"/>
  <c r="K108" i="145"/>
  <c r="K213" i="145" s="1"/>
  <c r="K85" i="147" s="1"/>
  <c r="K190" i="147" s="1"/>
  <c r="K118" i="142"/>
  <c r="K130" i="142" s="1"/>
  <c r="K106" i="145"/>
  <c r="K211" i="145" s="1"/>
  <c r="K83" i="147" s="1"/>
  <c r="K188" i="147" s="1"/>
  <c r="K105" i="145"/>
  <c r="K210" i="145" s="1"/>
  <c r="K82" i="147" s="1"/>
  <c r="K187" i="147" s="1"/>
  <c r="K116" i="142"/>
  <c r="K128" i="142" s="1"/>
  <c r="K98" i="145"/>
  <c r="K186" i="145" s="1"/>
  <c r="K57" i="147" s="1"/>
  <c r="K162" i="147" s="1"/>
  <c r="K97" i="142"/>
  <c r="K109" i="142" s="1"/>
  <c r="M145" i="142"/>
  <c r="M171" i="142" s="1"/>
  <c r="M272" i="142" s="1"/>
  <c r="M150" i="142"/>
  <c r="K95" i="142"/>
  <c r="K107" i="142" s="1"/>
  <c r="K96" i="145"/>
  <c r="K184" i="145" s="1"/>
  <c r="K55" i="147" s="1"/>
  <c r="K160" i="147" s="1"/>
  <c r="K102" i="145"/>
  <c r="K190" i="145" s="1"/>
  <c r="K61" i="147" s="1"/>
  <c r="K166" i="147" s="1"/>
  <c r="K101" i="142"/>
  <c r="K113" i="142" s="1"/>
  <c r="K123" i="142"/>
  <c r="K135" i="142" s="1"/>
  <c r="K113" i="145"/>
  <c r="K218" i="145" s="1"/>
  <c r="K90" i="147" s="1"/>
  <c r="K195" i="147" s="1"/>
  <c r="K84" i="145"/>
  <c r="K155" i="145" s="1"/>
  <c r="K25" i="147" s="1"/>
  <c r="K130" i="147" s="1"/>
  <c r="K72" i="142"/>
  <c r="K84" i="142" s="1"/>
  <c r="K101" i="145"/>
  <c r="K189" i="145" s="1"/>
  <c r="K60" i="147" s="1"/>
  <c r="K165" i="147" s="1"/>
  <c r="K100" i="142"/>
  <c r="K112" i="142" s="1"/>
  <c r="K120" i="142"/>
  <c r="K132" i="142" s="1"/>
  <c r="K110" i="145"/>
  <c r="K215" i="145" s="1"/>
  <c r="K87" i="147" s="1"/>
  <c r="K192" i="147" s="1"/>
  <c r="K112" i="145"/>
  <c r="K217" i="145" s="1"/>
  <c r="K89" i="147" s="1"/>
  <c r="K194" i="147" s="1"/>
  <c r="K122" i="142"/>
  <c r="K134" i="142" s="1"/>
  <c r="L145" i="142"/>
  <c r="L171" i="142" s="1"/>
  <c r="L272" i="142" s="1"/>
  <c r="M147" i="142"/>
  <c r="M173" i="142" s="1"/>
  <c r="M274" i="142" s="1"/>
  <c r="L22" i="147"/>
  <c r="L127" i="147" s="1"/>
  <c r="L150" i="142"/>
  <c r="M149" i="142"/>
  <c r="M175" i="142" s="1"/>
  <c r="M276" i="142" s="1"/>
  <c r="J285" i="141"/>
  <c r="J284" i="141"/>
  <c r="J283" i="141"/>
  <c r="J294" i="141"/>
  <c r="J299" i="141"/>
  <c r="J277" i="141"/>
  <c r="J275" i="141"/>
  <c r="J296" i="141"/>
  <c r="J297" i="141"/>
  <c r="J300" i="141"/>
  <c r="J274" i="141"/>
  <c r="J289" i="141"/>
  <c r="J291" i="141"/>
  <c r="J273" i="141"/>
  <c r="J290" i="141"/>
  <c r="J295" i="141"/>
  <c r="J272" i="141"/>
  <c r="J287" i="141"/>
  <c r="J278" i="141"/>
  <c r="J301" i="141"/>
  <c r="J279" i="141"/>
  <c r="J302" i="141"/>
  <c r="J280" i="141"/>
  <c r="J288" i="141"/>
  <c r="J286" i="141"/>
  <c r="J298" i="141"/>
  <c r="J276" i="141"/>
  <c r="M22" i="147"/>
  <c r="M127" i="147" s="1"/>
  <c r="K71" i="142"/>
  <c r="K83" i="142" s="1"/>
  <c r="K83" i="145"/>
  <c r="K154" i="145" s="1"/>
  <c r="K24" i="147" s="1"/>
  <c r="K129" i="147" s="1"/>
  <c r="K97" i="145"/>
  <c r="K185" i="145" s="1"/>
  <c r="K56" i="147" s="1"/>
  <c r="K161" i="147" s="1"/>
  <c r="K96" i="142"/>
  <c r="K108" i="142" s="1"/>
  <c r="K81" i="145"/>
  <c r="K152" i="145" s="1"/>
  <c r="K70" i="142"/>
  <c r="K82" i="142" s="1"/>
  <c r="K82" i="145"/>
  <c r="K153" i="145" s="1"/>
  <c r="K23" i="147" s="1"/>
  <c r="K128" i="147" s="1"/>
  <c r="K99" i="142"/>
  <c r="K111" i="142" s="1"/>
  <c r="K100" i="145"/>
  <c r="K188" i="145" s="1"/>
  <c r="K59" i="147" s="1"/>
  <c r="K164" i="147" s="1"/>
  <c r="K88" i="145"/>
  <c r="K159" i="145" s="1"/>
  <c r="K29" i="147" s="1"/>
  <c r="K134" i="147" s="1"/>
  <c r="K76" i="142"/>
  <c r="K88" i="142" s="1"/>
  <c r="K78" i="142"/>
  <c r="K90" i="142" s="1"/>
  <c r="K90" i="145"/>
  <c r="K161" i="145" s="1"/>
  <c r="K31" i="147" s="1"/>
  <c r="K136" i="147" s="1"/>
  <c r="L149" i="142"/>
  <c r="L175" i="142" s="1"/>
  <c r="L276" i="142" s="1"/>
  <c r="L146" i="142"/>
  <c r="L172" i="142" s="1"/>
  <c r="L273" i="142" s="1"/>
  <c r="M142" i="142"/>
  <c r="M168" i="142" s="1"/>
  <c r="K95" i="145"/>
  <c r="K183" i="145" s="1"/>
  <c r="K54" i="147" s="1"/>
  <c r="K159" i="147" s="1"/>
  <c r="K94" i="142"/>
  <c r="K106" i="142" s="1"/>
  <c r="K117" i="142"/>
  <c r="K129" i="142" s="1"/>
  <c r="K107" i="145"/>
  <c r="K212" i="145" s="1"/>
  <c r="K84" i="147" s="1"/>
  <c r="K189" i="147" s="1"/>
  <c r="K93" i="142"/>
  <c r="K105" i="142" s="1"/>
  <c r="K94" i="145"/>
  <c r="K182" i="145" s="1"/>
  <c r="K53" i="147" s="1"/>
  <c r="K158" i="147" s="1"/>
  <c r="K93" i="145"/>
  <c r="K181" i="145" s="1"/>
  <c r="K52" i="147" s="1"/>
  <c r="K157" i="147" s="1"/>
  <c r="K74" i="142"/>
  <c r="K86" i="142" s="1"/>
  <c r="K86" i="145"/>
  <c r="K157" i="145" s="1"/>
  <c r="K27" i="147" s="1"/>
  <c r="K132" i="147" s="1"/>
  <c r="K109" i="145"/>
  <c r="K214" i="145" s="1"/>
  <c r="K86" i="147" s="1"/>
  <c r="K191" i="147" s="1"/>
  <c r="K119" i="142"/>
  <c r="K131" i="142" s="1"/>
  <c r="K85" i="145"/>
  <c r="K156" i="145" s="1"/>
  <c r="K26" i="147" s="1"/>
  <c r="K131" i="147" s="1"/>
  <c r="K73" i="142"/>
  <c r="K85" i="142" s="1"/>
  <c r="K121" i="142"/>
  <c r="K133" i="142" s="1"/>
  <c r="K111" i="145"/>
  <c r="K216" i="145" s="1"/>
  <c r="K88" i="147" s="1"/>
  <c r="K193" i="147" s="1"/>
  <c r="K143" i="142" l="1"/>
  <c r="K169" i="142" s="1"/>
  <c r="K270" i="142" s="1"/>
  <c r="K145" i="142"/>
  <c r="K171" i="142" s="1"/>
  <c r="K272" i="142" s="1"/>
  <c r="K150" i="142"/>
  <c r="K176" i="142" s="1"/>
  <c r="K148" i="142"/>
  <c r="K174" i="142" s="1"/>
  <c r="K275" i="142" s="1"/>
  <c r="K144" i="142"/>
  <c r="K170" i="142" s="1"/>
  <c r="K271" i="142" s="1"/>
  <c r="M269" i="142"/>
  <c r="J99" i="145"/>
  <c r="J187" i="145" s="1"/>
  <c r="J58" i="147" s="1"/>
  <c r="J163" i="147" s="1"/>
  <c r="J98" i="142"/>
  <c r="J110" i="142" s="1"/>
  <c r="J123" i="142"/>
  <c r="J135" i="142" s="1"/>
  <c r="J113" i="145"/>
  <c r="J218" i="145" s="1"/>
  <c r="J90" i="147" s="1"/>
  <c r="J195" i="147" s="1"/>
  <c r="J107" i="145"/>
  <c r="J212" i="145" s="1"/>
  <c r="J84" i="147" s="1"/>
  <c r="J189" i="147" s="1"/>
  <c r="J117" i="142"/>
  <c r="J129" i="142" s="1"/>
  <c r="J99" i="142"/>
  <c r="J111" i="142" s="1"/>
  <c r="J100" i="145"/>
  <c r="J188" i="145" s="1"/>
  <c r="J59" i="147" s="1"/>
  <c r="J164" i="147" s="1"/>
  <c r="J108" i="145"/>
  <c r="J213" i="145" s="1"/>
  <c r="J85" i="147" s="1"/>
  <c r="J190" i="147" s="1"/>
  <c r="J118" i="142"/>
  <c r="J130" i="142" s="1"/>
  <c r="J105" i="145"/>
  <c r="J210" i="145" s="1"/>
  <c r="J82" i="147" s="1"/>
  <c r="J187" i="147" s="1"/>
  <c r="J116" i="142"/>
  <c r="J128" i="142" s="1"/>
  <c r="J106" i="145"/>
  <c r="J211" i="145" s="1"/>
  <c r="J83" i="147" s="1"/>
  <c r="J188" i="147" s="1"/>
  <c r="M176" i="142"/>
  <c r="M177" i="142" s="1"/>
  <c r="M208" i="142"/>
  <c r="K149" i="142"/>
  <c r="K175" i="142" s="1"/>
  <c r="K276" i="142" s="1"/>
  <c r="K142" i="142"/>
  <c r="K168" i="142" s="1"/>
  <c r="K269" i="142" s="1"/>
  <c r="J74" i="142"/>
  <c r="J86" i="142" s="1"/>
  <c r="J86" i="145"/>
  <c r="J157" i="145" s="1"/>
  <c r="J27" i="147" s="1"/>
  <c r="J132" i="147" s="1"/>
  <c r="J90" i="145"/>
  <c r="J161" i="145" s="1"/>
  <c r="J31" i="147" s="1"/>
  <c r="J136" i="147" s="1"/>
  <c r="J78" i="142"/>
  <c r="J90" i="142" s="1"/>
  <c r="J76" i="142"/>
  <c r="J88" i="142" s="1"/>
  <c r="J88" i="145"/>
  <c r="J159" i="145" s="1"/>
  <c r="J29" i="147" s="1"/>
  <c r="J134" i="147" s="1"/>
  <c r="J100" i="142"/>
  <c r="J112" i="142" s="1"/>
  <c r="J101" i="145"/>
  <c r="J189" i="145" s="1"/>
  <c r="J60" i="147" s="1"/>
  <c r="J165" i="147" s="1"/>
  <c r="J72" i="142"/>
  <c r="J84" i="142" s="1"/>
  <c r="J84" i="145"/>
  <c r="J155" i="145" s="1"/>
  <c r="J25" i="147" s="1"/>
  <c r="J130" i="147" s="1"/>
  <c r="J85" i="145"/>
  <c r="J156" i="145" s="1"/>
  <c r="J26" i="147" s="1"/>
  <c r="J131" i="147" s="1"/>
  <c r="J73" i="142"/>
  <c r="J85" i="142" s="1"/>
  <c r="J93" i="142"/>
  <c r="J105" i="142" s="1"/>
  <c r="J94" i="145"/>
  <c r="J182" i="145" s="1"/>
  <c r="J53" i="147" s="1"/>
  <c r="J158" i="147" s="1"/>
  <c r="J93" i="145"/>
  <c r="J181" i="145" s="1"/>
  <c r="J52" i="147" s="1"/>
  <c r="J157" i="147" s="1"/>
  <c r="L208" i="142"/>
  <c r="L176" i="142"/>
  <c r="L177" i="142" s="1"/>
  <c r="K146" i="142"/>
  <c r="K172" i="142" s="1"/>
  <c r="K273" i="142" s="1"/>
  <c r="K22" i="147"/>
  <c r="K127" i="147" s="1"/>
  <c r="J120" i="142"/>
  <c r="J132" i="142" s="1"/>
  <c r="J110" i="145"/>
  <c r="J215" i="145" s="1"/>
  <c r="J87" i="147" s="1"/>
  <c r="J192" i="147" s="1"/>
  <c r="J124" i="142"/>
  <c r="J136" i="142" s="1"/>
  <c r="J114" i="145"/>
  <c r="J219" i="145" s="1"/>
  <c r="J91" i="147" s="1"/>
  <c r="J196" i="147" s="1"/>
  <c r="J97" i="142"/>
  <c r="J109" i="142" s="1"/>
  <c r="J98" i="145"/>
  <c r="J186" i="145" s="1"/>
  <c r="J57" i="147" s="1"/>
  <c r="J162" i="147" s="1"/>
  <c r="J83" i="145"/>
  <c r="J154" i="145" s="1"/>
  <c r="J24" i="147" s="1"/>
  <c r="J129" i="147" s="1"/>
  <c r="J71" i="142"/>
  <c r="J83" i="142" s="1"/>
  <c r="J122" i="142"/>
  <c r="J134" i="142" s="1"/>
  <c r="J112" i="145"/>
  <c r="J217" i="145" s="1"/>
  <c r="J89" i="147" s="1"/>
  <c r="J194" i="147" s="1"/>
  <c r="J75" i="142"/>
  <c r="J87" i="142" s="1"/>
  <c r="J87" i="145"/>
  <c r="J158" i="145" s="1"/>
  <c r="J28" i="147" s="1"/>
  <c r="J133" i="147" s="1"/>
  <c r="J94" i="142"/>
  <c r="J106" i="142" s="1"/>
  <c r="J95" i="145"/>
  <c r="J183" i="145" s="1"/>
  <c r="J54" i="147" s="1"/>
  <c r="J159" i="147" s="1"/>
  <c r="J97" i="145"/>
  <c r="J185" i="145" s="1"/>
  <c r="J56" i="147" s="1"/>
  <c r="J161" i="147" s="1"/>
  <c r="J96" i="142"/>
  <c r="J108" i="142" s="1"/>
  <c r="J77" i="142"/>
  <c r="J89" i="142" s="1"/>
  <c r="J89" i="145"/>
  <c r="J160" i="145" s="1"/>
  <c r="J30" i="147" s="1"/>
  <c r="J135" i="147" s="1"/>
  <c r="J81" i="145"/>
  <c r="J152" i="145" s="1"/>
  <c r="J70" i="142"/>
  <c r="J82" i="145"/>
  <c r="J153" i="145" s="1"/>
  <c r="J23" i="147" s="1"/>
  <c r="J128" i="147" s="1"/>
  <c r="H306" i="141" a="1"/>
  <c r="H306" i="141" s="1"/>
  <c r="J101" i="142"/>
  <c r="J113" i="142" s="1"/>
  <c r="J102" i="145"/>
  <c r="J190" i="145" s="1"/>
  <c r="J61" i="147" s="1"/>
  <c r="J166" i="147" s="1"/>
  <c r="J109" i="145"/>
  <c r="J214" i="145" s="1"/>
  <c r="J86" i="147" s="1"/>
  <c r="J191" i="147" s="1"/>
  <c r="J119" i="142"/>
  <c r="J131" i="142" s="1"/>
  <c r="J121" i="142"/>
  <c r="J133" i="142" s="1"/>
  <c r="J111" i="145"/>
  <c r="J216" i="145" s="1"/>
  <c r="J88" i="147" s="1"/>
  <c r="J193" i="147" s="1"/>
  <c r="J96" i="145"/>
  <c r="J184" i="145" s="1"/>
  <c r="J55" i="147" s="1"/>
  <c r="J160" i="147" s="1"/>
  <c r="J95" i="142"/>
  <c r="J107" i="142" s="1"/>
  <c r="K147" i="142"/>
  <c r="K173" i="142" s="1"/>
  <c r="K274" i="142" s="1"/>
  <c r="K208" i="142" l="1"/>
  <c r="K177" i="142"/>
  <c r="J149" i="142"/>
  <c r="J175" i="142" s="1"/>
  <c r="J276" i="142" s="1"/>
  <c r="H276" i="142" s="1"/>
  <c r="J143" i="142"/>
  <c r="J144" i="142"/>
  <c r="J148" i="142"/>
  <c r="J146" i="142"/>
  <c r="J82" i="142"/>
  <c r="J142" i="142" s="1"/>
  <c r="J147" i="142"/>
  <c r="J145" i="142"/>
  <c r="J150" i="142"/>
  <c r="J22" i="147"/>
  <c r="A4" i="141"/>
  <c r="J45" i="55"/>
  <c r="H161" i="142" l="1"/>
  <c r="J171" i="142"/>
  <c r="J272" i="142" s="1"/>
  <c r="H272" i="142" s="1"/>
  <c r="H157" i="142"/>
  <c r="J169" i="142"/>
  <c r="J270" i="142" s="1"/>
  <c r="H270" i="142" s="1"/>
  <c r="H155" i="142"/>
  <c r="H159" i="142"/>
  <c r="J173" i="142"/>
  <c r="J274" i="142" s="1"/>
  <c r="H274" i="142" s="1"/>
  <c r="H158" i="142"/>
  <c r="J172" i="142"/>
  <c r="J273" i="142" s="1"/>
  <c r="H273" i="142" s="1"/>
  <c r="J174" i="142"/>
  <c r="J275" i="142" s="1"/>
  <c r="H275" i="142" s="1"/>
  <c r="H160" i="142"/>
  <c r="J127" i="147"/>
  <c r="H162" i="142"/>
  <c r="J208" i="142"/>
  <c r="H210" i="142" s="1"/>
  <c r="H234" i="142" s="1"/>
  <c r="J176" i="142"/>
  <c r="H154" i="142"/>
  <c r="J168" i="142"/>
  <c r="J170" i="142"/>
  <c r="J271" i="142" s="1"/>
  <c r="H271" i="142" s="1"/>
  <c r="H156" i="142"/>
  <c r="S260" i="142" l="1"/>
  <c r="O247" i="142"/>
  <c r="O277" i="142" s="1"/>
  <c r="L247" i="142"/>
  <c r="V247" i="142"/>
  <c r="M247" i="142"/>
  <c r="M277" i="142" s="1"/>
  <c r="W260" i="142"/>
  <c r="T260" i="142"/>
  <c r="Y247" i="142"/>
  <c r="S247" i="142"/>
  <c r="Q247" i="142"/>
  <c r="P247" i="142"/>
  <c r="P277" i="142" s="1"/>
  <c r="Y260" i="142"/>
  <c r="X260" i="142"/>
  <c r="N247" i="142"/>
  <c r="N277" i="142" s="1"/>
  <c r="R260" i="142"/>
  <c r="W247" i="142"/>
  <c r="U260" i="142"/>
  <c r="U247" i="142"/>
  <c r="K247" i="142"/>
  <c r="K277" i="142" s="1"/>
  <c r="X247" i="142"/>
  <c r="V260" i="142"/>
  <c r="H32" i="149"/>
  <c r="J247" i="142"/>
  <c r="R247" i="142"/>
  <c r="T247" i="142"/>
  <c r="L260" i="142"/>
  <c r="Q260" i="142"/>
  <c r="J260" i="142"/>
  <c r="J177" i="142"/>
  <c r="J269" i="142"/>
  <c r="H269" i="142" s="1"/>
  <c r="R277" i="142" l="1"/>
  <c r="W277" i="142"/>
  <c r="S277" i="142"/>
  <c r="X277" i="142"/>
  <c r="L277" i="142"/>
  <c r="T277" i="142"/>
  <c r="Y277" i="142"/>
  <c r="V277" i="142"/>
  <c r="J277" i="142"/>
  <c r="L171" i="149"/>
  <c r="L231" i="149" s="1"/>
  <c r="K171" i="149"/>
  <c r="K231" i="149" s="1"/>
  <c r="J171" i="149"/>
  <c r="J231" i="149" s="1"/>
  <c r="M171" i="149"/>
  <c r="M231" i="149" s="1"/>
  <c r="J141" i="149"/>
  <c r="O171" i="149"/>
  <c r="O231" i="149" s="1"/>
  <c r="M141" i="149"/>
  <c r="Q141" i="149"/>
  <c r="O141" i="149"/>
  <c r="L141" i="149"/>
  <c r="N171" i="149"/>
  <c r="N231" i="149" s="1"/>
  <c r="K141" i="149"/>
  <c r="Q171" i="149"/>
  <c r="Q231" i="149" s="1"/>
  <c r="N141" i="149"/>
  <c r="P141" i="149"/>
  <c r="P171" i="149"/>
  <c r="P231" i="149" s="1"/>
  <c r="U277" i="142"/>
  <c r="Q277" i="142"/>
  <c r="H277" i="142" l="1"/>
  <c r="O201" i="149"/>
  <c r="O271" i="149"/>
  <c r="O34" i="150" s="1"/>
  <c r="O79" i="150" s="1"/>
  <c r="J201" i="149"/>
  <c r="J271" i="149"/>
  <c r="J34" i="150" s="1"/>
  <c r="K271" i="149"/>
  <c r="K34" i="150" s="1"/>
  <c r="K79" i="150" s="1"/>
  <c r="K201" i="149"/>
  <c r="Q271" i="149"/>
  <c r="Q34" i="150" s="1"/>
  <c r="Q79" i="150" s="1"/>
  <c r="Q201" i="149"/>
  <c r="K64" i="144" a="1"/>
  <c r="H281" i="142" a="1"/>
  <c r="H281" i="142" s="1"/>
  <c r="P271" i="149"/>
  <c r="P34" i="150" s="1"/>
  <c r="P79" i="150" s="1"/>
  <c r="P201" i="149"/>
  <c r="M201" i="149"/>
  <c r="M271" i="149"/>
  <c r="M34" i="150" s="1"/>
  <c r="M79" i="150" s="1"/>
  <c r="N271" i="149"/>
  <c r="N34" i="150" s="1"/>
  <c r="N79" i="150" s="1"/>
  <c r="N201" i="149"/>
  <c r="L271" i="149"/>
  <c r="L34" i="150" s="1"/>
  <c r="L79" i="150" s="1"/>
  <c r="L201" i="149"/>
  <c r="N64" i="144" l="1"/>
  <c r="N67" i="144" s="1"/>
  <c r="N73" i="144" s="1"/>
  <c r="N76" i="144" s="1"/>
  <c r="R64" i="144"/>
  <c r="R67" i="144" s="1"/>
  <c r="R73" i="144" s="1"/>
  <c r="R76" i="144" s="1"/>
  <c r="O64" i="144"/>
  <c r="O67" i="144" s="1"/>
  <c r="O73" i="144" s="1"/>
  <c r="O76" i="144" s="1"/>
  <c r="S64" i="144"/>
  <c r="S67" i="144" s="1"/>
  <c r="S73" i="144" s="1"/>
  <c r="S76" i="144" s="1"/>
  <c r="P64" i="144"/>
  <c r="P67" i="144" s="1"/>
  <c r="K64" i="144"/>
  <c r="M64" i="144"/>
  <c r="M67" i="144" s="1"/>
  <c r="L64" i="144"/>
  <c r="L67" i="144" s="1"/>
  <c r="Q64" i="144"/>
  <c r="Q67" i="144" s="1"/>
  <c r="Q73" i="144" s="1"/>
  <c r="Q76" i="144" s="1"/>
  <c r="J79" i="150"/>
  <c r="A4" i="142"/>
  <c r="J46" i="55"/>
  <c r="R109" i="150"/>
  <c r="R141" i="150" s="1"/>
  <c r="K109" i="150"/>
  <c r="K141" i="150" s="1"/>
  <c r="Y109" i="150"/>
  <c r="Y141" i="150" s="1"/>
  <c r="N109" i="150"/>
  <c r="N141" i="150" s="1"/>
  <c r="X109" i="150"/>
  <c r="X141" i="150" s="1"/>
  <c r="V109" i="150"/>
  <c r="V141" i="150" s="1"/>
  <c r="P109" i="150"/>
  <c r="P141" i="150" s="1"/>
  <c r="U109" i="150"/>
  <c r="U141" i="150" s="1"/>
  <c r="W109" i="150"/>
  <c r="W141" i="150" s="1"/>
  <c r="Q109" i="150"/>
  <c r="Q141" i="150" s="1"/>
  <c r="M109" i="150"/>
  <c r="M141" i="150" s="1"/>
  <c r="S109" i="150"/>
  <c r="S141" i="150" s="1"/>
  <c r="T109" i="150"/>
  <c r="T141" i="150" s="1"/>
  <c r="O109" i="150"/>
  <c r="O141" i="150" s="1"/>
  <c r="L73" i="144" l="1"/>
  <c r="L76" i="144" s="1"/>
  <c r="S108" i="144"/>
  <c r="M73" i="144"/>
  <c r="M76" i="144" s="1"/>
  <c r="O108" i="144"/>
  <c r="L109" i="150"/>
  <c r="L141" i="150" s="1"/>
  <c r="J109" i="150"/>
  <c r="J141" i="150" s="1"/>
  <c r="K67" i="144"/>
  <c r="J65" i="144"/>
  <c r="J67" i="144" s="1"/>
  <c r="J100" i="144" s="1"/>
  <c r="J115" i="144" s="1"/>
  <c r="R108" i="144"/>
  <c r="Q108" i="144"/>
  <c r="P73" i="144"/>
  <c r="P76" i="144" s="1"/>
  <c r="P100" i="144"/>
  <c r="P115" i="144" s="1"/>
  <c r="N108" i="144"/>
  <c r="Q78" i="144" l="1"/>
  <c r="Q97" i="144" s="1"/>
  <c r="Q100" i="144" s="1"/>
  <c r="Q115" i="144" s="1"/>
  <c r="R78" i="144"/>
  <c r="R97" i="144" s="1"/>
  <c r="R100" i="144" s="1"/>
  <c r="R115" i="144" s="1"/>
  <c r="N78" i="144"/>
  <c r="N97" i="144" s="1"/>
  <c r="N100" i="144" s="1"/>
  <c r="N115" i="144" s="1"/>
  <c r="L108" i="144"/>
  <c r="L78" i="144"/>
  <c r="L97" i="144" s="1"/>
  <c r="L100" i="144" s="1"/>
  <c r="L115" i="144" s="1"/>
  <c r="K78" i="144"/>
  <c r="T78" i="144"/>
  <c r="T97" i="144" s="1"/>
  <c r="H123" i="144"/>
  <c r="H21" i="146" s="1"/>
  <c r="U78" i="144"/>
  <c r="U97" i="144" s="1"/>
  <c r="O78" i="144"/>
  <c r="O97" i="144" s="1"/>
  <c r="O100" i="144" s="1"/>
  <c r="O115" i="144" s="1"/>
  <c r="S78" i="144"/>
  <c r="S97" i="144" s="1"/>
  <c r="S100" i="144" s="1"/>
  <c r="S115" i="144" s="1"/>
  <c r="P78" i="144"/>
  <c r="P97" i="144" s="1"/>
  <c r="P108" i="144"/>
  <c r="M108" i="144"/>
  <c r="M78" i="144"/>
  <c r="M97" i="144" s="1"/>
  <c r="M100" i="144" s="1"/>
  <c r="M115" i="144" s="1"/>
  <c r="H35" i="146" l="1"/>
  <c r="K97" i="144"/>
  <c r="K100" i="144" s="1"/>
  <c r="K115" i="144" s="1"/>
  <c r="H127" i="144" l="1" a="1"/>
  <c r="H127" i="144" s="1"/>
  <c r="H131" i="144" s="1"/>
  <c r="A4" i="144" s="1"/>
  <c r="H65" i="149" a="1"/>
  <c r="H63" i="148" a="1"/>
  <c r="H30" i="145" a="1"/>
  <c r="S43" i="146"/>
  <c r="S56" i="150" s="1"/>
  <c r="S157" i="150" s="1"/>
  <c r="U42" i="146"/>
  <c r="U55" i="150" s="1"/>
  <c r="U156" i="150" s="1"/>
  <c r="T42" i="146"/>
  <c r="T55" i="150" s="1"/>
  <c r="T156" i="150" s="1"/>
  <c r="M43" i="146"/>
  <c r="M56" i="150" s="1"/>
  <c r="M157" i="150" s="1"/>
  <c r="W42" i="146"/>
  <c r="W55" i="150" s="1"/>
  <c r="W156" i="150" s="1"/>
  <c r="L42" i="146"/>
  <c r="L55" i="150" s="1"/>
  <c r="L156" i="150" s="1"/>
  <c r="U43" i="146"/>
  <c r="U56" i="150" s="1"/>
  <c r="U157" i="150" s="1"/>
  <c r="S42" i="146"/>
  <c r="S55" i="150" s="1"/>
  <c r="S156" i="150" s="1"/>
  <c r="V43" i="146"/>
  <c r="V56" i="150" s="1"/>
  <c r="V157" i="150" s="1"/>
  <c r="K42" i="146"/>
  <c r="K55" i="150" s="1"/>
  <c r="K156" i="150" s="1"/>
  <c r="N42" i="146"/>
  <c r="N55" i="150" s="1"/>
  <c r="N156" i="150" s="1"/>
  <c r="J42" i="146"/>
  <c r="J55" i="150" s="1"/>
  <c r="J156" i="150" s="1"/>
  <c r="J43" i="146"/>
  <c r="J56" i="150" s="1"/>
  <c r="J157" i="150" s="1"/>
  <c r="T43" i="146"/>
  <c r="T56" i="150" s="1"/>
  <c r="T157" i="150" s="1"/>
  <c r="O42" i="146"/>
  <c r="O55" i="150" s="1"/>
  <c r="O156" i="150" s="1"/>
  <c r="O43" i="146"/>
  <c r="O56" i="150" s="1"/>
  <c r="O157" i="150" s="1"/>
  <c r="Q44" i="146"/>
  <c r="Q42" i="146"/>
  <c r="V42" i="146"/>
  <c r="V55" i="150" s="1"/>
  <c r="V156" i="150" s="1"/>
  <c r="K43" i="146"/>
  <c r="K56" i="150" s="1"/>
  <c r="K157" i="150" s="1"/>
  <c r="L43" i="146"/>
  <c r="L56" i="150" s="1"/>
  <c r="L157" i="150" s="1"/>
  <c r="R42" i="146"/>
  <c r="R55" i="150" s="1"/>
  <c r="R156" i="150" s="1"/>
  <c r="Y43" i="146"/>
  <c r="Y56" i="150" s="1"/>
  <c r="Y157" i="150" s="1"/>
  <c r="N43" i="146"/>
  <c r="N56" i="150" s="1"/>
  <c r="N157" i="150" s="1"/>
  <c r="P43" i="146"/>
  <c r="P56" i="150" s="1"/>
  <c r="P157" i="150" s="1"/>
  <c r="W43" i="146"/>
  <c r="W56" i="150" s="1"/>
  <c r="W157" i="150" s="1"/>
  <c r="Q43" i="146"/>
  <c r="X42" i="146"/>
  <c r="X55" i="150" s="1"/>
  <c r="X156" i="150" s="1"/>
  <c r="R43" i="146"/>
  <c r="R56" i="150" s="1"/>
  <c r="R157" i="150" s="1"/>
  <c r="P42" i="146"/>
  <c r="P55" i="150" s="1"/>
  <c r="P156" i="150" s="1"/>
  <c r="M42" i="146"/>
  <c r="M55" i="150" s="1"/>
  <c r="M156" i="150" s="1"/>
  <c r="X43" i="146"/>
  <c r="X56" i="150" s="1"/>
  <c r="X157" i="150" s="1"/>
  <c r="Y42" i="146"/>
  <c r="Y55" i="150" s="1"/>
  <c r="Y156" i="150" s="1"/>
  <c r="J48" i="55" l="1"/>
  <c r="H69" i="148"/>
  <c r="H63" i="148"/>
  <c r="H65" i="148"/>
  <c r="H64" i="148"/>
  <c r="H66" i="148"/>
  <c r="H70" i="148"/>
  <c r="H71" i="148"/>
  <c r="H68" i="148"/>
  <c r="H72" i="148"/>
  <c r="H67" i="148"/>
  <c r="H67" i="149"/>
  <c r="H68" i="149"/>
  <c r="H73" i="149"/>
  <c r="H65" i="149"/>
  <c r="H70" i="149"/>
  <c r="H66" i="149"/>
  <c r="H69" i="149"/>
  <c r="H74" i="149"/>
  <c r="H72" i="149"/>
  <c r="H71" i="149"/>
  <c r="Q76" i="147"/>
  <c r="Q181" i="147" s="1"/>
  <c r="Q106" i="147"/>
  <c r="Q211" i="147" s="1"/>
  <c r="Q46" i="147"/>
  <c r="Q151" i="147" s="1"/>
  <c r="H36" i="145"/>
  <c r="H39" i="145"/>
  <c r="H38" i="145"/>
  <c r="H32" i="145"/>
  <c r="H35" i="145"/>
  <c r="H31" i="145"/>
  <c r="H34" i="145"/>
  <c r="H33" i="145"/>
  <c r="H37" i="145"/>
  <c r="H30" i="145"/>
  <c r="H48" i="146" a="1"/>
  <c r="H48" i="146" s="1"/>
  <c r="L138" i="145" l="1"/>
  <c r="L140" i="148" s="1"/>
  <c r="L210" i="148" s="1"/>
  <c r="L240" i="148" s="1"/>
  <c r="Q138" i="145"/>
  <c r="Q140" i="148" s="1"/>
  <c r="Q210" i="148" s="1"/>
  <c r="Q240" i="148" s="1"/>
  <c r="Q225" i="145"/>
  <c r="Q99" i="147" s="1"/>
  <c r="Q204" i="147" s="1"/>
  <c r="X225" i="145"/>
  <c r="X99" i="147" s="1"/>
  <c r="X204" i="147" s="1"/>
  <c r="K225" i="145"/>
  <c r="K99" i="147" s="1"/>
  <c r="K204" i="147" s="1"/>
  <c r="J138" i="145"/>
  <c r="J140" i="148" s="1"/>
  <c r="J210" i="148" s="1"/>
  <c r="J240" i="148" s="1"/>
  <c r="Q196" i="145"/>
  <c r="Q69" i="147" s="1"/>
  <c r="Q174" i="147" s="1"/>
  <c r="M167" i="145"/>
  <c r="M39" i="147" s="1"/>
  <c r="M144" i="147" s="1"/>
  <c r="V225" i="145"/>
  <c r="V99" i="147" s="1"/>
  <c r="V204" i="147" s="1"/>
  <c r="T138" i="145"/>
  <c r="J225" i="145"/>
  <c r="J99" i="147" s="1"/>
  <c r="J204" i="147" s="1"/>
  <c r="S167" i="145"/>
  <c r="S39" i="147" s="1"/>
  <c r="S144" i="147" s="1"/>
  <c r="V167" i="145"/>
  <c r="V39" i="147" s="1"/>
  <c r="V144" i="147" s="1"/>
  <c r="K196" i="145"/>
  <c r="K69" i="147" s="1"/>
  <c r="K174" i="147" s="1"/>
  <c r="J167" i="145"/>
  <c r="J39" i="147" s="1"/>
  <c r="J144" i="147" s="1"/>
  <c r="K138" i="145"/>
  <c r="K140" i="148" s="1"/>
  <c r="K210" i="148" s="1"/>
  <c r="K240" i="148" s="1"/>
  <c r="X138" i="145"/>
  <c r="P225" i="145"/>
  <c r="P99" i="147" s="1"/>
  <c r="P204" i="147" s="1"/>
  <c r="N225" i="145"/>
  <c r="N99" i="147" s="1"/>
  <c r="N204" i="147" s="1"/>
  <c r="N167" i="145"/>
  <c r="N39" i="147" s="1"/>
  <c r="N144" i="147" s="1"/>
  <c r="W225" i="145"/>
  <c r="W99" i="147" s="1"/>
  <c r="W204" i="147" s="1"/>
  <c r="X167" i="145"/>
  <c r="X39" i="147" s="1"/>
  <c r="X144" i="147" s="1"/>
  <c r="R196" i="145"/>
  <c r="R69" i="147" s="1"/>
  <c r="R174" i="147" s="1"/>
  <c r="Y167" i="145"/>
  <c r="Y39" i="147" s="1"/>
  <c r="Y144" i="147" s="1"/>
  <c r="Q167" i="145"/>
  <c r="Q39" i="147" s="1"/>
  <c r="Q144" i="147" s="1"/>
  <c r="S225" i="145"/>
  <c r="S99" i="147" s="1"/>
  <c r="S204" i="147" s="1"/>
  <c r="N138" i="145"/>
  <c r="N140" i="148" s="1"/>
  <c r="N210" i="148" s="1"/>
  <c r="N240" i="148" s="1"/>
  <c r="K167" i="145"/>
  <c r="K39" i="147" s="1"/>
  <c r="K144" i="147" s="1"/>
  <c r="U225" i="145"/>
  <c r="U99" i="147" s="1"/>
  <c r="U204" i="147" s="1"/>
  <c r="Y196" i="145"/>
  <c r="Y69" i="147" s="1"/>
  <c r="Y174" i="147" s="1"/>
  <c r="U138" i="145"/>
  <c r="U167" i="145"/>
  <c r="U39" i="147" s="1"/>
  <c r="U144" i="147" s="1"/>
  <c r="O138" i="145"/>
  <c r="O140" i="148" s="1"/>
  <c r="O210" i="148" s="1"/>
  <c r="O240" i="148" s="1"/>
  <c r="O225" i="145"/>
  <c r="O99" i="147" s="1"/>
  <c r="O204" i="147" s="1"/>
  <c r="R225" i="145"/>
  <c r="R99" i="147" s="1"/>
  <c r="R204" i="147" s="1"/>
  <c r="P196" i="145"/>
  <c r="P69" i="147" s="1"/>
  <c r="P174" i="147" s="1"/>
  <c r="X196" i="145"/>
  <c r="X69" i="147" s="1"/>
  <c r="X174" i="147" s="1"/>
  <c r="L196" i="145"/>
  <c r="L69" i="147" s="1"/>
  <c r="L174" i="147" s="1"/>
  <c r="T196" i="145"/>
  <c r="T69" i="147" s="1"/>
  <c r="T174" i="147" s="1"/>
  <c r="T225" i="145"/>
  <c r="T99" i="147" s="1"/>
  <c r="T204" i="147" s="1"/>
  <c r="M225" i="145"/>
  <c r="M99" i="147" s="1"/>
  <c r="M204" i="147" s="1"/>
  <c r="Y138" i="145"/>
  <c r="P167" i="145"/>
  <c r="P39" i="147" s="1"/>
  <c r="P144" i="147" s="1"/>
  <c r="R167" i="145"/>
  <c r="R39" i="147" s="1"/>
  <c r="R144" i="147" s="1"/>
  <c r="V196" i="145"/>
  <c r="V69" i="147" s="1"/>
  <c r="V174" i="147" s="1"/>
  <c r="J196" i="145"/>
  <c r="J69" i="147" s="1"/>
  <c r="J174" i="147" s="1"/>
  <c r="W167" i="145"/>
  <c r="W39" i="147" s="1"/>
  <c r="W144" i="147" s="1"/>
  <c r="S196" i="145"/>
  <c r="S69" i="147" s="1"/>
  <c r="S174" i="147" s="1"/>
  <c r="Y225" i="145"/>
  <c r="Y99" i="147" s="1"/>
  <c r="Y204" i="147" s="1"/>
  <c r="W196" i="145"/>
  <c r="W69" i="147" s="1"/>
  <c r="W174" i="147" s="1"/>
  <c r="S138" i="145"/>
  <c r="M138" i="145"/>
  <c r="M140" i="148" s="1"/>
  <c r="M210" i="148" s="1"/>
  <c r="M240" i="148" s="1"/>
  <c r="N196" i="145"/>
  <c r="N69" i="147" s="1"/>
  <c r="N174" i="147" s="1"/>
  <c r="O167" i="145"/>
  <c r="O39" i="147" s="1"/>
  <c r="O144" i="147" s="1"/>
  <c r="O196" i="145"/>
  <c r="O69" i="147" s="1"/>
  <c r="O174" i="147" s="1"/>
  <c r="W138" i="145"/>
  <c r="R138" i="145"/>
  <c r="L225" i="145"/>
  <c r="L99" i="147" s="1"/>
  <c r="L204" i="147" s="1"/>
  <c r="U196" i="145"/>
  <c r="U69" i="147" s="1"/>
  <c r="U174" i="147" s="1"/>
  <c r="P138" i="145"/>
  <c r="P140" i="148" s="1"/>
  <c r="P210" i="148" s="1"/>
  <c r="P240" i="148" s="1"/>
  <c r="T167" i="145"/>
  <c r="T39" i="147" s="1"/>
  <c r="T144" i="147" s="1"/>
  <c r="M196" i="145"/>
  <c r="M69" i="147" s="1"/>
  <c r="M174" i="147" s="1"/>
  <c r="V138" i="145"/>
  <c r="L167" i="145"/>
  <c r="L39" i="147" s="1"/>
  <c r="L144" i="147" s="1"/>
  <c r="O137" i="145"/>
  <c r="O139" i="148" s="1"/>
  <c r="O209" i="148" s="1"/>
  <c r="O239" i="148" s="1"/>
  <c r="J224" i="145"/>
  <c r="J98" i="147" s="1"/>
  <c r="J203" i="147" s="1"/>
  <c r="Y224" i="145"/>
  <c r="Y98" i="147" s="1"/>
  <c r="Y203" i="147" s="1"/>
  <c r="W195" i="145"/>
  <c r="W68" i="147" s="1"/>
  <c r="W173" i="147" s="1"/>
  <c r="L195" i="145"/>
  <c r="L68" i="147" s="1"/>
  <c r="L173" i="147" s="1"/>
  <c r="L137" i="145"/>
  <c r="L139" i="148" s="1"/>
  <c r="L209" i="148" s="1"/>
  <c r="L239" i="148" s="1"/>
  <c r="Q195" i="145"/>
  <c r="Q68" i="147" s="1"/>
  <c r="Q173" i="147" s="1"/>
  <c r="J137" i="145"/>
  <c r="J139" i="148" s="1"/>
  <c r="J209" i="148" s="1"/>
  <c r="J239" i="148" s="1"/>
  <c r="V166" i="145"/>
  <c r="V38" i="147" s="1"/>
  <c r="V143" i="147" s="1"/>
  <c r="R195" i="145"/>
  <c r="R68" i="147" s="1"/>
  <c r="R173" i="147" s="1"/>
  <c r="N166" i="145"/>
  <c r="N38" i="147" s="1"/>
  <c r="N143" i="147" s="1"/>
  <c r="N137" i="145"/>
  <c r="N139" i="148" s="1"/>
  <c r="N209" i="148" s="1"/>
  <c r="N239" i="148" s="1"/>
  <c r="P195" i="145"/>
  <c r="P68" i="147" s="1"/>
  <c r="P173" i="147" s="1"/>
  <c r="U137" i="145"/>
  <c r="M224" i="145"/>
  <c r="M98" i="147" s="1"/>
  <c r="M203" i="147" s="1"/>
  <c r="U166" i="145"/>
  <c r="U38" i="147" s="1"/>
  <c r="U143" i="147" s="1"/>
  <c r="S137" i="145"/>
  <c r="S224" i="145"/>
  <c r="S98" i="147" s="1"/>
  <c r="S203" i="147" s="1"/>
  <c r="W137" i="145"/>
  <c r="Q137" i="145"/>
  <c r="Q139" i="148" s="1"/>
  <c r="Q209" i="148" s="1"/>
  <c r="Q239" i="148" s="1"/>
  <c r="Y166" i="145"/>
  <c r="Y38" i="147" s="1"/>
  <c r="Y143" i="147" s="1"/>
  <c r="R224" i="145"/>
  <c r="R98" i="147" s="1"/>
  <c r="R203" i="147" s="1"/>
  <c r="P224" i="145"/>
  <c r="P98" i="147" s="1"/>
  <c r="P203" i="147" s="1"/>
  <c r="V195" i="145"/>
  <c r="V68" i="147" s="1"/>
  <c r="V173" i="147" s="1"/>
  <c r="U195" i="145"/>
  <c r="U68" i="147" s="1"/>
  <c r="U173" i="147" s="1"/>
  <c r="L224" i="145"/>
  <c r="L98" i="147" s="1"/>
  <c r="L203" i="147" s="1"/>
  <c r="M195" i="145"/>
  <c r="M68" i="147" s="1"/>
  <c r="M173" i="147" s="1"/>
  <c r="Y137" i="145"/>
  <c r="V137" i="145"/>
  <c r="T166" i="145"/>
  <c r="T38" i="147" s="1"/>
  <c r="T143" i="147" s="1"/>
  <c r="U224" i="145"/>
  <c r="U98" i="147" s="1"/>
  <c r="U203" i="147" s="1"/>
  <c r="X137" i="145"/>
  <c r="R166" i="145"/>
  <c r="R38" i="147" s="1"/>
  <c r="R143" i="147" s="1"/>
  <c r="T137" i="145"/>
  <c r="Q166" i="145"/>
  <c r="Q38" i="147" s="1"/>
  <c r="Q143" i="147" s="1"/>
  <c r="O224" i="145"/>
  <c r="O98" i="147" s="1"/>
  <c r="O203" i="147" s="1"/>
  <c r="J195" i="145"/>
  <c r="J68" i="147" s="1"/>
  <c r="J173" i="147" s="1"/>
  <c r="V224" i="145"/>
  <c r="V98" i="147" s="1"/>
  <c r="V203" i="147" s="1"/>
  <c r="O166" i="145"/>
  <c r="O38" i="147" s="1"/>
  <c r="O143" i="147" s="1"/>
  <c r="M166" i="145"/>
  <c r="M38" i="147" s="1"/>
  <c r="M143" i="147" s="1"/>
  <c r="N224" i="145"/>
  <c r="N98" i="147" s="1"/>
  <c r="N203" i="147" s="1"/>
  <c r="X166" i="145"/>
  <c r="X38" i="147" s="1"/>
  <c r="X143" i="147" s="1"/>
  <c r="T224" i="145"/>
  <c r="T98" i="147" s="1"/>
  <c r="T203" i="147" s="1"/>
  <c r="R137" i="145"/>
  <c r="L166" i="145"/>
  <c r="L38" i="147" s="1"/>
  <c r="L143" i="147" s="1"/>
  <c r="K137" i="145"/>
  <c r="K139" i="148" s="1"/>
  <c r="K209" i="148" s="1"/>
  <c r="K239" i="148" s="1"/>
  <c r="N195" i="145"/>
  <c r="N68" i="147" s="1"/>
  <c r="N173" i="147" s="1"/>
  <c r="K166" i="145"/>
  <c r="K38" i="147" s="1"/>
  <c r="K143" i="147" s="1"/>
  <c r="S195" i="145"/>
  <c r="S68" i="147" s="1"/>
  <c r="S173" i="147" s="1"/>
  <c r="T195" i="145"/>
  <c r="T68" i="147" s="1"/>
  <c r="T173" i="147" s="1"/>
  <c r="W224" i="145"/>
  <c r="W98" i="147" s="1"/>
  <c r="W203" i="147" s="1"/>
  <c r="P137" i="145"/>
  <c r="P139" i="148" s="1"/>
  <c r="P209" i="148" s="1"/>
  <c r="P239" i="148" s="1"/>
  <c r="X224" i="145"/>
  <c r="X98" i="147" s="1"/>
  <c r="X203" i="147" s="1"/>
  <c r="O195" i="145"/>
  <c r="O68" i="147" s="1"/>
  <c r="O173" i="147" s="1"/>
  <c r="K195" i="145"/>
  <c r="K68" i="147" s="1"/>
  <c r="K173" i="147" s="1"/>
  <c r="W166" i="145"/>
  <c r="W38" i="147" s="1"/>
  <c r="W143" i="147" s="1"/>
  <c r="K224" i="145"/>
  <c r="K98" i="147" s="1"/>
  <c r="K203" i="147" s="1"/>
  <c r="Y195" i="145"/>
  <c r="Y68" i="147" s="1"/>
  <c r="Y173" i="147" s="1"/>
  <c r="M137" i="145"/>
  <c r="M139" i="148" s="1"/>
  <c r="M209" i="148" s="1"/>
  <c r="M239" i="148" s="1"/>
  <c r="X195" i="145"/>
  <c r="X68" i="147" s="1"/>
  <c r="X173" i="147" s="1"/>
  <c r="P166" i="145"/>
  <c r="P38" i="147" s="1"/>
  <c r="P143" i="147" s="1"/>
  <c r="J166" i="145"/>
  <c r="J38" i="147" s="1"/>
  <c r="J143" i="147" s="1"/>
  <c r="Q224" i="145"/>
  <c r="Q98" i="147" s="1"/>
  <c r="Q203" i="147" s="1"/>
  <c r="S166" i="145"/>
  <c r="S38" i="147" s="1"/>
  <c r="S143" i="147" s="1"/>
  <c r="L153" i="149"/>
  <c r="P153" i="149"/>
  <c r="L183" i="149"/>
  <c r="L243" i="149" s="1"/>
  <c r="O183" i="149"/>
  <c r="O243" i="149" s="1"/>
  <c r="O153" i="149"/>
  <c r="M183" i="149"/>
  <c r="M243" i="149" s="1"/>
  <c r="Q153" i="149"/>
  <c r="N153" i="149"/>
  <c r="K153" i="149"/>
  <c r="M153" i="149"/>
  <c r="N183" i="149"/>
  <c r="N243" i="149" s="1"/>
  <c r="J183" i="149"/>
  <c r="J243" i="149" s="1"/>
  <c r="K183" i="149"/>
  <c r="K243" i="149" s="1"/>
  <c r="P183" i="149"/>
  <c r="P243" i="149" s="1"/>
  <c r="J153" i="149"/>
  <c r="Q183" i="149"/>
  <c r="Q243" i="149" s="1"/>
  <c r="K151" i="149"/>
  <c r="Q151" i="149"/>
  <c r="N151" i="149"/>
  <c r="O181" i="149"/>
  <c r="O241" i="149" s="1"/>
  <c r="M151" i="149"/>
  <c r="K181" i="149"/>
  <c r="K241" i="149" s="1"/>
  <c r="J151" i="149"/>
  <c r="P181" i="149"/>
  <c r="P241" i="149" s="1"/>
  <c r="L181" i="149"/>
  <c r="L241" i="149" s="1"/>
  <c r="J181" i="149"/>
  <c r="J241" i="149" s="1"/>
  <c r="L151" i="149"/>
  <c r="M181" i="149"/>
  <c r="M241" i="149" s="1"/>
  <c r="O151" i="149"/>
  <c r="P151" i="149"/>
  <c r="N181" i="149"/>
  <c r="N241" i="149" s="1"/>
  <c r="Q181" i="149"/>
  <c r="Q241" i="149" s="1"/>
  <c r="O178" i="149"/>
  <c r="O238" i="149" s="1"/>
  <c r="P178" i="149"/>
  <c r="P238" i="149" s="1"/>
  <c r="J148" i="149"/>
  <c r="Q178" i="149"/>
  <c r="Q238" i="149" s="1"/>
  <c r="N178" i="149"/>
  <c r="N238" i="149" s="1"/>
  <c r="L148" i="149"/>
  <c r="K178" i="149"/>
  <c r="K238" i="149" s="1"/>
  <c r="M178" i="149"/>
  <c r="M238" i="149" s="1"/>
  <c r="L178" i="149"/>
  <c r="L238" i="149" s="1"/>
  <c r="Q148" i="149"/>
  <c r="K148" i="149"/>
  <c r="N148" i="149"/>
  <c r="M148" i="149"/>
  <c r="P148" i="149"/>
  <c r="J178" i="149"/>
  <c r="J238" i="149" s="1"/>
  <c r="O148" i="149"/>
  <c r="W180" i="148"/>
  <c r="W215" i="148" s="1"/>
  <c r="W245" i="148" s="1"/>
  <c r="V180" i="148"/>
  <c r="V215" i="148" s="1"/>
  <c r="V245" i="148" s="1"/>
  <c r="R180" i="148"/>
  <c r="R215" i="148" s="1"/>
  <c r="R245" i="148" s="1"/>
  <c r="X180" i="148"/>
  <c r="X215" i="148" s="1"/>
  <c r="X245" i="148" s="1"/>
  <c r="T180" i="148"/>
  <c r="T215" i="148" s="1"/>
  <c r="T245" i="148" s="1"/>
  <c r="Y180" i="148"/>
  <c r="Y215" i="148" s="1"/>
  <c r="Y245" i="148" s="1"/>
  <c r="U180" i="148"/>
  <c r="U215" i="148" s="1"/>
  <c r="U245" i="148" s="1"/>
  <c r="S180" i="148"/>
  <c r="S215" i="148" s="1"/>
  <c r="S245" i="148" s="1"/>
  <c r="Y174" i="148"/>
  <c r="Y209" i="148" s="1"/>
  <c r="Y239" i="148" s="1"/>
  <c r="T174" i="148"/>
  <c r="T209" i="148" s="1"/>
  <c r="T239" i="148" s="1"/>
  <c r="W174" i="148"/>
  <c r="W209" i="148" s="1"/>
  <c r="W239" i="148" s="1"/>
  <c r="R174" i="148"/>
  <c r="R209" i="148" s="1"/>
  <c r="R239" i="148" s="1"/>
  <c r="S174" i="148"/>
  <c r="S209" i="148" s="1"/>
  <c r="S239" i="148" s="1"/>
  <c r="X174" i="148"/>
  <c r="X209" i="148" s="1"/>
  <c r="X239" i="148" s="1"/>
  <c r="V174" i="148"/>
  <c r="V209" i="148" s="1"/>
  <c r="V239" i="148" s="1"/>
  <c r="U174" i="148"/>
  <c r="U209" i="148" s="1"/>
  <c r="U239" i="148" s="1"/>
  <c r="M193" i="145"/>
  <c r="M66" i="147" s="1"/>
  <c r="M171" i="147" s="1"/>
  <c r="Q135" i="145"/>
  <c r="Q137" i="148" s="1"/>
  <c r="Q207" i="148" s="1"/>
  <c r="Q237" i="148" s="1"/>
  <c r="Y222" i="145"/>
  <c r="Y96" i="147" s="1"/>
  <c r="Y201" i="147" s="1"/>
  <c r="M164" i="145"/>
  <c r="O222" i="145"/>
  <c r="O96" i="147" s="1"/>
  <c r="O201" i="147" s="1"/>
  <c r="N135" i="145"/>
  <c r="N137" i="148" s="1"/>
  <c r="N207" i="148" s="1"/>
  <c r="N237" i="148" s="1"/>
  <c r="M135" i="145"/>
  <c r="M137" i="148" s="1"/>
  <c r="M207" i="148" s="1"/>
  <c r="M237" i="148" s="1"/>
  <c r="K193" i="145"/>
  <c r="K66" i="147" s="1"/>
  <c r="K171" i="147" s="1"/>
  <c r="J222" i="145"/>
  <c r="J96" i="147" s="1"/>
  <c r="J201" i="147" s="1"/>
  <c r="R222" i="145"/>
  <c r="R96" i="147" s="1"/>
  <c r="R201" i="147" s="1"/>
  <c r="N222" i="145"/>
  <c r="N96" i="147" s="1"/>
  <c r="N201" i="147" s="1"/>
  <c r="X193" i="145"/>
  <c r="X66" i="147" s="1"/>
  <c r="X171" i="147" s="1"/>
  <c r="R135" i="145"/>
  <c r="Q193" i="145"/>
  <c r="Q66" i="147" s="1"/>
  <c r="Q171" i="147" s="1"/>
  <c r="R164" i="145"/>
  <c r="T222" i="145"/>
  <c r="T96" i="147" s="1"/>
  <c r="T201" i="147" s="1"/>
  <c r="V164" i="145"/>
  <c r="L164" i="145"/>
  <c r="U222" i="145"/>
  <c r="U96" i="147" s="1"/>
  <c r="U201" i="147" s="1"/>
  <c r="Y164" i="145"/>
  <c r="K222" i="145"/>
  <c r="K96" i="147" s="1"/>
  <c r="K201" i="147" s="1"/>
  <c r="L135" i="145"/>
  <c r="L137" i="148" s="1"/>
  <c r="L207" i="148" s="1"/>
  <c r="L237" i="148" s="1"/>
  <c r="J164" i="145"/>
  <c r="T164" i="145"/>
  <c r="T193" i="145"/>
  <c r="T66" i="147" s="1"/>
  <c r="T171" i="147" s="1"/>
  <c r="X135" i="145"/>
  <c r="V222" i="145"/>
  <c r="V96" i="147" s="1"/>
  <c r="V201" i="147" s="1"/>
  <c r="O164" i="145"/>
  <c r="K135" i="145"/>
  <c r="K137" i="148" s="1"/>
  <c r="K207" i="148" s="1"/>
  <c r="K237" i="148" s="1"/>
  <c r="K164" i="145"/>
  <c r="Y193" i="145"/>
  <c r="Y66" i="147" s="1"/>
  <c r="Y171" i="147" s="1"/>
  <c r="P135" i="145"/>
  <c r="P137" i="148" s="1"/>
  <c r="P207" i="148" s="1"/>
  <c r="P237" i="148" s="1"/>
  <c r="L222" i="145"/>
  <c r="L96" i="147" s="1"/>
  <c r="L201" i="147" s="1"/>
  <c r="J135" i="145"/>
  <c r="J137" i="148" s="1"/>
  <c r="J207" i="148" s="1"/>
  <c r="J237" i="148" s="1"/>
  <c r="W222" i="145"/>
  <c r="W96" i="147" s="1"/>
  <c r="W201" i="147" s="1"/>
  <c r="S164" i="145"/>
  <c r="W164" i="145"/>
  <c r="T135" i="145"/>
  <c r="U164" i="145"/>
  <c r="Q164" i="145"/>
  <c r="S222" i="145"/>
  <c r="S96" i="147" s="1"/>
  <c r="S201" i="147" s="1"/>
  <c r="P164" i="145"/>
  <c r="L193" i="145"/>
  <c r="L66" i="147" s="1"/>
  <c r="L171" i="147" s="1"/>
  <c r="P193" i="145"/>
  <c r="P66" i="147" s="1"/>
  <c r="P171" i="147" s="1"/>
  <c r="W135" i="145"/>
  <c r="V193" i="145"/>
  <c r="V66" i="147" s="1"/>
  <c r="V171" i="147" s="1"/>
  <c r="Q222" i="145"/>
  <c r="Q96" i="147" s="1"/>
  <c r="Q201" i="147" s="1"/>
  <c r="U193" i="145"/>
  <c r="U66" i="147" s="1"/>
  <c r="U171" i="147" s="1"/>
  <c r="W193" i="145"/>
  <c r="W66" i="147" s="1"/>
  <c r="W171" i="147" s="1"/>
  <c r="X222" i="145"/>
  <c r="X96" i="147" s="1"/>
  <c r="X201" i="147" s="1"/>
  <c r="X164" i="145"/>
  <c r="O193" i="145"/>
  <c r="O66" i="147" s="1"/>
  <c r="O171" i="147" s="1"/>
  <c r="N164" i="145"/>
  <c r="V135" i="145"/>
  <c r="M222" i="145"/>
  <c r="M96" i="147" s="1"/>
  <c r="M201" i="147" s="1"/>
  <c r="O135" i="145"/>
  <c r="O137" i="148" s="1"/>
  <c r="O207" i="148" s="1"/>
  <c r="O237" i="148" s="1"/>
  <c r="S135" i="145"/>
  <c r="S193" i="145"/>
  <c r="S66" i="147" s="1"/>
  <c r="S171" i="147" s="1"/>
  <c r="Y135" i="145"/>
  <c r="P222" i="145"/>
  <c r="P96" i="147" s="1"/>
  <c r="P201" i="147" s="1"/>
  <c r="J193" i="145"/>
  <c r="J66" i="147" s="1"/>
  <c r="J171" i="147" s="1"/>
  <c r="U135" i="145"/>
  <c r="N193" i="145"/>
  <c r="N66" i="147" s="1"/>
  <c r="N171" i="147" s="1"/>
  <c r="R193" i="145"/>
  <c r="R66" i="147" s="1"/>
  <c r="R171" i="147" s="1"/>
  <c r="V223" i="145"/>
  <c r="V97" i="147" s="1"/>
  <c r="V202" i="147" s="1"/>
  <c r="K194" i="145"/>
  <c r="K67" i="147" s="1"/>
  <c r="K172" i="147" s="1"/>
  <c r="Q223" i="145"/>
  <c r="Q97" i="147" s="1"/>
  <c r="Q202" i="147" s="1"/>
  <c r="V194" i="145"/>
  <c r="V67" i="147" s="1"/>
  <c r="V172" i="147" s="1"/>
  <c r="O136" i="145"/>
  <c r="O138" i="148" s="1"/>
  <c r="O208" i="148" s="1"/>
  <c r="O238" i="148" s="1"/>
  <c r="T165" i="145"/>
  <c r="T37" i="147" s="1"/>
  <c r="T142" i="147" s="1"/>
  <c r="S136" i="145"/>
  <c r="P223" i="145"/>
  <c r="P97" i="147" s="1"/>
  <c r="P202" i="147" s="1"/>
  <c r="W223" i="145"/>
  <c r="W97" i="147" s="1"/>
  <c r="W202" i="147" s="1"/>
  <c r="V136" i="145"/>
  <c r="P194" i="145"/>
  <c r="P67" i="147" s="1"/>
  <c r="P172" i="147" s="1"/>
  <c r="Y165" i="145"/>
  <c r="Y37" i="147" s="1"/>
  <c r="Y142" i="147" s="1"/>
  <c r="X136" i="145"/>
  <c r="T136" i="145"/>
  <c r="L223" i="145"/>
  <c r="L97" i="147" s="1"/>
  <c r="L202" i="147" s="1"/>
  <c r="U194" i="145"/>
  <c r="U67" i="147" s="1"/>
  <c r="U172" i="147" s="1"/>
  <c r="R223" i="145"/>
  <c r="R97" i="147" s="1"/>
  <c r="R202" i="147" s="1"/>
  <c r="L165" i="145"/>
  <c r="L37" i="147" s="1"/>
  <c r="L142" i="147" s="1"/>
  <c r="M223" i="145"/>
  <c r="M97" i="147" s="1"/>
  <c r="M202" i="147" s="1"/>
  <c r="R194" i="145"/>
  <c r="R67" i="147" s="1"/>
  <c r="R172" i="147" s="1"/>
  <c r="T223" i="145"/>
  <c r="T97" i="147" s="1"/>
  <c r="T202" i="147" s="1"/>
  <c r="U136" i="145"/>
  <c r="M136" i="145"/>
  <c r="M138" i="148" s="1"/>
  <c r="M208" i="148" s="1"/>
  <c r="M238" i="148" s="1"/>
  <c r="W194" i="145"/>
  <c r="W67" i="147" s="1"/>
  <c r="W172" i="147" s="1"/>
  <c r="S223" i="145"/>
  <c r="S97" i="147" s="1"/>
  <c r="S202" i="147" s="1"/>
  <c r="N136" i="145"/>
  <c r="N138" i="148" s="1"/>
  <c r="N208" i="148" s="1"/>
  <c r="N238" i="148" s="1"/>
  <c r="L194" i="145"/>
  <c r="L67" i="147" s="1"/>
  <c r="L172" i="147" s="1"/>
  <c r="U165" i="145"/>
  <c r="U37" i="147" s="1"/>
  <c r="U142" i="147" s="1"/>
  <c r="R136" i="145"/>
  <c r="J136" i="145"/>
  <c r="J138" i="148" s="1"/>
  <c r="J208" i="148" s="1"/>
  <c r="J238" i="148" s="1"/>
  <c r="M194" i="145"/>
  <c r="M67" i="147" s="1"/>
  <c r="M172" i="147" s="1"/>
  <c r="V165" i="145"/>
  <c r="V37" i="147" s="1"/>
  <c r="V142" i="147" s="1"/>
  <c r="J223" i="145"/>
  <c r="J97" i="147" s="1"/>
  <c r="J202" i="147" s="1"/>
  <c r="Q136" i="145"/>
  <c r="Q138" i="148" s="1"/>
  <c r="Q208" i="148" s="1"/>
  <c r="Q238" i="148" s="1"/>
  <c r="Q194" i="145"/>
  <c r="Q67" i="147" s="1"/>
  <c r="Q172" i="147" s="1"/>
  <c r="L136" i="145"/>
  <c r="L138" i="148" s="1"/>
  <c r="L208" i="148" s="1"/>
  <c r="L238" i="148" s="1"/>
  <c r="K223" i="145"/>
  <c r="K97" i="147" s="1"/>
  <c r="K202" i="147" s="1"/>
  <c r="O165" i="145"/>
  <c r="O37" i="147" s="1"/>
  <c r="O142" i="147" s="1"/>
  <c r="P136" i="145"/>
  <c r="P138" i="148" s="1"/>
  <c r="P208" i="148" s="1"/>
  <c r="P238" i="148" s="1"/>
  <c r="X223" i="145"/>
  <c r="X97" i="147" s="1"/>
  <c r="X202" i="147" s="1"/>
  <c r="Y223" i="145"/>
  <c r="Y97" i="147" s="1"/>
  <c r="Y202" i="147" s="1"/>
  <c r="N194" i="145"/>
  <c r="N67" i="147" s="1"/>
  <c r="N172" i="147" s="1"/>
  <c r="R165" i="145"/>
  <c r="R37" i="147" s="1"/>
  <c r="R142" i="147" s="1"/>
  <c r="O194" i="145"/>
  <c r="O67" i="147" s="1"/>
  <c r="O172" i="147" s="1"/>
  <c r="X194" i="145"/>
  <c r="X67" i="147" s="1"/>
  <c r="X172" i="147" s="1"/>
  <c r="Q165" i="145"/>
  <c r="Q37" i="147" s="1"/>
  <c r="Q142" i="147" s="1"/>
  <c r="W136" i="145"/>
  <c r="K165" i="145"/>
  <c r="K37" i="147" s="1"/>
  <c r="K142" i="147" s="1"/>
  <c r="U223" i="145"/>
  <c r="U97" i="147" s="1"/>
  <c r="U202" i="147" s="1"/>
  <c r="J194" i="145"/>
  <c r="J67" i="147" s="1"/>
  <c r="J172" i="147" s="1"/>
  <c r="J165" i="145"/>
  <c r="J37" i="147" s="1"/>
  <c r="J142" i="147" s="1"/>
  <c r="X165" i="145"/>
  <c r="X37" i="147" s="1"/>
  <c r="X142" i="147" s="1"/>
  <c r="T194" i="145"/>
  <c r="T67" i="147" s="1"/>
  <c r="T172" i="147" s="1"/>
  <c r="M165" i="145"/>
  <c r="M37" i="147" s="1"/>
  <c r="M142" i="147" s="1"/>
  <c r="K136" i="145"/>
  <c r="K138" i="148" s="1"/>
  <c r="K208" i="148" s="1"/>
  <c r="K238" i="148" s="1"/>
  <c r="S194" i="145"/>
  <c r="S67" i="147" s="1"/>
  <c r="S172" i="147" s="1"/>
  <c r="Y194" i="145"/>
  <c r="Y67" i="147" s="1"/>
  <c r="Y172" i="147" s="1"/>
  <c r="N165" i="145"/>
  <c r="N37" i="147" s="1"/>
  <c r="N142" i="147" s="1"/>
  <c r="Y136" i="145"/>
  <c r="S165" i="145"/>
  <c r="S37" i="147" s="1"/>
  <c r="S142" i="147" s="1"/>
  <c r="N223" i="145"/>
  <c r="N97" i="147" s="1"/>
  <c r="N202" i="147" s="1"/>
  <c r="O223" i="145"/>
  <c r="O97" i="147" s="1"/>
  <c r="O202" i="147" s="1"/>
  <c r="P165" i="145"/>
  <c r="P37" i="147" s="1"/>
  <c r="P142" i="147" s="1"/>
  <c r="W165" i="145"/>
  <c r="W37" i="147" s="1"/>
  <c r="W142" i="147" s="1"/>
  <c r="W202" i="145"/>
  <c r="W75" i="147" s="1"/>
  <c r="W180" i="147" s="1"/>
  <c r="U231" i="145"/>
  <c r="U105" i="147" s="1"/>
  <c r="U210" i="147" s="1"/>
  <c r="V202" i="145"/>
  <c r="V75" i="147" s="1"/>
  <c r="V180" i="147" s="1"/>
  <c r="N144" i="145"/>
  <c r="N146" i="148" s="1"/>
  <c r="N216" i="148" s="1"/>
  <c r="N246" i="148" s="1"/>
  <c r="O231" i="145"/>
  <c r="O105" i="147" s="1"/>
  <c r="O210" i="147" s="1"/>
  <c r="Q202" i="145"/>
  <c r="Q75" i="147" s="1"/>
  <c r="Q180" i="147" s="1"/>
  <c r="O202" i="145"/>
  <c r="O75" i="147" s="1"/>
  <c r="O180" i="147" s="1"/>
  <c r="J173" i="145"/>
  <c r="J45" i="147" s="1"/>
  <c r="J150" i="147" s="1"/>
  <c r="S231" i="145"/>
  <c r="S105" i="147" s="1"/>
  <c r="S210" i="147" s="1"/>
  <c r="S173" i="145"/>
  <c r="S45" i="147" s="1"/>
  <c r="S150" i="147" s="1"/>
  <c r="Q173" i="145"/>
  <c r="Q45" i="147" s="1"/>
  <c r="Q150" i="147" s="1"/>
  <c r="U173" i="145"/>
  <c r="U45" i="147" s="1"/>
  <c r="U150" i="147" s="1"/>
  <c r="Y144" i="145"/>
  <c r="X231" i="145"/>
  <c r="X105" i="147" s="1"/>
  <c r="X210" i="147" s="1"/>
  <c r="Q231" i="145"/>
  <c r="Q105" i="147" s="1"/>
  <c r="Q210" i="147" s="1"/>
  <c r="P173" i="145"/>
  <c r="P45" i="147" s="1"/>
  <c r="P150" i="147" s="1"/>
  <c r="Y202" i="145"/>
  <c r="Y75" i="147" s="1"/>
  <c r="Y180" i="147" s="1"/>
  <c r="R144" i="145"/>
  <c r="W144" i="145"/>
  <c r="R202" i="145"/>
  <c r="R75" i="147" s="1"/>
  <c r="R180" i="147" s="1"/>
  <c r="J231" i="145"/>
  <c r="J105" i="147" s="1"/>
  <c r="J210" i="147" s="1"/>
  <c r="Q144" i="145"/>
  <c r="Q146" i="148" s="1"/>
  <c r="Q216" i="148" s="1"/>
  <c r="Q246" i="148" s="1"/>
  <c r="M202" i="145"/>
  <c r="M75" i="147" s="1"/>
  <c r="M180" i="147" s="1"/>
  <c r="K144" i="145"/>
  <c r="K146" i="148" s="1"/>
  <c r="K216" i="148" s="1"/>
  <c r="K246" i="148" s="1"/>
  <c r="T202" i="145"/>
  <c r="T75" i="147" s="1"/>
  <c r="T180" i="147" s="1"/>
  <c r="J144" i="145"/>
  <c r="J146" i="148" s="1"/>
  <c r="J216" i="148" s="1"/>
  <c r="J246" i="148" s="1"/>
  <c r="N173" i="145"/>
  <c r="N45" i="147" s="1"/>
  <c r="N150" i="147" s="1"/>
  <c r="W173" i="145"/>
  <c r="W45" i="147" s="1"/>
  <c r="W150" i="147" s="1"/>
  <c r="N231" i="145"/>
  <c r="N105" i="147" s="1"/>
  <c r="N210" i="147" s="1"/>
  <c r="M144" i="145"/>
  <c r="M146" i="148" s="1"/>
  <c r="M216" i="148" s="1"/>
  <c r="M246" i="148" s="1"/>
  <c r="R173" i="145"/>
  <c r="R45" i="147" s="1"/>
  <c r="R150" i="147" s="1"/>
  <c r="L202" i="145"/>
  <c r="L75" i="147" s="1"/>
  <c r="L180" i="147" s="1"/>
  <c r="O173" i="145"/>
  <c r="O45" i="147" s="1"/>
  <c r="O150" i="147" s="1"/>
  <c r="J202" i="145"/>
  <c r="J75" i="147" s="1"/>
  <c r="J180" i="147" s="1"/>
  <c r="R231" i="145"/>
  <c r="R105" i="147" s="1"/>
  <c r="R210" i="147" s="1"/>
  <c r="P202" i="145"/>
  <c r="P75" i="147" s="1"/>
  <c r="P180" i="147" s="1"/>
  <c r="K231" i="145"/>
  <c r="K105" i="147" s="1"/>
  <c r="K210" i="147" s="1"/>
  <c r="L144" i="145"/>
  <c r="L146" i="148" s="1"/>
  <c r="L216" i="148" s="1"/>
  <c r="L246" i="148" s="1"/>
  <c r="W231" i="145"/>
  <c r="W105" i="147" s="1"/>
  <c r="W210" i="147" s="1"/>
  <c r="X144" i="145"/>
  <c r="M231" i="145"/>
  <c r="M105" i="147" s="1"/>
  <c r="M210" i="147" s="1"/>
  <c r="P231" i="145"/>
  <c r="P105" i="147" s="1"/>
  <c r="P210" i="147" s="1"/>
  <c r="T231" i="145"/>
  <c r="T105" i="147" s="1"/>
  <c r="T210" i="147" s="1"/>
  <c r="T173" i="145"/>
  <c r="T45" i="147" s="1"/>
  <c r="T150" i="147" s="1"/>
  <c r="V173" i="145"/>
  <c r="V45" i="147" s="1"/>
  <c r="V150" i="147" s="1"/>
  <c r="X202" i="145"/>
  <c r="X75" i="147" s="1"/>
  <c r="X180" i="147" s="1"/>
  <c r="L231" i="145"/>
  <c r="L105" i="147" s="1"/>
  <c r="L210" i="147" s="1"/>
  <c r="K173" i="145"/>
  <c r="K45" i="147" s="1"/>
  <c r="K150" i="147" s="1"/>
  <c r="Y231" i="145"/>
  <c r="Y105" i="147" s="1"/>
  <c r="Y210" i="147" s="1"/>
  <c r="S144" i="145"/>
  <c r="U202" i="145"/>
  <c r="U75" i="147" s="1"/>
  <c r="U180" i="147" s="1"/>
  <c r="P144" i="145"/>
  <c r="P146" i="148" s="1"/>
  <c r="P216" i="148" s="1"/>
  <c r="P246" i="148" s="1"/>
  <c r="U144" i="145"/>
  <c r="V231" i="145"/>
  <c r="V105" i="147" s="1"/>
  <c r="V210" i="147" s="1"/>
  <c r="T144" i="145"/>
  <c r="L173" i="145"/>
  <c r="L45" i="147" s="1"/>
  <c r="L150" i="147" s="1"/>
  <c r="V144" i="145"/>
  <c r="K202" i="145"/>
  <c r="K75" i="147" s="1"/>
  <c r="K180" i="147" s="1"/>
  <c r="M173" i="145"/>
  <c r="M45" i="147" s="1"/>
  <c r="M150" i="147" s="1"/>
  <c r="Y173" i="145"/>
  <c r="Y45" i="147" s="1"/>
  <c r="Y150" i="147" s="1"/>
  <c r="S202" i="145"/>
  <c r="S75" i="147" s="1"/>
  <c r="S180" i="147" s="1"/>
  <c r="N202" i="145"/>
  <c r="N75" i="147" s="1"/>
  <c r="N180" i="147" s="1"/>
  <c r="O144" i="145"/>
  <c r="O146" i="148" s="1"/>
  <c r="O216" i="148" s="1"/>
  <c r="O246" i="148" s="1"/>
  <c r="X173" i="145"/>
  <c r="X45" i="147" s="1"/>
  <c r="X150" i="147" s="1"/>
  <c r="M150" i="149"/>
  <c r="L150" i="149"/>
  <c r="M180" i="149"/>
  <c r="M240" i="149" s="1"/>
  <c r="Q150" i="149"/>
  <c r="Q180" i="149"/>
  <c r="Q240" i="149" s="1"/>
  <c r="K150" i="149"/>
  <c r="O150" i="149"/>
  <c r="J150" i="149"/>
  <c r="L180" i="149"/>
  <c r="L240" i="149" s="1"/>
  <c r="P180" i="149"/>
  <c r="P240" i="149" s="1"/>
  <c r="J180" i="149"/>
  <c r="J240" i="149" s="1"/>
  <c r="O180" i="149"/>
  <c r="O240" i="149" s="1"/>
  <c r="K180" i="149"/>
  <c r="K240" i="149" s="1"/>
  <c r="N180" i="149"/>
  <c r="N240" i="149" s="1"/>
  <c r="P150" i="149"/>
  <c r="N150" i="149"/>
  <c r="J154" i="149"/>
  <c r="M184" i="149"/>
  <c r="M244" i="149" s="1"/>
  <c r="N184" i="149"/>
  <c r="N244" i="149" s="1"/>
  <c r="Q184" i="149"/>
  <c r="Q244" i="149" s="1"/>
  <c r="O184" i="149"/>
  <c r="O244" i="149" s="1"/>
  <c r="M154" i="149"/>
  <c r="K184" i="149"/>
  <c r="K244" i="149" s="1"/>
  <c r="N154" i="149"/>
  <c r="L154" i="149"/>
  <c r="P154" i="149"/>
  <c r="Q154" i="149"/>
  <c r="J184" i="149"/>
  <c r="J244" i="149" s="1"/>
  <c r="K154" i="149"/>
  <c r="P184" i="149"/>
  <c r="P244" i="149" s="1"/>
  <c r="O154" i="149"/>
  <c r="L184" i="149"/>
  <c r="L244" i="149" s="1"/>
  <c r="R181" i="148"/>
  <c r="R216" i="148" s="1"/>
  <c r="R246" i="148" s="1"/>
  <c r="T181" i="148"/>
  <c r="T216" i="148" s="1"/>
  <c r="T246" i="148" s="1"/>
  <c r="V181" i="148"/>
  <c r="V216" i="148" s="1"/>
  <c r="V246" i="148" s="1"/>
  <c r="W181" i="148"/>
  <c r="W216" i="148" s="1"/>
  <c r="W246" i="148" s="1"/>
  <c r="Y181" i="148"/>
  <c r="Y216" i="148" s="1"/>
  <c r="Y246" i="148" s="1"/>
  <c r="X181" i="148"/>
  <c r="X216" i="148" s="1"/>
  <c r="X246" i="148" s="1"/>
  <c r="U181" i="148"/>
  <c r="U216" i="148" s="1"/>
  <c r="U246" i="148" s="1"/>
  <c r="S181" i="148"/>
  <c r="S216" i="148" s="1"/>
  <c r="S246" i="148" s="1"/>
  <c r="R175" i="148"/>
  <c r="R210" i="148" s="1"/>
  <c r="R240" i="148" s="1"/>
  <c r="W175" i="148"/>
  <c r="W210" i="148" s="1"/>
  <c r="W240" i="148" s="1"/>
  <c r="V175" i="148"/>
  <c r="V210" i="148" s="1"/>
  <c r="V240" i="148" s="1"/>
  <c r="U175" i="148"/>
  <c r="U210" i="148" s="1"/>
  <c r="U240" i="148" s="1"/>
  <c r="Y175" i="148"/>
  <c r="Y210" i="148" s="1"/>
  <c r="Y240" i="148" s="1"/>
  <c r="T175" i="148"/>
  <c r="T210" i="148" s="1"/>
  <c r="T240" i="148" s="1"/>
  <c r="S175" i="148"/>
  <c r="S210" i="148" s="1"/>
  <c r="S240" i="148" s="1"/>
  <c r="X175" i="148"/>
  <c r="X210" i="148" s="1"/>
  <c r="X240" i="148" s="1"/>
  <c r="S178" i="148"/>
  <c r="S213" i="148" s="1"/>
  <c r="S243" i="148" s="1"/>
  <c r="U178" i="148"/>
  <c r="U213" i="148" s="1"/>
  <c r="U243" i="148" s="1"/>
  <c r="X178" i="148"/>
  <c r="X213" i="148" s="1"/>
  <c r="X243" i="148" s="1"/>
  <c r="Y178" i="148"/>
  <c r="Y213" i="148" s="1"/>
  <c r="Y243" i="148" s="1"/>
  <c r="R178" i="148"/>
  <c r="R213" i="148" s="1"/>
  <c r="R243" i="148" s="1"/>
  <c r="V178" i="148"/>
  <c r="V213" i="148" s="1"/>
  <c r="V243" i="148" s="1"/>
  <c r="W178" i="148"/>
  <c r="W213" i="148" s="1"/>
  <c r="W243" i="148" s="1"/>
  <c r="T178" i="148"/>
  <c r="T213" i="148" s="1"/>
  <c r="T243" i="148" s="1"/>
  <c r="J200" i="145"/>
  <c r="J73" i="147" s="1"/>
  <c r="J178" i="147" s="1"/>
  <c r="U229" i="145"/>
  <c r="U103" i="147" s="1"/>
  <c r="U208" i="147" s="1"/>
  <c r="N200" i="145"/>
  <c r="N73" i="147" s="1"/>
  <c r="N178" i="147" s="1"/>
  <c r="X171" i="145"/>
  <c r="X43" i="147" s="1"/>
  <c r="X148" i="147" s="1"/>
  <c r="J171" i="145"/>
  <c r="J43" i="147" s="1"/>
  <c r="J148" i="147" s="1"/>
  <c r="V171" i="145"/>
  <c r="V43" i="147" s="1"/>
  <c r="V148" i="147" s="1"/>
  <c r="K200" i="145"/>
  <c r="K73" i="147" s="1"/>
  <c r="K178" i="147" s="1"/>
  <c r="W229" i="145"/>
  <c r="W103" i="147" s="1"/>
  <c r="W208" i="147" s="1"/>
  <c r="N229" i="145"/>
  <c r="N103" i="147" s="1"/>
  <c r="N208" i="147" s="1"/>
  <c r="V142" i="145"/>
  <c r="N171" i="145"/>
  <c r="N43" i="147" s="1"/>
  <c r="N148" i="147" s="1"/>
  <c r="U171" i="145"/>
  <c r="U43" i="147" s="1"/>
  <c r="U148" i="147" s="1"/>
  <c r="L229" i="145"/>
  <c r="L103" i="147" s="1"/>
  <c r="L208" i="147" s="1"/>
  <c r="W142" i="145"/>
  <c r="M200" i="145"/>
  <c r="M73" i="147" s="1"/>
  <c r="M178" i="147" s="1"/>
  <c r="Y142" i="145"/>
  <c r="S200" i="145"/>
  <c r="S73" i="147" s="1"/>
  <c r="S178" i="147" s="1"/>
  <c r="J142" i="145"/>
  <c r="J144" i="148" s="1"/>
  <c r="J214" i="148" s="1"/>
  <c r="J244" i="148" s="1"/>
  <c r="Y171" i="145"/>
  <c r="Y43" i="147" s="1"/>
  <c r="Y148" i="147" s="1"/>
  <c r="T142" i="145"/>
  <c r="O200" i="145"/>
  <c r="O73" i="147" s="1"/>
  <c r="O178" i="147" s="1"/>
  <c r="O171" i="145"/>
  <c r="O43" i="147" s="1"/>
  <c r="O148" i="147" s="1"/>
  <c r="Q171" i="145"/>
  <c r="Q43" i="147" s="1"/>
  <c r="Q148" i="147" s="1"/>
  <c r="S229" i="145"/>
  <c r="S103" i="147" s="1"/>
  <c r="S208" i="147" s="1"/>
  <c r="K142" i="145"/>
  <c r="K144" i="148" s="1"/>
  <c r="K214" i="148" s="1"/>
  <c r="K244" i="148" s="1"/>
  <c r="T171" i="145"/>
  <c r="T43" i="147" s="1"/>
  <c r="T148" i="147" s="1"/>
  <c r="Y200" i="145"/>
  <c r="Y73" i="147" s="1"/>
  <c r="Y178" i="147" s="1"/>
  <c r="Q142" i="145"/>
  <c r="Q144" i="148" s="1"/>
  <c r="Q214" i="148" s="1"/>
  <c r="Q244" i="148" s="1"/>
  <c r="P171" i="145"/>
  <c r="P43" i="147" s="1"/>
  <c r="P148" i="147" s="1"/>
  <c r="R171" i="145"/>
  <c r="R43" i="147" s="1"/>
  <c r="R148" i="147" s="1"/>
  <c r="X142" i="145"/>
  <c r="M229" i="145"/>
  <c r="M103" i="147" s="1"/>
  <c r="M208" i="147" s="1"/>
  <c r="T229" i="145"/>
  <c r="T103" i="147" s="1"/>
  <c r="T208" i="147" s="1"/>
  <c r="L142" i="145"/>
  <c r="L144" i="148" s="1"/>
  <c r="L214" i="148" s="1"/>
  <c r="L244" i="148" s="1"/>
  <c r="P229" i="145"/>
  <c r="P103" i="147" s="1"/>
  <c r="P208" i="147" s="1"/>
  <c r="K229" i="145"/>
  <c r="K103" i="147" s="1"/>
  <c r="K208" i="147" s="1"/>
  <c r="Q229" i="145"/>
  <c r="Q103" i="147" s="1"/>
  <c r="Q208" i="147" s="1"/>
  <c r="M171" i="145"/>
  <c r="M43" i="147" s="1"/>
  <c r="M148" i="147" s="1"/>
  <c r="X229" i="145"/>
  <c r="X103" i="147" s="1"/>
  <c r="X208" i="147" s="1"/>
  <c r="V229" i="145"/>
  <c r="V103" i="147" s="1"/>
  <c r="V208" i="147" s="1"/>
  <c r="Y229" i="145"/>
  <c r="Y103" i="147" s="1"/>
  <c r="Y208" i="147" s="1"/>
  <c r="L200" i="145"/>
  <c r="L73" i="147" s="1"/>
  <c r="L178" i="147" s="1"/>
  <c r="L171" i="145"/>
  <c r="L43" i="147" s="1"/>
  <c r="L148" i="147" s="1"/>
  <c r="P200" i="145"/>
  <c r="P73" i="147" s="1"/>
  <c r="P178" i="147" s="1"/>
  <c r="K171" i="145"/>
  <c r="K43" i="147" s="1"/>
  <c r="K148" i="147" s="1"/>
  <c r="O142" i="145"/>
  <c r="O144" i="148" s="1"/>
  <c r="O214" i="148" s="1"/>
  <c r="O244" i="148" s="1"/>
  <c r="Q200" i="145"/>
  <c r="Q73" i="147" s="1"/>
  <c r="Q178" i="147" s="1"/>
  <c r="R229" i="145"/>
  <c r="R103" i="147" s="1"/>
  <c r="R208" i="147" s="1"/>
  <c r="R142" i="145"/>
  <c r="N142" i="145"/>
  <c r="N144" i="148" s="1"/>
  <c r="N214" i="148" s="1"/>
  <c r="N244" i="148" s="1"/>
  <c r="V200" i="145"/>
  <c r="V73" i="147" s="1"/>
  <c r="V178" i="147" s="1"/>
  <c r="X200" i="145"/>
  <c r="X73" i="147" s="1"/>
  <c r="X178" i="147" s="1"/>
  <c r="S171" i="145"/>
  <c r="S43" i="147" s="1"/>
  <c r="S148" i="147" s="1"/>
  <c r="W171" i="145"/>
  <c r="W43" i="147" s="1"/>
  <c r="W148" i="147" s="1"/>
  <c r="W200" i="145"/>
  <c r="W73" i="147" s="1"/>
  <c r="W178" i="147" s="1"/>
  <c r="T200" i="145"/>
  <c r="T73" i="147" s="1"/>
  <c r="T178" i="147" s="1"/>
  <c r="U142" i="145"/>
  <c r="P142" i="145"/>
  <c r="P144" i="148" s="1"/>
  <c r="P214" i="148" s="1"/>
  <c r="P244" i="148" s="1"/>
  <c r="U200" i="145"/>
  <c r="U73" i="147" s="1"/>
  <c r="U178" i="147" s="1"/>
  <c r="S142" i="145"/>
  <c r="R200" i="145"/>
  <c r="R73" i="147" s="1"/>
  <c r="R178" i="147" s="1"/>
  <c r="J229" i="145"/>
  <c r="J103" i="147" s="1"/>
  <c r="J208" i="147" s="1"/>
  <c r="M142" i="145"/>
  <c r="M144" i="148" s="1"/>
  <c r="M214" i="148" s="1"/>
  <c r="M244" i="148" s="1"/>
  <c r="O229" i="145"/>
  <c r="O103" i="147" s="1"/>
  <c r="O208" i="147" s="1"/>
  <c r="P140" i="145"/>
  <c r="P142" i="148" s="1"/>
  <c r="P212" i="148" s="1"/>
  <c r="P242" i="148" s="1"/>
  <c r="O227" i="145"/>
  <c r="O101" i="147" s="1"/>
  <c r="O206" i="147" s="1"/>
  <c r="N140" i="145"/>
  <c r="N142" i="148" s="1"/>
  <c r="N212" i="148" s="1"/>
  <c r="N242" i="148" s="1"/>
  <c r="M140" i="145"/>
  <c r="M142" i="148" s="1"/>
  <c r="M212" i="148" s="1"/>
  <c r="M242" i="148" s="1"/>
  <c r="R198" i="145"/>
  <c r="R71" i="147" s="1"/>
  <c r="R176" i="147" s="1"/>
  <c r="O198" i="145"/>
  <c r="O71" i="147" s="1"/>
  <c r="O176" i="147" s="1"/>
  <c r="V227" i="145"/>
  <c r="V101" i="147" s="1"/>
  <c r="V206" i="147" s="1"/>
  <c r="L198" i="145"/>
  <c r="L71" i="147" s="1"/>
  <c r="L176" i="147" s="1"/>
  <c r="X169" i="145"/>
  <c r="X41" i="147" s="1"/>
  <c r="X146" i="147" s="1"/>
  <c r="U198" i="145"/>
  <c r="U71" i="147" s="1"/>
  <c r="U176" i="147" s="1"/>
  <c r="S169" i="145"/>
  <c r="S41" i="147" s="1"/>
  <c r="S146" i="147" s="1"/>
  <c r="Y140" i="145"/>
  <c r="O140" i="145"/>
  <c r="O142" i="148" s="1"/>
  <c r="O212" i="148" s="1"/>
  <c r="O242" i="148" s="1"/>
  <c r="J169" i="145"/>
  <c r="J41" i="147" s="1"/>
  <c r="J146" i="147" s="1"/>
  <c r="T140" i="145"/>
  <c r="U227" i="145"/>
  <c r="U101" i="147" s="1"/>
  <c r="U206" i="147" s="1"/>
  <c r="L140" i="145"/>
  <c r="L142" i="148" s="1"/>
  <c r="L212" i="148" s="1"/>
  <c r="L242" i="148" s="1"/>
  <c r="K227" i="145"/>
  <c r="K101" i="147" s="1"/>
  <c r="K206" i="147" s="1"/>
  <c r="J227" i="145"/>
  <c r="J101" i="147" s="1"/>
  <c r="J206" i="147" s="1"/>
  <c r="M198" i="145"/>
  <c r="M71" i="147" s="1"/>
  <c r="M176" i="147" s="1"/>
  <c r="L169" i="145"/>
  <c r="L41" i="147" s="1"/>
  <c r="L146" i="147" s="1"/>
  <c r="K140" i="145"/>
  <c r="K142" i="148" s="1"/>
  <c r="K212" i="148" s="1"/>
  <c r="K242" i="148" s="1"/>
  <c r="O169" i="145"/>
  <c r="O41" i="147" s="1"/>
  <c r="O146" i="147" s="1"/>
  <c r="X198" i="145"/>
  <c r="X71" i="147" s="1"/>
  <c r="X176" i="147" s="1"/>
  <c r="N198" i="145"/>
  <c r="N71" i="147" s="1"/>
  <c r="N176" i="147" s="1"/>
  <c r="R140" i="145"/>
  <c r="Q169" i="145"/>
  <c r="Q41" i="147" s="1"/>
  <c r="Q146" i="147" s="1"/>
  <c r="Q227" i="145"/>
  <c r="Q101" i="147" s="1"/>
  <c r="Q206" i="147" s="1"/>
  <c r="N169" i="145"/>
  <c r="N41" i="147" s="1"/>
  <c r="N146" i="147" s="1"/>
  <c r="Q198" i="145"/>
  <c r="Q71" i="147" s="1"/>
  <c r="Q176" i="147" s="1"/>
  <c r="U140" i="145"/>
  <c r="R169" i="145"/>
  <c r="R41" i="147" s="1"/>
  <c r="R146" i="147" s="1"/>
  <c r="U169" i="145"/>
  <c r="U41" i="147" s="1"/>
  <c r="U146" i="147" s="1"/>
  <c r="K169" i="145"/>
  <c r="K41" i="147" s="1"/>
  <c r="K146" i="147" s="1"/>
  <c r="W198" i="145"/>
  <c r="W71" i="147" s="1"/>
  <c r="W176" i="147" s="1"/>
  <c r="P198" i="145"/>
  <c r="P71" i="147" s="1"/>
  <c r="P176" i="147" s="1"/>
  <c r="V198" i="145"/>
  <c r="V71" i="147" s="1"/>
  <c r="V176" i="147" s="1"/>
  <c r="T227" i="145"/>
  <c r="T101" i="147" s="1"/>
  <c r="T206" i="147" s="1"/>
  <c r="Q140" i="145"/>
  <c r="Q142" i="148" s="1"/>
  <c r="Q212" i="148" s="1"/>
  <c r="Q242" i="148" s="1"/>
  <c r="M227" i="145"/>
  <c r="M101" i="147" s="1"/>
  <c r="M206" i="147" s="1"/>
  <c r="W227" i="145"/>
  <c r="W101" i="147" s="1"/>
  <c r="W206" i="147" s="1"/>
  <c r="V169" i="145"/>
  <c r="V41" i="147" s="1"/>
  <c r="V146" i="147" s="1"/>
  <c r="K198" i="145"/>
  <c r="K71" i="147" s="1"/>
  <c r="K176" i="147" s="1"/>
  <c r="R227" i="145"/>
  <c r="R101" i="147" s="1"/>
  <c r="R206" i="147" s="1"/>
  <c r="P227" i="145"/>
  <c r="P101" i="147" s="1"/>
  <c r="P206" i="147" s="1"/>
  <c r="Y227" i="145"/>
  <c r="Y101" i="147" s="1"/>
  <c r="Y206" i="147" s="1"/>
  <c r="V140" i="145"/>
  <c r="X227" i="145"/>
  <c r="X101" i="147" s="1"/>
  <c r="X206" i="147" s="1"/>
  <c r="S227" i="145"/>
  <c r="S101" i="147" s="1"/>
  <c r="S206" i="147" s="1"/>
  <c r="L227" i="145"/>
  <c r="L101" i="147" s="1"/>
  <c r="L206" i="147" s="1"/>
  <c r="N227" i="145"/>
  <c r="N101" i="147" s="1"/>
  <c r="N206" i="147" s="1"/>
  <c r="T169" i="145"/>
  <c r="T41" i="147" s="1"/>
  <c r="T146" i="147" s="1"/>
  <c r="S140" i="145"/>
  <c r="J140" i="145"/>
  <c r="J142" i="148" s="1"/>
  <c r="J212" i="148" s="1"/>
  <c r="J242" i="148" s="1"/>
  <c r="P169" i="145"/>
  <c r="P41" i="147" s="1"/>
  <c r="P146" i="147" s="1"/>
  <c r="Y198" i="145"/>
  <c r="Y71" i="147" s="1"/>
  <c r="Y176" i="147" s="1"/>
  <c r="W169" i="145"/>
  <c r="W41" i="147" s="1"/>
  <c r="W146" i="147" s="1"/>
  <c r="M169" i="145"/>
  <c r="M41" i="147" s="1"/>
  <c r="M146" i="147" s="1"/>
  <c r="X140" i="145"/>
  <c r="J198" i="145"/>
  <c r="J71" i="147" s="1"/>
  <c r="J176" i="147" s="1"/>
  <c r="S198" i="145"/>
  <c r="S71" i="147" s="1"/>
  <c r="S176" i="147" s="1"/>
  <c r="T198" i="145"/>
  <c r="T71" i="147" s="1"/>
  <c r="T176" i="147" s="1"/>
  <c r="Y169" i="145"/>
  <c r="Y41" i="147" s="1"/>
  <c r="Y146" i="147" s="1"/>
  <c r="W140" i="145"/>
  <c r="J199" i="145"/>
  <c r="J72" i="147" s="1"/>
  <c r="J177" i="147" s="1"/>
  <c r="W141" i="145"/>
  <c r="U170" i="145"/>
  <c r="U42" i="147" s="1"/>
  <c r="U147" i="147" s="1"/>
  <c r="P228" i="145"/>
  <c r="P102" i="147" s="1"/>
  <c r="P207" i="147" s="1"/>
  <c r="T170" i="145"/>
  <c r="T42" i="147" s="1"/>
  <c r="T147" i="147" s="1"/>
  <c r="T141" i="145"/>
  <c r="J170" i="145"/>
  <c r="J42" i="147" s="1"/>
  <c r="J147" i="147" s="1"/>
  <c r="X170" i="145"/>
  <c r="X42" i="147" s="1"/>
  <c r="X147" i="147" s="1"/>
  <c r="R141" i="145"/>
  <c r="W228" i="145"/>
  <c r="W102" i="147" s="1"/>
  <c r="W207" i="147" s="1"/>
  <c r="L228" i="145"/>
  <c r="L102" i="147" s="1"/>
  <c r="L207" i="147" s="1"/>
  <c r="U141" i="145"/>
  <c r="R228" i="145"/>
  <c r="R102" i="147" s="1"/>
  <c r="R207" i="147" s="1"/>
  <c r="V170" i="145"/>
  <c r="V42" i="147" s="1"/>
  <c r="V147" i="147" s="1"/>
  <c r="V228" i="145"/>
  <c r="V102" i="147" s="1"/>
  <c r="V207" i="147" s="1"/>
  <c r="M228" i="145"/>
  <c r="M102" i="147" s="1"/>
  <c r="M207" i="147" s="1"/>
  <c r="V199" i="145"/>
  <c r="V72" i="147" s="1"/>
  <c r="V177" i="147" s="1"/>
  <c r="T199" i="145"/>
  <c r="T72" i="147" s="1"/>
  <c r="T177" i="147" s="1"/>
  <c r="O141" i="145"/>
  <c r="O143" i="148" s="1"/>
  <c r="O213" i="148" s="1"/>
  <c r="O243" i="148" s="1"/>
  <c r="M170" i="145"/>
  <c r="M42" i="147" s="1"/>
  <c r="M147" i="147" s="1"/>
  <c r="O199" i="145"/>
  <c r="O72" i="147" s="1"/>
  <c r="O177" i="147" s="1"/>
  <c r="L170" i="145"/>
  <c r="L42" i="147" s="1"/>
  <c r="L147" i="147" s="1"/>
  <c r="P141" i="145"/>
  <c r="P143" i="148" s="1"/>
  <c r="P213" i="148" s="1"/>
  <c r="P243" i="148" s="1"/>
  <c r="Y170" i="145"/>
  <c r="Y42" i="147" s="1"/>
  <c r="Y147" i="147" s="1"/>
  <c r="K141" i="145"/>
  <c r="K143" i="148" s="1"/>
  <c r="K213" i="148" s="1"/>
  <c r="K243" i="148" s="1"/>
  <c r="N141" i="145"/>
  <c r="N143" i="148" s="1"/>
  <c r="N213" i="148" s="1"/>
  <c r="N243" i="148" s="1"/>
  <c r="S228" i="145"/>
  <c r="S102" i="147" s="1"/>
  <c r="S207" i="147" s="1"/>
  <c r="X199" i="145"/>
  <c r="X72" i="147" s="1"/>
  <c r="X177" i="147" s="1"/>
  <c r="T228" i="145"/>
  <c r="T102" i="147" s="1"/>
  <c r="T207" i="147" s="1"/>
  <c r="J228" i="145"/>
  <c r="J102" i="147" s="1"/>
  <c r="J207" i="147" s="1"/>
  <c r="M141" i="145"/>
  <c r="M143" i="148" s="1"/>
  <c r="M213" i="148" s="1"/>
  <c r="M243" i="148" s="1"/>
  <c r="N228" i="145"/>
  <c r="N102" i="147" s="1"/>
  <c r="N207" i="147" s="1"/>
  <c r="N199" i="145"/>
  <c r="N72" i="147" s="1"/>
  <c r="N177" i="147" s="1"/>
  <c r="P199" i="145"/>
  <c r="P72" i="147" s="1"/>
  <c r="P177" i="147" s="1"/>
  <c r="K199" i="145"/>
  <c r="K72" i="147" s="1"/>
  <c r="K177" i="147" s="1"/>
  <c r="Q228" i="145"/>
  <c r="Q102" i="147" s="1"/>
  <c r="Q207" i="147" s="1"/>
  <c r="L199" i="145"/>
  <c r="L72" i="147" s="1"/>
  <c r="L177" i="147" s="1"/>
  <c r="K228" i="145"/>
  <c r="K102" i="147" s="1"/>
  <c r="K207" i="147" s="1"/>
  <c r="U199" i="145"/>
  <c r="U72" i="147" s="1"/>
  <c r="U177" i="147" s="1"/>
  <c r="K170" i="145"/>
  <c r="K42" i="147" s="1"/>
  <c r="K147" i="147" s="1"/>
  <c r="W170" i="145"/>
  <c r="W42" i="147" s="1"/>
  <c r="W147" i="147" s="1"/>
  <c r="V141" i="145"/>
  <c r="M199" i="145"/>
  <c r="M72" i="147" s="1"/>
  <c r="M177" i="147" s="1"/>
  <c r="Q170" i="145"/>
  <c r="Q42" i="147" s="1"/>
  <c r="Q147" i="147" s="1"/>
  <c r="J141" i="145"/>
  <c r="J143" i="148" s="1"/>
  <c r="J213" i="148" s="1"/>
  <c r="J243" i="148" s="1"/>
  <c r="P170" i="145"/>
  <c r="P42" i="147" s="1"/>
  <c r="P147" i="147" s="1"/>
  <c r="R170" i="145"/>
  <c r="R42" i="147" s="1"/>
  <c r="R147" i="147" s="1"/>
  <c r="U228" i="145"/>
  <c r="U102" i="147" s="1"/>
  <c r="U207" i="147" s="1"/>
  <c r="N170" i="145"/>
  <c r="N42" i="147" s="1"/>
  <c r="N147" i="147" s="1"/>
  <c r="X141" i="145"/>
  <c r="Q199" i="145"/>
  <c r="Q72" i="147" s="1"/>
  <c r="Q177" i="147" s="1"/>
  <c r="Y141" i="145"/>
  <c r="R199" i="145"/>
  <c r="R72" i="147" s="1"/>
  <c r="R177" i="147" s="1"/>
  <c r="S199" i="145"/>
  <c r="S72" i="147" s="1"/>
  <c r="S177" i="147" s="1"/>
  <c r="W199" i="145"/>
  <c r="W72" i="147" s="1"/>
  <c r="W177" i="147" s="1"/>
  <c r="O170" i="145"/>
  <c r="O42" i="147" s="1"/>
  <c r="O147" i="147" s="1"/>
  <c r="S170" i="145"/>
  <c r="S42" i="147" s="1"/>
  <c r="S147" i="147" s="1"/>
  <c r="Y228" i="145"/>
  <c r="Y102" i="147" s="1"/>
  <c r="Y207" i="147" s="1"/>
  <c r="Q141" i="145"/>
  <c r="Q143" i="148" s="1"/>
  <c r="Q213" i="148" s="1"/>
  <c r="Q243" i="148" s="1"/>
  <c r="S141" i="145"/>
  <c r="X228" i="145"/>
  <c r="X102" i="147" s="1"/>
  <c r="X207" i="147" s="1"/>
  <c r="L141" i="145"/>
  <c r="L143" i="148" s="1"/>
  <c r="L213" i="148" s="1"/>
  <c r="L243" i="148" s="1"/>
  <c r="O228" i="145"/>
  <c r="O102" i="147" s="1"/>
  <c r="O207" i="147" s="1"/>
  <c r="Y199" i="145"/>
  <c r="Y72" i="147" s="1"/>
  <c r="Y177" i="147" s="1"/>
  <c r="N182" i="149"/>
  <c r="N242" i="149" s="1"/>
  <c r="L182" i="149"/>
  <c r="L242" i="149" s="1"/>
  <c r="K182" i="149"/>
  <c r="K242" i="149" s="1"/>
  <c r="P182" i="149"/>
  <c r="P242" i="149" s="1"/>
  <c r="P152" i="149"/>
  <c r="L152" i="149"/>
  <c r="J182" i="149"/>
  <c r="J242" i="149" s="1"/>
  <c r="N152" i="149"/>
  <c r="Q152" i="149"/>
  <c r="O152" i="149"/>
  <c r="M182" i="149"/>
  <c r="M242" i="149" s="1"/>
  <c r="K152" i="149"/>
  <c r="M152" i="149"/>
  <c r="J152" i="149"/>
  <c r="O182" i="149"/>
  <c r="O242" i="149" s="1"/>
  <c r="Q182" i="149"/>
  <c r="Q242" i="149" s="1"/>
  <c r="N147" i="149"/>
  <c r="O147" i="149"/>
  <c r="M177" i="149"/>
  <c r="M237" i="149" s="1"/>
  <c r="Q177" i="149"/>
  <c r="Q237" i="149" s="1"/>
  <c r="O177" i="149"/>
  <c r="O237" i="149" s="1"/>
  <c r="L147" i="149"/>
  <c r="J177" i="149"/>
  <c r="J237" i="149" s="1"/>
  <c r="K147" i="149"/>
  <c r="M147" i="149"/>
  <c r="J147" i="149"/>
  <c r="L177" i="149"/>
  <c r="L237" i="149" s="1"/>
  <c r="P177" i="149"/>
  <c r="P237" i="149" s="1"/>
  <c r="P147" i="149"/>
  <c r="K177" i="149"/>
  <c r="K237" i="149" s="1"/>
  <c r="N177" i="149"/>
  <c r="N237" i="149" s="1"/>
  <c r="Q147" i="149"/>
  <c r="J179" i="149"/>
  <c r="J239" i="149" s="1"/>
  <c r="O179" i="149"/>
  <c r="O239" i="149" s="1"/>
  <c r="P149" i="149"/>
  <c r="Q179" i="149"/>
  <c r="Q239" i="149" s="1"/>
  <c r="P179" i="149"/>
  <c r="P239" i="149" s="1"/>
  <c r="M179" i="149"/>
  <c r="M239" i="149" s="1"/>
  <c r="O149" i="149"/>
  <c r="K179" i="149"/>
  <c r="K239" i="149" s="1"/>
  <c r="J149" i="149"/>
  <c r="Q149" i="149"/>
  <c r="N179" i="149"/>
  <c r="N239" i="149" s="1"/>
  <c r="K149" i="149"/>
  <c r="M149" i="149"/>
  <c r="N149" i="149"/>
  <c r="L179" i="149"/>
  <c r="L239" i="149" s="1"/>
  <c r="L149" i="149"/>
  <c r="T177" i="148"/>
  <c r="T212" i="148" s="1"/>
  <c r="T242" i="148" s="1"/>
  <c r="V177" i="148"/>
  <c r="V212" i="148" s="1"/>
  <c r="V242" i="148" s="1"/>
  <c r="R177" i="148"/>
  <c r="R212" i="148" s="1"/>
  <c r="R242" i="148" s="1"/>
  <c r="W177" i="148"/>
  <c r="W212" i="148" s="1"/>
  <c r="W242" i="148" s="1"/>
  <c r="Y177" i="148"/>
  <c r="Y212" i="148" s="1"/>
  <c r="Y242" i="148" s="1"/>
  <c r="U177" i="148"/>
  <c r="U212" i="148" s="1"/>
  <c r="U242" i="148" s="1"/>
  <c r="S177" i="148"/>
  <c r="S212" i="148" s="1"/>
  <c r="S242" i="148" s="1"/>
  <c r="X177" i="148"/>
  <c r="X212" i="148" s="1"/>
  <c r="X242" i="148" s="1"/>
  <c r="S173" i="148"/>
  <c r="S208" i="148" s="1"/>
  <c r="S238" i="148" s="1"/>
  <c r="T173" i="148"/>
  <c r="T208" i="148" s="1"/>
  <c r="T238" i="148" s="1"/>
  <c r="R173" i="148"/>
  <c r="R208" i="148" s="1"/>
  <c r="R238" i="148" s="1"/>
  <c r="W173" i="148"/>
  <c r="W208" i="148" s="1"/>
  <c r="W238" i="148" s="1"/>
  <c r="V173" i="148"/>
  <c r="V208" i="148" s="1"/>
  <c r="V238" i="148" s="1"/>
  <c r="Y173" i="148"/>
  <c r="Y208" i="148" s="1"/>
  <c r="Y238" i="148" s="1"/>
  <c r="X173" i="148"/>
  <c r="X208" i="148" s="1"/>
  <c r="X238" i="148" s="1"/>
  <c r="U173" i="148"/>
  <c r="U208" i="148" s="1"/>
  <c r="U238" i="148" s="1"/>
  <c r="A4" i="146"/>
  <c r="J50" i="55"/>
  <c r="U139" i="145"/>
  <c r="S168" i="145"/>
  <c r="S40" i="147" s="1"/>
  <c r="S145" i="147" s="1"/>
  <c r="N226" i="145"/>
  <c r="N100" i="147" s="1"/>
  <c r="N205" i="147" s="1"/>
  <c r="T139" i="145"/>
  <c r="K139" i="145"/>
  <c r="K141" i="148" s="1"/>
  <c r="K211" i="148" s="1"/>
  <c r="K241" i="148" s="1"/>
  <c r="V139" i="145"/>
  <c r="L197" i="145"/>
  <c r="L70" i="147" s="1"/>
  <c r="L175" i="147" s="1"/>
  <c r="U168" i="145"/>
  <c r="U40" i="147" s="1"/>
  <c r="U145" i="147" s="1"/>
  <c r="X168" i="145"/>
  <c r="X40" i="147" s="1"/>
  <c r="X145" i="147" s="1"/>
  <c r="V197" i="145"/>
  <c r="V70" i="147" s="1"/>
  <c r="V175" i="147" s="1"/>
  <c r="M226" i="145"/>
  <c r="M100" i="147" s="1"/>
  <c r="M205" i="147" s="1"/>
  <c r="S226" i="145"/>
  <c r="S100" i="147" s="1"/>
  <c r="S205" i="147" s="1"/>
  <c r="U197" i="145"/>
  <c r="U70" i="147" s="1"/>
  <c r="U175" i="147" s="1"/>
  <c r="K168" i="145"/>
  <c r="K40" i="147" s="1"/>
  <c r="K145" i="147" s="1"/>
  <c r="X226" i="145"/>
  <c r="X100" i="147" s="1"/>
  <c r="X205" i="147" s="1"/>
  <c r="S139" i="145"/>
  <c r="M139" i="145"/>
  <c r="M141" i="148" s="1"/>
  <c r="M211" i="148" s="1"/>
  <c r="M241" i="148" s="1"/>
  <c r="L168" i="145"/>
  <c r="L40" i="147" s="1"/>
  <c r="L145" i="147" s="1"/>
  <c r="J226" i="145"/>
  <c r="J100" i="147" s="1"/>
  <c r="J205" i="147" s="1"/>
  <c r="J139" i="145"/>
  <c r="J141" i="148" s="1"/>
  <c r="J211" i="148" s="1"/>
  <c r="J241" i="148" s="1"/>
  <c r="W197" i="145"/>
  <c r="W70" i="147" s="1"/>
  <c r="W175" i="147" s="1"/>
  <c r="X197" i="145"/>
  <c r="X70" i="147" s="1"/>
  <c r="X175" i="147" s="1"/>
  <c r="S197" i="145"/>
  <c r="S70" i="147" s="1"/>
  <c r="S175" i="147" s="1"/>
  <c r="Q168" i="145"/>
  <c r="Q40" i="147" s="1"/>
  <c r="Q145" i="147" s="1"/>
  <c r="U226" i="145"/>
  <c r="U100" i="147" s="1"/>
  <c r="U205" i="147" s="1"/>
  <c r="N197" i="145"/>
  <c r="N70" i="147" s="1"/>
  <c r="N175" i="147" s="1"/>
  <c r="Y139" i="145"/>
  <c r="K226" i="145"/>
  <c r="K100" i="147" s="1"/>
  <c r="K205" i="147" s="1"/>
  <c r="M197" i="145"/>
  <c r="M70" i="147" s="1"/>
  <c r="M175" i="147" s="1"/>
  <c r="N168" i="145"/>
  <c r="N40" i="147" s="1"/>
  <c r="N145" i="147" s="1"/>
  <c r="L139" i="145"/>
  <c r="L141" i="148" s="1"/>
  <c r="L211" i="148" s="1"/>
  <c r="L241" i="148" s="1"/>
  <c r="Q139" i="145"/>
  <c r="Q141" i="148" s="1"/>
  <c r="Q211" i="148" s="1"/>
  <c r="Q241" i="148" s="1"/>
  <c r="Y197" i="145"/>
  <c r="Y70" i="147" s="1"/>
  <c r="Y175" i="147" s="1"/>
  <c r="O168" i="145"/>
  <c r="O40" i="147" s="1"/>
  <c r="O145" i="147" s="1"/>
  <c r="O226" i="145"/>
  <c r="O100" i="147" s="1"/>
  <c r="O205" i="147" s="1"/>
  <c r="Y168" i="145"/>
  <c r="Y40" i="147" s="1"/>
  <c r="Y145" i="147" s="1"/>
  <c r="R139" i="145"/>
  <c r="J197" i="145"/>
  <c r="J70" i="147" s="1"/>
  <c r="J175" i="147" s="1"/>
  <c r="K197" i="145"/>
  <c r="K70" i="147" s="1"/>
  <c r="K175" i="147" s="1"/>
  <c r="R168" i="145"/>
  <c r="R40" i="147" s="1"/>
  <c r="R145" i="147" s="1"/>
  <c r="V226" i="145"/>
  <c r="V100" i="147" s="1"/>
  <c r="V205" i="147" s="1"/>
  <c r="J168" i="145"/>
  <c r="J40" i="147" s="1"/>
  <c r="J145" i="147" s="1"/>
  <c r="T197" i="145"/>
  <c r="T70" i="147" s="1"/>
  <c r="T175" i="147" s="1"/>
  <c r="M168" i="145"/>
  <c r="M40" i="147" s="1"/>
  <c r="M145" i="147" s="1"/>
  <c r="P139" i="145"/>
  <c r="P141" i="148" s="1"/>
  <c r="P211" i="148" s="1"/>
  <c r="P241" i="148" s="1"/>
  <c r="P168" i="145"/>
  <c r="P40" i="147" s="1"/>
  <c r="P145" i="147" s="1"/>
  <c r="W139" i="145"/>
  <c r="P226" i="145"/>
  <c r="P100" i="147" s="1"/>
  <c r="P205" i="147" s="1"/>
  <c r="R226" i="145"/>
  <c r="R100" i="147" s="1"/>
  <c r="R205" i="147" s="1"/>
  <c r="N139" i="145"/>
  <c r="N141" i="148" s="1"/>
  <c r="N211" i="148" s="1"/>
  <c r="N241" i="148" s="1"/>
  <c r="P197" i="145"/>
  <c r="P70" i="147" s="1"/>
  <c r="P175" i="147" s="1"/>
  <c r="X139" i="145"/>
  <c r="Y226" i="145"/>
  <c r="Y100" i="147" s="1"/>
  <c r="Y205" i="147" s="1"/>
  <c r="L226" i="145"/>
  <c r="L100" i="147" s="1"/>
  <c r="L205" i="147" s="1"/>
  <c r="O139" i="145"/>
  <c r="O141" i="148" s="1"/>
  <c r="O211" i="148" s="1"/>
  <c r="O241" i="148" s="1"/>
  <c r="O197" i="145"/>
  <c r="O70" i="147" s="1"/>
  <c r="O175" i="147" s="1"/>
  <c r="W226" i="145"/>
  <c r="W100" i="147" s="1"/>
  <c r="W205" i="147" s="1"/>
  <c r="V168" i="145"/>
  <c r="V40" i="147" s="1"/>
  <c r="V145" i="147" s="1"/>
  <c r="T168" i="145"/>
  <c r="T40" i="147" s="1"/>
  <c r="T145" i="147" s="1"/>
  <c r="Q197" i="145"/>
  <c r="Q70" i="147" s="1"/>
  <c r="Q175" i="147" s="1"/>
  <c r="T226" i="145"/>
  <c r="T100" i="147" s="1"/>
  <c r="T205" i="147" s="1"/>
  <c r="Q226" i="145"/>
  <c r="Q100" i="147" s="1"/>
  <c r="Q205" i="147" s="1"/>
  <c r="W168" i="145"/>
  <c r="W40" i="147" s="1"/>
  <c r="W145" i="147" s="1"/>
  <c r="R197" i="145"/>
  <c r="R70" i="147" s="1"/>
  <c r="R175" i="147" s="1"/>
  <c r="V201" i="145"/>
  <c r="V74" i="147" s="1"/>
  <c r="V179" i="147" s="1"/>
  <c r="K172" i="145"/>
  <c r="K44" i="147" s="1"/>
  <c r="K149" i="147" s="1"/>
  <c r="L230" i="145"/>
  <c r="L104" i="147" s="1"/>
  <c r="L209" i="147" s="1"/>
  <c r="O230" i="145"/>
  <c r="O104" i="147" s="1"/>
  <c r="O209" i="147" s="1"/>
  <c r="K143" i="145"/>
  <c r="K145" i="148" s="1"/>
  <c r="K215" i="148" s="1"/>
  <c r="K245" i="148" s="1"/>
  <c r="Q143" i="145"/>
  <c r="Q145" i="148" s="1"/>
  <c r="Q215" i="148" s="1"/>
  <c r="Q245" i="148" s="1"/>
  <c r="O143" i="145"/>
  <c r="O145" i="148" s="1"/>
  <c r="O215" i="148" s="1"/>
  <c r="O245" i="148" s="1"/>
  <c r="R143" i="145"/>
  <c r="Y172" i="145"/>
  <c r="Y44" i="147" s="1"/>
  <c r="Y149" i="147" s="1"/>
  <c r="J143" i="145"/>
  <c r="J145" i="148" s="1"/>
  <c r="J215" i="148" s="1"/>
  <c r="J245" i="148" s="1"/>
  <c r="V172" i="145"/>
  <c r="V44" i="147" s="1"/>
  <c r="V149" i="147" s="1"/>
  <c r="U172" i="145"/>
  <c r="U44" i="147" s="1"/>
  <c r="U149" i="147" s="1"/>
  <c r="X201" i="145"/>
  <c r="X74" i="147" s="1"/>
  <c r="X179" i="147" s="1"/>
  <c r="J230" i="145"/>
  <c r="J104" i="147" s="1"/>
  <c r="J209" i="147" s="1"/>
  <c r="Q201" i="145"/>
  <c r="Q74" i="147" s="1"/>
  <c r="Q179" i="147" s="1"/>
  <c r="R201" i="145"/>
  <c r="R74" i="147" s="1"/>
  <c r="R179" i="147" s="1"/>
  <c r="Y201" i="145"/>
  <c r="Y74" i="147" s="1"/>
  <c r="Y179" i="147" s="1"/>
  <c r="S172" i="145"/>
  <c r="S44" i="147" s="1"/>
  <c r="S149" i="147" s="1"/>
  <c r="L201" i="145"/>
  <c r="L74" i="147" s="1"/>
  <c r="L179" i="147" s="1"/>
  <c r="K230" i="145"/>
  <c r="K104" i="147" s="1"/>
  <c r="K209" i="147" s="1"/>
  <c r="S143" i="145"/>
  <c r="M201" i="145"/>
  <c r="M74" i="147" s="1"/>
  <c r="M179" i="147" s="1"/>
  <c r="P143" i="145"/>
  <c r="P145" i="148" s="1"/>
  <c r="P215" i="148" s="1"/>
  <c r="P245" i="148" s="1"/>
  <c r="N143" i="145"/>
  <c r="N145" i="148" s="1"/>
  <c r="N215" i="148" s="1"/>
  <c r="N245" i="148" s="1"/>
  <c r="R230" i="145"/>
  <c r="R104" i="147" s="1"/>
  <c r="R209" i="147" s="1"/>
  <c r="J201" i="145"/>
  <c r="J74" i="147" s="1"/>
  <c r="J179" i="147" s="1"/>
  <c r="W172" i="145"/>
  <c r="W44" i="147" s="1"/>
  <c r="W149" i="147" s="1"/>
  <c r="V230" i="145"/>
  <c r="V104" i="147" s="1"/>
  <c r="V209" i="147" s="1"/>
  <c r="O201" i="145"/>
  <c r="O74" i="147" s="1"/>
  <c r="O179" i="147" s="1"/>
  <c r="X172" i="145"/>
  <c r="X44" i="147" s="1"/>
  <c r="X149" i="147" s="1"/>
  <c r="U143" i="145"/>
  <c r="M172" i="145"/>
  <c r="M44" i="147" s="1"/>
  <c r="M149" i="147" s="1"/>
  <c r="V143" i="145"/>
  <c r="W230" i="145"/>
  <c r="W104" i="147" s="1"/>
  <c r="W209" i="147" s="1"/>
  <c r="X230" i="145"/>
  <c r="X104" i="147" s="1"/>
  <c r="X209" i="147" s="1"/>
  <c r="N172" i="145"/>
  <c r="N44" i="147" s="1"/>
  <c r="N149" i="147" s="1"/>
  <c r="J172" i="145"/>
  <c r="J44" i="147" s="1"/>
  <c r="J149" i="147" s="1"/>
  <c r="T230" i="145"/>
  <c r="T104" i="147" s="1"/>
  <c r="T209" i="147" s="1"/>
  <c r="N201" i="145"/>
  <c r="N74" i="147" s="1"/>
  <c r="N179" i="147" s="1"/>
  <c r="K201" i="145"/>
  <c r="K74" i="147" s="1"/>
  <c r="K179" i="147" s="1"/>
  <c r="Q172" i="145"/>
  <c r="Q44" i="147" s="1"/>
  <c r="Q149" i="147" s="1"/>
  <c r="P230" i="145"/>
  <c r="P104" i="147" s="1"/>
  <c r="P209" i="147" s="1"/>
  <c r="W201" i="145"/>
  <c r="W74" i="147" s="1"/>
  <c r="W179" i="147" s="1"/>
  <c r="L143" i="145"/>
  <c r="L145" i="148" s="1"/>
  <c r="L215" i="148" s="1"/>
  <c r="L245" i="148" s="1"/>
  <c r="Q230" i="145"/>
  <c r="Q104" i="147" s="1"/>
  <c r="Q209" i="147" s="1"/>
  <c r="P201" i="145"/>
  <c r="P74" i="147" s="1"/>
  <c r="P179" i="147" s="1"/>
  <c r="M143" i="145"/>
  <c r="M145" i="148" s="1"/>
  <c r="M215" i="148" s="1"/>
  <c r="M245" i="148" s="1"/>
  <c r="U201" i="145"/>
  <c r="U74" i="147" s="1"/>
  <c r="U179" i="147" s="1"/>
  <c r="T201" i="145"/>
  <c r="T74" i="147" s="1"/>
  <c r="T179" i="147" s="1"/>
  <c r="L172" i="145"/>
  <c r="L44" i="147" s="1"/>
  <c r="L149" i="147" s="1"/>
  <c r="Y143" i="145"/>
  <c r="N230" i="145"/>
  <c r="N104" i="147" s="1"/>
  <c r="N209" i="147" s="1"/>
  <c r="Y230" i="145"/>
  <c r="Y104" i="147" s="1"/>
  <c r="Y209" i="147" s="1"/>
  <c r="W143" i="145"/>
  <c r="M230" i="145"/>
  <c r="M104" i="147" s="1"/>
  <c r="M209" i="147" s="1"/>
  <c r="T172" i="145"/>
  <c r="T44" i="147" s="1"/>
  <c r="T149" i="147" s="1"/>
  <c r="O172" i="145"/>
  <c r="O44" i="147" s="1"/>
  <c r="O149" i="147" s="1"/>
  <c r="S230" i="145"/>
  <c r="S104" i="147" s="1"/>
  <c r="S209" i="147" s="1"/>
  <c r="U230" i="145"/>
  <c r="U104" i="147" s="1"/>
  <c r="U209" i="147" s="1"/>
  <c r="P172" i="145"/>
  <c r="P44" i="147" s="1"/>
  <c r="P149" i="147" s="1"/>
  <c r="X143" i="145"/>
  <c r="T143" i="145"/>
  <c r="R172" i="145"/>
  <c r="R44" i="147" s="1"/>
  <c r="R149" i="147" s="1"/>
  <c r="S201" i="145"/>
  <c r="S74" i="147" s="1"/>
  <c r="S179" i="147" s="1"/>
  <c r="O155" i="149"/>
  <c r="L185" i="149"/>
  <c r="L245" i="149" s="1"/>
  <c r="N185" i="149"/>
  <c r="N245" i="149" s="1"/>
  <c r="P185" i="149"/>
  <c r="P245" i="149" s="1"/>
  <c r="O185" i="149"/>
  <c r="O245" i="149" s="1"/>
  <c r="K185" i="149"/>
  <c r="K245" i="149" s="1"/>
  <c r="M185" i="149"/>
  <c r="M245" i="149" s="1"/>
  <c r="J155" i="149"/>
  <c r="P155" i="149"/>
  <c r="J185" i="149"/>
  <c r="J245" i="149" s="1"/>
  <c r="Q185" i="149"/>
  <c r="Q245" i="149" s="1"/>
  <c r="M155" i="149"/>
  <c r="L155" i="149"/>
  <c r="N155" i="149"/>
  <c r="K155" i="149"/>
  <c r="Q155" i="149"/>
  <c r="K176" i="149"/>
  <c r="K236" i="149" s="1"/>
  <c r="P176" i="149"/>
  <c r="P236" i="149" s="1"/>
  <c r="Q146" i="149"/>
  <c r="O176" i="149"/>
  <c r="O236" i="149" s="1"/>
  <c r="O146" i="149"/>
  <c r="P146" i="149"/>
  <c r="M146" i="149"/>
  <c r="M176" i="149"/>
  <c r="M236" i="149" s="1"/>
  <c r="K146" i="149"/>
  <c r="J146" i="149"/>
  <c r="N176" i="149"/>
  <c r="N236" i="149" s="1"/>
  <c r="J176" i="149"/>
  <c r="J236" i="149" s="1"/>
  <c r="L146" i="149"/>
  <c r="N146" i="149"/>
  <c r="L176" i="149"/>
  <c r="L236" i="149" s="1"/>
  <c r="Q176" i="149"/>
  <c r="Q236" i="149" s="1"/>
  <c r="S176" i="148"/>
  <c r="S211" i="148" s="1"/>
  <c r="S241" i="148" s="1"/>
  <c r="V176" i="148"/>
  <c r="V211" i="148" s="1"/>
  <c r="V241" i="148" s="1"/>
  <c r="Y176" i="148"/>
  <c r="Y211" i="148" s="1"/>
  <c r="Y241" i="148" s="1"/>
  <c r="X176" i="148"/>
  <c r="X211" i="148" s="1"/>
  <c r="X241" i="148" s="1"/>
  <c r="U176" i="148"/>
  <c r="U211" i="148" s="1"/>
  <c r="U241" i="148" s="1"/>
  <c r="R176" i="148"/>
  <c r="R211" i="148" s="1"/>
  <c r="R241" i="148" s="1"/>
  <c r="W176" i="148"/>
  <c r="W211" i="148" s="1"/>
  <c r="W241" i="148" s="1"/>
  <c r="T176" i="148"/>
  <c r="T211" i="148" s="1"/>
  <c r="T241" i="148" s="1"/>
  <c r="W179" i="148"/>
  <c r="W214" i="148" s="1"/>
  <c r="W244" i="148" s="1"/>
  <c r="Y179" i="148"/>
  <c r="Y214" i="148" s="1"/>
  <c r="Y244" i="148" s="1"/>
  <c r="U179" i="148"/>
  <c r="U214" i="148" s="1"/>
  <c r="U244" i="148" s="1"/>
  <c r="S179" i="148"/>
  <c r="S214" i="148" s="1"/>
  <c r="S244" i="148" s="1"/>
  <c r="X179" i="148"/>
  <c r="X214" i="148" s="1"/>
  <c r="X244" i="148" s="1"/>
  <c r="T179" i="148"/>
  <c r="T214" i="148" s="1"/>
  <c r="T244" i="148" s="1"/>
  <c r="V179" i="148"/>
  <c r="V214" i="148" s="1"/>
  <c r="V244" i="148" s="1"/>
  <c r="R179" i="148"/>
  <c r="R214" i="148" s="1"/>
  <c r="R244" i="148" s="1"/>
  <c r="W172" i="148"/>
  <c r="W207" i="148" s="1"/>
  <c r="W237" i="148" s="1"/>
  <c r="X172" i="148"/>
  <c r="X207" i="148" s="1"/>
  <c r="X237" i="148" s="1"/>
  <c r="V172" i="148"/>
  <c r="V207" i="148" s="1"/>
  <c r="V237" i="148" s="1"/>
  <c r="S172" i="148"/>
  <c r="S207" i="148" s="1"/>
  <c r="S237" i="148" s="1"/>
  <c r="Y172" i="148"/>
  <c r="Y207" i="148" s="1"/>
  <c r="Y237" i="148" s="1"/>
  <c r="T172" i="148"/>
  <c r="T207" i="148" s="1"/>
  <c r="T237" i="148" s="1"/>
  <c r="R172" i="148"/>
  <c r="R207" i="148" s="1"/>
  <c r="R237" i="148" s="1"/>
  <c r="U172" i="148"/>
  <c r="U207" i="148" s="1"/>
  <c r="U237" i="148" s="1"/>
  <c r="X250" i="148" l="1"/>
  <c r="X26" i="151" s="1"/>
  <c r="X57" i="151" s="1"/>
  <c r="T250" i="148"/>
  <c r="T26" i="151" s="1"/>
  <c r="T57" i="151" s="1"/>
  <c r="P257" i="149"/>
  <c r="P25" i="151" s="1"/>
  <c r="P56" i="151" s="1"/>
  <c r="O250" i="148"/>
  <c r="O26" i="151" s="1"/>
  <c r="O26" i="153" s="1"/>
  <c r="O96" i="153" s="1"/>
  <c r="K218" i="147"/>
  <c r="K21" i="151" s="1"/>
  <c r="K75" i="151" s="1"/>
  <c r="AA102" i="151" s="1"/>
  <c r="N257" i="149"/>
  <c r="N25" i="151" s="1"/>
  <c r="N25" i="153" s="1"/>
  <c r="N95" i="153" s="1"/>
  <c r="R218" i="147"/>
  <c r="R21" i="151" s="1"/>
  <c r="O218" i="147"/>
  <c r="O21" i="151" s="1"/>
  <c r="P218" i="147"/>
  <c r="P21" i="151" s="1"/>
  <c r="S36" i="147"/>
  <c r="S141" i="147" s="1"/>
  <c r="S217" i="147" s="1"/>
  <c r="S20" i="151" s="1"/>
  <c r="S74" i="151" s="1"/>
  <c r="S102" i="151" s="1"/>
  <c r="S239" i="145"/>
  <c r="T36" i="147"/>
  <c r="T141" i="147" s="1"/>
  <c r="T217" i="147" s="1"/>
  <c r="T20" i="151" s="1"/>
  <c r="T74" i="151" s="1"/>
  <c r="T102" i="151" s="1"/>
  <c r="T239" i="145"/>
  <c r="T219" i="147"/>
  <c r="T22" i="151" s="1"/>
  <c r="Y250" i="148"/>
  <c r="Y26" i="151" s="1"/>
  <c r="W250" i="148"/>
  <c r="W26" i="151" s="1"/>
  <c r="K257" i="149"/>
  <c r="K25" i="151" s="1"/>
  <c r="N218" i="147"/>
  <c r="N21" i="151" s="1"/>
  <c r="M219" i="147"/>
  <c r="M22" i="151" s="1"/>
  <c r="X36" i="147"/>
  <c r="X141" i="147" s="1"/>
  <c r="X217" i="147" s="1"/>
  <c r="X20" i="151" s="1"/>
  <c r="X51" i="151" s="1"/>
  <c r="X239" i="145"/>
  <c r="Q219" i="147"/>
  <c r="Q22" i="151" s="1"/>
  <c r="L218" i="147"/>
  <c r="L21" i="151" s="1"/>
  <c r="U36" i="147"/>
  <c r="U141" i="147" s="1"/>
  <c r="U217" i="147" s="1"/>
  <c r="U20" i="151" s="1"/>
  <c r="U74" i="151" s="1"/>
  <c r="U102" i="151" s="1"/>
  <c r="U239" i="145"/>
  <c r="W219" i="147"/>
  <c r="W22" i="151" s="1"/>
  <c r="Y218" i="147"/>
  <c r="Y21" i="151" s="1"/>
  <c r="V219" i="147"/>
  <c r="V22" i="151" s="1"/>
  <c r="J36" i="147"/>
  <c r="J141" i="147" s="1"/>
  <c r="J217" i="147" s="1"/>
  <c r="J20" i="151" s="1"/>
  <c r="J239" i="145"/>
  <c r="U219" i="147"/>
  <c r="U22" i="151" s="1"/>
  <c r="R36" i="147"/>
  <c r="R141" i="147" s="1"/>
  <c r="R217" i="147" s="1"/>
  <c r="R20" i="151" s="1"/>
  <c r="R74" i="151" s="1"/>
  <c r="R102" i="151" s="1"/>
  <c r="R239" i="145"/>
  <c r="N219" i="147"/>
  <c r="N22" i="151" s="1"/>
  <c r="M250" i="148"/>
  <c r="M26" i="151" s="1"/>
  <c r="Y219" i="147"/>
  <c r="Y22" i="151" s="1"/>
  <c r="P219" i="147"/>
  <c r="P22" i="151" s="1"/>
  <c r="U218" i="147"/>
  <c r="U21" i="151" s="1"/>
  <c r="Q36" i="147"/>
  <c r="Q141" i="147" s="1"/>
  <c r="Q217" i="147" s="1"/>
  <c r="Q20" i="151" s="1"/>
  <c r="Q74" i="151" s="1"/>
  <c r="Q102" i="151" s="1"/>
  <c r="Q239" i="145"/>
  <c r="O36" i="147"/>
  <c r="O141" i="147" s="1"/>
  <c r="O217" i="147" s="1"/>
  <c r="O20" i="151" s="1"/>
  <c r="O20" i="153" s="1"/>
  <c r="O239" i="145"/>
  <c r="X218" i="147"/>
  <c r="X21" i="151" s="1"/>
  <c r="U250" i="148"/>
  <c r="U26" i="151" s="1"/>
  <c r="S250" i="148"/>
  <c r="S26" i="151" s="1"/>
  <c r="Q257" i="149"/>
  <c r="Q25" i="151" s="1"/>
  <c r="J257" i="149"/>
  <c r="J25" i="151" s="1"/>
  <c r="M257" i="149"/>
  <c r="M25" i="151" s="1"/>
  <c r="O257" i="149"/>
  <c r="O25" i="151" s="1"/>
  <c r="S218" i="147"/>
  <c r="S21" i="151" s="1"/>
  <c r="X219" i="147"/>
  <c r="X22" i="151" s="1"/>
  <c r="V218" i="147"/>
  <c r="V21" i="151" s="1"/>
  <c r="P36" i="147"/>
  <c r="P141" i="147" s="1"/>
  <c r="P217" i="147" s="1"/>
  <c r="P20" i="151" s="1"/>
  <c r="P74" i="151" s="1"/>
  <c r="P102" i="151" s="1"/>
  <c r="P239" i="145"/>
  <c r="J250" i="148"/>
  <c r="J26" i="151" s="1"/>
  <c r="J26" i="153" s="1"/>
  <c r="J96" i="153" s="1"/>
  <c r="K36" i="147"/>
  <c r="K141" i="147" s="1"/>
  <c r="K217" i="147" s="1"/>
  <c r="K20" i="151" s="1"/>
  <c r="K74" i="151" s="1"/>
  <c r="K102" i="151" s="1"/>
  <c r="K239" i="145"/>
  <c r="L250" i="148"/>
  <c r="L26" i="151" s="1"/>
  <c r="L36" i="147"/>
  <c r="L141" i="147" s="1"/>
  <c r="L217" i="147" s="1"/>
  <c r="L20" i="151" s="1"/>
  <c r="L74" i="151" s="1"/>
  <c r="L102" i="151" s="1"/>
  <c r="L239" i="145"/>
  <c r="Q218" i="147"/>
  <c r="Q21" i="151" s="1"/>
  <c r="R219" i="147"/>
  <c r="R22" i="151" s="1"/>
  <c r="N250" i="148"/>
  <c r="N26" i="151" s="1"/>
  <c r="Q250" i="148"/>
  <c r="Q26" i="151" s="1"/>
  <c r="P250" i="148"/>
  <c r="P26" i="151" s="1"/>
  <c r="Y36" i="147"/>
  <c r="Y141" i="147" s="1"/>
  <c r="Y217" i="147" s="1"/>
  <c r="Y20" i="151" s="1"/>
  <c r="Y20" i="153" s="1"/>
  <c r="Y90" i="153" s="1"/>
  <c r="Y101" i="153" s="1"/>
  <c r="Y130" i="153" s="1"/>
  <c r="Y45" i="154" s="1"/>
  <c r="Y84" i="154" s="1"/>
  <c r="Y239" i="145"/>
  <c r="K52" i="151"/>
  <c r="M36" i="147"/>
  <c r="M141" i="147" s="1"/>
  <c r="M217" i="147" s="1"/>
  <c r="M20" i="151" s="1"/>
  <c r="M51" i="151" s="1"/>
  <c r="M239" i="145"/>
  <c r="R250" i="148"/>
  <c r="R26" i="151" s="1"/>
  <c r="V250" i="148"/>
  <c r="V26" i="151" s="1"/>
  <c r="L257" i="149"/>
  <c r="L25" i="151" s="1"/>
  <c r="J218" i="147"/>
  <c r="J21" i="151" s="1"/>
  <c r="N36" i="147"/>
  <c r="N141" i="147" s="1"/>
  <c r="N217" i="147" s="1"/>
  <c r="N20" i="151" s="1"/>
  <c r="N51" i="151" s="1"/>
  <c r="N239" i="145"/>
  <c r="W218" i="147"/>
  <c r="W21" i="151" s="1"/>
  <c r="S219" i="147"/>
  <c r="S22" i="151" s="1"/>
  <c r="W36" i="147"/>
  <c r="W141" i="147" s="1"/>
  <c r="W217" i="147" s="1"/>
  <c r="W20" i="151" s="1"/>
  <c r="W51" i="151" s="1"/>
  <c r="W239" i="145"/>
  <c r="L219" i="147"/>
  <c r="L22" i="151" s="1"/>
  <c r="K250" i="148"/>
  <c r="K26" i="151" s="1"/>
  <c r="T218" i="147"/>
  <c r="T21" i="151" s="1"/>
  <c r="K219" i="147"/>
  <c r="K22" i="151" s="1"/>
  <c r="V36" i="147"/>
  <c r="V141" i="147" s="1"/>
  <c r="V217" i="147" s="1"/>
  <c r="V20" i="151" s="1"/>
  <c r="V74" i="151" s="1"/>
  <c r="V102" i="151" s="1"/>
  <c r="V239" i="145"/>
  <c r="J219" i="147"/>
  <c r="J22" i="151" s="1"/>
  <c r="O219" i="147"/>
  <c r="O22" i="151" s="1"/>
  <c r="M218" i="147"/>
  <c r="M21" i="151" s="1"/>
  <c r="L206" i="149"/>
  <c r="L276" i="149"/>
  <c r="L39" i="150" s="1"/>
  <c r="L84" i="150" s="1"/>
  <c r="K276" i="149"/>
  <c r="K39" i="150" s="1"/>
  <c r="K84" i="150" s="1"/>
  <c r="K206" i="149"/>
  <c r="O276" i="149"/>
  <c r="O39" i="150" s="1"/>
  <c r="O84" i="150" s="1"/>
  <c r="O206" i="149"/>
  <c r="L215" i="149"/>
  <c r="L285" i="149"/>
  <c r="L48" i="150" s="1"/>
  <c r="L93" i="150" s="1"/>
  <c r="P215" i="149"/>
  <c r="P285" i="149"/>
  <c r="P48" i="150" s="1"/>
  <c r="P93" i="150" s="1"/>
  <c r="O285" i="149"/>
  <c r="O48" i="150" s="1"/>
  <c r="O93" i="150" s="1"/>
  <c r="O215" i="149"/>
  <c r="O209" i="149"/>
  <c r="O279" i="149"/>
  <c r="O42" i="150" s="1"/>
  <c r="O87" i="150" s="1"/>
  <c r="P209" i="149"/>
  <c r="P279" i="149"/>
  <c r="P42" i="150" s="1"/>
  <c r="P87" i="150" s="1"/>
  <c r="O214" i="149"/>
  <c r="O284" i="149"/>
  <c r="O47" i="150" s="1"/>
  <c r="O92" i="150" s="1"/>
  <c r="Q214" i="149"/>
  <c r="Q284" i="149"/>
  <c r="Q47" i="150" s="1"/>
  <c r="Q92" i="150" s="1"/>
  <c r="P280" i="149"/>
  <c r="P43" i="150" s="1"/>
  <c r="P88" i="150" s="1"/>
  <c r="P210" i="149"/>
  <c r="O280" i="149"/>
  <c r="O43" i="150" s="1"/>
  <c r="O88" i="150" s="1"/>
  <c r="O210" i="149"/>
  <c r="O208" i="149"/>
  <c r="O278" i="149"/>
  <c r="O41" i="150" s="1"/>
  <c r="O86" i="150" s="1"/>
  <c r="N278" i="149"/>
  <c r="N41" i="150" s="1"/>
  <c r="N86" i="150" s="1"/>
  <c r="N208" i="149"/>
  <c r="N213" i="149"/>
  <c r="N283" i="149"/>
  <c r="N46" i="150" s="1"/>
  <c r="N91" i="150" s="1"/>
  <c r="N206" i="149"/>
  <c r="N276" i="149"/>
  <c r="N39" i="150" s="1"/>
  <c r="N84" i="150" s="1"/>
  <c r="J206" i="149"/>
  <c r="J276" i="149"/>
  <c r="J39" i="150" s="1"/>
  <c r="N285" i="149"/>
  <c r="N48" i="150" s="1"/>
  <c r="N93" i="150" s="1"/>
  <c r="N215" i="149"/>
  <c r="L209" i="149"/>
  <c r="L279" i="149"/>
  <c r="L42" i="150" s="1"/>
  <c r="L87" i="150" s="1"/>
  <c r="Q207" i="149"/>
  <c r="Q277" i="149"/>
  <c r="Q40" i="150" s="1"/>
  <c r="Q85" i="150" s="1"/>
  <c r="K207" i="149"/>
  <c r="K277" i="149"/>
  <c r="K40" i="150" s="1"/>
  <c r="K85" i="150" s="1"/>
  <c r="N212" i="149"/>
  <c r="N282" i="149"/>
  <c r="N45" i="150" s="1"/>
  <c r="N90" i="150" s="1"/>
  <c r="Q215" i="149"/>
  <c r="Q285" i="149"/>
  <c r="Q48" i="150" s="1"/>
  <c r="Q93" i="150" s="1"/>
  <c r="M285" i="149"/>
  <c r="M48" i="150" s="1"/>
  <c r="M93" i="150" s="1"/>
  <c r="M215" i="149"/>
  <c r="J215" i="149"/>
  <c r="J285" i="149"/>
  <c r="J48" i="150" s="1"/>
  <c r="J93" i="150" s="1"/>
  <c r="N209" i="149"/>
  <c r="N279" i="149"/>
  <c r="N42" i="150" s="1"/>
  <c r="N87" i="150" s="1"/>
  <c r="Q209" i="149"/>
  <c r="Q279" i="149"/>
  <c r="Q42" i="150" s="1"/>
  <c r="Q87" i="150" s="1"/>
  <c r="J277" i="149"/>
  <c r="J40" i="150" s="1"/>
  <c r="J85" i="150" s="1"/>
  <c r="J207" i="149"/>
  <c r="L207" i="149"/>
  <c r="L277" i="149"/>
  <c r="L40" i="150" s="1"/>
  <c r="L85" i="150" s="1"/>
  <c r="O207" i="149"/>
  <c r="O277" i="149"/>
  <c r="O40" i="150" s="1"/>
  <c r="O85" i="150" s="1"/>
  <c r="J282" i="149"/>
  <c r="J45" i="150" s="1"/>
  <c r="J90" i="150" s="1"/>
  <c r="J212" i="149"/>
  <c r="O282" i="149"/>
  <c r="O45" i="150" s="1"/>
  <c r="O90" i="150" s="1"/>
  <c r="O212" i="149"/>
  <c r="L212" i="149"/>
  <c r="L282" i="149"/>
  <c r="L45" i="150" s="1"/>
  <c r="L90" i="150" s="1"/>
  <c r="P214" i="149"/>
  <c r="P284" i="149"/>
  <c r="P47" i="150" s="1"/>
  <c r="P92" i="150" s="1"/>
  <c r="M284" i="149"/>
  <c r="M47" i="150" s="1"/>
  <c r="M92" i="150" s="1"/>
  <c r="M214" i="149"/>
  <c r="K280" i="149"/>
  <c r="K43" i="150" s="1"/>
  <c r="K88" i="150" s="1"/>
  <c r="K210" i="149"/>
  <c r="L280" i="149"/>
  <c r="L43" i="150" s="1"/>
  <c r="L88" i="150" s="1"/>
  <c r="L210" i="149"/>
  <c r="K278" i="149"/>
  <c r="K41" i="150" s="1"/>
  <c r="K86" i="150" s="1"/>
  <c r="K208" i="149"/>
  <c r="J278" i="149"/>
  <c r="J41" i="150" s="1"/>
  <c r="J86" i="150" s="1"/>
  <c r="J208" i="149"/>
  <c r="L211" i="149"/>
  <c r="L281" i="149"/>
  <c r="L44" i="150" s="1"/>
  <c r="L89" i="150" s="1"/>
  <c r="J281" i="149"/>
  <c r="J44" i="150" s="1"/>
  <c r="J89" i="150" s="1"/>
  <c r="J211" i="149"/>
  <c r="N211" i="149"/>
  <c r="N281" i="149"/>
  <c r="N44" i="150" s="1"/>
  <c r="N89" i="150" s="1"/>
  <c r="J213" i="149"/>
  <c r="J283" i="149"/>
  <c r="J46" i="150" s="1"/>
  <c r="J91" i="150" s="1"/>
  <c r="Q283" i="149"/>
  <c r="Q46" i="150" s="1"/>
  <c r="Q91" i="150" s="1"/>
  <c r="Q213" i="149"/>
  <c r="P276" i="149"/>
  <c r="P39" i="150" s="1"/>
  <c r="P84" i="150" s="1"/>
  <c r="P206" i="149"/>
  <c r="M206" i="149"/>
  <c r="M276" i="149"/>
  <c r="M39" i="150" s="1"/>
  <c r="M84" i="150" s="1"/>
  <c r="Q276" i="149"/>
  <c r="Q39" i="150" s="1"/>
  <c r="Q84" i="150" s="1"/>
  <c r="Q206" i="149"/>
  <c r="K285" i="149"/>
  <c r="K48" i="150" s="1"/>
  <c r="K93" i="150" s="1"/>
  <c r="K215" i="149"/>
  <c r="M279" i="149"/>
  <c r="M42" i="150" s="1"/>
  <c r="M87" i="150" s="1"/>
  <c r="M209" i="149"/>
  <c r="J209" i="149"/>
  <c r="J279" i="149"/>
  <c r="J42" i="150" s="1"/>
  <c r="J87" i="150" s="1"/>
  <c r="P207" i="149"/>
  <c r="P277" i="149"/>
  <c r="P40" i="150" s="1"/>
  <c r="P85" i="150" s="1"/>
  <c r="M207" i="149"/>
  <c r="M277" i="149"/>
  <c r="M40" i="150" s="1"/>
  <c r="M85" i="150" s="1"/>
  <c r="N207" i="149"/>
  <c r="N277" i="149"/>
  <c r="N40" i="150" s="1"/>
  <c r="N85" i="150" s="1"/>
  <c r="M212" i="149"/>
  <c r="M282" i="149"/>
  <c r="M45" i="150" s="1"/>
  <c r="M90" i="150" s="1"/>
  <c r="Q212" i="149"/>
  <c r="Q282" i="149"/>
  <c r="Q45" i="150" s="1"/>
  <c r="Q90" i="150" s="1"/>
  <c r="P212" i="149"/>
  <c r="P282" i="149"/>
  <c r="P45" i="150" s="1"/>
  <c r="P90" i="150" s="1"/>
  <c r="K284" i="149"/>
  <c r="K47" i="150" s="1"/>
  <c r="K92" i="150" s="1"/>
  <c r="K214" i="149"/>
  <c r="L284" i="149"/>
  <c r="L47" i="150" s="1"/>
  <c r="L92" i="150" s="1"/>
  <c r="L214" i="149"/>
  <c r="J284" i="149"/>
  <c r="J47" i="150" s="1"/>
  <c r="J92" i="150" s="1"/>
  <c r="J214" i="149"/>
  <c r="M280" i="149"/>
  <c r="M43" i="150" s="1"/>
  <c r="M88" i="150" s="1"/>
  <c r="M210" i="149"/>
  <c r="L20" i="153"/>
  <c r="P278" i="149"/>
  <c r="P41" i="150" s="1"/>
  <c r="P86" i="150" s="1"/>
  <c r="P208" i="149"/>
  <c r="Q208" i="149"/>
  <c r="Q278" i="149"/>
  <c r="Q41" i="150" s="1"/>
  <c r="Q86" i="150" s="1"/>
  <c r="L278" i="149"/>
  <c r="L41" i="150" s="1"/>
  <c r="L86" i="150" s="1"/>
  <c r="L208" i="149"/>
  <c r="P211" i="149"/>
  <c r="P281" i="149"/>
  <c r="P44" i="150" s="1"/>
  <c r="P89" i="150" s="1"/>
  <c r="Q211" i="149"/>
  <c r="Q281" i="149"/>
  <c r="Q44" i="150" s="1"/>
  <c r="Q89" i="150" s="1"/>
  <c r="M213" i="149"/>
  <c r="M283" i="149"/>
  <c r="M46" i="150" s="1"/>
  <c r="M91" i="150" s="1"/>
  <c r="P283" i="149"/>
  <c r="P46" i="150" s="1"/>
  <c r="P91" i="150" s="1"/>
  <c r="P213" i="149"/>
  <c r="K209" i="149"/>
  <c r="K279" i="149"/>
  <c r="K42" i="150" s="1"/>
  <c r="K87" i="150" s="1"/>
  <c r="K212" i="149"/>
  <c r="K282" i="149"/>
  <c r="K45" i="150" s="1"/>
  <c r="K90" i="150" s="1"/>
  <c r="N284" i="149"/>
  <c r="N47" i="150" s="1"/>
  <c r="N92" i="150" s="1"/>
  <c r="N214" i="149"/>
  <c r="N280" i="149"/>
  <c r="N43" i="150" s="1"/>
  <c r="N88" i="150" s="1"/>
  <c r="N210" i="149"/>
  <c r="J280" i="149"/>
  <c r="J43" i="150" s="1"/>
  <c r="J88" i="150" s="1"/>
  <c r="J210" i="149"/>
  <c r="Q210" i="149"/>
  <c r="Q280" i="149"/>
  <c r="Q43" i="150" s="1"/>
  <c r="Q88" i="150" s="1"/>
  <c r="H237" i="145" a="1"/>
  <c r="H237" i="145" s="1"/>
  <c r="M278" i="149"/>
  <c r="M41" i="150" s="1"/>
  <c r="M86" i="150" s="1"/>
  <c r="M208" i="149"/>
  <c r="O211" i="149"/>
  <c r="O281" i="149"/>
  <c r="O44" i="150" s="1"/>
  <c r="O89" i="150" s="1"/>
  <c r="M211" i="149"/>
  <c r="M281" i="149"/>
  <c r="M44" i="150" s="1"/>
  <c r="M89" i="150" s="1"/>
  <c r="K281" i="149"/>
  <c r="K44" i="150" s="1"/>
  <c r="K89" i="150" s="1"/>
  <c r="K211" i="149"/>
  <c r="K213" i="149"/>
  <c r="K283" i="149"/>
  <c r="K46" i="150" s="1"/>
  <c r="K91" i="150" s="1"/>
  <c r="O213" i="149"/>
  <c r="O283" i="149"/>
  <c r="O46" i="150" s="1"/>
  <c r="O91" i="150" s="1"/>
  <c r="L213" i="149"/>
  <c r="L283" i="149"/>
  <c r="L46" i="150" s="1"/>
  <c r="L91" i="150" s="1"/>
  <c r="K21" i="153" l="1"/>
  <c r="R51" i="151"/>
  <c r="N56" i="151"/>
  <c r="T26" i="153"/>
  <c r="T96" i="153" s="1"/>
  <c r="T125" i="153" s="1"/>
  <c r="T154" i="153" s="1"/>
  <c r="T69" i="154" s="1"/>
  <c r="T110" i="154" s="1"/>
  <c r="X26" i="153"/>
  <c r="X96" i="153" s="1"/>
  <c r="X107" i="153" s="1"/>
  <c r="X136" i="153" s="1"/>
  <c r="X51" i="154" s="1"/>
  <c r="X90" i="154" s="1"/>
  <c r="T51" i="151"/>
  <c r="K20" i="153"/>
  <c r="U20" i="153"/>
  <c r="U90" i="153" s="1"/>
  <c r="U101" i="153" s="1"/>
  <c r="U130" i="153" s="1"/>
  <c r="U45" i="154" s="1"/>
  <c r="U84" i="154" s="1"/>
  <c r="P51" i="151"/>
  <c r="O57" i="151"/>
  <c r="P25" i="153"/>
  <c r="P95" i="153" s="1"/>
  <c r="S20" i="153"/>
  <c r="S90" i="153" s="1"/>
  <c r="S101" i="153" s="1"/>
  <c r="S130" i="153" s="1"/>
  <c r="S45" i="154" s="1"/>
  <c r="S84" i="154" s="1"/>
  <c r="S51" i="151"/>
  <c r="W20" i="153"/>
  <c r="W90" i="153" s="1"/>
  <c r="W101" i="153" s="1"/>
  <c r="W130" i="153" s="1"/>
  <c r="W45" i="154" s="1"/>
  <c r="W84" i="154" s="1"/>
  <c r="N20" i="153"/>
  <c r="W74" i="151"/>
  <c r="W102" i="151" s="1"/>
  <c r="N74" i="151"/>
  <c r="N102" i="151" s="1"/>
  <c r="P20" i="153"/>
  <c r="M20" i="153"/>
  <c r="O51" i="151"/>
  <c r="M74" i="151"/>
  <c r="M102" i="151" s="1"/>
  <c r="O74" i="151"/>
  <c r="O102" i="151" s="1"/>
  <c r="L51" i="151"/>
  <c r="V51" i="151"/>
  <c r="V20" i="153"/>
  <c r="V90" i="153" s="1"/>
  <c r="V119" i="153" s="1"/>
  <c r="V148" i="153" s="1"/>
  <c r="V63" i="154" s="1"/>
  <c r="V104" i="154" s="1"/>
  <c r="J57" i="151"/>
  <c r="Q20" i="153"/>
  <c r="Q51" i="151"/>
  <c r="H254" i="148" a="1"/>
  <c r="H254" i="148" s="1"/>
  <c r="J52" i="55" s="1"/>
  <c r="K256" i="149"/>
  <c r="K24" i="151" s="1"/>
  <c r="S22" i="153"/>
  <c r="S92" i="153" s="1"/>
  <c r="S53" i="151"/>
  <c r="S76" i="151"/>
  <c r="AY102" i="151" s="1"/>
  <c r="J21" i="153"/>
  <c r="J52" i="151"/>
  <c r="J75" i="151"/>
  <c r="Z102" i="151" s="1"/>
  <c r="Q26" i="153"/>
  <c r="Q96" i="153" s="1"/>
  <c r="Q57" i="151"/>
  <c r="V21" i="153"/>
  <c r="V91" i="153" s="1"/>
  <c r="V52" i="151"/>
  <c r="V75" i="151"/>
  <c r="AL102" i="151" s="1"/>
  <c r="M56" i="151"/>
  <c r="M25" i="153"/>
  <c r="M95" i="153" s="1"/>
  <c r="U26" i="153"/>
  <c r="U96" i="153" s="1"/>
  <c r="U107" i="153" s="1"/>
  <c r="U136" i="153" s="1"/>
  <c r="U51" i="154" s="1"/>
  <c r="U90" i="154" s="1"/>
  <c r="U57" i="151"/>
  <c r="Y76" i="151"/>
  <c r="BE102" i="151" s="1"/>
  <c r="Y22" i="153"/>
  <c r="Y92" i="153" s="1"/>
  <c r="Y103" i="153" s="1"/>
  <c r="Y132" i="153" s="1"/>
  <c r="Y47" i="154" s="1"/>
  <c r="Y86" i="154" s="1"/>
  <c r="Y53" i="151"/>
  <c r="V53" i="151"/>
  <c r="V76" i="151"/>
  <c r="BB102" i="151" s="1"/>
  <c r="V22" i="153"/>
  <c r="V92" i="153" s="1"/>
  <c r="W57" i="151"/>
  <c r="W26" i="153"/>
  <c r="W96" i="153" s="1"/>
  <c r="W107" i="153" s="1"/>
  <c r="W136" i="153" s="1"/>
  <c r="W51" i="154" s="1"/>
  <c r="W90" i="154" s="1"/>
  <c r="O21" i="153"/>
  <c r="O75" i="151"/>
  <c r="AE102" i="151" s="1"/>
  <c r="O52" i="151"/>
  <c r="K51" i="151"/>
  <c r="M256" i="149"/>
  <c r="M24" i="151" s="1"/>
  <c r="X74" i="151"/>
  <c r="X102" i="151" s="1"/>
  <c r="J256" i="149"/>
  <c r="J24" i="151" s="1"/>
  <c r="Y74" i="151"/>
  <c r="Y102" i="151" s="1"/>
  <c r="T20" i="153"/>
  <c r="T90" i="153" s="1"/>
  <c r="T110" i="153" s="1"/>
  <c r="T139" i="153" s="1"/>
  <c r="T54" i="154" s="1"/>
  <c r="T94" i="154" s="1"/>
  <c r="M75" i="151"/>
  <c r="AC102" i="151" s="1"/>
  <c r="M52" i="151"/>
  <c r="M21" i="153"/>
  <c r="L22" i="153"/>
  <c r="L76" i="151"/>
  <c r="AR102" i="151" s="1"/>
  <c r="L53" i="151"/>
  <c r="W52" i="151"/>
  <c r="W75" i="151"/>
  <c r="AM102" i="151" s="1"/>
  <c r="W21" i="153"/>
  <c r="W91" i="153" s="1"/>
  <c r="W102" i="153" s="1"/>
  <c r="W131" i="153" s="1"/>
  <c r="W46" i="154" s="1"/>
  <c r="W85" i="154" s="1"/>
  <c r="N124" i="153"/>
  <c r="N153" i="153" s="1"/>
  <c r="N68" i="154" s="1"/>
  <c r="N109" i="154" s="1"/>
  <c r="N115" i="153"/>
  <c r="N144" i="153" s="1"/>
  <c r="N59" i="154" s="1"/>
  <c r="N99" i="154" s="1"/>
  <c r="N106" i="153"/>
  <c r="N135" i="153" s="1"/>
  <c r="N50" i="154" s="1"/>
  <c r="N89" i="154" s="1"/>
  <c r="R26" i="153"/>
  <c r="R96" i="153" s="1"/>
  <c r="R57" i="151"/>
  <c r="P26" i="153"/>
  <c r="P96" i="153" s="1"/>
  <c r="P57" i="151"/>
  <c r="N26" i="153"/>
  <c r="N96" i="153" s="1"/>
  <c r="N57" i="151"/>
  <c r="X22" i="153"/>
  <c r="X92" i="153" s="1"/>
  <c r="X76" i="151"/>
  <c r="BD102" i="151" s="1"/>
  <c r="X53" i="151"/>
  <c r="J25" i="153"/>
  <c r="J95" i="153" s="1"/>
  <c r="J56" i="151"/>
  <c r="X21" i="153"/>
  <c r="X91" i="153" s="1"/>
  <c r="X75" i="151"/>
  <c r="AN102" i="151" s="1"/>
  <c r="X52" i="151"/>
  <c r="M26" i="153"/>
  <c r="M96" i="153" s="1"/>
  <c r="M57" i="151"/>
  <c r="U76" i="151"/>
  <c r="BA102" i="151" s="1"/>
  <c r="U53" i="151"/>
  <c r="U22" i="153"/>
  <c r="U92" i="153" s="1"/>
  <c r="U103" i="153" s="1"/>
  <c r="U132" i="153" s="1"/>
  <c r="U47" i="154" s="1"/>
  <c r="U86" i="154" s="1"/>
  <c r="Y52" i="151"/>
  <c r="Y21" i="153"/>
  <c r="Y91" i="153" s="1"/>
  <c r="Y102" i="153" s="1"/>
  <c r="Y131" i="153" s="1"/>
  <c r="Y46" i="154" s="1"/>
  <c r="Y85" i="154" s="1"/>
  <c r="Y75" i="151"/>
  <c r="AO102" i="151" s="1"/>
  <c r="L21" i="153"/>
  <c r="L75" i="151"/>
  <c r="AB102" i="151" s="1"/>
  <c r="L52" i="151"/>
  <c r="M22" i="153"/>
  <c r="M53" i="151"/>
  <c r="M76" i="151"/>
  <c r="AS102" i="151" s="1"/>
  <c r="Y57" i="151"/>
  <c r="Y26" i="153"/>
  <c r="Y96" i="153" s="1"/>
  <c r="Y107" i="153" s="1"/>
  <c r="Y136" i="153" s="1"/>
  <c r="Y51" i="154" s="1"/>
  <c r="Y90" i="154" s="1"/>
  <c r="R52" i="151"/>
  <c r="R21" i="153"/>
  <c r="R91" i="153" s="1"/>
  <c r="R75" i="151"/>
  <c r="AH102" i="151" s="1"/>
  <c r="Q256" i="149"/>
  <c r="Q24" i="151" s="1"/>
  <c r="P256" i="149"/>
  <c r="P24" i="151" s="1"/>
  <c r="R20" i="153"/>
  <c r="R90" i="153" s="1"/>
  <c r="R119" i="153" s="1"/>
  <c r="R148" i="153" s="1"/>
  <c r="R63" i="154" s="1"/>
  <c r="R104" i="154" s="1"/>
  <c r="U51" i="151"/>
  <c r="X20" i="153"/>
  <c r="X90" i="153" s="1"/>
  <c r="X101" i="153" s="1"/>
  <c r="X130" i="153" s="1"/>
  <c r="X45" i="154" s="1"/>
  <c r="X84" i="154" s="1"/>
  <c r="Y51" i="151"/>
  <c r="O256" i="149"/>
  <c r="O24" i="151" s="1"/>
  <c r="O22" i="153"/>
  <c r="O76" i="151"/>
  <c r="AU102" i="151" s="1"/>
  <c r="O53" i="151"/>
  <c r="K22" i="153"/>
  <c r="K53" i="151"/>
  <c r="K76" i="151"/>
  <c r="AQ102" i="151" s="1"/>
  <c r="T116" i="153"/>
  <c r="T145" i="153" s="1"/>
  <c r="T60" i="154" s="1"/>
  <c r="T100" i="154" s="1"/>
  <c r="R76" i="151"/>
  <c r="AX102" i="151" s="1"/>
  <c r="R22" i="153"/>
  <c r="R92" i="153" s="1"/>
  <c r="R53" i="151"/>
  <c r="L57" i="151"/>
  <c r="L26" i="153"/>
  <c r="L96" i="153" s="1"/>
  <c r="S75" i="151"/>
  <c r="AI102" i="151" s="1"/>
  <c r="S21" i="153"/>
  <c r="S91" i="153" s="1"/>
  <c r="S52" i="151"/>
  <c r="Q25" i="153"/>
  <c r="Q95" i="153" s="1"/>
  <c r="Q56" i="151"/>
  <c r="U52" i="151"/>
  <c r="U21" i="153"/>
  <c r="U91" i="153" s="1"/>
  <c r="U102" i="153" s="1"/>
  <c r="U131" i="153" s="1"/>
  <c r="U46" i="154" s="1"/>
  <c r="U85" i="154" s="1"/>
  <c r="U75" i="151"/>
  <c r="AK102" i="151" s="1"/>
  <c r="N22" i="153"/>
  <c r="N76" i="151"/>
  <c r="AT102" i="151" s="1"/>
  <c r="N53" i="151"/>
  <c r="H239" i="145"/>
  <c r="H241" i="145" s="1"/>
  <c r="W22" i="153"/>
  <c r="W92" i="153" s="1"/>
  <c r="W103" i="153" s="1"/>
  <c r="W132" i="153" s="1"/>
  <c r="W47" i="154" s="1"/>
  <c r="W86" i="154" s="1"/>
  <c r="W76" i="151"/>
  <c r="BC102" i="151" s="1"/>
  <c r="W53" i="151"/>
  <c r="Q22" i="153"/>
  <c r="Q76" i="151"/>
  <c r="AW102" i="151" s="1"/>
  <c r="Q53" i="151"/>
  <c r="N52" i="151"/>
  <c r="N75" i="151"/>
  <c r="AD102" i="151" s="1"/>
  <c r="N21" i="153"/>
  <c r="T76" i="151"/>
  <c r="AZ102" i="151" s="1"/>
  <c r="T53" i="151"/>
  <c r="T22" i="153"/>
  <c r="T92" i="153" s="1"/>
  <c r="K57" i="151"/>
  <c r="K26" i="153"/>
  <c r="K96" i="153" s="1"/>
  <c r="V57" i="151"/>
  <c r="V26" i="153"/>
  <c r="V96" i="153" s="1"/>
  <c r="P106" i="153"/>
  <c r="P135" i="153" s="1"/>
  <c r="P50" i="154" s="1"/>
  <c r="P89" i="154" s="1"/>
  <c r="P124" i="153"/>
  <c r="P153" i="153" s="1"/>
  <c r="P68" i="154" s="1"/>
  <c r="P109" i="154" s="1"/>
  <c r="N256" i="149"/>
  <c r="N24" i="151" s="1"/>
  <c r="L256" i="149"/>
  <c r="L24" i="151" s="1"/>
  <c r="J53" i="151"/>
  <c r="J76" i="151"/>
  <c r="AP102" i="151" s="1"/>
  <c r="J22" i="153"/>
  <c r="T52" i="151"/>
  <c r="T21" i="153"/>
  <c r="T91" i="153" s="1"/>
  <c r="T75" i="151"/>
  <c r="AJ102" i="151" s="1"/>
  <c r="L25" i="153"/>
  <c r="L95" i="153" s="1"/>
  <c r="L56" i="151"/>
  <c r="O125" i="153"/>
  <c r="O154" i="153" s="1"/>
  <c r="O69" i="154" s="1"/>
  <c r="O110" i="154" s="1"/>
  <c r="O107" i="153"/>
  <c r="O136" i="153" s="1"/>
  <c r="O51" i="154" s="1"/>
  <c r="O90" i="154" s="1"/>
  <c r="Q52" i="151"/>
  <c r="Q75" i="151"/>
  <c r="AG102" i="151" s="1"/>
  <c r="Q21" i="153"/>
  <c r="O25" i="153"/>
  <c r="O95" i="153" s="1"/>
  <c r="O56" i="151"/>
  <c r="S57" i="151"/>
  <c r="S26" i="153"/>
  <c r="S96" i="153" s="1"/>
  <c r="P22" i="153"/>
  <c r="P76" i="151"/>
  <c r="AV102" i="151" s="1"/>
  <c r="P53" i="151"/>
  <c r="K56" i="151"/>
  <c r="K25" i="153"/>
  <c r="K95" i="153" s="1"/>
  <c r="P21" i="153"/>
  <c r="P52" i="151"/>
  <c r="P75" i="151"/>
  <c r="AF102" i="151" s="1"/>
  <c r="H223" i="147" a="1"/>
  <c r="H223" i="147" s="1"/>
  <c r="A4" i="147" s="1"/>
  <c r="W119" i="150"/>
  <c r="W151" i="150" s="1"/>
  <c r="Y119" i="150"/>
  <c r="Y151" i="150" s="1"/>
  <c r="Q119" i="150"/>
  <c r="Q151" i="150" s="1"/>
  <c r="O119" i="150"/>
  <c r="O151" i="150" s="1"/>
  <c r="M119" i="150"/>
  <c r="M151" i="150" s="1"/>
  <c r="U119" i="150"/>
  <c r="U151" i="150" s="1"/>
  <c r="R119" i="150"/>
  <c r="R151" i="150" s="1"/>
  <c r="P119" i="150"/>
  <c r="P151" i="150" s="1"/>
  <c r="S119" i="150"/>
  <c r="S151" i="150" s="1"/>
  <c r="N119" i="150"/>
  <c r="N151" i="150" s="1"/>
  <c r="K119" i="150"/>
  <c r="K151" i="150" s="1"/>
  <c r="V119" i="150"/>
  <c r="V151" i="150" s="1"/>
  <c r="X119" i="150"/>
  <c r="X151" i="150" s="1"/>
  <c r="T119" i="150"/>
  <c r="T151" i="150" s="1"/>
  <c r="S121" i="150"/>
  <c r="S153" i="150" s="1"/>
  <c r="P121" i="150"/>
  <c r="P153" i="150" s="1"/>
  <c r="Q121" i="150"/>
  <c r="Q153" i="150" s="1"/>
  <c r="K121" i="150"/>
  <c r="K153" i="150" s="1"/>
  <c r="R121" i="150"/>
  <c r="R153" i="150" s="1"/>
  <c r="V121" i="150"/>
  <c r="V153" i="150" s="1"/>
  <c r="T121" i="150"/>
  <c r="T153" i="150" s="1"/>
  <c r="M121" i="150"/>
  <c r="M153" i="150" s="1"/>
  <c r="U121" i="150"/>
  <c r="U153" i="150" s="1"/>
  <c r="W121" i="150"/>
  <c r="W153" i="150" s="1"/>
  <c r="X121" i="150"/>
  <c r="X153" i="150" s="1"/>
  <c r="Y121" i="150"/>
  <c r="Y153" i="150" s="1"/>
  <c r="N121" i="150"/>
  <c r="N153" i="150" s="1"/>
  <c r="O121" i="150"/>
  <c r="O153" i="150" s="1"/>
  <c r="U120" i="150"/>
  <c r="U152" i="150" s="1"/>
  <c r="N120" i="150"/>
  <c r="N152" i="150" s="1"/>
  <c r="M120" i="150"/>
  <c r="M152" i="150" s="1"/>
  <c r="R120" i="150"/>
  <c r="R152" i="150" s="1"/>
  <c r="Y120" i="150"/>
  <c r="Y152" i="150" s="1"/>
  <c r="V120" i="150"/>
  <c r="V152" i="150" s="1"/>
  <c r="X120" i="150"/>
  <c r="X152" i="150" s="1"/>
  <c r="S120" i="150"/>
  <c r="S152" i="150" s="1"/>
  <c r="T120" i="150"/>
  <c r="T152" i="150" s="1"/>
  <c r="W120" i="150"/>
  <c r="W152" i="150" s="1"/>
  <c r="P120" i="150"/>
  <c r="P152" i="150" s="1"/>
  <c r="K120" i="150"/>
  <c r="K152" i="150" s="1"/>
  <c r="O120" i="150"/>
  <c r="O152" i="150" s="1"/>
  <c r="Q120" i="150"/>
  <c r="Q152" i="150" s="1"/>
  <c r="X123" i="150"/>
  <c r="X155" i="150" s="1"/>
  <c r="R123" i="150"/>
  <c r="R155" i="150" s="1"/>
  <c r="P123" i="150"/>
  <c r="P155" i="150" s="1"/>
  <c r="W123" i="150"/>
  <c r="W155" i="150" s="1"/>
  <c r="U123" i="150"/>
  <c r="U155" i="150" s="1"/>
  <c r="K123" i="150"/>
  <c r="K155" i="150" s="1"/>
  <c r="T123" i="150"/>
  <c r="T155" i="150" s="1"/>
  <c r="N123" i="150"/>
  <c r="N155" i="150" s="1"/>
  <c r="O123" i="150"/>
  <c r="O155" i="150" s="1"/>
  <c r="V123" i="150"/>
  <c r="V155" i="150" s="1"/>
  <c r="M123" i="150"/>
  <c r="M155" i="150" s="1"/>
  <c r="S123" i="150"/>
  <c r="S155" i="150" s="1"/>
  <c r="Q123" i="150"/>
  <c r="Q155" i="150" s="1"/>
  <c r="Y123" i="150"/>
  <c r="Y155" i="150" s="1"/>
  <c r="Q116" i="150"/>
  <c r="Q148" i="150" s="1"/>
  <c r="P116" i="150"/>
  <c r="P148" i="150" s="1"/>
  <c r="V116" i="150"/>
  <c r="V148" i="150" s="1"/>
  <c r="R116" i="150"/>
  <c r="R148" i="150" s="1"/>
  <c r="M116" i="150"/>
  <c r="M148" i="150" s="1"/>
  <c r="T116" i="150"/>
  <c r="T148" i="150" s="1"/>
  <c r="W116" i="150"/>
  <c r="W148" i="150" s="1"/>
  <c r="N116" i="150"/>
  <c r="N148" i="150" s="1"/>
  <c r="K116" i="150"/>
  <c r="K148" i="150" s="1"/>
  <c r="Y116" i="150"/>
  <c r="Y148" i="150" s="1"/>
  <c r="O116" i="150"/>
  <c r="O148" i="150" s="1"/>
  <c r="X116" i="150"/>
  <c r="X148" i="150" s="1"/>
  <c r="S116" i="150"/>
  <c r="S148" i="150" s="1"/>
  <c r="U116" i="150"/>
  <c r="U148" i="150" s="1"/>
  <c r="L123" i="150"/>
  <c r="L155" i="150" s="1"/>
  <c r="J123" i="150"/>
  <c r="J155" i="150" s="1"/>
  <c r="N115" i="150"/>
  <c r="N147" i="150" s="1"/>
  <c r="P115" i="150"/>
  <c r="P147" i="150" s="1"/>
  <c r="O115" i="150"/>
  <c r="O147" i="150" s="1"/>
  <c r="S115" i="150"/>
  <c r="S147" i="150" s="1"/>
  <c r="X115" i="150"/>
  <c r="X147" i="150" s="1"/>
  <c r="R115" i="150"/>
  <c r="R147" i="150" s="1"/>
  <c r="K115" i="150"/>
  <c r="K147" i="150" s="1"/>
  <c r="V115" i="150"/>
  <c r="V147" i="150" s="1"/>
  <c r="W115" i="150"/>
  <c r="W147" i="150" s="1"/>
  <c r="T115" i="150"/>
  <c r="T147" i="150" s="1"/>
  <c r="M115" i="150"/>
  <c r="M147" i="150" s="1"/>
  <c r="Q115" i="150"/>
  <c r="Q147" i="150" s="1"/>
  <c r="U115" i="150"/>
  <c r="U147" i="150" s="1"/>
  <c r="Y115" i="150"/>
  <c r="Y147" i="150" s="1"/>
  <c r="J121" i="150"/>
  <c r="J153" i="150" s="1"/>
  <c r="L121" i="150"/>
  <c r="L153" i="150" s="1"/>
  <c r="J51" i="151"/>
  <c r="J20" i="153"/>
  <c r="J74" i="151"/>
  <c r="J102" i="151" s="1"/>
  <c r="J120" i="150"/>
  <c r="J152" i="150" s="1"/>
  <c r="L120" i="150"/>
  <c r="L152" i="150" s="1"/>
  <c r="U114" i="150"/>
  <c r="U146" i="150" s="1"/>
  <c r="R114" i="150"/>
  <c r="R146" i="150" s="1"/>
  <c r="Y114" i="150"/>
  <c r="Y146" i="150" s="1"/>
  <c r="X114" i="150"/>
  <c r="X146" i="150" s="1"/>
  <c r="Q114" i="150"/>
  <c r="Q146" i="150" s="1"/>
  <c r="M114" i="150"/>
  <c r="M146" i="150" s="1"/>
  <c r="P114" i="150"/>
  <c r="P146" i="150" s="1"/>
  <c r="N114" i="150"/>
  <c r="N146" i="150" s="1"/>
  <c r="O114" i="150"/>
  <c r="O146" i="150" s="1"/>
  <c r="S114" i="150"/>
  <c r="S146" i="150" s="1"/>
  <c r="W114" i="150"/>
  <c r="W146" i="150" s="1"/>
  <c r="V114" i="150"/>
  <c r="V146" i="150" s="1"/>
  <c r="K114" i="150"/>
  <c r="K146" i="150" s="1"/>
  <c r="T114" i="150"/>
  <c r="T146" i="150" s="1"/>
  <c r="J84" i="150"/>
  <c r="O117" i="150"/>
  <c r="O149" i="150" s="1"/>
  <c r="V117" i="150"/>
  <c r="V149" i="150" s="1"/>
  <c r="X117" i="150"/>
  <c r="X149" i="150" s="1"/>
  <c r="U117" i="150"/>
  <c r="U149" i="150" s="1"/>
  <c r="Q117" i="150"/>
  <c r="Q149" i="150" s="1"/>
  <c r="R117" i="150"/>
  <c r="R149" i="150" s="1"/>
  <c r="P117" i="150"/>
  <c r="P149" i="150" s="1"/>
  <c r="Y117" i="150"/>
  <c r="Y149" i="150" s="1"/>
  <c r="M117" i="150"/>
  <c r="M149" i="150" s="1"/>
  <c r="K117" i="150"/>
  <c r="K149" i="150" s="1"/>
  <c r="T117" i="150"/>
  <c r="T149" i="150" s="1"/>
  <c r="W117" i="150"/>
  <c r="W149" i="150" s="1"/>
  <c r="S117" i="150"/>
  <c r="S149" i="150" s="1"/>
  <c r="N117" i="150"/>
  <c r="N149" i="150" s="1"/>
  <c r="J107" i="153"/>
  <c r="J136" i="153" s="1"/>
  <c r="J51" i="154" s="1"/>
  <c r="J90" i="154" s="1"/>
  <c r="J116" i="153"/>
  <c r="J145" i="153" s="1"/>
  <c r="J60" i="154" s="1"/>
  <c r="J100" i="154" s="1"/>
  <c r="J125" i="153"/>
  <c r="J154" i="153" s="1"/>
  <c r="J69" i="154" s="1"/>
  <c r="J110" i="154" s="1"/>
  <c r="L122" i="150"/>
  <c r="L154" i="150" s="1"/>
  <c r="J122" i="150"/>
  <c r="J154" i="150" s="1"/>
  <c r="N122" i="150"/>
  <c r="N154" i="150" s="1"/>
  <c r="W122" i="150"/>
  <c r="W154" i="150" s="1"/>
  <c r="K122" i="150"/>
  <c r="K154" i="150" s="1"/>
  <c r="M122" i="150"/>
  <c r="M154" i="150" s="1"/>
  <c r="Q122" i="150"/>
  <c r="Q154" i="150" s="1"/>
  <c r="P122" i="150"/>
  <c r="P154" i="150" s="1"/>
  <c r="T122" i="150"/>
  <c r="T154" i="150" s="1"/>
  <c r="S122" i="150"/>
  <c r="S154" i="150" s="1"/>
  <c r="R122" i="150"/>
  <c r="R154" i="150" s="1"/>
  <c r="V122" i="150"/>
  <c r="V154" i="150" s="1"/>
  <c r="O122" i="150"/>
  <c r="O154" i="150" s="1"/>
  <c r="X122" i="150"/>
  <c r="X154" i="150" s="1"/>
  <c r="U122" i="150"/>
  <c r="U154" i="150" s="1"/>
  <c r="Y122" i="150"/>
  <c r="Y154" i="150" s="1"/>
  <c r="J119" i="150"/>
  <c r="J151" i="150" s="1"/>
  <c r="L119" i="150"/>
  <c r="L151" i="150" s="1"/>
  <c r="L116" i="150"/>
  <c r="L148" i="150" s="1"/>
  <c r="J116" i="150"/>
  <c r="J148" i="150" s="1"/>
  <c r="J118" i="150"/>
  <c r="J150" i="150" s="1"/>
  <c r="L118" i="150"/>
  <c r="L150" i="150" s="1"/>
  <c r="J117" i="150"/>
  <c r="J149" i="150" s="1"/>
  <c r="L117" i="150"/>
  <c r="L149" i="150" s="1"/>
  <c r="V118" i="150"/>
  <c r="V150" i="150" s="1"/>
  <c r="X118" i="150"/>
  <c r="X150" i="150" s="1"/>
  <c r="Q118" i="150"/>
  <c r="Q150" i="150" s="1"/>
  <c r="Y118" i="150"/>
  <c r="Y150" i="150" s="1"/>
  <c r="W118" i="150"/>
  <c r="W150" i="150" s="1"/>
  <c r="S118" i="150"/>
  <c r="S150" i="150" s="1"/>
  <c r="U118" i="150"/>
  <c r="U150" i="150" s="1"/>
  <c r="K118" i="150"/>
  <c r="K150" i="150" s="1"/>
  <c r="M118" i="150"/>
  <c r="M150" i="150" s="1"/>
  <c r="T118" i="150"/>
  <c r="T150" i="150" s="1"/>
  <c r="R118" i="150"/>
  <c r="R150" i="150" s="1"/>
  <c r="O118" i="150"/>
  <c r="O150" i="150" s="1"/>
  <c r="N118" i="150"/>
  <c r="N150" i="150" s="1"/>
  <c r="P118" i="150"/>
  <c r="P150" i="150" s="1"/>
  <c r="J115" i="150"/>
  <c r="J147" i="150" s="1"/>
  <c r="L115" i="150"/>
  <c r="L147" i="150" s="1"/>
  <c r="X125" i="153" l="1"/>
  <c r="X154" i="153" s="1"/>
  <c r="X69" i="154" s="1"/>
  <c r="X110" i="154" s="1"/>
  <c r="V101" i="153"/>
  <c r="V130" i="153" s="1"/>
  <c r="V45" i="154" s="1"/>
  <c r="V84" i="154" s="1"/>
  <c r="T107" i="153"/>
  <c r="T136" i="153" s="1"/>
  <c r="T51" i="154" s="1"/>
  <c r="T90" i="154" s="1"/>
  <c r="S119" i="153"/>
  <c r="S148" i="153" s="1"/>
  <c r="S63" i="154" s="1"/>
  <c r="S104" i="154" s="1"/>
  <c r="X119" i="153"/>
  <c r="X148" i="153" s="1"/>
  <c r="X63" i="154" s="1"/>
  <c r="X104" i="154" s="1"/>
  <c r="T101" i="153"/>
  <c r="T130" i="153" s="1"/>
  <c r="T45" i="154" s="1"/>
  <c r="T84" i="154" s="1"/>
  <c r="R101" i="153"/>
  <c r="R130" i="153" s="1"/>
  <c r="R45" i="154" s="1"/>
  <c r="R84" i="154" s="1"/>
  <c r="T119" i="153"/>
  <c r="T148" i="153" s="1"/>
  <c r="T63" i="154" s="1"/>
  <c r="T104" i="154" s="1"/>
  <c r="R110" i="153"/>
  <c r="R139" i="153" s="1"/>
  <c r="R54" i="154" s="1"/>
  <c r="R94" i="154" s="1"/>
  <c r="P161" i="150"/>
  <c r="P23" i="151" s="1"/>
  <c r="P23" i="153" s="1"/>
  <c r="P93" i="153" s="1"/>
  <c r="T109" i="151"/>
  <c r="H57" i="151"/>
  <c r="A4" i="148"/>
  <c r="A4" i="145"/>
  <c r="J49" i="55"/>
  <c r="W161" i="150"/>
  <c r="W23" i="151" s="1"/>
  <c r="Y161" i="150"/>
  <c r="Y23" i="151" s="1"/>
  <c r="T161" i="150"/>
  <c r="T23" i="151" s="1"/>
  <c r="S161" i="150"/>
  <c r="S23" i="151" s="1"/>
  <c r="M161" i="150"/>
  <c r="M23" i="151" s="1"/>
  <c r="R161" i="150"/>
  <c r="R23" i="151" s="1"/>
  <c r="K161" i="150"/>
  <c r="K23" i="151" s="1"/>
  <c r="O161" i="150"/>
  <c r="O23" i="151" s="1"/>
  <c r="Q161" i="150"/>
  <c r="Q23" i="151" s="1"/>
  <c r="U161" i="150"/>
  <c r="U23" i="151" s="1"/>
  <c r="O109" i="151"/>
  <c r="L115" i="153"/>
  <c r="L144" i="153" s="1"/>
  <c r="L59" i="154" s="1"/>
  <c r="L99" i="154" s="1"/>
  <c r="L106" i="153"/>
  <c r="L135" i="153" s="1"/>
  <c r="L50" i="154" s="1"/>
  <c r="L89" i="154" s="1"/>
  <c r="L124" i="153"/>
  <c r="L153" i="153" s="1"/>
  <c r="L68" i="154" s="1"/>
  <c r="L109" i="154" s="1"/>
  <c r="V107" i="153"/>
  <c r="V136" i="153" s="1"/>
  <c r="V51" i="154" s="1"/>
  <c r="V90" i="154" s="1"/>
  <c r="V125" i="153"/>
  <c r="V154" i="153" s="1"/>
  <c r="V69" i="154" s="1"/>
  <c r="V110" i="154" s="1"/>
  <c r="S120" i="153"/>
  <c r="S149" i="153" s="1"/>
  <c r="S64" i="154" s="1"/>
  <c r="S105" i="154" s="1"/>
  <c r="S102" i="153"/>
  <c r="S131" i="153" s="1"/>
  <c r="S46" i="154" s="1"/>
  <c r="S85" i="154" s="1"/>
  <c r="O24" i="153"/>
  <c r="O94" i="153" s="1"/>
  <c r="O55" i="151"/>
  <c r="M107" i="153"/>
  <c r="M136" i="153" s="1"/>
  <c r="M51" i="154" s="1"/>
  <c r="M90" i="154" s="1"/>
  <c r="M116" i="153"/>
  <c r="M145" i="153" s="1"/>
  <c r="M60" i="154" s="1"/>
  <c r="M100" i="154" s="1"/>
  <c r="M125" i="153"/>
  <c r="M154" i="153" s="1"/>
  <c r="M69" i="154" s="1"/>
  <c r="M110" i="154" s="1"/>
  <c r="H56" i="151"/>
  <c r="X103" i="153"/>
  <c r="X132" i="153" s="1"/>
  <c r="X47" i="154" s="1"/>
  <c r="X86" i="154" s="1"/>
  <c r="X121" i="153"/>
  <c r="X150" i="153" s="1"/>
  <c r="X65" i="154" s="1"/>
  <c r="X106" i="154" s="1"/>
  <c r="P107" i="153"/>
  <c r="P136" i="153" s="1"/>
  <c r="P51" i="154" s="1"/>
  <c r="P90" i="154" s="1"/>
  <c r="P125" i="153"/>
  <c r="P154" i="153" s="1"/>
  <c r="P69" i="154" s="1"/>
  <c r="P110" i="154" s="1"/>
  <c r="Q116" i="153"/>
  <c r="Q145" i="153" s="1"/>
  <c r="Q60" i="154" s="1"/>
  <c r="Q100" i="154" s="1"/>
  <c r="Q107" i="153"/>
  <c r="Q136" i="153" s="1"/>
  <c r="Q51" i="154" s="1"/>
  <c r="Q90" i="154" s="1"/>
  <c r="Q125" i="153"/>
  <c r="Q154" i="153" s="1"/>
  <c r="Q69" i="154" s="1"/>
  <c r="Q110" i="154" s="1"/>
  <c r="V161" i="150"/>
  <c r="V23" i="151" s="1"/>
  <c r="N161" i="150"/>
  <c r="N23" i="151" s="1"/>
  <c r="X161" i="150"/>
  <c r="X23" i="151" s="1"/>
  <c r="Q109" i="151"/>
  <c r="K115" i="153"/>
  <c r="K144" i="153" s="1"/>
  <c r="K59" i="154" s="1"/>
  <c r="K99" i="154" s="1"/>
  <c r="K124" i="153"/>
  <c r="K153" i="153" s="1"/>
  <c r="K68" i="154" s="1"/>
  <c r="K109" i="154" s="1"/>
  <c r="K106" i="153"/>
  <c r="K135" i="153" s="1"/>
  <c r="K50" i="154" s="1"/>
  <c r="K89" i="154" s="1"/>
  <c r="O124" i="153"/>
  <c r="O153" i="153" s="1"/>
  <c r="O68" i="154" s="1"/>
  <c r="O109" i="154" s="1"/>
  <c r="O106" i="153"/>
  <c r="O135" i="153" s="1"/>
  <c r="O50" i="154" s="1"/>
  <c r="O89" i="154" s="1"/>
  <c r="N55" i="151"/>
  <c r="N24" i="153"/>
  <c r="N94" i="153" s="1"/>
  <c r="R103" i="153"/>
  <c r="R132" i="153" s="1"/>
  <c r="R47" i="154" s="1"/>
  <c r="R86" i="154" s="1"/>
  <c r="R112" i="153"/>
  <c r="R141" i="153" s="1"/>
  <c r="R56" i="154" s="1"/>
  <c r="R96" i="154" s="1"/>
  <c r="R121" i="153"/>
  <c r="R150" i="153" s="1"/>
  <c r="R65" i="154" s="1"/>
  <c r="R106" i="154" s="1"/>
  <c r="J106" i="153"/>
  <c r="J135" i="153" s="1"/>
  <c r="J50" i="154" s="1"/>
  <c r="J89" i="154" s="1"/>
  <c r="J115" i="153"/>
  <c r="J144" i="153" s="1"/>
  <c r="J59" i="154" s="1"/>
  <c r="J99" i="154" s="1"/>
  <c r="J124" i="153"/>
  <c r="J153" i="153" s="1"/>
  <c r="J68" i="154" s="1"/>
  <c r="J109" i="154" s="1"/>
  <c r="J55" i="151"/>
  <c r="J24" i="153"/>
  <c r="J94" i="153" s="1"/>
  <c r="H291" i="149" a="1"/>
  <c r="H291" i="149" s="1"/>
  <c r="H295" i="149" s="1"/>
  <c r="J53" i="55" s="1"/>
  <c r="R109" i="151"/>
  <c r="S107" i="153"/>
  <c r="S136" i="153" s="1"/>
  <c r="S51" i="154" s="1"/>
  <c r="S90" i="154" s="1"/>
  <c r="S125" i="153"/>
  <c r="S154" i="153" s="1"/>
  <c r="S69" i="154" s="1"/>
  <c r="S110" i="154" s="1"/>
  <c r="T120" i="153"/>
  <c r="T149" i="153" s="1"/>
  <c r="T64" i="154" s="1"/>
  <c r="T105" i="154" s="1"/>
  <c r="T102" i="153"/>
  <c r="T131" i="153" s="1"/>
  <c r="T46" i="154" s="1"/>
  <c r="T85" i="154" s="1"/>
  <c r="T111" i="153"/>
  <c r="T140" i="153" s="1"/>
  <c r="T55" i="154" s="1"/>
  <c r="T95" i="154" s="1"/>
  <c r="H53" i="151"/>
  <c r="K116" i="153"/>
  <c r="K145" i="153" s="1"/>
  <c r="K60" i="154" s="1"/>
  <c r="K100" i="154" s="1"/>
  <c r="K107" i="153"/>
  <c r="K136" i="153" s="1"/>
  <c r="K51" i="154" s="1"/>
  <c r="K90" i="154" s="1"/>
  <c r="K125" i="153"/>
  <c r="K154" i="153" s="1"/>
  <c r="K69" i="154" s="1"/>
  <c r="K110" i="154" s="1"/>
  <c r="T103" i="153"/>
  <c r="T132" i="153" s="1"/>
  <c r="T47" i="154" s="1"/>
  <c r="T86" i="154" s="1"/>
  <c r="T112" i="153"/>
  <c r="T141" i="153" s="1"/>
  <c r="T56" i="154" s="1"/>
  <c r="T96" i="154" s="1"/>
  <c r="T121" i="153"/>
  <c r="T150" i="153" s="1"/>
  <c r="T65" i="154" s="1"/>
  <c r="T106" i="154" s="1"/>
  <c r="Q115" i="153"/>
  <c r="Q144" i="153" s="1"/>
  <c r="Q59" i="154" s="1"/>
  <c r="Q99" i="154" s="1"/>
  <c r="Q124" i="153"/>
  <c r="Q153" i="153" s="1"/>
  <c r="Q68" i="154" s="1"/>
  <c r="Q109" i="154" s="1"/>
  <c r="Q106" i="153"/>
  <c r="Q135" i="153" s="1"/>
  <c r="Q50" i="154" s="1"/>
  <c r="Q89" i="154" s="1"/>
  <c r="L125" i="153"/>
  <c r="L154" i="153" s="1"/>
  <c r="L69" i="154" s="1"/>
  <c r="L110" i="154" s="1"/>
  <c r="L116" i="153"/>
  <c r="L145" i="153" s="1"/>
  <c r="L60" i="154" s="1"/>
  <c r="L100" i="154" s="1"/>
  <c r="L107" i="153"/>
  <c r="L136" i="153" s="1"/>
  <c r="L51" i="154" s="1"/>
  <c r="L90" i="154" s="1"/>
  <c r="P24" i="153"/>
  <c r="P94" i="153" s="1"/>
  <c r="P55" i="151"/>
  <c r="N116" i="153"/>
  <c r="N145" i="153" s="1"/>
  <c r="N60" i="154" s="1"/>
  <c r="N100" i="154" s="1"/>
  <c r="N107" i="153"/>
  <c r="N136" i="153" s="1"/>
  <c r="N51" i="154" s="1"/>
  <c r="N90" i="154" s="1"/>
  <c r="N125" i="153"/>
  <c r="N154" i="153" s="1"/>
  <c r="N69" i="154" s="1"/>
  <c r="N110" i="154" s="1"/>
  <c r="R125" i="153"/>
  <c r="R154" i="153" s="1"/>
  <c r="R69" i="154" s="1"/>
  <c r="R110" i="154" s="1"/>
  <c r="R116" i="153"/>
  <c r="R145" i="153" s="1"/>
  <c r="R60" i="154" s="1"/>
  <c r="R100" i="154" s="1"/>
  <c r="R107" i="153"/>
  <c r="R136" i="153" s="1"/>
  <c r="R51" i="154" s="1"/>
  <c r="R90" i="154" s="1"/>
  <c r="V103" i="153"/>
  <c r="V132" i="153" s="1"/>
  <c r="V47" i="154" s="1"/>
  <c r="V86" i="154" s="1"/>
  <c r="V121" i="153"/>
  <c r="V150" i="153" s="1"/>
  <c r="V65" i="154" s="1"/>
  <c r="V106" i="154" s="1"/>
  <c r="M106" i="153"/>
  <c r="M135" i="153" s="1"/>
  <c r="M50" i="154" s="1"/>
  <c r="M89" i="154" s="1"/>
  <c r="M124" i="153"/>
  <c r="M153" i="153" s="1"/>
  <c r="M68" i="154" s="1"/>
  <c r="M109" i="154" s="1"/>
  <c r="M115" i="153"/>
  <c r="M144" i="153" s="1"/>
  <c r="M59" i="154" s="1"/>
  <c r="M99" i="154" s="1"/>
  <c r="V120" i="153"/>
  <c r="V149" i="153" s="1"/>
  <c r="V64" i="154" s="1"/>
  <c r="V105" i="154" s="1"/>
  <c r="V102" i="153"/>
  <c r="V131" i="153" s="1"/>
  <c r="V46" i="154" s="1"/>
  <c r="V85" i="154" s="1"/>
  <c r="H52" i="151"/>
  <c r="S103" i="153"/>
  <c r="S132" i="153" s="1"/>
  <c r="S47" i="154" s="1"/>
  <c r="S86" i="154" s="1"/>
  <c r="S121" i="153"/>
  <c r="S150" i="153" s="1"/>
  <c r="S65" i="154" s="1"/>
  <c r="S106" i="154" s="1"/>
  <c r="L109" i="151"/>
  <c r="L24" i="153"/>
  <c r="L94" i="153" s="1"/>
  <c r="L55" i="151"/>
  <c r="Q24" i="153"/>
  <c r="Q94" i="153" s="1"/>
  <c r="Q55" i="151"/>
  <c r="R111" i="153"/>
  <c r="R140" i="153" s="1"/>
  <c r="R55" i="154" s="1"/>
  <c r="R95" i="154" s="1"/>
  <c r="R120" i="153"/>
  <c r="R149" i="153" s="1"/>
  <c r="R64" i="154" s="1"/>
  <c r="R105" i="154" s="1"/>
  <c r="R102" i="153"/>
  <c r="R131" i="153" s="1"/>
  <c r="R46" i="154" s="1"/>
  <c r="R85" i="154" s="1"/>
  <c r="X102" i="153"/>
  <c r="X131" i="153" s="1"/>
  <c r="X46" i="154" s="1"/>
  <c r="X85" i="154" s="1"/>
  <c r="X120" i="153"/>
  <c r="X149" i="153" s="1"/>
  <c r="X64" i="154" s="1"/>
  <c r="X105" i="154" s="1"/>
  <c r="M55" i="151"/>
  <c r="M24" i="153"/>
  <c r="M94" i="153" s="1"/>
  <c r="K55" i="151"/>
  <c r="K24" i="153"/>
  <c r="K94" i="153" s="1"/>
  <c r="S109" i="151"/>
  <c r="Y109" i="151"/>
  <c r="N109" i="151"/>
  <c r="M109" i="151"/>
  <c r="X109" i="151"/>
  <c r="W109" i="151"/>
  <c r="AL109" i="151"/>
  <c r="BD109" i="151"/>
  <c r="AH109" i="151"/>
  <c r="AN109" i="151"/>
  <c r="AM109" i="151"/>
  <c r="BA109" i="151"/>
  <c r="AI109" i="151"/>
  <c r="BB109" i="151"/>
  <c r="BC109" i="151"/>
  <c r="AK109" i="151"/>
  <c r="BE109" i="151"/>
  <c r="AJ109" i="151"/>
  <c r="AX109" i="151"/>
  <c r="AY109" i="151"/>
  <c r="AO109" i="151"/>
  <c r="AZ109" i="151"/>
  <c r="AW109" i="151"/>
  <c r="AU109" i="151"/>
  <c r="AE109" i="151"/>
  <c r="AT109" i="151"/>
  <c r="AF109" i="151"/>
  <c r="AG109" i="151"/>
  <c r="AV109" i="151"/>
  <c r="AB109" i="151"/>
  <c r="AS109" i="151"/>
  <c r="AC109" i="151"/>
  <c r="AA109" i="151"/>
  <c r="AR109" i="151"/>
  <c r="Z109" i="151"/>
  <c r="AP109" i="151"/>
  <c r="AQ109" i="151"/>
  <c r="U109" i="151"/>
  <c r="P109" i="151"/>
  <c r="V109" i="151"/>
  <c r="K109" i="151"/>
  <c r="J51" i="55"/>
  <c r="H51" i="151"/>
  <c r="J114" i="150"/>
  <c r="J146" i="150" s="1"/>
  <c r="J161" i="150" s="1"/>
  <c r="J23" i="151" s="1"/>
  <c r="L114" i="150"/>
  <c r="L146" i="150" s="1"/>
  <c r="L161" i="150" s="1"/>
  <c r="L23" i="151" s="1"/>
  <c r="AD109" i="151"/>
  <c r="J109" i="151"/>
  <c r="H100" i="154" l="1"/>
  <c r="P54" i="151"/>
  <c r="P58" i="151" s="1"/>
  <c r="H90" i="154"/>
  <c r="H110" i="154"/>
  <c r="J23" i="153"/>
  <c r="J93" i="153" s="1"/>
  <c r="J54" i="151"/>
  <c r="J114" i="153"/>
  <c r="J143" i="153" s="1"/>
  <c r="J58" i="154" s="1"/>
  <c r="J98" i="154" s="1"/>
  <c r="J105" i="153"/>
  <c r="J134" i="153" s="1"/>
  <c r="J49" i="154" s="1"/>
  <c r="J88" i="154" s="1"/>
  <c r="J123" i="153"/>
  <c r="J152" i="153" s="1"/>
  <c r="J67" i="154" s="1"/>
  <c r="J108" i="154" s="1"/>
  <c r="N123" i="153"/>
  <c r="N152" i="153" s="1"/>
  <c r="N67" i="154" s="1"/>
  <c r="N108" i="154" s="1"/>
  <c r="N114" i="153"/>
  <c r="N143" i="153" s="1"/>
  <c r="N58" i="154" s="1"/>
  <c r="N98" i="154" s="1"/>
  <c r="N105" i="153"/>
  <c r="N134" i="153" s="1"/>
  <c r="N49" i="154" s="1"/>
  <c r="N88" i="154" s="1"/>
  <c r="U54" i="151"/>
  <c r="U58" i="151" s="1"/>
  <c r="U23" i="153"/>
  <c r="U93" i="153" s="1"/>
  <c r="U104" i="153" s="1"/>
  <c r="U133" i="153" s="1"/>
  <c r="U48" i="154" s="1"/>
  <c r="U87" i="154" s="1"/>
  <c r="U91" i="154" s="1"/>
  <c r="M54" i="151"/>
  <c r="M58" i="151" s="1"/>
  <c r="M23" i="153"/>
  <c r="M93" i="153" s="1"/>
  <c r="M123" i="153"/>
  <c r="M152" i="153" s="1"/>
  <c r="M67" i="154" s="1"/>
  <c r="M108" i="154" s="1"/>
  <c r="M105" i="153"/>
  <c r="M134" i="153" s="1"/>
  <c r="M49" i="154" s="1"/>
  <c r="M88" i="154" s="1"/>
  <c r="M114" i="153"/>
  <c r="M143" i="153" s="1"/>
  <c r="M58" i="154" s="1"/>
  <c r="M98" i="154" s="1"/>
  <c r="Q123" i="153"/>
  <c r="Q152" i="153" s="1"/>
  <c r="Q67" i="154" s="1"/>
  <c r="Q108" i="154" s="1"/>
  <c r="Q114" i="153"/>
  <c r="Q143" i="153" s="1"/>
  <c r="Q58" i="154" s="1"/>
  <c r="Q98" i="154" s="1"/>
  <c r="Q105" i="153"/>
  <c r="Q134" i="153" s="1"/>
  <c r="Q49" i="154" s="1"/>
  <c r="Q88" i="154" s="1"/>
  <c r="H55" i="151"/>
  <c r="V23" i="153"/>
  <c r="V93" i="153" s="1"/>
  <c r="V54" i="151"/>
  <c r="V58" i="151" s="1"/>
  <c r="Q54" i="151"/>
  <c r="Q58" i="151" s="1"/>
  <c r="Q23" i="153"/>
  <c r="Q93" i="153" s="1"/>
  <c r="S54" i="151"/>
  <c r="S58" i="151" s="1"/>
  <c r="S23" i="153"/>
  <c r="S93" i="153" s="1"/>
  <c r="P104" i="153"/>
  <c r="P133" i="153" s="1"/>
  <c r="P48" i="154" s="1"/>
  <c r="P87" i="154" s="1"/>
  <c r="P122" i="153"/>
  <c r="P151" i="153" s="1"/>
  <c r="P66" i="154" s="1"/>
  <c r="P107" i="154" s="1"/>
  <c r="A4" i="149"/>
  <c r="K114" i="153"/>
  <c r="K143" i="153" s="1"/>
  <c r="K58" i="154" s="1"/>
  <c r="K98" i="154" s="1"/>
  <c r="K105" i="153"/>
  <c r="K134" i="153" s="1"/>
  <c r="K49" i="154" s="1"/>
  <c r="K88" i="154" s="1"/>
  <c r="K123" i="153"/>
  <c r="K152" i="153" s="1"/>
  <c r="K67" i="154" s="1"/>
  <c r="K108" i="154" s="1"/>
  <c r="L105" i="153"/>
  <c r="L134" i="153" s="1"/>
  <c r="L49" i="154" s="1"/>
  <c r="L88" i="154" s="1"/>
  <c r="L123" i="153"/>
  <c r="L152" i="153" s="1"/>
  <c r="L67" i="154" s="1"/>
  <c r="L108" i="154" s="1"/>
  <c r="L114" i="153"/>
  <c r="L143" i="153" s="1"/>
  <c r="L58" i="154" s="1"/>
  <c r="L98" i="154" s="1"/>
  <c r="H89" i="154"/>
  <c r="N23" i="153"/>
  <c r="N93" i="153" s="1"/>
  <c r="N54" i="151"/>
  <c r="N58" i="151" s="1"/>
  <c r="L54" i="151"/>
  <c r="L58" i="151" s="1"/>
  <c r="L23" i="153"/>
  <c r="L93" i="153" s="1"/>
  <c r="P123" i="153"/>
  <c r="P152" i="153" s="1"/>
  <c r="P67" i="154" s="1"/>
  <c r="P108" i="154" s="1"/>
  <c r="P105" i="153"/>
  <c r="P134" i="153" s="1"/>
  <c r="P49" i="154" s="1"/>
  <c r="P88" i="154" s="1"/>
  <c r="H109" i="154"/>
  <c r="O105" i="153"/>
  <c r="O134" i="153" s="1"/>
  <c r="O49" i="154" s="1"/>
  <c r="O88" i="154" s="1"/>
  <c r="O123" i="153"/>
  <c r="O152" i="153" s="1"/>
  <c r="O67" i="154" s="1"/>
  <c r="O108" i="154" s="1"/>
  <c r="O23" i="153"/>
  <c r="O93" i="153" s="1"/>
  <c r="O54" i="151"/>
  <c r="O58" i="151" s="1"/>
  <c r="T23" i="153"/>
  <c r="T93" i="153" s="1"/>
  <c r="T54" i="151"/>
  <c r="T58" i="151" s="1"/>
  <c r="W54" i="151"/>
  <c r="W58" i="151" s="1"/>
  <c r="W23" i="153"/>
  <c r="W93" i="153" s="1"/>
  <c r="W104" i="153" s="1"/>
  <c r="W133" i="153" s="1"/>
  <c r="W48" i="154" s="1"/>
  <c r="W87" i="154" s="1"/>
  <c r="W91" i="154" s="1"/>
  <c r="H99" i="154"/>
  <c r="X23" i="153"/>
  <c r="X93" i="153" s="1"/>
  <c r="X54" i="151"/>
  <c r="X58" i="151" s="1"/>
  <c r="K54" i="151"/>
  <c r="K58" i="151" s="1"/>
  <c r="K23" i="153"/>
  <c r="K93" i="153" s="1"/>
  <c r="R54" i="151"/>
  <c r="R58" i="151" s="1"/>
  <c r="R23" i="153"/>
  <c r="R93" i="153" s="1"/>
  <c r="Y23" i="153"/>
  <c r="Y93" i="153" s="1"/>
  <c r="Y104" i="153" s="1"/>
  <c r="Y133" i="153" s="1"/>
  <c r="Y48" i="154" s="1"/>
  <c r="Y87" i="154" s="1"/>
  <c r="Y91" i="154" s="1"/>
  <c r="Y54" i="151"/>
  <c r="Y58" i="151" s="1"/>
  <c r="H165" i="150" a="1"/>
  <c r="H165" i="150" s="1"/>
  <c r="A4" i="150" s="1"/>
  <c r="AD110" i="151"/>
  <c r="BA110" i="151"/>
  <c r="AX110" i="151"/>
  <c r="BE110" i="151"/>
  <c r="BD110" i="151"/>
  <c r="BC110" i="151"/>
  <c r="AN110" i="151"/>
  <c r="AZ110" i="151"/>
  <c r="AO110" i="151"/>
  <c r="AK110" i="151"/>
  <c r="AY110" i="151"/>
  <c r="AJ110" i="151"/>
  <c r="AL110" i="151"/>
  <c r="AM110" i="151"/>
  <c r="AH110" i="151"/>
  <c r="BB110" i="151"/>
  <c r="AI110" i="151"/>
  <c r="J110" i="151"/>
  <c r="AE110" i="151"/>
  <c r="AU110" i="151"/>
  <c r="AW110" i="151"/>
  <c r="AF110" i="151"/>
  <c r="AG110" i="151"/>
  <c r="AV110" i="151"/>
  <c r="AT110" i="151"/>
  <c r="AS110" i="151"/>
  <c r="AB110" i="151"/>
  <c r="AC110" i="151"/>
  <c r="AR110" i="151"/>
  <c r="AQ110" i="151"/>
  <c r="AA110" i="151"/>
  <c r="Z110" i="151"/>
  <c r="AP110" i="151"/>
  <c r="O110" i="151"/>
  <c r="V110" i="151"/>
  <c r="R110" i="151"/>
  <c r="U110" i="151"/>
  <c r="N110" i="151"/>
  <c r="S110" i="151"/>
  <c r="T110" i="151"/>
  <c r="K110" i="151"/>
  <c r="W110" i="151"/>
  <c r="M110" i="151"/>
  <c r="Y110" i="151"/>
  <c r="Q110" i="151"/>
  <c r="L110" i="151"/>
  <c r="P110" i="151"/>
  <c r="X110" i="151"/>
  <c r="X104" i="153" l="1"/>
  <c r="X133" i="153" s="1"/>
  <c r="X48" i="154" s="1"/>
  <c r="X87" i="154" s="1"/>
  <c r="X91" i="154" s="1"/>
  <c r="X128" i="154" s="1"/>
  <c r="X122" i="153"/>
  <c r="X151" i="153" s="1"/>
  <c r="X66" i="154" s="1"/>
  <c r="X107" i="154" s="1"/>
  <c r="X111" i="154" s="1"/>
  <c r="N113" i="153"/>
  <c r="N142" i="153" s="1"/>
  <c r="N57" i="154" s="1"/>
  <c r="N97" i="154" s="1"/>
  <c r="N104" i="153"/>
  <c r="N133" i="153" s="1"/>
  <c r="N48" i="154" s="1"/>
  <c r="N87" i="154" s="1"/>
  <c r="N122" i="153"/>
  <c r="N151" i="153" s="1"/>
  <c r="N66" i="154" s="1"/>
  <c r="N107" i="154" s="1"/>
  <c r="V104" i="153"/>
  <c r="V133" i="153" s="1"/>
  <c r="V48" i="154" s="1"/>
  <c r="V87" i="154" s="1"/>
  <c r="V91" i="154" s="1"/>
  <c r="V128" i="154" s="1"/>
  <c r="V122" i="153"/>
  <c r="V151" i="153" s="1"/>
  <c r="V66" i="154" s="1"/>
  <c r="V107" i="154" s="1"/>
  <c r="V111" i="154" s="1"/>
  <c r="M113" i="153"/>
  <c r="M142" i="153" s="1"/>
  <c r="M57" i="154" s="1"/>
  <c r="M97" i="154" s="1"/>
  <c r="M104" i="153"/>
  <c r="M133" i="153" s="1"/>
  <c r="M48" i="154" s="1"/>
  <c r="M87" i="154" s="1"/>
  <c r="M122" i="153"/>
  <c r="M151" i="153" s="1"/>
  <c r="M66" i="154" s="1"/>
  <c r="M107" i="154" s="1"/>
  <c r="H88" i="154"/>
  <c r="S104" i="153"/>
  <c r="S133" i="153" s="1"/>
  <c r="S48" i="154" s="1"/>
  <c r="S87" i="154" s="1"/>
  <c r="S91" i="154" s="1"/>
  <c r="S128" i="154" s="1"/>
  <c r="S122" i="153"/>
  <c r="S151" i="153" s="1"/>
  <c r="S66" i="154" s="1"/>
  <c r="S107" i="154" s="1"/>
  <c r="S111" i="154" s="1"/>
  <c r="X111" i="151"/>
  <c r="K122" i="153"/>
  <c r="K151" i="153" s="1"/>
  <c r="K66" i="154" s="1"/>
  <c r="K107" i="154" s="1"/>
  <c r="K113" i="153"/>
  <c r="K142" i="153" s="1"/>
  <c r="K57" i="154" s="1"/>
  <c r="K97" i="154" s="1"/>
  <c r="K104" i="153"/>
  <c r="K133" i="153" s="1"/>
  <c r="K48" i="154" s="1"/>
  <c r="K87" i="154" s="1"/>
  <c r="T104" i="153"/>
  <c r="T133" i="153" s="1"/>
  <c r="T48" i="154" s="1"/>
  <c r="T87" i="154" s="1"/>
  <c r="T91" i="154" s="1"/>
  <c r="T128" i="154" s="1"/>
  <c r="T122" i="153"/>
  <c r="T151" i="153" s="1"/>
  <c r="T66" i="154" s="1"/>
  <c r="T107" i="154" s="1"/>
  <c r="T111" i="154" s="1"/>
  <c r="T113" i="153"/>
  <c r="T142" i="153" s="1"/>
  <c r="T57" i="154" s="1"/>
  <c r="T97" i="154" s="1"/>
  <c r="T101" i="154" s="1"/>
  <c r="L113" i="153"/>
  <c r="L142" i="153" s="1"/>
  <c r="L57" i="154" s="1"/>
  <c r="L97" i="154" s="1"/>
  <c r="L122" i="153"/>
  <c r="L151" i="153" s="1"/>
  <c r="L66" i="154" s="1"/>
  <c r="L107" i="154" s="1"/>
  <c r="L104" i="153"/>
  <c r="L133" i="153" s="1"/>
  <c r="L48" i="154" s="1"/>
  <c r="L87" i="154" s="1"/>
  <c r="Q122" i="153"/>
  <c r="Q151" i="153" s="1"/>
  <c r="Q66" i="154" s="1"/>
  <c r="Q107" i="154" s="1"/>
  <c r="Q104" i="153"/>
  <c r="Q133" i="153" s="1"/>
  <c r="Q48" i="154" s="1"/>
  <c r="Q87" i="154" s="1"/>
  <c r="Q113" i="153"/>
  <c r="Q142" i="153" s="1"/>
  <c r="Q57" i="154" s="1"/>
  <c r="Q97" i="154" s="1"/>
  <c r="H98" i="154"/>
  <c r="R122" i="153"/>
  <c r="R151" i="153" s="1"/>
  <c r="R66" i="154" s="1"/>
  <c r="R107" i="154" s="1"/>
  <c r="R111" i="154" s="1"/>
  <c r="R104" i="153"/>
  <c r="R133" i="153" s="1"/>
  <c r="R48" i="154" s="1"/>
  <c r="R87" i="154" s="1"/>
  <c r="R91" i="154" s="1"/>
  <c r="R128" i="154" s="1"/>
  <c r="R113" i="153"/>
  <c r="R142" i="153" s="1"/>
  <c r="R57" i="154" s="1"/>
  <c r="R97" i="154" s="1"/>
  <c r="R101" i="154" s="1"/>
  <c r="O104" i="153"/>
  <c r="O133" i="153" s="1"/>
  <c r="O48" i="154" s="1"/>
  <c r="O87" i="154" s="1"/>
  <c r="O122" i="153"/>
  <c r="O151" i="153" s="1"/>
  <c r="O66" i="154" s="1"/>
  <c r="O107" i="154" s="1"/>
  <c r="H108" i="154"/>
  <c r="J122" i="153"/>
  <c r="J151" i="153" s="1"/>
  <c r="J66" i="154" s="1"/>
  <c r="J107" i="154" s="1"/>
  <c r="J104" i="153"/>
  <c r="J133" i="153" s="1"/>
  <c r="J48" i="154" s="1"/>
  <c r="J87" i="154" s="1"/>
  <c r="J113" i="153"/>
  <c r="J142" i="153" s="1"/>
  <c r="J57" i="154" s="1"/>
  <c r="J97" i="154" s="1"/>
  <c r="H54" i="151"/>
  <c r="AW119" i="151"/>
  <c r="AV119" i="151"/>
  <c r="AA119" i="151"/>
  <c r="Z119" i="151"/>
  <c r="AK119" i="151"/>
  <c r="AI119" i="151"/>
  <c r="Q119" i="151"/>
  <c r="Y119" i="151"/>
  <c r="BC119" i="151"/>
  <c r="AD119" i="151"/>
  <c r="K119" i="151"/>
  <c r="AL119" i="151"/>
  <c r="R119" i="151"/>
  <c r="AO119" i="151"/>
  <c r="S119" i="151"/>
  <c r="BE119" i="151"/>
  <c r="AE119" i="151"/>
  <c r="X119" i="151"/>
  <c r="AU119" i="151"/>
  <c r="AQ119" i="151"/>
  <c r="AN119" i="151"/>
  <c r="AS119" i="151"/>
  <c r="AG119" i="151"/>
  <c r="P119" i="151"/>
  <c r="AY119" i="151"/>
  <c r="U119" i="151"/>
  <c r="T119" i="151"/>
  <c r="L119" i="151"/>
  <c r="W119" i="151"/>
  <c r="BD119" i="151"/>
  <c r="AJ119" i="151"/>
  <c r="AB119" i="151"/>
  <c r="M119" i="151"/>
  <c r="AC119" i="151"/>
  <c r="AP119" i="151"/>
  <c r="AR119" i="151"/>
  <c r="V119" i="151"/>
  <c r="AM119" i="151"/>
  <c r="AT119" i="151"/>
  <c r="N119" i="151"/>
  <c r="AZ119" i="151"/>
  <c r="BB119" i="151"/>
  <c r="BA119" i="151"/>
  <c r="AX119" i="151"/>
  <c r="O119" i="151"/>
  <c r="AH119" i="151"/>
  <c r="J119" i="151"/>
  <c r="J121" i="151" s="1"/>
  <c r="AF119" i="151"/>
  <c r="J58" i="151"/>
  <c r="H58" i="151" s="1"/>
  <c r="Y111" i="151"/>
  <c r="R111" i="151"/>
  <c r="Z111" i="151"/>
  <c r="AC111" i="151"/>
  <c r="AV111" i="151"/>
  <c r="AU111" i="151"/>
  <c r="BB111" i="151"/>
  <c r="AJ111" i="151"/>
  <c r="AZ111" i="151"/>
  <c r="BE111" i="151"/>
  <c r="P111" i="151"/>
  <c r="M111" i="151"/>
  <c r="S111" i="151"/>
  <c r="V111" i="151"/>
  <c r="AA111" i="151"/>
  <c r="AB111" i="151"/>
  <c r="AG111" i="151"/>
  <c r="AE111" i="151"/>
  <c r="AH111" i="151"/>
  <c r="AY111" i="151"/>
  <c r="AN111" i="151"/>
  <c r="AX111" i="151"/>
  <c r="L111" i="151"/>
  <c r="W111" i="151"/>
  <c r="N111" i="151"/>
  <c r="O111" i="151"/>
  <c r="AQ111" i="151"/>
  <c r="AS111" i="151"/>
  <c r="AF111" i="151"/>
  <c r="J111" i="151"/>
  <c r="AM111" i="151"/>
  <c r="AK111" i="151"/>
  <c r="BC111" i="151"/>
  <c r="BA111" i="151"/>
  <c r="T111" i="151"/>
  <c r="Q111" i="151"/>
  <c r="K111" i="151"/>
  <c r="U111" i="151"/>
  <c r="AP111" i="151"/>
  <c r="AR111" i="151"/>
  <c r="AT111" i="151"/>
  <c r="AW111" i="151"/>
  <c r="AI111" i="151"/>
  <c r="AL111" i="151"/>
  <c r="AO111" i="151"/>
  <c r="BD111" i="151"/>
  <c r="AD111" i="151"/>
  <c r="J54" i="55"/>
  <c r="J118" i="151" l="1"/>
  <c r="H97" i="154"/>
  <c r="T117" i="151"/>
  <c r="M117" i="151"/>
  <c r="AI117" i="151"/>
  <c r="AL117" i="151"/>
  <c r="U117" i="151"/>
  <c r="L117" i="151"/>
  <c r="BB117" i="151"/>
  <c r="AX117" i="151"/>
  <c r="H87" i="154"/>
  <c r="H145" i="151"/>
  <c r="J123" i="151"/>
  <c r="AG117" i="151"/>
  <c r="AQ117" i="151"/>
  <c r="H74" i="154"/>
  <c r="H116" i="154" s="1"/>
  <c r="H60" i="151"/>
  <c r="H90" i="151" s="1"/>
  <c r="H107" i="154"/>
  <c r="Y117" i="151"/>
  <c r="K117" i="151"/>
  <c r="AJ117" i="151"/>
  <c r="Q117" i="151"/>
  <c r="N117" i="151"/>
  <c r="AT117" i="151"/>
  <c r="AZ117" i="151"/>
  <c r="AC117" i="151"/>
  <c r="R117" i="151"/>
  <c r="BE117" i="151"/>
  <c r="S117" i="151"/>
  <c r="AY117" i="151"/>
  <c r="AH117" i="151"/>
  <c r="BC117" i="151"/>
  <c r="O117" i="151"/>
  <c r="AD117" i="151"/>
  <c r="Z117" i="151"/>
  <c r="AU117" i="151"/>
  <c r="BA117" i="151"/>
  <c r="AN117" i="151"/>
  <c r="AE117" i="151"/>
  <c r="AA117" i="151"/>
  <c r="J117" i="151"/>
  <c r="BD117" i="151"/>
  <c r="AF117" i="151"/>
  <c r="AW117" i="151"/>
  <c r="P117" i="151"/>
  <c r="AS117" i="151"/>
  <c r="W117" i="151"/>
  <c r="AK117" i="151"/>
  <c r="AB117" i="151"/>
  <c r="AM117" i="151"/>
  <c r="AV117" i="151"/>
  <c r="V117" i="151"/>
  <c r="AO117" i="151"/>
  <c r="X117" i="151"/>
  <c r="AP117" i="151"/>
  <c r="AR117" i="151"/>
  <c r="K118" i="151"/>
  <c r="L118" i="151" s="1"/>
  <c r="M118" i="151" s="1"/>
  <c r="N118" i="151" s="1"/>
  <c r="O118" i="151" s="1"/>
  <c r="P118" i="151" s="1"/>
  <c r="Q118" i="151" s="1"/>
  <c r="R118" i="151" s="1"/>
  <c r="S118" i="151" s="1"/>
  <c r="T118" i="151" s="1"/>
  <c r="U118" i="151" s="1"/>
  <c r="V118" i="151" s="1"/>
  <c r="W118" i="151" s="1"/>
  <c r="X118" i="151" s="1"/>
  <c r="Y118" i="151" s="1"/>
  <c r="Z118" i="151" s="1"/>
  <c r="AA118" i="151" s="1"/>
  <c r="AB118" i="151" s="1"/>
  <c r="AC118" i="151" s="1"/>
  <c r="AD118" i="151" s="1"/>
  <c r="AE118" i="151" s="1"/>
  <c r="AF118" i="151" s="1"/>
  <c r="AG118" i="151" s="1"/>
  <c r="AH118" i="151" s="1"/>
  <c r="AI118" i="151" s="1"/>
  <c r="AJ118" i="151" s="1"/>
  <c r="AK118" i="151" s="1"/>
  <c r="AL118" i="151" s="1"/>
  <c r="AM118" i="151" s="1"/>
  <c r="AN118" i="151" s="1"/>
  <c r="AO118" i="151" s="1"/>
  <c r="AP118" i="151" s="1"/>
  <c r="AQ118" i="151" s="1"/>
  <c r="AR118" i="151" s="1"/>
  <c r="AS118" i="151" s="1"/>
  <c r="AT118" i="151" s="1"/>
  <c r="AU118" i="151" s="1"/>
  <c r="AV118" i="151" s="1"/>
  <c r="AW118" i="151" s="1"/>
  <c r="AX118" i="151" s="1"/>
  <c r="AY118" i="151" s="1"/>
  <c r="AZ118" i="151" s="1"/>
  <c r="BA118" i="151" s="1"/>
  <c r="BB118" i="151" s="1"/>
  <c r="BC118" i="151" s="1"/>
  <c r="BD118" i="151" s="1"/>
  <c r="BE118" i="151" s="1"/>
  <c r="K120" i="151" l="1"/>
  <c r="L120" i="151" s="1"/>
  <c r="K121" i="151" l="1"/>
  <c r="K123" i="151" s="1"/>
  <c r="M120" i="151"/>
  <c r="L121" i="151"/>
  <c r="L123" i="151" s="1"/>
  <c r="N120" i="151" l="1"/>
  <c r="M121" i="151"/>
  <c r="M123" i="151" s="1"/>
  <c r="O120" i="151" l="1"/>
  <c r="N121" i="151"/>
  <c r="N123" i="151" s="1"/>
  <c r="P120" i="151" l="1"/>
  <c r="O121" i="151"/>
  <c r="O123" i="151" s="1"/>
  <c r="Q120" i="151" l="1"/>
  <c r="P121" i="151"/>
  <c r="P123" i="151" s="1"/>
  <c r="R120" i="151" l="1"/>
  <c r="Q121" i="151"/>
  <c r="Q123" i="151" s="1"/>
  <c r="S120" i="151" l="1"/>
  <c r="R121" i="151"/>
  <c r="R123" i="151" s="1"/>
  <c r="T120" i="151" l="1"/>
  <c r="S121" i="151"/>
  <c r="S123" i="151" s="1"/>
  <c r="U120" i="151" l="1"/>
  <c r="T121" i="151"/>
  <c r="T123" i="151" s="1"/>
  <c r="V120" i="151" l="1"/>
  <c r="U121" i="151"/>
  <c r="U123" i="151" s="1"/>
  <c r="W120" i="151" l="1"/>
  <c r="V121" i="151"/>
  <c r="V123" i="151" s="1"/>
  <c r="X120" i="151" l="1"/>
  <c r="W121" i="151"/>
  <c r="W123" i="151" s="1"/>
  <c r="Y120" i="151" l="1"/>
  <c r="X121" i="151"/>
  <c r="X123" i="151" s="1"/>
  <c r="Z120" i="151" l="1"/>
  <c r="Y121" i="151"/>
  <c r="Y123" i="151" s="1"/>
  <c r="AA120" i="151" l="1"/>
  <c r="Z121" i="151"/>
  <c r="Z123" i="151" s="1"/>
  <c r="AB120" i="151" l="1"/>
  <c r="AA121" i="151"/>
  <c r="AA123" i="151" s="1"/>
  <c r="AC120" i="151" l="1"/>
  <c r="AB121" i="151"/>
  <c r="AB123" i="151" s="1"/>
  <c r="AD120" i="151" l="1"/>
  <c r="AC121" i="151"/>
  <c r="AC123" i="151" s="1"/>
  <c r="AE120" i="151" l="1"/>
  <c r="AD121" i="151"/>
  <c r="AD123" i="151" s="1"/>
  <c r="AF120" i="151" l="1"/>
  <c r="AE121" i="151"/>
  <c r="AE123" i="151" s="1"/>
  <c r="AG120" i="151" l="1"/>
  <c r="AF121" i="151"/>
  <c r="AF123" i="151" s="1"/>
  <c r="AH120" i="151" l="1"/>
  <c r="AG121" i="151"/>
  <c r="AG123" i="151" s="1"/>
  <c r="AI120" i="151" l="1"/>
  <c r="AH121" i="151"/>
  <c r="AH123" i="151" s="1"/>
  <c r="AJ120" i="151" l="1"/>
  <c r="AI121" i="151"/>
  <c r="AI123" i="151" s="1"/>
  <c r="AK120" i="151" l="1"/>
  <c r="AJ121" i="151"/>
  <c r="AJ123" i="151" s="1"/>
  <c r="AL120" i="151" l="1"/>
  <c r="AK121" i="151"/>
  <c r="AK123" i="151" s="1"/>
  <c r="AM120" i="151" l="1"/>
  <c r="AL121" i="151"/>
  <c r="AL123" i="151" s="1"/>
  <c r="AN120" i="151" l="1"/>
  <c r="AM121" i="151"/>
  <c r="AM123" i="151" s="1"/>
  <c r="AO120" i="151" l="1"/>
  <c r="AN121" i="151"/>
  <c r="AN123" i="151" s="1"/>
  <c r="AP120" i="151" l="1"/>
  <c r="AO121" i="151"/>
  <c r="AO123" i="151" s="1"/>
  <c r="AQ120" i="151" l="1"/>
  <c r="AP121" i="151"/>
  <c r="AP123" i="151" s="1"/>
  <c r="AR120" i="151" l="1"/>
  <c r="AQ121" i="151"/>
  <c r="AQ123" i="151" s="1"/>
  <c r="AS120" i="151" l="1"/>
  <c r="AR121" i="151"/>
  <c r="AR123" i="151" s="1"/>
  <c r="AT120" i="151" l="1"/>
  <c r="AS121" i="151"/>
  <c r="AS123" i="151" s="1"/>
  <c r="AU120" i="151" l="1"/>
  <c r="AT121" i="151"/>
  <c r="AT123" i="151" s="1"/>
  <c r="AV120" i="151" l="1"/>
  <c r="AU121" i="151"/>
  <c r="AU123" i="151" s="1"/>
  <c r="AW120" i="151" l="1"/>
  <c r="AV121" i="151"/>
  <c r="AV123" i="151" s="1"/>
  <c r="AX120" i="151" l="1"/>
  <c r="AW121" i="151"/>
  <c r="AW123" i="151" s="1"/>
  <c r="AY120" i="151" l="1"/>
  <c r="AX121" i="151"/>
  <c r="AX123" i="151" s="1"/>
  <c r="AZ120" i="151" l="1"/>
  <c r="AY121" i="151"/>
  <c r="AY123" i="151" s="1"/>
  <c r="BA120" i="151" l="1"/>
  <c r="AZ121" i="151"/>
  <c r="AZ123" i="151" s="1"/>
  <c r="BB120" i="151" l="1"/>
  <c r="BA121" i="151"/>
  <c r="BA123" i="151" s="1"/>
  <c r="BC120" i="151" l="1"/>
  <c r="BB121" i="151"/>
  <c r="BB123" i="151" s="1"/>
  <c r="BD120" i="151" l="1"/>
  <c r="BC121" i="151"/>
  <c r="BC123" i="151" s="1"/>
  <c r="BE120" i="151" l="1"/>
  <c r="BE121" i="151" s="1"/>
  <c r="BD121" i="151"/>
  <c r="BD123" i="151" s="1"/>
  <c r="BE123" i="151" l="1"/>
  <c r="H123" i="151"/>
  <c r="H129" i="151" s="1"/>
  <c r="N139" i="151" l="1"/>
  <c r="K139" i="151"/>
  <c r="N140" i="151"/>
  <c r="L141" i="151"/>
  <c r="P141" i="151"/>
  <c r="P139" i="151"/>
  <c r="O141" i="151"/>
  <c r="K140" i="151"/>
  <c r="M139" i="151"/>
  <c r="O140" i="151"/>
  <c r="L139" i="151"/>
  <c r="M140" i="151"/>
  <c r="J141" i="151"/>
  <c r="P140" i="151"/>
  <c r="M141" i="151"/>
  <c r="Q140" i="151"/>
  <c r="O139" i="151"/>
  <c r="J140" i="151"/>
  <c r="K141" i="151"/>
  <c r="L140" i="151"/>
  <c r="Q141" i="151"/>
  <c r="J139" i="151"/>
  <c r="N141" i="151"/>
  <c r="Q139" i="151"/>
  <c r="N33" i="153" l="1"/>
  <c r="N91" i="153" s="1"/>
  <c r="N151" i="151"/>
  <c r="Q150" i="151"/>
  <c r="Q32" i="153"/>
  <c r="Q90" i="153" s="1"/>
  <c r="Q151" i="151"/>
  <c r="Q33" i="153"/>
  <c r="Q91" i="153" s="1"/>
  <c r="K151" i="151"/>
  <c r="K33" i="153"/>
  <c r="K91" i="153" s="1"/>
  <c r="L34" i="153"/>
  <c r="L92" i="153" s="1"/>
  <c r="L152" i="151"/>
  <c r="K34" i="153"/>
  <c r="K92" i="153" s="1"/>
  <c r="K152" i="151"/>
  <c r="L150" i="151"/>
  <c r="L32" i="153"/>
  <c r="L90" i="153" s="1"/>
  <c r="O34" i="153"/>
  <c r="O92" i="153" s="1"/>
  <c r="O152" i="151"/>
  <c r="J150" i="151"/>
  <c r="J32" i="153"/>
  <c r="H147" i="151" a="1"/>
  <c r="H147" i="151" s="1"/>
  <c r="J33" i="153"/>
  <c r="J91" i="153" s="1"/>
  <c r="J151" i="151"/>
  <c r="P33" i="153"/>
  <c r="P91" i="153" s="1"/>
  <c r="P151" i="151"/>
  <c r="O33" i="153"/>
  <c r="O91" i="153" s="1"/>
  <c r="O151" i="151"/>
  <c r="P150" i="151"/>
  <c r="P32" i="153"/>
  <c r="P90" i="153" s="1"/>
  <c r="K32" i="153"/>
  <c r="K90" i="153" s="1"/>
  <c r="K150" i="151"/>
  <c r="L151" i="151"/>
  <c r="L33" i="153"/>
  <c r="L91" i="153" s="1"/>
  <c r="M33" i="153"/>
  <c r="M91" i="153" s="1"/>
  <c r="M151" i="151"/>
  <c r="N152" i="151"/>
  <c r="N34" i="153"/>
  <c r="N92" i="153" s="1"/>
  <c r="M34" i="153"/>
  <c r="M92" i="153" s="1"/>
  <c r="M152" i="151"/>
  <c r="Q152" i="151"/>
  <c r="Q34" i="153"/>
  <c r="Q92" i="153" s="1"/>
  <c r="O150" i="151"/>
  <c r="O32" i="153"/>
  <c r="O90" i="153" s="1"/>
  <c r="J34" i="153"/>
  <c r="J92" i="153" s="1"/>
  <c r="J152" i="151"/>
  <c r="M150" i="151"/>
  <c r="M32" i="153"/>
  <c r="M90" i="153" s="1"/>
  <c r="P152" i="151"/>
  <c r="P34" i="153"/>
  <c r="P92" i="153" s="1"/>
  <c r="N150" i="151"/>
  <c r="N32" i="153"/>
  <c r="N90" i="153" s="1"/>
  <c r="L47" i="98"/>
  <c r="L48" i="98" s="1"/>
  <c r="L75" i="98" s="1"/>
  <c r="O103" i="153" l="1"/>
  <c r="O132" i="153" s="1"/>
  <c r="O47" i="154" s="1"/>
  <c r="O86" i="154" s="1"/>
  <c r="O121" i="153"/>
  <c r="O150" i="153" s="1"/>
  <c r="O65" i="154" s="1"/>
  <c r="O106" i="154" s="1"/>
  <c r="K112" i="153"/>
  <c r="K141" i="153" s="1"/>
  <c r="K56" i="154" s="1"/>
  <c r="K96" i="154" s="1"/>
  <c r="K103" i="153"/>
  <c r="K132" i="153" s="1"/>
  <c r="K47" i="154" s="1"/>
  <c r="K86" i="154" s="1"/>
  <c r="K121" i="153"/>
  <c r="K150" i="153" s="1"/>
  <c r="K65" i="154" s="1"/>
  <c r="K106" i="154" s="1"/>
  <c r="M102" i="153"/>
  <c r="M131" i="153" s="1"/>
  <c r="M46" i="154" s="1"/>
  <c r="M85" i="154" s="1"/>
  <c r="M111" i="153"/>
  <c r="M140" i="153" s="1"/>
  <c r="M55" i="154" s="1"/>
  <c r="M95" i="154" s="1"/>
  <c r="M120" i="153"/>
  <c r="M149" i="153" s="1"/>
  <c r="M64" i="154" s="1"/>
  <c r="M105" i="154" s="1"/>
  <c r="O120" i="153"/>
  <c r="O149" i="153" s="1"/>
  <c r="O64" i="154" s="1"/>
  <c r="O105" i="154" s="1"/>
  <c r="O102" i="153"/>
  <c r="O131" i="153" s="1"/>
  <c r="O46" i="154" s="1"/>
  <c r="O85" i="154" s="1"/>
  <c r="Q119" i="153"/>
  <c r="Q148" i="153" s="1"/>
  <c r="Q63" i="154" s="1"/>
  <c r="Q104" i="154" s="1"/>
  <c r="Q110" i="153"/>
  <c r="Q139" i="153" s="1"/>
  <c r="Q54" i="154" s="1"/>
  <c r="Q94" i="154" s="1"/>
  <c r="Q101" i="153"/>
  <c r="Q130" i="153" s="1"/>
  <c r="Q45" i="154" s="1"/>
  <c r="Q84" i="154" s="1"/>
  <c r="P103" i="153"/>
  <c r="P132" i="153" s="1"/>
  <c r="P47" i="154" s="1"/>
  <c r="P86" i="154" s="1"/>
  <c r="P121" i="153"/>
  <c r="P150" i="153" s="1"/>
  <c r="P65" i="154" s="1"/>
  <c r="P106" i="154" s="1"/>
  <c r="Q121" i="153"/>
  <c r="Q150" i="153" s="1"/>
  <c r="Q65" i="154" s="1"/>
  <c r="Q106" i="154" s="1"/>
  <c r="Q112" i="153"/>
  <c r="Q141" i="153" s="1"/>
  <c r="Q56" i="154" s="1"/>
  <c r="Q96" i="154" s="1"/>
  <c r="Q103" i="153"/>
  <c r="Q132" i="153" s="1"/>
  <c r="Q47" i="154" s="1"/>
  <c r="Q86" i="154" s="1"/>
  <c r="N121" i="153"/>
  <c r="N150" i="153" s="1"/>
  <c r="N65" i="154" s="1"/>
  <c r="N106" i="154" s="1"/>
  <c r="N112" i="153"/>
  <c r="N141" i="153" s="1"/>
  <c r="N56" i="154" s="1"/>
  <c r="N96" i="154" s="1"/>
  <c r="N103" i="153"/>
  <c r="N132" i="153" s="1"/>
  <c r="N47" i="154" s="1"/>
  <c r="N86" i="154" s="1"/>
  <c r="L120" i="153"/>
  <c r="L149" i="153" s="1"/>
  <c r="L64" i="154" s="1"/>
  <c r="L105" i="154" s="1"/>
  <c r="L111" i="153"/>
  <c r="L140" i="153" s="1"/>
  <c r="L55" i="154" s="1"/>
  <c r="L95" i="154" s="1"/>
  <c r="L102" i="153"/>
  <c r="L131" i="153" s="1"/>
  <c r="L46" i="154" s="1"/>
  <c r="L85" i="154" s="1"/>
  <c r="P119" i="153"/>
  <c r="P148" i="153" s="1"/>
  <c r="P63" i="154" s="1"/>
  <c r="P104" i="154" s="1"/>
  <c r="P101" i="153"/>
  <c r="P130" i="153" s="1"/>
  <c r="P45" i="154" s="1"/>
  <c r="P84" i="154" s="1"/>
  <c r="J103" i="153"/>
  <c r="J132" i="153" s="1"/>
  <c r="J47" i="154" s="1"/>
  <c r="J86" i="154" s="1"/>
  <c r="J121" i="153"/>
  <c r="J150" i="153" s="1"/>
  <c r="J65" i="154" s="1"/>
  <c r="J106" i="154" s="1"/>
  <c r="J112" i="153"/>
  <c r="J141" i="153" s="1"/>
  <c r="J56" i="154" s="1"/>
  <c r="J96" i="154" s="1"/>
  <c r="P120" i="153"/>
  <c r="P149" i="153" s="1"/>
  <c r="P64" i="154" s="1"/>
  <c r="P105" i="154" s="1"/>
  <c r="P102" i="153"/>
  <c r="P131" i="153" s="1"/>
  <c r="P46" i="154" s="1"/>
  <c r="P85" i="154" s="1"/>
  <c r="J90" i="153"/>
  <c r="L101" i="153"/>
  <c r="L130" i="153" s="1"/>
  <c r="L45" i="154" s="1"/>
  <c r="L84" i="154" s="1"/>
  <c r="L110" i="153"/>
  <c r="L139" i="153" s="1"/>
  <c r="L54" i="154" s="1"/>
  <c r="L94" i="154" s="1"/>
  <c r="L119" i="153"/>
  <c r="L148" i="153" s="1"/>
  <c r="L63" i="154" s="1"/>
  <c r="L104" i="154" s="1"/>
  <c r="Q111" i="153"/>
  <c r="Q140" i="153" s="1"/>
  <c r="Q55" i="154" s="1"/>
  <c r="Q95" i="154" s="1"/>
  <c r="Q102" i="153"/>
  <c r="Q131" i="153" s="1"/>
  <c r="Q46" i="154" s="1"/>
  <c r="Q85" i="154" s="1"/>
  <c r="Q120" i="153"/>
  <c r="Q149" i="153" s="1"/>
  <c r="Q64" i="154" s="1"/>
  <c r="Q105" i="154" s="1"/>
  <c r="M103" i="153"/>
  <c r="M132" i="153" s="1"/>
  <c r="M47" i="154" s="1"/>
  <c r="M86" i="154" s="1"/>
  <c r="M121" i="153"/>
  <c r="M150" i="153" s="1"/>
  <c r="M65" i="154" s="1"/>
  <c r="M106" i="154" s="1"/>
  <c r="M112" i="153"/>
  <c r="M141" i="153" s="1"/>
  <c r="M56" i="154" s="1"/>
  <c r="M96" i="154" s="1"/>
  <c r="K110" i="153"/>
  <c r="K139" i="153" s="1"/>
  <c r="K54" i="154" s="1"/>
  <c r="K94" i="154" s="1"/>
  <c r="K119" i="153"/>
  <c r="K148" i="153" s="1"/>
  <c r="K63" i="154" s="1"/>
  <c r="K104" i="154" s="1"/>
  <c r="K101" i="153"/>
  <c r="K130" i="153" s="1"/>
  <c r="K45" i="154" s="1"/>
  <c r="K84" i="154" s="1"/>
  <c r="J120" i="153"/>
  <c r="J149" i="153" s="1"/>
  <c r="J64" i="154" s="1"/>
  <c r="J105" i="154" s="1"/>
  <c r="J111" i="153"/>
  <c r="J140" i="153" s="1"/>
  <c r="J55" i="154" s="1"/>
  <c r="J95" i="154" s="1"/>
  <c r="J102" i="153"/>
  <c r="J131" i="153" s="1"/>
  <c r="J46" i="154" s="1"/>
  <c r="J85" i="154" s="1"/>
  <c r="K120" i="153"/>
  <c r="K149" i="153" s="1"/>
  <c r="K64" i="154" s="1"/>
  <c r="K105" i="154" s="1"/>
  <c r="K111" i="153"/>
  <c r="K140" i="153" s="1"/>
  <c r="K55" i="154" s="1"/>
  <c r="K95" i="154" s="1"/>
  <c r="K102" i="153"/>
  <c r="K131" i="153" s="1"/>
  <c r="K46" i="154" s="1"/>
  <c r="K85" i="154" s="1"/>
  <c r="N119" i="153"/>
  <c r="N148" i="153" s="1"/>
  <c r="N63" i="154" s="1"/>
  <c r="N104" i="154" s="1"/>
  <c r="N110" i="153"/>
  <c r="N139" i="153" s="1"/>
  <c r="N54" i="154" s="1"/>
  <c r="N94" i="154" s="1"/>
  <c r="N101" i="153"/>
  <c r="N130" i="153" s="1"/>
  <c r="N45" i="154" s="1"/>
  <c r="N84" i="154" s="1"/>
  <c r="M101" i="153"/>
  <c r="M130" i="153" s="1"/>
  <c r="M45" i="154" s="1"/>
  <c r="M84" i="154" s="1"/>
  <c r="M119" i="153"/>
  <c r="M148" i="153" s="1"/>
  <c r="M63" i="154" s="1"/>
  <c r="M104" i="154" s="1"/>
  <c r="M110" i="153"/>
  <c r="M139" i="153" s="1"/>
  <c r="M54" i="154" s="1"/>
  <c r="M94" i="154" s="1"/>
  <c r="O101" i="153"/>
  <c r="O130" i="153" s="1"/>
  <c r="O45" i="154" s="1"/>
  <c r="O84" i="154" s="1"/>
  <c r="O119" i="153"/>
  <c r="O148" i="153" s="1"/>
  <c r="O63" i="154" s="1"/>
  <c r="O104" i="154" s="1"/>
  <c r="H158" i="151"/>
  <c r="L112" i="153"/>
  <c r="L141" i="153" s="1"/>
  <c r="L56" i="154" s="1"/>
  <c r="L96" i="154" s="1"/>
  <c r="L103" i="153"/>
  <c r="L132" i="153" s="1"/>
  <c r="L47" i="154" s="1"/>
  <c r="L86" i="154" s="1"/>
  <c r="L121" i="153"/>
  <c r="L150" i="153" s="1"/>
  <c r="L65" i="154" s="1"/>
  <c r="L106" i="154" s="1"/>
  <c r="N120" i="153"/>
  <c r="N149" i="153" s="1"/>
  <c r="N64" i="154" s="1"/>
  <c r="N105" i="154" s="1"/>
  <c r="N102" i="153"/>
  <c r="N131" i="153" s="1"/>
  <c r="N46" i="154" s="1"/>
  <c r="N85" i="154" s="1"/>
  <c r="N111" i="153"/>
  <c r="N140" i="153" s="1"/>
  <c r="N55" i="154" s="1"/>
  <c r="N95" i="154" s="1"/>
  <c r="M95" i="98"/>
  <c r="L83" i="98"/>
  <c r="L94" i="98"/>
  <c r="M101" i="154" l="1"/>
  <c r="N101" i="154"/>
  <c r="N129" i="154" s="1"/>
  <c r="M91" i="154"/>
  <c r="M128" i="154" s="1"/>
  <c r="O111" i="154"/>
  <c r="O130" i="154" s="1"/>
  <c r="O91" i="154"/>
  <c r="O128" i="154" s="1"/>
  <c r="H86" i="154"/>
  <c r="H95" i="154"/>
  <c r="K101" i="154"/>
  <c r="L101" i="154"/>
  <c r="L129" i="154" s="1"/>
  <c r="Q111" i="154"/>
  <c r="Q130" i="154" s="1"/>
  <c r="N91" i="154"/>
  <c r="N128" i="154" s="1"/>
  <c r="H105" i="154"/>
  <c r="L91" i="154"/>
  <c r="L128" i="154" s="1"/>
  <c r="P91" i="154"/>
  <c r="P128" i="154" s="1"/>
  <c r="H96" i="154"/>
  <c r="P111" i="154"/>
  <c r="P130" i="154" s="1"/>
  <c r="Q91" i="154"/>
  <c r="Q128" i="154" s="1"/>
  <c r="K91" i="154"/>
  <c r="K128" i="154" s="1"/>
  <c r="H160" i="151"/>
  <c r="H162" i="151" s="1"/>
  <c r="H75" i="154"/>
  <c r="H117" i="154" s="1"/>
  <c r="M111" i="154"/>
  <c r="N111" i="154"/>
  <c r="N130" i="154" s="1"/>
  <c r="H85" i="154"/>
  <c r="K111" i="154"/>
  <c r="L111" i="154"/>
  <c r="L130" i="154" s="1"/>
  <c r="J110" i="153"/>
  <c r="J139" i="153" s="1"/>
  <c r="J119" i="153"/>
  <c r="J148" i="153" s="1"/>
  <c r="J101" i="153"/>
  <c r="H106" i="154"/>
  <c r="Q101" i="154"/>
  <c r="Q129" i="154" s="1"/>
  <c r="L90" i="98"/>
  <c r="L91" i="98" s="1"/>
  <c r="H118" i="98" l="1" a="1"/>
  <c r="H118" i="98" s="1"/>
  <c r="H124" i="98" s="1"/>
  <c r="A4" i="98" s="1"/>
  <c r="J130" i="153"/>
  <c r="H158" i="153" s="1" a="1"/>
  <c r="H158" i="153" s="1"/>
  <c r="A4" i="151"/>
  <c r="J55" i="55"/>
  <c r="J63" i="154"/>
  <c r="J104" i="154" s="1"/>
  <c r="J54" i="106" a="1"/>
  <c r="J36" i="106" a="1"/>
  <c r="J54" i="154"/>
  <c r="J94" i="154" s="1"/>
  <c r="J36" i="55" l="1"/>
  <c r="J101" i="154"/>
  <c r="J129" i="154" s="1"/>
  <c r="J36" i="107" s="1" a="1"/>
  <c r="H94" i="154"/>
  <c r="H101" i="154" s="1"/>
  <c r="M44" i="106"/>
  <c r="O38" i="106"/>
  <c r="K44" i="106"/>
  <c r="O39" i="106"/>
  <c r="J40" i="106"/>
  <c r="P50" i="106"/>
  <c r="L50" i="106"/>
  <c r="J49" i="106"/>
  <c r="L43" i="106"/>
  <c r="N39" i="106"/>
  <c r="M50" i="106"/>
  <c r="J50" i="106"/>
  <c r="L46" i="106"/>
  <c r="O45" i="106"/>
  <c r="O46" i="106"/>
  <c r="J41" i="106"/>
  <c r="P41" i="106"/>
  <c r="M37" i="106"/>
  <c r="O37" i="106"/>
  <c r="N48" i="106"/>
  <c r="K41" i="106"/>
  <c r="L51" i="106"/>
  <c r="N45" i="106"/>
  <c r="L37" i="106"/>
  <c r="K48" i="106"/>
  <c r="M45" i="106"/>
  <c r="J44" i="106"/>
  <c r="N38" i="106"/>
  <c r="K38" i="106"/>
  <c r="P47" i="106"/>
  <c r="N50" i="106"/>
  <c r="P45" i="106"/>
  <c r="J42" i="106"/>
  <c r="O41" i="106"/>
  <c r="O44" i="106"/>
  <c r="O42" i="106"/>
  <c r="J37" i="106"/>
  <c r="P36" i="106"/>
  <c r="L41" i="106"/>
  <c r="L36" i="106"/>
  <c r="K37" i="106"/>
  <c r="J48" i="106"/>
  <c r="M40" i="106"/>
  <c r="K50" i="106"/>
  <c r="J46" i="106"/>
  <c r="N43" i="106"/>
  <c r="K39" i="106"/>
  <c r="M39" i="106"/>
  <c r="O51" i="106"/>
  <c r="J45" i="106"/>
  <c r="N41" i="106"/>
  <c r="O49" i="106"/>
  <c r="J39" i="106"/>
  <c r="L47" i="106"/>
  <c r="M48" i="106"/>
  <c r="M47" i="106"/>
  <c r="O36" i="106"/>
  <c r="N47" i="106"/>
  <c r="L49" i="106"/>
  <c r="P48" i="106"/>
  <c r="P51" i="106"/>
  <c r="O43" i="106"/>
  <c r="P42" i="106"/>
  <c r="P44" i="106"/>
  <c r="J43" i="106"/>
  <c r="M41" i="106"/>
  <c r="M42" i="106"/>
  <c r="N49" i="106"/>
  <c r="O47" i="106"/>
  <c r="K45" i="106"/>
  <c r="M49" i="106"/>
  <c r="L45" i="106"/>
  <c r="K40" i="106"/>
  <c r="N51" i="106"/>
  <c r="L39" i="106"/>
  <c r="L40" i="106"/>
  <c r="N40" i="106"/>
  <c r="M51" i="106"/>
  <c r="O40" i="106"/>
  <c r="M43" i="106"/>
  <c r="J38" i="106"/>
  <c r="K47" i="106"/>
  <c r="N46" i="106"/>
  <c r="N37" i="106"/>
  <c r="P46" i="106"/>
  <c r="M36" i="106"/>
  <c r="P49" i="106"/>
  <c r="P38" i="106"/>
  <c r="J36" i="106"/>
  <c r="L48" i="106"/>
  <c r="P40" i="106"/>
  <c r="L44" i="106"/>
  <c r="M38" i="106"/>
  <c r="J47" i="106"/>
  <c r="K42" i="106"/>
  <c r="P37" i="106"/>
  <c r="L38" i="106"/>
  <c r="P39" i="106"/>
  <c r="N44" i="106"/>
  <c r="K46" i="106"/>
  <c r="K36" i="106"/>
  <c r="M46" i="106"/>
  <c r="K43" i="106"/>
  <c r="N36" i="106"/>
  <c r="O50" i="106"/>
  <c r="J51" i="106"/>
  <c r="N42" i="106"/>
  <c r="K49" i="106"/>
  <c r="P43" i="106"/>
  <c r="O48" i="106"/>
  <c r="K51" i="106"/>
  <c r="L42" i="106"/>
  <c r="J57" i="55"/>
  <c r="A4" i="153"/>
  <c r="N55" i="106"/>
  <c r="M59" i="106"/>
  <c r="K59" i="106"/>
  <c r="K65" i="106"/>
  <c r="K62" i="106"/>
  <c r="O57" i="106"/>
  <c r="J62" i="106"/>
  <c r="O68" i="106"/>
  <c r="N56" i="106"/>
  <c r="L55" i="106"/>
  <c r="J54" i="106"/>
  <c r="P57" i="106"/>
  <c r="K57" i="106"/>
  <c r="P56" i="106"/>
  <c r="P54" i="106"/>
  <c r="P59" i="106"/>
  <c r="M55" i="106"/>
  <c r="K56" i="106"/>
  <c r="M62" i="106"/>
  <c r="L54" i="106"/>
  <c r="N54" i="106"/>
  <c r="O67" i="106"/>
  <c r="N57" i="106"/>
  <c r="M68" i="106"/>
  <c r="N67" i="106"/>
  <c r="J60" i="106"/>
  <c r="L58" i="106"/>
  <c r="K55" i="106"/>
  <c r="O60" i="106"/>
  <c r="L69" i="106"/>
  <c r="N65" i="106"/>
  <c r="O65" i="106"/>
  <c r="K63" i="106"/>
  <c r="N68" i="106"/>
  <c r="P63" i="106"/>
  <c r="M58" i="106"/>
  <c r="P67" i="106"/>
  <c r="O69" i="106"/>
  <c r="J58" i="106"/>
  <c r="J63" i="106"/>
  <c r="J55" i="106"/>
  <c r="L63" i="106"/>
  <c r="L62" i="106"/>
  <c r="P60" i="106"/>
  <c r="M63" i="106"/>
  <c r="N61" i="106"/>
  <c r="L65" i="106"/>
  <c r="L57" i="106"/>
  <c r="J61" i="106"/>
  <c r="P58" i="106"/>
  <c r="N58" i="106"/>
  <c r="M69" i="106"/>
  <c r="L59" i="106"/>
  <c r="K68" i="106"/>
  <c r="P68" i="106"/>
  <c r="K67" i="106"/>
  <c r="P69" i="106"/>
  <c r="P61" i="106"/>
  <c r="M56" i="106"/>
  <c r="N69" i="106"/>
  <c r="K69" i="106"/>
  <c r="P64" i="106"/>
  <c r="O54" i="106"/>
  <c r="J59" i="106"/>
  <c r="O58" i="106"/>
  <c r="L56" i="106"/>
  <c r="K66" i="106"/>
  <c r="M54" i="106"/>
  <c r="K64" i="106"/>
  <c r="K54" i="106"/>
  <c r="L67" i="106"/>
  <c r="N64" i="106"/>
  <c r="N62" i="106"/>
  <c r="M67" i="106"/>
  <c r="O56" i="106"/>
  <c r="M66" i="106"/>
  <c r="L66" i="106"/>
  <c r="J65" i="106"/>
  <c r="K61" i="106"/>
  <c r="L60" i="106"/>
  <c r="O61" i="106"/>
  <c r="N59" i="106"/>
  <c r="O62" i="106"/>
  <c r="N60" i="106"/>
  <c r="L68" i="106"/>
  <c r="O59" i="106"/>
  <c r="N66" i="106"/>
  <c r="K58" i="106"/>
  <c r="P65" i="106"/>
  <c r="O66" i="106"/>
  <c r="M65" i="106"/>
  <c r="J56" i="106"/>
  <c r="L64" i="106"/>
  <c r="K60" i="106"/>
  <c r="O55" i="106"/>
  <c r="M64" i="106"/>
  <c r="J66" i="106"/>
  <c r="M57" i="106"/>
  <c r="P62" i="106"/>
  <c r="M60" i="106"/>
  <c r="O64" i="106"/>
  <c r="N63" i="106"/>
  <c r="J69" i="106"/>
  <c r="P66" i="106"/>
  <c r="J64" i="106"/>
  <c r="J57" i="106"/>
  <c r="M61" i="106"/>
  <c r="O63" i="106"/>
  <c r="L61" i="106"/>
  <c r="J67" i="106"/>
  <c r="J68" i="106"/>
  <c r="P55" i="106"/>
  <c r="J111" i="154"/>
  <c r="J130" i="154" s="1"/>
  <c r="J54" i="107" s="1" a="1"/>
  <c r="H104" i="154"/>
  <c r="H111" i="154" s="1"/>
  <c r="J45" i="154"/>
  <c r="J18" i="106" a="1"/>
  <c r="O20" i="106" l="1"/>
  <c r="K29" i="106"/>
  <c r="J20" i="106"/>
  <c r="L28" i="106"/>
  <c r="N25" i="106"/>
  <c r="N18" i="106"/>
  <c r="O21" i="106"/>
  <c r="N28" i="106"/>
  <c r="M33" i="106"/>
  <c r="O30" i="106"/>
  <c r="O23" i="106"/>
  <c r="J21" i="106"/>
  <c r="O29" i="106"/>
  <c r="K18" i="106"/>
  <c r="K33" i="106"/>
  <c r="J24" i="106"/>
  <c r="J33" i="106"/>
  <c r="J26" i="106"/>
  <c r="L23" i="106"/>
  <c r="J31" i="106"/>
  <c r="L27" i="106"/>
  <c r="N24" i="106"/>
  <c r="K31" i="106"/>
  <c r="M28" i="106"/>
  <c r="M21" i="106"/>
  <c r="O18" i="106"/>
  <c r="P31" i="106"/>
  <c r="L30" i="106"/>
  <c r="N20" i="106"/>
  <c r="P28" i="106"/>
  <c r="K26" i="106"/>
  <c r="K19" i="106"/>
  <c r="M30" i="106"/>
  <c r="O22" i="106"/>
  <c r="M29" i="106"/>
  <c r="L31" i="106"/>
  <c r="L24" i="106"/>
  <c r="N21" i="106"/>
  <c r="N27" i="106"/>
  <c r="L21" i="106"/>
  <c r="P18" i="106"/>
  <c r="J19" i="106"/>
  <c r="N33" i="106"/>
  <c r="N26" i="106"/>
  <c r="P23" i="106"/>
  <c r="K32" i="106"/>
  <c r="P25" i="106"/>
  <c r="O24" i="106"/>
  <c r="L20" i="106"/>
  <c r="J29" i="106"/>
  <c r="J22" i="106"/>
  <c r="L19" i="106"/>
  <c r="J23" i="106"/>
  <c r="M31" i="106"/>
  <c r="P24" i="106"/>
  <c r="L18" i="106"/>
  <c r="O26" i="106"/>
  <c r="O19" i="106"/>
  <c r="N31" i="106"/>
  <c r="N19" i="106"/>
  <c r="L26" i="106"/>
  <c r="M26" i="106"/>
  <c r="J25" i="106"/>
  <c r="K22" i="106"/>
  <c r="O28" i="106"/>
  <c r="M22" i="106"/>
  <c r="P26" i="106"/>
  <c r="L32" i="106"/>
  <c r="N29" i="106"/>
  <c r="K25" i="106"/>
  <c r="M24" i="106"/>
  <c r="L33" i="106"/>
  <c r="J27" i="106"/>
  <c r="P30" i="106"/>
  <c r="K21" i="106"/>
  <c r="O25" i="106"/>
  <c r="L29" i="106"/>
  <c r="P19" i="106"/>
  <c r="K24" i="106"/>
  <c r="N32" i="106"/>
  <c r="L22" i="106"/>
  <c r="J30" i="106"/>
  <c r="M20" i="106"/>
  <c r="K27" i="106"/>
  <c r="K20" i="106"/>
  <c r="M18" i="106"/>
  <c r="P32" i="106"/>
  <c r="P33" i="106"/>
  <c r="M32" i="106"/>
  <c r="O33" i="106"/>
  <c r="P20" i="106"/>
  <c r="N23" i="106"/>
  <c r="J32" i="106"/>
  <c r="O32" i="106"/>
  <c r="M27" i="106"/>
  <c r="N22" i="106"/>
  <c r="L25" i="106"/>
  <c r="P27" i="106"/>
  <c r="J28" i="106"/>
  <c r="P29" i="106"/>
  <c r="K30" i="106"/>
  <c r="K28" i="106"/>
  <c r="M25" i="106"/>
  <c r="M23" i="106"/>
  <c r="P21" i="106"/>
  <c r="J18" i="106"/>
  <c r="K23" i="106"/>
  <c r="O31" i="106"/>
  <c r="N30" i="106"/>
  <c r="M19" i="106"/>
  <c r="O27" i="106"/>
  <c r="P22" i="106"/>
  <c r="J84" i="154"/>
  <c r="J60" i="107"/>
  <c r="J57" i="107"/>
  <c r="J59" i="107"/>
  <c r="J55" i="107"/>
  <c r="J64" i="107"/>
  <c r="J63" i="107"/>
  <c r="J65" i="107"/>
  <c r="J69" i="107"/>
  <c r="J68" i="107"/>
  <c r="J61" i="107"/>
  <c r="J66" i="107"/>
  <c r="J62" i="107"/>
  <c r="J56" i="107"/>
  <c r="J58" i="107"/>
  <c r="J67" i="107"/>
  <c r="J54" i="107"/>
  <c r="J36" i="107"/>
  <c r="J43" i="107"/>
  <c r="J50" i="107"/>
  <c r="J47" i="107"/>
  <c r="J48" i="107"/>
  <c r="J44" i="107"/>
  <c r="J38" i="107"/>
  <c r="J49" i="107"/>
  <c r="J37" i="107"/>
  <c r="J45" i="107"/>
  <c r="J46" i="107"/>
  <c r="J41" i="107"/>
  <c r="J40" i="107"/>
  <c r="J42" i="107"/>
  <c r="J51" i="107"/>
  <c r="J39" i="107"/>
  <c r="H353" i="106" l="1" a="1"/>
  <c r="H353" i="106" s="1"/>
  <c r="J91" i="154"/>
  <c r="J128" i="154" s="1"/>
  <c r="J18" i="107" s="1" a="1"/>
  <c r="H84" i="154"/>
  <c r="H91" i="154" l="1"/>
  <c r="H120" i="154" s="1"/>
  <c r="H121" i="154" s="1"/>
  <c r="J24" i="107"/>
  <c r="J26" i="107"/>
  <c r="J28" i="107"/>
  <c r="J25" i="107"/>
  <c r="J18" i="107"/>
  <c r="J30" i="107"/>
  <c r="J31" i="107"/>
  <c r="J22" i="107"/>
  <c r="J19" i="107"/>
  <c r="J33" i="107"/>
  <c r="J20" i="107"/>
  <c r="J32" i="107"/>
  <c r="J27" i="107"/>
  <c r="J23" i="107"/>
  <c r="J21" i="107"/>
  <c r="J29" i="107"/>
  <c r="J59" i="55"/>
  <c r="A4" i="106"/>
  <c r="H73" i="107" l="1" a="1"/>
  <c r="H73" i="107" s="1"/>
  <c r="H124" i="154"/>
  <c r="H123" i="154"/>
  <c r="H134" i="154" l="1" a="1"/>
  <c r="H134" i="154" s="1"/>
  <c r="J58" i="55" s="1"/>
  <c r="J60" i="55"/>
  <c r="A4" i="107"/>
  <c r="A4" i="154" l="1"/>
  <c r="J61" i="55"/>
  <c r="A4" i="55" s="1"/>
</calcChain>
</file>

<file path=xl/sharedStrings.xml><?xml version="1.0" encoding="utf-8"?>
<sst xmlns="http://schemas.openxmlformats.org/spreadsheetml/2006/main" count="8511" uniqueCount="1178">
  <si>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</si>
  <si>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</si>
  <si>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</si>
  <si>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</si>
  <si>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</si>
  <si>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</si>
  <si>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</si>
  <si>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</si>
  <si>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</si>
  <si>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</si>
  <si>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</si>
  <si>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</si>
  <si>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</si>
  <si>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</si>
  <si>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</si>
  <si>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</si>
  <si>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</si>
  <si>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</si>
  <si>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</si>
  <si>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</si>
  <si>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</si>
  <si>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</si>
  <si>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</si>
  <si>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</si>
  <si>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</si>
  <si>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</si>
  <si>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</si>
  <si>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</si>
  <si>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</si>
  <si>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</si>
  <si>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</si>
  <si>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</si>
  <si>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</si>
  <si>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</si>
  <si>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</si>
  <si>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</si>
  <si>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</si>
  <si>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</si>
  <si>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</si>
  <si>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</si>
  <si>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</si>
  <si>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</si>
  <si>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</si>
  <si>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</si>
  <si>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</si>
  <si>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</si>
  <si>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</si>
  <si>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</si>
  <si>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</si>
  <si>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</si>
  <si>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</si>
  <si>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</si>
  <si>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</si>
  <si>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</si>
  <si>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</si>
  <si>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</si>
  <si>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</si>
  <si>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</si>
  <si>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</si>
  <si>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</si>
  <si>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</si>
  <si>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</si>
  <si>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</si>
  <si>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</si>
  <si>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</si>
  <si>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</si>
  <si>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</si>
  <si>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</si>
  <si>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</si>
  <si>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</si>
  <si>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</si>
  <si>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</si>
  <si>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</si>
  <si>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</si>
  <si>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</si>
  <si>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</si>
  <si>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</si>
  <si>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</si>
  <si>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</si>
  <si>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</si>
  <si>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</si>
  <si>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</si>
  <si>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</si>
  <si>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</si>
  <si>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</si>
  <si>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</si>
  <si>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</si>
  <si>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</si>
  <si>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</si>
  <si>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</si>
  <si>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</si>
  <si>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</si>
  <si>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</si>
  <si>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</si>
  <si>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</si>
  <si>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</si>
  <si>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</si>
  <si>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</si>
  <si>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</si>
  <si>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</si>
  <si>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</si>
  <si>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</si>
  <si>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</si>
  <si>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</si>
  <si>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</si>
  <si>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</si>
  <si>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</si>
  <si>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</si>
  <si>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</si>
  <si>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</si>
  <si>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</si>
  <si>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</si>
  <si>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</si>
  <si>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</si>
  <si>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</si>
  <si>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</si>
  <si>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</si>
  <si>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</si>
  <si>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</si>
  <si>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</si>
  <si>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</si>
  <si>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</si>
  <si>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</si>
  <si>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</si>
  <si>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</si>
  <si>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</si>
  <si>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</si>
  <si>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</si>
  <si>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</si>
  <si>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</si>
  <si>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</si>
  <si>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</si>
  <si>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</si>
  <si>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</si>
  <si>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</si>
  <si>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</si>
  <si>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</si>
  <si>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</si>
  <si>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</si>
  <si>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</si>
  <si>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</si>
  <si>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</si>
  <si>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</si>
  <si>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</si>
  <si>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</si>
  <si>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</si>
  <si>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</si>
  <si>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</si>
  <si>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</si>
  <si>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</si>
  <si>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</si>
  <si>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</si>
  <si>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</si>
  <si>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</si>
  <si>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</si>
  <si>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</si>
  <si>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</si>
  <si>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</si>
  <si>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</si>
  <si>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</si>
  <si>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</si>
  <si>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</si>
  <si>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</si>
  <si>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</si>
  <si>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</si>
  <si>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</si>
  <si>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</si>
  <si>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</si>
  <si>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</si>
  <si>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</si>
  <si>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</si>
  <si>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</si>
  <si>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</si>
  <si>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</si>
  <si>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</si>
  <si>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</si>
  <si>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</si>
  <si>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</si>
  <si>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</si>
  <si>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</si>
  <si>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</si>
  <si>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</si>
  <si>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</si>
  <si>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</si>
  <si>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Constrained adder solution</t>
  </si>
  <si>
    <t>Starting point</t>
  </si>
  <si>
    <t>Reordered adder threshold values for each tariff / unit rate (lowest to highest)</t>
  </si>
  <si>
    <t>Adder thresholds ranked from lowest (1) to highest (99), post tie-breaker</t>
  </si>
  <si>
    <t>Tie-breaker between equal threshold rates</t>
  </si>
  <si>
    <t>Adder thresholds ranked from lowest (1) to highest (99)</t>
  </si>
  <si>
    <t>Constraint-free adder solution</t>
  </si>
  <si>
    <t>Target CDCM net revenue</t>
  </si>
  <si>
    <t>Unit rate 2 p/kWh_HV Generation Non-Intermittent</t>
  </si>
  <si>
    <t>Unit rate 2 p/kWh_HV Generation Intermittent no RP charge</t>
  </si>
  <si>
    <t>Unit rate 2 p/kWh_HV Generation Intermittent</t>
  </si>
  <si>
    <t>Unit rate 2 p/kWh_LV Sub Generation Non-Intermittent no RP charge</t>
  </si>
  <si>
    <t>Unit rate 2 p/kWh_LV Sub Generation Non-Intermittent</t>
  </si>
  <si>
    <t>Unit rate 2 p/kWh_LV Sub Generation Intermittent no RP charge</t>
  </si>
  <si>
    <t>Unit rate 2 p/kWh_LV Sub Generation Intermittent</t>
  </si>
  <si>
    <t>Unit rate 2 p/kWh_LV Generation Non-Intermittent no RP charge</t>
  </si>
  <si>
    <t>Unit rate 2 p/kWh_LV Generation Non-Intermittent</t>
  </si>
  <si>
    <t>Unit rate 2 p/kWh_LV Generation Intermittent no RP charge</t>
  </si>
  <si>
    <t>Unit rate 2 p/kWh_LV Generation Intermittent</t>
  </si>
  <si>
    <t>Unit rate 2 p/kWh_LV Sub Generation NHH</t>
  </si>
  <si>
    <t>Unit rate 2 p/kWh_LV Generation NHH or Aggregate HH</t>
  </si>
  <si>
    <t>Unit rate 2 p/kWh_LV UMS (Pseudo HH Metered)</t>
  </si>
  <si>
    <t>Unit rate 2 p/kWh_NHH UMS category D</t>
  </si>
  <si>
    <t>Unit rate 2 p/kWh_NHH UMS category C</t>
  </si>
  <si>
    <t>Unit rate 2 p/kWh_NHH UMS category B</t>
  </si>
  <si>
    <t>Unit rate 2 p/kWh_NHH UMS category A</t>
  </si>
  <si>
    <t>Unit rate 2 p/kWh_HV HH Metered</t>
  </si>
  <si>
    <t>Unit rate 2 p/kWh_LV Sub HH Metered</t>
  </si>
  <si>
    <t>Unit rate 2 p/kWh_LV HH Metered</t>
  </si>
  <si>
    <t>Unit rate 2 p/kWh_LV Network Non-Domestic Non-CT</t>
  </si>
  <si>
    <t>Unit rate 2 p/kWh_LV Network Domestic</t>
  </si>
  <si>
    <t>Unit rate 2 p/kWh_HV Medium Non-Domestic</t>
  </si>
  <si>
    <t>Unit rate 2 p/kWh_LV Sub Medium Non-Domestic</t>
  </si>
  <si>
    <t>Unit rate 2 p/kWh_LV Medium Non-Domestic</t>
  </si>
  <si>
    <t>Unit rate 2 p/kWh_Small Non Domestic Off Peak (related MPAN)</t>
  </si>
  <si>
    <t>Unit rate 2 p/kWh_Small Non Domestic Two Rate</t>
  </si>
  <si>
    <t>Unit rate 2 p/kWh_Small Non Domestic Unrestricted</t>
  </si>
  <si>
    <t>Unit rate 2 p/kWh_Domestic Off Peak (related MPAN)</t>
  </si>
  <si>
    <t>Unit rate 2 p/kWh_Domestic Two Rate</t>
  </si>
  <si>
    <t>Unit rate 2 p/kWh_Domestic Unrestricted</t>
  </si>
  <si>
    <t>Unit rate 1 p/kWh_HV Generation Non-Intermittent no RP charge</t>
  </si>
  <si>
    <t>Unit rate 1 p/kWh_HV Generation Non-Intermittent</t>
  </si>
  <si>
    <t>Unit rate 1 p/kWh_LV Sub Generation Non-Intermittent no RP charge</t>
  </si>
  <si>
    <t>Unit rate 1 p/kWh_LV Sub Generation Non-Intermittent</t>
  </si>
  <si>
    <t>Unit rate 1 p/kWh_LV Generation Non-Intermittent no RP charge</t>
  </si>
  <si>
    <t>Unit rate 1 p/kWh_LV Generation Non-Intermittent</t>
  </si>
  <si>
    <t>Unit rate 1 p/kWh_LV Sub Generation NHH</t>
  </si>
  <si>
    <t>Unit rate 1 p/kWh_LV Generation NHH or Aggregate HH</t>
  </si>
  <si>
    <t>Unit rate 1 p/kWh_LV UMS (Pseudo HH Metered)</t>
  </si>
  <si>
    <t>Unit rate 1 p/kWh_HV HH Metered</t>
  </si>
  <si>
    <t>Unit rate 1 p/kWh_LV Sub HH Metered</t>
  </si>
  <si>
    <t>Unit rate 1 p/kWh_LV HH Metered</t>
  </si>
  <si>
    <t>Unit rate 1 p/kWh_LV Network Non-Domestic Non-CT</t>
  </si>
  <si>
    <t>Unit rate 1 p/kWh_LV Network Domestic</t>
  </si>
  <si>
    <t>Rounding</t>
  </si>
  <si>
    <t>Loss adjustment factor to transmission for each core level</t>
  </si>
  <si>
    <t>Charging year:</t>
  </si>
  <si>
    <t>DNO name:</t>
  </si>
  <si>
    <t>Adder on Unit rate 1</t>
  </si>
  <si>
    <t>Adder on Unit rate 2</t>
  </si>
  <si>
    <t>Adder on Unit rate 3</t>
  </si>
  <si>
    <t>This section allocates operating costs based on notional asset value (£) by network level, then divides this by load on each network level at time of system peak</t>
  </si>
  <si>
    <t>Net revenue shortfall (or surplus)</t>
  </si>
  <si>
    <t>Adder value at which the non-negative demand charge constraint is breached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</si>
  <si>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</si>
  <si>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</si>
  <si>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</si>
  <si>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</si>
  <si>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</si>
  <si>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</si>
  <si>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</si>
  <si>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</si>
  <si>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</si>
  <si>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</si>
  <si>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</si>
  <si>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</si>
  <si>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</si>
  <si>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</si>
  <si>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</si>
  <si>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</si>
  <si>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</si>
  <si>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</si>
  <si>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</si>
  <si>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</si>
  <si>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</si>
  <si>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</si>
  <si>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</si>
  <si>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</si>
  <si>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</si>
  <si>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</si>
  <si>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</si>
  <si>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</si>
  <si>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</si>
  <si>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</si>
  <si>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</si>
  <si>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</si>
  <si>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</si>
  <si>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</si>
  <si>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</si>
  <si>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</si>
  <si>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</si>
  <si>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</si>
  <si>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</si>
  <si>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</si>
  <si>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</si>
  <si>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</si>
  <si>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</si>
  <si>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</si>
  <si>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</si>
  <si>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</si>
  <si>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</si>
  <si>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</si>
  <si>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</si>
  <si>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</si>
  <si>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</si>
  <si>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</si>
  <si>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</si>
  <si>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</si>
  <si>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</si>
  <si>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</si>
  <si>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</si>
  <si>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</si>
  <si>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</si>
  <si>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</si>
  <si>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</si>
  <si>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</si>
  <si>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</si>
  <si>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</si>
  <si>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</si>
  <si>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</si>
  <si>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</si>
  <si>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</si>
  <si>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</si>
  <si>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</si>
  <si>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</si>
  <si>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</si>
  <si>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</si>
  <si>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</si>
  <si>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</si>
  <si>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</si>
  <si>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</si>
  <si>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</si>
  <si>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</si>
  <si>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</si>
  <si>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</si>
  <si>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</si>
  <si>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</si>
  <si>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Adder calculation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</si>
  <si>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</si>
  <si>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</si>
  <si>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</si>
  <si>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</si>
  <si>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</si>
  <si>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</si>
  <si>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</si>
  <si>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</si>
  <si>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Unit rate 1 - Adder threshold</t>
  </si>
  <si>
    <t>Unit rate 2 - Adder threshold</t>
  </si>
  <si>
    <t>Unit rate 3 - Adder threshold</t>
  </si>
  <si>
    <t>Unit rate 1 - expected units to be charged</t>
  </si>
  <si>
    <t>Unit rate 2 - expected units to be charged</t>
  </si>
  <si>
    <t>Unit rate 3 - expected units to be charged</t>
  </si>
  <si>
    <t>Expected units to be charged</t>
  </si>
  <si>
    <t>Combined - expected units to be charged</t>
  </si>
  <si>
    <t>Combined - Adder threshold</t>
  </si>
  <si>
    <t xml:space="preserve">Unit rate_customer category (arbitrary order)&gt;&gt; </t>
  </si>
  <si>
    <t>Rank&gt;&gt;</t>
  </si>
  <si>
    <t>Unscaleable net revenue</t>
  </si>
  <si>
    <t>Scaleable net revenue, for a given (threshold) adder value</t>
  </si>
  <si>
    <t>Total net revenue, for a given (threshold) adder value</t>
  </si>
  <si>
    <t>Pre-matching net revenue calculations</t>
  </si>
  <si>
    <t>Unconstrained adder solution (i.e. unit rates for demand can be negative)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</si>
  <si>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</si>
  <si>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</si>
  <si>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</si>
  <si>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</si>
  <si>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</si>
  <si>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</si>
  <si>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</si>
  <si>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</si>
  <si>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</si>
  <si>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</si>
  <si>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</si>
  <si>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</si>
  <si>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</si>
  <si>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</si>
  <si>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</si>
  <si>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</si>
  <si>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</si>
  <si>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</si>
  <si>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</si>
  <si>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</si>
  <si>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</si>
  <si>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</si>
  <si>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</si>
  <si>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</si>
  <si>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</si>
  <si>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</si>
  <si>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</si>
  <si>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</si>
  <si>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</si>
  <si>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</si>
  <si>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</si>
  <si>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</si>
  <si>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</si>
  <si>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</si>
  <si>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</si>
  <si>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</si>
  <si>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</si>
  <si>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</si>
  <si>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</si>
  <si>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</si>
  <si>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</si>
  <si>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</si>
  <si>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</si>
  <si>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</si>
  <si>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</si>
  <si>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</si>
  <si>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</si>
  <si>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</si>
  <si>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</si>
  <si>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</si>
  <si>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</si>
  <si>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</si>
  <si>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</si>
  <si>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</si>
  <si>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</si>
  <si>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</si>
  <si>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</si>
  <si>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</si>
  <si>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</si>
  <si>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</si>
  <si>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</si>
  <si>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</si>
  <si>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</si>
  <si>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</si>
  <si>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</si>
  <si>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</si>
  <si>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</si>
  <si>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</si>
  <si>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</si>
  <si>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</si>
  <si>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</si>
  <si>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</si>
  <si>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</si>
  <si>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</si>
  <si>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</si>
  <si>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</si>
  <si>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</si>
  <si>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</si>
  <si>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</si>
  <si>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</si>
  <si>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</si>
  <si>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</si>
  <si>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</si>
  <si>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</si>
  <si>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</si>
  <si>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</si>
  <si>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</si>
  <si>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</si>
  <si>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</si>
  <si>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</si>
  <si>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</si>
  <si>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</si>
  <si>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</si>
  <si>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</si>
  <si>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</si>
  <si>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</si>
  <si>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</si>
  <si>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</si>
  <si>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</si>
  <si>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</si>
  <si>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</si>
  <si>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</si>
  <si>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</si>
  <si>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</si>
  <si>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</si>
  <si>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</si>
  <si>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</si>
  <si>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</si>
  <si>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</si>
  <si>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</si>
  <si>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</si>
  <si>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</si>
  <si>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</si>
  <si>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</si>
  <si>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</si>
  <si>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</si>
  <si>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</si>
  <si>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</si>
  <si>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</si>
  <si>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</si>
  <si>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</si>
  <si>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</si>
  <si>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</si>
  <si>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</si>
  <si>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</si>
  <si>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</si>
  <si>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</si>
  <si>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>Brings in charges, volumes and revenues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</si>
  <si>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</si>
  <si>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</si>
  <si>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 xml:space="preserve">This section calculates a "fixed adder" to unit rate charges for demand users that would equalise </t>
  </si>
  <si>
    <t xml:space="preserve">expected and allowed net revenue. This section includes a simple algorithm to account for </t>
  </si>
  <si>
    <t>the requirement that demand customers should not have negative unit rates.</t>
  </si>
  <si>
    <t xml:space="preserve">Negative unit rates are not permitted for demand customers. This table calculates the lowest value </t>
  </si>
  <si>
    <t xml:space="preserve">a fixed adder could take before this constraint binds (for each unit rate and customer category). This is </t>
  </si>
  <si>
    <t xml:space="preserve">the negative of each pre-matching charge. </t>
  </si>
  <si>
    <t xml:space="preserve">Calculates the effect on expected net revenue from the addition of a 1 p/kWh fixed adder to each unit </t>
  </si>
  <si>
    <t xml:space="preserve">rate charge for each customer category - driven by the units of energy each customer category is expected </t>
  </si>
  <si>
    <t>to use.</t>
  </si>
  <si>
    <t xml:space="preserve">Calculates the value of fixed adder that would equalise expected and allowed net revenue if it was </t>
  </si>
  <si>
    <t xml:space="preserve">unconstrained by the requirement that demand charges be non-negative. In some cases, the constraints </t>
  </si>
  <si>
    <t xml:space="preserve">will not bind, and this equal the constrained solution. </t>
  </si>
  <si>
    <t xml:space="preserve">This algorithm only affects the adder solution if pre-match net revenue exceeds target net revenue, in </t>
  </si>
  <si>
    <t xml:space="preserve">which case the unconstrained adder solution will be negative and the non-negative adder constraint may </t>
  </si>
  <si>
    <t xml:space="preserve">bind. If this is not the case the following steps can be ignored. </t>
  </si>
  <si>
    <t xml:space="preserve">Step 1 - Arrange all unit rate : customer category pre-match charges (and expected units to be charged) </t>
  </si>
  <si>
    <t xml:space="preserve">onto a single row. </t>
  </si>
  <si>
    <t xml:space="preserve">Step 2 - Rank the unit rate : customer category pre-match charges by their adder threshold values - from </t>
  </si>
  <si>
    <t xml:space="preserve">lowest to highest. </t>
  </si>
  <si>
    <t xml:space="preserve">Step 3 - Reorder adder thresholds (and their respective numbers of units to be charged) by rank. Identify </t>
  </si>
  <si>
    <t xml:space="preserve">the value at which the fixed adder would equalise expected and allowed net revenue. </t>
  </si>
  <si>
    <t>that demand charges be non-negative. The solution is selected from the last row of the table above.</t>
  </si>
  <si>
    <t xml:space="preserve">Shows the adder value that would equalise expected and allowed net revenue, subject to the constraint </t>
  </si>
  <si>
    <t xml:space="preserve">This section presents the amount by which unit charges for demand users will be raised or lowered </t>
  </si>
  <si>
    <t xml:space="preserve"> subject to the constraint that demand charges be non-negative. Adders are applied for demand users only.</t>
  </si>
  <si>
    <t>Allocates an adder to each unit rate and customer type which will equalise expected and allowed revenue,</t>
  </si>
  <si>
    <t>Adder calculated in revenue matching</t>
  </si>
  <si>
    <t>Adder to be applied to unit rates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</si>
  <si>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</si>
  <si>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</si>
  <si>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</si>
  <si>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</si>
  <si>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</si>
  <si>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</si>
  <si>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</si>
  <si>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</si>
  <si>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</si>
  <si>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</si>
  <si>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</si>
  <si>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</si>
  <si>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</si>
  <si>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</si>
  <si>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</si>
  <si>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</si>
  <si>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</si>
  <si>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</si>
  <si>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</si>
  <si>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</si>
  <si>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</si>
  <si>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</si>
  <si>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</si>
  <si>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</si>
  <si>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</si>
  <si>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</si>
  <si>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</si>
  <si>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</si>
  <si>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</si>
  <si>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</si>
  <si>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</si>
  <si>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</si>
  <si>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</si>
  <si>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</si>
  <si>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</si>
  <si>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</si>
  <si>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</si>
  <si>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</si>
  <si>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</si>
  <si>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</si>
  <si>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</si>
  <si>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</si>
  <si>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</si>
  <si>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</si>
  <si>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</si>
  <si>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</si>
  <si>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</si>
  <si>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</si>
  <si>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</si>
  <si>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</si>
  <si>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</si>
  <si>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</si>
  <si>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</si>
  <si>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</si>
  <si>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</si>
  <si>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</si>
  <si>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</si>
  <si>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</si>
  <si>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</si>
  <si>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</si>
  <si>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</si>
  <si>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</si>
  <si>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</si>
  <si>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</si>
  <si>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</si>
  <si>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</si>
  <si>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</si>
  <si>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</si>
  <si>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</si>
  <si>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</si>
  <si>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</si>
  <si>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</si>
  <si>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</si>
  <si>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</si>
  <si>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</si>
  <si>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</si>
  <si>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</si>
  <si>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</si>
  <si>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</si>
  <si>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</si>
  <si>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</si>
  <si>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</si>
  <si>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</si>
  <si>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</si>
  <si>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</si>
  <si>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</si>
  <si>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</si>
  <si>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</si>
  <si>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</si>
  <si>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</si>
  <si>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</si>
  <si>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</si>
  <si>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</si>
  <si>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</si>
  <si>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</si>
  <si>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</si>
  <si>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</si>
  <si>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</si>
  <si>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</si>
  <si>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</si>
  <si>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</si>
  <si>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</si>
  <si>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</si>
  <si>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</si>
  <si>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</si>
  <si>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</si>
  <si>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</si>
  <si>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</si>
  <si>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</si>
  <si>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</si>
  <si>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</si>
  <si>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</si>
  <si>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</si>
  <si>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</si>
  <si>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</si>
  <si>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</si>
  <si>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</si>
  <si>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</si>
  <si>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</si>
  <si>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</si>
  <si>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</si>
  <si>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</si>
  <si>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</si>
  <si>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</si>
  <si>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 xml:space="preserve">to equalise expected and allowed revenue, subject to the constraint that demand charges are non-negative. </t>
  </si>
  <si>
    <t>Total revenue check</t>
  </si>
  <si>
    <t>Summary of error checks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</si>
  <si>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</si>
  <si>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</si>
  <si>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</si>
  <si>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</si>
  <si>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</si>
  <si>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</si>
  <si>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</si>
  <si>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</si>
  <si>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</si>
  <si>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</si>
  <si>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</si>
  <si>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</si>
  <si>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</si>
  <si>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</si>
  <si>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</si>
  <si>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</si>
  <si>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</si>
  <si>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</si>
  <si>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</si>
  <si>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</si>
  <si>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</si>
  <si>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</si>
  <si>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</si>
  <si>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</si>
  <si>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</si>
  <si>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</si>
  <si>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</si>
  <si>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</si>
  <si>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</si>
  <si>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</si>
  <si>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</si>
  <si>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</si>
  <si>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</si>
  <si>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</si>
  <si>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</si>
  <si>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</si>
  <si>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</si>
  <si>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</si>
  <si>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</si>
  <si>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</si>
  <si>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</si>
  <si>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</si>
  <si>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</si>
  <si>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</si>
  <si>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</si>
  <si>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</si>
  <si>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</si>
  <si>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</si>
  <si>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</si>
  <si>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</si>
  <si>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</si>
  <si>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</si>
  <si>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</si>
  <si>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</si>
  <si>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</si>
  <si>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</si>
  <si>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</si>
  <si>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</si>
  <si>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</si>
  <si>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</si>
  <si>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</si>
  <si>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</si>
  <si>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</si>
  <si>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</si>
  <si>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</si>
  <si>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</si>
  <si>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</si>
  <si>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</si>
  <si>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</si>
  <si>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</si>
  <si>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</si>
  <si>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</si>
  <si>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</si>
  <si>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</si>
  <si>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</si>
  <si>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</si>
  <si>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</si>
  <si>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</si>
  <si>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</si>
  <si>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</si>
  <si>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</si>
  <si>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</si>
  <si>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</si>
  <si>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</si>
  <si>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</si>
  <si>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</si>
  <si>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</si>
  <si>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</si>
  <si>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</si>
  <si>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</si>
  <si>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</si>
  <si>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</si>
  <si>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</si>
  <si>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</si>
  <si>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</si>
  <si>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</si>
  <si>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</si>
  <si>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</si>
  <si>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</si>
  <si>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</si>
  <si>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</si>
  <si>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</si>
  <si>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</si>
  <si>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</si>
  <si>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Cumulative units, aggregating across tariff / unit rates from lowest to highest adder threshold.</t>
  </si>
  <si>
    <t>Exact constrained adder value at which expected net revenue = allowed net revenue</t>
  </si>
  <si>
    <t xml:space="preserve">Check that adder constraint is compatible with revenue matching 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</si>
  <si>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</si>
  <si>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</si>
  <si>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</si>
  <si>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</si>
  <si>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</si>
  <si>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</si>
  <si>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</si>
  <si>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</si>
  <si>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</si>
  <si>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</si>
  <si>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</si>
  <si>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</si>
  <si>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</si>
  <si>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© All rights reserved by Cambridge Economic Policy Associates Ltd (CEPA) and TNEI Services Ltd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</si>
  <si>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</si>
  <si>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</si>
  <si>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</si>
  <si>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</si>
  <si>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</si>
  <si>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</si>
  <si>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</si>
  <si>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</si>
  <si>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</si>
  <si>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</si>
  <si>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</si>
  <si>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</si>
  <si>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</si>
  <si>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</si>
  <si>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</si>
  <si>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</si>
  <si>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</si>
  <si>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</si>
  <si>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</si>
  <si>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</si>
  <si>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</si>
  <si>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</si>
  <si>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</si>
  <si>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</si>
  <si>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</si>
  <si>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</si>
  <si>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</si>
  <si>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</si>
  <si>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</si>
  <si>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</si>
  <si>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</si>
  <si>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</si>
  <si>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</si>
  <si>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</si>
  <si>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</si>
  <si>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</si>
  <si>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</si>
  <si>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</si>
  <si>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</si>
  <si>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</si>
  <si>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</si>
  <si>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</si>
  <si>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</si>
  <si>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</si>
  <si>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</si>
  <si>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</si>
  <si>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</si>
  <si>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</si>
  <si>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</si>
  <si>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</si>
  <si>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</si>
  <si>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</si>
  <si>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</si>
  <si>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</si>
  <si>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</si>
  <si>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</si>
  <si>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</si>
  <si>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</si>
  <si>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</si>
  <si>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</si>
  <si>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</si>
  <si>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</si>
  <si>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</si>
  <si>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</si>
  <si>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</si>
  <si>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</si>
  <si>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</si>
  <si>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</si>
  <si>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</si>
  <si>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</si>
  <si>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</si>
  <si>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</si>
  <si>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</si>
  <si>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</si>
  <si>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</si>
  <si>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</si>
  <si>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</si>
  <si>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</si>
  <si>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</si>
  <si>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</si>
  <si>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</si>
  <si>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</si>
  <si>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</si>
  <si>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</si>
  <si>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</si>
  <si>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</si>
  <si>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</si>
  <si>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</si>
  <si>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</si>
  <si>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</si>
  <si>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92</t>
  </si>
  <si>
    <t>Paragraph 93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</si>
  <si>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</si>
  <si>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</si>
  <si>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</si>
  <si>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</si>
  <si>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</si>
  <si>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</si>
  <si>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</si>
  <si>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</si>
  <si>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</si>
  <si>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</si>
  <si>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</si>
  <si>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</si>
  <si>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</si>
  <si>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</si>
  <si>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</si>
  <si>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</si>
  <si>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</si>
  <si>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</si>
  <si>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</si>
  <si>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</si>
  <si>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</si>
  <si>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</si>
  <si>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</si>
  <si>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</si>
  <si>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</si>
  <si>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</si>
  <si>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</si>
  <si>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</si>
  <si>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</si>
  <si>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</si>
  <si>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</si>
  <si>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</si>
  <si>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</si>
  <si>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</si>
  <si>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</si>
  <si>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</si>
  <si>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</si>
  <si>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</si>
  <si>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</si>
  <si>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</si>
  <si>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</si>
  <si>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</si>
  <si>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</si>
  <si>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</si>
  <si>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</si>
  <si>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</si>
  <si>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</si>
  <si>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</si>
  <si>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</si>
  <si>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</si>
  <si>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</si>
  <si>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</si>
  <si>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</si>
  <si>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</si>
  <si>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</si>
  <si>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</si>
  <si>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</si>
  <si>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</si>
  <si>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</si>
  <si>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</si>
  <si>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</si>
  <si>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</si>
  <si>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</si>
  <si>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</si>
  <si>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</si>
  <si>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</si>
  <si>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</si>
  <si>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</si>
  <si>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</si>
  <si>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</si>
  <si>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</si>
  <si>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</si>
  <si>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</si>
  <si>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</si>
  <si>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</si>
  <si>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</si>
  <si>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</si>
  <si>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</si>
  <si>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</si>
  <si>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</si>
  <si>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</si>
  <si>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</si>
  <si>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</si>
  <si>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</si>
  <si>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</si>
  <si>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</si>
  <si>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</si>
  <si>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</si>
  <si>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</si>
  <si>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</si>
  <si>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</si>
  <si>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</si>
  <si>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</si>
  <si>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</si>
  <si>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</si>
  <si>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</si>
  <si>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</si>
  <si>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</si>
  <si>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</si>
  <si>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</si>
  <si>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</si>
  <si>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</si>
  <si>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</si>
  <si>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</si>
  <si>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</si>
  <si>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</si>
  <si>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</si>
  <si>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</si>
  <si>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</si>
  <si>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</si>
  <si>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</si>
  <si>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</si>
  <si>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</si>
  <si>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</si>
  <si>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</si>
  <si>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</si>
  <si>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</si>
  <si>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</si>
  <si>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</si>
  <si>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</si>
  <si>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</si>
  <si>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</si>
  <si>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</si>
  <si>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</si>
  <si>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</si>
  <si>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</si>
  <si>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</si>
  <si>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</si>
  <si>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</si>
  <si>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</si>
  <si>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</si>
  <si>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</si>
  <si>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</si>
  <si>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</si>
  <si>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</si>
  <si>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</si>
  <si>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</si>
  <si>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</si>
  <si>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</si>
  <si>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</si>
  <si>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</si>
  <si>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</si>
  <si>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</si>
  <si>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</si>
  <si>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</si>
  <si>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</si>
  <si>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</si>
  <si>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</si>
  <si>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</si>
  <si>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</si>
  <si>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</si>
  <si>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</si>
  <si>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</si>
  <si>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</si>
  <si>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</si>
  <si>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</si>
  <si>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</si>
  <si>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</si>
  <si>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</si>
  <si>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</si>
  <si>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</si>
  <si>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</si>
  <si>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</si>
  <si>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</si>
  <si>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</si>
  <si>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</si>
  <si>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</si>
  <si>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</si>
  <si>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</si>
  <si>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</si>
  <si>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</si>
  <si>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</si>
  <si>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</si>
  <si>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</si>
  <si>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</si>
  <si>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</si>
  <si>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</si>
  <si>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</si>
  <si>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</si>
  <si>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</si>
  <si>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</si>
  <si>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Unless stated otherwise, this workbook is only a prototype for testing purposes and all the data in this model are for illustration only. Neither the authors nor Cambridge Economic Policy Associates/TNEI accept or assume any responsibility or duty of care to any third party.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</si>
  <si>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</si>
  <si>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</si>
  <si>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</si>
  <si>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</si>
  <si>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</si>
  <si>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</si>
  <si>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</si>
  <si>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</si>
  <si>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</si>
  <si>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</si>
  <si>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</si>
  <si>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</si>
  <si>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</si>
  <si>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</si>
  <si>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</si>
  <si>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</si>
  <si>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</si>
  <si>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</si>
  <si>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</si>
  <si>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</si>
  <si>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</si>
  <si>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</si>
  <si>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</si>
  <si>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</si>
  <si>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</si>
  <si>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</si>
  <si>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</si>
  <si>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</si>
  <si>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</si>
  <si>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</si>
  <si>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</si>
  <si>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Unit rate 1 p/kWh_Domestic Aggregated</t>
  </si>
  <si>
    <t>Unit rate 1 p/kWh_Domestic Aggregated (Related MPAN)</t>
  </si>
  <si>
    <t>Unit rate 1 p/kWh_Non-Domestic Aggregated</t>
  </si>
  <si>
    <t>Unit rate 1 p/kWh_Non-Domestic Aggregated (Related MPAN)</t>
  </si>
  <si>
    <t>Unit rate 1 p/kWh_LV Site Specific</t>
  </si>
  <si>
    <t>Unit rate 1 p/kWh_LV Sub Site Specific</t>
  </si>
  <si>
    <t>Unit rate 1 p/kWh_HV Site Specific</t>
  </si>
  <si>
    <t>Unit rate 1 p/kWh_Unmetered Supplies</t>
  </si>
  <si>
    <t>Unit rate 1 p/kWh_LV Generation Aggregated</t>
  </si>
  <si>
    <t>Unit rate 1 p/kWh_LV Sub Generation Aggregated</t>
  </si>
  <si>
    <t>Unit rate 1 p/kWh_LV Generation Site Specific</t>
  </si>
  <si>
    <t>Unit rate 1 p/kWh_LV Generation Site Specific no RP Charge</t>
  </si>
  <si>
    <t>Unit rate 1 p/kWh_LV Sub Generation Site Specific</t>
  </si>
  <si>
    <t>Unit rate 1 p/kWh_LV Sub Generation Site Specific no RP Charge</t>
  </si>
  <si>
    <t>Unit rate 1 p/kWh_HV Generation Site Specific</t>
  </si>
  <si>
    <t>Unit rate 1 p/kWh_HV Generation Site Specific no RP Charge</t>
  </si>
  <si>
    <t>Unit rate 2 p/kWh_Domestic Aggregated</t>
  </si>
  <si>
    <t>Unit rate 2 p/kWh_Domestic Aggregated (Related MPAN)</t>
  </si>
  <si>
    <t>Unit rate 2 p/kWh_Non-Domestic Aggregated</t>
  </si>
  <si>
    <t>Unit rate 2 p/kWh_Non-Domestic Aggregated (Related MPAN)</t>
  </si>
  <si>
    <t>Unit rate 2 p/kWh_LV Site Specific</t>
  </si>
  <si>
    <t>Unit rate 2 p/kWh_LV Sub Site Specific</t>
  </si>
  <si>
    <t>Unit rate 2 p/kWh_HV Site Specific</t>
  </si>
  <si>
    <t>Unit rate 2 p/kWh_Unmetered Supplies</t>
  </si>
  <si>
    <t>Unit rate 2 p/kWh_LV Generation Aggregated</t>
  </si>
  <si>
    <t>Unit rate 2 p/kWh_LV Sub Generation Aggregated</t>
  </si>
  <si>
    <t>Unit rate 2 p/kWh_LV Generation Site Specific</t>
  </si>
  <si>
    <t>Unit rate 2 p/kWh_LV Generation Site Specific no RP Charge</t>
  </si>
  <si>
    <t>Unit rate 2 p/kWh_LV Sub Generation Site Specific</t>
  </si>
  <si>
    <t>Unit rate 2 p/kWh_LV Sub Generation Site Specific no RP Charge</t>
  </si>
  <si>
    <t>Unit rate 2 p/kWh_HV Generation Site Specific</t>
  </si>
  <si>
    <t>Unit rate 2 p/kWh_HV Generation Site Specific no RP Charge</t>
  </si>
  <si>
    <t>Unit rate 3 p/kWh_Domestic Aggregated</t>
  </si>
  <si>
    <t>Unit rate 3 p/kWh_Domestic Aggregated (Related MPAN)</t>
  </si>
  <si>
    <t>Unit rate 3 p/kWh_Non-Domestic Aggregated</t>
  </si>
  <si>
    <t>Unit rate 3 p/kWh_Non-Domestic Aggregated (Related MPAN)</t>
  </si>
  <si>
    <t>Unit rate 3 p/kWh_LV Site Specific</t>
  </si>
  <si>
    <t>Unit rate 3 p/kWh_LV Sub Site Specific</t>
  </si>
  <si>
    <t>Unit rate 3 p/kWh_HV Site Specific</t>
  </si>
  <si>
    <t>Unit rate 3 p/kWh_Unmetered Supplies</t>
  </si>
  <si>
    <t>Unit rate 3 p/kWh_LV Generation Aggregated</t>
  </si>
  <si>
    <t>Unit rate 3 p/kWh_LV Sub Generation Aggregated</t>
  </si>
  <si>
    <t>Unit rate 3 p/kWh_LV Generation Site Specific</t>
  </si>
  <si>
    <t>Unit rate 3 p/kWh_LV Generation Site Specific no RP Charge</t>
  </si>
  <si>
    <t>Unit rate 3 p/kWh_LV Sub Generation Site Specific</t>
  </si>
  <si>
    <t>Unit rate 3 p/kWh_LV Sub Generation Site Specific no RP Charge</t>
  </si>
  <si>
    <t>Unit rate 3 p/kWh_HV Generation Site Specific</t>
  </si>
  <si>
    <t>Unit rate 3 p/kWh_HV Generation Site Specific no RP Charge</t>
  </si>
  <si>
    <t>Input 505</t>
  </si>
  <si>
    <t>Input 506</t>
  </si>
  <si>
    <t>Input 507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</si>
  <si>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</si>
  <si>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</si>
  <si>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</si>
  <si>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</si>
  <si>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</si>
  <si>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</si>
  <si>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</si>
  <si>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</si>
  <si>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</si>
  <si>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Expected revenue from unit rate adder, by tariff (pre-rounding)</t>
  </si>
  <si>
    <t>Total expected revenue from unit rate adder, post scaling (pre-rounding)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</si>
  <si>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</si>
  <si>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</si>
  <si>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</si>
  <si>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</si>
  <si>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</si>
  <si>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</si>
  <si>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</si>
  <si>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</si>
  <si>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</si>
  <si>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</si>
  <si>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</si>
  <si>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</si>
  <si>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</si>
  <si>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</si>
  <si>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</si>
  <si>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</si>
  <si>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</si>
  <si>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to be applied to fixed charge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</si>
  <si>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</si>
  <si>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</si>
  <si>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</si>
  <si>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</si>
  <si>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</si>
  <si>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unit rate adder</t>
  </si>
  <si>
    <t>Net revenue from fixed rate adder, CDCM</t>
  </si>
  <si>
    <t>Net revenue from fixed rate adder, EDCM</t>
  </si>
  <si>
    <t>Designated Property' MPANs with EDCM-level LDNO boundaries</t>
  </si>
  <si>
    <t>2021/22</t>
  </si>
  <si>
    <t>Fixed charge adder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</si>
  <si>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</si>
  <si>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</si>
  <si>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</si>
  <si>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Release for 2021/22 charge setting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</si>
  <si>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</si>
  <si>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</si>
  <si>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</si>
  <si>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</si>
  <si>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SP Manweb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</si>
  <si>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</si>
  <si>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</si>
  <si>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</si>
  <si>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</si>
  <si>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</si>
  <si>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</si>
  <si>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</si>
  <si>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See Commentry</t>
  </si>
  <si>
    <t>Other 4. Increase in UoS tariffs relating to Supplier of Last Resort derogation</t>
  </si>
  <si>
    <t>Other 5. Lead/Lag</t>
  </si>
  <si>
    <t>There are no published 'ARP_Inputs by customer type' prior to 2021/22 inline with the new DCP268 tariffs hence these entries have been left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</si>
</sst>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494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21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2" xfId="1" applyNumberFormat="1" applyBorder="1" applyAlignment="1"/>
    <xf numFmtId="0" fontId="26" fillId="44" borderId="0" xfId="54" quotePrefix="1" applyFill="1"/>
    <xf numFmtId="0" fontId="26" fillId="44" borderId="23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3" xfId="54" quotePrefix="1" applyFill="1" applyBorder="1"/>
    <xf numFmtId="0" fontId="26" fillId="37" borderId="0" xfId="54" quotePrefix="1" applyFill="1"/>
    <xf numFmtId="0" fontId="26" fillId="37" borderId="23" xfId="54" quotePrefix="1" applyFill="1" applyBorder="1"/>
    <xf numFmtId="0" fontId="26" fillId="46" borderId="0" xfId="54" quotePrefix="1" applyFill="1"/>
    <xf numFmtId="0" fontId="26" fillId="46" borderId="23" xfId="54" quotePrefix="1" applyFill="1" applyBorder="1"/>
    <xf numFmtId="0" fontId="35" fillId="0" borderId="0" xfId="52" applyNumberFormat="1" applyBorder="1" applyAlignment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8" fillId="0" borderId="15" xfId="60" applyNumberFormat="1" applyBorder="1" applyAlignment="1"/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3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0" fontId="7" fillId="38" borderId="0" xfId="59" applyNumberFormat="1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0" xfId="55" applyNumberFormat="1" applyBorder="1" applyProtection="1">
      <alignment vertical="top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73" fontId="0" fillId="0" borderId="15" xfId="0" applyNumberFormat="1" applyBorder="1"/>
    <xf numFmtId="173" fontId="8" fillId="0" borderId="16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20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right" vertical="center"/>
    </xf>
    <xf numFmtId="3" fontId="1" fillId="3" borderId="0" xfId="0" applyNumberFormat="1" applyFont="1" applyFill="1" applyAlignment="1">
      <alignment horizontal="right" vertical="center"/>
    </xf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Border="1" applyProtection="1">
      <alignment vertical="top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0" fontId="7" fillId="0" borderId="0" xfId="53" applyFont="1"/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8" fillId="2" borderId="2" xfId="51" applyBorder="1" applyAlignment="1" applyProtection="1">
      <alignment horizontal="right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8" fillId="2" borderId="0" xfId="51" applyBorder="1" applyAlignment="1" applyProtection="1">
      <alignment horizontal="right" vertical="center" wrapText="1"/>
      <protection locked="0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right" vertical="center"/>
    </xf>
    <xf numFmtId="0" fontId="8" fillId="2" borderId="3" xfId="51" applyBorder="1" applyAlignment="1" applyProtection="1">
      <alignment horizontal="right" vertical="center" wrapText="1"/>
      <protection locked="0"/>
    </xf>
    <xf numFmtId="0" fontId="0" fillId="0" borderId="0" xfId="0" applyAlignment="1">
      <alignment horizontal="right" vertical="center"/>
    </xf>
    <xf numFmtId="0" fontId="8" fillId="2" borderId="0" xfId="51" applyBorder="1" applyAlignment="1" applyProtection="1">
      <alignment horizontal="right" vertical="center"/>
      <protection locked="0"/>
    </xf>
    <xf numFmtId="0" fontId="20" fillId="0" borderId="0" xfId="0" applyFont="1"/>
    <xf numFmtId="10" fontId="0" fillId="0" borderId="0" xfId="0" applyNumberFormat="1" applyAlignment="1">
      <alignment horizontal="right"/>
    </xf>
    <xf numFmtId="0" fontId="8" fillId="2" borderId="17" xfId="51" applyBorder="1" applyAlignment="1" applyProtection="1">
      <alignment horizontal="left" vertical="center"/>
      <protection locked="0"/>
    </xf>
    <xf numFmtId="0" fontId="8" fillId="2" borderId="18" xfId="51" applyBorder="1" applyAlignment="1" applyProtection="1">
      <alignment horizontal="left" vertical="center"/>
      <protection locked="0"/>
    </xf>
    <xf numFmtId="0" fontId="8" fillId="2" borderId="19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28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2F000000}"/>
    <cellStyle name="Input" xfId="15" builtinId="20" hidden="1"/>
    <cellStyle name="Input_CEPATNEI" xfId="51" xr:uid="{00000000-0005-0000-0000-000031000000}"/>
    <cellStyle name="Linked Cell" xfId="18" builtinId="24" hidden="1"/>
    <cellStyle name="LinkedTo_CEPATNEI" xfId="52" xr:uid="{00000000-0005-0000-0000-000033000000}"/>
    <cellStyle name="LinksFrom_CEPATNEI" xfId="56" xr:uid="{00000000-0005-0000-0000-000034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A000000}"/>
    <cellStyle name="Percent" xfId="6" builtinId="5" hidden="1"/>
    <cellStyle name="Percent" xfId="62" builtinId="5" hidden="1"/>
    <cellStyle name="RowHeading_CEPATNEI" xfId="53" xr:uid="{00000000-0005-0000-0000-00003D000000}"/>
    <cellStyle name="SectionHeading_CEPATNEI" xfId="49" xr:uid="{00000000-0005-0000-0000-00003E000000}"/>
    <cellStyle name="SubSection_CEPATNEI" xfId="48" xr:uid="{00000000-0005-0000-0000-00003F000000}"/>
    <cellStyle name="Text_CEPATNEI" xfId="50" xr:uid="{00000000-0005-0000-0000-000040000000}"/>
    <cellStyle name="Title" xfId="7" builtinId="15" hidden="1"/>
    <cellStyle name="Total" xfId="23" builtinId="25" hidden="1"/>
    <cellStyle name="Warning Text" xfId="20" builtinId="11" hidden="1"/>
  </cellStyles>
  <dxfs count="253"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576262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8002397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8009841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8009841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90585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90585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85341</xdr:colOff>
      <xdr:row>48</xdr:row>
      <xdr:rowOff>22428</xdr:rowOff>
    </xdr:from>
    <xdr:to>
      <xdr:col>8</xdr:col>
      <xdr:colOff>1660871</xdr:colOff>
      <xdr:row>49</xdr:row>
      <xdr:rowOff>101454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181216" y="9052128"/>
          <a:ext cx="1575530" cy="26952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86611</xdr:colOff>
      <xdr:row>52</xdr:row>
      <xdr:rowOff>147469</xdr:rowOff>
    </xdr:from>
    <xdr:to>
      <xdr:col>8</xdr:col>
      <xdr:colOff>1658331</xdr:colOff>
      <xdr:row>54</xdr:row>
      <xdr:rowOff>34039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182486" y="992964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871836</xdr:colOff>
      <xdr:row>49</xdr:row>
      <xdr:rowOff>98914</xdr:rowOff>
    </xdr:from>
    <xdr:to>
      <xdr:col>8</xdr:col>
      <xdr:colOff>872471</xdr:colOff>
      <xdr:row>50</xdr:row>
      <xdr:rowOff>88553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76" idx="0"/>
        </xdr:cNvCxnSpPr>
      </xdr:nvCxnSpPr>
      <xdr:spPr>
        <a:xfrm flipH="1">
          <a:off x="5967711" y="9319114"/>
          <a:ext cx="635" cy="18013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85341</xdr:colOff>
      <xdr:row>55</xdr:row>
      <xdr:rowOff>23679</xdr:rowOff>
    </xdr:from>
    <xdr:to>
      <xdr:col>8</xdr:col>
      <xdr:colOff>1660871</xdr:colOff>
      <xdr:row>56</xdr:row>
      <xdr:rowOff>100749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181216" y="10377354"/>
          <a:ext cx="157553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872471</xdr:colOff>
      <xdr:row>54</xdr:row>
      <xdr:rowOff>32769</xdr:rowOff>
    </xdr:from>
    <xdr:to>
      <xdr:col>8</xdr:col>
      <xdr:colOff>875646</xdr:colOff>
      <xdr:row>55</xdr:row>
      <xdr:rowOff>21139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968346" y="10195944"/>
          <a:ext cx="3175" cy="17887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8002397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82166</xdr:colOff>
      <xdr:row>50</xdr:row>
      <xdr:rowOff>86013</xdr:rowOff>
    </xdr:from>
    <xdr:to>
      <xdr:col>8</xdr:col>
      <xdr:colOff>1662776</xdr:colOff>
      <xdr:row>51</xdr:row>
      <xdr:rowOff>160370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178041" y="9496713"/>
          <a:ext cx="1580610" cy="25533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Fixed charge adder</a:t>
          </a:r>
        </a:p>
      </xdr:txBody>
    </xdr:sp>
    <xdr:clientData/>
  </xdr:twoCellAnchor>
  <xdr:twoCellAnchor>
    <xdr:from>
      <xdr:col>8</xdr:col>
      <xdr:colOff>871836</xdr:colOff>
      <xdr:row>51</xdr:row>
      <xdr:rowOff>161640</xdr:rowOff>
    </xdr:from>
    <xdr:to>
      <xdr:col>8</xdr:col>
      <xdr:colOff>875646</xdr:colOff>
      <xdr:row>52</xdr:row>
      <xdr:rowOff>146199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5" idx="0"/>
        </xdr:cNvCxnSpPr>
      </xdr:nvCxnSpPr>
      <xdr:spPr>
        <a:xfrm>
          <a:off x="5967711" y="9753315"/>
          <a:ext cx="3810" cy="17505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icing/DUoS/April%202021/CDCM/CDCM_v5_2021-22-Pre-Release_20191108%20SP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Version control"/>
      <sheetName val="Model map"/>
      <sheetName val="Index"/>
      <sheetName val="Named ranges"/>
      <sheetName val="Fixed inputs"/>
      <sheetName val="Inputs by customer type"/>
      <sheetName val="Inputs by network level"/>
      <sheetName val="General inputs"/>
      <sheetName val="Standing charge factors"/>
      <sheetName val="Load &amp; loss characteristics"/>
      <sheetName val="Customer contributions"/>
      <sheetName val="Volume adjustments"/>
      <sheetName val="Pseudo-load coefficients"/>
      <sheetName val="System peak demand"/>
      <sheetName val="Service model assets"/>
      <sheetName val="Unit costs"/>
      <sheetName val="Initial unit rates"/>
      <sheetName val="Service model charges"/>
      <sheetName val="Unit rate charges"/>
      <sheetName val="Reactive power charges"/>
      <sheetName val="Capacity charges"/>
      <sheetName val="Fixed charges"/>
      <sheetName val="Revenue matching"/>
      <sheetName val="Fixed charge adder"/>
      <sheetName val="Rounding"/>
      <sheetName val="Net revenue summary"/>
      <sheetName val="Tariff summary"/>
      <sheetName val="Output to other model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J5" t="str">
            <v>Domestic Aggregated</v>
          </cell>
        </row>
      </sheetData>
      <sheetData sheetId="7">
        <row r="5">
          <cell r="J5" t="str">
            <v>Transmission exit</v>
          </cell>
        </row>
      </sheetData>
      <sheetData sheetId="8">
        <row r="16">
          <cell r="H16">
            <v>258</v>
          </cell>
        </row>
        <row r="40">
          <cell r="E40" t="str">
            <v>Base Demand Revenue before inflation</v>
          </cell>
          <cell r="G40" t="str">
            <v>£</v>
          </cell>
          <cell r="H40">
            <v>310900000</v>
          </cell>
        </row>
        <row r="41">
          <cell r="E41" t="str">
            <v>Annual Iteration adjustment before inflation</v>
          </cell>
          <cell r="G41" t="str">
            <v>£</v>
          </cell>
          <cell r="H41">
            <v>533025.1711633309</v>
          </cell>
        </row>
        <row r="42">
          <cell r="E42" t="str">
            <v>RPI True-up before inflation</v>
          </cell>
          <cell r="G42" t="str">
            <v>£</v>
          </cell>
          <cell r="H42">
            <v>-2355921.994959096</v>
          </cell>
        </row>
        <row r="43">
          <cell r="E43" t="str">
            <v>Price index adjustment (RPI index)</v>
          </cell>
          <cell r="F43"/>
          <cell r="G43" t="str">
            <v>scalar</v>
          </cell>
          <cell r="H43">
            <v>1.2609999999999999</v>
          </cell>
        </row>
        <row r="44">
          <cell r="E44" t="str">
            <v>Base demand revenue</v>
          </cell>
          <cell r="G44" t="str">
            <v>£</v>
          </cell>
          <cell r="H44">
            <v>309077103.1762042</v>
          </cell>
        </row>
        <row r="45">
          <cell r="E45" t="str">
            <v>Inflation adjustment</v>
          </cell>
          <cell r="G45" t="str">
            <v>£</v>
          </cell>
          <cell r="H45">
            <v>80669123.928989261</v>
          </cell>
        </row>
        <row r="46">
          <cell r="H46"/>
        </row>
        <row r="47">
          <cell r="E47" t="str">
            <v>Pass-Through Licence Fees</v>
          </cell>
          <cell r="G47" t="str">
            <v>£</v>
          </cell>
          <cell r="H47">
            <v>362400.22189845564</v>
          </cell>
        </row>
        <row r="48">
          <cell r="E48" t="str">
            <v>Pass-Through Business Rates</v>
          </cell>
          <cell r="G48" t="str">
            <v>£</v>
          </cell>
          <cell r="H48">
            <v>6721889.8556509735</v>
          </cell>
        </row>
        <row r="49">
          <cell r="E49" t="str">
            <v>Pass-Through Transmission Connection Point Charges</v>
          </cell>
          <cell r="G49" t="str">
            <v>£</v>
          </cell>
          <cell r="H49">
            <v>-121325.85780384066</v>
          </cell>
        </row>
        <row r="50">
          <cell r="E50" t="str">
            <v>Pass-through Smart Meter Communication Licence Costs</v>
          </cell>
          <cell r="G50" t="str">
            <v>£</v>
          </cell>
          <cell r="H50">
            <v>1497149.5618575285</v>
          </cell>
        </row>
        <row r="51">
          <cell r="E51" t="str">
            <v>Pass-through Smart Meter IT Costs</v>
          </cell>
          <cell r="G51" t="str">
            <v>£</v>
          </cell>
          <cell r="H51">
            <v>70277.085039683006</v>
          </cell>
        </row>
        <row r="52">
          <cell r="E52" t="str">
            <v>Pass-through Ring Fence Costs</v>
          </cell>
          <cell r="G52" t="str">
            <v>£</v>
          </cell>
          <cell r="H52">
            <v>0</v>
          </cell>
        </row>
        <row r="53">
          <cell r="E53" t="str">
            <v>Pass-through Supplier of Last Resort Adjustment</v>
          </cell>
          <cell r="G53" t="str">
            <v>£</v>
          </cell>
          <cell r="H53">
            <v>35542.579269051414</v>
          </cell>
        </row>
        <row r="54">
          <cell r="E54" t="str">
            <v>Pass-through Eligible Bad Debt Adjustment</v>
          </cell>
          <cell r="G54" t="str">
            <v>£</v>
          </cell>
          <cell r="H54">
            <v>1428543.453235823</v>
          </cell>
        </row>
        <row r="55">
          <cell r="E55" t="str">
            <v>Pass-Through Others</v>
          </cell>
          <cell r="F55"/>
          <cell r="G55" t="str">
            <v>£</v>
          </cell>
          <cell r="H55">
            <v>0</v>
          </cell>
        </row>
        <row r="56">
          <cell r="E56" t="str">
            <v>Allowed Pass-Through Items</v>
          </cell>
          <cell r="G56" t="str">
            <v>£</v>
          </cell>
          <cell r="H56">
            <v>9994476.8991476763</v>
          </cell>
        </row>
        <row r="57">
          <cell r="H57"/>
        </row>
        <row r="58">
          <cell r="E58" t="str">
            <v>Broad Measure of Customer Service incentive</v>
          </cell>
          <cell r="G58" t="str">
            <v>£</v>
          </cell>
          <cell r="H58">
            <v>4163072.2344266209</v>
          </cell>
        </row>
        <row r="59">
          <cell r="E59" t="str">
            <v>Quality of Service incentive</v>
          </cell>
          <cell r="G59" t="str">
            <v>£</v>
          </cell>
          <cell r="H59">
            <v>4710478.7801506864</v>
          </cell>
        </row>
        <row r="60">
          <cell r="E60" t="str">
            <v>Connections Engagement incentive</v>
          </cell>
          <cell r="G60" t="str">
            <v>£</v>
          </cell>
          <cell r="H60">
            <v>0</v>
          </cell>
        </row>
        <row r="61">
          <cell r="E61" t="str">
            <v>Time to Connect incentive</v>
          </cell>
          <cell r="G61" t="str">
            <v>£</v>
          </cell>
          <cell r="H61">
            <v>713669.52590170642</v>
          </cell>
        </row>
        <row r="62">
          <cell r="E62" t="str">
            <v>Losses Discretionary Reward incentive</v>
          </cell>
          <cell r="G62" t="str">
            <v>£</v>
          </cell>
          <cell r="H62">
            <v>735162.99999999988</v>
          </cell>
        </row>
        <row r="63">
          <cell r="E63" t="str">
            <v>Network Innovation Allowance</v>
          </cell>
          <cell r="G63" t="str">
            <v>£</v>
          </cell>
          <cell r="H63">
            <v>1364836.5360000003</v>
          </cell>
        </row>
        <row r="64">
          <cell r="E64" t="str">
            <v>Low Carbon Network Fund - Tier 1 unrecoverable</v>
          </cell>
          <cell r="G64" t="str">
            <v>£</v>
          </cell>
          <cell r="H64">
            <v>0</v>
          </cell>
        </row>
        <row r="65">
          <cell r="E65" t="str">
            <v>Low Carbon Network Fund - Tier 2 &amp; Discretionary Funding</v>
          </cell>
          <cell r="G65" t="str">
            <v>£</v>
          </cell>
          <cell r="H65">
            <v>0</v>
          </cell>
        </row>
        <row r="66">
          <cell r="E66" t="str">
            <v>Connection Guaranteed Standards Systems &amp; Processes penalty</v>
          </cell>
          <cell r="G66" t="str">
            <v>£</v>
          </cell>
          <cell r="H66">
            <v>0</v>
          </cell>
        </row>
        <row r="67">
          <cell r="E67" t="str">
            <v>Residual Losses and Growth Incentive - Losses</v>
          </cell>
          <cell r="G67" t="str">
            <v>£</v>
          </cell>
          <cell r="H67">
            <v>0</v>
          </cell>
        </row>
        <row r="68">
          <cell r="E68" t="str">
            <v>Residual Losses and Growth Incentive - Growth</v>
          </cell>
          <cell r="F68"/>
          <cell r="G68" t="str">
            <v>£</v>
          </cell>
          <cell r="H68">
            <v>0</v>
          </cell>
        </row>
        <row r="69">
          <cell r="E69" t="str">
            <v>Incentive Revenue and Other Adjustments</v>
          </cell>
          <cell r="G69" t="str">
            <v>£</v>
          </cell>
          <cell r="H69">
            <v>11687220.076479014</v>
          </cell>
        </row>
        <row r="70">
          <cell r="H70"/>
        </row>
        <row r="71">
          <cell r="E71" t="str">
            <v>Correction Factor</v>
          </cell>
          <cell r="F71"/>
          <cell r="G71" t="str">
            <v>£</v>
          </cell>
          <cell r="H71">
            <v>-17629263.193433948</v>
          </cell>
        </row>
        <row r="72">
          <cell r="E72" t="str">
            <v>Total allowed Revenue</v>
          </cell>
          <cell r="G72" t="str">
            <v>£</v>
          </cell>
          <cell r="H72">
            <v>393798660.8873862</v>
          </cell>
        </row>
        <row r="73">
          <cell r="H73"/>
        </row>
        <row r="74">
          <cell r="E74" t="str">
            <v>Other 1. Excluded services - Top-up, standby, and enhanced system security</v>
          </cell>
          <cell r="G74" t="str">
            <v>£</v>
          </cell>
          <cell r="H74">
            <v>0</v>
          </cell>
        </row>
        <row r="75">
          <cell r="E75" t="str">
            <v>Other 2. Excluded services - Revenue protection services</v>
          </cell>
          <cell r="G75" t="str">
            <v>£</v>
          </cell>
          <cell r="H75">
            <v>550076.828243747</v>
          </cell>
        </row>
        <row r="76">
          <cell r="E76" t="str">
            <v>Other 3. Excluded services - Miscellaneous</v>
          </cell>
          <cell r="G76" t="str">
            <v>£</v>
          </cell>
          <cell r="H76">
            <v>0</v>
          </cell>
        </row>
        <row r="77">
          <cell r="E77" t="str">
            <v>Other 4. Increase in UoS tariffs relating to Supplier of Last Resort derogation</v>
          </cell>
          <cell r="G77" t="str">
            <v>£</v>
          </cell>
          <cell r="H77">
            <v>0</v>
          </cell>
        </row>
        <row r="78">
          <cell r="E78" t="str">
            <v>Other 5. Lead/Lag</v>
          </cell>
          <cell r="F78"/>
          <cell r="G78" t="str">
            <v>£</v>
          </cell>
          <cell r="H78">
            <v>0</v>
          </cell>
        </row>
        <row r="79">
          <cell r="E79" t="str">
            <v>Total other revenue recovered by Use of System Charges</v>
          </cell>
          <cell r="F79"/>
          <cell r="G79" t="str">
            <v>£</v>
          </cell>
          <cell r="H79">
            <v>550076.828243747</v>
          </cell>
        </row>
        <row r="80">
          <cell r="E80" t="str">
            <v>Total Revenue for Use of System Charges</v>
          </cell>
          <cell r="G80" t="str">
            <v>£</v>
          </cell>
          <cell r="H80">
            <v>394348737.71562994</v>
          </cell>
        </row>
        <row r="81">
          <cell r="H81"/>
        </row>
        <row r="82">
          <cell r="E82" t="str">
            <v>1. Revenue raised outside CDCM - EDCM and Certain Interconnector Revenue</v>
          </cell>
          <cell r="G82" t="str">
            <v>£</v>
          </cell>
          <cell r="H82">
            <v>32062587.726600684</v>
          </cell>
        </row>
        <row r="83">
          <cell r="E83" t="str">
            <v>2. Revenue raised outside CDCM - Voluntary under-recovery</v>
          </cell>
          <cell r="G83" t="str">
            <v>£</v>
          </cell>
          <cell r="H83"/>
        </row>
        <row r="84">
          <cell r="E84" t="str">
            <v>3. Revenue raised outside CDCM - Please describe if used</v>
          </cell>
          <cell r="G84" t="str">
            <v>£</v>
          </cell>
          <cell r="H84"/>
        </row>
        <row r="85">
          <cell r="E85" t="str">
            <v>4. Revenue raised outside CDCM - Please describe if used</v>
          </cell>
          <cell r="F85"/>
          <cell r="G85" t="str">
            <v>£</v>
          </cell>
          <cell r="H85"/>
        </row>
        <row r="86">
          <cell r="E86" t="str">
            <v>Total Revenue to be raised outside the CDCM</v>
          </cell>
          <cell r="G86" t="str">
            <v>£</v>
          </cell>
          <cell r="H86">
            <v>32062587.726600684</v>
          </cell>
        </row>
        <row r="87">
          <cell r="E87" t="str">
            <v>Latest forecast of CDCM Revenue</v>
          </cell>
          <cell r="F87"/>
          <cell r="G87" t="str">
            <v>£</v>
          </cell>
          <cell r="H87">
            <v>362286149.98902923</v>
          </cell>
        </row>
        <row r="88">
          <cell r="H88"/>
        </row>
        <row r="89">
          <cell r="E89"/>
          <cell r="F89"/>
          <cell r="G89"/>
          <cell r="H89"/>
        </row>
        <row r="91">
          <cell r="E91" t="str">
            <v>Real pre-tax cost of capital</v>
          </cell>
          <cell r="G91" t="str">
            <v>%</v>
          </cell>
          <cell r="H91">
            <v>3.6900000000000002E-2</v>
          </cell>
        </row>
        <row r="92">
          <cell r="E92" t="str">
            <v>Days in the charging year</v>
          </cell>
          <cell r="G92" t="str">
            <v>days</v>
          </cell>
          <cell r="H92">
            <v>365</v>
          </cell>
        </row>
        <row r="93">
          <cell r="E93" t="str">
            <v>Hours in charging year</v>
          </cell>
          <cell r="G93" t="str">
            <v>hours</v>
          </cell>
          <cell r="H93">
            <v>8760</v>
          </cell>
        </row>
        <row r="95">
          <cell r="E95"/>
          <cell r="F95"/>
          <cell r="G95"/>
          <cell r="H95"/>
        </row>
        <row r="97">
          <cell r="E97" t="str">
            <v>Transmission exit charges</v>
          </cell>
          <cell r="G97" t="str">
            <v>£ per year</v>
          </cell>
          <cell r="H97">
            <v>21063474.14219616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6">
          <cell r="J16">
            <v>11.481</v>
          </cell>
        </row>
      </sheetData>
      <sheetData sheetId="2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1" sqref="D21"/>
    </sheetView>
  </sheetViews>
  <sheetFormatPr defaultColWidth="0" defaultRowHeight="15" customHeight="1" x14ac:dyDescent="0.25"/>
  <cols>
    <col min="1" max="1" width="2.7109375" style="21" customWidth="1"/>
    <col min="2" max="2" width="22.7109375" style="21" customWidth="1"/>
    <col min="3" max="3" width="2.7109375" style="21" customWidth="1"/>
    <col min="4" max="4" width="100.42578125" style="25" customWidth="1"/>
    <col min="5" max="5" width="2.7109375" style="21" customWidth="1"/>
    <col min="6" max="16384" width="9.140625" style="21" hidden="1"/>
  </cols>
  <sheetData>
    <row r="2" spans="2:4" ht="28.5" x14ac:dyDescent="0.25">
      <c r="D2" s="22" t="s">
        <v>783</v>
      </c>
    </row>
    <row r="4" spans="2:4" ht="21" x14ac:dyDescent="0.25">
      <c r="D4" s="471" t="s">
        <v>1161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43777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5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Attachment A_01 April 2021 Charging Methodologies Pre-Release_Issued October 2019 (shared 10/10/2019)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45" x14ac:dyDescent="0.25">
      <c r="B16" s="24" t="s">
        <v>159</v>
      </c>
      <c r="D16" s="220" t="s">
        <v>1035</v>
      </c>
    </row>
    <row r="17" spans="2:4" x14ac:dyDescent="0.25">
      <c r="D17" s="25" t="s">
        <v>761</v>
      </c>
    </row>
    <row r="18" spans="2:4" x14ac:dyDescent="0.25">
      <c r="D18" s="21"/>
    </row>
    <row r="19" spans="2:4" ht="15" customHeight="1" x14ac:dyDescent="0.25">
      <c r="B19" s="24" t="s">
        <v>240</v>
      </c>
      <c r="D19" s="315" t="s">
        <v>1156</v>
      </c>
    </row>
    <row r="21" spans="2:4" ht="15" customHeight="1" x14ac:dyDescent="0.25">
      <c r="B21" s="24" t="s">
        <v>241</v>
      </c>
      <c r="D21" s="315" t="s">
        <v>1166</v>
      </c>
    </row>
    <row r="23" spans="2:4" ht="15" customHeight="1" x14ac:dyDescent="0.25">
      <c r="B23" s="24" t="s">
        <v>274</v>
      </c>
      <c r="D23" s="315" t="s">
        <v>1167</v>
      </c>
    </row>
    <row r="25" spans="2:4" ht="30" customHeight="1" x14ac:dyDescent="0.25">
      <c r="B25" s="24" t="s">
        <v>165</v>
      </c>
      <c r="D25" s="315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6" t="s">
        <v>658</v>
      </c>
      <c r="C30" s="92"/>
      <c r="D30" s="92" t="s">
        <v>162</v>
      </c>
    </row>
    <row r="31" spans="2:4" s="85" customFormat="1" x14ac:dyDescent="0.25">
      <c r="B31" s="317" t="s">
        <v>658</v>
      </c>
      <c r="C31" s="92"/>
      <c r="D31" s="92" t="s">
        <v>296</v>
      </c>
    </row>
    <row r="32" spans="2:4" s="85" customFormat="1" x14ac:dyDescent="0.25">
      <c r="B32" s="318" t="s">
        <v>658</v>
      </c>
      <c r="C32" s="92"/>
      <c r="D32" s="81" t="s">
        <v>659</v>
      </c>
    </row>
    <row r="33" spans="2:4" s="85" customFormat="1" x14ac:dyDescent="0.25">
      <c r="B33" s="178" t="s">
        <v>658</v>
      </c>
      <c r="C33" s="92"/>
      <c r="D33" s="92" t="s">
        <v>164</v>
      </c>
    </row>
    <row r="34" spans="2:4" s="85" customFormat="1" x14ac:dyDescent="0.25">
      <c r="B34" s="136" t="s">
        <v>658</v>
      </c>
      <c r="C34" s="92"/>
      <c r="D34" s="92" t="s">
        <v>660</v>
      </c>
    </row>
    <row r="35" spans="2:4" s="85" customFormat="1" x14ac:dyDescent="0.25">
      <c r="B35" s="152" t="s">
        <v>658</v>
      </c>
      <c r="C35" s="92"/>
      <c r="D35" s="92" t="s">
        <v>661</v>
      </c>
    </row>
    <row r="36" spans="2:4" s="85" customFormat="1" x14ac:dyDescent="0.25">
      <c r="B36" s="190" t="s">
        <v>658</v>
      </c>
      <c r="C36" s="92"/>
      <c r="D36" s="81" t="s">
        <v>662</v>
      </c>
    </row>
    <row r="37" spans="2:4" s="85" customFormat="1" x14ac:dyDescent="0.25">
      <c r="B37" s="176" t="s">
        <v>663</v>
      </c>
      <c r="C37" s="92"/>
      <c r="D37" s="81" t="s">
        <v>664</v>
      </c>
    </row>
    <row r="38" spans="2:4" s="85" customFormat="1" ht="15" customHeight="1" x14ac:dyDescent="0.25">
      <c r="B38" s="135" t="s">
        <v>663</v>
      </c>
      <c r="C38" s="92"/>
      <c r="D38" s="92" t="s">
        <v>665</v>
      </c>
    </row>
    <row r="39" spans="2:4" s="85" customFormat="1" ht="15" customHeight="1" x14ac:dyDescent="0.25">
      <c r="B39" s="34" t="s">
        <v>663</v>
      </c>
      <c r="C39" s="92"/>
      <c r="D39" s="92" t="s">
        <v>666</v>
      </c>
    </row>
    <row r="40" spans="2:4" s="85" customFormat="1" ht="15" customHeight="1" x14ac:dyDescent="0.25">
      <c r="B40" s="65" t="s">
        <v>663</v>
      </c>
      <c r="C40" s="92"/>
      <c r="D40" s="92" t="s">
        <v>667</v>
      </c>
    </row>
    <row r="41" spans="2:4" s="85" customFormat="1" ht="15" customHeight="1" x14ac:dyDescent="0.25">
      <c r="B41" s="64" t="s">
        <v>663</v>
      </c>
      <c r="C41" s="92"/>
      <c r="D41" s="92" t="s">
        <v>668</v>
      </c>
    </row>
    <row r="42" spans="2:4" s="85" customFormat="1" ht="15" customHeight="1" x14ac:dyDescent="0.25">
      <c r="B42" s="191" t="s">
        <v>663</v>
      </c>
      <c r="C42" s="92"/>
      <c r="D42" s="92" t="s">
        <v>669</v>
      </c>
    </row>
    <row r="43" spans="2:4" s="195" customFormat="1" ht="15" customHeight="1" x14ac:dyDescent="0.25">
      <c r="B43" s="192" t="s">
        <v>670</v>
      </c>
      <c r="C43" s="196"/>
      <c r="D43" s="196" t="s">
        <v>671</v>
      </c>
    </row>
    <row r="44" spans="2:4" s="85" customFormat="1" ht="15" customHeight="1" x14ac:dyDescent="0.25">
      <c r="B44" s="219" t="s">
        <v>670</v>
      </c>
      <c r="C44" s="92"/>
      <c r="D44" s="92" t="s">
        <v>748</v>
      </c>
    </row>
    <row r="45" spans="2:4" s="195" customFormat="1" ht="15" customHeight="1" x14ac:dyDescent="0.25">
      <c r="B45" s="200" t="s">
        <v>670</v>
      </c>
      <c r="C45" s="196"/>
      <c r="D45" s="81" t="s">
        <v>672</v>
      </c>
    </row>
    <row r="46" spans="2:4" s="85" customFormat="1" ht="15" customHeight="1" x14ac:dyDescent="0.25">
      <c r="B46" s="193" t="s">
        <v>670</v>
      </c>
      <c r="C46" s="92"/>
      <c r="D46" s="81" t="s">
        <v>673</v>
      </c>
    </row>
    <row r="47" spans="2:4" s="85" customFormat="1" ht="15" customHeight="1" x14ac:dyDescent="0.25">
      <c r="B47" s="201" t="s">
        <v>670</v>
      </c>
      <c r="C47" s="93"/>
      <c r="D47" s="19" t="s">
        <v>674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7109375" style="50" customWidth="1"/>
    <col min="7" max="7" width="22.7109375" style="50" customWidth="1"/>
    <col min="8" max="8" width="24.28515625" style="50" customWidth="1"/>
    <col min="9" max="9" width="30.7109375" style="50" customWidth="1"/>
    <col min="10" max="10" width="19.28515625" style="122" bestFit="1" customWidth="1"/>
    <col min="11" max="11" width="10.7109375" style="50" customWidth="1"/>
    <col min="12" max="12" width="82.7109375" style="50" customWidth="1"/>
    <col min="13" max="13" width="2.710937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295" customFormat="1" x14ac:dyDescent="0.25">
      <c r="A4" s="229" t="str">
        <f>J61 &amp; IF(J61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x14ac:dyDescent="0.25">
      <c r="A5" s="47"/>
      <c r="B5" s="51" t="s">
        <v>275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276</v>
      </c>
      <c r="H7" s="226">
        <f>LOOKUP(2,1/(F20:F30&lt;&gt;""),F20:F30)</f>
        <v>43777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273</v>
      </c>
      <c r="H9" s="227" t="str">
        <f>LOOKUP(2,1/(G20:G30&lt;&gt;""),G20:G30)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69" t="s">
        <v>1032</v>
      </c>
      <c r="H11" s="227">
        <f>LOOKUP(2,1/(H20:H30&lt;&gt;""),H20:H30)</f>
        <v>5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1"/>
      <c r="B13" s="221"/>
      <c r="C13" s="221"/>
      <c r="D13" s="221"/>
      <c r="F13" s="120" t="s">
        <v>751</v>
      </c>
      <c r="H13" s="223" t="str">
        <f>LOOKUP(2,1/(I20:I30&lt;&gt;""),I20:I30)</f>
        <v>Attachment A_01 April 2021 Charging Methodologies Pre-Release_Issued October 2019 (shared 10/10/2019)</v>
      </c>
      <c r="I13" s="224"/>
      <c r="J13" s="224"/>
      <c r="K13" s="224"/>
      <c r="L13" s="221"/>
      <c r="M13" s="221"/>
      <c r="N13" s="222"/>
    </row>
    <row r="14" spans="1:97" s="195" customFormat="1" x14ac:dyDescent="0.25">
      <c r="A14" s="221"/>
      <c r="B14" s="221"/>
      <c r="C14" s="221"/>
      <c r="D14" s="221"/>
      <c r="F14" s="221"/>
      <c r="H14" s="225"/>
      <c r="I14" s="224"/>
      <c r="J14" s="224"/>
      <c r="K14" s="224"/>
      <c r="L14" s="221"/>
      <c r="M14" s="221"/>
      <c r="N14" s="222"/>
    </row>
    <row r="15" spans="1:97" x14ac:dyDescent="0.25">
      <c r="A15" s="47"/>
      <c r="B15" s="47"/>
      <c r="C15" s="47"/>
      <c r="D15" s="47"/>
      <c r="F15" s="120" t="s">
        <v>782</v>
      </c>
      <c r="H15" s="227" t="str">
        <f>LOOKUP(2,1/(J20:J30&lt;&gt;""),J20:J30)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283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277</v>
      </c>
      <c r="G19" s="56" t="s">
        <v>278</v>
      </c>
      <c r="H19" s="55" t="s">
        <v>1028</v>
      </c>
      <c r="I19" s="56" t="s">
        <v>780</v>
      </c>
      <c r="J19" s="56" t="s">
        <v>781</v>
      </c>
      <c r="K19" s="56" t="s">
        <v>158</v>
      </c>
      <c r="L19" s="56" t="s">
        <v>279</v>
      </c>
    </row>
    <row r="20" spans="1:12" ht="30" x14ac:dyDescent="0.25">
      <c r="A20" s="47"/>
      <c r="B20" s="47"/>
      <c r="C20" s="47"/>
      <c r="D20" s="47"/>
      <c r="E20" s="47"/>
      <c r="F20" s="319">
        <v>43250</v>
      </c>
      <c r="G20" s="315" t="s">
        <v>1023</v>
      </c>
      <c r="H20" s="315">
        <v>1</v>
      </c>
      <c r="I20" s="315" t="s">
        <v>787</v>
      </c>
      <c r="J20" s="315" t="s">
        <v>1027</v>
      </c>
      <c r="K20" s="315" t="s">
        <v>675</v>
      </c>
      <c r="L20" s="315" t="s">
        <v>784</v>
      </c>
    </row>
    <row r="21" spans="1:12" ht="30" x14ac:dyDescent="0.25">
      <c r="A21" s="47"/>
      <c r="B21" s="47"/>
      <c r="C21" s="47"/>
      <c r="D21" s="47"/>
      <c r="E21" s="47"/>
      <c r="F21" s="319">
        <v>43301</v>
      </c>
      <c r="G21" s="315" t="s">
        <v>1023</v>
      </c>
      <c r="H21" s="315">
        <v>2</v>
      </c>
      <c r="I21" s="315" t="s">
        <v>1024</v>
      </c>
      <c r="J21" s="315" t="s">
        <v>1027</v>
      </c>
      <c r="K21" s="315" t="s">
        <v>675</v>
      </c>
      <c r="L21" s="315" t="s">
        <v>1025</v>
      </c>
    </row>
    <row r="22" spans="1:12" s="122" customFormat="1" ht="45" x14ac:dyDescent="0.25">
      <c r="A22" s="120"/>
      <c r="B22" s="120"/>
      <c r="C22" s="120"/>
      <c r="D22" s="120"/>
      <c r="E22" s="120"/>
      <c r="F22" s="319">
        <v>43389</v>
      </c>
      <c r="G22" s="315" t="s">
        <v>1029</v>
      </c>
      <c r="H22" s="315">
        <v>3</v>
      </c>
      <c r="I22" s="367" t="s">
        <v>1030</v>
      </c>
      <c r="J22" s="315" t="s">
        <v>1027</v>
      </c>
      <c r="K22" s="367" t="s">
        <v>675</v>
      </c>
      <c r="L22" s="367" t="s">
        <v>1031</v>
      </c>
    </row>
    <row r="23" spans="1:12" s="122" customFormat="1" ht="60" x14ac:dyDescent="0.25">
      <c r="A23" s="120"/>
      <c r="B23" s="120"/>
      <c r="C23" s="120"/>
      <c r="D23" s="120"/>
      <c r="E23" s="120"/>
      <c r="F23" s="319">
        <v>43663</v>
      </c>
      <c r="G23" s="315" t="s">
        <v>1023</v>
      </c>
      <c r="H23" s="315">
        <v>4</v>
      </c>
      <c r="I23" s="315" t="s">
        <v>1036</v>
      </c>
      <c r="J23" s="315" t="s">
        <v>1027</v>
      </c>
      <c r="K23" s="315" t="s">
        <v>675</v>
      </c>
      <c r="L23" s="315" t="s">
        <v>1037</v>
      </c>
    </row>
    <row r="24" spans="1:12" s="122" customFormat="1" ht="60" x14ac:dyDescent="0.25">
      <c r="A24" s="120"/>
      <c r="B24" s="120"/>
      <c r="C24" s="120"/>
      <c r="D24" s="120"/>
      <c r="E24" s="120"/>
      <c r="F24" s="468">
        <v>43777</v>
      </c>
      <c r="G24" s="469" t="s">
        <v>1029</v>
      </c>
      <c r="H24" s="469">
        <v>5</v>
      </c>
      <c r="I24" s="469" t="s">
        <v>1162</v>
      </c>
      <c r="J24" s="315" t="s">
        <v>1027</v>
      </c>
      <c r="K24" s="469" t="s">
        <v>675</v>
      </c>
      <c r="L24" s="470" t="s">
        <v>1160</v>
      </c>
    </row>
    <row r="25" spans="1:12" s="122" customFormat="1" x14ac:dyDescent="0.25">
      <c r="A25" s="120"/>
      <c r="B25" s="120"/>
      <c r="C25" s="120"/>
      <c r="D25" s="120"/>
      <c r="E25" s="120"/>
      <c r="F25" s="319"/>
      <c r="G25" s="315"/>
      <c r="H25" s="315"/>
      <c r="I25" s="315"/>
      <c r="J25" s="315"/>
      <c r="K25" s="315"/>
      <c r="L25" s="315"/>
    </row>
    <row r="26" spans="1:12" s="122" customFormat="1" x14ac:dyDescent="0.25">
      <c r="A26" s="120"/>
      <c r="B26" s="120"/>
      <c r="C26" s="120"/>
      <c r="D26" s="120"/>
      <c r="E26" s="120"/>
      <c r="F26" s="319"/>
      <c r="G26" s="315"/>
      <c r="H26" s="315"/>
      <c r="I26" s="315"/>
      <c r="J26" s="315"/>
      <c r="K26" s="315"/>
      <c r="L26" s="315"/>
    </row>
    <row r="27" spans="1:12" x14ac:dyDescent="0.25">
      <c r="A27" s="47"/>
      <c r="B27" s="47"/>
      <c r="C27" s="47"/>
      <c r="D27" s="47"/>
      <c r="E27" s="47"/>
      <c r="F27" s="319"/>
      <c r="G27" s="315"/>
      <c r="H27" s="315"/>
      <c r="I27" s="315"/>
      <c r="J27" s="315"/>
      <c r="K27" s="315"/>
      <c r="L27" s="315"/>
    </row>
    <row r="28" spans="1:12" x14ac:dyDescent="0.25">
      <c r="A28" s="47"/>
      <c r="B28" s="47"/>
      <c r="C28" s="47"/>
      <c r="D28" s="47"/>
      <c r="E28" s="47"/>
      <c r="F28" s="319"/>
      <c r="G28" s="315"/>
      <c r="H28" s="315"/>
      <c r="I28" s="315"/>
      <c r="J28" s="315"/>
      <c r="K28" s="315"/>
      <c r="L28" s="315"/>
    </row>
    <row r="29" spans="1:12" x14ac:dyDescent="0.25">
      <c r="A29" s="47"/>
      <c r="B29" s="47"/>
      <c r="C29" s="47"/>
      <c r="D29" s="47"/>
      <c r="E29" s="47"/>
      <c r="F29" s="319"/>
      <c r="G29" s="315"/>
      <c r="H29" s="315"/>
      <c r="I29" s="315"/>
      <c r="J29" s="315"/>
      <c r="K29" s="315"/>
      <c r="L29" s="315"/>
    </row>
    <row r="31" spans="1:12" x14ac:dyDescent="0.25">
      <c r="B31" s="51" t="s">
        <v>284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25">
      <c r="E33" s="57" t="s">
        <v>285</v>
      </c>
      <c r="F33" s="194"/>
      <c r="G33" s="61"/>
      <c r="H33" s="61"/>
      <c r="I33" s="61"/>
      <c r="J33" s="61"/>
    </row>
    <row r="34" spans="5:10" x14ac:dyDescent="0.25">
      <c r="F34" s="59" t="str">
        <f>"ARP_"&amp;F38</f>
        <v>ARP_Inputs by customer type</v>
      </c>
      <c r="G34" s="60"/>
      <c r="H34" s="320" t="s">
        <v>758</v>
      </c>
      <c r="I34" s="60" t="s">
        <v>692</v>
      </c>
      <c r="J34" s="113">
        <f>'ARP_Inputs by customer type'!$H$530</f>
        <v>0</v>
      </c>
    </row>
    <row r="35" spans="5:10" x14ac:dyDescent="0.25">
      <c r="F35" s="59" t="str">
        <f>"ARP_"&amp;F39</f>
        <v>ARP_Inputs by network level</v>
      </c>
      <c r="G35" s="60"/>
      <c r="H35" s="320" t="s">
        <v>759</v>
      </c>
      <c r="I35" s="60" t="s">
        <v>692</v>
      </c>
      <c r="J35" s="113">
        <f>'ARP_Inputs by network level'!$H$218</f>
        <v>0</v>
      </c>
    </row>
    <row r="36" spans="5:10" x14ac:dyDescent="0.25">
      <c r="F36" s="59" t="str">
        <f>"ARP_"&amp;F40</f>
        <v>ARP_General inputs</v>
      </c>
      <c r="G36" s="60"/>
      <c r="H36" s="320" t="s">
        <v>760</v>
      </c>
      <c r="I36" s="60" t="s">
        <v>692</v>
      </c>
      <c r="J36" s="113">
        <f>'ARP_General inputs'!$H$124</f>
        <v>0</v>
      </c>
    </row>
    <row r="37" spans="5:10" x14ac:dyDescent="0.25">
      <c r="F37" s="59" t="s">
        <v>529</v>
      </c>
      <c r="G37" s="60"/>
      <c r="H37" s="320" t="s">
        <v>944</v>
      </c>
      <c r="I37" s="60" t="s">
        <v>692</v>
      </c>
      <c r="J37" s="113">
        <f>'Fixed inputs'!H172</f>
        <v>0</v>
      </c>
    </row>
    <row r="38" spans="5:10" x14ac:dyDescent="0.25">
      <c r="E38" s="59"/>
      <c r="F38" s="59" t="s">
        <v>546</v>
      </c>
      <c r="G38" s="60"/>
      <c r="H38" s="320" t="s">
        <v>945</v>
      </c>
      <c r="I38" s="60" t="s">
        <v>692</v>
      </c>
      <c r="J38" s="113">
        <f>'Inputs by customer type'!H65</f>
        <v>0</v>
      </c>
    </row>
    <row r="39" spans="5:10" x14ac:dyDescent="0.25">
      <c r="E39" s="59"/>
      <c r="F39" s="59" t="s">
        <v>252</v>
      </c>
      <c r="G39" s="60"/>
      <c r="H39" s="320" t="s">
        <v>946</v>
      </c>
      <c r="I39" s="60" t="s">
        <v>692</v>
      </c>
      <c r="J39" s="114">
        <f>'Inputs by network level'!H59</f>
        <v>0</v>
      </c>
    </row>
    <row r="40" spans="5:10" x14ac:dyDescent="0.25">
      <c r="E40" s="59"/>
      <c r="F40" s="59" t="s">
        <v>656</v>
      </c>
      <c r="G40" s="60"/>
      <c r="H40" s="320" t="s">
        <v>947</v>
      </c>
      <c r="I40" s="60" t="s">
        <v>692</v>
      </c>
      <c r="J40" s="113">
        <f>'General inputs'!H117</f>
        <v>0</v>
      </c>
    </row>
    <row r="41" spans="5:10" x14ac:dyDescent="0.25">
      <c r="F41" s="59" t="s">
        <v>532</v>
      </c>
      <c r="G41" s="60"/>
      <c r="H41" s="320" t="s">
        <v>948</v>
      </c>
      <c r="I41" s="60" t="s">
        <v>692</v>
      </c>
      <c r="J41" s="114">
        <f>'Standing charge factors'!H58</f>
        <v>0</v>
      </c>
    </row>
    <row r="42" spans="5:10" x14ac:dyDescent="0.25">
      <c r="F42" s="59" t="s">
        <v>533</v>
      </c>
      <c r="G42" s="60"/>
      <c r="H42" s="320" t="s">
        <v>949</v>
      </c>
      <c r="I42" s="60" t="s">
        <v>692</v>
      </c>
      <c r="J42" s="114">
        <f>'Load &amp; loss characteristics'!H183</f>
        <v>0</v>
      </c>
    </row>
    <row r="43" spans="5:10" x14ac:dyDescent="0.25">
      <c r="F43" s="59" t="s">
        <v>289</v>
      </c>
      <c r="G43" s="60"/>
      <c r="H43" s="320" t="s">
        <v>950</v>
      </c>
      <c r="I43" s="60" t="s">
        <v>692</v>
      </c>
      <c r="J43" s="114">
        <f>'Customer contributions'!H70</f>
        <v>0</v>
      </c>
    </row>
    <row r="44" spans="5:10" x14ac:dyDescent="0.25">
      <c r="F44" s="59" t="s">
        <v>290</v>
      </c>
      <c r="G44" s="60"/>
      <c r="H44" s="320" t="s">
        <v>951</v>
      </c>
      <c r="I44" s="60" t="s">
        <v>692</v>
      </c>
      <c r="J44" s="114">
        <f>'Volume adjustments'!H140</f>
        <v>0</v>
      </c>
    </row>
    <row r="45" spans="5:10" x14ac:dyDescent="0.25">
      <c r="F45" s="59" t="s">
        <v>281</v>
      </c>
      <c r="G45" s="60"/>
      <c r="H45" s="320" t="s">
        <v>952</v>
      </c>
      <c r="I45" s="60" t="s">
        <v>692</v>
      </c>
      <c r="J45" s="114">
        <f>'Pseudo-load coefficients'!H306</f>
        <v>0</v>
      </c>
    </row>
    <row r="46" spans="5:10" x14ac:dyDescent="0.25">
      <c r="F46" s="59" t="s">
        <v>534</v>
      </c>
      <c r="G46" s="60"/>
      <c r="H46" s="320" t="s">
        <v>953</v>
      </c>
      <c r="I46" s="60" t="s">
        <v>692</v>
      </c>
      <c r="J46" s="114">
        <f>'System peak demand'!H281</f>
        <v>0</v>
      </c>
    </row>
    <row r="47" spans="5:10" x14ac:dyDescent="0.25">
      <c r="F47" s="59" t="s">
        <v>282</v>
      </c>
      <c r="G47" s="60"/>
      <c r="H47" s="320" t="s">
        <v>954</v>
      </c>
      <c r="I47" s="60" t="s">
        <v>692</v>
      </c>
      <c r="J47" s="114">
        <f>'Service model assets'!H38</f>
        <v>0</v>
      </c>
    </row>
    <row r="48" spans="5:10" x14ac:dyDescent="0.25">
      <c r="F48" s="59" t="s">
        <v>367</v>
      </c>
      <c r="G48" s="60"/>
      <c r="H48" s="320" t="s">
        <v>955</v>
      </c>
      <c r="I48" s="60" t="s">
        <v>692</v>
      </c>
      <c r="J48" s="114">
        <f>'Unit costs'!H131</f>
        <v>0</v>
      </c>
    </row>
    <row r="49" spans="2:12" x14ac:dyDescent="0.25">
      <c r="F49" s="59" t="s">
        <v>291</v>
      </c>
      <c r="G49" s="60"/>
      <c r="H49" s="320" t="s">
        <v>956</v>
      </c>
      <c r="I49" s="60" t="s">
        <v>692</v>
      </c>
      <c r="J49" s="114">
        <f>'Initial unit rates'!H241</f>
        <v>0</v>
      </c>
    </row>
    <row r="50" spans="2:12" x14ac:dyDescent="0.25">
      <c r="F50" s="59" t="s">
        <v>535</v>
      </c>
      <c r="G50" s="60"/>
      <c r="H50" s="320" t="s">
        <v>957</v>
      </c>
      <c r="I50" s="60" t="s">
        <v>692</v>
      </c>
      <c r="J50" s="114">
        <f>'Service model charges'!H48</f>
        <v>0</v>
      </c>
    </row>
    <row r="51" spans="2:12" x14ac:dyDescent="0.25">
      <c r="F51" s="59" t="s">
        <v>536</v>
      </c>
      <c r="G51" s="60"/>
      <c r="H51" s="320" t="s">
        <v>958</v>
      </c>
      <c r="I51" s="60" t="s">
        <v>692</v>
      </c>
      <c r="J51" s="114">
        <f>'Unit rate charges'!H223</f>
        <v>0</v>
      </c>
    </row>
    <row r="52" spans="2:12" x14ac:dyDescent="0.25">
      <c r="F52" s="59" t="s">
        <v>466</v>
      </c>
      <c r="G52" s="60"/>
      <c r="H52" s="320" t="s">
        <v>959</v>
      </c>
      <c r="I52" s="60" t="s">
        <v>692</v>
      </c>
      <c r="J52" s="114">
        <f>'Reactive power charges'!H254</f>
        <v>0</v>
      </c>
    </row>
    <row r="53" spans="2:12" x14ac:dyDescent="0.25">
      <c r="F53" s="59" t="s">
        <v>293</v>
      </c>
      <c r="G53" s="60"/>
      <c r="H53" s="320" t="s">
        <v>960</v>
      </c>
      <c r="I53" s="60" t="s">
        <v>692</v>
      </c>
      <c r="J53" s="114">
        <f>'Capacity charges'!H295</f>
        <v>0</v>
      </c>
    </row>
    <row r="54" spans="2:12" x14ac:dyDescent="0.25">
      <c r="F54" s="59" t="s">
        <v>294</v>
      </c>
      <c r="G54" s="60"/>
      <c r="H54" s="320" t="s">
        <v>961</v>
      </c>
      <c r="I54" s="60" t="s">
        <v>692</v>
      </c>
      <c r="J54" s="114">
        <f>'Fixed charges'!H165</f>
        <v>0</v>
      </c>
    </row>
    <row r="55" spans="2:12" x14ac:dyDescent="0.25">
      <c r="F55" s="59" t="s">
        <v>295</v>
      </c>
      <c r="G55" s="60"/>
      <c r="H55" s="320" t="s">
        <v>962</v>
      </c>
      <c r="I55" s="60" t="s">
        <v>692</v>
      </c>
      <c r="J55" s="114">
        <f>'Revenue matching'!H162</f>
        <v>0</v>
      </c>
    </row>
    <row r="56" spans="2:12" s="122" customFormat="1" x14ac:dyDescent="0.25">
      <c r="F56" s="59" t="s">
        <v>1157</v>
      </c>
      <c r="G56" s="60"/>
      <c r="H56" s="320" t="s">
        <v>963</v>
      </c>
      <c r="I56" s="60" t="s">
        <v>692</v>
      </c>
      <c r="J56" s="114">
        <f>'Fixed charge adder'!H66</f>
        <v>0</v>
      </c>
    </row>
    <row r="57" spans="2:12" x14ac:dyDescent="0.25">
      <c r="F57" s="59" t="s">
        <v>238</v>
      </c>
      <c r="G57" s="60"/>
      <c r="H57" s="320" t="s">
        <v>1158</v>
      </c>
      <c r="I57" s="60" t="s">
        <v>692</v>
      </c>
      <c r="J57" s="114">
        <f>Rounding!H158</f>
        <v>0</v>
      </c>
    </row>
    <row r="58" spans="2:12" x14ac:dyDescent="0.25">
      <c r="F58" s="59" t="s">
        <v>657</v>
      </c>
      <c r="G58" s="60"/>
      <c r="H58" s="320" t="s">
        <v>1115</v>
      </c>
      <c r="I58" s="60" t="s">
        <v>692</v>
      </c>
      <c r="J58" s="113">
        <f>'Net revenue summary'!H134</f>
        <v>0</v>
      </c>
    </row>
    <row r="59" spans="2:12" x14ac:dyDescent="0.25">
      <c r="F59" s="59" t="s">
        <v>537</v>
      </c>
      <c r="G59" s="60"/>
      <c r="H59" s="320" t="s">
        <v>1116</v>
      </c>
      <c r="I59" s="60" t="s">
        <v>692</v>
      </c>
      <c r="J59" s="114">
        <f>'Tariff summary'!H353</f>
        <v>0</v>
      </c>
    </row>
    <row r="60" spans="2:12" x14ac:dyDescent="0.25">
      <c r="F60" s="59" t="s">
        <v>584</v>
      </c>
      <c r="G60" s="60"/>
      <c r="H60" s="320" t="s">
        <v>1117</v>
      </c>
      <c r="I60" s="60" t="s">
        <v>692</v>
      </c>
      <c r="J60" s="113">
        <f>'Typical bills'!H73</f>
        <v>0</v>
      </c>
    </row>
    <row r="61" spans="2:12" s="122" customFormat="1" x14ac:dyDescent="0.25">
      <c r="F61" s="314" t="s">
        <v>111</v>
      </c>
      <c r="G61" s="300"/>
      <c r="H61" s="300"/>
      <c r="I61" s="300" t="s">
        <v>692</v>
      </c>
      <c r="J61" s="183">
        <f>IFERROR(SUM(J34:J60), 1)</f>
        <v>0</v>
      </c>
    </row>
    <row r="62" spans="2:12" x14ac:dyDescent="0.25">
      <c r="E62" s="60"/>
      <c r="F62" s="60"/>
      <c r="G62" s="60"/>
      <c r="H62" s="60"/>
      <c r="I62" s="60"/>
      <c r="J62" s="60"/>
    </row>
    <row r="63" spans="2:12" x14ac:dyDescent="0.25">
      <c r="B63" s="51" t="s">
        <v>286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25">
      <c r="F65" s="56" t="s">
        <v>287</v>
      </c>
    </row>
    <row r="66" spans="2:12" x14ac:dyDescent="0.25">
      <c r="F66" s="321" t="s">
        <v>280</v>
      </c>
    </row>
    <row r="67" spans="2:12" x14ac:dyDescent="0.25">
      <c r="F67" s="321" t="s">
        <v>785</v>
      </c>
    </row>
    <row r="68" spans="2:12" x14ac:dyDescent="0.25">
      <c r="F68" s="321" t="s">
        <v>1023</v>
      </c>
    </row>
    <row r="69" spans="2:12" s="122" customFormat="1" ht="30" x14ac:dyDescent="0.25">
      <c r="F69" s="368" t="s">
        <v>1029</v>
      </c>
    </row>
    <row r="70" spans="2:12" s="122" customFormat="1" x14ac:dyDescent="0.25">
      <c r="F70" s="321"/>
    </row>
    <row r="71" spans="2:12" s="122" customFormat="1" x14ac:dyDescent="0.25">
      <c r="F71" s="321"/>
    </row>
    <row r="72" spans="2:12" s="122" customFormat="1" x14ac:dyDescent="0.25">
      <c r="F72" s="321"/>
    </row>
    <row r="73" spans="2:12" s="122" customFormat="1" x14ac:dyDescent="0.25">
      <c r="F73" s="321"/>
    </row>
    <row r="74" spans="2:12" s="122" customFormat="1" x14ac:dyDescent="0.25">
      <c r="F74" s="321"/>
    </row>
    <row r="75" spans="2:12" s="122" customFormat="1" x14ac:dyDescent="0.25">
      <c r="F75" s="321"/>
    </row>
    <row r="76" spans="2:12" x14ac:dyDescent="0.25">
      <c r="F76" s="321" t="s">
        <v>288</v>
      </c>
    </row>
    <row r="78" spans="2:12" x14ac:dyDescent="0.2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conditionalFormatting sqref="J34:J61">
    <cfRule type="cellIs" dxfId="252" priority="2" operator="greaterThan">
      <formula>0</formula>
    </cfRule>
  </conditionalFormatting>
  <conditionalFormatting sqref="A4:XFD4">
    <cfRule type="expression" dxfId="251" priority="1">
      <formula>LEFT($A$4,1) &lt;&gt; "0"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1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2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00000000-0002-0000-0100-000003000000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7109375" style="21" customWidth="1"/>
    <col min="7" max="7" width="2.7109375" style="21" customWidth="1"/>
    <col min="8" max="8" width="25.7109375" style="25" customWidth="1"/>
    <col min="9" max="9" width="125.42578125" style="25" customWidth="1"/>
    <col min="10" max="10" width="2.710937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9" s="42" customFormat="1" x14ac:dyDescent="0.25">
      <c r="A5" s="20"/>
      <c r="B5" s="45" t="s">
        <v>531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9.5703125" style="85" bestFit="1" customWidth="1"/>
    <col min="7" max="7" width="134.42578125" style="85" bestFit="1" customWidth="1"/>
    <col min="8" max="8" width="2.7109375" style="85" customWidth="1"/>
    <col min="9" max="9" width="59.5703125" style="85" hidden="1" customWidth="1"/>
    <col min="10" max="20" width="15.42578125" style="85" hidden="1" customWidth="1"/>
    <col min="21" max="21" width="2.710937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Manweb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752</v>
      </c>
    </row>
    <row r="8" spans="1:7" customFormat="1" x14ac:dyDescent="0.25">
      <c r="C8" s="82" t="s">
        <v>753</v>
      </c>
    </row>
    <row r="9" spans="1:7" customFormat="1" x14ac:dyDescent="0.25"/>
    <row r="10" spans="1:7" customFormat="1" x14ac:dyDescent="0.25">
      <c r="B10" s="95" t="s">
        <v>756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700</v>
      </c>
    </row>
    <row r="13" spans="1:7" customFormat="1" x14ac:dyDescent="0.25"/>
    <row r="14" spans="1:7" customFormat="1" ht="15.75" thickBot="1" x14ac:dyDescent="0.3">
      <c r="F14" s="34" t="s">
        <v>701</v>
      </c>
      <c r="G14" s="202" t="s">
        <v>702</v>
      </c>
    </row>
    <row r="15" spans="1:7" customFormat="1" ht="16.5" thickTop="1" thickBot="1" x14ac:dyDescent="0.3">
      <c r="F15" s="204" t="s">
        <v>698</v>
      </c>
    </row>
    <row r="16" spans="1:7" customFormat="1" ht="15.75" thickTop="1" x14ac:dyDescent="0.25">
      <c r="F16" s="204" t="s">
        <v>704</v>
      </c>
      <c r="G16" s="205" t="str">
        <f>'Version control'!$B$5</f>
        <v>Model version</v>
      </c>
    </row>
    <row r="17" spans="6:7" customFormat="1" x14ac:dyDescent="0.25">
      <c r="F17" s="203" t="s">
        <v>703</v>
      </c>
      <c r="G17" s="205" t="str">
        <f>'Version control'!$B$17</f>
        <v>Version log</v>
      </c>
    </row>
    <row r="18" spans="6:7" customFormat="1" x14ac:dyDescent="0.25">
      <c r="F18" s="203" t="s">
        <v>703</v>
      </c>
      <c r="G18" s="205" t="str">
        <f>'Version control'!$B$31</f>
        <v>Model checks</v>
      </c>
    </row>
    <row r="19" spans="6:7" customFormat="1" ht="15.75" thickBot="1" x14ac:dyDescent="0.3">
      <c r="F19" s="203" t="s">
        <v>703</v>
      </c>
      <c r="G19" s="205" t="str">
        <f>'Version control'!$B$63</f>
        <v>Version log lists</v>
      </c>
    </row>
    <row r="20" spans="6:7" customFormat="1" ht="16.5" thickTop="1" thickBot="1" x14ac:dyDescent="0.3">
      <c r="F20" s="204" t="s">
        <v>531</v>
      </c>
      <c r="G20" s="205" t="str">
        <f>'Model map'!$B$5</f>
        <v>Model map</v>
      </c>
    </row>
    <row r="21" spans="6:7" customFormat="1" ht="16.5" thickTop="1" thickBot="1" x14ac:dyDescent="0.3">
      <c r="F21" s="204" t="s">
        <v>705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706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707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708</v>
      </c>
      <c r="G24" s="205" t="str">
        <f>'ARP_Load characteristics'!$B$13</f>
        <v>Years</v>
      </c>
    </row>
    <row r="25" spans="6:7" customFormat="1" ht="15.75" thickBot="1" x14ac:dyDescent="0.3">
      <c r="F25" s="203" t="s">
        <v>703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709</v>
      </c>
      <c r="G26" s="205" t="str">
        <f>'ARP_Peaking probabilities'!$B$14</f>
        <v>Years</v>
      </c>
    </row>
    <row r="27" spans="6:7" customFormat="1" ht="15.75" thickBot="1" x14ac:dyDescent="0.3">
      <c r="F27" s="203" t="s">
        <v>703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7" t="s">
        <v>699</v>
      </c>
      <c r="G28" s="205" t="str">
        <f>'ARP_User control'!$B$10</f>
        <v>User interface</v>
      </c>
    </row>
    <row r="29" spans="6:7" customFormat="1" ht="15.75" thickBot="1" x14ac:dyDescent="0.3">
      <c r="F29" s="296" t="s">
        <v>703</v>
      </c>
      <c r="G29" s="205" t="str">
        <f>'ARP_User control'!$B$25</f>
        <v>Lists</v>
      </c>
    </row>
    <row r="30" spans="6:7" customFormat="1" ht="15.75" thickTop="1" x14ac:dyDescent="0.25">
      <c r="F30" s="207" t="s">
        <v>710</v>
      </c>
      <c r="G30" s="205" t="str">
        <f>'ARP_Inputs by customer type'!$B$14</f>
        <v>Load characteristics</v>
      </c>
    </row>
    <row r="31" spans="6:7" customFormat="1" x14ac:dyDescent="0.25">
      <c r="F31" s="206" t="s">
        <v>703</v>
      </c>
      <c r="G31" s="205" t="str">
        <f>'ARP_Inputs by customer type'!$B$56</f>
        <v>Volumes</v>
      </c>
    </row>
    <row r="32" spans="6:7" customFormat="1" ht="15.75" thickBot="1" x14ac:dyDescent="0.3">
      <c r="F32" s="206" t="s">
        <v>703</v>
      </c>
      <c r="G32" s="205" t="str">
        <f>'ARP_Inputs by customer type'!$B$462</f>
        <v>Service model asset values</v>
      </c>
    </row>
    <row r="33" spans="6:7" customFormat="1" ht="16.5" thickTop="1" thickBot="1" x14ac:dyDescent="0.3">
      <c r="F33" s="207" t="s">
        <v>711</v>
      </c>
      <c r="G33" s="205" t="str">
        <f>'ARP_Inputs by network level'!$B$14</f>
        <v>Inputs by network level</v>
      </c>
    </row>
    <row r="34" spans="6:7" customFormat="1" ht="16.5" thickTop="1" thickBot="1" x14ac:dyDescent="0.3">
      <c r="F34" s="207" t="s">
        <v>712</v>
      </c>
      <c r="G34" s="205" t="str">
        <f>'ARP_General inputs'!$B$14</f>
        <v>General inputs</v>
      </c>
    </row>
    <row r="35" spans="6:7" customFormat="1" ht="16.5" thickTop="1" thickBot="1" x14ac:dyDescent="0.3">
      <c r="F35" s="207" t="s">
        <v>529</v>
      </c>
      <c r="G35" s="205" t="str">
        <f>'Fixed inputs'!$B$11</f>
        <v>Fixed inputs</v>
      </c>
    </row>
    <row r="36" spans="6:7" customFormat="1" ht="16.5" thickTop="1" thickBot="1" x14ac:dyDescent="0.3">
      <c r="F36" s="209" t="s">
        <v>546</v>
      </c>
      <c r="G36" s="205" t="str">
        <f>'Inputs by customer type'!$B$14</f>
        <v>Inputs by customer type</v>
      </c>
    </row>
    <row r="37" spans="6:7" customFormat="1" ht="16.5" thickTop="1" thickBot="1" x14ac:dyDescent="0.3">
      <c r="F37" s="209" t="s">
        <v>252</v>
      </c>
      <c r="G37" s="205" t="str">
        <f>'Inputs by network level'!$B$14</f>
        <v>Inputs by network level</v>
      </c>
    </row>
    <row r="38" spans="6:7" customFormat="1" ht="16.5" thickTop="1" thickBot="1" x14ac:dyDescent="0.3">
      <c r="F38" s="209" t="s">
        <v>656</v>
      </c>
      <c r="G38" s="205" t="str">
        <f>'General inputs'!$B$14</f>
        <v>General inputs</v>
      </c>
    </row>
    <row r="39" spans="6:7" customFormat="1" ht="16.5" thickTop="1" thickBot="1" x14ac:dyDescent="0.3">
      <c r="F39" s="209" t="s">
        <v>320</v>
      </c>
      <c r="G39" s="205" t="str">
        <f>'Standing charge factors'!$B$17</f>
        <v>Adjustments to standing charges</v>
      </c>
    </row>
    <row r="40" spans="6:7" customFormat="1" ht="15.75" thickTop="1" x14ac:dyDescent="0.25">
      <c r="F40" s="209" t="s">
        <v>533</v>
      </c>
      <c r="G40" s="205" t="str">
        <f>'Load &amp; loss characteristics'!$B$13</f>
        <v>Load and loss characteristics</v>
      </c>
    </row>
    <row r="41" spans="6:7" customFormat="1" ht="15.75" thickBot="1" x14ac:dyDescent="0.3">
      <c r="F41" s="208" t="s">
        <v>703</v>
      </c>
      <c r="G41" s="205" t="str">
        <f>'Load &amp; loss characteristics'!$B$31</f>
        <v>User loss factor adjustments</v>
      </c>
    </row>
    <row r="42" spans="6:7" customFormat="1" ht="16.5" thickTop="1" thickBot="1" x14ac:dyDescent="0.3">
      <c r="F42" s="209" t="s">
        <v>289</v>
      </c>
      <c r="G42" s="205" t="str">
        <f>'Customer contributions'!$B$12</f>
        <v>Customer contributions</v>
      </c>
    </row>
    <row r="43" spans="6:7" customFormat="1" ht="15.75" thickTop="1" x14ac:dyDescent="0.25">
      <c r="F43" s="209" t="s">
        <v>290</v>
      </c>
      <c r="G43" s="205" t="str">
        <f>'Volume adjustments'!$B$13</f>
        <v>LDNO discounts</v>
      </c>
    </row>
    <row r="44" spans="6:7" customFormat="1" ht="15.75" thickBot="1" x14ac:dyDescent="0.3">
      <c r="F44" s="208" t="s">
        <v>703</v>
      </c>
      <c r="G44" s="205" t="str">
        <f>'Volume adjustments'!$B$51</f>
        <v>Volume discounting</v>
      </c>
    </row>
    <row r="45" spans="6:7" customFormat="1" ht="15.75" thickTop="1" x14ac:dyDescent="0.25">
      <c r="F45" s="209" t="s">
        <v>281</v>
      </c>
      <c r="G45" s="205" t="str">
        <f>'Pseudo-load coefficients'!$B$13</f>
        <v>Step 1: Ratio of coincidence to load factor assuming units evenly spread within time bands, and peak falls in Red period</v>
      </c>
    </row>
    <row r="46" spans="6:7" customFormat="1" x14ac:dyDescent="0.25">
      <c r="F46" s="208" t="s">
        <v>703</v>
      </c>
      <c r="G46" s="205" t="str">
        <f>'Pseudo-load coefficients'!$B$56</f>
        <v>Step 2: Calculate correction factor</v>
      </c>
    </row>
    <row r="47" spans="6:7" customFormat="1" x14ac:dyDescent="0.25">
      <c r="F47" s="208" t="s">
        <v>703</v>
      </c>
      <c r="G47" s="205" t="str">
        <f>'Pseudo-load coefficients'!$B$95</f>
        <v>Step 3: Ratio of coincidence factor (to network asset peak) to load factor, given peaking probabilities, multiplied by correction factor</v>
      </c>
    </row>
    <row r="48" spans="6:7" customFormat="1" ht="15.75" thickBot="1" x14ac:dyDescent="0.3">
      <c r="F48" s="208" t="s">
        <v>703</v>
      </c>
      <c r="G48" s="205" t="str">
        <f>'Pseudo-load coefficients'!$B$261</f>
        <v>Step 4: Results of Step 3</v>
      </c>
    </row>
    <row r="49" spans="6:7" customFormat="1" ht="15.75" thickTop="1" x14ac:dyDescent="0.25">
      <c r="F49" s="209" t="s">
        <v>534</v>
      </c>
      <c r="G49" s="205" t="str">
        <f>'System peak demand'!$B$16</f>
        <v>Common inputs for chargeable load calculations</v>
      </c>
    </row>
    <row r="50" spans="6:7" customFormat="1" x14ac:dyDescent="0.25">
      <c r="F50" s="208" t="s">
        <v>703</v>
      </c>
      <c r="G50" s="205" t="str">
        <f>'System peak demand'!$B$63</f>
        <v>Load at system peak charged to unit rates</v>
      </c>
    </row>
    <row r="51" spans="6:7" customFormat="1" x14ac:dyDescent="0.25">
      <c r="F51" s="208" t="s">
        <v>703</v>
      </c>
      <c r="G51" s="205" t="str">
        <f>'System peak demand'!$B$179</f>
        <v>Load at system peak charged to standing charges</v>
      </c>
    </row>
    <row r="52" spans="6:7" customFormat="1" ht="15.75" thickBot="1" x14ac:dyDescent="0.3">
      <c r="F52" s="208" t="s">
        <v>703</v>
      </c>
      <c r="G52" s="205" t="str">
        <f>'System peak demand'!$B$262</f>
        <v>System peak based on chargeable load</v>
      </c>
    </row>
    <row r="53" spans="6:7" customFormat="1" ht="16.5" thickTop="1" thickBot="1" x14ac:dyDescent="0.3">
      <c r="F53" s="209" t="s">
        <v>282</v>
      </c>
      <c r="G53" s="205" t="str">
        <f>'Service model assets'!$B$12</f>
        <v>Service model notional asset values</v>
      </c>
    </row>
    <row r="54" spans="6:7" customFormat="1" ht="15.75" thickTop="1" x14ac:dyDescent="0.25">
      <c r="F54" s="209" t="s">
        <v>367</v>
      </c>
      <c r="G54" s="205" t="str">
        <f>'Unit costs'!$B$15</f>
        <v>500MW model costs</v>
      </c>
    </row>
    <row r="55" spans="6:7" customFormat="1" x14ac:dyDescent="0.25">
      <c r="F55" s="208" t="s">
        <v>703</v>
      </c>
      <c r="G55" s="205" t="str">
        <f>'Unit costs'!$B$58</f>
        <v>Allocation of other costs</v>
      </c>
    </row>
    <row r="56" spans="6:7" customFormat="1" ht="15.75" thickBot="1" x14ac:dyDescent="0.3">
      <c r="F56" s="208" t="s">
        <v>703</v>
      </c>
      <c r="G56" s="205" t="str">
        <f>'Unit costs'!$B$102</f>
        <v>Outputs</v>
      </c>
    </row>
    <row r="57" spans="6:7" customFormat="1" ht="15.75" thickTop="1" x14ac:dyDescent="0.25">
      <c r="F57" s="209" t="s">
        <v>291</v>
      </c>
      <c r="G57" s="205" t="str">
        <f>'Initial unit rates'!$B$11</f>
        <v>Inputs for yardstick and unit rate calculations</v>
      </c>
    </row>
    <row r="58" spans="6:7" customFormat="1" ht="15.75" thickBot="1" x14ac:dyDescent="0.3">
      <c r="F58" s="208" t="s">
        <v>703</v>
      </c>
      <c r="G58" s="205" t="str">
        <f>'Initial unit rates'!$B$116</f>
        <v>Calculation of yardstick &amp; unit rate charges</v>
      </c>
    </row>
    <row r="59" spans="6:7" customFormat="1" ht="15.75" thickTop="1" x14ac:dyDescent="0.25">
      <c r="F59" s="209" t="s">
        <v>535</v>
      </c>
      <c r="G59" s="205" t="str">
        <f>'Service model charges'!$B$13</f>
        <v>Inputs to service model charge calculation</v>
      </c>
    </row>
    <row r="60" spans="6:7" customFormat="1" ht="15.75" thickBot="1" x14ac:dyDescent="0.3">
      <c r="F60" s="208" t="s">
        <v>703</v>
      </c>
      <c r="G60" s="205" t="str">
        <f>'Service model charges'!$B$29</f>
        <v>Allocation of service model costs</v>
      </c>
    </row>
    <row r="61" spans="6:7" customFormat="1" ht="15.75" thickTop="1" x14ac:dyDescent="0.25">
      <c r="F61" s="209" t="s">
        <v>536</v>
      </c>
      <c r="G61" s="205" t="str">
        <f>'Unit rate charges'!$B$15</f>
        <v>Inputs to unit rate charge calculations</v>
      </c>
    </row>
    <row r="62" spans="6:7" customFormat="1" ht="15.75" thickBot="1" x14ac:dyDescent="0.3">
      <c r="F62" s="208" t="s">
        <v>703</v>
      </c>
      <c r="G62" s="205" t="str">
        <f>'Unit rate charges'!$B$122</f>
        <v>Application of standing charges to unit rates</v>
      </c>
    </row>
    <row r="63" spans="6:7" customFormat="1" ht="15.75" thickTop="1" x14ac:dyDescent="0.25">
      <c r="F63" s="209" t="s">
        <v>466</v>
      </c>
      <c r="G63" s="205" t="str">
        <f>'Reactive power charges'!$B$13</f>
        <v>Inputs to reactive power charge calculations</v>
      </c>
    </row>
    <row r="64" spans="6:7" customFormat="1" x14ac:dyDescent="0.25">
      <c r="F64" s="208" t="s">
        <v>703</v>
      </c>
      <c r="G64" s="205" t="str">
        <f>'Reactive power charges'!$B$150</f>
        <v>Calculation of yardstick charges for generation</v>
      </c>
    </row>
    <row r="65" spans="6:7" customFormat="1" ht="15.75" thickBot="1" x14ac:dyDescent="0.3">
      <c r="F65" s="208" t="s">
        <v>703</v>
      </c>
      <c r="G65" s="205" t="str">
        <f>'Reactive power charges'!$B$185</f>
        <v>Calculation of reactive power charges</v>
      </c>
    </row>
    <row r="66" spans="6:7" customFormat="1" ht="15.75" thickTop="1" x14ac:dyDescent="0.25">
      <c r="F66" s="209" t="s">
        <v>293</v>
      </c>
      <c r="G66" s="205" t="str">
        <f>'Capacity charges'!$B$17</f>
        <v>Inputs to capacity charge calculations</v>
      </c>
    </row>
    <row r="67" spans="6:7" customFormat="1" x14ac:dyDescent="0.25">
      <c r="F67" s="208" t="s">
        <v>703</v>
      </c>
      <c r="G67" s="205" t="str">
        <f>'Capacity charges'!$B$125</f>
        <v>Calculation of capacity charges</v>
      </c>
    </row>
    <row r="68" spans="6:7" customFormat="1" ht="15.75" thickBot="1" x14ac:dyDescent="0.3">
      <c r="F68" s="208" t="s">
        <v>703</v>
      </c>
      <c r="G68" s="205" t="str">
        <f>'Capacity charges'!$B$249</f>
        <v>Capacity charges (and elements allocated to fixed charges)</v>
      </c>
    </row>
    <row r="69" spans="6:7" customFormat="1" ht="15.75" thickTop="1" x14ac:dyDescent="0.25">
      <c r="F69" s="209" t="s">
        <v>294</v>
      </c>
      <c r="G69" s="205" t="str">
        <f>'Fixed charges'!$B$14</f>
        <v>Inputs to fixed charge calculations</v>
      </c>
    </row>
    <row r="70" spans="6:7" customFormat="1" ht="15.75" thickBot="1" x14ac:dyDescent="0.3">
      <c r="F70" s="208" t="s">
        <v>703</v>
      </c>
      <c r="G70" s="205" t="str">
        <f>'Fixed charges'!$B$65</f>
        <v>Calculation of fixed charges</v>
      </c>
    </row>
    <row r="71" spans="6:7" customFormat="1" ht="15.75" thickTop="1" x14ac:dyDescent="0.25">
      <c r="F71" s="209" t="s">
        <v>295</v>
      </c>
      <c r="G71" s="205" t="str">
        <f>'Revenue matching'!$B$13</f>
        <v>Pre-matching net revenue calculations</v>
      </c>
    </row>
    <row r="72" spans="6:7" customFormat="1" ht="15.75" thickBot="1" x14ac:dyDescent="0.3">
      <c r="F72" s="208" t="s">
        <v>703</v>
      </c>
      <c r="G72" s="205" t="str">
        <f>'Revenue matching'!$B$62</f>
        <v>Adder calculation</v>
      </c>
    </row>
    <row r="73" spans="6:7" customFormat="1" ht="16.5" thickTop="1" thickBot="1" x14ac:dyDescent="0.3">
      <c r="F73" s="209" t="s">
        <v>1157</v>
      </c>
      <c r="G73" s="205" t="str">
        <f>'Fixed charge adder'!$B$12</f>
        <v>Fixed tariff adjustments</v>
      </c>
    </row>
    <row r="74" spans="6:7" customFormat="1" ht="15.75" thickTop="1" x14ac:dyDescent="0.25">
      <c r="F74" s="209" t="s">
        <v>238</v>
      </c>
      <c r="G74" s="205" t="str">
        <f>Rounding!$B$12</f>
        <v>Inputs</v>
      </c>
    </row>
    <row r="75" spans="6:7" customFormat="1" ht="15.75" thickBot="1" x14ac:dyDescent="0.3">
      <c r="F75" s="208" t="s">
        <v>703</v>
      </c>
      <c r="G75" s="205" t="str">
        <f>Rounding!$B$83</f>
        <v>Rounding of tariff forecast</v>
      </c>
    </row>
    <row r="76" spans="6:7" customFormat="1" ht="15.75" thickTop="1" x14ac:dyDescent="0.25">
      <c r="F76" s="209" t="s">
        <v>657</v>
      </c>
      <c r="G76" s="205" t="str">
        <f>'Net revenue summary'!$B$11</f>
        <v>Inputs to net revenue summary calculation</v>
      </c>
    </row>
    <row r="77" spans="6:7" customFormat="1" ht="15.75" thickBot="1" x14ac:dyDescent="0.3">
      <c r="F77" s="208" t="s">
        <v>703</v>
      </c>
      <c r="G77" s="205" t="str">
        <f>'Net revenue summary'!$B$79</f>
        <v>Typical bills</v>
      </c>
    </row>
    <row r="78" spans="6:7" customFormat="1" ht="16.5" thickTop="1" thickBot="1" x14ac:dyDescent="0.3">
      <c r="F78" s="211" t="s">
        <v>537</v>
      </c>
      <c r="G78" s="205" t="str">
        <f>'Tariff summary'!$B$13</f>
        <v>Tariff summary</v>
      </c>
    </row>
    <row r="79" spans="6:7" customFormat="1" ht="15.75" thickTop="1" x14ac:dyDescent="0.25">
      <c r="F79" s="211" t="s">
        <v>584</v>
      </c>
      <c r="G79" s="205" t="str">
        <f>'Typical bills'!$B$13</f>
        <v>Typical bills</v>
      </c>
    </row>
    <row r="80" spans="6:7" customFormat="1" x14ac:dyDescent="0.25"/>
    <row r="81" spans="2:7" customFormat="1" x14ac:dyDescent="0.25">
      <c r="B81" s="95" t="s">
        <v>755</v>
      </c>
      <c r="C81" s="95"/>
      <c r="D81" s="95"/>
      <c r="E81" s="95"/>
      <c r="F81" s="95"/>
      <c r="G81" s="95"/>
    </row>
    <row r="82" spans="2:7" customFormat="1" x14ac:dyDescent="0.25"/>
    <row r="83" spans="2:7" customFormat="1" x14ac:dyDescent="0.25">
      <c r="C83" s="82" t="s">
        <v>754</v>
      </c>
    </row>
    <row r="84" spans="2:7" customFormat="1" x14ac:dyDescent="0.25"/>
    <row r="85" spans="2:7" customFormat="1" ht="15.75" thickBot="1" x14ac:dyDescent="0.3">
      <c r="F85" s="34" t="s">
        <v>701</v>
      </c>
      <c r="G85" s="202" t="s">
        <v>702</v>
      </c>
    </row>
    <row r="86" spans="2:7" customFormat="1" ht="15.75" thickTop="1" x14ac:dyDescent="0.25">
      <c r="F86" s="204" t="s">
        <v>707</v>
      </c>
      <c r="G86" s="205" t="str">
        <f>'ARP_CDCM timebands'!$C$14</f>
        <v>Distribution time bands</v>
      </c>
    </row>
    <row r="87" spans="2:7" customFormat="1" ht="15.75" thickBot="1" x14ac:dyDescent="0.3">
      <c r="F87" s="203" t="s">
        <v>703</v>
      </c>
      <c r="G87" s="205" t="str">
        <f>'ARP_CDCM timebands'!$C$26</f>
        <v>Special distribution time bands</v>
      </c>
    </row>
    <row r="88" spans="2:7" customFormat="1" ht="15.75" thickTop="1" x14ac:dyDescent="0.25">
      <c r="F88" s="297" t="s">
        <v>699</v>
      </c>
      <c r="G88" s="205" t="str">
        <f>'ARP_User control'!$C$15</f>
        <v>Inputs for manually running selected year</v>
      </c>
    </row>
    <row r="89" spans="2:7" customFormat="1" ht="15.75" thickBot="1" x14ac:dyDescent="0.3">
      <c r="F89" s="296" t="s">
        <v>703</v>
      </c>
      <c r="G89" s="205" t="str">
        <f>'ARP_User control'!$C$19</f>
        <v>Macro to run all years</v>
      </c>
    </row>
    <row r="90" spans="2:7" customFormat="1" ht="15.75" thickTop="1" x14ac:dyDescent="0.25">
      <c r="F90" s="207" t="s">
        <v>710</v>
      </c>
      <c r="G90" s="205" t="str">
        <f ca="1">'ARP_Inputs by customer type'!$C$16</f>
        <v>Input 501-A: Load factor</v>
      </c>
    </row>
    <row r="91" spans="2:7" customFormat="1" x14ac:dyDescent="0.25">
      <c r="F91" s="206" t="s">
        <v>703</v>
      </c>
      <c r="G91" s="205" t="str">
        <f ca="1">'ARP_Inputs by customer type'!$C$36</f>
        <v>Input 501-B: Coincidence factor</v>
      </c>
    </row>
    <row r="92" spans="2:7" customFormat="1" x14ac:dyDescent="0.25">
      <c r="F92" s="206" t="s">
        <v>703</v>
      </c>
      <c r="G92" s="205" t="str">
        <f ca="1">'ARP_Inputs by customer type'!$C$58</f>
        <v>Input 501-C: All-the-way volumes</v>
      </c>
    </row>
    <row r="93" spans="2:7" customFormat="1" x14ac:dyDescent="0.25">
      <c r="F93" s="206" t="s">
        <v>703</v>
      </c>
      <c r="G93" s="205" t="str">
        <f ca="1">'ARP_Inputs by customer type'!$C$186</f>
        <v>Input 501-D: LDNO LV volumes</v>
      </c>
    </row>
    <row r="94" spans="2:7" customFormat="1" x14ac:dyDescent="0.25">
      <c r="F94" s="206" t="s">
        <v>703</v>
      </c>
      <c r="G94" s="205" t="str">
        <f ca="1">'ARP_Inputs by customer type'!$C$314</f>
        <v>Input 501-E: LDNO HV volumes</v>
      </c>
    </row>
    <row r="95" spans="2:7" customFormat="1" x14ac:dyDescent="0.25">
      <c r="F95" s="206" t="s">
        <v>703</v>
      </c>
      <c r="G95" s="205" t="str">
        <f ca="1">'ARP_Inputs by customer type'!$C$442</f>
        <v>Input 501-F: 'Designated Property' MPANs with EDCM-level LDNO boundaries</v>
      </c>
    </row>
    <row r="96" spans="2:7" customFormat="1" x14ac:dyDescent="0.25">
      <c r="F96" s="206" t="s">
        <v>703</v>
      </c>
      <c r="G96" s="205" t="str">
        <f ca="1">'ARP_Inputs by customer type'!$C$466</f>
        <v>Input 501-G: LV customer service model asset values</v>
      </c>
    </row>
    <row r="97" spans="6:7" customFormat="1" x14ac:dyDescent="0.25">
      <c r="F97" s="206" t="s">
        <v>703</v>
      </c>
      <c r="G97" s="205" t="str">
        <f ca="1">'ARP_Inputs by customer type'!$C$486</f>
        <v>Input 501-H: HV customer service model asset values</v>
      </c>
    </row>
    <row r="98" spans="6:7" customFormat="1" ht="15.75" thickBot="1" x14ac:dyDescent="0.3">
      <c r="F98" s="206" t="s">
        <v>703</v>
      </c>
      <c r="G98" s="205" t="str">
        <f ca="1">'ARP_Inputs by customer type'!$C$506</f>
        <v>Input 501-I: LV UMS customer service model asset values</v>
      </c>
    </row>
    <row r="99" spans="6:7" customFormat="1" ht="15.75" thickTop="1" x14ac:dyDescent="0.25">
      <c r="F99" s="207" t="s">
        <v>711</v>
      </c>
      <c r="G99" s="205" t="str">
        <f ca="1">'ARP_Inputs by network level'!$C$16</f>
        <v>Input 502-A: Diversity allowance between top and bottom of network level</v>
      </c>
    </row>
    <row r="100" spans="6:7" customFormat="1" x14ac:dyDescent="0.25">
      <c r="F100" s="206" t="s">
        <v>703</v>
      </c>
      <c r="G100" s="205" t="str">
        <f ca="1">'ARP_Inputs by network level'!$C$30</f>
        <v>Input 502-B: Proportion of EHV/HV load going through 132kV/HV direct transformation</v>
      </c>
    </row>
    <row r="101" spans="6:7" customFormat="1" x14ac:dyDescent="0.25">
      <c r="F101" s="206" t="s">
        <v>703</v>
      </c>
      <c r="G101" s="205" t="str">
        <f ca="1">'ARP_Inputs by network level'!$C$44</f>
        <v>Input 502-C: Loss adjustment factors to transmission</v>
      </c>
    </row>
    <row r="102" spans="6:7" customFormat="1" x14ac:dyDescent="0.25">
      <c r="F102" s="206" t="s">
        <v>703</v>
      </c>
      <c r="G102" s="205" t="str">
        <f ca="1">'ARP_Inputs by network level'!$C$58</f>
        <v>Input 502-D: Average kVAr by kVA, by network level</v>
      </c>
    </row>
    <row r="103" spans="6:7" customFormat="1" x14ac:dyDescent="0.25">
      <c r="F103" s="206" t="s">
        <v>703</v>
      </c>
      <c r="G103" s="205" t="str">
        <f ca="1">'ARP_Inputs by network level'!$C$72</f>
        <v>Input 502-E: Customer contributions under current connection charging policy</v>
      </c>
    </row>
    <row r="104" spans="6:7" customFormat="1" x14ac:dyDescent="0.25">
      <c r="F104" s="206" t="s">
        <v>703</v>
      </c>
      <c r="G104" s="205" t="str">
        <f ca="1">'ARP_Inputs by network level'!$C$120</f>
        <v>Input 502-F: Gross asset cost by network level</v>
      </c>
    </row>
    <row r="105" spans="6:7" customFormat="1" ht="15.75" thickBot="1" x14ac:dyDescent="0.3">
      <c r="F105" s="206" t="s">
        <v>703</v>
      </c>
      <c r="G105" s="205" t="str">
        <f ca="1">'ARP_Inputs by network level'!$C$134</f>
        <v>Input 502-G: Peaking probabilities, by timeband &amp; network level</v>
      </c>
    </row>
    <row r="106" spans="6:7" customFormat="1" ht="15.75" thickTop="1" x14ac:dyDescent="0.25">
      <c r="F106" s="207" t="s">
        <v>712</v>
      </c>
      <c r="G106" s="205" t="str">
        <f ca="1">'ARP_General inputs'!$C$16</f>
        <v>Input 503-A: Split of hours by distribution timeband</v>
      </c>
    </row>
    <row r="107" spans="6:7" customFormat="1" x14ac:dyDescent="0.25">
      <c r="F107" s="206" t="s">
        <v>703</v>
      </c>
      <c r="G107" s="205" t="str">
        <f ca="1">'ARP_General inputs'!$C$28</f>
        <v>Input 503-B: Embedded network (LDNO) discount percentages</v>
      </c>
    </row>
    <row r="108" spans="6:7" customFormat="1" x14ac:dyDescent="0.25">
      <c r="F108" s="206" t="s">
        <v>703</v>
      </c>
      <c r="G108" s="205" t="str">
        <f ca="1">'ARP_General inputs'!$C$38</f>
        <v>Input 503-C: CDCM target revenue</v>
      </c>
    </row>
    <row r="109" spans="6:7" customFormat="1" x14ac:dyDescent="0.25">
      <c r="F109" s="206" t="s">
        <v>703</v>
      </c>
      <c r="G109" s="205" t="str">
        <f ca="1">'ARP_General inputs'!$C$98</f>
        <v>Input 503-D: Financial and general assumptions</v>
      </c>
    </row>
    <row r="110" spans="6:7" customFormat="1" x14ac:dyDescent="0.25">
      <c r="F110" s="206" t="s">
        <v>703</v>
      </c>
      <c r="G110" s="205" t="str">
        <f ca="1">'ARP_General inputs'!$C$103</f>
        <v>Input 503-E: Transmission exit charges</v>
      </c>
    </row>
    <row r="111" spans="6:7" customFormat="1" ht="15.75" thickBot="1" x14ac:dyDescent="0.3">
      <c r="F111" s="206" t="s">
        <v>703</v>
      </c>
      <c r="G111" s="205" t="str">
        <f ca="1">'ARP_General inputs'!$C$107</f>
        <v>Input 503-F: Other expenditure</v>
      </c>
    </row>
    <row r="112" spans="6:7" customFormat="1" ht="15.75" thickTop="1" x14ac:dyDescent="0.25">
      <c r="F112" s="207" t="s">
        <v>529</v>
      </c>
      <c r="G112" s="205" t="str">
        <f ca="1">'Fixed inputs'!$C$13</f>
        <v>Input 504-A: Conversions and time</v>
      </c>
    </row>
    <row r="113" spans="6:7" customFormat="1" x14ac:dyDescent="0.25">
      <c r="F113" s="206" t="s">
        <v>703</v>
      </c>
      <c r="G113" s="205" t="str">
        <f ca="1">'Fixed inputs'!$C$20</f>
        <v>Input 504-B: Input 101-B: Rounding</v>
      </c>
    </row>
    <row r="114" spans="6:7" customFormat="1" x14ac:dyDescent="0.25">
      <c r="F114" s="206" t="s">
        <v>703</v>
      </c>
      <c r="G114" s="205" t="str">
        <f ca="1">'Fixed inputs'!$C$33</f>
        <v>Input 504-C: Financial and general assumptions</v>
      </c>
    </row>
    <row r="115" spans="6:7" customFormat="1" x14ac:dyDescent="0.25">
      <c r="F115" s="206" t="s">
        <v>703</v>
      </c>
      <c r="G115" s="205" t="str">
        <f ca="1">'Fixed inputs'!$C$43</f>
        <v>Input 504-D: Mappings</v>
      </c>
    </row>
    <row r="116" spans="6:7" customFormat="1" x14ac:dyDescent="0.25">
      <c r="F116" s="206" t="s">
        <v>703</v>
      </c>
      <c r="G116" s="205" t="str">
        <f ca="1">'Fixed inputs'!$C$84</f>
        <v>Input 504-E: Standing charge factors</v>
      </c>
    </row>
    <row r="117" spans="6:7" customFormat="1" x14ac:dyDescent="0.25">
      <c r="F117" s="206" t="s">
        <v>703</v>
      </c>
      <c r="G117" s="205" t="str">
        <f ca="1">'Fixed inputs'!$C$99</f>
        <v>Input 504-F: Flags</v>
      </c>
    </row>
    <row r="118" spans="6:7" customFormat="1" x14ac:dyDescent="0.25">
      <c r="F118" s="206" t="s">
        <v>703</v>
      </c>
      <c r="G118" s="205" t="str">
        <f ca="1">'Fixed inputs'!$C$141</f>
        <v>Input 504-G: Identifiers for customer groupings</v>
      </c>
    </row>
    <row r="119" spans="6:7" customFormat="1" x14ac:dyDescent="0.25">
      <c r="F119" s="206" t="s">
        <v>703</v>
      </c>
      <c r="G119" s="205" t="str">
        <f ca="1">'Fixed inputs'!$C$151</f>
        <v>Input 504-H: Decimal places for error checks</v>
      </c>
    </row>
    <row r="120" spans="6:7" customFormat="1" ht="15.75" thickBot="1" x14ac:dyDescent="0.3">
      <c r="F120" s="206" t="s">
        <v>703</v>
      </c>
      <c r="G120" s="205" t="str">
        <f ca="1">'Fixed inputs'!$C$155</f>
        <v>Input 504-I: Map of applicable MPANs</v>
      </c>
    </row>
    <row r="121" spans="6:7" customFormat="1" ht="15.75" thickTop="1" x14ac:dyDescent="0.25">
      <c r="F121" s="209" t="s">
        <v>546</v>
      </c>
      <c r="G121" s="205" t="str">
        <f ca="1">'Inputs by customer type'!$C$16</f>
        <v>Section 501-A: Load characteristics</v>
      </c>
    </row>
    <row r="122" spans="6:7" customFormat="1" x14ac:dyDescent="0.25">
      <c r="F122" s="208" t="s">
        <v>703</v>
      </c>
      <c r="G122" s="205" t="str">
        <f ca="1">'Inputs by customer type'!$C$21</f>
        <v>Section 501-B: Volume forecasts for the charging year</v>
      </c>
    </row>
    <row r="123" spans="6:7" customFormat="1" ht="15.75" thickBot="1" x14ac:dyDescent="0.3">
      <c r="F123" s="208" t="s">
        <v>703</v>
      </c>
      <c r="G123" s="205" t="str">
        <f ca="1">'Inputs by customer type'!$C$52</f>
        <v>Section 501-C: Service model asset values</v>
      </c>
    </row>
    <row r="124" spans="6:7" customFormat="1" ht="15.75" thickTop="1" x14ac:dyDescent="0.25">
      <c r="F124" s="209" t="s">
        <v>252</v>
      </c>
      <c r="G124" s="205" t="str">
        <f ca="1">'Inputs by network level'!$C$16</f>
        <v>Section 502-A: Network and load inputs</v>
      </c>
    </row>
    <row r="125" spans="6:7" customFormat="1" x14ac:dyDescent="0.25">
      <c r="F125" s="208" t="s">
        <v>703</v>
      </c>
      <c r="G125" s="205" t="str">
        <f ca="1">'Inputs by network level'!$C$26</f>
        <v>Section 502-B: Customer contributions under current connection charging policy</v>
      </c>
    </row>
    <row r="126" spans="6:7" customFormat="1" x14ac:dyDescent="0.25">
      <c r="F126" s="208" t="s">
        <v>703</v>
      </c>
      <c r="G126" s="205" t="str">
        <f ca="1">'Inputs by network level'!$C$34</f>
        <v>Section 502-C: DRM asset costs</v>
      </c>
    </row>
    <row r="127" spans="6:7" customFormat="1" ht="15.75" thickBot="1" x14ac:dyDescent="0.3">
      <c r="F127" s="208" t="s">
        <v>703</v>
      </c>
      <c r="G127" s="205" t="str">
        <f ca="1">'Inputs by network level'!$C$38</f>
        <v>Section 502-D: Peaking probabilities by network level</v>
      </c>
    </row>
    <row r="128" spans="6:7" customFormat="1" ht="15.75" thickTop="1" x14ac:dyDescent="0.25">
      <c r="F128" s="209" t="s">
        <v>656</v>
      </c>
      <c r="G128" s="205" t="str">
        <f ca="1">'General inputs'!$C$16</f>
        <v>Section 503-A: Inputs by distribution timeband</v>
      </c>
    </row>
    <row r="129" spans="6:7" customFormat="1" x14ac:dyDescent="0.25">
      <c r="F129" s="208" t="s">
        <v>703</v>
      </c>
      <c r="G129" s="205" t="str">
        <f ca="1">'General inputs'!$C$28</f>
        <v>Section 503-B: LDNO discount inputs</v>
      </c>
    </row>
    <row r="130" spans="6:7" customFormat="1" x14ac:dyDescent="0.25">
      <c r="F130" s="208" t="s">
        <v>703</v>
      </c>
      <c r="G130" s="205" t="str">
        <f ca="1">'General inputs'!$C$38</f>
        <v>Section 503-C: CDCM target revenue</v>
      </c>
    </row>
    <row r="131" spans="6:7" customFormat="1" x14ac:dyDescent="0.25">
      <c r="F131" s="208" t="s">
        <v>703</v>
      </c>
      <c r="G131" s="205" t="str">
        <f ca="1">'General inputs'!$C$92</f>
        <v>Section 503-D: Financial and general assumptions</v>
      </c>
    </row>
    <row r="132" spans="6:7" customFormat="1" x14ac:dyDescent="0.25">
      <c r="F132" s="208" t="s">
        <v>703</v>
      </c>
      <c r="G132" s="205" t="str">
        <f ca="1">'General inputs'!$C$98</f>
        <v>Section 503-E: Transmission exit charges</v>
      </c>
    </row>
    <row r="133" spans="6:7" customFormat="1" ht="15.75" thickBot="1" x14ac:dyDescent="0.3">
      <c r="F133" s="208" t="s">
        <v>703</v>
      </c>
      <c r="G133" s="205" t="str">
        <f ca="1">'General inputs'!$C$102</f>
        <v>Section 503-F: Other expenditure</v>
      </c>
    </row>
    <row r="134" spans="6:7" customFormat="1" ht="16.5" thickTop="1" thickBot="1" x14ac:dyDescent="0.3">
      <c r="F134" s="209" t="s">
        <v>320</v>
      </c>
      <c r="G134" s="205" t="str">
        <f ca="1">'Standing charge factors'!$C$19</f>
        <v>Section 504-A: Adjustments to standing charges</v>
      </c>
    </row>
    <row r="135" spans="6:7" customFormat="1" ht="15.75" thickTop="1" x14ac:dyDescent="0.25">
      <c r="F135" s="209" t="s">
        <v>533</v>
      </c>
      <c r="G135" s="205" t="str">
        <f ca="1">'Load &amp; loss characteristics'!$C$17</f>
        <v>Section 505-A: Load characteristics</v>
      </c>
    </row>
    <row r="136" spans="6:7" customFormat="1" x14ac:dyDescent="0.25">
      <c r="F136" s="208" t="s">
        <v>703</v>
      </c>
      <c r="G136" s="205" t="str">
        <f ca="1">'Load &amp; loss characteristics'!$C$25</f>
        <v>Section 505-B: Loss adjustment factors</v>
      </c>
    </row>
    <row r="137" spans="6:7" customFormat="1" x14ac:dyDescent="0.25">
      <c r="F137" s="208" t="s">
        <v>703</v>
      </c>
      <c r="G137" s="205" t="str">
        <f ca="1">'Load &amp; loss characteristics'!$C$35</f>
        <v>Section 505-C: Proportion of relevant load going through 132kV/HV direct transformation</v>
      </c>
    </row>
    <row r="138" spans="6:7" customFormat="1" x14ac:dyDescent="0.25">
      <c r="F138" s="208" t="s">
        <v>703</v>
      </c>
      <c r="G138" s="205" t="str">
        <f ca="1">'Load &amp; loss characteristics'!$C$40</f>
        <v>Section 505-D: Network use factors</v>
      </c>
    </row>
    <row r="139" spans="6:7" customFormat="1" ht="15.75" thickBot="1" x14ac:dyDescent="0.3">
      <c r="F139" s="208" t="s">
        <v>703</v>
      </c>
      <c r="G139" s="205" t="str">
        <f ca="1">'Load &amp; loss characteristics'!$C$121</f>
        <v>Section 505-E: User loss factors</v>
      </c>
    </row>
    <row r="140" spans="6:7" customFormat="1" ht="15.75" thickTop="1" x14ac:dyDescent="0.25">
      <c r="F140" s="209" t="s">
        <v>289</v>
      </c>
      <c r="G140" s="205" t="str">
        <f ca="1">'Customer contributions'!$C$16</f>
        <v>Section 506-A: Network use factors</v>
      </c>
    </row>
    <row r="141" spans="6:7" customFormat="1" ht="15.75" thickBot="1" x14ac:dyDescent="0.3">
      <c r="F141" s="208" t="s">
        <v>703</v>
      </c>
      <c r="G141" s="205" t="str">
        <f ca="1">'Customer contributions'!$C$38</f>
        <v>Section 506-B: Customer contributions</v>
      </c>
    </row>
    <row r="142" spans="6:7" customFormat="1" ht="15.75" thickTop="1" x14ac:dyDescent="0.25">
      <c r="F142" s="209" t="s">
        <v>290</v>
      </c>
      <c r="G142" s="205" t="str">
        <f ca="1">'Volume adjustments'!$C$15</f>
        <v>Section 507-A: LDNO discounts</v>
      </c>
    </row>
    <row r="143" spans="6:7" customFormat="1" ht="15.75" thickBot="1" x14ac:dyDescent="0.3">
      <c r="F143" s="208" t="s">
        <v>703</v>
      </c>
      <c r="G143" s="205" t="str">
        <f ca="1">'Volume adjustments'!$C$55</f>
        <v>Section 507-B: Volume discounting</v>
      </c>
    </row>
    <row r="144" spans="6:7" customFormat="1" ht="15.75" thickTop="1" x14ac:dyDescent="0.25">
      <c r="F144" s="209" t="s">
        <v>281</v>
      </c>
      <c r="G144" s="205" t="str">
        <f ca="1">'Pseudo-load coefficients'!$C$18</f>
        <v>Section 508-A: Flags and hours in timebands</v>
      </c>
    </row>
    <row r="145" spans="6:7" customFormat="1" x14ac:dyDescent="0.25">
      <c r="F145" s="208" t="s">
        <v>703</v>
      </c>
      <c r="G145" s="205" t="str">
        <f ca="1">'Pseudo-load coefficients'!$C$28</f>
        <v>Section 508-B: Average load by timeband</v>
      </c>
    </row>
    <row r="146" spans="6:7" customFormat="1" x14ac:dyDescent="0.25">
      <c r="F146" s="208" t="s">
        <v>703</v>
      </c>
      <c r="G146" s="205" t="str">
        <f ca="1">'Pseudo-load coefficients'!$C$36</f>
        <v>Section 508-C: Aggregated groups for pseudo-load coefficients</v>
      </c>
    </row>
    <row r="147" spans="6:7" customFormat="1" x14ac:dyDescent="0.25">
      <c r="F147" s="208" t="s">
        <v>703</v>
      </c>
      <c r="G147" s="205" t="str">
        <f ca="1">'Pseudo-load coefficients'!$C$52</f>
        <v>Section 508-D: Ratio of coincidence to load factor assuming units evenly spread within time bands, and peak falls in Red period</v>
      </c>
    </row>
    <row r="148" spans="6:7" customFormat="1" x14ac:dyDescent="0.25">
      <c r="F148" s="208" t="s">
        <v>703</v>
      </c>
      <c r="G148" s="205" t="str">
        <f ca="1">'Pseudo-load coefficients'!$C$60</f>
        <v>Section 508-E: Load characteristics for all customers</v>
      </c>
    </row>
    <row r="149" spans="6:7" customFormat="1" x14ac:dyDescent="0.25">
      <c r="F149" s="208" t="s">
        <v>703</v>
      </c>
      <c r="G149" s="205" t="str">
        <f ca="1">'Pseudo-load coefficients'!$C$65</f>
        <v>Section 508-F: Aggregated load characteristics for grouped customers</v>
      </c>
    </row>
    <row r="150" spans="6:7" customFormat="1" x14ac:dyDescent="0.25">
      <c r="F150" s="208" t="s">
        <v>703</v>
      </c>
      <c r="G150" s="205" t="str">
        <f ca="1">'Pseudo-load coefficients'!$C$87</f>
        <v>Section 508-G: Calculation of correction factor</v>
      </c>
    </row>
    <row r="151" spans="6:7" customFormat="1" x14ac:dyDescent="0.25">
      <c r="F151" s="208" t="s">
        <v>703</v>
      </c>
      <c r="G151" s="205" t="str">
        <f ca="1">'Pseudo-load coefficients'!$C$100</f>
        <v>Section 508-H: Peaking probabilities, by network level</v>
      </c>
    </row>
    <row r="152" spans="6:7" customFormat="1" x14ac:dyDescent="0.25">
      <c r="F152" s="208" t="s">
        <v>703</v>
      </c>
      <c r="G152" s="205" t="str">
        <f ca="1">'Pseudo-load coefficients'!$C$174</f>
        <v>Section 508-I: Peaking probabilities, by network level and customer type</v>
      </c>
    </row>
    <row r="153" spans="6:7" customFormat="1" x14ac:dyDescent="0.25">
      <c r="F153" s="208" t="s">
        <v>703</v>
      </c>
      <c r="G153" s="205" t="str">
        <f ca="1">'Pseudo-load coefficients'!$C$221</f>
        <v>Section 508-J: Ratio of coincidence factor to load factor, based on uniform distribution in timebands and peaking probabilities</v>
      </c>
    </row>
    <row r="154" spans="6:7" customFormat="1" x14ac:dyDescent="0.25">
      <c r="F154" s="208" t="s">
        <v>703</v>
      </c>
      <c r="G154" s="205" t="str">
        <f ca="1">'Pseudo-load coefficients'!$C$265</f>
        <v>Section 508-K: Load coefficient</v>
      </c>
    </row>
    <row r="155" spans="6:7" customFormat="1" ht="15.75" thickBot="1" x14ac:dyDescent="0.3">
      <c r="F155" s="208" t="s">
        <v>703</v>
      </c>
      <c r="G155" s="205" t="str">
        <f ca="1">'Pseudo-load coefficients'!$C$269</f>
        <v>Section 508-L: Pseudo load coefficients, by unit rate</v>
      </c>
    </row>
    <row r="156" spans="6:7" customFormat="1" ht="15.75" thickTop="1" x14ac:dyDescent="0.25">
      <c r="F156" s="209" t="s">
        <v>534</v>
      </c>
      <c r="G156" s="205" t="str">
        <f ca="1">'System peak demand'!$C$18</f>
        <v>Section 509-A: Common inputs for chargeable load calculations</v>
      </c>
    </row>
    <row r="157" spans="6:7" customFormat="1" x14ac:dyDescent="0.25">
      <c r="F157" s="208" t="s">
        <v>703</v>
      </c>
      <c r="G157" s="205" t="str">
        <f ca="1">'System peak demand'!$C$67</f>
        <v>Section 509-B: System peak load, by unit rate</v>
      </c>
    </row>
    <row r="158" spans="6:7" customFormat="1" x14ac:dyDescent="0.25">
      <c r="F158" s="208" t="s">
        <v>703</v>
      </c>
      <c r="G158" s="205" t="str">
        <f ca="1">'System peak demand'!$C$138</f>
        <v>Section 509-C: System peak load, all unit rates</v>
      </c>
    </row>
    <row r="159" spans="6:7" customFormat="1" x14ac:dyDescent="0.25">
      <c r="F159" s="208" t="s">
        <v>703</v>
      </c>
      <c r="G159" s="205" t="str">
        <f ca="1">'System peak demand'!$C$164</f>
        <v>Section 509-D: Unit rate contributions to chargeable peak load</v>
      </c>
    </row>
    <row r="160" spans="6:7" customFormat="1" x14ac:dyDescent="0.25">
      <c r="F160" s="208" t="s">
        <v>703</v>
      </c>
      <c r="G160" s="205" t="str">
        <f ca="1">'System peak demand'!$C$184</f>
        <v>Section 509-E: Adjustment of import and exceeded capacity</v>
      </c>
    </row>
    <row r="161" spans="6:7" customFormat="1" x14ac:dyDescent="0.25">
      <c r="F161" s="208" t="s">
        <v>703</v>
      </c>
      <c r="G161" s="205" t="str">
        <f ca="1">'System peak demand'!$C$194</f>
        <v>Section 509-F: Calculation of LV circuit diversity factor</v>
      </c>
    </row>
    <row r="162" spans="6:7" customFormat="1" x14ac:dyDescent="0.25">
      <c r="F162" s="208" t="s">
        <v>703</v>
      </c>
      <c r="G162" s="205" t="str">
        <f ca="1">'System peak demand'!$C$236</f>
        <v>Section 509-G: Import/exceeded capacity contribution to system peak</v>
      </c>
    </row>
    <row r="163" spans="6:7" customFormat="1" x14ac:dyDescent="0.25">
      <c r="F163" s="208" t="s">
        <v>703</v>
      </c>
      <c r="G163" s="205" t="str">
        <f ca="1">'System peak demand'!$C$249</f>
        <v>Section 509-H: Estimated capacity contribution to system peak</v>
      </c>
    </row>
    <row r="164" spans="6:7" customFormat="1" ht="15.75" thickBot="1" x14ac:dyDescent="0.3">
      <c r="F164" s="208" t="s">
        <v>703</v>
      </c>
      <c r="G164" s="205" t="str">
        <f ca="1">'System peak demand'!$C$266</f>
        <v>Section 509-I: System peak based on chargeable load</v>
      </c>
    </row>
    <row r="165" spans="6:7" customFormat="1" ht="16.5" thickTop="1" thickBot="1" x14ac:dyDescent="0.3">
      <c r="F165" s="209" t="s">
        <v>282</v>
      </c>
      <c r="G165" s="205" t="str">
        <f ca="1">'Service model assets'!$C$14</f>
        <v>Section 510-A: Service model notional asset values</v>
      </c>
    </row>
    <row r="166" spans="6:7" customFormat="1" ht="15.75" thickTop="1" x14ac:dyDescent="0.25">
      <c r="F166" s="209" t="s">
        <v>367</v>
      </c>
      <c r="G166" s="205" t="str">
        <f ca="1">'Unit costs'!$C$19</f>
        <v>Section 511-A: Financial data</v>
      </c>
    </row>
    <row r="167" spans="6:7" customFormat="1" x14ac:dyDescent="0.25">
      <c r="F167" s="208" t="s">
        <v>703</v>
      </c>
      <c r="G167" s="205" t="str">
        <f ca="1">'Unit costs'!$C$27</f>
        <v>Section 511-B: Diversity and loss adjustment factors</v>
      </c>
    </row>
    <row r="168" spans="6:7" customFormat="1" x14ac:dyDescent="0.25">
      <c r="F168" s="208" t="s">
        <v>703</v>
      </c>
      <c r="G168" s="205" t="str">
        <f ca="1">'Unit costs'!$C$35</f>
        <v>Section 511-C: Maximum demand</v>
      </c>
    </row>
    <row r="169" spans="6:7" customFormat="1" x14ac:dyDescent="0.25">
      <c r="F169" s="208" t="s">
        <v>703</v>
      </c>
      <c r="G169" s="205" t="str">
        <f ca="1">'Unit costs'!$C$42</f>
        <v>Section 511-D: Rerouting matrix</v>
      </c>
    </row>
    <row r="170" spans="6:7" customFormat="1" x14ac:dyDescent="0.25">
      <c r="F170" s="208" t="s">
        <v>703</v>
      </c>
      <c r="G170" s="205" t="str">
        <f ca="1">'Unit costs'!$C$50</f>
        <v>Section 511-E: Annuitised cost of assets</v>
      </c>
    </row>
    <row r="171" spans="6:7" customFormat="1" x14ac:dyDescent="0.25">
      <c r="F171" s="208" t="s">
        <v>703</v>
      </c>
      <c r="G171" s="205" t="str">
        <f ca="1">'Unit costs'!$C$62</f>
        <v>Section 511-F: System simultaneous peak load based on charegable units</v>
      </c>
    </row>
    <row r="172" spans="6:7" customFormat="1" x14ac:dyDescent="0.25">
      <c r="F172" s="208" t="s">
        <v>703</v>
      </c>
      <c r="G172" s="205" t="str">
        <f ca="1">'Unit costs'!$C$69</f>
        <v>Section 511-G: Notional asset values, by network level</v>
      </c>
    </row>
    <row r="173" spans="6:7" customFormat="1" x14ac:dyDescent="0.25">
      <c r="F173" s="208" t="s">
        <v>703</v>
      </c>
      <c r="G173" s="205" t="str">
        <f ca="1">'Unit costs'!$C$80</f>
        <v>Section 511-H: Other operating costs</v>
      </c>
    </row>
    <row r="174" spans="6:7" customFormat="1" x14ac:dyDescent="0.25">
      <c r="F174" s="208" t="s">
        <v>703</v>
      </c>
      <c r="G174" s="205" t="str">
        <f ca="1">'Unit costs'!$C$92</f>
        <v>Section 511-I: Other operating costs by network level</v>
      </c>
    </row>
    <row r="175" spans="6:7" customFormat="1" x14ac:dyDescent="0.25">
      <c r="F175" s="208" t="s">
        <v>703</v>
      </c>
      <c r="G175" s="205" t="str">
        <f ca="1">'Unit costs'!$C$104</f>
        <v>Section 511-J: Notional asset values by network level</v>
      </c>
    </row>
    <row r="176" spans="6:7" customFormat="1" x14ac:dyDescent="0.25">
      <c r="F176" s="208" t="s">
        <v>703</v>
      </c>
      <c r="G176" s="205" t="str">
        <f ca="1">'Unit costs'!$C$110</f>
        <v>Section 511-K: Unit costs</v>
      </c>
    </row>
    <row r="177" spans="6:7" customFormat="1" ht="15.75" thickBot="1" x14ac:dyDescent="0.3">
      <c r="F177" s="208" t="s">
        <v>703</v>
      </c>
      <c r="G177" s="205" t="str">
        <f ca="1">'Unit costs'!$C$117</f>
        <v>Section 511-L: Values used for allocating costs to service models</v>
      </c>
    </row>
    <row r="178" spans="6:7" customFormat="1" ht="15.75" thickTop="1" x14ac:dyDescent="0.25">
      <c r="F178" s="209" t="s">
        <v>291</v>
      </c>
      <c r="G178" s="205" t="str">
        <f ca="1">'Initial unit rates'!$C$13</f>
        <v>Section 512-A: Inputs for yardstick and unit rate calculations</v>
      </c>
    </row>
    <row r="179" spans="6:7" customFormat="1" x14ac:dyDescent="0.25">
      <c r="F179" s="208" t="s">
        <v>703</v>
      </c>
      <c r="G179" s="205" t="str">
        <f ca="1">'Initial unit rates'!$C$118</f>
        <v>Section 512-B: Yardstick charges</v>
      </c>
    </row>
    <row r="180" spans="6:7" customFormat="1" x14ac:dyDescent="0.25">
      <c r="F180" s="208" t="s">
        <v>703</v>
      </c>
      <c r="G180" s="205" t="str">
        <f ca="1">'Initial unit rates'!$C$146</f>
        <v>Section 512-C: Unit rate 1</v>
      </c>
    </row>
    <row r="181" spans="6:7" customFormat="1" x14ac:dyDescent="0.25">
      <c r="F181" s="208" t="s">
        <v>703</v>
      </c>
      <c r="G181" s="205" t="str">
        <f ca="1">'Initial unit rates'!$C$175</f>
        <v>Section 512-D: Unit rate 2</v>
      </c>
    </row>
    <row r="182" spans="6:7" customFormat="1" ht="15.75" thickBot="1" x14ac:dyDescent="0.3">
      <c r="F182" s="208" t="s">
        <v>703</v>
      </c>
      <c r="G182" s="205" t="str">
        <f ca="1">'Initial unit rates'!$C$204</f>
        <v>Section 512-E: Unit rate 3</v>
      </c>
    </row>
    <row r="183" spans="6:7" customFormat="1" ht="15.75" thickTop="1" x14ac:dyDescent="0.25">
      <c r="F183" s="209" t="s">
        <v>535</v>
      </c>
      <c r="G183" s="205" t="str">
        <f ca="1">'Service model charges'!$C$17</f>
        <v>Section 513-A: Inputs to service model charge calculation</v>
      </c>
    </row>
    <row r="184" spans="6:7" customFormat="1" x14ac:dyDescent="0.25">
      <c r="F184" s="208" t="s">
        <v>703</v>
      </c>
      <c r="G184" s="205" t="str">
        <f ca="1">'Service model charges'!$C$33</f>
        <v>Section 513-B: Calculation of other operating expenditure per £ of notional asset value</v>
      </c>
    </row>
    <row r="185" spans="6:7" customFormat="1" ht="15.75" thickBot="1" x14ac:dyDescent="0.3">
      <c r="F185" s="208" t="s">
        <v>703</v>
      </c>
      <c r="G185" s="205" t="str">
        <f ca="1">'Service model charges'!$C$37</f>
        <v>Section 513-C: Calculation of service model charges</v>
      </c>
    </row>
    <row r="186" spans="6:7" customFormat="1" ht="15.75" thickTop="1" x14ac:dyDescent="0.25">
      <c r="F186" s="209" t="s">
        <v>536</v>
      </c>
      <c r="G186" s="205" t="str">
        <f ca="1">'Unit rate charges'!$C$19</f>
        <v>Section 514-A: Initial unit rate 1</v>
      </c>
    </row>
    <row r="187" spans="6:7" customFormat="1" x14ac:dyDescent="0.25">
      <c r="F187" s="208" t="s">
        <v>703</v>
      </c>
      <c r="G187" s="205" t="str">
        <f ca="1">'Unit rate charges'!$C$49</f>
        <v>Section 514-B: Initial unit rate 2</v>
      </c>
    </row>
    <row r="188" spans="6:7" customFormat="1" x14ac:dyDescent="0.25">
      <c r="F188" s="208" t="s">
        <v>703</v>
      </c>
      <c r="G188" s="205" t="str">
        <f ca="1">'Unit rate charges'!$C$79</f>
        <v>Section 514-C: Initial unit rate 3</v>
      </c>
    </row>
    <row r="189" spans="6:7" customFormat="1" x14ac:dyDescent="0.25">
      <c r="F189" s="208" t="s">
        <v>703</v>
      </c>
      <c r="G189" s="205" t="str">
        <f ca="1">'Unit rate charges'!$C$109</f>
        <v>Section 514-D: Standing charge factors</v>
      </c>
    </row>
    <row r="190" spans="6:7" customFormat="1" x14ac:dyDescent="0.25">
      <c r="F190" s="208" t="s">
        <v>703</v>
      </c>
      <c r="G190" s="205" t="str">
        <f ca="1">'Unit rate charges'!$C$124</f>
        <v>Section 514-E: Contributions to unit rate 1 p/kWh by network level (taking account of standing charges)</v>
      </c>
    </row>
    <row r="191" spans="6:7" customFormat="1" x14ac:dyDescent="0.25">
      <c r="F191" s="208" t="s">
        <v>703</v>
      </c>
      <c r="G191" s="205" t="str">
        <f ca="1">'Unit rate charges'!$C$154</f>
        <v>Section 514-F: Contributions to unit rate 2 p/kWh by network level (taking account of standing charges)</v>
      </c>
    </row>
    <row r="192" spans="6:7" customFormat="1" x14ac:dyDescent="0.25">
      <c r="F192" s="208" t="s">
        <v>703</v>
      </c>
      <c r="G192" s="205" t="str">
        <f ca="1">'Unit rate charges'!$C$184</f>
        <v>Section 514-G: Contributions to unit rate 3 p/kWh by network level (taking account of standing charges)</v>
      </c>
    </row>
    <row r="193" spans="6:7" customFormat="1" ht="15.75" thickBot="1" x14ac:dyDescent="0.3">
      <c r="F193" s="208" t="s">
        <v>703</v>
      </c>
      <c r="G193" s="205" t="str">
        <f ca="1">'Unit rate charges'!$C$214</f>
        <v>Section 514-H: Unit rates, post application of standing charges</v>
      </c>
    </row>
    <row r="194" spans="6:7" customFormat="1" ht="15.75" thickTop="1" x14ac:dyDescent="0.25">
      <c r="F194" s="209" t="s">
        <v>466</v>
      </c>
      <c r="G194" s="205" t="str">
        <f ca="1">'Reactive power charges'!$C$17</f>
        <v>Section 515-A: Inputs to reactive power charge calculations</v>
      </c>
    </row>
    <row r="195" spans="6:7" customFormat="1" x14ac:dyDescent="0.25">
      <c r="F195" s="208" t="s">
        <v>703</v>
      </c>
      <c r="G195" s="205" t="str">
        <f ca="1">'Reactive power charges'!$C$120</f>
        <v>Section 515-B: Yardstick charge (demand)</v>
      </c>
    </row>
    <row r="196" spans="6:7" customFormat="1" x14ac:dyDescent="0.25">
      <c r="F196" s="208" t="s">
        <v>703</v>
      </c>
      <c r="G196" s="205" t="str">
        <f ca="1">'Reactive power charges'!$C$155</f>
        <v>Section 515-C: Yardstick charge used for generation</v>
      </c>
    </row>
    <row r="197" spans="6:7" customFormat="1" x14ac:dyDescent="0.25">
      <c r="F197" s="208" t="s">
        <v>703</v>
      </c>
      <c r="G197" s="205" t="str">
        <f ca="1">'Reactive power charges'!$C$190</f>
        <v>Section 515-D: Reactive power charges, all customer categories</v>
      </c>
    </row>
    <row r="198" spans="6:7" customFormat="1" ht="15.75" thickBot="1" x14ac:dyDescent="0.3">
      <c r="F198" s="208" t="s">
        <v>703</v>
      </c>
      <c r="G198" s="205" t="str">
        <f ca="1">'Reactive power charges'!$C$220</f>
        <v>Section 515-E: Reactive power charges for applicable customers</v>
      </c>
    </row>
    <row r="199" spans="6:7" customFormat="1" ht="15.75" thickTop="1" x14ac:dyDescent="0.25">
      <c r="F199" s="209" t="s">
        <v>293</v>
      </c>
      <c r="G199" s="205" t="str">
        <f ca="1">'Capacity charges'!$C$19</f>
        <v>Section 516-A: Inputs to capacity charge calculations</v>
      </c>
    </row>
    <row r="200" spans="6:7" customFormat="1" x14ac:dyDescent="0.25">
      <c r="F200" s="208" t="s">
        <v>703</v>
      </c>
      <c r="G200" s="205" t="str">
        <f ca="1">'Capacity charges'!$C$129</f>
        <v>Section 516-B: Capacity-based charge elements (to be split between capacity &amp; fixed charges)</v>
      </c>
    </row>
    <row r="201" spans="6:7" customFormat="1" x14ac:dyDescent="0.25">
      <c r="F201" s="208" t="s">
        <v>703</v>
      </c>
      <c r="G201" s="205" t="str">
        <f ca="1">'Capacity charges'!$C$159</f>
        <v>Section 516-C: Exceeded capacity-based charge elements</v>
      </c>
    </row>
    <row r="202" spans="6:7" customFormat="1" x14ac:dyDescent="0.25">
      <c r="F202" s="208" t="s">
        <v>703</v>
      </c>
      <c r="G202" s="205" t="str">
        <f ca="1">'Capacity charges'!$C$189</f>
        <v>Section 516-D: Capacity charges for eligible customers, by network level</v>
      </c>
    </row>
    <row r="203" spans="6:7" customFormat="1" x14ac:dyDescent="0.25">
      <c r="F203" s="208" t="s">
        <v>703</v>
      </c>
      <c r="G203" s="205" t="str">
        <f ca="1">'Capacity charges'!$C$219</f>
        <v>Section 516-E: Exceeded capacity charges for eligible customers, by network level</v>
      </c>
    </row>
    <row r="204" spans="6:7" customFormat="1" x14ac:dyDescent="0.25">
      <c r="F204" s="208" t="s">
        <v>703</v>
      </c>
      <c r="G204" s="205" t="str">
        <f ca="1">'Capacity charges'!$C$254</f>
        <v>Section 516-F: Capacity and exceeded capacity charges</v>
      </c>
    </row>
    <row r="205" spans="6:7" customFormat="1" ht="15.75" thickBot="1" x14ac:dyDescent="0.3">
      <c r="F205" s="208" t="s">
        <v>703</v>
      </c>
      <c r="G205" s="205" t="str">
        <f ca="1">'Capacity charges'!$C$259</f>
        <v>Section 516-G: Capacity elements allocated to fixed charges</v>
      </c>
    </row>
    <row r="206" spans="6:7" customFormat="1" ht="15.75" thickTop="1" x14ac:dyDescent="0.25">
      <c r="F206" s="209" t="s">
        <v>294</v>
      </c>
      <c r="G206" s="205" t="str">
        <f ca="1">'Fixed charges'!$C$16</f>
        <v>Section 517-A: Volumes (discounted MPANs &amp; maximum load)</v>
      </c>
    </row>
    <row r="207" spans="6:7" customFormat="1" x14ac:dyDescent="0.25">
      <c r="F207" s="208" t="s">
        <v>703</v>
      </c>
      <c r="G207" s="205" t="str">
        <f ca="1">'Fixed charges'!$C$22</f>
        <v>Section 517-B: Capacity elements allocated to fixed charges</v>
      </c>
    </row>
    <row r="208" spans="6:7" customFormat="1" x14ac:dyDescent="0.25">
      <c r="F208" s="208" t="s">
        <v>703</v>
      </c>
      <c r="G208" s="205" t="str">
        <f ca="1">'Fixed charges'!$C$52</f>
        <v>Section 517-C: Service model costs allocated to fixed charges</v>
      </c>
    </row>
    <row r="209" spans="6:7" customFormat="1" x14ac:dyDescent="0.25">
      <c r="F209" s="208" t="s">
        <v>703</v>
      </c>
      <c r="G209" s="205" t="str">
        <f ca="1">'Fixed charges'!$C$58</f>
        <v>Section 517-D: Flags</v>
      </c>
    </row>
    <row r="210" spans="6:7" customFormat="1" x14ac:dyDescent="0.25">
      <c r="F210" s="208" t="s">
        <v>703</v>
      </c>
      <c r="G210" s="205" t="str">
        <f ca="1">'Fixed charges'!$C$67</f>
        <v>Section 517-E: Revenue allocated to fixed charges</v>
      </c>
    </row>
    <row r="211" spans="6:7" customFormat="1" x14ac:dyDescent="0.25">
      <c r="F211" s="208" t="s">
        <v>703</v>
      </c>
      <c r="G211" s="205" t="str">
        <f ca="1">'Fixed charges'!$C$97</f>
        <v>Section 517-F: Revenue allocated to fixed charges, by aggregation group</v>
      </c>
    </row>
    <row r="212" spans="6:7" customFormat="1" x14ac:dyDescent="0.25">
      <c r="F212" s="208" t="s">
        <v>703</v>
      </c>
      <c r="G212" s="205" t="str">
        <f ca="1">'Fixed charges'!$C$127</f>
        <v>Section 517-G: Fixed charges, by network level</v>
      </c>
    </row>
    <row r="213" spans="6:7" customFormat="1" ht="15.75" thickBot="1" x14ac:dyDescent="0.3">
      <c r="F213" s="208" t="s">
        <v>703</v>
      </c>
      <c r="G213" s="205" t="str">
        <f ca="1">'Fixed charges'!$C$159</f>
        <v>Section 517-H: Aggregated fixed charges</v>
      </c>
    </row>
    <row r="214" spans="6:7" customFormat="1" ht="15.75" thickTop="1" x14ac:dyDescent="0.25">
      <c r="F214" s="209" t="s">
        <v>295</v>
      </c>
      <c r="G214" s="205" t="str">
        <f ca="1">'Revenue matching'!$C$15</f>
        <v>Section 518-A: Inputs to revenue matching</v>
      </c>
    </row>
    <row r="215" spans="6:7" customFormat="1" x14ac:dyDescent="0.25">
      <c r="F215" s="208" t="s">
        <v>703</v>
      </c>
      <c r="G215" s="205" t="str">
        <f ca="1">'Revenue matching'!$C$45</f>
        <v>Section 518-B: Net revenue before matching</v>
      </c>
    </row>
    <row r="216" spans="6:7" customFormat="1" x14ac:dyDescent="0.25">
      <c r="F216" s="208" t="s">
        <v>703</v>
      </c>
      <c r="G216" s="205" t="str">
        <f ca="1">'Revenue matching'!$C$68</f>
        <v>Section 518-C: Calculation of unconstrained adder solution</v>
      </c>
    </row>
    <row r="217" spans="6:7" customFormat="1" x14ac:dyDescent="0.25">
      <c r="F217" s="208" t="s">
        <v>703</v>
      </c>
      <c r="G217" s="205" t="str">
        <f ca="1">'Revenue matching'!$C$92</f>
        <v>Section 518-D: Algorithm to find constrained adder solution</v>
      </c>
    </row>
    <row r="218" spans="6:7" customFormat="1" ht="15.75" thickBot="1" x14ac:dyDescent="0.3">
      <c r="F218" s="208" t="s">
        <v>703</v>
      </c>
      <c r="G218" s="205" t="str">
        <f ca="1">'Revenue matching'!$C$131</f>
        <v>Section 518-E: Adder to be applied to unit rates</v>
      </c>
    </row>
    <row r="219" spans="6:7" customFormat="1" ht="15.75" thickTop="1" x14ac:dyDescent="0.25">
      <c r="F219" s="209" t="s">
        <v>1157</v>
      </c>
      <c r="G219" s="205" t="str">
        <f ca="1">'Fixed charge adder'!$C$16</f>
        <v>Section 519-A: Inputs for fixed tariff adjustments</v>
      </c>
    </row>
    <row r="220" spans="6:7" customFormat="1" x14ac:dyDescent="0.25">
      <c r="F220" s="208" t="s">
        <v>703</v>
      </c>
      <c r="G220" s="205" t="str">
        <f ca="1">'Fixed charge adder'!$C$33</f>
        <v>Section 519-B: Calculation of fixed tariff adjustments</v>
      </c>
    </row>
    <row r="221" spans="6:7" customFormat="1" ht="15.75" thickBot="1" x14ac:dyDescent="0.3">
      <c r="F221" s="208" t="s">
        <v>703</v>
      </c>
      <c r="G221" s="205" t="str">
        <f ca="1">'Fixed charge adder'!$C$48</f>
        <v>Section 519-C: Calculation of fixed charge adder revenue</v>
      </c>
    </row>
    <row r="222" spans="6:7" customFormat="1" ht="15.75" thickTop="1" x14ac:dyDescent="0.25">
      <c r="F222" s="209" t="s">
        <v>238</v>
      </c>
      <c r="G222" s="205" t="str">
        <f ca="1">Rounding!$C$16</f>
        <v>Section 520-A: Pre-match, pre-rounding tariff forecast</v>
      </c>
    </row>
    <row r="223" spans="6:7" customFormat="1" x14ac:dyDescent="0.25">
      <c r="F223" s="208" t="s">
        <v>703</v>
      </c>
      <c r="G223" s="205" t="str">
        <f ca="1">Rounding!$C$28</f>
        <v>Section 520-B: Adder to be applied to unit rates</v>
      </c>
    </row>
    <row r="224" spans="6:7" customFormat="1" x14ac:dyDescent="0.25">
      <c r="F224" s="208" t="s">
        <v>703</v>
      </c>
      <c r="G224" s="205" t="str">
        <f ca="1">Rounding!$C$40</f>
        <v>Section 520-C: Adder to be applied to fixed charge</v>
      </c>
    </row>
    <row r="225" spans="6:7" customFormat="1" x14ac:dyDescent="0.25">
      <c r="F225" s="208" t="s">
        <v>703</v>
      </c>
      <c r="G225" s="205" t="str">
        <f ca="1">Rounding!$C$52</f>
        <v>Section 520-D: LDNO discounts</v>
      </c>
    </row>
    <row r="226" spans="6:7" customFormat="1" x14ac:dyDescent="0.25">
      <c r="F226" s="208" t="s">
        <v>703</v>
      </c>
      <c r="G226" s="205" t="str">
        <f ca="1">Rounding!$C$72</f>
        <v>Section 520-E: Decimal places for rounding</v>
      </c>
    </row>
    <row r="227" spans="6:7" customFormat="1" x14ac:dyDescent="0.25">
      <c r="F227" s="208" t="s">
        <v>703</v>
      </c>
      <c r="G227" s="205" t="str">
        <f ca="1">Rounding!$C$87</f>
        <v>Section 520-F: Tariff forecast, post-revenue matching</v>
      </c>
    </row>
    <row r="228" spans="6:7" customFormat="1" x14ac:dyDescent="0.25">
      <c r="F228" s="208" t="s">
        <v>703</v>
      </c>
      <c r="G228" s="205" t="str">
        <f ca="1">Rounding!$C$98</f>
        <v>Section 520-G: Tariff forecast, post-adders &amp; discounting</v>
      </c>
    </row>
    <row r="229" spans="6:7" customFormat="1" ht="15.75" thickBot="1" x14ac:dyDescent="0.3">
      <c r="F229" s="208" t="s">
        <v>703</v>
      </c>
      <c r="G229" s="205" t="str">
        <f ca="1">Rounding!$C$127</f>
        <v>Section 520-H: Tariff forecast, post-rounding</v>
      </c>
    </row>
    <row r="230" spans="6:7" customFormat="1" ht="15.75" thickTop="1" x14ac:dyDescent="0.25">
      <c r="F230" s="209" t="s">
        <v>657</v>
      </c>
      <c r="G230" s="205" t="str">
        <f ca="1">'Net revenue summary'!$C$13</f>
        <v>Input 505-A: Volume forecasts</v>
      </c>
    </row>
    <row r="231" spans="6:7" customFormat="1" x14ac:dyDescent="0.25">
      <c r="F231" s="208" t="s">
        <v>703</v>
      </c>
      <c r="G231" s="205" t="str">
        <f ca="1">'Net revenue summary'!$C$42</f>
        <v>Input 505-B: Tariff forecast</v>
      </c>
    </row>
    <row r="232" spans="6:7" customFormat="1" x14ac:dyDescent="0.25">
      <c r="F232" s="208" t="s">
        <v>703</v>
      </c>
      <c r="G232" s="205" t="str">
        <f ca="1">'Net revenue summary'!$C$71</f>
        <v>Input 505-C: Net revenue components</v>
      </c>
    </row>
    <row r="233" spans="6:7" customFormat="1" x14ac:dyDescent="0.25">
      <c r="F233" s="208" t="s">
        <v>703</v>
      </c>
      <c r="G233" s="205" t="str">
        <f ca="1">'Net revenue summary'!$C$81</f>
        <v>Input 505-D: Net revenue by tariff</v>
      </c>
    </row>
    <row r="234" spans="6:7" customFormat="1" x14ac:dyDescent="0.25">
      <c r="F234" s="208" t="s">
        <v>703</v>
      </c>
      <c r="G234" s="205" t="str">
        <f ca="1">'Net revenue summary'!$C$113</f>
        <v>Input 505-E: Net revenue summary (for information only)</v>
      </c>
    </row>
    <row r="235" spans="6:7" customFormat="1" ht="15.75" thickBot="1" x14ac:dyDescent="0.3">
      <c r="F235" s="208" t="s">
        <v>703</v>
      </c>
      <c r="G235" s="205" t="str">
        <f ca="1">'Net revenue summary'!$C$126</f>
        <v>Input 505-F: Typical bills</v>
      </c>
    </row>
    <row r="236" spans="6:7" customFormat="1" ht="15.75" thickTop="1" x14ac:dyDescent="0.25">
      <c r="F236" s="211" t="s">
        <v>537</v>
      </c>
      <c r="G236" s="205" t="str">
        <f ca="1">'Tariff summary'!$C$15</f>
        <v>Input 506-A: Live tariff results (2021/22)</v>
      </c>
    </row>
    <row r="237" spans="6:7" customFormat="1" x14ac:dyDescent="0.25">
      <c r="F237" s="210" t="s">
        <v>703</v>
      </c>
      <c r="G237" s="205" t="str">
        <f ca="1">'Tariff summary'!$C$71</f>
        <v>Input 506-B: tariff forecast results for charging year 2021/22</v>
      </c>
    </row>
    <row r="238" spans="6:7" customFormat="1" x14ac:dyDescent="0.25">
      <c r="F238" s="210" t="s">
        <v>703</v>
      </c>
      <c r="G238" s="205" t="str">
        <f ca="1">'Tariff summary'!$C$127</f>
        <v>Input 506-C: Tariff results for charging year 2022/23</v>
      </c>
    </row>
    <row r="239" spans="6:7" customFormat="1" x14ac:dyDescent="0.25">
      <c r="F239" s="210" t="s">
        <v>703</v>
      </c>
      <c r="G239" s="205" t="str">
        <f ca="1">'Tariff summary'!$C$183</f>
        <v>Input 506-D: Tariff results for charging year 2023/24</v>
      </c>
    </row>
    <row r="240" spans="6:7" customFormat="1" x14ac:dyDescent="0.25">
      <c r="F240" s="210" t="s">
        <v>703</v>
      </c>
      <c r="G240" s="205" t="str">
        <f ca="1">'Tariff summary'!$C$239</f>
        <v>Input 506-E: Tariff results for charging year 2024/25</v>
      </c>
    </row>
    <row r="241" spans="2:7" customFormat="1" ht="15.75" thickBot="1" x14ac:dyDescent="0.3">
      <c r="F241" s="210" t="s">
        <v>703</v>
      </c>
      <c r="G241" s="205" t="str">
        <f ca="1">'Tariff summary'!$C$295</f>
        <v>Input 506-F: Tariff results for charging year 2025/26</v>
      </c>
    </row>
    <row r="242" spans="2:7" customFormat="1" ht="15.75" thickTop="1" x14ac:dyDescent="0.25">
      <c r="F242" s="211" t="s">
        <v>584</v>
      </c>
      <c r="G242" s="205" t="str">
        <f ca="1">'Typical bills'!$C$15</f>
        <v>Input 507-A: Typical bill results</v>
      </c>
    </row>
    <row r="243" spans="2:7" customFormat="1" x14ac:dyDescent="0.25"/>
    <row r="244" spans="2:7" customFormat="1" x14ac:dyDescent="0.25">
      <c r="B244" s="95" t="s">
        <v>110</v>
      </c>
      <c r="C244" s="95"/>
      <c r="D244" s="95"/>
      <c r="E244" s="95"/>
      <c r="F244" s="95"/>
      <c r="G244" s="95"/>
    </row>
    <row r="245" spans="2:7" customFormat="1" x14ac:dyDescent="0.25"/>
    <row r="246" spans="2:7" customFormat="1" x14ac:dyDescent="0.25"/>
    <row r="247" spans="2:7" customFormat="1" x14ac:dyDescent="0.25"/>
    <row r="248" spans="2:7" customFormat="1" x14ac:dyDescent="0.25"/>
    <row r="249" spans="2:7" customFormat="1" x14ac:dyDescent="0.25"/>
    <row r="250" spans="2:7" customFormat="1" x14ac:dyDescent="0.25"/>
    <row r="251" spans="2:7" customFormat="1" x14ac:dyDescent="0.25"/>
    <row r="252" spans="2:7" customFormat="1" x14ac:dyDescent="0.25"/>
    <row r="253" spans="2:7" customFormat="1" x14ac:dyDescent="0.25"/>
    <row r="254" spans="2:7" customFormat="1" x14ac:dyDescent="0.25"/>
    <row r="255" spans="2:7" customFormat="1" x14ac:dyDescent="0.25"/>
    <row r="256" spans="2:7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00000000-0004-0000-0300-000000000000}"/>
    <hyperlink ref="F16" location="'Version control'!A4" display="'" xr:uid="{00000000-0004-0000-0300-000001000000}"/>
    <hyperlink ref="G16" location="'Version control'!$B$5" display="'Version control'!$B$5" xr:uid="{00000000-0004-0000-0300-000002000000}"/>
    <hyperlink ref="F17" location="'Version control'!A4" display="'" xr:uid="{00000000-0004-0000-0300-000003000000}"/>
    <hyperlink ref="G17" location="'Version control'!$B$17" display="'Version control'!$B$17" xr:uid="{00000000-0004-0000-0300-000004000000}"/>
    <hyperlink ref="F18" location="'Version control'!A4" display="'" xr:uid="{00000000-0004-0000-0300-000005000000}"/>
    <hyperlink ref="G18" location="'Version control'!$B$31" display="'Version control'!$B$31" xr:uid="{00000000-0004-0000-0300-000006000000}"/>
    <hyperlink ref="F19" location="'Version control'!A4" display="'" xr:uid="{00000000-0004-0000-0300-000007000000}"/>
    <hyperlink ref="G19" location="'Version control'!$B$63" display="'Version control'!$B$63" xr:uid="{00000000-0004-0000-0300-000008000000}"/>
    <hyperlink ref="F20" location="'Model map'!A4" display="'" xr:uid="{00000000-0004-0000-0300-000009000000}"/>
    <hyperlink ref="G20" location="'Model map'!$B$5" display="'Model map'!$B$5" xr:uid="{00000000-0004-0000-0300-00000A000000}"/>
    <hyperlink ref="F21" location="'Named ranges'!A4" display="'" xr:uid="{00000000-0004-0000-0300-00000B000000}"/>
    <hyperlink ref="G21" location="'Named ranges'!$B$5" display="'Named ranges'!$B$5" xr:uid="{00000000-0004-0000-0300-00000C000000}"/>
    <hyperlink ref="F22" location="'ARP_DNO commentary'!A4" display="'" xr:uid="{00000000-0004-0000-0300-00000D000000}"/>
    <hyperlink ref="G22" location="'ARP_DNO commentary'!$B$9" display="'ARP_DNO commentary'!$B$9" xr:uid="{00000000-0004-0000-0300-00000E000000}"/>
    <hyperlink ref="F23" location="'ARP_CDCM timebands'!A4" display="'" xr:uid="{00000000-0004-0000-0300-00000F000000}"/>
    <hyperlink ref="G23" location="'ARP_CDCM timebands'!$B$12" display="'ARP_CDCM timebands'!$B$12" xr:uid="{00000000-0004-0000-0300-000010000000}"/>
    <hyperlink ref="F24" location="'ARP_Load characteristics'!A4" display="'" xr:uid="{00000000-0004-0000-0300-000011000000}"/>
    <hyperlink ref="G24" location="'ARP_Load characteristics'!$B$13" display="'ARP_Load characteristics'!$B$13" xr:uid="{00000000-0004-0000-0300-000012000000}"/>
    <hyperlink ref="F25" location="'ARP_Load characteristics'!A4" display="'" xr:uid="{00000000-0004-0000-0300-000013000000}"/>
    <hyperlink ref="G25" location="'ARP_Load characteristics'!$B$20" display="'ARP_Load characteristics'!$B$20" xr:uid="{00000000-0004-0000-0300-000014000000}"/>
    <hyperlink ref="F26" location="'ARP_Peaking probabilities'!A4" display="'" xr:uid="{00000000-0004-0000-0300-000015000000}"/>
    <hyperlink ref="G26" location="'ARP_Peaking probabilities'!$B$14" display="'ARP_Peaking probabilities'!$B$14" xr:uid="{00000000-0004-0000-0300-000016000000}"/>
    <hyperlink ref="F27" location="'ARP_Peaking probabilities'!A4" display="'" xr:uid="{00000000-0004-0000-0300-000017000000}"/>
    <hyperlink ref="G27" location="'ARP_Peaking probabilities'!$B$21" display="'ARP_Peaking probabilities'!$B$21" xr:uid="{00000000-0004-0000-0300-000018000000}"/>
    <hyperlink ref="F28" location="'ARP_User control'!A4" display="'" xr:uid="{00000000-0004-0000-0300-000019000000}"/>
    <hyperlink ref="G28" location="'ARP_User control'!$B$10" display="'ARP_User control'!$B$10" xr:uid="{00000000-0004-0000-0300-00001A000000}"/>
    <hyperlink ref="F29" location="'ARP_User control'!A4" display="'" xr:uid="{00000000-0004-0000-0300-00001B000000}"/>
    <hyperlink ref="G29" location="'ARP_User control'!$B$25" display="'ARP_User control'!$B$25" xr:uid="{00000000-0004-0000-0300-00001C000000}"/>
    <hyperlink ref="F30" location="'ARP_Inputs by customer type'!A4" display="'" xr:uid="{00000000-0004-0000-0300-00001D000000}"/>
    <hyperlink ref="G30" location="'ARP_Inputs by customer type'!$B$14" display="'ARP_Inputs by customer type'!$B$14" xr:uid="{00000000-0004-0000-0300-00001E000000}"/>
    <hyperlink ref="F31" location="'ARP_Inputs by customer type'!A4" display="'" xr:uid="{00000000-0004-0000-0300-00001F000000}"/>
    <hyperlink ref="G31" location="'ARP_Inputs by customer type'!$B$56" display="'ARP_Inputs by customer type'!$B$56" xr:uid="{00000000-0004-0000-0300-000020000000}"/>
    <hyperlink ref="F32" location="'ARP_Inputs by customer type'!A4" display="'" xr:uid="{00000000-0004-0000-0300-000021000000}"/>
    <hyperlink ref="G32" location="'ARP_Inputs by customer type'!$B$462" display="'ARP_Inputs by customer type'!$B$462" xr:uid="{00000000-0004-0000-0300-000022000000}"/>
    <hyperlink ref="F33" location="'ARP_Inputs by network level'!A4" display="'" xr:uid="{00000000-0004-0000-0300-000023000000}"/>
    <hyperlink ref="G33" location="'ARP_Inputs by network level'!$B$14" display="'ARP_Inputs by network level'!$B$14" xr:uid="{00000000-0004-0000-0300-000024000000}"/>
    <hyperlink ref="F34" location="'ARP_General inputs'!A4" display="'" xr:uid="{00000000-0004-0000-0300-000025000000}"/>
    <hyperlink ref="G34" location="'ARP_General inputs'!$B$14" display="'ARP_General inputs'!$B$14" xr:uid="{00000000-0004-0000-0300-000026000000}"/>
    <hyperlink ref="F35" location="'Fixed inputs'!A4" display="'" xr:uid="{00000000-0004-0000-0300-000027000000}"/>
    <hyperlink ref="G35" location="'Fixed inputs'!$B$11" display="'Fixed inputs'!$B$11" xr:uid="{00000000-0004-0000-0300-000028000000}"/>
    <hyperlink ref="F36" location="'Inputs by customer type'!A4" display="'" xr:uid="{00000000-0004-0000-0300-000029000000}"/>
    <hyperlink ref="G36" location="'Inputs by customer type'!$B$14" display="'Inputs by customer type'!$B$14" xr:uid="{00000000-0004-0000-0300-00002A000000}"/>
    <hyperlink ref="F37" location="'Inputs by network level'!A4" display="'" xr:uid="{00000000-0004-0000-0300-00002B000000}"/>
    <hyperlink ref="G37" location="'Inputs by network level'!$B$14" display="'Inputs by network level'!$B$14" xr:uid="{00000000-0004-0000-0300-00002C000000}"/>
    <hyperlink ref="F38" location="'General inputs'!A4" display="'" xr:uid="{00000000-0004-0000-0300-00002D000000}"/>
    <hyperlink ref="G38" location="'General inputs'!$B$14" display="'General inputs'!$B$14" xr:uid="{00000000-0004-0000-0300-00002E000000}"/>
    <hyperlink ref="F39" location="'Standing charge factors'!A4" display="'" xr:uid="{00000000-0004-0000-0300-00002F000000}"/>
    <hyperlink ref="G39" location="'Standing charge factors'!$B$17" display="'Standing charge factors'!$B$17" xr:uid="{00000000-0004-0000-0300-000030000000}"/>
    <hyperlink ref="F40" location="'Load &amp; loss characteristics'!A4" display="'" xr:uid="{00000000-0004-0000-0300-000031000000}"/>
    <hyperlink ref="G40" location="'Load &amp; loss characteristics'!$B$13" display="'Load &amp; loss characteristics'!$B$13" xr:uid="{00000000-0004-0000-0300-000032000000}"/>
    <hyperlink ref="F41" location="'Load &amp; loss characteristics'!A4" display="'" xr:uid="{00000000-0004-0000-0300-000033000000}"/>
    <hyperlink ref="G41" location="'Load &amp; loss characteristics'!$B$31" display="'Load &amp; loss characteristics'!$B$31" xr:uid="{00000000-0004-0000-0300-000034000000}"/>
    <hyperlink ref="F42" location="'Customer contributions'!A4" display="'" xr:uid="{00000000-0004-0000-0300-000035000000}"/>
    <hyperlink ref="G42" location="'Customer contributions'!$B$12" display="'Customer contributions'!$B$12" xr:uid="{00000000-0004-0000-0300-000036000000}"/>
    <hyperlink ref="F43" location="'Volume adjustments'!A4" display="'" xr:uid="{00000000-0004-0000-0300-000037000000}"/>
    <hyperlink ref="G43" location="'Volume adjustments'!$B$13" display="'Volume adjustments'!$B$13" xr:uid="{00000000-0004-0000-0300-000038000000}"/>
    <hyperlink ref="F44" location="'Volume adjustments'!A4" display="'" xr:uid="{00000000-0004-0000-0300-000039000000}"/>
    <hyperlink ref="G44" location="'Volume adjustments'!$B$51" display="'Volume adjustments'!$B$51" xr:uid="{00000000-0004-0000-0300-00003A000000}"/>
    <hyperlink ref="F45" location="'Pseudo-load coefficients'!A4" display="'" xr:uid="{00000000-0004-0000-0300-00003B000000}"/>
    <hyperlink ref="G45" location="'Pseudo-load coefficients'!$B$13" display="'Pseudo-load coefficients'!$B$13" xr:uid="{00000000-0004-0000-0300-00003C000000}"/>
    <hyperlink ref="F46" location="'Pseudo-load coefficients'!A4" display="'" xr:uid="{00000000-0004-0000-0300-00003D000000}"/>
    <hyperlink ref="G46" location="'Pseudo-load coefficients'!$B$56" display="'Pseudo-load coefficients'!$B$56" xr:uid="{00000000-0004-0000-0300-00003E000000}"/>
    <hyperlink ref="F47" location="'Pseudo-load coefficients'!A4" display="'" xr:uid="{00000000-0004-0000-0300-00003F000000}"/>
    <hyperlink ref="G47" location="'Pseudo-load coefficients'!$B$95" display="'Pseudo-load coefficients'!$B$95" xr:uid="{00000000-0004-0000-0300-000040000000}"/>
    <hyperlink ref="F48" location="'Pseudo-load coefficients'!A4" display="'" xr:uid="{00000000-0004-0000-0300-000041000000}"/>
    <hyperlink ref="G48" location="'Pseudo-load coefficients'!$B$261" display="'Pseudo-load coefficients'!$B$261" xr:uid="{00000000-0004-0000-0300-000042000000}"/>
    <hyperlink ref="F49" location="'System peak demand'!A4" display="'" xr:uid="{00000000-0004-0000-0300-000043000000}"/>
    <hyperlink ref="G49" location="'System peak demand'!$B$16" display="'System peak demand'!$B$16" xr:uid="{00000000-0004-0000-0300-000044000000}"/>
    <hyperlink ref="F50" location="'System peak demand'!A4" display="'" xr:uid="{00000000-0004-0000-0300-000045000000}"/>
    <hyperlink ref="G50" location="'System peak demand'!$B$63" display="'System peak demand'!$B$63" xr:uid="{00000000-0004-0000-0300-000046000000}"/>
    <hyperlink ref="F51" location="'System peak demand'!A4" display="'" xr:uid="{00000000-0004-0000-0300-000047000000}"/>
    <hyperlink ref="G51" location="'System peak demand'!$B$179" display="'System peak demand'!$B$179" xr:uid="{00000000-0004-0000-0300-000048000000}"/>
    <hyperlink ref="F52" location="'System peak demand'!A4" display="'" xr:uid="{00000000-0004-0000-0300-000049000000}"/>
    <hyperlink ref="G52" location="'System peak demand'!$B$262" display="'System peak demand'!$B$262" xr:uid="{00000000-0004-0000-0300-00004A000000}"/>
    <hyperlink ref="F53" location="'Service model assets'!A4" display="'" xr:uid="{00000000-0004-0000-0300-00004B000000}"/>
    <hyperlink ref="G53" location="'Service model assets'!$B$12" display="'Service model assets'!$B$12" xr:uid="{00000000-0004-0000-0300-00004C000000}"/>
    <hyperlink ref="F54" location="'Unit costs'!A4" display="'" xr:uid="{00000000-0004-0000-0300-00004D000000}"/>
    <hyperlink ref="G54" location="'Unit costs'!$B$15" display="'Unit costs'!$B$15" xr:uid="{00000000-0004-0000-0300-00004E000000}"/>
    <hyperlink ref="F55" location="'Unit costs'!A4" display="'" xr:uid="{00000000-0004-0000-0300-00004F000000}"/>
    <hyperlink ref="G55" location="'Unit costs'!$B$58" display="'Unit costs'!$B$58" xr:uid="{00000000-0004-0000-0300-000050000000}"/>
    <hyperlink ref="F56" location="'Unit costs'!A4" display="'" xr:uid="{00000000-0004-0000-0300-000051000000}"/>
    <hyperlink ref="G56" location="'Unit costs'!$B$102" display="'Unit costs'!$B$102" xr:uid="{00000000-0004-0000-0300-000052000000}"/>
    <hyperlink ref="F57" location="'Initial unit rates'!A4" display="'" xr:uid="{00000000-0004-0000-0300-000053000000}"/>
    <hyperlink ref="G57" location="'Initial unit rates'!$B$11" display="'Initial unit rates'!$B$11" xr:uid="{00000000-0004-0000-0300-000054000000}"/>
    <hyperlink ref="F58" location="'Initial unit rates'!A4" display="'" xr:uid="{00000000-0004-0000-0300-000055000000}"/>
    <hyperlink ref="G58" location="'Initial unit rates'!$B$116" display="'Initial unit rates'!$B$116" xr:uid="{00000000-0004-0000-0300-000056000000}"/>
    <hyperlink ref="F59" location="'Service model charges'!A4" display="'" xr:uid="{00000000-0004-0000-0300-000057000000}"/>
    <hyperlink ref="G59" location="'Service model charges'!$B$13" display="'Service model charges'!$B$13" xr:uid="{00000000-0004-0000-0300-000058000000}"/>
    <hyperlink ref="F60" location="'Service model charges'!A4" display="'" xr:uid="{00000000-0004-0000-0300-000059000000}"/>
    <hyperlink ref="G60" location="'Service model charges'!$B$29" display="'Service model charges'!$B$29" xr:uid="{00000000-0004-0000-0300-00005A000000}"/>
    <hyperlink ref="F61" location="'Unit rate charges'!A4" display="'" xr:uid="{00000000-0004-0000-0300-00005B000000}"/>
    <hyperlink ref="G61" location="'Unit rate charges'!$B$15" display="'Unit rate charges'!$B$15" xr:uid="{00000000-0004-0000-0300-00005C000000}"/>
    <hyperlink ref="F62" location="'Unit rate charges'!A4" display="'" xr:uid="{00000000-0004-0000-0300-00005D000000}"/>
    <hyperlink ref="G62" location="'Unit rate charges'!$B$122" display="'Unit rate charges'!$B$122" xr:uid="{00000000-0004-0000-0300-00005E000000}"/>
    <hyperlink ref="F63" location="'Reactive power charges'!A4" display="'" xr:uid="{00000000-0004-0000-0300-00005F000000}"/>
    <hyperlink ref="G63" location="'Reactive power charges'!$B$13" display="'Reactive power charges'!$B$13" xr:uid="{00000000-0004-0000-0300-000060000000}"/>
    <hyperlink ref="F64" location="'Reactive power charges'!A4" display="'" xr:uid="{00000000-0004-0000-0300-000061000000}"/>
    <hyperlink ref="G64" location="'Reactive power charges'!$B$150" display="'Reactive power charges'!$B$150" xr:uid="{00000000-0004-0000-0300-000062000000}"/>
    <hyperlink ref="F65" location="'Reactive power charges'!A4" display="'" xr:uid="{00000000-0004-0000-0300-000063000000}"/>
    <hyperlink ref="G65" location="'Reactive power charges'!$B$185" display="'Reactive power charges'!$B$185" xr:uid="{00000000-0004-0000-0300-000064000000}"/>
    <hyperlink ref="F66" location="'Capacity charges'!A4" display="'" xr:uid="{00000000-0004-0000-0300-000065000000}"/>
    <hyperlink ref="G66" location="'Capacity charges'!$B$17" display="'Capacity charges'!$B$17" xr:uid="{00000000-0004-0000-0300-000066000000}"/>
    <hyperlink ref="F67" location="'Capacity charges'!A4" display="'" xr:uid="{00000000-0004-0000-0300-000067000000}"/>
    <hyperlink ref="G67" location="'Capacity charges'!$B$125" display="'Capacity charges'!$B$125" xr:uid="{00000000-0004-0000-0300-000068000000}"/>
    <hyperlink ref="F68" location="'Capacity charges'!A4" display="'" xr:uid="{00000000-0004-0000-0300-000069000000}"/>
    <hyperlink ref="G68" location="'Capacity charges'!$B$249" display="'Capacity charges'!$B$249" xr:uid="{00000000-0004-0000-0300-00006A000000}"/>
    <hyperlink ref="F69" location="'Fixed charges'!A4" display="'" xr:uid="{00000000-0004-0000-0300-00006B000000}"/>
    <hyperlink ref="G69" location="'Fixed charges'!$B$14" display="'Fixed charges'!$B$14" xr:uid="{00000000-0004-0000-0300-00006C000000}"/>
    <hyperlink ref="F70" location="'Fixed charges'!A4" display="'" xr:uid="{00000000-0004-0000-0300-00006D000000}"/>
    <hyperlink ref="G70" location="'Fixed charges'!$B$65" display="'Fixed charges'!$B$65" xr:uid="{00000000-0004-0000-0300-00006E000000}"/>
    <hyperlink ref="F71" location="'Revenue matching'!A4" display="'" xr:uid="{00000000-0004-0000-0300-00006F000000}"/>
    <hyperlink ref="G71" location="'Revenue matching'!$B$13" display="'Revenue matching'!$B$13" xr:uid="{00000000-0004-0000-0300-000070000000}"/>
    <hyperlink ref="F72" location="'Revenue matching'!A4" display="'" xr:uid="{00000000-0004-0000-0300-000071000000}"/>
    <hyperlink ref="G72" location="'Revenue matching'!$B$62" display="'Revenue matching'!$B$62" xr:uid="{00000000-0004-0000-0300-000072000000}"/>
    <hyperlink ref="F73" location="'Fixed charge adder'!A4" display="'" xr:uid="{00000000-0004-0000-0300-000073000000}"/>
    <hyperlink ref="G73" location="'Fixed charge adder'!$B$12" display="'Fixed charge adder'!$B$12" xr:uid="{00000000-0004-0000-0300-000074000000}"/>
    <hyperlink ref="F74" location="'Rounding'!A4" display="'" xr:uid="{00000000-0004-0000-0300-000075000000}"/>
    <hyperlink ref="G74" location="'Rounding'!$B$12" display="'Rounding'!$B$12" xr:uid="{00000000-0004-0000-0300-000076000000}"/>
    <hyperlink ref="F75" location="'Rounding'!A4" display="'" xr:uid="{00000000-0004-0000-0300-000077000000}"/>
    <hyperlink ref="G75" location="'Rounding'!$B$83" display="'Rounding'!$B$83" xr:uid="{00000000-0004-0000-0300-000078000000}"/>
    <hyperlink ref="F76" location="'Net revenue summary'!A4" display="'" xr:uid="{00000000-0004-0000-0300-000079000000}"/>
    <hyperlink ref="G76" location="'Net revenue summary'!$B$11" display="'Net revenue summary'!$B$11" xr:uid="{00000000-0004-0000-0300-00007A000000}"/>
    <hyperlink ref="F77" location="'Net revenue summary'!A4" display="'" xr:uid="{00000000-0004-0000-0300-00007B000000}"/>
    <hyperlink ref="G77" location="'Net revenue summary'!$B$79" display="'Net revenue summary'!$B$79" xr:uid="{00000000-0004-0000-0300-00007C000000}"/>
    <hyperlink ref="F78" location="'Tariff summary'!A4" display="'" xr:uid="{00000000-0004-0000-0300-00007D000000}"/>
    <hyperlink ref="G78" location="'Tariff summary'!$B$13" display="'Tariff summary'!$B$13" xr:uid="{00000000-0004-0000-0300-00007E000000}"/>
    <hyperlink ref="F79" location="'Typical bills'!A4" display="'" xr:uid="{00000000-0004-0000-0300-00007F000000}"/>
    <hyperlink ref="G79" location="'Typical bills'!$B$13" display="'Typical bills'!$B$13" xr:uid="{00000000-0004-0000-0300-000080000000}"/>
    <hyperlink ref="F86" location="'ARP_CDCM timebands'!A4" display="'" xr:uid="{00000000-0004-0000-0300-000081000000}"/>
    <hyperlink ref="G86" location="'ARP_CDCM timebands'!$C$14" display="'ARP_CDCM timebands'!$C$14" xr:uid="{00000000-0004-0000-0300-000082000000}"/>
    <hyperlink ref="F87" location="'ARP_CDCM timebands'!A4" display="'" xr:uid="{00000000-0004-0000-0300-000083000000}"/>
    <hyperlink ref="G87" location="'ARP_CDCM timebands'!$C$26" display="'ARP_CDCM timebands'!$C$26" xr:uid="{00000000-0004-0000-0300-000084000000}"/>
    <hyperlink ref="F88" location="'ARP_User control'!A4" display="'" xr:uid="{00000000-0004-0000-0300-000085000000}"/>
    <hyperlink ref="G88" location="'ARP_User control'!$C$15" display="'ARP_User control'!$C$15" xr:uid="{00000000-0004-0000-0300-000086000000}"/>
    <hyperlink ref="F89" location="'ARP_User control'!A4" display="'" xr:uid="{00000000-0004-0000-0300-000087000000}"/>
    <hyperlink ref="G89" location="'ARP_User control'!$C$19" display="'ARP_User control'!$C$19" xr:uid="{00000000-0004-0000-0300-000088000000}"/>
    <hyperlink ref="F90" location="'ARP_Inputs by customer type'!A4" display="'" xr:uid="{00000000-0004-0000-0300-000089000000}"/>
    <hyperlink ref="G90" location="'ARP_Inputs by customer type'!$C$16" display="'ARP_Inputs by customer type'!$C$16" xr:uid="{00000000-0004-0000-0300-00008A000000}"/>
    <hyperlink ref="F91" location="'ARP_Inputs by customer type'!A4" display="'" xr:uid="{00000000-0004-0000-0300-00008B000000}"/>
    <hyperlink ref="G91" location="'ARP_Inputs by customer type'!$C$36" display="'ARP_Inputs by customer type'!$C$36" xr:uid="{00000000-0004-0000-0300-00008C000000}"/>
    <hyperlink ref="F92" location="'ARP_Inputs by customer type'!A4" display="'" xr:uid="{00000000-0004-0000-0300-00008D000000}"/>
    <hyperlink ref="G92" location="'ARP_Inputs by customer type'!$C$58" display="'ARP_Inputs by customer type'!$C$58" xr:uid="{00000000-0004-0000-0300-00008E000000}"/>
    <hyperlink ref="F93" location="'ARP_Inputs by customer type'!A4" display="'" xr:uid="{00000000-0004-0000-0300-00008F000000}"/>
    <hyperlink ref="G93" location="'ARP_Inputs by customer type'!$C$186" display="'ARP_Inputs by customer type'!$C$186" xr:uid="{00000000-0004-0000-0300-000090000000}"/>
    <hyperlink ref="F94" location="'ARP_Inputs by customer type'!A4" display="'" xr:uid="{00000000-0004-0000-0300-000091000000}"/>
    <hyperlink ref="G94" location="'ARP_Inputs by customer type'!$C$314" display="'ARP_Inputs by customer type'!$C$314" xr:uid="{00000000-0004-0000-0300-000092000000}"/>
    <hyperlink ref="F95" location="'ARP_Inputs by customer type'!A4" display="'" xr:uid="{00000000-0004-0000-0300-000093000000}"/>
    <hyperlink ref="G95" location="'ARP_Inputs by customer type'!$C$442" display="'ARP_Inputs by customer type'!$C$442" xr:uid="{00000000-0004-0000-0300-000094000000}"/>
    <hyperlink ref="F96" location="'ARP_Inputs by customer type'!A4" display="'" xr:uid="{00000000-0004-0000-0300-000095000000}"/>
    <hyperlink ref="G96" location="'ARP_Inputs by customer type'!$C$466" display="'ARP_Inputs by customer type'!$C$466" xr:uid="{00000000-0004-0000-0300-000096000000}"/>
    <hyperlink ref="F97" location="'ARP_Inputs by customer type'!A4" display="'" xr:uid="{00000000-0004-0000-0300-000097000000}"/>
    <hyperlink ref="G97" location="'ARP_Inputs by customer type'!$C$486" display="'ARP_Inputs by customer type'!$C$486" xr:uid="{00000000-0004-0000-0300-000098000000}"/>
    <hyperlink ref="F98" location="'ARP_Inputs by customer type'!A4" display="'" xr:uid="{00000000-0004-0000-0300-000099000000}"/>
    <hyperlink ref="G98" location="'ARP_Inputs by customer type'!$C$506" display="'ARP_Inputs by customer type'!$C$506" xr:uid="{00000000-0004-0000-0300-00009A000000}"/>
    <hyperlink ref="F99" location="'ARP_Inputs by network level'!A4" display="'" xr:uid="{00000000-0004-0000-0300-00009B000000}"/>
    <hyperlink ref="G99" location="'ARP_Inputs by network level'!$C$16" display="'ARP_Inputs by network level'!$C$16" xr:uid="{00000000-0004-0000-0300-00009C000000}"/>
    <hyperlink ref="F100" location="'ARP_Inputs by network level'!A4" display="'" xr:uid="{00000000-0004-0000-0300-00009D000000}"/>
    <hyperlink ref="G100" location="'ARP_Inputs by network level'!$C$30" display="'ARP_Inputs by network level'!$C$30" xr:uid="{00000000-0004-0000-0300-00009E000000}"/>
    <hyperlink ref="F101" location="'ARP_Inputs by network level'!A4" display="'" xr:uid="{00000000-0004-0000-0300-00009F000000}"/>
    <hyperlink ref="G101" location="'ARP_Inputs by network level'!$C$44" display="'ARP_Inputs by network level'!$C$44" xr:uid="{00000000-0004-0000-0300-0000A0000000}"/>
    <hyperlink ref="F102" location="'ARP_Inputs by network level'!A4" display="'" xr:uid="{00000000-0004-0000-0300-0000A1000000}"/>
    <hyperlink ref="G102" location="'ARP_Inputs by network level'!$C$58" display="'ARP_Inputs by network level'!$C$58" xr:uid="{00000000-0004-0000-0300-0000A2000000}"/>
    <hyperlink ref="F103" location="'ARP_Inputs by network level'!A4" display="'" xr:uid="{00000000-0004-0000-0300-0000A3000000}"/>
    <hyperlink ref="G103" location="'ARP_Inputs by network level'!$C$72" display="'ARP_Inputs by network level'!$C$72" xr:uid="{00000000-0004-0000-0300-0000A4000000}"/>
    <hyperlink ref="F104" location="'ARP_Inputs by network level'!A4" display="'" xr:uid="{00000000-0004-0000-0300-0000A5000000}"/>
    <hyperlink ref="G104" location="'ARP_Inputs by network level'!$C$120" display="'ARP_Inputs by network level'!$C$120" xr:uid="{00000000-0004-0000-0300-0000A6000000}"/>
    <hyperlink ref="F105" location="'ARP_Inputs by network level'!A4" display="'" xr:uid="{00000000-0004-0000-0300-0000A7000000}"/>
    <hyperlink ref="G105" location="'ARP_Inputs by network level'!$C$134" display="'ARP_Inputs by network level'!$C$134" xr:uid="{00000000-0004-0000-0300-0000A8000000}"/>
    <hyperlink ref="F106" location="'ARP_General inputs'!A4" display="'" xr:uid="{00000000-0004-0000-0300-0000A9000000}"/>
    <hyperlink ref="G106" location="'ARP_General inputs'!$C$16" display="'ARP_General inputs'!$C$16" xr:uid="{00000000-0004-0000-0300-0000AA000000}"/>
    <hyperlink ref="F107" location="'ARP_General inputs'!A4" display="'" xr:uid="{00000000-0004-0000-0300-0000AB000000}"/>
    <hyperlink ref="G107" location="'ARP_General inputs'!$C$28" display="'ARP_General inputs'!$C$28" xr:uid="{00000000-0004-0000-0300-0000AC000000}"/>
    <hyperlink ref="F108" location="'ARP_General inputs'!A4" display="'" xr:uid="{00000000-0004-0000-0300-0000AD000000}"/>
    <hyperlink ref="G108" location="'ARP_General inputs'!$C$38" display="'ARP_General inputs'!$C$38" xr:uid="{00000000-0004-0000-0300-0000AE000000}"/>
    <hyperlink ref="F109" location="'ARP_General inputs'!A4" display="'" xr:uid="{00000000-0004-0000-0300-0000AF000000}"/>
    <hyperlink ref="G109" location="'ARP_General inputs'!$C$98" display="'ARP_General inputs'!$C$98" xr:uid="{00000000-0004-0000-0300-0000B0000000}"/>
    <hyperlink ref="F110" location="'ARP_General inputs'!A4" display="'" xr:uid="{00000000-0004-0000-0300-0000B1000000}"/>
    <hyperlink ref="G110" location="'ARP_General inputs'!$C$103" display="'ARP_General inputs'!$C$103" xr:uid="{00000000-0004-0000-0300-0000B2000000}"/>
    <hyperlink ref="F111" location="'ARP_General inputs'!A4" display="'" xr:uid="{00000000-0004-0000-0300-0000B3000000}"/>
    <hyperlink ref="G111" location="'ARP_General inputs'!$C$107" display="'ARP_General inputs'!$C$107" xr:uid="{00000000-0004-0000-0300-0000B4000000}"/>
    <hyperlink ref="F112" location="'Fixed inputs'!A4" display="'" xr:uid="{00000000-0004-0000-0300-0000B5000000}"/>
    <hyperlink ref="G112" location="'Fixed inputs'!$C$13" display="'Fixed inputs'!$C$13" xr:uid="{00000000-0004-0000-0300-0000B6000000}"/>
    <hyperlink ref="F113" location="'Fixed inputs'!A4" display="'" xr:uid="{00000000-0004-0000-0300-0000B7000000}"/>
    <hyperlink ref="G113" location="'Fixed inputs'!$C$20" display="'Fixed inputs'!$C$20" xr:uid="{00000000-0004-0000-0300-0000B8000000}"/>
    <hyperlink ref="F114" location="'Fixed inputs'!A4" display="'" xr:uid="{00000000-0004-0000-0300-0000B9000000}"/>
    <hyperlink ref="G114" location="'Fixed inputs'!$C$33" display="'Fixed inputs'!$C$33" xr:uid="{00000000-0004-0000-0300-0000BA000000}"/>
    <hyperlink ref="F115" location="'Fixed inputs'!A4" display="'" xr:uid="{00000000-0004-0000-0300-0000BB000000}"/>
    <hyperlink ref="G115" location="'Fixed inputs'!$C$43" display="'Fixed inputs'!$C$43" xr:uid="{00000000-0004-0000-0300-0000BC000000}"/>
    <hyperlink ref="F116" location="'Fixed inputs'!A4" display="'" xr:uid="{00000000-0004-0000-0300-0000BD000000}"/>
    <hyperlink ref="G116" location="'Fixed inputs'!$C$84" display="'Fixed inputs'!$C$84" xr:uid="{00000000-0004-0000-0300-0000BE000000}"/>
    <hyperlink ref="F117" location="'Fixed inputs'!A4" display="'" xr:uid="{00000000-0004-0000-0300-0000BF000000}"/>
    <hyperlink ref="G117" location="'Fixed inputs'!$C$99" display="'Fixed inputs'!$C$99" xr:uid="{00000000-0004-0000-0300-0000C0000000}"/>
    <hyperlink ref="F118" location="'Fixed inputs'!A4" display="'" xr:uid="{00000000-0004-0000-0300-0000C1000000}"/>
    <hyperlink ref="G118" location="'Fixed inputs'!$C$141" display="'Fixed inputs'!$C$141" xr:uid="{00000000-0004-0000-0300-0000C2000000}"/>
    <hyperlink ref="F119" location="'Fixed inputs'!A4" display="'" xr:uid="{00000000-0004-0000-0300-0000C3000000}"/>
    <hyperlink ref="G119" location="'Fixed inputs'!$C$151" display="'Fixed inputs'!$C$151" xr:uid="{00000000-0004-0000-0300-0000C4000000}"/>
    <hyperlink ref="F120" location="'Fixed inputs'!A4" display="'" xr:uid="{00000000-0004-0000-0300-0000C5000000}"/>
    <hyperlink ref="G120" location="'Fixed inputs'!$C$155" display="'Fixed inputs'!$C$155" xr:uid="{00000000-0004-0000-0300-0000C6000000}"/>
    <hyperlink ref="F121" location="'Inputs by customer type'!A4" display="'" xr:uid="{00000000-0004-0000-0300-0000C7000000}"/>
    <hyperlink ref="G121" location="'Inputs by customer type'!$C$16" display="'Inputs by customer type'!$C$16" xr:uid="{00000000-0004-0000-0300-0000C8000000}"/>
    <hyperlink ref="F122" location="'Inputs by customer type'!A4" display="'" xr:uid="{00000000-0004-0000-0300-0000C9000000}"/>
    <hyperlink ref="G122" location="'Inputs by customer type'!$C$21" display="'Inputs by customer type'!$C$21" xr:uid="{00000000-0004-0000-0300-0000CA000000}"/>
    <hyperlink ref="F123" location="'Inputs by customer type'!A4" display="'" xr:uid="{00000000-0004-0000-0300-0000CB000000}"/>
    <hyperlink ref="G123" location="'Inputs by customer type'!$C$52" display="'Inputs by customer type'!$C$52" xr:uid="{00000000-0004-0000-0300-0000CC000000}"/>
    <hyperlink ref="F124" location="'Inputs by network level'!A4" display="'" xr:uid="{00000000-0004-0000-0300-0000CD000000}"/>
    <hyperlink ref="G124" location="'Inputs by network level'!$C$16" display="'Inputs by network level'!$C$16" xr:uid="{00000000-0004-0000-0300-0000CE000000}"/>
    <hyperlink ref="F125" location="'Inputs by network level'!A4" display="'" xr:uid="{00000000-0004-0000-0300-0000CF000000}"/>
    <hyperlink ref="G125" location="'Inputs by network level'!$C$26" display="'Inputs by network level'!$C$26" xr:uid="{00000000-0004-0000-0300-0000D0000000}"/>
    <hyperlink ref="F126" location="'Inputs by network level'!A4" display="'" xr:uid="{00000000-0004-0000-0300-0000D1000000}"/>
    <hyperlink ref="G126" location="'Inputs by network level'!$C$34" display="'Inputs by network level'!$C$34" xr:uid="{00000000-0004-0000-0300-0000D2000000}"/>
    <hyperlink ref="F127" location="'Inputs by network level'!A4" display="'" xr:uid="{00000000-0004-0000-0300-0000D3000000}"/>
    <hyperlink ref="G127" location="'Inputs by network level'!$C$38" display="'Inputs by network level'!$C$38" xr:uid="{00000000-0004-0000-0300-0000D4000000}"/>
    <hyperlink ref="F128" location="'General inputs'!A4" display="'" xr:uid="{00000000-0004-0000-0300-0000D5000000}"/>
    <hyperlink ref="G128" location="'General inputs'!$C$16" display="'General inputs'!$C$16" xr:uid="{00000000-0004-0000-0300-0000D6000000}"/>
    <hyperlink ref="F129" location="'General inputs'!A4" display="'" xr:uid="{00000000-0004-0000-0300-0000D7000000}"/>
    <hyperlink ref="G129" location="'General inputs'!$C$28" display="'General inputs'!$C$28" xr:uid="{00000000-0004-0000-0300-0000D8000000}"/>
    <hyperlink ref="F130" location="'General inputs'!A4" display="'" xr:uid="{00000000-0004-0000-0300-0000D9000000}"/>
    <hyperlink ref="G130" location="'General inputs'!$C$38" display="'General inputs'!$C$38" xr:uid="{00000000-0004-0000-0300-0000DA000000}"/>
    <hyperlink ref="F131" location="'General inputs'!A4" display="'" xr:uid="{00000000-0004-0000-0300-0000DB000000}"/>
    <hyperlink ref="G131" location="'General inputs'!$C$92" display="'General inputs'!$C$92" xr:uid="{00000000-0004-0000-0300-0000DC000000}"/>
    <hyperlink ref="F132" location="'General inputs'!A4" display="'" xr:uid="{00000000-0004-0000-0300-0000DD000000}"/>
    <hyperlink ref="G132" location="'General inputs'!$C$98" display="'General inputs'!$C$98" xr:uid="{00000000-0004-0000-0300-0000DE000000}"/>
    <hyperlink ref="F133" location="'General inputs'!A4" display="'" xr:uid="{00000000-0004-0000-0300-0000DF000000}"/>
    <hyperlink ref="G133" location="'General inputs'!$C$102" display="'General inputs'!$C$102" xr:uid="{00000000-0004-0000-0300-0000E0000000}"/>
    <hyperlink ref="F134" location="'Standing charge factors'!A4" display="'" xr:uid="{00000000-0004-0000-0300-0000E1000000}"/>
    <hyperlink ref="G134" location="'Standing charge factors'!$C$19" display="'Standing charge factors'!$C$19" xr:uid="{00000000-0004-0000-0300-0000E2000000}"/>
    <hyperlink ref="F135" location="'Load &amp; loss characteristics'!A4" display="'" xr:uid="{00000000-0004-0000-0300-0000E3000000}"/>
    <hyperlink ref="G135" location="'Load &amp; loss characteristics'!$C$17" display="'Load &amp; loss characteristics'!$C$17" xr:uid="{00000000-0004-0000-0300-0000E4000000}"/>
    <hyperlink ref="F136" location="'Load &amp; loss characteristics'!A4" display="'" xr:uid="{00000000-0004-0000-0300-0000E5000000}"/>
    <hyperlink ref="G136" location="'Load &amp; loss characteristics'!$C$25" display="'Load &amp; loss characteristics'!$C$25" xr:uid="{00000000-0004-0000-0300-0000E6000000}"/>
    <hyperlink ref="F137" location="'Load &amp; loss characteristics'!A4" display="'" xr:uid="{00000000-0004-0000-0300-0000E7000000}"/>
    <hyperlink ref="G137" location="'Load &amp; loss characteristics'!$C$35" display="'Load &amp; loss characteristics'!$C$35" xr:uid="{00000000-0004-0000-0300-0000E8000000}"/>
    <hyperlink ref="F138" location="'Load &amp; loss characteristics'!A4" display="'" xr:uid="{00000000-0004-0000-0300-0000E9000000}"/>
    <hyperlink ref="G138" location="'Load &amp; loss characteristics'!$C$40" display="'Load &amp; loss characteristics'!$C$40" xr:uid="{00000000-0004-0000-0300-0000EA000000}"/>
    <hyperlink ref="F139" location="'Load &amp; loss characteristics'!A4" display="'" xr:uid="{00000000-0004-0000-0300-0000EB000000}"/>
    <hyperlink ref="G139" location="'Load &amp; loss characteristics'!$C$121" display="'Load &amp; loss characteristics'!$C$121" xr:uid="{00000000-0004-0000-0300-0000EC000000}"/>
    <hyperlink ref="F140" location="'Customer contributions'!A4" display="'" xr:uid="{00000000-0004-0000-0300-0000ED000000}"/>
    <hyperlink ref="G140" location="'Customer contributions'!$C$16" display="'Customer contributions'!$C$16" xr:uid="{00000000-0004-0000-0300-0000EE000000}"/>
    <hyperlink ref="F141" location="'Customer contributions'!A4" display="'" xr:uid="{00000000-0004-0000-0300-0000EF000000}"/>
    <hyperlink ref="G141" location="'Customer contributions'!$C$38" display="'Customer contributions'!$C$38" xr:uid="{00000000-0004-0000-0300-0000F0000000}"/>
    <hyperlink ref="F142" location="'Volume adjustments'!A4" display="'" xr:uid="{00000000-0004-0000-0300-0000F1000000}"/>
    <hyperlink ref="G142" location="'Volume adjustments'!$C$15" display="'Volume adjustments'!$C$15" xr:uid="{00000000-0004-0000-0300-0000F2000000}"/>
    <hyperlink ref="F143" location="'Volume adjustments'!A4" display="'" xr:uid="{00000000-0004-0000-0300-0000F3000000}"/>
    <hyperlink ref="G143" location="'Volume adjustments'!$C$55" display="'Volume adjustments'!$C$55" xr:uid="{00000000-0004-0000-0300-0000F4000000}"/>
    <hyperlink ref="F144" location="'Pseudo-load coefficients'!A4" display="'" xr:uid="{00000000-0004-0000-0300-0000F5000000}"/>
    <hyperlink ref="G144" location="'Pseudo-load coefficients'!$C$18" display="'Pseudo-load coefficients'!$C$18" xr:uid="{00000000-0004-0000-0300-0000F6000000}"/>
    <hyperlink ref="F145" location="'Pseudo-load coefficients'!A4" display="'" xr:uid="{00000000-0004-0000-0300-0000F7000000}"/>
    <hyperlink ref="G145" location="'Pseudo-load coefficients'!$C$28" display="'Pseudo-load coefficients'!$C$28" xr:uid="{00000000-0004-0000-0300-0000F8000000}"/>
    <hyperlink ref="F146" location="'Pseudo-load coefficients'!A4" display="'" xr:uid="{00000000-0004-0000-0300-0000F9000000}"/>
    <hyperlink ref="G146" location="'Pseudo-load coefficients'!$C$36" display="'Pseudo-load coefficients'!$C$36" xr:uid="{00000000-0004-0000-0300-0000FA000000}"/>
    <hyperlink ref="F147" location="'Pseudo-load coefficients'!A4" display="'" xr:uid="{00000000-0004-0000-0300-0000FB000000}"/>
    <hyperlink ref="G147" location="'Pseudo-load coefficients'!$C$52" display="'Pseudo-load coefficients'!$C$52" xr:uid="{00000000-0004-0000-0300-0000FC000000}"/>
    <hyperlink ref="F148" location="'Pseudo-load coefficients'!A4" display="'" xr:uid="{00000000-0004-0000-0300-0000FD000000}"/>
    <hyperlink ref="G148" location="'Pseudo-load coefficients'!$C$60" display="'Pseudo-load coefficients'!$C$60" xr:uid="{00000000-0004-0000-0300-0000FE000000}"/>
    <hyperlink ref="F149" location="'Pseudo-load coefficients'!A4" display="'" xr:uid="{00000000-0004-0000-0300-0000FF000000}"/>
    <hyperlink ref="G149" location="'Pseudo-load coefficients'!$C$65" display="'Pseudo-load coefficients'!$C$65" xr:uid="{00000000-0004-0000-0300-000000010000}"/>
    <hyperlink ref="F150" location="'Pseudo-load coefficients'!A4" display="'" xr:uid="{00000000-0004-0000-0300-000001010000}"/>
    <hyperlink ref="G150" location="'Pseudo-load coefficients'!$C$87" display="'Pseudo-load coefficients'!$C$87" xr:uid="{00000000-0004-0000-0300-000002010000}"/>
    <hyperlink ref="F151" location="'Pseudo-load coefficients'!A4" display="'" xr:uid="{00000000-0004-0000-0300-000003010000}"/>
    <hyperlink ref="G151" location="'Pseudo-load coefficients'!$C$100" display="'Pseudo-load coefficients'!$C$100" xr:uid="{00000000-0004-0000-0300-000004010000}"/>
    <hyperlink ref="F152" location="'Pseudo-load coefficients'!A4" display="'" xr:uid="{00000000-0004-0000-0300-000005010000}"/>
    <hyperlink ref="G152" location="'Pseudo-load coefficients'!$C$174" display="'Pseudo-load coefficients'!$C$174" xr:uid="{00000000-0004-0000-0300-000006010000}"/>
    <hyperlink ref="F153" location="'Pseudo-load coefficients'!A4" display="'" xr:uid="{00000000-0004-0000-0300-000007010000}"/>
    <hyperlink ref="G153" location="'Pseudo-load coefficients'!$C$221" display="'Pseudo-load coefficients'!$C$221" xr:uid="{00000000-0004-0000-0300-000008010000}"/>
    <hyperlink ref="F154" location="'Pseudo-load coefficients'!A4" display="'" xr:uid="{00000000-0004-0000-0300-000009010000}"/>
    <hyperlink ref="G154" location="'Pseudo-load coefficients'!$C$265" display="'Pseudo-load coefficients'!$C$265" xr:uid="{00000000-0004-0000-0300-00000A010000}"/>
    <hyperlink ref="F155" location="'Pseudo-load coefficients'!A4" display="'" xr:uid="{00000000-0004-0000-0300-00000B010000}"/>
    <hyperlink ref="G155" location="'Pseudo-load coefficients'!$C$269" display="'Pseudo-load coefficients'!$C$269" xr:uid="{00000000-0004-0000-0300-00000C010000}"/>
    <hyperlink ref="F156" location="'System peak demand'!A4" display="'" xr:uid="{00000000-0004-0000-0300-00000D010000}"/>
    <hyperlink ref="G156" location="'System peak demand'!$C$18" display="'System peak demand'!$C$18" xr:uid="{00000000-0004-0000-0300-00000E010000}"/>
    <hyperlink ref="F157" location="'System peak demand'!A4" display="'" xr:uid="{00000000-0004-0000-0300-00000F010000}"/>
    <hyperlink ref="G157" location="'System peak demand'!$C$67" display="'System peak demand'!$C$67" xr:uid="{00000000-0004-0000-0300-000010010000}"/>
    <hyperlink ref="F158" location="'System peak demand'!A4" display="'" xr:uid="{00000000-0004-0000-0300-000011010000}"/>
    <hyperlink ref="G158" location="'System peak demand'!$C$138" display="'System peak demand'!$C$138" xr:uid="{00000000-0004-0000-0300-000012010000}"/>
    <hyperlink ref="F159" location="'System peak demand'!A4" display="'" xr:uid="{00000000-0004-0000-0300-000013010000}"/>
    <hyperlink ref="G159" location="'System peak demand'!$C$164" display="'System peak demand'!$C$164" xr:uid="{00000000-0004-0000-0300-000014010000}"/>
    <hyperlink ref="F160" location="'System peak demand'!A4" display="'" xr:uid="{00000000-0004-0000-0300-000015010000}"/>
    <hyperlink ref="G160" location="'System peak demand'!$C$184" display="'System peak demand'!$C$184" xr:uid="{00000000-0004-0000-0300-000016010000}"/>
    <hyperlink ref="F161" location="'System peak demand'!A4" display="'" xr:uid="{00000000-0004-0000-0300-000017010000}"/>
    <hyperlink ref="G161" location="'System peak demand'!$C$194" display="'System peak demand'!$C$194" xr:uid="{00000000-0004-0000-0300-000018010000}"/>
    <hyperlink ref="F162" location="'System peak demand'!A4" display="'" xr:uid="{00000000-0004-0000-0300-000019010000}"/>
    <hyperlink ref="G162" location="'System peak demand'!$C$236" display="'System peak demand'!$C$236" xr:uid="{00000000-0004-0000-0300-00001A010000}"/>
    <hyperlink ref="F163" location="'System peak demand'!A4" display="'" xr:uid="{00000000-0004-0000-0300-00001B010000}"/>
    <hyperlink ref="G163" location="'System peak demand'!$C$249" display="'System peak demand'!$C$249" xr:uid="{00000000-0004-0000-0300-00001C010000}"/>
    <hyperlink ref="F164" location="'System peak demand'!A4" display="'" xr:uid="{00000000-0004-0000-0300-00001D010000}"/>
    <hyperlink ref="G164" location="'System peak demand'!$C$266" display="'System peak demand'!$C$266" xr:uid="{00000000-0004-0000-0300-00001E010000}"/>
    <hyperlink ref="F165" location="'Service model assets'!A4" display="'" xr:uid="{00000000-0004-0000-0300-00001F010000}"/>
    <hyperlink ref="G165" location="'Service model assets'!$C$14" display="'Service model assets'!$C$14" xr:uid="{00000000-0004-0000-0300-000020010000}"/>
    <hyperlink ref="F166" location="'Unit costs'!A4" display="'" xr:uid="{00000000-0004-0000-0300-000021010000}"/>
    <hyperlink ref="G166" location="'Unit costs'!$C$19" display="'Unit costs'!$C$19" xr:uid="{00000000-0004-0000-0300-000022010000}"/>
    <hyperlink ref="F167" location="'Unit costs'!A4" display="'" xr:uid="{00000000-0004-0000-0300-000023010000}"/>
    <hyperlink ref="G167" location="'Unit costs'!$C$27" display="'Unit costs'!$C$27" xr:uid="{00000000-0004-0000-0300-000024010000}"/>
    <hyperlink ref="F168" location="'Unit costs'!A4" display="'" xr:uid="{00000000-0004-0000-0300-000025010000}"/>
    <hyperlink ref="G168" location="'Unit costs'!$C$35" display="'Unit costs'!$C$35" xr:uid="{00000000-0004-0000-0300-000026010000}"/>
    <hyperlink ref="F169" location="'Unit costs'!A4" display="'" xr:uid="{00000000-0004-0000-0300-000027010000}"/>
    <hyperlink ref="G169" location="'Unit costs'!$C$42" display="'Unit costs'!$C$42" xr:uid="{00000000-0004-0000-0300-000028010000}"/>
    <hyperlink ref="F170" location="'Unit costs'!A4" display="'" xr:uid="{00000000-0004-0000-0300-000029010000}"/>
    <hyperlink ref="G170" location="'Unit costs'!$C$50" display="'Unit costs'!$C$50" xr:uid="{00000000-0004-0000-0300-00002A010000}"/>
    <hyperlink ref="F171" location="'Unit costs'!A4" display="'" xr:uid="{00000000-0004-0000-0300-00002B010000}"/>
    <hyperlink ref="G171" location="'Unit costs'!$C$62" display="'Unit costs'!$C$62" xr:uid="{00000000-0004-0000-0300-00002C010000}"/>
    <hyperlink ref="F172" location="'Unit costs'!A4" display="'" xr:uid="{00000000-0004-0000-0300-00002D010000}"/>
    <hyperlink ref="G172" location="'Unit costs'!$C$69" display="'Unit costs'!$C$69" xr:uid="{00000000-0004-0000-0300-00002E010000}"/>
    <hyperlink ref="F173" location="'Unit costs'!A4" display="'" xr:uid="{00000000-0004-0000-0300-00002F010000}"/>
    <hyperlink ref="G173" location="'Unit costs'!$C$80" display="'Unit costs'!$C$80" xr:uid="{00000000-0004-0000-0300-000030010000}"/>
    <hyperlink ref="F174" location="'Unit costs'!A4" display="'" xr:uid="{00000000-0004-0000-0300-000031010000}"/>
    <hyperlink ref="G174" location="'Unit costs'!$C$92" display="'Unit costs'!$C$92" xr:uid="{00000000-0004-0000-0300-000032010000}"/>
    <hyperlink ref="F175" location="'Unit costs'!A4" display="'" xr:uid="{00000000-0004-0000-0300-000033010000}"/>
    <hyperlink ref="G175" location="'Unit costs'!$C$104" display="'Unit costs'!$C$104" xr:uid="{00000000-0004-0000-0300-000034010000}"/>
    <hyperlink ref="F176" location="'Unit costs'!A4" display="'" xr:uid="{00000000-0004-0000-0300-000035010000}"/>
    <hyperlink ref="G176" location="'Unit costs'!$C$110" display="'Unit costs'!$C$110" xr:uid="{00000000-0004-0000-0300-000036010000}"/>
    <hyperlink ref="F177" location="'Unit costs'!A4" display="'" xr:uid="{00000000-0004-0000-0300-000037010000}"/>
    <hyperlink ref="G177" location="'Unit costs'!$C$117" display="'Unit costs'!$C$117" xr:uid="{00000000-0004-0000-0300-000038010000}"/>
    <hyperlink ref="F178" location="'Initial unit rates'!A4" display="'" xr:uid="{00000000-0004-0000-0300-000039010000}"/>
    <hyperlink ref="G178" location="'Initial unit rates'!$C$13" display="'Initial unit rates'!$C$13" xr:uid="{00000000-0004-0000-0300-00003A010000}"/>
    <hyperlink ref="F179" location="'Initial unit rates'!A4" display="'" xr:uid="{00000000-0004-0000-0300-00003B010000}"/>
    <hyperlink ref="G179" location="'Initial unit rates'!$C$118" display="'Initial unit rates'!$C$118" xr:uid="{00000000-0004-0000-0300-00003C010000}"/>
    <hyperlink ref="F180" location="'Initial unit rates'!A4" display="'" xr:uid="{00000000-0004-0000-0300-00003D010000}"/>
    <hyperlink ref="G180" location="'Initial unit rates'!$C$146" display="'Initial unit rates'!$C$146" xr:uid="{00000000-0004-0000-0300-00003E010000}"/>
    <hyperlink ref="F181" location="'Initial unit rates'!A4" display="'" xr:uid="{00000000-0004-0000-0300-00003F010000}"/>
    <hyperlink ref="G181" location="'Initial unit rates'!$C$175" display="'Initial unit rates'!$C$175" xr:uid="{00000000-0004-0000-0300-000040010000}"/>
    <hyperlink ref="F182" location="'Initial unit rates'!A4" display="'" xr:uid="{00000000-0004-0000-0300-000041010000}"/>
    <hyperlink ref="G182" location="'Initial unit rates'!$C$204" display="'Initial unit rates'!$C$204" xr:uid="{00000000-0004-0000-0300-000042010000}"/>
    <hyperlink ref="F183" location="'Service model charges'!A4" display="'" xr:uid="{00000000-0004-0000-0300-000043010000}"/>
    <hyperlink ref="G183" location="'Service model charges'!$C$17" display="'Service model charges'!$C$17" xr:uid="{00000000-0004-0000-0300-000044010000}"/>
    <hyperlink ref="F184" location="'Service model charges'!A4" display="'" xr:uid="{00000000-0004-0000-0300-000045010000}"/>
    <hyperlink ref="G184" location="'Service model charges'!$C$33" display="'Service model charges'!$C$33" xr:uid="{00000000-0004-0000-0300-000046010000}"/>
    <hyperlink ref="F185" location="'Service model charges'!A4" display="'" xr:uid="{00000000-0004-0000-0300-000047010000}"/>
    <hyperlink ref="G185" location="'Service model charges'!$C$37" display="'Service model charges'!$C$37" xr:uid="{00000000-0004-0000-0300-000048010000}"/>
    <hyperlink ref="F186" location="'Unit rate charges'!A4" display="'" xr:uid="{00000000-0004-0000-0300-000049010000}"/>
    <hyperlink ref="G186" location="'Unit rate charges'!$C$19" display="'Unit rate charges'!$C$19" xr:uid="{00000000-0004-0000-0300-00004A010000}"/>
    <hyperlink ref="F187" location="'Unit rate charges'!A4" display="'" xr:uid="{00000000-0004-0000-0300-00004B010000}"/>
    <hyperlink ref="G187" location="'Unit rate charges'!$C$49" display="'Unit rate charges'!$C$49" xr:uid="{00000000-0004-0000-0300-00004C010000}"/>
    <hyperlink ref="F188" location="'Unit rate charges'!A4" display="'" xr:uid="{00000000-0004-0000-0300-00004D010000}"/>
    <hyperlink ref="G188" location="'Unit rate charges'!$C$79" display="'Unit rate charges'!$C$79" xr:uid="{00000000-0004-0000-0300-00004E010000}"/>
    <hyperlink ref="F189" location="'Unit rate charges'!A4" display="'" xr:uid="{00000000-0004-0000-0300-00004F010000}"/>
    <hyperlink ref="G189" location="'Unit rate charges'!$C$109" display="'Unit rate charges'!$C$109" xr:uid="{00000000-0004-0000-0300-000050010000}"/>
    <hyperlink ref="F190" location="'Unit rate charges'!A4" display="'" xr:uid="{00000000-0004-0000-0300-000051010000}"/>
    <hyperlink ref="G190" location="'Unit rate charges'!$C$124" display="'Unit rate charges'!$C$124" xr:uid="{00000000-0004-0000-0300-000052010000}"/>
    <hyperlink ref="F191" location="'Unit rate charges'!A4" display="'" xr:uid="{00000000-0004-0000-0300-000053010000}"/>
    <hyperlink ref="G191" location="'Unit rate charges'!$C$154" display="'Unit rate charges'!$C$154" xr:uid="{00000000-0004-0000-0300-000054010000}"/>
    <hyperlink ref="F192" location="'Unit rate charges'!A4" display="'" xr:uid="{00000000-0004-0000-0300-000055010000}"/>
    <hyperlink ref="G192" location="'Unit rate charges'!$C$184" display="'Unit rate charges'!$C$184" xr:uid="{00000000-0004-0000-0300-000056010000}"/>
    <hyperlink ref="F193" location="'Unit rate charges'!A4" display="'" xr:uid="{00000000-0004-0000-0300-000057010000}"/>
    <hyperlink ref="G193" location="'Unit rate charges'!$C$214" display="'Unit rate charges'!$C$214" xr:uid="{00000000-0004-0000-0300-000058010000}"/>
    <hyperlink ref="F194" location="'Reactive power charges'!A4" display="'" xr:uid="{00000000-0004-0000-0300-000059010000}"/>
    <hyperlink ref="G194" location="'Reactive power charges'!$C$17" display="'Reactive power charges'!$C$17" xr:uid="{00000000-0004-0000-0300-00005A010000}"/>
    <hyperlink ref="F195" location="'Reactive power charges'!A4" display="'" xr:uid="{00000000-0004-0000-0300-00005B010000}"/>
    <hyperlink ref="G195" location="'Reactive power charges'!$C$120" display="'Reactive power charges'!$C$120" xr:uid="{00000000-0004-0000-0300-00005C010000}"/>
    <hyperlink ref="F196" location="'Reactive power charges'!A4" display="'" xr:uid="{00000000-0004-0000-0300-00005D010000}"/>
    <hyperlink ref="G196" location="'Reactive power charges'!$C$155" display="'Reactive power charges'!$C$155" xr:uid="{00000000-0004-0000-0300-00005E010000}"/>
    <hyperlink ref="F197" location="'Reactive power charges'!A4" display="'" xr:uid="{00000000-0004-0000-0300-00005F010000}"/>
    <hyperlink ref="G197" location="'Reactive power charges'!$C$190" display="'Reactive power charges'!$C$190" xr:uid="{00000000-0004-0000-0300-000060010000}"/>
    <hyperlink ref="F198" location="'Reactive power charges'!A4" display="'" xr:uid="{00000000-0004-0000-0300-000061010000}"/>
    <hyperlink ref="G198" location="'Reactive power charges'!$C$220" display="'Reactive power charges'!$C$220" xr:uid="{00000000-0004-0000-0300-000062010000}"/>
    <hyperlink ref="F199" location="'Capacity charges'!A4" display="'" xr:uid="{00000000-0004-0000-0300-000063010000}"/>
    <hyperlink ref="G199" location="'Capacity charges'!$C$19" display="'Capacity charges'!$C$19" xr:uid="{00000000-0004-0000-0300-000064010000}"/>
    <hyperlink ref="F200" location="'Capacity charges'!A4" display="'" xr:uid="{00000000-0004-0000-0300-000065010000}"/>
    <hyperlink ref="G200" location="'Capacity charges'!$C$129" display="'Capacity charges'!$C$129" xr:uid="{00000000-0004-0000-0300-000066010000}"/>
    <hyperlink ref="F201" location="'Capacity charges'!A4" display="'" xr:uid="{00000000-0004-0000-0300-000067010000}"/>
    <hyperlink ref="G201" location="'Capacity charges'!$C$159" display="'Capacity charges'!$C$159" xr:uid="{00000000-0004-0000-0300-000068010000}"/>
    <hyperlink ref="F202" location="'Capacity charges'!A4" display="'" xr:uid="{00000000-0004-0000-0300-000069010000}"/>
    <hyperlink ref="G202" location="'Capacity charges'!$C$189" display="'Capacity charges'!$C$189" xr:uid="{00000000-0004-0000-0300-00006A010000}"/>
    <hyperlink ref="F203" location="'Capacity charges'!A4" display="'" xr:uid="{00000000-0004-0000-0300-00006B010000}"/>
    <hyperlink ref="G203" location="'Capacity charges'!$C$219" display="'Capacity charges'!$C$219" xr:uid="{00000000-0004-0000-0300-00006C010000}"/>
    <hyperlink ref="F204" location="'Capacity charges'!A4" display="'" xr:uid="{00000000-0004-0000-0300-00006D010000}"/>
    <hyperlink ref="G204" location="'Capacity charges'!$C$254" display="'Capacity charges'!$C$254" xr:uid="{00000000-0004-0000-0300-00006E010000}"/>
    <hyperlink ref="F205" location="'Capacity charges'!A4" display="'" xr:uid="{00000000-0004-0000-0300-00006F010000}"/>
    <hyperlink ref="G205" location="'Capacity charges'!$C$259" display="'Capacity charges'!$C$259" xr:uid="{00000000-0004-0000-0300-000070010000}"/>
    <hyperlink ref="F206" location="'Fixed charges'!A4" display="'" xr:uid="{00000000-0004-0000-0300-000071010000}"/>
    <hyperlink ref="G206" location="'Fixed charges'!$C$16" display="'Fixed charges'!$C$16" xr:uid="{00000000-0004-0000-0300-000072010000}"/>
    <hyperlink ref="F207" location="'Fixed charges'!A4" display="'" xr:uid="{00000000-0004-0000-0300-000073010000}"/>
    <hyperlink ref="G207" location="'Fixed charges'!$C$22" display="'Fixed charges'!$C$22" xr:uid="{00000000-0004-0000-0300-000074010000}"/>
    <hyperlink ref="F208" location="'Fixed charges'!A4" display="'" xr:uid="{00000000-0004-0000-0300-000075010000}"/>
    <hyperlink ref="G208" location="'Fixed charges'!$C$52" display="'Fixed charges'!$C$52" xr:uid="{00000000-0004-0000-0300-000076010000}"/>
    <hyperlink ref="F209" location="'Fixed charges'!A4" display="'" xr:uid="{00000000-0004-0000-0300-000077010000}"/>
    <hyperlink ref="G209" location="'Fixed charges'!$C$58" display="'Fixed charges'!$C$58" xr:uid="{00000000-0004-0000-0300-000078010000}"/>
    <hyperlink ref="F210" location="'Fixed charges'!A4" display="'" xr:uid="{00000000-0004-0000-0300-000079010000}"/>
    <hyperlink ref="G210" location="'Fixed charges'!$C$67" display="'Fixed charges'!$C$67" xr:uid="{00000000-0004-0000-0300-00007A010000}"/>
    <hyperlink ref="F211" location="'Fixed charges'!A4" display="'" xr:uid="{00000000-0004-0000-0300-00007B010000}"/>
    <hyperlink ref="G211" location="'Fixed charges'!$C$97" display="'Fixed charges'!$C$97" xr:uid="{00000000-0004-0000-0300-00007C010000}"/>
    <hyperlink ref="F212" location="'Fixed charges'!A4" display="'" xr:uid="{00000000-0004-0000-0300-00007D010000}"/>
    <hyperlink ref="G212" location="'Fixed charges'!$C$127" display="'Fixed charges'!$C$127" xr:uid="{00000000-0004-0000-0300-00007E010000}"/>
    <hyperlink ref="F213" location="'Fixed charges'!A4" display="'" xr:uid="{00000000-0004-0000-0300-00007F010000}"/>
    <hyperlink ref="G213" location="'Fixed charges'!$C$159" display="'Fixed charges'!$C$159" xr:uid="{00000000-0004-0000-0300-000080010000}"/>
    <hyperlink ref="F214" location="'Revenue matching'!A4" display="'" xr:uid="{00000000-0004-0000-0300-000081010000}"/>
    <hyperlink ref="G214" location="'Revenue matching'!$C$15" display="'Revenue matching'!$C$15" xr:uid="{00000000-0004-0000-0300-000082010000}"/>
    <hyperlink ref="F215" location="'Revenue matching'!A4" display="'" xr:uid="{00000000-0004-0000-0300-000083010000}"/>
    <hyperlink ref="G215" location="'Revenue matching'!$C$45" display="'Revenue matching'!$C$45" xr:uid="{00000000-0004-0000-0300-000084010000}"/>
    <hyperlink ref="F216" location="'Revenue matching'!A4" display="'" xr:uid="{00000000-0004-0000-0300-000085010000}"/>
    <hyperlink ref="G216" location="'Revenue matching'!$C$68" display="'Revenue matching'!$C$68" xr:uid="{00000000-0004-0000-0300-000086010000}"/>
    <hyperlink ref="F217" location="'Revenue matching'!A4" display="'" xr:uid="{00000000-0004-0000-0300-000087010000}"/>
    <hyperlink ref="G217" location="'Revenue matching'!$C$92" display="'Revenue matching'!$C$92" xr:uid="{00000000-0004-0000-0300-000088010000}"/>
    <hyperlink ref="F218" location="'Revenue matching'!A4" display="'" xr:uid="{00000000-0004-0000-0300-000089010000}"/>
    <hyperlink ref="G218" location="'Revenue matching'!$C$131" display="'Revenue matching'!$C$131" xr:uid="{00000000-0004-0000-0300-00008A010000}"/>
    <hyperlink ref="F219" location="'Fixed charge adder'!A4" display="'" xr:uid="{00000000-0004-0000-0300-00008B010000}"/>
    <hyperlink ref="G219" location="'Fixed charge adder'!$C$16" display="'Fixed charge adder'!$C$16" xr:uid="{00000000-0004-0000-0300-00008C010000}"/>
    <hyperlink ref="F220" location="'Fixed charge adder'!A4" display="'" xr:uid="{00000000-0004-0000-0300-00008D010000}"/>
    <hyperlink ref="G220" location="'Fixed charge adder'!$C$33" display="'Fixed charge adder'!$C$33" xr:uid="{00000000-0004-0000-0300-00008E010000}"/>
    <hyperlink ref="F221" location="'Fixed charge adder'!A4" display="'" xr:uid="{00000000-0004-0000-0300-00008F010000}"/>
    <hyperlink ref="G221" location="'Fixed charge adder'!$C$48" display="'Fixed charge adder'!$C$48" xr:uid="{00000000-0004-0000-0300-000090010000}"/>
    <hyperlink ref="F222" location="'Rounding'!A4" display="'" xr:uid="{00000000-0004-0000-0300-000091010000}"/>
    <hyperlink ref="G222" location="'Rounding'!$C$16" display="'Rounding'!$C$16" xr:uid="{00000000-0004-0000-0300-000092010000}"/>
    <hyperlink ref="F223" location="'Rounding'!A4" display="'" xr:uid="{00000000-0004-0000-0300-000093010000}"/>
    <hyperlink ref="G223" location="'Rounding'!$C$28" display="'Rounding'!$C$28" xr:uid="{00000000-0004-0000-0300-000094010000}"/>
    <hyperlink ref="F224" location="'Rounding'!A4" display="'" xr:uid="{00000000-0004-0000-0300-000095010000}"/>
    <hyperlink ref="G224" location="'Rounding'!$C$40" display="'Rounding'!$C$40" xr:uid="{00000000-0004-0000-0300-000096010000}"/>
    <hyperlink ref="F225" location="'Rounding'!A4" display="'" xr:uid="{00000000-0004-0000-0300-000097010000}"/>
    <hyperlink ref="G225" location="'Rounding'!$C$52" display="'Rounding'!$C$52" xr:uid="{00000000-0004-0000-0300-000098010000}"/>
    <hyperlink ref="F226" location="'Rounding'!A4" display="'" xr:uid="{00000000-0004-0000-0300-000099010000}"/>
    <hyperlink ref="G226" location="'Rounding'!$C$72" display="'Rounding'!$C$72" xr:uid="{00000000-0004-0000-0300-00009A010000}"/>
    <hyperlink ref="F227" location="'Rounding'!A4" display="'" xr:uid="{00000000-0004-0000-0300-00009B010000}"/>
    <hyperlink ref="G227" location="'Rounding'!$C$87" display="'Rounding'!$C$87" xr:uid="{00000000-0004-0000-0300-00009C010000}"/>
    <hyperlink ref="F228" location="'Rounding'!A4" display="'" xr:uid="{00000000-0004-0000-0300-00009D010000}"/>
    <hyperlink ref="G228" location="'Rounding'!$C$98" display="'Rounding'!$C$98" xr:uid="{00000000-0004-0000-0300-00009E010000}"/>
    <hyperlink ref="F229" location="'Rounding'!A4" display="'" xr:uid="{00000000-0004-0000-0300-00009F010000}"/>
    <hyperlink ref="G229" location="'Rounding'!$C$127" display="'Rounding'!$C$127" xr:uid="{00000000-0004-0000-0300-0000A0010000}"/>
    <hyperlink ref="F230" location="'Net revenue summary'!A4" display="'" xr:uid="{00000000-0004-0000-0300-0000A1010000}"/>
    <hyperlink ref="G230" location="'Net revenue summary'!$C$13" display="'Net revenue summary'!$C$13" xr:uid="{00000000-0004-0000-0300-0000A2010000}"/>
    <hyperlink ref="F231" location="'Net revenue summary'!A4" display="'" xr:uid="{00000000-0004-0000-0300-0000A3010000}"/>
    <hyperlink ref="G231" location="'Net revenue summary'!$C$42" display="'Net revenue summary'!$C$42" xr:uid="{00000000-0004-0000-0300-0000A4010000}"/>
    <hyperlink ref="F232" location="'Net revenue summary'!A4" display="'" xr:uid="{00000000-0004-0000-0300-0000A5010000}"/>
    <hyperlink ref="G232" location="'Net revenue summary'!$C$71" display="'Net revenue summary'!$C$71" xr:uid="{00000000-0004-0000-0300-0000A6010000}"/>
    <hyperlink ref="F233" location="'Net revenue summary'!A4" display="'" xr:uid="{00000000-0004-0000-0300-0000A7010000}"/>
    <hyperlink ref="G233" location="'Net revenue summary'!$C$81" display="'Net revenue summary'!$C$81" xr:uid="{00000000-0004-0000-0300-0000A8010000}"/>
    <hyperlink ref="F234" location="'Net revenue summary'!A4" display="'" xr:uid="{00000000-0004-0000-0300-0000A9010000}"/>
    <hyperlink ref="G234" location="'Net revenue summary'!$C$113" display="'Net revenue summary'!$C$113" xr:uid="{00000000-0004-0000-0300-0000AA010000}"/>
    <hyperlink ref="F235" location="'Net revenue summary'!A4" display="'" xr:uid="{00000000-0004-0000-0300-0000AB010000}"/>
    <hyperlink ref="G235" location="'Net revenue summary'!$C$126" display="'Net revenue summary'!$C$126" xr:uid="{00000000-0004-0000-0300-0000AC010000}"/>
    <hyperlink ref="F236" location="'Tariff summary'!A4" display="'" xr:uid="{00000000-0004-0000-0300-0000AD010000}"/>
    <hyperlink ref="G236" location="'Tariff summary'!$C$15" display="'Tariff summary'!$C$15" xr:uid="{00000000-0004-0000-0300-0000AE010000}"/>
    <hyperlink ref="F237" location="'Tariff summary'!A4" display="'" xr:uid="{00000000-0004-0000-0300-0000AF010000}"/>
    <hyperlink ref="G237" location="'Tariff summary'!$C$71" display="'Tariff summary'!$C$71" xr:uid="{00000000-0004-0000-0300-0000B0010000}"/>
    <hyperlink ref="F238" location="'Tariff summary'!A4" display="'" xr:uid="{00000000-0004-0000-0300-0000B1010000}"/>
    <hyperlink ref="G238" location="'Tariff summary'!$C$127" display="'Tariff summary'!$C$127" xr:uid="{00000000-0004-0000-0300-0000B2010000}"/>
    <hyperlink ref="F239" location="'Tariff summary'!A4" display="'" xr:uid="{00000000-0004-0000-0300-0000B3010000}"/>
    <hyperlink ref="G239" location="'Tariff summary'!$C$183" display="'Tariff summary'!$C$183" xr:uid="{00000000-0004-0000-0300-0000B4010000}"/>
    <hyperlink ref="F240" location="'Tariff summary'!A4" display="'" xr:uid="{00000000-0004-0000-0300-0000B5010000}"/>
    <hyperlink ref="G240" location="'Tariff summary'!$C$239" display="'Tariff summary'!$C$239" xr:uid="{00000000-0004-0000-0300-0000B6010000}"/>
    <hyperlink ref="F241" location="'Tariff summary'!A4" display="'" xr:uid="{00000000-0004-0000-0300-0000B7010000}"/>
    <hyperlink ref="G241" location="'Tariff summary'!$C$295" display="'Tariff summary'!$C$295" xr:uid="{00000000-0004-0000-0300-0000B8010000}"/>
    <hyperlink ref="F242" location="'Typical bills'!A4" display="'" xr:uid="{00000000-0004-0000-0300-0000B9010000}"/>
    <hyperlink ref="G242" location="'Typical bills'!$C$15" display="'Typical bills'!$C$15" xr:uid="{00000000-0004-0000-0300-0000BA01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28515625" style="85" customWidth="1"/>
    <col min="8" max="8" width="20.7109375" style="85" customWidth="1"/>
    <col min="9" max="9" width="2.7109375" style="85" customWidth="1"/>
    <col min="10" max="16" width="15.42578125" style="85" hidden="1" customWidth="1"/>
    <col min="17" max="17" width="2.710937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Manweb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8" x14ac:dyDescent="0.25">
      <c r="B5" s="51" t="s">
        <v>530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965</v>
      </c>
      <c r="G7" s="195" t="s">
        <v>964</v>
      </c>
      <c r="H7" s="195" t="s">
        <v>698</v>
      </c>
    </row>
    <row r="8" spans="1:8" s="295" customFormat="1" x14ac:dyDescent="0.25">
      <c r="F8" s="205" t="s">
        <v>967</v>
      </c>
      <c r="G8" s="295" t="s">
        <v>966</v>
      </c>
      <c r="H8" s="295" t="s">
        <v>699</v>
      </c>
    </row>
    <row r="9" spans="1:8" s="295" customFormat="1" x14ac:dyDescent="0.25">
      <c r="F9" s="205" t="s">
        <v>969</v>
      </c>
      <c r="G9" s="295" t="s">
        <v>968</v>
      </c>
      <c r="H9" s="295" t="s">
        <v>529</v>
      </c>
    </row>
    <row r="10" spans="1:8" s="295" customFormat="1" x14ac:dyDescent="0.25">
      <c r="F10" s="205" t="s">
        <v>970</v>
      </c>
      <c r="G10" s="295" t="s">
        <v>41</v>
      </c>
      <c r="H10" s="295" t="s">
        <v>656</v>
      </c>
    </row>
    <row r="11" spans="1:8" s="295" customFormat="1" x14ac:dyDescent="0.25">
      <c r="F11" s="205" t="s">
        <v>972</v>
      </c>
      <c r="G11" s="295" t="s">
        <v>971</v>
      </c>
      <c r="H11" s="295" t="s">
        <v>698</v>
      </c>
    </row>
    <row r="12" spans="1:8" s="295" customFormat="1" x14ac:dyDescent="0.25">
      <c r="F12" s="205" t="s">
        <v>973</v>
      </c>
      <c r="G12" s="295" t="s">
        <v>133</v>
      </c>
      <c r="H12" s="295" t="s">
        <v>529</v>
      </c>
    </row>
    <row r="13" spans="1:8" s="295" customFormat="1" x14ac:dyDescent="0.25">
      <c r="F13" s="205" t="s">
        <v>975</v>
      </c>
      <c r="G13" s="295" t="s">
        <v>974</v>
      </c>
      <c r="H13" s="295" t="s">
        <v>656</v>
      </c>
    </row>
    <row r="14" spans="1:8" s="295" customFormat="1" x14ac:dyDescent="0.25">
      <c r="F14" s="205" t="s">
        <v>977</v>
      </c>
      <c r="G14" s="295" t="s">
        <v>976</v>
      </c>
      <c r="H14" s="295" t="s">
        <v>529</v>
      </c>
    </row>
    <row r="15" spans="1:8" s="295" customFormat="1" x14ac:dyDescent="0.25">
      <c r="F15" s="205" t="s">
        <v>979</v>
      </c>
      <c r="G15" s="295" t="s">
        <v>978</v>
      </c>
      <c r="H15" s="295" t="s">
        <v>584</v>
      </c>
    </row>
    <row r="16" spans="1:8" s="295" customFormat="1" x14ac:dyDescent="0.25">
      <c r="F16" s="205" t="s">
        <v>981</v>
      </c>
      <c r="G16" s="295" t="s">
        <v>980</v>
      </c>
      <c r="H16" s="295" t="s">
        <v>537</v>
      </c>
    </row>
    <row r="17" spans="2:8" s="295" customFormat="1" x14ac:dyDescent="0.25">
      <c r="F17" s="205" t="s">
        <v>983</v>
      </c>
      <c r="G17" s="295" t="s">
        <v>982</v>
      </c>
      <c r="H17" s="295" t="s">
        <v>529</v>
      </c>
    </row>
    <row r="18" spans="2:8" s="295" customFormat="1" x14ac:dyDescent="0.25">
      <c r="F18" s="205" t="s">
        <v>985</v>
      </c>
      <c r="G18" s="295" t="s">
        <v>984</v>
      </c>
      <c r="H18" s="295" t="s">
        <v>584</v>
      </c>
    </row>
    <row r="19" spans="2:8" s="295" customFormat="1" x14ac:dyDescent="0.25">
      <c r="F19" s="205" t="s">
        <v>987</v>
      </c>
      <c r="G19" s="295" t="s">
        <v>986</v>
      </c>
      <c r="H19" s="295" t="s">
        <v>537</v>
      </c>
    </row>
    <row r="20" spans="2:8" s="295" customFormat="1" x14ac:dyDescent="0.25">
      <c r="F20" s="205" t="s">
        <v>989</v>
      </c>
      <c r="G20" s="295" t="s">
        <v>988</v>
      </c>
      <c r="H20" s="295" t="s">
        <v>584</v>
      </c>
    </row>
    <row r="21" spans="2:8" s="295" customFormat="1" x14ac:dyDescent="0.25">
      <c r="F21" s="205" t="s">
        <v>991</v>
      </c>
      <c r="G21" s="295" t="s">
        <v>990</v>
      </c>
      <c r="H21" s="295" t="s">
        <v>537</v>
      </c>
    </row>
    <row r="22" spans="2:8" s="295" customFormat="1" x14ac:dyDescent="0.25">
      <c r="F22" s="205" t="s">
        <v>993</v>
      </c>
      <c r="G22" s="295" t="s">
        <v>992</v>
      </c>
      <c r="H22" s="295" t="s">
        <v>584</v>
      </c>
    </row>
    <row r="23" spans="2:8" s="295" customFormat="1" x14ac:dyDescent="0.25">
      <c r="F23" s="205" t="s">
        <v>995</v>
      </c>
      <c r="G23" s="295" t="s">
        <v>994</v>
      </c>
      <c r="H23" s="295" t="s">
        <v>537</v>
      </c>
    </row>
    <row r="24" spans="2:8" s="295" customFormat="1" x14ac:dyDescent="0.25">
      <c r="F24" s="205" t="s">
        <v>997</v>
      </c>
      <c r="G24" s="295" t="s">
        <v>996</v>
      </c>
      <c r="H24" s="295" t="s">
        <v>584</v>
      </c>
    </row>
    <row r="25" spans="2:8" s="295" customFormat="1" x14ac:dyDescent="0.25">
      <c r="F25" s="205" t="s">
        <v>999</v>
      </c>
      <c r="G25" s="295" t="s">
        <v>998</v>
      </c>
      <c r="H25" s="295" t="s">
        <v>537</v>
      </c>
    </row>
    <row r="26" spans="2:8" s="295" customFormat="1" x14ac:dyDescent="0.25">
      <c r="F26" s="205" t="s">
        <v>1001</v>
      </c>
      <c r="G26" s="295" t="s">
        <v>1000</v>
      </c>
      <c r="H26" s="295" t="s">
        <v>584</v>
      </c>
    </row>
    <row r="27" spans="2:8" s="295" customFormat="1" x14ac:dyDescent="0.25">
      <c r="F27" s="205" t="s">
        <v>1003</v>
      </c>
      <c r="G27" s="295" t="s">
        <v>1002</v>
      </c>
      <c r="H27" s="295" t="s">
        <v>537</v>
      </c>
    </row>
    <row r="28" spans="2:8" s="295" customFormat="1" x14ac:dyDescent="0.25">
      <c r="F28" s="205" t="s">
        <v>1005</v>
      </c>
      <c r="G28" s="295" t="s">
        <v>1004</v>
      </c>
      <c r="H28" s="295" t="s">
        <v>529</v>
      </c>
    </row>
    <row r="29" spans="2:8" s="295" customFormat="1" x14ac:dyDescent="0.25">
      <c r="F29" s="205" t="s">
        <v>1007</v>
      </c>
      <c r="G29" s="295" t="s">
        <v>1006</v>
      </c>
      <c r="H29" s="295" t="s">
        <v>529</v>
      </c>
    </row>
    <row r="30" spans="2:8" s="295" customFormat="1" x14ac:dyDescent="0.25">
      <c r="F30" s="205" t="s">
        <v>1009</v>
      </c>
      <c r="G30" s="295" t="s">
        <v>1008</v>
      </c>
      <c r="H30" s="295" t="s">
        <v>699</v>
      </c>
    </row>
    <row r="31" spans="2:8" s="295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00000000-0004-0000-0400-000001000000}"/>
    <hyperlink ref="F9" location="'Fixed inputs'!$H$154" display="check_decimals" xr:uid="{00000000-0004-0000-0400-000002000000}"/>
    <hyperlink ref="F10" location="'General inputs'!$H$93" display="days_in_year" xr:uid="{00000000-0004-0000-0400-000003000000}"/>
    <hyperlink ref="F11" location="Cover!$D$21" display="DNO_name" xr:uid="{00000000-0004-0000-0400-000004000000}"/>
    <hyperlink ref="F12" location="'Fixed inputs'!$H$15" display="hours_in_day" xr:uid="{00000000-0004-0000-0400-000005000000}"/>
    <hyperlink ref="F13" location="'General inputs'!$H$94" display="hours_in_year" xr:uid="{00000000-0004-0000-0400-000006000000}"/>
    <hyperlink ref="F14" location="'Fixed inputs'!$H$17" display="hundred" xr:uid="{00000000-0004-0000-0400-000007000000}"/>
    <hyperlink ref="F15" location="'Typical bills'!$J$18:$J$69" display="live_results_bills" xr:uid="{00000000-0004-0000-0400-000008000000}"/>
    <hyperlink ref="F16" location="'Tariff summary'!$J$18:$P$69" display="live_results_tariffs" xr:uid="{00000000-0004-0000-0400-000009000000}"/>
    <hyperlink ref="F17" location="'Fixed inputs'!$H$37" display="PowerFactor" xr:uid="{00000000-0004-0000-0400-00000A000000}"/>
    <hyperlink ref="F18" location="'Typical bills'!$L$18:$L$69" display="results_4_bills" xr:uid="{00000000-0004-0000-0400-00000B000000}"/>
    <hyperlink ref="F19" location="'Tariff summary'!$J$74:$P$125" display="results_4_tariffs" xr:uid="{00000000-0004-0000-0400-00000C000000}"/>
    <hyperlink ref="F20" location="'Typical bills'!$M$18:$M$69" display="results_5_bills" xr:uid="{00000000-0004-0000-0400-00000D000000}"/>
    <hyperlink ref="F21" location="'Tariff summary'!$J$130:$P$181" display="results_5_tariffs" xr:uid="{00000000-0004-0000-0400-00000E000000}"/>
    <hyperlink ref="F22" location="'Typical bills'!$N$18:$N$69" display="results_6_bills" xr:uid="{00000000-0004-0000-0400-00000F000000}"/>
    <hyperlink ref="F23" location="'Tariff summary'!$J$186:$P$237" display="results_6_tariffs" xr:uid="{00000000-0004-0000-0400-000010000000}"/>
    <hyperlink ref="F24" location="'Typical bills'!$O$18:$O$69" display="results_7_bills" xr:uid="{00000000-0004-0000-0400-000011000000}"/>
    <hyperlink ref="F25" location="'Tariff summary'!$J$242:$P$293" display="results_7_tariffs" xr:uid="{00000000-0004-0000-0400-000012000000}"/>
    <hyperlink ref="F26" location="'Typical bills'!$P$18:$P$69" display="results_8_bills" xr:uid="{00000000-0004-0000-0400-000013000000}"/>
    <hyperlink ref="F27" location="'Tariff summary'!$J$298:$P$349" display="results_8_tariffs" xr:uid="{00000000-0004-0000-0400-000014000000}"/>
    <hyperlink ref="F28" location="'Fixed inputs'!$H$16" display="ten" xr:uid="{00000000-0004-0000-0400-000015000000}"/>
    <hyperlink ref="F29" location="'Fixed inputs'!$H$18" display="thousand" xr:uid="{00000000-0004-0000-0400-000016000000}"/>
    <hyperlink ref="F30" location="'ARP_User control'!$G$36" display="year_selection" xr:uid="{00000000-0004-0000-0400-000017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11" sqref="F11:F18"/>
    </sheetView>
  </sheetViews>
  <sheetFormatPr defaultColWidth="0" defaultRowHeight="15" x14ac:dyDescent="0.25"/>
  <cols>
    <col min="1" max="5" width="2.5703125" style="85" customWidth="1"/>
    <col min="6" max="6" width="149.28515625" style="85" customWidth="1"/>
    <col min="7" max="7" width="2.7109375" style="85" customWidth="1"/>
    <col min="8" max="14" width="15.42578125" style="85" hidden="1" customWidth="1"/>
    <col min="15" max="15" width="2.710937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Manweb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856</v>
      </c>
      <c r="D7" s="123"/>
      <c r="E7" s="120"/>
      <c r="F7" s="120"/>
    </row>
    <row r="9" spans="1:6" x14ac:dyDescent="0.25">
      <c r="B9" s="51" t="s">
        <v>553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491" t="s">
        <v>1177</v>
      </c>
    </row>
    <row r="12" spans="1:6" x14ac:dyDescent="0.25">
      <c r="B12" s="122"/>
      <c r="C12" s="123"/>
      <c r="E12" s="122"/>
      <c r="F12" s="492"/>
    </row>
    <row r="13" spans="1:6" x14ac:dyDescent="0.25">
      <c r="B13" s="122"/>
      <c r="C13" s="123"/>
      <c r="E13" s="122"/>
      <c r="F13" s="492"/>
    </row>
    <row r="14" spans="1:6" x14ac:dyDescent="0.25">
      <c r="B14" s="122"/>
      <c r="C14" s="123"/>
      <c r="E14" s="122"/>
      <c r="F14" s="492"/>
    </row>
    <row r="15" spans="1:6" x14ac:dyDescent="0.25">
      <c r="B15" s="122"/>
      <c r="C15" s="123"/>
      <c r="E15" s="122"/>
      <c r="F15" s="492"/>
    </row>
    <row r="16" spans="1:6" x14ac:dyDescent="0.25">
      <c r="B16" s="122"/>
      <c r="C16" s="123"/>
      <c r="E16" s="122"/>
      <c r="F16" s="492"/>
    </row>
    <row r="17" spans="2:6" x14ac:dyDescent="0.25">
      <c r="B17" s="122"/>
      <c r="C17" s="123"/>
      <c r="E17" s="122"/>
      <c r="F17" s="492"/>
    </row>
    <row r="18" spans="2:6" x14ac:dyDescent="0.25">
      <c r="B18" s="122"/>
      <c r="C18" s="123"/>
      <c r="D18" s="120"/>
      <c r="E18" s="122"/>
      <c r="F18" s="493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F3" sqref="F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28515625" style="85" customWidth="1"/>
    <col min="10" max="10" width="14.7109375" style="85" customWidth="1"/>
    <col min="11" max="14" width="14.85546875" style="85" bestFit="1" customWidth="1"/>
    <col min="15" max="15" width="2.28515625" style="85" customWidth="1"/>
    <col min="16" max="267" width="20.710937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Manweb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14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2021/22</v>
      </c>
      <c r="K5" s="35" t="str">
        <v>2022/23</v>
      </c>
      <c r="L5" s="35" t="str">
        <v>2023/24</v>
      </c>
      <c r="M5" s="35" t="str">
        <v>2024/25</v>
      </c>
      <c r="N5" s="35" t="str">
        <v>2025/26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939</v>
      </c>
    </row>
    <row r="10" spans="1:14" s="295" customFormat="1" x14ac:dyDescent="0.25">
      <c r="C10" s="82" t="s">
        <v>940</v>
      </c>
    </row>
    <row r="11" spans="1:14" x14ac:dyDescent="0.25">
      <c r="D11" s="14"/>
    </row>
    <row r="12" spans="1:14" x14ac:dyDescent="0.25">
      <c r="B12" s="95" t="s">
        <v>554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555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556</v>
      </c>
    </row>
    <row r="17" spans="3:14" s="474" customFormat="1" x14ac:dyDescent="0.25">
      <c r="F17" s="475" t="s">
        <v>84</v>
      </c>
      <c r="G17" s="476" t="s">
        <v>676</v>
      </c>
      <c r="H17" s="477"/>
      <c r="I17" s="477"/>
      <c r="J17" s="478" t="s">
        <v>1168</v>
      </c>
      <c r="K17" s="478" t="s">
        <v>1168</v>
      </c>
      <c r="L17" s="478" t="s">
        <v>1168</v>
      </c>
      <c r="M17" s="478" t="s">
        <v>1168</v>
      </c>
      <c r="N17" s="478" t="s">
        <v>1168</v>
      </c>
    </row>
    <row r="18" spans="3:14" s="474" customFormat="1" ht="30" x14ac:dyDescent="0.25">
      <c r="F18" s="479" t="s">
        <v>85</v>
      </c>
      <c r="G18" s="480" t="s">
        <v>676</v>
      </c>
      <c r="H18" s="481"/>
      <c r="I18" s="481"/>
      <c r="J18" s="482" t="s">
        <v>1169</v>
      </c>
      <c r="K18" s="482" t="s">
        <v>1169</v>
      </c>
      <c r="L18" s="482" t="s">
        <v>1169</v>
      </c>
      <c r="M18" s="482" t="s">
        <v>1169</v>
      </c>
      <c r="N18" s="482" t="s">
        <v>1169</v>
      </c>
    </row>
    <row r="19" spans="3:14" s="474" customFormat="1" ht="30" x14ac:dyDescent="0.25">
      <c r="F19" s="483" t="s">
        <v>86</v>
      </c>
      <c r="G19" s="484" t="s">
        <v>676</v>
      </c>
      <c r="H19" s="485"/>
      <c r="I19" s="485"/>
      <c r="J19" s="486" t="s">
        <v>1170</v>
      </c>
      <c r="K19" s="486" t="s">
        <v>1170</v>
      </c>
      <c r="L19" s="486" t="s">
        <v>1170</v>
      </c>
      <c r="M19" s="486" t="s">
        <v>1170</v>
      </c>
      <c r="N19" s="486" t="s">
        <v>1170</v>
      </c>
    </row>
    <row r="20" spans="3:14" s="474" customFormat="1" x14ac:dyDescent="0.25">
      <c r="F20" s="479"/>
      <c r="G20" s="480"/>
      <c r="H20" s="487"/>
      <c r="I20" s="487"/>
      <c r="J20" s="487"/>
      <c r="K20" s="487"/>
      <c r="L20" s="487"/>
      <c r="M20" s="487"/>
      <c r="N20" s="487"/>
    </row>
    <row r="21" spans="3:14" s="474" customFormat="1" x14ac:dyDescent="0.25">
      <c r="E21" s="123" t="s">
        <v>557</v>
      </c>
      <c r="H21" s="487"/>
      <c r="I21" s="487"/>
      <c r="J21" s="487"/>
      <c r="K21" s="487"/>
      <c r="L21" s="487"/>
      <c r="M21" s="487"/>
      <c r="N21" s="487"/>
    </row>
    <row r="22" spans="3:14" s="474" customFormat="1" x14ac:dyDescent="0.25">
      <c r="F22" s="475" t="s">
        <v>84</v>
      </c>
      <c r="G22" s="476" t="s">
        <v>676</v>
      </c>
      <c r="H22" s="477"/>
      <c r="I22" s="477"/>
      <c r="J22" s="478"/>
      <c r="K22" s="478"/>
      <c r="L22" s="478"/>
      <c r="M22" s="478"/>
      <c r="N22" s="478"/>
    </row>
    <row r="23" spans="3:14" s="474" customFormat="1" x14ac:dyDescent="0.25">
      <c r="F23" s="479" t="s">
        <v>85</v>
      </c>
      <c r="G23" s="480" t="s">
        <v>676</v>
      </c>
      <c r="H23" s="481"/>
      <c r="I23" s="481"/>
      <c r="J23" s="488" t="s">
        <v>1171</v>
      </c>
      <c r="K23" s="488" t="s">
        <v>1171</v>
      </c>
      <c r="L23" s="488" t="s">
        <v>1171</v>
      </c>
      <c r="M23" s="488" t="s">
        <v>1171</v>
      </c>
      <c r="N23" s="488" t="s">
        <v>1171</v>
      </c>
    </row>
    <row r="24" spans="3:14" s="474" customFormat="1" ht="30" x14ac:dyDescent="0.25">
      <c r="F24" s="483" t="s">
        <v>86</v>
      </c>
      <c r="G24" s="484" t="s">
        <v>676</v>
      </c>
      <c r="H24" s="485"/>
      <c r="I24" s="485"/>
      <c r="J24" s="486" t="s">
        <v>1172</v>
      </c>
      <c r="K24" s="486" t="s">
        <v>1172</v>
      </c>
      <c r="L24" s="486" t="s">
        <v>1172</v>
      </c>
      <c r="M24" s="486" t="s">
        <v>1172</v>
      </c>
      <c r="N24" s="486" t="s">
        <v>1172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558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559</v>
      </c>
      <c r="H28" s="111"/>
      <c r="I28" s="111"/>
      <c r="J28" s="111"/>
      <c r="K28" s="111"/>
      <c r="L28" s="111"/>
      <c r="M28" s="111"/>
      <c r="N28" s="111"/>
    </row>
    <row r="29" spans="3:14" s="474" customFormat="1" x14ac:dyDescent="0.25">
      <c r="F29" s="475" t="s">
        <v>87</v>
      </c>
      <c r="G29" s="476" t="s">
        <v>676</v>
      </c>
      <c r="H29" s="477"/>
      <c r="I29" s="477"/>
      <c r="J29" s="478" t="s">
        <v>1168</v>
      </c>
      <c r="K29" s="478" t="s">
        <v>1168</v>
      </c>
      <c r="L29" s="478" t="s">
        <v>1168</v>
      </c>
      <c r="M29" s="478" t="s">
        <v>1168</v>
      </c>
      <c r="N29" s="478" t="s">
        <v>1168</v>
      </c>
    </row>
    <row r="30" spans="3:14" s="474" customFormat="1" ht="30" x14ac:dyDescent="0.25">
      <c r="F30" s="479" t="s">
        <v>88</v>
      </c>
      <c r="G30" s="480" t="s">
        <v>676</v>
      </c>
      <c r="H30" s="481"/>
      <c r="I30" s="481"/>
      <c r="J30" s="482" t="s">
        <v>1169</v>
      </c>
      <c r="K30" s="482" t="s">
        <v>1169</v>
      </c>
      <c r="L30" s="482" t="s">
        <v>1169</v>
      </c>
      <c r="M30" s="482" t="s">
        <v>1169</v>
      </c>
      <c r="N30" s="482" t="s">
        <v>1169</v>
      </c>
    </row>
    <row r="31" spans="3:14" s="474" customFormat="1" ht="30" x14ac:dyDescent="0.25">
      <c r="F31" s="483" t="s">
        <v>86</v>
      </c>
      <c r="G31" s="484" t="s">
        <v>676</v>
      </c>
      <c r="H31" s="485"/>
      <c r="I31" s="485"/>
      <c r="J31" s="486" t="s">
        <v>1170</v>
      </c>
      <c r="K31" s="486" t="s">
        <v>1170</v>
      </c>
      <c r="L31" s="486" t="s">
        <v>1170</v>
      </c>
      <c r="M31" s="486" t="s">
        <v>1170</v>
      </c>
      <c r="N31" s="486" t="s">
        <v>1170</v>
      </c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560</v>
      </c>
      <c r="H33" s="111"/>
      <c r="I33" s="111"/>
      <c r="J33" s="111"/>
      <c r="K33" s="111"/>
      <c r="L33" s="111"/>
      <c r="M33" s="111"/>
      <c r="N33" s="111"/>
    </row>
    <row r="34" spans="2:14" s="474" customFormat="1" x14ac:dyDescent="0.25">
      <c r="F34" s="475" t="s">
        <v>87</v>
      </c>
      <c r="G34" s="476" t="s">
        <v>676</v>
      </c>
      <c r="H34" s="477"/>
      <c r="I34" s="477"/>
      <c r="J34" s="478"/>
      <c r="K34" s="478"/>
      <c r="L34" s="478"/>
      <c r="M34" s="478"/>
      <c r="N34" s="478"/>
    </row>
    <row r="35" spans="2:14" s="474" customFormat="1" x14ac:dyDescent="0.25">
      <c r="F35" s="479" t="s">
        <v>88</v>
      </c>
      <c r="G35" s="480" t="s">
        <v>676</v>
      </c>
      <c r="H35" s="481"/>
      <c r="I35" s="481"/>
      <c r="J35" s="482" t="s">
        <v>1173</v>
      </c>
      <c r="K35" s="482" t="s">
        <v>1173</v>
      </c>
      <c r="L35" s="482" t="s">
        <v>1173</v>
      </c>
      <c r="M35" s="482" t="s">
        <v>1173</v>
      </c>
      <c r="N35" s="482" t="s">
        <v>1173</v>
      </c>
    </row>
    <row r="36" spans="2:14" s="474" customFormat="1" ht="30" x14ac:dyDescent="0.25">
      <c r="F36" s="483" t="s">
        <v>86</v>
      </c>
      <c r="G36" s="484" t="s">
        <v>676</v>
      </c>
      <c r="H36" s="485"/>
      <c r="I36" s="485"/>
      <c r="J36" s="486" t="s">
        <v>1170</v>
      </c>
      <c r="K36" s="486" t="s">
        <v>1170</v>
      </c>
      <c r="L36" s="486" t="s">
        <v>1170</v>
      </c>
      <c r="M36" s="486" t="s">
        <v>1170</v>
      </c>
      <c r="N36" s="486" t="s">
        <v>1170</v>
      </c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557</v>
      </c>
      <c r="H38" s="111"/>
      <c r="I38" s="111"/>
      <c r="J38" s="111"/>
      <c r="K38" s="111"/>
      <c r="L38" s="111"/>
      <c r="M38" s="111"/>
      <c r="N38" s="111"/>
    </row>
    <row r="39" spans="2:14" s="474" customFormat="1" x14ac:dyDescent="0.25">
      <c r="F39" s="475" t="s">
        <v>87</v>
      </c>
      <c r="G39" s="476" t="s">
        <v>676</v>
      </c>
      <c r="H39" s="477"/>
      <c r="I39" s="477"/>
      <c r="J39" s="478"/>
      <c r="K39" s="478"/>
      <c r="L39" s="478"/>
      <c r="M39" s="478"/>
      <c r="N39" s="478"/>
    </row>
    <row r="40" spans="2:14" s="474" customFormat="1" x14ac:dyDescent="0.25">
      <c r="F40" s="479" t="s">
        <v>88</v>
      </c>
      <c r="G40" s="480" t="s">
        <v>676</v>
      </c>
      <c r="H40" s="481"/>
      <c r="I40" s="481"/>
      <c r="J40" s="488" t="s">
        <v>1171</v>
      </c>
      <c r="K40" s="488" t="s">
        <v>1171</v>
      </c>
      <c r="L40" s="488" t="s">
        <v>1171</v>
      </c>
      <c r="M40" s="488" t="s">
        <v>1171</v>
      </c>
      <c r="N40" s="488" t="s">
        <v>1171</v>
      </c>
    </row>
    <row r="41" spans="2:14" s="474" customFormat="1" ht="30" x14ac:dyDescent="0.25">
      <c r="F41" s="483" t="s">
        <v>86</v>
      </c>
      <c r="G41" s="484" t="s">
        <v>676</v>
      </c>
      <c r="H41" s="485"/>
      <c r="I41" s="485"/>
      <c r="J41" s="486" t="s">
        <v>1172</v>
      </c>
      <c r="K41" s="486" t="s">
        <v>1172</v>
      </c>
      <c r="L41" s="486" t="s">
        <v>1172</v>
      </c>
      <c r="M41" s="486" t="s">
        <v>1172</v>
      </c>
      <c r="N41" s="486" t="s">
        <v>1172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G5" sqref="G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25" width="17" style="85" customWidth="1"/>
    <col min="26" max="26" width="2.28515625" style="85" customWidth="1"/>
    <col min="27" max="302" width="20.710937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Manweb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v5 - 2021/22</v>
      </c>
      <c r="G3" s="298"/>
    </row>
    <row r="5" spans="1:26" ht="60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857</v>
      </c>
      <c r="Z9" s="195"/>
    </row>
    <row r="10" spans="1:26" x14ac:dyDescent="0.25">
      <c r="C10" s="82" t="s">
        <v>561</v>
      </c>
      <c r="Z10" s="195"/>
    </row>
    <row r="11" spans="1:26" x14ac:dyDescent="0.25">
      <c r="C11" s="82" t="s">
        <v>562</v>
      </c>
      <c r="Z11" s="195"/>
    </row>
    <row r="12" spans="1:26" x14ac:dyDescent="0.25">
      <c r="D12" s="14"/>
      <c r="Z12" s="195"/>
    </row>
    <row r="13" spans="1:26" x14ac:dyDescent="0.25">
      <c r="B13" s="95" t="s">
        <v>265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563</v>
      </c>
      <c r="Z15" s="195"/>
    </row>
    <row r="16" spans="1:26" x14ac:dyDescent="0.25">
      <c r="F16" s="91" t="s">
        <v>595</v>
      </c>
      <c r="G16" s="129" t="s">
        <v>583</v>
      </c>
      <c r="H16" s="199" t="str">
        <f>LEFT(H17,4) - 1 &amp; "/" &amp; RIGHT(H17,2) - 1</f>
        <v>2016/17</v>
      </c>
      <c r="Z16" s="195"/>
    </row>
    <row r="17" spans="2:26" x14ac:dyDescent="0.25">
      <c r="F17" s="196" t="s">
        <v>596</v>
      </c>
      <c r="G17" s="130" t="s">
        <v>583</v>
      </c>
      <c r="H17" s="84" t="str">
        <f>LEFT(H18,4) - 1 &amp; "/" &amp; RIGHT(H18,2) - 1</f>
        <v>2017/18</v>
      </c>
      <c r="Z17" s="195"/>
    </row>
    <row r="18" spans="2:26" x14ac:dyDescent="0.25">
      <c r="F18" s="93" t="s">
        <v>597</v>
      </c>
      <c r="G18" s="131" t="s">
        <v>583</v>
      </c>
      <c r="H18" s="198" t="str">
        <f>'ARP_User control'!$G$28</f>
        <v>2018/19</v>
      </c>
      <c r="Z18" s="195"/>
    </row>
    <row r="19" spans="2:26" x14ac:dyDescent="0.25">
      <c r="Z19" s="195"/>
    </row>
    <row r="20" spans="2:26" x14ac:dyDescent="0.25">
      <c r="B20" s="95" t="s">
        <v>359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2016/17</v>
      </c>
      <c r="G23" s="129" t="s">
        <v>94</v>
      </c>
      <c r="H23" s="112"/>
      <c r="I23" s="112"/>
      <c r="J23" s="323">
        <v>0.47499999999999998</v>
      </c>
      <c r="K23" s="323">
        <v>4.8000000000000001E-2</v>
      </c>
      <c r="L23" s="323">
        <v>0.48499999999999999</v>
      </c>
      <c r="M23" s="323">
        <v>0.16900000000000001</v>
      </c>
      <c r="N23" s="323">
        <v>0.55500000000000005</v>
      </c>
      <c r="O23" s="323">
        <v>0.68200000000000005</v>
      </c>
      <c r="P23" s="323">
        <v>0.73699999999999999</v>
      </c>
      <c r="Q23" s="323">
        <v>0.47899999999999998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2017/18</v>
      </c>
      <c r="G24" s="130" t="s">
        <v>94</v>
      </c>
      <c r="H24" s="66"/>
      <c r="I24" s="66"/>
      <c r="J24" s="324">
        <v>0.46899999999999997</v>
      </c>
      <c r="K24" s="324">
        <v>0.122</v>
      </c>
      <c r="L24" s="324">
        <v>0.41799999999999998</v>
      </c>
      <c r="M24" s="324">
        <v>0.156</v>
      </c>
      <c r="N24" s="324">
        <v>0.56100000000000005</v>
      </c>
      <c r="O24" s="324">
        <v>0.55500000000000005</v>
      </c>
      <c r="P24" s="324">
        <v>0.74399999999999999</v>
      </c>
      <c r="Q24" s="324">
        <v>0.47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2018/19</v>
      </c>
      <c r="G25" s="131" t="s">
        <v>94</v>
      </c>
      <c r="H25" s="145"/>
      <c r="I25" s="145"/>
      <c r="J25" s="325">
        <v>0.45100000000000001</v>
      </c>
      <c r="K25" s="325">
        <v>0.13200000000000001</v>
      </c>
      <c r="L25" s="325">
        <v>0.432</v>
      </c>
      <c r="M25" s="325">
        <v>0.17299999999999999</v>
      </c>
      <c r="N25" s="325">
        <v>0.59199999999999997</v>
      </c>
      <c r="O25" s="325">
        <v>0.57999999999999996</v>
      </c>
      <c r="P25" s="325">
        <v>0.747</v>
      </c>
      <c r="Q25" s="325">
        <v>0.45900000000000002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564</v>
      </c>
      <c r="G26" s="169" t="s">
        <v>94</v>
      </c>
      <c r="H26" s="307"/>
      <c r="I26" s="307"/>
      <c r="J26" s="308">
        <f>AVERAGE(J23:J25)</f>
        <v>0.46500000000000002</v>
      </c>
      <c r="K26" s="308">
        <f t="shared" ref="K26:Q26" si="0">AVERAGE(K23:K25)</f>
        <v>0.10066666666666667</v>
      </c>
      <c r="L26" s="308">
        <f t="shared" si="0"/>
        <v>0.44500000000000001</v>
      </c>
      <c r="M26" s="308">
        <f t="shared" si="0"/>
        <v>0.16600000000000001</v>
      </c>
      <c r="N26" s="308">
        <f t="shared" si="0"/>
        <v>0.56933333333333336</v>
      </c>
      <c r="O26" s="308">
        <f t="shared" si="0"/>
        <v>0.60566666666666669</v>
      </c>
      <c r="P26" s="308">
        <f t="shared" si="0"/>
        <v>0.74266666666666659</v>
      </c>
      <c r="Q26" s="308">
        <f t="shared" si="0"/>
        <v>0.46933333333333332</v>
      </c>
      <c r="R26" s="309"/>
      <c r="S26" s="309"/>
      <c r="T26" s="309"/>
      <c r="U26" s="309"/>
      <c r="V26" s="309"/>
      <c r="W26" s="309"/>
      <c r="X26" s="309"/>
      <c r="Y26" s="309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2016/17</v>
      </c>
      <c r="G29" s="129" t="s">
        <v>94</v>
      </c>
      <c r="H29" s="112"/>
      <c r="I29" s="112"/>
      <c r="J29" s="323">
        <v>0.83699999999999997</v>
      </c>
      <c r="K29" s="170"/>
      <c r="L29" s="323">
        <v>0.753</v>
      </c>
      <c r="M29" s="170"/>
      <c r="N29" s="323">
        <v>0.85499999999999998</v>
      </c>
      <c r="O29" s="323">
        <v>0.80800000000000005</v>
      </c>
      <c r="P29" s="323">
        <v>0.85599999999999998</v>
      </c>
      <c r="Q29" s="323">
        <v>0.86899999999999999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2017/18</v>
      </c>
      <c r="G30" s="130" t="s">
        <v>94</v>
      </c>
      <c r="H30" s="66"/>
      <c r="I30" s="66"/>
      <c r="J30" s="324">
        <v>0.92300000000000004</v>
      </c>
      <c r="K30" s="159"/>
      <c r="L30" s="324">
        <v>0.69299999999999995</v>
      </c>
      <c r="M30" s="159"/>
      <c r="N30" s="324">
        <v>0.78500000000000003</v>
      </c>
      <c r="O30" s="324">
        <v>0.71599999999999997</v>
      </c>
      <c r="P30" s="324">
        <v>0.83799999999999997</v>
      </c>
      <c r="Q30" s="324">
        <v>0.88700000000000001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2018/19</v>
      </c>
      <c r="G31" s="130" t="s">
        <v>94</v>
      </c>
      <c r="H31" s="66"/>
      <c r="I31" s="66"/>
      <c r="J31" s="324">
        <v>0.85399999999999998</v>
      </c>
      <c r="K31" s="159"/>
      <c r="L31" s="324">
        <v>0.71</v>
      </c>
      <c r="M31" s="159"/>
      <c r="N31" s="324">
        <v>0.85899999999999999</v>
      </c>
      <c r="O31" s="324">
        <v>0.78800000000000003</v>
      </c>
      <c r="P31" s="324">
        <v>0.83799999999999997</v>
      </c>
      <c r="Q31" s="324">
        <v>0.78400000000000003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564</v>
      </c>
      <c r="G32" s="169" t="s">
        <v>94</v>
      </c>
      <c r="H32" s="307"/>
      <c r="I32" s="307"/>
      <c r="J32" s="308">
        <f>AVERAGE(J29:J31)</f>
        <v>0.87133333333333329</v>
      </c>
      <c r="K32" s="309"/>
      <c r="L32" s="308">
        <f t="shared" ref="L32:O32" si="1">AVERAGE(L29:L31)</f>
        <v>0.71866666666666656</v>
      </c>
      <c r="M32" s="309"/>
      <c r="N32" s="308">
        <f t="shared" si="1"/>
        <v>0.83300000000000007</v>
      </c>
      <c r="O32" s="308">
        <f t="shared" si="1"/>
        <v>0.77066666666666672</v>
      </c>
      <c r="P32" s="308">
        <f t="shared" ref="P32:Q32" si="2">AVERAGE(P29:P31)</f>
        <v>0.84399999999999997</v>
      </c>
      <c r="Q32" s="308">
        <f t="shared" si="2"/>
        <v>0.84666666666666668</v>
      </c>
      <c r="R32" s="309"/>
      <c r="S32" s="309"/>
      <c r="T32" s="309"/>
      <c r="U32" s="309"/>
      <c r="V32" s="309"/>
      <c r="W32" s="309"/>
      <c r="X32" s="309"/>
      <c r="Y32" s="309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5" spans="2:26" x14ac:dyDescent="0.25">
      <c r="Z35" s="195"/>
    </row>
    <row r="36" spans="2:26" x14ac:dyDescent="0.25">
      <c r="Z36" s="195"/>
    </row>
    <row r="37" spans="2:26" x14ac:dyDescent="0.25">
      <c r="Z37" s="195"/>
    </row>
    <row r="38" spans="2:26" x14ac:dyDescent="0.25">
      <c r="Z38" s="195"/>
    </row>
    <row r="39" spans="2:26" x14ac:dyDescent="0.25">
      <c r="Z39" s="195"/>
    </row>
    <row r="40" spans="2:26" x14ac:dyDescent="0.25">
      <c r="Z40" s="195"/>
    </row>
    <row r="41" spans="2:26" x14ac:dyDescent="0.25">
      <c r="Z41" s="195"/>
    </row>
    <row r="42" spans="2:26" x14ac:dyDescent="0.25">
      <c r="Z42" s="195"/>
    </row>
    <row r="43" spans="2:26" x14ac:dyDescent="0.25">
      <c r="Z43" s="195"/>
    </row>
    <row r="44" spans="2:26" x14ac:dyDescent="0.25">
      <c r="Z44" s="195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42" sqref="J42:S4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19" width="17" style="85" customWidth="1"/>
    <col min="20" max="20" width="2.28515625" style="85" customWidth="1"/>
    <col min="21" max="301" width="20.710937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Manweb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v5 - 2021/22</v>
      </c>
      <c r="G3" s="298"/>
    </row>
    <row r="5" spans="1:19" x14ac:dyDescent="0.25">
      <c r="B5" s="134" t="s">
        <v>552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324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941</v>
      </c>
    </row>
    <row r="10" spans="1:19" s="295" customFormat="1" x14ac:dyDescent="0.25">
      <c r="C10" s="82" t="s">
        <v>942</v>
      </c>
      <c r="G10" s="108"/>
    </row>
    <row r="11" spans="1:19" x14ac:dyDescent="0.25">
      <c r="C11" s="82" t="s">
        <v>565</v>
      </c>
    </row>
    <row r="12" spans="1:19" x14ac:dyDescent="0.25">
      <c r="C12" s="82" t="s">
        <v>562</v>
      </c>
    </row>
    <row r="13" spans="1:19" x14ac:dyDescent="0.25">
      <c r="D13" s="14"/>
    </row>
    <row r="14" spans="1:19" x14ac:dyDescent="0.25">
      <c r="B14" s="95" t="s">
        <v>265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563</v>
      </c>
    </row>
    <row r="17" spans="2:19" x14ac:dyDescent="0.25">
      <c r="F17" s="91" t="s">
        <v>595</v>
      </c>
      <c r="G17" s="129" t="s">
        <v>583</v>
      </c>
      <c r="H17" s="199" t="str">
        <f>LEFT(H18,4) - 1 &amp; "/" &amp; RIGHT(H18,2) - 1</f>
        <v>2016/17</v>
      </c>
    </row>
    <row r="18" spans="2:19" x14ac:dyDescent="0.25">
      <c r="F18" s="196" t="s">
        <v>596</v>
      </c>
      <c r="G18" s="130" t="s">
        <v>583</v>
      </c>
      <c r="H18" s="84" t="str">
        <f>LEFT(H19,4) - 1 &amp; "/" &amp; RIGHT(H19,2) - 1</f>
        <v>2017/18</v>
      </c>
    </row>
    <row r="19" spans="2:19" x14ac:dyDescent="0.25">
      <c r="F19" s="93" t="s">
        <v>597</v>
      </c>
      <c r="G19" s="131" t="s">
        <v>583</v>
      </c>
      <c r="H19" s="198" t="str">
        <f>'ARP_User control'!$G$28</f>
        <v>2018/19</v>
      </c>
    </row>
    <row r="21" spans="2:19" x14ac:dyDescent="0.25">
      <c r="B21" s="95" t="s">
        <v>598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599</v>
      </c>
    </row>
    <row r="24" spans="2:19" x14ac:dyDescent="0.25">
      <c r="E24" s="92"/>
      <c r="F24" s="91" t="str">
        <f>$H$17</f>
        <v>2016/17</v>
      </c>
      <c r="G24" s="129" t="s">
        <v>94</v>
      </c>
      <c r="H24" s="112"/>
      <c r="I24" s="112"/>
      <c r="J24" s="132"/>
      <c r="K24" s="323">
        <v>0.51484152279453643</v>
      </c>
      <c r="L24" s="323">
        <v>0.51484152279453643</v>
      </c>
      <c r="M24" s="323">
        <v>0.57349712219171201</v>
      </c>
      <c r="N24" s="323">
        <v>0.57349712219171201</v>
      </c>
      <c r="O24" s="323">
        <v>0.53836531524918263</v>
      </c>
      <c r="P24" s="323"/>
      <c r="Q24" s="323">
        <v>0.53836531524918263</v>
      </c>
      <c r="R24" s="323">
        <v>0.53836531524918263</v>
      </c>
      <c r="S24" s="323">
        <v>0.53836531524918263</v>
      </c>
    </row>
    <row r="25" spans="2:19" x14ac:dyDescent="0.25">
      <c r="E25" s="92"/>
      <c r="F25" s="196" t="str">
        <f>$H$18</f>
        <v>2017/18</v>
      </c>
      <c r="G25" s="130" t="s">
        <v>94</v>
      </c>
      <c r="H25" s="66"/>
      <c r="I25" s="66"/>
      <c r="J25" s="37"/>
      <c r="K25" s="324">
        <v>0.81972028061697999</v>
      </c>
      <c r="L25" s="324">
        <v>0.81972028061697999</v>
      </c>
      <c r="M25" s="324">
        <v>0.52373221773787038</v>
      </c>
      <c r="N25" s="324">
        <v>0.52373221773787038</v>
      </c>
      <c r="O25" s="324">
        <v>0.46872765315734238</v>
      </c>
      <c r="P25" s="324"/>
      <c r="Q25" s="324">
        <v>0.46872765315734238</v>
      </c>
      <c r="R25" s="324">
        <v>0.46872765315734238</v>
      </c>
      <c r="S25" s="324">
        <v>0.46872765315734238</v>
      </c>
    </row>
    <row r="26" spans="2:19" x14ac:dyDescent="0.25">
      <c r="E26" s="92"/>
      <c r="F26" s="93" t="str">
        <f>$H$19</f>
        <v>2018/19</v>
      </c>
      <c r="G26" s="131" t="s">
        <v>94</v>
      </c>
      <c r="H26" s="145"/>
      <c r="I26" s="145"/>
      <c r="J26" s="38"/>
      <c r="K26" s="325">
        <v>0.58722001054132578</v>
      </c>
      <c r="L26" s="325">
        <v>0.58722001054132578</v>
      </c>
      <c r="M26" s="325">
        <v>0.49930797130049565</v>
      </c>
      <c r="N26" s="325">
        <v>0.49930797130049565</v>
      </c>
      <c r="O26" s="325">
        <v>0.42550407304798138</v>
      </c>
      <c r="P26" s="325"/>
      <c r="Q26" s="325">
        <v>0.42550407304798138</v>
      </c>
      <c r="R26" s="325">
        <v>0.42550407304798138</v>
      </c>
      <c r="S26" s="325">
        <v>0.42550407304798138</v>
      </c>
    </row>
    <row r="27" spans="2:19" x14ac:dyDescent="0.25">
      <c r="E27" s="92"/>
      <c r="F27" s="93" t="s">
        <v>564</v>
      </c>
      <c r="G27" s="131" t="s">
        <v>94</v>
      </c>
      <c r="H27" s="145"/>
      <c r="I27" s="145"/>
      <c r="J27" s="38"/>
      <c r="K27" s="310">
        <f t="shared" ref="K27:S27" si="0">AVERAGE(K24:K26)</f>
        <v>0.64059393798428077</v>
      </c>
      <c r="L27" s="310">
        <f t="shared" si="0"/>
        <v>0.64059393798428077</v>
      </c>
      <c r="M27" s="310">
        <f t="shared" si="0"/>
        <v>0.53217910374335931</v>
      </c>
      <c r="N27" s="310">
        <f t="shared" si="0"/>
        <v>0.53217910374335931</v>
      </c>
      <c r="O27" s="310">
        <f t="shared" si="0"/>
        <v>0.47753234715150211</v>
      </c>
      <c r="P27" s="310"/>
      <c r="Q27" s="310">
        <f t="shared" si="0"/>
        <v>0.47753234715150211</v>
      </c>
      <c r="R27" s="310">
        <f t="shared" si="0"/>
        <v>0.47753234715150211</v>
      </c>
      <c r="S27" s="310">
        <f t="shared" si="0"/>
        <v>0.47753234715150211</v>
      </c>
    </row>
    <row r="29" spans="2:19" x14ac:dyDescent="0.25">
      <c r="E29" s="96" t="s">
        <v>600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2016/17</v>
      </c>
      <c r="G30" s="129" t="s">
        <v>94</v>
      </c>
      <c r="H30" s="112"/>
      <c r="I30" s="112"/>
      <c r="J30" s="132"/>
      <c r="K30" s="323">
        <v>0.41954288989549032</v>
      </c>
      <c r="L30" s="323">
        <v>0.41954288989549032</v>
      </c>
      <c r="M30" s="323">
        <v>0.34989867543432657</v>
      </c>
      <c r="N30" s="323">
        <v>0.34989867543432657</v>
      </c>
      <c r="O30" s="323">
        <v>0.4215717995635031</v>
      </c>
      <c r="P30" s="323"/>
      <c r="Q30" s="323">
        <v>0.4215717995635031</v>
      </c>
      <c r="R30" s="323">
        <v>0.4215717995635031</v>
      </c>
      <c r="S30" s="323">
        <v>0.4215717995635031</v>
      </c>
    </row>
    <row r="31" spans="2:19" x14ac:dyDescent="0.25">
      <c r="E31" s="92"/>
      <c r="F31" s="196" t="str">
        <f>$H$18</f>
        <v>2017/18</v>
      </c>
      <c r="G31" s="130" t="s">
        <v>94</v>
      </c>
      <c r="H31" s="66"/>
      <c r="I31" s="66"/>
      <c r="J31" s="37"/>
      <c r="K31" s="324">
        <v>0.1267927646662878</v>
      </c>
      <c r="L31" s="324">
        <v>0.1267927646662878</v>
      </c>
      <c r="M31" s="324">
        <v>0.38902526360814194</v>
      </c>
      <c r="N31" s="324">
        <v>0.38902526360814194</v>
      </c>
      <c r="O31" s="324">
        <v>0.48644915386518622</v>
      </c>
      <c r="P31" s="324"/>
      <c r="Q31" s="324">
        <v>0.48644915386518622</v>
      </c>
      <c r="R31" s="324">
        <v>0.48644915386518622</v>
      </c>
      <c r="S31" s="324">
        <v>0.48644915386518622</v>
      </c>
    </row>
    <row r="32" spans="2:19" x14ac:dyDescent="0.25">
      <c r="E32" s="92"/>
      <c r="F32" s="93" t="str">
        <f>$H$19</f>
        <v>2018/19</v>
      </c>
      <c r="G32" s="131" t="s">
        <v>94</v>
      </c>
      <c r="H32" s="145"/>
      <c r="I32" s="145"/>
      <c r="J32" s="38"/>
      <c r="K32" s="325">
        <v>0.35048221269368213</v>
      </c>
      <c r="L32" s="325">
        <v>0.35048221269368213</v>
      </c>
      <c r="M32" s="325">
        <v>0.38204540525593028</v>
      </c>
      <c r="N32" s="325">
        <v>0.38204540525593028</v>
      </c>
      <c r="O32" s="325">
        <v>0.52551405419759734</v>
      </c>
      <c r="P32" s="325"/>
      <c r="Q32" s="325">
        <v>0.52551405419759734</v>
      </c>
      <c r="R32" s="325">
        <v>0.52551405419759734</v>
      </c>
      <c r="S32" s="325">
        <v>0.52551405419759734</v>
      </c>
    </row>
    <row r="33" spans="2:19" x14ac:dyDescent="0.25">
      <c r="E33" s="92"/>
      <c r="F33" s="93" t="s">
        <v>564</v>
      </c>
      <c r="G33" s="131" t="s">
        <v>94</v>
      </c>
      <c r="H33" s="145"/>
      <c r="I33" s="145"/>
      <c r="J33" s="38"/>
      <c r="K33" s="310">
        <f t="shared" ref="K33:S33" si="1">AVERAGE(K30:K32)</f>
        <v>0.29893928908515344</v>
      </c>
      <c r="L33" s="310">
        <f t="shared" si="1"/>
        <v>0.29893928908515344</v>
      </c>
      <c r="M33" s="310">
        <f t="shared" si="1"/>
        <v>0.37365644809946624</v>
      </c>
      <c r="N33" s="310">
        <f t="shared" si="1"/>
        <v>0.37365644809946624</v>
      </c>
      <c r="O33" s="310">
        <f t="shared" si="1"/>
        <v>0.47784500254209555</v>
      </c>
      <c r="P33" s="310"/>
      <c r="Q33" s="310">
        <f t="shared" si="1"/>
        <v>0.47784500254209555</v>
      </c>
      <c r="R33" s="310">
        <f t="shared" si="1"/>
        <v>0.47784500254209555</v>
      </c>
      <c r="S33" s="310">
        <f t="shared" si="1"/>
        <v>0.47784500254209555</v>
      </c>
    </row>
    <row r="35" spans="2:19" x14ac:dyDescent="0.25">
      <c r="E35" s="96" t="s">
        <v>601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2016/17</v>
      </c>
      <c r="G36" s="129" t="s">
        <v>94</v>
      </c>
      <c r="H36" s="112"/>
      <c r="I36" s="112"/>
      <c r="J36" s="132"/>
      <c r="K36" s="323">
        <v>6.5615587309973494E-2</v>
      </c>
      <c r="L36" s="323">
        <v>6.5615587309973494E-2</v>
      </c>
      <c r="M36" s="323">
        <v>7.6604202373961372E-2</v>
      </c>
      <c r="N36" s="323">
        <v>7.6604202373961372E-2</v>
      </c>
      <c r="O36" s="323">
        <v>4.0062885187313241E-2</v>
      </c>
      <c r="P36" s="323"/>
      <c r="Q36" s="323">
        <v>4.0062885187313241E-2</v>
      </c>
      <c r="R36" s="323">
        <v>4.0062885187313241E-2</v>
      </c>
      <c r="S36" s="323">
        <v>4.0062885187313241E-2</v>
      </c>
    </row>
    <row r="37" spans="2:19" x14ac:dyDescent="0.25">
      <c r="E37" s="92"/>
      <c r="F37" s="196" t="str">
        <f>$H$18</f>
        <v>2017/18</v>
      </c>
      <c r="G37" s="130" t="s">
        <v>94</v>
      </c>
      <c r="H37" s="66"/>
      <c r="I37" s="66"/>
      <c r="J37" s="37"/>
      <c r="K37" s="324">
        <v>5.3486954716732274E-2</v>
      </c>
      <c r="L37" s="324">
        <v>5.3486954716732274E-2</v>
      </c>
      <c r="M37" s="324">
        <v>8.7242518653988022E-2</v>
      </c>
      <c r="N37" s="324">
        <v>8.7242518653988022E-2</v>
      </c>
      <c r="O37" s="324">
        <v>4.4823192977471865E-2</v>
      </c>
      <c r="P37" s="324"/>
      <c r="Q37" s="324">
        <v>4.4823192977471865E-2</v>
      </c>
      <c r="R37" s="324">
        <v>4.4823192977471865E-2</v>
      </c>
      <c r="S37" s="324">
        <v>4.4823192977471865E-2</v>
      </c>
    </row>
    <row r="38" spans="2:19" x14ac:dyDescent="0.25">
      <c r="E38" s="92"/>
      <c r="F38" s="93" t="str">
        <f>$H$19</f>
        <v>2018/19</v>
      </c>
      <c r="G38" s="131" t="s">
        <v>94</v>
      </c>
      <c r="H38" s="145"/>
      <c r="I38" s="145"/>
      <c r="J38" s="38"/>
      <c r="K38" s="325">
        <v>6.2297776764992131E-2</v>
      </c>
      <c r="L38" s="325">
        <v>6.2297776764992131E-2</v>
      </c>
      <c r="M38" s="325">
        <v>0.11864662344357424</v>
      </c>
      <c r="N38" s="325">
        <v>0.11864662344357424</v>
      </c>
      <c r="O38" s="325">
        <v>4.8981872754422055E-2</v>
      </c>
      <c r="P38" s="325"/>
      <c r="Q38" s="325">
        <v>4.8981872754422055E-2</v>
      </c>
      <c r="R38" s="325">
        <v>4.8981872754422055E-2</v>
      </c>
      <c r="S38" s="325">
        <v>4.8981872754422055E-2</v>
      </c>
    </row>
    <row r="39" spans="2:19" x14ac:dyDescent="0.25">
      <c r="F39" s="93" t="s">
        <v>564</v>
      </c>
      <c r="G39" s="131" t="s">
        <v>94</v>
      </c>
      <c r="H39" s="145"/>
      <c r="I39" s="145"/>
      <c r="J39" s="38"/>
      <c r="K39" s="310">
        <f t="shared" ref="K39:S39" si="2">AVERAGE(K36:K38)</f>
        <v>6.0466772930565967E-2</v>
      </c>
      <c r="L39" s="310">
        <f t="shared" si="2"/>
        <v>6.0466772930565967E-2</v>
      </c>
      <c r="M39" s="310">
        <f t="shared" si="2"/>
        <v>9.4164448157174549E-2</v>
      </c>
      <c r="N39" s="310">
        <f t="shared" si="2"/>
        <v>9.4164448157174549E-2</v>
      </c>
      <c r="O39" s="310">
        <f t="shared" si="2"/>
        <v>4.4622650306402389E-2</v>
      </c>
      <c r="P39" s="310"/>
      <c r="Q39" s="310">
        <f t="shared" si="2"/>
        <v>4.4622650306402389E-2</v>
      </c>
      <c r="R39" s="310">
        <f t="shared" si="2"/>
        <v>4.4622650306402389E-2</v>
      </c>
      <c r="S39" s="310">
        <f t="shared" si="2"/>
        <v>4.4622650306402389E-2</v>
      </c>
    </row>
    <row r="41" spans="2:19" x14ac:dyDescent="0.25">
      <c r="E41" s="96" t="s">
        <v>602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2016/17</v>
      </c>
      <c r="G42" s="129" t="s">
        <v>94</v>
      </c>
      <c r="H42" s="112"/>
      <c r="I42" s="112"/>
      <c r="J42" s="132"/>
      <c r="K42" s="323">
        <v>0.51484152279453643</v>
      </c>
      <c r="L42" s="323">
        <v>0.51484152279453643</v>
      </c>
      <c r="M42" s="323">
        <v>0.36248677406292978</v>
      </c>
      <c r="N42" s="323">
        <v>0.36248677406292978</v>
      </c>
      <c r="O42" s="323">
        <v>0.4657255210326216</v>
      </c>
      <c r="P42" s="323"/>
      <c r="Q42" s="323">
        <v>0.4657255210326216</v>
      </c>
      <c r="R42" s="323">
        <v>0.4657255210326216</v>
      </c>
      <c r="S42" s="323">
        <v>0.4657255210326216</v>
      </c>
    </row>
    <row r="43" spans="2:19" x14ac:dyDescent="0.25">
      <c r="E43" s="92"/>
      <c r="F43" s="196" t="str">
        <f>$H$18</f>
        <v>2017/18</v>
      </c>
      <c r="G43" s="130" t="s">
        <v>94</v>
      </c>
      <c r="H43" s="66"/>
      <c r="I43" s="66"/>
      <c r="J43" s="37"/>
      <c r="K43" s="324">
        <v>0.33688640969576167</v>
      </c>
      <c r="L43" s="324">
        <v>0.33688640969576167</v>
      </c>
      <c r="M43" s="324">
        <v>0.2682280745331147</v>
      </c>
      <c r="N43" s="324">
        <v>0.2682280745331147</v>
      </c>
      <c r="O43" s="324">
        <v>0.1862505707620882</v>
      </c>
      <c r="P43" s="324"/>
      <c r="Q43" s="324">
        <v>0.1862505707620882</v>
      </c>
      <c r="R43" s="324">
        <v>0.1862505707620882</v>
      </c>
      <c r="S43" s="324">
        <v>0.1862505707620882</v>
      </c>
    </row>
    <row r="44" spans="2:19" x14ac:dyDescent="0.25">
      <c r="E44" s="92"/>
      <c r="F44" s="93" t="str">
        <f>$H$19</f>
        <v>2018/19</v>
      </c>
      <c r="G44" s="131" t="s">
        <v>94</v>
      </c>
      <c r="H44" s="145"/>
      <c r="I44" s="145"/>
      <c r="J44" s="38"/>
      <c r="K44" s="325">
        <v>0.45184784296052738</v>
      </c>
      <c r="L44" s="325">
        <v>0.45184784296052738</v>
      </c>
      <c r="M44" s="325">
        <v>0.19826250582777502</v>
      </c>
      <c r="N44" s="325">
        <v>0.19826250582777502</v>
      </c>
      <c r="O44" s="325">
        <v>0.33110804517285913</v>
      </c>
      <c r="P44" s="325"/>
      <c r="Q44" s="325">
        <v>0.33110804517285913</v>
      </c>
      <c r="R44" s="325">
        <v>0.33110804517285913</v>
      </c>
      <c r="S44" s="325">
        <v>0.33110804517285913</v>
      </c>
    </row>
    <row r="45" spans="2:19" x14ac:dyDescent="0.25">
      <c r="F45" s="93" t="s">
        <v>564</v>
      </c>
      <c r="G45" s="131" t="s">
        <v>94</v>
      </c>
      <c r="H45" s="145"/>
      <c r="I45" s="145"/>
      <c r="J45" s="38"/>
      <c r="K45" s="310">
        <f t="shared" ref="K45:S45" si="3">AVERAGE(K42:K44)</f>
        <v>0.43452525848360851</v>
      </c>
      <c r="L45" s="310">
        <f t="shared" si="3"/>
        <v>0.43452525848360851</v>
      </c>
      <c r="M45" s="310">
        <f t="shared" si="3"/>
        <v>0.27632578480793984</v>
      </c>
      <c r="N45" s="310">
        <f t="shared" si="3"/>
        <v>0.27632578480793984</v>
      </c>
      <c r="O45" s="310">
        <f t="shared" si="3"/>
        <v>0.32769471232252295</v>
      </c>
      <c r="P45" s="310"/>
      <c r="Q45" s="310">
        <f t="shared" si="3"/>
        <v>0.32769471232252295</v>
      </c>
      <c r="R45" s="310">
        <f t="shared" si="3"/>
        <v>0.32769471232252295</v>
      </c>
      <c r="S45" s="310">
        <f t="shared" si="3"/>
        <v>0.32769471232252295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285156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Manweb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v5 - 2021/22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791</v>
      </c>
    </row>
    <row r="8" spans="1:9" s="295" customFormat="1" x14ac:dyDescent="0.25">
      <c r="C8" s="82" t="s">
        <v>792</v>
      </c>
    </row>
    <row r="9" spans="1:9" x14ac:dyDescent="0.25">
      <c r="E9" s="14"/>
    </row>
    <row r="10" spans="1:9" x14ac:dyDescent="0.25">
      <c r="B10" s="95" t="s">
        <v>566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793</v>
      </c>
    </row>
    <row r="13" spans="1:9" x14ac:dyDescent="0.25">
      <c r="C13" s="82" t="s">
        <v>794</v>
      </c>
    </row>
    <row r="14" spans="1:9" s="195" customFormat="1" x14ac:dyDescent="0.25">
      <c r="C14" s="82"/>
    </row>
    <row r="15" spans="1:9" s="195" customFormat="1" x14ac:dyDescent="0.25">
      <c r="C15" s="7" t="s">
        <v>697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568</v>
      </c>
      <c r="G17" s="322" t="s">
        <v>1156</v>
      </c>
    </row>
    <row r="18" spans="2:9" x14ac:dyDescent="0.25">
      <c r="H18" s="108"/>
    </row>
    <row r="19" spans="2:9" s="195" customFormat="1" x14ac:dyDescent="0.25">
      <c r="C19" s="7" t="s">
        <v>677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678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590</v>
      </c>
      <c r="H27" s="108"/>
    </row>
    <row r="28" spans="2:9" x14ac:dyDescent="0.25">
      <c r="E28" s="40" t="s">
        <v>569</v>
      </c>
      <c r="F28" s="91"/>
      <c r="G28" s="156" t="str">
        <f>LEFT(G29,4) - 1 &amp; "/" &amp; RIGHT(G29,2) - 1</f>
        <v>2018/19</v>
      </c>
      <c r="H28" s="326" t="s">
        <v>570</v>
      </c>
    </row>
    <row r="29" spans="2:9" x14ac:dyDescent="0.25">
      <c r="E29" s="39" t="s">
        <v>571</v>
      </c>
      <c r="F29" s="92"/>
      <c r="G29" s="148" t="str">
        <f>LEFT(G30,4) - 1 &amp; "/" &amp; RIGHT(G30,2) - 1</f>
        <v>2019/20</v>
      </c>
      <c r="H29" s="327" t="s">
        <v>570</v>
      </c>
    </row>
    <row r="30" spans="2:9" x14ac:dyDescent="0.25">
      <c r="E30" s="39" t="s">
        <v>572</v>
      </c>
      <c r="F30" s="92"/>
      <c r="G30" s="148" t="str">
        <f>LEFT(G31,4) - 1 &amp; "/" &amp; RIGHT(G31,2) - 1</f>
        <v>2020/21</v>
      </c>
      <c r="H30" s="327" t="s">
        <v>570</v>
      </c>
    </row>
    <row r="31" spans="2:9" x14ac:dyDescent="0.25">
      <c r="E31" s="39" t="str">
        <f>"Charging year (" &amp; charging_year &amp;")"</f>
        <v>Charging year (2021/22)</v>
      </c>
      <c r="F31" s="92"/>
      <c r="G31" s="148" t="str">
        <f>charging_year</f>
        <v>2021/22</v>
      </c>
      <c r="H31" s="327" t="s">
        <v>573</v>
      </c>
    </row>
    <row r="32" spans="2:9" x14ac:dyDescent="0.25">
      <c r="E32" s="39" t="s">
        <v>574</v>
      </c>
      <c r="F32" s="92"/>
      <c r="G32" s="148" t="str">
        <f>LEFT(G31,4) + 1 &amp; "/" &amp; RIGHT(G31,2) + 1</f>
        <v>2022/23</v>
      </c>
      <c r="H32" s="327" t="s">
        <v>575</v>
      </c>
    </row>
    <row r="33" spans="2:9" x14ac:dyDescent="0.25">
      <c r="E33" s="39" t="s">
        <v>576</v>
      </c>
      <c r="F33" s="92"/>
      <c r="G33" s="148" t="str">
        <f t="shared" ref="G33:G35" si="0">LEFT(G32,4) + 1 &amp; "/" &amp; RIGHT(G32,2) + 1</f>
        <v>2023/24</v>
      </c>
      <c r="H33" s="327" t="s">
        <v>575</v>
      </c>
    </row>
    <row r="34" spans="2:9" x14ac:dyDescent="0.25">
      <c r="E34" s="39" t="s">
        <v>577</v>
      </c>
      <c r="F34" s="92"/>
      <c r="G34" s="148" t="str">
        <f t="shared" si="0"/>
        <v>2024/25</v>
      </c>
      <c r="H34" s="327" t="s">
        <v>575</v>
      </c>
    </row>
    <row r="35" spans="2:9" x14ac:dyDescent="0.25">
      <c r="E35" s="36" t="s">
        <v>578</v>
      </c>
      <c r="F35" s="93"/>
      <c r="G35" s="155" t="str">
        <f t="shared" si="0"/>
        <v>2025/26</v>
      </c>
      <c r="H35" s="328" t="s">
        <v>575</v>
      </c>
    </row>
    <row r="36" spans="2:9" x14ac:dyDescent="0.25">
      <c r="E36" s="157" t="s">
        <v>579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25">
      <c r="F39" s="88"/>
      <c r="G39" s="88"/>
      <c r="H39" s="88"/>
      <c r="I39" s="88"/>
    </row>
    <row r="40" spans="2:9" x14ac:dyDescent="0.25">
      <c r="F40" s="88"/>
      <c r="G40" s="88"/>
      <c r="H40" s="88"/>
      <c r="I40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53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F5" sqref="F5"/>
    </sheetView>
  </sheetViews>
  <sheetFormatPr defaultColWidth="0" defaultRowHeight="15" x14ac:dyDescent="0.25"/>
  <cols>
    <col min="1" max="2" width="2.5703125" style="85" customWidth="1"/>
    <col min="3" max="3" width="5.5703125" style="85" customWidth="1"/>
    <col min="4" max="5" width="2.5703125" style="85" customWidth="1"/>
    <col min="6" max="6" width="59.5703125" style="85" customWidth="1"/>
    <col min="7" max="8" width="20.7109375" style="85" customWidth="1"/>
    <col min="9" max="9" width="2.28515625" style="111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Manweb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  <c r="I3" s="311"/>
    </row>
    <row r="4" spans="1:97" s="195" customFormat="1" x14ac:dyDescent="0.25">
      <c r="A4" s="229" t="str">
        <f>H530 &amp; IF(H530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K5" s="111"/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795</v>
      </c>
    </row>
    <row r="11" spans="1:97" s="295" customFormat="1" x14ac:dyDescent="0.25">
      <c r="C11" s="82" t="s">
        <v>796</v>
      </c>
      <c r="I11" s="111"/>
    </row>
    <row r="12" spans="1:97" s="295" customFormat="1" x14ac:dyDescent="0.25">
      <c r="C12" s="82" t="s">
        <v>891</v>
      </c>
      <c r="I12" s="111"/>
    </row>
    <row r="13" spans="1:97" x14ac:dyDescent="0.25">
      <c r="D13" s="14"/>
    </row>
    <row r="14" spans="1:97" x14ac:dyDescent="0.25">
      <c r="B14" s="95" t="s">
        <v>359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431</v>
      </c>
      <c r="L18" s="85" t="s">
        <v>1174</v>
      </c>
      <c r="M18" s="295" t="s">
        <v>1174</v>
      </c>
      <c r="N18" s="295" t="s">
        <v>1174</v>
      </c>
      <c r="U18" s="85" t="s">
        <v>917</v>
      </c>
    </row>
    <row r="19" spans="3:21" x14ac:dyDescent="0.25">
      <c r="F19" s="91" t="s">
        <v>1038</v>
      </c>
      <c r="G19" s="91" t="s">
        <v>94</v>
      </c>
      <c r="H19" s="112"/>
      <c r="I19" s="112"/>
      <c r="J19" s="184">
        <f>CHOOSE(year_selection, L19,M19,N19,O19,P19,Q19,R19,S19)</f>
        <v>0.46500000000000002</v>
      </c>
      <c r="K19" s="161"/>
      <c r="L19" s="323"/>
      <c r="M19" s="323"/>
      <c r="N19" s="323"/>
      <c r="O19" s="323">
        <v>0.46500000000000002</v>
      </c>
      <c r="P19" s="323">
        <v>0.46500000000000002</v>
      </c>
      <c r="Q19" s="323">
        <v>0.46500000000000002</v>
      </c>
      <c r="R19" s="323">
        <v>0.46500000000000002</v>
      </c>
      <c r="S19" s="323">
        <v>0.46500000000000002</v>
      </c>
    </row>
    <row r="20" spans="3:21" x14ac:dyDescent="0.25">
      <c r="F20" s="196" t="s">
        <v>1039</v>
      </c>
      <c r="G20" s="196" t="s">
        <v>94</v>
      </c>
      <c r="H20" s="66"/>
      <c r="I20" s="66"/>
      <c r="J20" s="185">
        <f t="shared" ref="J20:J26" si="0">CHOOSE(year_selection, L20,M20,N20,O20,P20,Q20,R20,S20)</f>
        <v>0.10066666666666667</v>
      </c>
      <c r="K20" s="162"/>
      <c r="L20" s="324"/>
      <c r="M20" s="324"/>
      <c r="N20" s="324"/>
      <c r="O20" s="324">
        <v>0.10066666666666667</v>
      </c>
      <c r="P20" s="324">
        <v>0.10066666666666667</v>
      </c>
      <c r="Q20" s="324">
        <v>0.10066666666666667</v>
      </c>
      <c r="R20" s="324">
        <v>0.10066666666666667</v>
      </c>
      <c r="S20" s="324">
        <v>0.10066666666666667</v>
      </c>
    </row>
    <row r="21" spans="3:21" x14ac:dyDescent="0.25">
      <c r="F21" s="196" t="s">
        <v>1040</v>
      </c>
      <c r="G21" s="196" t="s">
        <v>94</v>
      </c>
      <c r="H21" s="66"/>
      <c r="I21" s="66"/>
      <c r="J21" s="185">
        <f t="shared" si="0"/>
        <v>0.44500000000000001</v>
      </c>
      <c r="K21" s="162"/>
      <c r="L21" s="324"/>
      <c r="M21" s="324"/>
      <c r="N21" s="324"/>
      <c r="O21" s="324">
        <v>0.44500000000000001</v>
      </c>
      <c r="P21" s="324">
        <v>0.44500000000000001</v>
      </c>
      <c r="Q21" s="324">
        <v>0.44500000000000001</v>
      </c>
      <c r="R21" s="324">
        <v>0.44500000000000001</v>
      </c>
      <c r="S21" s="324">
        <v>0.44500000000000001</v>
      </c>
    </row>
    <row r="22" spans="3:21" x14ac:dyDescent="0.25">
      <c r="F22" s="196" t="s">
        <v>1041</v>
      </c>
      <c r="G22" s="196" t="s">
        <v>94</v>
      </c>
      <c r="H22" s="66"/>
      <c r="I22" s="66"/>
      <c r="J22" s="185">
        <f t="shared" si="0"/>
        <v>0.16600000000000001</v>
      </c>
      <c r="K22" s="162"/>
      <c r="L22" s="324"/>
      <c r="M22" s="324"/>
      <c r="N22" s="324"/>
      <c r="O22" s="324">
        <v>0.16600000000000001</v>
      </c>
      <c r="P22" s="324">
        <v>0.16600000000000001</v>
      </c>
      <c r="Q22" s="324">
        <v>0.16600000000000001</v>
      </c>
      <c r="R22" s="324">
        <v>0.16600000000000001</v>
      </c>
      <c r="S22" s="324">
        <v>0.16600000000000001</v>
      </c>
    </row>
    <row r="23" spans="3:21" x14ac:dyDescent="0.25">
      <c r="F23" s="196" t="s">
        <v>1042</v>
      </c>
      <c r="G23" s="196" t="s">
        <v>94</v>
      </c>
      <c r="H23" s="66"/>
      <c r="I23" s="66"/>
      <c r="J23" s="185">
        <f t="shared" si="0"/>
        <v>0.56933333333333336</v>
      </c>
      <c r="K23" s="162"/>
      <c r="L23" s="324"/>
      <c r="M23" s="324"/>
      <c r="N23" s="324"/>
      <c r="O23" s="324">
        <v>0.56933333333333336</v>
      </c>
      <c r="P23" s="324">
        <v>0.56933333333333336</v>
      </c>
      <c r="Q23" s="324">
        <v>0.56933333333333336</v>
      </c>
      <c r="R23" s="324">
        <v>0.56933333333333336</v>
      </c>
      <c r="S23" s="324">
        <v>0.56933333333333336</v>
      </c>
    </row>
    <row r="24" spans="3:21" x14ac:dyDescent="0.25">
      <c r="F24" s="196" t="s">
        <v>1043</v>
      </c>
      <c r="G24" s="196" t="s">
        <v>94</v>
      </c>
      <c r="H24" s="66"/>
      <c r="I24" s="66"/>
      <c r="J24" s="185">
        <f t="shared" si="0"/>
        <v>0.60566666666666669</v>
      </c>
      <c r="K24" s="162"/>
      <c r="L24" s="324"/>
      <c r="M24" s="324"/>
      <c r="N24" s="324"/>
      <c r="O24" s="324">
        <v>0.60566666666666669</v>
      </c>
      <c r="P24" s="324">
        <v>0.60566666666666669</v>
      </c>
      <c r="Q24" s="324">
        <v>0.60566666666666669</v>
      </c>
      <c r="R24" s="324">
        <v>0.60566666666666669</v>
      </c>
      <c r="S24" s="324">
        <v>0.60566666666666669</v>
      </c>
    </row>
    <row r="25" spans="3:21" x14ac:dyDescent="0.25">
      <c r="F25" s="196" t="s">
        <v>1044</v>
      </c>
      <c r="G25" s="196" t="s">
        <v>94</v>
      </c>
      <c r="H25" s="66"/>
      <c r="I25" s="66"/>
      <c r="J25" s="185">
        <f t="shared" si="0"/>
        <v>0.7426666666666667</v>
      </c>
      <c r="K25" s="162"/>
      <c r="L25" s="324"/>
      <c r="M25" s="324"/>
      <c r="N25" s="324"/>
      <c r="O25" s="324">
        <v>0.7426666666666667</v>
      </c>
      <c r="P25" s="324">
        <v>0.7426666666666667</v>
      </c>
      <c r="Q25" s="324">
        <v>0.7426666666666667</v>
      </c>
      <c r="R25" s="324">
        <v>0.7426666666666667</v>
      </c>
      <c r="S25" s="324">
        <v>0.7426666666666667</v>
      </c>
    </row>
    <row r="26" spans="3:21" x14ac:dyDescent="0.25">
      <c r="F26" s="196" t="s">
        <v>1045</v>
      </c>
      <c r="G26" s="196" t="s">
        <v>94</v>
      </c>
      <c r="H26" s="66"/>
      <c r="I26" s="66"/>
      <c r="J26" s="185">
        <f t="shared" si="0"/>
        <v>0.46933333333333332</v>
      </c>
      <c r="K26" s="162"/>
      <c r="L26" s="324"/>
      <c r="M26" s="324"/>
      <c r="N26" s="324"/>
      <c r="O26" s="324">
        <v>0.46933333333333332</v>
      </c>
      <c r="P26" s="324">
        <v>0.46933333333333332</v>
      </c>
      <c r="Q26" s="324">
        <v>0.46933333333333332</v>
      </c>
      <c r="R26" s="324">
        <v>0.46933333333333332</v>
      </c>
      <c r="S26" s="324">
        <v>0.46933333333333332</v>
      </c>
    </row>
    <row r="27" spans="3:21" x14ac:dyDescent="0.25">
      <c r="F27" s="196" t="s">
        <v>1046</v>
      </c>
      <c r="G27" s="196" t="s">
        <v>94</v>
      </c>
      <c r="H27" s="66"/>
      <c r="I27" s="66"/>
      <c r="J27" s="240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1047</v>
      </c>
      <c r="G28" s="196" t="s">
        <v>94</v>
      </c>
      <c r="H28" s="66"/>
      <c r="I28" s="66"/>
      <c r="J28" s="240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1048</v>
      </c>
      <c r="G29" s="196" t="s">
        <v>94</v>
      </c>
      <c r="H29" s="66"/>
      <c r="I29" s="66"/>
      <c r="J29" s="240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1049</v>
      </c>
      <c r="G30" s="196" t="s">
        <v>94</v>
      </c>
      <c r="H30" s="66"/>
      <c r="I30" s="66"/>
      <c r="J30" s="240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1050</v>
      </c>
      <c r="G31" s="196" t="s">
        <v>94</v>
      </c>
      <c r="H31" s="66"/>
      <c r="I31" s="66"/>
      <c r="J31" s="240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1051</v>
      </c>
      <c r="G32" s="196" t="s">
        <v>94</v>
      </c>
      <c r="H32" s="66"/>
      <c r="I32" s="66"/>
      <c r="J32" s="240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1052</v>
      </c>
      <c r="G33" s="196" t="s">
        <v>94</v>
      </c>
      <c r="H33" s="66"/>
      <c r="I33" s="66"/>
      <c r="J33" s="240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1053</v>
      </c>
      <c r="G34" s="93" t="s">
        <v>94</v>
      </c>
      <c r="H34" s="145"/>
      <c r="I34" s="145"/>
      <c r="J34" s="241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5"/>
      <c r="M37" s="295"/>
      <c r="N37" s="295"/>
      <c r="O37" s="295"/>
      <c r="P37" s="295"/>
      <c r="Q37" s="295"/>
      <c r="R37" s="295"/>
      <c r="S37" s="295"/>
    </row>
    <row r="38" spans="3:21" x14ac:dyDescent="0.25">
      <c r="E38" s="144" t="s">
        <v>70</v>
      </c>
      <c r="H38" s="111"/>
      <c r="I38" s="111" t="s">
        <v>431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918</v>
      </c>
    </row>
    <row r="39" spans="3:21" x14ac:dyDescent="0.25">
      <c r="F39" s="91" t="s">
        <v>1038</v>
      </c>
      <c r="G39" s="91" t="s">
        <v>94</v>
      </c>
      <c r="H39" s="112"/>
      <c r="I39" s="112"/>
      <c r="J39" s="184">
        <f t="shared" ref="J39:J46" si="1">CHOOSE(year_selection, L39,M39,N39,O39,P39,Q39,R39,S39)</f>
        <v>0.87133333333333329</v>
      </c>
      <c r="K39" s="161"/>
      <c r="L39" s="323"/>
      <c r="M39" s="323"/>
      <c r="N39" s="323"/>
      <c r="O39" s="323">
        <v>0.87133333333333329</v>
      </c>
      <c r="P39" s="323">
        <v>0.87133333333333329</v>
      </c>
      <c r="Q39" s="323">
        <v>0.87133333333333329</v>
      </c>
      <c r="R39" s="323">
        <v>0.87133333333333329</v>
      </c>
      <c r="S39" s="323">
        <v>0.87133333333333329</v>
      </c>
    </row>
    <row r="40" spans="3:21" x14ac:dyDescent="0.25">
      <c r="F40" s="196" t="s">
        <v>1039</v>
      </c>
      <c r="G40" s="196" t="s">
        <v>94</v>
      </c>
      <c r="H40" s="66"/>
      <c r="I40" s="66"/>
      <c r="J40" s="240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1040</v>
      </c>
      <c r="G41" s="196" t="s">
        <v>94</v>
      </c>
      <c r="H41" s="66"/>
      <c r="I41" s="66"/>
      <c r="J41" s="185">
        <f t="shared" si="1"/>
        <v>0.71866666666666668</v>
      </c>
      <c r="K41" s="162"/>
      <c r="L41" s="324"/>
      <c r="M41" s="324"/>
      <c r="N41" s="324"/>
      <c r="O41" s="324">
        <v>0.71866666666666668</v>
      </c>
      <c r="P41" s="324">
        <v>0.71866666666666668</v>
      </c>
      <c r="Q41" s="324">
        <v>0.71866666666666668</v>
      </c>
      <c r="R41" s="324">
        <v>0.71866666666666668</v>
      </c>
      <c r="S41" s="324">
        <v>0.71866666666666668</v>
      </c>
    </row>
    <row r="42" spans="3:21" x14ac:dyDescent="0.25">
      <c r="F42" s="196" t="s">
        <v>1041</v>
      </c>
      <c r="G42" s="196" t="s">
        <v>94</v>
      </c>
      <c r="H42" s="66"/>
      <c r="I42" s="66"/>
      <c r="J42" s="240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1042</v>
      </c>
      <c r="G43" s="196" t="s">
        <v>94</v>
      </c>
      <c r="H43" s="66"/>
      <c r="I43" s="66"/>
      <c r="J43" s="185">
        <f t="shared" si="1"/>
        <v>0.83300000000000007</v>
      </c>
      <c r="K43" s="162"/>
      <c r="L43" s="324"/>
      <c r="M43" s="324"/>
      <c r="N43" s="324"/>
      <c r="O43" s="324">
        <v>0.83300000000000007</v>
      </c>
      <c r="P43" s="324">
        <v>0.83300000000000007</v>
      </c>
      <c r="Q43" s="324">
        <v>0.83300000000000007</v>
      </c>
      <c r="R43" s="324">
        <v>0.83300000000000007</v>
      </c>
      <c r="S43" s="324">
        <v>0.83300000000000007</v>
      </c>
    </row>
    <row r="44" spans="3:21" x14ac:dyDescent="0.25">
      <c r="F44" s="196" t="s">
        <v>1043</v>
      </c>
      <c r="G44" s="196" t="s">
        <v>94</v>
      </c>
      <c r="H44" s="66"/>
      <c r="I44" s="66"/>
      <c r="J44" s="185">
        <f t="shared" si="1"/>
        <v>0.77066666666666672</v>
      </c>
      <c r="K44" s="162"/>
      <c r="L44" s="324"/>
      <c r="M44" s="324"/>
      <c r="N44" s="324"/>
      <c r="O44" s="324">
        <v>0.77066666666666672</v>
      </c>
      <c r="P44" s="324">
        <v>0.77066666666666672</v>
      </c>
      <c r="Q44" s="324">
        <v>0.77066666666666672</v>
      </c>
      <c r="R44" s="324">
        <v>0.77066666666666672</v>
      </c>
      <c r="S44" s="324">
        <v>0.77066666666666672</v>
      </c>
    </row>
    <row r="45" spans="3:21" x14ac:dyDescent="0.25">
      <c r="F45" s="196" t="s">
        <v>1044</v>
      </c>
      <c r="G45" s="196" t="s">
        <v>94</v>
      </c>
      <c r="H45" s="66"/>
      <c r="I45" s="66"/>
      <c r="J45" s="185">
        <f t="shared" si="1"/>
        <v>0.84399999999999997</v>
      </c>
      <c r="K45" s="162"/>
      <c r="L45" s="324"/>
      <c r="M45" s="324"/>
      <c r="N45" s="324"/>
      <c r="O45" s="324">
        <v>0.84399999999999997</v>
      </c>
      <c r="P45" s="324">
        <v>0.84399999999999997</v>
      </c>
      <c r="Q45" s="324">
        <v>0.84399999999999997</v>
      </c>
      <c r="R45" s="324">
        <v>0.84399999999999997</v>
      </c>
      <c r="S45" s="324">
        <v>0.84399999999999997</v>
      </c>
    </row>
    <row r="46" spans="3:21" x14ac:dyDescent="0.25">
      <c r="F46" s="196" t="s">
        <v>1045</v>
      </c>
      <c r="G46" s="196" t="s">
        <v>94</v>
      </c>
      <c r="H46" s="66"/>
      <c r="I46" s="66"/>
      <c r="J46" s="185">
        <f t="shared" si="1"/>
        <v>0.84666666666666668</v>
      </c>
      <c r="K46" s="162"/>
      <c r="L46" s="324"/>
      <c r="M46" s="324"/>
      <c r="N46" s="324"/>
      <c r="O46" s="324">
        <v>0.84666666666666668</v>
      </c>
      <c r="P46" s="324">
        <v>0.84666666666666668</v>
      </c>
      <c r="Q46" s="324">
        <v>0.84666666666666668</v>
      </c>
      <c r="R46" s="324">
        <v>0.84666666666666668</v>
      </c>
      <c r="S46" s="324">
        <v>0.84666666666666668</v>
      </c>
    </row>
    <row r="47" spans="3:21" x14ac:dyDescent="0.25">
      <c r="F47" s="196" t="s">
        <v>1046</v>
      </c>
      <c r="G47" s="196" t="s">
        <v>94</v>
      </c>
      <c r="H47" s="66"/>
      <c r="I47" s="66"/>
      <c r="J47" s="240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1047</v>
      </c>
      <c r="G48" s="196" t="s">
        <v>94</v>
      </c>
      <c r="H48" s="66"/>
      <c r="I48" s="66"/>
      <c r="J48" s="240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1048</v>
      </c>
      <c r="G49" s="196" t="s">
        <v>94</v>
      </c>
      <c r="H49" s="66"/>
      <c r="I49" s="66"/>
      <c r="J49" s="240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1049</v>
      </c>
      <c r="G50" s="196" t="s">
        <v>94</v>
      </c>
      <c r="H50" s="66"/>
      <c r="I50" s="66"/>
      <c r="J50" s="240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1050</v>
      </c>
      <c r="G51" s="196" t="s">
        <v>94</v>
      </c>
      <c r="H51" s="66"/>
      <c r="I51" s="66"/>
      <c r="J51" s="240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1051</v>
      </c>
      <c r="G52" s="196" t="s">
        <v>94</v>
      </c>
      <c r="H52" s="66"/>
      <c r="I52" s="66"/>
      <c r="J52" s="240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1052</v>
      </c>
      <c r="G53" s="196" t="s">
        <v>94</v>
      </c>
      <c r="H53" s="66"/>
      <c r="I53" s="66"/>
      <c r="J53" s="240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1053</v>
      </c>
      <c r="G54" s="93" t="s">
        <v>94</v>
      </c>
      <c r="H54" s="145"/>
      <c r="I54" s="145"/>
      <c r="J54" s="241"/>
      <c r="K54" s="164"/>
      <c r="L54" s="437"/>
      <c r="M54" s="437"/>
      <c r="N54" s="437"/>
      <c r="O54" s="437"/>
      <c r="P54" s="437"/>
      <c r="Q54" s="437"/>
      <c r="R54" s="437"/>
      <c r="S54" s="437"/>
    </row>
    <row r="55" spans="2:21" x14ac:dyDescent="0.25">
      <c r="J55" s="195"/>
      <c r="K55" s="195"/>
      <c r="L55" s="295"/>
      <c r="M55" s="295"/>
      <c r="N55" s="295"/>
      <c r="O55" s="195"/>
      <c r="P55" s="295"/>
      <c r="Q55" s="295"/>
      <c r="R55" s="295"/>
      <c r="S55" s="295"/>
    </row>
    <row r="56" spans="2:21" x14ac:dyDescent="0.25">
      <c r="B56" s="95" t="s">
        <v>729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5"/>
      <c r="M57" s="295"/>
      <c r="N57" s="295"/>
      <c r="O57" s="195"/>
      <c r="P57" s="295"/>
      <c r="Q57" s="295"/>
      <c r="R57" s="295"/>
      <c r="S57" s="295"/>
    </row>
    <row r="58" spans="2:21" x14ac:dyDescent="0.25">
      <c r="C58" s="7" t="str">
        <f ca="1">INDEX('Version control'!$H$34:$H$60,MATCH($A$1,'Version control'!$F$34:$F$60,0),1)&amp;"-C: All-the-way volumes"</f>
        <v>Input 501-C: All-the-way volumes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5"/>
      <c r="M59" s="295"/>
      <c r="N59" s="295"/>
      <c r="O59" s="195"/>
      <c r="P59" s="295"/>
      <c r="Q59" s="295"/>
      <c r="R59" s="295"/>
      <c r="S59" s="295"/>
    </row>
    <row r="60" spans="2:21" x14ac:dyDescent="0.25">
      <c r="E60" s="144" t="s">
        <v>256</v>
      </c>
      <c r="I60" s="111" t="s">
        <v>431</v>
      </c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 t="s">
        <v>799</v>
      </c>
    </row>
    <row r="61" spans="2:21" x14ac:dyDescent="0.25">
      <c r="F61" s="91" t="s">
        <v>1038</v>
      </c>
      <c r="G61" s="91" t="s">
        <v>120</v>
      </c>
      <c r="H61" s="91" t="s">
        <v>145</v>
      </c>
      <c r="I61" s="112"/>
      <c r="J61" s="232">
        <f t="shared" ref="J61:J76" si="2">CHOOSE(year_selection, L61,M61,N61,O61,P61,Q61,R61,S61)</f>
        <v>565724.84769405378</v>
      </c>
      <c r="K61" s="233"/>
      <c r="L61" s="329"/>
      <c r="M61" s="329"/>
      <c r="N61" s="329"/>
      <c r="O61" s="329">
        <v>565724.84769405378</v>
      </c>
      <c r="P61" s="329">
        <v>565724.84769405378</v>
      </c>
      <c r="Q61" s="329">
        <v>565724.84769405378</v>
      </c>
      <c r="R61" s="329">
        <v>565724.84769405378</v>
      </c>
      <c r="S61" s="329">
        <v>565724.84769405378</v>
      </c>
    </row>
    <row r="62" spans="2:21" x14ac:dyDescent="0.25">
      <c r="F62" s="196" t="s">
        <v>1039</v>
      </c>
      <c r="G62" s="196" t="s">
        <v>120</v>
      </c>
      <c r="H62" s="196" t="s">
        <v>145</v>
      </c>
      <c r="I62" s="66"/>
      <c r="J62" s="234">
        <f t="shared" si="2"/>
        <v>45.600324459247773</v>
      </c>
      <c r="K62" s="235"/>
      <c r="L62" s="330"/>
      <c r="M62" s="330"/>
      <c r="N62" s="330"/>
      <c r="O62" s="330">
        <v>45.600324459247773</v>
      </c>
      <c r="P62" s="330">
        <v>45.600324459247773</v>
      </c>
      <c r="Q62" s="330">
        <v>45.600324459247773</v>
      </c>
      <c r="R62" s="330">
        <v>45.600324459247773</v>
      </c>
      <c r="S62" s="330">
        <v>45.600324459247773</v>
      </c>
    </row>
    <row r="63" spans="2:21" x14ac:dyDescent="0.25">
      <c r="F63" s="196" t="s">
        <v>1040</v>
      </c>
      <c r="G63" s="196" t="s">
        <v>120</v>
      </c>
      <c r="H63" s="196" t="s">
        <v>145</v>
      </c>
      <c r="I63" s="66"/>
      <c r="J63" s="234">
        <f t="shared" si="2"/>
        <v>148255.30521434694</v>
      </c>
      <c r="K63" s="235"/>
      <c r="L63" s="330"/>
      <c r="M63" s="330"/>
      <c r="N63" s="330"/>
      <c r="O63" s="330">
        <v>148255.30521434694</v>
      </c>
      <c r="P63" s="330">
        <v>148255.30521434694</v>
      </c>
      <c r="Q63" s="330">
        <v>148255.30521434694</v>
      </c>
      <c r="R63" s="330">
        <v>148255.30521434694</v>
      </c>
      <c r="S63" s="330">
        <v>148255.30521434694</v>
      </c>
    </row>
    <row r="64" spans="2:21" x14ac:dyDescent="0.25">
      <c r="F64" s="196" t="s">
        <v>1041</v>
      </c>
      <c r="G64" s="196" t="s">
        <v>120</v>
      </c>
      <c r="H64" s="196" t="s">
        <v>145</v>
      </c>
      <c r="I64" s="66"/>
      <c r="J64" s="234">
        <f t="shared" si="2"/>
        <v>6.8595464743105259</v>
      </c>
      <c r="K64" s="235"/>
      <c r="L64" s="330"/>
      <c r="M64" s="330"/>
      <c r="N64" s="330"/>
      <c r="O64" s="330">
        <v>6.8595464743105259</v>
      </c>
      <c r="P64" s="330">
        <v>6.8595464743105259</v>
      </c>
      <c r="Q64" s="330">
        <v>6.8595464743105259</v>
      </c>
      <c r="R64" s="330">
        <v>6.8595464743105259</v>
      </c>
      <c r="S64" s="330">
        <v>6.8595464743105259</v>
      </c>
    </row>
    <row r="65" spans="5:19" x14ac:dyDescent="0.25">
      <c r="F65" s="196" t="s">
        <v>1042</v>
      </c>
      <c r="G65" s="196" t="s">
        <v>120</v>
      </c>
      <c r="H65" s="196" t="s">
        <v>145</v>
      </c>
      <c r="I65" s="66"/>
      <c r="J65" s="234">
        <f t="shared" si="2"/>
        <v>91792.359658494301</v>
      </c>
      <c r="K65" s="235"/>
      <c r="L65" s="330"/>
      <c r="M65" s="330"/>
      <c r="N65" s="330"/>
      <c r="O65" s="330">
        <v>91792.359658494301</v>
      </c>
      <c r="P65" s="330">
        <v>91792.359658494301</v>
      </c>
      <c r="Q65" s="330">
        <v>91792.359658494301</v>
      </c>
      <c r="R65" s="330">
        <v>91792.359658494301</v>
      </c>
      <c r="S65" s="330">
        <v>91792.359658494301</v>
      </c>
    </row>
    <row r="66" spans="5:19" x14ac:dyDescent="0.25">
      <c r="F66" s="196" t="s">
        <v>1043</v>
      </c>
      <c r="G66" s="196" t="s">
        <v>120</v>
      </c>
      <c r="H66" s="196" t="s">
        <v>145</v>
      </c>
      <c r="I66" s="66"/>
      <c r="J66" s="234">
        <f t="shared" si="2"/>
        <v>105860.63117892911</v>
      </c>
      <c r="K66" s="235"/>
      <c r="L66" s="330"/>
      <c r="M66" s="330"/>
      <c r="N66" s="330"/>
      <c r="O66" s="330">
        <v>105860.63117892911</v>
      </c>
      <c r="P66" s="330">
        <v>105860.63117892911</v>
      </c>
      <c r="Q66" s="330">
        <v>105860.63117892911</v>
      </c>
      <c r="R66" s="330">
        <v>105860.63117892911</v>
      </c>
      <c r="S66" s="330">
        <v>105860.63117892911</v>
      </c>
    </row>
    <row r="67" spans="5:19" x14ac:dyDescent="0.25">
      <c r="F67" s="196" t="s">
        <v>1044</v>
      </c>
      <c r="G67" s="196" t="s">
        <v>120</v>
      </c>
      <c r="H67" s="196" t="s">
        <v>145</v>
      </c>
      <c r="I67" s="66"/>
      <c r="J67" s="234">
        <f t="shared" si="2"/>
        <v>161221.11018721742</v>
      </c>
      <c r="K67" s="235"/>
      <c r="L67" s="330"/>
      <c r="M67" s="330"/>
      <c r="N67" s="330"/>
      <c r="O67" s="330">
        <v>161221.11018721742</v>
      </c>
      <c r="P67" s="330">
        <v>161221.11018721742</v>
      </c>
      <c r="Q67" s="330">
        <v>161221.11018721742</v>
      </c>
      <c r="R67" s="330">
        <v>161221.11018721742</v>
      </c>
      <c r="S67" s="330">
        <v>161221.11018721742</v>
      </c>
    </row>
    <row r="68" spans="5:19" x14ac:dyDescent="0.25">
      <c r="F68" s="196" t="s">
        <v>1045</v>
      </c>
      <c r="G68" s="196" t="s">
        <v>120</v>
      </c>
      <c r="H68" s="196" t="s">
        <v>145</v>
      </c>
      <c r="I68" s="66"/>
      <c r="J68" s="234">
        <f t="shared" si="2"/>
        <v>7070.8623594972905</v>
      </c>
      <c r="K68" s="235"/>
      <c r="L68" s="330"/>
      <c r="M68" s="330"/>
      <c r="N68" s="330"/>
      <c r="O68" s="330">
        <v>7070.8623594972905</v>
      </c>
      <c r="P68" s="330">
        <v>7070.8623594972905</v>
      </c>
      <c r="Q68" s="330">
        <v>7070.8623594972905</v>
      </c>
      <c r="R68" s="330">
        <v>7070.8623594972905</v>
      </c>
      <c r="S68" s="330">
        <v>7070.8623594972905</v>
      </c>
    </row>
    <row r="69" spans="5:19" x14ac:dyDescent="0.25">
      <c r="F69" s="196" t="s">
        <v>1046</v>
      </c>
      <c r="G69" s="196" t="s">
        <v>120</v>
      </c>
      <c r="H69" s="196" t="s">
        <v>145</v>
      </c>
      <c r="I69" s="66"/>
      <c r="J69" s="234">
        <f t="shared" si="2"/>
        <v>104.47429331694744</v>
      </c>
      <c r="K69" s="235"/>
      <c r="L69" s="330"/>
      <c r="M69" s="330"/>
      <c r="N69" s="330"/>
      <c r="O69" s="330">
        <v>104.47429331694744</v>
      </c>
      <c r="P69" s="330">
        <v>104.47429331694744</v>
      </c>
      <c r="Q69" s="330">
        <v>104.47429331694744</v>
      </c>
      <c r="R69" s="330">
        <v>104.47429331694744</v>
      </c>
      <c r="S69" s="330">
        <v>104.47429331694744</v>
      </c>
    </row>
    <row r="70" spans="5:19" x14ac:dyDescent="0.25">
      <c r="F70" s="196" t="s">
        <v>1047</v>
      </c>
      <c r="G70" s="196" t="s">
        <v>120</v>
      </c>
      <c r="H70" s="196" t="s">
        <v>145</v>
      </c>
      <c r="I70" s="66"/>
      <c r="J70" s="234">
        <f t="shared" si="2"/>
        <v>35.771932311779992</v>
      </c>
      <c r="K70" s="235"/>
      <c r="L70" s="330"/>
      <c r="M70" s="330"/>
      <c r="N70" s="330"/>
      <c r="O70" s="330">
        <v>35.771932311779992</v>
      </c>
      <c r="P70" s="330">
        <v>35.771932311779992</v>
      </c>
      <c r="Q70" s="330">
        <v>35.771932311779992</v>
      </c>
      <c r="R70" s="330">
        <v>35.771932311779992</v>
      </c>
      <c r="S70" s="330">
        <v>35.771932311779992</v>
      </c>
    </row>
    <row r="71" spans="5:19" x14ac:dyDescent="0.25">
      <c r="F71" s="196" t="s">
        <v>1048</v>
      </c>
      <c r="G71" s="196" t="s">
        <v>120</v>
      </c>
      <c r="H71" s="196" t="s">
        <v>145</v>
      </c>
      <c r="I71" s="66"/>
      <c r="J71" s="234">
        <f t="shared" si="2"/>
        <v>4876.2857099056537</v>
      </c>
      <c r="K71" s="235"/>
      <c r="L71" s="330"/>
      <c r="M71" s="330"/>
      <c r="N71" s="330"/>
      <c r="O71" s="330">
        <v>4876.2857099056537</v>
      </c>
      <c r="P71" s="330">
        <v>4876.2857099056537</v>
      </c>
      <c r="Q71" s="330">
        <v>4876.2857099056537</v>
      </c>
      <c r="R71" s="330">
        <v>4876.2857099056537</v>
      </c>
      <c r="S71" s="330">
        <v>4876.2857099056537</v>
      </c>
    </row>
    <row r="72" spans="5:19" x14ac:dyDescent="0.25">
      <c r="F72" s="196" t="s">
        <v>1049</v>
      </c>
      <c r="G72" s="196" t="s">
        <v>120</v>
      </c>
      <c r="H72" s="196" t="s">
        <v>145</v>
      </c>
      <c r="I72" s="66"/>
      <c r="J72" s="234">
        <f t="shared" si="2"/>
        <v>0</v>
      </c>
      <c r="K72" s="235"/>
      <c r="L72" s="330"/>
      <c r="M72" s="330"/>
      <c r="N72" s="330"/>
      <c r="O72" s="330">
        <v>0</v>
      </c>
      <c r="P72" s="330">
        <v>0</v>
      </c>
      <c r="Q72" s="330">
        <v>0</v>
      </c>
      <c r="R72" s="330">
        <v>0</v>
      </c>
      <c r="S72" s="330">
        <v>0</v>
      </c>
    </row>
    <row r="73" spans="5:19" x14ac:dyDescent="0.25">
      <c r="F73" s="196" t="s">
        <v>1050</v>
      </c>
      <c r="G73" s="196" t="s">
        <v>120</v>
      </c>
      <c r="H73" s="196" t="s">
        <v>145</v>
      </c>
      <c r="I73" s="66"/>
      <c r="J73" s="234">
        <f t="shared" si="2"/>
        <v>1421.8434887434785</v>
      </c>
      <c r="K73" s="235"/>
      <c r="L73" s="330"/>
      <c r="M73" s="330"/>
      <c r="N73" s="330"/>
      <c r="O73" s="330">
        <v>1421.8434887434785</v>
      </c>
      <c r="P73" s="330">
        <v>1421.8434887434785</v>
      </c>
      <c r="Q73" s="330">
        <v>1421.8434887434785</v>
      </c>
      <c r="R73" s="330">
        <v>1421.8434887434785</v>
      </c>
      <c r="S73" s="330">
        <v>1421.8434887434785</v>
      </c>
    </row>
    <row r="74" spans="5:19" x14ac:dyDescent="0.25">
      <c r="F74" s="196" t="s">
        <v>1051</v>
      </c>
      <c r="G74" s="196" t="s">
        <v>120</v>
      </c>
      <c r="H74" s="196" t="s">
        <v>145</v>
      </c>
      <c r="I74" s="66"/>
      <c r="J74" s="234">
        <f t="shared" si="2"/>
        <v>0</v>
      </c>
      <c r="K74" s="235"/>
      <c r="L74" s="330"/>
      <c r="M74" s="330"/>
      <c r="N74" s="330"/>
      <c r="O74" s="330">
        <v>0</v>
      </c>
      <c r="P74" s="330">
        <v>0</v>
      </c>
      <c r="Q74" s="330">
        <v>0</v>
      </c>
      <c r="R74" s="330">
        <v>0</v>
      </c>
      <c r="S74" s="330">
        <v>0</v>
      </c>
    </row>
    <row r="75" spans="5:19" x14ac:dyDescent="0.25">
      <c r="F75" s="196" t="s">
        <v>1052</v>
      </c>
      <c r="G75" s="196" t="s">
        <v>120</v>
      </c>
      <c r="H75" s="196" t="s">
        <v>145</v>
      </c>
      <c r="I75" s="66"/>
      <c r="J75" s="234">
        <f t="shared" si="2"/>
        <v>42821.256435874217</v>
      </c>
      <c r="K75" s="235"/>
      <c r="L75" s="330"/>
      <c r="M75" s="330"/>
      <c r="N75" s="330"/>
      <c r="O75" s="330">
        <v>42821.256435874217</v>
      </c>
      <c r="P75" s="330">
        <v>42821.256435874217</v>
      </c>
      <c r="Q75" s="330">
        <v>42821.256435874217</v>
      </c>
      <c r="R75" s="330">
        <v>42821.256435874217</v>
      </c>
      <c r="S75" s="330">
        <v>42821.256435874217</v>
      </c>
    </row>
    <row r="76" spans="5:19" x14ac:dyDescent="0.25">
      <c r="F76" s="93" t="s">
        <v>1053</v>
      </c>
      <c r="G76" s="93" t="s">
        <v>120</v>
      </c>
      <c r="H76" s="93" t="s">
        <v>145</v>
      </c>
      <c r="I76" s="145"/>
      <c r="J76" s="236">
        <f t="shared" si="2"/>
        <v>0</v>
      </c>
      <c r="K76" s="237"/>
      <c r="L76" s="331"/>
      <c r="M76" s="331"/>
      <c r="N76" s="331"/>
      <c r="O76" s="331">
        <v>0</v>
      </c>
      <c r="P76" s="331">
        <v>0</v>
      </c>
      <c r="Q76" s="331">
        <v>0</v>
      </c>
      <c r="R76" s="331">
        <v>0</v>
      </c>
      <c r="S76" s="331">
        <v>0</v>
      </c>
    </row>
    <row r="77" spans="5:19" x14ac:dyDescent="0.25">
      <c r="J77" s="238"/>
      <c r="K77" s="238"/>
      <c r="L77" s="238"/>
      <c r="M77" s="238"/>
      <c r="N77" s="238"/>
      <c r="O77" s="238"/>
      <c r="P77" s="238"/>
      <c r="Q77" s="238"/>
      <c r="R77" s="238"/>
      <c r="S77" s="238"/>
    </row>
    <row r="78" spans="5:19" x14ac:dyDescent="0.25">
      <c r="E78" s="144" t="s">
        <v>257</v>
      </c>
      <c r="J78" s="238"/>
      <c r="K78" s="238"/>
      <c r="L78" s="238"/>
      <c r="M78" s="238"/>
      <c r="N78" s="238"/>
      <c r="O78" s="238"/>
      <c r="P78" s="238"/>
      <c r="Q78" s="238"/>
      <c r="R78" s="238"/>
      <c r="S78" s="238"/>
    </row>
    <row r="79" spans="5:19" x14ac:dyDescent="0.25">
      <c r="F79" s="91" t="s">
        <v>1038</v>
      </c>
      <c r="G79" s="91" t="s">
        <v>120</v>
      </c>
      <c r="H79" s="91" t="s">
        <v>145</v>
      </c>
      <c r="I79" s="112"/>
      <c r="J79" s="232">
        <f t="shared" ref="J79:J94" si="3">CHOOSE(year_selection, L79,M79,N79,O79,P79,Q79,R79,S79)</f>
        <v>2004244.7443350828</v>
      </c>
      <c r="K79" s="233"/>
      <c r="L79" s="329"/>
      <c r="M79" s="329"/>
      <c r="N79" s="329"/>
      <c r="O79" s="329">
        <v>2004244.7443350828</v>
      </c>
      <c r="P79" s="329">
        <v>2004244.7443350828</v>
      </c>
      <c r="Q79" s="329">
        <v>2004244.7443350828</v>
      </c>
      <c r="R79" s="329">
        <v>2004244.7443350828</v>
      </c>
      <c r="S79" s="329">
        <v>2004244.7443350828</v>
      </c>
    </row>
    <row r="80" spans="5:19" x14ac:dyDescent="0.25">
      <c r="F80" s="196" t="s">
        <v>1039</v>
      </c>
      <c r="G80" s="196" t="s">
        <v>120</v>
      </c>
      <c r="H80" s="196" t="s">
        <v>145</v>
      </c>
      <c r="I80" s="66"/>
      <c r="J80" s="234">
        <f t="shared" si="3"/>
        <v>769.70150120030291</v>
      </c>
      <c r="K80" s="235"/>
      <c r="L80" s="330"/>
      <c r="M80" s="330"/>
      <c r="N80" s="330"/>
      <c r="O80" s="330">
        <v>769.70150120030291</v>
      </c>
      <c r="P80" s="330">
        <v>769.70150120030291</v>
      </c>
      <c r="Q80" s="330">
        <v>769.70150120030291</v>
      </c>
      <c r="R80" s="330">
        <v>769.70150120030291</v>
      </c>
      <c r="S80" s="330">
        <v>769.70150120030291</v>
      </c>
    </row>
    <row r="81" spans="5:19" x14ac:dyDescent="0.25">
      <c r="F81" s="196" t="s">
        <v>1040</v>
      </c>
      <c r="G81" s="196" t="s">
        <v>120</v>
      </c>
      <c r="H81" s="196" t="s">
        <v>145</v>
      </c>
      <c r="I81" s="66"/>
      <c r="J81" s="234">
        <f t="shared" si="3"/>
        <v>779468.22863586666</v>
      </c>
      <c r="K81" s="235"/>
      <c r="L81" s="330"/>
      <c r="M81" s="330"/>
      <c r="N81" s="330"/>
      <c r="O81" s="330">
        <v>779468.22863586666</v>
      </c>
      <c r="P81" s="330">
        <v>779468.22863586666</v>
      </c>
      <c r="Q81" s="330">
        <v>779468.22863586666</v>
      </c>
      <c r="R81" s="330">
        <v>779468.22863586666</v>
      </c>
      <c r="S81" s="330">
        <v>779468.22863586666</v>
      </c>
    </row>
    <row r="82" spans="5:19" x14ac:dyDescent="0.25">
      <c r="F82" s="196" t="s">
        <v>1041</v>
      </c>
      <c r="G82" s="196" t="s">
        <v>120</v>
      </c>
      <c r="H82" s="196" t="s">
        <v>145</v>
      </c>
      <c r="I82" s="66"/>
      <c r="J82" s="234">
        <f t="shared" si="3"/>
        <v>363.68083419264593</v>
      </c>
      <c r="K82" s="235"/>
      <c r="L82" s="330"/>
      <c r="M82" s="330"/>
      <c r="N82" s="330"/>
      <c r="O82" s="330">
        <v>363.68083419264593</v>
      </c>
      <c r="P82" s="330">
        <v>363.68083419264593</v>
      </c>
      <c r="Q82" s="330">
        <v>363.68083419264593</v>
      </c>
      <c r="R82" s="330">
        <v>363.68083419264593</v>
      </c>
      <c r="S82" s="330">
        <v>363.68083419264593</v>
      </c>
    </row>
    <row r="83" spans="5:19" x14ac:dyDescent="0.25">
      <c r="F83" s="196" t="s">
        <v>1042</v>
      </c>
      <c r="G83" s="196" t="s">
        <v>120</v>
      </c>
      <c r="H83" s="196" t="s">
        <v>145</v>
      </c>
      <c r="I83" s="66"/>
      <c r="J83" s="234">
        <f t="shared" si="3"/>
        <v>424005.57007851894</v>
      </c>
      <c r="K83" s="235"/>
      <c r="L83" s="330"/>
      <c r="M83" s="330"/>
      <c r="N83" s="330"/>
      <c r="O83" s="330">
        <v>424005.57007851894</v>
      </c>
      <c r="P83" s="330">
        <v>424005.57007851894</v>
      </c>
      <c r="Q83" s="330">
        <v>424005.57007851894</v>
      </c>
      <c r="R83" s="330">
        <v>424005.57007851894</v>
      </c>
      <c r="S83" s="330">
        <v>424005.57007851894</v>
      </c>
    </row>
    <row r="84" spans="5:19" x14ac:dyDescent="0.25">
      <c r="F84" s="196" t="s">
        <v>1043</v>
      </c>
      <c r="G84" s="196" t="s">
        <v>120</v>
      </c>
      <c r="H84" s="196" t="s">
        <v>145</v>
      </c>
      <c r="I84" s="66"/>
      <c r="J84" s="234">
        <f t="shared" si="3"/>
        <v>523823.73557284038</v>
      </c>
      <c r="K84" s="235"/>
      <c r="L84" s="330"/>
      <c r="M84" s="330"/>
      <c r="N84" s="330"/>
      <c r="O84" s="330">
        <v>523823.73557284038</v>
      </c>
      <c r="P84" s="330">
        <v>523823.73557284038</v>
      </c>
      <c r="Q84" s="330">
        <v>523823.73557284038</v>
      </c>
      <c r="R84" s="330">
        <v>523823.73557284038</v>
      </c>
      <c r="S84" s="330">
        <v>523823.73557284038</v>
      </c>
    </row>
    <row r="85" spans="5:19" x14ac:dyDescent="0.25">
      <c r="F85" s="196" t="s">
        <v>1044</v>
      </c>
      <c r="G85" s="196" t="s">
        <v>120</v>
      </c>
      <c r="H85" s="196" t="s">
        <v>145</v>
      </c>
      <c r="I85" s="66"/>
      <c r="J85" s="234">
        <f t="shared" si="3"/>
        <v>763633.0714178842</v>
      </c>
      <c r="K85" s="235"/>
      <c r="L85" s="330"/>
      <c r="M85" s="330"/>
      <c r="N85" s="330"/>
      <c r="O85" s="330">
        <v>763633.0714178842</v>
      </c>
      <c r="P85" s="330">
        <v>763633.0714178842</v>
      </c>
      <c r="Q85" s="330">
        <v>763633.0714178842</v>
      </c>
      <c r="R85" s="330">
        <v>763633.0714178842</v>
      </c>
      <c r="S85" s="330">
        <v>763633.0714178842</v>
      </c>
    </row>
    <row r="86" spans="5:19" x14ac:dyDescent="0.25">
      <c r="F86" s="196" t="s">
        <v>1045</v>
      </c>
      <c r="G86" s="196" t="s">
        <v>120</v>
      </c>
      <c r="H86" s="196" t="s">
        <v>145</v>
      </c>
      <c r="I86" s="66"/>
      <c r="J86" s="234">
        <f t="shared" si="3"/>
        <v>51992.039513992626</v>
      </c>
      <c r="K86" s="235"/>
      <c r="L86" s="330"/>
      <c r="M86" s="330"/>
      <c r="N86" s="330"/>
      <c r="O86" s="330">
        <v>51992.039513992626</v>
      </c>
      <c r="P86" s="330">
        <v>51992.039513992626</v>
      </c>
      <c r="Q86" s="330">
        <v>51992.039513992626</v>
      </c>
      <c r="R86" s="330">
        <v>51992.039513992626</v>
      </c>
      <c r="S86" s="330">
        <v>51992.039513992626</v>
      </c>
    </row>
    <row r="87" spans="5:19" x14ac:dyDescent="0.25">
      <c r="F87" s="196" t="s">
        <v>1046</v>
      </c>
      <c r="G87" s="196" t="s">
        <v>120</v>
      </c>
      <c r="H87" s="196" t="s">
        <v>145</v>
      </c>
      <c r="I87" s="66"/>
      <c r="J87" s="234">
        <f t="shared" si="3"/>
        <v>509.89423910109542</v>
      </c>
      <c r="K87" s="235"/>
      <c r="L87" s="330"/>
      <c r="M87" s="330"/>
      <c r="N87" s="330"/>
      <c r="O87" s="330">
        <v>509.89423910109542</v>
      </c>
      <c r="P87" s="330">
        <v>509.89423910109542</v>
      </c>
      <c r="Q87" s="330">
        <v>509.89423910109542</v>
      </c>
      <c r="R87" s="330">
        <v>509.89423910109542</v>
      </c>
      <c r="S87" s="330">
        <v>509.89423910109542</v>
      </c>
    </row>
    <row r="88" spans="5:19" x14ac:dyDescent="0.25">
      <c r="F88" s="196" t="s">
        <v>1047</v>
      </c>
      <c r="G88" s="196" t="s">
        <v>120</v>
      </c>
      <c r="H88" s="196" t="s">
        <v>145</v>
      </c>
      <c r="I88" s="66"/>
      <c r="J88" s="234">
        <f t="shared" si="3"/>
        <v>160.58959252319966</v>
      </c>
      <c r="K88" s="235"/>
      <c r="L88" s="330"/>
      <c r="M88" s="330"/>
      <c r="N88" s="330"/>
      <c r="O88" s="330">
        <v>160.58959252319966</v>
      </c>
      <c r="P88" s="330">
        <v>160.58959252319966</v>
      </c>
      <c r="Q88" s="330">
        <v>160.58959252319966</v>
      </c>
      <c r="R88" s="330">
        <v>160.58959252319966</v>
      </c>
      <c r="S88" s="330">
        <v>160.58959252319966</v>
      </c>
    </row>
    <row r="89" spans="5:19" x14ac:dyDescent="0.25">
      <c r="F89" s="196" t="s">
        <v>1048</v>
      </c>
      <c r="G89" s="196" t="s">
        <v>120</v>
      </c>
      <c r="H89" s="196" t="s">
        <v>145</v>
      </c>
      <c r="I89" s="66"/>
      <c r="J89" s="234">
        <f t="shared" si="3"/>
        <v>23805.598357778857</v>
      </c>
      <c r="K89" s="235"/>
      <c r="L89" s="330"/>
      <c r="M89" s="330"/>
      <c r="N89" s="330"/>
      <c r="O89" s="330">
        <v>23805.598357778857</v>
      </c>
      <c r="P89" s="330">
        <v>23805.598357778857</v>
      </c>
      <c r="Q89" s="330">
        <v>23805.598357778857</v>
      </c>
      <c r="R89" s="330">
        <v>23805.598357778857</v>
      </c>
      <c r="S89" s="330">
        <v>23805.598357778857</v>
      </c>
    </row>
    <row r="90" spans="5:19" x14ac:dyDescent="0.25">
      <c r="F90" s="196" t="s">
        <v>1049</v>
      </c>
      <c r="G90" s="196" t="s">
        <v>120</v>
      </c>
      <c r="H90" s="196" t="s">
        <v>145</v>
      </c>
      <c r="I90" s="66"/>
      <c r="J90" s="234">
        <f t="shared" si="3"/>
        <v>0</v>
      </c>
      <c r="K90" s="235"/>
      <c r="L90" s="330"/>
      <c r="M90" s="330"/>
      <c r="N90" s="330"/>
      <c r="O90" s="330">
        <v>0</v>
      </c>
      <c r="P90" s="330">
        <v>0</v>
      </c>
      <c r="Q90" s="330">
        <v>0</v>
      </c>
      <c r="R90" s="330">
        <v>0</v>
      </c>
      <c r="S90" s="330">
        <v>0</v>
      </c>
    </row>
    <row r="91" spans="5:19" x14ac:dyDescent="0.25">
      <c r="F91" s="196" t="s">
        <v>1050</v>
      </c>
      <c r="G91" s="196" t="s">
        <v>120</v>
      </c>
      <c r="H91" s="196" t="s">
        <v>145</v>
      </c>
      <c r="I91" s="66"/>
      <c r="J91" s="234">
        <f t="shared" si="3"/>
        <v>6382.5471914560349</v>
      </c>
      <c r="K91" s="235"/>
      <c r="L91" s="330"/>
      <c r="M91" s="330"/>
      <c r="N91" s="330"/>
      <c r="O91" s="330">
        <v>6382.5471914560349</v>
      </c>
      <c r="P91" s="330">
        <v>6382.5471914560349</v>
      </c>
      <c r="Q91" s="330">
        <v>6382.5471914560349</v>
      </c>
      <c r="R91" s="330">
        <v>6382.5471914560349</v>
      </c>
      <c r="S91" s="330">
        <v>6382.5471914560349</v>
      </c>
    </row>
    <row r="92" spans="5:19" x14ac:dyDescent="0.25">
      <c r="F92" s="196" t="s">
        <v>1051</v>
      </c>
      <c r="G92" s="196" t="s">
        <v>120</v>
      </c>
      <c r="H92" s="196" t="s">
        <v>145</v>
      </c>
      <c r="I92" s="66"/>
      <c r="J92" s="234">
        <f t="shared" si="3"/>
        <v>0</v>
      </c>
      <c r="K92" s="235"/>
      <c r="L92" s="330"/>
      <c r="M92" s="330"/>
      <c r="N92" s="330"/>
      <c r="O92" s="330">
        <v>0</v>
      </c>
      <c r="P92" s="330">
        <v>0</v>
      </c>
      <c r="Q92" s="330">
        <v>0</v>
      </c>
      <c r="R92" s="330">
        <v>0</v>
      </c>
      <c r="S92" s="330">
        <v>0</v>
      </c>
    </row>
    <row r="93" spans="5:19" x14ac:dyDescent="0.25">
      <c r="F93" s="196" t="s">
        <v>1052</v>
      </c>
      <c r="G93" s="196" t="s">
        <v>120</v>
      </c>
      <c r="H93" s="196" t="s">
        <v>145</v>
      </c>
      <c r="I93" s="66"/>
      <c r="J93" s="234">
        <f t="shared" si="3"/>
        <v>169444.19263568314</v>
      </c>
      <c r="K93" s="235"/>
      <c r="L93" s="330"/>
      <c r="M93" s="330"/>
      <c r="N93" s="330"/>
      <c r="O93" s="330">
        <v>169444.19263568314</v>
      </c>
      <c r="P93" s="330">
        <v>169444.19263568314</v>
      </c>
      <c r="Q93" s="330">
        <v>169444.19263568314</v>
      </c>
      <c r="R93" s="330">
        <v>169444.19263568314</v>
      </c>
      <c r="S93" s="330">
        <v>169444.19263568314</v>
      </c>
    </row>
    <row r="94" spans="5:19" x14ac:dyDescent="0.25">
      <c r="F94" s="93" t="s">
        <v>1053</v>
      </c>
      <c r="G94" s="93" t="s">
        <v>120</v>
      </c>
      <c r="H94" s="93" t="s">
        <v>145</v>
      </c>
      <c r="I94" s="145"/>
      <c r="J94" s="236">
        <f t="shared" si="3"/>
        <v>0</v>
      </c>
      <c r="K94" s="237"/>
      <c r="L94" s="331"/>
      <c r="M94" s="331"/>
      <c r="N94" s="331"/>
      <c r="O94" s="331">
        <v>0</v>
      </c>
      <c r="P94" s="331">
        <v>0</v>
      </c>
      <c r="Q94" s="331">
        <v>0</v>
      </c>
      <c r="R94" s="331">
        <v>0</v>
      </c>
      <c r="S94" s="331">
        <v>0</v>
      </c>
    </row>
    <row r="95" spans="5:19" x14ac:dyDescent="0.25">
      <c r="J95" s="238"/>
      <c r="K95" s="238"/>
      <c r="L95" s="238"/>
      <c r="M95" s="238"/>
      <c r="N95" s="238"/>
      <c r="O95" s="238"/>
      <c r="P95" s="238"/>
      <c r="Q95" s="238"/>
      <c r="R95" s="238"/>
      <c r="S95" s="238"/>
    </row>
    <row r="96" spans="5:19" x14ac:dyDescent="0.25">
      <c r="E96" s="144" t="s">
        <v>258</v>
      </c>
      <c r="J96" s="238"/>
      <c r="K96" s="238"/>
      <c r="L96" s="238"/>
      <c r="M96" s="238"/>
      <c r="N96" s="238"/>
      <c r="O96" s="238"/>
      <c r="P96" s="238"/>
      <c r="Q96" s="238"/>
      <c r="R96" s="238"/>
      <c r="S96" s="238"/>
    </row>
    <row r="97" spans="6:19" x14ac:dyDescent="0.25">
      <c r="F97" s="91" t="s">
        <v>1038</v>
      </c>
      <c r="G97" s="91" t="s">
        <v>120</v>
      </c>
      <c r="H97" s="91" t="s">
        <v>145</v>
      </c>
      <c r="I97" s="112"/>
      <c r="J97" s="232">
        <f t="shared" ref="J97:J112" si="4">CHOOSE(year_selection, L97,M97,N97,O97,P97,Q97,R97,S97)</f>
        <v>1886875.9715677693</v>
      </c>
      <c r="K97" s="233"/>
      <c r="L97" s="329"/>
      <c r="M97" s="329"/>
      <c r="N97" s="329"/>
      <c r="O97" s="329">
        <v>1886875.9715677693</v>
      </c>
      <c r="P97" s="329">
        <v>1886875.9715677693</v>
      </c>
      <c r="Q97" s="329">
        <v>1886875.9715677693</v>
      </c>
      <c r="R97" s="329">
        <v>1886875.9715677693</v>
      </c>
      <c r="S97" s="329">
        <v>1886875.9715677693</v>
      </c>
    </row>
    <row r="98" spans="6:19" x14ac:dyDescent="0.25">
      <c r="F98" s="196" t="s">
        <v>1039</v>
      </c>
      <c r="G98" s="196" t="s">
        <v>120</v>
      </c>
      <c r="H98" s="196" t="s">
        <v>145</v>
      </c>
      <c r="I98" s="66"/>
      <c r="J98" s="234">
        <f t="shared" si="4"/>
        <v>10340.203230515768</v>
      </c>
      <c r="K98" s="235"/>
      <c r="L98" s="330"/>
      <c r="M98" s="330"/>
      <c r="N98" s="330"/>
      <c r="O98" s="330">
        <v>10340.203230515768</v>
      </c>
      <c r="P98" s="330">
        <v>10340.203230515768</v>
      </c>
      <c r="Q98" s="330">
        <v>10340.203230515768</v>
      </c>
      <c r="R98" s="330">
        <v>10340.203230515768</v>
      </c>
      <c r="S98" s="330">
        <v>10340.203230515768</v>
      </c>
    </row>
    <row r="99" spans="6:19" x14ac:dyDescent="0.25">
      <c r="F99" s="196" t="s">
        <v>1040</v>
      </c>
      <c r="G99" s="196" t="s">
        <v>120</v>
      </c>
      <c r="H99" s="196" t="s">
        <v>145</v>
      </c>
      <c r="I99" s="66"/>
      <c r="J99" s="234">
        <f t="shared" si="4"/>
        <v>755406.33561361348</v>
      </c>
      <c r="K99" s="235"/>
      <c r="L99" s="330"/>
      <c r="M99" s="330"/>
      <c r="N99" s="330"/>
      <c r="O99" s="330">
        <v>755406.33561361348</v>
      </c>
      <c r="P99" s="330">
        <v>755406.33561361348</v>
      </c>
      <c r="Q99" s="330">
        <v>755406.33561361348</v>
      </c>
      <c r="R99" s="330">
        <v>755406.33561361348</v>
      </c>
      <c r="S99" s="330">
        <v>755406.33561361348</v>
      </c>
    </row>
    <row r="100" spans="6:19" x14ac:dyDescent="0.25">
      <c r="F100" s="196" t="s">
        <v>1041</v>
      </c>
      <c r="G100" s="196" t="s">
        <v>120</v>
      </c>
      <c r="H100" s="196" t="s">
        <v>145</v>
      </c>
      <c r="I100" s="66"/>
      <c r="J100" s="234">
        <f t="shared" si="4"/>
        <v>4425.6666229911798</v>
      </c>
      <c r="K100" s="235"/>
      <c r="L100" s="330"/>
      <c r="M100" s="330"/>
      <c r="N100" s="330"/>
      <c r="O100" s="330">
        <v>4425.6666229911798</v>
      </c>
      <c r="P100" s="330">
        <v>4425.6666229911798</v>
      </c>
      <c r="Q100" s="330">
        <v>4425.6666229911798</v>
      </c>
      <c r="R100" s="330">
        <v>4425.6666229911798</v>
      </c>
      <c r="S100" s="330">
        <v>4425.6666229911798</v>
      </c>
    </row>
    <row r="101" spans="6:19" x14ac:dyDescent="0.25">
      <c r="F101" s="196" t="s">
        <v>1042</v>
      </c>
      <c r="G101" s="196" t="s">
        <v>120</v>
      </c>
      <c r="H101" s="196" t="s">
        <v>145</v>
      </c>
      <c r="I101" s="66"/>
      <c r="J101" s="234">
        <f t="shared" si="4"/>
        <v>422617.96593606938</v>
      </c>
      <c r="K101" s="235"/>
      <c r="L101" s="330"/>
      <c r="M101" s="330"/>
      <c r="N101" s="330"/>
      <c r="O101" s="330">
        <v>422617.96593606938</v>
      </c>
      <c r="P101" s="330">
        <v>422617.96593606938</v>
      </c>
      <c r="Q101" s="330">
        <v>422617.96593606938</v>
      </c>
      <c r="R101" s="330">
        <v>422617.96593606938</v>
      </c>
      <c r="S101" s="330">
        <v>422617.96593606938</v>
      </c>
    </row>
    <row r="102" spans="6:19" x14ac:dyDescent="0.25">
      <c r="F102" s="196" t="s">
        <v>1043</v>
      </c>
      <c r="G102" s="196" t="s">
        <v>120</v>
      </c>
      <c r="H102" s="196" t="s">
        <v>145</v>
      </c>
      <c r="I102" s="66"/>
      <c r="J102" s="234">
        <f t="shared" si="4"/>
        <v>576300.52899391274</v>
      </c>
      <c r="K102" s="235"/>
      <c r="L102" s="330"/>
      <c r="M102" s="330"/>
      <c r="N102" s="330"/>
      <c r="O102" s="330">
        <v>576300.52899391274</v>
      </c>
      <c r="P102" s="330">
        <v>576300.52899391274</v>
      </c>
      <c r="Q102" s="330">
        <v>576300.52899391274</v>
      </c>
      <c r="R102" s="330">
        <v>576300.52899391274</v>
      </c>
      <c r="S102" s="330">
        <v>576300.52899391274</v>
      </c>
    </row>
    <row r="103" spans="6:19" x14ac:dyDescent="0.25">
      <c r="F103" s="196" t="s">
        <v>1044</v>
      </c>
      <c r="G103" s="196" t="s">
        <v>120</v>
      </c>
      <c r="H103" s="196" t="s">
        <v>145</v>
      </c>
      <c r="I103" s="66"/>
      <c r="J103" s="234">
        <f t="shared" si="4"/>
        <v>948286.74499818834</v>
      </c>
      <c r="K103" s="235"/>
      <c r="L103" s="330"/>
      <c r="M103" s="330"/>
      <c r="N103" s="330"/>
      <c r="O103" s="330">
        <v>948286.74499818834</v>
      </c>
      <c r="P103" s="330">
        <v>948286.74499818834</v>
      </c>
      <c r="Q103" s="330">
        <v>948286.74499818834</v>
      </c>
      <c r="R103" s="330">
        <v>948286.74499818834</v>
      </c>
      <c r="S103" s="330">
        <v>948286.74499818834</v>
      </c>
    </row>
    <row r="104" spans="6:19" x14ac:dyDescent="0.25">
      <c r="F104" s="196" t="s">
        <v>1045</v>
      </c>
      <c r="G104" s="196" t="s">
        <v>120</v>
      </c>
      <c r="H104" s="196" t="s">
        <v>145</v>
      </c>
      <c r="I104" s="66"/>
      <c r="J104" s="234">
        <f t="shared" si="4"/>
        <v>96017.10841937708</v>
      </c>
      <c r="K104" s="235"/>
      <c r="L104" s="330"/>
      <c r="M104" s="330"/>
      <c r="N104" s="330"/>
      <c r="O104" s="330">
        <v>96017.10841937708</v>
      </c>
      <c r="P104" s="330">
        <v>96017.10841937708</v>
      </c>
      <c r="Q104" s="330">
        <v>96017.10841937708</v>
      </c>
      <c r="R104" s="330">
        <v>96017.10841937708</v>
      </c>
      <c r="S104" s="330">
        <v>96017.10841937708</v>
      </c>
    </row>
    <row r="105" spans="6:19" x14ac:dyDescent="0.25">
      <c r="F105" s="196" t="s">
        <v>1046</v>
      </c>
      <c r="G105" s="196" t="s">
        <v>120</v>
      </c>
      <c r="H105" s="196" t="s">
        <v>145</v>
      </c>
      <c r="I105" s="66"/>
      <c r="J105" s="234">
        <f t="shared" si="4"/>
        <v>534.48350594468047</v>
      </c>
      <c r="K105" s="235"/>
      <c r="L105" s="330"/>
      <c r="M105" s="330"/>
      <c r="N105" s="330"/>
      <c r="O105" s="330">
        <v>534.48350594468047</v>
      </c>
      <c r="P105" s="330">
        <v>534.48350594468047</v>
      </c>
      <c r="Q105" s="330">
        <v>534.48350594468047</v>
      </c>
      <c r="R105" s="330">
        <v>534.48350594468047</v>
      </c>
      <c r="S105" s="330">
        <v>534.48350594468047</v>
      </c>
    </row>
    <row r="106" spans="6:19" x14ac:dyDescent="0.25">
      <c r="F106" s="196" t="s">
        <v>1047</v>
      </c>
      <c r="G106" s="196" t="s">
        <v>120</v>
      </c>
      <c r="H106" s="196" t="s">
        <v>145</v>
      </c>
      <c r="I106" s="66"/>
      <c r="J106" s="234">
        <f t="shared" si="4"/>
        <v>201.06201955341325</v>
      </c>
      <c r="K106" s="235"/>
      <c r="L106" s="330"/>
      <c r="M106" s="330"/>
      <c r="N106" s="330"/>
      <c r="O106" s="330">
        <v>201.06201955341325</v>
      </c>
      <c r="P106" s="330">
        <v>201.06201955341325</v>
      </c>
      <c r="Q106" s="330">
        <v>201.06201955341325</v>
      </c>
      <c r="R106" s="330">
        <v>201.06201955341325</v>
      </c>
      <c r="S106" s="330">
        <v>201.06201955341325</v>
      </c>
    </row>
    <row r="107" spans="6:19" x14ac:dyDescent="0.25">
      <c r="F107" s="196" t="s">
        <v>1048</v>
      </c>
      <c r="G107" s="196" t="s">
        <v>120</v>
      </c>
      <c r="H107" s="196" t="s">
        <v>145</v>
      </c>
      <c r="I107" s="66"/>
      <c r="J107" s="234">
        <f t="shared" si="4"/>
        <v>27627.12669629819</v>
      </c>
      <c r="K107" s="235"/>
      <c r="L107" s="330"/>
      <c r="M107" s="330"/>
      <c r="N107" s="330"/>
      <c r="O107" s="330">
        <v>27627.12669629819</v>
      </c>
      <c r="P107" s="330">
        <v>27627.12669629819</v>
      </c>
      <c r="Q107" s="330">
        <v>27627.12669629819</v>
      </c>
      <c r="R107" s="330">
        <v>27627.12669629819</v>
      </c>
      <c r="S107" s="330">
        <v>27627.12669629819</v>
      </c>
    </row>
    <row r="108" spans="6:19" x14ac:dyDescent="0.25">
      <c r="F108" s="196" t="s">
        <v>1049</v>
      </c>
      <c r="G108" s="196" t="s">
        <v>120</v>
      </c>
      <c r="H108" s="196" t="s">
        <v>145</v>
      </c>
      <c r="I108" s="66"/>
      <c r="J108" s="234">
        <f t="shared" si="4"/>
        <v>0</v>
      </c>
      <c r="K108" s="235"/>
      <c r="L108" s="330"/>
      <c r="M108" s="330"/>
      <c r="N108" s="330"/>
      <c r="O108" s="330">
        <v>0</v>
      </c>
      <c r="P108" s="330">
        <v>0</v>
      </c>
      <c r="Q108" s="330">
        <v>0</v>
      </c>
      <c r="R108" s="330">
        <v>0</v>
      </c>
      <c r="S108" s="330">
        <v>0</v>
      </c>
    </row>
    <row r="109" spans="6:19" x14ac:dyDescent="0.25">
      <c r="F109" s="196" t="s">
        <v>1050</v>
      </c>
      <c r="G109" s="196" t="s">
        <v>120</v>
      </c>
      <c r="H109" s="196" t="s">
        <v>145</v>
      </c>
      <c r="I109" s="66"/>
      <c r="J109" s="234">
        <f t="shared" si="4"/>
        <v>7999.8037931113131</v>
      </c>
      <c r="K109" s="235"/>
      <c r="L109" s="330"/>
      <c r="M109" s="330"/>
      <c r="N109" s="330"/>
      <c r="O109" s="330">
        <v>7999.8037931113131</v>
      </c>
      <c r="P109" s="330">
        <v>7999.8037931113131</v>
      </c>
      <c r="Q109" s="330">
        <v>7999.8037931113131</v>
      </c>
      <c r="R109" s="330">
        <v>7999.8037931113131</v>
      </c>
      <c r="S109" s="330">
        <v>7999.8037931113131</v>
      </c>
    </row>
    <row r="110" spans="6:19" x14ac:dyDescent="0.25">
      <c r="F110" s="196" t="s">
        <v>1051</v>
      </c>
      <c r="G110" s="196" t="s">
        <v>120</v>
      </c>
      <c r="H110" s="196" t="s">
        <v>145</v>
      </c>
      <c r="I110" s="66"/>
      <c r="J110" s="234">
        <f t="shared" si="4"/>
        <v>0</v>
      </c>
      <c r="K110" s="235"/>
      <c r="L110" s="330"/>
      <c r="M110" s="330"/>
      <c r="N110" s="330"/>
      <c r="O110" s="330">
        <v>0</v>
      </c>
      <c r="P110" s="330">
        <v>0</v>
      </c>
      <c r="Q110" s="330">
        <v>0</v>
      </c>
      <c r="R110" s="330">
        <v>0</v>
      </c>
      <c r="S110" s="330">
        <v>0</v>
      </c>
    </row>
    <row r="111" spans="6:19" x14ac:dyDescent="0.25">
      <c r="F111" s="196" t="s">
        <v>1052</v>
      </c>
      <c r="G111" s="196" t="s">
        <v>120</v>
      </c>
      <c r="H111" s="196" t="s">
        <v>145</v>
      </c>
      <c r="I111" s="66"/>
      <c r="J111" s="234">
        <f t="shared" si="4"/>
        <v>178082.97709073228</v>
      </c>
      <c r="K111" s="235"/>
      <c r="L111" s="330"/>
      <c r="M111" s="330"/>
      <c r="N111" s="330"/>
      <c r="O111" s="330">
        <v>178082.97709073228</v>
      </c>
      <c r="P111" s="330">
        <v>178082.97709073228</v>
      </c>
      <c r="Q111" s="330">
        <v>178082.97709073228</v>
      </c>
      <c r="R111" s="330">
        <v>178082.97709073228</v>
      </c>
      <c r="S111" s="330">
        <v>178082.97709073228</v>
      </c>
    </row>
    <row r="112" spans="6:19" x14ac:dyDescent="0.25">
      <c r="F112" s="93" t="s">
        <v>1053</v>
      </c>
      <c r="G112" s="93" t="s">
        <v>120</v>
      </c>
      <c r="H112" s="93" t="s">
        <v>145</v>
      </c>
      <c r="I112" s="145"/>
      <c r="J112" s="236">
        <f t="shared" si="4"/>
        <v>0</v>
      </c>
      <c r="K112" s="237"/>
      <c r="L112" s="331"/>
      <c r="M112" s="331"/>
      <c r="N112" s="331"/>
      <c r="O112" s="331">
        <v>0</v>
      </c>
      <c r="P112" s="331">
        <v>0</v>
      </c>
      <c r="Q112" s="331">
        <v>0</v>
      </c>
      <c r="R112" s="331">
        <v>0</v>
      </c>
      <c r="S112" s="331">
        <v>0</v>
      </c>
    </row>
    <row r="113" spans="5:19" x14ac:dyDescent="0.25">
      <c r="J113" s="238"/>
      <c r="K113" s="238"/>
      <c r="L113" s="238"/>
      <c r="M113" s="238"/>
      <c r="N113" s="238"/>
      <c r="O113" s="238"/>
      <c r="P113" s="238"/>
      <c r="Q113" s="238"/>
      <c r="R113" s="238"/>
      <c r="S113" s="238"/>
    </row>
    <row r="114" spans="5:19" x14ac:dyDescent="0.25">
      <c r="E114" s="144" t="s">
        <v>74</v>
      </c>
      <c r="J114" s="238"/>
      <c r="K114" s="238"/>
      <c r="L114" s="238"/>
      <c r="M114" s="238"/>
      <c r="N114" s="238"/>
      <c r="O114" s="238"/>
      <c r="P114" s="238"/>
      <c r="Q114" s="238"/>
      <c r="R114" s="238"/>
      <c r="S114" s="238"/>
    </row>
    <row r="115" spans="5:19" x14ac:dyDescent="0.25">
      <c r="F115" s="91" t="s">
        <v>1038</v>
      </c>
      <c r="G115" s="91" t="s">
        <v>74</v>
      </c>
      <c r="H115" s="91" t="s">
        <v>145</v>
      </c>
      <c r="I115" s="112"/>
      <c r="J115" s="232">
        <f t="shared" ref="J115:J130" si="5">CHOOSE(year_selection, L115,M115,N115,O115,P115,Q115,R115,S115)</f>
        <v>1391172</v>
      </c>
      <c r="K115" s="233"/>
      <c r="L115" s="329"/>
      <c r="M115" s="329"/>
      <c r="N115" s="329"/>
      <c r="O115" s="329">
        <v>1391172</v>
      </c>
      <c r="P115" s="329">
        <v>1391172</v>
      </c>
      <c r="Q115" s="329">
        <v>1391172</v>
      </c>
      <c r="R115" s="329">
        <v>1391172</v>
      </c>
      <c r="S115" s="329">
        <v>1391172</v>
      </c>
    </row>
    <row r="116" spans="5:19" x14ac:dyDescent="0.25">
      <c r="F116" s="196" t="s">
        <v>1039</v>
      </c>
      <c r="G116" s="196" t="s">
        <v>74</v>
      </c>
      <c r="H116" s="196" t="s">
        <v>145</v>
      </c>
      <c r="I116" s="66"/>
      <c r="J116" s="234">
        <f t="shared" si="5"/>
        <v>3359</v>
      </c>
      <c r="K116" s="235"/>
      <c r="L116" s="330"/>
      <c r="M116" s="330"/>
      <c r="N116" s="330"/>
      <c r="O116" s="330">
        <v>3359</v>
      </c>
      <c r="P116" s="330">
        <v>3359</v>
      </c>
      <c r="Q116" s="330">
        <v>3359</v>
      </c>
      <c r="R116" s="330">
        <v>3359</v>
      </c>
      <c r="S116" s="330">
        <v>3359</v>
      </c>
    </row>
    <row r="117" spans="5:19" x14ac:dyDescent="0.25">
      <c r="F117" s="196" t="s">
        <v>1040</v>
      </c>
      <c r="G117" s="196" t="s">
        <v>74</v>
      </c>
      <c r="H117" s="196" t="s">
        <v>145</v>
      </c>
      <c r="I117" s="66"/>
      <c r="J117" s="234">
        <f t="shared" si="5"/>
        <v>97941</v>
      </c>
      <c r="K117" s="235"/>
      <c r="L117" s="330"/>
      <c r="M117" s="330"/>
      <c r="N117" s="330"/>
      <c r="O117" s="330">
        <v>97941</v>
      </c>
      <c r="P117" s="330">
        <v>97941</v>
      </c>
      <c r="Q117" s="330">
        <v>97941</v>
      </c>
      <c r="R117" s="330">
        <v>97941</v>
      </c>
      <c r="S117" s="330">
        <v>97941</v>
      </c>
    </row>
    <row r="118" spans="5:19" x14ac:dyDescent="0.25">
      <c r="F118" s="196" t="s">
        <v>1041</v>
      </c>
      <c r="G118" s="196" t="s">
        <v>74</v>
      </c>
      <c r="H118" s="196" t="s">
        <v>145</v>
      </c>
      <c r="I118" s="66"/>
      <c r="J118" s="234">
        <f t="shared" si="5"/>
        <v>996</v>
      </c>
      <c r="K118" s="235"/>
      <c r="L118" s="330"/>
      <c r="M118" s="330"/>
      <c r="N118" s="330"/>
      <c r="O118" s="330">
        <v>996</v>
      </c>
      <c r="P118" s="330">
        <v>996</v>
      </c>
      <c r="Q118" s="330">
        <v>996</v>
      </c>
      <c r="R118" s="330">
        <v>996</v>
      </c>
      <c r="S118" s="330">
        <v>996</v>
      </c>
    </row>
    <row r="119" spans="5:19" x14ac:dyDescent="0.25">
      <c r="F119" s="196" t="s">
        <v>1042</v>
      </c>
      <c r="G119" s="196" t="s">
        <v>74</v>
      </c>
      <c r="H119" s="196" t="s">
        <v>145</v>
      </c>
      <c r="I119" s="66"/>
      <c r="J119" s="234">
        <f t="shared" si="5"/>
        <v>5288</v>
      </c>
      <c r="K119" s="235"/>
      <c r="L119" s="330"/>
      <c r="M119" s="330"/>
      <c r="N119" s="330"/>
      <c r="O119" s="330">
        <v>5288</v>
      </c>
      <c r="P119" s="330">
        <v>5288</v>
      </c>
      <c r="Q119" s="330">
        <v>5288</v>
      </c>
      <c r="R119" s="330">
        <v>5288</v>
      </c>
      <c r="S119" s="330">
        <v>5288</v>
      </c>
    </row>
    <row r="120" spans="5:19" x14ac:dyDescent="0.25">
      <c r="F120" s="196" t="s">
        <v>1043</v>
      </c>
      <c r="G120" s="196" t="s">
        <v>74</v>
      </c>
      <c r="H120" s="196" t="s">
        <v>145</v>
      </c>
      <c r="I120" s="66"/>
      <c r="J120" s="234">
        <f t="shared" si="5"/>
        <v>3061</v>
      </c>
      <c r="K120" s="235"/>
      <c r="L120" s="330"/>
      <c r="M120" s="330"/>
      <c r="N120" s="330"/>
      <c r="O120" s="330">
        <v>3061</v>
      </c>
      <c r="P120" s="330">
        <v>3061</v>
      </c>
      <c r="Q120" s="330">
        <v>3061</v>
      </c>
      <c r="R120" s="330">
        <v>3061</v>
      </c>
      <c r="S120" s="330">
        <v>3061</v>
      </c>
    </row>
    <row r="121" spans="5:19" x14ac:dyDescent="0.25">
      <c r="F121" s="196" t="s">
        <v>1044</v>
      </c>
      <c r="G121" s="196" t="s">
        <v>74</v>
      </c>
      <c r="H121" s="196" t="s">
        <v>145</v>
      </c>
      <c r="I121" s="66"/>
      <c r="J121" s="234">
        <f t="shared" si="5"/>
        <v>797</v>
      </c>
      <c r="K121" s="235"/>
      <c r="L121" s="330"/>
      <c r="M121" s="330"/>
      <c r="N121" s="330"/>
      <c r="O121" s="330">
        <v>797</v>
      </c>
      <c r="P121" s="330">
        <v>797</v>
      </c>
      <c r="Q121" s="330">
        <v>797</v>
      </c>
      <c r="R121" s="330">
        <v>797</v>
      </c>
      <c r="S121" s="330">
        <v>797</v>
      </c>
    </row>
    <row r="122" spans="5:19" x14ac:dyDescent="0.25">
      <c r="F122" s="196" t="s">
        <v>1045</v>
      </c>
      <c r="G122" s="196" t="s">
        <v>74</v>
      </c>
      <c r="H122" s="196" t="s">
        <v>145</v>
      </c>
      <c r="I122" s="66"/>
      <c r="J122" s="234">
        <f t="shared" si="5"/>
        <v>582</v>
      </c>
      <c r="K122" s="235"/>
      <c r="L122" s="330"/>
      <c r="M122" s="330"/>
      <c r="N122" s="330"/>
      <c r="O122" s="330">
        <v>582</v>
      </c>
      <c r="P122" s="330">
        <v>582</v>
      </c>
      <c r="Q122" s="330">
        <v>582</v>
      </c>
      <c r="R122" s="330">
        <v>582</v>
      </c>
      <c r="S122" s="330">
        <v>582</v>
      </c>
    </row>
    <row r="123" spans="5:19" x14ac:dyDescent="0.25">
      <c r="F123" s="196" t="s">
        <v>1046</v>
      </c>
      <c r="G123" s="196" t="s">
        <v>74</v>
      </c>
      <c r="H123" s="196" t="s">
        <v>145</v>
      </c>
      <c r="I123" s="66"/>
      <c r="J123" s="234">
        <f t="shared" si="5"/>
        <v>156</v>
      </c>
      <c r="K123" s="235"/>
      <c r="L123" s="330"/>
      <c r="M123" s="330"/>
      <c r="N123" s="330"/>
      <c r="O123" s="330">
        <v>156</v>
      </c>
      <c r="P123" s="330">
        <v>156</v>
      </c>
      <c r="Q123" s="330">
        <v>156</v>
      </c>
      <c r="R123" s="330">
        <v>156</v>
      </c>
      <c r="S123" s="330">
        <v>156</v>
      </c>
    </row>
    <row r="124" spans="5:19" x14ac:dyDescent="0.25">
      <c r="F124" s="196" t="s">
        <v>1047</v>
      </c>
      <c r="G124" s="196" t="s">
        <v>74</v>
      </c>
      <c r="H124" s="196" t="s">
        <v>145</v>
      </c>
      <c r="I124" s="66"/>
      <c r="J124" s="234">
        <f t="shared" si="5"/>
        <v>24</v>
      </c>
      <c r="K124" s="235"/>
      <c r="L124" s="330"/>
      <c r="M124" s="330"/>
      <c r="N124" s="330"/>
      <c r="O124" s="330">
        <v>24</v>
      </c>
      <c r="P124" s="330">
        <v>24</v>
      </c>
      <c r="Q124" s="330">
        <v>24</v>
      </c>
      <c r="R124" s="330">
        <v>24</v>
      </c>
      <c r="S124" s="330">
        <v>24</v>
      </c>
    </row>
    <row r="125" spans="5:19" x14ac:dyDescent="0.25">
      <c r="F125" s="196" t="s">
        <v>1048</v>
      </c>
      <c r="G125" s="196" t="s">
        <v>74</v>
      </c>
      <c r="H125" s="196" t="s">
        <v>145</v>
      </c>
      <c r="I125" s="66"/>
      <c r="J125" s="234">
        <f t="shared" si="5"/>
        <v>313</v>
      </c>
      <c r="K125" s="235"/>
      <c r="L125" s="330"/>
      <c r="M125" s="330"/>
      <c r="N125" s="330"/>
      <c r="O125" s="330">
        <v>313</v>
      </c>
      <c r="P125" s="330">
        <v>313</v>
      </c>
      <c r="Q125" s="330">
        <v>313</v>
      </c>
      <c r="R125" s="330">
        <v>313</v>
      </c>
      <c r="S125" s="330">
        <v>313</v>
      </c>
    </row>
    <row r="126" spans="5:19" x14ac:dyDescent="0.25">
      <c r="F126" s="196" t="s">
        <v>1049</v>
      </c>
      <c r="G126" s="196" t="s">
        <v>74</v>
      </c>
      <c r="H126" s="196" t="s">
        <v>145</v>
      </c>
      <c r="I126" s="66"/>
      <c r="J126" s="234">
        <f t="shared" si="5"/>
        <v>0</v>
      </c>
      <c r="K126" s="235"/>
      <c r="L126" s="330"/>
      <c r="M126" s="330"/>
      <c r="N126" s="330"/>
      <c r="O126" s="330">
        <v>0</v>
      </c>
      <c r="P126" s="330">
        <v>0</v>
      </c>
      <c r="Q126" s="330">
        <v>0</v>
      </c>
      <c r="R126" s="330">
        <v>0</v>
      </c>
      <c r="S126" s="330">
        <v>0</v>
      </c>
    </row>
    <row r="127" spans="5:19" x14ac:dyDescent="0.25">
      <c r="F127" s="196" t="s">
        <v>1050</v>
      </c>
      <c r="G127" s="196" t="s">
        <v>74</v>
      </c>
      <c r="H127" s="196" t="s">
        <v>145</v>
      </c>
      <c r="I127" s="66"/>
      <c r="J127" s="234">
        <f t="shared" si="5"/>
        <v>41</v>
      </c>
      <c r="K127" s="235"/>
      <c r="L127" s="330"/>
      <c r="M127" s="330"/>
      <c r="N127" s="330"/>
      <c r="O127" s="330">
        <v>41</v>
      </c>
      <c r="P127" s="330">
        <v>41</v>
      </c>
      <c r="Q127" s="330">
        <v>41</v>
      </c>
      <c r="R127" s="330">
        <v>41</v>
      </c>
      <c r="S127" s="330">
        <v>41</v>
      </c>
    </row>
    <row r="128" spans="5:19" x14ac:dyDescent="0.25">
      <c r="F128" s="196" t="s">
        <v>1051</v>
      </c>
      <c r="G128" s="196" t="s">
        <v>74</v>
      </c>
      <c r="H128" s="196" t="s">
        <v>145</v>
      </c>
      <c r="I128" s="66"/>
      <c r="J128" s="234">
        <f t="shared" si="5"/>
        <v>0</v>
      </c>
      <c r="K128" s="235"/>
      <c r="L128" s="330"/>
      <c r="M128" s="330"/>
      <c r="N128" s="330"/>
      <c r="O128" s="330">
        <v>0</v>
      </c>
      <c r="P128" s="330">
        <v>0</v>
      </c>
      <c r="Q128" s="330">
        <v>0</v>
      </c>
      <c r="R128" s="330">
        <v>0</v>
      </c>
      <c r="S128" s="330">
        <v>0</v>
      </c>
    </row>
    <row r="129" spans="5:19" x14ac:dyDescent="0.25">
      <c r="F129" s="196" t="s">
        <v>1052</v>
      </c>
      <c r="G129" s="196" t="s">
        <v>74</v>
      </c>
      <c r="H129" s="196" t="s">
        <v>145</v>
      </c>
      <c r="I129" s="66"/>
      <c r="J129" s="234">
        <f t="shared" si="5"/>
        <v>133</v>
      </c>
      <c r="K129" s="235"/>
      <c r="L129" s="330"/>
      <c r="M129" s="330"/>
      <c r="N129" s="330"/>
      <c r="O129" s="330">
        <v>133</v>
      </c>
      <c r="P129" s="330">
        <v>133</v>
      </c>
      <c r="Q129" s="330">
        <v>133</v>
      </c>
      <c r="R129" s="330">
        <v>133</v>
      </c>
      <c r="S129" s="330">
        <v>133</v>
      </c>
    </row>
    <row r="130" spans="5:19" x14ac:dyDescent="0.25">
      <c r="F130" s="93" t="s">
        <v>1053</v>
      </c>
      <c r="G130" s="93" t="s">
        <v>74</v>
      </c>
      <c r="H130" s="93" t="s">
        <v>145</v>
      </c>
      <c r="I130" s="145"/>
      <c r="J130" s="236">
        <f t="shared" si="5"/>
        <v>0</v>
      </c>
      <c r="K130" s="237"/>
      <c r="L130" s="331"/>
      <c r="M130" s="331"/>
      <c r="N130" s="331"/>
      <c r="O130" s="331">
        <v>0</v>
      </c>
      <c r="P130" s="331">
        <v>0</v>
      </c>
      <c r="Q130" s="331">
        <v>0</v>
      </c>
      <c r="R130" s="331">
        <v>0</v>
      </c>
      <c r="S130" s="331">
        <v>0</v>
      </c>
    </row>
    <row r="131" spans="5:19" x14ac:dyDescent="0.25">
      <c r="J131" s="238"/>
      <c r="K131" s="238"/>
      <c r="L131" s="238"/>
      <c r="M131" s="238"/>
      <c r="N131" s="238"/>
      <c r="O131" s="238"/>
      <c r="P131" s="238"/>
      <c r="Q131" s="238"/>
      <c r="R131" s="238"/>
      <c r="S131" s="238"/>
    </row>
    <row r="132" spans="5:19" x14ac:dyDescent="0.25">
      <c r="E132" s="144" t="s">
        <v>259</v>
      </c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</row>
    <row r="133" spans="5:19" x14ac:dyDescent="0.25">
      <c r="F133" s="91" t="s">
        <v>1038</v>
      </c>
      <c r="G133" s="91" t="s">
        <v>169</v>
      </c>
      <c r="H133" s="91" t="s">
        <v>145</v>
      </c>
      <c r="I133" s="112"/>
      <c r="J133" s="239"/>
      <c r="K133" s="233"/>
      <c r="L133" s="239"/>
      <c r="M133" s="239"/>
      <c r="N133" s="239"/>
      <c r="O133" s="239"/>
      <c r="P133" s="239"/>
      <c r="Q133" s="239"/>
      <c r="R133" s="239"/>
      <c r="S133" s="239"/>
    </row>
    <row r="134" spans="5:19" x14ac:dyDescent="0.25">
      <c r="F134" s="196" t="s">
        <v>1039</v>
      </c>
      <c r="G134" s="196" t="s">
        <v>169</v>
      </c>
      <c r="H134" s="196" t="s">
        <v>145</v>
      </c>
      <c r="I134" s="66"/>
      <c r="J134" s="240"/>
      <c r="K134" s="235"/>
      <c r="L134" s="240"/>
      <c r="M134" s="240"/>
      <c r="N134" s="240"/>
      <c r="O134" s="240"/>
      <c r="P134" s="240"/>
      <c r="Q134" s="240"/>
      <c r="R134" s="240"/>
      <c r="S134" s="240"/>
    </row>
    <row r="135" spans="5:19" x14ac:dyDescent="0.25">
      <c r="F135" s="196" t="s">
        <v>1040</v>
      </c>
      <c r="G135" s="196" t="s">
        <v>169</v>
      </c>
      <c r="H135" s="196" t="s">
        <v>145</v>
      </c>
      <c r="I135" s="66"/>
      <c r="J135" s="240"/>
      <c r="K135" s="235"/>
      <c r="L135" s="240"/>
      <c r="M135" s="240"/>
      <c r="N135" s="240"/>
      <c r="O135" s="240"/>
      <c r="P135" s="240"/>
      <c r="Q135" s="240"/>
      <c r="R135" s="240"/>
      <c r="S135" s="240"/>
    </row>
    <row r="136" spans="5:19" x14ac:dyDescent="0.25">
      <c r="F136" s="196" t="s">
        <v>1041</v>
      </c>
      <c r="G136" s="196" t="s">
        <v>169</v>
      </c>
      <c r="H136" s="196" t="s">
        <v>145</v>
      </c>
      <c r="I136" s="66"/>
      <c r="J136" s="240"/>
      <c r="K136" s="235"/>
      <c r="L136" s="240"/>
      <c r="M136" s="240"/>
      <c r="N136" s="240"/>
      <c r="O136" s="240"/>
      <c r="P136" s="240"/>
      <c r="Q136" s="240"/>
      <c r="R136" s="240"/>
      <c r="S136" s="240"/>
    </row>
    <row r="137" spans="5:19" x14ac:dyDescent="0.25">
      <c r="F137" s="196" t="s">
        <v>1042</v>
      </c>
      <c r="G137" s="196" t="s">
        <v>169</v>
      </c>
      <c r="H137" s="196" t="s">
        <v>145</v>
      </c>
      <c r="I137" s="66"/>
      <c r="J137" s="234">
        <f t="shared" ref="J137:J139" si="6">CHOOSE(year_selection, L137,M137,N137,O137,P137,Q137,R137,S137)</f>
        <v>541813</v>
      </c>
      <c r="K137" s="235"/>
      <c r="L137" s="330"/>
      <c r="M137" s="330"/>
      <c r="N137" s="330"/>
      <c r="O137" s="330">
        <v>541813</v>
      </c>
      <c r="P137" s="330">
        <v>541813</v>
      </c>
      <c r="Q137" s="330">
        <v>541813</v>
      </c>
      <c r="R137" s="330">
        <v>541813</v>
      </c>
      <c r="S137" s="330">
        <v>541813</v>
      </c>
    </row>
    <row r="138" spans="5:19" x14ac:dyDescent="0.25">
      <c r="F138" s="196" t="s">
        <v>1043</v>
      </c>
      <c r="G138" s="196" t="s">
        <v>169</v>
      </c>
      <c r="H138" s="196" t="s">
        <v>145</v>
      </c>
      <c r="I138" s="66"/>
      <c r="J138" s="234">
        <f t="shared" si="6"/>
        <v>569993</v>
      </c>
      <c r="K138" s="235"/>
      <c r="L138" s="330"/>
      <c r="M138" s="330"/>
      <c r="N138" s="330"/>
      <c r="O138" s="330">
        <v>569993</v>
      </c>
      <c r="P138" s="330">
        <v>569993</v>
      </c>
      <c r="Q138" s="330">
        <v>569993</v>
      </c>
      <c r="R138" s="330">
        <v>569993</v>
      </c>
      <c r="S138" s="330">
        <v>569993</v>
      </c>
    </row>
    <row r="139" spans="5:19" x14ac:dyDescent="0.25">
      <c r="F139" s="196" t="s">
        <v>1044</v>
      </c>
      <c r="G139" s="196" t="s">
        <v>169</v>
      </c>
      <c r="H139" s="196" t="s">
        <v>145</v>
      </c>
      <c r="I139" s="66"/>
      <c r="J139" s="234">
        <f t="shared" si="6"/>
        <v>663160</v>
      </c>
      <c r="K139" s="235"/>
      <c r="L139" s="330"/>
      <c r="M139" s="330"/>
      <c r="N139" s="330"/>
      <c r="O139" s="330">
        <v>663160</v>
      </c>
      <c r="P139" s="330">
        <v>663160</v>
      </c>
      <c r="Q139" s="330">
        <v>663160</v>
      </c>
      <c r="R139" s="330">
        <v>663160</v>
      </c>
      <c r="S139" s="330">
        <v>663160</v>
      </c>
    </row>
    <row r="140" spans="5:19" x14ac:dyDescent="0.25">
      <c r="F140" s="196" t="s">
        <v>1045</v>
      </c>
      <c r="G140" s="196" t="s">
        <v>169</v>
      </c>
      <c r="H140" s="196" t="s">
        <v>145</v>
      </c>
      <c r="I140" s="66"/>
      <c r="J140" s="240"/>
      <c r="K140" s="235"/>
      <c r="L140" s="240"/>
      <c r="M140" s="240"/>
      <c r="N140" s="240"/>
      <c r="O140" s="240"/>
      <c r="P140" s="240"/>
      <c r="Q140" s="240"/>
      <c r="R140" s="240"/>
      <c r="S140" s="240"/>
    </row>
    <row r="141" spans="5:19" x14ac:dyDescent="0.25">
      <c r="F141" s="196" t="s">
        <v>1046</v>
      </c>
      <c r="G141" s="196" t="s">
        <v>169</v>
      </c>
      <c r="H141" s="196" t="s">
        <v>145</v>
      </c>
      <c r="I141" s="66"/>
      <c r="J141" s="240"/>
      <c r="K141" s="235"/>
      <c r="L141" s="240"/>
      <c r="M141" s="240"/>
      <c r="N141" s="240"/>
      <c r="O141" s="240"/>
      <c r="P141" s="240"/>
      <c r="Q141" s="240"/>
      <c r="R141" s="240"/>
      <c r="S141" s="240"/>
    </row>
    <row r="142" spans="5:19" x14ac:dyDescent="0.25">
      <c r="F142" s="196" t="s">
        <v>1047</v>
      </c>
      <c r="G142" s="196" t="s">
        <v>169</v>
      </c>
      <c r="H142" s="196" t="s">
        <v>145</v>
      </c>
      <c r="I142" s="66"/>
      <c r="J142" s="240"/>
      <c r="K142" s="235"/>
      <c r="L142" s="240"/>
      <c r="M142" s="240"/>
      <c r="N142" s="240"/>
      <c r="O142" s="240"/>
      <c r="P142" s="240"/>
      <c r="Q142" s="240"/>
      <c r="R142" s="240"/>
      <c r="S142" s="240"/>
    </row>
    <row r="143" spans="5:19" x14ac:dyDescent="0.25">
      <c r="F143" s="196" t="s">
        <v>1048</v>
      </c>
      <c r="G143" s="196" t="s">
        <v>169</v>
      </c>
      <c r="H143" s="196" t="s">
        <v>145</v>
      </c>
      <c r="I143" s="66"/>
      <c r="J143" s="240"/>
      <c r="K143" s="235"/>
      <c r="L143" s="240"/>
      <c r="M143" s="240"/>
      <c r="N143" s="240"/>
      <c r="O143" s="240"/>
      <c r="P143" s="240"/>
      <c r="Q143" s="240"/>
      <c r="R143" s="240"/>
      <c r="S143" s="240"/>
    </row>
    <row r="144" spans="5:19" x14ac:dyDescent="0.25">
      <c r="F144" s="196" t="s">
        <v>1049</v>
      </c>
      <c r="G144" s="196" t="s">
        <v>169</v>
      </c>
      <c r="H144" s="196" t="s">
        <v>145</v>
      </c>
      <c r="I144" s="66"/>
      <c r="J144" s="240"/>
      <c r="K144" s="235"/>
      <c r="L144" s="240"/>
      <c r="M144" s="240"/>
      <c r="N144" s="240"/>
      <c r="O144" s="240"/>
      <c r="P144" s="240"/>
      <c r="Q144" s="240"/>
      <c r="R144" s="240"/>
      <c r="S144" s="240"/>
    </row>
    <row r="145" spans="5:19" x14ac:dyDescent="0.25">
      <c r="F145" s="196" t="s">
        <v>1050</v>
      </c>
      <c r="G145" s="196" t="s">
        <v>169</v>
      </c>
      <c r="H145" s="196" t="s">
        <v>145</v>
      </c>
      <c r="I145" s="66"/>
      <c r="J145" s="240"/>
      <c r="K145" s="235"/>
      <c r="L145" s="240"/>
      <c r="M145" s="240"/>
      <c r="N145" s="240"/>
      <c r="O145" s="240"/>
      <c r="P145" s="240"/>
      <c r="Q145" s="240"/>
      <c r="R145" s="240"/>
      <c r="S145" s="240"/>
    </row>
    <row r="146" spans="5:19" x14ac:dyDescent="0.25">
      <c r="F146" s="196" t="s">
        <v>1051</v>
      </c>
      <c r="G146" s="196" t="s">
        <v>169</v>
      </c>
      <c r="H146" s="196" t="s">
        <v>145</v>
      </c>
      <c r="I146" s="66"/>
      <c r="J146" s="240"/>
      <c r="K146" s="235"/>
      <c r="L146" s="240"/>
      <c r="M146" s="240"/>
      <c r="N146" s="240"/>
      <c r="O146" s="240"/>
      <c r="P146" s="240"/>
      <c r="Q146" s="240"/>
      <c r="R146" s="240"/>
      <c r="S146" s="240"/>
    </row>
    <row r="147" spans="5:19" x14ac:dyDescent="0.25">
      <c r="F147" s="196" t="s">
        <v>1052</v>
      </c>
      <c r="G147" s="196" t="s">
        <v>169</v>
      </c>
      <c r="H147" s="196" t="s">
        <v>145</v>
      </c>
      <c r="I147" s="66"/>
      <c r="J147" s="240"/>
      <c r="K147" s="235"/>
      <c r="L147" s="240"/>
      <c r="M147" s="240"/>
      <c r="N147" s="240"/>
      <c r="O147" s="240"/>
      <c r="P147" s="240"/>
      <c r="Q147" s="240"/>
      <c r="R147" s="240"/>
      <c r="S147" s="240"/>
    </row>
    <row r="148" spans="5:19" x14ac:dyDescent="0.25">
      <c r="F148" s="93" t="s">
        <v>1053</v>
      </c>
      <c r="G148" s="93" t="s">
        <v>169</v>
      </c>
      <c r="H148" s="93" t="s">
        <v>145</v>
      </c>
      <c r="I148" s="145"/>
      <c r="J148" s="241"/>
      <c r="K148" s="237"/>
      <c r="L148" s="241"/>
      <c r="M148" s="241"/>
      <c r="N148" s="241"/>
      <c r="O148" s="241"/>
      <c r="P148" s="241"/>
      <c r="Q148" s="241"/>
      <c r="R148" s="241"/>
      <c r="S148" s="241"/>
    </row>
    <row r="149" spans="5:19" x14ac:dyDescent="0.25"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</row>
    <row r="150" spans="5:19" x14ac:dyDescent="0.25">
      <c r="E150" s="144" t="s">
        <v>260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</row>
    <row r="151" spans="5:19" x14ac:dyDescent="0.25">
      <c r="F151" s="91" t="s">
        <v>1038</v>
      </c>
      <c r="G151" s="91" t="s">
        <v>169</v>
      </c>
      <c r="H151" s="91" t="s">
        <v>145</v>
      </c>
      <c r="I151" s="112"/>
      <c r="J151" s="239"/>
      <c r="K151" s="233"/>
      <c r="L151" s="239"/>
      <c r="M151" s="239"/>
      <c r="N151" s="239"/>
      <c r="O151" s="239"/>
      <c r="P151" s="239"/>
      <c r="Q151" s="239"/>
      <c r="R151" s="239"/>
      <c r="S151" s="239"/>
    </row>
    <row r="152" spans="5:19" x14ac:dyDescent="0.25">
      <c r="F152" s="196" t="s">
        <v>1039</v>
      </c>
      <c r="G152" s="196" t="s">
        <v>169</v>
      </c>
      <c r="H152" s="196" t="s">
        <v>145</v>
      </c>
      <c r="I152" s="66"/>
      <c r="J152" s="240"/>
      <c r="K152" s="235"/>
      <c r="L152" s="240"/>
      <c r="M152" s="240"/>
      <c r="N152" s="240"/>
      <c r="O152" s="240"/>
      <c r="P152" s="240"/>
      <c r="Q152" s="240"/>
      <c r="R152" s="240"/>
      <c r="S152" s="240"/>
    </row>
    <row r="153" spans="5:19" x14ac:dyDescent="0.25">
      <c r="F153" s="196" t="s">
        <v>1040</v>
      </c>
      <c r="G153" s="196" t="s">
        <v>169</v>
      </c>
      <c r="H153" s="196" t="s">
        <v>145</v>
      </c>
      <c r="I153" s="66"/>
      <c r="J153" s="240"/>
      <c r="K153" s="235"/>
      <c r="L153" s="240"/>
      <c r="M153" s="240"/>
      <c r="N153" s="240"/>
      <c r="O153" s="240"/>
      <c r="P153" s="240"/>
      <c r="Q153" s="240"/>
      <c r="R153" s="240"/>
      <c r="S153" s="240"/>
    </row>
    <row r="154" spans="5:19" x14ac:dyDescent="0.25">
      <c r="F154" s="196" t="s">
        <v>1041</v>
      </c>
      <c r="G154" s="196" t="s">
        <v>169</v>
      </c>
      <c r="H154" s="196" t="s">
        <v>145</v>
      </c>
      <c r="I154" s="66"/>
      <c r="J154" s="240"/>
      <c r="K154" s="235"/>
      <c r="L154" s="240"/>
      <c r="M154" s="240"/>
      <c r="N154" s="240"/>
      <c r="O154" s="240"/>
      <c r="P154" s="240"/>
      <c r="Q154" s="240"/>
      <c r="R154" s="240"/>
      <c r="S154" s="240"/>
    </row>
    <row r="155" spans="5:19" x14ac:dyDescent="0.25">
      <c r="F155" s="196" t="s">
        <v>1042</v>
      </c>
      <c r="G155" s="196" t="s">
        <v>169</v>
      </c>
      <c r="H155" s="196" t="s">
        <v>145</v>
      </c>
      <c r="I155" s="66"/>
      <c r="J155" s="234">
        <f t="shared" ref="J155:J157" si="7">CHOOSE(year_selection, L155,M155,N155,O155,P155,Q155,R155,S155)</f>
        <v>32600.04</v>
      </c>
      <c r="K155" s="235"/>
      <c r="L155" s="330"/>
      <c r="M155" s="330"/>
      <c r="N155" s="330"/>
      <c r="O155" s="330">
        <v>32600.04</v>
      </c>
      <c r="P155" s="330">
        <v>32600.04</v>
      </c>
      <c r="Q155" s="330">
        <v>32600.04</v>
      </c>
      <c r="R155" s="330">
        <v>32600.04</v>
      </c>
      <c r="S155" s="330">
        <v>32600.04</v>
      </c>
    </row>
    <row r="156" spans="5:19" x14ac:dyDescent="0.25">
      <c r="F156" s="196" t="s">
        <v>1043</v>
      </c>
      <c r="G156" s="196" t="s">
        <v>169</v>
      </c>
      <c r="H156" s="196" t="s">
        <v>145</v>
      </c>
      <c r="I156" s="66"/>
      <c r="J156" s="234">
        <f t="shared" si="7"/>
        <v>11444.7</v>
      </c>
      <c r="K156" s="235"/>
      <c r="L156" s="330"/>
      <c r="M156" s="330"/>
      <c r="N156" s="330"/>
      <c r="O156" s="330">
        <v>11444.7</v>
      </c>
      <c r="P156" s="330">
        <v>11444.7</v>
      </c>
      <c r="Q156" s="330">
        <v>11444.7</v>
      </c>
      <c r="R156" s="330">
        <v>11444.7</v>
      </c>
      <c r="S156" s="330">
        <v>11444.7</v>
      </c>
    </row>
    <row r="157" spans="5:19" x14ac:dyDescent="0.25">
      <c r="F157" s="196" t="s">
        <v>1044</v>
      </c>
      <c r="G157" s="196" t="s">
        <v>169</v>
      </c>
      <c r="H157" s="196" t="s">
        <v>145</v>
      </c>
      <c r="I157" s="66"/>
      <c r="J157" s="234">
        <f t="shared" si="7"/>
        <v>14202.12</v>
      </c>
      <c r="K157" s="235"/>
      <c r="L157" s="330"/>
      <c r="M157" s="330"/>
      <c r="N157" s="330"/>
      <c r="O157" s="330">
        <v>14202.12</v>
      </c>
      <c r="P157" s="330">
        <v>14202.12</v>
      </c>
      <c r="Q157" s="330">
        <v>14202.12</v>
      </c>
      <c r="R157" s="330">
        <v>14202.12</v>
      </c>
      <c r="S157" s="330">
        <v>14202.12</v>
      </c>
    </row>
    <row r="158" spans="5:19" x14ac:dyDescent="0.25">
      <c r="F158" s="196" t="s">
        <v>1045</v>
      </c>
      <c r="G158" s="196" t="s">
        <v>169</v>
      </c>
      <c r="H158" s="196" t="s">
        <v>145</v>
      </c>
      <c r="I158" s="66"/>
      <c r="J158" s="240"/>
      <c r="K158" s="235"/>
      <c r="L158" s="240"/>
      <c r="M158" s="240"/>
      <c r="N158" s="240"/>
      <c r="O158" s="240"/>
      <c r="P158" s="240"/>
      <c r="Q158" s="240"/>
      <c r="R158" s="240"/>
      <c r="S158" s="240"/>
    </row>
    <row r="159" spans="5:19" x14ac:dyDescent="0.25">
      <c r="F159" s="196" t="s">
        <v>1046</v>
      </c>
      <c r="G159" s="196" t="s">
        <v>169</v>
      </c>
      <c r="H159" s="196" t="s">
        <v>145</v>
      </c>
      <c r="I159" s="66"/>
      <c r="J159" s="240"/>
      <c r="K159" s="235"/>
      <c r="L159" s="240"/>
      <c r="M159" s="240"/>
      <c r="N159" s="240"/>
      <c r="O159" s="240"/>
      <c r="P159" s="240"/>
      <c r="Q159" s="240"/>
      <c r="R159" s="240"/>
      <c r="S159" s="240"/>
    </row>
    <row r="160" spans="5:19" x14ac:dyDescent="0.25">
      <c r="F160" s="196" t="s">
        <v>1047</v>
      </c>
      <c r="G160" s="196" t="s">
        <v>169</v>
      </c>
      <c r="H160" s="196" t="s">
        <v>145</v>
      </c>
      <c r="I160" s="66"/>
      <c r="J160" s="240"/>
      <c r="K160" s="235"/>
      <c r="L160" s="240"/>
      <c r="M160" s="240"/>
      <c r="N160" s="240"/>
      <c r="O160" s="240"/>
      <c r="P160" s="240"/>
      <c r="Q160" s="240"/>
      <c r="R160" s="240"/>
      <c r="S160" s="240"/>
    </row>
    <row r="161" spans="5:19" x14ac:dyDescent="0.25">
      <c r="F161" s="196" t="s">
        <v>1048</v>
      </c>
      <c r="G161" s="196" t="s">
        <v>169</v>
      </c>
      <c r="H161" s="196" t="s">
        <v>145</v>
      </c>
      <c r="I161" s="66"/>
      <c r="J161" s="240"/>
      <c r="K161" s="235"/>
      <c r="L161" s="240"/>
      <c r="M161" s="240"/>
      <c r="N161" s="240"/>
      <c r="O161" s="240"/>
      <c r="P161" s="240"/>
      <c r="Q161" s="240"/>
      <c r="R161" s="240"/>
      <c r="S161" s="240"/>
    </row>
    <row r="162" spans="5:19" x14ac:dyDescent="0.25">
      <c r="F162" s="196" t="s">
        <v>1049</v>
      </c>
      <c r="G162" s="196" t="s">
        <v>169</v>
      </c>
      <c r="H162" s="196" t="s">
        <v>145</v>
      </c>
      <c r="I162" s="66"/>
      <c r="J162" s="240"/>
      <c r="K162" s="235"/>
      <c r="L162" s="240"/>
      <c r="M162" s="240"/>
      <c r="N162" s="240"/>
      <c r="O162" s="240"/>
      <c r="P162" s="240"/>
      <c r="Q162" s="240"/>
      <c r="R162" s="240"/>
      <c r="S162" s="240"/>
    </row>
    <row r="163" spans="5:19" x14ac:dyDescent="0.25">
      <c r="F163" s="196" t="s">
        <v>1050</v>
      </c>
      <c r="G163" s="196" t="s">
        <v>169</v>
      </c>
      <c r="H163" s="196" t="s">
        <v>145</v>
      </c>
      <c r="I163" s="66"/>
      <c r="J163" s="240"/>
      <c r="K163" s="235"/>
      <c r="L163" s="240"/>
      <c r="M163" s="240"/>
      <c r="N163" s="240"/>
      <c r="O163" s="240"/>
      <c r="P163" s="240"/>
      <c r="Q163" s="240"/>
      <c r="R163" s="240"/>
      <c r="S163" s="240"/>
    </row>
    <row r="164" spans="5:19" x14ac:dyDescent="0.25">
      <c r="F164" s="196" t="s">
        <v>1051</v>
      </c>
      <c r="G164" s="196" t="s">
        <v>169</v>
      </c>
      <c r="H164" s="196" t="s">
        <v>145</v>
      </c>
      <c r="I164" s="66"/>
      <c r="J164" s="240"/>
      <c r="K164" s="235"/>
      <c r="L164" s="240"/>
      <c r="M164" s="240"/>
      <c r="N164" s="240"/>
      <c r="O164" s="240"/>
      <c r="P164" s="240"/>
      <c r="Q164" s="240"/>
      <c r="R164" s="240"/>
      <c r="S164" s="240"/>
    </row>
    <row r="165" spans="5:19" x14ac:dyDescent="0.25">
      <c r="F165" s="196" t="s">
        <v>1052</v>
      </c>
      <c r="G165" s="196" t="s">
        <v>169</v>
      </c>
      <c r="H165" s="196" t="s">
        <v>145</v>
      </c>
      <c r="I165" s="66"/>
      <c r="J165" s="240"/>
      <c r="K165" s="235"/>
      <c r="L165" s="240"/>
      <c r="M165" s="240"/>
      <c r="N165" s="240"/>
      <c r="O165" s="240"/>
      <c r="P165" s="240"/>
      <c r="Q165" s="240"/>
      <c r="R165" s="240"/>
      <c r="S165" s="240"/>
    </row>
    <row r="166" spans="5:19" x14ac:dyDescent="0.25">
      <c r="F166" s="93" t="s">
        <v>1053</v>
      </c>
      <c r="G166" s="93" t="s">
        <v>169</v>
      </c>
      <c r="H166" s="93" t="s">
        <v>145</v>
      </c>
      <c r="I166" s="145"/>
      <c r="J166" s="241"/>
      <c r="K166" s="237"/>
      <c r="L166" s="241"/>
      <c r="M166" s="241"/>
      <c r="N166" s="241"/>
      <c r="O166" s="241"/>
      <c r="P166" s="241"/>
      <c r="Q166" s="241"/>
      <c r="R166" s="241"/>
      <c r="S166" s="241"/>
    </row>
    <row r="167" spans="5:19" x14ac:dyDescent="0.25">
      <c r="J167" s="238"/>
      <c r="K167" s="238"/>
      <c r="L167" s="238"/>
      <c r="M167" s="238"/>
      <c r="N167" s="238"/>
      <c r="O167" s="238"/>
      <c r="P167" s="238"/>
      <c r="Q167" s="238"/>
      <c r="R167" s="238"/>
      <c r="S167" s="238"/>
    </row>
    <row r="168" spans="5:19" x14ac:dyDescent="0.25">
      <c r="E168" s="144" t="s">
        <v>261</v>
      </c>
      <c r="J168" s="238"/>
      <c r="K168" s="238"/>
      <c r="L168" s="238"/>
      <c r="M168" s="238"/>
      <c r="N168" s="238"/>
      <c r="O168" s="238"/>
      <c r="P168" s="238"/>
      <c r="Q168" s="238"/>
      <c r="R168" s="238"/>
      <c r="S168" s="238"/>
    </row>
    <row r="169" spans="5:19" x14ac:dyDescent="0.25">
      <c r="F169" s="91" t="s">
        <v>1038</v>
      </c>
      <c r="G169" s="91" t="s">
        <v>170</v>
      </c>
      <c r="H169" s="91" t="s">
        <v>145</v>
      </c>
      <c r="I169" s="112"/>
      <c r="J169" s="239"/>
      <c r="K169" s="233"/>
      <c r="L169" s="239"/>
      <c r="M169" s="239"/>
      <c r="N169" s="239"/>
      <c r="O169" s="239"/>
      <c r="P169" s="239"/>
      <c r="Q169" s="239"/>
      <c r="R169" s="239"/>
      <c r="S169" s="239"/>
    </row>
    <row r="170" spans="5:19" x14ac:dyDescent="0.25">
      <c r="F170" s="196" t="s">
        <v>1039</v>
      </c>
      <c r="G170" s="196" t="s">
        <v>170</v>
      </c>
      <c r="H170" s="196" t="s">
        <v>145</v>
      </c>
      <c r="I170" s="66"/>
      <c r="J170" s="240"/>
      <c r="K170" s="235"/>
      <c r="L170" s="240"/>
      <c r="M170" s="240"/>
      <c r="N170" s="240"/>
      <c r="O170" s="240"/>
      <c r="P170" s="240"/>
      <c r="Q170" s="240"/>
      <c r="R170" s="240"/>
      <c r="S170" s="240"/>
    </row>
    <row r="171" spans="5:19" x14ac:dyDescent="0.25">
      <c r="F171" s="196" t="s">
        <v>1040</v>
      </c>
      <c r="G171" s="196" t="s">
        <v>170</v>
      </c>
      <c r="H171" s="196" t="s">
        <v>145</v>
      </c>
      <c r="I171" s="66"/>
      <c r="J171" s="240"/>
      <c r="K171" s="235"/>
      <c r="L171" s="240"/>
      <c r="M171" s="240"/>
      <c r="N171" s="240"/>
      <c r="O171" s="240"/>
      <c r="P171" s="240"/>
      <c r="Q171" s="240"/>
      <c r="R171" s="240"/>
      <c r="S171" s="240"/>
    </row>
    <row r="172" spans="5:19" x14ac:dyDescent="0.25">
      <c r="F172" s="196" t="s">
        <v>1041</v>
      </c>
      <c r="G172" s="196" t="s">
        <v>170</v>
      </c>
      <c r="H172" s="196" t="s">
        <v>145</v>
      </c>
      <c r="I172" s="66"/>
      <c r="J172" s="240"/>
      <c r="K172" s="235"/>
      <c r="L172" s="240"/>
      <c r="M172" s="240"/>
      <c r="N172" s="240"/>
      <c r="O172" s="240"/>
      <c r="P172" s="240"/>
      <c r="Q172" s="240"/>
      <c r="R172" s="240"/>
      <c r="S172" s="240"/>
    </row>
    <row r="173" spans="5:19" x14ac:dyDescent="0.25">
      <c r="F173" s="196" t="s">
        <v>1042</v>
      </c>
      <c r="G173" s="196" t="s">
        <v>170</v>
      </c>
      <c r="H173" s="196" t="s">
        <v>145</v>
      </c>
      <c r="I173" s="66"/>
      <c r="J173" s="234">
        <f t="shared" ref="J173:J175" si="8">CHOOSE(year_selection, L173,M173,N173,O173,P173,Q173,R173,S173)</f>
        <v>75780</v>
      </c>
      <c r="K173" s="235"/>
      <c r="L173" s="330"/>
      <c r="M173" s="330"/>
      <c r="N173" s="330"/>
      <c r="O173" s="330">
        <v>75780</v>
      </c>
      <c r="P173" s="330">
        <v>75780</v>
      </c>
      <c r="Q173" s="330">
        <v>75780</v>
      </c>
      <c r="R173" s="330">
        <v>75780</v>
      </c>
      <c r="S173" s="330">
        <v>75780</v>
      </c>
    </row>
    <row r="174" spans="5:19" x14ac:dyDescent="0.25">
      <c r="F174" s="196" t="s">
        <v>1043</v>
      </c>
      <c r="G174" s="196" t="s">
        <v>170</v>
      </c>
      <c r="H174" s="196" t="s">
        <v>145</v>
      </c>
      <c r="I174" s="66"/>
      <c r="J174" s="234">
        <f t="shared" si="8"/>
        <v>92280</v>
      </c>
      <c r="K174" s="235"/>
      <c r="L174" s="330"/>
      <c r="M174" s="330"/>
      <c r="N174" s="330"/>
      <c r="O174" s="330">
        <v>92280</v>
      </c>
      <c r="P174" s="330">
        <v>92280</v>
      </c>
      <c r="Q174" s="330">
        <v>92280</v>
      </c>
      <c r="R174" s="330">
        <v>92280</v>
      </c>
      <c r="S174" s="330">
        <v>92280</v>
      </c>
    </row>
    <row r="175" spans="5:19" x14ac:dyDescent="0.25">
      <c r="F175" s="196" t="s">
        <v>1044</v>
      </c>
      <c r="G175" s="196" t="s">
        <v>170</v>
      </c>
      <c r="H175" s="196" t="s">
        <v>145</v>
      </c>
      <c r="I175" s="66"/>
      <c r="J175" s="234">
        <f t="shared" si="8"/>
        <v>113496</v>
      </c>
      <c r="K175" s="235"/>
      <c r="L175" s="330"/>
      <c r="M175" s="330"/>
      <c r="N175" s="330"/>
      <c r="O175" s="330">
        <v>113496</v>
      </c>
      <c r="P175" s="330">
        <v>113496</v>
      </c>
      <c r="Q175" s="330">
        <v>113496</v>
      </c>
      <c r="R175" s="330">
        <v>113496</v>
      </c>
      <c r="S175" s="330">
        <v>113496</v>
      </c>
    </row>
    <row r="176" spans="5:19" x14ac:dyDescent="0.25">
      <c r="F176" s="196" t="s">
        <v>1045</v>
      </c>
      <c r="G176" s="196" t="s">
        <v>170</v>
      </c>
      <c r="H176" s="196" t="s">
        <v>145</v>
      </c>
      <c r="I176" s="66"/>
      <c r="J176" s="240"/>
      <c r="K176" s="235"/>
      <c r="L176" s="240"/>
      <c r="M176" s="240"/>
      <c r="N176" s="240"/>
      <c r="O176" s="240"/>
      <c r="P176" s="240"/>
      <c r="Q176" s="240"/>
      <c r="R176" s="240"/>
      <c r="S176" s="240"/>
    </row>
    <row r="177" spans="3:21" x14ac:dyDescent="0.25">
      <c r="F177" s="196" t="s">
        <v>1046</v>
      </c>
      <c r="G177" s="196" t="s">
        <v>170</v>
      </c>
      <c r="H177" s="196" t="s">
        <v>145</v>
      </c>
      <c r="I177" s="66"/>
      <c r="J177" s="240"/>
      <c r="K177" s="235"/>
      <c r="L177" s="240"/>
      <c r="M177" s="240"/>
      <c r="N177" s="240"/>
      <c r="O177" s="240"/>
      <c r="P177" s="240"/>
      <c r="Q177" s="240"/>
      <c r="R177" s="240"/>
      <c r="S177" s="240"/>
    </row>
    <row r="178" spans="3:21" x14ac:dyDescent="0.25">
      <c r="F178" s="196" t="s">
        <v>1047</v>
      </c>
      <c r="G178" s="196" t="s">
        <v>170</v>
      </c>
      <c r="H178" s="196" t="s">
        <v>145</v>
      </c>
      <c r="I178" s="66"/>
      <c r="J178" s="240"/>
      <c r="K178" s="235"/>
      <c r="L178" s="240"/>
      <c r="M178" s="240"/>
      <c r="N178" s="240"/>
      <c r="O178" s="240"/>
      <c r="P178" s="240"/>
      <c r="Q178" s="240"/>
      <c r="R178" s="240"/>
      <c r="S178" s="240"/>
    </row>
    <row r="179" spans="3:21" x14ac:dyDescent="0.25">
      <c r="F179" s="196" t="s">
        <v>1048</v>
      </c>
      <c r="G179" s="196" t="s">
        <v>170</v>
      </c>
      <c r="H179" s="196" t="s">
        <v>145</v>
      </c>
      <c r="I179" s="66"/>
      <c r="J179" s="234">
        <f t="shared" ref="J179" si="9">CHOOSE(year_selection, L179,M179,N179,O179,P179,Q179,R179,S179)</f>
        <v>4428</v>
      </c>
      <c r="K179" s="235"/>
      <c r="L179" s="330"/>
      <c r="M179" s="330"/>
      <c r="N179" s="330"/>
      <c r="O179" s="330">
        <v>4428</v>
      </c>
      <c r="P179" s="330">
        <v>4428</v>
      </c>
      <c r="Q179" s="330">
        <v>4428</v>
      </c>
      <c r="R179" s="330">
        <v>4428</v>
      </c>
      <c r="S179" s="330">
        <v>4428</v>
      </c>
    </row>
    <row r="180" spans="3:21" x14ac:dyDescent="0.25">
      <c r="F180" s="196" t="s">
        <v>1049</v>
      </c>
      <c r="G180" s="196" t="s">
        <v>170</v>
      </c>
      <c r="H180" s="196" t="s">
        <v>145</v>
      </c>
      <c r="I180" s="66"/>
      <c r="J180" s="240"/>
      <c r="K180" s="235"/>
      <c r="L180" s="240"/>
      <c r="M180" s="240"/>
      <c r="N180" s="240"/>
      <c r="O180" s="240"/>
      <c r="P180" s="240"/>
      <c r="Q180" s="240"/>
      <c r="R180" s="240"/>
      <c r="S180" s="240"/>
    </row>
    <row r="181" spans="3:21" x14ac:dyDescent="0.25">
      <c r="F181" s="196" t="s">
        <v>1050</v>
      </c>
      <c r="G181" s="196" t="s">
        <v>170</v>
      </c>
      <c r="H181" s="196" t="s">
        <v>145</v>
      </c>
      <c r="I181" s="66"/>
      <c r="J181" s="234">
        <f t="shared" ref="J181" si="10">CHOOSE(year_selection, L181,M181,N181,O181,P181,Q181,R181,S181)</f>
        <v>186</v>
      </c>
      <c r="K181" s="235"/>
      <c r="L181" s="330"/>
      <c r="M181" s="330"/>
      <c r="N181" s="330"/>
      <c r="O181" s="330">
        <v>186</v>
      </c>
      <c r="P181" s="330">
        <v>186</v>
      </c>
      <c r="Q181" s="330">
        <v>186</v>
      </c>
      <c r="R181" s="330">
        <v>186</v>
      </c>
      <c r="S181" s="330">
        <v>186</v>
      </c>
    </row>
    <row r="182" spans="3:21" x14ac:dyDescent="0.25">
      <c r="F182" s="196" t="s">
        <v>1051</v>
      </c>
      <c r="G182" s="196" t="s">
        <v>170</v>
      </c>
      <c r="H182" s="196" t="s">
        <v>145</v>
      </c>
      <c r="I182" s="66"/>
      <c r="J182" s="240"/>
      <c r="K182" s="235"/>
      <c r="L182" s="240"/>
      <c r="M182" s="240"/>
      <c r="N182" s="240"/>
      <c r="O182" s="240"/>
      <c r="P182" s="240"/>
      <c r="Q182" s="240"/>
      <c r="R182" s="240"/>
      <c r="S182" s="240"/>
    </row>
    <row r="183" spans="3:21" x14ac:dyDescent="0.25">
      <c r="F183" s="196" t="s">
        <v>1052</v>
      </c>
      <c r="G183" s="196" t="s">
        <v>170</v>
      </c>
      <c r="H183" s="196" t="s">
        <v>145</v>
      </c>
      <c r="I183" s="66"/>
      <c r="J183" s="234">
        <f t="shared" ref="J183" si="11">CHOOSE(year_selection, L183,M183,N183,O183,P183,Q183,R183,S183)</f>
        <v>6792</v>
      </c>
      <c r="K183" s="235"/>
      <c r="L183" s="330"/>
      <c r="M183" s="330"/>
      <c r="N183" s="330"/>
      <c r="O183" s="330">
        <v>6792</v>
      </c>
      <c r="P183" s="330">
        <v>6792</v>
      </c>
      <c r="Q183" s="330">
        <v>6792</v>
      </c>
      <c r="R183" s="330">
        <v>6792</v>
      </c>
      <c r="S183" s="330">
        <v>6792</v>
      </c>
    </row>
    <row r="184" spans="3:21" x14ac:dyDescent="0.25">
      <c r="F184" s="93" t="s">
        <v>1053</v>
      </c>
      <c r="G184" s="93" t="s">
        <v>170</v>
      </c>
      <c r="H184" s="93" t="s">
        <v>145</v>
      </c>
      <c r="I184" s="145"/>
      <c r="J184" s="241"/>
      <c r="K184" s="237"/>
      <c r="L184" s="241"/>
      <c r="M184" s="241"/>
      <c r="N184" s="241"/>
      <c r="O184" s="241"/>
      <c r="P184" s="241"/>
      <c r="Q184" s="241"/>
      <c r="R184" s="241"/>
      <c r="S184" s="241"/>
    </row>
    <row r="185" spans="3:21" x14ac:dyDescent="0.25">
      <c r="J185" s="238"/>
      <c r="K185" s="238"/>
      <c r="L185" s="238"/>
      <c r="M185" s="238"/>
      <c r="N185" s="238"/>
      <c r="O185" s="238"/>
      <c r="P185" s="238"/>
      <c r="Q185" s="238"/>
      <c r="R185" s="238"/>
      <c r="S185" s="238"/>
    </row>
    <row r="186" spans="3:21" x14ac:dyDescent="0.25">
      <c r="C186" s="7" t="str">
        <f ca="1">INDEX('Version control'!$H$34:$H$60,MATCH($A$1,'Version control'!$F$34:$F$60,0),1)&amp;"-D: LDNO LV volumes"</f>
        <v>Input 501-D: LDNO LV volumes</v>
      </c>
      <c r="D186" s="7"/>
      <c r="E186" s="7"/>
      <c r="F186" s="7"/>
      <c r="G186" s="7"/>
      <c r="H186" s="7"/>
      <c r="I186" s="171"/>
      <c r="J186" s="242"/>
      <c r="K186" s="242"/>
      <c r="L186" s="242"/>
      <c r="M186" s="242"/>
      <c r="N186" s="242"/>
      <c r="O186" s="242"/>
      <c r="P186" s="242"/>
      <c r="Q186" s="242"/>
      <c r="R186" s="242"/>
      <c r="S186" s="242"/>
      <c r="T186" s="7"/>
      <c r="U186" s="7"/>
    </row>
    <row r="187" spans="3:21" x14ac:dyDescent="0.25">
      <c r="D187" s="96"/>
      <c r="L187" s="295"/>
      <c r="M187" s="295"/>
      <c r="N187" s="295"/>
      <c r="P187" s="295"/>
      <c r="Q187" s="295"/>
      <c r="R187" s="295"/>
      <c r="S187" s="295"/>
    </row>
    <row r="188" spans="3:21" x14ac:dyDescent="0.25">
      <c r="E188" s="144" t="s">
        <v>256</v>
      </c>
      <c r="I188" s="111" t="s">
        <v>431</v>
      </c>
      <c r="J188" s="238"/>
      <c r="K188" s="238"/>
      <c r="L188" s="238"/>
      <c r="M188" s="238"/>
      <c r="N188" s="238"/>
      <c r="O188" s="238"/>
      <c r="P188" s="238"/>
      <c r="Q188" s="238"/>
      <c r="R188" s="238"/>
      <c r="S188" s="238"/>
      <c r="U188" s="85" t="s">
        <v>799</v>
      </c>
    </row>
    <row r="189" spans="3:21" x14ac:dyDescent="0.25">
      <c r="F189" s="91" t="s">
        <v>1038</v>
      </c>
      <c r="G189" s="91" t="s">
        <v>120</v>
      </c>
      <c r="H189" s="91" t="s">
        <v>580</v>
      </c>
      <c r="I189" s="112"/>
      <c r="J189" s="232">
        <f t="shared" ref="J189:J199" si="12">CHOOSE(year_selection, L189,M189,N189,O189,P189,Q189,R189,S189)</f>
        <v>6614.2642110959696</v>
      </c>
      <c r="K189" s="233"/>
      <c r="L189" s="329"/>
      <c r="M189" s="329"/>
      <c r="N189" s="329"/>
      <c r="O189" s="329">
        <v>6614.2642110959696</v>
      </c>
      <c r="P189" s="329">
        <v>6614.2642110959696</v>
      </c>
      <c r="Q189" s="329">
        <v>6614.2642110959696</v>
      </c>
      <c r="R189" s="329">
        <v>6614.2642110959696</v>
      </c>
      <c r="S189" s="329">
        <v>6614.2642110959696</v>
      </c>
    </row>
    <row r="190" spans="3:21" x14ac:dyDescent="0.25">
      <c r="F190" s="196" t="s">
        <v>1039</v>
      </c>
      <c r="G190" s="196" t="s">
        <v>120</v>
      </c>
      <c r="H190" s="196" t="s">
        <v>580</v>
      </c>
      <c r="I190" s="66"/>
      <c r="J190" s="234">
        <f t="shared" si="12"/>
        <v>0</v>
      </c>
      <c r="K190" s="235"/>
      <c r="L190" s="330"/>
      <c r="M190" s="330"/>
      <c r="N190" s="330"/>
      <c r="O190" s="330">
        <v>0</v>
      </c>
      <c r="P190" s="330">
        <v>0</v>
      </c>
      <c r="Q190" s="330">
        <v>0</v>
      </c>
      <c r="R190" s="330">
        <v>0</v>
      </c>
      <c r="S190" s="330">
        <v>0</v>
      </c>
    </row>
    <row r="191" spans="3:21" x14ac:dyDescent="0.25">
      <c r="F191" s="196" t="s">
        <v>1040</v>
      </c>
      <c r="G191" s="196" t="s">
        <v>120</v>
      </c>
      <c r="H191" s="196" t="s">
        <v>580</v>
      </c>
      <c r="I191" s="66"/>
      <c r="J191" s="234">
        <f t="shared" si="12"/>
        <v>238.1771508003859</v>
      </c>
      <c r="K191" s="235"/>
      <c r="L191" s="330"/>
      <c r="M191" s="330"/>
      <c r="N191" s="330"/>
      <c r="O191" s="330">
        <v>238.1771508003859</v>
      </c>
      <c r="P191" s="330">
        <v>238.1771508003859</v>
      </c>
      <c r="Q191" s="330">
        <v>238.1771508003859</v>
      </c>
      <c r="R191" s="330">
        <v>238.1771508003859</v>
      </c>
      <c r="S191" s="330">
        <v>238.1771508003859</v>
      </c>
    </row>
    <row r="192" spans="3:21" x14ac:dyDescent="0.25">
      <c r="F192" s="196" t="s">
        <v>1041</v>
      </c>
      <c r="G192" s="196" t="s">
        <v>120</v>
      </c>
      <c r="H192" s="196" t="s">
        <v>580</v>
      </c>
      <c r="I192" s="66"/>
      <c r="J192" s="234">
        <f t="shared" si="12"/>
        <v>0</v>
      </c>
      <c r="K192" s="235"/>
      <c r="L192" s="330"/>
      <c r="M192" s="330"/>
      <c r="N192" s="330"/>
      <c r="O192" s="330">
        <v>0</v>
      </c>
      <c r="P192" s="330">
        <v>0</v>
      </c>
      <c r="Q192" s="330">
        <v>0</v>
      </c>
      <c r="R192" s="330">
        <v>0</v>
      </c>
      <c r="S192" s="330">
        <v>0</v>
      </c>
    </row>
    <row r="193" spans="5:19" x14ac:dyDescent="0.25">
      <c r="F193" s="196" t="s">
        <v>1042</v>
      </c>
      <c r="G193" s="196" t="s">
        <v>120</v>
      </c>
      <c r="H193" s="196" t="s">
        <v>580</v>
      </c>
      <c r="I193" s="66"/>
      <c r="J193" s="234">
        <f t="shared" si="12"/>
        <v>782.38165777500001</v>
      </c>
      <c r="K193" s="235"/>
      <c r="L193" s="330"/>
      <c r="M193" s="330"/>
      <c r="N193" s="330"/>
      <c r="O193" s="330">
        <v>782.38165777500001</v>
      </c>
      <c r="P193" s="330">
        <v>782.38165777500001</v>
      </c>
      <c r="Q193" s="330">
        <v>782.38165777500001</v>
      </c>
      <c r="R193" s="330">
        <v>782.38165777500001</v>
      </c>
      <c r="S193" s="330">
        <v>782.38165777500001</v>
      </c>
    </row>
    <row r="194" spans="5:19" x14ac:dyDescent="0.25">
      <c r="F194" s="196" t="s">
        <v>1043</v>
      </c>
      <c r="G194" s="196" t="s">
        <v>120</v>
      </c>
      <c r="H194" s="196" t="s">
        <v>580</v>
      </c>
      <c r="I194" s="66"/>
      <c r="J194" s="240"/>
      <c r="K194" s="235"/>
      <c r="L194" s="240"/>
      <c r="M194" s="240"/>
      <c r="N194" s="240"/>
      <c r="O194" s="240"/>
      <c r="P194" s="240"/>
      <c r="Q194" s="240"/>
      <c r="R194" s="240"/>
      <c r="S194" s="240"/>
    </row>
    <row r="195" spans="5:19" x14ac:dyDescent="0.25">
      <c r="F195" s="196" t="s">
        <v>1044</v>
      </c>
      <c r="G195" s="196" t="s">
        <v>120</v>
      </c>
      <c r="H195" s="196" t="s">
        <v>580</v>
      </c>
      <c r="I195" s="66"/>
      <c r="J195" s="240"/>
      <c r="K195" s="235"/>
      <c r="L195" s="240"/>
      <c r="M195" s="240"/>
      <c r="N195" s="240"/>
      <c r="O195" s="240"/>
      <c r="P195" s="240"/>
      <c r="Q195" s="240"/>
      <c r="R195" s="240"/>
      <c r="S195" s="240"/>
    </row>
    <row r="196" spans="5:19" x14ac:dyDescent="0.25">
      <c r="F196" s="196" t="s">
        <v>1045</v>
      </c>
      <c r="G196" s="196" t="s">
        <v>120</v>
      </c>
      <c r="H196" s="196" t="s">
        <v>580</v>
      </c>
      <c r="I196" s="66"/>
      <c r="J196" s="234">
        <f t="shared" si="12"/>
        <v>5.48725246628352</v>
      </c>
      <c r="K196" s="235"/>
      <c r="L196" s="330"/>
      <c r="M196" s="330"/>
      <c r="N196" s="330"/>
      <c r="O196" s="330">
        <v>5.48725246628352</v>
      </c>
      <c r="P196" s="330">
        <v>5.48725246628352</v>
      </c>
      <c r="Q196" s="330">
        <v>5.48725246628352</v>
      </c>
      <c r="R196" s="330">
        <v>5.48725246628352</v>
      </c>
      <c r="S196" s="330">
        <v>5.48725246628352</v>
      </c>
    </row>
    <row r="197" spans="5:19" x14ac:dyDescent="0.25">
      <c r="F197" s="196" t="s">
        <v>1046</v>
      </c>
      <c r="G197" s="196" t="s">
        <v>120</v>
      </c>
      <c r="H197" s="196" t="s">
        <v>580</v>
      </c>
      <c r="I197" s="66"/>
      <c r="J197" s="234">
        <f t="shared" si="12"/>
        <v>0</v>
      </c>
      <c r="K197" s="235"/>
      <c r="L197" s="330"/>
      <c r="M197" s="330"/>
      <c r="N197" s="330"/>
      <c r="O197" s="330">
        <v>0</v>
      </c>
      <c r="P197" s="330">
        <v>0</v>
      </c>
      <c r="Q197" s="330">
        <v>0</v>
      </c>
      <c r="R197" s="330">
        <v>0</v>
      </c>
      <c r="S197" s="330">
        <v>0</v>
      </c>
    </row>
    <row r="198" spans="5:19" x14ac:dyDescent="0.25">
      <c r="F198" s="196" t="s">
        <v>1047</v>
      </c>
      <c r="G198" s="196" t="s">
        <v>120</v>
      </c>
      <c r="H198" s="196" t="s">
        <v>580</v>
      </c>
      <c r="I198" s="66"/>
      <c r="J198" s="240"/>
      <c r="K198" s="235"/>
      <c r="L198" s="240"/>
      <c r="M198" s="240"/>
      <c r="N198" s="240"/>
      <c r="O198" s="240"/>
      <c r="P198" s="240"/>
      <c r="Q198" s="240"/>
      <c r="R198" s="240"/>
      <c r="S198" s="240"/>
    </row>
    <row r="199" spans="5:19" x14ac:dyDescent="0.25">
      <c r="F199" s="196" t="s">
        <v>1048</v>
      </c>
      <c r="G199" s="196" t="s">
        <v>120</v>
      </c>
      <c r="H199" s="196" t="s">
        <v>580</v>
      </c>
      <c r="I199" s="66"/>
      <c r="J199" s="234">
        <f t="shared" si="12"/>
        <v>0</v>
      </c>
      <c r="K199" s="235"/>
      <c r="L199" s="330"/>
      <c r="M199" s="330"/>
      <c r="N199" s="330"/>
      <c r="O199" s="330">
        <v>0</v>
      </c>
      <c r="P199" s="330">
        <v>0</v>
      </c>
      <c r="Q199" s="330">
        <v>0</v>
      </c>
      <c r="R199" s="330">
        <v>0</v>
      </c>
      <c r="S199" s="330">
        <v>0</v>
      </c>
    </row>
    <row r="200" spans="5:19" x14ac:dyDescent="0.25">
      <c r="F200" s="196" t="s">
        <v>1049</v>
      </c>
      <c r="G200" s="196" t="s">
        <v>120</v>
      </c>
      <c r="H200" s="196" t="s">
        <v>580</v>
      </c>
      <c r="I200" s="66"/>
      <c r="J200" s="240"/>
      <c r="K200" s="235"/>
      <c r="L200" s="240"/>
      <c r="M200" s="240"/>
      <c r="N200" s="240"/>
      <c r="O200" s="240"/>
      <c r="P200" s="240"/>
      <c r="Q200" s="240"/>
      <c r="R200" s="240"/>
      <c r="S200" s="240"/>
    </row>
    <row r="201" spans="5:19" x14ac:dyDescent="0.25">
      <c r="F201" s="196" t="s">
        <v>1050</v>
      </c>
      <c r="G201" s="196" t="s">
        <v>120</v>
      </c>
      <c r="H201" s="196" t="s">
        <v>580</v>
      </c>
      <c r="I201" s="66"/>
      <c r="J201" s="240"/>
      <c r="K201" s="235"/>
      <c r="L201" s="240"/>
      <c r="M201" s="240"/>
      <c r="N201" s="240"/>
      <c r="O201" s="240"/>
      <c r="P201" s="240"/>
      <c r="Q201" s="240"/>
      <c r="R201" s="240"/>
      <c r="S201" s="240"/>
    </row>
    <row r="202" spans="5:19" x14ac:dyDescent="0.25">
      <c r="F202" s="196" t="s">
        <v>1051</v>
      </c>
      <c r="G202" s="196" t="s">
        <v>120</v>
      </c>
      <c r="H202" s="196" t="s">
        <v>580</v>
      </c>
      <c r="I202" s="66"/>
      <c r="J202" s="240"/>
      <c r="K202" s="235"/>
      <c r="L202" s="240"/>
      <c r="M202" s="240"/>
      <c r="N202" s="240"/>
      <c r="O202" s="240"/>
      <c r="P202" s="240"/>
      <c r="Q202" s="240"/>
      <c r="R202" s="240"/>
      <c r="S202" s="240"/>
    </row>
    <row r="203" spans="5:19" x14ac:dyDescent="0.25">
      <c r="F203" s="196" t="s">
        <v>1052</v>
      </c>
      <c r="G203" s="196" t="s">
        <v>120</v>
      </c>
      <c r="H203" s="196" t="s">
        <v>580</v>
      </c>
      <c r="I203" s="66"/>
      <c r="J203" s="240"/>
      <c r="K203" s="235"/>
      <c r="L203" s="240"/>
      <c r="M203" s="240"/>
      <c r="N203" s="240"/>
      <c r="O203" s="240"/>
      <c r="P203" s="240"/>
      <c r="Q203" s="240"/>
      <c r="R203" s="240"/>
      <c r="S203" s="240"/>
    </row>
    <row r="204" spans="5:19" x14ac:dyDescent="0.25">
      <c r="F204" s="93" t="s">
        <v>1053</v>
      </c>
      <c r="G204" s="93" t="s">
        <v>120</v>
      </c>
      <c r="H204" s="93" t="s">
        <v>580</v>
      </c>
      <c r="I204" s="145"/>
      <c r="J204" s="241"/>
      <c r="K204" s="237"/>
      <c r="L204" s="241"/>
      <c r="M204" s="241"/>
      <c r="N204" s="241"/>
      <c r="O204" s="241"/>
      <c r="P204" s="241"/>
      <c r="Q204" s="241"/>
      <c r="R204" s="241"/>
      <c r="S204" s="241"/>
    </row>
    <row r="205" spans="5:19" x14ac:dyDescent="0.25"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</row>
    <row r="206" spans="5:19" x14ac:dyDescent="0.25">
      <c r="E206" s="144" t="s">
        <v>257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</row>
    <row r="207" spans="5:19" x14ac:dyDescent="0.25">
      <c r="F207" s="91" t="s">
        <v>1038</v>
      </c>
      <c r="G207" s="91" t="s">
        <v>120</v>
      </c>
      <c r="H207" s="91" t="s">
        <v>580</v>
      </c>
      <c r="I207" s="112"/>
      <c r="J207" s="232">
        <f t="shared" ref="J207:J211" si="13">CHOOSE(year_selection, L207,M207,N207,O207,P207,Q207,R207,S207)</f>
        <v>23444.485144935399</v>
      </c>
      <c r="K207" s="233"/>
      <c r="L207" s="329"/>
      <c r="M207" s="329"/>
      <c r="N207" s="329"/>
      <c r="O207" s="329">
        <v>23444.485144935399</v>
      </c>
      <c r="P207" s="329">
        <v>23444.485144935399</v>
      </c>
      <c r="Q207" s="329">
        <v>23444.485144935399</v>
      </c>
      <c r="R207" s="329">
        <v>23444.485144935399</v>
      </c>
      <c r="S207" s="329">
        <v>23444.485144935399</v>
      </c>
    </row>
    <row r="208" spans="5:19" x14ac:dyDescent="0.25">
      <c r="F208" s="196" t="s">
        <v>1039</v>
      </c>
      <c r="G208" s="196" t="s">
        <v>120</v>
      </c>
      <c r="H208" s="196" t="s">
        <v>580</v>
      </c>
      <c r="I208" s="66"/>
      <c r="J208" s="234">
        <f t="shared" si="13"/>
        <v>0</v>
      </c>
      <c r="K208" s="235"/>
      <c r="L208" s="330"/>
      <c r="M208" s="330"/>
      <c r="N208" s="330"/>
      <c r="O208" s="330">
        <v>0</v>
      </c>
      <c r="P208" s="330">
        <v>0</v>
      </c>
      <c r="Q208" s="330">
        <v>0</v>
      </c>
      <c r="R208" s="330">
        <v>0</v>
      </c>
      <c r="S208" s="330">
        <v>0</v>
      </c>
    </row>
    <row r="209" spans="5:19" x14ac:dyDescent="0.25">
      <c r="F209" s="196" t="s">
        <v>1040</v>
      </c>
      <c r="G209" s="196" t="s">
        <v>120</v>
      </c>
      <c r="H209" s="196" t="s">
        <v>580</v>
      </c>
      <c r="I209" s="66"/>
      <c r="J209" s="234">
        <f t="shared" si="13"/>
        <v>1251.285970528603</v>
      </c>
      <c r="K209" s="235"/>
      <c r="L209" s="330"/>
      <c r="M209" s="330"/>
      <c r="N209" s="330"/>
      <c r="O209" s="330">
        <v>1251.285970528603</v>
      </c>
      <c r="P209" s="330">
        <v>1251.285970528603</v>
      </c>
      <c r="Q209" s="330">
        <v>1251.285970528603</v>
      </c>
      <c r="R209" s="330">
        <v>1251.285970528603</v>
      </c>
      <c r="S209" s="330">
        <v>1251.285970528603</v>
      </c>
    </row>
    <row r="210" spans="5:19" x14ac:dyDescent="0.25">
      <c r="F210" s="196" t="s">
        <v>1041</v>
      </c>
      <c r="G210" s="196" t="s">
        <v>120</v>
      </c>
      <c r="H210" s="196" t="s">
        <v>580</v>
      </c>
      <c r="I210" s="66"/>
      <c r="J210" s="234">
        <f t="shared" si="13"/>
        <v>0</v>
      </c>
      <c r="K210" s="235"/>
      <c r="L210" s="330"/>
      <c r="M210" s="330"/>
      <c r="N210" s="330"/>
      <c r="O210" s="330">
        <v>0</v>
      </c>
      <c r="P210" s="330">
        <v>0</v>
      </c>
      <c r="Q210" s="330">
        <v>0</v>
      </c>
      <c r="R210" s="330">
        <v>0</v>
      </c>
      <c r="S210" s="330">
        <v>0</v>
      </c>
    </row>
    <row r="211" spans="5:19" x14ac:dyDescent="0.25">
      <c r="F211" s="196" t="s">
        <v>1042</v>
      </c>
      <c r="G211" s="196" t="s">
        <v>120</v>
      </c>
      <c r="H211" s="196" t="s">
        <v>580</v>
      </c>
      <c r="I211" s="66"/>
      <c r="J211" s="234">
        <f t="shared" si="13"/>
        <v>3509.5403745600001</v>
      </c>
      <c r="K211" s="235"/>
      <c r="L211" s="330"/>
      <c r="M211" s="330"/>
      <c r="N211" s="330"/>
      <c r="O211" s="330">
        <v>3509.5403745600001</v>
      </c>
      <c r="P211" s="330">
        <v>3509.5403745600001</v>
      </c>
      <c r="Q211" s="330">
        <v>3509.5403745600001</v>
      </c>
      <c r="R211" s="330">
        <v>3509.5403745600001</v>
      </c>
      <c r="S211" s="330">
        <v>3509.5403745600001</v>
      </c>
    </row>
    <row r="212" spans="5:19" x14ac:dyDescent="0.25">
      <c r="F212" s="196" t="s">
        <v>1043</v>
      </c>
      <c r="G212" s="196" t="s">
        <v>120</v>
      </c>
      <c r="H212" s="196" t="s">
        <v>580</v>
      </c>
      <c r="I212" s="66"/>
      <c r="J212" s="240"/>
      <c r="K212" s="235"/>
      <c r="L212" s="240"/>
      <c r="M212" s="240"/>
      <c r="N212" s="240"/>
      <c r="O212" s="240"/>
      <c r="P212" s="240"/>
      <c r="Q212" s="240"/>
      <c r="R212" s="240"/>
      <c r="S212" s="240"/>
    </row>
    <row r="213" spans="5:19" x14ac:dyDescent="0.25">
      <c r="F213" s="196" t="s">
        <v>1044</v>
      </c>
      <c r="G213" s="196" t="s">
        <v>120</v>
      </c>
      <c r="H213" s="196" t="s">
        <v>580</v>
      </c>
      <c r="I213" s="66"/>
      <c r="J213" s="240"/>
      <c r="K213" s="235"/>
      <c r="L213" s="240"/>
      <c r="M213" s="240"/>
      <c r="N213" s="240"/>
      <c r="O213" s="240"/>
      <c r="P213" s="240"/>
      <c r="Q213" s="240"/>
      <c r="R213" s="240"/>
      <c r="S213" s="240"/>
    </row>
    <row r="214" spans="5:19" x14ac:dyDescent="0.25">
      <c r="F214" s="196" t="s">
        <v>1045</v>
      </c>
      <c r="G214" s="196" t="s">
        <v>120</v>
      </c>
      <c r="H214" s="196" t="s">
        <v>580</v>
      </c>
      <c r="I214" s="66"/>
      <c r="J214" s="234">
        <f t="shared" ref="J214:J215" si="14">CHOOSE(year_selection, L214,M214,N214,O214,P214,Q214,R214,S214)</f>
        <v>35.440333955030702</v>
      </c>
      <c r="K214" s="235"/>
      <c r="L214" s="330"/>
      <c r="M214" s="330"/>
      <c r="N214" s="330"/>
      <c r="O214" s="330">
        <v>35.440333955030702</v>
      </c>
      <c r="P214" s="330">
        <v>35.440333955030702</v>
      </c>
      <c r="Q214" s="330">
        <v>35.440333955030702</v>
      </c>
      <c r="R214" s="330">
        <v>35.440333955030702</v>
      </c>
      <c r="S214" s="330">
        <v>35.440333955030702</v>
      </c>
    </row>
    <row r="215" spans="5:19" x14ac:dyDescent="0.25">
      <c r="F215" s="196" t="s">
        <v>1046</v>
      </c>
      <c r="G215" s="196" t="s">
        <v>120</v>
      </c>
      <c r="H215" s="196" t="s">
        <v>580</v>
      </c>
      <c r="I215" s="66"/>
      <c r="J215" s="234">
        <f t="shared" si="14"/>
        <v>0</v>
      </c>
      <c r="K215" s="235"/>
      <c r="L215" s="330"/>
      <c r="M215" s="330"/>
      <c r="N215" s="330"/>
      <c r="O215" s="330">
        <v>0</v>
      </c>
      <c r="P215" s="330">
        <v>0</v>
      </c>
      <c r="Q215" s="330">
        <v>0</v>
      </c>
      <c r="R215" s="330">
        <v>0</v>
      </c>
      <c r="S215" s="330">
        <v>0</v>
      </c>
    </row>
    <row r="216" spans="5:19" x14ac:dyDescent="0.25">
      <c r="F216" s="196" t="s">
        <v>1047</v>
      </c>
      <c r="G216" s="196" t="s">
        <v>120</v>
      </c>
      <c r="H216" s="196" t="s">
        <v>580</v>
      </c>
      <c r="I216" s="66"/>
      <c r="J216" s="240"/>
      <c r="K216" s="235"/>
      <c r="L216" s="240"/>
      <c r="M216" s="240"/>
      <c r="N216" s="240"/>
      <c r="O216" s="240"/>
      <c r="P216" s="240"/>
      <c r="Q216" s="240"/>
      <c r="R216" s="240"/>
      <c r="S216" s="240"/>
    </row>
    <row r="217" spans="5:19" x14ac:dyDescent="0.25">
      <c r="F217" s="196" t="s">
        <v>1048</v>
      </c>
      <c r="G217" s="196" t="s">
        <v>120</v>
      </c>
      <c r="H217" s="196" t="s">
        <v>580</v>
      </c>
      <c r="I217" s="66"/>
      <c r="J217" s="234">
        <f t="shared" ref="J217" si="15">CHOOSE(year_selection, L217,M217,N217,O217,P217,Q217,R217,S217)</f>
        <v>0</v>
      </c>
      <c r="K217" s="235"/>
      <c r="L217" s="330"/>
      <c r="M217" s="330"/>
      <c r="N217" s="330"/>
      <c r="O217" s="330">
        <v>0</v>
      </c>
      <c r="P217" s="330">
        <v>0</v>
      </c>
      <c r="Q217" s="330">
        <v>0</v>
      </c>
      <c r="R217" s="330">
        <v>0</v>
      </c>
      <c r="S217" s="330">
        <v>0</v>
      </c>
    </row>
    <row r="218" spans="5:19" x14ac:dyDescent="0.25">
      <c r="F218" s="196" t="s">
        <v>1049</v>
      </c>
      <c r="G218" s="196" t="s">
        <v>120</v>
      </c>
      <c r="H218" s="196" t="s">
        <v>580</v>
      </c>
      <c r="I218" s="66"/>
      <c r="J218" s="240"/>
      <c r="K218" s="235"/>
      <c r="L218" s="240"/>
      <c r="M218" s="240"/>
      <c r="N218" s="240"/>
      <c r="O218" s="240"/>
      <c r="P218" s="240"/>
      <c r="Q218" s="240"/>
      <c r="R218" s="240"/>
      <c r="S218" s="240"/>
    </row>
    <row r="219" spans="5:19" x14ac:dyDescent="0.25">
      <c r="F219" s="196" t="s">
        <v>1050</v>
      </c>
      <c r="G219" s="196" t="s">
        <v>120</v>
      </c>
      <c r="H219" s="196" t="s">
        <v>580</v>
      </c>
      <c r="I219" s="66"/>
      <c r="J219" s="240"/>
      <c r="K219" s="235"/>
      <c r="L219" s="240"/>
      <c r="M219" s="240"/>
      <c r="N219" s="240"/>
      <c r="O219" s="240"/>
      <c r="P219" s="240"/>
      <c r="Q219" s="240"/>
      <c r="R219" s="240"/>
      <c r="S219" s="240"/>
    </row>
    <row r="220" spans="5:19" x14ac:dyDescent="0.25">
      <c r="F220" s="196" t="s">
        <v>1051</v>
      </c>
      <c r="G220" s="196" t="s">
        <v>120</v>
      </c>
      <c r="H220" s="196" t="s">
        <v>580</v>
      </c>
      <c r="I220" s="66"/>
      <c r="J220" s="240"/>
      <c r="K220" s="235"/>
      <c r="L220" s="240"/>
      <c r="M220" s="240"/>
      <c r="N220" s="240"/>
      <c r="O220" s="240"/>
      <c r="P220" s="240"/>
      <c r="Q220" s="240"/>
      <c r="R220" s="240"/>
      <c r="S220" s="240"/>
    </row>
    <row r="221" spans="5:19" x14ac:dyDescent="0.25">
      <c r="F221" s="196" t="s">
        <v>1052</v>
      </c>
      <c r="G221" s="196" t="s">
        <v>120</v>
      </c>
      <c r="H221" s="196" t="s">
        <v>580</v>
      </c>
      <c r="I221" s="66"/>
      <c r="J221" s="240"/>
      <c r="K221" s="235"/>
      <c r="L221" s="240"/>
      <c r="M221" s="240"/>
      <c r="N221" s="240"/>
      <c r="O221" s="240"/>
      <c r="P221" s="240"/>
      <c r="Q221" s="240"/>
      <c r="R221" s="240"/>
      <c r="S221" s="240"/>
    </row>
    <row r="222" spans="5:19" x14ac:dyDescent="0.25">
      <c r="F222" s="93" t="s">
        <v>1053</v>
      </c>
      <c r="G222" s="93" t="s">
        <v>120</v>
      </c>
      <c r="H222" s="93" t="s">
        <v>580</v>
      </c>
      <c r="I222" s="145"/>
      <c r="J222" s="241"/>
      <c r="K222" s="237"/>
      <c r="L222" s="241"/>
      <c r="M222" s="241"/>
      <c r="N222" s="241"/>
      <c r="O222" s="241"/>
      <c r="P222" s="241"/>
      <c r="Q222" s="241"/>
      <c r="R222" s="241"/>
      <c r="S222" s="241"/>
    </row>
    <row r="223" spans="5:19" x14ac:dyDescent="0.25">
      <c r="J223" s="238"/>
      <c r="K223" s="238"/>
      <c r="L223" s="238"/>
      <c r="M223" s="238"/>
      <c r="N223" s="238"/>
      <c r="O223" s="238"/>
      <c r="P223" s="238"/>
      <c r="Q223" s="238"/>
      <c r="R223" s="238"/>
      <c r="S223" s="238"/>
    </row>
    <row r="224" spans="5:19" x14ac:dyDescent="0.25">
      <c r="E224" s="144" t="s">
        <v>258</v>
      </c>
      <c r="J224" s="238"/>
      <c r="K224" s="238"/>
      <c r="L224" s="238"/>
      <c r="M224" s="238"/>
      <c r="N224" s="238"/>
      <c r="O224" s="238"/>
      <c r="P224" s="238"/>
      <c r="Q224" s="238"/>
      <c r="R224" s="238"/>
      <c r="S224" s="238"/>
    </row>
    <row r="225" spans="6:19" x14ac:dyDescent="0.25">
      <c r="F225" s="91" t="s">
        <v>1038</v>
      </c>
      <c r="G225" s="91" t="s">
        <v>120</v>
      </c>
      <c r="H225" s="91" t="s">
        <v>580</v>
      </c>
      <c r="I225" s="112"/>
      <c r="J225" s="232">
        <f t="shared" ref="J225:J229" si="16">CHOOSE(year_selection, L225,M225,N225,O225,P225,Q225,R225,S225)</f>
        <v>22076.133431648639</v>
      </c>
      <c r="K225" s="233"/>
      <c r="L225" s="329"/>
      <c r="M225" s="329"/>
      <c r="N225" s="329"/>
      <c r="O225" s="329">
        <v>22076.133431648639</v>
      </c>
      <c r="P225" s="329">
        <v>22076.133431648639</v>
      </c>
      <c r="Q225" s="329">
        <v>22076.133431648639</v>
      </c>
      <c r="R225" s="329">
        <v>22076.133431648639</v>
      </c>
      <c r="S225" s="329">
        <v>22076.133431648639</v>
      </c>
    </row>
    <row r="226" spans="6:19" x14ac:dyDescent="0.25">
      <c r="F226" s="196" t="s">
        <v>1039</v>
      </c>
      <c r="G226" s="196" t="s">
        <v>120</v>
      </c>
      <c r="H226" s="196" t="s">
        <v>580</v>
      </c>
      <c r="I226" s="66"/>
      <c r="J226" s="234">
        <f t="shared" si="16"/>
        <v>0</v>
      </c>
      <c r="K226" s="235"/>
      <c r="L226" s="330"/>
      <c r="M226" s="330"/>
      <c r="N226" s="330"/>
      <c r="O226" s="330">
        <v>0</v>
      </c>
      <c r="P226" s="330">
        <v>0</v>
      </c>
      <c r="Q226" s="330">
        <v>0</v>
      </c>
      <c r="R226" s="330">
        <v>0</v>
      </c>
      <c r="S226" s="330">
        <v>0</v>
      </c>
    </row>
    <row r="227" spans="6:19" x14ac:dyDescent="0.25">
      <c r="F227" s="196" t="s">
        <v>1040</v>
      </c>
      <c r="G227" s="196" t="s">
        <v>120</v>
      </c>
      <c r="H227" s="196" t="s">
        <v>580</v>
      </c>
      <c r="I227" s="66"/>
      <c r="J227" s="234">
        <f t="shared" si="16"/>
        <v>1210.8886018597616</v>
      </c>
      <c r="K227" s="235"/>
      <c r="L227" s="330"/>
      <c r="M227" s="330"/>
      <c r="N227" s="330"/>
      <c r="O227" s="330">
        <v>1210.8886018597616</v>
      </c>
      <c r="P227" s="330">
        <v>1210.8886018597616</v>
      </c>
      <c r="Q227" s="330">
        <v>1210.8886018597616</v>
      </c>
      <c r="R227" s="330">
        <v>1210.8886018597616</v>
      </c>
      <c r="S227" s="330">
        <v>1210.8886018597616</v>
      </c>
    </row>
    <row r="228" spans="6:19" x14ac:dyDescent="0.25">
      <c r="F228" s="196" t="s">
        <v>1041</v>
      </c>
      <c r="G228" s="196" t="s">
        <v>120</v>
      </c>
      <c r="H228" s="196" t="s">
        <v>580</v>
      </c>
      <c r="I228" s="66"/>
      <c r="J228" s="234">
        <f t="shared" si="16"/>
        <v>0</v>
      </c>
      <c r="K228" s="235"/>
      <c r="L228" s="330"/>
      <c r="M228" s="330"/>
      <c r="N228" s="330"/>
      <c r="O228" s="330">
        <v>0</v>
      </c>
      <c r="P228" s="330">
        <v>0</v>
      </c>
      <c r="Q228" s="330">
        <v>0</v>
      </c>
      <c r="R228" s="330">
        <v>0</v>
      </c>
      <c r="S228" s="330">
        <v>0</v>
      </c>
    </row>
    <row r="229" spans="6:19" x14ac:dyDescent="0.25">
      <c r="F229" s="196" t="s">
        <v>1042</v>
      </c>
      <c r="G229" s="196" t="s">
        <v>120</v>
      </c>
      <c r="H229" s="196" t="s">
        <v>580</v>
      </c>
      <c r="I229" s="66"/>
      <c r="J229" s="234">
        <f t="shared" si="16"/>
        <v>2920.7853130087501</v>
      </c>
      <c r="K229" s="235"/>
      <c r="L229" s="330"/>
      <c r="M229" s="330"/>
      <c r="N229" s="330"/>
      <c r="O229" s="330">
        <v>2920.7853130087501</v>
      </c>
      <c r="P229" s="330">
        <v>2920.7853130087501</v>
      </c>
      <c r="Q229" s="330">
        <v>2920.7853130087501</v>
      </c>
      <c r="R229" s="330">
        <v>2920.7853130087501</v>
      </c>
      <c r="S229" s="330">
        <v>2920.7853130087501</v>
      </c>
    </row>
    <row r="230" spans="6:19" x14ac:dyDescent="0.25">
      <c r="F230" s="196" t="s">
        <v>1043</v>
      </c>
      <c r="G230" s="196" t="s">
        <v>120</v>
      </c>
      <c r="H230" s="196" t="s">
        <v>580</v>
      </c>
      <c r="I230" s="66"/>
      <c r="J230" s="240"/>
      <c r="K230" s="235"/>
      <c r="L230" s="240"/>
      <c r="M230" s="240"/>
      <c r="N230" s="240"/>
      <c r="O230" s="240"/>
      <c r="P230" s="240"/>
      <c r="Q230" s="240"/>
      <c r="R230" s="240"/>
      <c r="S230" s="240"/>
    </row>
    <row r="231" spans="6:19" x14ac:dyDescent="0.25">
      <c r="F231" s="196" t="s">
        <v>1044</v>
      </c>
      <c r="G231" s="196" t="s">
        <v>120</v>
      </c>
      <c r="H231" s="196" t="s">
        <v>580</v>
      </c>
      <c r="I231" s="66"/>
      <c r="J231" s="240"/>
      <c r="K231" s="235"/>
      <c r="L231" s="240"/>
      <c r="M231" s="240"/>
      <c r="N231" s="240"/>
      <c r="O231" s="240"/>
      <c r="P231" s="240"/>
      <c r="Q231" s="240"/>
      <c r="R231" s="240"/>
      <c r="S231" s="240"/>
    </row>
    <row r="232" spans="6:19" x14ac:dyDescent="0.25">
      <c r="F232" s="196" t="s">
        <v>1045</v>
      </c>
      <c r="G232" s="196" t="s">
        <v>120</v>
      </c>
      <c r="H232" s="196" t="s">
        <v>580</v>
      </c>
      <c r="I232" s="66"/>
      <c r="J232" s="234">
        <f t="shared" ref="J232:J233" si="17">CHOOSE(year_selection, L232,M232,N232,O232,P232,Q232,R232,S232)</f>
        <v>41.235843049935781</v>
      </c>
      <c r="K232" s="235"/>
      <c r="L232" s="330"/>
      <c r="M232" s="330"/>
      <c r="N232" s="330"/>
      <c r="O232" s="330">
        <v>41.235843049935781</v>
      </c>
      <c r="P232" s="330">
        <v>41.235843049935781</v>
      </c>
      <c r="Q232" s="330">
        <v>41.235843049935781</v>
      </c>
      <c r="R232" s="330">
        <v>41.235843049935781</v>
      </c>
      <c r="S232" s="330">
        <v>41.235843049935781</v>
      </c>
    </row>
    <row r="233" spans="6:19" x14ac:dyDescent="0.25">
      <c r="F233" s="196" t="s">
        <v>1046</v>
      </c>
      <c r="G233" s="196" t="s">
        <v>120</v>
      </c>
      <c r="H233" s="196" t="s">
        <v>580</v>
      </c>
      <c r="I233" s="66"/>
      <c r="J233" s="234">
        <f t="shared" si="17"/>
        <v>0</v>
      </c>
      <c r="K233" s="235"/>
      <c r="L233" s="330"/>
      <c r="M233" s="330"/>
      <c r="N233" s="330"/>
      <c r="O233" s="330">
        <v>0</v>
      </c>
      <c r="P233" s="330">
        <v>0</v>
      </c>
      <c r="Q233" s="330">
        <v>0</v>
      </c>
      <c r="R233" s="330">
        <v>0</v>
      </c>
      <c r="S233" s="330">
        <v>0</v>
      </c>
    </row>
    <row r="234" spans="6:19" x14ac:dyDescent="0.25">
      <c r="F234" s="196" t="s">
        <v>1047</v>
      </c>
      <c r="G234" s="196" t="s">
        <v>120</v>
      </c>
      <c r="H234" s="196" t="s">
        <v>580</v>
      </c>
      <c r="I234" s="66"/>
      <c r="J234" s="240"/>
      <c r="K234" s="235"/>
      <c r="L234" s="240"/>
      <c r="M234" s="240"/>
      <c r="N234" s="240"/>
      <c r="O234" s="240"/>
      <c r="P234" s="240"/>
      <c r="Q234" s="240"/>
      <c r="R234" s="240"/>
      <c r="S234" s="240"/>
    </row>
    <row r="235" spans="6:19" x14ac:dyDescent="0.25">
      <c r="F235" s="196" t="s">
        <v>1048</v>
      </c>
      <c r="G235" s="196" t="s">
        <v>120</v>
      </c>
      <c r="H235" s="196" t="s">
        <v>580</v>
      </c>
      <c r="I235" s="66"/>
      <c r="J235" s="234">
        <f t="shared" ref="J235" si="18">CHOOSE(year_selection, L235,M235,N235,O235,P235,Q235,R235,S235)</f>
        <v>0</v>
      </c>
      <c r="K235" s="235"/>
      <c r="L235" s="330"/>
      <c r="M235" s="330"/>
      <c r="N235" s="330"/>
      <c r="O235" s="330">
        <v>0</v>
      </c>
      <c r="P235" s="330">
        <v>0</v>
      </c>
      <c r="Q235" s="330">
        <v>0</v>
      </c>
      <c r="R235" s="330">
        <v>0</v>
      </c>
      <c r="S235" s="330">
        <v>0</v>
      </c>
    </row>
    <row r="236" spans="6:19" x14ac:dyDescent="0.25">
      <c r="F236" s="196" t="s">
        <v>1049</v>
      </c>
      <c r="G236" s="196" t="s">
        <v>120</v>
      </c>
      <c r="H236" s="196" t="s">
        <v>580</v>
      </c>
      <c r="I236" s="66"/>
      <c r="J236" s="240"/>
      <c r="K236" s="235"/>
      <c r="L236" s="240"/>
      <c r="M236" s="240"/>
      <c r="N236" s="240"/>
      <c r="O236" s="240"/>
      <c r="P236" s="240"/>
      <c r="Q236" s="240"/>
      <c r="R236" s="240"/>
      <c r="S236" s="240"/>
    </row>
    <row r="237" spans="6:19" x14ac:dyDescent="0.25">
      <c r="F237" s="196" t="s">
        <v>1050</v>
      </c>
      <c r="G237" s="196" t="s">
        <v>120</v>
      </c>
      <c r="H237" s="196" t="s">
        <v>580</v>
      </c>
      <c r="I237" s="66"/>
      <c r="J237" s="240"/>
      <c r="K237" s="235"/>
      <c r="L237" s="240"/>
      <c r="M237" s="240"/>
      <c r="N237" s="240"/>
      <c r="O237" s="240"/>
      <c r="P237" s="240"/>
      <c r="Q237" s="240"/>
      <c r="R237" s="240"/>
      <c r="S237" s="240"/>
    </row>
    <row r="238" spans="6:19" x14ac:dyDescent="0.25">
      <c r="F238" s="196" t="s">
        <v>1051</v>
      </c>
      <c r="G238" s="196" t="s">
        <v>120</v>
      </c>
      <c r="H238" s="196" t="s">
        <v>580</v>
      </c>
      <c r="I238" s="66"/>
      <c r="J238" s="240"/>
      <c r="K238" s="235"/>
      <c r="L238" s="240"/>
      <c r="M238" s="240"/>
      <c r="N238" s="240"/>
      <c r="O238" s="240"/>
      <c r="P238" s="240"/>
      <c r="Q238" s="240"/>
      <c r="R238" s="240"/>
      <c r="S238" s="240"/>
    </row>
    <row r="239" spans="6:19" x14ac:dyDescent="0.25">
      <c r="F239" s="196" t="s">
        <v>1052</v>
      </c>
      <c r="G239" s="196" t="s">
        <v>120</v>
      </c>
      <c r="H239" s="196" t="s">
        <v>580</v>
      </c>
      <c r="I239" s="66"/>
      <c r="J239" s="240"/>
      <c r="K239" s="235"/>
      <c r="L239" s="240"/>
      <c r="M239" s="240"/>
      <c r="N239" s="240"/>
      <c r="O239" s="240"/>
      <c r="P239" s="240"/>
      <c r="Q239" s="240"/>
      <c r="R239" s="240"/>
      <c r="S239" s="240"/>
    </row>
    <row r="240" spans="6:19" x14ac:dyDescent="0.25">
      <c r="F240" s="93" t="s">
        <v>1053</v>
      </c>
      <c r="G240" s="93" t="s">
        <v>120</v>
      </c>
      <c r="H240" s="93" t="s">
        <v>580</v>
      </c>
      <c r="I240" s="145"/>
      <c r="J240" s="241"/>
      <c r="K240" s="237"/>
      <c r="L240" s="241"/>
      <c r="M240" s="241"/>
      <c r="N240" s="241"/>
      <c r="O240" s="241"/>
      <c r="P240" s="241"/>
      <c r="Q240" s="241"/>
      <c r="R240" s="241"/>
      <c r="S240" s="241"/>
    </row>
    <row r="241" spans="5:19" x14ac:dyDescent="0.25">
      <c r="J241" s="238"/>
      <c r="K241" s="238"/>
      <c r="L241" s="238"/>
      <c r="M241" s="238"/>
      <c r="N241" s="238"/>
      <c r="O241" s="238"/>
      <c r="P241" s="238"/>
      <c r="Q241" s="238"/>
      <c r="R241" s="238"/>
      <c r="S241" s="238"/>
    </row>
    <row r="242" spans="5:19" x14ac:dyDescent="0.25">
      <c r="E242" s="144" t="s">
        <v>74</v>
      </c>
      <c r="J242" s="238"/>
      <c r="K242" s="238"/>
      <c r="L242" s="238"/>
      <c r="M242" s="238"/>
      <c r="N242" s="238"/>
      <c r="O242" s="238"/>
      <c r="P242" s="238"/>
      <c r="Q242" s="238"/>
      <c r="R242" s="238"/>
      <c r="S242" s="238"/>
    </row>
    <row r="243" spans="5:19" x14ac:dyDescent="0.25">
      <c r="F243" s="91" t="s">
        <v>1038</v>
      </c>
      <c r="G243" s="91" t="s">
        <v>74</v>
      </c>
      <c r="H243" s="91" t="s">
        <v>580</v>
      </c>
      <c r="I243" s="112"/>
      <c r="J243" s="232">
        <f t="shared" ref="J243:J247" si="19">CHOOSE(year_selection, L243,M243,N243,O243,P243,Q243,R243,S243)</f>
        <v>19946</v>
      </c>
      <c r="K243" s="233"/>
      <c r="L243" s="329"/>
      <c r="M243" s="329"/>
      <c r="N243" s="329"/>
      <c r="O243" s="329">
        <v>19946</v>
      </c>
      <c r="P243" s="329">
        <v>19946</v>
      </c>
      <c r="Q243" s="329">
        <v>19946</v>
      </c>
      <c r="R243" s="329">
        <v>19946</v>
      </c>
      <c r="S243" s="329">
        <v>19946</v>
      </c>
    </row>
    <row r="244" spans="5:19" x14ac:dyDescent="0.25">
      <c r="F244" s="196" t="s">
        <v>1039</v>
      </c>
      <c r="G244" s="196" t="s">
        <v>74</v>
      </c>
      <c r="H244" s="196" t="s">
        <v>580</v>
      </c>
      <c r="I244" s="66"/>
      <c r="J244" s="234">
        <f t="shared" si="19"/>
        <v>0</v>
      </c>
      <c r="K244" s="235"/>
      <c r="L244" s="330"/>
      <c r="M244" s="330"/>
      <c r="N244" s="330"/>
      <c r="O244" s="330">
        <v>0</v>
      </c>
      <c r="P244" s="330">
        <v>0</v>
      </c>
      <c r="Q244" s="330">
        <v>0</v>
      </c>
      <c r="R244" s="330">
        <v>0</v>
      </c>
      <c r="S244" s="330">
        <v>0</v>
      </c>
    </row>
    <row r="245" spans="5:19" x14ac:dyDescent="0.25">
      <c r="F245" s="196" t="s">
        <v>1040</v>
      </c>
      <c r="G245" s="196" t="s">
        <v>74</v>
      </c>
      <c r="H245" s="196" t="s">
        <v>580</v>
      </c>
      <c r="I245" s="66"/>
      <c r="J245" s="234">
        <f t="shared" si="19"/>
        <v>314</v>
      </c>
      <c r="K245" s="235"/>
      <c r="L245" s="330"/>
      <c r="M245" s="330"/>
      <c r="N245" s="330"/>
      <c r="O245" s="330">
        <v>314</v>
      </c>
      <c r="P245" s="330">
        <v>314</v>
      </c>
      <c r="Q245" s="330">
        <v>314</v>
      </c>
      <c r="R245" s="330">
        <v>314</v>
      </c>
      <c r="S245" s="330">
        <v>314</v>
      </c>
    </row>
    <row r="246" spans="5:19" x14ac:dyDescent="0.25">
      <c r="F246" s="196" t="s">
        <v>1041</v>
      </c>
      <c r="G246" s="196" t="s">
        <v>74</v>
      </c>
      <c r="H246" s="196" t="s">
        <v>580</v>
      </c>
      <c r="I246" s="66"/>
      <c r="J246" s="234">
        <f t="shared" si="19"/>
        <v>0</v>
      </c>
      <c r="K246" s="235"/>
      <c r="L246" s="330"/>
      <c r="M246" s="330"/>
      <c r="N246" s="330"/>
      <c r="O246" s="330">
        <v>0</v>
      </c>
      <c r="P246" s="330">
        <v>0</v>
      </c>
      <c r="Q246" s="330">
        <v>0</v>
      </c>
      <c r="R246" s="330">
        <v>0</v>
      </c>
      <c r="S246" s="330">
        <v>0</v>
      </c>
    </row>
    <row r="247" spans="5:19" x14ac:dyDescent="0.25">
      <c r="F247" s="196" t="s">
        <v>1042</v>
      </c>
      <c r="G247" s="196" t="s">
        <v>74</v>
      </c>
      <c r="H247" s="196" t="s">
        <v>580</v>
      </c>
      <c r="I247" s="66"/>
      <c r="J247" s="234">
        <f t="shared" si="19"/>
        <v>37</v>
      </c>
      <c r="K247" s="235"/>
      <c r="L247" s="330"/>
      <c r="M247" s="330"/>
      <c r="N247" s="330"/>
      <c r="O247" s="330">
        <v>37</v>
      </c>
      <c r="P247" s="330">
        <v>37</v>
      </c>
      <c r="Q247" s="330">
        <v>37</v>
      </c>
      <c r="R247" s="330">
        <v>37</v>
      </c>
      <c r="S247" s="330">
        <v>37</v>
      </c>
    </row>
    <row r="248" spans="5:19" x14ac:dyDescent="0.25">
      <c r="F248" s="196" t="s">
        <v>1043</v>
      </c>
      <c r="G248" s="196" t="s">
        <v>74</v>
      </c>
      <c r="H248" s="196" t="s">
        <v>580</v>
      </c>
      <c r="I248" s="66"/>
      <c r="J248" s="240"/>
      <c r="K248" s="235"/>
      <c r="L248" s="240"/>
      <c r="M248" s="240"/>
      <c r="N248" s="240"/>
      <c r="O248" s="240"/>
      <c r="P248" s="240"/>
      <c r="Q248" s="240"/>
      <c r="R248" s="240"/>
      <c r="S248" s="240"/>
    </row>
    <row r="249" spans="5:19" x14ac:dyDescent="0.25">
      <c r="F249" s="196" t="s">
        <v>1044</v>
      </c>
      <c r="G249" s="196" t="s">
        <v>74</v>
      </c>
      <c r="H249" s="196" t="s">
        <v>580</v>
      </c>
      <c r="I249" s="66"/>
      <c r="J249" s="240"/>
      <c r="K249" s="235"/>
      <c r="L249" s="240"/>
      <c r="M249" s="240"/>
      <c r="N249" s="240"/>
      <c r="O249" s="240"/>
      <c r="P249" s="240"/>
      <c r="Q249" s="240"/>
      <c r="R249" s="240"/>
      <c r="S249" s="240"/>
    </row>
    <row r="250" spans="5:19" x14ac:dyDescent="0.25">
      <c r="F250" s="196" t="s">
        <v>1045</v>
      </c>
      <c r="G250" s="196" t="s">
        <v>74</v>
      </c>
      <c r="H250" s="196" t="s">
        <v>580</v>
      </c>
      <c r="I250" s="66"/>
      <c r="J250" s="234">
        <f t="shared" ref="J250:J251" si="20">CHOOSE(year_selection, L250,M250,N250,O250,P250,Q250,R250,S250)</f>
        <v>8</v>
      </c>
      <c r="K250" s="235"/>
      <c r="L250" s="330"/>
      <c r="M250" s="330"/>
      <c r="N250" s="330"/>
      <c r="O250" s="330">
        <v>8</v>
      </c>
      <c r="P250" s="330">
        <v>8</v>
      </c>
      <c r="Q250" s="330">
        <v>8</v>
      </c>
      <c r="R250" s="330">
        <v>8</v>
      </c>
      <c r="S250" s="330">
        <v>8</v>
      </c>
    </row>
    <row r="251" spans="5:19" x14ac:dyDescent="0.25">
      <c r="F251" s="196" t="s">
        <v>1046</v>
      </c>
      <c r="G251" s="196" t="s">
        <v>74</v>
      </c>
      <c r="H251" s="196" t="s">
        <v>580</v>
      </c>
      <c r="I251" s="66"/>
      <c r="J251" s="234">
        <f t="shared" si="20"/>
        <v>0</v>
      </c>
      <c r="K251" s="235"/>
      <c r="L251" s="330"/>
      <c r="M251" s="330"/>
      <c r="N251" s="330"/>
      <c r="O251" s="330">
        <v>0</v>
      </c>
      <c r="P251" s="330">
        <v>0</v>
      </c>
      <c r="Q251" s="330">
        <v>0</v>
      </c>
      <c r="R251" s="330">
        <v>0</v>
      </c>
      <c r="S251" s="330">
        <v>0</v>
      </c>
    </row>
    <row r="252" spans="5:19" x14ac:dyDescent="0.25">
      <c r="F252" s="196" t="s">
        <v>1047</v>
      </c>
      <c r="G252" s="196" t="s">
        <v>74</v>
      </c>
      <c r="H252" s="196" t="s">
        <v>580</v>
      </c>
      <c r="I252" s="66"/>
      <c r="J252" s="240"/>
      <c r="K252" s="235"/>
      <c r="L252" s="240"/>
      <c r="M252" s="240"/>
      <c r="N252" s="240"/>
      <c r="O252" s="240"/>
      <c r="P252" s="240"/>
      <c r="Q252" s="240"/>
      <c r="R252" s="240"/>
      <c r="S252" s="240"/>
    </row>
    <row r="253" spans="5:19" x14ac:dyDescent="0.25">
      <c r="F253" s="196" t="s">
        <v>1048</v>
      </c>
      <c r="G253" s="196" t="s">
        <v>74</v>
      </c>
      <c r="H253" s="196" t="s">
        <v>580</v>
      </c>
      <c r="I253" s="66"/>
      <c r="J253" s="234">
        <f t="shared" ref="J253" si="21">CHOOSE(year_selection, L253,M253,N253,O253,P253,Q253,R253,S253)</f>
        <v>0</v>
      </c>
      <c r="K253" s="235"/>
      <c r="L253" s="330"/>
      <c r="M253" s="330"/>
      <c r="N253" s="330"/>
      <c r="O253" s="330">
        <v>0</v>
      </c>
      <c r="P253" s="330">
        <v>0</v>
      </c>
      <c r="Q253" s="330">
        <v>0</v>
      </c>
      <c r="R253" s="330">
        <v>0</v>
      </c>
      <c r="S253" s="330">
        <v>0</v>
      </c>
    </row>
    <row r="254" spans="5:19" x14ac:dyDescent="0.25">
      <c r="F254" s="196" t="s">
        <v>1049</v>
      </c>
      <c r="G254" s="196" t="s">
        <v>74</v>
      </c>
      <c r="H254" s="196" t="s">
        <v>580</v>
      </c>
      <c r="I254" s="66"/>
      <c r="J254" s="240"/>
      <c r="K254" s="235"/>
      <c r="L254" s="240"/>
      <c r="M254" s="240"/>
      <c r="N254" s="240"/>
      <c r="O254" s="240"/>
      <c r="P254" s="240"/>
      <c r="Q254" s="240"/>
      <c r="R254" s="240"/>
      <c r="S254" s="240"/>
    </row>
    <row r="255" spans="5:19" x14ac:dyDescent="0.25">
      <c r="F255" s="196" t="s">
        <v>1050</v>
      </c>
      <c r="G255" s="196" t="s">
        <v>74</v>
      </c>
      <c r="H255" s="196" t="s">
        <v>580</v>
      </c>
      <c r="I255" s="66"/>
      <c r="J255" s="240"/>
      <c r="K255" s="235"/>
      <c r="L255" s="240"/>
      <c r="M255" s="240"/>
      <c r="N255" s="240"/>
      <c r="O255" s="240"/>
      <c r="P255" s="240"/>
      <c r="Q255" s="240"/>
      <c r="R255" s="240"/>
      <c r="S255" s="240"/>
    </row>
    <row r="256" spans="5:19" x14ac:dyDescent="0.25">
      <c r="F256" s="196" t="s">
        <v>1051</v>
      </c>
      <c r="G256" s="196" t="s">
        <v>74</v>
      </c>
      <c r="H256" s="196" t="s">
        <v>580</v>
      </c>
      <c r="I256" s="66"/>
      <c r="J256" s="240"/>
      <c r="K256" s="235"/>
      <c r="L256" s="240"/>
      <c r="M256" s="240"/>
      <c r="N256" s="240"/>
      <c r="O256" s="240"/>
      <c r="P256" s="240"/>
      <c r="Q256" s="240"/>
      <c r="R256" s="240"/>
      <c r="S256" s="240"/>
    </row>
    <row r="257" spans="5:19" x14ac:dyDescent="0.25">
      <c r="F257" s="196" t="s">
        <v>1052</v>
      </c>
      <c r="G257" s="196" t="s">
        <v>74</v>
      </c>
      <c r="H257" s="196" t="s">
        <v>580</v>
      </c>
      <c r="I257" s="66"/>
      <c r="J257" s="240"/>
      <c r="K257" s="235"/>
      <c r="L257" s="240"/>
      <c r="M257" s="240"/>
      <c r="N257" s="240"/>
      <c r="O257" s="240"/>
      <c r="P257" s="240"/>
      <c r="Q257" s="240"/>
      <c r="R257" s="240"/>
      <c r="S257" s="240"/>
    </row>
    <row r="258" spans="5:19" x14ac:dyDescent="0.25">
      <c r="F258" s="93" t="s">
        <v>1053</v>
      </c>
      <c r="G258" s="93" t="s">
        <v>74</v>
      </c>
      <c r="H258" s="93" t="s">
        <v>580</v>
      </c>
      <c r="I258" s="145"/>
      <c r="J258" s="241"/>
      <c r="K258" s="237"/>
      <c r="L258" s="241"/>
      <c r="M258" s="241"/>
      <c r="N258" s="241"/>
      <c r="O258" s="241"/>
      <c r="P258" s="241"/>
      <c r="Q258" s="241"/>
      <c r="R258" s="241"/>
      <c r="S258" s="241"/>
    </row>
    <row r="259" spans="5:19" x14ac:dyDescent="0.25">
      <c r="J259" s="238"/>
      <c r="K259" s="238"/>
      <c r="L259" s="238"/>
      <c r="M259" s="238"/>
      <c r="N259" s="238"/>
      <c r="O259" s="238"/>
      <c r="P259" s="238"/>
      <c r="Q259" s="238"/>
      <c r="R259" s="238"/>
      <c r="S259" s="238"/>
    </row>
    <row r="260" spans="5:19" x14ac:dyDescent="0.25">
      <c r="E260" s="144" t="s">
        <v>259</v>
      </c>
      <c r="J260" s="238"/>
      <c r="K260" s="238"/>
      <c r="L260" s="238"/>
      <c r="M260" s="238"/>
      <c r="N260" s="238"/>
      <c r="O260" s="238"/>
      <c r="P260" s="238"/>
      <c r="Q260" s="238"/>
      <c r="R260" s="238"/>
      <c r="S260" s="238"/>
    </row>
    <row r="261" spans="5:19" x14ac:dyDescent="0.25">
      <c r="F261" s="91" t="s">
        <v>1038</v>
      </c>
      <c r="G261" s="91" t="s">
        <v>169</v>
      </c>
      <c r="H261" s="91" t="s">
        <v>580</v>
      </c>
      <c r="I261" s="112"/>
      <c r="J261" s="239"/>
      <c r="K261" s="233"/>
      <c r="L261" s="239"/>
      <c r="M261" s="239"/>
      <c r="N261" s="239"/>
      <c r="O261" s="239"/>
      <c r="P261" s="239"/>
      <c r="Q261" s="239"/>
      <c r="R261" s="239"/>
      <c r="S261" s="239"/>
    </row>
    <row r="262" spans="5:19" x14ac:dyDescent="0.25">
      <c r="F262" s="196" t="s">
        <v>1039</v>
      </c>
      <c r="G262" s="196" t="s">
        <v>169</v>
      </c>
      <c r="H262" s="196" t="s">
        <v>580</v>
      </c>
      <c r="I262" s="66"/>
      <c r="J262" s="240"/>
      <c r="K262" s="235"/>
      <c r="L262" s="240"/>
      <c r="M262" s="240"/>
      <c r="N262" s="240"/>
      <c r="O262" s="240"/>
      <c r="P262" s="240"/>
      <c r="Q262" s="240"/>
      <c r="R262" s="240"/>
      <c r="S262" s="240"/>
    </row>
    <row r="263" spans="5:19" x14ac:dyDescent="0.25">
      <c r="F263" s="196" t="s">
        <v>1040</v>
      </c>
      <c r="G263" s="196" t="s">
        <v>169</v>
      </c>
      <c r="H263" s="196" t="s">
        <v>580</v>
      </c>
      <c r="I263" s="66"/>
      <c r="J263" s="240"/>
      <c r="K263" s="235"/>
      <c r="L263" s="240"/>
      <c r="M263" s="240"/>
      <c r="N263" s="240"/>
      <c r="O263" s="240"/>
      <c r="P263" s="240"/>
      <c r="Q263" s="240"/>
      <c r="R263" s="240"/>
      <c r="S263" s="240"/>
    </row>
    <row r="264" spans="5:19" x14ac:dyDescent="0.25">
      <c r="F264" s="196" t="s">
        <v>1041</v>
      </c>
      <c r="G264" s="196" t="s">
        <v>169</v>
      </c>
      <c r="H264" s="196" t="s">
        <v>580</v>
      </c>
      <c r="I264" s="66"/>
      <c r="J264" s="240"/>
      <c r="K264" s="235"/>
      <c r="L264" s="240"/>
      <c r="M264" s="240"/>
      <c r="N264" s="240"/>
      <c r="O264" s="240"/>
      <c r="P264" s="240"/>
      <c r="Q264" s="240"/>
      <c r="R264" s="240"/>
      <c r="S264" s="240"/>
    </row>
    <row r="265" spans="5:19" x14ac:dyDescent="0.25">
      <c r="F265" s="196" t="s">
        <v>1042</v>
      </c>
      <c r="G265" s="196" t="s">
        <v>169</v>
      </c>
      <c r="H265" s="196" t="s">
        <v>580</v>
      </c>
      <c r="I265" s="66"/>
      <c r="J265" s="234">
        <f t="shared" ref="J265" si="22">CHOOSE(year_selection, L265,M265,N265,O265,P265,Q265,R265,S265)</f>
        <v>5254.416666666667</v>
      </c>
      <c r="K265" s="235"/>
      <c r="L265" s="330"/>
      <c r="M265" s="330"/>
      <c r="N265" s="330"/>
      <c r="O265" s="330">
        <v>5254.416666666667</v>
      </c>
      <c r="P265" s="330">
        <v>5254.416666666667</v>
      </c>
      <c r="Q265" s="330">
        <v>5254.416666666667</v>
      </c>
      <c r="R265" s="330">
        <v>5254.416666666667</v>
      </c>
      <c r="S265" s="330">
        <v>5254.416666666667</v>
      </c>
    </row>
    <row r="266" spans="5:19" x14ac:dyDescent="0.25">
      <c r="F266" s="196" t="s">
        <v>1043</v>
      </c>
      <c r="G266" s="196" t="s">
        <v>169</v>
      </c>
      <c r="H266" s="196" t="s">
        <v>580</v>
      </c>
      <c r="I266" s="66"/>
      <c r="J266" s="240"/>
      <c r="K266" s="235"/>
      <c r="L266" s="240"/>
      <c r="M266" s="240"/>
      <c r="N266" s="240"/>
      <c r="O266" s="240"/>
      <c r="P266" s="240"/>
      <c r="Q266" s="240"/>
      <c r="R266" s="240"/>
      <c r="S266" s="240"/>
    </row>
    <row r="267" spans="5:19" x14ac:dyDescent="0.25">
      <c r="F267" s="196" t="s">
        <v>1044</v>
      </c>
      <c r="G267" s="196" t="s">
        <v>169</v>
      </c>
      <c r="H267" s="196" t="s">
        <v>580</v>
      </c>
      <c r="I267" s="66"/>
      <c r="J267" s="240"/>
      <c r="K267" s="235"/>
      <c r="L267" s="240"/>
      <c r="M267" s="240"/>
      <c r="N267" s="240"/>
      <c r="O267" s="240"/>
      <c r="P267" s="240"/>
      <c r="Q267" s="240"/>
      <c r="R267" s="240"/>
      <c r="S267" s="240"/>
    </row>
    <row r="268" spans="5:19" x14ac:dyDescent="0.25">
      <c r="F268" s="196" t="s">
        <v>1045</v>
      </c>
      <c r="G268" s="196" t="s">
        <v>169</v>
      </c>
      <c r="H268" s="196" t="s">
        <v>580</v>
      </c>
      <c r="I268" s="66"/>
      <c r="J268" s="240"/>
      <c r="K268" s="235"/>
      <c r="L268" s="240"/>
      <c r="M268" s="240"/>
      <c r="N268" s="240"/>
      <c r="O268" s="240"/>
      <c r="P268" s="240"/>
      <c r="Q268" s="240"/>
      <c r="R268" s="240"/>
      <c r="S268" s="240"/>
    </row>
    <row r="269" spans="5:19" x14ac:dyDescent="0.25">
      <c r="F269" s="196" t="s">
        <v>1046</v>
      </c>
      <c r="G269" s="196" t="s">
        <v>169</v>
      </c>
      <c r="H269" s="196" t="s">
        <v>580</v>
      </c>
      <c r="I269" s="66"/>
      <c r="J269" s="240"/>
      <c r="K269" s="235"/>
      <c r="L269" s="240"/>
      <c r="M269" s="240"/>
      <c r="N269" s="240"/>
      <c r="O269" s="240"/>
      <c r="P269" s="240"/>
      <c r="Q269" s="240"/>
      <c r="R269" s="240"/>
      <c r="S269" s="240"/>
    </row>
    <row r="270" spans="5:19" x14ac:dyDescent="0.25">
      <c r="F270" s="196" t="s">
        <v>1047</v>
      </c>
      <c r="G270" s="196" t="s">
        <v>169</v>
      </c>
      <c r="H270" s="196" t="s">
        <v>580</v>
      </c>
      <c r="I270" s="66"/>
      <c r="J270" s="240"/>
      <c r="K270" s="235"/>
      <c r="L270" s="240"/>
      <c r="M270" s="240"/>
      <c r="N270" s="240"/>
      <c r="O270" s="240"/>
      <c r="P270" s="240"/>
      <c r="Q270" s="240"/>
      <c r="R270" s="240"/>
      <c r="S270" s="240"/>
    </row>
    <row r="271" spans="5:19" x14ac:dyDescent="0.25">
      <c r="F271" s="196" t="s">
        <v>1048</v>
      </c>
      <c r="G271" s="196" t="s">
        <v>169</v>
      </c>
      <c r="H271" s="196" t="s">
        <v>580</v>
      </c>
      <c r="I271" s="66"/>
      <c r="J271" s="240"/>
      <c r="K271" s="235"/>
      <c r="L271" s="240"/>
      <c r="M271" s="240"/>
      <c r="N271" s="240"/>
      <c r="O271" s="240"/>
      <c r="P271" s="240"/>
      <c r="Q271" s="240"/>
      <c r="R271" s="240"/>
      <c r="S271" s="240"/>
    </row>
    <row r="272" spans="5:19" x14ac:dyDescent="0.25">
      <c r="F272" s="196" t="s">
        <v>1049</v>
      </c>
      <c r="G272" s="196" t="s">
        <v>169</v>
      </c>
      <c r="H272" s="196" t="s">
        <v>580</v>
      </c>
      <c r="I272" s="66"/>
      <c r="J272" s="240"/>
      <c r="K272" s="235"/>
      <c r="L272" s="240"/>
      <c r="M272" s="240"/>
      <c r="N272" s="240"/>
      <c r="O272" s="240"/>
      <c r="P272" s="240"/>
      <c r="Q272" s="240"/>
      <c r="R272" s="240"/>
      <c r="S272" s="240"/>
    </row>
    <row r="273" spans="5:19" x14ac:dyDescent="0.25">
      <c r="F273" s="196" t="s">
        <v>1050</v>
      </c>
      <c r="G273" s="196" t="s">
        <v>169</v>
      </c>
      <c r="H273" s="196" t="s">
        <v>580</v>
      </c>
      <c r="I273" s="66"/>
      <c r="J273" s="240"/>
      <c r="K273" s="235"/>
      <c r="L273" s="240"/>
      <c r="M273" s="240"/>
      <c r="N273" s="240"/>
      <c r="O273" s="240"/>
      <c r="P273" s="240"/>
      <c r="Q273" s="240"/>
      <c r="R273" s="240"/>
      <c r="S273" s="240"/>
    </row>
    <row r="274" spans="5:19" x14ac:dyDescent="0.25">
      <c r="F274" s="196" t="s">
        <v>1051</v>
      </c>
      <c r="G274" s="196" t="s">
        <v>169</v>
      </c>
      <c r="H274" s="196" t="s">
        <v>580</v>
      </c>
      <c r="I274" s="66"/>
      <c r="J274" s="240"/>
      <c r="K274" s="235"/>
      <c r="L274" s="240"/>
      <c r="M274" s="240"/>
      <c r="N274" s="240"/>
      <c r="O274" s="240"/>
      <c r="P274" s="240"/>
      <c r="Q274" s="240"/>
      <c r="R274" s="240"/>
      <c r="S274" s="240"/>
    </row>
    <row r="275" spans="5:19" x14ac:dyDescent="0.25">
      <c r="F275" s="196" t="s">
        <v>1052</v>
      </c>
      <c r="G275" s="196" t="s">
        <v>169</v>
      </c>
      <c r="H275" s="196" t="s">
        <v>580</v>
      </c>
      <c r="I275" s="66"/>
      <c r="J275" s="240"/>
      <c r="K275" s="235"/>
      <c r="L275" s="240"/>
      <c r="M275" s="240"/>
      <c r="N275" s="240"/>
      <c r="O275" s="240"/>
      <c r="P275" s="240"/>
      <c r="Q275" s="240"/>
      <c r="R275" s="240"/>
      <c r="S275" s="240"/>
    </row>
    <row r="276" spans="5:19" x14ac:dyDescent="0.25">
      <c r="F276" s="93" t="s">
        <v>1053</v>
      </c>
      <c r="G276" s="93" t="s">
        <v>169</v>
      </c>
      <c r="H276" s="93" t="s">
        <v>580</v>
      </c>
      <c r="I276" s="145"/>
      <c r="J276" s="241"/>
      <c r="K276" s="237"/>
      <c r="L276" s="241"/>
      <c r="M276" s="241"/>
      <c r="N276" s="241"/>
      <c r="O276" s="241"/>
      <c r="P276" s="241"/>
      <c r="Q276" s="241"/>
      <c r="R276" s="241"/>
      <c r="S276" s="241"/>
    </row>
    <row r="277" spans="5:19" x14ac:dyDescent="0.25">
      <c r="J277" s="238"/>
      <c r="K277" s="238"/>
      <c r="L277" s="238"/>
      <c r="M277" s="238"/>
      <c r="N277" s="238"/>
      <c r="O277" s="238"/>
      <c r="P277" s="238"/>
      <c r="Q277" s="238"/>
      <c r="R277" s="238"/>
      <c r="S277" s="238"/>
    </row>
    <row r="278" spans="5:19" x14ac:dyDescent="0.25">
      <c r="E278" s="144" t="s">
        <v>260</v>
      </c>
      <c r="J278" s="238"/>
      <c r="K278" s="238"/>
      <c r="L278" s="238"/>
      <c r="M278" s="238"/>
      <c r="N278" s="238"/>
      <c r="O278" s="238"/>
      <c r="P278" s="238"/>
      <c r="Q278" s="238"/>
      <c r="R278" s="238"/>
      <c r="S278" s="238"/>
    </row>
    <row r="279" spans="5:19" x14ac:dyDescent="0.25">
      <c r="F279" s="91" t="s">
        <v>1038</v>
      </c>
      <c r="G279" s="91" t="s">
        <v>169</v>
      </c>
      <c r="H279" s="91" t="s">
        <v>580</v>
      </c>
      <c r="I279" s="112"/>
      <c r="J279" s="239"/>
      <c r="K279" s="233"/>
      <c r="L279" s="239"/>
      <c r="M279" s="239"/>
      <c r="N279" s="239"/>
      <c r="O279" s="239"/>
      <c r="P279" s="239"/>
      <c r="Q279" s="239"/>
      <c r="R279" s="239"/>
      <c r="S279" s="239"/>
    </row>
    <row r="280" spans="5:19" x14ac:dyDescent="0.25">
      <c r="F280" s="196" t="s">
        <v>1039</v>
      </c>
      <c r="G280" s="196" t="s">
        <v>169</v>
      </c>
      <c r="H280" s="196" t="s">
        <v>580</v>
      </c>
      <c r="I280" s="66"/>
      <c r="J280" s="240"/>
      <c r="K280" s="235"/>
      <c r="L280" s="240"/>
      <c r="M280" s="240"/>
      <c r="N280" s="240"/>
      <c r="O280" s="240"/>
      <c r="P280" s="240"/>
      <c r="Q280" s="240"/>
      <c r="R280" s="240"/>
      <c r="S280" s="240"/>
    </row>
    <row r="281" spans="5:19" x14ac:dyDescent="0.25">
      <c r="F281" s="196" t="s">
        <v>1040</v>
      </c>
      <c r="G281" s="196" t="s">
        <v>169</v>
      </c>
      <c r="H281" s="196" t="s">
        <v>580</v>
      </c>
      <c r="I281" s="66"/>
      <c r="J281" s="240"/>
      <c r="K281" s="235"/>
      <c r="L281" s="240"/>
      <c r="M281" s="240"/>
      <c r="N281" s="240"/>
      <c r="O281" s="240"/>
      <c r="P281" s="240"/>
      <c r="Q281" s="240"/>
      <c r="R281" s="240"/>
      <c r="S281" s="240"/>
    </row>
    <row r="282" spans="5:19" x14ac:dyDescent="0.25">
      <c r="F282" s="196" t="s">
        <v>1041</v>
      </c>
      <c r="G282" s="196" t="s">
        <v>169</v>
      </c>
      <c r="H282" s="196" t="s">
        <v>580</v>
      </c>
      <c r="I282" s="66"/>
      <c r="J282" s="240"/>
      <c r="K282" s="235"/>
      <c r="L282" s="240"/>
      <c r="M282" s="240"/>
      <c r="N282" s="240"/>
      <c r="O282" s="240"/>
      <c r="P282" s="240"/>
      <c r="Q282" s="240"/>
      <c r="R282" s="240"/>
      <c r="S282" s="240"/>
    </row>
    <row r="283" spans="5:19" x14ac:dyDescent="0.25">
      <c r="F283" s="196" t="s">
        <v>1042</v>
      </c>
      <c r="G283" s="196" t="s">
        <v>169</v>
      </c>
      <c r="H283" s="196" t="s">
        <v>580</v>
      </c>
      <c r="I283" s="66"/>
      <c r="J283" s="234">
        <f t="shared" ref="J283" si="23">CHOOSE(year_selection, L283,M283,N283,O283,P283,Q283,R283,S283)</f>
        <v>0</v>
      </c>
      <c r="K283" s="235"/>
      <c r="L283" s="330"/>
      <c r="M283" s="330"/>
      <c r="N283" s="330"/>
      <c r="O283" s="330">
        <v>0</v>
      </c>
      <c r="P283" s="330">
        <v>0</v>
      </c>
      <c r="Q283" s="330">
        <v>0</v>
      </c>
      <c r="R283" s="330">
        <v>0</v>
      </c>
      <c r="S283" s="330">
        <v>0</v>
      </c>
    </row>
    <row r="284" spans="5:19" x14ac:dyDescent="0.25">
      <c r="F284" s="196" t="s">
        <v>1043</v>
      </c>
      <c r="G284" s="196" t="s">
        <v>169</v>
      </c>
      <c r="H284" s="196" t="s">
        <v>580</v>
      </c>
      <c r="I284" s="66"/>
      <c r="J284" s="240"/>
      <c r="K284" s="235"/>
      <c r="L284" s="240"/>
      <c r="M284" s="240"/>
      <c r="N284" s="240"/>
      <c r="O284" s="240"/>
      <c r="P284" s="240"/>
      <c r="Q284" s="240"/>
      <c r="R284" s="240"/>
      <c r="S284" s="240"/>
    </row>
    <row r="285" spans="5:19" x14ac:dyDescent="0.25">
      <c r="F285" s="196" t="s">
        <v>1044</v>
      </c>
      <c r="G285" s="196" t="s">
        <v>169</v>
      </c>
      <c r="H285" s="196" t="s">
        <v>580</v>
      </c>
      <c r="I285" s="66"/>
      <c r="J285" s="240"/>
      <c r="K285" s="235"/>
      <c r="L285" s="240"/>
      <c r="M285" s="240"/>
      <c r="N285" s="240"/>
      <c r="O285" s="240"/>
      <c r="P285" s="240"/>
      <c r="Q285" s="240"/>
      <c r="R285" s="240"/>
      <c r="S285" s="240"/>
    </row>
    <row r="286" spans="5:19" x14ac:dyDescent="0.25">
      <c r="F286" s="196" t="s">
        <v>1045</v>
      </c>
      <c r="G286" s="196" t="s">
        <v>169</v>
      </c>
      <c r="H286" s="196" t="s">
        <v>580</v>
      </c>
      <c r="I286" s="66"/>
      <c r="J286" s="240"/>
      <c r="K286" s="235"/>
      <c r="L286" s="240"/>
      <c r="M286" s="240"/>
      <c r="N286" s="240"/>
      <c r="O286" s="240"/>
      <c r="P286" s="240"/>
      <c r="Q286" s="240"/>
      <c r="R286" s="240"/>
      <c r="S286" s="240"/>
    </row>
    <row r="287" spans="5:19" x14ac:dyDescent="0.25">
      <c r="F287" s="196" t="s">
        <v>1046</v>
      </c>
      <c r="G287" s="196" t="s">
        <v>169</v>
      </c>
      <c r="H287" s="196" t="s">
        <v>580</v>
      </c>
      <c r="I287" s="66"/>
      <c r="J287" s="240"/>
      <c r="K287" s="235"/>
      <c r="L287" s="240"/>
      <c r="M287" s="240"/>
      <c r="N287" s="240"/>
      <c r="O287" s="240"/>
      <c r="P287" s="240"/>
      <c r="Q287" s="240"/>
      <c r="R287" s="240"/>
      <c r="S287" s="240"/>
    </row>
    <row r="288" spans="5:19" x14ac:dyDescent="0.25">
      <c r="F288" s="196" t="s">
        <v>1047</v>
      </c>
      <c r="G288" s="196" t="s">
        <v>169</v>
      </c>
      <c r="H288" s="196" t="s">
        <v>580</v>
      </c>
      <c r="I288" s="66"/>
      <c r="J288" s="240"/>
      <c r="K288" s="235"/>
      <c r="L288" s="240"/>
      <c r="M288" s="240"/>
      <c r="N288" s="240"/>
      <c r="O288" s="240"/>
      <c r="P288" s="240"/>
      <c r="Q288" s="240"/>
      <c r="R288" s="240"/>
      <c r="S288" s="240"/>
    </row>
    <row r="289" spans="5:19" x14ac:dyDescent="0.25">
      <c r="F289" s="196" t="s">
        <v>1048</v>
      </c>
      <c r="G289" s="196" t="s">
        <v>169</v>
      </c>
      <c r="H289" s="196" t="s">
        <v>580</v>
      </c>
      <c r="I289" s="66"/>
      <c r="J289" s="240"/>
      <c r="K289" s="235"/>
      <c r="L289" s="240"/>
      <c r="M289" s="240"/>
      <c r="N289" s="240"/>
      <c r="O289" s="240"/>
      <c r="P289" s="240"/>
      <c r="Q289" s="240"/>
      <c r="R289" s="240"/>
      <c r="S289" s="240"/>
    </row>
    <row r="290" spans="5:19" x14ac:dyDescent="0.25">
      <c r="F290" s="196" t="s">
        <v>1049</v>
      </c>
      <c r="G290" s="196" t="s">
        <v>169</v>
      </c>
      <c r="H290" s="196" t="s">
        <v>580</v>
      </c>
      <c r="I290" s="66"/>
      <c r="J290" s="240"/>
      <c r="K290" s="235"/>
      <c r="L290" s="240"/>
      <c r="M290" s="240"/>
      <c r="N290" s="240"/>
      <c r="O290" s="240"/>
      <c r="P290" s="240"/>
      <c r="Q290" s="240"/>
      <c r="R290" s="240"/>
      <c r="S290" s="240"/>
    </row>
    <row r="291" spans="5:19" x14ac:dyDescent="0.25">
      <c r="F291" s="196" t="s">
        <v>1050</v>
      </c>
      <c r="G291" s="196" t="s">
        <v>169</v>
      </c>
      <c r="H291" s="196" t="s">
        <v>580</v>
      </c>
      <c r="I291" s="66"/>
      <c r="J291" s="240"/>
      <c r="K291" s="235"/>
      <c r="L291" s="240"/>
      <c r="M291" s="240"/>
      <c r="N291" s="240"/>
      <c r="O291" s="240"/>
      <c r="P291" s="240"/>
      <c r="Q291" s="240"/>
      <c r="R291" s="240"/>
      <c r="S291" s="240"/>
    </row>
    <row r="292" spans="5:19" x14ac:dyDescent="0.25">
      <c r="F292" s="196" t="s">
        <v>1051</v>
      </c>
      <c r="G292" s="196" t="s">
        <v>169</v>
      </c>
      <c r="H292" s="196" t="s">
        <v>580</v>
      </c>
      <c r="I292" s="66"/>
      <c r="J292" s="240"/>
      <c r="K292" s="235"/>
      <c r="L292" s="240"/>
      <c r="M292" s="240"/>
      <c r="N292" s="240"/>
      <c r="O292" s="240"/>
      <c r="P292" s="240"/>
      <c r="Q292" s="240"/>
      <c r="R292" s="240"/>
      <c r="S292" s="240"/>
    </row>
    <row r="293" spans="5:19" x14ac:dyDescent="0.25">
      <c r="F293" s="196" t="s">
        <v>1052</v>
      </c>
      <c r="G293" s="196" t="s">
        <v>169</v>
      </c>
      <c r="H293" s="196" t="s">
        <v>580</v>
      </c>
      <c r="I293" s="66"/>
      <c r="J293" s="240"/>
      <c r="K293" s="235"/>
      <c r="L293" s="240"/>
      <c r="M293" s="240"/>
      <c r="N293" s="240"/>
      <c r="O293" s="240"/>
      <c r="P293" s="240"/>
      <c r="Q293" s="240"/>
      <c r="R293" s="240"/>
      <c r="S293" s="240"/>
    </row>
    <row r="294" spans="5:19" x14ac:dyDescent="0.25">
      <c r="F294" s="93" t="s">
        <v>1053</v>
      </c>
      <c r="G294" s="93" t="s">
        <v>169</v>
      </c>
      <c r="H294" s="93" t="s">
        <v>580</v>
      </c>
      <c r="I294" s="145"/>
      <c r="J294" s="241"/>
      <c r="K294" s="237"/>
      <c r="L294" s="241"/>
      <c r="M294" s="241"/>
      <c r="N294" s="241"/>
      <c r="O294" s="241"/>
      <c r="P294" s="241"/>
      <c r="Q294" s="241"/>
      <c r="R294" s="241"/>
      <c r="S294" s="241"/>
    </row>
    <row r="295" spans="5:19" x14ac:dyDescent="0.25">
      <c r="J295" s="238"/>
      <c r="K295" s="238"/>
      <c r="L295" s="238"/>
      <c r="M295" s="238"/>
      <c r="N295" s="238"/>
      <c r="O295" s="238"/>
      <c r="P295" s="238"/>
      <c r="Q295" s="238"/>
      <c r="R295" s="238"/>
      <c r="S295" s="238"/>
    </row>
    <row r="296" spans="5:19" x14ac:dyDescent="0.25">
      <c r="E296" s="144" t="s">
        <v>261</v>
      </c>
      <c r="J296" s="238"/>
      <c r="K296" s="238"/>
      <c r="L296" s="238"/>
      <c r="M296" s="238"/>
      <c r="N296" s="238"/>
      <c r="O296" s="238"/>
      <c r="P296" s="238"/>
      <c r="Q296" s="238"/>
      <c r="R296" s="238"/>
      <c r="S296" s="238"/>
    </row>
    <row r="297" spans="5:19" x14ac:dyDescent="0.25">
      <c r="F297" s="91" t="s">
        <v>1038</v>
      </c>
      <c r="G297" s="91" t="s">
        <v>170</v>
      </c>
      <c r="H297" s="91" t="s">
        <v>580</v>
      </c>
      <c r="I297" s="112"/>
      <c r="J297" s="239"/>
      <c r="K297" s="233"/>
      <c r="L297" s="239"/>
      <c r="M297" s="239"/>
      <c r="N297" s="239"/>
      <c r="O297" s="239"/>
      <c r="P297" s="239"/>
      <c r="Q297" s="239"/>
      <c r="R297" s="239"/>
      <c r="S297" s="239"/>
    </row>
    <row r="298" spans="5:19" x14ac:dyDescent="0.25">
      <c r="F298" s="196" t="s">
        <v>1039</v>
      </c>
      <c r="G298" s="196" t="s">
        <v>170</v>
      </c>
      <c r="H298" s="196" t="s">
        <v>580</v>
      </c>
      <c r="I298" s="66"/>
      <c r="J298" s="240"/>
      <c r="K298" s="235"/>
      <c r="L298" s="240"/>
      <c r="M298" s="240"/>
      <c r="N298" s="240"/>
      <c r="O298" s="240"/>
      <c r="P298" s="240"/>
      <c r="Q298" s="240"/>
      <c r="R298" s="240"/>
      <c r="S298" s="240"/>
    </row>
    <row r="299" spans="5:19" x14ac:dyDescent="0.25">
      <c r="F299" s="196" t="s">
        <v>1040</v>
      </c>
      <c r="G299" s="196" t="s">
        <v>170</v>
      </c>
      <c r="H299" s="196" t="s">
        <v>580</v>
      </c>
      <c r="I299" s="66"/>
      <c r="J299" s="240"/>
      <c r="K299" s="235"/>
      <c r="L299" s="240"/>
      <c r="M299" s="240"/>
      <c r="N299" s="240"/>
      <c r="O299" s="240"/>
      <c r="P299" s="240"/>
      <c r="Q299" s="240"/>
      <c r="R299" s="240"/>
      <c r="S299" s="240"/>
    </row>
    <row r="300" spans="5:19" x14ac:dyDescent="0.25">
      <c r="F300" s="196" t="s">
        <v>1041</v>
      </c>
      <c r="G300" s="196" t="s">
        <v>170</v>
      </c>
      <c r="H300" s="196" t="s">
        <v>580</v>
      </c>
      <c r="I300" s="66"/>
      <c r="J300" s="240"/>
      <c r="K300" s="235"/>
      <c r="L300" s="240"/>
      <c r="M300" s="240"/>
      <c r="N300" s="240"/>
      <c r="O300" s="240"/>
      <c r="P300" s="240"/>
      <c r="Q300" s="240"/>
      <c r="R300" s="240"/>
      <c r="S300" s="240"/>
    </row>
    <row r="301" spans="5:19" x14ac:dyDescent="0.25">
      <c r="F301" s="196" t="s">
        <v>1042</v>
      </c>
      <c r="G301" s="196" t="s">
        <v>170</v>
      </c>
      <c r="H301" s="196" t="s">
        <v>580</v>
      </c>
      <c r="I301" s="66"/>
      <c r="J301" s="234">
        <f t="shared" ref="J301" si="24">CHOOSE(year_selection, L301,M301,N301,O301,P301,Q301,R301,S301)</f>
        <v>275.2457</v>
      </c>
      <c r="K301" s="235"/>
      <c r="L301" s="330"/>
      <c r="M301" s="330"/>
      <c r="N301" s="330"/>
      <c r="O301" s="330">
        <v>275.2457</v>
      </c>
      <c r="P301" s="330">
        <v>275.2457</v>
      </c>
      <c r="Q301" s="330">
        <v>275.2457</v>
      </c>
      <c r="R301" s="330">
        <v>275.2457</v>
      </c>
      <c r="S301" s="330">
        <v>275.2457</v>
      </c>
    </row>
    <row r="302" spans="5:19" x14ac:dyDescent="0.25">
      <c r="F302" s="196" t="s">
        <v>1043</v>
      </c>
      <c r="G302" s="196" t="s">
        <v>170</v>
      </c>
      <c r="H302" s="196" t="s">
        <v>580</v>
      </c>
      <c r="I302" s="66"/>
      <c r="J302" s="240"/>
      <c r="K302" s="235"/>
      <c r="L302" s="240"/>
      <c r="M302" s="240"/>
      <c r="N302" s="240"/>
      <c r="O302" s="240"/>
      <c r="P302" s="240"/>
      <c r="Q302" s="240"/>
      <c r="R302" s="240"/>
      <c r="S302" s="240"/>
    </row>
    <row r="303" spans="5:19" x14ac:dyDescent="0.25">
      <c r="F303" s="196" t="s">
        <v>1044</v>
      </c>
      <c r="G303" s="196" t="s">
        <v>170</v>
      </c>
      <c r="H303" s="196" t="s">
        <v>580</v>
      </c>
      <c r="I303" s="66"/>
      <c r="J303" s="240"/>
      <c r="K303" s="235"/>
      <c r="L303" s="240"/>
      <c r="M303" s="240"/>
      <c r="N303" s="240"/>
      <c r="O303" s="240"/>
      <c r="P303" s="240"/>
      <c r="Q303" s="240"/>
      <c r="R303" s="240"/>
      <c r="S303" s="240"/>
    </row>
    <row r="304" spans="5:19" x14ac:dyDescent="0.25">
      <c r="F304" s="196" t="s">
        <v>1045</v>
      </c>
      <c r="G304" s="196" t="s">
        <v>170</v>
      </c>
      <c r="H304" s="196" t="s">
        <v>580</v>
      </c>
      <c r="I304" s="66"/>
      <c r="J304" s="240"/>
      <c r="K304" s="235"/>
      <c r="L304" s="240"/>
      <c r="M304" s="240"/>
      <c r="N304" s="240"/>
      <c r="O304" s="240"/>
      <c r="P304" s="240"/>
      <c r="Q304" s="240"/>
      <c r="R304" s="240"/>
      <c r="S304" s="240"/>
    </row>
    <row r="305" spans="3:21" x14ac:dyDescent="0.25">
      <c r="F305" s="196" t="s">
        <v>1046</v>
      </c>
      <c r="G305" s="196" t="s">
        <v>170</v>
      </c>
      <c r="H305" s="196" t="s">
        <v>580</v>
      </c>
      <c r="I305" s="66"/>
      <c r="J305" s="240"/>
      <c r="K305" s="235"/>
      <c r="L305" s="240"/>
      <c r="M305" s="240"/>
      <c r="N305" s="240"/>
      <c r="O305" s="240"/>
      <c r="P305" s="240"/>
      <c r="Q305" s="240"/>
      <c r="R305" s="240"/>
      <c r="S305" s="240"/>
    </row>
    <row r="306" spans="3:21" x14ac:dyDescent="0.25">
      <c r="F306" s="196" t="s">
        <v>1047</v>
      </c>
      <c r="G306" s="196" t="s">
        <v>170</v>
      </c>
      <c r="H306" s="196" t="s">
        <v>580</v>
      </c>
      <c r="I306" s="66"/>
      <c r="J306" s="240"/>
      <c r="K306" s="235"/>
      <c r="L306" s="240"/>
      <c r="M306" s="240"/>
      <c r="N306" s="240"/>
      <c r="O306" s="240"/>
      <c r="P306" s="240"/>
      <c r="Q306" s="240"/>
      <c r="R306" s="240"/>
      <c r="S306" s="240"/>
    </row>
    <row r="307" spans="3:21" x14ac:dyDescent="0.25">
      <c r="F307" s="196" t="s">
        <v>1048</v>
      </c>
      <c r="G307" s="196" t="s">
        <v>170</v>
      </c>
      <c r="H307" s="196" t="s">
        <v>580</v>
      </c>
      <c r="I307" s="66"/>
      <c r="J307" s="234">
        <f t="shared" ref="J307" si="25">CHOOSE(year_selection, L307,M307,N307,O307,P307,Q307,R307,S307)</f>
        <v>0</v>
      </c>
      <c r="K307" s="235"/>
      <c r="L307" s="330"/>
      <c r="M307" s="330"/>
      <c r="N307" s="330"/>
      <c r="O307" s="330">
        <v>0</v>
      </c>
      <c r="P307" s="330">
        <v>0</v>
      </c>
      <c r="Q307" s="330">
        <v>0</v>
      </c>
      <c r="R307" s="330">
        <v>0</v>
      </c>
      <c r="S307" s="330">
        <v>0</v>
      </c>
    </row>
    <row r="308" spans="3:21" x14ac:dyDescent="0.25">
      <c r="F308" s="196" t="s">
        <v>1049</v>
      </c>
      <c r="G308" s="196" t="s">
        <v>170</v>
      </c>
      <c r="H308" s="196" t="s">
        <v>580</v>
      </c>
      <c r="I308" s="66"/>
      <c r="J308" s="240"/>
      <c r="K308" s="235"/>
      <c r="L308" s="240"/>
      <c r="M308" s="240"/>
      <c r="N308" s="240"/>
      <c r="O308" s="240"/>
      <c r="P308" s="240"/>
      <c r="Q308" s="240"/>
      <c r="R308" s="240"/>
      <c r="S308" s="240"/>
    </row>
    <row r="309" spans="3:21" x14ac:dyDescent="0.25">
      <c r="F309" s="196" t="s">
        <v>1050</v>
      </c>
      <c r="G309" s="196" t="s">
        <v>170</v>
      </c>
      <c r="H309" s="196" t="s">
        <v>580</v>
      </c>
      <c r="I309" s="66"/>
      <c r="J309" s="240"/>
      <c r="K309" s="235"/>
      <c r="L309" s="240"/>
      <c r="M309" s="240"/>
      <c r="N309" s="240"/>
      <c r="O309" s="240"/>
      <c r="P309" s="240"/>
      <c r="Q309" s="240"/>
      <c r="R309" s="240"/>
      <c r="S309" s="240"/>
    </row>
    <row r="310" spans="3:21" x14ac:dyDescent="0.25">
      <c r="F310" s="196" t="s">
        <v>1051</v>
      </c>
      <c r="G310" s="196" t="s">
        <v>170</v>
      </c>
      <c r="H310" s="196" t="s">
        <v>580</v>
      </c>
      <c r="I310" s="66"/>
      <c r="J310" s="240"/>
      <c r="K310" s="235"/>
      <c r="L310" s="240"/>
      <c r="M310" s="240"/>
      <c r="N310" s="240"/>
      <c r="O310" s="240"/>
      <c r="P310" s="240"/>
      <c r="Q310" s="240"/>
      <c r="R310" s="240"/>
      <c r="S310" s="240"/>
    </row>
    <row r="311" spans="3:21" x14ac:dyDescent="0.25">
      <c r="F311" s="196" t="s">
        <v>1052</v>
      </c>
      <c r="G311" s="196" t="s">
        <v>170</v>
      </c>
      <c r="H311" s="196" t="s">
        <v>580</v>
      </c>
      <c r="I311" s="66"/>
      <c r="J311" s="240"/>
      <c r="K311" s="235"/>
      <c r="L311" s="240"/>
      <c r="M311" s="240"/>
      <c r="N311" s="240"/>
      <c r="O311" s="240"/>
      <c r="P311" s="240"/>
      <c r="Q311" s="240"/>
      <c r="R311" s="240"/>
      <c r="S311" s="240"/>
    </row>
    <row r="312" spans="3:21" x14ac:dyDescent="0.25">
      <c r="F312" s="93" t="s">
        <v>1053</v>
      </c>
      <c r="G312" s="93" t="s">
        <v>170</v>
      </c>
      <c r="H312" s="93" t="s">
        <v>580</v>
      </c>
      <c r="I312" s="145"/>
      <c r="J312" s="241"/>
      <c r="K312" s="237"/>
      <c r="L312" s="241"/>
      <c r="M312" s="241"/>
      <c r="N312" s="241"/>
      <c r="O312" s="241"/>
      <c r="P312" s="241"/>
      <c r="Q312" s="241"/>
      <c r="R312" s="241"/>
      <c r="S312" s="241"/>
    </row>
    <row r="313" spans="3:21" x14ac:dyDescent="0.25">
      <c r="J313" s="238"/>
      <c r="K313" s="238"/>
      <c r="L313" s="238"/>
      <c r="M313" s="238"/>
      <c r="N313" s="238"/>
      <c r="O313" s="238"/>
      <c r="P313" s="238"/>
      <c r="Q313" s="238"/>
      <c r="R313" s="238"/>
      <c r="S313" s="238"/>
    </row>
    <row r="314" spans="3:21" x14ac:dyDescent="0.25">
      <c r="C314" s="7" t="str">
        <f ca="1">INDEX('Version control'!$H$34:$H$60,MATCH($A$1,'Version control'!$F$34:$F$60,0),1)&amp;"-E: LDNO HV volumes"</f>
        <v>Input 501-E: LDNO HV volumes</v>
      </c>
      <c r="D314" s="7"/>
      <c r="E314" s="7"/>
      <c r="F314" s="7"/>
      <c r="G314" s="7"/>
      <c r="H314" s="7"/>
      <c r="I314" s="171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7"/>
      <c r="U314" s="7"/>
    </row>
    <row r="315" spans="3:21" x14ac:dyDescent="0.25">
      <c r="D315" s="96"/>
      <c r="L315" s="295"/>
      <c r="M315" s="295"/>
      <c r="N315" s="295"/>
      <c r="P315" s="295"/>
      <c r="Q315" s="295"/>
      <c r="R315" s="295"/>
      <c r="S315" s="295"/>
    </row>
    <row r="316" spans="3:21" x14ac:dyDescent="0.25">
      <c r="E316" s="144" t="s">
        <v>256</v>
      </c>
      <c r="I316" s="111" t="s">
        <v>431</v>
      </c>
      <c r="J316" s="238"/>
      <c r="K316" s="238"/>
      <c r="L316" s="238"/>
      <c r="M316" s="238"/>
      <c r="N316" s="238"/>
      <c r="O316" s="238"/>
      <c r="P316" s="238"/>
      <c r="Q316" s="238"/>
      <c r="R316" s="238"/>
      <c r="S316" s="238"/>
      <c r="U316" s="85" t="s">
        <v>799</v>
      </c>
    </row>
    <row r="317" spans="3:21" x14ac:dyDescent="0.25">
      <c r="F317" s="91" t="s">
        <v>1038</v>
      </c>
      <c r="G317" s="91" t="s">
        <v>120</v>
      </c>
      <c r="H317" s="91" t="s">
        <v>581</v>
      </c>
      <c r="I317" s="112"/>
      <c r="J317" s="232">
        <f t="shared" ref="J317:J331" si="26">CHOOSE(year_selection, L317,M317,N317,O317,P317,Q317,R317,S317)</f>
        <v>9005.7413990104942</v>
      </c>
      <c r="K317" s="233"/>
      <c r="L317" s="329"/>
      <c r="M317" s="329"/>
      <c r="N317" s="329"/>
      <c r="O317" s="329">
        <v>9005.7413990104942</v>
      </c>
      <c r="P317" s="329">
        <v>9005.7413990104942</v>
      </c>
      <c r="Q317" s="329">
        <v>9005.7413990104942</v>
      </c>
      <c r="R317" s="329">
        <v>9005.7413990104942</v>
      </c>
      <c r="S317" s="329">
        <v>9005.7413990104942</v>
      </c>
    </row>
    <row r="318" spans="3:21" x14ac:dyDescent="0.25">
      <c r="F318" s="196" t="s">
        <v>1039</v>
      </c>
      <c r="G318" s="196" t="s">
        <v>120</v>
      </c>
      <c r="H318" s="196" t="s">
        <v>581</v>
      </c>
      <c r="I318" s="66"/>
      <c r="J318" s="234">
        <f t="shared" si="26"/>
        <v>0</v>
      </c>
      <c r="K318" s="235"/>
      <c r="L318" s="330"/>
      <c r="M318" s="330"/>
      <c r="N318" s="330"/>
      <c r="O318" s="330">
        <v>0</v>
      </c>
      <c r="P318" s="330">
        <v>0</v>
      </c>
      <c r="Q318" s="330">
        <v>0</v>
      </c>
      <c r="R318" s="330">
        <v>0</v>
      </c>
      <c r="S318" s="330">
        <v>0</v>
      </c>
    </row>
    <row r="319" spans="3:21" x14ac:dyDescent="0.25">
      <c r="F319" s="196" t="s">
        <v>1040</v>
      </c>
      <c r="G319" s="196" t="s">
        <v>120</v>
      </c>
      <c r="H319" s="196" t="s">
        <v>581</v>
      </c>
      <c r="I319" s="66"/>
      <c r="J319" s="234">
        <f t="shared" si="26"/>
        <v>854.01034020084694</v>
      </c>
      <c r="K319" s="235"/>
      <c r="L319" s="330"/>
      <c r="M319" s="330"/>
      <c r="N319" s="330"/>
      <c r="O319" s="330">
        <v>854.01034020084694</v>
      </c>
      <c r="P319" s="330">
        <v>854.01034020084694</v>
      </c>
      <c r="Q319" s="330">
        <v>854.01034020084694</v>
      </c>
      <c r="R319" s="330">
        <v>854.01034020084694</v>
      </c>
      <c r="S319" s="330">
        <v>854.01034020084694</v>
      </c>
    </row>
    <row r="320" spans="3:21" x14ac:dyDescent="0.25">
      <c r="F320" s="196" t="s">
        <v>1041</v>
      </c>
      <c r="G320" s="196" t="s">
        <v>120</v>
      </c>
      <c r="H320" s="196" t="s">
        <v>581</v>
      </c>
      <c r="I320" s="66"/>
      <c r="J320" s="234">
        <f t="shared" si="26"/>
        <v>0</v>
      </c>
      <c r="K320" s="235"/>
      <c r="L320" s="330"/>
      <c r="M320" s="330"/>
      <c r="N320" s="330"/>
      <c r="O320" s="330">
        <v>0</v>
      </c>
      <c r="P320" s="330">
        <v>0</v>
      </c>
      <c r="Q320" s="330">
        <v>0</v>
      </c>
      <c r="R320" s="330">
        <v>0</v>
      </c>
      <c r="S320" s="330">
        <v>0</v>
      </c>
    </row>
    <row r="321" spans="5:19" x14ac:dyDescent="0.25">
      <c r="F321" s="196" t="s">
        <v>1042</v>
      </c>
      <c r="G321" s="196" t="s">
        <v>120</v>
      </c>
      <c r="H321" s="196" t="s">
        <v>581</v>
      </c>
      <c r="I321" s="66"/>
      <c r="J321" s="234">
        <f t="shared" si="26"/>
        <v>7542.4207166712504</v>
      </c>
      <c r="K321" s="235"/>
      <c r="L321" s="330"/>
      <c r="M321" s="330"/>
      <c r="N321" s="330"/>
      <c r="O321" s="330">
        <v>7542.4207166712504</v>
      </c>
      <c r="P321" s="330">
        <v>7542.4207166712504</v>
      </c>
      <c r="Q321" s="330">
        <v>7542.4207166712504</v>
      </c>
      <c r="R321" s="330">
        <v>7542.4207166712504</v>
      </c>
      <c r="S321" s="330">
        <v>7542.4207166712504</v>
      </c>
    </row>
    <row r="322" spans="5:19" x14ac:dyDescent="0.25">
      <c r="F322" s="196" t="s">
        <v>1043</v>
      </c>
      <c r="G322" s="196" t="s">
        <v>120</v>
      </c>
      <c r="H322" s="196" t="s">
        <v>581</v>
      </c>
      <c r="I322" s="66"/>
      <c r="J322" s="234">
        <f t="shared" si="26"/>
        <v>1135.5501489325</v>
      </c>
      <c r="K322" s="235"/>
      <c r="L322" s="330"/>
      <c r="M322" s="330"/>
      <c r="N322" s="330"/>
      <c r="O322" s="330">
        <v>1135.5501489325</v>
      </c>
      <c r="P322" s="330">
        <v>1135.5501489325</v>
      </c>
      <c r="Q322" s="330">
        <v>1135.5501489325</v>
      </c>
      <c r="R322" s="330">
        <v>1135.5501489325</v>
      </c>
      <c r="S322" s="330">
        <v>1135.5501489325</v>
      </c>
    </row>
    <row r="323" spans="5:19" x14ac:dyDescent="0.25">
      <c r="F323" s="196" t="s">
        <v>1044</v>
      </c>
      <c r="G323" s="196" t="s">
        <v>120</v>
      </c>
      <c r="H323" s="196" t="s">
        <v>581</v>
      </c>
      <c r="I323" s="66"/>
      <c r="J323" s="234">
        <f t="shared" si="26"/>
        <v>2073.1723091137501</v>
      </c>
      <c r="K323" s="235"/>
      <c r="L323" s="330"/>
      <c r="M323" s="330"/>
      <c r="N323" s="330"/>
      <c r="O323" s="330">
        <v>2073.1723091137501</v>
      </c>
      <c r="P323" s="330">
        <v>2073.1723091137501</v>
      </c>
      <c r="Q323" s="330">
        <v>2073.1723091137501</v>
      </c>
      <c r="R323" s="330">
        <v>2073.1723091137501</v>
      </c>
      <c r="S323" s="330">
        <v>2073.1723091137501</v>
      </c>
    </row>
    <row r="324" spans="5:19" x14ac:dyDescent="0.25">
      <c r="F324" s="196" t="s">
        <v>1045</v>
      </c>
      <c r="G324" s="196" t="s">
        <v>120</v>
      </c>
      <c r="H324" s="196" t="s">
        <v>581</v>
      </c>
      <c r="I324" s="66"/>
      <c r="J324" s="234">
        <f t="shared" si="26"/>
        <v>8.0564727585887912</v>
      </c>
      <c r="K324" s="235"/>
      <c r="L324" s="330"/>
      <c r="M324" s="330"/>
      <c r="N324" s="330"/>
      <c r="O324" s="330">
        <v>8.0564727585887912</v>
      </c>
      <c r="P324" s="330">
        <v>8.0564727585887912</v>
      </c>
      <c r="Q324" s="330">
        <v>8.0564727585887912</v>
      </c>
      <c r="R324" s="330">
        <v>8.0564727585887912</v>
      </c>
      <c r="S324" s="330">
        <v>8.0564727585887912</v>
      </c>
    </row>
    <row r="325" spans="5:19" x14ac:dyDescent="0.25">
      <c r="F325" s="196" t="s">
        <v>1046</v>
      </c>
      <c r="G325" s="196" t="s">
        <v>120</v>
      </c>
      <c r="H325" s="196" t="s">
        <v>581</v>
      </c>
      <c r="I325" s="66"/>
      <c r="J325" s="234">
        <f t="shared" si="26"/>
        <v>0</v>
      </c>
      <c r="K325" s="235"/>
      <c r="L325" s="330"/>
      <c r="M325" s="330"/>
      <c r="N325" s="330"/>
      <c r="O325" s="330">
        <v>0</v>
      </c>
      <c r="P325" s="330">
        <v>0</v>
      </c>
      <c r="Q325" s="330">
        <v>0</v>
      </c>
      <c r="R325" s="330">
        <v>0</v>
      </c>
      <c r="S325" s="330">
        <v>0</v>
      </c>
    </row>
    <row r="326" spans="5:19" x14ac:dyDescent="0.25">
      <c r="F326" s="196" t="s">
        <v>1047</v>
      </c>
      <c r="G326" s="196" t="s">
        <v>120</v>
      </c>
      <c r="H326" s="196" t="s">
        <v>581</v>
      </c>
      <c r="I326" s="66"/>
      <c r="J326" s="234">
        <f t="shared" si="26"/>
        <v>0</v>
      </c>
      <c r="K326" s="235"/>
      <c r="L326" s="330"/>
      <c r="M326" s="330"/>
      <c r="N326" s="330"/>
      <c r="O326" s="330">
        <v>0</v>
      </c>
      <c r="P326" s="330">
        <v>0</v>
      </c>
      <c r="Q326" s="330">
        <v>0</v>
      </c>
      <c r="R326" s="330">
        <v>0</v>
      </c>
      <c r="S326" s="330">
        <v>0</v>
      </c>
    </row>
    <row r="327" spans="5:19" x14ac:dyDescent="0.25">
      <c r="F327" s="196" t="s">
        <v>1048</v>
      </c>
      <c r="G327" s="196" t="s">
        <v>120</v>
      </c>
      <c r="H327" s="196" t="s">
        <v>581</v>
      </c>
      <c r="I327" s="66"/>
      <c r="J327" s="234">
        <f t="shared" si="26"/>
        <v>60.292999999999999</v>
      </c>
      <c r="K327" s="235"/>
      <c r="L327" s="330"/>
      <c r="M327" s="330"/>
      <c r="N327" s="330"/>
      <c r="O327" s="330">
        <v>60.292999999999999</v>
      </c>
      <c r="P327" s="330">
        <v>60.292999999999999</v>
      </c>
      <c r="Q327" s="330">
        <v>60.292999999999999</v>
      </c>
      <c r="R327" s="330">
        <v>60.292999999999999</v>
      </c>
      <c r="S327" s="330">
        <v>60.292999999999999</v>
      </c>
    </row>
    <row r="328" spans="5:19" x14ac:dyDescent="0.25">
      <c r="F328" s="196" t="s">
        <v>1049</v>
      </c>
      <c r="G328" s="196" t="s">
        <v>120</v>
      </c>
      <c r="H328" s="196" t="s">
        <v>581</v>
      </c>
      <c r="I328" s="66"/>
      <c r="J328" s="240"/>
      <c r="K328" s="235"/>
      <c r="L328" s="240"/>
      <c r="M328" s="240"/>
      <c r="N328" s="240"/>
      <c r="O328" s="240"/>
      <c r="P328" s="240"/>
      <c r="Q328" s="240"/>
      <c r="R328" s="240"/>
      <c r="S328" s="240"/>
    </row>
    <row r="329" spans="5:19" x14ac:dyDescent="0.25">
      <c r="F329" s="196" t="s">
        <v>1050</v>
      </c>
      <c r="G329" s="196" t="s">
        <v>120</v>
      </c>
      <c r="H329" s="196" t="s">
        <v>581</v>
      </c>
      <c r="I329" s="66"/>
      <c r="J329" s="234">
        <f t="shared" si="26"/>
        <v>0</v>
      </c>
      <c r="K329" s="235"/>
      <c r="L329" s="330"/>
      <c r="M329" s="330"/>
      <c r="N329" s="330"/>
      <c r="O329" s="330">
        <v>0</v>
      </c>
      <c r="P329" s="330">
        <v>0</v>
      </c>
      <c r="Q329" s="330">
        <v>0</v>
      </c>
      <c r="R329" s="330">
        <v>0</v>
      </c>
      <c r="S329" s="330">
        <v>0</v>
      </c>
    </row>
    <row r="330" spans="5:19" x14ac:dyDescent="0.25">
      <c r="F330" s="196" t="s">
        <v>1051</v>
      </c>
      <c r="G330" s="196" t="s">
        <v>120</v>
      </c>
      <c r="H330" s="196" t="s">
        <v>581</v>
      </c>
      <c r="I330" s="66"/>
      <c r="J330" s="240"/>
      <c r="K330" s="235"/>
      <c r="L330" s="240"/>
      <c r="M330" s="240"/>
      <c r="N330" s="240"/>
      <c r="O330" s="240"/>
      <c r="P330" s="240"/>
      <c r="Q330" s="240"/>
      <c r="R330" s="240"/>
      <c r="S330" s="240"/>
    </row>
    <row r="331" spans="5:19" x14ac:dyDescent="0.25">
      <c r="F331" s="196" t="s">
        <v>1052</v>
      </c>
      <c r="G331" s="196" t="s">
        <v>120</v>
      </c>
      <c r="H331" s="196" t="s">
        <v>581</v>
      </c>
      <c r="I331" s="66"/>
      <c r="J331" s="234">
        <f t="shared" si="26"/>
        <v>0</v>
      </c>
      <c r="K331" s="235"/>
      <c r="L331" s="330"/>
      <c r="M331" s="330"/>
      <c r="N331" s="330"/>
      <c r="O331" s="330">
        <v>0</v>
      </c>
      <c r="P331" s="330">
        <v>0</v>
      </c>
      <c r="Q331" s="330">
        <v>0</v>
      </c>
      <c r="R331" s="330">
        <v>0</v>
      </c>
      <c r="S331" s="330">
        <v>0</v>
      </c>
    </row>
    <row r="332" spans="5:19" x14ac:dyDescent="0.25">
      <c r="F332" s="93" t="s">
        <v>1053</v>
      </c>
      <c r="G332" s="93" t="s">
        <v>120</v>
      </c>
      <c r="H332" s="93" t="s">
        <v>581</v>
      </c>
      <c r="I332" s="145"/>
      <c r="J332" s="241"/>
      <c r="K332" s="237"/>
      <c r="L332" s="241"/>
      <c r="M332" s="241"/>
      <c r="N332" s="241"/>
      <c r="O332" s="241"/>
      <c r="P332" s="241"/>
      <c r="Q332" s="241"/>
      <c r="R332" s="241"/>
      <c r="S332" s="241"/>
    </row>
    <row r="333" spans="5:19" x14ac:dyDescent="0.25">
      <c r="J333" s="238"/>
      <c r="K333" s="238"/>
      <c r="L333" s="238"/>
      <c r="M333" s="238"/>
      <c r="N333" s="238"/>
      <c r="O333" s="238"/>
      <c r="P333" s="238"/>
      <c r="Q333" s="238"/>
      <c r="R333" s="238"/>
      <c r="S333" s="238"/>
    </row>
    <row r="334" spans="5:19" x14ac:dyDescent="0.25">
      <c r="E334" s="144" t="s">
        <v>257</v>
      </c>
      <c r="J334" s="238"/>
      <c r="K334" s="238"/>
      <c r="L334" s="238"/>
      <c r="M334" s="238"/>
      <c r="N334" s="238"/>
      <c r="O334" s="238"/>
      <c r="P334" s="238"/>
      <c r="Q334" s="238"/>
      <c r="R334" s="238"/>
      <c r="S334" s="238"/>
    </row>
    <row r="335" spans="5:19" x14ac:dyDescent="0.25">
      <c r="F335" s="91" t="s">
        <v>1038</v>
      </c>
      <c r="G335" s="91" t="s">
        <v>120</v>
      </c>
      <c r="H335" s="91" t="s">
        <v>581</v>
      </c>
      <c r="I335" s="112"/>
      <c r="J335" s="232">
        <f t="shared" ref="J335:J345" si="27">CHOOSE(year_selection, L335,M335,N335,O335,P335,Q335,R335,S335)</f>
        <v>31875.610402966777</v>
      </c>
      <c r="K335" s="233"/>
      <c r="L335" s="329"/>
      <c r="M335" s="329"/>
      <c r="N335" s="329"/>
      <c r="O335" s="329">
        <v>31875.610402966777</v>
      </c>
      <c r="P335" s="329">
        <v>31875.610402966777</v>
      </c>
      <c r="Q335" s="329">
        <v>31875.610402966777</v>
      </c>
      <c r="R335" s="329">
        <v>31875.610402966777</v>
      </c>
      <c r="S335" s="329">
        <v>31875.610402966777</v>
      </c>
    </row>
    <row r="336" spans="5:19" x14ac:dyDescent="0.25">
      <c r="F336" s="196" t="s">
        <v>1039</v>
      </c>
      <c r="G336" s="196" t="s">
        <v>120</v>
      </c>
      <c r="H336" s="196" t="s">
        <v>581</v>
      </c>
      <c r="I336" s="66"/>
      <c r="J336" s="234">
        <f t="shared" si="27"/>
        <v>0</v>
      </c>
      <c r="K336" s="235"/>
      <c r="L336" s="330"/>
      <c r="M336" s="330"/>
      <c r="N336" s="330"/>
      <c r="O336" s="330">
        <v>0</v>
      </c>
      <c r="P336" s="330">
        <v>0</v>
      </c>
      <c r="Q336" s="330">
        <v>0</v>
      </c>
      <c r="R336" s="330">
        <v>0</v>
      </c>
      <c r="S336" s="330">
        <v>0</v>
      </c>
    </row>
    <row r="337" spans="5:19" x14ac:dyDescent="0.25">
      <c r="F337" s="196" t="s">
        <v>1040</v>
      </c>
      <c r="G337" s="196" t="s">
        <v>120</v>
      </c>
      <c r="H337" s="196" t="s">
        <v>581</v>
      </c>
      <c r="I337" s="66"/>
      <c r="J337" s="234">
        <f t="shared" si="27"/>
        <v>4488.2954865451193</v>
      </c>
      <c r="K337" s="235"/>
      <c r="L337" s="330"/>
      <c r="M337" s="330"/>
      <c r="N337" s="330"/>
      <c r="O337" s="330">
        <v>4488.2954865451193</v>
      </c>
      <c r="P337" s="330">
        <v>4488.2954865451193</v>
      </c>
      <c r="Q337" s="330">
        <v>4488.2954865451193</v>
      </c>
      <c r="R337" s="330">
        <v>4488.2954865451193</v>
      </c>
      <c r="S337" s="330">
        <v>4488.2954865451193</v>
      </c>
    </row>
    <row r="338" spans="5:19" x14ac:dyDescent="0.25">
      <c r="F338" s="196" t="s">
        <v>1041</v>
      </c>
      <c r="G338" s="196" t="s">
        <v>120</v>
      </c>
      <c r="H338" s="196" t="s">
        <v>581</v>
      </c>
      <c r="I338" s="66"/>
      <c r="J338" s="234">
        <f t="shared" si="27"/>
        <v>0</v>
      </c>
      <c r="K338" s="235"/>
      <c r="L338" s="330"/>
      <c r="M338" s="330"/>
      <c r="N338" s="330"/>
      <c r="O338" s="330">
        <v>0</v>
      </c>
      <c r="P338" s="330">
        <v>0</v>
      </c>
      <c r="Q338" s="330">
        <v>0</v>
      </c>
      <c r="R338" s="330">
        <v>0</v>
      </c>
      <c r="S338" s="330">
        <v>0</v>
      </c>
    </row>
    <row r="339" spans="5:19" x14ac:dyDescent="0.25">
      <c r="F339" s="196" t="s">
        <v>1042</v>
      </c>
      <c r="G339" s="196" t="s">
        <v>120</v>
      </c>
      <c r="H339" s="196" t="s">
        <v>581</v>
      </c>
      <c r="I339" s="66"/>
      <c r="J339" s="234">
        <f t="shared" si="27"/>
        <v>32517.586661996247</v>
      </c>
      <c r="K339" s="235"/>
      <c r="L339" s="330"/>
      <c r="M339" s="330"/>
      <c r="N339" s="330"/>
      <c r="O339" s="330">
        <v>32517.586661996247</v>
      </c>
      <c r="P339" s="330">
        <v>32517.586661996247</v>
      </c>
      <c r="Q339" s="330">
        <v>32517.586661996247</v>
      </c>
      <c r="R339" s="330">
        <v>32517.586661996247</v>
      </c>
      <c r="S339" s="330">
        <v>32517.586661996247</v>
      </c>
    </row>
    <row r="340" spans="5:19" x14ac:dyDescent="0.25">
      <c r="F340" s="196" t="s">
        <v>1043</v>
      </c>
      <c r="G340" s="196" t="s">
        <v>120</v>
      </c>
      <c r="H340" s="196" t="s">
        <v>581</v>
      </c>
      <c r="I340" s="66"/>
      <c r="J340" s="234">
        <f t="shared" si="27"/>
        <v>5159.4436601887501</v>
      </c>
      <c r="K340" s="235"/>
      <c r="L340" s="330"/>
      <c r="M340" s="330"/>
      <c r="N340" s="330"/>
      <c r="O340" s="330">
        <v>5159.4436601887501</v>
      </c>
      <c r="P340" s="330">
        <v>5159.4436601887501</v>
      </c>
      <c r="Q340" s="330">
        <v>5159.4436601887501</v>
      </c>
      <c r="R340" s="330">
        <v>5159.4436601887501</v>
      </c>
      <c r="S340" s="330">
        <v>5159.4436601887501</v>
      </c>
    </row>
    <row r="341" spans="5:19" x14ac:dyDescent="0.25">
      <c r="F341" s="196" t="s">
        <v>1044</v>
      </c>
      <c r="G341" s="196" t="s">
        <v>120</v>
      </c>
      <c r="H341" s="196" t="s">
        <v>581</v>
      </c>
      <c r="I341" s="66"/>
      <c r="J341" s="234">
        <f t="shared" si="27"/>
        <v>9664.500104686249</v>
      </c>
      <c r="K341" s="235"/>
      <c r="L341" s="330"/>
      <c r="M341" s="330"/>
      <c r="N341" s="330"/>
      <c r="O341" s="330">
        <v>9664.500104686249</v>
      </c>
      <c r="P341" s="330">
        <v>9664.500104686249</v>
      </c>
      <c r="Q341" s="330">
        <v>9664.500104686249</v>
      </c>
      <c r="R341" s="330">
        <v>9664.500104686249</v>
      </c>
      <c r="S341" s="330">
        <v>9664.500104686249</v>
      </c>
    </row>
    <row r="342" spans="5:19" x14ac:dyDescent="0.25">
      <c r="F342" s="196" t="s">
        <v>1045</v>
      </c>
      <c r="G342" s="196" t="s">
        <v>120</v>
      </c>
      <c r="H342" s="196" t="s">
        <v>581</v>
      </c>
      <c r="I342" s="66"/>
      <c r="J342" s="234">
        <f t="shared" si="27"/>
        <v>97.501767602595052</v>
      </c>
      <c r="K342" s="235"/>
      <c r="L342" s="330"/>
      <c r="M342" s="330"/>
      <c r="N342" s="330"/>
      <c r="O342" s="330">
        <v>97.501767602595052</v>
      </c>
      <c r="P342" s="330">
        <v>97.501767602595052</v>
      </c>
      <c r="Q342" s="330">
        <v>97.501767602595052</v>
      </c>
      <c r="R342" s="330">
        <v>97.501767602595052</v>
      </c>
      <c r="S342" s="330">
        <v>97.501767602595052</v>
      </c>
    </row>
    <row r="343" spans="5:19" x14ac:dyDescent="0.25">
      <c r="F343" s="196" t="s">
        <v>1046</v>
      </c>
      <c r="G343" s="196" t="s">
        <v>120</v>
      </c>
      <c r="H343" s="196" t="s">
        <v>581</v>
      </c>
      <c r="I343" s="66"/>
      <c r="J343" s="234">
        <f t="shared" si="27"/>
        <v>0</v>
      </c>
      <c r="K343" s="235"/>
      <c r="L343" s="330"/>
      <c r="M343" s="330"/>
      <c r="N343" s="330"/>
      <c r="O343" s="330">
        <v>0</v>
      </c>
      <c r="P343" s="330">
        <v>0</v>
      </c>
      <c r="Q343" s="330">
        <v>0</v>
      </c>
      <c r="R343" s="330">
        <v>0</v>
      </c>
      <c r="S343" s="330">
        <v>0</v>
      </c>
    </row>
    <row r="344" spans="5:19" x14ac:dyDescent="0.25">
      <c r="F344" s="196" t="s">
        <v>1047</v>
      </c>
      <c r="G344" s="196" t="s">
        <v>120</v>
      </c>
      <c r="H344" s="196" t="s">
        <v>581</v>
      </c>
      <c r="I344" s="66"/>
      <c r="J344" s="234">
        <f t="shared" si="27"/>
        <v>0</v>
      </c>
      <c r="K344" s="235"/>
      <c r="L344" s="330"/>
      <c r="M344" s="330"/>
      <c r="N344" s="330"/>
      <c r="O344" s="330">
        <v>0</v>
      </c>
      <c r="P344" s="330">
        <v>0</v>
      </c>
      <c r="Q344" s="330">
        <v>0</v>
      </c>
      <c r="R344" s="330">
        <v>0</v>
      </c>
      <c r="S344" s="330">
        <v>0</v>
      </c>
    </row>
    <row r="345" spans="5:19" x14ac:dyDescent="0.25">
      <c r="F345" s="196" t="s">
        <v>1048</v>
      </c>
      <c r="G345" s="196" t="s">
        <v>120</v>
      </c>
      <c r="H345" s="196" t="s">
        <v>581</v>
      </c>
      <c r="I345" s="66"/>
      <c r="J345" s="234">
        <f t="shared" si="27"/>
        <v>0</v>
      </c>
      <c r="K345" s="235"/>
      <c r="L345" s="330"/>
      <c r="M345" s="330"/>
      <c r="N345" s="330"/>
      <c r="O345" s="330">
        <v>0</v>
      </c>
      <c r="P345" s="330">
        <v>0</v>
      </c>
      <c r="Q345" s="330">
        <v>0</v>
      </c>
      <c r="R345" s="330">
        <v>0</v>
      </c>
      <c r="S345" s="330">
        <v>0</v>
      </c>
    </row>
    <row r="346" spans="5:19" x14ac:dyDescent="0.25">
      <c r="F346" s="196" t="s">
        <v>1049</v>
      </c>
      <c r="G346" s="196" t="s">
        <v>120</v>
      </c>
      <c r="H346" s="196" t="s">
        <v>581</v>
      </c>
      <c r="I346" s="66"/>
      <c r="J346" s="240"/>
      <c r="K346" s="235"/>
      <c r="L346" s="240"/>
      <c r="M346" s="240"/>
      <c r="N346" s="240"/>
      <c r="O346" s="240"/>
      <c r="P346" s="240"/>
      <c r="Q346" s="240"/>
      <c r="R346" s="240"/>
      <c r="S346" s="240"/>
    </row>
    <row r="347" spans="5:19" x14ac:dyDescent="0.25">
      <c r="F347" s="196" t="s">
        <v>1050</v>
      </c>
      <c r="G347" s="196" t="s">
        <v>120</v>
      </c>
      <c r="H347" s="196" t="s">
        <v>581</v>
      </c>
      <c r="I347" s="66"/>
      <c r="J347" s="234">
        <f t="shared" ref="J347" si="28">CHOOSE(year_selection, L347,M347,N347,O347,P347,Q347,R347,S347)</f>
        <v>0</v>
      </c>
      <c r="K347" s="235"/>
      <c r="L347" s="330"/>
      <c r="M347" s="330"/>
      <c r="N347" s="330"/>
      <c r="O347" s="330">
        <v>0</v>
      </c>
      <c r="P347" s="330">
        <v>0</v>
      </c>
      <c r="Q347" s="330">
        <v>0</v>
      </c>
      <c r="R347" s="330">
        <v>0</v>
      </c>
      <c r="S347" s="330">
        <v>0</v>
      </c>
    </row>
    <row r="348" spans="5:19" x14ac:dyDescent="0.25">
      <c r="F348" s="196" t="s">
        <v>1051</v>
      </c>
      <c r="G348" s="196" t="s">
        <v>120</v>
      </c>
      <c r="H348" s="196" t="s">
        <v>581</v>
      </c>
      <c r="I348" s="66"/>
      <c r="J348" s="240"/>
      <c r="K348" s="235"/>
      <c r="L348" s="240"/>
      <c r="M348" s="240"/>
      <c r="N348" s="240"/>
      <c r="O348" s="240"/>
      <c r="P348" s="240"/>
      <c r="Q348" s="240"/>
      <c r="R348" s="240"/>
      <c r="S348" s="240"/>
    </row>
    <row r="349" spans="5:19" x14ac:dyDescent="0.25">
      <c r="F349" s="196" t="s">
        <v>1052</v>
      </c>
      <c r="G349" s="196" t="s">
        <v>120</v>
      </c>
      <c r="H349" s="196" t="s">
        <v>581</v>
      </c>
      <c r="I349" s="66"/>
      <c r="J349" s="234">
        <f t="shared" ref="J349" si="29">CHOOSE(year_selection, L349,M349,N349,O349,P349,Q349,R349,S349)</f>
        <v>0</v>
      </c>
      <c r="K349" s="235"/>
      <c r="L349" s="330"/>
      <c r="M349" s="330"/>
      <c r="N349" s="330"/>
      <c r="O349" s="330">
        <v>0</v>
      </c>
      <c r="P349" s="330">
        <v>0</v>
      </c>
      <c r="Q349" s="330">
        <v>0</v>
      </c>
      <c r="R349" s="330">
        <v>0</v>
      </c>
      <c r="S349" s="330">
        <v>0</v>
      </c>
    </row>
    <row r="350" spans="5:19" x14ac:dyDescent="0.25">
      <c r="F350" s="93" t="s">
        <v>1053</v>
      </c>
      <c r="G350" s="93" t="s">
        <v>120</v>
      </c>
      <c r="H350" s="93" t="s">
        <v>581</v>
      </c>
      <c r="I350" s="145"/>
      <c r="J350" s="241"/>
      <c r="K350" s="237"/>
      <c r="L350" s="241"/>
      <c r="M350" s="241"/>
      <c r="N350" s="241"/>
      <c r="O350" s="241"/>
      <c r="P350" s="241"/>
      <c r="Q350" s="241"/>
      <c r="R350" s="241"/>
      <c r="S350" s="241"/>
    </row>
    <row r="351" spans="5:19" x14ac:dyDescent="0.25">
      <c r="J351" s="238"/>
      <c r="K351" s="238"/>
      <c r="L351" s="238"/>
      <c r="M351" s="238"/>
      <c r="N351" s="238"/>
      <c r="O351" s="238"/>
      <c r="P351" s="238"/>
      <c r="Q351" s="238"/>
      <c r="R351" s="238"/>
      <c r="S351" s="238"/>
    </row>
    <row r="352" spans="5:19" x14ac:dyDescent="0.25">
      <c r="E352" s="144" t="s">
        <v>258</v>
      </c>
      <c r="J352" s="238"/>
      <c r="K352" s="238"/>
      <c r="L352" s="238"/>
      <c r="M352" s="238"/>
      <c r="N352" s="238"/>
      <c r="O352" s="238"/>
      <c r="P352" s="238"/>
      <c r="Q352" s="238"/>
      <c r="R352" s="238"/>
      <c r="S352" s="238"/>
    </row>
    <row r="353" spans="6:19" x14ac:dyDescent="0.25">
      <c r="F353" s="91" t="s">
        <v>1038</v>
      </c>
      <c r="G353" s="91" t="s">
        <v>120</v>
      </c>
      <c r="H353" s="91" t="s">
        <v>581</v>
      </c>
      <c r="I353" s="112"/>
      <c r="J353" s="232">
        <f t="shared" ref="J353:J363" si="30">CHOOSE(year_selection, L353,M353,N353,O353,P353,Q353,R353,S353)</f>
        <v>30015.529807040235</v>
      </c>
      <c r="K353" s="233"/>
      <c r="L353" s="329"/>
      <c r="M353" s="329"/>
      <c r="N353" s="329"/>
      <c r="O353" s="329">
        <v>30015.529807040235</v>
      </c>
      <c r="P353" s="329">
        <v>30015.529807040235</v>
      </c>
      <c r="Q353" s="329">
        <v>30015.529807040235</v>
      </c>
      <c r="R353" s="329">
        <v>30015.529807040235</v>
      </c>
      <c r="S353" s="329">
        <v>30015.529807040235</v>
      </c>
    </row>
    <row r="354" spans="6:19" x14ac:dyDescent="0.25">
      <c r="F354" s="196" t="s">
        <v>1039</v>
      </c>
      <c r="G354" s="196" t="s">
        <v>120</v>
      </c>
      <c r="H354" s="196" t="s">
        <v>581</v>
      </c>
      <c r="I354" s="66"/>
      <c r="J354" s="234">
        <f t="shared" si="30"/>
        <v>0</v>
      </c>
      <c r="K354" s="235"/>
      <c r="L354" s="330"/>
      <c r="M354" s="330"/>
      <c r="N354" s="330"/>
      <c r="O354" s="330">
        <v>0</v>
      </c>
      <c r="P354" s="330">
        <v>0</v>
      </c>
      <c r="Q354" s="330">
        <v>0</v>
      </c>
      <c r="R354" s="330">
        <v>0</v>
      </c>
      <c r="S354" s="330">
        <v>0</v>
      </c>
    </row>
    <row r="355" spans="6:19" x14ac:dyDescent="0.25">
      <c r="F355" s="196" t="s">
        <v>1040</v>
      </c>
      <c r="G355" s="196" t="s">
        <v>120</v>
      </c>
      <c r="H355" s="196" t="s">
        <v>581</v>
      </c>
      <c r="I355" s="66"/>
      <c r="J355" s="234">
        <f t="shared" si="30"/>
        <v>4346.9698734777849</v>
      </c>
      <c r="K355" s="235"/>
      <c r="L355" s="330"/>
      <c r="M355" s="330"/>
      <c r="N355" s="330"/>
      <c r="O355" s="330">
        <v>4346.9698734777849</v>
      </c>
      <c r="P355" s="330">
        <v>4346.9698734777849</v>
      </c>
      <c r="Q355" s="330">
        <v>4346.9698734777849</v>
      </c>
      <c r="R355" s="330">
        <v>4346.9698734777849</v>
      </c>
      <c r="S355" s="330">
        <v>4346.9698734777849</v>
      </c>
    </row>
    <row r="356" spans="6:19" x14ac:dyDescent="0.25">
      <c r="F356" s="196" t="s">
        <v>1041</v>
      </c>
      <c r="G356" s="196" t="s">
        <v>120</v>
      </c>
      <c r="H356" s="196" t="s">
        <v>581</v>
      </c>
      <c r="I356" s="66"/>
      <c r="J356" s="234">
        <f t="shared" si="30"/>
        <v>0</v>
      </c>
      <c r="K356" s="235"/>
      <c r="L356" s="330"/>
      <c r="M356" s="330"/>
      <c r="N356" s="330"/>
      <c r="O356" s="330">
        <v>0</v>
      </c>
      <c r="P356" s="330">
        <v>0</v>
      </c>
      <c r="Q356" s="330">
        <v>0</v>
      </c>
      <c r="R356" s="330">
        <v>0</v>
      </c>
      <c r="S356" s="330">
        <v>0</v>
      </c>
    </row>
    <row r="357" spans="6:19" x14ac:dyDescent="0.25">
      <c r="F357" s="196" t="s">
        <v>1042</v>
      </c>
      <c r="G357" s="196" t="s">
        <v>120</v>
      </c>
      <c r="H357" s="196" t="s">
        <v>581</v>
      </c>
      <c r="I357" s="66"/>
      <c r="J357" s="234">
        <f t="shared" si="30"/>
        <v>28865.285111946254</v>
      </c>
      <c r="K357" s="235"/>
      <c r="L357" s="330"/>
      <c r="M357" s="330"/>
      <c r="N357" s="330"/>
      <c r="O357" s="330">
        <v>28865.285111946254</v>
      </c>
      <c r="P357" s="330">
        <v>28865.285111946254</v>
      </c>
      <c r="Q357" s="330">
        <v>28865.285111946254</v>
      </c>
      <c r="R357" s="330">
        <v>28865.285111946254</v>
      </c>
      <c r="S357" s="330">
        <v>28865.285111946254</v>
      </c>
    </row>
    <row r="358" spans="6:19" x14ac:dyDescent="0.25">
      <c r="F358" s="196" t="s">
        <v>1043</v>
      </c>
      <c r="G358" s="196" t="s">
        <v>120</v>
      </c>
      <c r="H358" s="196" t="s">
        <v>581</v>
      </c>
      <c r="I358" s="66"/>
      <c r="J358" s="234">
        <f t="shared" si="30"/>
        <v>4790.5713691774999</v>
      </c>
      <c r="K358" s="235"/>
      <c r="L358" s="330"/>
      <c r="M358" s="330"/>
      <c r="N358" s="330"/>
      <c r="O358" s="330">
        <v>4790.5713691774999</v>
      </c>
      <c r="P358" s="330">
        <v>4790.5713691774999</v>
      </c>
      <c r="Q358" s="330">
        <v>4790.5713691774999</v>
      </c>
      <c r="R358" s="330">
        <v>4790.5713691774999</v>
      </c>
      <c r="S358" s="330">
        <v>4790.5713691774999</v>
      </c>
    </row>
    <row r="359" spans="6:19" x14ac:dyDescent="0.25">
      <c r="F359" s="196" t="s">
        <v>1044</v>
      </c>
      <c r="G359" s="196" t="s">
        <v>120</v>
      </c>
      <c r="H359" s="196" t="s">
        <v>581</v>
      </c>
      <c r="I359" s="66"/>
      <c r="J359" s="234">
        <f t="shared" si="30"/>
        <v>9024.7703629625012</v>
      </c>
      <c r="K359" s="235"/>
      <c r="L359" s="330"/>
      <c r="M359" s="330"/>
      <c r="N359" s="330"/>
      <c r="O359" s="330">
        <v>9024.7703629625012</v>
      </c>
      <c r="P359" s="330">
        <v>9024.7703629625012</v>
      </c>
      <c r="Q359" s="330">
        <v>9024.7703629625012</v>
      </c>
      <c r="R359" s="330">
        <v>9024.7703629625012</v>
      </c>
      <c r="S359" s="330">
        <v>9024.7703629625012</v>
      </c>
    </row>
    <row r="360" spans="6:19" x14ac:dyDescent="0.25">
      <c r="F360" s="196" t="s">
        <v>1045</v>
      </c>
      <c r="G360" s="196" t="s">
        <v>120</v>
      </c>
      <c r="H360" s="196" t="s">
        <v>581</v>
      </c>
      <c r="I360" s="66"/>
      <c r="J360" s="234">
        <f t="shared" si="30"/>
        <v>110.98097121631618</v>
      </c>
      <c r="K360" s="235"/>
      <c r="L360" s="330"/>
      <c r="M360" s="330"/>
      <c r="N360" s="330"/>
      <c r="O360" s="330">
        <v>110.98097121631618</v>
      </c>
      <c r="P360" s="330">
        <v>110.98097121631618</v>
      </c>
      <c r="Q360" s="330">
        <v>110.98097121631618</v>
      </c>
      <c r="R360" s="330">
        <v>110.98097121631618</v>
      </c>
      <c r="S360" s="330">
        <v>110.98097121631618</v>
      </c>
    </row>
    <row r="361" spans="6:19" x14ac:dyDescent="0.25">
      <c r="F361" s="196" t="s">
        <v>1046</v>
      </c>
      <c r="G361" s="196" t="s">
        <v>120</v>
      </c>
      <c r="H361" s="196" t="s">
        <v>581</v>
      </c>
      <c r="I361" s="66"/>
      <c r="J361" s="234">
        <f t="shared" si="30"/>
        <v>0</v>
      </c>
      <c r="K361" s="235"/>
      <c r="L361" s="330"/>
      <c r="M361" s="330"/>
      <c r="N361" s="330"/>
      <c r="O361" s="330">
        <v>0</v>
      </c>
      <c r="P361" s="330">
        <v>0</v>
      </c>
      <c r="Q361" s="330">
        <v>0</v>
      </c>
      <c r="R361" s="330">
        <v>0</v>
      </c>
      <c r="S361" s="330">
        <v>0</v>
      </c>
    </row>
    <row r="362" spans="6:19" x14ac:dyDescent="0.25">
      <c r="F362" s="196" t="s">
        <v>1047</v>
      </c>
      <c r="G362" s="196" t="s">
        <v>120</v>
      </c>
      <c r="H362" s="196" t="s">
        <v>581</v>
      </c>
      <c r="I362" s="66"/>
      <c r="J362" s="234">
        <f t="shared" si="30"/>
        <v>0</v>
      </c>
      <c r="K362" s="235"/>
      <c r="L362" s="330"/>
      <c r="M362" s="330"/>
      <c r="N362" s="330"/>
      <c r="O362" s="330">
        <v>0</v>
      </c>
      <c r="P362" s="330">
        <v>0</v>
      </c>
      <c r="Q362" s="330">
        <v>0</v>
      </c>
      <c r="R362" s="330">
        <v>0</v>
      </c>
      <c r="S362" s="330">
        <v>0</v>
      </c>
    </row>
    <row r="363" spans="6:19" x14ac:dyDescent="0.25">
      <c r="F363" s="196" t="s">
        <v>1048</v>
      </c>
      <c r="G363" s="196" t="s">
        <v>120</v>
      </c>
      <c r="H363" s="196" t="s">
        <v>581</v>
      </c>
      <c r="I363" s="66"/>
      <c r="J363" s="234">
        <f t="shared" si="30"/>
        <v>0</v>
      </c>
      <c r="K363" s="235"/>
      <c r="L363" s="330"/>
      <c r="M363" s="330"/>
      <c r="N363" s="330"/>
      <c r="O363" s="330">
        <v>0</v>
      </c>
      <c r="P363" s="330">
        <v>0</v>
      </c>
      <c r="Q363" s="330">
        <v>0</v>
      </c>
      <c r="R363" s="330">
        <v>0</v>
      </c>
      <c r="S363" s="330">
        <v>0</v>
      </c>
    </row>
    <row r="364" spans="6:19" x14ac:dyDescent="0.25">
      <c r="F364" s="196" t="s">
        <v>1049</v>
      </c>
      <c r="G364" s="196" t="s">
        <v>120</v>
      </c>
      <c r="H364" s="196" t="s">
        <v>581</v>
      </c>
      <c r="I364" s="66"/>
      <c r="J364" s="240"/>
      <c r="K364" s="235"/>
      <c r="L364" s="240"/>
      <c r="M364" s="240"/>
      <c r="N364" s="240"/>
      <c r="O364" s="240"/>
      <c r="P364" s="240"/>
      <c r="Q364" s="240"/>
      <c r="R364" s="240"/>
      <c r="S364" s="240"/>
    </row>
    <row r="365" spans="6:19" x14ac:dyDescent="0.25">
      <c r="F365" s="196" t="s">
        <v>1050</v>
      </c>
      <c r="G365" s="196" t="s">
        <v>120</v>
      </c>
      <c r="H365" s="196" t="s">
        <v>581</v>
      </c>
      <c r="I365" s="66"/>
      <c r="J365" s="234">
        <f t="shared" ref="J365" si="31">CHOOSE(year_selection, L365,M365,N365,O365,P365,Q365,R365,S365)</f>
        <v>0</v>
      </c>
      <c r="K365" s="235"/>
      <c r="L365" s="330"/>
      <c r="M365" s="330"/>
      <c r="N365" s="330"/>
      <c r="O365" s="330">
        <v>0</v>
      </c>
      <c r="P365" s="330">
        <v>0</v>
      </c>
      <c r="Q365" s="330">
        <v>0</v>
      </c>
      <c r="R365" s="330">
        <v>0</v>
      </c>
      <c r="S365" s="330">
        <v>0</v>
      </c>
    </row>
    <row r="366" spans="6:19" x14ac:dyDescent="0.25">
      <c r="F366" s="196" t="s">
        <v>1051</v>
      </c>
      <c r="G366" s="196" t="s">
        <v>120</v>
      </c>
      <c r="H366" s="196" t="s">
        <v>581</v>
      </c>
      <c r="I366" s="66"/>
      <c r="J366" s="240"/>
      <c r="K366" s="235"/>
      <c r="L366" s="240"/>
      <c r="M366" s="240"/>
      <c r="N366" s="240"/>
      <c r="O366" s="240"/>
      <c r="P366" s="240"/>
      <c r="Q366" s="240"/>
      <c r="R366" s="240"/>
      <c r="S366" s="240"/>
    </row>
    <row r="367" spans="6:19" x14ac:dyDescent="0.25">
      <c r="F367" s="196" t="s">
        <v>1052</v>
      </c>
      <c r="G367" s="196" t="s">
        <v>120</v>
      </c>
      <c r="H367" s="196" t="s">
        <v>581</v>
      </c>
      <c r="I367" s="66"/>
      <c r="J367" s="234">
        <f t="shared" ref="J367" si="32">CHOOSE(year_selection, L367,M367,N367,O367,P367,Q367,R367,S367)</f>
        <v>0</v>
      </c>
      <c r="K367" s="235"/>
      <c r="L367" s="330"/>
      <c r="M367" s="330"/>
      <c r="N367" s="330"/>
      <c r="O367" s="330">
        <v>0</v>
      </c>
      <c r="P367" s="330">
        <v>0</v>
      </c>
      <c r="Q367" s="330">
        <v>0</v>
      </c>
      <c r="R367" s="330">
        <v>0</v>
      </c>
      <c r="S367" s="330">
        <v>0</v>
      </c>
    </row>
    <row r="368" spans="6:19" x14ac:dyDescent="0.25">
      <c r="F368" s="93" t="s">
        <v>1053</v>
      </c>
      <c r="G368" s="93" t="s">
        <v>120</v>
      </c>
      <c r="H368" s="93" t="s">
        <v>581</v>
      </c>
      <c r="I368" s="145"/>
      <c r="J368" s="241"/>
      <c r="K368" s="237"/>
      <c r="L368" s="241"/>
      <c r="M368" s="241"/>
      <c r="N368" s="241"/>
      <c r="O368" s="241"/>
      <c r="P368" s="241"/>
      <c r="Q368" s="241"/>
      <c r="R368" s="241"/>
      <c r="S368" s="241"/>
    </row>
    <row r="369" spans="5:19" x14ac:dyDescent="0.25">
      <c r="J369" s="238"/>
      <c r="K369" s="238"/>
      <c r="L369" s="238"/>
      <c r="M369" s="238"/>
      <c r="N369" s="238"/>
      <c r="O369" s="238"/>
      <c r="P369" s="238"/>
      <c r="Q369" s="238"/>
      <c r="R369" s="238"/>
      <c r="S369" s="238"/>
    </row>
    <row r="370" spans="5:19" x14ac:dyDescent="0.25">
      <c r="E370" s="144" t="s">
        <v>74</v>
      </c>
      <c r="J370" s="238"/>
      <c r="K370" s="238"/>
      <c r="L370" s="238"/>
      <c r="M370" s="238"/>
      <c r="N370" s="238"/>
      <c r="O370" s="238"/>
      <c r="P370" s="238"/>
      <c r="Q370" s="238"/>
      <c r="R370" s="238"/>
      <c r="S370" s="238"/>
    </row>
    <row r="371" spans="5:19" x14ac:dyDescent="0.25">
      <c r="F371" s="91" t="s">
        <v>1038</v>
      </c>
      <c r="G371" s="91" t="s">
        <v>74</v>
      </c>
      <c r="H371" s="91" t="s">
        <v>581</v>
      </c>
      <c r="I371" s="112"/>
      <c r="J371" s="232">
        <f t="shared" ref="J371:J381" si="33">CHOOSE(year_selection, L371,M371,N371,O371,P371,Q371,R371,S371)</f>
        <v>26068</v>
      </c>
      <c r="K371" s="233"/>
      <c r="L371" s="329"/>
      <c r="M371" s="329"/>
      <c r="N371" s="329"/>
      <c r="O371" s="329">
        <v>26068</v>
      </c>
      <c r="P371" s="329">
        <v>26068</v>
      </c>
      <c r="Q371" s="329">
        <v>26068</v>
      </c>
      <c r="R371" s="329">
        <v>26068</v>
      </c>
      <c r="S371" s="329">
        <v>26068</v>
      </c>
    </row>
    <row r="372" spans="5:19" x14ac:dyDescent="0.25">
      <c r="F372" s="196" t="s">
        <v>1039</v>
      </c>
      <c r="G372" s="196" t="s">
        <v>74</v>
      </c>
      <c r="H372" s="196" t="s">
        <v>581</v>
      </c>
      <c r="I372" s="66"/>
      <c r="J372" s="234">
        <f t="shared" si="33"/>
        <v>0</v>
      </c>
      <c r="K372" s="235"/>
      <c r="L372" s="330"/>
      <c r="M372" s="330"/>
      <c r="N372" s="330"/>
      <c r="O372" s="330">
        <v>0</v>
      </c>
      <c r="P372" s="330">
        <v>0</v>
      </c>
      <c r="Q372" s="330">
        <v>0</v>
      </c>
      <c r="R372" s="330">
        <v>0</v>
      </c>
      <c r="S372" s="330">
        <v>0</v>
      </c>
    </row>
    <row r="373" spans="5:19" x14ac:dyDescent="0.25">
      <c r="F373" s="196" t="s">
        <v>1040</v>
      </c>
      <c r="G373" s="196" t="s">
        <v>74</v>
      </c>
      <c r="H373" s="196" t="s">
        <v>581</v>
      </c>
      <c r="I373" s="66"/>
      <c r="J373" s="234">
        <f t="shared" si="33"/>
        <v>609</v>
      </c>
      <c r="K373" s="235"/>
      <c r="L373" s="330"/>
      <c r="M373" s="330"/>
      <c r="N373" s="330"/>
      <c r="O373" s="330">
        <v>609</v>
      </c>
      <c r="P373" s="330">
        <v>609</v>
      </c>
      <c r="Q373" s="330">
        <v>609</v>
      </c>
      <c r="R373" s="330">
        <v>609</v>
      </c>
      <c r="S373" s="330">
        <v>609</v>
      </c>
    </row>
    <row r="374" spans="5:19" x14ac:dyDescent="0.25">
      <c r="F374" s="196" t="s">
        <v>1041</v>
      </c>
      <c r="G374" s="196" t="s">
        <v>74</v>
      </c>
      <c r="H374" s="196" t="s">
        <v>581</v>
      </c>
      <c r="I374" s="66"/>
      <c r="J374" s="234">
        <f t="shared" si="33"/>
        <v>0</v>
      </c>
      <c r="K374" s="235"/>
      <c r="L374" s="330"/>
      <c r="M374" s="330"/>
      <c r="N374" s="330"/>
      <c r="O374" s="330">
        <v>0</v>
      </c>
      <c r="P374" s="330">
        <v>0</v>
      </c>
      <c r="Q374" s="330">
        <v>0</v>
      </c>
      <c r="R374" s="330">
        <v>0</v>
      </c>
      <c r="S374" s="330">
        <v>0</v>
      </c>
    </row>
    <row r="375" spans="5:19" x14ac:dyDescent="0.25">
      <c r="F375" s="196" t="s">
        <v>1042</v>
      </c>
      <c r="G375" s="196" t="s">
        <v>74</v>
      </c>
      <c r="H375" s="196" t="s">
        <v>581</v>
      </c>
      <c r="I375" s="66"/>
      <c r="J375" s="234">
        <f t="shared" si="33"/>
        <v>214</v>
      </c>
      <c r="K375" s="235"/>
      <c r="L375" s="330"/>
      <c r="M375" s="330"/>
      <c r="N375" s="330"/>
      <c r="O375" s="330">
        <v>214</v>
      </c>
      <c r="P375" s="330">
        <v>214</v>
      </c>
      <c r="Q375" s="330">
        <v>214</v>
      </c>
      <c r="R375" s="330">
        <v>214</v>
      </c>
      <c r="S375" s="330">
        <v>214</v>
      </c>
    </row>
    <row r="376" spans="5:19" x14ac:dyDescent="0.25">
      <c r="F376" s="196" t="s">
        <v>1043</v>
      </c>
      <c r="G376" s="196" t="s">
        <v>74</v>
      </c>
      <c r="H376" s="196" t="s">
        <v>581</v>
      </c>
      <c r="I376" s="66"/>
      <c r="J376" s="234">
        <f t="shared" si="33"/>
        <v>20</v>
      </c>
      <c r="K376" s="235"/>
      <c r="L376" s="330"/>
      <c r="M376" s="330"/>
      <c r="N376" s="330"/>
      <c r="O376" s="330">
        <v>20</v>
      </c>
      <c r="P376" s="330">
        <v>20</v>
      </c>
      <c r="Q376" s="330">
        <v>20</v>
      </c>
      <c r="R376" s="330">
        <v>20</v>
      </c>
      <c r="S376" s="330">
        <v>20</v>
      </c>
    </row>
    <row r="377" spans="5:19" x14ac:dyDescent="0.25">
      <c r="F377" s="196" t="s">
        <v>1044</v>
      </c>
      <c r="G377" s="196" t="s">
        <v>74</v>
      </c>
      <c r="H377" s="196" t="s">
        <v>581</v>
      </c>
      <c r="I377" s="66"/>
      <c r="J377" s="234">
        <f t="shared" si="33"/>
        <v>18</v>
      </c>
      <c r="K377" s="235"/>
      <c r="L377" s="330"/>
      <c r="M377" s="330"/>
      <c r="N377" s="330"/>
      <c r="O377" s="330">
        <v>18</v>
      </c>
      <c r="P377" s="330">
        <v>18</v>
      </c>
      <c r="Q377" s="330">
        <v>18</v>
      </c>
      <c r="R377" s="330">
        <v>18</v>
      </c>
      <c r="S377" s="330">
        <v>18</v>
      </c>
    </row>
    <row r="378" spans="5:19" x14ac:dyDescent="0.25">
      <c r="F378" s="196" t="s">
        <v>1045</v>
      </c>
      <c r="G378" s="196" t="s">
        <v>74</v>
      </c>
      <c r="H378" s="196" t="s">
        <v>581</v>
      </c>
      <c r="I378" s="66"/>
      <c r="J378" s="234">
        <f t="shared" si="33"/>
        <v>50</v>
      </c>
      <c r="K378" s="235"/>
      <c r="L378" s="330"/>
      <c r="M378" s="330"/>
      <c r="N378" s="330"/>
      <c r="O378" s="330">
        <v>50</v>
      </c>
      <c r="P378" s="330">
        <v>50</v>
      </c>
      <c r="Q378" s="330">
        <v>50</v>
      </c>
      <c r="R378" s="330">
        <v>50</v>
      </c>
      <c r="S378" s="330">
        <v>50</v>
      </c>
    </row>
    <row r="379" spans="5:19" x14ac:dyDescent="0.25">
      <c r="F379" s="196" t="s">
        <v>1046</v>
      </c>
      <c r="G379" s="196" t="s">
        <v>74</v>
      </c>
      <c r="H379" s="196" t="s">
        <v>581</v>
      </c>
      <c r="I379" s="66"/>
      <c r="J379" s="234">
        <f t="shared" si="33"/>
        <v>0</v>
      </c>
      <c r="K379" s="235"/>
      <c r="L379" s="330"/>
      <c r="M379" s="330"/>
      <c r="N379" s="330"/>
      <c r="O379" s="330">
        <v>0</v>
      </c>
      <c r="P379" s="330">
        <v>0</v>
      </c>
      <c r="Q379" s="330">
        <v>0</v>
      </c>
      <c r="R379" s="330">
        <v>0</v>
      </c>
      <c r="S379" s="330">
        <v>0</v>
      </c>
    </row>
    <row r="380" spans="5:19" x14ac:dyDescent="0.25">
      <c r="F380" s="196" t="s">
        <v>1047</v>
      </c>
      <c r="G380" s="196" t="s">
        <v>74</v>
      </c>
      <c r="H380" s="196" t="s">
        <v>581</v>
      </c>
      <c r="I380" s="66"/>
      <c r="J380" s="234">
        <f t="shared" si="33"/>
        <v>0</v>
      </c>
      <c r="K380" s="235"/>
      <c r="L380" s="330"/>
      <c r="M380" s="330"/>
      <c r="N380" s="330"/>
      <c r="O380" s="330">
        <v>0</v>
      </c>
      <c r="P380" s="330">
        <v>0</v>
      </c>
      <c r="Q380" s="330">
        <v>0</v>
      </c>
      <c r="R380" s="330">
        <v>0</v>
      </c>
      <c r="S380" s="330">
        <v>0</v>
      </c>
    </row>
    <row r="381" spans="5:19" x14ac:dyDescent="0.25">
      <c r="F381" s="196" t="s">
        <v>1048</v>
      </c>
      <c r="G381" s="196" t="s">
        <v>74</v>
      </c>
      <c r="H381" s="196" t="s">
        <v>581</v>
      </c>
      <c r="I381" s="66"/>
      <c r="J381" s="234">
        <f t="shared" si="33"/>
        <v>0</v>
      </c>
      <c r="K381" s="235"/>
      <c r="L381" s="330"/>
      <c r="M381" s="330"/>
      <c r="N381" s="330"/>
      <c r="O381" s="330">
        <v>0</v>
      </c>
      <c r="P381" s="330">
        <v>0</v>
      </c>
      <c r="Q381" s="330">
        <v>0</v>
      </c>
      <c r="R381" s="330">
        <v>0</v>
      </c>
      <c r="S381" s="330">
        <v>0</v>
      </c>
    </row>
    <row r="382" spans="5:19" x14ac:dyDescent="0.25">
      <c r="F382" s="196" t="s">
        <v>1049</v>
      </c>
      <c r="G382" s="196" t="s">
        <v>74</v>
      </c>
      <c r="H382" s="196" t="s">
        <v>581</v>
      </c>
      <c r="I382" s="66"/>
      <c r="J382" s="240"/>
      <c r="K382" s="235"/>
      <c r="L382" s="240"/>
      <c r="M382" s="240"/>
      <c r="N382" s="240"/>
      <c r="O382" s="240"/>
      <c r="P382" s="240"/>
      <c r="Q382" s="240"/>
      <c r="R382" s="240"/>
      <c r="S382" s="240"/>
    </row>
    <row r="383" spans="5:19" x14ac:dyDescent="0.25">
      <c r="F383" s="196" t="s">
        <v>1050</v>
      </c>
      <c r="G383" s="196" t="s">
        <v>74</v>
      </c>
      <c r="H383" s="196" t="s">
        <v>581</v>
      </c>
      <c r="I383" s="66"/>
      <c r="J383" s="234">
        <f t="shared" ref="J383" si="34">CHOOSE(year_selection, L383,M383,N383,O383,P383,Q383,R383,S383)</f>
        <v>0</v>
      </c>
      <c r="K383" s="235"/>
      <c r="L383" s="330"/>
      <c r="M383" s="330"/>
      <c r="N383" s="330"/>
      <c r="O383" s="330">
        <v>0</v>
      </c>
      <c r="P383" s="330">
        <v>0</v>
      </c>
      <c r="Q383" s="330">
        <v>0</v>
      </c>
      <c r="R383" s="330">
        <v>0</v>
      </c>
      <c r="S383" s="330">
        <v>0</v>
      </c>
    </row>
    <row r="384" spans="5:19" x14ac:dyDescent="0.25">
      <c r="F384" s="196" t="s">
        <v>1051</v>
      </c>
      <c r="G384" s="196" t="s">
        <v>74</v>
      </c>
      <c r="H384" s="196" t="s">
        <v>581</v>
      </c>
      <c r="I384" s="66"/>
      <c r="J384" s="240"/>
      <c r="K384" s="235"/>
      <c r="L384" s="240"/>
      <c r="M384" s="240"/>
      <c r="N384" s="240"/>
      <c r="O384" s="240"/>
      <c r="P384" s="240"/>
      <c r="Q384" s="240"/>
      <c r="R384" s="240"/>
      <c r="S384" s="240"/>
    </row>
    <row r="385" spans="5:19" x14ac:dyDescent="0.25">
      <c r="F385" s="196" t="s">
        <v>1052</v>
      </c>
      <c r="G385" s="196" t="s">
        <v>74</v>
      </c>
      <c r="H385" s="196" t="s">
        <v>581</v>
      </c>
      <c r="I385" s="66"/>
      <c r="J385" s="234">
        <f t="shared" ref="J385" si="35">CHOOSE(year_selection, L385,M385,N385,O385,P385,Q385,R385,S385)</f>
        <v>0</v>
      </c>
      <c r="K385" s="235"/>
      <c r="L385" s="330"/>
      <c r="M385" s="330"/>
      <c r="N385" s="330"/>
      <c r="O385" s="330">
        <v>0</v>
      </c>
      <c r="P385" s="330">
        <v>0</v>
      </c>
      <c r="Q385" s="330">
        <v>0</v>
      </c>
      <c r="R385" s="330">
        <v>0</v>
      </c>
      <c r="S385" s="330">
        <v>0</v>
      </c>
    </row>
    <row r="386" spans="5:19" x14ac:dyDescent="0.25">
      <c r="F386" s="93" t="s">
        <v>1053</v>
      </c>
      <c r="G386" s="93" t="s">
        <v>74</v>
      </c>
      <c r="H386" s="93" t="s">
        <v>581</v>
      </c>
      <c r="I386" s="145"/>
      <c r="J386" s="241"/>
      <c r="K386" s="237"/>
      <c r="L386" s="241"/>
      <c r="M386" s="241"/>
      <c r="N386" s="241"/>
      <c r="O386" s="241"/>
      <c r="P386" s="241"/>
      <c r="Q386" s="241"/>
      <c r="R386" s="241"/>
      <c r="S386" s="241"/>
    </row>
    <row r="387" spans="5:19" x14ac:dyDescent="0.25">
      <c r="J387" s="238"/>
      <c r="K387" s="238"/>
      <c r="L387" s="238"/>
      <c r="M387" s="238"/>
      <c r="N387" s="238"/>
      <c r="O387" s="238"/>
      <c r="P387" s="238"/>
      <c r="Q387" s="238"/>
      <c r="R387" s="238"/>
      <c r="S387" s="238"/>
    </row>
    <row r="388" spans="5:19" x14ac:dyDescent="0.25">
      <c r="E388" s="144" t="s">
        <v>259</v>
      </c>
      <c r="J388" s="238"/>
      <c r="K388" s="238"/>
      <c r="L388" s="238"/>
      <c r="M388" s="238"/>
      <c r="N388" s="238"/>
      <c r="O388" s="238"/>
      <c r="P388" s="238"/>
      <c r="Q388" s="238"/>
      <c r="R388" s="238"/>
      <c r="S388" s="238"/>
    </row>
    <row r="389" spans="5:19" x14ac:dyDescent="0.25">
      <c r="F389" s="91" t="s">
        <v>1038</v>
      </c>
      <c r="G389" s="91" t="s">
        <v>169</v>
      </c>
      <c r="H389" s="91" t="s">
        <v>581</v>
      </c>
      <c r="I389" s="112"/>
      <c r="J389" s="239"/>
      <c r="K389" s="233"/>
      <c r="L389" s="239"/>
      <c r="M389" s="239"/>
      <c r="N389" s="239"/>
      <c r="O389" s="239"/>
      <c r="P389" s="239"/>
      <c r="Q389" s="239"/>
      <c r="R389" s="239"/>
      <c r="S389" s="239"/>
    </row>
    <row r="390" spans="5:19" x14ac:dyDescent="0.25">
      <c r="F390" s="196" t="s">
        <v>1039</v>
      </c>
      <c r="G390" s="196" t="s">
        <v>169</v>
      </c>
      <c r="H390" s="196" t="s">
        <v>581</v>
      </c>
      <c r="I390" s="66"/>
      <c r="J390" s="240"/>
      <c r="K390" s="235"/>
      <c r="L390" s="240"/>
      <c r="M390" s="240"/>
      <c r="N390" s="240"/>
      <c r="O390" s="240"/>
      <c r="P390" s="240"/>
      <c r="Q390" s="240"/>
      <c r="R390" s="240"/>
      <c r="S390" s="240"/>
    </row>
    <row r="391" spans="5:19" x14ac:dyDescent="0.25">
      <c r="F391" s="196" t="s">
        <v>1040</v>
      </c>
      <c r="G391" s="196" t="s">
        <v>169</v>
      </c>
      <c r="H391" s="196" t="s">
        <v>581</v>
      </c>
      <c r="I391" s="66"/>
      <c r="J391" s="240"/>
      <c r="K391" s="235"/>
      <c r="L391" s="240"/>
      <c r="M391" s="240"/>
      <c r="N391" s="240"/>
      <c r="O391" s="240"/>
      <c r="P391" s="240"/>
      <c r="Q391" s="240"/>
      <c r="R391" s="240"/>
      <c r="S391" s="240"/>
    </row>
    <row r="392" spans="5:19" x14ac:dyDescent="0.25">
      <c r="F392" s="196" t="s">
        <v>1041</v>
      </c>
      <c r="G392" s="196" t="s">
        <v>169</v>
      </c>
      <c r="H392" s="196" t="s">
        <v>581</v>
      </c>
      <c r="I392" s="66"/>
      <c r="J392" s="240"/>
      <c r="K392" s="235"/>
      <c r="L392" s="240"/>
      <c r="M392" s="240"/>
      <c r="N392" s="240"/>
      <c r="O392" s="240"/>
      <c r="P392" s="240"/>
      <c r="Q392" s="240"/>
      <c r="R392" s="240"/>
      <c r="S392" s="240"/>
    </row>
    <row r="393" spans="5:19" x14ac:dyDescent="0.25">
      <c r="F393" s="196" t="s">
        <v>1042</v>
      </c>
      <c r="G393" s="196" t="s">
        <v>169</v>
      </c>
      <c r="H393" s="196" t="s">
        <v>581</v>
      </c>
      <c r="I393" s="66"/>
      <c r="J393" s="234">
        <f t="shared" ref="J393:J395" si="36">CHOOSE(year_selection, L393,M393,N393,O393,P393,Q393,R393,S393)</f>
        <v>51277.083333333336</v>
      </c>
      <c r="K393" s="235"/>
      <c r="L393" s="330"/>
      <c r="M393" s="330"/>
      <c r="N393" s="330"/>
      <c r="O393" s="330">
        <v>51277.083333333336</v>
      </c>
      <c r="P393" s="330">
        <v>51277.083333333336</v>
      </c>
      <c r="Q393" s="330">
        <v>51277.083333333336</v>
      </c>
      <c r="R393" s="330">
        <v>51277.083333333336</v>
      </c>
      <c r="S393" s="330">
        <v>51277.083333333336</v>
      </c>
    </row>
    <row r="394" spans="5:19" x14ac:dyDescent="0.25">
      <c r="F394" s="196" t="s">
        <v>1043</v>
      </c>
      <c r="G394" s="196" t="s">
        <v>169</v>
      </c>
      <c r="H394" s="196" t="s">
        <v>581</v>
      </c>
      <c r="I394" s="66"/>
      <c r="J394" s="234">
        <f t="shared" si="36"/>
        <v>10933.333333333334</v>
      </c>
      <c r="K394" s="235"/>
      <c r="L394" s="330"/>
      <c r="M394" s="330"/>
      <c r="N394" s="330"/>
      <c r="O394" s="330">
        <v>10933.333333333334</v>
      </c>
      <c r="P394" s="330">
        <v>10933.333333333334</v>
      </c>
      <c r="Q394" s="330">
        <v>10933.333333333334</v>
      </c>
      <c r="R394" s="330">
        <v>10933.333333333334</v>
      </c>
      <c r="S394" s="330">
        <v>10933.333333333334</v>
      </c>
    </row>
    <row r="395" spans="5:19" x14ac:dyDescent="0.25">
      <c r="F395" s="196" t="s">
        <v>1044</v>
      </c>
      <c r="G395" s="196" t="s">
        <v>169</v>
      </c>
      <c r="H395" s="196" t="s">
        <v>581</v>
      </c>
      <c r="I395" s="66"/>
      <c r="J395" s="234">
        <f t="shared" si="36"/>
        <v>12853</v>
      </c>
      <c r="K395" s="235"/>
      <c r="L395" s="330"/>
      <c r="M395" s="330"/>
      <c r="N395" s="330"/>
      <c r="O395" s="330">
        <v>12853</v>
      </c>
      <c r="P395" s="330">
        <v>12853</v>
      </c>
      <c r="Q395" s="330">
        <v>12853</v>
      </c>
      <c r="R395" s="330">
        <v>12853</v>
      </c>
      <c r="S395" s="330">
        <v>12853</v>
      </c>
    </row>
    <row r="396" spans="5:19" x14ac:dyDescent="0.25">
      <c r="F396" s="196" t="s">
        <v>1045</v>
      </c>
      <c r="G396" s="196" t="s">
        <v>169</v>
      </c>
      <c r="H396" s="196" t="s">
        <v>581</v>
      </c>
      <c r="I396" s="66"/>
      <c r="J396" s="240"/>
      <c r="K396" s="235"/>
      <c r="L396" s="240"/>
      <c r="M396" s="240"/>
      <c r="N396" s="240"/>
      <c r="O396" s="240"/>
      <c r="P396" s="240"/>
      <c r="Q396" s="240"/>
      <c r="R396" s="240"/>
      <c r="S396" s="240"/>
    </row>
    <row r="397" spans="5:19" x14ac:dyDescent="0.25">
      <c r="F397" s="196" t="s">
        <v>1046</v>
      </c>
      <c r="G397" s="196" t="s">
        <v>169</v>
      </c>
      <c r="H397" s="196" t="s">
        <v>581</v>
      </c>
      <c r="I397" s="66"/>
      <c r="J397" s="240"/>
      <c r="K397" s="235"/>
      <c r="L397" s="240"/>
      <c r="M397" s="240"/>
      <c r="N397" s="240"/>
      <c r="O397" s="240"/>
      <c r="P397" s="240"/>
      <c r="Q397" s="240"/>
      <c r="R397" s="240"/>
      <c r="S397" s="240"/>
    </row>
    <row r="398" spans="5:19" x14ac:dyDescent="0.25">
      <c r="F398" s="196" t="s">
        <v>1047</v>
      </c>
      <c r="G398" s="196" t="s">
        <v>169</v>
      </c>
      <c r="H398" s="196" t="s">
        <v>581</v>
      </c>
      <c r="I398" s="66"/>
      <c r="J398" s="240"/>
      <c r="K398" s="235"/>
      <c r="L398" s="240"/>
      <c r="M398" s="240"/>
      <c r="N398" s="240"/>
      <c r="O398" s="240"/>
      <c r="P398" s="240"/>
      <c r="Q398" s="240"/>
      <c r="R398" s="240"/>
      <c r="S398" s="240"/>
    </row>
    <row r="399" spans="5:19" x14ac:dyDescent="0.25">
      <c r="F399" s="196" t="s">
        <v>1048</v>
      </c>
      <c r="G399" s="196" t="s">
        <v>169</v>
      </c>
      <c r="H399" s="196" t="s">
        <v>581</v>
      </c>
      <c r="I399" s="66"/>
      <c r="J399" s="240"/>
      <c r="K399" s="235"/>
      <c r="L399" s="240"/>
      <c r="M399" s="240"/>
      <c r="N399" s="240"/>
      <c r="O399" s="240"/>
      <c r="P399" s="240"/>
      <c r="Q399" s="240"/>
      <c r="R399" s="240"/>
      <c r="S399" s="240"/>
    </row>
    <row r="400" spans="5:19" x14ac:dyDescent="0.25">
      <c r="F400" s="196" t="s">
        <v>1049</v>
      </c>
      <c r="G400" s="196" t="s">
        <v>169</v>
      </c>
      <c r="H400" s="196" t="s">
        <v>581</v>
      </c>
      <c r="I400" s="66"/>
      <c r="J400" s="240"/>
      <c r="K400" s="235"/>
      <c r="L400" s="240"/>
      <c r="M400" s="240"/>
      <c r="N400" s="240"/>
      <c r="O400" s="240"/>
      <c r="P400" s="240"/>
      <c r="Q400" s="240"/>
      <c r="R400" s="240"/>
      <c r="S400" s="240"/>
    </row>
    <row r="401" spans="5:19" x14ac:dyDescent="0.25">
      <c r="F401" s="196" t="s">
        <v>1050</v>
      </c>
      <c r="G401" s="196" t="s">
        <v>169</v>
      </c>
      <c r="H401" s="196" t="s">
        <v>581</v>
      </c>
      <c r="I401" s="66"/>
      <c r="J401" s="240"/>
      <c r="K401" s="235"/>
      <c r="L401" s="240"/>
      <c r="M401" s="240"/>
      <c r="N401" s="240"/>
      <c r="O401" s="240"/>
      <c r="P401" s="240"/>
      <c r="Q401" s="240"/>
      <c r="R401" s="240"/>
      <c r="S401" s="240"/>
    </row>
    <row r="402" spans="5:19" x14ac:dyDescent="0.25">
      <c r="F402" s="196" t="s">
        <v>1051</v>
      </c>
      <c r="G402" s="196" t="s">
        <v>169</v>
      </c>
      <c r="H402" s="196" t="s">
        <v>581</v>
      </c>
      <c r="I402" s="66"/>
      <c r="J402" s="240"/>
      <c r="K402" s="235"/>
      <c r="L402" s="240"/>
      <c r="M402" s="240"/>
      <c r="N402" s="240"/>
      <c r="O402" s="240"/>
      <c r="P402" s="240"/>
      <c r="Q402" s="240"/>
      <c r="R402" s="240"/>
      <c r="S402" s="240"/>
    </row>
    <row r="403" spans="5:19" x14ac:dyDescent="0.25">
      <c r="F403" s="196" t="s">
        <v>1052</v>
      </c>
      <c r="G403" s="196" t="s">
        <v>169</v>
      </c>
      <c r="H403" s="196" t="s">
        <v>581</v>
      </c>
      <c r="I403" s="66"/>
      <c r="J403" s="240"/>
      <c r="K403" s="235"/>
      <c r="L403" s="240"/>
      <c r="M403" s="240"/>
      <c r="N403" s="240"/>
      <c r="O403" s="240"/>
      <c r="P403" s="240"/>
      <c r="Q403" s="240"/>
      <c r="R403" s="240"/>
      <c r="S403" s="240"/>
    </row>
    <row r="404" spans="5:19" x14ac:dyDescent="0.25">
      <c r="F404" s="93" t="s">
        <v>1053</v>
      </c>
      <c r="G404" s="93" t="s">
        <v>169</v>
      </c>
      <c r="H404" s="93" t="s">
        <v>581</v>
      </c>
      <c r="I404" s="145"/>
      <c r="J404" s="241"/>
      <c r="K404" s="237"/>
      <c r="L404" s="241"/>
      <c r="M404" s="241"/>
      <c r="N404" s="241"/>
      <c r="O404" s="241"/>
      <c r="P404" s="241"/>
      <c r="Q404" s="241"/>
      <c r="R404" s="241"/>
      <c r="S404" s="241"/>
    </row>
    <row r="405" spans="5:19" x14ac:dyDescent="0.25">
      <c r="J405" s="238"/>
      <c r="K405" s="238"/>
      <c r="L405" s="238"/>
      <c r="M405" s="238"/>
      <c r="N405" s="238"/>
      <c r="O405" s="238"/>
      <c r="P405" s="238"/>
      <c r="Q405" s="238"/>
      <c r="R405" s="238"/>
      <c r="S405" s="238"/>
    </row>
    <row r="406" spans="5:19" x14ac:dyDescent="0.25">
      <c r="E406" s="144" t="s">
        <v>260</v>
      </c>
      <c r="J406" s="238"/>
      <c r="K406" s="238"/>
      <c r="L406" s="238"/>
      <c r="M406" s="238"/>
      <c r="N406" s="238"/>
      <c r="O406" s="238"/>
      <c r="P406" s="238"/>
      <c r="Q406" s="238"/>
      <c r="R406" s="238"/>
      <c r="S406" s="238"/>
    </row>
    <row r="407" spans="5:19" x14ac:dyDescent="0.25">
      <c r="F407" s="91" t="s">
        <v>1038</v>
      </c>
      <c r="G407" s="91" t="s">
        <v>169</v>
      </c>
      <c r="H407" s="91" t="s">
        <v>581</v>
      </c>
      <c r="I407" s="112"/>
      <c r="J407" s="239"/>
      <c r="K407" s="233"/>
      <c r="L407" s="239"/>
      <c r="M407" s="239"/>
      <c r="N407" s="239"/>
      <c r="O407" s="239"/>
      <c r="P407" s="239"/>
      <c r="Q407" s="239"/>
      <c r="R407" s="239"/>
      <c r="S407" s="239"/>
    </row>
    <row r="408" spans="5:19" x14ac:dyDescent="0.25">
      <c r="F408" s="196" t="s">
        <v>1039</v>
      </c>
      <c r="G408" s="196" t="s">
        <v>169</v>
      </c>
      <c r="H408" s="196" t="s">
        <v>581</v>
      </c>
      <c r="I408" s="66"/>
      <c r="J408" s="240"/>
      <c r="K408" s="235"/>
      <c r="L408" s="240"/>
      <c r="M408" s="240"/>
      <c r="N408" s="240"/>
      <c r="O408" s="240"/>
      <c r="P408" s="240"/>
      <c r="Q408" s="240"/>
      <c r="R408" s="240"/>
      <c r="S408" s="240"/>
    </row>
    <row r="409" spans="5:19" x14ac:dyDescent="0.25">
      <c r="F409" s="196" t="s">
        <v>1040</v>
      </c>
      <c r="G409" s="196" t="s">
        <v>169</v>
      </c>
      <c r="H409" s="196" t="s">
        <v>581</v>
      </c>
      <c r="I409" s="66"/>
      <c r="J409" s="240"/>
      <c r="K409" s="235"/>
      <c r="L409" s="240"/>
      <c r="M409" s="240"/>
      <c r="N409" s="240"/>
      <c r="O409" s="240"/>
      <c r="P409" s="240"/>
      <c r="Q409" s="240"/>
      <c r="R409" s="240"/>
      <c r="S409" s="240"/>
    </row>
    <row r="410" spans="5:19" x14ac:dyDescent="0.25">
      <c r="F410" s="196" t="s">
        <v>1041</v>
      </c>
      <c r="G410" s="196" t="s">
        <v>169</v>
      </c>
      <c r="H410" s="196" t="s">
        <v>581</v>
      </c>
      <c r="I410" s="66"/>
      <c r="J410" s="240"/>
      <c r="K410" s="235"/>
      <c r="L410" s="240"/>
      <c r="M410" s="240"/>
      <c r="N410" s="240"/>
      <c r="O410" s="240"/>
      <c r="P410" s="240"/>
      <c r="Q410" s="240"/>
      <c r="R410" s="240"/>
      <c r="S410" s="240"/>
    </row>
    <row r="411" spans="5:19" x14ac:dyDescent="0.25">
      <c r="F411" s="196" t="s">
        <v>1042</v>
      </c>
      <c r="G411" s="196" t="s">
        <v>169</v>
      </c>
      <c r="H411" s="196" t="s">
        <v>581</v>
      </c>
      <c r="I411" s="66"/>
      <c r="J411" s="234">
        <f t="shared" ref="J411:J413" si="37">CHOOSE(year_selection, L411,M411,N411,O411,P411,Q411,R411,S411)</f>
        <v>14</v>
      </c>
      <c r="K411" s="235"/>
      <c r="L411" s="330"/>
      <c r="M411" s="330"/>
      <c r="N411" s="330"/>
      <c r="O411" s="330">
        <v>14</v>
      </c>
      <c r="P411" s="330">
        <v>14</v>
      </c>
      <c r="Q411" s="330">
        <v>14</v>
      </c>
      <c r="R411" s="330">
        <v>14</v>
      </c>
      <c r="S411" s="330">
        <v>14</v>
      </c>
    </row>
    <row r="412" spans="5:19" x14ac:dyDescent="0.25">
      <c r="F412" s="196" t="s">
        <v>1043</v>
      </c>
      <c r="G412" s="196" t="s">
        <v>169</v>
      </c>
      <c r="H412" s="196" t="s">
        <v>581</v>
      </c>
      <c r="I412" s="66"/>
      <c r="J412" s="234">
        <f t="shared" si="37"/>
        <v>0</v>
      </c>
      <c r="K412" s="235"/>
      <c r="L412" s="330"/>
      <c r="M412" s="330"/>
      <c r="N412" s="330"/>
      <c r="O412" s="330">
        <v>0</v>
      </c>
      <c r="P412" s="330">
        <v>0</v>
      </c>
      <c r="Q412" s="330">
        <v>0</v>
      </c>
      <c r="R412" s="330">
        <v>0</v>
      </c>
      <c r="S412" s="330">
        <v>0</v>
      </c>
    </row>
    <row r="413" spans="5:19" x14ac:dyDescent="0.25">
      <c r="F413" s="196" t="s">
        <v>1044</v>
      </c>
      <c r="G413" s="196" t="s">
        <v>169</v>
      </c>
      <c r="H413" s="196" t="s">
        <v>581</v>
      </c>
      <c r="I413" s="66"/>
      <c r="J413" s="234">
        <f t="shared" si="37"/>
        <v>0</v>
      </c>
      <c r="K413" s="235"/>
      <c r="L413" s="330"/>
      <c r="M413" s="330"/>
      <c r="N413" s="330"/>
      <c r="O413" s="330">
        <v>0</v>
      </c>
      <c r="P413" s="330">
        <v>0</v>
      </c>
      <c r="Q413" s="330">
        <v>0</v>
      </c>
      <c r="R413" s="330">
        <v>0</v>
      </c>
      <c r="S413" s="330">
        <v>0</v>
      </c>
    </row>
    <row r="414" spans="5:19" x14ac:dyDescent="0.25">
      <c r="F414" s="196" t="s">
        <v>1045</v>
      </c>
      <c r="G414" s="196" t="s">
        <v>169</v>
      </c>
      <c r="H414" s="196" t="s">
        <v>581</v>
      </c>
      <c r="I414" s="66"/>
      <c r="J414" s="240"/>
      <c r="K414" s="235"/>
      <c r="L414" s="240"/>
      <c r="M414" s="240"/>
      <c r="N414" s="240"/>
      <c r="O414" s="240"/>
      <c r="P414" s="240"/>
      <c r="Q414" s="240"/>
      <c r="R414" s="240"/>
      <c r="S414" s="240"/>
    </row>
    <row r="415" spans="5:19" x14ac:dyDescent="0.25">
      <c r="F415" s="196" t="s">
        <v>1046</v>
      </c>
      <c r="G415" s="196" t="s">
        <v>169</v>
      </c>
      <c r="H415" s="196" t="s">
        <v>581</v>
      </c>
      <c r="I415" s="66"/>
      <c r="J415" s="240"/>
      <c r="K415" s="235"/>
      <c r="L415" s="240"/>
      <c r="M415" s="240"/>
      <c r="N415" s="240"/>
      <c r="O415" s="240"/>
      <c r="P415" s="240"/>
      <c r="Q415" s="240"/>
      <c r="R415" s="240"/>
      <c r="S415" s="240"/>
    </row>
    <row r="416" spans="5:19" x14ac:dyDescent="0.25">
      <c r="F416" s="196" t="s">
        <v>1047</v>
      </c>
      <c r="G416" s="196" t="s">
        <v>169</v>
      </c>
      <c r="H416" s="196" t="s">
        <v>581</v>
      </c>
      <c r="I416" s="66"/>
      <c r="J416" s="240"/>
      <c r="K416" s="235"/>
      <c r="L416" s="240"/>
      <c r="M416" s="240"/>
      <c r="N416" s="240"/>
      <c r="O416" s="240"/>
      <c r="P416" s="240"/>
      <c r="Q416" s="240"/>
      <c r="R416" s="240"/>
      <c r="S416" s="240"/>
    </row>
    <row r="417" spans="5:19" x14ac:dyDescent="0.25">
      <c r="F417" s="196" t="s">
        <v>1048</v>
      </c>
      <c r="G417" s="196" t="s">
        <v>169</v>
      </c>
      <c r="H417" s="196" t="s">
        <v>581</v>
      </c>
      <c r="I417" s="66"/>
      <c r="J417" s="240"/>
      <c r="K417" s="235"/>
      <c r="L417" s="240"/>
      <c r="M417" s="240"/>
      <c r="N417" s="240"/>
      <c r="O417" s="240"/>
      <c r="P417" s="240"/>
      <c r="Q417" s="240"/>
      <c r="R417" s="240"/>
      <c r="S417" s="240"/>
    </row>
    <row r="418" spans="5:19" x14ac:dyDescent="0.25">
      <c r="F418" s="196" t="s">
        <v>1049</v>
      </c>
      <c r="G418" s="196" t="s">
        <v>169</v>
      </c>
      <c r="H418" s="196" t="s">
        <v>581</v>
      </c>
      <c r="I418" s="66"/>
      <c r="J418" s="240"/>
      <c r="K418" s="235"/>
      <c r="L418" s="240"/>
      <c r="M418" s="240"/>
      <c r="N418" s="240"/>
      <c r="O418" s="240"/>
      <c r="P418" s="240"/>
      <c r="Q418" s="240"/>
      <c r="R418" s="240"/>
      <c r="S418" s="240"/>
    </row>
    <row r="419" spans="5:19" x14ac:dyDescent="0.25">
      <c r="F419" s="196" t="s">
        <v>1050</v>
      </c>
      <c r="G419" s="196" t="s">
        <v>169</v>
      </c>
      <c r="H419" s="196" t="s">
        <v>581</v>
      </c>
      <c r="I419" s="66"/>
      <c r="J419" s="240"/>
      <c r="K419" s="235"/>
      <c r="L419" s="240"/>
      <c r="M419" s="240"/>
      <c r="N419" s="240"/>
      <c r="O419" s="240"/>
      <c r="P419" s="240"/>
      <c r="Q419" s="240"/>
      <c r="R419" s="240"/>
      <c r="S419" s="240"/>
    </row>
    <row r="420" spans="5:19" x14ac:dyDescent="0.25">
      <c r="F420" s="196" t="s">
        <v>1051</v>
      </c>
      <c r="G420" s="196" t="s">
        <v>169</v>
      </c>
      <c r="H420" s="196" t="s">
        <v>581</v>
      </c>
      <c r="I420" s="66"/>
      <c r="J420" s="240"/>
      <c r="K420" s="235"/>
      <c r="L420" s="240"/>
      <c r="M420" s="240"/>
      <c r="N420" s="240"/>
      <c r="O420" s="240"/>
      <c r="P420" s="240"/>
      <c r="Q420" s="240"/>
      <c r="R420" s="240"/>
      <c r="S420" s="240"/>
    </row>
    <row r="421" spans="5:19" x14ac:dyDescent="0.25">
      <c r="F421" s="196" t="s">
        <v>1052</v>
      </c>
      <c r="G421" s="196" t="s">
        <v>169</v>
      </c>
      <c r="H421" s="196" t="s">
        <v>581</v>
      </c>
      <c r="I421" s="66"/>
      <c r="J421" s="240"/>
      <c r="K421" s="235"/>
      <c r="L421" s="240"/>
      <c r="M421" s="240"/>
      <c r="N421" s="240"/>
      <c r="O421" s="240"/>
      <c r="P421" s="240"/>
      <c r="Q421" s="240"/>
      <c r="R421" s="240"/>
      <c r="S421" s="240"/>
    </row>
    <row r="422" spans="5:19" x14ac:dyDescent="0.25">
      <c r="F422" s="93" t="s">
        <v>1053</v>
      </c>
      <c r="G422" s="93" t="s">
        <v>169</v>
      </c>
      <c r="H422" s="93" t="s">
        <v>581</v>
      </c>
      <c r="I422" s="145"/>
      <c r="J422" s="241"/>
      <c r="K422" s="237"/>
      <c r="L422" s="241"/>
      <c r="M422" s="241"/>
      <c r="N422" s="241"/>
      <c r="O422" s="241"/>
      <c r="P422" s="241"/>
      <c r="Q422" s="241"/>
      <c r="R422" s="241"/>
      <c r="S422" s="241"/>
    </row>
    <row r="423" spans="5:19" x14ac:dyDescent="0.25">
      <c r="J423" s="238"/>
      <c r="K423" s="238"/>
      <c r="L423" s="238"/>
      <c r="M423" s="238"/>
      <c r="N423" s="238"/>
      <c r="O423" s="238"/>
      <c r="P423" s="238"/>
      <c r="Q423" s="238"/>
      <c r="R423" s="238"/>
      <c r="S423" s="238"/>
    </row>
    <row r="424" spans="5:19" x14ac:dyDescent="0.25">
      <c r="E424" s="144" t="s">
        <v>261</v>
      </c>
      <c r="J424" s="238"/>
      <c r="K424" s="238"/>
      <c r="L424" s="238"/>
      <c r="M424" s="238"/>
      <c r="N424" s="238"/>
      <c r="O424" s="238"/>
      <c r="P424" s="238"/>
      <c r="Q424" s="238"/>
      <c r="R424" s="238"/>
      <c r="S424" s="238"/>
    </row>
    <row r="425" spans="5:19" x14ac:dyDescent="0.25">
      <c r="F425" s="91" t="s">
        <v>1038</v>
      </c>
      <c r="G425" s="91" t="s">
        <v>170</v>
      </c>
      <c r="H425" s="91" t="s">
        <v>581</v>
      </c>
      <c r="I425" s="112"/>
      <c r="J425" s="239"/>
      <c r="K425" s="233"/>
      <c r="L425" s="239"/>
      <c r="M425" s="239"/>
      <c r="N425" s="239"/>
      <c r="O425" s="239"/>
      <c r="P425" s="239"/>
      <c r="Q425" s="239"/>
      <c r="R425" s="239"/>
      <c r="S425" s="239"/>
    </row>
    <row r="426" spans="5:19" x14ac:dyDescent="0.25">
      <c r="F426" s="196" t="s">
        <v>1039</v>
      </c>
      <c r="G426" s="196" t="s">
        <v>170</v>
      </c>
      <c r="H426" s="196" t="s">
        <v>581</v>
      </c>
      <c r="I426" s="66"/>
      <c r="J426" s="240"/>
      <c r="K426" s="235"/>
      <c r="L426" s="240"/>
      <c r="M426" s="240"/>
      <c r="N426" s="240"/>
      <c r="O426" s="240"/>
      <c r="P426" s="240"/>
      <c r="Q426" s="240"/>
      <c r="R426" s="240"/>
      <c r="S426" s="240"/>
    </row>
    <row r="427" spans="5:19" x14ac:dyDescent="0.25">
      <c r="F427" s="196" t="s">
        <v>1040</v>
      </c>
      <c r="G427" s="196" t="s">
        <v>170</v>
      </c>
      <c r="H427" s="196" t="s">
        <v>581</v>
      </c>
      <c r="I427" s="66"/>
      <c r="J427" s="240"/>
      <c r="K427" s="235"/>
      <c r="L427" s="240"/>
      <c r="M427" s="240"/>
      <c r="N427" s="240"/>
      <c r="O427" s="240"/>
      <c r="P427" s="240"/>
      <c r="Q427" s="240"/>
      <c r="R427" s="240"/>
      <c r="S427" s="240"/>
    </row>
    <row r="428" spans="5:19" x14ac:dyDescent="0.25">
      <c r="F428" s="196" t="s">
        <v>1041</v>
      </c>
      <c r="G428" s="196" t="s">
        <v>170</v>
      </c>
      <c r="H428" s="196" t="s">
        <v>581</v>
      </c>
      <c r="I428" s="66"/>
      <c r="J428" s="240"/>
      <c r="K428" s="235"/>
      <c r="L428" s="240"/>
      <c r="M428" s="240"/>
      <c r="N428" s="240"/>
      <c r="O428" s="240"/>
      <c r="P428" s="240"/>
      <c r="Q428" s="240"/>
      <c r="R428" s="240"/>
      <c r="S428" s="240"/>
    </row>
    <row r="429" spans="5:19" x14ac:dyDescent="0.25">
      <c r="F429" s="196" t="s">
        <v>1042</v>
      </c>
      <c r="G429" s="196" t="s">
        <v>170</v>
      </c>
      <c r="H429" s="196" t="s">
        <v>581</v>
      </c>
      <c r="I429" s="66"/>
      <c r="J429" s="234">
        <f t="shared" ref="J429:J431" si="38">CHOOSE(year_selection, L429,M429,N429,O429,P429,Q429,R429,S429)</f>
        <v>3989.2191999999991</v>
      </c>
      <c r="K429" s="235"/>
      <c r="L429" s="330"/>
      <c r="M429" s="330"/>
      <c r="N429" s="330"/>
      <c r="O429" s="330">
        <v>3989.2191999999991</v>
      </c>
      <c r="P429" s="330">
        <v>3989.2191999999991</v>
      </c>
      <c r="Q429" s="330">
        <v>3989.2191999999991</v>
      </c>
      <c r="R429" s="330">
        <v>3989.2191999999991</v>
      </c>
      <c r="S429" s="330">
        <v>3989.2191999999991</v>
      </c>
    </row>
    <row r="430" spans="5:19" x14ac:dyDescent="0.25">
      <c r="F430" s="196" t="s">
        <v>1043</v>
      </c>
      <c r="G430" s="196" t="s">
        <v>170</v>
      </c>
      <c r="H430" s="196" t="s">
        <v>581</v>
      </c>
      <c r="I430" s="66"/>
      <c r="J430" s="234">
        <f t="shared" si="38"/>
        <v>3463.8448000000003</v>
      </c>
      <c r="K430" s="235"/>
      <c r="L430" s="330"/>
      <c r="M430" s="330"/>
      <c r="N430" s="330"/>
      <c r="O430" s="330">
        <v>3463.8448000000003</v>
      </c>
      <c r="P430" s="330">
        <v>3463.8448000000003</v>
      </c>
      <c r="Q430" s="330">
        <v>3463.8448000000003</v>
      </c>
      <c r="R430" s="330">
        <v>3463.8448000000003</v>
      </c>
      <c r="S430" s="330">
        <v>3463.8448000000003</v>
      </c>
    </row>
    <row r="431" spans="5:19" x14ac:dyDescent="0.25">
      <c r="F431" s="196" t="s">
        <v>1044</v>
      </c>
      <c r="G431" s="196" t="s">
        <v>170</v>
      </c>
      <c r="H431" s="196" t="s">
        <v>581</v>
      </c>
      <c r="I431" s="66"/>
      <c r="J431" s="234">
        <f t="shared" si="38"/>
        <v>316.33280000000002</v>
      </c>
      <c r="K431" s="235"/>
      <c r="L431" s="330"/>
      <c r="M431" s="330"/>
      <c r="N431" s="330"/>
      <c r="O431" s="330">
        <v>316.33280000000002</v>
      </c>
      <c r="P431" s="330">
        <v>316.33280000000002</v>
      </c>
      <c r="Q431" s="330">
        <v>316.33280000000002</v>
      </c>
      <c r="R431" s="330">
        <v>316.33280000000002</v>
      </c>
      <c r="S431" s="330">
        <v>316.33280000000002</v>
      </c>
    </row>
    <row r="432" spans="5:19" x14ac:dyDescent="0.25">
      <c r="F432" s="196" t="s">
        <v>1045</v>
      </c>
      <c r="G432" s="196" t="s">
        <v>170</v>
      </c>
      <c r="H432" s="196" t="s">
        <v>581</v>
      </c>
      <c r="I432" s="66"/>
      <c r="J432" s="240"/>
      <c r="K432" s="235"/>
      <c r="L432" s="240"/>
      <c r="M432" s="240"/>
      <c r="N432" s="240"/>
      <c r="O432" s="240"/>
      <c r="P432" s="240"/>
      <c r="Q432" s="240"/>
      <c r="R432" s="240"/>
      <c r="S432" s="240"/>
    </row>
    <row r="433" spans="3:21" x14ac:dyDescent="0.25">
      <c r="F433" s="196" t="s">
        <v>1046</v>
      </c>
      <c r="G433" s="196" t="s">
        <v>170</v>
      </c>
      <c r="H433" s="196" t="s">
        <v>581</v>
      </c>
      <c r="I433" s="66"/>
      <c r="J433" s="240"/>
      <c r="K433" s="235"/>
      <c r="L433" s="240"/>
      <c r="M433" s="240"/>
      <c r="N433" s="240"/>
      <c r="O433" s="240"/>
      <c r="P433" s="240"/>
      <c r="Q433" s="240"/>
      <c r="R433" s="240"/>
      <c r="S433" s="240"/>
    </row>
    <row r="434" spans="3:21" x14ac:dyDescent="0.25">
      <c r="F434" s="196" t="s">
        <v>1047</v>
      </c>
      <c r="G434" s="196" t="s">
        <v>170</v>
      </c>
      <c r="H434" s="196" t="s">
        <v>581</v>
      </c>
      <c r="I434" s="66"/>
      <c r="J434" s="240"/>
      <c r="K434" s="235"/>
      <c r="L434" s="240"/>
      <c r="M434" s="240"/>
      <c r="N434" s="240"/>
      <c r="O434" s="240"/>
      <c r="P434" s="240"/>
      <c r="Q434" s="240"/>
      <c r="R434" s="240"/>
      <c r="S434" s="240"/>
    </row>
    <row r="435" spans="3:21" x14ac:dyDescent="0.25">
      <c r="F435" s="196" t="s">
        <v>1048</v>
      </c>
      <c r="G435" s="196" t="s">
        <v>170</v>
      </c>
      <c r="H435" s="196" t="s">
        <v>581</v>
      </c>
      <c r="I435" s="66"/>
      <c r="J435" s="234">
        <f t="shared" ref="J435" si="39">CHOOSE(year_selection, L435,M435,N435,O435,P435,Q435,R435,S435)</f>
        <v>65.780299999999997</v>
      </c>
      <c r="K435" s="235"/>
      <c r="L435" s="330"/>
      <c r="M435" s="330"/>
      <c r="N435" s="330"/>
      <c r="O435" s="330">
        <v>65.780299999999997</v>
      </c>
      <c r="P435" s="330">
        <v>65.780299999999997</v>
      </c>
      <c r="Q435" s="330">
        <v>65.780299999999997</v>
      </c>
      <c r="R435" s="330">
        <v>65.780299999999997</v>
      </c>
      <c r="S435" s="330">
        <v>65.780299999999997</v>
      </c>
    </row>
    <row r="436" spans="3:21" x14ac:dyDescent="0.25">
      <c r="F436" s="196" t="s">
        <v>1049</v>
      </c>
      <c r="G436" s="196" t="s">
        <v>170</v>
      </c>
      <c r="H436" s="196" t="s">
        <v>581</v>
      </c>
      <c r="I436" s="66"/>
      <c r="J436" s="240"/>
      <c r="K436" s="235"/>
      <c r="L436" s="240"/>
      <c r="M436" s="240"/>
      <c r="N436" s="240"/>
      <c r="O436" s="240"/>
      <c r="P436" s="240"/>
      <c r="Q436" s="240"/>
      <c r="R436" s="240"/>
      <c r="S436" s="240"/>
    </row>
    <row r="437" spans="3:21" x14ac:dyDescent="0.25">
      <c r="F437" s="196" t="s">
        <v>1050</v>
      </c>
      <c r="G437" s="196" t="s">
        <v>170</v>
      </c>
      <c r="H437" s="196" t="s">
        <v>581</v>
      </c>
      <c r="I437" s="66"/>
      <c r="J437" s="234">
        <f t="shared" ref="J437" si="40">CHOOSE(year_selection, L437,M437,N437,O437,P437,Q437,R437,S437)</f>
        <v>0</v>
      </c>
      <c r="K437" s="235"/>
      <c r="L437" s="330"/>
      <c r="M437" s="330"/>
      <c r="N437" s="330"/>
      <c r="O437" s="330">
        <v>0</v>
      </c>
      <c r="P437" s="330">
        <v>0</v>
      </c>
      <c r="Q437" s="330">
        <v>0</v>
      </c>
      <c r="R437" s="330">
        <v>0</v>
      </c>
      <c r="S437" s="330">
        <v>0</v>
      </c>
    </row>
    <row r="438" spans="3:21" x14ac:dyDescent="0.25">
      <c r="F438" s="196" t="s">
        <v>1051</v>
      </c>
      <c r="G438" s="196" t="s">
        <v>170</v>
      </c>
      <c r="H438" s="196" t="s">
        <v>581</v>
      </c>
      <c r="I438" s="66"/>
      <c r="J438" s="240"/>
      <c r="K438" s="235"/>
      <c r="L438" s="240"/>
      <c r="M438" s="240"/>
      <c r="N438" s="240"/>
      <c r="O438" s="240"/>
      <c r="P438" s="240"/>
      <c r="Q438" s="240"/>
      <c r="R438" s="240"/>
      <c r="S438" s="240"/>
    </row>
    <row r="439" spans="3:21" x14ac:dyDescent="0.25">
      <c r="F439" s="196" t="s">
        <v>1052</v>
      </c>
      <c r="G439" s="196" t="s">
        <v>170</v>
      </c>
      <c r="H439" s="196" t="s">
        <v>581</v>
      </c>
      <c r="I439" s="66"/>
      <c r="J439" s="234">
        <f t="shared" ref="J439" si="41">CHOOSE(year_selection, L439,M439,N439,O439,P439,Q439,R439,S439)</f>
        <v>0</v>
      </c>
      <c r="K439" s="235"/>
      <c r="L439" s="330"/>
      <c r="M439" s="330"/>
      <c r="N439" s="330"/>
      <c r="O439" s="330">
        <v>0</v>
      </c>
      <c r="P439" s="330">
        <v>0</v>
      </c>
      <c r="Q439" s="330">
        <v>0</v>
      </c>
      <c r="R439" s="330">
        <v>0</v>
      </c>
      <c r="S439" s="330">
        <v>0</v>
      </c>
    </row>
    <row r="440" spans="3:21" x14ac:dyDescent="0.25">
      <c r="F440" s="93" t="s">
        <v>1053</v>
      </c>
      <c r="G440" s="93" t="s">
        <v>170</v>
      </c>
      <c r="H440" s="93" t="s">
        <v>581</v>
      </c>
      <c r="I440" s="145"/>
      <c r="J440" s="241"/>
      <c r="K440" s="237"/>
      <c r="L440" s="241"/>
      <c r="M440" s="241"/>
      <c r="N440" s="241"/>
      <c r="O440" s="241"/>
      <c r="P440" s="241"/>
      <c r="Q440" s="241"/>
      <c r="R440" s="241"/>
      <c r="S440" s="241"/>
    </row>
    <row r="441" spans="3:21" x14ac:dyDescent="0.25"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</row>
    <row r="442" spans="3:21" s="295" customFormat="1" x14ac:dyDescent="0.25">
      <c r="C442" s="7" t="str">
        <f ca="1">INDEX('Version control'!$H$34:$H$60,MATCH($A$1,'Version control'!$F$34:$F$60,0),1)&amp;"-F: 'Designated Property' MPANs with EDCM-level LDNO boundaries"</f>
        <v>Input 501-F: 'Designated Property' MPANs with EDCM-level LDNO boundaries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5" customFormat="1" x14ac:dyDescent="0.25">
      <c r="I443" s="111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</row>
    <row r="444" spans="3:21" s="295" customFormat="1" x14ac:dyDescent="0.25">
      <c r="E444" s="456" t="s">
        <v>1155</v>
      </c>
      <c r="I444" s="111" t="s">
        <v>431</v>
      </c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U444" s="295" t="s">
        <v>1163</v>
      </c>
    </row>
    <row r="445" spans="3:21" s="295" customFormat="1" x14ac:dyDescent="0.25">
      <c r="F445" s="91" t="s">
        <v>1038</v>
      </c>
      <c r="G445" s="91" t="s">
        <v>610</v>
      </c>
      <c r="H445" s="91"/>
      <c r="I445" s="112"/>
      <c r="J445" s="232">
        <f t="shared" ref="J445:J460" si="42">CHOOSE(year_selection, L445,M445,N445,O445,P445,Q445,R445,S445)</f>
        <v>470</v>
      </c>
      <c r="K445" s="233"/>
      <c r="L445" s="472"/>
      <c r="M445" s="472"/>
      <c r="N445" s="472"/>
      <c r="O445" s="472">
        <v>470</v>
      </c>
      <c r="P445" s="472">
        <v>470</v>
      </c>
      <c r="Q445" s="472">
        <v>470</v>
      </c>
      <c r="R445" s="472">
        <v>470</v>
      </c>
      <c r="S445" s="472">
        <v>470</v>
      </c>
    </row>
    <row r="446" spans="3:21" s="295" customFormat="1" x14ac:dyDescent="0.25">
      <c r="F446" s="196" t="s">
        <v>1039</v>
      </c>
      <c r="G446" s="196" t="s">
        <v>610</v>
      </c>
      <c r="H446" s="196"/>
      <c r="I446" s="66"/>
      <c r="J446" s="459">
        <f t="shared" si="42"/>
        <v>0</v>
      </c>
      <c r="K446" s="235"/>
      <c r="L446" s="457"/>
      <c r="M446" s="457"/>
      <c r="N446" s="457"/>
      <c r="O446" s="457">
        <v>0</v>
      </c>
      <c r="P446" s="457">
        <v>0</v>
      </c>
      <c r="Q446" s="457">
        <v>0</v>
      </c>
      <c r="R446" s="457">
        <v>0</v>
      </c>
      <c r="S446" s="457">
        <v>0</v>
      </c>
    </row>
    <row r="447" spans="3:21" s="295" customFormat="1" x14ac:dyDescent="0.25">
      <c r="F447" s="196" t="s">
        <v>1040</v>
      </c>
      <c r="G447" s="196" t="s">
        <v>610</v>
      </c>
      <c r="H447" s="196"/>
      <c r="I447" s="66"/>
      <c r="J447" s="234">
        <f t="shared" si="42"/>
        <v>0</v>
      </c>
      <c r="K447" s="235"/>
      <c r="L447" s="473"/>
      <c r="M447" s="473"/>
      <c r="N447" s="473"/>
      <c r="O447" s="473">
        <v>0</v>
      </c>
      <c r="P447" s="473">
        <v>0</v>
      </c>
      <c r="Q447" s="473">
        <v>0</v>
      </c>
      <c r="R447" s="473">
        <v>0</v>
      </c>
      <c r="S447" s="473">
        <v>0</v>
      </c>
    </row>
    <row r="448" spans="3:21" s="295" customFormat="1" x14ac:dyDescent="0.25">
      <c r="F448" s="196" t="s">
        <v>1041</v>
      </c>
      <c r="G448" s="196" t="s">
        <v>610</v>
      </c>
      <c r="H448" s="196"/>
      <c r="I448" s="66"/>
      <c r="J448" s="459">
        <f t="shared" si="42"/>
        <v>0</v>
      </c>
      <c r="K448" s="235"/>
      <c r="L448" s="457"/>
      <c r="M448" s="457"/>
      <c r="N448" s="457"/>
      <c r="O448" s="457">
        <v>0</v>
      </c>
      <c r="P448" s="457">
        <v>0</v>
      </c>
      <c r="Q448" s="457">
        <v>0</v>
      </c>
      <c r="R448" s="457">
        <v>0</v>
      </c>
      <c r="S448" s="457">
        <v>0</v>
      </c>
    </row>
    <row r="449" spans="2:49" s="295" customFormat="1" x14ac:dyDescent="0.25">
      <c r="F449" s="196" t="s">
        <v>1042</v>
      </c>
      <c r="G449" s="196" t="s">
        <v>610</v>
      </c>
      <c r="H449" s="196"/>
      <c r="I449" s="66"/>
      <c r="J449" s="234">
        <f t="shared" si="42"/>
        <v>0</v>
      </c>
      <c r="K449" s="235"/>
      <c r="L449" s="473"/>
      <c r="M449" s="473"/>
      <c r="N449" s="473"/>
      <c r="O449" s="473">
        <v>0</v>
      </c>
      <c r="P449" s="473">
        <v>0</v>
      </c>
      <c r="Q449" s="473">
        <v>0</v>
      </c>
      <c r="R449" s="473">
        <v>0</v>
      </c>
      <c r="S449" s="473">
        <v>0</v>
      </c>
    </row>
    <row r="450" spans="2:49" s="295" customFormat="1" x14ac:dyDescent="0.25">
      <c r="F450" s="196" t="s">
        <v>1043</v>
      </c>
      <c r="G450" s="196" t="s">
        <v>610</v>
      </c>
      <c r="H450" s="196"/>
      <c r="I450" s="66"/>
      <c r="J450" s="234">
        <f t="shared" si="42"/>
        <v>5</v>
      </c>
      <c r="K450" s="235"/>
      <c r="L450" s="473"/>
      <c r="M450" s="473"/>
      <c r="N450" s="473"/>
      <c r="O450" s="473">
        <v>5</v>
      </c>
      <c r="P450" s="473">
        <v>5</v>
      </c>
      <c r="Q450" s="473">
        <v>5</v>
      </c>
      <c r="R450" s="473">
        <v>5</v>
      </c>
      <c r="S450" s="473">
        <v>5</v>
      </c>
    </row>
    <row r="451" spans="2:49" s="295" customFormat="1" x14ac:dyDescent="0.25">
      <c r="F451" s="196" t="s">
        <v>1044</v>
      </c>
      <c r="G451" s="196" t="s">
        <v>610</v>
      </c>
      <c r="H451" s="196"/>
      <c r="I451" s="66"/>
      <c r="J451" s="459">
        <f t="shared" si="42"/>
        <v>9</v>
      </c>
      <c r="K451" s="235"/>
      <c r="L451" s="457"/>
      <c r="M451" s="457"/>
      <c r="N451" s="457"/>
      <c r="O451" s="457">
        <v>9</v>
      </c>
      <c r="P451" s="457">
        <v>9</v>
      </c>
      <c r="Q451" s="457">
        <v>9</v>
      </c>
      <c r="R451" s="457">
        <v>9</v>
      </c>
      <c r="S451" s="457">
        <v>9</v>
      </c>
    </row>
    <row r="452" spans="2:49" s="295" customFormat="1" x14ac:dyDescent="0.25">
      <c r="F452" s="196" t="s">
        <v>1045</v>
      </c>
      <c r="G452" s="196" t="s">
        <v>610</v>
      </c>
      <c r="H452" s="196"/>
      <c r="I452" s="66"/>
      <c r="J452" s="459">
        <f t="shared" si="42"/>
        <v>0</v>
      </c>
      <c r="K452" s="235"/>
      <c r="L452" s="457"/>
      <c r="M452" s="457"/>
      <c r="N452" s="457"/>
      <c r="O452" s="457">
        <v>0</v>
      </c>
      <c r="P452" s="457">
        <v>0</v>
      </c>
      <c r="Q452" s="457">
        <v>0</v>
      </c>
      <c r="R452" s="457">
        <v>0</v>
      </c>
      <c r="S452" s="457">
        <v>0</v>
      </c>
    </row>
    <row r="453" spans="2:49" s="295" customFormat="1" x14ac:dyDescent="0.25">
      <c r="F453" s="196" t="s">
        <v>1046</v>
      </c>
      <c r="G453" s="196" t="s">
        <v>610</v>
      </c>
      <c r="H453" s="196"/>
      <c r="I453" s="66"/>
      <c r="J453" s="234">
        <f t="shared" si="42"/>
        <v>0</v>
      </c>
      <c r="K453" s="235"/>
      <c r="L453" s="473"/>
      <c r="M453" s="473"/>
      <c r="N453" s="473"/>
      <c r="O453" s="473">
        <v>0</v>
      </c>
      <c r="P453" s="473">
        <v>0</v>
      </c>
      <c r="Q453" s="473">
        <v>0</v>
      </c>
      <c r="R453" s="473">
        <v>0</v>
      </c>
      <c r="S453" s="473">
        <v>0</v>
      </c>
    </row>
    <row r="454" spans="2:49" s="295" customFormat="1" x14ac:dyDescent="0.25">
      <c r="F454" s="196" t="s">
        <v>1047</v>
      </c>
      <c r="G454" s="196" t="s">
        <v>610</v>
      </c>
      <c r="H454" s="196"/>
      <c r="I454" s="66"/>
      <c r="J454" s="234">
        <f t="shared" si="42"/>
        <v>0</v>
      </c>
      <c r="K454" s="235"/>
      <c r="L454" s="473"/>
      <c r="M454" s="473"/>
      <c r="N454" s="473"/>
      <c r="O454" s="473">
        <v>0</v>
      </c>
      <c r="P454" s="473">
        <v>0</v>
      </c>
      <c r="Q454" s="473">
        <v>0</v>
      </c>
      <c r="R454" s="473">
        <v>0</v>
      </c>
      <c r="S454" s="473">
        <v>0</v>
      </c>
    </row>
    <row r="455" spans="2:49" s="295" customFormat="1" x14ac:dyDescent="0.25">
      <c r="F455" s="196" t="s">
        <v>1048</v>
      </c>
      <c r="G455" s="196" t="s">
        <v>610</v>
      </c>
      <c r="H455" s="196"/>
      <c r="I455" s="66"/>
      <c r="J455" s="234">
        <f t="shared" si="42"/>
        <v>0</v>
      </c>
      <c r="K455" s="235"/>
      <c r="L455" s="473"/>
      <c r="M455" s="473"/>
      <c r="N455" s="473"/>
      <c r="O455" s="473">
        <v>0</v>
      </c>
      <c r="P455" s="473">
        <v>0</v>
      </c>
      <c r="Q455" s="473">
        <v>0</v>
      </c>
      <c r="R455" s="473">
        <v>0</v>
      </c>
      <c r="S455" s="473">
        <v>0</v>
      </c>
    </row>
    <row r="456" spans="2:49" s="295" customFormat="1" x14ac:dyDescent="0.25">
      <c r="F456" s="196" t="s">
        <v>1049</v>
      </c>
      <c r="G456" s="196" t="s">
        <v>610</v>
      </c>
      <c r="H456" s="196"/>
      <c r="I456" s="66"/>
      <c r="J456" s="234">
        <f t="shared" si="42"/>
        <v>0</v>
      </c>
      <c r="K456" s="235"/>
      <c r="L456" s="473"/>
      <c r="M456" s="473"/>
      <c r="N456" s="473"/>
      <c r="O456" s="473">
        <v>0</v>
      </c>
      <c r="P456" s="473">
        <v>0</v>
      </c>
      <c r="Q456" s="473">
        <v>0</v>
      </c>
      <c r="R456" s="473">
        <v>0</v>
      </c>
      <c r="S456" s="473">
        <v>0</v>
      </c>
    </row>
    <row r="457" spans="2:49" s="295" customFormat="1" x14ac:dyDescent="0.25">
      <c r="F457" s="196" t="s">
        <v>1050</v>
      </c>
      <c r="G457" s="196" t="s">
        <v>610</v>
      </c>
      <c r="H457" s="196"/>
      <c r="I457" s="66"/>
      <c r="J457" s="234">
        <f t="shared" si="42"/>
        <v>0</v>
      </c>
      <c r="K457" s="235"/>
      <c r="L457" s="473"/>
      <c r="M457" s="473"/>
      <c r="N457" s="473"/>
      <c r="O457" s="473">
        <v>0</v>
      </c>
      <c r="P457" s="473">
        <v>0</v>
      </c>
      <c r="Q457" s="473">
        <v>0</v>
      </c>
      <c r="R457" s="473">
        <v>0</v>
      </c>
      <c r="S457" s="473">
        <v>0</v>
      </c>
    </row>
    <row r="458" spans="2:49" s="295" customFormat="1" x14ac:dyDescent="0.25">
      <c r="F458" s="196" t="s">
        <v>1051</v>
      </c>
      <c r="G458" s="196" t="s">
        <v>610</v>
      </c>
      <c r="H458" s="196"/>
      <c r="I458" s="66"/>
      <c r="J458" s="234">
        <f t="shared" si="42"/>
        <v>0</v>
      </c>
      <c r="K458" s="235"/>
      <c r="L458" s="473"/>
      <c r="M458" s="473"/>
      <c r="N458" s="473"/>
      <c r="O458" s="473">
        <v>0</v>
      </c>
      <c r="P458" s="473">
        <v>0</v>
      </c>
      <c r="Q458" s="473">
        <v>0</v>
      </c>
      <c r="R458" s="473">
        <v>0</v>
      </c>
      <c r="S458" s="473">
        <v>0</v>
      </c>
    </row>
    <row r="459" spans="2:49" s="295" customFormat="1" x14ac:dyDescent="0.25">
      <c r="F459" s="196" t="s">
        <v>1052</v>
      </c>
      <c r="G459" s="196" t="s">
        <v>610</v>
      </c>
      <c r="H459" s="196"/>
      <c r="I459" s="66"/>
      <c r="J459" s="459">
        <f t="shared" si="42"/>
        <v>0</v>
      </c>
      <c r="K459" s="235"/>
      <c r="L459" s="457"/>
      <c r="M459" s="457"/>
      <c r="N459" s="457"/>
      <c r="O459" s="457">
        <v>0</v>
      </c>
      <c r="P459" s="457">
        <v>0</v>
      </c>
      <c r="Q459" s="457">
        <v>0</v>
      </c>
      <c r="R459" s="457">
        <v>0</v>
      </c>
      <c r="S459" s="457">
        <v>0</v>
      </c>
    </row>
    <row r="460" spans="2:49" s="295" customFormat="1" x14ac:dyDescent="0.25">
      <c r="F460" s="93" t="s">
        <v>1053</v>
      </c>
      <c r="G460" s="93" t="s">
        <v>610</v>
      </c>
      <c r="H460" s="93"/>
      <c r="I460" s="145"/>
      <c r="J460" s="460">
        <f t="shared" si="42"/>
        <v>0</v>
      </c>
      <c r="K460" s="237"/>
      <c r="L460" s="458"/>
      <c r="M460" s="458"/>
      <c r="N460" s="458"/>
      <c r="O460" s="458">
        <v>0</v>
      </c>
      <c r="P460" s="458">
        <v>0</v>
      </c>
      <c r="Q460" s="458">
        <v>0</v>
      </c>
      <c r="R460" s="458">
        <v>0</v>
      </c>
      <c r="S460" s="458">
        <v>0</v>
      </c>
    </row>
    <row r="461" spans="2:49" s="295" customFormat="1" x14ac:dyDescent="0.25">
      <c r="D461" s="14"/>
      <c r="I461" s="111"/>
      <c r="J461" s="238"/>
      <c r="K461" s="238"/>
      <c r="L461" s="238"/>
      <c r="M461" s="238"/>
      <c r="N461" s="238"/>
      <c r="O461" s="238"/>
      <c r="P461" s="238"/>
      <c r="Q461" s="238"/>
      <c r="R461" s="238"/>
      <c r="S461" s="238"/>
    </row>
    <row r="462" spans="2:49" s="195" customFormat="1" x14ac:dyDescent="0.25">
      <c r="B462" s="95" t="s">
        <v>454</v>
      </c>
      <c r="C462" s="95"/>
      <c r="D462" s="95"/>
      <c r="E462" s="95"/>
      <c r="F462" s="95"/>
      <c r="G462" s="95"/>
      <c r="H462" s="95"/>
      <c r="I462" s="160"/>
      <c r="J462" s="160"/>
      <c r="K462" s="160"/>
      <c r="L462" s="160"/>
      <c r="M462" s="160"/>
      <c r="N462" s="160"/>
      <c r="O462" s="160"/>
      <c r="P462" s="160"/>
      <c r="Q462" s="160"/>
      <c r="R462" s="160"/>
      <c r="S462" s="160"/>
      <c r="T462" s="95"/>
      <c r="U462" s="95"/>
      <c r="W462" s="95"/>
      <c r="X462" s="95"/>
      <c r="Y462" s="95"/>
      <c r="Z462" s="95"/>
      <c r="AA462" s="95"/>
      <c r="AB462" s="95"/>
      <c r="AC462" s="95"/>
      <c r="AD462" s="95"/>
      <c r="AE462" s="95"/>
      <c r="AF462" s="95"/>
      <c r="AG462" s="95"/>
      <c r="AH462" s="95"/>
      <c r="AI462" s="95"/>
      <c r="AJ462" s="95"/>
      <c r="AK462" s="95"/>
      <c r="AL462" s="95"/>
      <c r="AM462" s="95"/>
      <c r="AN462" s="95"/>
      <c r="AO462" s="95"/>
      <c r="AP462" s="95"/>
      <c r="AQ462" s="95"/>
      <c r="AR462" s="95"/>
      <c r="AS462" s="95"/>
      <c r="AT462" s="95"/>
      <c r="AU462" s="95"/>
      <c r="AV462" s="95"/>
      <c r="AW462" s="95"/>
    </row>
    <row r="463" spans="2:49" s="195" customFormat="1" x14ac:dyDescent="0.25">
      <c r="D463" s="14"/>
      <c r="I463" s="111"/>
      <c r="J463" s="111"/>
      <c r="K463" s="111"/>
      <c r="L463" s="111"/>
      <c r="M463" s="111"/>
      <c r="N463" s="111"/>
      <c r="O463" s="111"/>
      <c r="P463" s="111"/>
      <c r="Q463" s="111"/>
      <c r="R463" s="111"/>
      <c r="S463" s="111"/>
    </row>
    <row r="464" spans="2:49" s="195" customFormat="1" x14ac:dyDescent="0.25">
      <c r="C464" s="82" t="s">
        <v>740</v>
      </c>
      <c r="I464" s="111" t="s">
        <v>431</v>
      </c>
      <c r="J464" s="111"/>
      <c r="K464" s="111"/>
      <c r="L464" s="111"/>
      <c r="M464" s="111"/>
      <c r="N464" s="111"/>
      <c r="O464" s="111"/>
      <c r="P464" s="111"/>
      <c r="Q464" s="111"/>
      <c r="R464" s="111"/>
      <c r="S464" s="111"/>
      <c r="U464" s="195" t="s">
        <v>926</v>
      </c>
    </row>
    <row r="465" spans="3:21" s="195" customFormat="1" x14ac:dyDescent="0.25">
      <c r="D465" s="14"/>
      <c r="I465" s="111"/>
      <c r="J465" s="111"/>
      <c r="K465" s="111"/>
      <c r="L465" s="111"/>
      <c r="M465" s="111"/>
      <c r="N465" s="111"/>
      <c r="O465" s="111"/>
      <c r="P465" s="111"/>
      <c r="Q465" s="111"/>
      <c r="R465" s="111"/>
      <c r="S465" s="111"/>
    </row>
    <row r="466" spans="3:21" s="195" customFormat="1" x14ac:dyDescent="0.25">
      <c r="C466" s="7" t="str">
        <f ca="1">INDEX('Version control'!$H$34:$H$60,MATCH($A$1,'Version control'!$F$34:$F$60,0),1)&amp;"-G: LV customer service model asset values"</f>
        <v>Input 501-G: LV customer service model asset values</v>
      </c>
      <c r="D466" s="7"/>
      <c r="E466" s="7"/>
      <c r="F466" s="7"/>
      <c r="G466" s="7"/>
      <c r="H466" s="7"/>
      <c r="I466" s="171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</row>
    <row r="467" spans="3:21" s="195" customFormat="1" x14ac:dyDescent="0.25">
      <c r="I467" s="111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</row>
    <row r="468" spans="3:21" s="195" customFormat="1" x14ac:dyDescent="0.25">
      <c r="E468" s="96" t="s">
        <v>741</v>
      </c>
      <c r="I468" s="111"/>
      <c r="J468" s="111"/>
      <c r="K468" s="111"/>
      <c r="L468" s="111"/>
      <c r="M468" s="111"/>
      <c r="N468" s="111"/>
      <c r="O468" s="111"/>
      <c r="P468" s="111"/>
      <c r="Q468" s="111"/>
      <c r="R468" s="111"/>
      <c r="S468" s="111"/>
    </row>
    <row r="469" spans="3:21" s="195" customFormat="1" x14ac:dyDescent="0.25">
      <c r="F469" s="91" t="s">
        <v>1038</v>
      </c>
      <c r="G469" s="91" t="s">
        <v>610</v>
      </c>
      <c r="H469" s="91"/>
      <c r="I469" s="112"/>
      <c r="J469" s="232">
        <f t="shared" ref="J469:J481" si="43">CHOOSE(year_selection, L469,M469,N469,O469,P469,Q469,R469,S469)</f>
        <v>377.70000000000005</v>
      </c>
      <c r="K469" s="233"/>
      <c r="L469" s="332"/>
      <c r="M469" s="332"/>
      <c r="N469" s="332"/>
      <c r="O469" s="332">
        <v>377.70000000000005</v>
      </c>
      <c r="P469" s="332">
        <v>377.70000000000005</v>
      </c>
      <c r="Q469" s="332">
        <v>377.70000000000005</v>
      </c>
      <c r="R469" s="332">
        <v>377.70000000000005</v>
      </c>
      <c r="S469" s="332">
        <v>377.70000000000005</v>
      </c>
    </row>
    <row r="470" spans="3:21" s="195" customFormat="1" x14ac:dyDescent="0.25">
      <c r="F470" s="196" t="s">
        <v>1039</v>
      </c>
      <c r="G470" s="196" t="s">
        <v>610</v>
      </c>
      <c r="H470" s="196"/>
      <c r="I470" s="66"/>
      <c r="J470" s="347"/>
      <c r="K470" s="235"/>
      <c r="L470" s="347"/>
      <c r="M470" s="347"/>
      <c r="N470" s="347"/>
      <c r="O470" s="347"/>
      <c r="P470" s="347"/>
      <c r="Q470" s="347"/>
      <c r="R470" s="347"/>
      <c r="S470" s="347"/>
    </row>
    <row r="471" spans="3:21" s="195" customFormat="1" x14ac:dyDescent="0.25">
      <c r="F471" s="196" t="s">
        <v>1040</v>
      </c>
      <c r="G471" s="196" t="s">
        <v>610</v>
      </c>
      <c r="H471" s="196"/>
      <c r="I471" s="66"/>
      <c r="J471" s="234">
        <f t="shared" ref="J471" si="44">CHOOSE(year_selection, L471,M471,N471,O471,P471,Q471,R471,S471)</f>
        <v>508.75</v>
      </c>
      <c r="K471" s="235"/>
      <c r="L471" s="333"/>
      <c r="M471" s="333"/>
      <c r="N471" s="333"/>
      <c r="O471" s="333">
        <v>508.75</v>
      </c>
      <c r="P471" s="333">
        <v>508.75</v>
      </c>
      <c r="Q471" s="333">
        <v>508.75</v>
      </c>
      <c r="R471" s="333">
        <v>508.75</v>
      </c>
      <c r="S471" s="333">
        <v>508.75</v>
      </c>
    </row>
    <row r="472" spans="3:21" s="195" customFormat="1" x14ac:dyDescent="0.25">
      <c r="F472" s="196" t="s">
        <v>1041</v>
      </c>
      <c r="G472" s="196" t="s">
        <v>610</v>
      </c>
      <c r="H472" s="196"/>
      <c r="I472" s="66"/>
      <c r="J472" s="347"/>
      <c r="K472" s="235"/>
      <c r="L472" s="347"/>
      <c r="M472" s="347"/>
      <c r="N472" s="347"/>
      <c r="O472" s="347"/>
      <c r="P472" s="347"/>
      <c r="Q472" s="347"/>
      <c r="R472" s="347"/>
      <c r="S472" s="347"/>
    </row>
    <row r="473" spans="3:21" s="195" customFormat="1" x14ac:dyDescent="0.25">
      <c r="F473" s="196" t="s">
        <v>1042</v>
      </c>
      <c r="G473" s="196" t="s">
        <v>610</v>
      </c>
      <c r="H473" s="196"/>
      <c r="I473" s="66"/>
      <c r="J473" s="234">
        <f t="shared" ref="J473:J474" si="45">CHOOSE(year_selection, L473,M473,N473,O473,P473,Q473,R473,S473)</f>
        <v>2380</v>
      </c>
      <c r="K473" s="235"/>
      <c r="L473" s="333"/>
      <c r="M473" s="333"/>
      <c r="N473" s="333"/>
      <c r="O473" s="333">
        <v>2380</v>
      </c>
      <c r="P473" s="333">
        <v>2380</v>
      </c>
      <c r="Q473" s="333">
        <v>2380</v>
      </c>
      <c r="R473" s="333">
        <v>2380</v>
      </c>
      <c r="S473" s="333">
        <v>2380</v>
      </c>
    </row>
    <row r="474" spans="3:21" s="195" customFormat="1" x14ac:dyDescent="0.25">
      <c r="F474" s="196" t="s">
        <v>1043</v>
      </c>
      <c r="G474" s="196" t="s">
        <v>610</v>
      </c>
      <c r="H474" s="196"/>
      <c r="I474" s="66"/>
      <c r="J474" s="234">
        <f t="shared" si="45"/>
        <v>840</v>
      </c>
      <c r="K474" s="235"/>
      <c r="L474" s="333"/>
      <c r="M474" s="333"/>
      <c r="N474" s="333"/>
      <c r="O474" s="333">
        <v>840</v>
      </c>
      <c r="P474" s="333">
        <v>840</v>
      </c>
      <c r="Q474" s="333">
        <v>840</v>
      </c>
      <c r="R474" s="333">
        <v>840</v>
      </c>
      <c r="S474" s="333">
        <v>840</v>
      </c>
    </row>
    <row r="475" spans="3:21" s="195" customFormat="1" x14ac:dyDescent="0.25">
      <c r="F475" s="196" t="s">
        <v>1044</v>
      </c>
      <c r="G475" s="196" t="s">
        <v>610</v>
      </c>
      <c r="H475" s="196"/>
      <c r="I475" s="66"/>
      <c r="J475" s="347"/>
      <c r="K475" s="235"/>
      <c r="L475" s="347"/>
      <c r="M475" s="347"/>
      <c r="N475" s="347"/>
      <c r="O475" s="347"/>
      <c r="P475" s="347"/>
      <c r="Q475" s="347"/>
      <c r="R475" s="347"/>
      <c r="S475" s="347"/>
    </row>
    <row r="476" spans="3:21" s="195" customFormat="1" x14ac:dyDescent="0.25">
      <c r="F476" s="196" t="s">
        <v>1045</v>
      </c>
      <c r="G476" s="196" t="s">
        <v>610</v>
      </c>
      <c r="H476" s="196"/>
      <c r="I476" s="66"/>
      <c r="J476" s="347"/>
      <c r="K476" s="235"/>
      <c r="L476" s="347"/>
      <c r="M476" s="347"/>
      <c r="N476" s="347"/>
      <c r="O476" s="347"/>
      <c r="P476" s="347"/>
      <c r="Q476" s="347"/>
      <c r="R476" s="347"/>
      <c r="S476" s="347"/>
    </row>
    <row r="477" spans="3:21" s="195" customFormat="1" x14ac:dyDescent="0.25">
      <c r="F477" s="196" t="s">
        <v>1046</v>
      </c>
      <c r="G477" s="196" t="s">
        <v>610</v>
      </c>
      <c r="H477" s="196"/>
      <c r="I477" s="66"/>
      <c r="J477" s="234">
        <f t="shared" ref="J477" si="46">CHOOSE(year_selection, L477,M477,N477,O477,P477,Q477,R477,S477)</f>
        <v>0</v>
      </c>
      <c r="K477" s="235"/>
      <c r="L477" s="333"/>
      <c r="M477" s="333"/>
      <c r="N477" s="333"/>
      <c r="O477" s="333">
        <v>0</v>
      </c>
      <c r="P477" s="333">
        <v>0</v>
      </c>
      <c r="Q477" s="333">
        <v>0</v>
      </c>
      <c r="R477" s="333">
        <v>0</v>
      </c>
      <c r="S477" s="333">
        <v>0</v>
      </c>
    </row>
    <row r="478" spans="3:21" s="195" customFormat="1" x14ac:dyDescent="0.25">
      <c r="F478" s="196" t="s">
        <v>1047</v>
      </c>
      <c r="G478" s="196" t="s">
        <v>610</v>
      </c>
      <c r="H478" s="196"/>
      <c r="I478" s="66"/>
      <c r="J478" s="234">
        <f t="shared" si="43"/>
        <v>0</v>
      </c>
      <c r="K478" s="235"/>
      <c r="L478" s="333"/>
      <c r="M478" s="333"/>
      <c r="N478" s="333"/>
      <c r="O478" s="333">
        <v>0</v>
      </c>
      <c r="P478" s="333">
        <v>0</v>
      </c>
      <c r="Q478" s="333">
        <v>0</v>
      </c>
      <c r="R478" s="333">
        <v>0</v>
      </c>
      <c r="S478" s="333">
        <v>0</v>
      </c>
    </row>
    <row r="479" spans="3:21" s="195" customFormat="1" x14ac:dyDescent="0.25">
      <c r="F479" s="196" t="s">
        <v>1048</v>
      </c>
      <c r="G479" s="196" t="s">
        <v>610</v>
      </c>
      <c r="H479" s="196"/>
      <c r="I479" s="66"/>
      <c r="J479" s="234">
        <f t="shared" si="43"/>
        <v>0</v>
      </c>
      <c r="K479" s="235"/>
      <c r="L479" s="333"/>
      <c r="M479" s="333"/>
      <c r="N479" s="333"/>
      <c r="O479" s="333">
        <v>0</v>
      </c>
      <c r="P479" s="333">
        <v>0</v>
      </c>
      <c r="Q479" s="333">
        <v>0</v>
      </c>
      <c r="R479" s="333">
        <v>0</v>
      </c>
      <c r="S479" s="333">
        <v>0</v>
      </c>
    </row>
    <row r="480" spans="3:21" s="195" customFormat="1" x14ac:dyDescent="0.25">
      <c r="F480" s="196" t="s">
        <v>1049</v>
      </c>
      <c r="G480" s="196" t="s">
        <v>610</v>
      </c>
      <c r="H480" s="196"/>
      <c r="I480" s="66"/>
      <c r="J480" s="234">
        <f t="shared" si="43"/>
        <v>0</v>
      </c>
      <c r="K480" s="235"/>
      <c r="L480" s="333"/>
      <c r="M480" s="333"/>
      <c r="N480" s="333"/>
      <c r="O480" s="333">
        <v>0</v>
      </c>
      <c r="P480" s="333">
        <v>0</v>
      </c>
      <c r="Q480" s="333">
        <v>0</v>
      </c>
      <c r="R480" s="333">
        <v>0</v>
      </c>
      <c r="S480" s="333">
        <v>0</v>
      </c>
    </row>
    <row r="481" spans="3:21" s="195" customFormat="1" x14ac:dyDescent="0.25">
      <c r="F481" s="196" t="s">
        <v>1050</v>
      </c>
      <c r="G481" s="196" t="s">
        <v>610</v>
      </c>
      <c r="H481" s="196"/>
      <c r="I481" s="66"/>
      <c r="J481" s="234">
        <f t="shared" si="43"/>
        <v>0</v>
      </c>
      <c r="K481" s="235"/>
      <c r="L481" s="333"/>
      <c r="M481" s="333"/>
      <c r="N481" s="333"/>
      <c r="O481" s="333">
        <v>0</v>
      </c>
      <c r="P481" s="333">
        <v>0</v>
      </c>
      <c r="Q481" s="333">
        <v>0</v>
      </c>
      <c r="R481" s="333">
        <v>0</v>
      </c>
      <c r="S481" s="333">
        <v>0</v>
      </c>
    </row>
    <row r="482" spans="3:21" s="195" customFormat="1" x14ac:dyDescent="0.25">
      <c r="F482" s="196" t="s">
        <v>1051</v>
      </c>
      <c r="G482" s="196" t="s">
        <v>610</v>
      </c>
      <c r="H482" s="196"/>
      <c r="I482" s="66"/>
      <c r="J482" s="234">
        <f t="shared" ref="J482" si="47">CHOOSE(year_selection, L482,M482,N482,O482,P482,Q482,R482,S482)</f>
        <v>0</v>
      </c>
      <c r="K482" s="235"/>
      <c r="L482" s="333"/>
      <c r="M482" s="333"/>
      <c r="N482" s="333"/>
      <c r="O482" s="333">
        <v>0</v>
      </c>
      <c r="P482" s="333">
        <v>0</v>
      </c>
      <c r="Q482" s="333">
        <v>0</v>
      </c>
      <c r="R482" s="333">
        <v>0</v>
      </c>
      <c r="S482" s="333">
        <v>0</v>
      </c>
      <c r="T482" s="295"/>
    </row>
    <row r="483" spans="3:21" s="195" customFormat="1" x14ac:dyDescent="0.25">
      <c r="F483" s="196" t="s">
        <v>1052</v>
      </c>
      <c r="G483" s="196" t="s">
        <v>610</v>
      </c>
      <c r="H483" s="196"/>
      <c r="I483" s="66"/>
      <c r="J483" s="240"/>
      <c r="K483" s="235"/>
      <c r="L483" s="240"/>
      <c r="M483" s="240"/>
      <c r="N483" s="240"/>
      <c r="O483" s="240"/>
      <c r="P483" s="240"/>
      <c r="Q483" s="240"/>
      <c r="R483" s="240"/>
      <c r="S483" s="240"/>
    </row>
    <row r="484" spans="3:21" s="195" customFormat="1" x14ac:dyDescent="0.25">
      <c r="F484" s="93" t="s">
        <v>1053</v>
      </c>
      <c r="G484" s="93" t="s">
        <v>610</v>
      </c>
      <c r="H484" s="93"/>
      <c r="I484" s="145"/>
      <c r="J484" s="241"/>
      <c r="K484" s="237"/>
      <c r="L484" s="241"/>
      <c r="M484" s="241"/>
      <c r="N484" s="241"/>
      <c r="O484" s="241"/>
      <c r="P484" s="241"/>
      <c r="Q484" s="241"/>
      <c r="R484" s="241"/>
      <c r="S484" s="241"/>
    </row>
    <row r="485" spans="3:21" s="195" customFormat="1" x14ac:dyDescent="0.25">
      <c r="D485" s="14"/>
      <c r="I485" s="111"/>
      <c r="J485" s="238"/>
      <c r="K485" s="238"/>
      <c r="L485" s="238"/>
      <c r="M485" s="238"/>
      <c r="N485" s="238"/>
      <c r="O485" s="238"/>
      <c r="P485" s="238"/>
      <c r="Q485" s="238"/>
      <c r="R485" s="238"/>
      <c r="S485" s="238"/>
    </row>
    <row r="486" spans="3:21" s="195" customFormat="1" x14ac:dyDescent="0.25">
      <c r="C486" s="7" t="str">
        <f ca="1">INDEX('Version control'!$H$34:$H$60,MATCH($A$1,'Version control'!$F$34:$F$60,0),1)&amp;"-H: HV customer service model asset values"</f>
        <v>Input 501-H: HV customer service model asset values</v>
      </c>
      <c r="D486" s="7"/>
      <c r="E486" s="7"/>
      <c r="F486" s="7"/>
      <c r="G486" s="7"/>
      <c r="H486" s="7"/>
      <c r="I486" s="171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7"/>
      <c r="U486" s="7"/>
    </row>
    <row r="487" spans="3:21" s="195" customFormat="1" x14ac:dyDescent="0.25">
      <c r="I487" s="111"/>
      <c r="J487" s="244"/>
      <c r="K487" s="244"/>
      <c r="L487" s="244"/>
      <c r="M487" s="244"/>
      <c r="N487" s="244"/>
      <c r="O487" s="244"/>
      <c r="P487" s="244"/>
      <c r="Q487" s="244"/>
      <c r="R487" s="244"/>
      <c r="S487" s="244"/>
    </row>
    <row r="488" spans="3:21" s="195" customFormat="1" x14ac:dyDescent="0.25">
      <c r="E488" s="96" t="s">
        <v>742</v>
      </c>
      <c r="I488" s="111"/>
      <c r="J488" s="238"/>
      <c r="K488" s="238"/>
      <c r="L488" s="238"/>
      <c r="M488" s="238"/>
      <c r="N488" s="238"/>
      <c r="O488" s="238"/>
      <c r="P488" s="238"/>
      <c r="Q488" s="238"/>
      <c r="R488" s="238"/>
      <c r="S488" s="238"/>
    </row>
    <row r="489" spans="3:21" s="195" customFormat="1" x14ac:dyDescent="0.25">
      <c r="F489" s="91" t="s">
        <v>1038</v>
      </c>
      <c r="G489" s="91" t="s">
        <v>610</v>
      </c>
      <c r="H489" s="91"/>
      <c r="I489" s="112"/>
      <c r="J489" s="348"/>
      <c r="K489" s="233"/>
      <c r="L489" s="348"/>
      <c r="M489" s="348"/>
      <c r="N489" s="348"/>
      <c r="O489" s="348"/>
      <c r="P489" s="348"/>
      <c r="Q489" s="348"/>
      <c r="R489" s="348"/>
      <c r="S489" s="348"/>
    </row>
    <row r="490" spans="3:21" s="195" customFormat="1" x14ac:dyDescent="0.25">
      <c r="F490" s="196" t="s">
        <v>1039</v>
      </c>
      <c r="G490" s="196" t="s">
        <v>610</v>
      </c>
      <c r="H490" s="196"/>
      <c r="I490" s="66"/>
      <c r="J490" s="347"/>
      <c r="K490" s="235"/>
      <c r="L490" s="347"/>
      <c r="M490" s="347"/>
      <c r="N490" s="347"/>
      <c r="O490" s="347"/>
      <c r="P490" s="347"/>
      <c r="Q490" s="347"/>
      <c r="R490" s="347"/>
      <c r="S490" s="347"/>
    </row>
    <row r="491" spans="3:21" s="195" customFormat="1" x14ac:dyDescent="0.25">
      <c r="F491" s="196" t="s">
        <v>1040</v>
      </c>
      <c r="G491" s="196" t="s">
        <v>610</v>
      </c>
      <c r="H491" s="196"/>
      <c r="I491" s="66"/>
      <c r="J491" s="347"/>
      <c r="K491" s="235"/>
      <c r="L491" s="347"/>
      <c r="M491" s="347"/>
      <c r="N491" s="347"/>
      <c r="O491" s="347"/>
      <c r="P491" s="347"/>
      <c r="Q491" s="347"/>
      <c r="R491" s="347"/>
      <c r="S491" s="347"/>
    </row>
    <row r="492" spans="3:21" s="195" customFormat="1" x14ac:dyDescent="0.25">
      <c r="F492" s="196" t="s">
        <v>1041</v>
      </c>
      <c r="G492" s="196" t="s">
        <v>610</v>
      </c>
      <c r="H492" s="196"/>
      <c r="I492" s="66"/>
      <c r="J492" s="347"/>
      <c r="K492" s="235"/>
      <c r="L492" s="347"/>
      <c r="M492" s="347"/>
      <c r="N492" s="347"/>
      <c r="O492" s="347"/>
      <c r="P492" s="347"/>
      <c r="Q492" s="347"/>
      <c r="R492" s="347"/>
      <c r="S492" s="347"/>
    </row>
    <row r="493" spans="3:21" s="195" customFormat="1" x14ac:dyDescent="0.25">
      <c r="F493" s="196" t="s">
        <v>1042</v>
      </c>
      <c r="G493" s="196" t="s">
        <v>610</v>
      </c>
      <c r="H493" s="196"/>
      <c r="I493" s="66"/>
      <c r="J493" s="347"/>
      <c r="K493" s="235"/>
      <c r="L493" s="347"/>
      <c r="M493" s="347"/>
      <c r="N493" s="347"/>
      <c r="O493" s="347"/>
      <c r="P493" s="347"/>
      <c r="Q493" s="347"/>
      <c r="R493" s="347"/>
      <c r="S493" s="347"/>
    </row>
    <row r="494" spans="3:21" s="195" customFormat="1" x14ac:dyDescent="0.25">
      <c r="F494" s="196" t="s">
        <v>1043</v>
      </c>
      <c r="G494" s="196" t="s">
        <v>610</v>
      </c>
      <c r="H494" s="196"/>
      <c r="I494" s="66"/>
      <c r="J494" s="347"/>
      <c r="K494" s="235"/>
      <c r="L494" s="347"/>
      <c r="M494" s="347"/>
      <c r="N494" s="347"/>
      <c r="O494" s="347"/>
      <c r="P494" s="347"/>
      <c r="Q494" s="347"/>
      <c r="R494" s="347"/>
      <c r="S494" s="347"/>
    </row>
    <row r="495" spans="3:21" s="195" customFormat="1" x14ac:dyDescent="0.25">
      <c r="F495" s="196" t="s">
        <v>1044</v>
      </c>
      <c r="G495" s="196" t="s">
        <v>610</v>
      </c>
      <c r="H495" s="196"/>
      <c r="I495" s="66"/>
      <c r="J495" s="234">
        <f t="shared" ref="J495" si="48">CHOOSE(year_selection, L495,M495,N495,O495,P495,Q495,R495,S495)</f>
        <v>12718.10554</v>
      </c>
      <c r="K495" s="235"/>
      <c r="L495" s="333"/>
      <c r="M495" s="333"/>
      <c r="N495" s="333"/>
      <c r="O495" s="333">
        <v>12718.10554</v>
      </c>
      <c r="P495" s="333">
        <v>12718.10554</v>
      </c>
      <c r="Q495" s="333">
        <v>12718.10554</v>
      </c>
      <c r="R495" s="333">
        <v>12718.10554</v>
      </c>
      <c r="S495" s="333">
        <v>12718.10554</v>
      </c>
    </row>
    <row r="496" spans="3:21" s="195" customFormat="1" x14ac:dyDescent="0.25">
      <c r="F496" s="196" t="s">
        <v>1045</v>
      </c>
      <c r="G496" s="196" t="s">
        <v>610</v>
      </c>
      <c r="H496" s="196"/>
      <c r="I496" s="66"/>
      <c r="J496" s="347"/>
      <c r="K496" s="235"/>
      <c r="L496" s="347"/>
      <c r="M496" s="347"/>
      <c r="N496" s="347"/>
      <c r="O496" s="347"/>
      <c r="P496" s="347"/>
      <c r="Q496" s="347"/>
      <c r="R496" s="347"/>
      <c r="S496" s="347"/>
    </row>
    <row r="497" spans="3:21" s="195" customFormat="1" x14ac:dyDescent="0.25">
      <c r="F497" s="196" t="s">
        <v>1046</v>
      </c>
      <c r="G497" s="196" t="s">
        <v>610</v>
      </c>
      <c r="H497" s="196"/>
      <c r="I497" s="66"/>
      <c r="J497" s="347"/>
      <c r="K497" s="235"/>
      <c r="L497" s="347"/>
      <c r="M497" s="347"/>
      <c r="N497" s="347"/>
      <c r="O497" s="347"/>
      <c r="P497" s="347"/>
      <c r="Q497" s="347"/>
      <c r="R497" s="347"/>
      <c r="S497" s="347"/>
    </row>
    <row r="498" spans="3:21" s="195" customFormat="1" x14ac:dyDescent="0.25">
      <c r="F498" s="196" t="s">
        <v>1047</v>
      </c>
      <c r="G498" s="196" t="s">
        <v>610</v>
      </c>
      <c r="H498" s="196"/>
      <c r="I498" s="66"/>
      <c r="J498" s="347"/>
      <c r="K498" s="235"/>
      <c r="L498" s="347"/>
      <c r="M498" s="347"/>
      <c r="N498" s="347"/>
      <c r="O498" s="347"/>
      <c r="P498" s="347"/>
      <c r="Q498" s="347"/>
      <c r="R498" s="347"/>
      <c r="S498" s="347"/>
    </row>
    <row r="499" spans="3:21" s="195" customFormat="1" x14ac:dyDescent="0.25">
      <c r="F499" s="196" t="s">
        <v>1048</v>
      </c>
      <c r="G499" s="196" t="s">
        <v>610</v>
      </c>
      <c r="H499" s="196"/>
      <c r="I499" s="66"/>
      <c r="J499" s="347"/>
      <c r="K499" s="235"/>
      <c r="L499" s="347"/>
      <c r="M499" s="347"/>
      <c r="N499" s="347"/>
      <c r="O499" s="347"/>
      <c r="P499" s="347"/>
      <c r="Q499" s="347"/>
      <c r="R499" s="347"/>
      <c r="S499" s="347"/>
    </row>
    <row r="500" spans="3:21" s="195" customFormat="1" x14ac:dyDescent="0.25">
      <c r="F500" s="196" t="s">
        <v>1049</v>
      </c>
      <c r="G500" s="196" t="s">
        <v>610</v>
      </c>
      <c r="H500" s="196"/>
      <c r="I500" s="66"/>
      <c r="J500" s="347"/>
      <c r="K500" s="235"/>
      <c r="L500" s="347"/>
      <c r="M500" s="347"/>
      <c r="N500" s="347"/>
      <c r="O500" s="347"/>
      <c r="P500" s="347"/>
      <c r="Q500" s="347"/>
      <c r="R500" s="347"/>
      <c r="S500" s="347"/>
    </row>
    <row r="501" spans="3:21" s="195" customFormat="1" x14ac:dyDescent="0.25">
      <c r="F501" s="196" t="s">
        <v>1050</v>
      </c>
      <c r="G501" s="196" t="s">
        <v>610</v>
      </c>
      <c r="H501" s="196"/>
      <c r="I501" s="66"/>
      <c r="J501" s="347"/>
      <c r="K501" s="235"/>
      <c r="L501" s="347"/>
      <c r="M501" s="347"/>
      <c r="N501" s="347"/>
      <c r="O501" s="347"/>
      <c r="P501" s="347"/>
      <c r="Q501" s="347"/>
      <c r="R501" s="347"/>
      <c r="S501" s="347"/>
    </row>
    <row r="502" spans="3:21" s="195" customFormat="1" x14ac:dyDescent="0.25">
      <c r="F502" s="196" t="s">
        <v>1051</v>
      </c>
      <c r="G502" s="196" t="s">
        <v>610</v>
      </c>
      <c r="H502" s="196"/>
      <c r="I502" s="66"/>
      <c r="J502" s="347"/>
      <c r="K502" s="235"/>
      <c r="L502" s="347"/>
      <c r="M502" s="347"/>
      <c r="N502" s="347"/>
      <c r="O502" s="347"/>
      <c r="P502" s="347"/>
      <c r="Q502" s="347"/>
      <c r="R502" s="347"/>
      <c r="S502" s="347"/>
      <c r="T502" s="295"/>
    </row>
    <row r="503" spans="3:21" s="195" customFormat="1" x14ac:dyDescent="0.25">
      <c r="F503" s="196" t="s">
        <v>1052</v>
      </c>
      <c r="G503" s="196" t="s">
        <v>610</v>
      </c>
      <c r="H503" s="196"/>
      <c r="I503" s="66"/>
      <c r="J503" s="234">
        <f t="shared" ref="J503" si="49">CHOOSE(year_selection, L503,M503,N503,O503,P503,Q503,R503,S503)</f>
        <v>9287</v>
      </c>
      <c r="K503" s="235"/>
      <c r="L503" s="333"/>
      <c r="M503" s="333"/>
      <c r="N503" s="333"/>
      <c r="O503" s="333">
        <v>9287</v>
      </c>
      <c r="P503" s="333">
        <v>9287</v>
      </c>
      <c r="Q503" s="333">
        <v>9287</v>
      </c>
      <c r="R503" s="333">
        <v>9287</v>
      </c>
      <c r="S503" s="333">
        <v>9287</v>
      </c>
      <c r="T503" s="295"/>
    </row>
    <row r="504" spans="3:21" s="195" customFormat="1" x14ac:dyDescent="0.25">
      <c r="F504" s="93" t="s">
        <v>1053</v>
      </c>
      <c r="G504" s="93" t="s">
        <v>610</v>
      </c>
      <c r="H504" s="93"/>
      <c r="I504" s="145"/>
      <c r="J504" s="236">
        <f t="shared" ref="J504" si="50">CHOOSE(year_selection, L504,M504,N504,O504,P504,Q504,R504,S504)</f>
        <v>9287</v>
      </c>
      <c r="K504" s="237"/>
      <c r="L504" s="334"/>
      <c r="M504" s="334"/>
      <c r="N504" s="334"/>
      <c r="O504" s="334">
        <v>9287</v>
      </c>
      <c r="P504" s="334">
        <v>9287</v>
      </c>
      <c r="Q504" s="334">
        <v>9287</v>
      </c>
      <c r="R504" s="334">
        <v>9287</v>
      </c>
      <c r="S504" s="334">
        <v>9287</v>
      </c>
      <c r="T504" s="295"/>
    </row>
    <row r="505" spans="3:21" s="195" customFormat="1" x14ac:dyDescent="0.25">
      <c r="D505" s="14"/>
      <c r="I505" s="111"/>
      <c r="J505" s="238"/>
      <c r="K505" s="238"/>
      <c r="L505" s="238"/>
      <c r="M505" s="238"/>
      <c r="N505" s="238"/>
      <c r="O505" s="238"/>
      <c r="P505" s="238"/>
      <c r="Q505" s="238"/>
      <c r="R505" s="238"/>
      <c r="S505" s="238"/>
    </row>
    <row r="506" spans="3:21" s="195" customFormat="1" x14ac:dyDescent="0.25">
      <c r="C506" s="7" t="str">
        <f ca="1">INDEX('Version control'!$H$34:$H$60,MATCH($A$1,'Version control'!$F$34:$F$60,0),1)&amp;"-I: LV UMS customer service model asset values"</f>
        <v>Input 501-I: LV UMS customer service model asset values</v>
      </c>
      <c r="D506" s="7"/>
      <c r="E506" s="7"/>
      <c r="F506" s="7"/>
      <c r="G506" s="7"/>
      <c r="H506" s="7"/>
      <c r="I506" s="171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7"/>
      <c r="U506" s="7"/>
    </row>
    <row r="507" spans="3:21" s="195" customFormat="1" x14ac:dyDescent="0.25">
      <c r="I507" s="111"/>
      <c r="J507" s="244"/>
      <c r="K507" s="244"/>
      <c r="L507" s="244"/>
      <c r="M507" s="244"/>
      <c r="N507" s="244"/>
      <c r="O507" s="244"/>
      <c r="P507" s="244"/>
      <c r="Q507" s="244"/>
      <c r="R507" s="244"/>
      <c r="S507" s="244"/>
    </row>
    <row r="508" spans="3:21" s="195" customFormat="1" x14ac:dyDescent="0.25">
      <c r="E508" s="96" t="s">
        <v>743</v>
      </c>
      <c r="I508" s="111" t="s">
        <v>431</v>
      </c>
      <c r="J508" s="238"/>
      <c r="K508" s="238"/>
      <c r="L508" s="238"/>
      <c r="M508" s="238"/>
      <c r="N508" s="238"/>
      <c r="O508" s="238"/>
      <c r="P508" s="238"/>
      <c r="Q508" s="238"/>
      <c r="R508" s="238"/>
      <c r="S508" s="238"/>
      <c r="U508" s="195" t="s">
        <v>813</v>
      </c>
    </row>
    <row r="509" spans="3:21" s="195" customFormat="1" x14ac:dyDescent="0.25">
      <c r="F509" s="91" t="s">
        <v>1038</v>
      </c>
      <c r="G509" s="91" t="s">
        <v>328</v>
      </c>
      <c r="H509" s="91"/>
      <c r="I509" s="112"/>
      <c r="J509" s="239"/>
      <c r="K509" s="233"/>
      <c r="L509" s="239"/>
      <c r="M509" s="239"/>
      <c r="N509" s="239"/>
      <c r="O509" s="239"/>
      <c r="P509" s="239"/>
      <c r="Q509" s="239"/>
      <c r="R509" s="239"/>
      <c r="S509" s="239"/>
    </row>
    <row r="510" spans="3:21" s="195" customFormat="1" x14ac:dyDescent="0.25">
      <c r="F510" s="196" t="s">
        <v>1039</v>
      </c>
      <c r="G510" s="196" t="s">
        <v>328</v>
      </c>
      <c r="H510" s="196"/>
      <c r="I510" s="66"/>
      <c r="J510" s="240"/>
      <c r="K510" s="235"/>
      <c r="L510" s="240"/>
      <c r="M510" s="240"/>
      <c r="N510" s="240"/>
      <c r="O510" s="240"/>
      <c r="P510" s="240"/>
      <c r="Q510" s="240"/>
      <c r="R510" s="240"/>
      <c r="S510" s="240"/>
    </row>
    <row r="511" spans="3:21" s="195" customFormat="1" x14ac:dyDescent="0.25">
      <c r="F511" s="196" t="s">
        <v>1040</v>
      </c>
      <c r="G511" s="196" t="s">
        <v>328</v>
      </c>
      <c r="H511" s="196"/>
      <c r="I511" s="66"/>
      <c r="J511" s="240"/>
      <c r="K511" s="235"/>
      <c r="L511" s="240"/>
      <c r="M511" s="240"/>
      <c r="N511" s="240"/>
      <c r="O511" s="240"/>
      <c r="P511" s="240"/>
      <c r="Q511" s="240"/>
      <c r="R511" s="240"/>
      <c r="S511" s="240"/>
    </row>
    <row r="512" spans="3:21" s="195" customFormat="1" x14ac:dyDescent="0.25">
      <c r="F512" s="196" t="s">
        <v>1041</v>
      </c>
      <c r="G512" s="196" t="s">
        <v>328</v>
      </c>
      <c r="H512" s="196"/>
      <c r="I512" s="66"/>
      <c r="J512" s="240"/>
      <c r="K512" s="235"/>
      <c r="L512" s="240"/>
      <c r="M512" s="240"/>
      <c r="N512" s="240"/>
      <c r="O512" s="240"/>
      <c r="P512" s="240"/>
      <c r="Q512" s="240"/>
      <c r="R512" s="240"/>
      <c r="S512" s="240"/>
    </row>
    <row r="513" spans="2:49" s="195" customFormat="1" x14ac:dyDescent="0.25">
      <c r="F513" s="196" t="s">
        <v>1042</v>
      </c>
      <c r="G513" s="196" t="s">
        <v>328</v>
      </c>
      <c r="H513" s="196"/>
      <c r="I513" s="66"/>
      <c r="J513" s="240"/>
      <c r="K513" s="235"/>
      <c r="L513" s="240"/>
      <c r="M513" s="240"/>
      <c r="N513" s="240"/>
      <c r="O513" s="240"/>
      <c r="P513" s="240"/>
      <c r="Q513" s="240"/>
      <c r="R513" s="240"/>
      <c r="S513" s="240"/>
    </row>
    <row r="514" spans="2:49" s="195" customFormat="1" x14ac:dyDescent="0.25">
      <c r="F514" s="196" t="s">
        <v>1043</v>
      </c>
      <c r="G514" s="196" t="s">
        <v>328</v>
      </c>
      <c r="H514" s="196"/>
      <c r="I514" s="66"/>
      <c r="J514" s="240"/>
      <c r="K514" s="235"/>
      <c r="L514" s="240"/>
      <c r="M514" s="240"/>
      <c r="N514" s="240"/>
      <c r="O514" s="240"/>
      <c r="P514" s="240"/>
      <c r="Q514" s="240"/>
      <c r="R514" s="240"/>
      <c r="S514" s="240"/>
    </row>
    <row r="515" spans="2:49" s="195" customFormat="1" x14ac:dyDescent="0.25">
      <c r="F515" s="196" t="s">
        <v>1044</v>
      </c>
      <c r="G515" s="196" t="s">
        <v>328</v>
      </c>
      <c r="H515" s="196"/>
      <c r="I515" s="66"/>
      <c r="J515" s="240"/>
      <c r="K515" s="235"/>
      <c r="L515" s="240"/>
      <c r="M515" s="240"/>
      <c r="N515" s="240"/>
      <c r="O515" s="240"/>
      <c r="P515" s="240"/>
      <c r="Q515" s="240"/>
      <c r="R515" s="240"/>
      <c r="S515" s="240"/>
    </row>
    <row r="516" spans="2:49" s="195" customFormat="1" x14ac:dyDescent="0.25">
      <c r="F516" s="196" t="s">
        <v>1045</v>
      </c>
      <c r="G516" s="196" t="s">
        <v>328</v>
      </c>
      <c r="H516" s="196"/>
      <c r="I516" s="66"/>
      <c r="J516" s="234">
        <f>CHOOSE(year_selection, L516,M516,N516,O516,P516,Q516,R516,S516)</f>
        <v>120.51</v>
      </c>
      <c r="K516" s="235"/>
      <c r="L516" s="333"/>
      <c r="M516" s="333"/>
      <c r="N516" s="333"/>
      <c r="O516" s="333">
        <v>120.51</v>
      </c>
      <c r="P516" s="333">
        <v>120.51</v>
      </c>
      <c r="Q516" s="333">
        <v>120.51</v>
      </c>
      <c r="R516" s="333">
        <v>120.51</v>
      </c>
      <c r="S516" s="333">
        <v>120.51</v>
      </c>
    </row>
    <row r="517" spans="2:49" s="195" customFormat="1" x14ac:dyDescent="0.25">
      <c r="F517" s="196" t="s">
        <v>1046</v>
      </c>
      <c r="G517" s="196" t="s">
        <v>328</v>
      </c>
      <c r="H517" s="196"/>
      <c r="I517" s="66"/>
      <c r="J517" s="240"/>
      <c r="K517" s="235"/>
      <c r="L517" s="240"/>
      <c r="M517" s="240"/>
      <c r="N517" s="240"/>
      <c r="O517" s="240"/>
      <c r="P517" s="240"/>
      <c r="Q517" s="240"/>
      <c r="R517" s="240"/>
      <c r="S517" s="240"/>
    </row>
    <row r="518" spans="2:49" s="195" customFormat="1" x14ac:dyDescent="0.25">
      <c r="F518" s="196" t="s">
        <v>1047</v>
      </c>
      <c r="G518" s="196" t="s">
        <v>328</v>
      </c>
      <c r="H518" s="196"/>
      <c r="I518" s="66"/>
      <c r="J518" s="240"/>
      <c r="K518" s="235"/>
      <c r="L518" s="240"/>
      <c r="M518" s="240"/>
      <c r="N518" s="240"/>
      <c r="O518" s="240"/>
      <c r="P518" s="240"/>
      <c r="Q518" s="240"/>
      <c r="R518" s="240"/>
      <c r="S518" s="240"/>
    </row>
    <row r="519" spans="2:49" s="195" customFormat="1" x14ac:dyDescent="0.25">
      <c r="F519" s="196" t="s">
        <v>1048</v>
      </c>
      <c r="G519" s="196" t="s">
        <v>328</v>
      </c>
      <c r="H519" s="196"/>
      <c r="I519" s="66"/>
      <c r="J519" s="240"/>
      <c r="K519" s="235"/>
      <c r="L519" s="240"/>
      <c r="M519" s="240"/>
      <c r="N519" s="240"/>
      <c r="O519" s="240"/>
      <c r="P519" s="240"/>
      <c r="Q519" s="240"/>
      <c r="R519" s="240"/>
      <c r="S519" s="240"/>
    </row>
    <row r="520" spans="2:49" s="195" customFormat="1" x14ac:dyDescent="0.25">
      <c r="F520" s="196" t="s">
        <v>1049</v>
      </c>
      <c r="G520" s="196" t="s">
        <v>328</v>
      </c>
      <c r="H520" s="196"/>
      <c r="I520" s="66"/>
      <c r="J520" s="240"/>
      <c r="K520" s="235"/>
      <c r="L520" s="240"/>
      <c r="M520" s="240"/>
      <c r="N520" s="240"/>
      <c r="O520" s="240"/>
      <c r="P520" s="240"/>
      <c r="Q520" s="240"/>
      <c r="R520" s="240"/>
      <c r="S520" s="240"/>
    </row>
    <row r="521" spans="2:49" s="195" customFormat="1" x14ac:dyDescent="0.25">
      <c r="F521" s="196" t="s">
        <v>1050</v>
      </c>
      <c r="G521" s="196" t="s">
        <v>328</v>
      </c>
      <c r="H521" s="196"/>
      <c r="I521" s="66"/>
      <c r="J521" s="240"/>
      <c r="K521" s="235"/>
      <c r="L521" s="240"/>
      <c r="M521" s="240"/>
      <c r="N521" s="240"/>
      <c r="O521" s="240"/>
      <c r="P521" s="240"/>
      <c r="Q521" s="240"/>
      <c r="R521" s="240"/>
      <c r="S521" s="240"/>
    </row>
    <row r="522" spans="2:49" s="195" customFormat="1" x14ac:dyDescent="0.25">
      <c r="F522" s="196" t="s">
        <v>1051</v>
      </c>
      <c r="G522" s="196" t="s">
        <v>328</v>
      </c>
      <c r="H522" s="196"/>
      <c r="I522" s="66"/>
      <c r="J522" s="240"/>
      <c r="K522" s="235"/>
      <c r="L522" s="240"/>
      <c r="M522" s="240"/>
      <c r="N522" s="240"/>
      <c r="O522" s="240"/>
      <c r="P522" s="240"/>
      <c r="Q522" s="240"/>
      <c r="R522" s="240"/>
      <c r="S522" s="240"/>
    </row>
    <row r="523" spans="2:49" s="195" customFormat="1" x14ac:dyDescent="0.25">
      <c r="F523" s="196" t="s">
        <v>1052</v>
      </c>
      <c r="G523" s="196" t="s">
        <v>328</v>
      </c>
      <c r="H523" s="196"/>
      <c r="I523" s="66"/>
      <c r="J523" s="240"/>
      <c r="K523" s="235"/>
      <c r="L523" s="240"/>
      <c r="M523" s="240"/>
      <c r="N523" s="240"/>
      <c r="O523" s="240"/>
      <c r="P523" s="240"/>
      <c r="Q523" s="240"/>
      <c r="R523" s="240"/>
      <c r="S523" s="240"/>
      <c r="T523" s="295"/>
    </row>
    <row r="524" spans="2:49" s="195" customFormat="1" x14ac:dyDescent="0.25">
      <c r="F524" s="93" t="s">
        <v>1053</v>
      </c>
      <c r="G524" s="93" t="s">
        <v>328</v>
      </c>
      <c r="H524" s="93"/>
      <c r="I524" s="145"/>
      <c r="J524" s="241"/>
      <c r="K524" s="237"/>
      <c r="L524" s="241"/>
      <c r="M524" s="241"/>
      <c r="N524" s="241"/>
      <c r="O524" s="241"/>
      <c r="P524" s="241"/>
      <c r="Q524" s="241"/>
      <c r="R524" s="241"/>
      <c r="S524" s="241"/>
      <c r="T524" s="295"/>
    </row>
    <row r="525" spans="2:49" s="195" customFormat="1" x14ac:dyDescent="0.25">
      <c r="D525" s="14"/>
      <c r="I525" s="111"/>
      <c r="J525" s="111"/>
      <c r="K525" s="111"/>
      <c r="L525" s="111"/>
      <c r="M525" s="111"/>
      <c r="N525" s="111"/>
      <c r="O525" s="111"/>
      <c r="P525" s="111"/>
      <c r="Q525" s="111"/>
      <c r="R525" s="111"/>
      <c r="S525" s="111"/>
    </row>
    <row r="526" spans="2:49" x14ac:dyDescent="0.25">
      <c r="B526" s="95" t="s">
        <v>109</v>
      </c>
      <c r="C526" s="95"/>
      <c r="D526" s="95"/>
      <c r="E526" s="95"/>
      <c r="F526" s="95"/>
      <c r="G526" s="95"/>
      <c r="H526" s="95"/>
      <c r="I526" s="160"/>
      <c r="J526" s="160"/>
      <c r="K526" s="160"/>
      <c r="L526" s="160"/>
      <c r="M526" s="160"/>
      <c r="N526" s="160"/>
      <c r="O526" s="160"/>
      <c r="P526" s="160"/>
      <c r="Q526" s="160"/>
      <c r="R526" s="160"/>
      <c r="S526" s="160"/>
      <c r="T526" s="95"/>
      <c r="U526" s="95"/>
      <c r="W526" s="95"/>
      <c r="X526" s="95"/>
      <c r="Y526" s="95"/>
      <c r="Z526" s="95"/>
      <c r="AA526" s="95"/>
      <c r="AB526" s="95"/>
      <c r="AC526" s="95"/>
      <c r="AD526" s="95"/>
      <c r="AE526" s="95"/>
      <c r="AF526" s="95"/>
      <c r="AG526" s="95"/>
      <c r="AH526" s="95"/>
      <c r="AI526" s="95"/>
      <c r="AJ526" s="95"/>
      <c r="AK526" s="95"/>
      <c r="AL526" s="95"/>
      <c r="AM526" s="95"/>
      <c r="AN526" s="95"/>
      <c r="AO526" s="95"/>
      <c r="AP526" s="95"/>
      <c r="AQ526" s="95"/>
      <c r="AR526" s="95"/>
      <c r="AS526" s="95"/>
      <c r="AT526" s="95"/>
      <c r="AU526" s="95"/>
      <c r="AV526" s="95"/>
      <c r="AW526" s="95"/>
    </row>
    <row r="527" spans="2:49" x14ac:dyDescent="0.25">
      <c r="H527" s="111"/>
      <c r="J527" s="111"/>
      <c r="K527" s="111"/>
      <c r="L527" s="111"/>
      <c r="M527" s="111"/>
      <c r="N527" s="111"/>
      <c r="O527" s="111"/>
      <c r="P527" s="111"/>
      <c r="Q527" s="111"/>
      <c r="R527" s="111"/>
      <c r="S527" s="111"/>
    </row>
    <row r="528" spans="2:49" x14ac:dyDescent="0.25">
      <c r="E528" s="85" t="s">
        <v>516</v>
      </c>
      <c r="G528" s="60" t="s">
        <v>692</v>
      </c>
      <c r="H528" s="178">
        <f t="array" ref="H528">SUM(IF(ISERROR(H19:S525), 1))</f>
        <v>0</v>
      </c>
      <c r="J528" s="111"/>
      <c r="K528" s="111"/>
      <c r="L528" s="111"/>
      <c r="M528" s="111"/>
      <c r="N528" s="111"/>
      <c r="O528" s="111"/>
      <c r="P528" s="111"/>
      <c r="Q528" s="111"/>
      <c r="R528" s="111"/>
      <c r="S528" s="111"/>
    </row>
    <row r="529" spans="2:49" x14ac:dyDescent="0.25">
      <c r="H529" s="111"/>
      <c r="J529" s="111"/>
      <c r="K529" s="111"/>
      <c r="L529" s="111"/>
      <c r="M529" s="111"/>
      <c r="N529" s="111"/>
      <c r="O529" s="111"/>
      <c r="P529" s="111"/>
      <c r="Q529" s="111"/>
      <c r="R529" s="111"/>
      <c r="S529" s="111"/>
    </row>
    <row r="530" spans="2:49" x14ac:dyDescent="0.25">
      <c r="E530" s="85" t="s">
        <v>446</v>
      </c>
      <c r="G530" s="60" t="s">
        <v>692</v>
      </c>
      <c r="H530" s="212">
        <f>SUM(H528)</f>
        <v>0</v>
      </c>
      <c r="J530" s="111"/>
      <c r="K530" s="111"/>
      <c r="L530" s="111"/>
      <c r="M530" s="111"/>
      <c r="N530" s="111"/>
      <c r="O530" s="111"/>
      <c r="P530" s="111"/>
      <c r="Q530" s="111"/>
      <c r="R530" s="111"/>
      <c r="S530" s="111"/>
    </row>
    <row r="531" spans="2:49" x14ac:dyDescent="0.25">
      <c r="J531" s="111"/>
      <c r="K531" s="111"/>
      <c r="L531" s="111"/>
      <c r="M531" s="111"/>
      <c r="N531" s="111"/>
      <c r="O531" s="111"/>
      <c r="P531" s="111"/>
      <c r="Q531" s="111"/>
      <c r="R531" s="111"/>
      <c r="S531" s="111"/>
    </row>
    <row r="532" spans="2:49" x14ac:dyDescent="0.25">
      <c r="B532" s="95" t="s">
        <v>110</v>
      </c>
      <c r="C532" s="95"/>
      <c r="D532" s="95"/>
      <c r="E532" s="95"/>
      <c r="F532" s="95"/>
      <c r="G532" s="95"/>
      <c r="H532" s="95"/>
      <c r="I532" s="160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W532" s="95"/>
      <c r="X532" s="95"/>
      <c r="Y532" s="95"/>
      <c r="Z532" s="95"/>
      <c r="AA532" s="95"/>
      <c r="AB532" s="95"/>
      <c r="AC532" s="95"/>
      <c r="AD532" s="95"/>
      <c r="AE532" s="95"/>
      <c r="AF532" s="95"/>
      <c r="AG532" s="95"/>
      <c r="AH532" s="95"/>
      <c r="AI532" s="95"/>
      <c r="AJ532" s="95"/>
      <c r="AK532" s="95"/>
      <c r="AL532" s="95"/>
      <c r="AM532" s="95"/>
      <c r="AN532" s="95"/>
      <c r="AO532" s="95"/>
      <c r="AP532" s="95"/>
      <c r="AQ532" s="95"/>
      <c r="AR532" s="95"/>
      <c r="AS532" s="95"/>
      <c r="AT532" s="95"/>
      <c r="AU532" s="95"/>
      <c r="AV532" s="95"/>
      <c r="AW532" s="95"/>
    </row>
  </sheetData>
  <sheetProtection formatCells="0" formatColumns="0" formatRows="0" sort="0" autoFilter="0"/>
  <conditionalFormatting sqref="H528">
    <cfRule type="cellIs" dxfId="250" priority="3" operator="greaterThan">
      <formula>0</formula>
    </cfRule>
  </conditionalFormatting>
  <conditionalFormatting sqref="H530">
    <cfRule type="cellIs" dxfId="249" priority="4" operator="greaterThan">
      <formula>0</formula>
    </cfRule>
  </conditionalFormatting>
  <conditionalFormatting sqref="A4:XFD4">
    <cfRule type="expression" dxfId="248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516:S516 L491:S50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31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G143" sqref="G143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" width="20.7109375" style="85" hidden="1" customWidth="1"/>
    <col min="28" max="28" width="2.7109375" style="85" hidden="1" customWidth="1"/>
    <col min="29" max="256" width="20.710937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25">
      <c r="A4" s="229" t="str">
        <f>H218 &amp; IF(H218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797</v>
      </c>
    </row>
    <row r="11" spans="1:97" s="295" customFormat="1" x14ac:dyDescent="0.25">
      <c r="C11" s="82" t="s">
        <v>796</v>
      </c>
    </row>
    <row r="12" spans="1:97" s="295" customFormat="1" x14ac:dyDescent="0.25">
      <c r="C12" s="82" t="s">
        <v>891</v>
      </c>
    </row>
    <row r="13" spans="1:97" x14ac:dyDescent="0.25">
      <c r="D13" s="14"/>
    </row>
    <row r="14" spans="1:97" x14ac:dyDescent="0.2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431</v>
      </c>
      <c r="U18" s="90" t="s">
        <v>919</v>
      </c>
    </row>
    <row r="19" spans="3:21" x14ac:dyDescent="0.25">
      <c r="F19" s="16" t="s">
        <v>324</v>
      </c>
      <c r="G19" s="16" t="s">
        <v>94</v>
      </c>
      <c r="H19" s="91"/>
      <c r="I19" s="91"/>
      <c r="J19" s="245"/>
      <c r="K19" s="246"/>
      <c r="L19" s="245"/>
      <c r="M19" s="245"/>
      <c r="N19" s="245"/>
      <c r="O19" s="245"/>
      <c r="P19" s="245"/>
      <c r="Q19" s="245"/>
      <c r="R19" s="245"/>
      <c r="S19" s="245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4">
        <f>CHOOSE(year_selection, L20,M20,N20,O20,P20,Q20,R20,S20)</f>
        <v>2.5000000000000001E-2</v>
      </c>
      <c r="K20" s="250"/>
      <c r="L20" s="330">
        <v>2.5000000000000001E-2</v>
      </c>
      <c r="M20" s="330">
        <v>2.5000000000000001E-2</v>
      </c>
      <c r="N20" s="330">
        <v>2.5000000000000001E-2</v>
      </c>
      <c r="O20" s="330">
        <v>2.5000000000000001E-2</v>
      </c>
      <c r="P20" s="330">
        <v>2.5000000000000001E-2</v>
      </c>
      <c r="Q20" s="330">
        <v>2.5000000000000001E-2</v>
      </c>
      <c r="R20" s="330">
        <v>2.5000000000000001E-2</v>
      </c>
      <c r="S20" s="330">
        <v>2.5000000000000001E-2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4">
        <f>CHOOSE(year_selection, L21,M21,N21,O21,P21,Q21,R21,S21)</f>
        <v>0.1</v>
      </c>
      <c r="K21" s="250"/>
      <c r="L21" s="330">
        <v>0.1</v>
      </c>
      <c r="M21" s="330">
        <v>0.1</v>
      </c>
      <c r="N21" s="330">
        <v>0.1</v>
      </c>
      <c r="O21" s="330">
        <v>0.1</v>
      </c>
      <c r="P21" s="330">
        <v>0.1</v>
      </c>
      <c r="Q21" s="330">
        <v>0.1</v>
      </c>
      <c r="R21" s="330">
        <v>0.1</v>
      </c>
      <c r="S21" s="330">
        <v>0.1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7"/>
      <c r="K22" s="250"/>
      <c r="L22" s="247"/>
      <c r="M22" s="247"/>
      <c r="N22" s="247"/>
      <c r="O22" s="247"/>
      <c r="P22" s="247"/>
      <c r="Q22" s="247"/>
      <c r="R22" s="247"/>
      <c r="S22" s="247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4">
        <f>CHOOSE(year_selection, L23,M23,N23,O23,P23,Q23,R23,S23)</f>
        <v>0.26</v>
      </c>
      <c r="K23" s="250"/>
      <c r="L23" s="330">
        <v>0.26</v>
      </c>
      <c r="M23" s="330">
        <v>0.26</v>
      </c>
      <c r="N23" s="330">
        <v>0.26</v>
      </c>
      <c r="O23" s="330">
        <v>0.26</v>
      </c>
      <c r="P23" s="330">
        <v>0.26</v>
      </c>
      <c r="Q23" s="330">
        <v>0.26</v>
      </c>
      <c r="R23" s="330">
        <v>0.26</v>
      </c>
      <c r="S23" s="330">
        <v>0.26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7"/>
      <c r="K24" s="250"/>
      <c r="L24" s="247"/>
      <c r="M24" s="247"/>
      <c r="N24" s="247"/>
      <c r="O24" s="247"/>
      <c r="P24" s="247"/>
      <c r="Q24" s="247"/>
      <c r="R24" s="247"/>
      <c r="S24" s="247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7"/>
      <c r="K25" s="250"/>
      <c r="L25" s="247"/>
      <c r="M25" s="247"/>
      <c r="N25" s="247"/>
      <c r="O25" s="247"/>
      <c r="P25" s="247"/>
      <c r="Q25" s="247"/>
      <c r="R25" s="247"/>
      <c r="S25" s="247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4">
        <f>CHOOSE(year_selection, L26,M26,N26,O26,P26,Q26,R26,S26)</f>
        <v>0.2</v>
      </c>
      <c r="K26" s="250"/>
      <c r="L26" s="330">
        <v>0.2</v>
      </c>
      <c r="M26" s="330">
        <v>0.2</v>
      </c>
      <c r="N26" s="330">
        <v>0.2</v>
      </c>
      <c r="O26" s="330">
        <v>0.2</v>
      </c>
      <c r="P26" s="330">
        <v>0.2</v>
      </c>
      <c r="Q26" s="330">
        <v>0.2</v>
      </c>
      <c r="R26" s="330">
        <v>0.2</v>
      </c>
      <c r="S26" s="330">
        <v>0.2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7"/>
      <c r="K27" s="250"/>
      <c r="L27" s="247"/>
      <c r="M27" s="247"/>
      <c r="N27" s="247"/>
      <c r="O27" s="247"/>
      <c r="P27" s="247"/>
      <c r="Q27" s="247"/>
      <c r="R27" s="247"/>
      <c r="S27" s="247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1"/>
      <c r="K28" s="252"/>
      <c r="L28" s="251"/>
      <c r="M28" s="251"/>
      <c r="N28" s="251"/>
      <c r="O28" s="251"/>
      <c r="P28" s="251"/>
      <c r="Q28" s="251"/>
      <c r="R28" s="251"/>
      <c r="S28" s="251"/>
      <c r="U28" s="90"/>
    </row>
    <row r="29" spans="3:21" x14ac:dyDescent="0.25">
      <c r="J29" s="238"/>
      <c r="K29" s="238"/>
      <c r="L29" s="238"/>
      <c r="M29" s="238"/>
      <c r="N29" s="238"/>
      <c r="O29" s="238"/>
      <c r="P29" s="238"/>
      <c r="Q29" s="238"/>
      <c r="R29" s="238"/>
      <c r="S29" s="238"/>
    </row>
    <row r="30" spans="3:21" s="195" customFormat="1" x14ac:dyDescent="0.2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7"/>
      <c r="U30" s="7"/>
    </row>
    <row r="31" spans="3:21" s="195" customFormat="1" x14ac:dyDescent="0.25">
      <c r="J31" s="253"/>
      <c r="K31" s="253"/>
      <c r="L31" s="253"/>
      <c r="M31" s="253"/>
      <c r="N31" s="253"/>
      <c r="O31" s="253"/>
      <c r="P31" s="253"/>
      <c r="Q31" s="253"/>
      <c r="R31" s="253"/>
      <c r="S31" s="253"/>
    </row>
    <row r="32" spans="3:21" x14ac:dyDescent="0.25">
      <c r="E32" s="146" t="s">
        <v>523</v>
      </c>
      <c r="G32" s="76"/>
      <c r="H32" s="76"/>
      <c r="I32" s="117"/>
      <c r="J32" s="238"/>
      <c r="K32" s="238"/>
      <c r="L32" s="238"/>
      <c r="M32" s="238"/>
      <c r="N32" s="238"/>
      <c r="O32" s="238"/>
      <c r="P32" s="238"/>
      <c r="Q32" s="238"/>
      <c r="R32" s="238"/>
      <c r="S32" s="238"/>
    </row>
    <row r="33" spans="3:21" x14ac:dyDescent="0.25">
      <c r="F33" s="16" t="s">
        <v>324</v>
      </c>
      <c r="G33" s="16" t="s">
        <v>94</v>
      </c>
      <c r="H33" s="91"/>
      <c r="I33" s="91"/>
      <c r="J33" s="245"/>
      <c r="K33" s="246"/>
      <c r="L33" s="245"/>
      <c r="M33" s="245"/>
      <c r="N33" s="245"/>
      <c r="O33" s="245"/>
      <c r="P33" s="245"/>
      <c r="Q33" s="245"/>
      <c r="R33" s="245"/>
      <c r="S33" s="245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7"/>
      <c r="K34" s="250"/>
      <c r="L34" s="247"/>
      <c r="M34" s="247"/>
      <c r="N34" s="247"/>
      <c r="O34" s="247"/>
      <c r="P34" s="247"/>
      <c r="Q34" s="247"/>
      <c r="R34" s="247"/>
      <c r="S34" s="247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7"/>
      <c r="K35" s="250"/>
      <c r="L35" s="247"/>
      <c r="M35" s="247"/>
      <c r="N35" s="247"/>
      <c r="O35" s="247"/>
      <c r="P35" s="247"/>
      <c r="Q35" s="247"/>
      <c r="R35" s="247"/>
      <c r="S35" s="247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7"/>
      <c r="K36" s="250"/>
      <c r="L36" s="247"/>
      <c r="M36" s="247"/>
      <c r="N36" s="247"/>
      <c r="O36" s="247"/>
      <c r="P36" s="247"/>
      <c r="Q36" s="247"/>
      <c r="R36" s="247"/>
      <c r="S36" s="247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7"/>
      <c r="K37" s="250"/>
      <c r="L37" s="247"/>
      <c r="M37" s="247"/>
      <c r="N37" s="247"/>
      <c r="O37" s="247"/>
      <c r="P37" s="247"/>
      <c r="Q37" s="247"/>
      <c r="R37" s="247"/>
      <c r="S37" s="247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7"/>
      <c r="K38" s="250"/>
      <c r="L38" s="247"/>
      <c r="M38" s="247"/>
      <c r="N38" s="247"/>
      <c r="O38" s="247"/>
      <c r="P38" s="247"/>
      <c r="Q38" s="247"/>
      <c r="R38" s="247"/>
      <c r="S38" s="247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4">
        <f>CHOOSE(year_selection, L39,M39,N39,O39,P39,Q39,R39,S39)</f>
        <v>0</v>
      </c>
      <c r="K39" s="250"/>
      <c r="L39" s="330">
        <v>0</v>
      </c>
      <c r="M39" s="330">
        <v>0</v>
      </c>
      <c r="N39" s="330">
        <v>0</v>
      </c>
      <c r="O39" s="330">
        <v>0</v>
      </c>
      <c r="P39" s="330">
        <v>0</v>
      </c>
      <c r="Q39" s="330">
        <v>0</v>
      </c>
      <c r="R39" s="330">
        <v>0</v>
      </c>
      <c r="S39" s="330"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7"/>
      <c r="K40" s="250"/>
      <c r="L40" s="247"/>
      <c r="M40" s="247"/>
      <c r="N40" s="247"/>
      <c r="O40" s="247"/>
      <c r="P40" s="247"/>
      <c r="Q40" s="247"/>
      <c r="R40" s="247"/>
      <c r="S40" s="247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7"/>
      <c r="K41" s="250"/>
      <c r="L41" s="247"/>
      <c r="M41" s="247"/>
      <c r="N41" s="247"/>
      <c r="O41" s="247"/>
      <c r="P41" s="247"/>
      <c r="Q41" s="247"/>
      <c r="R41" s="247"/>
      <c r="S41" s="247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1"/>
      <c r="K42" s="252"/>
      <c r="L42" s="251"/>
      <c r="M42" s="251"/>
      <c r="N42" s="251"/>
      <c r="O42" s="251"/>
      <c r="P42" s="251"/>
      <c r="Q42" s="251"/>
      <c r="R42" s="251"/>
      <c r="S42" s="251"/>
      <c r="U42" s="90"/>
    </row>
    <row r="43" spans="3:21" x14ac:dyDescent="0.25">
      <c r="J43" s="238"/>
      <c r="K43" s="238"/>
      <c r="L43" s="238"/>
      <c r="M43" s="238"/>
      <c r="N43" s="238"/>
      <c r="O43" s="238"/>
      <c r="P43" s="238"/>
      <c r="Q43" s="238"/>
      <c r="R43" s="238"/>
      <c r="S43" s="238"/>
    </row>
    <row r="44" spans="3:21" s="195" customFormat="1" x14ac:dyDescent="0.2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7"/>
      <c r="U44" s="7"/>
    </row>
    <row r="45" spans="3:21" s="195" customFormat="1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</row>
    <row r="46" spans="3:21" x14ac:dyDescent="0.25">
      <c r="E46" s="146" t="s">
        <v>253</v>
      </c>
      <c r="F46" s="76"/>
      <c r="G46" s="76"/>
      <c r="H46" s="92"/>
      <c r="I46" s="85" t="s">
        <v>431</v>
      </c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U46" s="90" t="s">
        <v>800</v>
      </c>
    </row>
    <row r="47" spans="3:21" x14ac:dyDescent="0.25">
      <c r="E47" s="76"/>
      <c r="F47" s="16" t="s">
        <v>324</v>
      </c>
      <c r="G47" s="16" t="s">
        <v>528</v>
      </c>
      <c r="H47" s="91"/>
      <c r="I47" s="91"/>
      <c r="J47" s="245"/>
      <c r="K47" s="246"/>
      <c r="L47" s="245"/>
      <c r="M47" s="245"/>
      <c r="N47" s="245"/>
      <c r="O47" s="245"/>
      <c r="P47" s="245"/>
      <c r="Q47" s="245"/>
      <c r="R47" s="245"/>
      <c r="S47" s="245"/>
      <c r="U47" s="90"/>
    </row>
    <row r="48" spans="3:21" x14ac:dyDescent="0.25">
      <c r="E48" s="76"/>
      <c r="F48" s="76" t="s">
        <v>43</v>
      </c>
      <c r="G48" s="76" t="s">
        <v>528</v>
      </c>
      <c r="H48" s="92"/>
      <c r="I48" s="92"/>
      <c r="J48" s="234">
        <f>CHOOSE(year_selection, L48,M48,N48,O48,P48,Q48,R48,S48)</f>
        <v>1</v>
      </c>
      <c r="K48" s="248"/>
      <c r="L48" s="330">
        <v>1</v>
      </c>
      <c r="M48" s="330">
        <v>1</v>
      </c>
      <c r="N48" s="330">
        <v>1</v>
      </c>
      <c r="O48" s="330">
        <v>1</v>
      </c>
      <c r="P48" s="330">
        <v>1</v>
      </c>
      <c r="Q48" s="330">
        <v>1</v>
      </c>
      <c r="R48" s="330">
        <v>1</v>
      </c>
      <c r="S48" s="330">
        <v>1</v>
      </c>
      <c r="U48" s="90"/>
    </row>
    <row r="49" spans="3:22" x14ac:dyDescent="0.25">
      <c r="E49" s="76"/>
      <c r="F49" s="76" t="s">
        <v>44</v>
      </c>
      <c r="G49" s="76" t="s">
        <v>528</v>
      </c>
      <c r="H49" s="92"/>
      <c r="I49" s="92"/>
      <c r="J49" s="234">
        <f>CHOOSE(year_selection, L49,M49,N49,O49,P49,Q49,R49,S49)</f>
        <v>1.0049999999999999</v>
      </c>
      <c r="K49" s="248"/>
      <c r="L49" s="330">
        <v>1.0049999999999999</v>
      </c>
      <c r="M49" s="330">
        <v>1.0049999999999999</v>
      </c>
      <c r="N49" s="330">
        <v>1.0049999999999999</v>
      </c>
      <c r="O49" s="330">
        <v>1.0049999999999999</v>
      </c>
      <c r="P49" s="330">
        <v>1.0049999999999999</v>
      </c>
      <c r="Q49" s="330">
        <v>1.0049999999999999</v>
      </c>
      <c r="R49" s="330">
        <v>1.0049999999999999</v>
      </c>
      <c r="S49" s="330">
        <v>1.0049999999999999</v>
      </c>
      <c r="U49" s="90"/>
      <c r="V49" s="90"/>
    </row>
    <row r="50" spans="3:22" x14ac:dyDescent="0.25">
      <c r="E50" s="76"/>
      <c r="F50" s="76" t="s">
        <v>45</v>
      </c>
      <c r="G50" s="76" t="s">
        <v>528</v>
      </c>
      <c r="H50" s="92"/>
      <c r="I50" s="92"/>
      <c r="J50" s="234">
        <f>CHOOSE(year_selection, L50,M50,N50,O50,P50,Q50,R50,S50)</f>
        <v>1.012</v>
      </c>
      <c r="K50" s="248"/>
      <c r="L50" s="330">
        <v>1.0129999999999999</v>
      </c>
      <c r="M50" s="330">
        <v>1.012</v>
      </c>
      <c r="N50" s="330">
        <v>1.012</v>
      </c>
      <c r="O50" s="330">
        <v>1.012</v>
      </c>
      <c r="P50" s="330">
        <v>1.012</v>
      </c>
      <c r="Q50" s="330">
        <v>1.012</v>
      </c>
      <c r="R50" s="330">
        <v>1.012</v>
      </c>
      <c r="S50" s="330">
        <v>1.012</v>
      </c>
      <c r="U50" s="90"/>
      <c r="V50" s="90"/>
    </row>
    <row r="51" spans="3:22" x14ac:dyDescent="0.25">
      <c r="E51" s="76"/>
      <c r="F51" s="76" t="s">
        <v>46</v>
      </c>
      <c r="G51" s="76" t="s">
        <v>528</v>
      </c>
      <c r="H51" s="92"/>
      <c r="I51" s="92"/>
      <c r="J51" s="234">
        <f>CHOOSE(year_selection, L51,M51,N51,O51,P51,Q51,R51,S51)</f>
        <v>1.018</v>
      </c>
      <c r="K51" s="248"/>
      <c r="L51" s="330">
        <v>1.018</v>
      </c>
      <c r="M51" s="330">
        <v>1.018</v>
      </c>
      <c r="N51" s="330">
        <v>1.018</v>
      </c>
      <c r="O51" s="330">
        <v>1.018</v>
      </c>
      <c r="P51" s="330">
        <v>1.018</v>
      </c>
      <c r="Q51" s="330">
        <v>1.018</v>
      </c>
      <c r="R51" s="330">
        <v>1.018</v>
      </c>
      <c r="S51" s="330">
        <v>1.018</v>
      </c>
      <c r="U51" s="90"/>
      <c r="V51" s="90"/>
    </row>
    <row r="52" spans="3:22" x14ac:dyDescent="0.25">
      <c r="E52" s="76"/>
      <c r="F52" s="76" t="s">
        <v>47</v>
      </c>
      <c r="G52" s="76" t="s">
        <v>528</v>
      </c>
      <c r="H52" s="92"/>
      <c r="I52" s="92"/>
      <c r="J52" s="234">
        <f>CHOOSE(year_selection, L52,M52,N52,O52,P52,Q52,R52,S52)</f>
        <v>1.0269999999999999</v>
      </c>
      <c r="K52" s="248"/>
      <c r="L52" s="330">
        <v>1.0269999999999999</v>
      </c>
      <c r="M52" s="330">
        <v>1.0269999999999999</v>
      </c>
      <c r="N52" s="330">
        <v>1.026</v>
      </c>
      <c r="O52" s="330">
        <v>1.0269999999999999</v>
      </c>
      <c r="P52" s="330">
        <v>1.0269999999999999</v>
      </c>
      <c r="Q52" s="330">
        <v>1.0269999999999999</v>
      </c>
      <c r="R52" s="330">
        <v>1.0269999999999999</v>
      </c>
      <c r="S52" s="330">
        <v>1.0269999999999999</v>
      </c>
      <c r="U52" s="90"/>
      <c r="V52" s="90"/>
    </row>
    <row r="53" spans="3:22" x14ac:dyDescent="0.25">
      <c r="E53" s="76"/>
      <c r="F53" s="76" t="s">
        <v>51</v>
      </c>
      <c r="G53" s="76" t="s">
        <v>528</v>
      </c>
      <c r="H53" s="92"/>
      <c r="I53" s="92"/>
      <c r="J53" s="247"/>
      <c r="K53" s="248"/>
      <c r="L53" s="247"/>
      <c r="M53" s="247"/>
      <c r="N53" s="247"/>
      <c r="O53" s="247"/>
      <c r="P53" s="247"/>
      <c r="Q53" s="247"/>
      <c r="R53" s="247"/>
      <c r="S53" s="247"/>
      <c r="U53" s="90"/>
      <c r="V53" s="90"/>
    </row>
    <row r="54" spans="3:22" x14ac:dyDescent="0.25">
      <c r="E54" s="76"/>
      <c r="F54" s="76" t="s">
        <v>48</v>
      </c>
      <c r="G54" s="76" t="s">
        <v>528</v>
      </c>
      <c r="H54" s="92"/>
      <c r="I54" s="92"/>
      <c r="J54" s="234">
        <f>CHOOSE(year_selection, L54,M54,N54,O54,P54,Q54,R54,S54)</f>
        <v>1.038</v>
      </c>
      <c r="K54" s="248"/>
      <c r="L54" s="330">
        <v>1.038</v>
      </c>
      <c r="M54" s="330">
        <v>1.038</v>
      </c>
      <c r="N54" s="330">
        <v>1.038</v>
      </c>
      <c r="O54" s="330">
        <v>1.038</v>
      </c>
      <c r="P54" s="330">
        <v>1.038</v>
      </c>
      <c r="Q54" s="330">
        <v>1.038</v>
      </c>
      <c r="R54" s="330">
        <v>1.038</v>
      </c>
      <c r="S54" s="330">
        <v>1.038</v>
      </c>
      <c r="U54" s="90"/>
      <c r="V54" s="90"/>
    </row>
    <row r="55" spans="3:22" x14ac:dyDescent="0.25">
      <c r="E55" s="76"/>
      <c r="F55" s="76" t="s">
        <v>49</v>
      </c>
      <c r="G55" s="76" t="s">
        <v>528</v>
      </c>
      <c r="H55" s="92"/>
      <c r="I55" s="92"/>
      <c r="J55" s="234">
        <f>CHOOSE(year_selection, L55,M55,N55,O55,P55,Q55,R55,S55)</f>
        <v>1.06</v>
      </c>
      <c r="K55" s="248"/>
      <c r="L55" s="330">
        <v>1.06</v>
      </c>
      <c r="M55" s="330">
        <v>1.06</v>
      </c>
      <c r="N55" s="330">
        <v>1.06</v>
      </c>
      <c r="O55" s="330">
        <v>1.06</v>
      </c>
      <c r="P55" s="330">
        <v>1.06</v>
      </c>
      <c r="Q55" s="330">
        <v>1.06</v>
      </c>
      <c r="R55" s="330">
        <v>1.06</v>
      </c>
      <c r="S55" s="330">
        <v>1.06</v>
      </c>
      <c r="U55" s="90"/>
      <c r="V55" s="90"/>
    </row>
    <row r="56" spans="3:22" x14ac:dyDescent="0.25">
      <c r="E56" s="76"/>
      <c r="F56" s="15" t="s">
        <v>50</v>
      </c>
      <c r="G56" s="15" t="s">
        <v>528</v>
      </c>
      <c r="H56" s="93"/>
      <c r="I56" s="93"/>
      <c r="J56" s="236">
        <f>CHOOSE(year_selection, L56,M56,N56,O56,P56,Q56,R56,S56)</f>
        <v>1.1120000000000001</v>
      </c>
      <c r="K56" s="249"/>
      <c r="L56" s="331">
        <v>1.0940000000000001</v>
      </c>
      <c r="M56" s="331">
        <v>1.103</v>
      </c>
      <c r="N56" s="331">
        <v>1.105</v>
      </c>
      <c r="O56" s="331">
        <v>1.1120000000000001</v>
      </c>
      <c r="P56" s="331">
        <v>1.1120000000000001</v>
      </c>
      <c r="Q56" s="331">
        <v>1.1120000000000001</v>
      </c>
      <c r="R56" s="331">
        <v>1.1120000000000001</v>
      </c>
      <c r="S56" s="331">
        <v>1.1120000000000001</v>
      </c>
      <c r="U56" s="90"/>
      <c r="V56" s="90"/>
    </row>
    <row r="57" spans="3:22" x14ac:dyDescent="0.25">
      <c r="J57" s="238"/>
      <c r="K57" s="238"/>
      <c r="L57" s="238"/>
      <c r="M57" s="238"/>
      <c r="N57" s="238"/>
      <c r="O57" s="238"/>
      <c r="P57" s="238"/>
      <c r="Q57" s="238"/>
      <c r="R57" s="238"/>
      <c r="S57" s="238"/>
    </row>
    <row r="58" spans="3:22" s="195" customFormat="1" x14ac:dyDescent="0.2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7"/>
      <c r="U58" s="7"/>
    </row>
    <row r="59" spans="3:22" s="195" customFormat="1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</row>
    <row r="60" spans="3:22" x14ac:dyDescent="0.25">
      <c r="E60" s="146" t="s">
        <v>89</v>
      </c>
      <c r="F60" s="76"/>
      <c r="G60" s="76"/>
      <c r="H60" s="92"/>
      <c r="I60" s="85" t="s">
        <v>431</v>
      </c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U60" s="90" t="s">
        <v>920</v>
      </c>
    </row>
    <row r="61" spans="3:22" x14ac:dyDescent="0.25">
      <c r="E61" s="76"/>
      <c r="F61" s="16" t="s">
        <v>324</v>
      </c>
      <c r="G61" s="16" t="s">
        <v>266</v>
      </c>
      <c r="H61" s="91"/>
      <c r="I61" s="91"/>
      <c r="J61" s="239"/>
      <c r="K61" s="254"/>
      <c r="L61" s="239"/>
      <c r="M61" s="239"/>
      <c r="N61" s="239"/>
      <c r="O61" s="239"/>
      <c r="P61" s="239"/>
      <c r="Q61" s="239"/>
      <c r="R61" s="239"/>
      <c r="S61" s="239"/>
      <c r="U61" s="90"/>
    </row>
    <row r="62" spans="3:22" x14ac:dyDescent="0.25">
      <c r="E62" s="76"/>
      <c r="F62" s="76" t="s">
        <v>43</v>
      </c>
      <c r="G62" s="76" t="s">
        <v>266</v>
      </c>
      <c r="H62" s="92"/>
      <c r="I62" s="92"/>
      <c r="J62" s="234">
        <f t="shared" ref="J62:J70" si="0">CHOOSE(year_selection, L62,M62,N62,O62,P62,Q62,R62,S62)</f>
        <v>0.25056282783129963</v>
      </c>
      <c r="K62" s="248"/>
      <c r="L62" s="330">
        <v>0.23404607643358716</v>
      </c>
      <c r="M62" s="330">
        <v>0.22199434581040298</v>
      </c>
      <c r="N62" s="330">
        <v>0.21712102522762061</v>
      </c>
      <c r="O62" s="330">
        <v>0.25056282783129963</v>
      </c>
      <c r="P62" s="330">
        <v>0.25056282783129963</v>
      </c>
      <c r="Q62" s="330">
        <v>0.25056282783129963</v>
      </c>
      <c r="R62" s="330">
        <v>0.25056282783129963</v>
      </c>
      <c r="S62" s="330">
        <v>0.25056282783129963</v>
      </c>
      <c r="U62" s="90"/>
    </row>
    <row r="63" spans="3:22" x14ac:dyDescent="0.25">
      <c r="E63" s="76"/>
      <c r="F63" s="76" t="s">
        <v>44</v>
      </c>
      <c r="G63" s="76" t="s">
        <v>266</v>
      </c>
      <c r="H63" s="92"/>
      <c r="I63" s="92"/>
      <c r="J63" s="234">
        <f t="shared" si="0"/>
        <v>0.25056282783129963</v>
      </c>
      <c r="K63" s="248"/>
      <c r="L63" s="330">
        <v>0.23404607643358716</v>
      </c>
      <c r="M63" s="330">
        <v>0.22199434581040298</v>
      </c>
      <c r="N63" s="330">
        <v>0.21712102522762061</v>
      </c>
      <c r="O63" s="330">
        <v>0.25056282783129963</v>
      </c>
      <c r="P63" s="330">
        <v>0.25056282783129963</v>
      </c>
      <c r="Q63" s="330">
        <v>0.25056282783129963</v>
      </c>
      <c r="R63" s="330">
        <v>0.25056282783129963</v>
      </c>
      <c r="S63" s="330">
        <v>0.25056282783129963</v>
      </c>
      <c r="U63" s="90"/>
    </row>
    <row r="64" spans="3:22" x14ac:dyDescent="0.25">
      <c r="E64" s="76"/>
      <c r="F64" s="76" t="s">
        <v>45</v>
      </c>
      <c r="G64" s="76" t="s">
        <v>266</v>
      </c>
      <c r="H64" s="92"/>
      <c r="I64" s="92"/>
      <c r="J64" s="234">
        <f t="shared" si="0"/>
        <v>0.24151056811773014</v>
      </c>
      <c r="K64" s="248"/>
      <c r="L64" s="330">
        <v>0.28131349588353088</v>
      </c>
      <c r="M64" s="330">
        <v>0.24539212670310076</v>
      </c>
      <c r="N64" s="330">
        <v>0.25463235188376759</v>
      </c>
      <c r="O64" s="330">
        <v>0.24151056811773014</v>
      </c>
      <c r="P64" s="330">
        <v>0.24151056811773014</v>
      </c>
      <c r="Q64" s="330">
        <v>0.24151056811773014</v>
      </c>
      <c r="R64" s="330">
        <v>0.24151056811773014</v>
      </c>
      <c r="S64" s="330">
        <v>0.24151056811773014</v>
      </c>
      <c r="U64" s="90"/>
    </row>
    <row r="65" spans="2:21" x14ac:dyDescent="0.25">
      <c r="E65" s="76"/>
      <c r="F65" s="76" t="s">
        <v>46</v>
      </c>
      <c r="G65" s="76" t="s">
        <v>266</v>
      </c>
      <c r="H65" s="92"/>
      <c r="I65" s="92"/>
      <c r="J65" s="234">
        <f t="shared" si="0"/>
        <v>0.24151056811773014</v>
      </c>
      <c r="K65" s="248"/>
      <c r="L65" s="330">
        <v>0.28131349588353088</v>
      </c>
      <c r="M65" s="330">
        <v>0.24539212670310076</v>
      </c>
      <c r="N65" s="330">
        <v>0.25463235188376759</v>
      </c>
      <c r="O65" s="330">
        <v>0.24151056811773014</v>
      </c>
      <c r="P65" s="330">
        <v>0.24151056811773014</v>
      </c>
      <c r="Q65" s="330">
        <v>0.24151056811773014</v>
      </c>
      <c r="R65" s="330">
        <v>0.24151056811773014</v>
      </c>
      <c r="S65" s="330">
        <v>0.24151056811773014</v>
      </c>
      <c r="U65" s="90"/>
    </row>
    <row r="66" spans="2:21" x14ac:dyDescent="0.25">
      <c r="E66" s="76"/>
      <c r="F66" s="76" t="s">
        <v>47</v>
      </c>
      <c r="G66" s="76" t="s">
        <v>266</v>
      </c>
      <c r="H66" s="92"/>
      <c r="I66" s="92"/>
      <c r="J66" s="234">
        <f t="shared" si="0"/>
        <v>0.3175458874434306</v>
      </c>
      <c r="K66" s="248"/>
      <c r="L66" s="330">
        <v>0.29465128368681442</v>
      </c>
      <c r="M66" s="330">
        <v>0.2822138084535229</v>
      </c>
      <c r="N66" s="330">
        <v>0.25896594596237177</v>
      </c>
      <c r="O66" s="330">
        <v>0.3175458874434306</v>
      </c>
      <c r="P66" s="330">
        <v>0.3175458874434306</v>
      </c>
      <c r="Q66" s="330">
        <v>0.3175458874434306</v>
      </c>
      <c r="R66" s="330">
        <v>0.3175458874434306</v>
      </c>
      <c r="S66" s="330">
        <v>0.3175458874434306</v>
      </c>
      <c r="U66" s="90"/>
    </row>
    <row r="67" spans="2:21" x14ac:dyDescent="0.25">
      <c r="E67" s="76"/>
      <c r="F67" s="76" t="s">
        <v>51</v>
      </c>
      <c r="G67" s="76" t="s">
        <v>266</v>
      </c>
      <c r="H67" s="92"/>
      <c r="I67" s="92"/>
      <c r="J67" s="234">
        <f t="shared" si="0"/>
        <v>0.3175458874434306</v>
      </c>
      <c r="K67" s="248"/>
      <c r="L67" s="330">
        <v>0.29465128368681442</v>
      </c>
      <c r="M67" s="330">
        <v>0.2822138084535229</v>
      </c>
      <c r="N67" s="330">
        <v>0.25896594596237177</v>
      </c>
      <c r="O67" s="330">
        <v>0.3175458874434306</v>
      </c>
      <c r="P67" s="330">
        <v>0.3175458874434306</v>
      </c>
      <c r="Q67" s="330">
        <v>0.3175458874434306</v>
      </c>
      <c r="R67" s="330">
        <v>0.3175458874434306</v>
      </c>
      <c r="S67" s="330">
        <v>0.3175458874434306</v>
      </c>
      <c r="U67" s="90"/>
    </row>
    <row r="68" spans="2:21" x14ac:dyDescent="0.25">
      <c r="E68" s="76"/>
      <c r="F68" s="76" t="s">
        <v>48</v>
      </c>
      <c r="G68" s="76" t="s">
        <v>266</v>
      </c>
      <c r="H68" s="92"/>
      <c r="I68" s="92"/>
      <c r="J68" s="234">
        <f t="shared" si="0"/>
        <v>0.3175458874434306</v>
      </c>
      <c r="K68" s="248"/>
      <c r="L68" s="330">
        <v>0.29465128368681442</v>
      </c>
      <c r="M68" s="330">
        <v>0.2822138084535229</v>
      </c>
      <c r="N68" s="330">
        <v>0.25896594596237177</v>
      </c>
      <c r="O68" s="330">
        <v>0.3175458874434306</v>
      </c>
      <c r="P68" s="330">
        <v>0.3175458874434306</v>
      </c>
      <c r="Q68" s="330">
        <v>0.3175458874434306</v>
      </c>
      <c r="R68" s="330">
        <v>0.3175458874434306</v>
      </c>
      <c r="S68" s="330">
        <v>0.3175458874434306</v>
      </c>
      <c r="U68" s="90"/>
    </row>
    <row r="69" spans="2:21" x14ac:dyDescent="0.25">
      <c r="E69" s="76"/>
      <c r="F69" s="76" t="s">
        <v>49</v>
      </c>
      <c r="G69" s="76" t="s">
        <v>266</v>
      </c>
      <c r="H69" s="92"/>
      <c r="I69" s="92"/>
      <c r="J69" s="234">
        <f t="shared" si="0"/>
        <v>0.3175458874434306</v>
      </c>
      <c r="K69" s="248"/>
      <c r="L69" s="330">
        <v>0.29465128368681442</v>
      </c>
      <c r="M69" s="330">
        <v>0.2822138084535229</v>
      </c>
      <c r="N69" s="330">
        <v>0.25896594596237177</v>
      </c>
      <c r="O69" s="330">
        <v>0.3175458874434306</v>
      </c>
      <c r="P69" s="330">
        <v>0.3175458874434306</v>
      </c>
      <c r="Q69" s="330">
        <v>0.3175458874434306</v>
      </c>
      <c r="R69" s="330">
        <v>0.3175458874434306</v>
      </c>
      <c r="S69" s="330">
        <v>0.3175458874434306</v>
      </c>
      <c r="U69" s="90"/>
    </row>
    <row r="70" spans="2:21" x14ac:dyDescent="0.25">
      <c r="E70" s="76"/>
      <c r="F70" s="15" t="s">
        <v>50</v>
      </c>
      <c r="G70" s="15" t="s">
        <v>266</v>
      </c>
      <c r="H70" s="93"/>
      <c r="I70" s="93"/>
      <c r="J70" s="236">
        <f t="shared" si="0"/>
        <v>0.3175458874434306</v>
      </c>
      <c r="K70" s="249"/>
      <c r="L70" s="331">
        <v>0.29465128368681442</v>
      </c>
      <c r="M70" s="331">
        <v>0.2822138084535229</v>
      </c>
      <c r="N70" s="331">
        <v>0.25896594596237177</v>
      </c>
      <c r="O70" s="331">
        <v>0.3175458874434306</v>
      </c>
      <c r="P70" s="331">
        <v>0.3175458874434306</v>
      </c>
      <c r="Q70" s="331">
        <v>0.3175458874434306</v>
      </c>
      <c r="R70" s="331">
        <v>0.3175458874434306</v>
      </c>
      <c r="S70" s="331">
        <v>0.3175458874434306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5"/>
      <c r="M73" s="295"/>
      <c r="N73" s="295"/>
      <c r="P73" s="295"/>
      <c r="Q73" s="295"/>
      <c r="R73" s="295"/>
      <c r="S73" s="295"/>
    </row>
    <row r="74" spans="2:21" x14ac:dyDescent="0.25">
      <c r="B74" s="96"/>
      <c r="D74" s="96" t="s">
        <v>262</v>
      </c>
      <c r="I74" s="85" t="s">
        <v>431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921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324</v>
      </c>
      <c r="G76" s="16" t="s">
        <v>94</v>
      </c>
      <c r="H76" s="91"/>
      <c r="I76" s="91"/>
      <c r="J76" s="170"/>
      <c r="K76" s="438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39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39"/>
      <c r="L78" s="324">
        <v>0</v>
      </c>
      <c r="M78" s="324">
        <v>0</v>
      </c>
      <c r="N78" s="324">
        <v>0</v>
      </c>
      <c r="O78" s="324">
        <v>0</v>
      </c>
      <c r="P78" s="324">
        <v>0</v>
      </c>
      <c r="Q78" s="324">
        <v>0</v>
      </c>
      <c r="R78" s="324">
        <v>0</v>
      </c>
      <c r="S78" s="324"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39"/>
      <c r="L79" s="324">
        <v>0</v>
      </c>
      <c r="M79" s="324">
        <v>0</v>
      </c>
      <c r="N79" s="324">
        <v>0</v>
      </c>
      <c r="O79" s="324">
        <v>0</v>
      </c>
      <c r="P79" s="324">
        <v>0</v>
      </c>
      <c r="Q79" s="324">
        <v>0</v>
      </c>
      <c r="R79" s="324">
        <v>0</v>
      </c>
      <c r="S79" s="324"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39"/>
      <c r="L80" s="324">
        <v>0</v>
      </c>
      <c r="M80" s="324">
        <v>0</v>
      </c>
      <c r="N80" s="324">
        <v>0</v>
      </c>
      <c r="O80" s="324">
        <v>0</v>
      </c>
      <c r="P80" s="324">
        <v>0</v>
      </c>
      <c r="Q80" s="324">
        <v>0</v>
      </c>
      <c r="R80" s="324">
        <v>0</v>
      </c>
      <c r="S80" s="324"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39"/>
      <c r="L81" s="324">
        <v>0</v>
      </c>
      <c r="M81" s="324">
        <v>0</v>
      </c>
      <c r="N81" s="324">
        <v>0</v>
      </c>
      <c r="O81" s="324">
        <v>0</v>
      </c>
      <c r="P81" s="324">
        <v>0</v>
      </c>
      <c r="Q81" s="324">
        <v>0</v>
      </c>
      <c r="R81" s="324">
        <v>0</v>
      </c>
      <c r="S81" s="324"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39"/>
      <c r="L82" s="324">
        <v>0</v>
      </c>
      <c r="M82" s="324">
        <v>0</v>
      </c>
      <c r="N82" s="324">
        <v>0</v>
      </c>
      <c r="O82" s="324">
        <v>0</v>
      </c>
      <c r="P82" s="324">
        <v>0</v>
      </c>
      <c r="Q82" s="324">
        <v>0</v>
      </c>
      <c r="R82" s="324">
        <v>0</v>
      </c>
      <c r="S82" s="324"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1"/>
        <v>0.32635129017655001</v>
      </c>
      <c r="K83" s="439"/>
      <c r="L83" s="324">
        <v>0.32635129017655001</v>
      </c>
      <c r="M83" s="324">
        <v>0.32635129017655001</v>
      </c>
      <c r="N83" s="324">
        <v>0.32635129017655001</v>
      </c>
      <c r="O83" s="324">
        <v>0.32635129017655001</v>
      </c>
      <c r="P83" s="324">
        <v>0.32635129017655001</v>
      </c>
      <c r="Q83" s="324">
        <v>0.32635129017655001</v>
      </c>
      <c r="R83" s="324">
        <v>0.32635129017655001</v>
      </c>
      <c r="S83" s="324">
        <v>0.32635129017655001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1"/>
        <v>0.71097285067873295</v>
      </c>
      <c r="K84" s="439"/>
      <c r="L84" s="324">
        <v>0.71097285067873295</v>
      </c>
      <c r="M84" s="324">
        <v>0.71097285067873295</v>
      </c>
      <c r="N84" s="324">
        <v>0.71097285067873295</v>
      </c>
      <c r="O84" s="324">
        <v>0.71097285067873295</v>
      </c>
      <c r="P84" s="324">
        <v>0.71097285067873295</v>
      </c>
      <c r="Q84" s="324">
        <v>0.71097285067873295</v>
      </c>
      <c r="R84" s="324">
        <v>0.71097285067873295</v>
      </c>
      <c r="S84" s="324">
        <v>0.71097285067873295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1"/>
        <v>0.93094869075781095</v>
      </c>
      <c r="K85" s="310"/>
      <c r="L85" s="325">
        <v>0.93094869075781095</v>
      </c>
      <c r="M85" s="325">
        <v>0.93094869075781095</v>
      </c>
      <c r="N85" s="325">
        <v>0.93094869075781095</v>
      </c>
      <c r="O85" s="325">
        <v>0.93094869075781095</v>
      </c>
      <c r="P85" s="325">
        <v>0.93094869075781095</v>
      </c>
      <c r="Q85" s="325">
        <v>0.93094869075781095</v>
      </c>
      <c r="R85" s="325">
        <v>0.93094869075781095</v>
      </c>
      <c r="S85" s="325">
        <v>0.93094869075781095</v>
      </c>
      <c r="U85" s="90"/>
    </row>
    <row r="86" spans="5:21" x14ac:dyDescent="0.25">
      <c r="E86" s="146" t="s">
        <v>81</v>
      </c>
      <c r="J86" s="440"/>
      <c r="K86" s="440"/>
      <c r="L86" s="440"/>
      <c r="M86" s="440"/>
      <c r="N86" s="440"/>
      <c r="O86" s="440"/>
      <c r="P86" s="440"/>
      <c r="Q86" s="440"/>
      <c r="R86" s="440"/>
      <c r="S86" s="440"/>
    </row>
    <row r="87" spans="5:21" x14ac:dyDescent="0.25">
      <c r="E87" s="76"/>
      <c r="F87" s="16" t="s">
        <v>324</v>
      </c>
      <c r="G87" s="16" t="s">
        <v>94</v>
      </c>
      <c r="H87" s="91"/>
      <c r="I87" s="91"/>
      <c r="J87" s="170"/>
      <c r="K87" s="438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39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39"/>
      <c r="L89" s="324">
        <v>0</v>
      </c>
      <c r="M89" s="324">
        <v>0</v>
      </c>
      <c r="N89" s="324">
        <v>0</v>
      </c>
      <c r="O89" s="324">
        <v>0</v>
      </c>
      <c r="P89" s="324">
        <v>0</v>
      </c>
      <c r="Q89" s="324">
        <v>0</v>
      </c>
      <c r="R89" s="324">
        <v>0</v>
      </c>
      <c r="S89" s="324"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39"/>
      <c r="L90" s="324">
        <v>0</v>
      </c>
      <c r="M90" s="324">
        <v>0</v>
      </c>
      <c r="N90" s="324">
        <v>0</v>
      </c>
      <c r="O90" s="324">
        <v>0</v>
      </c>
      <c r="P90" s="324">
        <v>0</v>
      </c>
      <c r="Q90" s="324">
        <v>0</v>
      </c>
      <c r="R90" s="324">
        <v>0</v>
      </c>
      <c r="S90" s="324"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39"/>
      <c r="L91" s="324">
        <v>0</v>
      </c>
      <c r="M91" s="324">
        <v>0</v>
      </c>
      <c r="N91" s="324">
        <v>0</v>
      </c>
      <c r="O91" s="324">
        <v>0</v>
      </c>
      <c r="P91" s="324">
        <v>0</v>
      </c>
      <c r="Q91" s="324">
        <v>0</v>
      </c>
      <c r="R91" s="324">
        <v>0</v>
      </c>
      <c r="S91" s="324"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39"/>
      <c r="L92" s="324">
        <v>0</v>
      </c>
      <c r="M92" s="324">
        <v>0</v>
      </c>
      <c r="N92" s="324">
        <v>0</v>
      </c>
      <c r="O92" s="324">
        <v>0</v>
      </c>
      <c r="P92" s="324">
        <v>0</v>
      </c>
      <c r="Q92" s="324">
        <v>0</v>
      </c>
      <c r="R92" s="324">
        <v>0</v>
      </c>
      <c r="S92" s="324"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39"/>
      <c r="L93" s="324">
        <v>0</v>
      </c>
      <c r="M93" s="324">
        <v>0</v>
      </c>
      <c r="N93" s="324">
        <v>0</v>
      </c>
      <c r="O93" s="324">
        <v>0</v>
      </c>
      <c r="P93" s="324">
        <v>0</v>
      </c>
      <c r="Q93" s="324">
        <v>0</v>
      </c>
      <c r="R93" s="324">
        <v>0</v>
      </c>
      <c r="S93" s="324"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2"/>
        <v>0.32635129017655001</v>
      </c>
      <c r="K94" s="439"/>
      <c r="L94" s="324">
        <v>0.32635129017655001</v>
      </c>
      <c r="M94" s="324">
        <v>0.32635129017655001</v>
      </c>
      <c r="N94" s="324">
        <v>0.32635129017655001</v>
      </c>
      <c r="O94" s="324">
        <v>0.32635129017655001</v>
      </c>
      <c r="P94" s="324">
        <v>0.32635129017655001</v>
      </c>
      <c r="Q94" s="324">
        <v>0.32635129017655001</v>
      </c>
      <c r="R94" s="324">
        <v>0.32635129017655001</v>
      </c>
      <c r="S94" s="324">
        <v>0.32635129017655001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2"/>
        <v>0.71097285067873295</v>
      </c>
      <c r="K95" s="439"/>
      <c r="L95" s="324">
        <v>0.71097285067873295</v>
      </c>
      <c r="M95" s="324">
        <v>0.71097285067873295</v>
      </c>
      <c r="N95" s="324">
        <v>0.71097285067873295</v>
      </c>
      <c r="O95" s="324">
        <v>0.71097285067873295</v>
      </c>
      <c r="P95" s="324">
        <v>0.71097285067873295</v>
      </c>
      <c r="Q95" s="324">
        <v>0.71097285067873295</v>
      </c>
      <c r="R95" s="324">
        <v>0.71097285067873295</v>
      </c>
      <c r="S95" s="324">
        <v>0.71097285067873295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10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40"/>
      <c r="K97" s="440"/>
      <c r="L97" s="440"/>
      <c r="M97" s="440"/>
      <c r="N97" s="440"/>
      <c r="O97" s="440"/>
      <c r="P97" s="440"/>
      <c r="Q97" s="440"/>
      <c r="R97" s="440"/>
      <c r="S97" s="440"/>
    </row>
    <row r="98" spans="5:21" x14ac:dyDescent="0.25">
      <c r="E98" s="76"/>
      <c r="F98" s="16" t="s">
        <v>324</v>
      </c>
      <c r="G98" s="16" t="s">
        <v>94</v>
      </c>
      <c r="H98" s="91"/>
      <c r="I98" s="91"/>
      <c r="J98" s="170"/>
      <c r="K98" s="438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39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39"/>
      <c r="L100" s="324">
        <v>0</v>
      </c>
      <c r="M100" s="324">
        <v>0</v>
      </c>
      <c r="N100" s="324">
        <v>0</v>
      </c>
      <c r="O100" s="324">
        <v>0</v>
      </c>
      <c r="P100" s="324">
        <v>0</v>
      </c>
      <c r="Q100" s="324">
        <v>0</v>
      </c>
      <c r="R100" s="324">
        <v>0</v>
      </c>
      <c r="S100" s="324"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39"/>
      <c r="L101" s="324">
        <v>0</v>
      </c>
      <c r="M101" s="324">
        <v>0</v>
      </c>
      <c r="N101" s="324">
        <v>0</v>
      </c>
      <c r="O101" s="324">
        <v>0</v>
      </c>
      <c r="P101" s="324">
        <v>0</v>
      </c>
      <c r="Q101" s="324">
        <v>0</v>
      </c>
      <c r="R101" s="324">
        <v>0</v>
      </c>
      <c r="S101" s="324"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3"/>
        <v>0.29443019943019899</v>
      </c>
      <c r="K102" s="439"/>
      <c r="L102" s="324">
        <v>0.29443019943019899</v>
      </c>
      <c r="M102" s="324">
        <v>0.29443019943019899</v>
      </c>
      <c r="N102" s="324">
        <v>0.29443019943019899</v>
      </c>
      <c r="O102" s="324">
        <v>0.29443019943019899</v>
      </c>
      <c r="P102" s="324">
        <v>0.29443019943019899</v>
      </c>
      <c r="Q102" s="324">
        <v>0.29443019943019899</v>
      </c>
      <c r="R102" s="324">
        <v>0.29443019943019899</v>
      </c>
      <c r="S102" s="324">
        <v>0.29443019943019899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3"/>
        <v>0.14317058823529399</v>
      </c>
      <c r="K103" s="439"/>
      <c r="L103" s="324">
        <v>0.14317058823529399</v>
      </c>
      <c r="M103" s="324">
        <v>0.14317058823529399</v>
      </c>
      <c r="N103" s="324">
        <v>0.14317058823529399</v>
      </c>
      <c r="O103" s="324">
        <v>0.14317058823529399</v>
      </c>
      <c r="P103" s="324">
        <v>0.14317058823529399</v>
      </c>
      <c r="Q103" s="324">
        <v>0.14317058823529399</v>
      </c>
      <c r="R103" s="324">
        <v>0.14317058823529399</v>
      </c>
      <c r="S103" s="324">
        <v>0.14317058823529399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39"/>
      <c r="L104" s="324">
        <v>0</v>
      </c>
      <c r="M104" s="324">
        <v>0</v>
      </c>
      <c r="N104" s="324">
        <v>0</v>
      </c>
      <c r="O104" s="324">
        <v>0</v>
      </c>
      <c r="P104" s="324">
        <v>0</v>
      </c>
      <c r="Q104" s="324">
        <v>0</v>
      </c>
      <c r="R104" s="324">
        <v>0</v>
      </c>
      <c r="S104" s="324"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3"/>
        <v>0.73429040289723801</v>
      </c>
      <c r="K105" s="439"/>
      <c r="L105" s="324">
        <v>0.73429040289723801</v>
      </c>
      <c r="M105" s="324">
        <v>0.73429040289723801</v>
      </c>
      <c r="N105" s="324">
        <v>0.73429040289723801</v>
      </c>
      <c r="O105" s="324">
        <v>0.73429040289723801</v>
      </c>
      <c r="P105" s="324">
        <v>0.73429040289723801</v>
      </c>
      <c r="Q105" s="324">
        <v>0.73429040289723801</v>
      </c>
      <c r="R105" s="324">
        <v>0.73429040289723801</v>
      </c>
      <c r="S105" s="324">
        <v>0.73429040289723801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39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10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40"/>
      <c r="K108" s="440"/>
      <c r="L108" s="440"/>
      <c r="M108" s="440"/>
      <c r="N108" s="440"/>
      <c r="O108" s="440"/>
      <c r="P108" s="440"/>
      <c r="Q108" s="440"/>
      <c r="R108" s="440"/>
      <c r="S108" s="440"/>
    </row>
    <row r="109" spans="5:21" x14ac:dyDescent="0.25">
      <c r="E109" s="76"/>
      <c r="F109" s="16" t="s">
        <v>324</v>
      </c>
      <c r="G109" s="16" t="s">
        <v>94</v>
      </c>
      <c r="H109" s="91"/>
      <c r="I109" s="91"/>
      <c r="J109" s="170"/>
      <c r="K109" s="438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39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39"/>
      <c r="L111" s="324">
        <v>0</v>
      </c>
      <c r="M111" s="324">
        <v>0</v>
      </c>
      <c r="N111" s="324">
        <v>0</v>
      </c>
      <c r="O111" s="324">
        <v>0</v>
      </c>
      <c r="P111" s="324">
        <v>0</v>
      </c>
      <c r="Q111" s="324">
        <v>0</v>
      </c>
      <c r="R111" s="324">
        <v>0</v>
      </c>
      <c r="S111" s="324"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39"/>
      <c r="L112" s="324">
        <v>0</v>
      </c>
      <c r="M112" s="324">
        <v>0</v>
      </c>
      <c r="N112" s="324">
        <v>0</v>
      </c>
      <c r="O112" s="324">
        <v>0</v>
      </c>
      <c r="P112" s="324">
        <v>0</v>
      </c>
      <c r="Q112" s="324">
        <v>0</v>
      </c>
      <c r="R112" s="324">
        <v>0</v>
      </c>
      <c r="S112" s="324">
        <v>0</v>
      </c>
      <c r="U112" s="90"/>
    </row>
    <row r="113" spans="2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4"/>
        <v>0.29443019943019899</v>
      </c>
      <c r="K113" s="439"/>
      <c r="L113" s="324">
        <v>0.29443019943019899</v>
      </c>
      <c r="M113" s="324">
        <v>0.29443019943019899</v>
      </c>
      <c r="N113" s="324">
        <v>0.29443019943019899</v>
      </c>
      <c r="O113" s="324">
        <v>0.29443019943019899</v>
      </c>
      <c r="P113" s="324">
        <v>0.29443019943019899</v>
      </c>
      <c r="Q113" s="324">
        <v>0.29443019943019899</v>
      </c>
      <c r="R113" s="324">
        <v>0.29443019943019899</v>
      </c>
      <c r="S113" s="324">
        <v>0.29443019943019899</v>
      </c>
      <c r="U113" s="90"/>
    </row>
    <row r="114" spans="2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4"/>
        <v>0.14317058823529399</v>
      </c>
      <c r="K114" s="439"/>
      <c r="L114" s="324">
        <v>0.14317058823529399</v>
      </c>
      <c r="M114" s="324">
        <v>0.14317058823529399</v>
      </c>
      <c r="N114" s="324">
        <v>0.14317058823529399</v>
      </c>
      <c r="O114" s="324">
        <v>0.14317058823529399</v>
      </c>
      <c r="P114" s="324">
        <v>0.14317058823529399</v>
      </c>
      <c r="Q114" s="324">
        <v>0.14317058823529399</v>
      </c>
      <c r="R114" s="324">
        <v>0.14317058823529399</v>
      </c>
      <c r="S114" s="324">
        <v>0.14317058823529399</v>
      </c>
      <c r="U114" s="90"/>
    </row>
    <row r="115" spans="2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39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2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39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2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39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2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10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2:22" x14ac:dyDescent="0.25">
      <c r="J119" s="440"/>
      <c r="K119" s="440"/>
      <c r="L119" s="440"/>
      <c r="M119" s="440"/>
      <c r="N119" s="440"/>
      <c r="O119" s="440"/>
      <c r="P119" s="440"/>
      <c r="Q119" s="440"/>
      <c r="R119" s="440"/>
      <c r="S119" s="440"/>
    </row>
    <row r="120" spans="2:22" s="195" customFormat="1" x14ac:dyDescent="0.2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41"/>
      <c r="K120" s="441"/>
      <c r="L120" s="441"/>
      <c r="M120" s="441"/>
      <c r="N120" s="441"/>
      <c r="O120" s="441"/>
      <c r="P120" s="441"/>
      <c r="Q120" s="441"/>
      <c r="R120" s="441"/>
      <c r="S120" s="441"/>
      <c r="T120" s="7"/>
      <c r="U120" s="7"/>
    </row>
    <row r="121" spans="2:22" s="195" customFormat="1" x14ac:dyDescent="0.25"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2:22" ht="14.65" customHeight="1" x14ac:dyDescent="0.25">
      <c r="E122" s="96" t="s">
        <v>251</v>
      </c>
      <c r="J122" s="440"/>
      <c r="K122" s="440"/>
      <c r="L122" s="440"/>
      <c r="M122" s="440"/>
      <c r="N122" s="440"/>
      <c r="O122" s="440"/>
      <c r="P122" s="440"/>
      <c r="Q122" s="440"/>
      <c r="R122" s="440"/>
      <c r="S122" s="440"/>
    </row>
    <row r="123" spans="2:22" x14ac:dyDescent="0.25">
      <c r="B123" s="489"/>
      <c r="F123" s="16" t="s">
        <v>324</v>
      </c>
      <c r="G123" s="16" t="s">
        <v>107</v>
      </c>
      <c r="H123" s="91"/>
      <c r="I123" s="91"/>
      <c r="J123" s="245"/>
      <c r="K123" s="246"/>
      <c r="L123" s="245"/>
      <c r="M123" s="245"/>
      <c r="N123" s="245"/>
      <c r="O123" s="245"/>
      <c r="P123" s="245"/>
      <c r="Q123" s="245"/>
      <c r="R123" s="245"/>
      <c r="S123" s="245"/>
      <c r="U123" s="90"/>
    </row>
    <row r="124" spans="2:22" x14ac:dyDescent="0.25">
      <c r="B124" s="489"/>
      <c r="F124" s="76" t="s">
        <v>43</v>
      </c>
      <c r="G124" s="76" t="s">
        <v>107</v>
      </c>
      <c r="H124" s="92"/>
      <c r="I124" s="92"/>
      <c r="J124" s="247"/>
      <c r="K124" s="248"/>
      <c r="L124" s="247"/>
      <c r="M124" s="247"/>
      <c r="N124" s="247"/>
      <c r="O124" s="247"/>
      <c r="P124" s="247"/>
      <c r="Q124" s="247"/>
      <c r="R124" s="247"/>
      <c r="S124" s="247"/>
      <c r="U124" s="90"/>
    </row>
    <row r="125" spans="2:22" x14ac:dyDescent="0.25">
      <c r="B125" s="489"/>
      <c r="F125" s="76" t="s">
        <v>44</v>
      </c>
      <c r="G125" s="76" t="s">
        <v>107</v>
      </c>
      <c r="H125" s="92"/>
      <c r="I125" s="92"/>
      <c r="J125" s="234">
        <f t="shared" ref="J125:J132" si="5">CHOOSE(year_selection, L125,M125,N125,O125,P125,Q125,R125,S125)</f>
        <v>176579243.66605631</v>
      </c>
      <c r="K125" s="248"/>
      <c r="L125" s="330">
        <v>161909736.70075783</v>
      </c>
      <c r="M125" s="330">
        <v>166969415.97265652</v>
      </c>
      <c r="N125" s="330">
        <v>171855644.70095333</v>
      </c>
      <c r="O125" s="330">
        <v>176579243.66605631</v>
      </c>
      <c r="P125" s="330">
        <v>182180488.50875437</v>
      </c>
      <c r="Q125" s="330">
        <v>186097310.77150884</v>
      </c>
      <c r="R125" s="330">
        <v>189819073.84620643</v>
      </c>
      <c r="S125" s="330">
        <v>193615237.84351063</v>
      </c>
      <c r="U125" s="90"/>
    </row>
    <row r="126" spans="2:22" x14ac:dyDescent="0.25">
      <c r="B126" s="489"/>
      <c r="F126" s="76" t="s">
        <v>45</v>
      </c>
      <c r="G126" s="76" t="s">
        <v>107</v>
      </c>
      <c r="H126" s="92"/>
      <c r="I126" s="92"/>
      <c r="J126" s="234">
        <f t="shared" si="5"/>
        <v>14804761.569380201</v>
      </c>
      <c r="K126" s="248"/>
      <c r="L126" s="330">
        <v>13574840.382423876</v>
      </c>
      <c r="M126" s="330">
        <v>13999054.144374622</v>
      </c>
      <c r="N126" s="330">
        <v>14408725.461308664</v>
      </c>
      <c r="O126" s="330">
        <v>14804761.569380201</v>
      </c>
      <c r="P126" s="330">
        <v>15274381.286093295</v>
      </c>
      <c r="Q126" s="330">
        <v>15602775.600769291</v>
      </c>
      <c r="R126" s="330">
        <v>15914815.757894581</v>
      </c>
      <c r="S126" s="330">
        <v>16233093.839120487</v>
      </c>
      <c r="U126" s="90"/>
    </row>
    <row r="127" spans="2:22" x14ac:dyDescent="0.25">
      <c r="B127" s="489"/>
      <c r="F127" s="76" t="s">
        <v>46</v>
      </c>
      <c r="G127" s="76" t="s">
        <v>107</v>
      </c>
      <c r="H127" s="92"/>
      <c r="I127" s="92"/>
      <c r="J127" s="234">
        <f t="shared" si="5"/>
        <v>151137440.56071511</v>
      </c>
      <c r="K127" s="248"/>
      <c r="L127" s="330">
        <v>138581538.23045164</v>
      </c>
      <c r="M127" s="330">
        <v>142912211.30015326</v>
      </c>
      <c r="N127" s="330">
        <v>147094424.84154573</v>
      </c>
      <c r="O127" s="330">
        <v>151137440.56071511</v>
      </c>
      <c r="P127" s="330">
        <v>155931649.61894557</v>
      </c>
      <c r="Q127" s="330">
        <v>159284130.23690245</v>
      </c>
      <c r="R127" s="330">
        <v>162469656.08810022</v>
      </c>
      <c r="S127" s="330">
        <v>165718863.06503317</v>
      </c>
      <c r="U127" s="90"/>
    </row>
    <row r="128" spans="2:22" x14ac:dyDescent="0.25">
      <c r="B128" s="489"/>
      <c r="F128" s="76" t="s">
        <v>47</v>
      </c>
      <c r="G128" s="76" t="s">
        <v>107</v>
      </c>
      <c r="H128" s="92"/>
      <c r="I128" s="92"/>
      <c r="J128" s="234">
        <f t="shared" si="5"/>
        <v>25102344.612437621</v>
      </c>
      <c r="K128" s="248"/>
      <c r="L128" s="330">
        <v>23016940.849842034</v>
      </c>
      <c r="M128" s="330">
        <v>23736220.251399599</v>
      </c>
      <c r="N128" s="330">
        <v>24430842.081499089</v>
      </c>
      <c r="O128" s="330">
        <v>25102344.612437621</v>
      </c>
      <c r="P128" s="330">
        <v>25898612.482776646</v>
      </c>
      <c r="Q128" s="330">
        <v>26455424.371784814</v>
      </c>
      <c r="R128" s="330">
        <v>26984506.824100602</v>
      </c>
      <c r="S128" s="330">
        <v>27524166.043877728</v>
      </c>
      <c r="U128" s="90"/>
    </row>
    <row r="129" spans="2:21" x14ac:dyDescent="0.25">
      <c r="B129" s="489"/>
      <c r="F129" s="76" t="s">
        <v>51</v>
      </c>
      <c r="G129" s="76" t="s">
        <v>107</v>
      </c>
      <c r="H129" s="92"/>
      <c r="I129" s="92"/>
      <c r="J129" s="234">
        <f t="shared" si="5"/>
        <v>0</v>
      </c>
      <c r="K129" s="248"/>
      <c r="L129" s="330">
        <v>0</v>
      </c>
      <c r="M129" s="330">
        <v>0</v>
      </c>
      <c r="N129" s="330">
        <v>0</v>
      </c>
      <c r="O129" s="330">
        <v>0</v>
      </c>
      <c r="P129" s="330">
        <v>0</v>
      </c>
      <c r="Q129" s="330">
        <v>0</v>
      </c>
      <c r="R129" s="330">
        <v>0</v>
      </c>
      <c r="S129" s="330">
        <v>0</v>
      </c>
      <c r="U129" s="90"/>
    </row>
    <row r="130" spans="2:21" x14ac:dyDescent="0.25">
      <c r="B130" s="489"/>
      <c r="F130" s="76" t="s">
        <v>48</v>
      </c>
      <c r="G130" s="76" t="s">
        <v>107</v>
      </c>
      <c r="H130" s="92"/>
      <c r="I130" s="92"/>
      <c r="J130" s="234">
        <f t="shared" si="5"/>
        <v>206026699.02858776</v>
      </c>
      <c r="K130" s="248"/>
      <c r="L130" s="330">
        <v>188910813.64087442</v>
      </c>
      <c r="M130" s="330">
        <v>194814276.56715176</v>
      </c>
      <c r="N130" s="330">
        <v>200515363.25598985</v>
      </c>
      <c r="O130" s="330">
        <v>206026699.02858776</v>
      </c>
      <c r="P130" s="330">
        <v>212562042.37604496</v>
      </c>
      <c r="Q130" s="330">
        <v>217132058.3344501</v>
      </c>
      <c r="R130" s="330">
        <v>221474485.81871635</v>
      </c>
      <c r="S130" s="330">
        <v>225903721.78721371</v>
      </c>
      <c r="U130" s="90"/>
    </row>
    <row r="131" spans="2:21" x14ac:dyDescent="0.25">
      <c r="B131" s="489"/>
      <c r="F131" s="76" t="s">
        <v>49</v>
      </c>
      <c r="G131" s="76" t="s">
        <v>107</v>
      </c>
      <c r="H131" s="92"/>
      <c r="I131" s="92"/>
      <c r="J131" s="234">
        <f t="shared" si="5"/>
        <v>80581703.717901006</v>
      </c>
      <c r="K131" s="248"/>
      <c r="L131" s="330">
        <v>73887293.664809361</v>
      </c>
      <c r="M131" s="330">
        <v>76196271.591834649</v>
      </c>
      <c r="N131" s="330">
        <v>78426095.593267947</v>
      </c>
      <c r="O131" s="330">
        <v>80581703.717901006</v>
      </c>
      <c r="P131" s="330">
        <v>83137824.375090584</v>
      </c>
      <c r="Q131" s="330">
        <v>84925261.021324396</v>
      </c>
      <c r="R131" s="330">
        <v>86623682.665720403</v>
      </c>
      <c r="S131" s="330">
        <v>88356057.07249862</v>
      </c>
      <c r="U131" s="90"/>
    </row>
    <row r="132" spans="2:21" x14ac:dyDescent="0.25">
      <c r="B132" s="489"/>
      <c r="F132" s="15" t="s">
        <v>50</v>
      </c>
      <c r="G132" s="15" t="s">
        <v>107</v>
      </c>
      <c r="H132" s="93"/>
      <c r="I132" s="93"/>
      <c r="J132" s="236">
        <f t="shared" si="5"/>
        <v>49341750.299323045</v>
      </c>
      <c r="K132" s="249"/>
      <c r="L132" s="331">
        <v>45242632.335805126</v>
      </c>
      <c r="M132" s="331">
        <v>46656464.596299037</v>
      </c>
      <c r="N132" s="331">
        <v>48021829.362913147</v>
      </c>
      <c r="O132" s="331">
        <v>49341750.299323045</v>
      </c>
      <c r="P132" s="331">
        <v>50906912.878207207</v>
      </c>
      <c r="Q132" s="331">
        <v>52001395.230964117</v>
      </c>
      <c r="R132" s="331">
        <v>53041371.960348368</v>
      </c>
      <c r="S132" s="331">
        <v>54102138.628963739</v>
      </c>
      <c r="U132" s="90"/>
    </row>
    <row r="133" spans="2:21" x14ac:dyDescent="0.25">
      <c r="J133" s="440"/>
      <c r="K133" s="440"/>
      <c r="L133" s="440"/>
      <c r="M133" s="440"/>
      <c r="N133" s="440"/>
      <c r="O133" s="490"/>
      <c r="P133" s="490"/>
      <c r="Q133" s="490"/>
      <c r="R133" s="490"/>
      <c r="S133" s="490"/>
    </row>
    <row r="134" spans="2:21" s="195" customFormat="1" x14ac:dyDescent="0.2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41"/>
      <c r="K134" s="441"/>
      <c r="L134" s="441"/>
      <c r="M134" s="441"/>
      <c r="N134" s="441"/>
      <c r="O134" s="441"/>
      <c r="P134" s="441"/>
      <c r="Q134" s="441"/>
      <c r="R134" s="441"/>
      <c r="S134" s="441"/>
      <c r="T134" s="7"/>
      <c r="U134" s="7"/>
    </row>
    <row r="135" spans="2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2:21" x14ac:dyDescent="0.25">
      <c r="C136" s="82" t="s">
        <v>727</v>
      </c>
      <c r="J136" s="440"/>
      <c r="K136" s="440"/>
      <c r="L136" s="440"/>
      <c r="M136" s="440"/>
      <c r="N136" s="440"/>
      <c r="O136" s="440"/>
      <c r="P136" s="440"/>
      <c r="Q136" s="440"/>
      <c r="R136" s="440"/>
      <c r="S136" s="440"/>
    </row>
    <row r="137" spans="2:21" s="195" customFormat="1" x14ac:dyDescent="0.25">
      <c r="D137" s="96"/>
      <c r="I137" s="196"/>
      <c r="J137" s="440"/>
      <c r="K137" s="440"/>
      <c r="L137" s="440"/>
      <c r="M137" s="440"/>
      <c r="N137" s="440"/>
      <c r="O137" s="440"/>
      <c r="P137" s="440"/>
      <c r="Q137" s="440"/>
      <c r="R137" s="440"/>
      <c r="S137" s="440"/>
    </row>
    <row r="138" spans="2:21" x14ac:dyDescent="0.25">
      <c r="E138" s="96" t="s">
        <v>591</v>
      </c>
      <c r="I138" s="92" t="s">
        <v>431</v>
      </c>
      <c r="J138" s="440"/>
      <c r="K138" s="440"/>
      <c r="L138" s="440"/>
      <c r="M138" s="440"/>
      <c r="N138" s="440"/>
      <c r="O138" s="440"/>
      <c r="P138" s="440"/>
      <c r="Q138" s="440"/>
      <c r="R138" s="440"/>
      <c r="S138" s="440"/>
      <c r="U138" s="85" t="s">
        <v>922</v>
      </c>
    </row>
    <row r="139" spans="2:21" x14ac:dyDescent="0.25">
      <c r="F139" s="16" t="s">
        <v>324</v>
      </c>
      <c r="G139" s="16" t="s">
        <v>94</v>
      </c>
      <c r="H139" s="91"/>
      <c r="I139" s="91"/>
      <c r="J139" s="170"/>
      <c r="K139" s="438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2:21" x14ac:dyDescent="0.2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0.64059393798428077</v>
      </c>
      <c r="K140" s="439"/>
      <c r="L140" s="324">
        <v>0.87374484554666776</v>
      </c>
      <c r="M140" s="324">
        <v>0.7492788505952106</v>
      </c>
      <c r="N140" s="324">
        <v>0.74322745607666685</v>
      </c>
      <c r="O140" s="324">
        <v>0.64059393798428077</v>
      </c>
      <c r="P140" s="324">
        <v>0.64059393798428077</v>
      </c>
      <c r="Q140" s="324">
        <v>0.64059393798428077</v>
      </c>
      <c r="R140" s="324">
        <v>0.64059393798428077</v>
      </c>
      <c r="S140" s="324">
        <v>0.64059393798428077</v>
      </c>
      <c r="U140" s="90"/>
    </row>
    <row r="141" spans="2:21" x14ac:dyDescent="0.25">
      <c r="F141" s="76" t="s">
        <v>44</v>
      </c>
      <c r="G141" s="76" t="s">
        <v>94</v>
      </c>
      <c r="H141" s="92"/>
      <c r="I141" s="92"/>
      <c r="J141" s="185">
        <f t="shared" si="6"/>
        <v>0.64059393798428077</v>
      </c>
      <c r="K141" s="439"/>
      <c r="L141" s="324">
        <v>0.87374484554666776</v>
      </c>
      <c r="M141" s="324">
        <v>0.7492788505952106</v>
      </c>
      <c r="N141" s="324">
        <v>0.74322745607666685</v>
      </c>
      <c r="O141" s="324">
        <v>0.64059393798428077</v>
      </c>
      <c r="P141" s="324">
        <v>0.64059393798428077</v>
      </c>
      <c r="Q141" s="324">
        <v>0.64059393798428077</v>
      </c>
      <c r="R141" s="324">
        <v>0.64059393798428077</v>
      </c>
      <c r="S141" s="324">
        <v>0.64059393798428077</v>
      </c>
      <c r="U141" s="90"/>
    </row>
    <row r="142" spans="2:21" x14ac:dyDescent="0.25">
      <c r="F142" s="76" t="s">
        <v>45</v>
      </c>
      <c r="G142" s="76" t="s">
        <v>94</v>
      </c>
      <c r="H142" s="92"/>
      <c r="I142" s="92"/>
      <c r="J142" s="185">
        <f t="shared" si="6"/>
        <v>0.53217910374335931</v>
      </c>
      <c r="K142" s="439"/>
      <c r="L142" s="324">
        <v>0.52655285953248565</v>
      </c>
      <c r="M142" s="324">
        <v>0.55353106887114423</v>
      </c>
      <c r="N142" s="324">
        <v>0.53656507709619927</v>
      </c>
      <c r="O142" s="324">
        <v>0.53217910374335931</v>
      </c>
      <c r="P142" s="324">
        <v>0.53217910374335931</v>
      </c>
      <c r="Q142" s="324">
        <v>0.53217910374335931</v>
      </c>
      <c r="R142" s="324">
        <v>0.53217910374335931</v>
      </c>
      <c r="S142" s="324">
        <v>0.53217910374335931</v>
      </c>
      <c r="U142" s="90"/>
    </row>
    <row r="143" spans="2:21" x14ac:dyDescent="0.25">
      <c r="F143" s="76" t="s">
        <v>46</v>
      </c>
      <c r="G143" s="76" t="s">
        <v>94</v>
      </c>
      <c r="H143" s="92"/>
      <c r="I143" s="92"/>
      <c r="J143" s="185">
        <f t="shared" si="6"/>
        <v>0.53217910374335931</v>
      </c>
      <c r="K143" s="439"/>
      <c r="L143" s="324">
        <v>0.52655285953248565</v>
      </c>
      <c r="M143" s="324">
        <v>0.55353106887114423</v>
      </c>
      <c r="N143" s="324">
        <v>0.53656507709619927</v>
      </c>
      <c r="O143" s="324">
        <v>0.53217910374335931</v>
      </c>
      <c r="P143" s="324">
        <v>0.53217910374335931</v>
      </c>
      <c r="Q143" s="324">
        <v>0.53217910374335931</v>
      </c>
      <c r="R143" s="324">
        <v>0.53217910374335931</v>
      </c>
      <c r="S143" s="324">
        <v>0.53217910374335931</v>
      </c>
      <c r="U143" s="90"/>
    </row>
    <row r="144" spans="2:21" x14ac:dyDescent="0.25">
      <c r="F144" s="76" t="s">
        <v>47</v>
      </c>
      <c r="G144" s="76" t="s">
        <v>94</v>
      </c>
      <c r="H144" s="92"/>
      <c r="I144" s="92"/>
      <c r="J144" s="185">
        <f t="shared" si="6"/>
        <v>0.47753234715150211</v>
      </c>
      <c r="K144" s="439"/>
      <c r="L144" s="324">
        <v>0.46988704265699138</v>
      </c>
      <c r="M144" s="324">
        <v>0.49158787489375277</v>
      </c>
      <c r="N144" s="324">
        <v>0.48459560170934557</v>
      </c>
      <c r="O144" s="324">
        <v>0.47753234715150211</v>
      </c>
      <c r="P144" s="324">
        <v>0.47753234715150211</v>
      </c>
      <c r="Q144" s="324">
        <v>0.47753234715150211</v>
      </c>
      <c r="R144" s="324">
        <v>0.47753234715150211</v>
      </c>
      <c r="S144" s="324">
        <v>0.47753234715150211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39"/>
      <c r="L145" s="324"/>
      <c r="M145" s="324"/>
      <c r="N145" s="324"/>
      <c r="O145" s="324"/>
      <c r="P145" s="324"/>
      <c r="Q145" s="324"/>
      <c r="R145" s="324"/>
      <c r="S145" s="324"/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6"/>
        <v>0.47753234715150211</v>
      </c>
      <c r="K146" s="439"/>
      <c r="L146" s="324">
        <v>0.46988704265699138</v>
      </c>
      <c r="M146" s="324">
        <v>0.49158787489375277</v>
      </c>
      <c r="N146" s="324">
        <v>0.48459560170934557</v>
      </c>
      <c r="O146" s="324">
        <v>0.47753234715150211</v>
      </c>
      <c r="P146" s="324">
        <v>0.47753234715150211</v>
      </c>
      <c r="Q146" s="324">
        <v>0.47753234715150211</v>
      </c>
      <c r="R146" s="324">
        <v>0.47753234715150211</v>
      </c>
      <c r="S146" s="324">
        <v>0.47753234715150211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6"/>
        <v>0.47753234715150211</v>
      </c>
      <c r="K147" s="439"/>
      <c r="L147" s="324">
        <v>0.46988704265699138</v>
      </c>
      <c r="M147" s="324">
        <v>0.49158787489375277</v>
      </c>
      <c r="N147" s="324">
        <v>0.48459560170934557</v>
      </c>
      <c r="O147" s="324">
        <v>0.47753234715150211</v>
      </c>
      <c r="P147" s="324">
        <v>0.47753234715150211</v>
      </c>
      <c r="Q147" s="324">
        <v>0.47753234715150211</v>
      </c>
      <c r="R147" s="324">
        <v>0.47753234715150211</v>
      </c>
      <c r="S147" s="324">
        <v>0.47753234715150211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6"/>
        <v>0.47753234715150211</v>
      </c>
      <c r="K148" s="310"/>
      <c r="L148" s="325">
        <v>0.46988704265699138</v>
      </c>
      <c r="M148" s="325">
        <v>0.49158787489375277</v>
      </c>
      <c r="N148" s="325">
        <v>0.48459560170934557</v>
      </c>
      <c r="O148" s="325">
        <v>0.47753234715150211</v>
      </c>
      <c r="P148" s="325">
        <v>0.47753234715150211</v>
      </c>
      <c r="Q148" s="325">
        <v>0.47753234715150211</v>
      </c>
      <c r="R148" s="325">
        <v>0.47753234715150211</v>
      </c>
      <c r="S148" s="325">
        <v>0.47753234715150211</v>
      </c>
      <c r="U148" s="90"/>
    </row>
    <row r="149" spans="5:21" x14ac:dyDescent="0.25">
      <c r="E149" s="96"/>
      <c r="I149" s="92"/>
      <c r="J149" s="440"/>
      <c r="K149" s="440"/>
      <c r="L149" s="440"/>
      <c r="M149" s="440"/>
      <c r="N149" s="440"/>
      <c r="O149" s="440"/>
      <c r="P149" s="440"/>
      <c r="Q149" s="440"/>
      <c r="R149" s="440"/>
      <c r="S149" s="440"/>
    </row>
    <row r="150" spans="5:21" x14ac:dyDescent="0.25">
      <c r="E150" s="96" t="s">
        <v>592</v>
      </c>
      <c r="I150" s="92" t="s">
        <v>431</v>
      </c>
      <c r="J150" s="440"/>
      <c r="K150" s="440"/>
      <c r="L150" s="440"/>
      <c r="M150" s="440"/>
      <c r="N150" s="440"/>
      <c r="O150" s="440"/>
      <c r="P150" s="440"/>
      <c r="Q150" s="440"/>
      <c r="R150" s="440"/>
      <c r="S150" s="440"/>
      <c r="U150" s="85" t="s">
        <v>922</v>
      </c>
    </row>
    <row r="151" spans="5:21" x14ac:dyDescent="0.25">
      <c r="F151" s="16" t="s">
        <v>324</v>
      </c>
      <c r="G151" s="16" t="s">
        <v>94</v>
      </c>
      <c r="H151" s="91"/>
      <c r="I151" s="91"/>
      <c r="J151" s="170"/>
      <c r="K151" s="438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0.29893928908515344</v>
      </c>
      <c r="K152" s="439"/>
      <c r="L152" s="324">
        <v>2.4101485054109556E-2</v>
      </c>
      <c r="M152" s="324">
        <v>0.16339537242575755</v>
      </c>
      <c r="N152" s="324">
        <v>0.18322398382254312</v>
      </c>
      <c r="O152" s="324">
        <v>0.29893928908515344</v>
      </c>
      <c r="P152" s="324">
        <v>0.29893928908515344</v>
      </c>
      <c r="Q152" s="324">
        <v>0.29893928908515344</v>
      </c>
      <c r="R152" s="324">
        <v>0.29893928908515344</v>
      </c>
      <c r="S152" s="324">
        <v>0.29893928908515344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7"/>
        <v>0.29893928908515344</v>
      </c>
      <c r="K153" s="439"/>
      <c r="L153" s="324">
        <v>2.4101485054109556E-2</v>
      </c>
      <c r="M153" s="324">
        <v>0.16339537242575755</v>
      </c>
      <c r="N153" s="324">
        <v>0.18322398382254312</v>
      </c>
      <c r="O153" s="324">
        <v>0.29893928908515344</v>
      </c>
      <c r="P153" s="324">
        <v>0.29893928908515344</v>
      </c>
      <c r="Q153" s="324">
        <v>0.29893928908515344</v>
      </c>
      <c r="R153" s="324">
        <v>0.29893928908515344</v>
      </c>
      <c r="S153" s="324">
        <v>0.29893928908515344</v>
      </c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7"/>
        <v>0.37365644809946624</v>
      </c>
      <c r="K154" s="439"/>
      <c r="L154" s="324">
        <v>0.3942399830632376</v>
      </c>
      <c r="M154" s="324">
        <v>0.37561627047902552</v>
      </c>
      <c r="N154" s="324">
        <v>0.38068387406034804</v>
      </c>
      <c r="O154" s="324">
        <v>0.37365644809946624</v>
      </c>
      <c r="P154" s="324">
        <v>0.37365644809946624</v>
      </c>
      <c r="Q154" s="324">
        <v>0.37365644809946624</v>
      </c>
      <c r="R154" s="324">
        <v>0.37365644809946624</v>
      </c>
      <c r="S154" s="324">
        <v>0.37365644809946624</v>
      </c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7"/>
        <v>0.37365644809946624</v>
      </c>
      <c r="K155" s="439"/>
      <c r="L155" s="324">
        <v>0.3942399830632376</v>
      </c>
      <c r="M155" s="324">
        <v>0.37561627047902552</v>
      </c>
      <c r="N155" s="324">
        <v>0.38068387406034804</v>
      </c>
      <c r="O155" s="324">
        <v>0.37365644809946624</v>
      </c>
      <c r="P155" s="324">
        <v>0.37365644809946624</v>
      </c>
      <c r="Q155" s="324">
        <v>0.37365644809946624</v>
      </c>
      <c r="R155" s="324">
        <v>0.37365644809946624</v>
      </c>
      <c r="S155" s="324">
        <v>0.37365644809946624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7"/>
        <v>0.47784500254209555</v>
      </c>
      <c r="K156" s="439"/>
      <c r="L156" s="324">
        <v>0.48781429845624547</v>
      </c>
      <c r="M156" s="324">
        <v>0.46542359872428368</v>
      </c>
      <c r="N156" s="324">
        <v>0.47010538207184549</v>
      </c>
      <c r="O156" s="324">
        <v>0.47784500254209555</v>
      </c>
      <c r="P156" s="324">
        <v>0.47784500254209555</v>
      </c>
      <c r="Q156" s="324">
        <v>0.47784500254209555</v>
      </c>
      <c r="R156" s="324">
        <v>0.47784500254209555</v>
      </c>
      <c r="S156" s="324">
        <v>0.47784500254209555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39"/>
      <c r="L157" s="324"/>
      <c r="M157" s="324"/>
      <c r="N157" s="324"/>
      <c r="O157" s="324"/>
      <c r="P157" s="324"/>
      <c r="Q157" s="324"/>
      <c r="R157" s="324"/>
      <c r="S157" s="324"/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7"/>
        <v>0.47784500254209555</v>
      </c>
      <c r="K158" s="439"/>
      <c r="L158" s="324">
        <v>0.48781429845624547</v>
      </c>
      <c r="M158" s="324">
        <v>0.46542359872428368</v>
      </c>
      <c r="N158" s="324">
        <v>0.47010538207184549</v>
      </c>
      <c r="O158" s="324">
        <v>0.47784500254209555</v>
      </c>
      <c r="P158" s="324">
        <v>0.47784500254209555</v>
      </c>
      <c r="Q158" s="324">
        <v>0.47784500254209555</v>
      </c>
      <c r="R158" s="324">
        <v>0.47784500254209555</v>
      </c>
      <c r="S158" s="324">
        <v>0.47784500254209555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7"/>
        <v>0.47784500254209555</v>
      </c>
      <c r="K159" s="439"/>
      <c r="L159" s="324">
        <v>0.48781429845624547</v>
      </c>
      <c r="M159" s="324">
        <v>0.46542359872428368</v>
      </c>
      <c r="N159" s="324">
        <v>0.47010538207184549</v>
      </c>
      <c r="O159" s="324">
        <v>0.47784500254209555</v>
      </c>
      <c r="P159" s="324">
        <v>0.47784500254209555</v>
      </c>
      <c r="Q159" s="324">
        <v>0.47784500254209555</v>
      </c>
      <c r="R159" s="324">
        <v>0.47784500254209555</v>
      </c>
      <c r="S159" s="324">
        <v>0.47784500254209555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7"/>
        <v>0.47784500254209555</v>
      </c>
      <c r="K160" s="310"/>
      <c r="L160" s="325">
        <v>0.48781429845624547</v>
      </c>
      <c r="M160" s="325">
        <v>0.46542359872428368</v>
      </c>
      <c r="N160" s="325">
        <v>0.47010538207184549</v>
      </c>
      <c r="O160" s="325">
        <v>0.47784500254209555</v>
      </c>
      <c r="P160" s="325">
        <v>0.47784500254209555</v>
      </c>
      <c r="Q160" s="325">
        <v>0.47784500254209555</v>
      </c>
      <c r="R160" s="325">
        <v>0.47784500254209555</v>
      </c>
      <c r="S160" s="325">
        <v>0.47784500254209555</v>
      </c>
      <c r="U160" s="90"/>
    </row>
    <row r="161" spans="5:21" x14ac:dyDescent="0.25">
      <c r="E161" s="96"/>
      <c r="I161" s="92"/>
      <c r="J161" s="440"/>
      <c r="K161" s="440"/>
      <c r="L161" s="440"/>
      <c r="M161" s="440"/>
      <c r="N161" s="440"/>
      <c r="O161" s="440"/>
      <c r="P161" s="440"/>
      <c r="Q161" s="440"/>
      <c r="R161" s="440"/>
      <c r="S161" s="440"/>
    </row>
    <row r="162" spans="5:21" x14ac:dyDescent="0.25">
      <c r="E162" s="96" t="s">
        <v>593</v>
      </c>
      <c r="I162" s="92" t="s">
        <v>431</v>
      </c>
      <c r="J162" s="440"/>
      <c r="K162" s="440"/>
      <c r="L162" s="440"/>
      <c r="M162" s="440"/>
      <c r="N162" s="440"/>
      <c r="O162" s="440"/>
      <c r="P162" s="440"/>
      <c r="Q162" s="440"/>
      <c r="R162" s="440"/>
      <c r="S162" s="440"/>
      <c r="U162" s="85" t="s">
        <v>922</v>
      </c>
    </row>
    <row r="163" spans="5:21" x14ac:dyDescent="0.25">
      <c r="F163" s="16" t="s">
        <v>324</v>
      </c>
      <c r="G163" s="16" t="s">
        <v>94</v>
      </c>
      <c r="H163" s="91"/>
      <c r="I163" s="91"/>
      <c r="J163" s="170"/>
      <c r="K163" s="438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6.0466772930565967E-2</v>
      </c>
      <c r="K164" s="439"/>
      <c r="L164" s="324">
        <v>0.1021536693992227</v>
      </c>
      <c r="M164" s="324">
        <v>8.7325776979031988E-2</v>
      </c>
      <c r="N164" s="324">
        <v>7.3548560100790042E-2</v>
      </c>
      <c r="O164" s="324">
        <v>6.0466772930565967E-2</v>
      </c>
      <c r="P164" s="324">
        <v>6.0466772930565967E-2</v>
      </c>
      <c r="Q164" s="324">
        <v>6.0466772930565967E-2</v>
      </c>
      <c r="R164" s="324">
        <v>6.0466772930565967E-2</v>
      </c>
      <c r="S164" s="324">
        <v>6.0466772930565967E-2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8"/>
        <v>6.0466772930565967E-2</v>
      </c>
      <c r="K165" s="439"/>
      <c r="L165" s="324">
        <v>0.1021536693992227</v>
      </c>
      <c r="M165" s="324">
        <v>8.7325776979031988E-2</v>
      </c>
      <c r="N165" s="324">
        <v>7.3548560100790042E-2</v>
      </c>
      <c r="O165" s="324">
        <v>6.0466772930565967E-2</v>
      </c>
      <c r="P165" s="324">
        <v>6.0466772930565967E-2</v>
      </c>
      <c r="Q165" s="324">
        <v>6.0466772930565967E-2</v>
      </c>
      <c r="R165" s="324">
        <v>6.0466772930565967E-2</v>
      </c>
      <c r="S165" s="324">
        <v>6.0466772930565967E-2</v>
      </c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8"/>
        <v>9.4164448157174549E-2</v>
      </c>
      <c r="K166" s="439"/>
      <c r="L166" s="324">
        <v>7.9207157404276696E-2</v>
      </c>
      <c r="M166" s="324">
        <v>7.0852660649830576E-2</v>
      </c>
      <c r="N166" s="324">
        <v>8.2751048843452871E-2</v>
      </c>
      <c r="O166" s="324">
        <v>9.4164448157174549E-2</v>
      </c>
      <c r="P166" s="324">
        <v>9.4164448157174549E-2</v>
      </c>
      <c r="Q166" s="324">
        <v>9.4164448157174549E-2</v>
      </c>
      <c r="R166" s="324">
        <v>9.4164448157174549E-2</v>
      </c>
      <c r="S166" s="324">
        <v>9.4164448157174549E-2</v>
      </c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8"/>
        <v>9.4164448157174549E-2</v>
      </c>
      <c r="K167" s="439"/>
      <c r="L167" s="324">
        <v>7.9207157404276696E-2</v>
      </c>
      <c r="M167" s="324">
        <v>7.0852660649830576E-2</v>
      </c>
      <c r="N167" s="324">
        <v>8.2751048843452871E-2</v>
      </c>
      <c r="O167" s="324">
        <v>9.4164448157174549E-2</v>
      </c>
      <c r="P167" s="324">
        <v>9.4164448157174549E-2</v>
      </c>
      <c r="Q167" s="324">
        <v>9.4164448157174549E-2</v>
      </c>
      <c r="R167" s="324">
        <v>9.4164448157174549E-2</v>
      </c>
      <c r="S167" s="324">
        <v>9.4164448157174549E-2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8"/>
        <v>4.4622650306402389E-2</v>
      </c>
      <c r="K168" s="439"/>
      <c r="L168" s="324">
        <v>4.2298658886763076E-2</v>
      </c>
      <c r="M168" s="324">
        <v>4.2988526381963606E-2</v>
      </c>
      <c r="N168" s="324">
        <v>4.5299016218808948E-2</v>
      </c>
      <c r="O168" s="324">
        <v>4.4622650306402389E-2</v>
      </c>
      <c r="P168" s="324">
        <v>4.4622650306402389E-2</v>
      </c>
      <c r="Q168" s="324">
        <v>4.4622650306402389E-2</v>
      </c>
      <c r="R168" s="324">
        <v>4.4622650306402389E-2</v>
      </c>
      <c r="S168" s="324">
        <v>4.4622650306402389E-2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39"/>
      <c r="L169" s="324"/>
      <c r="M169" s="324"/>
      <c r="N169" s="324"/>
      <c r="O169" s="324"/>
      <c r="P169" s="324"/>
      <c r="Q169" s="324"/>
      <c r="R169" s="324"/>
      <c r="S169" s="324"/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8"/>
        <v>4.4622650306402389E-2</v>
      </c>
      <c r="K170" s="439"/>
      <c r="L170" s="324">
        <v>4.2298658886763076E-2</v>
      </c>
      <c r="M170" s="324">
        <v>4.2988526381963606E-2</v>
      </c>
      <c r="N170" s="324">
        <v>4.5299016218808948E-2</v>
      </c>
      <c r="O170" s="324">
        <v>4.4622650306402389E-2</v>
      </c>
      <c r="P170" s="324">
        <v>4.4622650306402389E-2</v>
      </c>
      <c r="Q170" s="324">
        <v>4.4622650306402389E-2</v>
      </c>
      <c r="R170" s="324">
        <v>4.4622650306402389E-2</v>
      </c>
      <c r="S170" s="324">
        <v>4.4622650306402389E-2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8"/>
        <v>4.4622650306402389E-2</v>
      </c>
      <c r="K171" s="439"/>
      <c r="L171" s="324">
        <v>4.2298658886763076E-2</v>
      </c>
      <c r="M171" s="324">
        <v>4.2988526381963606E-2</v>
      </c>
      <c r="N171" s="324">
        <v>4.5299016218808948E-2</v>
      </c>
      <c r="O171" s="324">
        <v>4.4622650306402389E-2</v>
      </c>
      <c r="P171" s="324">
        <v>4.4622650306402389E-2</v>
      </c>
      <c r="Q171" s="324">
        <v>4.4622650306402389E-2</v>
      </c>
      <c r="R171" s="324">
        <v>4.4622650306402389E-2</v>
      </c>
      <c r="S171" s="324">
        <v>4.4622650306402389E-2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8"/>
        <v>4.4622650306402389E-2</v>
      </c>
      <c r="K172" s="310"/>
      <c r="L172" s="325">
        <v>4.2298658886763076E-2</v>
      </c>
      <c r="M172" s="325">
        <v>4.2988526381963606E-2</v>
      </c>
      <c r="N172" s="325">
        <v>4.5299016218808948E-2</v>
      </c>
      <c r="O172" s="325">
        <v>4.4622650306402389E-2</v>
      </c>
      <c r="P172" s="325">
        <v>4.4622650306402389E-2</v>
      </c>
      <c r="Q172" s="325">
        <v>4.4622650306402389E-2</v>
      </c>
      <c r="R172" s="325">
        <v>4.4622650306402389E-2</v>
      </c>
      <c r="S172" s="325">
        <v>4.4622650306402389E-2</v>
      </c>
      <c r="U172" s="90"/>
    </row>
    <row r="173" spans="5:21" x14ac:dyDescent="0.25">
      <c r="J173" s="440"/>
      <c r="K173" s="440"/>
      <c r="L173" s="440"/>
      <c r="M173" s="440"/>
      <c r="N173" s="440"/>
      <c r="O173" s="440"/>
      <c r="P173" s="440"/>
      <c r="Q173" s="440"/>
      <c r="R173" s="440"/>
      <c r="S173" s="440"/>
    </row>
    <row r="174" spans="5:21" x14ac:dyDescent="0.25">
      <c r="E174" s="96" t="s">
        <v>594</v>
      </c>
      <c r="J174" s="440"/>
      <c r="K174" s="440"/>
      <c r="L174" s="440"/>
      <c r="M174" s="440"/>
      <c r="N174" s="440"/>
      <c r="O174" s="440"/>
      <c r="P174" s="440"/>
      <c r="Q174" s="440"/>
      <c r="R174" s="440"/>
      <c r="S174" s="440"/>
    </row>
    <row r="175" spans="5:21" x14ac:dyDescent="0.25">
      <c r="F175" s="16" t="s">
        <v>324</v>
      </c>
      <c r="G175" s="16" t="s">
        <v>94</v>
      </c>
      <c r="H175" s="91"/>
      <c r="I175" s="91"/>
      <c r="J175" s="170"/>
      <c r="K175" s="438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0.43452525848360851</v>
      </c>
      <c r="K176" s="439"/>
      <c r="L176" s="324">
        <v>0.80649190017211758</v>
      </c>
      <c r="M176" s="324">
        <v>0.71202107908842927</v>
      </c>
      <c r="N176" s="324">
        <v>0.57476456243480756</v>
      </c>
      <c r="O176" s="324">
        <v>0.43452525848360851</v>
      </c>
      <c r="P176" s="324">
        <v>0.43452525848360851</v>
      </c>
      <c r="Q176" s="324">
        <v>0.43452525848360851</v>
      </c>
      <c r="R176" s="324">
        <v>0.43452525848360851</v>
      </c>
      <c r="S176" s="324">
        <v>0.43452525848360851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9"/>
        <v>0.43452525848360851</v>
      </c>
      <c r="K177" s="439"/>
      <c r="L177" s="324">
        <v>0.80649190017211758</v>
      </c>
      <c r="M177" s="324">
        <v>0.71202107908842927</v>
      </c>
      <c r="N177" s="324">
        <v>0.57476456243480756</v>
      </c>
      <c r="O177" s="324">
        <v>0.43452525848360851</v>
      </c>
      <c r="P177" s="324">
        <v>0.43452525848360851</v>
      </c>
      <c r="Q177" s="324">
        <v>0.43452525848360851</v>
      </c>
      <c r="R177" s="324">
        <v>0.43452525848360851</v>
      </c>
      <c r="S177" s="324">
        <v>0.43452525848360851</v>
      </c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9"/>
        <v>0.27632578480793984</v>
      </c>
      <c r="K178" s="439"/>
      <c r="L178" s="324">
        <v>0.36152792099017256</v>
      </c>
      <c r="M178" s="324">
        <v>0.36125972053006339</v>
      </c>
      <c r="N178" s="324">
        <v>0.32600301187709063</v>
      </c>
      <c r="O178" s="324">
        <v>0.27632578480793984</v>
      </c>
      <c r="P178" s="324">
        <v>0.27632578480793984</v>
      </c>
      <c r="Q178" s="324">
        <v>0.27632578480793984</v>
      </c>
      <c r="R178" s="324">
        <v>0.27632578480793984</v>
      </c>
      <c r="S178" s="324">
        <v>0.27632578480793984</v>
      </c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9"/>
        <v>0.27632578480793984</v>
      </c>
      <c r="K179" s="439"/>
      <c r="L179" s="324">
        <v>0.36152792099017256</v>
      </c>
      <c r="M179" s="324">
        <v>0.36125972053006339</v>
      </c>
      <c r="N179" s="324">
        <v>0.32600301187709063</v>
      </c>
      <c r="O179" s="324">
        <v>0.27632578480793984</v>
      </c>
      <c r="P179" s="324">
        <v>0.27632578480793984</v>
      </c>
      <c r="Q179" s="324">
        <v>0.27632578480793984</v>
      </c>
      <c r="R179" s="324">
        <v>0.27632578480793984</v>
      </c>
      <c r="S179" s="324">
        <v>0.27632578480793984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9"/>
        <v>0.32769471232252295</v>
      </c>
      <c r="K180" s="439"/>
      <c r="L180" s="324">
        <v>0.39392507116210251</v>
      </c>
      <c r="M180" s="324">
        <v>0.41370685110372868</v>
      </c>
      <c r="N180" s="324">
        <v>0.33980456219508143</v>
      </c>
      <c r="O180" s="324">
        <v>0.32769471232252295</v>
      </c>
      <c r="P180" s="324">
        <v>0.32769471232252295</v>
      </c>
      <c r="Q180" s="324">
        <v>0.32769471232252295</v>
      </c>
      <c r="R180" s="324">
        <v>0.32769471232252295</v>
      </c>
      <c r="S180" s="324">
        <v>0.32769471232252295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39"/>
      <c r="L181" s="324"/>
      <c r="M181" s="324"/>
      <c r="N181" s="324"/>
      <c r="O181" s="324"/>
      <c r="P181" s="324"/>
      <c r="Q181" s="324"/>
      <c r="R181" s="324"/>
      <c r="S181" s="324"/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9"/>
        <v>0.32769471232252295</v>
      </c>
      <c r="K182" s="439"/>
      <c r="L182" s="324">
        <v>0.39392507116210251</v>
      </c>
      <c r="M182" s="324">
        <v>0.41370685110372868</v>
      </c>
      <c r="N182" s="324">
        <v>0.33980456219508143</v>
      </c>
      <c r="O182" s="324">
        <v>0.32769471232252295</v>
      </c>
      <c r="P182" s="324">
        <v>0.32769471232252295</v>
      </c>
      <c r="Q182" s="324">
        <v>0.32769471232252295</v>
      </c>
      <c r="R182" s="324">
        <v>0.32769471232252295</v>
      </c>
      <c r="S182" s="324">
        <v>0.32769471232252295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9"/>
        <v>0.32769471232252295</v>
      </c>
      <c r="K183" s="439"/>
      <c r="L183" s="324">
        <v>0.39392507116210251</v>
      </c>
      <c r="M183" s="324">
        <v>0.41370685110372868</v>
      </c>
      <c r="N183" s="324">
        <v>0.33980456219508143</v>
      </c>
      <c r="O183" s="324">
        <v>0.32769471232252295</v>
      </c>
      <c r="P183" s="324">
        <v>0.32769471232252295</v>
      </c>
      <c r="Q183" s="324">
        <v>0.32769471232252295</v>
      </c>
      <c r="R183" s="324">
        <v>0.32769471232252295</v>
      </c>
      <c r="S183" s="324">
        <v>0.32769471232252295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9"/>
        <v>0.32769471232252295</v>
      </c>
      <c r="K184" s="310"/>
      <c r="L184" s="325">
        <v>0.39392507116210251</v>
      </c>
      <c r="M184" s="325">
        <v>0.41370685110372868</v>
      </c>
      <c r="N184" s="325">
        <v>0.33980456219508143</v>
      </c>
      <c r="O184" s="325">
        <v>0.32769471232252295</v>
      </c>
      <c r="P184" s="325">
        <v>0.32769471232252295</v>
      </c>
      <c r="Q184" s="325">
        <v>0.32769471232252295</v>
      </c>
      <c r="R184" s="325">
        <v>0.32769471232252295</v>
      </c>
      <c r="S184" s="325">
        <v>0.32769471232252295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5" customFormat="1" x14ac:dyDescent="0.25">
      <c r="C188" s="82" t="s">
        <v>866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5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516</v>
      </c>
      <c r="G190" s="60" t="s">
        <v>692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750</v>
      </c>
      <c r="G192" s="60" t="s">
        <v>692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726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324</v>
      </c>
      <c r="G195" s="91" t="s">
        <v>692</v>
      </c>
      <c r="H195" s="165"/>
      <c r="I195" s="91"/>
      <c r="J195" s="112"/>
      <c r="K195" s="112"/>
      <c r="L195" s="218"/>
      <c r="M195" s="218"/>
      <c r="N195" s="218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692</v>
      </c>
      <c r="H196" s="178">
        <f t="shared" ref="H196:H203" si="10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692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692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692</v>
      </c>
      <c r="H199" s="178">
        <f t="shared" si="10"/>
        <v>0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0</v>
      </c>
      <c r="P199" s="178">
        <f t="shared" si="11"/>
        <v>0</v>
      </c>
      <c r="Q199" s="178">
        <f t="shared" si="11"/>
        <v>0</v>
      </c>
      <c r="R199" s="178">
        <f t="shared" si="11"/>
        <v>0</v>
      </c>
      <c r="S199" s="178">
        <f t="shared" si="11"/>
        <v>0</v>
      </c>
      <c r="U199" s="90"/>
    </row>
    <row r="200" spans="5:21" x14ac:dyDescent="0.25">
      <c r="F200" s="76" t="s">
        <v>47</v>
      </c>
      <c r="G200" s="92" t="s">
        <v>692</v>
      </c>
      <c r="H200" s="178">
        <f t="shared" si="10"/>
        <v>0</v>
      </c>
      <c r="I200" s="92"/>
      <c r="J200" s="66"/>
      <c r="K200" s="66"/>
      <c r="L200" s="101"/>
      <c r="M200" s="101"/>
      <c r="N200" s="101"/>
      <c r="O200" s="178">
        <f t="shared" si="11"/>
        <v>0</v>
      </c>
      <c r="P200" s="178">
        <f t="shared" si="11"/>
        <v>0</v>
      </c>
      <c r="Q200" s="178">
        <f t="shared" si="11"/>
        <v>0</v>
      </c>
      <c r="R200" s="178">
        <f t="shared" si="11"/>
        <v>0</v>
      </c>
      <c r="S200" s="178">
        <f t="shared" si="11"/>
        <v>0</v>
      </c>
      <c r="U200" s="90"/>
    </row>
    <row r="201" spans="5:21" x14ac:dyDescent="0.25">
      <c r="F201" s="85" t="s">
        <v>51</v>
      </c>
      <c r="G201" s="196" t="s">
        <v>692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692</v>
      </c>
      <c r="H202" s="178">
        <f t="shared" si="10"/>
        <v>0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0</v>
      </c>
      <c r="P202" s="178">
        <f t="shared" si="12"/>
        <v>0</v>
      </c>
      <c r="Q202" s="178">
        <f t="shared" si="12"/>
        <v>0</v>
      </c>
      <c r="R202" s="178">
        <f t="shared" si="12"/>
        <v>0</v>
      </c>
      <c r="S202" s="178">
        <f t="shared" si="12"/>
        <v>0</v>
      </c>
      <c r="U202" s="90"/>
    </row>
    <row r="203" spans="5:21" x14ac:dyDescent="0.25">
      <c r="F203" s="76" t="s">
        <v>49</v>
      </c>
      <c r="G203" s="92" t="s">
        <v>692</v>
      </c>
      <c r="H203" s="178">
        <f t="shared" si="10"/>
        <v>0</v>
      </c>
      <c r="I203" s="92"/>
      <c r="J203" s="66"/>
      <c r="K203" s="66"/>
      <c r="L203" s="101"/>
      <c r="M203" s="101"/>
      <c r="N203" s="101"/>
      <c r="O203" s="178">
        <f t="shared" si="12"/>
        <v>0</v>
      </c>
      <c r="P203" s="178">
        <f t="shared" si="12"/>
        <v>0</v>
      </c>
      <c r="Q203" s="178">
        <f t="shared" si="12"/>
        <v>0</v>
      </c>
      <c r="R203" s="178">
        <f t="shared" si="12"/>
        <v>0</v>
      </c>
      <c r="S203" s="178">
        <f t="shared" si="12"/>
        <v>0</v>
      </c>
      <c r="U203" s="90"/>
    </row>
    <row r="204" spans="5:21" x14ac:dyDescent="0.25">
      <c r="F204" s="15" t="s">
        <v>50</v>
      </c>
      <c r="G204" s="93" t="s">
        <v>692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12"/>
        <v>0</v>
      </c>
      <c r="P204" s="179">
        <f t="shared" si="12"/>
        <v>0</v>
      </c>
      <c r="Q204" s="179">
        <f t="shared" si="12"/>
        <v>0</v>
      </c>
      <c r="R204" s="179">
        <f t="shared" si="12"/>
        <v>0</v>
      </c>
      <c r="S204" s="179">
        <f t="shared" si="12"/>
        <v>0</v>
      </c>
      <c r="U204" s="90"/>
    </row>
    <row r="205" spans="5:21" x14ac:dyDescent="0.25">
      <c r="M205" s="295"/>
      <c r="N205" s="295"/>
    </row>
    <row r="206" spans="5:21" s="195" customFormat="1" x14ac:dyDescent="0.25">
      <c r="E206" s="96" t="s">
        <v>725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324</v>
      </c>
      <c r="G207" s="91" t="s">
        <v>692</v>
      </c>
      <c r="H207" s="165"/>
      <c r="I207" s="91"/>
      <c r="J207" s="112"/>
      <c r="K207" s="112"/>
      <c r="L207" s="218"/>
      <c r="M207" s="218"/>
      <c r="N207" s="218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692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692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25">
      <c r="F210" s="76" t="s">
        <v>45</v>
      </c>
      <c r="G210" s="196" t="s">
        <v>692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25">
      <c r="F211" s="76" t="s">
        <v>46</v>
      </c>
      <c r="G211" s="196" t="s">
        <v>692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692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692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692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692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692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446</v>
      </c>
      <c r="G218" s="60" t="s">
        <v>692</v>
      </c>
      <c r="H218" s="212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  <row r="223" spans="2:27" x14ac:dyDescent="0.25">
      <c r="K223" s="89"/>
      <c r="L223" s="89"/>
      <c r="M223" s="89"/>
      <c r="O223" s="89"/>
      <c r="P223" s="89"/>
      <c r="Q223" s="89"/>
      <c r="R223" s="89"/>
    </row>
    <row r="224" spans="2:27" x14ac:dyDescent="0.25">
      <c r="K224" s="89"/>
      <c r="L224" s="89"/>
      <c r="M224" s="89"/>
      <c r="O224" s="89"/>
      <c r="P224" s="89"/>
      <c r="Q224" s="89"/>
      <c r="R224" s="89"/>
    </row>
    <row r="225" spans="11:18" x14ac:dyDescent="0.25">
      <c r="K225" s="89"/>
      <c r="L225" s="89"/>
      <c r="M225" s="89"/>
      <c r="O225" s="89"/>
      <c r="P225" s="89"/>
      <c r="Q225" s="89"/>
      <c r="R225" s="89"/>
    </row>
    <row r="226" spans="11:18" x14ac:dyDescent="0.25">
      <c r="K226" s="89"/>
      <c r="L226" s="89"/>
      <c r="M226" s="89"/>
      <c r="O226" s="89"/>
      <c r="P226" s="89"/>
      <c r="Q226" s="89"/>
      <c r="R226" s="89"/>
    </row>
    <row r="227" spans="11:18" x14ac:dyDescent="0.25">
      <c r="K227" s="89"/>
      <c r="L227" s="89"/>
      <c r="M227" s="89"/>
      <c r="O227" s="89"/>
      <c r="P227" s="89"/>
      <c r="Q227" s="89"/>
      <c r="R227" s="89"/>
    </row>
    <row r="228" spans="11:18" x14ac:dyDescent="0.25">
      <c r="K228" s="89"/>
      <c r="L228" s="89"/>
      <c r="M228" s="89"/>
      <c r="O228" s="89"/>
      <c r="P228" s="89"/>
      <c r="Q228" s="89"/>
      <c r="R228" s="89"/>
    </row>
    <row r="229" spans="11:18" x14ac:dyDescent="0.25">
      <c r="K229" s="89"/>
      <c r="L229" s="89"/>
      <c r="M229" s="89"/>
      <c r="O229" s="89"/>
      <c r="P229" s="89"/>
      <c r="Q229" s="89"/>
      <c r="R229" s="89"/>
    </row>
    <row r="230" spans="11:18" x14ac:dyDescent="0.25">
      <c r="K230" s="89"/>
      <c r="L230" s="89"/>
      <c r="M230" s="89"/>
      <c r="O230" s="89"/>
      <c r="P230" s="89"/>
      <c r="Q230" s="89"/>
      <c r="R230" s="89"/>
    </row>
    <row r="231" spans="11:18" x14ac:dyDescent="0.25">
      <c r="K231" s="89"/>
      <c r="L231" s="89"/>
      <c r="M231" s="89"/>
      <c r="O231" s="89"/>
      <c r="P231" s="89"/>
      <c r="Q231" s="89"/>
      <c r="R231" s="89"/>
    </row>
  </sheetData>
  <sheetProtection formatCells="0" formatColumns="0" formatRows="0" sort="0" autoFilter="0"/>
  <conditionalFormatting sqref="H190 H213 H196 H199:H204 L196:S196 L202:S204 L213:S213 L199:S200">
    <cfRule type="cellIs" dxfId="247" priority="23" operator="greaterThan">
      <formula>0</formula>
    </cfRule>
  </conditionalFormatting>
  <conditionalFormatting sqref="H209">
    <cfRule type="cellIs" dxfId="246" priority="17" operator="greaterThan">
      <formula>0</formula>
    </cfRule>
  </conditionalFormatting>
  <conditionalFormatting sqref="H208">
    <cfRule type="cellIs" dxfId="245" priority="16" operator="greaterThan">
      <formula>0</formula>
    </cfRule>
  </conditionalFormatting>
  <conditionalFormatting sqref="H210">
    <cfRule type="cellIs" dxfId="244" priority="15" operator="greaterThan">
      <formula>0</formula>
    </cfRule>
  </conditionalFormatting>
  <conditionalFormatting sqref="H211">
    <cfRule type="cellIs" dxfId="243" priority="14" operator="greaterThan">
      <formula>0</formula>
    </cfRule>
  </conditionalFormatting>
  <conditionalFormatting sqref="H212">
    <cfRule type="cellIs" dxfId="242" priority="13" operator="greaterThan">
      <formula>0</formula>
    </cfRule>
  </conditionalFormatting>
  <conditionalFormatting sqref="H214">
    <cfRule type="cellIs" dxfId="241" priority="12" operator="greaterThan">
      <formula>0</formula>
    </cfRule>
  </conditionalFormatting>
  <conditionalFormatting sqref="H215">
    <cfRule type="cellIs" dxfId="240" priority="11" operator="greaterThan">
      <formula>0</formula>
    </cfRule>
  </conditionalFormatting>
  <conditionalFormatting sqref="H216">
    <cfRule type="cellIs" dxfId="239" priority="10" operator="greaterThan">
      <formula>0</formula>
    </cfRule>
  </conditionalFormatting>
  <conditionalFormatting sqref="L210:S210">
    <cfRule type="cellIs" dxfId="238" priority="9" operator="greaterThan">
      <formula>0</formula>
    </cfRule>
  </conditionalFormatting>
  <conditionalFormatting sqref="L209:S209">
    <cfRule type="cellIs" dxfId="237" priority="8" operator="greaterThan">
      <formula>0</formula>
    </cfRule>
  </conditionalFormatting>
  <conditionalFormatting sqref="H197">
    <cfRule type="cellIs" dxfId="236" priority="7" operator="greaterThan">
      <formula>0</formula>
    </cfRule>
  </conditionalFormatting>
  <conditionalFormatting sqref="H198">
    <cfRule type="cellIs" dxfId="235" priority="6" operator="greaterThan">
      <formula>0</formula>
    </cfRule>
  </conditionalFormatting>
  <conditionalFormatting sqref="L192:S192">
    <cfRule type="cellIs" dxfId="234" priority="3" operator="greaterThan">
      <formula>0</formula>
    </cfRule>
  </conditionalFormatting>
  <conditionalFormatting sqref="H192">
    <cfRule type="cellIs" dxfId="233" priority="4" operator="greaterThan">
      <formula>0</formula>
    </cfRule>
  </conditionalFormatting>
  <conditionalFormatting sqref="A4:XFD4">
    <cfRule type="expression" dxfId="232" priority="2">
      <formula>LEFT($A$4,1) &lt;&gt; "0"</formula>
    </cfRule>
  </conditionalFormatting>
  <conditionalFormatting sqref="H218">
    <cfRule type="cellIs" dxfId="231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L112:S112 L98:S99 L95:S96 L90:S90 L92:S93 L178:S178 L106:S107 L101:S101 L139:S139 L55:S56 L142:S142 L144:S145 L103:S104 L76:S77 L61:S61 L151:S151 L109:S110 L66:S67 L64:S64 L175:S175 L84:S85 L147:S148 L131:S132 L69:S70 L52:S53 L79:S79 L27:S28 L50:S50 L33:S42 L114:S114 L126:S126 L87:S88 L163:S163 L128:S129 L154:S154 L156:S157 L159:S160 L171:S172 L123:S124 L24:S25 L22:S22 L19:S19 L81:S82 L47:S47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F8" sqref="F8"/>
    </sheetView>
  </sheetViews>
  <sheetFormatPr defaultColWidth="0" defaultRowHeight="15" x14ac:dyDescent="0.25"/>
  <cols>
    <col min="1" max="2" width="2.5703125" style="85" customWidth="1"/>
    <col min="3" max="3" width="6.85546875" style="85" customWidth="1"/>
    <col min="4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Manweb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97" s="195" customFormat="1" x14ac:dyDescent="0.25">
      <c r="A4" s="229" t="str">
        <f>H124 &amp; IF(H124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(2021/22)</v>
      </c>
      <c r="L5" s="35" t="str">
        <f t="array" ref="L5:S6">TRANSPOSE('ARP_User control'!G28:H35)</f>
        <v>2018/19</v>
      </c>
      <c r="M5" s="35" t="str">
        <v>2019/20</v>
      </c>
      <c r="N5" s="35" t="str">
        <v>2020/21</v>
      </c>
      <c r="O5" s="35" t="str">
        <v>2021/22</v>
      </c>
      <c r="P5" s="35" t="str">
        <v>2022/23</v>
      </c>
      <c r="Q5" s="35" t="str">
        <v>2023/24</v>
      </c>
      <c r="R5" s="35" t="str">
        <v>2024/25</v>
      </c>
      <c r="S5" s="35" t="str">
        <v>2025/26</v>
      </c>
      <c r="U5" s="35"/>
    </row>
    <row r="6" spans="1:97" x14ac:dyDescent="0.25">
      <c r="B6" s="134" t="s">
        <v>552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798</v>
      </c>
      <c r="G10" s="108"/>
    </row>
    <row r="11" spans="1:97" s="295" customFormat="1" x14ac:dyDescent="0.25">
      <c r="C11" s="82" t="s">
        <v>796</v>
      </c>
      <c r="G11" s="108"/>
    </row>
    <row r="12" spans="1:97" s="295" customFormat="1" x14ac:dyDescent="0.25">
      <c r="C12" s="82" t="s">
        <v>891</v>
      </c>
      <c r="G12" s="108"/>
    </row>
    <row r="13" spans="1:97" x14ac:dyDescent="0.25">
      <c r="G13" s="108"/>
    </row>
    <row r="14" spans="1:97" x14ac:dyDescent="0.25">
      <c r="B14" s="95" t="s">
        <v>656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263</v>
      </c>
      <c r="F18" s="96"/>
      <c r="G18" s="108"/>
      <c r="H18" s="130"/>
      <c r="I18" s="85" t="s">
        <v>431</v>
      </c>
      <c r="U18" s="85" t="s">
        <v>923</v>
      </c>
    </row>
    <row r="19" spans="3:21" x14ac:dyDescent="0.25">
      <c r="E19" s="195"/>
      <c r="F19" s="126" t="s">
        <v>87</v>
      </c>
      <c r="G19" s="129" t="s">
        <v>607</v>
      </c>
      <c r="H19" s="129"/>
      <c r="I19" s="129"/>
      <c r="J19" s="255">
        <f>CHOOSE(year_selection, L19,M19,N19,O19,P19,Q19,R19,S19)</f>
        <v>258</v>
      </c>
      <c r="K19" s="256"/>
      <c r="L19" s="332">
        <v>258</v>
      </c>
      <c r="M19" s="332">
        <v>258</v>
      </c>
      <c r="N19" s="332">
        <v>255</v>
      </c>
      <c r="O19" s="332">
        <v>258</v>
      </c>
      <c r="P19" s="332">
        <v>258</v>
      </c>
      <c r="Q19" s="332">
        <v>261</v>
      </c>
      <c r="R19" s="332">
        <v>258</v>
      </c>
      <c r="S19" s="332">
        <v>255</v>
      </c>
      <c r="T19" s="92"/>
      <c r="U19" s="92"/>
    </row>
    <row r="20" spans="3:21" x14ac:dyDescent="0.25">
      <c r="E20" s="195"/>
      <c r="F20" s="124" t="s">
        <v>88</v>
      </c>
      <c r="G20" s="130" t="s">
        <v>607</v>
      </c>
      <c r="H20" s="130"/>
      <c r="I20" s="130"/>
      <c r="J20" s="257">
        <f>CHOOSE(year_selection, L20,M20,N20,O20,P20,Q20,R20,S20)</f>
        <v>3942.5</v>
      </c>
      <c r="K20" s="258"/>
      <c r="L20" s="333">
        <v>3932</v>
      </c>
      <c r="M20" s="333">
        <v>3957</v>
      </c>
      <c r="N20" s="333">
        <v>3945.5</v>
      </c>
      <c r="O20" s="333">
        <v>3942.5</v>
      </c>
      <c r="P20" s="333">
        <v>3942.5</v>
      </c>
      <c r="Q20" s="333">
        <v>3933</v>
      </c>
      <c r="R20" s="333">
        <v>3942.5</v>
      </c>
      <c r="S20" s="333">
        <v>3945.5</v>
      </c>
      <c r="T20" s="92"/>
      <c r="U20" s="92"/>
    </row>
    <row r="21" spans="3:21" x14ac:dyDescent="0.25">
      <c r="E21" s="195"/>
      <c r="F21" s="125" t="s">
        <v>86</v>
      </c>
      <c r="G21" s="131" t="s">
        <v>607</v>
      </c>
      <c r="H21" s="131"/>
      <c r="I21" s="131"/>
      <c r="J21" s="259">
        <f>CHOOSE(year_selection, L21,M21,N21,O21,P21,Q21,R21,S21)</f>
        <v>4559.5</v>
      </c>
      <c r="K21" s="260"/>
      <c r="L21" s="334">
        <v>4570</v>
      </c>
      <c r="M21" s="334">
        <v>4569</v>
      </c>
      <c r="N21" s="334">
        <v>4559.5</v>
      </c>
      <c r="O21" s="334">
        <v>4559.5</v>
      </c>
      <c r="P21" s="334">
        <v>4559.5</v>
      </c>
      <c r="Q21" s="334">
        <v>4590</v>
      </c>
      <c r="R21" s="334">
        <v>4559.5</v>
      </c>
      <c r="S21" s="334">
        <v>4559.5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1"/>
      <c r="K22" s="262"/>
      <c r="L22" s="262"/>
      <c r="M22" s="262"/>
      <c r="N22" s="262"/>
      <c r="O22" s="262"/>
      <c r="P22" s="262"/>
      <c r="Q22" s="262"/>
      <c r="R22" s="262"/>
      <c r="S22" s="262"/>
    </row>
    <row r="23" spans="3:21" x14ac:dyDescent="0.25">
      <c r="D23" s="96"/>
      <c r="E23" s="96" t="s">
        <v>264</v>
      </c>
      <c r="F23" s="96"/>
      <c r="G23" s="108"/>
      <c r="H23" s="108"/>
      <c r="I23" s="85" t="s">
        <v>431</v>
      </c>
      <c r="J23" s="261"/>
      <c r="K23" s="262"/>
      <c r="L23" s="262"/>
      <c r="M23" s="262"/>
      <c r="N23" s="262"/>
      <c r="O23" s="262"/>
      <c r="P23" s="262"/>
      <c r="Q23" s="262"/>
      <c r="R23" s="262"/>
      <c r="S23" s="262"/>
      <c r="U23" s="85" t="s">
        <v>923</v>
      </c>
    </row>
    <row r="24" spans="3:21" x14ac:dyDescent="0.25">
      <c r="E24" s="195"/>
      <c r="F24" s="91" t="s">
        <v>84</v>
      </c>
      <c r="G24" s="129" t="s">
        <v>607</v>
      </c>
      <c r="H24" s="129"/>
      <c r="I24" s="129"/>
      <c r="J24" s="255">
        <f>CHOOSE(year_selection, L24,M24,N24,O24,P24,Q24,R24,S24)</f>
        <v>783</v>
      </c>
      <c r="K24" s="256"/>
      <c r="L24" s="332">
        <v>780</v>
      </c>
      <c r="M24" s="332">
        <v>786</v>
      </c>
      <c r="N24" s="332">
        <v>783</v>
      </c>
      <c r="O24" s="332">
        <v>783</v>
      </c>
      <c r="P24" s="332">
        <v>783</v>
      </c>
      <c r="Q24" s="332">
        <v>780</v>
      </c>
      <c r="R24" s="332">
        <v>783</v>
      </c>
      <c r="S24" s="332">
        <v>783</v>
      </c>
    </row>
    <row r="25" spans="3:21" x14ac:dyDescent="0.25">
      <c r="E25" s="195"/>
      <c r="F25" s="196" t="s">
        <v>85</v>
      </c>
      <c r="G25" s="130" t="s">
        <v>607</v>
      </c>
      <c r="H25" s="130"/>
      <c r="I25" s="130"/>
      <c r="J25" s="257">
        <f>CHOOSE(year_selection, L25,M25,N25,O25,P25,Q25,R25,S25)</f>
        <v>3417.5</v>
      </c>
      <c r="K25" s="258"/>
      <c r="L25" s="333">
        <v>3410</v>
      </c>
      <c r="M25" s="333">
        <v>3429</v>
      </c>
      <c r="N25" s="333">
        <v>3417.5</v>
      </c>
      <c r="O25" s="333">
        <v>3417.5</v>
      </c>
      <c r="P25" s="333">
        <v>3417.5</v>
      </c>
      <c r="Q25" s="333">
        <v>3414</v>
      </c>
      <c r="R25" s="333">
        <v>3417.5</v>
      </c>
      <c r="S25" s="333">
        <v>3417.5</v>
      </c>
    </row>
    <row r="26" spans="3:21" x14ac:dyDescent="0.25">
      <c r="E26" s="195"/>
      <c r="F26" s="93" t="s">
        <v>86</v>
      </c>
      <c r="G26" s="131" t="s">
        <v>607</v>
      </c>
      <c r="H26" s="131"/>
      <c r="I26" s="131"/>
      <c r="J26" s="259">
        <f>CHOOSE(year_selection, L26,M26,N26,O26,P26,Q26,R26,S26)</f>
        <v>4559.5</v>
      </c>
      <c r="K26" s="260"/>
      <c r="L26" s="334">
        <v>4570</v>
      </c>
      <c r="M26" s="334">
        <v>4569</v>
      </c>
      <c r="N26" s="334">
        <v>4559.5</v>
      </c>
      <c r="O26" s="334">
        <v>4559.5</v>
      </c>
      <c r="P26" s="334">
        <v>4559.5</v>
      </c>
      <c r="Q26" s="334">
        <v>4590</v>
      </c>
      <c r="R26" s="334">
        <v>4559.5</v>
      </c>
      <c r="S26" s="334">
        <v>4559.5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5"/>
      <c r="M29" s="295"/>
      <c r="N29" s="295"/>
      <c r="P29" s="295"/>
      <c r="Q29" s="295"/>
      <c r="R29" s="295"/>
      <c r="S29" s="295"/>
    </row>
    <row r="30" spans="3:21" s="295" customFormat="1" x14ac:dyDescent="0.25">
      <c r="D30" s="82" t="s">
        <v>254</v>
      </c>
      <c r="G30" s="108"/>
    </row>
    <row r="31" spans="3:21" s="295" customFormat="1" x14ac:dyDescent="0.25">
      <c r="G31" s="108"/>
    </row>
    <row r="32" spans="3:21" x14ac:dyDescent="0.25">
      <c r="D32" s="96"/>
      <c r="E32" s="96" t="s">
        <v>255</v>
      </c>
      <c r="F32" s="96"/>
      <c r="G32" s="108"/>
      <c r="H32" s="108"/>
      <c r="I32" s="85" t="s">
        <v>431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801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0.38002274557606974</v>
      </c>
      <c r="K33" s="40"/>
      <c r="L33" s="323">
        <v>0.37607324574717843</v>
      </c>
      <c r="M33" s="323">
        <v>0.37709059063353234</v>
      </c>
      <c r="N33" s="323">
        <v>0.37935734699932822</v>
      </c>
      <c r="O33" s="323">
        <v>0.38002274557606974</v>
      </c>
      <c r="P33" s="323">
        <v>0.38002274557606974</v>
      </c>
      <c r="Q33" s="323">
        <v>0.38002274557606974</v>
      </c>
      <c r="R33" s="323">
        <v>0.38002274557606974</v>
      </c>
      <c r="S33" s="323">
        <v>0.38002274557606974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0.55710107807599307</v>
      </c>
      <c r="K34" s="39"/>
      <c r="L34" s="324">
        <v>0.59962180891681971</v>
      </c>
      <c r="M34" s="324">
        <v>0.5967465787021935</v>
      </c>
      <c r="N34" s="324">
        <v>0.58482400628482056</v>
      </c>
      <c r="O34" s="324">
        <v>0.55710107807599307</v>
      </c>
      <c r="P34" s="324">
        <v>0.55710107807599307</v>
      </c>
      <c r="Q34" s="324">
        <v>0.55710107807599307</v>
      </c>
      <c r="R34" s="324">
        <v>0.55710107807599307</v>
      </c>
      <c r="S34" s="324">
        <v>0.55710107807599307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0.28402147020999663</v>
      </c>
      <c r="K35" s="39"/>
      <c r="L35" s="324">
        <v>0.35665598954690497</v>
      </c>
      <c r="M35" s="324">
        <v>0.35130474113833676</v>
      </c>
      <c r="N35" s="324">
        <v>0.32960816473192306</v>
      </c>
      <c r="O35" s="324">
        <v>0.28402147020999663</v>
      </c>
      <c r="P35" s="324">
        <v>0.28402147020999663</v>
      </c>
      <c r="Q35" s="324">
        <v>0.28402147020999663</v>
      </c>
      <c r="R35" s="324">
        <v>0.28402147020999663</v>
      </c>
      <c r="S35" s="324">
        <v>0.28402147020999663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0.19097590599842459</v>
      </c>
      <c r="K36" s="36"/>
      <c r="L36" s="325">
        <v>0.27293338305616688</v>
      </c>
      <c r="M36" s="325">
        <v>0.26661848199906246</v>
      </c>
      <c r="N36" s="325">
        <v>0.24276818560259777</v>
      </c>
      <c r="O36" s="325">
        <v>0.19097590599842459</v>
      </c>
      <c r="P36" s="325">
        <v>0.19097590599842459</v>
      </c>
      <c r="Q36" s="325">
        <v>0.19097590599842459</v>
      </c>
      <c r="R36" s="325">
        <v>0.19097590599842459</v>
      </c>
      <c r="S36" s="325">
        <v>0.19097590599842459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5"/>
      <c r="M39" s="295"/>
      <c r="N39" s="295"/>
      <c r="P39" s="295"/>
      <c r="Q39" s="295"/>
      <c r="R39" s="295"/>
      <c r="S39" s="295"/>
    </row>
    <row r="40" spans="3:38" s="195" customFormat="1" x14ac:dyDescent="0.25">
      <c r="D40" s="82" t="s">
        <v>892</v>
      </c>
      <c r="F40" s="82"/>
      <c r="G40" s="108"/>
      <c r="H40" s="108"/>
      <c r="I40" s="85" t="s">
        <v>431</v>
      </c>
      <c r="J40" s="152"/>
      <c r="L40" s="295"/>
      <c r="M40" s="295"/>
      <c r="N40" s="295"/>
      <c r="P40" s="295"/>
      <c r="Q40" s="295"/>
      <c r="R40" s="295"/>
      <c r="S40" s="295"/>
      <c r="T40" s="85"/>
      <c r="U40" s="195" t="s">
        <v>802</v>
      </c>
    </row>
    <row r="41" spans="3:38" s="195" customFormat="1" x14ac:dyDescent="0.25">
      <c r="D41" s="82" t="s">
        <v>1033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5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7">
        <f t="shared" ref="J43:J48" si="0">CHOOSE(year_selection, L43,M43,N43,O43,P43,Q43,R43,S43)</f>
        <v>310900000</v>
      </c>
      <c r="K43" s="263"/>
      <c r="L43" s="333">
        <v>310900000</v>
      </c>
      <c r="M43" s="333">
        <v>310900000</v>
      </c>
      <c r="N43" s="333">
        <v>310900000</v>
      </c>
      <c r="O43" s="333">
        <v>310900000</v>
      </c>
      <c r="P43" s="333">
        <v>310900000</v>
      </c>
      <c r="Q43" s="333">
        <v>310900000</v>
      </c>
      <c r="R43" s="333">
        <v>310900000</v>
      </c>
      <c r="S43" s="333">
        <v>310900000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7">
        <f t="shared" si="0"/>
        <v>533025.1711633309</v>
      </c>
      <c r="K44" s="263"/>
      <c r="L44" s="333">
        <v>-18319000</v>
      </c>
      <c r="M44" s="333">
        <v>-7766000</v>
      </c>
      <c r="N44" s="333">
        <v>-10200011.061069915</v>
      </c>
      <c r="O44" s="333">
        <v>533025.1711633309</v>
      </c>
      <c r="P44" s="333">
        <v>-11486565.521303361</v>
      </c>
      <c r="Q44" s="333">
        <v>-2086733.3905449072</v>
      </c>
      <c r="R44" s="333">
        <v>-2787219.6122728498</v>
      </c>
      <c r="S44" s="333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7">
        <f t="shared" si="0"/>
        <v>-2355921.994959096</v>
      </c>
      <c r="K45" s="263"/>
      <c r="L45" s="333">
        <v>-945000</v>
      </c>
      <c r="M45" s="333">
        <v>218000</v>
      </c>
      <c r="N45" s="333">
        <v>819865.54050030548</v>
      </c>
      <c r="O45" s="333">
        <v>-2355921.994959096</v>
      </c>
      <c r="P45" s="333">
        <v>96765.496621931539</v>
      </c>
      <c r="Q45" s="333">
        <v>-91841.562066253638</v>
      </c>
      <c r="R45" s="333">
        <v>-180.12781318414929</v>
      </c>
      <c r="S45" s="333">
        <v>0</v>
      </c>
    </row>
    <row r="46" spans="3:38" x14ac:dyDescent="0.25">
      <c r="E46" s="93" t="s">
        <v>3</v>
      </c>
      <c r="F46" s="93"/>
      <c r="G46" s="93" t="s">
        <v>528</v>
      </c>
      <c r="H46" s="93"/>
      <c r="I46" s="93"/>
      <c r="J46" s="259">
        <f t="shared" si="0"/>
        <v>1.2609999999999999</v>
      </c>
      <c r="K46" s="264"/>
      <c r="L46" s="334">
        <v>1.155</v>
      </c>
      <c r="M46" s="334">
        <v>1.196</v>
      </c>
      <c r="N46" s="334">
        <v>1.2370000000000001</v>
      </c>
      <c r="O46" s="334">
        <v>1.2609999999999999</v>
      </c>
      <c r="P46" s="334">
        <v>1.3009999999999999</v>
      </c>
      <c r="Q46" s="334">
        <v>1.3289710840911413</v>
      </c>
      <c r="R46" s="334">
        <v>1.3555491979156022</v>
      </c>
      <c r="S46" s="334">
        <v>1.3826586287932972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7">
        <f t="shared" si="0"/>
        <v>309077103.1762042</v>
      </c>
      <c r="K47" s="263"/>
      <c r="L47" s="265">
        <f t="shared" ref="L47:O47" si="1">SUM(L43:L45)</f>
        <v>291636000</v>
      </c>
      <c r="M47" s="265">
        <f t="shared" si="1"/>
        <v>303352000</v>
      </c>
      <c r="N47" s="265">
        <f t="shared" si="1"/>
        <v>301519854.47943038</v>
      </c>
      <c r="O47" s="265">
        <f t="shared" si="1"/>
        <v>309077103.1762042</v>
      </c>
      <c r="P47" s="265">
        <f t="shared" ref="P47:S47" si="2">SUM(P43:P45)</f>
        <v>299510199.97531855</v>
      </c>
      <c r="Q47" s="265">
        <f t="shared" si="2"/>
        <v>308721425.04738885</v>
      </c>
      <c r="R47" s="265">
        <f t="shared" si="2"/>
        <v>308112600.25991398</v>
      </c>
      <c r="S47" s="265">
        <f t="shared" si="2"/>
        <v>310900000</v>
      </c>
    </row>
    <row r="48" spans="3:38" x14ac:dyDescent="0.25">
      <c r="E48" s="81" t="s">
        <v>538</v>
      </c>
      <c r="F48" s="81"/>
      <c r="G48" s="92" t="s">
        <v>107</v>
      </c>
      <c r="H48" s="92"/>
      <c r="I48" s="92"/>
      <c r="J48" s="257">
        <f t="shared" si="0"/>
        <v>80669123.928989261</v>
      </c>
      <c r="K48" s="263"/>
      <c r="L48" s="265">
        <f t="shared" ref="L48:O48" si="3">L47 * (L46 - 1)</f>
        <v>45203580.000000007</v>
      </c>
      <c r="M48" s="265">
        <f t="shared" si="3"/>
        <v>59456991.999999985</v>
      </c>
      <c r="N48" s="265">
        <f t="shared" si="3"/>
        <v>71460205.511625037</v>
      </c>
      <c r="O48" s="265">
        <f t="shared" si="3"/>
        <v>80669123.928989261</v>
      </c>
      <c r="P48" s="265">
        <f t="shared" ref="P48:S48" si="4">P47 * (P46 - 1)</f>
        <v>90152570.192570865</v>
      </c>
      <c r="Q48" s="265">
        <f t="shared" si="4"/>
        <v>101560421.88000153</v>
      </c>
      <c r="R48" s="265">
        <f t="shared" si="4"/>
        <v>109549187.890103</v>
      </c>
      <c r="S48" s="265">
        <f t="shared" si="4"/>
        <v>118968567.69183609</v>
      </c>
    </row>
    <row r="49" spans="5:20" x14ac:dyDescent="0.25">
      <c r="E49" s="196"/>
      <c r="F49" s="196"/>
      <c r="G49" s="92"/>
      <c r="H49" s="92"/>
      <c r="I49" s="92"/>
      <c r="J49" s="266"/>
      <c r="K49" s="263"/>
      <c r="L49" s="263"/>
      <c r="M49" s="263"/>
      <c r="N49" s="263"/>
      <c r="O49" s="263"/>
      <c r="P49" s="263"/>
      <c r="Q49" s="263"/>
      <c r="R49" s="263"/>
      <c r="S49" s="263"/>
    </row>
    <row r="50" spans="5:20" x14ac:dyDescent="0.25">
      <c r="E50" s="196" t="s">
        <v>5</v>
      </c>
      <c r="F50" s="196"/>
      <c r="G50" s="92" t="s">
        <v>107</v>
      </c>
      <c r="H50" s="92"/>
      <c r="I50" s="92"/>
      <c r="J50" s="257">
        <f t="shared" ref="J50:J59" si="5">CHOOSE(year_selection, L50,M50,N50,O50,P50,Q50,R50,S50)</f>
        <v>362400.22189845564</v>
      </c>
      <c r="K50" s="263"/>
      <c r="L50" s="333">
        <v>20000</v>
      </c>
      <c r="M50" s="333">
        <v>269000</v>
      </c>
      <c r="N50" s="333">
        <v>194845.94919103882</v>
      </c>
      <c r="O50" s="333">
        <v>362400.22189845564</v>
      </c>
      <c r="P50" s="333">
        <v>372574.13945689792</v>
      </c>
      <c r="Q50" s="333">
        <v>376703.31976778299</v>
      </c>
      <c r="R50" s="333">
        <v>380967.95264321484</v>
      </c>
      <c r="S50" s="333">
        <v>0</v>
      </c>
    </row>
    <row r="51" spans="5:20" x14ac:dyDescent="0.25">
      <c r="E51" s="196" t="s">
        <v>6</v>
      </c>
      <c r="F51" s="196"/>
      <c r="G51" s="92" t="s">
        <v>107</v>
      </c>
      <c r="H51" s="92"/>
      <c r="I51" s="92"/>
      <c r="J51" s="257">
        <f t="shared" si="5"/>
        <v>6721889.8556509735</v>
      </c>
      <c r="K51" s="263"/>
      <c r="L51" s="333">
        <v>-1038999.9999999999</v>
      </c>
      <c r="M51" s="333">
        <v>6038000</v>
      </c>
      <c r="N51" s="333">
        <v>6631134.1703504445</v>
      </c>
      <c r="O51" s="333">
        <v>6721889.8556509735</v>
      </c>
      <c r="P51" s="333">
        <v>6699401.9112125933</v>
      </c>
      <c r="Q51" s="333">
        <v>6554896.374843806</v>
      </c>
      <c r="R51" s="333">
        <v>6355634.3898621723</v>
      </c>
      <c r="S51" s="333">
        <v>0</v>
      </c>
    </row>
    <row r="52" spans="5:20" x14ac:dyDescent="0.25">
      <c r="E52" s="196" t="s">
        <v>7</v>
      </c>
      <c r="F52" s="196"/>
      <c r="G52" s="92" t="s">
        <v>107</v>
      </c>
      <c r="H52" s="92"/>
      <c r="I52" s="92"/>
      <c r="J52" s="257">
        <f t="shared" si="5"/>
        <v>-121325.85780384066</v>
      </c>
      <c r="K52" s="263"/>
      <c r="L52" s="333">
        <v>-1552000</v>
      </c>
      <c r="M52" s="333">
        <v>-1979000</v>
      </c>
      <c r="N52" s="333">
        <v>-1831935.8336353651</v>
      </c>
      <c r="O52" s="333">
        <v>-121325.85780384066</v>
      </c>
      <c r="P52" s="333">
        <v>-2010980.575392623</v>
      </c>
      <c r="Q52" s="333">
        <v>-1319657.0391642121</v>
      </c>
      <c r="R52" s="333">
        <v>150178.74630215124</v>
      </c>
      <c r="S52" s="333">
        <v>0</v>
      </c>
    </row>
    <row r="53" spans="5:20" x14ac:dyDescent="0.25">
      <c r="E53" s="196" t="s">
        <v>8</v>
      </c>
      <c r="F53" s="196"/>
      <c r="G53" s="92" t="s">
        <v>107</v>
      </c>
      <c r="H53" s="92"/>
      <c r="I53" s="92"/>
      <c r="J53" s="257">
        <f t="shared" si="5"/>
        <v>1497149.5618575285</v>
      </c>
      <c r="K53" s="263"/>
      <c r="L53" s="333">
        <v>586000</v>
      </c>
      <c r="M53" s="333">
        <v>788000</v>
      </c>
      <c r="N53" s="333">
        <v>1174060.8002525589</v>
      </c>
      <c r="O53" s="333">
        <v>1497149.5618575285</v>
      </c>
      <c r="P53" s="333">
        <v>1725560.9961489982</v>
      </c>
      <c r="Q53" s="333">
        <v>1839195.1793125444</v>
      </c>
      <c r="R53" s="333">
        <v>1571605.3955732153</v>
      </c>
      <c r="S53" s="333">
        <v>0</v>
      </c>
    </row>
    <row r="54" spans="5:20" x14ac:dyDescent="0.25">
      <c r="E54" s="196" t="s">
        <v>9</v>
      </c>
      <c r="F54" s="196"/>
      <c r="G54" s="92" t="s">
        <v>107</v>
      </c>
      <c r="H54" s="92"/>
      <c r="I54" s="92"/>
      <c r="J54" s="257">
        <f t="shared" si="5"/>
        <v>70277.085039683006</v>
      </c>
      <c r="K54" s="263"/>
      <c r="L54" s="333">
        <v>368000</v>
      </c>
      <c r="M54" s="333">
        <v>64000</v>
      </c>
      <c r="N54" s="333">
        <v>1388934.8613928726</v>
      </c>
      <c r="O54" s="333">
        <v>70277.085039683006</v>
      </c>
      <c r="P54" s="333">
        <v>0</v>
      </c>
      <c r="Q54" s="333">
        <v>0</v>
      </c>
      <c r="R54" s="333">
        <v>0</v>
      </c>
      <c r="S54" s="333">
        <v>0</v>
      </c>
    </row>
    <row r="55" spans="5:20" x14ac:dyDescent="0.25">
      <c r="E55" s="196" t="s">
        <v>10</v>
      </c>
      <c r="F55" s="196"/>
      <c r="G55" s="92" t="s">
        <v>107</v>
      </c>
      <c r="H55" s="92"/>
      <c r="I55" s="92"/>
      <c r="J55" s="257">
        <f t="shared" si="5"/>
        <v>0</v>
      </c>
      <c r="K55" s="263"/>
      <c r="L55" s="333">
        <v>0</v>
      </c>
      <c r="M55" s="333">
        <v>0</v>
      </c>
      <c r="N55" s="333">
        <v>0</v>
      </c>
      <c r="O55" s="333">
        <v>0</v>
      </c>
      <c r="P55" s="333">
        <v>0</v>
      </c>
      <c r="Q55" s="333">
        <v>0</v>
      </c>
      <c r="R55" s="333">
        <v>0</v>
      </c>
      <c r="S55" s="333">
        <v>0</v>
      </c>
    </row>
    <row r="56" spans="5:20" s="295" customFormat="1" x14ac:dyDescent="0.25">
      <c r="E56" s="295" t="s">
        <v>1121</v>
      </c>
      <c r="G56" s="295" t="s">
        <v>107</v>
      </c>
      <c r="H56" s="196"/>
      <c r="I56" s="196"/>
      <c r="J56" s="257">
        <f t="shared" si="5"/>
        <v>35542.579269051414</v>
      </c>
      <c r="K56" s="263"/>
      <c r="L56" s="333"/>
      <c r="M56" s="333"/>
      <c r="N56" s="333"/>
      <c r="O56" s="333">
        <v>35542.579269051414</v>
      </c>
      <c r="P56" s="333">
        <v>106770.38308853396</v>
      </c>
      <c r="Q56" s="333">
        <v>0</v>
      </c>
      <c r="R56" s="333">
        <v>0</v>
      </c>
      <c r="S56" s="333">
        <v>0</v>
      </c>
    </row>
    <row r="57" spans="5:20" s="295" customFormat="1" x14ac:dyDescent="0.25">
      <c r="E57" s="295" t="s">
        <v>1122</v>
      </c>
      <c r="G57" s="295" t="s">
        <v>107</v>
      </c>
      <c r="H57" s="196"/>
      <c r="I57" s="196"/>
      <c r="J57" s="257">
        <f t="shared" si="5"/>
        <v>1428543.453235823</v>
      </c>
      <c r="K57" s="263"/>
      <c r="L57" s="333"/>
      <c r="M57" s="333"/>
      <c r="N57" s="333"/>
      <c r="O57" s="333">
        <v>1428543.453235823</v>
      </c>
      <c r="P57" s="333">
        <v>0</v>
      </c>
      <c r="Q57" s="333">
        <v>0</v>
      </c>
      <c r="R57" s="333">
        <v>0</v>
      </c>
      <c r="S57" s="333">
        <v>0</v>
      </c>
    </row>
    <row r="58" spans="5:20" x14ac:dyDescent="0.25">
      <c r="E58" s="93" t="s">
        <v>11</v>
      </c>
      <c r="F58" s="93"/>
      <c r="G58" s="93" t="s">
        <v>107</v>
      </c>
      <c r="H58" s="93"/>
      <c r="I58" s="93"/>
      <c r="J58" s="259">
        <f t="shared" si="5"/>
        <v>0</v>
      </c>
      <c r="K58" s="264"/>
      <c r="L58" s="334">
        <v>0</v>
      </c>
      <c r="M58" s="334">
        <v>0</v>
      </c>
      <c r="N58" s="334">
        <v>0</v>
      </c>
      <c r="O58" s="334">
        <v>0</v>
      </c>
      <c r="P58" s="334">
        <v>0</v>
      </c>
      <c r="Q58" s="334">
        <v>0</v>
      </c>
      <c r="R58" s="334">
        <v>0</v>
      </c>
      <c r="S58" s="334">
        <v>0</v>
      </c>
    </row>
    <row r="59" spans="5:20" x14ac:dyDescent="0.25">
      <c r="E59" s="196" t="s">
        <v>12</v>
      </c>
      <c r="F59" s="196"/>
      <c r="G59" s="92" t="s">
        <v>107</v>
      </c>
      <c r="H59" s="92"/>
      <c r="I59" s="92"/>
      <c r="J59" s="257">
        <f t="shared" si="5"/>
        <v>9994476.8991476763</v>
      </c>
      <c r="K59" s="263"/>
      <c r="L59" s="306">
        <f t="shared" ref="L59:S59" si="6">SUM(L50:L58)</f>
        <v>-1617000</v>
      </c>
      <c r="M59" s="306">
        <f t="shared" si="6"/>
        <v>5180000</v>
      </c>
      <c r="N59" s="306">
        <f t="shared" si="6"/>
        <v>7557039.9475515485</v>
      </c>
      <c r="O59" s="306">
        <f t="shared" si="6"/>
        <v>9994476.8991476763</v>
      </c>
      <c r="P59" s="306">
        <f t="shared" si="6"/>
        <v>6893326.8545144005</v>
      </c>
      <c r="Q59" s="306">
        <f t="shared" si="6"/>
        <v>7451137.8347599208</v>
      </c>
      <c r="R59" s="306">
        <f t="shared" si="6"/>
        <v>8458386.4843807537</v>
      </c>
      <c r="S59" s="306">
        <f t="shared" si="6"/>
        <v>0</v>
      </c>
      <c r="T59" s="306"/>
    </row>
    <row r="60" spans="5:20" x14ac:dyDescent="0.25">
      <c r="E60" s="196"/>
      <c r="F60" s="196"/>
      <c r="G60" s="92"/>
      <c r="H60" s="92"/>
      <c r="I60" s="92"/>
      <c r="J60" s="266"/>
      <c r="K60" s="263"/>
      <c r="L60" s="263"/>
      <c r="M60" s="263"/>
      <c r="N60" s="263"/>
      <c r="O60" s="263"/>
      <c r="P60" s="263"/>
      <c r="Q60" s="263"/>
      <c r="R60" s="263"/>
      <c r="S60" s="263"/>
    </row>
    <row r="61" spans="5:20" x14ac:dyDescent="0.25">
      <c r="E61" s="196" t="s">
        <v>13</v>
      </c>
      <c r="F61" s="196"/>
      <c r="G61" s="92" t="s">
        <v>107</v>
      </c>
      <c r="H61" s="92"/>
      <c r="I61" s="92"/>
      <c r="J61" s="257">
        <f t="shared" ref="J61:J72" si="7">CHOOSE(year_selection, L61,M61,N61,O61,P61,Q61,R61,S61)</f>
        <v>4163072.2344266209</v>
      </c>
      <c r="K61" s="263"/>
      <c r="L61" s="333">
        <v>2500000</v>
      </c>
      <c r="M61" s="333">
        <v>3477000</v>
      </c>
      <c r="N61" s="333">
        <v>3834751.718401962</v>
      </c>
      <c r="O61" s="333">
        <v>4163072.2344266209</v>
      </c>
      <c r="P61" s="333">
        <v>4404054.6443394292</v>
      </c>
      <c r="Q61" s="333">
        <v>4664442.2192704612</v>
      </c>
      <c r="R61" s="333">
        <v>4943797.2821089197</v>
      </c>
      <c r="S61" s="333">
        <v>0</v>
      </c>
    </row>
    <row r="62" spans="5:20" x14ac:dyDescent="0.25">
      <c r="E62" s="196" t="s">
        <v>14</v>
      </c>
      <c r="F62" s="196"/>
      <c r="G62" s="92" t="s">
        <v>107</v>
      </c>
      <c r="H62" s="92"/>
      <c r="I62" s="92"/>
      <c r="J62" s="257">
        <f t="shared" si="7"/>
        <v>4710478.7801506864</v>
      </c>
      <c r="K62" s="263"/>
      <c r="L62" s="333">
        <v>2055000.0000000002</v>
      </c>
      <c r="M62" s="333">
        <v>4487000</v>
      </c>
      <c r="N62" s="333">
        <v>4629782.8713095766</v>
      </c>
      <c r="O62" s="333">
        <v>4710478.7801506864</v>
      </c>
      <c r="P62" s="333">
        <v>4851208.6423836183</v>
      </c>
      <c r="Q62" s="333">
        <v>4948231.5018992228</v>
      </c>
      <c r="R62" s="333">
        <v>5039648.7566973707</v>
      </c>
      <c r="S62" s="333">
        <v>0</v>
      </c>
    </row>
    <row r="63" spans="5:20" x14ac:dyDescent="0.25">
      <c r="E63" s="196" t="s">
        <v>15</v>
      </c>
      <c r="F63" s="196"/>
      <c r="G63" s="92" t="s">
        <v>107</v>
      </c>
      <c r="H63" s="92"/>
      <c r="I63" s="92"/>
      <c r="J63" s="257">
        <f t="shared" si="7"/>
        <v>0</v>
      </c>
      <c r="K63" s="263"/>
      <c r="L63" s="333">
        <v>0</v>
      </c>
      <c r="M63" s="333">
        <v>0</v>
      </c>
      <c r="N63" s="333">
        <v>0</v>
      </c>
      <c r="O63" s="333">
        <v>0</v>
      </c>
      <c r="P63" s="333">
        <v>0</v>
      </c>
      <c r="Q63" s="333">
        <v>0</v>
      </c>
      <c r="R63" s="333">
        <v>0</v>
      </c>
      <c r="S63" s="333">
        <v>0</v>
      </c>
    </row>
    <row r="64" spans="5:20" x14ac:dyDescent="0.25">
      <c r="E64" s="196" t="s">
        <v>16</v>
      </c>
      <c r="F64" s="196"/>
      <c r="G64" s="92" t="s">
        <v>107</v>
      </c>
      <c r="H64" s="92"/>
      <c r="I64" s="92"/>
      <c r="J64" s="257">
        <f t="shared" si="7"/>
        <v>713669.52590170642</v>
      </c>
      <c r="K64" s="263"/>
      <c r="L64" s="333">
        <v>800000</v>
      </c>
      <c r="M64" s="333">
        <v>785000</v>
      </c>
      <c r="N64" s="333">
        <v>348613.79258199653</v>
      </c>
      <c r="O64" s="333">
        <v>713669.52590170642</v>
      </c>
      <c r="P64" s="333">
        <v>734009.10738990491</v>
      </c>
      <c r="Q64" s="333">
        <v>756396.03555737203</v>
      </c>
      <c r="R64" s="333">
        <v>780599.57085930312</v>
      </c>
      <c r="S64" s="333">
        <v>0</v>
      </c>
    </row>
    <row r="65" spans="5:19" x14ac:dyDescent="0.25">
      <c r="E65" s="196" t="s">
        <v>17</v>
      </c>
      <c r="F65" s="196"/>
      <c r="G65" s="92" t="s">
        <v>107</v>
      </c>
      <c r="H65" s="92"/>
      <c r="I65" s="92"/>
      <c r="J65" s="257">
        <f t="shared" si="7"/>
        <v>735162.99999999988</v>
      </c>
      <c r="K65" s="263"/>
      <c r="L65" s="333">
        <v>0</v>
      </c>
      <c r="M65" s="333">
        <v>478000</v>
      </c>
      <c r="N65" s="333">
        <v>0</v>
      </c>
      <c r="O65" s="333">
        <v>735162.99999999988</v>
      </c>
      <c r="P65" s="333">
        <v>0</v>
      </c>
      <c r="Q65" s="333">
        <v>0</v>
      </c>
      <c r="R65" s="333">
        <v>0</v>
      </c>
      <c r="S65" s="333">
        <v>0</v>
      </c>
    </row>
    <row r="66" spans="5:19" x14ac:dyDescent="0.25">
      <c r="E66" s="196" t="s">
        <v>18</v>
      </c>
      <c r="F66" s="196"/>
      <c r="G66" s="92" t="s">
        <v>107</v>
      </c>
      <c r="H66" s="92"/>
      <c r="I66" s="92"/>
      <c r="J66" s="257">
        <f t="shared" si="7"/>
        <v>1364836.5360000003</v>
      </c>
      <c r="K66" s="263"/>
      <c r="L66" s="333">
        <v>1310000</v>
      </c>
      <c r="M66" s="333">
        <v>1260000</v>
      </c>
      <c r="N66" s="333">
        <v>1260000</v>
      </c>
      <c r="O66" s="333">
        <v>1364836.5360000003</v>
      </c>
      <c r="P66" s="333">
        <v>1405781.6320800001</v>
      </c>
      <c r="Q66" s="333">
        <v>0</v>
      </c>
      <c r="R66" s="333">
        <v>0</v>
      </c>
      <c r="S66" s="333">
        <v>0</v>
      </c>
    </row>
    <row r="67" spans="5:19" x14ac:dyDescent="0.25">
      <c r="E67" s="196" t="s">
        <v>19</v>
      </c>
      <c r="F67" s="196"/>
      <c r="G67" s="92" t="s">
        <v>107</v>
      </c>
      <c r="H67" s="92"/>
      <c r="I67" s="92"/>
      <c r="J67" s="257">
        <f t="shared" si="7"/>
        <v>0</v>
      </c>
      <c r="K67" s="263"/>
      <c r="L67" s="333">
        <v>0</v>
      </c>
      <c r="M67" s="333">
        <v>0</v>
      </c>
      <c r="N67" s="333">
        <v>0</v>
      </c>
      <c r="O67" s="333">
        <v>0</v>
      </c>
      <c r="P67" s="333">
        <v>0</v>
      </c>
      <c r="Q67" s="333">
        <v>0</v>
      </c>
      <c r="R67" s="333">
        <v>0</v>
      </c>
      <c r="S67" s="333">
        <v>0</v>
      </c>
    </row>
    <row r="68" spans="5:19" x14ac:dyDescent="0.25">
      <c r="E68" s="196" t="s">
        <v>20</v>
      </c>
      <c r="F68" s="196"/>
      <c r="G68" s="92" t="s">
        <v>107</v>
      </c>
      <c r="H68" s="92"/>
      <c r="I68" s="92"/>
      <c r="J68" s="257">
        <f t="shared" si="7"/>
        <v>0</v>
      </c>
      <c r="K68" s="263"/>
      <c r="L68" s="333">
        <v>0</v>
      </c>
      <c r="M68" s="333">
        <v>0</v>
      </c>
      <c r="N68" s="333">
        <v>0</v>
      </c>
      <c r="O68" s="333">
        <v>0</v>
      </c>
      <c r="P68" s="333">
        <v>0</v>
      </c>
      <c r="Q68" s="333">
        <v>0</v>
      </c>
      <c r="R68" s="333">
        <v>0</v>
      </c>
      <c r="S68" s="333">
        <v>0</v>
      </c>
    </row>
    <row r="69" spans="5:19" x14ac:dyDescent="0.25">
      <c r="E69" s="196" t="s">
        <v>21</v>
      </c>
      <c r="F69" s="196"/>
      <c r="G69" s="92" t="s">
        <v>107</v>
      </c>
      <c r="H69" s="92"/>
      <c r="I69" s="92"/>
      <c r="J69" s="257">
        <f t="shared" si="7"/>
        <v>0</v>
      </c>
      <c r="K69" s="263"/>
      <c r="L69" s="333">
        <v>0</v>
      </c>
      <c r="M69" s="333">
        <v>0</v>
      </c>
      <c r="N69" s="333">
        <v>0</v>
      </c>
      <c r="O69" s="333">
        <v>0</v>
      </c>
      <c r="P69" s="333">
        <v>0</v>
      </c>
      <c r="Q69" s="333">
        <v>0</v>
      </c>
      <c r="R69" s="333">
        <v>0</v>
      </c>
      <c r="S69" s="333">
        <v>0</v>
      </c>
    </row>
    <row r="70" spans="5:19" x14ac:dyDescent="0.25">
      <c r="E70" s="196" t="s">
        <v>22</v>
      </c>
      <c r="F70" s="196"/>
      <c r="G70" s="92" t="s">
        <v>107</v>
      </c>
      <c r="H70" s="92"/>
      <c r="I70" s="92"/>
      <c r="J70" s="257">
        <f t="shared" si="7"/>
        <v>0</v>
      </c>
      <c r="K70" s="263"/>
      <c r="L70" s="333">
        <v>0</v>
      </c>
      <c r="M70" s="333">
        <v>0</v>
      </c>
      <c r="N70" s="333">
        <v>0</v>
      </c>
      <c r="O70" s="333">
        <v>0</v>
      </c>
      <c r="P70" s="333">
        <v>0</v>
      </c>
      <c r="Q70" s="333">
        <v>0</v>
      </c>
      <c r="R70" s="333">
        <v>0</v>
      </c>
      <c r="S70" s="333">
        <v>0</v>
      </c>
    </row>
    <row r="71" spans="5:19" x14ac:dyDescent="0.25">
      <c r="E71" s="93" t="s">
        <v>23</v>
      </c>
      <c r="F71" s="93"/>
      <c r="G71" s="93" t="s">
        <v>107</v>
      </c>
      <c r="H71" s="93"/>
      <c r="I71" s="93"/>
      <c r="J71" s="259">
        <f t="shared" si="7"/>
        <v>0</v>
      </c>
      <c r="K71" s="264"/>
      <c r="L71" s="334">
        <v>0</v>
      </c>
      <c r="M71" s="334">
        <v>0</v>
      </c>
      <c r="N71" s="334">
        <v>0</v>
      </c>
      <c r="O71" s="334">
        <v>0</v>
      </c>
      <c r="P71" s="334">
        <v>0</v>
      </c>
      <c r="Q71" s="334">
        <v>0</v>
      </c>
      <c r="R71" s="334">
        <v>0</v>
      </c>
      <c r="S71" s="334">
        <v>0</v>
      </c>
    </row>
    <row r="72" spans="5:19" x14ac:dyDescent="0.25">
      <c r="E72" s="196" t="s">
        <v>24</v>
      </c>
      <c r="F72" s="196"/>
      <c r="G72" s="92" t="s">
        <v>107</v>
      </c>
      <c r="H72" s="92"/>
      <c r="I72" s="92"/>
      <c r="J72" s="257">
        <f t="shared" si="7"/>
        <v>11687220.076479014</v>
      </c>
      <c r="K72" s="263"/>
      <c r="L72" s="306">
        <f t="shared" ref="L72:S72" si="8">SUM(L61:L71)</f>
        <v>6665000</v>
      </c>
      <c r="M72" s="306">
        <f t="shared" si="8"/>
        <v>10487000</v>
      </c>
      <c r="N72" s="306">
        <f t="shared" si="8"/>
        <v>10073148.382293535</v>
      </c>
      <c r="O72" s="306">
        <f t="shared" si="8"/>
        <v>11687220.076479014</v>
      </c>
      <c r="P72" s="306">
        <f t="shared" si="8"/>
        <v>11395054.026192952</v>
      </c>
      <c r="Q72" s="306">
        <f t="shared" si="8"/>
        <v>10369069.756727057</v>
      </c>
      <c r="R72" s="306">
        <f t="shared" si="8"/>
        <v>10764045.609665593</v>
      </c>
      <c r="S72" s="306">
        <f t="shared" si="8"/>
        <v>0</v>
      </c>
    </row>
    <row r="73" spans="5:19" x14ac:dyDescent="0.25">
      <c r="E73" s="196"/>
      <c r="F73" s="196"/>
      <c r="G73" s="92"/>
      <c r="H73" s="92"/>
      <c r="I73" s="92"/>
      <c r="J73" s="266"/>
      <c r="K73" s="263"/>
      <c r="L73" s="263"/>
      <c r="M73" s="263"/>
      <c r="N73" s="263"/>
      <c r="O73" s="263"/>
      <c r="P73" s="263"/>
      <c r="Q73" s="263"/>
      <c r="R73" s="263"/>
      <c r="S73" s="263"/>
    </row>
    <row r="74" spans="5:19" x14ac:dyDescent="0.25">
      <c r="E74" s="93" t="s">
        <v>25</v>
      </c>
      <c r="F74" s="93"/>
      <c r="G74" s="93" t="s">
        <v>107</v>
      </c>
      <c r="H74" s="93"/>
      <c r="I74" s="93"/>
      <c r="J74" s="259">
        <f>CHOOSE(year_selection, L74,M74,N74,O74,P74,Q74,R74,S74)</f>
        <v>-17629263.193433948</v>
      </c>
      <c r="K74" s="264"/>
      <c r="L74" s="334">
        <v>86000</v>
      </c>
      <c r="M74" s="334">
        <v>3669000</v>
      </c>
      <c r="N74" s="334">
        <v>9333808.5794630256</v>
      </c>
      <c r="O74" s="334">
        <v>-17629263.193433948</v>
      </c>
      <c r="P74" s="334">
        <v>9909668.0439211372</v>
      </c>
      <c r="Q74" s="334">
        <v>0</v>
      </c>
      <c r="R74" s="334">
        <v>0</v>
      </c>
      <c r="S74" s="334">
        <v>0</v>
      </c>
    </row>
    <row r="75" spans="5:19" x14ac:dyDescent="0.25">
      <c r="E75" s="196" t="s">
        <v>26</v>
      </c>
      <c r="F75" s="196"/>
      <c r="G75" s="92" t="s">
        <v>107</v>
      </c>
      <c r="H75" s="92"/>
      <c r="I75" s="92"/>
      <c r="J75" s="257">
        <f>CHOOSE(year_selection, L75,M75,N75,O75,P75,Q75,R75,S75)</f>
        <v>393798660.8873862</v>
      </c>
      <c r="K75" s="263"/>
      <c r="L75" s="265">
        <f t="shared" ref="L75:S75" si="9">L74 + L72 + L59 + L48 + L47</f>
        <v>341973580</v>
      </c>
      <c r="M75" s="265">
        <f t="shared" si="9"/>
        <v>382144992</v>
      </c>
      <c r="N75" s="265">
        <f t="shared" si="9"/>
        <v>399944056.9003635</v>
      </c>
      <c r="O75" s="265">
        <f t="shared" si="9"/>
        <v>393798660.8873862</v>
      </c>
      <c r="P75" s="265">
        <f>P74 + P72 + P59 + P48 + P47</f>
        <v>417860819.09251791</v>
      </c>
      <c r="Q75" s="265">
        <f t="shared" si="9"/>
        <v>428102054.51887739</v>
      </c>
      <c r="R75" s="265">
        <f t="shared" si="9"/>
        <v>436884220.24406332</v>
      </c>
      <c r="S75" s="265">
        <f t="shared" si="9"/>
        <v>429868567.69183612</v>
      </c>
    </row>
    <row r="76" spans="5:19" x14ac:dyDescent="0.25">
      <c r="E76" s="196"/>
      <c r="F76" s="196"/>
      <c r="G76" s="92"/>
      <c r="H76" s="92"/>
      <c r="I76" s="92"/>
      <c r="J76" s="266"/>
      <c r="K76" s="263"/>
      <c r="L76" s="263"/>
      <c r="M76" s="263"/>
      <c r="N76" s="263"/>
      <c r="O76" s="263"/>
      <c r="P76" s="263"/>
      <c r="Q76" s="263"/>
      <c r="R76" s="263"/>
      <c r="S76" s="263"/>
    </row>
    <row r="77" spans="5:19" x14ac:dyDescent="0.25">
      <c r="E77" s="196" t="s">
        <v>27</v>
      </c>
      <c r="F77" s="196"/>
      <c r="G77" s="92" t="s">
        <v>107</v>
      </c>
      <c r="H77" s="92"/>
      <c r="I77" s="92"/>
      <c r="J77" s="257">
        <f t="shared" ref="J77:J83" si="10">CHOOSE(year_selection, L77,M77,N77,O77,P77,Q77,R77,S77)</f>
        <v>0</v>
      </c>
      <c r="K77" s="263"/>
      <c r="L77" s="333">
        <v>0</v>
      </c>
      <c r="M77" s="333">
        <v>0</v>
      </c>
      <c r="N77" s="333">
        <v>0</v>
      </c>
      <c r="O77" s="333">
        <v>0</v>
      </c>
      <c r="P77" s="333">
        <v>0</v>
      </c>
      <c r="Q77" s="333">
        <v>0</v>
      </c>
      <c r="R77" s="333">
        <v>0</v>
      </c>
      <c r="S77" s="333">
        <v>0</v>
      </c>
    </row>
    <row r="78" spans="5:19" x14ac:dyDescent="0.25">
      <c r="E78" s="196" t="s">
        <v>28</v>
      </c>
      <c r="F78" s="196"/>
      <c r="G78" s="92" t="s">
        <v>107</v>
      </c>
      <c r="H78" s="92"/>
      <c r="I78" s="92"/>
      <c r="J78" s="257">
        <f t="shared" si="10"/>
        <v>550076.828243747</v>
      </c>
      <c r="K78" s="263"/>
      <c r="L78" s="333">
        <v>499000</v>
      </c>
      <c r="M78" s="333">
        <v>500000</v>
      </c>
      <c r="N78" s="333">
        <v>533092.96507416666</v>
      </c>
      <c r="O78" s="333">
        <v>550076.828243747</v>
      </c>
      <c r="P78" s="333">
        <v>567678.45927472028</v>
      </c>
      <c r="Q78" s="333">
        <v>579883.68346681562</v>
      </c>
      <c r="R78" s="333">
        <v>591480.78646523703</v>
      </c>
      <c r="S78" s="333">
        <v>603309.72452283034</v>
      </c>
    </row>
    <row r="79" spans="5:19" x14ac:dyDescent="0.25">
      <c r="E79" s="196" t="s">
        <v>29</v>
      </c>
      <c r="F79" s="196"/>
      <c r="G79" s="92" t="s">
        <v>107</v>
      </c>
      <c r="H79" s="92"/>
      <c r="I79" s="92"/>
      <c r="J79" s="257">
        <f t="shared" si="10"/>
        <v>0</v>
      </c>
      <c r="K79" s="263"/>
      <c r="L79" s="333">
        <v>0</v>
      </c>
      <c r="M79" s="333">
        <v>0</v>
      </c>
      <c r="N79" s="333">
        <v>0</v>
      </c>
      <c r="O79" s="333">
        <v>0</v>
      </c>
      <c r="P79" s="333">
        <v>0</v>
      </c>
      <c r="Q79" s="333">
        <v>0</v>
      </c>
      <c r="R79" s="333">
        <v>0</v>
      </c>
      <c r="S79" s="333">
        <v>0</v>
      </c>
    </row>
    <row r="80" spans="5:19" x14ac:dyDescent="0.25">
      <c r="E80" s="196" t="s">
        <v>1175</v>
      </c>
      <c r="F80" s="196"/>
      <c r="G80" s="92" t="s">
        <v>107</v>
      </c>
      <c r="H80" s="92"/>
      <c r="I80" s="92"/>
      <c r="J80" s="257">
        <f t="shared" si="10"/>
        <v>0</v>
      </c>
      <c r="K80" s="263"/>
      <c r="L80" s="333">
        <v>0</v>
      </c>
      <c r="M80" s="333">
        <v>0</v>
      </c>
      <c r="N80" s="333">
        <v>0</v>
      </c>
      <c r="O80" s="333">
        <v>0</v>
      </c>
      <c r="P80" s="333">
        <v>0</v>
      </c>
      <c r="Q80" s="333">
        <v>0</v>
      </c>
      <c r="R80" s="333">
        <v>0</v>
      </c>
      <c r="S80" s="333">
        <v>0</v>
      </c>
    </row>
    <row r="81" spans="5:19" x14ac:dyDescent="0.25">
      <c r="E81" s="93" t="s">
        <v>1176</v>
      </c>
      <c r="F81" s="93"/>
      <c r="G81" s="93" t="s">
        <v>107</v>
      </c>
      <c r="H81" s="93"/>
      <c r="I81" s="93"/>
      <c r="J81" s="259">
        <f t="shared" si="10"/>
        <v>0</v>
      </c>
      <c r="K81" s="264"/>
      <c r="L81" s="334">
        <v>0</v>
      </c>
      <c r="M81" s="334">
        <v>0</v>
      </c>
      <c r="N81" s="334">
        <v>0</v>
      </c>
      <c r="O81" s="334">
        <v>0</v>
      </c>
      <c r="P81" s="334">
        <v>0</v>
      </c>
      <c r="Q81" s="334">
        <v>0</v>
      </c>
      <c r="R81" s="334">
        <v>0</v>
      </c>
      <c r="S81" s="334">
        <v>0</v>
      </c>
    </row>
    <row r="82" spans="5:19" x14ac:dyDescent="0.25">
      <c r="E82" s="196" t="s">
        <v>32</v>
      </c>
      <c r="F82" s="196"/>
      <c r="G82" s="196" t="s">
        <v>107</v>
      </c>
      <c r="H82" s="196"/>
      <c r="I82" s="92"/>
      <c r="J82" s="257">
        <f t="shared" si="10"/>
        <v>550076.828243747</v>
      </c>
      <c r="K82" s="263"/>
      <c r="L82" s="306">
        <f t="shared" ref="L82:N82" si="11">SUM(L77:L81)</f>
        <v>499000</v>
      </c>
      <c r="M82" s="306">
        <f t="shared" si="11"/>
        <v>500000</v>
      </c>
      <c r="N82" s="306">
        <f t="shared" si="11"/>
        <v>533092.96507416666</v>
      </c>
      <c r="O82" s="306">
        <f>VLOOKUP(E82,'[1]General inputs'!$E$40:$H$97,4,0)</f>
        <v>550076.828243747</v>
      </c>
      <c r="P82" s="306">
        <f t="shared" ref="P82:S82" si="12">SUM(P77:P81)</f>
        <v>567678.45927472028</v>
      </c>
      <c r="Q82" s="306">
        <f t="shared" si="12"/>
        <v>579883.68346681562</v>
      </c>
      <c r="R82" s="306">
        <f t="shared" si="12"/>
        <v>591480.78646523703</v>
      </c>
      <c r="S82" s="306">
        <f t="shared" si="12"/>
        <v>603309.72452283034</v>
      </c>
    </row>
    <row r="83" spans="5:19" x14ac:dyDescent="0.25">
      <c r="E83" s="91" t="s">
        <v>33</v>
      </c>
      <c r="F83" s="91"/>
      <c r="G83" s="91" t="s">
        <v>107</v>
      </c>
      <c r="H83" s="91"/>
      <c r="I83" s="91"/>
      <c r="J83" s="255">
        <f t="shared" si="10"/>
        <v>394348737.71562994</v>
      </c>
      <c r="K83" s="267"/>
      <c r="L83" s="305">
        <f t="shared" ref="L83:N83" si="13">L75+L82</f>
        <v>342472580</v>
      </c>
      <c r="M83" s="305">
        <f t="shared" si="13"/>
        <v>382644992</v>
      </c>
      <c r="N83" s="305">
        <f t="shared" si="13"/>
        <v>400477149.86543769</v>
      </c>
      <c r="O83" s="305">
        <f>VLOOKUP(E83,'[1]General inputs'!$E$40:$H$97,4,0)</f>
        <v>394348737.71562994</v>
      </c>
      <c r="P83" s="305">
        <f t="shared" ref="P83:S83" si="14">P75+P82</f>
        <v>418428497.55179262</v>
      </c>
      <c r="Q83" s="305">
        <f t="shared" si="14"/>
        <v>428681938.20234418</v>
      </c>
      <c r="R83" s="305">
        <f t="shared" si="14"/>
        <v>437475701.03052855</v>
      </c>
      <c r="S83" s="305">
        <f t="shared" si="14"/>
        <v>430471877.41635895</v>
      </c>
    </row>
    <row r="84" spans="5:19" x14ac:dyDescent="0.25">
      <c r="E84" s="196"/>
      <c r="F84" s="196"/>
      <c r="G84" s="92"/>
      <c r="H84" s="92"/>
      <c r="I84" s="92"/>
      <c r="J84" s="266"/>
      <c r="K84" s="263"/>
      <c r="L84" s="263"/>
      <c r="M84" s="263"/>
      <c r="N84" s="263"/>
      <c r="O84" s="263"/>
      <c r="P84" s="263"/>
      <c r="Q84" s="263"/>
      <c r="R84" s="263"/>
      <c r="S84" s="263"/>
    </row>
    <row r="85" spans="5:19" x14ac:dyDescent="0.25">
      <c r="E85" s="196" t="s">
        <v>34</v>
      </c>
      <c r="F85" s="196"/>
      <c r="G85" s="92" t="s">
        <v>107</v>
      </c>
      <c r="H85" s="92"/>
      <c r="I85" s="92"/>
      <c r="J85" s="257">
        <f t="shared" ref="J85:J90" si="15">CHOOSE(year_selection, L85,M85,N85,O85,P85,Q85,R85,S85)</f>
        <v>32062587.726600684</v>
      </c>
      <c r="K85" s="263"/>
      <c r="L85" s="333">
        <v>29124408.259692032</v>
      </c>
      <c r="M85" s="333">
        <v>33141967.863484729</v>
      </c>
      <c r="N85" s="333">
        <v>32006147.037609816</v>
      </c>
      <c r="O85" s="333">
        <v>32062587.726600684</v>
      </c>
      <c r="P85" s="333">
        <v>32062587.726600684</v>
      </c>
      <c r="Q85" s="333">
        <v>32062587.726600684</v>
      </c>
      <c r="R85" s="333">
        <v>32062587.726600684</v>
      </c>
      <c r="S85" s="333">
        <v>32062587.726600684</v>
      </c>
    </row>
    <row r="86" spans="5:19" x14ac:dyDescent="0.25">
      <c r="E86" s="196" t="s">
        <v>35</v>
      </c>
      <c r="F86" s="196"/>
      <c r="G86" s="92" t="s">
        <v>107</v>
      </c>
      <c r="H86" s="92"/>
      <c r="I86" s="92"/>
      <c r="J86" s="257">
        <f t="shared" si="15"/>
        <v>0</v>
      </c>
      <c r="K86" s="263"/>
      <c r="L86" s="333">
        <v>0</v>
      </c>
      <c r="M86" s="333">
        <v>0</v>
      </c>
      <c r="N86" s="333">
        <v>0</v>
      </c>
      <c r="O86" s="333">
        <v>0</v>
      </c>
      <c r="P86" s="333"/>
      <c r="Q86" s="333"/>
      <c r="R86" s="333"/>
      <c r="S86" s="333"/>
    </row>
    <row r="87" spans="5:19" x14ac:dyDescent="0.25">
      <c r="E87" s="196" t="s">
        <v>36</v>
      </c>
      <c r="F87" s="196"/>
      <c r="G87" s="92" t="s">
        <v>107</v>
      </c>
      <c r="H87" s="92"/>
      <c r="I87" s="92"/>
      <c r="J87" s="257">
        <f t="shared" si="15"/>
        <v>0</v>
      </c>
      <c r="K87" s="263"/>
      <c r="L87" s="333">
        <v>0</v>
      </c>
      <c r="M87" s="333">
        <v>0</v>
      </c>
      <c r="N87" s="333">
        <v>0</v>
      </c>
      <c r="O87" s="333">
        <v>0</v>
      </c>
      <c r="P87" s="333"/>
      <c r="Q87" s="333"/>
      <c r="R87" s="333"/>
      <c r="S87" s="333"/>
    </row>
    <row r="88" spans="5:19" x14ac:dyDescent="0.25">
      <c r="E88" s="93" t="s">
        <v>37</v>
      </c>
      <c r="F88" s="93"/>
      <c r="G88" s="93" t="s">
        <v>107</v>
      </c>
      <c r="H88" s="93"/>
      <c r="I88" s="93"/>
      <c r="J88" s="259">
        <f t="shared" si="15"/>
        <v>0</v>
      </c>
      <c r="K88" s="264"/>
      <c r="L88" s="334">
        <v>0</v>
      </c>
      <c r="M88" s="334">
        <v>0</v>
      </c>
      <c r="N88" s="334">
        <v>0</v>
      </c>
      <c r="O88" s="334">
        <v>0</v>
      </c>
      <c r="P88" s="334"/>
      <c r="Q88" s="334"/>
      <c r="R88" s="334"/>
      <c r="S88" s="334"/>
    </row>
    <row r="89" spans="5:19" x14ac:dyDescent="0.25">
      <c r="E89" s="93" t="s">
        <v>38</v>
      </c>
      <c r="F89" s="93"/>
      <c r="G89" s="93" t="s">
        <v>107</v>
      </c>
      <c r="H89" s="93"/>
      <c r="I89" s="93"/>
      <c r="J89" s="265">
        <f t="shared" si="15"/>
        <v>32062587.726600684</v>
      </c>
      <c r="K89" s="264"/>
      <c r="L89" s="269">
        <f t="shared" ref="L89:N89" si="16">SUM(L85:L88)</f>
        <v>29124408.259692032</v>
      </c>
      <c r="M89" s="269">
        <f t="shared" si="16"/>
        <v>33141967.863484729</v>
      </c>
      <c r="N89" s="269">
        <f t="shared" si="16"/>
        <v>32006147.037609816</v>
      </c>
      <c r="O89" s="269">
        <f>VLOOKUP(E89,'[1]General inputs'!$E$40:$H$97,4,0)</f>
        <v>32062587.726600684</v>
      </c>
      <c r="P89" s="269">
        <f t="shared" ref="P89:S89" si="17">SUM(P85:P88)</f>
        <v>32062587.726600684</v>
      </c>
      <c r="Q89" s="269">
        <f t="shared" si="17"/>
        <v>32062587.726600684</v>
      </c>
      <c r="R89" s="269">
        <f t="shared" si="17"/>
        <v>32062587.726600684</v>
      </c>
      <c r="S89" s="269">
        <f t="shared" si="17"/>
        <v>32062587.726600684</v>
      </c>
    </row>
    <row r="90" spans="5:19" x14ac:dyDescent="0.25">
      <c r="E90" s="196" t="s">
        <v>39</v>
      </c>
      <c r="F90" s="196"/>
      <c r="G90" s="196" t="s">
        <v>107</v>
      </c>
      <c r="H90" s="196"/>
      <c r="I90" s="196"/>
      <c r="J90" s="268">
        <f t="shared" si="15"/>
        <v>362286149.98902923</v>
      </c>
      <c r="K90" s="263"/>
      <c r="L90" s="304">
        <f t="shared" ref="L90:N90" si="18">L83-L89</f>
        <v>313348171.74030799</v>
      </c>
      <c r="M90" s="304">
        <f t="shared" si="18"/>
        <v>349503024.13651526</v>
      </c>
      <c r="N90" s="304">
        <f t="shared" si="18"/>
        <v>368471002.82782787</v>
      </c>
      <c r="O90" s="304">
        <f>VLOOKUP(E90,'[1]General inputs'!$E$40:$H$97,4,0)</f>
        <v>362286149.98902923</v>
      </c>
      <c r="P90" s="304">
        <f t="shared" ref="P90:S90" si="19">P83-P89</f>
        <v>386365909.82519192</v>
      </c>
      <c r="Q90" s="304">
        <f t="shared" si="19"/>
        <v>396619350.47574347</v>
      </c>
      <c r="R90" s="304">
        <f t="shared" si="19"/>
        <v>405413113.30392784</v>
      </c>
      <c r="S90" s="304">
        <f t="shared" si="19"/>
        <v>398409289.68975824</v>
      </c>
    </row>
    <row r="91" spans="5:19" s="195" customFormat="1" x14ac:dyDescent="0.25">
      <c r="E91" s="91" t="s">
        <v>724</v>
      </c>
      <c r="F91" s="91"/>
      <c r="G91" s="91" t="s">
        <v>107</v>
      </c>
      <c r="H91" s="91"/>
      <c r="I91" s="91"/>
      <c r="J91" s="268">
        <f t="shared" ref="J91" si="20">CHOOSE(year_selection, L91,M91,N91,O91,P91,Q91,R91,S91)</f>
        <v>362286149.98902923</v>
      </c>
      <c r="K91" s="267"/>
      <c r="L91" s="305">
        <f t="shared" ref="L91:O91" si="21">L90</f>
        <v>313348171.74030799</v>
      </c>
      <c r="M91" s="305">
        <f t="shared" si="21"/>
        <v>349503024.13651526</v>
      </c>
      <c r="N91" s="305">
        <f t="shared" si="21"/>
        <v>368471002.82782787</v>
      </c>
      <c r="O91" s="305">
        <f t="shared" si="21"/>
        <v>362286149.98902923</v>
      </c>
      <c r="P91" s="305">
        <f t="shared" ref="P91:S91" si="22">P90</f>
        <v>386365909.82519192</v>
      </c>
      <c r="Q91" s="305">
        <f t="shared" si="22"/>
        <v>396619350.47574347</v>
      </c>
      <c r="R91" s="305">
        <f t="shared" si="22"/>
        <v>405413113.30392784</v>
      </c>
      <c r="S91" s="305">
        <f t="shared" si="22"/>
        <v>398409289.68975824</v>
      </c>
    </row>
    <row r="92" spans="5:19" s="195" customFormat="1" x14ac:dyDescent="0.25">
      <c r="E92" s="196"/>
      <c r="F92" s="196"/>
      <c r="G92" s="196"/>
      <c r="H92" s="196"/>
      <c r="I92" s="196"/>
      <c r="J92" s="265"/>
      <c r="K92" s="263"/>
      <c r="L92" s="263"/>
      <c r="M92" s="263"/>
      <c r="N92" s="263"/>
      <c r="O92" s="263"/>
      <c r="P92" s="263"/>
      <c r="Q92" s="263"/>
      <c r="R92" s="263"/>
      <c r="S92" s="263"/>
    </row>
    <row r="93" spans="5:19" s="195" customFormat="1" x14ac:dyDescent="0.25">
      <c r="E93" s="196" t="s">
        <v>720</v>
      </c>
      <c r="F93" s="196"/>
      <c r="G93" s="196" t="s">
        <v>107</v>
      </c>
      <c r="H93" s="196"/>
      <c r="I93" s="196"/>
      <c r="J93" s="265">
        <f>CHOOSE(year_selection, L93,M93,N93,O93,P93,Q93,R93,S93)</f>
        <v>394348737.71562994</v>
      </c>
      <c r="K93" s="263"/>
      <c r="L93" s="333">
        <v>342472580</v>
      </c>
      <c r="M93" s="333">
        <v>382644991.99999994</v>
      </c>
      <c r="N93" s="333">
        <v>400477149.86543769</v>
      </c>
      <c r="O93" s="333">
        <v>394348737.71562994</v>
      </c>
      <c r="P93" s="333">
        <v>418428497.55179262</v>
      </c>
      <c r="Q93" s="333">
        <v>428681938.20234418</v>
      </c>
      <c r="R93" s="333">
        <v>437475701.03052855</v>
      </c>
      <c r="S93" s="333">
        <v>430471877.41635895</v>
      </c>
    </row>
    <row r="94" spans="5:19" s="195" customFormat="1" x14ac:dyDescent="0.25">
      <c r="E94" s="91" t="s">
        <v>723</v>
      </c>
      <c r="F94" s="91"/>
      <c r="G94" s="91" t="s">
        <v>107</v>
      </c>
      <c r="H94" s="91"/>
      <c r="I94" s="91"/>
      <c r="J94" s="268">
        <f>CHOOSE(year_selection, L94,M94,N94,O94,P94,Q94,R94,S94)</f>
        <v>0</v>
      </c>
      <c r="K94" s="267"/>
      <c r="L94" s="302">
        <f t="shared" ref="L94:S94" si="23">L93 - L82 - L75 + L86</f>
        <v>0</v>
      </c>
      <c r="M94" s="302">
        <f t="shared" si="23"/>
        <v>-5.9604644775390625E-8</v>
      </c>
      <c r="N94" s="302">
        <f>N93 - N82 - N75 + N86</f>
        <v>0</v>
      </c>
      <c r="O94" s="302">
        <f>O93 - O82 - O75 + O86</f>
        <v>0</v>
      </c>
      <c r="P94" s="302">
        <f>P93 - P82 - P75 + P86</f>
        <v>0</v>
      </c>
      <c r="Q94" s="302">
        <f t="shared" si="23"/>
        <v>0</v>
      </c>
      <c r="R94" s="302">
        <f t="shared" si="23"/>
        <v>0</v>
      </c>
      <c r="S94" s="302">
        <f t="shared" si="23"/>
        <v>0</v>
      </c>
    </row>
    <row r="95" spans="5:19" s="195" customFormat="1" x14ac:dyDescent="0.25">
      <c r="E95" s="91" t="s">
        <v>722</v>
      </c>
      <c r="F95" s="91"/>
      <c r="G95" s="91" t="s">
        <v>94</v>
      </c>
      <c r="H95" s="91"/>
      <c r="I95" s="91"/>
      <c r="J95" s="213">
        <f>CHOOSE(year_selection, L95,M95,N95,O95,P95,Q95,R95,S95)</f>
        <v>-1.5365639036132195E-2</v>
      </c>
      <c r="K95" s="150"/>
      <c r="L95" s="213">
        <f t="shared" ref="L95:S95" si="24">IF( K75 &lt;&gt; 0, L75 / K75 - 1, 0)</f>
        <v>0</v>
      </c>
      <c r="M95" s="213">
        <f t="shared" si="24"/>
        <v>0.11746934368438633</v>
      </c>
      <c r="N95" s="213">
        <f t="shared" si="24"/>
        <v>4.6576732059760984E-2</v>
      </c>
      <c r="O95" s="213">
        <f t="shared" si="24"/>
        <v>-1.5365639036132195E-2</v>
      </c>
      <c r="P95" s="213">
        <f t="shared" si="24"/>
        <v>6.1102691794101105E-2</v>
      </c>
      <c r="Q95" s="213">
        <f t="shared" si="24"/>
        <v>2.4508723858342796E-2</v>
      </c>
      <c r="R95" s="213">
        <f t="shared" si="24"/>
        <v>2.0514187288953156E-2</v>
      </c>
      <c r="S95" s="213">
        <f t="shared" si="24"/>
        <v>-1.605837937636645E-2</v>
      </c>
    </row>
    <row r="96" spans="5:19" s="195" customFormat="1" x14ac:dyDescent="0.25">
      <c r="E96" s="91" t="s">
        <v>721</v>
      </c>
      <c r="F96" s="91"/>
      <c r="G96" s="91" t="s">
        <v>94</v>
      </c>
      <c r="H96" s="91"/>
      <c r="I96" s="91"/>
      <c r="J96" s="213">
        <f>CHOOSE(year_selection, L96,M96,N96,O96,P96,Q96,R96,S96)</f>
        <v>-1.5302776080650116E-2</v>
      </c>
      <c r="K96" s="150"/>
      <c r="L96" s="213">
        <f t="shared" ref="L96:S96" si="25">IF( K93 &lt;&gt; 0, L93 / K93 - 1, 0)</f>
        <v>0</v>
      </c>
      <c r="M96" s="213">
        <f t="shared" si="25"/>
        <v>0.11730110480669698</v>
      </c>
      <c r="N96" s="213">
        <f t="shared" si="25"/>
        <v>4.6602355285595198E-2</v>
      </c>
      <c r="O96" s="213">
        <f t="shared" si="25"/>
        <v>-1.5302776080650116E-2</v>
      </c>
      <c r="P96" s="213">
        <f t="shared" si="25"/>
        <v>6.1062094367668296E-2</v>
      </c>
      <c r="Q96" s="213">
        <f t="shared" si="25"/>
        <v>2.4504642275906097E-2</v>
      </c>
      <c r="R96" s="213">
        <f t="shared" si="25"/>
        <v>2.0513490409837631E-2</v>
      </c>
      <c r="S96" s="213">
        <f t="shared" si="25"/>
        <v>-1.6009628872349246E-2</v>
      </c>
    </row>
    <row r="97" spans="2:21" x14ac:dyDescent="0.25">
      <c r="E97" s="195"/>
      <c r="F97" s="195"/>
      <c r="J97" s="152"/>
      <c r="K97" s="195"/>
      <c r="L97" s="295"/>
      <c r="M97" s="295"/>
      <c r="N97" s="295"/>
      <c r="O97" s="195"/>
      <c r="P97" s="295"/>
      <c r="Q97" s="295"/>
      <c r="R97" s="295"/>
      <c r="S97" s="295"/>
    </row>
    <row r="98" spans="2:21" s="195" customFormat="1" x14ac:dyDescent="0.2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2:21" s="195" customFormat="1" x14ac:dyDescent="0.25">
      <c r="G99" s="108"/>
      <c r="L99" s="295"/>
      <c r="M99" s="295"/>
      <c r="N99" s="295"/>
      <c r="P99" s="295"/>
      <c r="Q99" s="295"/>
      <c r="R99" s="295"/>
      <c r="S99" s="295"/>
    </row>
    <row r="100" spans="2:21" x14ac:dyDescent="0.25">
      <c r="E100" s="76" t="s">
        <v>719</v>
      </c>
      <c r="G100" s="196" t="s">
        <v>94</v>
      </c>
      <c r="H100" s="196"/>
      <c r="I100" s="196" t="s">
        <v>431</v>
      </c>
      <c r="J100" s="303">
        <f>CHOOSE(year_selection, L100,M100,N100,O100,P100,Q100,R100,S100)</f>
        <v>3.6900000000000002E-2</v>
      </c>
      <c r="K100" s="196"/>
      <c r="L100" s="335">
        <v>4.0800000000000003E-2</v>
      </c>
      <c r="M100" s="335">
        <v>4.02E-2</v>
      </c>
      <c r="N100" s="335">
        <v>3.7900000000000003E-2</v>
      </c>
      <c r="O100" s="335">
        <v>3.6900000000000002E-2</v>
      </c>
      <c r="P100" s="335">
        <v>3.6900000000000002E-2</v>
      </c>
      <c r="Q100" s="335">
        <v>3.6900000000000002E-2</v>
      </c>
      <c r="R100" s="335">
        <v>3.6900000000000002E-2</v>
      </c>
      <c r="S100" s="335">
        <v>3.6900000000000002E-2</v>
      </c>
      <c r="U100" s="85" t="s">
        <v>804</v>
      </c>
    </row>
    <row r="101" spans="2:21" x14ac:dyDescent="0.25">
      <c r="E101" s="76" t="s">
        <v>41</v>
      </c>
      <c r="G101" s="76" t="s">
        <v>605</v>
      </c>
      <c r="H101" s="76"/>
      <c r="I101" s="76"/>
      <c r="J101" s="153">
        <f>CHOOSE(year_selection, L101,M101,N101,O101,P101,Q101,R101,S101)</f>
        <v>365</v>
      </c>
      <c r="K101" s="76"/>
      <c r="L101" s="317">
        <v>365</v>
      </c>
      <c r="M101" s="317">
        <v>366</v>
      </c>
      <c r="N101" s="317">
        <v>365</v>
      </c>
      <c r="O101" s="317">
        <v>365</v>
      </c>
      <c r="P101" s="317">
        <v>365</v>
      </c>
      <c r="Q101" s="317">
        <v>366</v>
      </c>
      <c r="R101" s="317">
        <v>365</v>
      </c>
      <c r="S101" s="317">
        <v>365</v>
      </c>
    </row>
    <row r="102" spans="2:21" x14ac:dyDescent="0.25">
      <c r="E102" s="195"/>
      <c r="F102" s="195"/>
      <c r="J102" s="152"/>
      <c r="K102" s="195"/>
      <c r="L102" s="295"/>
      <c r="M102" s="295"/>
      <c r="N102" s="295"/>
      <c r="O102" s="195"/>
      <c r="P102" s="295"/>
      <c r="Q102" s="295"/>
      <c r="R102" s="295"/>
      <c r="S102" s="295"/>
    </row>
    <row r="103" spans="2:21" s="195" customFormat="1" x14ac:dyDescent="0.2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2:21" s="195" customFormat="1" x14ac:dyDescent="0.25">
      <c r="G104" s="108"/>
      <c r="L104" s="295"/>
      <c r="M104" s="295"/>
      <c r="N104" s="295"/>
      <c r="P104" s="295"/>
      <c r="Q104" s="295"/>
      <c r="R104" s="295"/>
      <c r="S104" s="295"/>
    </row>
    <row r="105" spans="2:21" x14ac:dyDescent="0.25">
      <c r="B105" s="489"/>
      <c r="E105" s="76" t="s">
        <v>117</v>
      </c>
      <c r="G105" s="92" t="s">
        <v>606</v>
      </c>
      <c r="H105" s="92"/>
      <c r="I105" s="85" t="s">
        <v>431</v>
      </c>
      <c r="J105" s="257">
        <f>CHOOSE(year_selection, L105,M105,N105,O105,P105,Q105,R105,S105)</f>
        <v>21063474.14219616</v>
      </c>
      <c r="K105" s="263"/>
      <c r="L105" s="333">
        <v>18429946.41894269</v>
      </c>
      <c r="M105" s="333">
        <v>17754949.081704218</v>
      </c>
      <c r="N105" s="333">
        <v>19197064.166364636</v>
      </c>
      <c r="O105" s="333">
        <v>21063474.14219616</v>
      </c>
      <c r="P105" s="333">
        <v>21731625.582075503</v>
      </c>
      <c r="Q105" s="333">
        <v>22198848.584837556</v>
      </c>
      <c r="R105" s="333">
        <v>22642803.710364819</v>
      </c>
      <c r="S105" s="333">
        <v>23095633.842245851</v>
      </c>
      <c r="U105" s="85" t="s">
        <v>805</v>
      </c>
    </row>
    <row r="106" spans="2:21" x14ac:dyDescent="0.25">
      <c r="E106" s="195"/>
      <c r="F106" s="195"/>
      <c r="J106" s="257"/>
      <c r="K106" s="253"/>
      <c r="L106" s="253"/>
      <c r="M106" s="253"/>
      <c r="N106" s="253"/>
      <c r="O106" s="253"/>
      <c r="P106" s="253"/>
      <c r="Q106" s="253"/>
      <c r="R106" s="253"/>
      <c r="S106" s="253"/>
    </row>
    <row r="107" spans="2:21" s="195" customFormat="1" x14ac:dyDescent="0.25"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7"/>
      <c r="U107" s="7"/>
    </row>
    <row r="108" spans="2:21" s="195" customFormat="1" x14ac:dyDescent="0.25">
      <c r="G108" s="108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</row>
    <row r="109" spans="2:21" x14ac:dyDescent="0.25">
      <c r="D109" s="96"/>
      <c r="E109" s="96" t="s">
        <v>79</v>
      </c>
      <c r="F109" s="96"/>
      <c r="I109" s="85" t="s">
        <v>431</v>
      </c>
      <c r="J109" s="257"/>
      <c r="K109" s="253"/>
      <c r="L109" s="253"/>
      <c r="M109" s="253"/>
      <c r="N109" s="253"/>
      <c r="O109" s="253"/>
      <c r="P109" s="253"/>
      <c r="Q109" s="253"/>
      <c r="R109" s="253"/>
      <c r="S109" s="253"/>
      <c r="U109" s="85" t="s">
        <v>806</v>
      </c>
    </row>
    <row r="110" spans="2:21" x14ac:dyDescent="0.25">
      <c r="B110" s="489"/>
      <c r="E110" s="195"/>
      <c r="F110" s="16" t="s">
        <v>128</v>
      </c>
      <c r="G110" s="91" t="s">
        <v>606</v>
      </c>
      <c r="H110" s="91"/>
      <c r="I110" s="91"/>
      <c r="J110" s="255">
        <f>CHOOSE(year_selection, L110,M110,N110,O110,P110,Q110,R110,S110)</f>
        <v>27148683.067078464</v>
      </c>
      <c r="K110" s="267"/>
      <c r="L110" s="332">
        <v>25401055.921700928</v>
      </c>
      <c r="M110" s="332">
        <v>25697639.881539505</v>
      </c>
      <c r="N110" s="332">
        <v>26111025.138164353</v>
      </c>
      <c r="O110" s="332">
        <v>27148683.067078464</v>
      </c>
      <c r="P110" s="332">
        <v>28009862.545812123</v>
      </c>
      <c r="Q110" s="332">
        <v>28612065.636242729</v>
      </c>
      <c r="R110" s="332">
        <v>29184278.791469555</v>
      </c>
      <c r="S110" s="332">
        <v>29767930.930270039</v>
      </c>
    </row>
    <row r="111" spans="2:21" x14ac:dyDescent="0.25">
      <c r="B111" s="489"/>
      <c r="E111" s="195"/>
      <c r="F111" s="76" t="s">
        <v>129</v>
      </c>
      <c r="G111" s="92" t="s">
        <v>606</v>
      </c>
      <c r="H111" s="92"/>
      <c r="I111" s="92"/>
      <c r="J111" s="257">
        <f>CHOOSE(year_selection, L111,M111,N111,O111,P111,Q111,R111,S111)</f>
        <v>65878403.730445035</v>
      </c>
      <c r="K111" s="263"/>
      <c r="L111" s="333">
        <v>93944832.343975201</v>
      </c>
      <c r="M111" s="333">
        <v>79907134.021677881</v>
      </c>
      <c r="N111" s="333">
        <v>61684476.30993893</v>
      </c>
      <c r="O111" s="333">
        <v>65878403.730445035</v>
      </c>
      <c r="P111" s="333">
        <v>67968123.119198248</v>
      </c>
      <c r="Q111" s="333">
        <v>69429416.03794086</v>
      </c>
      <c r="R111" s="333">
        <v>70817936.032327503</v>
      </c>
      <c r="S111" s="333">
        <v>72234213.615407109</v>
      </c>
    </row>
    <row r="112" spans="2:21" x14ac:dyDescent="0.25">
      <c r="B112" s="489"/>
      <c r="E112" s="195"/>
      <c r="F112" s="15" t="s">
        <v>130</v>
      </c>
      <c r="G112" s="93" t="s">
        <v>606</v>
      </c>
      <c r="H112" s="93"/>
      <c r="I112" s="93"/>
      <c r="J112" s="259">
        <f>CHOOSE(year_selection, L112,M112,N112,O112,P112,Q112,R112,S112)</f>
        <v>25006389.855650973</v>
      </c>
      <c r="K112" s="264"/>
      <c r="L112" s="334">
        <v>15708754.617045527</v>
      </c>
      <c r="M112" s="334">
        <v>23380042.811866403</v>
      </c>
      <c r="N112" s="334">
        <v>24567634.170350444</v>
      </c>
      <c r="O112" s="334">
        <v>25006389.855650973</v>
      </c>
      <c r="P112" s="334">
        <v>25799613.958923012</v>
      </c>
      <c r="Q112" s="334">
        <v>26354297.41131657</v>
      </c>
      <c r="R112" s="334">
        <v>26881357.423943322</v>
      </c>
      <c r="S112" s="334">
        <v>27418953.773897693</v>
      </c>
    </row>
    <row r="113" spans="2:21" x14ac:dyDescent="0.25">
      <c r="E113" s="195"/>
      <c r="F113" s="195"/>
      <c r="H113" s="130"/>
      <c r="J113" s="153"/>
    </row>
    <row r="114" spans="2:21" x14ac:dyDescent="0.2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1" x14ac:dyDescent="0.25">
      <c r="E115" s="195"/>
      <c r="F115" s="195"/>
    </row>
    <row r="116" spans="2:21" s="295" customFormat="1" x14ac:dyDescent="0.25">
      <c r="C116" s="82" t="s">
        <v>866</v>
      </c>
      <c r="D116" s="96"/>
    </row>
    <row r="117" spans="2:21" s="295" customFormat="1" x14ac:dyDescent="0.25">
      <c r="D117" s="96"/>
      <c r="E117" s="96"/>
    </row>
    <row r="118" spans="2:21" x14ac:dyDescent="0.25">
      <c r="E118" s="195" t="s">
        <v>516</v>
      </c>
      <c r="F118" s="195"/>
      <c r="G118" s="60" t="s">
        <v>692</v>
      </c>
      <c r="H118" s="178">
        <f t="array" ref="H118">SUM(IF(ISERROR(H15:S113), 1))</f>
        <v>0</v>
      </c>
    </row>
    <row r="119" spans="2:21" x14ac:dyDescent="0.25">
      <c r="E119" s="195"/>
      <c r="F119" s="195"/>
    </row>
    <row r="120" spans="2:21" x14ac:dyDescent="0.25">
      <c r="E120" s="96" t="s">
        <v>893</v>
      </c>
      <c r="F120" s="195"/>
    </row>
    <row r="121" spans="2:21" x14ac:dyDescent="0.25">
      <c r="E121" s="195"/>
      <c r="F121" s="91" t="s">
        <v>541</v>
      </c>
      <c r="G121" s="58" t="s">
        <v>692</v>
      </c>
      <c r="H121" s="177">
        <f>SUM(L121:S121)</f>
        <v>0</v>
      </c>
      <c r="I121" s="91"/>
      <c r="J121" s="91"/>
      <c r="K121" s="91"/>
      <c r="L121" s="106"/>
      <c r="M121" s="177">
        <f t="shared" ref="M121:S121" si="26">IF(SUM(M19:M21) = M$101 * hours_in_day, 0, 1)</f>
        <v>0</v>
      </c>
      <c r="N121" s="177">
        <f t="shared" si="26"/>
        <v>0</v>
      </c>
      <c r="O121" s="177">
        <f t="shared" si="26"/>
        <v>0</v>
      </c>
      <c r="P121" s="177">
        <f t="shared" si="26"/>
        <v>0</v>
      </c>
      <c r="Q121" s="177">
        <f>IF(SUM(Q19:Q21) = Q$101 * hours_in_day, 0, 1)</f>
        <v>0</v>
      </c>
      <c r="R121" s="177">
        <f t="shared" si="26"/>
        <v>0</v>
      </c>
      <c r="S121" s="177">
        <f t="shared" si="26"/>
        <v>0</v>
      </c>
    </row>
    <row r="122" spans="2:21" x14ac:dyDescent="0.25">
      <c r="E122" s="195"/>
      <c r="F122" s="93" t="s">
        <v>542</v>
      </c>
      <c r="G122" s="61" t="s">
        <v>692</v>
      </c>
      <c r="H122" s="179">
        <f>SUM(L122:S122)</f>
        <v>0</v>
      </c>
      <c r="I122" s="93"/>
      <c r="J122" s="93"/>
      <c r="K122" s="93"/>
      <c r="L122" s="102"/>
      <c r="M122" s="179">
        <f t="shared" ref="M122:S122" si="27">IF(SUM(M24:M26) = M$101 * hours_in_day, 0, 1)</f>
        <v>0</v>
      </c>
      <c r="N122" s="179">
        <f t="shared" si="27"/>
        <v>0</v>
      </c>
      <c r="O122" s="179">
        <f t="shared" si="27"/>
        <v>0</v>
      </c>
      <c r="P122" s="179">
        <f t="shared" si="27"/>
        <v>0</v>
      </c>
      <c r="Q122" s="179">
        <f>IF(SUM(Q24:Q26) = Q$101 * hours_in_day, 0, 1)</f>
        <v>0</v>
      </c>
      <c r="R122" s="179">
        <f t="shared" si="27"/>
        <v>0</v>
      </c>
      <c r="S122" s="179">
        <f t="shared" si="27"/>
        <v>0</v>
      </c>
    </row>
    <row r="124" spans="2:21" x14ac:dyDescent="0.25">
      <c r="E124" s="195" t="s">
        <v>446</v>
      </c>
      <c r="F124" s="195"/>
      <c r="G124" s="60" t="s">
        <v>692</v>
      </c>
      <c r="H124" s="212">
        <f>SUM(H118, H121:H122)</f>
        <v>0</v>
      </c>
    </row>
    <row r="125" spans="2:21" x14ac:dyDescent="0.25">
      <c r="E125" s="195"/>
      <c r="F125" s="195"/>
    </row>
    <row r="126" spans="2:21" x14ac:dyDescent="0.2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</row>
  </sheetData>
  <sheetProtection formatCells="0" formatColumns="0" formatRows="0" sort="0" autoFilter="0"/>
  <autoFilter ref="A6:JL114" xr:uid="{00000000-0009-0000-0000-00000C000000}"/>
  <conditionalFormatting sqref="H118">
    <cfRule type="cellIs" dxfId="230" priority="5" operator="greaterThan">
      <formula>0</formula>
    </cfRule>
  </conditionalFormatting>
  <conditionalFormatting sqref="H121:H122">
    <cfRule type="cellIs" dxfId="229" priority="4" operator="greaterThan">
      <formula>0</formula>
    </cfRule>
  </conditionalFormatting>
  <conditionalFormatting sqref="L121:S122">
    <cfRule type="cellIs" dxfId="228" priority="3" operator="greaterThan">
      <formula>0</formula>
    </cfRule>
  </conditionalFormatting>
  <conditionalFormatting sqref="H124">
    <cfRule type="cellIs" dxfId="227" priority="2" operator="greaterThan">
      <formula>0</formula>
    </cfRule>
  </conditionalFormatting>
  <conditionalFormatting sqref="A4:XFD4">
    <cfRule type="expression" dxfId="226" priority="1">
      <formula>LEFT($A$4,1) &lt;&gt; "0"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5" tint="0.59999389629810485"/>
  </sheetPr>
  <dimension ref="A1:BI1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61" width="0" style="295" hidden="1" customWidth="1"/>
    <col min="62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Fixed inputs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H172 &amp; IF(H172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9" t="s">
        <v>91</v>
      </c>
      <c r="H5" s="11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268</v>
      </c>
    </row>
    <row r="11" spans="1:27" x14ac:dyDescent="0.25">
      <c r="B11" s="95" t="s">
        <v>529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5" spans="1:27" x14ac:dyDescent="0.25">
      <c r="E15" s="14" t="s">
        <v>133</v>
      </c>
      <c r="G15" s="295" t="s">
        <v>267</v>
      </c>
      <c r="H15" s="316">
        <v>24</v>
      </c>
    </row>
    <row r="16" spans="1:27" x14ac:dyDescent="0.25">
      <c r="E16" s="14" t="s">
        <v>339</v>
      </c>
      <c r="G16" s="295" t="s">
        <v>527</v>
      </c>
      <c r="H16" s="316">
        <v>10</v>
      </c>
    </row>
    <row r="17" spans="3:27" x14ac:dyDescent="0.25">
      <c r="E17" s="14" t="s">
        <v>137</v>
      </c>
      <c r="G17" s="295" t="s">
        <v>527</v>
      </c>
      <c r="H17" s="316">
        <v>100</v>
      </c>
    </row>
    <row r="18" spans="3:27" x14ac:dyDescent="0.25">
      <c r="E18" s="14" t="s">
        <v>138</v>
      </c>
      <c r="G18" s="295" t="s">
        <v>527</v>
      </c>
      <c r="H18" s="316">
        <v>1000</v>
      </c>
    </row>
    <row r="20" spans="3:27" x14ac:dyDescent="0.2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2" spans="3:27" x14ac:dyDescent="0.25">
      <c r="D22" s="82" t="s">
        <v>808</v>
      </c>
    </row>
    <row r="23" spans="3:27" x14ac:dyDescent="0.25">
      <c r="E23" s="96"/>
    </row>
    <row r="24" spans="3:27" x14ac:dyDescent="0.25">
      <c r="E24" s="96" t="s">
        <v>316</v>
      </c>
      <c r="F24" s="82"/>
      <c r="I24" s="295" t="s">
        <v>431</v>
      </c>
      <c r="AA24" s="295" t="s">
        <v>807</v>
      </c>
    </row>
    <row r="25" spans="3:27" x14ac:dyDescent="0.25">
      <c r="F25" s="91" t="s">
        <v>134</v>
      </c>
      <c r="G25" s="91" t="s">
        <v>527</v>
      </c>
      <c r="H25" s="336">
        <v>3</v>
      </c>
    </row>
    <row r="26" spans="3:27" x14ac:dyDescent="0.25">
      <c r="F26" s="295" t="s">
        <v>135</v>
      </c>
      <c r="G26" s="295" t="s">
        <v>527</v>
      </c>
      <c r="H26" s="340">
        <v>3</v>
      </c>
    </row>
    <row r="27" spans="3:27" x14ac:dyDescent="0.25">
      <c r="F27" s="295" t="s">
        <v>136</v>
      </c>
      <c r="G27" s="295" t="s">
        <v>527</v>
      </c>
      <c r="H27" s="340">
        <v>3</v>
      </c>
    </row>
    <row r="28" spans="3:27" x14ac:dyDescent="0.25">
      <c r="F28" s="295" t="s">
        <v>311</v>
      </c>
      <c r="G28" s="295" t="s">
        <v>527</v>
      </c>
      <c r="H28" s="340">
        <v>2</v>
      </c>
    </row>
    <row r="29" spans="3:27" x14ac:dyDescent="0.25">
      <c r="F29" s="295" t="s">
        <v>312</v>
      </c>
      <c r="G29" s="295" t="s">
        <v>527</v>
      </c>
      <c r="H29" s="340">
        <v>2</v>
      </c>
    </row>
    <row r="30" spans="3:27" x14ac:dyDescent="0.25">
      <c r="F30" s="295" t="s">
        <v>313</v>
      </c>
      <c r="G30" s="295" t="s">
        <v>527</v>
      </c>
      <c r="H30" s="340">
        <v>2</v>
      </c>
    </row>
    <row r="31" spans="3:27" x14ac:dyDescent="0.25">
      <c r="F31" s="93" t="s">
        <v>314</v>
      </c>
      <c r="G31" s="93" t="s">
        <v>527</v>
      </c>
      <c r="H31" s="337">
        <v>3</v>
      </c>
    </row>
    <row r="33" spans="3:27" x14ac:dyDescent="0.2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5" spans="3:27" x14ac:dyDescent="0.25">
      <c r="E35" s="14" t="s">
        <v>95</v>
      </c>
      <c r="G35" s="295" t="s">
        <v>96</v>
      </c>
      <c r="H35" s="340">
        <v>40</v>
      </c>
      <c r="I35" s="295" t="s">
        <v>431</v>
      </c>
      <c r="AA35" s="88" t="s">
        <v>804</v>
      </c>
    </row>
    <row r="37" spans="3:27" x14ac:dyDescent="0.25">
      <c r="E37" s="14" t="s">
        <v>40</v>
      </c>
      <c r="G37" s="295" t="s">
        <v>94</v>
      </c>
      <c r="H37" s="338">
        <v>0.95</v>
      </c>
      <c r="I37" s="295" t="s">
        <v>431</v>
      </c>
      <c r="AA37" s="295" t="s">
        <v>924</v>
      </c>
    </row>
    <row r="39" spans="3:27" x14ac:dyDescent="0.25">
      <c r="E39" s="14" t="s">
        <v>78</v>
      </c>
      <c r="G39" s="295" t="s">
        <v>94</v>
      </c>
      <c r="H39" s="373">
        <v>0.6</v>
      </c>
      <c r="I39" s="295" t="s">
        <v>431</v>
      </c>
      <c r="AA39" s="88" t="s">
        <v>806</v>
      </c>
    </row>
    <row r="41" spans="3:27" x14ac:dyDescent="0.25">
      <c r="E41" s="14" t="s">
        <v>101</v>
      </c>
      <c r="G41" s="14" t="s">
        <v>102</v>
      </c>
      <c r="H41" s="340">
        <v>500</v>
      </c>
      <c r="I41" s="295" t="s">
        <v>431</v>
      </c>
      <c r="AA41" s="90" t="s">
        <v>809</v>
      </c>
    </row>
    <row r="43" spans="3:27" x14ac:dyDescent="0.2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5" spans="3:27" x14ac:dyDescent="0.25">
      <c r="E45" s="96" t="s">
        <v>543</v>
      </c>
    </row>
    <row r="46" spans="3:27" x14ac:dyDescent="0.25">
      <c r="F46" s="16" t="s">
        <v>66</v>
      </c>
      <c r="G46" s="91" t="s">
        <v>132</v>
      </c>
      <c r="H46" s="91"/>
      <c r="I46" s="91"/>
      <c r="J46" s="336">
        <v>1</v>
      </c>
      <c r="K46" s="336">
        <v>1</v>
      </c>
      <c r="L46" s="336">
        <v>1</v>
      </c>
      <c r="M46" s="336">
        <v>1</v>
      </c>
      <c r="N46" s="336">
        <v>1</v>
      </c>
      <c r="O46" s="336">
        <v>0</v>
      </c>
      <c r="P46" s="336">
        <v>0</v>
      </c>
      <c r="Q46" s="336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27" x14ac:dyDescent="0.25">
      <c r="F47" s="14" t="s">
        <v>67</v>
      </c>
      <c r="G47" s="295" t="s">
        <v>132</v>
      </c>
      <c r="J47" s="340">
        <v>1</v>
      </c>
      <c r="K47" s="340">
        <v>1</v>
      </c>
      <c r="L47" s="340">
        <v>1</v>
      </c>
      <c r="M47" s="340">
        <v>1</v>
      </c>
      <c r="N47" s="340">
        <v>1</v>
      </c>
      <c r="O47" s="340">
        <v>0</v>
      </c>
      <c r="P47" s="340">
        <v>0</v>
      </c>
      <c r="Q47" s="340">
        <v>1</v>
      </c>
      <c r="R47" s="79"/>
      <c r="S47" s="79"/>
      <c r="T47" s="79"/>
      <c r="U47" s="79"/>
      <c r="V47" s="79"/>
      <c r="W47" s="79"/>
      <c r="X47" s="79"/>
      <c r="Y47" s="79"/>
    </row>
    <row r="48" spans="3:27" x14ac:dyDescent="0.25">
      <c r="F48" s="14" t="s">
        <v>68</v>
      </c>
      <c r="G48" s="295" t="s">
        <v>132</v>
      </c>
      <c r="J48" s="340">
        <v>0</v>
      </c>
      <c r="K48" s="340">
        <v>0</v>
      </c>
      <c r="L48" s="340">
        <v>0</v>
      </c>
      <c r="M48" s="340">
        <v>0</v>
      </c>
      <c r="N48" s="340">
        <v>0</v>
      </c>
      <c r="O48" s="340">
        <v>1</v>
      </c>
      <c r="P48" s="340">
        <v>0</v>
      </c>
      <c r="Q48" s="340">
        <v>0</v>
      </c>
      <c r="R48" s="79"/>
      <c r="S48" s="79"/>
      <c r="T48" s="79"/>
      <c r="U48" s="79"/>
      <c r="V48" s="79"/>
      <c r="W48" s="79"/>
      <c r="X48" s="79"/>
      <c r="Y48" s="79"/>
    </row>
    <row r="49" spans="5:27" x14ac:dyDescent="0.25">
      <c r="F49" s="15" t="s">
        <v>69</v>
      </c>
      <c r="G49" s="93" t="s">
        <v>132</v>
      </c>
      <c r="H49" s="93"/>
      <c r="I49" s="93"/>
      <c r="J49" s="337">
        <v>0</v>
      </c>
      <c r="K49" s="337">
        <v>0</v>
      </c>
      <c r="L49" s="337">
        <v>0</v>
      </c>
      <c r="M49" s="337">
        <v>0</v>
      </c>
      <c r="N49" s="337">
        <v>0</v>
      </c>
      <c r="O49" s="337">
        <v>0</v>
      </c>
      <c r="P49" s="337">
        <v>1</v>
      </c>
      <c r="Q49" s="337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27" x14ac:dyDescent="0.25">
      <c r="E51" s="96" t="s">
        <v>153</v>
      </c>
      <c r="I51" s="295" t="s">
        <v>431</v>
      </c>
      <c r="AA51" s="88" t="s">
        <v>810</v>
      </c>
    </row>
    <row r="52" spans="5:27" x14ac:dyDescent="0.25">
      <c r="E52" s="82" t="s">
        <v>248</v>
      </c>
    </row>
    <row r="53" spans="5:27" x14ac:dyDescent="0.25">
      <c r="F53" s="16" t="s">
        <v>83</v>
      </c>
      <c r="G53" s="91" t="s">
        <v>132</v>
      </c>
      <c r="H53" s="94"/>
      <c r="I53" s="94"/>
      <c r="J53" s="336">
        <v>0</v>
      </c>
      <c r="K53" s="336">
        <v>0</v>
      </c>
      <c r="L53" s="336">
        <v>0</v>
      </c>
      <c r="M53" s="336">
        <v>0</v>
      </c>
      <c r="N53" s="336">
        <v>0</v>
      </c>
      <c r="O53" s="336">
        <v>0</v>
      </c>
      <c r="P53" s="336">
        <v>0</v>
      </c>
      <c r="Q53" s="336">
        <v>0</v>
      </c>
      <c r="R53" s="336">
        <v>0</v>
      </c>
      <c r="S53" s="336">
        <v>0</v>
      </c>
      <c r="T53" s="336">
        <v>0</v>
      </c>
      <c r="U53" s="336">
        <v>0</v>
      </c>
      <c r="V53" s="336">
        <v>0</v>
      </c>
      <c r="W53" s="336">
        <v>0</v>
      </c>
      <c r="X53" s="336">
        <v>0</v>
      </c>
      <c r="Y53" s="336">
        <v>0</v>
      </c>
    </row>
    <row r="54" spans="5:27" x14ac:dyDescent="0.25">
      <c r="F54" s="14" t="s">
        <v>82</v>
      </c>
      <c r="G54" s="295" t="s">
        <v>132</v>
      </c>
      <c r="J54" s="340">
        <v>0</v>
      </c>
      <c r="K54" s="340">
        <v>0</v>
      </c>
      <c r="L54" s="340">
        <v>0</v>
      </c>
      <c r="M54" s="340">
        <v>0</v>
      </c>
      <c r="N54" s="340">
        <v>0</v>
      </c>
      <c r="O54" s="340">
        <v>0</v>
      </c>
      <c r="P54" s="340">
        <v>1</v>
      </c>
      <c r="Q54" s="340">
        <v>0</v>
      </c>
      <c r="R54" s="340">
        <v>0</v>
      </c>
      <c r="S54" s="340">
        <v>0</v>
      </c>
      <c r="T54" s="340">
        <v>0</v>
      </c>
      <c r="U54" s="340">
        <v>0</v>
      </c>
      <c r="V54" s="340">
        <v>0</v>
      </c>
      <c r="W54" s="340">
        <v>0</v>
      </c>
      <c r="X54" s="340">
        <v>1</v>
      </c>
      <c r="Y54" s="340">
        <v>1</v>
      </c>
    </row>
    <row r="55" spans="5:27" x14ac:dyDescent="0.25">
      <c r="F55" s="14" t="s">
        <v>81</v>
      </c>
      <c r="G55" s="295" t="s">
        <v>132</v>
      </c>
      <c r="J55" s="340">
        <v>0</v>
      </c>
      <c r="K55" s="340">
        <v>0</v>
      </c>
      <c r="L55" s="340">
        <v>0</v>
      </c>
      <c r="M55" s="340">
        <v>0</v>
      </c>
      <c r="N55" s="340">
        <v>0</v>
      </c>
      <c r="O55" s="340">
        <v>1</v>
      </c>
      <c r="P55" s="340">
        <v>0</v>
      </c>
      <c r="Q55" s="340">
        <v>0</v>
      </c>
      <c r="R55" s="340">
        <v>0</v>
      </c>
      <c r="S55" s="340">
        <v>1</v>
      </c>
      <c r="T55" s="340">
        <v>0</v>
      </c>
      <c r="U55" s="340">
        <v>0</v>
      </c>
      <c r="V55" s="340">
        <v>1</v>
      </c>
      <c r="W55" s="340">
        <v>1</v>
      </c>
      <c r="X55" s="340">
        <v>0</v>
      </c>
      <c r="Y55" s="340">
        <v>0</v>
      </c>
    </row>
    <row r="56" spans="5:27" x14ac:dyDescent="0.25">
      <c r="F56" s="15" t="s">
        <v>80</v>
      </c>
      <c r="G56" s="93" t="s">
        <v>132</v>
      </c>
      <c r="H56" s="93"/>
      <c r="I56" s="93"/>
      <c r="J56" s="337">
        <v>1</v>
      </c>
      <c r="K56" s="337">
        <v>1</v>
      </c>
      <c r="L56" s="337">
        <v>1</v>
      </c>
      <c r="M56" s="337">
        <v>1</v>
      </c>
      <c r="N56" s="337">
        <v>1</v>
      </c>
      <c r="O56" s="337">
        <v>0</v>
      </c>
      <c r="P56" s="337">
        <v>0</v>
      </c>
      <c r="Q56" s="337">
        <v>1</v>
      </c>
      <c r="R56" s="337">
        <v>1</v>
      </c>
      <c r="S56" s="337">
        <v>0</v>
      </c>
      <c r="T56" s="337">
        <v>1</v>
      </c>
      <c r="U56" s="337">
        <v>1</v>
      </c>
      <c r="V56" s="337">
        <v>0</v>
      </c>
      <c r="W56" s="337">
        <v>0</v>
      </c>
      <c r="X56" s="337">
        <v>0</v>
      </c>
      <c r="Y56" s="337">
        <v>0</v>
      </c>
    </row>
    <row r="57" spans="5:27" x14ac:dyDescent="0.25">
      <c r="H57" s="88"/>
      <c r="I57" s="88"/>
    </row>
    <row r="58" spans="5:27" x14ac:dyDescent="0.25">
      <c r="E58" s="96" t="s">
        <v>403</v>
      </c>
    </row>
    <row r="59" spans="5:27" x14ac:dyDescent="0.25">
      <c r="E59" s="82" t="s">
        <v>404</v>
      </c>
    </row>
    <row r="60" spans="5:27" x14ac:dyDescent="0.25">
      <c r="F60" s="91" t="s">
        <v>324</v>
      </c>
      <c r="G60" s="91" t="s">
        <v>141</v>
      </c>
      <c r="H60" s="91"/>
      <c r="I60" s="91"/>
      <c r="J60" s="336">
        <v>1</v>
      </c>
      <c r="K60" s="336">
        <v>1</v>
      </c>
      <c r="L60" s="336">
        <v>1</v>
      </c>
      <c r="M60" s="336">
        <v>1</v>
      </c>
      <c r="N60" s="336">
        <v>1</v>
      </c>
      <c r="O60" s="336">
        <v>1</v>
      </c>
      <c r="P60" s="336">
        <v>1</v>
      </c>
      <c r="Q60" s="336">
        <v>1</v>
      </c>
      <c r="R60" s="336">
        <v>-1</v>
      </c>
      <c r="S60" s="336">
        <v>-1</v>
      </c>
      <c r="T60" s="336">
        <v>-1</v>
      </c>
      <c r="U60" s="336">
        <v>-1</v>
      </c>
      <c r="V60" s="336">
        <v>-1</v>
      </c>
      <c r="W60" s="336">
        <v>-1</v>
      </c>
      <c r="X60" s="336">
        <v>-1</v>
      </c>
      <c r="Y60" s="336">
        <v>-1</v>
      </c>
    </row>
    <row r="61" spans="5:27" x14ac:dyDescent="0.25">
      <c r="F61" s="295" t="s">
        <v>43</v>
      </c>
      <c r="G61" s="295" t="s">
        <v>141</v>
      </c>
      <c r="J61" s="340">
        <v>1</v>
      </c>
      <c r="K61" s="340">
        <v>1</v>
      </c>
      <c r="L61" s="340">
        <v>1</v>
      </c>
      <c r="M61" s="340">
        <v>1</v>
      </c>
      <c r="N61" s="340">
        <v>1</v>
      </c>
      <c r="O61" s="340">
        <v>1</v>
      </c>
      <c r="P61" s="340">
        <v>1</v>
      </c>
      <c r="Q61" s="340">
        <v>1</v>
      </c>
      <c r="R61" s="340">
        <v>-1</v>
      </c>
      <c r="S61" s="340">
        <v>-1</v>
      </c>
      <c r="T61" s="340">
        <v>-1</v>
      </c>
      <c r="U61" s="340">
        <v>-1</v>
      </c>
      <c r="V61" s="340">
        <v>-1</v>
      </c>
      <c r="W61" s="340">
        <v>-1</v>
      </c>
      <c r="X61" s="340">
        <v>-1</v>
      </c>
      <c r="Y61" s="340">
        <v>-1</v>
      </c>
    </row>
    <row r="62" spans="5:27" x14ac:dyDescent="0.25">
      <c r="F62" s="295" t="s">
        <v>44</v>
      </c>
      <c r="G62" s="295" t="s">
        <v>141</v>
      </c>
      <c r="J62" s="340">
        <v>1</v>
      </c>
      <c r="K62" s="340">
        <v>1</v>
      </c>
      <c r="L62" s="340">
        <v>1</v>
      </c>
      <c r="M62" s="340">
        <v>1</v>
      </c>
      <c r="N62" s="340">
        <v>1</v>
      </c>
      <c r="O62" s="340">
        <v>1</v>
      </c>
      <c r="P62" s="340">
        <v>1</v>
      </c>
      <c r="Q62" s="340">
        <v>1</v>
      </c>
      <c r="R62" s="340">
        <v>-1</v>
      </c>
      <c r="S62" s="340">
        <v>-1</v>
      </c>
      <c r="T62" s="340">
        <v>-1</v>
      </c>
      <c r="U62" s="340">
        <v>-1</v>
      </c>
      <c r="V62" s="340">
        <v>-1</v>
      </c>
      <c r="W62" s="340">
        <v>-1</v>
      </c>
      <c r="X62" s="340">
        <v>-1</v>
      </c>
      <c r="Y62" s="340">
        <v>-1</v>
      </c>
    </row>
    <row r="63" spans="5:27" x14ac:dyDescent="0.25">
      <c r="F63" s="295" t="s">
        <v>45</v>
      </c>
      <c r="G63" s="295" t="s">
        <v>141</v>
      </c>
      <c r="J63" s="340">
        <v>1</v>
      </c>
      <c r="K63" s="340">
        <v>1</v>
      </c>
      <c r="L63" s="340">
        <v>1</v>
      </c>
      <c r="M63" s="340">
        <v>1</v>
      </c>
      <c r="N63" s="340">
        <v>1</v>
      </c>
      <c r="O63" s="340">
        <v>1</v>
      </c>
      <c r="P63" s="340">
        <v>1</v>
      </c>
      <c r="Q63" s="340">
        <v>1</v>
      </c>
      <c r="R63" s="340">
        <v>-1</v>
      </c>
      <c r="S63" s="340">
        <v>-1</v>
      </c>
      <c r="T63" s="340">
        <v>-1</v>
      </c>
      <c r="U63" s="340">
        <v>-1</v>
      </c>
      <c r="V63" s="340">
        <v>-1</v>
      </c>
      <c r="W63" s="340">
        <v>-1</v>
      </c>
      <c r="X63" s="340">
        <v>-1</v>
      </c>
      <c r="Y63" s="340">
        <v>-1</v>
      </c>
    </row>
    <row r="64" spans="5:27" x14ac:dyDescent="0.25">
      <c r="F64" s="295" t="s">
        <v>46</v>
      </c>
      <c r="G64" s="295" t="s">
        <v>141</v>
      </c>
      <c r="J64" s="340">
        <v>1</v>
      </c>
      <c r="K64" s="340">
        <v>1</v>
      </c>
      <c r="L64" s="340">
        <v>1</v>
      </c>
      <c r="M64" s="340">
        <v>1</v>
      </c>
      <c r="N64" s="340">
        <v>1</v>
      </c>
      <c r="O64" s="340">
        <v>1</v>
      </c>
      <c r="P64" s="340">
        <v>1</v>
      </c>
      <c r="Q64" s="340">
        <v>1</v>
      </c>
      <c r="R64" s="340">
        <v>-1</v>
      </c>
      <c r="S64" s="340">
        <v>-1</v>
      </c>
      <c r="T64" s="340">
        <v>-1</v>
      </c>
      <c r="U64" s="340">
        <v>-1</v>
      </c>
      <c r="V64" s="340">
        <v>-1</v>
      </c>
      <c r="W64" s="340">
        <v>-1</v>
      </c>
      <c r="X64" s="340">
        <v>-1</v>
      </c>
      <c r="Y64" s="340">
        <v>-1</v>
      </c>
    </row>
    <row r="65" spans="5:27" x14ac:dyDescent="0.25">
      <c r="F65" s="295" t="s">
        <v>47</v>
      </c>
      <c r="G65" s="295" t="s">
        <v>141</v>
      </c>
      <c r="J65" s="340">
        <v>1</v>
      </c>
      <c r="K65" s="340">
        <v>1</v>
      </c>
      <c r="L65" s="340">
        <v>1</v>
      </c>
      <c r="M65" s="340">
        <v>1</v>
      </c>
      <c r="N65" s="340">
        <v>1</v>
      </c>
      <c r="O65" s="340">
        <v>1</v>
      </c>
      <c r="P65" s="340">
        <v>1</v>
      </c>
      <c r="Q65" s="340">
        <v>1</v>
      </c>
      <c r="R65" s="340">
        <v>-1</v>
      </c>
      <c r="S65" s="340">
        <v>-1</v>
      </c>
      <c r="T65" s="340">
        <v>-1</v>
      </c>
      <c r="U65" s="340">
        <v>-1</v>
      </c>
      <c r="V65" s="340">
        <v>-1</v>
      </c>
      <c r="W65" s="340">
        <v>-1</v>
      </c>
      <c r="X65" s="340">
        <v>-1</v>
      </c>
      <c r="Y65" s="340">
        <v>-1</v>
      </c>
    </row>
    <row r="66" spans="5:27" x14ac:dyDescent="0.25">
      <c r="F66" s="295" t="s">
        <v>51</v>
      </c>
      <c r="G66" s="295" t="s">
        <v>141</v>
      </c>
      <c r="J66" s="340">
        <v>1</v>
      </c>
      <c r="K66" s="340">
        <v>1</v>
      </c>
      <c r="L66" s="340">
        <v>1</v>
      </c>
      <c r="M66" s="340">
        <v>1</v>
      </c>
      <c r="N66" s="340">
        <v>1</v>
      </c>
      <c r="O66" s="340">
        <v>1</v>
      </c>
      <c r="P66" s="340">
        <v>1</v>
      </c>
      <c r="Q66" s="340">
        <v>1</v>
      </c>
      <c r="R66" s="340">
        <v>-1</v>
      </c>
      <c r="S66" s="340">
        <v>-1</v>
      </c>
      <c r="T66" s="340">
        <v>-1</v>
      </c>
      <c r="U66" s="340">
        <v>-1</v>
      </c>
      <c r="V66" s="340">
        <v>-1</v>
      </c>
      <c r="W66" s="340">
        <v>-1</v>
      </c>
      <c r="X66" s="340">
        <v>-1</v>
      </c>
      <c r="Y66" s="340">
        <v>-1</v>
      </c>
    </row>
    <row r="67" spans="5:27" x14ac:dyDescent="0.25">
      <c r="F67" s="295" t="s">
        <v>48</v>
      </c>
      <c r="G67" s="295" t="s">
        <v>141</v>
      </c>
      <c r="J67" s="340">
        <v>1</v>
      </c>
      <c r="K67" s="340">
        <v>1</v>
      </c>
      <c r="L67" s="340">
        <v>1</v>
      </c>
      <c r="M67" s="340">
        <v>1</v>
      </c>
      <c r="N67" s="340">
        <v>1</v>
      </c>
      <c r="O67" s="340">
        <v>1</v>
      </c>
      <c r="P67" s="340">
        <v>1</v>
      </c>
      <c r="Q67" s="340">
        <v>1</v>
      </c>
      <c r="R67" s="340">
        <v>-1</v>
      </c>
      <c r="S67" s="340">
        <v>-1</v>
      </c>
      <c r="T67" s="340">
        <v>-1</v>
      </c>
      <c r="U67" s="340">
        <v>-1</v>
      </c>
      <c r="V67" s="340">
        <v>-1</v>
      </c>
      <c r="W67" s="340">
        <v>-1</v>
      </c>
      <c r="X67" s="340">
        <v>-1</v>
      </c>
      <c r="Y67" s="340">
        <v>-1</v>
      </c>
    </row>
    <row r="68" spans="5:27" x14ac:dyDescent="0.25">
      <c r="F68" s="295" t="s">
        <v>49</v>
      </c>
      <c r="G68" s="295" t="s">
        <v>141</v>
      </c>
      <c r="J68" s="340">
        <v>1</v>
      </c>
      <c r="K68" s="340">
        <v>1</v>
      </c>
      <c r="L68" s="340">
        <v>1</v>
      </c>
      <c r="M68" s="340">
        <v>1</v>
      </c>
      <c r="N68" s="340">
        <v>1</v>
      </c>
      <c r="O68" s="340">
        <v>1</v>
      </c>
      <c r="P68" s="340">
        <v>0</v>
      </c>
      <c r="Q68" s="340">
        <v>1</v>
      </c>
      <c r="R68" s="340">
        <v>-1</v>
      </c>
      <c r="S68" s="340">
        <v>-1</v>
      </c>
      <c r="T68" s="340">
        <v>-1</v>
      </c>
      <c r="U68" s="340">
        <v>-1</v>
      </c>
      <c r="V68" s="340">
        <v>-1</v>
      </c>
      <c r="W68" s="340">
        <v>-1</v>
      </c>
      <c r="X68" s="340">
        <v>0</v>
      </c>
      <c r="Y68" s="340">
        <v>0</v>
      </c>
    </row>
    <row r="69" spans="5:27" x14ac:dyDescent="0.25">
      <c r="F69" s="93" t="s">
        <v>50</v>
      </c>
      <c r="G69" s="93" t="s">
        <v>141</v>
      </c>
      <c r="H69" s="93"/>
      <c r="I69" s="93"/>
      <c r="J69" s="337">
        <v>1</v>
      </c>
      <c r="K69" s="337">
        <v>1</v>
      </c>
      <c r="L69" s="337">
        <v>1</v>
      </c>
      <c r="M69" s="337">
        <v>1</v>
      </c>
      <c r="N69" s="337">
        <v>1</v>
      </c>
      <c r="O69" s="337">
        <v>0</v>
      </c>
      <c r="P69" s="337">
        <v>0</v>
      </c>
      <c r="Q69" s="337">
        <v>1</v>
      </c>
      <c r="R69" s="337">
        <v>-1</v>
      </c>
      <c r="S69" s="337">
        <v>0</v>
      </c>
      <c r="T69" s="337">
        <v>-1</v>
      </c>
      <c r="U69" s="337">
        <v>-1</v>
      </c>
      <c r="V69" s="337">
        <v>0</v>
      </c>
      <c r="W69" s="337">
        <v>0</v>
      </c>
      <c r="X69" s="337">
        <v>0</v>
      </c>
      <c r="Y69" s="337">
        <v>0</v>
      </c>
    </row>
    <row r="71" spans="5:27" x14ac:dyDescent="0.25">
      <c r="E71" s="96" t="s">
        <v>402</v>
      </c>
      <c r="I71" s="295" t="s">
        <v>431</v>
      </c>
      <c r="AA71" s="88" t="s">
        <v>925</v>
      </c>
    </row>
    <row r="72" spans="5:27" x14ac:dyDescent="0.25">
      <c r="E72" s="82" t="s">
        <v>319</v>
      </c>
    </row>
    <row r="73" spans="5:27" x14ac:dyDescent="0.25">
      <c r="E73" s="82"/>
      <c r="F73" s="91" t="s">
        <v>324</v>
      </c>
      <c r="G73" s="91" t="s">
        <v>141</v>
      </c>
      <c r="H73" s="91"/>
      <c r="I73" s="91"/>
      <c r="J73" s="336">
        <v>1</v>
      </c>
      <c r="K73" s="336">
        <v>1</v>
      </c>
      <c r="L73" s="336">
        <v>1</v>
      </c>
      <c r="M73" s="336">
        <v>1</v>
      </c>
      <c r="N73" s="336">
        <v>1</v>
      </c>
      <c r="O73" s="336">
        <v>1</v>
      </c>
      <c r="P73" s="336">
        <v>1</v>
      </c>
      <c r="Q73" s="336">
        <v>1</v>
      </c>
      <c r="R73" s="336">
        <v>-1</v>
      </c>
      <c r="S73" s="336">
        <v>-1</v>
      </c>
      <c r="T73" s="336">
        <v>-1</v>
      </c>
      <c r="U73" s="336">
        <v>-1</v>
      </c>
      <c r="V73" s="336">
        <v>-1</v>
      </c>
      <c r="W73" s="336">
        <v>-1</v>
      </c>
      <c r="X73" s="336">
        <v>-1</v>
      </c>
      <c r="Y73" s="336">
        <v>-1</v>
      </c>
    </row>
    <row r="74" spans="5:27" x14ac:dyDescent="0.25">
      <c r="E74" s="82"/>
      <c r="F74" s="295" t="s">
        <v>43</v>
      </c>
      <c r="G74" s="295" t="s">
        <v>141</v>
      </c>
      <c r="J74" s="340">
        <v>1</v>
      </c>
      <c r="K74" s="340">
        <v>1</v>
      </c>
      <c r="L74" s="340">
        <v>1</v>
      </c>
      <c r="M74" s="340">
        <v>1</v>
      </c>
      <c r="N74" s="340">
        <v>1</v>
      </c>
      <c r="O74" s="340">
        <v>1</v>
      </c>
      <c r="P74" s="340">
        <v>1</v>
      </c>
      <c r="Q74" s="340">
        <v>1</v>
      </c>
      <c r="R74" s="340">
        <v>-1</v>
      </c>
      <c r="S74" s="340">
        <v>-1</v>
      </c>
      <c r="T74" s="340">
        <v>-1</v>
      </c>
      <c r="U74" s="340">
        <v>-1</v>
      </c>
      <c r="V74" s="340">
        <v>-1</v>
      </c>
      <c r="W74" s="340">
        <v>-1</v>
      </c>
      <c r="X74" s="340">
        <v>-1</v>
      </c>
      <c r="Y74" s="340">
        <v>-1</v>
      </c>
    </row>
    <row r="75" spans="5:27" x14ac:dyDescent="0.25">
      <c r="E75" s="82"/>
      <c r="F75" s="295" t="s">
        <v>44</v>
      </c>
      <c r="G75" s="295" t="s">
        <v>141</v>
      </c>
      <c r="J75" s="340">
        <v>1</v>
      </c>
      <c r="K75" s="340">
        <v>1</v>
      </c>
      <c r="L75" s="340">
        <v>1</v>
      </c>
      <c r="M75" s="340">
        <v>1</v>
      </c>
      <c r="N75" s="340">
        <v>1</v>
      </c>
      <c r="O75" s="340">
        <v>1</v>
      </c>
      <c r="P75" s="340">
        <v>1</v>
      </c>
      <c r="Q75" s="340">
        <v>1</v>
      </c>
      <c r="R75" s="340">
        <v>-1</v>
      </c>
      <c r="S75" s="340">
        <v>-1</v>
      </c>
      <c r="T75" s="340">
        <v>-1</v>
      </c>
      <c r="U75" s="340">
        <v>-1</v>
      </c>
      <c r="V75" s="340">
        <v>-1</v>
      </c>
      <c r="W75" s="340">
        <v>-1</v>
      </c>
      <c r="X75" s="340">
        <v>-1</v>
      </c>
      <c r="Y75" s="340">
        <v>-1</v>
      </c>
    </row>
    <row r="76" spans="5:27" x14ac:dyDescent="0.25">
      <c r="E76" s="82"/>
      <c r="F76" s="295" t="s">
        <v>45</v>
      </c>
      <c r="G76" s="295" t="s">
        <v>141</v>
      </c>
      <c r="J76" s="340">
        <v>1</v>
      </c>
      <c r="K76" s="340">
        <v>1</v>
      </c>
      <c r="L76" s="340">
        <v>1</v>
      </c>
      <c r="M76" s="340">
        <v>1</v>
      </c>
      <c r="N76" s="340">
        <v>1</v>
      </c>
      <c r="O76" s="340">
        <v>1</v>
      </c>
      <c r="P76" s="340">
        <v>1</v>
      </c>
      <c r="Q76" s="340">
        <v>1</v>
      </c>
      <c r="R76" s="340">
        <v>-1</v>
      </c>
      <c r="S76" s="340">
        <v>-1</v>
      </c>
      <c r="T76" s="340">
        <v>-1</v>
      </c>
      <c r="U76" s="340">
        <v>-1</v>
      </c>
      <c r="V76" s="340">
        <v>-1</v>
      </c>
      <c r="W76" s="340">
        <v>-1</v>
      </c>
      <c r="X76" s="340">
        <v>-1</v>
      </c>
      <c r="Y76" s="340">
        <v>-1</v>
      </c>
    </row>
    <row r="77" spans="5:27" x14ac:dyDescent="0.25">
      <c r="E77" s="82"/>
      <c r="F77" s="295" t="s">
        <v>46</v>
      </c>
      <c r="G77" s="295" t="s">
        <v>141</v>
      </c>
      <c r="J77" s="340">
        <v>1</v>
      </c>
      <c r="K77" s="340">
        <v>1</v>
      </c>
      <c r="L77" s="340">
        <v>1</v>
      </c>
      <c r="M77" s="340">
        <v>1</v>
      </c>
      <c r="N77" s="340">
        <v>1</v>
      </c>
      <c r="O77" s="340">
        <v>1</v>
      </c>
      <c r="P77" s="340">
        <v>1</v>
      </c>
      <c r="Q77" s="340">
        <v>1</v>
      </c>
      <c r="R77" s="340">
        <v>-1</v>
      </c>
      <c r="S77" s="340">
        <v>-1</v>
      </c>
      <c r="T77" s="340">
        <v>-1</v>
      </c>
      <c r="U77" s="340">
        <v>-1</v>
      </c>
      <c r="V77" s="340">
        <v>-1</v>
      </c>
      <c r="W77" s="340">
        <v>-1</v>
      </c>
      <c r="X77" s="340">
        <v>-1</v>
      </c>
      <c r="Y77" s="340">
        <v>-1</v>
      </c>
    </row>
    <row r="78" spans="5:27" x14ac:dyDescent="0.25">
      <c r="E78" s="82"/>
      <c r="F78" s="295" t="s">
        <v>47</v>
      </c>
      <c r="G78" s="295" t="s">
        <v>141</v>
      </c>
      <c r="J78" s="340">
        <v>1</v>
      </c>
      <c r="K78" s="340">
        <v>1</v>
      </c>
      <c r="L78" s="340">
        <v>1</v>
      </c>
      <c r="M78" s="340">
        <v>1</v>
      </c>
      <c r="N78" s="340">
        <v>1</v>
      </c>
      <c r="O78" s="340">
        <v>1</v>
      </c>
      <c r="P78" s="340">
        <v>1</v>
      </c>
      <c r="Q78" s="340">
        <v>1</v>
      </c>
      <c r="R78" s="340">
        <v>-1</v>
      </c>
      <c r="S78" s="340">
        <v>-1</v>
      </c>
      <c r="T78" s="340">
        <v>-1</v>
      </c>
      <c r="U78" s="340">
        <v>-1</v>
      </c>
      <c r="V78" s="340">
        <v>-1</v>
      </c>
      <c r="W78" s="340">
        <v>-1</v>
      </c>
      <c r="X78" s="340">
        <v>-1</v>
      </c>
      <c r="Y78" s="340">
        <v>-1</v>
      </c>
    </row>
    <row r="79" spans="5:27" x14ac:dyDescent="0.25">
      <c r="E79" s="82"/>
      <c r="F79" s="295" t="s">
        <v>51</v>
      </c>
      <c r="G79" s="295" t="s">
        <v>141</v>
      </c>
      <c r="J79" s="340">
        <v>1</v>
      </c>
      <c r="K79" s="340">
        <v>1</v>
      </c>
      <c r="L79" s="340">
        <v>1</v>
      </c>
      <c r="M79" s="340">
        <v>1</v>
      </c>
      <c r="N79" s="340">
        <v>1</v>
      </c>
      <c r="O79" s="340">
        <v>1</v>
      </c>
      <c r="P79" s="340">
        <v>1</v>
      </c>
      <c r="Q79" s="340">
        <v>1</v>
      </c>
      <c r="R79" s="340">
        <v>-1</v>
      </c>
      <c r="S79" s="340">
        <v>-1</v>
      </c>
      <c r="T79" s="340">
        <v>-1</v>
      </c>
      <c r="U79" s="340">
        <v>-1</v>
      </c>
      <c r="V79" s="340">
        <v>-1</v>
      </c>
      <c r="W79" s="340">
        <v>-1</v>
      </c>
      <c r="X79" s="340">
        <v>-1</v>
      </c>
      <c r="Y79" s="340">
        <v>-1</v>
      </c>
    </row>
    <row r="80" spans="5:27" x14ac:dyDescent="0.25">
      <c r="E80" s="82"/>
      <c r="F80" s="295" t="s">
        <v>48</v>
      </c>
      <c r="G80" s="295" t="s">
        <v>141</v>
      </c>
      <c r="J80" s="340">
        <v>1</v>
      </c>
      <c r="K80" s="340">
        <v>1</v>
      </c>
      <c r="L80" s="340">
        <v>1</v>
      </c>
      <c r="M80" s="340">
        <v>1</v>
      </c>
      <c r="N80" s="340">
        <v>1</v>
      </c>
      <c r="O80" s="340">
        <v>1</v>
      </c>
      <c r="P80" s="340">
        <v>1</v>
      </c>
      <c r="Q80" s="340">
        <v>1</v>
      </c>
      <c r="R80" s="340">
        <v>-1</v>
      </c>
      <c r="S80" s="340">
        <v>-1</v>
      </c>
      <c r="T80" s="340">
        <v>-1</v>
      </c>
      <c r="U80" s="340">
        <v>-1</v>
      </c>
      <c r="V80" s="340">
        <v>-1</v>
      </c>
      <c r="W80" s="340">
        <v>-1</v>
      </c>
      <c r="X80" s="340">
        <v>0</v>
      </c>
      <c r="Y80" s="340">
        <v>0</v>
      </c>
    </row>
    <row r="81" spans="3:27" x14ac:dyDescent="0.25">
      <c r="E81" s="82"/>
      <c r="F81" s="295" t="s">
        <v>49</v>
      </c>
      <c r="G81" s="295" t="s">
        <v>141</v>
      </c>
      <c r="J81" s="340">
        <v>1</v>
      </c>
      <c r="K81" s="340">
        <v>1</v>
      </c>
      <c r="L81" s="340">
        <v>1</v>
      </c>
      <c r="M81" s="340">
        <v>1</v>
      </c>
      <c r="N81" s="340">
        <v>1</v>
      </c>
      <c r="O81" s="340">
        <v>1</v>
      </c>
      <c r="P81" s="340">
        <v>0</v>
      </c>
      <c r="Q81" s="340">
        <v>1</v>
      </c>
      <c r="R81" s="340">
        <v>-1</v>
      </c>
      <c r="S81" s="340">
        <v>0</v>
      </c>
      <c r="T81" s="340">
        <v>-1</v>
      </c>
      <c r="U81" s="340">
        <v>-1</v>
      </c>
      <c r="V81" s="340">
        <v>0</v>
      </c>
      <c r="W81" s="340">
        <v>0</v>
      </c>
      <c r="X81" s="340">
        <v>0</v>
      </c>
      <c r="Y81" s="340">
        <v>0</v>
      </c>
    </row>
    <row r="82" spans="3:27" x14ac:dyDescent="0.25">
      <c r="E82" s="82"/>
      <c r="F82" s="93" t="s">
        <v>50</v>
      </c>
      <c r="G82" s="93" t="s">
        <v>141</v>
      </c>
      <c r="H82" s="93"/>
      <c r="I82" s="93"/>
      <c r="J82" s="337">
        <v>1</v>
      </c>
      <c r="K82" s="337">
        <v>1</v>
      </c>
      <c r="L82" s="337">
        <v>1</v>
      </c>
      <c r="M82" s="337">
        <v>1</v>
      </c>
      <c r="N82" s="337">
        <v>1</v>
      </c>
      <c r="O82" s="337">
        <v>0</v>
      </c>
      <c r="P82" s="337">
        <v>0</v>
      </c>
      <c r="Q82" s="337">
        <v>1</v>
      </c>
      <c r="R82" s="337">
        <v>0</v>
      </c>
      <c r="S82" s="337">
        <v>0</v>
      </c>
      <c r="T82" s="337">
        <v>0</v>
      </c>
      <c r="U82" s="337">
        <v>0</v>
      </c>
      <c r="V82" s="337">
        <v>0</v>
      </c>
      <c r="W82" s="337">
        <v>0</v>
      </c>
      <c r="X82" s="337">
        <v>0</v>
      </c>
      <c r="Y82" s="337">
        <v>0</v>
      </c>
    </row>
    <row r="84" spans="3:27" x14ac:dyDescent="0.2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6" spans="3:27" x14ac:dyDescent="0.25">
      <c r="E86" s="96" t="s">
        <v>320</v>
      </c>
      <c r="F86" s="96"/>
      <c r="I86" s="295" t="s">
        <v>431</v>
      </c>
      <c r="AA86" s="295" t="s">
        <v>811</v>
      </c>
    </row>
    <row r="87" spans="3:27" x14ac:dyDescent="0.25">
      <c r="E87" s="82" t="s">
        <v>1034</v>
      </c>
      <c r="F87" s="82"/>
    </row>
    <row r="88" spans="3:27" x14ac:dyDescent="0.25">
      <c r="E88" s="82"/>
      <c r="F88" s="91" t="s">
        <v>324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27" x14ac:dyDescent="0.25">
      <c r="E89" s="82"/>
      <c r="F89" s="295" t="s">
        <v>43</v>
      </c>
      <c r="G89" s="295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27" x14ac:dyDescent="0.25">
      <c r="E90" s="82"/>
      <c r="F90" s="295" t="s">
        <v>44</v>
      </c>
      <c r="G90" s="295" t="s">
        <v>94</v>
      </c>
      <c r="J90" s="374"/>
      <c r="K90" s="374"/>
      <c r="L90" s="374"/>
      <c r="M90" s="374"/>
      <c r="N90" s="374"/>
      <c r="O90" s="374"/>
      <c r="P90" s="374"/>
      <c r="Q90" s="374"/>
      <c r="R90" s="79"/>
      <c r="S90" s="79"/>
      <c r="T90" s="79"/>
      <c r="U90" s="79"/>
      <c r="V90" s="79"/>
      <c r="W90" s="79"/>
      <c r="X90" s="79"/>
      <c r="Y90" s="79"/>
    </row>
    <row r="91" spans="3:27" x14ac:dyDescent="0.25">
      <c r="E91" s="82"/>
      <c r="F91" s="295" t="s">
        <v>45</v>
      </c>
      <c r="G91" s="295" t="s">
        <v>94</v>
      </c>
      <c r="J91" s="374"/>
      <c r="K91" s="374"/>
      <c r="L91" s="374"/>
      <c r="M91" s="374"/>
      <c r="N91" s="374"/>
      <c r="O91" s="374"/>
      <c r="P91" s="374"/>
      <c r="Q91" s="374"/>
      <c r="R91" s="79"/>
      <c r="S91" s="79"/>
      <c r="T91" s="79"/>
      <c r="U91" s="79"/>
      <c r="V91" s="79"/>
      <c r="W91" s="79"/>
      <c r="X91" s="79"/>
      <c r="Y91" s="79"/>
    </row>
    <row r="92" spans="3:27" x14ac:dyDescent="0.25">
      <c r="E92" s="82"/>
      <c r="F92" s="295" t="s">
        <v>46</v>
      </c>
      <c r="G92" s="295" t="s">
        <v>94</v>
      </c>
      <c r="J92" s="374"/>
      <c r="K92" s="374"/>
      <c r="L92" s="374"/>
      <c r="M92" s="374"/>
      <c r="N92" s="374"/>
      <c r="O92" s="374"/>
      <c r="P92" s="373">
        <v>0.2</v>
      </c>
      <c r="Q92" s="374"/>
      <c r="R92" s="79"/>
      <c r="S92" s="79"/>
      <c r="T92" s="79"/>
      <c r="U92" s="79"/>
      <c r="V92" s="79"/>
      <c r="W92" s="79"/>
      <c r="X92" s="79"/>
      <c r="Y92" s="79"/>
    </row>
    <row r="93" spans="3:27" x14ac:dyDescent="0.25">
      <c r="E93" s="82"/>
      <c r="F93" s="295" t="s">
        <v>47</v>
      </c>
      <c r="G93" s="295" t="s">
        <v>94</v>
      </c>
      <c r="J93" s="374"/>
      <c r="K93" s="374"/>
      <c r="L93" s="374"/>
      <c r="M93" s="374"/>
      <c r="N93" s="374"/>
      <c r="O93" s="374"/>
      <c r="P93" s="373">
        <v>1</v>
      </c>
      <c r="Q93" s="374"/>
      <c r="R93" s="79"/>
      <c r="S93" s="79"/>
      <c r="T93" s="79"/>
      <c r="U93" s="79"/>
      <c r="V93" s="79"/>
      <c r="W93" s="79"/>
      <c r="X93" s="79"/>
      <c r="Y93" s="79"/>
    </row>
    <row r="94" spans="3:27" x14ac:dyDescent="0.25">
      <c r="E94" s="82"/>
      <c r="F94" s="295" t="s">
        <v>51</v>
      </c>
      <c r="G94" s="295" t="s">
        <v>94</v>
      </c>
      <c r="J94" s="374"/>
      <c r="K94" s="374"/>
      <c r="L94" s="374"/>
      <c r="M94" s="374"/>
      <c r="N94" s="374"/>
      <c r="O94" s="374"/>
      <c r="P94" s="374"/>
      <c r="Q94" s="374"/>
      <c r="R94" s="79"/>
      <c r="S94" s="79"/>
      <c r="T94" s="79"/>
      <c r="U94" s="79"/>
      <c r="V94" s="79"/>
      <c r="W94" s="79"/>
      <c r="X94" s="79"/>
      <c r="Y94" s="79"/>
    </row>
    <row r="95" spans="3:27" x14ac:dyDescent="0.25">
      <c r="E95" s="82"/>
      <c r="F95" s="295" t="s">
        <v>48</v>
      </c>
      <c r="G95" s="295" t="s">
        <v>94</v>
      </c>
      <c r="J95" s="374"/>
      <c r="K95" s="374"/>
      <c r="L95" s="374"/>
      <c r="M95" s="374"/>
      <c r="N95" s="373">
        <v>0.2</v>
      </c>
      <c r="O95" s="373">
        <v>1</v>
      </c>
      <c r="P95" s="373">
        <v>1</v>
      </c>
      <c r="Q95" s="374"/>
      <c r="R95" s="79"/>
      <c r="S95" s="79"/>
      <c r="T95" s="79"/>
      <c r="U95" s="79"/>
      <c r="V95" s="79"/>
      <c r="W95" s="79"/>
      <c r="X95" s="79"/>
      <c r="Y95" s="79"/>
    </row>
    <row r="96" spans="3:27" x14ac:dyDescent="0.25">
      <c r="E96" s="82"/>
      <c r="F96" s="295" t="s">
        <v>49</v>
      </c>
      <c r="G96" s="295" t="s">
        <v>94</v>
      </c>
      <c r="J96" s="374"/>
      <c r="K96" s="374"/>
      <c r="L96" s="374"/>
      <c r="M96" s="374"/>
      <c r="N96" s="373">
        <v>1</v>
      </c>
      <c r="O96" s="373">
        <v>1</v>
      </c>
      <c r="P96" s="374"/>
      <c r="Q96" s="374"/>
      <c r="R96" s="79"/>
      <c r="S96" s="79"/>
      <c r="T96" s="79"/>
      <c r="U96" s="79"/>
      <c r="V96" s="79"/>
      <c r="W96" s="79"/>
      <c r="X96" s="79"/>
      <c r="Y96" s="79"/>
    </row>
    <row r="97" spans="3:27" x14ac:dyDescent="0.25">
      <c r="E97" s="82"/>
      <c r="F97" s="93" t="s">
        <v>50</v>
      </c>
      <c r="G97" s="93" t="s">
        <v>94</v>
      </c>
      <c r="H97" s="93"/>
      <c r="I97" s="93"/>
      <c r="J97" s="339">
        <v>1</v>
      </c>
      <c r="K97" s="339">
        <v>1</v>
      </c>
      <c r="L97" s="339">
        <v>1</v>
      </c>
      <c r="M97" s="339">
        <v>1</v>
      </c>
      <c r="N97" s="339">
        <v>1</v>
      </c>
      <c r="O97" s="38"/>
      <c r="P97" s="38"/>
      <c r="Q97" s="339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27" x14ac:dyDescent="0.2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1" spans="3:27" x14ac:dyDescent="0.25">
      <c r="D101" s="96" t="s">
        <v>173</v>
      </c>
      <c r="E101" s="96"/>
    </row>
    <row r="102" spans="3:27" x14ac:dyDescent="0.25">
      <c r="D102" s="82" t="s">
        <v>629</v>
      </c>
      <c r="E102" s="82"/>
    </row>
    <row r="103" spans="3:27" x14ac:dyDescent="0.25">
      <c r="D103" s="82" t="s">
        <v>630</v>
      </c>
      <c r="E103" s="82"/>
    </row>
    <row r="104" spans="3:27" x14ac:dyDescent="0.25">
      <c r="D104" s="82"/>
      <c r="E104" s="96" t="s">
        <v>120</v>
      </c>
    </row>
    <row r="105" spans="3:27" x14ac:dyDescent="0.25">
      <c r="D105" s="82"/>
      <c r="F105" s="14" t="s">
        <v>386</v>
      </c>
      <c r="G105" s="295" t="s">
        <v>174</v>
      </c>
      <c r="I105" s="295" t="s">
        <v>431</v>
      </c>
      <c r="J105" s="375" t="b">
        <v>0</v>
      </c>
      <c r="K105" s="375" t="b">
        <v>0</v>
      </c>
      <c r="L105" s="375" t="b">
        <v>0</v>
      </c>
      <c r="M105" s="375" t="b">
        <v>0</v>
      </c>
      <c r="N105" s="375" t="b">
        <v>0</v>
      </c>
      <c r="O105" s="375" t="b">
        <v>0</v>
      </c>
      <c r="P105" s="375" t="b">
        <v>0</v>
      </c>
      <c r="Q105" s="375" t="b">
        <v>0</v>
      </c>
      <c r="R105" s="375" t="b">
        <v>1</v>
      </c>
      <c r="S105" s="375" t="b">
        <v>1</v>
      </c>
      <c r="T105" s="375" t="b">
        <v>1</v>
      </c>
      <c r="U105" s="375" t="b">
        <v>1</v>
      </c>
      <c r="V105" s="375" t="b">
        <v>1</v>
      </c>
      <c r="W105" s="375" t="b">
        <v>1</v>
      </c>
      <c r="X105" s="375" t="b">
        <v>1</v>
      </c>
      <c r="Y105" s="375" t="b">
        <v>1</v>
      </c>
      <c r="AA105" s="295" t="s">
        <v>812</v>
      </c>
    </row>
    <row r="106" spans="3:27" x14ac:dyDescent="0.25">
      <c r="D106" s="82"/>
      <c r="E106" s="14"/>
      <c r="F106" s="14" t="s">
        <v>387</v>
      </c>
      <c r="G106" s="295" t="s">
        <v>94</v>
      </c>
      <c r="J106" s="374"/>
      <c r="K106" s="374"/>
      <c r="L106" s="374"/>
      <c r="M106" s="374"/>
      <c r="N106" s="374"/>
      <c r="O106" s="374"/>
      <c r="P106" s="374"/>
      <c r="Q106" s="374"/>
      <c r="R106" s="376">
        <v>0</v>
      </c>
      <c r="S106" s="376">
        <v>0</v>
      </c>
      <c r="T106" s="376">
        <v>0</v>
      </c>
      <c r="U106" s="376">
        <v>0</v>
      </c>
      <c r="V106" s="376">
        <v>0</v>
      </c>
      <c r="W106" s="376">
        <v>0</v>
      </c>
      <c r="X106" s="376">
        <v>0</v>
      </c>
      <c r="Y106" s="376">
        <v>0</v>
      </c>
    </row>
    <row r="107" spans="3:27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27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27" x14ac:dyDescent="0.25">
      <c r="D109" s="82"/>
      <c r="F109" s="14" t="s">
        <v>386</v>
      </c>
      <c r="G109" s="295" t="s">
        <v>174</v>
      </c>
      <c r="J109" s="375" t="b">
        <v>0</v>
      </c>
      <c r="K109" s="375" t="b">
        <v>0</v>
      </c>
      <c r="L109" s="375" t="b">
        <v>0</v>
      </c>
      <c r="M109" s="375" t="b">
        <v>0</v>
      </c>
      <c r="N109" s="375" t="b">
        <v>0</v>
      </c>
      <c r="O109" s="375" t="b">
        <v>0</v>
      </c>
      <c r="P109" s="375" t="b">
        <v>0</v>
      </c>
      <c r="Q109" s="375" t="b">
        <v>0</v>
      </c>
      <c r="R109" s="375" t="b">
        <v>1</v>
      </c>
      <c r="S109" s="375" t="b">
        <v>1</v>
      </c>
      <c r="T109" s="375" t="b">
        <v>1</v>
      </c>
      <c r="U109" s="375" t="b">
        <v>1</v>
      </c>
      <c r="V109" s="375" t="b">
        <v>1</v>
      </c>
      <c r="W109" s="375" t="b">
        <v>1</v>
      </c>
      <c r="X109" s="375" t="b">
        <v>1</v>
      </c>
      <c r="Y109" s="375" t="b">
        <v>1</v>
      </c>
    </row>
    <row r="110" spans="3:27" x14ac:dyDescent="0.25">
      <c r="D110" s="82"/>
      <c r="E110" s="14"/>
      <c r="F110" s="14" t="s">
        <v>387</v>
      </c>
      <c r="G110" s="295" t="s">
        <v>94</v>
      </c>
      <c r="J110" s="374"/>
      <c r="K110" s="374"/>
      <c r="L110" s="374"/>
      <c r="M110" s="374"/>
      <c r="N110" s="374"/>
      <c r="O110" s="374"/>
      <c r="P110" s="374"/>
      <c r="Q110" s="374"/>
      <c r="R110" s="376">
        <v>1</v>
      </c>
      <c r="S110" s="376">
        <v>1</v>
      </c>
      <c r="T110" s="376">
        <v>1</v>
      </c>
      <c r="U110" s="376">
        <v>1</v>
      </c>
      <c r="V110" s="376">
        <v>1</v>
      </c>
      <c r="W110" s="376">
        <v>1</v>
      </c>
      <c r="X110" s="376">
        <v>1</v>
      </c>
      <c r="Y110" s="376">
        <v>1</v>
      </c>
    </row>
    <row r="111" spans="3:27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27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386</v>
      </c>
      <c r="G113" s="295" t="s">
        <v>174</v>
      </c>
      <c r="J113" s="375" t="b">
        <v>0</v>
      </c>
      <c r="K113" s="375" t="b">
        <v>0</v>
      </c>
      <c r="L113" s="375" t="b">
        <v>0</v>
      </c>
      <c r="M113" s="375" t="b">
        <v>0</v>
      </c>
      <c r="N113" s="375" t="b">
        <v>0</v>
      </c>
      <c r="O113" s="375" t="b">
        <v>0</v>
      </c>
      <c r="P113" s="375" t="b">
        <v>0</v>
      </c>
      <c r="Q113" s="375" t="b">
        <v>0</v>
      </c>
      <c r="R113" s="375" t="b">
        <v>1</v>
      </c>
      <c r="S113" s="375" t="b">
        <v>1</v>
      </c>
      <c r="T113" s="375" t="b">
        <v>1</v>
      </c>
      <c r="U113" s="375" t="b">
        <v>1</v>
      </c>
      <c r="V113" s="375" t="b">
        <v>1</v>
      </c>
      <c r="W113" s="375" t="b">
        <v>1</v>
      </c>
      <c r="X113" s="375" t="b">
        <v>1</v>
      </c>
      <c r="Y113" s="375" t="b">
        <v>1</v>
      </c>
    </row>
    <row r="114" spans="4:25" x14ac:dyDescent="0.25">
      <c r="D114" s="82"/>
      <c r="E114" s="14"/>
      <c r="F114" s="14" t="s">
        <v>387</v>
      </c>
      <c r="G114" s="295" t="s">
        <v>94</v>
      </c>
      <c r="J114" s="374"/>
      <c r="K114" s="374"/>
      <c r="L114" s="374"/>
      <c r="M114" s="374"/>
      <c r="N114" s="374"/>
      <c r="O114" s="374"/>
      <c r="P114" s="374"/>
      <c r="Q114" s="374"/>
      <c r="R114" s="376">
        <v>0</v>
      </c>
      <c r="S114" s="376">
        <v>0</v>
      </c>
      <c r="T114" s="376">
        <v>0</v>
      </c>
      <c r="U114" s="376">
        <v>0</v>
      </c>
      <c r="V114" s="376">
        <v>0</v>
      </c>
      <c r="W114" s="376">
        <v>0</v>
      </c>
      <c r="X114" s="376">
        <v>0</v>
      </c>
      <c r="Y114" s="376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386</v>
      </c>
      <c r="G117" s="295" t="s">
        <v>174</v>
      </c>
      <c r="J117" s="375" t="b">
        <v>0</v>
      </c>
      <c r="K117" s="375" t="b">
        <v>0</v>
      </c>
      <c r="L117" s="375" t="b">
        <v>0</v>
      </c>
      <c r="M117" s="375" t="b">
        <v>0</v>
      </c>
      <c r="N117" s="375" t="b">
        <v>0</v>
      </c>
      <c r="O117" s="375" t="b">
        <v>0</v>
      </c>
      <c r="P117" s="375" t="b">
        <v>0</v>
      </c>
      <c r="Q117" s="375" t="b">
        <v>0</v>
      </c>
      <c r="R117" s="375" t="b">
        <v>1</v>
      </c>
      <c r="S117" s="375" t="b">
        <v>1</v>
      </c>
      <c r="T117" s="375" t="b">
        <v>1</v>
      </c>
      <c r="U117" s="375" t="b">
        <v>1</v>
      </c>
      <c r="V117" s="375" t="b">
        <v>1</v>
      </c>
      <c r="W117" s="375" t="b">
        <v>1</v>
      </c>
      <c r="X117" s="375" t="b">
        <v>1</v>
      </c>
      <c r="Y117" s="375" t="b">
        <v>1</v>
      </c>
    </row>
    <row r="118" spans="4:25" x14ac:dyDescent="0.25">
      <c r="D118" s="82"/>
      <c r="E118" s="14"/>
      <c r="F118" s="14" t="s">
        <v>387</v>
      </c>
      <c r="G118" s="295" t="s">
        <v>94</v>
      </c>
      <c r="J118" s="374"/>
      <c r="K118" s="374"/>
      <c r="L118" s="374"/>
      <c r="M118" s="374"/>
      <c r="N118" s="374"/>
      <c r="O118" s="374"/>
      <c r="P118" s="374"/>
      <c r="Q118" s="374"/>
      <c r="R118" s="376">
        <v>0</v>
      </c>
      <c r="S118" s="376">
        <v>0</v>
      </c>
      <c r="T118" s="376">
        <v>0</v>
      </c>
      <c r="U118" s="376">
        <v>0</v>
      </c>
      <c r="V118" s="376">
        <v>0</v>
      </c>
      <c r="W118" s="376">
        <v>0</v>
      </c>
      <c r="X118" s="376">
        <v>0</v>
      </c>
      <c r="Y118" s="376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386</v>
      </c>
      <c r="G121" s="295" t="s">
        <v>174</v>
      </c>
      <c r="J121" s="375" t="b">
        <v>0</v>
      </c>
      <c r="K121" s="375" t="b">
        <v>0</v>
      </c>
      <c r="L121" s="375" t="b">
        <v>0</v>
      </c>
      <c r="M121" s="375" t="b">
        <v>0</v>
      </c>
      <c r="N121" s="375" t="b">
        <v>0</v>
      </c>
      <c r="O121" s="375" t="b">
        <v>0</v>
      </c>
      <c r="P121" s="375" t="b">
        <v>0</v>
      </c>
      <c r="Q121" s="375" t="b">
        <v>0</v>
      </c>
      <c r="R121" s="375" t="b">
        <v>1</v>
      </c>
      <c r="S121" s="375" t="b">
        <v>1</v>
      </c>
      <c r="T121" s="375" t="b">
        <v>1</v>
      </c>
      <c r="U121" s="375" t="b">
        <v>1</v>
      </c>
      <c r="V121" s="375" t="b">
        <v>1</v>
      </c>
      <c r="W121" s="375" t="b">
        <v>1</v>
      </c>
      <c r="X121" s="375" t="b">
        <v>1</v>
      </c>
      <c r="Y121" s="375" t="b">
        <v>1</v>
      </c>
    </row>
    <row r="122" spans="4:25" x14ac:dyDescent="0.25">
      <c r="D122" s="82"/>
      <c r="E122" s="14"/>
      <c r="F122" s="14" t="s">
        <v>387</v>
      </c>
      <c r="G122" s="295" t="s">
        <v>94</v>
      </c>
      <c r="J122" s="374"/>
      <c r="K122" s="374"/>
      <c r="L122" s="374"/>
      <c r="M122" s="374"/>
      <c r="N122" s="374"/>
      <c r="O122" s="374"/>
      <c r="P122" s="374"/>
      <c r="Q122" s="374"/>
      <c r="R122" s="376">
        <v>0</v>
      </c>
      <c r="S122" s="376">
        <v>0</v>
      </c>
      <c r="T122" s="376">
        <v>0</v>
      </c>
      <c r="U122" s="376">
        <v>0</v>
      </c>
      <c r="V122" s="376">
        <v>0</v>
      </c>
      <c r="W122" s="376">
        <v>0</v>
      </c>
      <c r="X122" s="376">
        <v>0</v>
      </c>
      <c r="Y122" s="376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299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874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612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5" t="s">
        <v>299</v>
      </c>
      <c r="G127" s="295" t="s">
        <v>174</v>
      </c>
      <c r="J127" s="375" t="b">
        <v>0</v>
      </c>
      <c r="K127" s="375" t="b">
        <v>0</v>
      </c>
      <c r="L127" s="375" t="b">
        <v>0</v>
      </c>
      <c r="M127" s="375" t="b">
        <v>0</v>
      </c>
      <c r="N127" s="375" t="b">
        <v>0</v>
      </c>
      <c r="O127" s="375" t="b">
        <v>0</v>
      </c>
      <c r="P127" s="375" t="b">
        <v>0</v>
      </c>
      <c r="Q127" s="375" t="b">
        <v>1</v>
      </c>
      <c r="R127" s="375" t="b">
        <v>0</v>
      </c>
      <c r="S127" s="375" t="b">
        <v>0</v>
      </c>
      <c r="T127" s="375" t="b">
        <v>0</v>
      </c>
      <c r="U127" s="375" t="b">
        <v>0</v>
      </c>
      <c r="V127" s="375" t="b">
        <v>0</v>
      </c>
      <c r="W127" s="375" t="b">
        <v>0</v>
      </c>
      <c r="X127" s="375" t="b">
        <v>0</v>
      </c>
      <c r="Y127" s="375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27" x14ac:dyDescent="0.25">
      <c r="E129" s="96" t="s">
        <v>644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27" x14ac:dyDescent="0.25">
      <c r="E130" s="82" t="s">
        <v>357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27" x14ac:dyDescent="0.25">
      <c r="E131" s="82"/>
      <c r="F131" s="295" t="s">
        <v>548</v>
      </c>
      <c r="G131" s="295" t="s">
        <v>174</v>
      </c>
      <c r="J131" s="375" t="b">
        <v>1</v>
      </c>
      <c r="K131" s="375" t="b">
        <v>0</v>
      </c>
      <c r="L131" s="375" t="b">
        <v>1</v>
      </c>
      <c r="M131" s="375" t="b">
        <v>0</v>
      </c>
      <c r="N131" s="375" t="b">
        <v>1</v>
      </c>
      <c r="O131" s="375" t="b">
        <v>1</v>
      </c>
      <c r="P131" s="375" t="b">
        <v>1</v>
      </c>
      <c r="Q131" s="375" t="b">
        <v>1</v>
      </c>
      <c r="R131" s="375" t="b">
        <v>1</v>
      </c>
      <c r="S131" s="375" t="b">
        <v>1</v>
      </c>
      <c r="T131" s="375" t="b">
        <v>1</v>
      </c>
      <c r="U131" s="375" t="b">
        <v>1</v>
      </c>
      <c r="V131" s="375" t="b">
        <v>1</v>
      </c>
      <c r="W131" s="375" t="b">
        <v>1</v>
      </c>
      <c r="X131" s="375" t="b">
        <v>1</v>
      </c>
      <c r="Y131" s="375" t="b">
        <v>1</v>
      </c>
    </row>
    <row r="132" spans="3:27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27" x14ac:dyDescent="0.25">
      <c r="E133" s="96" t="s">
        <v>376</v>
      </c>
      <c r="I133" s="295" t="s">
        <v>431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A133" s="295" t="s">
        <v>839</v>
      </c>
    </row>
    <row r="134" spans="3:27" x14ac:dyDescent="0.25">
      <c r="E134" s="82" t="s">
        <v>633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27" x14ac:dyDescent="0.25">
      <c r="E135" s="82" t="s">
        <v>634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27" x14ac:dyDescent="0.25">
      <c r="E136" s="82"/>
      <c r="F136" s="295" t="s">
        <v>312</v>
      </c>
      <c r="G136" s="295" t="s">
        <v>132</v>
      </c>
      <c r="J136" s="375">
        <v>0</v>
      </c>
      <c r="K136" s="375">
        <v>0</v>
      </c>
      <c r="L136" s="375">
        <v>0</v>
      </c>
      <c r="M136" s="375">
        <v>0</v>
      </c>
      <c r="N136" s="375">
        <v>1</v>
      </c>
      <c r="O136" s="375">
        <v>1</v>
      </c>
      <c r="P136" s="375">
        <v>1</v>
      </c>
      <c r="Q136" s="375">
        <v>0</v>
      </c>
      <c r="R136" s="375">
        <v>0</v>
      </c>
      <c r="S136" s="375">
        <v>0</v>
      </c>
      <c r="T136" s="375">
        <v>0</v>
      </c>
      <c r="U136" s="375">
        <v>0</v>
      </c>
      <c r="V136" s="375">
        <v>0</v>
      </c>
      <c r="W136" s="375">
        <v>0</v>
      </c>
      <c r="X136" s="375">
        <v>0</v>
      </c>
      <c r="Y136" s="375">
        <v>0</v>
      </c>
    </row>
    <row r="137" spans="3:27" x14ac:dyDescent="0.25">
      <c r="E137" s="82"/>
      <c r="F137" s="295" t="s">
        <v>313</v>
      </c>
      <c r="G137" s="295" t="s">
        <v>132</v>
      </c>
      <c r="J137" s="375">
        <v>0</v>
      </c>
      <c r="K137" s="375">
        <v>0</v>
      </c>
      <c r="L137" s="375">
        <v>0</v>
      </c>
      <c r="M137" s="375">
        <v>0</v>
      </c>
      <c r="N137" s="375">
        <v>1</v>
      </c>
      <c r="O137" s="375">
        <v>1</v>
      </c>
      <c r="P137" s="375">
        <v>1</v>
      </c>
      <c r="Q137" s="375">
        <v>0</v>
      </c>
      <c r="R137" s="375">
        <v>0</v>
      </c>
      <c r="S137" s="375">
        <v>0</v>
      </c>
      <c r="T137" s="375">
        <v>0</v>
      </c>
      <c r="U137" s="375">
        <v>0</v>
      </c>
      <c r="V137" s="375">
        <v>0</v>
      </c>
      <c r="W137" s="375">
        <v>0</v>
      </c>
      <c r="X137" s="375">
        <v>0</v>
      </c>
      <c r="Y137" s="375">
        <v>0</v>
      </c>
    </row>
    <row r="138" spans="3:27" x14ac:dyDescent="0.25">
      <c r="E138" s="82"/>
      <c r="F138" s="295" t="s">
        <v>377</v>
      </c>
      <c r="G138" s="295" t="s">
        <v>132</v>
      </c>
      <c r="J138" s="375">
        <v>0</v>
      </c>
      <c r="K138" s="375">
        <v>0</v>
      </c>
      <c r="L138" s="375">
        <v>0</v>
      </c>
      <c r="M138" s="375">
        <v>0</v>
      </c>
      <c r="N138" s="375">
        <v>1</v>
      </c>
      <c r="O138" s="375">
        <v>1</v>
      </c>
      <c r="P138" s="375">
        <v>1</v>
      </c>
      <c r="Q138" s="375">
        <v>0</v>
      </c>
      <c r="R138" s="375">
        <v>0</v>
      </c>
      <c r="S138" s="375">
        <v>0</v>
      </c>
      <c r="T138" s="375">
        <v>1</v>
      </c>
      <c r="U138" s="375">
        <v>0</v>
      </c>
      <c r="V138" s="375">
        <v>1</v>
      </c>
      <c r="W138" s="375">
        <v>0</v>
      </c>
      <c r="X138" s="375">
        <v>1</v>
      </c>
      <c r="Y138" s="375">
        <v>0</v>
      </c>
    </row>
    <row r="139" spans="3:27" x14ac:dyDescent="0.25">
      <c r="E139" s="82"/>
      <c r="F139" s="295" t="s">
        <v>381</v>
      </c>
      <c r="G139" s="295" t="s">
        <v>132</v>
      </c>
      <c r="J139" s="375">
        <v>1</v>
      </c>
      <c r="K139" s="375">
        <v>0</v>
      </c>
      <c r="L139" s="375">
        <v>1</v>
      </c>
      <c r="M139" s="375">
        <v>0</v>
      </c>
      <c r="N139" s="375">
        <v>0</v>
      </c>
      <c r="O139" s="375">
        <v>0</v>
      </c>
      <c r="P139" s="375">
        <v>0</v>
      </c>
      <c r="Q139" s="375">
        <v>0</v>
      </c>
      <c r="R139" s="375">
        <v>0</v>
      </c>
      <c r="S139" s="375">
        <v>0</v>
      </c>
      <c r="T139" s="375">
        <v>0</v>
      </c>
      <c r="U139" s="375">
        <v>0</v>
      </c>
      <c r="V139" s="375">
        <v>0</v>
      </c>
      <c r="W139" s="375">
        <v>0</v>
      </c>
      <c r="X139" s="375">
        <v>0</v>
      </c>
      <c r="Y139" s="375">
        <v>0</v>
      </c>
    </row>
    <row r="140" spans="3:27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27" x14ac:dyDescent="0.2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3" spans="3:27" x14ac:dyDescent="0.25">
      <c r="E143" s="96" t="s">
        <v>382</v>
      </c>
      <c r="F143" s="96"/>
    </row>
    <row r="144" spans="3:27" x14ac:dyDescent="0.25">
      <c r="E144" s="82" t="s">
        <v>757</v>
      </c>
      <c r="F144" s="82"/>
      <c r="I144" s="295" t="s">
        <v>431</v>
      </c>
      <c r="AA144" s="295" t="s">
        <v>1165</v>
      </c>
    </row>
    <row r="145" spans="3:44" x14ac:dyDescent="0.25">
      <c r="E145" s="82"/>
      <c r="F145" s="14" t="s">
        <v>382</v>
      </c>
      <c r="G145" s="295" t="s">
        <v>527</v>
      </c>
      <c r="J145" s="340">
        <v>1</v>
      </c>
      <c r="K145" s="374"/>
      <c r="L145" s="340">
        <v>1</v>
      </c>
      <c r="M145" s="374"/>
      <c r="N145" s="374"/>
      <c r="O145" s="374"/>
      <c r="P145" s="374"/>
      <c r="Q145" s="374"/>
      <c r="R145" s="374"/>
      <c r="S145" s="374"/>
      <c r="T145" s="374"/>
      <c r="U145" s="374"/>
      <c r="V145" s="374"/>
      <c r="W145" s="374"/>
      <c r="X145" s="374"/>
      <c r="Y145" s="374"/>
    </row>
    <row r="146" spans="3:44" x14ac:dyDescent="0.25">
      <c r="E146" s="82"/>
      <c r="F146" s="82"/>
    </row>
    <row r="147" spans="3:44" x14ac:dyDescent="0.25">
      <c r="E147" s="96" t="s">
        <v>1054</v>
      </c>
      <c r="F147" s="96"/>
      <c r="I147" s="295" t="s">
        <v>431</v>
      </c>
      <c r="AA147" s="295" t="s">
        <v>1055</v>
      </c>
    </row>
    <row r="148" spans="3:44" x14ac:dyDescent="0.25">
      <c r="E148" s="82" t="s">
        <v>1056</v>
      </c>
      <c r="F148" s="82"/>
    </row>
    <row r="149" spans="3:44" x14ac:dyDescent="0.25">
      <c r="E149" s="82"/>
      <c r="F149" s="14" t="s">
        <v>1057</v>
      </c>
      <c r="G149" s="295" t="s">
        <v>527</v>
      </c>
      <c r="J149" s="340">
        <v>1</v>
      </c>
      <c r="K149" s="340">
        <v>1</v>
      </c>
      <c r="L149" s="340">
        <v>2</v>
      </c>
      <c r="M149" s="340">
        <v>2</v>
      </c>
      <c r="N149" s="374"/>
      <c r="O149" s="374"/>
      <c r="P149" s="374"/>
      <c r="Q149" s="374"/>
      <c r="R149" s="374"/>
      <c r="S149" s="374"/>
      <c r="T149" s="374"/>
      <c r="U149" s="374"/>
      <c r="V149" s="374"/>
      <c r="W149" s="374"/>
      <c r="X149" s="374"/>
      <c r="Y149" s="374"/>
    </row>
    <row r="150" spans="3:44" x14ac:dyDescent="0.25">
      <c r="E150" s="82"/>
      <c r="F150" s="82"/>
    </row>
    <row r="151" spans="3:44" x14ac:dyDescent="0.2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3" spans="3:44" x14ac:dyDescent="0.25">
      <c r="E153" s="295" t="s">
        <v>641</v>
      </c>
      <c r="G153" s="295" t="s">
        <v>527</v>
      </c>
      <c r="H153" s="340">
        <v>5</v>
      </c>
    </row>
    <row r="155" spans="3:44" x14ac:dyDescent="0.2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25">
      <c r="C157" s="86"/>
      <c r="D157" s="98"/>
      <c r="E157" s="96" t="s">
        <v>1135</v>
      </c>
      <c r="I157" s="295" t="s">
        <v>431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  <c r="Z157" s="253"/>
      <c r="AA157" s="253" t="s">
        <v>1159</v>
      </c>
      <c r="AB157" s="253"/>
      <c r="AC157" s="253"/>
      <c r="AD157" s="253"/>
      <c r="AE157" s="253"/>
      <c r="AF157" s="253"/>
      <c r="AG157" s="253"/>
      <c r="AH157" s="253"/>
      <c r="AI157" s="253"/>
      <c r="AJ157" s="253"/>
      <c r="AK157" s="253"/>
      <c r="AL157" s="253"/>
      <c r="AM157" s="253"/>
      <c r="AN157" s="253"/>
      <c r="AO157" s="253"/>
      <c r="AP157" s="253"/>
    </row>
    <row r="158" spans="3:44" x14ac:dyDescent="0.25">
      <c r="C158" s="86"/>
      <c r="D158" s="98"/>
      <c r="F158" s="91" t="s">
        <v>1121</v>
      </c>
      <c r="G158" s="91" t="s">
        <v>132</v>
      </c>
      <c r="H158" s="91"/>
      <c r="I158" s="91"/>
      <c r="J158" s="466">
        <v>1</v>
      </c>
      <c r="K158" s="466">
        <v>0</v>
      </c>
      <c r="L158" s="466">
        <v>0</v>
      </c>
      <c r="M158" s="466">
        <v>0</v>
      </c>
      <c r="N158" s="466">
        <v>0</v>
      </c>
      <c r="O158" s="466">
        <v>0</v>
      </c>
      <c r="P158" s="466">
        <v>0</v>
      </c>
      <c r="Q158" s="466">
        <v>0</v>
      </c>
      <c r="R158" s="466">
        <v>0</v>
      </c>
      <c r="S158" s="466">
        <v>0</v>
      </c>
      <c r="T158" s="466">
        <v>0</v>
      </c>
      <c r="U158" s="466">
        <v>0</v>
      </c>
      <c r="V158" s="466">
        <v>0</v>
      </c>
      <c r="W158" s="466">
        <v>0</v>
      </c>
      <c r="X158" s="466">
        <v>0</v>
      </c>
      <c r="Y158" s="466">
        <v>0</v>
      </c>
      <c r="Z158" s="253"/>
      <c r="AA158" s="253"/>
      <c r="AB158" s="253"/>
      <c r="AC158" s="253"/>
      <c r="AD158" s="253"/>
      <c r="AE158" s="253"/>
      <c r="AF158" s="253"/>
      <c r="AG158" s="253"/>
      <c r="AH158" s="253"/>
      <c r="AI158" s="253"/>
      <c r="AJ158" s="253"/>
      <c r="AK158" s="253"/>
      <c r="AL158" s="253"/>
      <c r="AM158" s="253"/>
      <c r="AN158" s="253"/>
      <c r="AO158" s="253"/>
      <c r="AP158" s="253"/>
    </row>
    <row r="159" spans="3:44" x14ac:dyDescent="0.25">
      <c r="C159" s="86"/>
      <c r="D159" s="98"/>
      <c r="F159" s="93" t="s">
        <v>1122</v>
      </c>
      <c r="G159" s="93" t="s">
        <v>132</v>
      </c>
      <c r="H159" s="93"/>
      <c r="I159" s="93"/>
      <c r="J159" s="467">
        <v>1</v>
      </c>
      <c r="K159" s="467">
        <v>0</v>
      </c>
      <c r="L159" s="467">
        <v>1</v>
      </c>
      <c r="M159" s="467">
        <v>0</v>
      </c>
      <c r="N159" s="467">
        <v>1</v>
      </c>
      <c r="O159" s="467">
        <v>1</v>
      </c>
      <c r="P159" s="467">
        <v>1</v>
      </c>
      <c r="Q159" s="467">
        <v>0</v>
      </c>
      <c r="R159" s="467">
        <v>0</v>
      </c>
      <c r="S159" s="467">
        <v>0</v>
      </c>
      <c r="T159" s="467">
        <v>0</v>
      </c>
      <c r="U159" s="467">
        <v>0</v>
      </c>
      <c r="V159" s="467">
        <v>0</v>
      </c>
      <c r="W159" s="467">
        <v>0</v>
      </c>
      <c r="X159" s="467">
        <v>0</v>
      </c>
      <c r="Y159" s="467">
        <v>0</v>
      </c>
      <c r="Z159" s="253"/>
      <c r="AA159" s="253"/>
      <c r="AB159" s="253"/>
      <c r="AC159" s="253"/>
      <c r="AD159" s="253"/>
      <c r="AE159" s="253"/>
      <c r="AF159" s="253"/>
      <c r="AG159" s="253"/>
      <c r="AH159" s="253"/>
      <c r="AI159" s="253"/>
      <c r="AJ159" s="253"/>
      <c r="AK159" s="253"/>
      <c r="AL159" s="253"/>
      <c r="AM159" s="253"/>
      <c r="AN159" s="253"/>
      <c r="AO159" s="253"/>
      <c r="AP159" s="253"/>
    </row>
    <row r="160" spans="3:44" x14ac:dyDescent="0.25">
      <c r="C160" s="86"/>
      <c r="D160" s="98"/>
      <c r="AB160" s="253"/>
      <c r="AC160" s="253"/>
      <c r="AD160" s="253"/>
      <c r="AE160" s="253"/>
      <c r="AF160" s="253"/>
      <c r="AG160" s="253"/>
      <c r="AH160" s="253"/>
      <c r="AI160" s="253"/>
      <c r="AJ160" s="253"/>
      <c r="AK160" s="253"/>
      <c r="AL160" s="253"/>
      <c r="AM160" s="253"/>
      <c r="AN160" s="253"/>
      <c r="AO160" s="253"/>
      <c r="AP160" s="253"/>
    </row>
    <row r="161" spans="2:27" x14ac:dyDescent="0.25">
      <c r="B161" s="95" t="s">
        <v>109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2:27" x14ac:dyDescent="0.25">
      <c r="F162" s="88"/>
      <c r="G162" s="88"/>
      <c r="H162" s="88"/>
      <c r="I162" s="88"/>
    </row>
    <row r="163" spans="2:27" x14ac:dyDescent="0.25">
      <c r="E163" s="295" t="s">
        <v>516</v>
      </c>
      <c r="G163" s="122" t="s">
        <v>692</v>
      </c>
      <c r="H163" s="377">
        <f t="array" ref="H163">SUM(IF(ISERROR(H15:Y146), 1))</f>
        <v>0</v>
      </c>
      <c r="I163" s="88"/>
    </row>
    <row r="164" spans="2:27" x14ac:dyDescent="0.25">
      <c r="I164" s="88"/>
    </row>
    <row r="165" spans="2:27" x14ac:dyDescent="0.25">
      <c r="E165" s="96" t="s">
        <v>650</v>
      </c>
      <c r="I165" s="88"/>
    </row>
    <row r="166" spans="2:27" x14ac:dyDescent="0.25">
      <c r="F166" s="91" t="s">
        <v>651</v>
      </c>
      <c r="G166" s="58" t="s">
        <v>692</v>
      </c>
      <c r="H166" s="177">
        <f>SUM(J166:Y166)</f>
        <v>0</v>
      </c>
      <c r="I166" s="94"/>
      <c r="J166" s="177">
        <f t="shared" ref="J166:Y166" si="0">IF( OR( AND(J105 = TRUE, NOT(ISBLANK(J106))), AND(J105 = FALSE, J106 = 0)), 0, 1)</f>
        <v>0</v>
      </c>
      <c r="K166" s="177">
        <f t="shared" si="0"/>
        <v>0</v>
      </c>
      <c r="L166" s="177">
        <f t="shared" si="0"/>
        <v>0</v>
      </c>
      <c r="M166" s="177">
        <f t="shared" si="0"/>
        <v>0</v>
      </c>
      <c r="N166" s="177">
        <f t="shared" si="0"/>
        <v>0</v>
      </c>
      <c r="O166" s="177">
        <f t="shared" si="0"/>
        <v>0</v>
      </c>
      <c r="P166" s="177">
        <f t="shared" si="0"/>
        <v>0</v>
      </c>
      <c r="Q166" s="177">
        <f t="shared" si="0"/>
        <v>0</v>
      </c>
      <c r="R166" s="177">
        <f t="shared" si="0"/>
        <v>0</v>
      </c>
      <c r="S166" s="177">
        <f t="shared" si="0"/>
        <v>0</v>
      </c>
      <c r="T166" s="177">
        <f t="shared" si="0"/>
        <v>0</v>
      </c>
      <c r="U166" s="177">
        <f t="shared" si="0"/>
        <v>0</v>
      </c>
      <c r="V166" s="177">
        <f t="shared" si="0"/>
        <v>0</v>
      </c>
      <c r="W166" s="177">
        <f t="shared" si="0"/>
        <v>0</v>
      </c>
      <c r="X166" s="177">
        <f t="shared" si="0"/>
        <v>0</v>
      </c>
      <c r="Y166" s="177">
        <f t="shared" si="0"/>
        <v>0</v>
      </c>
    </row>
    <row r="167" spans="2:27" x14ac:dyDescent="0.25">
      <c r="F167" s="295" t="s">
        <v>652</v>
      </c>
      <c r="G167" s="122" t="s">
        <v>692</v>
      </c>
      <c r="H167" s="377">
        <f>SUM(J167:Y167)</f>
        <v>0</v>
      </c>
      <c r="I167" s="88"/>
      <c r="J167" s="377">
        <f t="shared" ref="J167:Y167" si="1">IF( OR( AND(J109 = TRUE, NOT(ISBLANK(J110))), AND(J109 = FALSE, J110 = 0)), 0, 1)</f>
        <v>0</v>
      </c>
      <c r="K167" s="377">
        <f t="shared" si="1"/>
        <v>0</v>
      </c>
      <c r="L167" s="377">
        <f t="shared" si="1"/>
        <v>0</v>
      </c>
      <c r="M167" s="377">
        <f t="shared" si="1"/>
        <v>0</v>
      </c>
      <c r="N167" s="377">
        <f t="shared" si="1"/>
        <v>0</v>
      </c>
      <c r="O167" s="377">
        <f t="shared" si="1"/>
        <v>0</v>
      </c>
      <c r="P167" s="377">
        <f t="shared" si="1"/>
        <v>0</v>
      </c>
      <c r="Q167" s="377">
        <f t="shared" si="1"/>
        <v>0</v>
      </c>
      <c r="R167" s="377">
        <f t="shared" si="1"/>
        <v>0</v>
      </c>
      <c r="S167" s="377">
        <f t="shared" si="1"/>
        <v>0</v>
      </c>
      <c r="T167" s="377">
        <f t="shared" si="1"/>
        <v>0</v>
      </c>
      <c r="U167" s="377">
        <f t="shared" si="1"/>
        <v>0</v>
      </c>
      <c r="V167" s="377">
        <f t="shared" si="1"/>
        <v>0</v>
      </c>
      <c r="W167" s="377">
        <f t="shared" si="1"/>
        <v>0</v>
      </c>
      <c r="X167" s="377">
        <f t="shared" si="1"/>
        <v>0</v>
      </c>
      <c r="Y167" s="377">
        <f t="shared" si="1"/>
        <v>0</v>
      </c>
    </row>
    <row r="168" spans="2:27" x14ac:dyDescent="0.25">
      <c r="F168" s="295" t="s">
        <v>653</v>
      </c>
      <c r="G168" s="122" t="s">
        <v>692</v>
      </c>
      <c r="H168" s="377">
        <f>SUM(J168:Y168)</f>
        <v>0</v>
      </c>
      <c r="I168" s="88"/>
      <c r="J168" s="377">
        <f t="shared" ref="J168:Y168" si="2">IF( OR( AND(J113 = TRUE, NOT(ISBLANK(J114))), AND(J113 = FALSE, J114 = 0)), 0, 1)</f>
        <v>0</v>
      </c>
      <c r="K168" s="377">
        <f t="shared" si="2"/>
        <v>0</v>
      </c>
      <c r="L168" s="377">
        <f t="shared" si="2"/>
        <v>0</v>
      </c>
      <c r="M168" s="377">
        <f t="shared" si="2"/>
        <v>0</v>
      </c>
      <c r="N168" s="377">
        <f t="shared" si="2"/>
        <v>0</v>
      </c>
      <c r="O168" s="377">
        <f t="shared" si="2"/>
        <v>0</v>
      </c>
      <c r="P168" s="377">
        <f t="shared" si="2"/>
        <v>0</v>
      </c>
      <c r="Q168" s="377">
        <f t="shared" si="2"/>
        <v>0</v>
      </c>
      <c r="R168" s="377">
        <f t="shared" si="2"/>
        <v>0</v>
      </c>
      <c r="S168" s="377">
        <f t="shared" si="2"/>
        <v>0</v>
      </c>
      <c r="T168" s="377">
        <f t="shared" si="2"/>
        <v>0</v>
      </c>
      <c r="U168" s="377">
        <f t="shared" si="2"/>
        <v>0</v>
      </c>
      <c r="V168" s="377">
        <f t="shared" si="2"/>
        <v>0</v>
      </c>
      <c r="W168" s="377">
        <f t="shared" si="2"/>
        <v>0</v>
      </c>
      <c r="X168" s="377">
        <f t="shared" si="2"/>
        <v>0</v>
      </c>
      <c r="Y168" s="377">
        <f t="shared" si="2"/>
        <v>0</v>
      </c>
    </row>
    <row r="169" spans="2:27" x14ac:dyDescent="0.25">
      <c r="F169" s="295" t="s">
        <v>654</v>
      </c>
      <c r="G169" s="122" t="s">
        <v>692</v>
      </c>
      <c r="H169" s="377">
        <f>SUM(J169:Y169)</f>
        <v>0</v>
      </c>
      <c r="I169" s="88"/>
      <c r="J169" s="377">
        <f t="shared" ref="J169:Y169" si="3">IF( OR( AND(J117 = TRUE, NOT(ISBLANK(J118))), AND(J117 = FALSE, J118 = 0)), 0, 1)</f>
        <v>0</v>
      </c>
      <c r="K169" s="377">
        <f t="shared" si="3"/>
        <v>0</v>
      </c>
      <c r="L169" s="377">
        <f t="shared" si="3"/>
        <v>0</v>
      </c>
      <c r="M169" s="377">
        <f t="shared" si="3"/>
        <v>0</v>
      </c>
      <c r="N169" s="377">
        <f t="shared" si="3"/>
        <v>0</v>
      </c>
      <c r="O169" s="377">
        <f t="shared" si="3"/>
        <v>0</v>
      </c>
      <c r="P169" s="377">
        <f t="shared" si="3"/>
        <v>0</v>
      </c>
      <c r="Q169" s="377">
        <f t="shared" si="3"/>
        <v>0</v>
      </c>
      <c r="R169" s="377">
        <f t="shared" si="3"/>
        <v>0</v>
      </c>
      <c r="S169" s="377">
        <f t="shared" si="3"/>
        <v>0</v>
      </c>
      <c r="T169" s="377">
        <f t="shared" si="3"/>
        <v>0</v>
      </c>
      <c r="U169" s="377">
        <f t="shared" si="3"/>
        <v>0</v>
      </c>
      <c r="V169" s="377">
        <f t="shared" si="3"/>
        <v>0</v>
      </c>
      <c r="W169" s="377">
        <f t="shared" si="3"/>
        <v>0</v>
      </c>
      <c r="X169" s="377">
        <f t="shared" si="3"/>
        <v>0</v>
      </c>
      <c r="Y169" s="377">
        <f t="shared" si="3"/>
        <v>0</v>
      </c>
    </row>
    <row r="170" spans="2:27" x14ac:dyDescent="0.25">
      <c r="F170" s="93" t="s">
        <v>655</v>
      </c>
      <c r="G170" s="61" t="s">
        <v>692</v>
      </c>
      <c r="H170" s="179">
        <f>SUM(J170:Y170)</f>
        <v>0</v>
      </c>
      <c r="I170" s="97"/>
      <c r="J170" s="179">
        <f t="shared" ref="J170:Y170" si="4">IF( OR( AND(J121 = TRUE, NOT(ISBLANK(J122))), AND(J121 = FALSE, J122 = 0)), 0, 1)</f>
        <v>0</v>
      </c>
      <c r="K170" s="179">
        <f t="shared" si="4"/>
        <v>0</v>
      </c>
      <c r="L170" s="179">
        <f t="shared" si="4"/>
        <v>0</v>
      </c>
      <c r="M170" s="179">
        <f t="shared" si="4"/>
        <v>0</v>
      </c>
      <c r="N170" s="179">
        <f t="shared" si="4"/>
        <v>0</v>
      </c>
      <c r="O170" s="179">
        <f t="shared" si="4"/>
        <v>0</v>
      </c>
      <c r="P170" s="179">
        <f t="shared" si="4"/>
        <v>0</v>
      </c>
      <c r="Q170" s="179">
        <f t="shared" si="4"/>
        <v>0</v>
      </c>
      <c r="R170" s="179">
        <f t="shared" si="4"/>
        <v>0</v>
      </c>
      <c r="S170" s="179">
        <f t="shared" si="4"/>
        <v>0</v>
      </c>
      <c r="T170" s="179">
        <f t="shared" si="4"/>
        <v>0</v>
      </c>
      <c r="U170" s="179">
        <f t="shared" si="4"/>
        <v>0</v>
      </c>
      <c r="V170" s="179">
        <f t="shared" si="4"/>
        <v>0</v>
      </c>
      <c r="W170" s="179">
        <f t="shared" si="4"/>
        <v>0</v>
      </c>
      <c r="X170" s="179">
        <f t="shared" si="4"/>
        <v>0</v>
      </c>
      <c r="Y170" s="179">
        <f t="shared" si="4"/>
        <v>0</v>
      </c>
    </row>
    <row r="171" spans="2:27" x14ac:dyDescent="0.25">
      <c r="F171" s="88"/>
      <c r="G171" s="88"/>
      <c r="H171" s="88"/>
      <c r="I171" s="88"/>
    </row>
    <row r="172" spans="2:27" x14ac:dyDescent="0.25">
      <c r="E172" s="295" t="s">
        <v>446</v>
      </c>
      <c r="G172" s="122" t="s">
        <v>692</v>
      </c>
      <c r="H172" s="152">
        <f>H163 + SUM(H166:H170)</f>
        <v>0</v>
      </c>
      <c r="I172" s="88"/>
    </row>
    <row r="173" spans="2:27" x14ac:dyDescent="0.25">
      <c r="I173" s="88"/>
    </row>
    <row r="174" spans="2:27" x14ac:dyDescent="0.25">
      <c r="B174" s="95" t="s">
        <v>110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2:27" x14ac:dyDescent="0.25">
      <c r="F175" s="88"/>
      <c r="G175" s="88"/>
      <c r="H175" s="88"/>
      <c r="I175" s="88"/>
    </row>
    <row r="176" spans="2:27" x14ac:dyDescent="0.25">
      <c r="F176" s="88"/>
      <c r="G176" s="88"/>
      <c r="H176" s="88"/>
      <c r="I176" s="88"/>
    </row>
  </sheetData>
  <sheetProtection sheet="1" objects="1" formatCells="0" formatColumns="0" formatRows="0" sort="0" autoFilter="0"/>
  <conditionalFormatting sqref="H163">
    <cfRule type="cellIs" dxfId="225" priority="20" operator="greaterThan">
      <formula>0</formula>
    </cfRule>
  </conditionalFormatting>
  <conditionalFormatting sqref="H166:H170">
    <cfRule type="cellIs" dxfId="224" priority="19" operator="greaterThan">
      <formula>0</formula>
    </cfRule>
  </conditionalFormatting>
  <conditionalFormatting sqref="H172">
    <cfRule type="cellIs" dxfId="223" priority="18" operator="greaterThan">
      <formula>0</formula>
    </cfRule>
  </conditionalFormatting>
  <conditionalFormatting sqref="A4:I4 Z4:XFD4">
    <cfRule type="expression" dxfId="222" priority="17">
      <formula>LEFT($A$4,1) &lt;&gt; "0"</formula>
    </cfRule>
  </conditionalFormatting>
  <conditionalFormatting sqref="N166:P170">
    <cfRule type="cellIs" dxfId="221" priority="16" operator="greaterThan">
      <formula>0</formula>
    </cfRule>
  </conditionalFormatting>
  <conditionalFormatting sqref="N4:P4">
    <cfRule type="expression" dxfId="220" priority="15">
      <formula>LEFT($A$4,1) &lt;&gt; "0"</formula>
    </cfRule>
  </conditionalFormatting>
  <conditionalFormatting sqref="L166:M170">
    <cfRule type="cellIs" dxfId="219" priority="14" operator="greaterThan">
      <formula>0</formula>
    </cfRule>
  </conditionalFormatting>
  <conditionalFormatting sqref="L4:M4">
    <cfRule type="expression" dxfId="218" priority="13">
      <formula>LEFT($A$4,1) &lt;&gt; "0"</formula>
    </cfRule>
  </conditionalFormatting>
  <conditionalFormatting sqref="J166:K170">
    <cfRule type="cellIs" dxfId="217" priority="12" operator="greaterThan">
      <formula>0</formula>
    </cfRule>
  </conditionalFormatting>
  <conditionalFormatting sqref="J4:K4">
    <cfRule type="expression" dxfId="216" priority="11">
      <formula>LEFT($A$4,1) &lt;&gt; "0"</formula>
    </cfRule>
  </conditionalFormatting>
  <conditionalFormatting sqref="Q166:Q170">
    <cfRule type="cellIs" dxfId="215" priority="10" operator="greaterThan">
      <formula>0</formula>
    </cfRule>
  </conditionalFormatting>
  <conditionalFormatting sqref="Q4">
    <cfRule type="expression" dxfId="214" priority="9">
      <formula>LEFT($A$4,1) &lt;&gt; "0"</formula>
    </cfRule>
  </conditionalFormatting>
  <conditionalFormatting sqref="R166:S170">
    <cfRule type="cellIs" dxfId="213" priority="8" operator="greaterThan">
      <formula>0</formula>
    </cfRule>
  </conditionalFormatting>
  <conditionalFormatting sqref="R4:S4">
    <cfRule type="expression" dxfId="212" priority="7">
      <formula>LEFT($A$4,1) &lt;&gt; "0"</formula>
    </cfRule>
  </conditionalFormatting>
  <conditionalFormatting sqref="T166:U170">
    <cfRule type="cellIs" dxfId="211" priority="6" operator="greaterThan">
      <formula>0</formula>
    </cfRule>
  </conditionalFormatting>
  <conditionalFormatting sqref="T4:U4">
    <cfRule type="expression" dxfId="210" priority="5">
      <formula>LEFT($A$4,1) &lt;&gt; "0"</formula>
    </cfRule>
  </conditionalFormatting>
  <conditionalFormatting sqref="V166:W170">
    <cfRule type="cellIs" dxfId="209" priority="4" operator="greaterThan">
      <formula>0</formula>
    </cfRule>
  </conditionalFormatting>
  <conditionalFormatting sqref="V4:W4">
    <cfRule type="expression" dxfId="208" priority="3">
      <formula>LEFT($A$4,1) &lt;&gt; "0"</formula>
    </cfRule>
  </conditionalFormatting>
  <conditionalFormatting sqref="X166:Y170">
    <cfRule type="cellIs" dxfId="207" priority="2" operator="greaterThan">
      <formula>0</formula>
    </cfRule>
  </conditionalFormatting>
  <conditionalFormatting sqref="X4:Y4">
    <cfRule type="expression" dxfId="206" priority="1">
      <formula>LEFT($A$4,1) &lt;&gt; "0"</formula>
    </cfRule>
  </conditionalFormatting>
  <dataValidations count="10">
    <dataValidation type="list" allowBlank="1" showInputMessage="1" showErrorMessage="1" sqref="J131:Y131 J105:Y105 J109:Y109 J113:Y113 J117:Y117 J121:Y121 J127:Y127" xr:uid="{00000000-0002-0000-0D00-000000000000}">
      <formula1>"TRUE, FALSE"</formula1>
    </dataValidation>
    <dataValidation type="whole" allowBlank="1" showInputMessage="1" showErrorMessage="1" sqref="J73:Y82 J60:Y69" xr:uid="{00000000-0002-0000-0D00-000001000000}">
      <formula1>-1</formula1>
      <formula2>1</formula2>
    </dataValidation>
    <dataValidation type="whole" allowBlank="1" showInputMessage="1" showErrorMessage="1" sqref="J53:Y56 J46:Y49" xr:uid="{00000000-0002-0000-0D00-000002000000}">
      <formula1>0</formula1>
      <formula2>1</formula2>
    </dataValidation>
    <dataValidation type="whole" allowBlank="1" showInputMessage="1" showErrorMessage="1" sqref="H15:H18" xr:uid="{00000000-0002-0000-0D00-000003000000}">
      <formula1>0</formula1>
      <formula2>9999</formula2>
    </dataValidation>
    <dataValidation type="decimal" allowBlank="1" showInputMessage="1" showErrorMessage="1" sqref="H41" xr:uid="{00000000-0002-0000-0D00-000004000000}">
      <formula1>0.001</formula1>
      <formula2>999999.999</formula2>
    </dataValidation>
    <dataValidation type="decimal" allowBlank="1" showInputMessage="1" showErrorMessage="1" sqref="H37" xr:uid="{00000000-0002-0000-0D00-000005000000}">
      <formula1>0.001</formula1>
      <formula2>1</formula2>
    </dataValidation>
    <dataValidation type="decimal" allowBlank="1" showInputMessage="1" showErrorMessage="1" sqref="H35" xr:uid="{00000000-0002-0000-0D00-000006000000}">
      <formula1>0</formula1>
      <formula2>999999</formula2>
    </dataValidation>
    <dataValidation type="whole" allowBlank="1" showInputMessage="1" showErrorMessage="1" sqref="L145 J145 J149:M149" xr:uid="{00000000-0002-0000-0D00-000007000000}">
      <formula1>0</formula1>
      <formula2>33</formula2>
    </dataValidation>
    <dataValidation type="decimal" allowBlank="1" showInputMessage="1" showErrorMessage="1" sqref="H39 K145 M145:Y145 J88:Y97 J106:Y106 J110:Y110 J114:Y114 J118:Y118 J122:Y122 N149:Y149" xr:uid="{00000000-0002-0000-0D00-000008000000}">
      <formula1>0</formula1>
      <formula2>1</formula2>
    </dataValidation>
    <dataValidation type="whole" allowBlank="1" showInputMessage="1" showErrorMessage="1" sqref="H25:H31" xr:uid="{00000000-0002-0000-0D00-000009000000}">
      <formula1>0</formula1>
      <formula2>3</formula2>
    </dataValidation>
  </dataValidations>
  <hyperlinks>
    <hyperlink ref="B5:F5" location="'Model map'!A1" display="Click here to return to model map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8">
    <tabColor theme="4" tint="0.59999389629810485"/>
    <pageSetUpPr fitToPage="1"/>
  </sheetPr>
  <dimension ref="A1:KH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4" width="20.5703125" style="295" hidden="1" customWidth="1"/>
    <col min="295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Inputs by customer type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H65 &amp; IF(H65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372" t="s">
        <v>91</v>
      </c>
      <c r="H5" s="387" t="s">
        <v>92</v>
      </c>
      <c r="I5" s="111"/>
      <c r="J5" s="387" t="s">
        <v>1038</v>
      </c>
      <c r="K5" s="387" t="s">
        <v>1039</v>
      </c>
      <c r="L5" s="387" t="s">
        <v>1040</v>
      </c>
      <c r="M5" s="387" t="s">
        <v>1041</v>
      </c>
      <c r="N5" s="387" t="s">
        <v>1042</v>
      </c>
      <c r="O5" s="387" t="s">
        <v>1043</v>
      </c>
      <c r="P5" s="387" t="s">
        <v>1044</v>
      </c>
      <c r="Q5" s="387" t="s">
        <v>1045</v>
      </c>
      <c r="R5" s="387" t="s">
        <v>1046</v>
      </c>
      <c r="S5" s="387" t="s">
        <v>1047</v>
      </c>
      <c r="T5" s="387" t="s">
        <v>1048</v>
      </c>
      <c r="U5" s="387" t="s">
        <v>1049</v>
      </c>
      <c r="V5" s="387" t="s">
        <v>1050</v>
      </c>
      <c r="W5" s="387" t="s">
        <v>1051</v>
      </c>
      <c r="X5" s="387" t="s">
        <v>1052</v>
      </c>
      <c r="Y5" s="387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895</v>
      </c>
    </row>
    <row r="10" spans="1:27" x14ac:dyDescent="0.25">
      <c r="C10" s="82"/>
    </row>
    <row r="11" spans="1:27" x14ac:dyDescent="0.25">
      <c r="C11" s="82"/>
      <c r="E11" s="295" t="s">
        <v>582</v>
      </c>
      <c r="G11" s="295" t="s">
        <v>583</v>
      </c>
      <c r="H11" s="401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5" t="str">
        <f>'ARP_User control'!$H$36</f>
        <v>Current</v>
      </c>
    </row>
    <row r="14" spans="1:27" x14ac:dyDescent="0.25">
      <c r="B14" s="95" t="s">
        <v>546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D15" s="14"/>
    </row>
    <row r="16" spans="1:27" x14ac:dyDescent="0.25">
      <c r="C16" s="7" t="str">
        <f ca="1">INDEX('Version control'!$H$34:$H$58,MATCH($A$1,'Version control'!$F$34:$F$58,0),1)&amp;"-A: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14" t="s">
        <v>71</v>
      </c>
      <c r="G18" s="108" t="s">
        <v>94</v>
      </c>
      <c r="I18" s="295" t="s">
        <v>431</v>
      </c>
      <c r="J18" s="143">
        <f>'ARP_Inputs by customer type'!J19</f>
        <v>0.46500000000000002</v>
      </c>
      <c r="K18" s="143">
        <f>'ARP_Inputs by customer type'!J20</f>
        <v>0.10066666666666667</v>
      </c>
      <c r="L18" s="143">
        <f>'ARP_Inputs by customer type'!J21</f>
        <v>0.44500000000000001</v>
      </c>
      <c r="M18" s="143">
        <f>'ARP_Inputs by customer type'!J22</f>
        <v>0.16600000000000001</v>
      </c>
      <c r="N18" s="143">
        <f>'ARP_Inputs by customer type'!J23</f>
        <v>0.56933333333333336</v>
      </c>
      <c r="O18" s="143">
        <f>'ARP_Inputs by customer type'!J24</f>
        <v>0.60566666666666669</v>
      </c>
      <c r="P18" s="143">
        <f>'ARP_Inputs by customer type'!J25</f>
        <v>0.7426666666666667</v>
      </c>
      <c r="Q18" s="143">
        <f>'ARP_Inputs by customer type'!J26</f>
        <v>0.46933333333333332</v>
      </c>
      <c r="R18" s="374"/>
      <c r="S18" s="374"/>
      <c r="T18" s="374"/>
      <c r="U18" s="374"/>
      <c r="V18" s="374"/>
      <c r="W18" s="374"/>
      <c r="X18" s="374"/>
      <c r="Y18" s="374"/>
      <c r="AA18" s="295" t="s">
        <v>858</v>
      </c>
    </row>
    <row r="19" spans="3:27" x14ac:dyDescent="0.25">
      <c r="E19" s="14" t="s">
        <v>70</v>
      </c>
      <c r="G19" s="108" t="s">
        <v>94</v>
      </c>
      <c r="I19" s="295" t="s">
        <v>431</v>
      </c>
      <c r="J19" s="143">
        <f>'ARP_Inputs by customer type'!J39</f>
        <v>0.87133333333333329</v>
      </c>
      <c r="K19" s="374"/>
      <c r="L19" s="143">
        <f>'ARP_Inputs by customer type'!J41</f>
        <v>0.71866666666666668</v>
      </c>
      <c r="M19" s="374"/>
      <c r="N19" s="143">
        <f>'ARP_Inputs by customer type'!J43</f>
        <v>0.83300000000000007</v>
      </c>
      <c r="O19" s="143">
        <f>'ARP_Inputs by customer type'!J44</f>
        <v>0.77066666666666672</v>
      </c>
      <c r="P19" s="143">
        <f>'ARP_Inputs by customer type'!J45</f>
        <v>0.84399999999999997</v>
      </c>
      <c r="Q19" s="143">
        <f>'ARP_Inputs by customer type'!J46</f>
        <v>0.84666666666666668</v>
      </c>
      <c r="R19" s="374"/>
      <c r="S19" s="374"/>
      <c r="T19" s="374"/>
      <c r="U19" s="374"/>
      <c r="V19" s="374"/>
      <c r="W19" s="374"/>
      <c r="X19" s="374"/>
      <c r="Y19" s="374"/>
      <c r="AA19" s="295" t="s">
        <v>859</v>
      </c>
    </row>
    <row r="20" spans="3:27" x14ac:dyDescent="0.25">
      <c r="G20" s="108"/>
    </row>
    <row r="21" spans="3:27" x14ac:dyDescent="0.25">
      <c r="C21" s="7" t="str">
        <f ca="1">INDEX('Version control'!$H$34:$H$58,MATCH($A$1,'Version control'!$F$34:$F$58,0),1)&amp;"-B: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3:27" x14ac:dyDescent="0.25">
      <c r="G22" s="108"/>
    </row>
    <row r="23" spans="3:27" x14ac:dyDescent="0.25">
      <c r="E23" s="96" t="s">
        <v>1010</v>
      </c>
      <c r="G23" s="108"/>
      <c r="I23" s="295" t="s">
        <v>431</v>
      </c>
      <c r="AA23" s="295" t="s">
        <v>799</v>
      </c>
    </row>
    <row r="24" spans="3:27" x14ac:dyDescent="0.25">
      <c r="E24" s="96"/>
      <c r="F24" s="40" t="s">
        <v>256</v>
      </c>
      <c r="G24" s="40" t="s">
        <v>120</v>
      </c>
      <c r="H24" s="91"/>
      <c r="I24" s="91"/>
      <c r="J24" s="273">
        <f>'ARP_Inputs by customer type'!J61</f>
        <v>565724.84769405378</v>
      </c>
      <c r="K24" s="273">
        <f>'ARP_Inputs by customer type'!J62</f>
        <v>45.600324459247773</v>
      </c>
      <c r="L24" s="273">
        <f>'ARP_Inputs by customer type'!J63</f>
        <v>148255.30521434694</v>
      </c>
      <c r="M24" s="273">
        <f>'ARP_Inputs by customer type'!J64</f>
        <v>6.8595464743105259</v>
      </c>
      <c r="N24" s="273">
        <f>'ARP_Inputs by customer type'!J65</f>
        <v>91792.359658494301</v>
      </c>
      <c r="O24" s="273">
        <f>'ARP_Inputs by customer type'!J66</f>
        <v>105860.63117892911</v>
      </c>
      <c r="P24" s="273">
        <f>'ARP_Inputs by customer type'!J67</f>
        <v>161221.11018721742</v>
      </c>
      <c r="Q24" s="273">
        <f>'ARP_Inputs by customer type'!J68</f>
        <v>7070.8623594972905</v>
      </c>
      <c r="R24" s="273">
        <f>'ARP_Inputs by customer type'!J69</f>
        <v>104.47429331694744</v>
      </c>
      <c r="S24" s="273">
        <f>'ARP_Inputs by customer type'!J70</f>
        <v>35.771932311779992</v>
      </c>
      <c r="T24" s="273">
        <f>'ARP_Inputs by customer type'!J71</f>
        <v>4876.2857099056537</v>
      </c>
      <c r="U24" s="273">
        <f>'ARP_Inputs by customer type'!J72</f>
        <v>0</v>
      </c>
      <c r="V24" s="273">
        <f>'ARP_Inputs by customer type'!J73</f>
        <v>1421.8434887434785</v>
      </c>
      <c r="W24" s="273">
        <f>'ARP_Inputs by customer type'!J74</f>
        <v>0</v>
      </c>
      <c r="X24" s="273">
        <f>'ARP_Inputs by customer type'!J75</f>
        <v>42821.256435874217</v>
      </c>
      <c r="Y24" s="273">
        <f>'ARP_Inputs by customer type'!J76</f>
        <v>0</v>
      </c>
    </row>
    <row r="25" spans="3:27" x14ac:dyDescent="0.25">
      <c r="E25" s="96"/>
      <c r="F25" s="109" t="s">
        <v>257</v>
      </c>
      <c r="G25" s="109" t="s">
        <v>120</v>
      </c>
      <c r="J25" s="274">
        <f>'ARP_Inputs by customer type'!J79</f>
        <v>2004244.7443350828</v>
      </c>
      <c r="K25" s="274">
        <f>'ARP_Inputs by customer type'!J80</f>
        <v>769.70150120030291</v>
      </c>
      <c r="L25" s="274">
        <f>'ARP_Inputs by customer type'!J81</f>
        <v>779468.22863586666</v>
      </c>
      <c r="M25" s="274">
        <f>'ARP_Inputs by customer type'!J82</f>
        <v>363.68083419264593</v>
      </c>
      <c r="N25" s="274">
        <f>'ARP_Inputs by customer type'!J83</f>
        <v>424005.57007851894</v>
      </c>
      <c r="O25" s="274">
        <f>'ARP_Inputs by customer type'!J84</f>
        <v>523823.73557284038</v>
      </c>
      <c r="P25" s="274">
        <f>'ARP_Inputs by customer type'!J85</f>
        <v>763633.0714178842</v>
      </c>
      <c r="Q25" s="274">
        <f>'ARP_Inputs by customer type'!J86</f>
        <v>51992.039513992626</v>
      </c>
      <c r="R25" s="274">
        <f>'ARP_Inputs by customer type'!J87</f>
        <v>509.89423910109542</v>
      </c>
      <c r="S25" s="274">
        <f>'ARP_Inputs by customer type'!J88</f>
        <v>160.58959252319966</v>
      </c>
      <c r="T25" s="274">
        <f>'ARP_Inputs by customer type'!J89</f>
        <v>23805.598357778857</v>
      </c>
      <c r="U25" s="274">
        <f>'ARP_Inputs by customer type'!J90</f>
        <v>0</v>
      </c>
      <c r="V25" s="274">
        <f>'ARP_Inputs by customer type'!J91</f>
        <v>6382.5471914560349</v>
      </c>
      <c r="W25" s="274">
        <f>'ARP_Inputs by customer type'!J92</f>
        <v>0</v>
      </c>
      <c r="X25" s="274">
        <f>'ARP_Inputs by customer type'!J93</f>
        <v>169444.19263568314</v>
      </c>
      <c r="Y25" s="274">
        <f>'ARP_Inputs by customer type'!J94</f>
        <v>0</v>
      </c>
    </row>
    <row r="26" spans="3:27" x14ac:dyDescent="0.25">
      <c r="E26" s="96"/>
      <c r="F26" s="109" t="s">
        <v>258</v>
      </c>
      <c r="G26" s="109" t="s">
        <v>120</v>
      </c>
      <c r="J26" s="274">
        <f>'ARP_Inputs by customer type'!J97</f>
        <v>1886875.9715677693</v>
      </c>
      <c r="K26" s="274">
        <f>'ARP_Inputs by customer type'!J98</f>
        <v>10340.203230515768</v>
      </c>
      <c r="L26" s="274">
        <f>'ARP_Inputs by customer type'!J99</f>
        <v>755406.33561361348</v>
      </c>
      <c r="M26" s="274">
        <f>'ARP_Inputs by customer type'!J100</f>
        <v>4425.6666229911798</v>
      </c>
      <c r="N26" s="274">
        <f>'ARP_Inputs by customer type'!J101</f>
        <v>422617.96593606938</v>
      </c>
      <c r="O26" s="274">
        <f>'ARP_Inputs by customer type'!J102</f>
        <v>576300.52899391274</v>
      </c>
      <c r="P26" s="274">
        <f>'ARP_Inputs by customer type'!J103</f>
        <v>948286.74499818834</v>
      </c>
      <c r="Q26" s="274">
        <f>'ARP_Inputs by customer type'!J104</f>
        <v>96017.10841937708</v>
      </c>
      <c r="R26" s="274">
        <f>'ARP_Inputs by customer type'!J105</f>
        <v>534.48350594468047</v>
      </c>
      <c r="S26" s="274">
        <f>'ARP_Inputs by customer type'!J106</f>
        <v>201.06201955341325</v>
      </c>
      <c r="T26" s="274">
        <f>'ARP_Inputs by customer type'!J107</f>
        <v>27627.12669629819</v>
      </c>
      <c r="U26" s="274">
        <f>'ARP_Inputs by customer type'!J108</f>
        <v>0</v>
      </c>
      <c r="V26" s="274">
        <f>'ARP_Inputs by customer type'!J109</f>
        <v>7999.8037931113131</v>
      </c>
      <c r="W26" s="274">
        <f>'ARP_Inputs by customer type'!J110</f>
        <v>0</v>
      </c>
      <c r="X26" s="274">
        <f>'ARP_Inputs by customer type'!J111</f>
        <v>178082.97709073228</v>
      </c>
      <c r="Y26" s="274">
        <f>'ARP_Inputs by customer type'!J112</f>
        <v>0</v>
      </c>
    </row>
    <row r="27" spans="3:27" x14ac:dyDescent="0.25">
      <c r="E27" s="96"/>
      <c r="F27" s="109" t="s">
        <v>74</v>
      </c>
      <c r="G27" s="109" t="s">
        <v>74</v>
      </c>
      <c r="J27" s="274">
        <f>'ARP_Inputs by customer type'!J115</f>
        <v>1391172</v>
      </c>
      <c r="K27" s="274">
        <f>'ARP_Inputs by customer type'!J116</f>
        <v>3359</v>
      </c>
      <c r="L27" s="274">
        <f>'ARP_Inputs by customer type'!J117</f>
        <v>97941</v>
      </c>
      <c r="M27" s="274">
        <f>'ARP_Inputs by customer type'!J118</f>
        <v>996</v>
      </c>
      <c r="N27" s="274">
        <f>'ARP_Inputs by customer type'!J119</f>
        <v>5288</v>
      </c>
      <c r="O27" s="274">
        <f>'ARP_Inputs by customer type'!J120</f>
        <v>3061</v>
      </c>
      <c r="P27" s="274">
        <f>'ARP_Inputs by customer type'!J121</f>
        <v>797</v>
      </c>
      <c r="Q27" s="274">
        <f>'ARP_Inputs by customer type'!J122</f>
        <v>582</v>
      </c>
      <c r="R27" s="274">
        <f>'ARP_Inputs by customer type'!J123</f>
        <v>156</v>
      </c>
      <c r="S27" s="274">
        <f>'ARP_Inputs by customer type'!J124</f>
        <v>24</v>
      </c>
      <c r="T27" s="274">
        <f>'ARP_Inputs by customer type'!J125</f>
        <v>313</v>
      </c>
      <c r="U27" s="274">
        <f>'ARP_Inputs by customer type'!J126</f>
        <v>0</v>
      </c>
      <c r="V27" s="274">
        <f>'ARP_Inputs by customer type'!J127</f>
        <v>41</v>
      </c>
      <c r="W27" s="274">
        <f>'ARP_Inputs by customer type'!J128</f>
        <v>0</v>
      </c>
      <c r="X27" s="274">
        <f>'ARP_Inputs by customer type'!J129</f>
        <v>133</v>
      </c>
      <c r="Y27" s="274">
        <f>'ARP_Inputs by customer type'!J130</f>
        <v>0</v>
      </c>
    </row>
    <row r="28" spans="3:27" x14ac:dyDescent="0.25">
      <c r="E28" s="96"/>
      <c r="F28" s="109" t="s">
        <v>259</v>
      </c>
      <c r="G28" s="109" t="s">
        <v>169</v>
      </c>
      <c r="J28" s="280"/>
      <c r="K28" s="280"/>
      <c r="L28" s="280"/>
      <c r="M28" s="280"/>
      <c r="N28" s="274">
        <f>'ARP_Inputs by customer type'!J137</f>
        <v>541813</v>
      </c>
      <c r="O28" s="274">
        <f>'ARP_Inputs by customer type'!J138</f>
        <v>569993</v>
      </c>
      <c r="P28" s="274">
        <f>'ARP_Inputs by customer type'!J139</f>
        <v>663160</v>
      </c>
      <c r="Q28" s="280"/>
      <c r="R28" s="280"/>
      <c r="S28" s="280"/>
      <c r="T28" s="280"/>
      <c r="U28" s="280"/>
      <c r="V28" s="280"/>
      <c r="W28" s="280"/>
      <c r="X28" s="280"/>
      <c r="Y28" s="280"/>
    </row>
    <row r="29" spans="3:27" x14ac:dyDescent="0.25">
      <c r="E29" s="96"/>
      <c r="F29" s="109" t="s">
        <v>260</v>
      </c>
      <c r="G29" s="109" t="s">
        <v>169</v>
      </c>
      <c r="J29" s="280"/>
      <c r="K29" s="280"/>
      <c r="L29" s="280"/>
      <c r="M29" s="280"/>
      <c r="N29" s="274">
        <f>'ARP_Inputs by customer type'!J155</f>
        <v>32600.04</v>
      </c>
      <c r="O29" s="274">
        <f>'ARP_Inputs by customer type'!J156</f>
        <v>11444.7</v>
      </c>
      <c r="P29" s="274">
        <f>'ARP_Inputs by customer type'!J157</f>
        <v>14202.12</v>
      </c>
      <c r="Q29" s="280"/>
      <c r="R29" s="280"/>
      <c r="S29" s="280"/>
      <c r="T29" s="280"/>
      <c r="U29" s="280"/>
      <c r="V29" s="280"/>
      <c r="W29" s="280"/>
      <c r="X29" s="280"/>
      <c r="Y29" s="280"/>
    </row>
    <row r="30" spans="3:27" x14ac:dyDescent="0.25">
      <c r="E30" s="96"/>
      <c r="F30" s="36" t="s">
        <v>261</v>
      </c>
      <c r="G30" s="36" t="s">
        <v>170</v>
      </c>
      <c r="H30" s="93"/>
      <c r="I30" s="93"/>
      <c r="J30" s="241"/>
      <c r="K30" s="241"/>
      <c r="L30" s="241"/>
      <c r="M30" s="241"/>
      <c r="N30" s="275">
        <f>'ARP_Inputs by customer type'!J173</f>
        <v>75780</v>
      </c>
      <c r="O30" s="275">
        <f>'ARP_Inputs by customer type'!J174</f>
        <v>92280</v>
      </c>
      <c r="P30" s="275">
        <f>'ARP_Inputs by customer type'!J175</f>
        <v>113496</v>
      </c>
      <c r="Q30" s="241"/>
      <c r="R30" s="241"/>
      <c r="S30" s="241"/>
      <c r="T30" s="275">
        <f>'ARP_Inputs by customer type'!J179</f>
        <v>4428</v>
      </c>
      <c r="U30" s="241"/>
      <c r="V30" s="275">
        <f>'ARP_Inputs by customer type'!J181</f>
        <v>186</v>
      </c>
      <c r="W30" s="241"/>
      <c r="X30" s="275">
        <f>'ARP_Inputs by customer type'!J183</f>
        <v>6792</v>
      </c>
      <c r="Y30" s="241"/>
    </row>
    <row r="31" spans="3:27" s="379" customFormat="1" x14ac:dyDescent="0.25">
      <c r="E31" s="380"/>
      <c r="F31" s="381"/>
      <c r="G31" s="381"/>
      <c r="J31" s="382"/>
      <c r="K31" s="382"/>
      <c r="L31" s="382"/>
      <c r="M31" s="382"/>
      <c r="N31" s="383"/>
      <c r="O31" s="383"/>
      <c r="P31" s="383"/>
      <c r="Q31" s="382"/>
      <c r="R31" s="382"/>
      <c r="S31" s="382"/>
      <c r="T31" s="383"/>
      <c r="U31" s="382"/>
      <c r="V31" s="383"/>
      <c r="W31" s="382"/>
      <c r="X31" s="383"/>
      <c r="Y31" s="382"/>
    </row>
    <row r="32" spans="3:27" x14ac:dyDescent="0.25">
      <c r="E32" s="96" t="s">
        <v>1011</v>
      </c>
      <c r="G32" s="36"/>
      <c r="H32" s="93"/>
      <c r="I32" s="295" t="s">
        <v>431</v>
      </c>
      <c r="J32" s="272"/>
      <c r="K32" s="272"/>
      <c r="L32" s="272"/>
      <c r="M32" s="272"/>
      <c r="N32" s="272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AA32" s="295" t="s">
        <v>799</v>
      </c>
    </row>
    <row r="33" spans="5:27" x14ac:dyDescent="0.25">
      <c r="E33" s="96"/>
      <c r="F33" s="40" t="s">
        <v>256</v>
      </c>
      <c r="G33" s="109" t="s">
        <v>120</v>
      </c>
      <c r="I33" s="91"/>
      <c r="J33" s="273">
        <f>'ARP_Inputs by customer type'!J189</f>
        <v>6614.2642110959696</v>
      </c>
      <c r="K33" s="273">
        <f>'ARP_Inputs by customer type'!J190</f>
        <v>0</v>
      </c>
      <c r="L33" s="273">
        <f>'ARP_Inputs by customer type'!J191</f>
        <v>238.1771508003859</v>
      </c>
      <c r="M33" s="273">
        <f>'ARP_Inputs by customer type'!J192</f>
        <v>0</v>
      </c>
      <c r="N33" s="273">
        <f>'ARP_Inputs by customer type'!J193</f>
        <v>782.38165777500001</v>
      </c>
      <c r="O33" s="239"/>
      <c r="P33" s="239"/>
      <c r="Q33" s="273">
        <f>'ARP_Inputs by customer type'!J196</f>
        <v>5.48725246628352</v>
      </c>
      <c r="R33" s="273">
        <f>'ARP_Inputs by customer type'!J197</f>
        <v>0</v>
      </c>
      <c r="S33" s="239"/>
      <c r="T33" s="273">
        <f>'ARP_Inputs by customer type'!J199</f>
        <v>0</v>
      </c>
      <c r="U33" s="239"/>
      <c r="V33" s="239"/>
      <c r="W33" s="239"/>
      <c r="X33" s="239"/>
      <c r="Y33" s="239"/>
    </row>
    <row r="34" spans="5:27" x14ac:dyDescent="0.25">
      <c r="E34" s="96"/>
      <c r="F34" s="109" t="s">
        <v>257</v>
      </c>
      <c r="G34" s="109" t="s">
        <v>120</v>
      </c>
      <c r="J34" s="274">
        <f>'ARP_Inputs by customer type'!J207</f>
        <v>23444.485144935399</v>
      </c>
      <c r="K34" s="274">
        <f>'ARP_Inputs by customer type'!J208</f>
        <v>0</v>
      </c>
      <c r="L34" s="274">
        <f>'ARP_Inputs by customer type'!J209</f>
        <v>1251.285970528603</v>
      </c>
      <c r="M34" s="274">
        <f>'ARP_Inputs by customer type'!J210</f>
        <v>0</v>
      </c>
      <c r="N34" s="274">
        <f>'ARP_Inputs by customer type'!J211</f>
        <v>3509.5403745600001</v>
      </c>
      <c r="O34" s="280"/>
      <c r="P34" s="280"/>
      <c r="Q34" s="274">
        <f>'ARP_Inputs by customer type'!J214</f>
        <v>35.440333955030702</v>
      </c>
      <c r="R34" s="274">
        <f>'ARP_Inputs by customer type'!J215</f>
        <v>0</v>
      </c>
      <c r="S34" s="280"/>
      <c r="T34" s="274">
        <f>'ARP_Inputs by customer type'!J217</f>
        <v>0</v>
      </c>
      <c r="U34" s="280"/>
      <c r="V34" s="280"/>
      <c r="W34" s="280"/>
      <c r="X34" s="280"/>
      <c r="Y34" s="280"/>
    </row>
    <row r="35" spans="5:27" x14ac:dyDescent="0.25">
      <c r="E35" s="96"/>
      <c r="F35" s="109" t="s">
        <v>258</v>
      </c>
      <c r="G35" s="109" t="s">
        <v>120</v>
      </c>
      <c r="J35" s="274">
        <f>'ARP_Inputs by customer type'!J225</f>
        <v>22076.133431648639</v>
      </c>
      <c r="K35" s="274">
        <f>'ARP_Inputs by customer type'!J226</f>
        <v>0</v>
      </c>
      <c r="L35" s="274">
        <f>'ARP_Inputs by customer type'!J227</f>
        <v>1210.8886018597616</v>
      </c>
      <c r="M35" s="274">
        <f>'ARP_Inputs by customer type'!J228</f>
        <v>0</v>
      </c>
      <c r="N35" s="274">
        <f>'ARP_Inputs by customer type'!J229</f>
        <v>2920.7853130087501</v>
      </c>
      <c r="O35" s="280"/>
      <c r="P35" s="280"/>
      <c r="Q35" s="274">
        <f>'ARP_Inputs by customer type'!J232</f>
        <v>41.235843049935781</v>
      </c>
      <c r="R35" s="274">
        <f>'ARP_Inputs by customer type'!J233</f>
        <v>0</v>
      </c>
      <c r="S35" s="280"/>
      <c r="T35" s="274">
        <f>'ARP_Inputs by customer type'!J235</f>
        <v>0</v>
      </c>
      <c r="U35" s="280"/>
      <c r="V35" s="280"/>
      <c r="W35" s="280"/>
      <c r="X35" s="280"/>
      <c r="Y35" s="280"/>
    </row>
    <row r="36" spans="5:27" x14ac:dyDescent="0.25">
      <c r="E36" s="96"/>
      <c r="F36" s="109" t="s">
        <v>74</v>
      </c>
      <c r="G36" s="109" t="s">
        <v>74</v>
      </c>
      <c r="J36" s="274">
        <f>'ARP_Inputs by customer type'!J243</f>
        <v>19946</v>
      </c>
      <c r="K36" s="274">
        <f>'ARP_Inputs by customer type'!J244</f>
        <v>0</v>
      </c>
      <c r="L36" s="274">
        <f>'ARP_Inputs by customer type'!J245</f>
        <v>314</v>
      </c>
      <c r="M36" s="274">
        <f>'ARP_Inputs by customer type'!J246</f>
        <v>0</v>
      </c>
      <c r="N36" s="274">
        <f>'ARP_Inputs by customer type'!J247</f>
        <v>37</v>
      </c>
      <c r="O36" s="280"/>
      <c r="P36" s="280"/>
      <c r="Q36" s="274">
        <f>'ARP_Inputs by customer type'!J250</f>
        <v>8</v>
      </c>
      <c r="R36" s="274">
        <f>'ARP_Inputs by customer type'!J251</f>
        <v>0</v>
      </c>
      <c r="S36" s="280"/>
      <c r="T36" s="274">
        <f>'ARP_Inputs by customer type'!J253</f>
        <v>0</v>
      </c>
      <c r="U36" s="280"/>
      <c r="V36" s="280"/>
      <c r="W36" s="280"/>
      <c r="X36" s="280"/>
      <c r="Y36" s="280"/>
    </row>
    <row r="37" spans="5:27" x14ac:dyDescent="0.25">
      <c r="E37" s="96"/>
      <c r="F37" s="109" t="s">
        <v>259</v>
      </c>
      <c r="G37" s="109" t="s">
        <v>169</v>
      </c>
      <c r="J37" s="280"/>
      <c r="K37" s="280"/>
      <c r="L37" s="280"/>
      <c r="M37" s="280"/>
      <c r="N37" s="274">
        <f>'ARP_Inputs by customer type'!J265</f>
        <v>5254.416666666667</v>
      </c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5:27" x14ac:dyDescent="0.25">
      <c r="E38" s="96"/>
      <c r="F38" s="109" t="s">
        <v>260</v>
      </c>
      <c r="G38" s="109" t="s">
        <v>169</v>
      </c>
      <c r="J38" s="280"/>
      <c r="K38" s="280"/>
      <c r="L38" s="280"/>
      <c r="M38" s="280"/>
      <c r="N38" s="274">
        <f>'ARP_Inputs by customer type'!J283</f>
        <v>0</v>
      </c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280"/>
    </row>
    <row r="39" spans="5:27" x14ac:dyDescent="0.25">
      <c r="E39" s="96"/>
      <c r="F39" s="36" t="s">
        <v>261</v>
      </c>
      <c r="G39" s="36" t="s">
        <v>170</v>
      </c>
      <c r="H39" s="93"/>
      <c r="I39" s="93"/>
      <c r="J39" s="241"/>
      <c r="K39" s="241"/>
      <c r="L39" s="241"/>
      <c r="M39" s="241"/>
      <c r="N39" s="275">
        <f>'ARP_Inputs by customer type'!J301</f>
        <v>275.2457</v>
      </c>
      <c r="O39" s="241"/>
      <c r="P39" s="241"/>
      <c r="Q39" s="241"/>
      <c r="R39" s="241"/>
      <c r="S39" s="241"/>
      <c r="T39" s="275">
        <f>'ARP_Inputs by customer type'!J307</f>
        <v>0</v>
      </c>
      <c r="U39" s="241"/>
      <c r="V39" s="241"/>
      <c r="W39" s="241"/>
      <c r="X39" s="241"/>
      <c r="Y39" s="241"/>
    </row>
    <row r="40" spans="5:27" s="379" customFormat="1" x14ac:dyDescent="0.25">
      <c r="E40" s="380"/>
      <c r="F40" s="381"/>
      <c r="G40" s="381"/>
      <c r="J40" s="382"/>
      <c r="K40" s="382"/>
      <c r="L40" s="382"/>
      <c r="M40" s="382"/>
      <c r="N40" s="383"/>
      <c r="O40" s="382"/>
      <c r="P40" s="382"/>
      <c r="Q40" s="382"/>
      <c r="R40" s="382"/>
      <c r="S40" s="382"/>
      <c r="T40" s="383"/>
      <c r="U40" s="382"/>
      <c r="V40" s="382"/>
      <c r="W40" s="382"/>
      <c r="X40" s="382"/>
      <c r="Y40" s="382"/>
    </row>
    <row r="41" spans="5:27" x14ac:dyDescent="0.25">
      <c r="E41" s="96" t="s">
        <v>1012</v>
      </c>
      <c r="G41" s="36"/>
      <c r="H41" s="93"/>
      <c r="I41" s="295" t="s">
        <v>431</v>
      </c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AA41" s="295" t="s">
        <v>799</v>
      </c>
    </row>
    <row r="42" spans="5:27" x14ac:dyDescent="0.25">
      <c r="F42" s="40" t="s">
        <v>256</v>
      </c>
      <c r="G42" s="109" t="s">
        <v>120</v>
      </c>
      <c r="I42" s="91"/>
      <c r="J42" s="273">
        <f>'ARP_Inputs by customer type'!J317</f>
        <v>9005.7413990104942</v>
      </c>
      <c r="K42" s="273">
        <f>'ARP_Inputs by customer type'!J318</f>
        <v>0</v>
      </c>
      <c r="L42" s="273">
        <f>'ARP_Inputs by customer type'!J319</f>
        <v>854.01034020084694</v>
      </c>
      <c r="M42" s="273">
        <f>'ARP_Inputs by customer type'!J320</f>
        <v>0</v>
      </c>
      <c r="N42" s="273">
        <f>'ARP_Inputs by customer type'!J321</f>
        <v>7542.4207166712504</v>
      </c>
      <c r="O42" s="273">
        <f>'ARP_Inputs by customer type'!J322</f>
        <v>1135.5501489325</v>
      </c>
      <c r="P42" s="273">
        <f>'ARP_Inputs by customer type'!J323</f>
        <v>2073.1723091137501</v>
      </c>
      <c r="Q42" s="273">
        <f>'ARP_Inputs by customer type'!J324</f>
        <v>8.0564727585887912</v>
      </c>
      <c r="R42" s="273">
        <f>'ARP_Inputs by customer type'!J325</f>
        <v>0</v>
      </c>
      <c r="S42" s="273">
        <f>'ARP_Inputs by customer type'!J326</f>
        <v>0</v>
      </c>
      <c r="T42" s="273">
        <f>'ARP_Inputs by customer type'!J327</f>
        <v>60.292999999999999</v>
      </c>
      <c r="U42" s="239"/>
      <c r="V42" s="273">
        <f>'ARP_Inputs by customer type'!J329</f>
        <v>0</v>
      </c>
      <c r="W42" s="239"/>
      <c r="X42" s="273">
        <f>'ARP_Inputs by customer type'!J331</f>
        <v>0</v>
      </c>
      <c r="Y42" s="239"/>
    </row>
    <row r="43" spans="5:27" x14ac:dyDescent="0.25">
      <c r="F43" s="109" t="s">
        <v>257</v>
      </c>
      <c r="G43" s="109" t="s">
        <v>120</v>
      </c>
      <c r="J43" s="274">
        <f>'ARP_Inputs by customer type'!J335</f>
        <v>31875.610402966777</v>
      </c>
      <c r="K43" s="274">
        <f>'ARP_Inputs by customer type'!J336</f>
        <v>0</v>
      </c>
      <c r="L43" s="274">
        <f>'ARP_Inputs by customer type'!J337</f>
        <v>4488.2954865451193</v>
      </c>
      <c r="M43" s="274">
        <f>'ARP_Inputs by customer type'!J338</f>
        <v>0</v>
      </c>
      <c r="N43" s="274">
        <f>'ARP_Inputs by customer type'!J339</f>
        <v>32517.586661996247</v>
      </c>
      <c r="O43" s="274">
        <f>'ARP_Inputs by customer type'!J340</f>
        <v>5159.4436601887501</v>
      </c>
      <c r="P43" s="274">
        <f>'ARP_Inputs by customer type'!J341</f>
        <v>9664.500104686249</v>
      </c>
      <c r="Q43" s="274">
        <f>'ARP_Inputs by customer type'!J342</f>
        <v>97.501767602595052</v>
      </c>
      <c r="R43" s="274">
        <f>'ARP_Inputs by customer type'!J343</f>
        <v>0</v>
      </c>
      <c r="S43" s="274">
        <f>'ARP_Inputs by customer type'!J344</f>
        <v>0</v>
      </c>
      <c r="T43" s="274">
        <f>'ARP_Inputs by customer type'!J345</f>
        <v>0</v>
      </c>
      <c r="U43" s="280"/>
      <c r="V43" s="274">
        <f>'ARP_Inputs by customer type'!J347</f>
        <v>0</v>
      </c>
      <c r="W43" s="280"/>
      <c r="X43" s="274">
        <f>'ARP_Inputs by customer type'!J349</f>
        <v>0</v>
      </c>
      <c r="Y43" s="280"/>
    </row>
    <row r="44" spans="5:27" x14ac:dyDescent="0.25">
      <c r="F44" s="109" t="s">
        <v>258</v>
      </c>
      <c r="G44" s="109" t="s">
        <v>120</v>
      </c>
      <c r="J44" s="274">
        <f>'ARP_Inputs by customer type'!J353</f>
        <v>30015.529807040235</v>
      </c>
      <c r="K44" s="274">
        <f>'ARP_Inputs by customer type'!J354</f>
        <v>0</v>
      </c>
      <c r="L44" s="274">
        <f>'ARP_Inputs by customer type'!J355</f>
        <v>4346.9698734777849</v>
      </c>
      <c r="M44" s="274">
        <f>'ARP_Inputs by customer type'!J356</f>
        <v>0</v>
      </c>
      <c r="N44" s="274">
        <f>'ARP_Inputs by customer type'!J357</f>
        <v>28865.285111946254</v>
      </c>
      <c r="O44" s="274">
        <f>'ARP_Inputs by customer type'!J358</f>
        <v>4790.5713691774999</v>
      </c>
      <c r="P44" s="274">
        <f>'ARP_Inputs by customer type'!J359</f>
        <v>9024.7703629625012</v>
      </c>
      <c r="Q44" s="274">
        <f>'ARP_Inputs by customer type'!J360</f>
        <v>110.98097121631618</v>
      </c>
      <c r="R44" s="274">
        <f>'ARP_Inputs by customer type'!J361</f>
        <v>0</v>
      </c>
      <c r="S44" s="274">
        <f>'ARP_Inputs by customer type'!J362</f>
        <v>0</v>
      </c>
      <c r="T44" s="274">
        <f>'ARP_Inputs by customer type'!J363</f>
        <v>0</v>
      </c>
      <c r="U44" s="280"/>
      <c r="V44" s="274">
        <f>'ARP_Inputs by customer type'!J365</f>
        <v>0</v>
      </c>
      <c r="W44" s="280"/>
      <c r="X44" s="274">
        <f>'ARP_Inputs by customer type'!J367</f>
        <v>0</v>
      </c>
      <c r="Y44" s="280"/>
    </row>
    <row r="45" spans="5:27" x14ac:dyDescent="0.25">
      <c r="F45" s="109" t="s">
        <v>74</v>
      </c>
      <c r="G45" s="109" t="s">
        <v>74</v>
      </c>
      <c r="J45" s="274">
        <f>'ARP_Inputs by customer type'!J371</f>
        <v>26068</v>
      </c>
      <c r="K45" s="274">
        <f>'ARP_Inputs by customer type'!J372</f>
        <v>0</v>
      </c>
      <c r="L45" s="274">
        <f>'ARP_Inputs by customer type'!J373</f>
        <v>609</v>
      </c>
      <c r="M45" s="274">
        <f>'ARP_Inputs by customer type'!J374</f>
        <v>0</v>
      </c>
      <c r="N45" s="274">
        <f>'ARP_Inputs by customer type'!J375</f>
        <v>214</v>
      </c>
      <c r="O45" s="274">
        <f>'ARP_Inputs by customer type'!J376</f>
        <v>20</v>
      </c>
      <c r="P45" s="274">
        <f>'ARP_Inputs by customer type'!J377</f>
        <v>18</v>
      </c>
      <c r="Q45" s="274">
        <f>'ARP_Inputs by customer type'!J378</f>
        <v>50</v>
      </c>
      <c r="R45" s="274">
        <f>'ARP_Inputs by customer type'!J379</f>
        <v>0</v>
      </c>
      <c r="S45" s="274">
        <f>'ARP_Inputs by customer type'!J380</f>
        <v>0</v>
      </c>
      <c r="T45" s="274">
        <f>'ARP_Inputs by customer type'!J381</f>
        <v>0</v>
      </c>
      <c r="U45" s="280"/>
      <c r="V45" s="274">
        <f>'ARP_Inputs by customer type'!J383</f>
        <v>0</v>
      </c>
      <c r="W45" s="280"/>
      <c r="X45" s="274">
        <f>'ARP_Inputs by customer type'!J385</f>
        <v>0</v>
      </c>
      <c r="Y45" s="280"/>
    </row>
    <row r="46" spans="5:27" x14ac:dyDescent="0.25">
      <c r="F46" s="109" t="s">
        <v>259</v>
      </c>
      <c r="G46" s="109" t="s">
        <v>169</v>
      </c>
      <c r="J46" s="280"/>
      <c r="K46" s="280"/>
      <c r="L46" s="280"/>
      <c r="M46" s="280"/>
      <c r="N46" s="274">
        <f>'ARP_Inputs by customer type'!J393</f>
        <v>51277.083333333336</v>
      </c>
      <c r="O46" s="274">
        <f>'ARP_Inputs by customer type'!J394</f>
        <v>10933.333333333334</v>
      </c>
      <c r="P46" s="274">
        <f>'ARP_Inputs by customer type'!J395</f>
        <v>12853</v>
      </c>
      <c r="Q46" s="280"/>
      <c r="R46" s="280"/>
      <c r="S46" s="280"/>
      <c r="T46" s="280"/>
      <c r="U46" s="280"/>
      <c r="V46" s="280"/>
      <c r="W46" s="280"/>
      <c r="X46" s="280"/>
      <c r="Y46" s="280"/>
    </row>
    <row r="47" spans="5:27" x14ac:dyDescent="0.25">
      <c r="F47" s="109" t="s">
        <v>260</v>
      </c>
      <c r="G47" s="109" t="s">
        <v>169</v>
      </c>
      <c r="J47" s="280"/>
      <c r="K47" s="280"/>
      <c r="L47" s="280"/>
      <c r="M47" s="280"/>
      <c r="N47" s="274">
        <f>'ARP_Inputs by customer type'!J411</f>
        <v>14</v>
      </c>
      <c r="O47" s="274">
        <f>'ARP_Inputs by customer type'!J412</f>
        <v>0</v>
      </c>
      <c r="P47" s="274">
        <f>'ARP_Inputs by customer type'!J413</f>
        <v>0</v>
      </c>
      <c r="Q47" s="280"/>
      <c r="R47" s="280"/>
      <c r="S47" s="280"/>
      <c r="T47" s="280"/>
      <c r="U47" s="280"/>
      <c r="V47" s="280"/>
      <c r="W47" s="280"/>
      <c r="X47" s="280"/>
      <c r="Y47" s="280"/>
    </row>
    <row r="48" spans="5:27" x14ac:dyDescent="0.25">
      <c r="F48" s="36" t="s">
        <v>261</v>
      </c>
      <c r="G48" s="36" t="s">
        <v>170</v>
      </c>
      <c r="H48" s="93"/>
      <c r="I48" s="93"/>
      <c r="J48" s="241"/>
      <c r="K48" s="241"/>
      <c r="L48" s="241"/>
      <c r="M48" s="241"/>
      <c r="N48" s="275">
        <f>'ARP_Inputs by customer type'!J429</f>
        <v>3989.2191999999991</v>
      </c>
      <c r="O48" s="275">
        <f>'ARP_Inputs by customer type'!J430</f>
        <v>3463.8448000000003</v>
      </c>
      <c r="P48" s="275">
        <f>'ARP_Inputs by customer type'!J431</f>
        <v>316.33280000000002</v>
      </c>
      <c r="Q48" s="241"/>
      <c r="R48" s="241"/>
      <c r="S48" s="241"/>
      <c r="T48" s="275">
        <f>'ARP_Inputs by customer type'!J435</f>
        <v>65.780299999999997</v>
      </c>
      <c r="U48" s="241"/>
      <c r="V48" s="275">
        <f>'ARP_Inputs by customer type'!J437</f>
        <v>0</v>
      </c>
      <c r="W48" s="241"/>
      <c r="X48" s="275">
        <f>'ARP_Inputs by customer type'!J439</f>
        <v>0</v>
      </c>
      <c r="Y48" s="241"/>
    </row>
    <row r="49" spans="2:27" x14ac:dyDescent="0.25">
      <c r="G49" s="108"/>
    </row>
    <row r="50" spans="2:27" x14ac:dyDescent="0.25">
      <c r="E50" s="96" t="s">
        <v>1120</v>
      </c>
      <c r="G50" s="108" t="s">
        <v>74</v>
      </c>
      <c r="I50" s="295" t="s">
        <v>431</v>
      </c>
      <c r="J50" s="274">
        <f t="array" ref="J50:Y50">TRANSPOSE('ARP_Inputs by customer type'!J445:J460)</f>
        <v>470</v>
      </c>
      <c r="K50" s="274">
        <v>0</v>
      </c>
      <c r="L50" s="274">
        <v>0</v>
      </c>
      <c r="M50" s="274">
        <v>0</v>
      </c>
      <c r="N50" s="274">
        <v>0</v>
      </c>
      <c r="O50" s="274">
        <v>5</v>
      </c>
      <c r="P50" s="274">
        <v>9</v>
      </c>
      <c r="Q50" s="274">
        <v>0</v>
      </c>
      <c r="R50" s="274">
        <v>0</v>
      </c>
      <c r="S50" s="274">
        <v>0</v>
      </c>
      <c r="T50" s="274">
        <v>0</v>
      </c>
      <c r="U50" s="274">
        <v>0</v>
      </c>
      <c r="V50" s="274">
        <v>0</v>
      </c>
      <c r="W50" s="274">
        <v>0</v>
      </c>
      <c r="X50" s="274">
        <v>0</v>
      </c>
      <c r="Y50" s="274">
        <v>0</v>
      </c>
      <c r="AA50" s="295" t="s">
        <v>1163</v>
      </c>
    </row>
    <row r="51" spans="2:27" x14ac:dyDescent="0.25">
      <c r="G51" s="108"/>
    </row>
    <row r="52" spans="2:27" x14ac:dyDescent="0.25">
      <c r="C52" s="7" t="str">
        <f ca="1">INDEX('Version control'!$H$34:$H$58,MATCH($A$1,'Version control'!$F$34:$F$58,0),1)&amp;"-C: Service model asset values"</f>
        <v>Section 501-C: Service model asset values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G53" s="108"/>
    </row>
    <row r="54" spans="2:27" x14ac:dyDescent="0.25">
      <c r="D54" s="82" t="s">
        <v>740</v>
      </c>
      <c r="H54" s="90"/>
    </row>
    <row r="55" spans="2:27" x14ac:dyDescent="0.25">
      <c r="G55" s="108"/>
      <c r="I55" s="295" t="s">
        <v>431</v>
      </c>
      <c r="AA55" s="295" t="s">
        <v>926</v>
      </c>
    </row>
    <row r="56" spans="2:27" x14ac:dyDescent="0.25">
      <c r="D56" s="86"/>
      <c r="E56" s="295" t="s">
        <v>741</v>
      </c>
      <c r="G56" s="295" t="s">
        <v>610</v>
      </c>
      <c r="H56" s="384"/>
      <c r="J56" s="274">
        <f>'ARP_Inputs by customer type'!J469</f>
        <v>377.70000000000005</v>
      </c>
      <c r="K56" s="280"/>
      <c r="L56" s="274">
        <f>'ARP_Inputs by customer type'!J471</f>
        <v>508.75</v>
      </c>
      <c r="M56" s="280"/>
      <c r="N56" s="274">
        <f>'ARP_Inputs by customer type'!J473</f>
        <v>2380</v>
      </c>
      <c r="O56" s="274">
        <f>'ARP_Inputs by customer type'!J474</f>
        <v>840</v>
      </c>
      <c r="P56" s="280"/>
      <c r="Q56" s="280"/>
      <c r="R56" s="274">
        <f>'ARP_Inputs by customer type'!J477</f>
        <v>0</v>
      </c>
      <c r="S56" s="274">
        <f>'ARP_Inputs by customer type'!J478</f>
        <v>0</v>
      </c>
      <c r="T56" s="274">
        <f>'ARP_Inputs by customer type'!J479</f>
        <v>0</v>
      </c>
      <c r="U56" s="274">
        <f>'ARP_Inputs by customer type'!J480</f>
        <v>0</v>
      </c>
      <c r="V56" s="274">
        <f>'ARP_Inputs by customer type'!J481</f>
        <v>0</v>
      </c>
      <c r="W56" s="274">
        <f>'ARP_Inputs by customer type'!J482</f>
        <v>0</v>
      </c>
      <c r="X56" s="280"/>
      <c r="Y56" s="280"/>
    </row>
    <row r="57" spans="2:27" x14ac:dyDescent="0.25">
      <c r="D57" s="86"/>
      <c r="E57" s="295" t="s">
        <v>742</v>
      </c>
      <c r="G57" s="295" t="s">
        <v>610</v>
      </c>
      <c r="H57" s="384"/>
      <c r="J57" s="280"/>
      <c r="K57" s="280"/>
      <c r="L57" s="280"/>
      <c r="M57" s="280"/>
      <c r="N57" s="280"/>
      <c r="O57" s="280"/>
      <c r="P57" s="274">
        <f>'ARP_Inputs by customer type'!J495</f>
        <v>12718.10554</v>
      </c>
      <c r="Q57" s="280"/>
      <c r="R57" s="280"/>
      <c r="S57" s="280"/>
      <c r="T57" s="280"/>
      <c r="U57" s="280"/>
      <c r="V57" s="280"/>
      <c r="W57" s="280"/>
      <c r="X57" s="274">
        <f>'ARP_Inputs by customer type'!J503</f>
        <v>9287</v>
      </c>
      <c r="Y57" s="274">
        <f>'ARP_Inputs by customer type'!J504</f>
        <v>9287</v>
      </c>
    </row>
    <row r="58" spans="2:27" x14ac:dyDescent="0.25">
      <c r="G58" s="108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</row>
    <row r="59" spans="2:27" x14ac:dyDescent="0.25">
      <c r="D59" s="86"/>
      <c r="E59" s="295" t="s">
        <v>743</v>
      </c>
      <c r="G59" s="295" t="s">
        <v>328</v>
      </c>
      <c r="I59" s="295" t="s">
        <v>431</v>
      </c>
      <c r="J59" s="280"/>
      <c r="K59" s="280"/>
      <c r="L59" s="280"/>
      <c r="M59" s="280"/>
      <c r="N59" s="280"/>
      <c r="O59" s="280"/>
      <c r="P59" s="280"/>
      <c r="Q59" s="274">
        <f>'ARP_Inputs by customer type'!J516</f>
        <v>120.51</v>
      </c>
      <c r="R59" s="280"/>
      <c r="S59" s="280"/>
      <c r="T59" s="280"/>
      <c r="U59" s="280"/>
      <c r="V59" s="280"/>
      <c r="W59" s="280"/>
      <c r="X59" s="280"/>
      <c r="Y59" s="280"/>
      <c r="AA59" s="295" t="s">
        <v>813</v>
      </c>
    </row>
    <row r="60" spans="2:27" x14ac:dyDescent="0.25">
      <c r="D60" s="86"/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  <c r="V60" s="253"/>
      <c r="W60" s="253"/>
      <c r="X60" s="253"/>
      <c r="Y60" s="253"/>
    </row>
    <row r="61" spans="2:27" x14ac:dyDescent="0.25">
      <c r="B61" s="95" t="s">
        <v>109</v>
      </c>
      <c r="C61" s="95"/>
      <c r="D61" s="95"/>
      <c r="E61" s="95"/>
      <c r="F61" s="95"/>
      <c r="G61" s="128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2:27" x14ac:dyDescent="0.25">
      <c r="G62" s="108"/>
    </row>
    <row r="63" spans="2:27" x14ac:dyDescent="0.25">
      <c r="E63" s="295" t="s">
        <v>516</v>
      </c>
      <c r="G63" s="122" t="s">
        <v>692</v>
      </c>
      <c r="H63" s="377">
        <f t="array" ref="H63">SUM(IF(ISERROR(H16:Y60), 1))</f>
        <v>0</v>
      </c>
    </row>
    <row r="64" spans="2:27" x14ac:dyDescent="0.25">
      <c r="G64" s="108"/>
    </row>
    <row r="65" spans="2:27" x14ac:dyDescent="0.25">
      <c r="E65" s="295" t="s">
        <v>446</v>
      </c>
      <c r="G65" s="122" t="s">
        <v>692</v>
      </c>
      <c r="H65" s="152">
        <f>H63</f>
        <v>0</v>
      </c>
    </row>
    <row r="67" spans="2:27" x14ac:dyDescent="0.25">
      <c r="B67" s="95" t="s">
        <v>110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</sheetData>
  <sheetProtection sheet="1" objects="1" formatCells="0" formatColumns="0" formatRows="0" sort="0" autoFilter="0"/>
  <conditionalFormatting sqref="H63">
    <cfRule type="cellIs" dxfId="205" priority="11" operator="greaterThan">
      <formula>0</formula>
    </cfRule>
  </conditionalFormatting>
  <conditionalFormatting sqref="H65">
    <cfRule type="cellIs" dxfId="204" priority="10" operator="greaterThan">
      <formula>0</formula>
    </cfRule>
  </conditionalFormatting>
  <conditionalFormatting sqref="A4:I4 Z4:XFD4">
    <cfRule type="expression" dxfId="203" priority="9">
      <formula>LEFT($A$4,1) &lt;&gt; "0"</formula>
    </cfRule>
  </conditionalFormatting>
  <conditionalFormatting sqref="N4:P4">
    <cfRule type="expression" dxfId="202" priority="8">
      <formula>LEFT($A$4,1) &lt;&gt; "0"</formula>
    </cfRule>
  </conditionalFormatting>
  <conditionalFormatting sqref="L4:M4">
    <cfRule type="expression" dxfId="201" priority="7">
      <formula>LEFT($A$4,1) &lt;&gt; "0"</formula>
    </cfRule>
  </conditionalFormatting>
  <conditionalFormatting sqref="J4:K4">
    <cfRule type="expression" dxfId="200" priority="6">
      <formula>LEFT($A$4,1) &lt;&gt; "0"</formula>
    </cfRule>
  </conditionalFormatting>
  <conditionalFormatting sqref="Q4">
    <cfRule type="expression" dxfId="199" priority="5">
      <formula>LEFT($A$4,1) &lt;&gt; "0"</formula>
    </cfRule>
  </conditionalFormatting>
  <conditionalFormatting sqref="R4:S4">
    <cfRule type="expression" dxfId="198" priority="4">
      <formula>LEFT($A$4,1) &lt;&gt; "0"</formula>
    </cfRule>
  </conditionalFormatting>
  <conditionalFormatting sqref="T4:U4">
    <cfRule type="expression" dxfId="197" priority="3">
      <formula>LEFT($A$4,1) &lt;&gt; "0"</formula>
    </cfRule>
  </conditionalFormatting>
  <conditionalFormatting sqref="V4:W4">
    <cfRule type="expression" dxfId="196" priority="2">
      <formula>LEFT($A$4,1) &lt;&gt; "0"</formula>
    </cfRule>
  </conditionalFormatting>
  <conditionalFormatting sqref="X4:Y4">
    <cfRule type="expression" dxfId="195" priority="1">
      <formula>LEFT($A$4,1) &lt;&gt; "0"</formula>
    </cfRule>
  </conditionalFormatting>
  <dataValidations count="5">
    <dataValidation type="decimal" allowBlank="1" showInputMessage="1" showErrorMessage="1" errorTitle="Invalid load factor" error="The load factor must be between 0% and 100%." sqref="J18:Q18" xr:uid="{00000000-0002-0000-0E00-000000000000}">
      <formula1>0</formula1>
      <formula2>1</formula2>
    </dataValidation>
    <dataValidation type="decimal" operator="greaterThanOrEqual" allowBlank="1" showInputMessage="1" showErrorMessage="1" sqref="Y18:Y48" xr:uid="{00000000-0002-0000-0E00-000001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37:Y48 J54:Y54 J24:Y33 Q34:R35 J59:Y60 J56:Y57" xr:uid="{00000000-0002-0000-0E00-000002000000}">
      <formula1>0</formula1>
    </dataValidation>
    <dataValidation type="textLength" operator="equal" allowBlank="1" showInputMessage="1" showErrorMessage="1" error="This cell is not in use." sqref="Y54 Y59:Y60" xr:uid="{00000000-0002-0000-0E00-000003000000}">
      <formula1>0</formula1>
    </dataValidation>
    <dataValidation type="decimal" allowBlank="1" showInputMessage="1" showErrorMessage="1" errorTitle="Invalid coincidence factor" error="Invalid coincidence factor (unused cell or not between 0% and 100%)." sqref="R18:Y19 J19:Q19" xr:uid="{00000000-0002-0000-0E00-000004000000}">
      <formula1>0</formula1>
      <formula2>1</formula2>
    </dataValidation>
  </dataValidations>
  <hyperlinks>
    <hyperlink ref="B5:F5" location="'Model map'!A1" display="Click here to return to model map" xr:uid="{00000000-0004-0000-0E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theme="4" tint="0.59999389629810485"/>
    <pageSetUpPr fitToPage="1"/>
  </sheetPr>
  <dimension ref="A1:IV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9" width="17" style="295" customWidth="1"/>
    <col min="20" max="20" width="2.42578125" style="295" customWidth="1"/>
    <col min="21" max="21" width="50.5703125" style="295" customWidth="1"/>
    <col min="22" max="22" width="2.42578125" style="295" customWidth="1"/>
    <col min="23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1" t="s">
        <v>552</v>
      </c>
      <c r="C5" s="372"/>
      <c r="D5" s="372"/>
      <c r="E5" s="372"/>
      <c r="F5" s="372"/>
      <c r="G5" s="10" t="s">
        <v>91</v>
      </c>
      <c r="H5" s="8" t="s">
        <v>92</v>
      </c>
      <c r="I5" s="111"/>
      <c r="J5" s="8" t="s">
        <v>324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896</v>
      </c>
    </row>
    <row r="10" spans="1:27" x14ac:dyDescent="0.25">
      <c r="C10" s="82"/>
    </row>
    <row r="11" spans="1:27" x14ac:dyDescent="0.25">
      <c r="C11" s="82"/>
      <c r="E11" s="295" t="s">
        <v>582</v>
      </c>
      <c r="G11" s="295" t="s">
        <v>583</v>
      </c>
      <c r="H11" s="401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5" t="str">
        <f>'ARP_User control'!$H$36</f>
        <v>Current</v>
      </c>
    </row>
    <row r="14" spans="1:27" x14ac:dyDescent="0.25">
      <c r="B14" s="95" t="s">
        <v>252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control'!$H$34:$H$58,MATCH($A$1,'Version control'!$F$34:$F$58,0),1)&amp;"-A: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5" t="s">
        <v>431</v>
      </c>
      <c r="J18" s="385"/>
      <c r="K18" s="388">
        <f>'ARP_Inputs by network level'!J20</f>
        <v>2.5000000000000001E-2</v>
      </c>
      <c r="L18" s="388">
        <f>'ARP_Inputs by network level'!J21</f>
        <v>0.1</v>
      </c>
      <c r="M18" s="385"/>
      <c r="N18" s="388">
        <f>'ARP_Inputs by network level'!J23</f>
        <v>0.26</v>
      </c>
      <c r="O18" s="385"/>
      <c r="P18" s="378"/>
      <c r="Q18" s="388">
        <f>'ARP_Inputs by network level'!J26</f>
        <v>0.2</v>
      </c>
      <c r="R18" s="79"/>
      <c r="S18" s="79"/>
      <c r="U18" s="90" t="s">
        <v>919</v>
      </c>
    </row>
    <row r="20" spans="3:27" x14ac:dyDescent="0.25">
      <c r="E20" s="14" t="s">
        <v>642</v>
      </c>
      <c r="G20" s="14" t="s">
        <v>94</v>
      </c>
      <c r="H20" s="14"/>
      <c r="I20" s="451"/>
      <c r="J20" s="385"/>
      <c r="K20" s="79"/>
      <c r="L20" s="79"/>
      <c r="M20" s="79"/>
      <c r="N20" s="79"/>
      <c r="O20" s="79"/>
      <c r="P20" s="388">
        <f>'ARP_Inputs by network level'!J39</f>
        <v>0</v>
      </c>
      <c r="Q20" s="79"/>
      <c r="R20" s="79"/>
      <c r="S20" s="79"/>
    </row>
    <row r="22" spans="3:27" x14ac:dyDescent="0.25">
      <c r="E22" s="14" t="s">
        <v>253</v>
      </c>
      <c r="G22" s="14" t="s">
        <v>528</v>
      </c>
      <c r="I22" s="295" t="s">
        <v>431</v>
      </c>
      <c r="J22" s="280"/>
      <c r="K22" s="274">
        <f>'ARP_Inputs by network level'!J48</f>
        <v>1</v>
      </c>
      <c r="L22" s="274">
        <f>'ARP_Inputs by network level'!J49</f>
        <v>1.0049999999999999</v>
      </c>
      <c r="M22" s="274">
        <f>'ARP_Inputs by network level'!J50</f>
        <v>1.012</v>
      </c>
      <c r="N22" s="274">
        <f>'ARP_Inputs by network level'!J51</f>
        <v>1.018</v>
      </c>
      <c r="O22" s="274">
        <f>'ARP_Inputs by network level'!J52</f>
        <v>1.0269999999999999</v>
      </c>
      <c r="P22" s="280"/>
      <c r="Q22" s="274">
        <f>'ARP_Inputs by network level'!J54</f>
        <v>1.038</v>
      </c>
      <c r="R22" s="274">
        <f>'ARP_Inputs by network level'!J55</f>
        <v>1.06</v>
      </c>
      <c r="S22" s="274">
        <f>'ARP_Inputs by network level'!J56</f>
        <v>1.1120000000000001</v>
      </c>
      <c r="U22" s="90" t="s">
        <v>800</v>
      </c>
    </row>
    <row r="23" spans="3:27" x14ac:dyDescent="0.25">
      <c r="J23" s="253"/>
      <c r="K23" s="253"/>
      <c r="L23" s="253"/>
      <c r="M23" s="253"/>
      <c r="N23" s="253"/>
      <c r="O23" s="253"/>
      <c r="P23" s="253"/>
      <c r="Q23" s="253"/>
      <c r="R23" s="253"/>
      <c r="S23" s="253"/>
    </row>
    <row r="24" spans="3:27" x14ac:dyDescent="0.25">
      <c r="E24" s="14" t="s">
        <v>89</v>
      </c>
      <c r="G24" s="14" t="s">
        <v>608</v>
      </c>
      <c r="I24" s="295" t="s">
        <v>431</v>
      </c>
      <c r="J24" s="280"/>
      <c r="K24" s="274">
        <f>'ARP_Inputs by network level'!J62</f>
        <v>0.25056282783129963</v>
      </c>
      <c r="L24" s="274">
        <f>'ARP_Inputs by network level'!J63</f>
        <v>0.25056282783129963</v>
      </c>
      <c r="M24" s="274">
        <f>'ARP_Inputs by network level'!J64</f>
        <v>0.24151056811773014</v>
      </c>
      <c r="N24" s="274">
        <f>'ARP_Inputs by network level'!J65</f>
        <v>0.24151056811773014</v>
      </c>
      <c r="O24" s="274">
        <f>'ARP_Inputs by network level'!J66</f>
        <v>0.3175458874434306</v>
      </c>
      <c r="P24" s="274">
        <f>'ARP_Inputs by network level'!J67</f>
        <v>0.3175458874434306</v>
      </c>
      <c r="Q24" s="274">
        <f>'ARP_Inputs by network level'!J68</f>
        <v>0.3175458874434306</v>
      </c>
      <c r="R24" s="274">
        <f>'ARP_Inputs by network level'!J69</f>
        <v>0.3175458874434306</v>
      </c>
      <c r="S24" s="274">
        <f>'ARP_Inputs by network level'!J70</f>
        <v>0.3175458874434306</v>
      </c>
      <c r="U24" s="90" t="s">
        <v>920</v>
      </c>
    </row>
    <row r="26" spans="3:27" x14ac:dyDescent="0.25">
      <c r="C26" s="7" t="str">
        <f ca="1">INDEX('Version control'!$H$34:$H$58,MATCH($A$1,'Version control'!$F$34:$F$58,0),1)&amp;"-B: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5" t="s">
        <v>431</v>
      </c>
      <c r="U27" s="295" t="s">
        <v>921</v>
      </c>
    </row>
    <row r="28" spans="3:27" x14ac:dyDescent="0.25">
      <c r="C28" s="96"/>
      <c r="E28" s="96" t="s">
        <v>262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0.32635129017655001</v>
      </c>
      <c r="R29" s="137">
        <f>'ARP_Inputs by network level'!J84</f>
        <v>0.71097285067873295</v>
      </c>
      <c r="S29" s="137">
        <f>'ARP_Inputs by network level'!J85</f>
        <v>0.93094869075781095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0.32635129017655001</v>
      </c>
      <c r="R30" s="143">
        <f>'ARP_Inputs by network level'!J95</f>
        <v>0.71097285067873295</v>
      </c>
      <c r="S30" s="374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0.29443019943019899</v>
      </c>
      <c r="O31" s="143">
        <f>'ARP_Inputs by network level'!J103</f>
        <v>0.14317058823529399</v>
      </c>
      <c r="P31" s="143">
        <f>'ARP_Inputs by network level'!J104</f>
        <v>0</v>
      </c>
      <c r="Q31" s="143">
        <f>'ARP_Inputs by network level'!J105</f>
        <v>0.73429040289723801</v>
      </c>
      <c r="R31" s="374"/>
      <c r="S31" s="374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94">
        <f>'ARP_Inputs by network level'!J111</f>
        <v>0</v>
      </c>
      <c r="M32" s="394">
        <f>'ARP_Inputs by network level'!J112</f>
        <v>0</v>
      </c>
      <c r="N32" s="394">
        <f>'ARP_Inputs by network level'!J113</f>
        <v>0.29443019943019899</v>
      </c>
      <c r="O32" s="394">
        <f>'ARP_Inputs by network level'!J114</f>
        <v>0.14317058823529399</v>
      </c>
      <c r="P32" s="38"/>
      <c r="Q32" s="38"/>
      <c r="R32" s="38"/>
      <c r="S32" s="38"/>
    </row>
    <row r="34" spans="2:27" x14ac:dyDescent="0.25">
      <c r="C34" s="7" t="str">
        <f ca="1">INDEX('Version control'!$H$34:$H$58,MATCH($A$1,'Version control'!$F$34:$F$58,0),1)&amp;"-C: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251</v>
      </c>
      <c r="G36" s="14" t="s">
        <v>107</v>
      </c>
      <c r="I36" s="295" t="s">
        <v>431</v>
      </c>
      <c r="J36" s="280"/>
      <c r="K36" s="280"/>
      <c r="L36" s="274">
        <f>'ARP_Inputs by network level'!J125</f>
        <v>176579243.66605631</v>
      </c>
      <c r="M36" s="274">
        <f>'ARP_Inputs by network level'!J126</f>
        <v>14804761.569380201</v>
      </c>
      <c r="N36" s="274">
        <f>'ARP_Inputs by network level'!J127</f>
        <v>151137440.56071511</v>
      </c>
      <c r="O36" s="274">
        <f>'ARP_Inputs by network level'!J128</f>
        <v>25102344.612437621</v>
      </c>
      <c r="P36" s="274">
        <f>'ARP_Inputs by network level'!J129</f>
        <v>0</v>
      </c>
      <c r="Q36" s="274">
        <f>'ARP_Inputs by network level'!J130</f>
        <v>206026699.02858776</v>
      </c>
      <c r="R36" s="274">
        <f>'ARP_Inputs by network level'!J131</f>
        <v>80581703.717901006</v>
      </c>
      <c r="S36" s="274">
        <f>'ARP_Inputs by network level'!J132</f>
        <v>49341750.299323045</v>
      </c>
    </row>
    <row r="38" spans="2:27" x14ac:dyDescent="0.25">
      <c r="C38" s="7" t="str">
        <f ca="1">INDEX('Version control'!$H$34:$H$58,MATCH($A$1,'Version control'!$F$34:$F$58,0),1)&amp;"-D: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727</v>
      </c>
    </row>
    <row r="41" spans="2:27" x14ac:dyDescent="0.25">
      <c r="C41" s="82"/>
    </row>
    <row r="42" spans="2:27" x14ac:dyDescent="0.25">
      <c r="D42" s="96"/>
      <c r="E42" s="96" t="s">
        <v>897</v>
      </c>
      <c r="I42" s="295" t="s">
        <v>431</v>
      </c>
      <c r="U42" s="295" t="s">
        <v>922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0.64059393798428077</v>
      </c>
      <c r="L43" s="137">
        <f>'ARP_Inputs by network level'!J141</f>
        <v>0.64059393798428077</v>
      </c>
      <c r="M43" s="137">
        <f>'ARP_Inputs by network level'!J142</f>
        <v>0.53217910374335931</v>
      </c>
      <c r="N43" s="137">
        <f>'ARP_Inputs by network level'!J143</f>
        <v>0.53217910374335931</v>
      </c>
      <c r="O43" s="137">
        <f>'ARP_Inputs by network level'!J144</f>
        <v>0.47753234715150211</v>
      </c>
      <c r="P43" s="137">
        <f>'ARP_Inputs by network level'!J145</f>
        <v>0</v>
      </c>
      <c r="Q43" s="137">
        <f>'ARP_Inputs by network level'!J146</f>
        <v>0.47753234715150211</v>
      </c>
      <c r="R43" s="137">
        <f>'ARP_Inputs by network level'!J147</f>
        <v>0.47753234715150211</v>
      </c>
      <c r="S43" s="137">
        <f>'ARP_Inputs by network level'!J148</f>
        <v>0.47753234715150211</v>
      </c>
    </row>
    <row r="44" spans="2:27" x14ac:dyDescent="0.25">
      <c r="F44" s="295" t="s">
        <v>85</v>
      </c>
      <c r="G44" s="109" t="s">
        <v>94</v>
      </c>
      <c r="J44" s="79"/>
      <c r="K44" s="143">
        <f>'ARP_Inputs by network level'!J152</f>
        <v>0.29893928908515344</v>
      </c>
      <c r="L44" s="143">
        <f>'ARP_Inputs by network level'!J153</f>
        <v>0.29893928908515344</v>
      </c>
      <c r="M44" s="143">
        <f>'ARP_Inputs by network level'!J154</f>
        <v>0.37365644809946624</v>
      </c>
      <c r="N44" s="143">
        <f>'ARP_Inputs by network level'!J155</f>
        <v>0.37365644809946624</v>
      </c>
      <c r="O44" s="143">
        <f>'ARP_Inputs by network level'!J156</f>
        <v>0.47784500254209555</v>
      </c>
      <c r="P44" s="143">
        <f>'ARP_Inputs by network level'!J157</f>
        <v>0</v>
      </c>
      <c r="Q44" s="143">
        <f>'ARP_Inputs by network level'!J158</f>
        <v>0.47784500254209555</v>
      </c>
      <c r="R44" s="143">
        <f>'ARP_Inputs by network level'!J159</f>
        <v>0.47784500254209555</v>
      </c>
      <c r="S44" s="143">
        <f>'ARP_Inputs by network level'!J160</f>
        <v>0.47784500254209555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94">
        <f>'ARP_Inputs by network level'!J164</f>
        <v>6.0466772930565967E-2</v>
      </c>
      <c r="L45" s="394">
        <f>'ARP_Inputs by network level'!J165</f>
        <v>6.0466772930565967E-2</v>
      </c>
      <c r="M45" s="394">
        <f>'ARP_Inputs by network level'!J166</f>
        <v>9.4164448157174549E-2</v>
      </c>
      <c r="N45" s="394">
        <f>'ARP_Inputs by network level'!J167</f>
        <v>9.4164448157174549E-2</v>
      </c>
      <c r="O45" s="394">
        <f>'ARP_Inputs by network level'!J168</f>
        <v>4.4622650306402389E-2</v>
      </c>
      <c r="P45" s="394">
        <f>'ARP_Inputs by network level'!J169</f>
        <v>0</v>
      </c>
      <c r="Q45" s="394">
        <f>'ARP_Inputs by network level'!J170</f>
        <v>4.4622650306402389E-2</v>
      </c>
      <c r="R45" s="394">
        <f>'ARP_Inputs by network level'!J171</f>
        <v>4.4622650306402389E-2</v>
      </c>
      <c r="S45" s="394">
        <f>'ARP_Inputs by network level'!J172</f>
        <v>4.4622650306402389E-2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94">
        <f>'ARP_Inputs by network level'!J176</f>
        <v>0.43452525848360851</v>
      </c>
      <c r="L46" s="394">
        <f>'ARP_Inputs by network level'!J177</f>
        <v>0.43452525848360851</v>
      </c>
      <c r="M46" s="394">
        <f>'ARP_Inputs by network level'!J178</f>
        <v>0.27632578480793984</v>
      </c>
      <c r="N46" s="394">
        <f>'ARP_Inputs by network level'!J179</f>
        <v>0.27632578480793984</v>
      </c>
      <c r="O46" s="394">
        <f>'ARP_Inputs by network level'!J180</f>
        <v>0.32769471232252295</v>
      </c>
      <c r="P46" s="394">
        <f>'ARP_Inputs by network level'!J181</f>
        <v>0</v>
      </c>
      <c r="Q46" s="394">
        <f>'ARP_Inputs by network level'!J182</f>
        <v>0.32769471232252295</v>
      </c>
      <c r="R46" s="394">
        <f>'ARP_Inputs by network level'!J183</f>
        <v>0.32769471232252295</v>
      </c>
      <c r="S46" s="394">
        <f>'ARP_Inputs by network level'!J184</f>
        <v>0.32769471232252295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5" t="s">
        <v>516</v>
      </c>
      <c r="G50" s="122" t="s">
        <v>692</v>
      </c>
      <c r="H50" s="377">
        <f t="array" ref="H50">SUM(IF(ISERROR(H18:AA47), 1))</f>
        <v>0</v>
      </c>
    </row>
    <row r="52" spans="2:27" x14ac:dyDescent="0.25">
      <c r="E52" s="295" t="s">
        <v>750</v>
      </c>
      <c r="G52" s="122" t="s">
        <v>692</v>
      </c>
      <c r="H52" s="377">
        <f>IF(K22 = 1, 0, 1)</f>
        <v>0</v>
      </c>
    </row>
    <row r="54" spans="2:27" x14ac:dyDescent="0.25">
      <c r="E54" s="96" t="s">
        <v>898</v>
      </c>
    </row>
    <row r="55" spans="2:27" x14ac:dyDescent="0.25">
      <c r="E55" s="82" t="s">
        <v>728</v>
      </c>
    </row>
    <row r="56" spans="2:27" x14ac:dyDescent="0.25">
      <c r="F56" s="91" t="s">
        <v>899</v>
      </c>
      <c r="G56" s="58" t="s">
        <v>692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692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5" t="s">
        <v>446</v>
      </c>
      <c r="G59" s="122" t="s">
        <v>692</v>
      </c>
      <c r="H59" s="152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  <row r="64" spans="2:27" x14ac:dyDescent="0.25">
      <c r="K64" s="89"/>
      <c r="L64" s="89"/>
      <c r="M64" s="89"/>
      <c r="O64" s="89"/>
      <c r="P64" s="89"/>
      <c r="Q64" s="89"/>
      <c r="R64" s="89"/>
    </row>
    <row r="65" spans="11:18" x14ac:dyDescent="0.25">
      <c r="K65" s="89"/>
      <c r="L65" s="89"/>
      <c r="M65" s="89"/>
      <c r="O65" s="89"/>
      <c r="P65" s="89"/>
      <c r="Q65" s="89"/>
      <c r="R65" s="89"/>
    </row>
    <row r="66" spans="11:18" x14ac:dyDescent="0.25">
      <c r="K66" s="89"/>
      <c r="L66" s="89"/>
      <c r="M66" s="89"/>
      <c r="O66" s="89"/>
      <c r="P66" s="89"/>
      <c r="Q66" s="89"/>
      <c r="R66" s="89"/>
    </row>
    <row r="67" spans="11:18" x14ac:dyDescent="0.25">
      <c r="K67" s="89"/>
      <c r="L67" s="89"/>
      <c r="M67" s="89"/>
      <c r="O67" s="89"/>
      <c r="P67" s="89"/>
      <c r="Q67" s="89"/>
      <c r="R67" s="89"/>
    </row>
    <row r="68" spans="11:18" x14ac:dyDescent="0.25">
      <c r="K68" s="89"/>
      <c r="L68" s="89"/>
      <c r="M68" s="89"/>
      <c r="O68" s="89"/>
      <c r="P68" s="89"/>
      <c r="Q68" s="89"/>
      <c r="R68" s="89"/>
    </row>
    <row r="69" spans="11:18" x14ac:dyDescent="0.25">
      <c r="K69" s="89"/>
      <c r="L69" s="89"/>
      <c r="M69" s="89"/>
      <c r="O69" s="89"/>
      <c r="P69" s="89"/>
      <c r="Q69" s="89"/>
      <c r="R69" s="89"/>
    </row>
    <row r="70" spans="11:18" x14ac:dyDescent="0.25">
      <c r="K70" s="89"/>
      <c r="L70" s="89"/>
      <c r="M70" s="89"/>
      <c r="O70" s="89"/>
      <c r="P70" s="89"/>
      <c r="Q70" s="89"/>
      <c r="R70" s="89"/>
    </row>
    <row r="71" spans="11:18" x14ac:dyDescent="0.25">
      <c r="K71" s="89"/>
      <c r="L71" s="89"/>
      <c r="M71" s="89"/>
      <c r="O71" s="89"/>
      <c r="P71" s="89"/>
      <c r="Q71" s="89"/>
      <c r="R71" s="89"/>
    </row>
    <row r="72" spans="11:18" x14ac:dyDescent="0.25">
      <c r="K72" s="89"/>
      <c r="L72" s="89"/>
      <c r="M72" s="89"/>
      <c r="O72" s="89"/>
      <c r="P72" s="89"/>
      <c r="Q72" s="89"/>
      <c r="R72" s="89"/>
    </row>
  </sheetData>
  <sheetProtection sheet="1" objects="1" formatCells="0" formatColumns="0" formatRows="0" sort="0" autoFilter="0"/>
  <conditionalFormatting sqref="H56 K56 N56:O56">
    <cfRule type="cellIs" dxfId="194" priority="10" operator="greaterThan">
      <formula>0</formula>
    </cfRule>
  </conditionalFormatting>
  <conditionalFormatting sqref="H50">
    <cfRule type="cellIs" dxfId="193" priority="9" operator="greaterThan">
      <formula>0</formula>
    </cfRule>
  </conditionalFormatting>
  <conditionalFormatting sqref="Q56:S56">
    <cfRule type="cellIs" dxfId="192" priority="8" operator="greaterThan">
      <formula>0</formula>
    </cfRule>
  </conditionalFormatting>
  <conditionalFormatting sqref="H59">
    <cfRule type="cellIs" dxfId="191" priority="7" operator="greaterThan">
      <formula>0</formula>
    </cfRule>
  </conditionalFormatting>
  <conditionalFormatting sqref="H57">
    <cfRule type="cellIs" dxfId="190" priority="6" operator="greaterThan">
      <formula>0</formula>
    </cfRule>
  </conditionalFormatting>
  <conditionalFormatting sqref="P57">
    <cfRule type="cellIs" dxfId="189" priority="5" operator="greaterThan">
      <formula>0</formula>
    </cfRule>
  </conditionalFormatting>
  <conditionalFormatting sqref="M57">
    <cfRule type="cellIs" dxfId="188" priority="4" operator="greaterThan">
      <formula>0</formula>
    </cfRule>
  </conditionalFormatting>
  <conditionalFormatting sqref="L57">
    <cfRule type="cellIs" dxfId="187" priority="3" operator="greaterThan">
      <formula>0</formula>
    </cfRule>
  </conditionalFormatting>
  <conditionalFormatting sqref="H52">
    <cfRule type="cellIs" dxfId="186" priority="2" operator="greaterThan">
      <formula>0</formula>
    </cfRule>
  </conditionalFormatting>
  <conditionalFormatting sqref="A4:XFD4">
    <cfRule type="expression" dxfId="185" priority="1">
      <formula>LEFT($A$4,1) &lt;&gt; "0"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0000000-0002-0000-0F00-000000000000}">
      <formula1>0</formula1>
    </dataValidation>
    <dataValidation type="decimal" allowBlank="1" showErrorMessage="1" prompt="Red, Amber and Green must sum to 100%." sqref="K43:S45" xr:uid="{00000000-0002-0000-0F00-000001000000}">
      <formula1>0</formula1>
      <formula2>1</formula2>
    </dataValidation>
    <dataValidation type="decimal" allowBlank="1" showInputMessage="1" showErrorMessage="1" sqref="P22 P18 K46:S46" xr:uid="{00000000-0002-0000-0F00-000002000000}">
      <formula1>0</formula1>
      <formula2>1</formula2>
    </dataValidation>
    <dataValidation type="decimal" operator="greaterThanOrEqual" allowBlank="1" showInputMessage="1" showErrorMessage="1" sqref="L36:S36" xr:uid="{00000000-0002-0000-0F00-000003000000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00000000-0002-0000-0F00-000004000000}">
      <formula1>0</formula1>
      <formula2>1</formula2>
    </dataValidation>
    <dataValidation type="decimal" allowBlank="1" showInputMessage="1" showErrorMessage="1" sqref="L22:O22 Q22:S22" xr:uid="{00000000-0002-0000-0F00-000005000000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0000000-0002-0000-0F00-000006000000}">
      <formula1>0</formula1>
      <formula2>4</formula2>
    </dataValidation>
    <dataValidation type="decimal" operator="greaterThan" allowBlank="1" showInputMessage="1" showErrorMessage="1" sqref="K22" xr:uid="{00000000-0002-0000-0F00-000007000000}">
      <formula1>0</formula1>
    </dataValidation>
  </dataValidations>
  <hyperlinks>
    <hyperlink ref="B5:F5" location="'Model map'!A1" display="Click here to return to model map" xr:uid="{00000000-0004-0000-0F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10" width="50.5703125" style="295" customWidth="1"/>
    <col min="11" max="11" width="2.42578125" style="295" customWidth="1"/>
    <col min="12" max="17" width="15.42578125" style="295" hidden="1" customWidth="1"/>
    <col min="18" max="27" width="20.5703125" style="295" hidden="1" customWidth="1"/>
    <col min="28" max="28" width="2.5703125" style="295" hidden="1" customWidth="1"/>
    <col min="29" max="256" width="20.5703125" style="295" hidden="1" customWidth="1"/>
    <col min="257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71" t="s">
        <v>552</v>
      </c>
      <c r="C5" s="372"/>
      <c r="D5" s="372"/>
      <c r="E5" s="372"/>
      <c r="F5" s="372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539</v>
      </c>
      <c r="G9" s="108"/>
    </row>
    <row r="10" spans="1:27" x14ac:dyDescent="0.25">
      <c r="C10" s="82"/>
      <c r="G10" s="108"/>
    </row>
    <row r="11" spans="1:27" x14ac:dyDescent="0.25">
      <c r="C11" s="82"/>
      <c r="E11" s="295" t="s">
        <v>582</v>
      </c>
      <c r="G11" s="295" t="s">
        <v>583</v>
      </c>
      <c r="H11" s="401" t="str">
        <f>charging_year_selected</f>
        <v>2021/22</v>
      </c>
    </row>
    <row r="12" spans="1:27" x14ac:dyDescent="0.25">
      <c r="C12" s="82"/>
      <c r="E12" s="295" t="s">
        <v>567</v>
      </c>
      <c r="G12" s="295" t="s">
        <v>385</v>
      </c>
      <c r="H12" s="455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656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control'!$H$34:$H$58,MATCH($A$1,'Version control'!$F$34:$F$58,0),1)&amp;"-A: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263</v>
      </c>
      <c r="E18" s="96"/>
      <c r="G18" s="108"/>
      <c r="I18" s="295" t="s">
        <v>431</v>
      </c>
      <c r="J18" s="295" t="s">
        <v>923</v>
      </c>
    </row>
    <row r="19" spans="3:27" x14ac:dyDescent="0.25">
      <c r="E19" s="16" t="s">
        <v>87</v>
      </c>
      <c r="F19" s="16"/>
      <c r="G19" s="129" t="s">
        <v>607</v>
      </c>
      <c r="H19" s="273">
        <f>'ARP_General inputs'!J19</f>
        <v>258</v>
      </c>
    </row>
    <row r="20" spans="3:27" x14ac:dyDescent="0.25">
      <c r="E20" s="14" t="s">
        <v>88</v>
      </c>
      <c r="F20" s="14"/>
      <c r="G20" s="108" t="s">
        <v>607</v>
      </c>
      <c r="H20" s="274">
        <f>'ARP_General inputs'!J20</f>
        <v>3942.5</v>
      </c>
    </row>
    <row r="21" spans="3:27" x14ac:dyDescent="0.25">
      <c r="E21" s="15" t="s">
        <v>86</v>
      </c>
      <c r="F21" s="15"/>
      <c r="G21" s="131" t="s">
        <v>607</v>
      </c>
      <c r="H21" s="275">
        <f>'ARP_General inputs'!J21</f>
        <v>4559.5</v>
      </c>
    </row>
    <row r="22" spans="3:27" x14ac:dyDescent="0.25">
      <c r="G22" s="108"/>
      <c r="H22" s="253"/>
    </row>
    <row r="23" spans="3:27" x14ac:dyDescent="0.25">
      <c r="D23" s="96" t="s">
        <v>264</v>
      </c>
      <c r="E23" s="96"/>
      <c r="G23" s="108"/>
      <c r="H23" s="253"/>
      <c r="I23" s="295" t="s">
        <v>431</v>
      </c>
      <c r="J23" s="295" t="s">
        <v>923</v>
      </c>
    </row>
    <row r="24" spans="3:27" x14ac:dyDescent="0.25">
      <c r="E24" s="91" t="s">
        <v>84</v>
      </c>
      <c r="F24" s="91"/>
      <c r="G24" s="129" t="s">
        <v>607</v>
      </c>
      <c r="H24" s="273">
        <f>'ARP_General inputs'!J24</f>
        <v>783</v>
      </c>
    </row>
    <row r="25" spans="3:27" x14ac:dyDescent="0.25">
      <c r="E25" s="295" t="s">
        <v>85</v>
      </c>
      <c r="G25" s="108" t="s">
        <v>607</v>
      </c>
      <c r="H25" s="274">
        <f>'ARP_General inputs'!J25</f>
        <v>3417.5</v>
      </c>
    </row>
    <row r="26" spans="3:27" x14ac:dyDescent="0.25">
      <c r="E26" s="93" t="s">
        <v>86</v>
      </c>
      <c r="F26" s="93"/>
      <c r="G26" s="131" t="s">
        <v>607</v>
      </c>
      <c r="H26" s="275">
        <f>'ARP_General inputs'!J26</f>
        <v>4559.5</v>
      </c>
    </row>
    <row r="27" spans="3:27" x14ac:dyDescent="0.25">
      <c r="G27" s="108"/>
    </row>
    <row r="28" spans="3:27" x14ac:dyDescent="0.25">
      <c r="C28" s="7" t="str">
        <f ca="1">INDEX('Version control'!$H$34:$H$58,MATCH($A$1,'Version control'!$F$34:$F$58,0),1)&amp;"-B: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900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255</v>
      </c>
      <c r="E32" s="96"/>
      <c r="G32" s="108"/>
      <c r="I32" s="295" t="s">
        <v>431</v>
      </c>
      <c r="J32" s="295" t="s">
        <v>801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0.38002274557606974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0.55710107807599307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0.28402147020999663</v>
      </c>
    </row>
    <row r="36" spans="3:27" x14ac:dyDescent="0.25">
      <c r="E36" s="15" t="s">
        <v>69</v>
      </c>
      <c r="F36" s="93"/>
      <c r="G36" s="36" t="s">
        <v>94</v>
      </c>
      <c r="H36" s="394">
        <f>'ARP_General inputs'!J36</f>
        <v>0.19097590599842459</v>
      </c>
    </row>
    <row r="37" spans="3:27" x14ac:dyDescent="0.25">
      <c r="G37" s="108"/>
    </row>
    <row r="38" spans="3:27" x14ac:dyDescent="0.25">
      <c r="C38" s="7" t="str">
        <f ca="1">INDEX('Version control'!$H$34:$H$58,MATCH($A$1,'Version control'!$F$34:$F$58,0),1)&amp;"-C: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803</v>
      </c>
      <c r="E40" s="82"/>
      <c r="G40" s="108"/>
      <c r="H40" s="108"/>
      <c r="I40" s="295" t="s">
        <v>431</v>
      </c>
      <c r="J40" s="295" t="s">
        <v>802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1033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5" t="s">
        <v>0</v>
      </c>
      <c r="G43" s="295" t="s">
        <v>107</v>
      </c>
      <c r="H43" s="274">
        <f>'ARP_General inputs'!J43</f>
        <v>310900000</v>
      </c>
    </row>
    <row r="44" spans="3:27" x14ac:dyDescent="0.25">
      <c r="E44" s="295" t="s">
        <v>1</v>
      </c>
      <c r="G44" s="295" t="s">
        <v>107</v>
      </c>
      <c r="H44" s="274">
        <f>'ARP_General inputs'!J44</f>
        <v>533025.1711633309</v>
      </c>
    </row>
    <row r="45" spans="3:27" x14ac:dyDescent="0.25">
      <c r="E45" s="295" t="s">
        <v>2</v>
      </c>
      <c r="G45" s="295" t="s">
        <v>107</v>
      </c>
      <c r="H45" s="274">
        <f>'ARP_General inputs'!J45</f>
        <v>-2355921.994959096</v>
      </c>
    </row>
    <row r="46" spans="3:27" x14ac:dyDescent="0.25">
      <c r="E46" s="93" t="s">
        <v>3</v>
      </c>
      <c r="F46" s="93"/>
      <c r="G46" s="93" t="s">
        <v>528</v>
      </c>
      <c r="H46" s="275">
        <f>'ARP_General inputs'!J46</f>
        <v>1.2609999999999999</v>
      </c>
    </row>
    <row r="47" spans="3:27" x14ac:dyDescent="0.25">
      <c r="E47" s="295" t="s">
        <v>4</v>
      </c>
      <c r="G47" s="295" t="s">
        <v>107</v>
      </c>
      <c r="H47" s="276">
        <f>SUM(H43:H45)</f>
        <v>309077103.1762042</v>
      </c>
    </row>
    <row r="48" spans="3:27" x14ac:dyDescent="0.25">
      <c r="E48" s="295" t="s">
        <v>538</v>
      </c>
      <c r="G48" s="295" t="s">
        <v>107</v>
      </c>
      <c r="H48" s="276">
        <f>H47 * (H46 - 1)</f>
        <v>80669123.928989261</v>
      </c>
    </row>
    <row r="49" spans="5:8" x14ac:dyDescent="0.25">
      <c r="H49" s="253"/>
    </row>
    <row r="50" spans="5:8" x14ac:dyDescent="0.25">
      <c r="E50" s="295" t="s">
        <v>5</v>
      </c>
      <c r="G50" s="295" t="s">
        <v>107</v>
      </c>
      <c r="H50" s="274">
        <f>'ARP_General inputs'!J50</f>
        <v>362400.22189845564</v>
      </c>
    </row>
    <row r="51" spans="5:8" x14ac:dyDescent="0.25">
      <c r="E51" s="295" t="s">
        <v>6</v>
      </c>
      <c r="G51" s="295" t="s">
        <v>107</v>
      </c>
      <c r="H51" s="274">
        <f>'ARP_General inputs'!J51</f>
        <v>6721889.8556509735</v>
      </c>
    </row>
    <row r="52" spans="5:8" x14ac:dyDescent="0.25">
      <c r="E52" s="295" t="s">
        <v>7</v>
      </c>
      <c r="G52" s="295" t="s">
        <v>107</v>
      </c>
      <c r="H52" s="274">
        <f>'ARP_General inputs'!J52</f>
        <v>-121325.85780384066</v>
      </c>
    </row>
    <row r="53" spans="5:8" x14ac:dyDescent="0.25">
      <c r="E53" s="295" t="s">
        <v>8</v>
      </c>
      <c r="G53" s="295" t="s">
        <v>107</v>
      </c>
      <c r="H53" s="274">
        <f>'ARP_General inputs'!J53</f>
        <v>1497149.5618575285</v>
      </c>
    </row>
    <row r="54" spans="5:8" x14ac:dyDescent="0.25">
      <c r="E54" s="295" t="s">
        <v>9</v>
      </c>
      <c r="G54" s="295" t="s">
        <v>107</v>
      </c>
      <c r="H54" s="274">
        <f>'ARP_General inputs'!J54</f>
        <v>70277.085039683006</v>
      </c>
    </row>
    <row r="55" spans="5:8" x14ac:dyDescent="0.25">
      <c r="E55" s="295" t="s">
        <v>10</v>
      </c>
      <c r="G55" s="295" t="s">
        <v>107</v>
      </c>
      <c r="H55" s="274">
        <f>'ARP_General inputs'!J55</f>
        <v>0</v>
      </c>
    </row>
    <row r="56" spans="5:8" x14ac:dyDescent="0.25">
      <c r="E56" s="295" t="s">
        <v>1121</v>
      </c>
      <c r="G56" s="295" t="s">
        <v>107</v>
      </c>
      <c r="H56" s="274">
        <f>'ARP_General inputs'!J56</f>
        <v>35542.579269051414</v>
      </c>
    </row>
    <row r="57" spans="5:8" x14ac:dyDescent="0.25">
      <c r="E57" s="295" t="s">
        <v>1122</v>
      </c>
      <c r="G57" s="295" t="s">
        <v>107</v>
      </c>
      <c r="H57" s="274">
        <f>'ARP_General inputs'!J57</f>
        <v>1428543.453235823</v>
      </c>
    </row>
    <row r="58" spans="5:8" x14ac:dyDescent="0.25">
      <c r="E58" s="93" t="s">
        <v>11</v>
      </c>
      <c r="F58" s="93"/>
      <c r="G58" s="93" t="s">
        <v>107</v>
      </c>
      <c r="H58" s="275">
        <f>'ARP_General inputs'!J58</f>
        <v>0</v>
      </c>
    </row>
    <row r="59" spans="5:8" x14ac:dyDescent="0.25">
      <c r="E59" s="295" t="s">
        <v>12</v>
      </c>
      <c r="G59" s="295" t="s">
        <v>107</v>
      </c>
      <c r="H59" s="270">
        <f>SUM(H50:H58)</f>
        <v>9994476.8991476763</v>
      </c>
    </row>
    <row r="60" spans="5:8" x14ac:dyDescent="0.25">
      <c r="H60" s="253"/>
    </row>
    <row r="61" spans="5:8" x14ac:dyDescent="0.25">
      <c r="E61" s="295" t="s">
        <v>13</v>
      </c>
      <c r="G61" s="295" t="s">
        <v>107</v>
      </c>
      <c r="H61" s="274">
        <f>'ARP_General inputs'!J61</f>
        <v>4163072.2344266209</v>
      </c>
    </row>
    <row r="62" spans="5:8" x14ac:dyDescent="0.25">
      <c r="E62" s="295" t="s">
        <v>14</v>
      </c>
      <c r="G62" s="295" t="s">
        <v>107</v>
      </c>
      <c r="H62" s="274">
        <f>'ARP_General inputs'!J62</f>
        <v>4710478.7801506864</v>
      </c>
    </row>
    <row r="63" spans="5:8" x14ac:dyDescent="0.25">
      <c r="E63" s="295" t="s">
        <v>15</v>
      </c>
      <c r="G63" s="295" t="s">
        <v>107</v>
      </c>
      <c r="H63" s="274">
        <f>'ARP_General inputs'!J63</f>
        <v>0</v>
      </c>
    </row>
    <row r="64" spans="5:8" x14ac:dyDescent="0.25">
      <c r="E64" s="295" t="s">
        <v>16</v>
      </c>
      <c r="G64" s="295" t="s">
        <v>107</v>
      </c>
      <c r="H64" s="274">
        <f>'ARP_General inputs'!J64</f>
        <v>713669.52590170642</v>
      </c>
    </row>
    <row r="65" spans="5:8" x14ac:dyDescent="0.25">
      <c r="E65" s="295" t="s">
        <v>17</v>
      </c>
      <c r="G65" s="295" t="s">
        <v>107</v>
      </c>
      <c r="H65" s="274">
        <f>'ARP_General inputs'!J65</f>
        <v>735162.99999999988</v>
      </c>
    </row>
    <row r="66" spans="5:8" x14ac:dyDescent="0.25">
      <c r="E66" s="295" t="s">
        <v>18</v>
      </c>
      <c r="G66" s="295" t="s">
        <v>107</v>
      </c>
      <c r="H66" s="274">
        <f>'ARP_General inputs'!J66</f>
        <v>1364836.5360000003</v>
      </c>
    </row>
    <row r="67" spans="5:8" x14ac:dyDescent="0.25">
      <c r="E67" s="295" t="s">
        <v>19</v>
      </c>
      <c r="G67" s="295" t="s">
        <v>107</v>
      </c>
      <c r="H67" s="274">
        <f>'ARP_General inputs'!J67</f>
        <v>0</v>
      </c>
    </row>
    <row r="68" spans="5:8" x14ac:dyDescent="0.25">
      <c r="E68" s="295" t="s">
        <v>20</v>
      </c>
      <c r="G68" s="295" t="s">
        <v>107</v>
      </c>
      <c r="H68" s="274">
        <f>'ARP_General inputs'!J68</f>
        <v>0</v>
      </c>
    </row>
    <row r="69" spans="5:8" x14ac:dyDescent="0.25">
      <c r="E69" s="295" t="s">
        <v>21</v>
      </c>
      <c r="G69" s="295" t="s">
        <v>107</v>
      </c>
      <c r="H69" s="274">
        <f>'ARP_General inputs'!J69</f>
        <v>0</v>
      </c>
    </row>
    <row r="70" spans="5:8" x14ac:dyDescent="0.25">
      <c r="E70" s="295" t="s">
        <v>22</v>
      </c>
      <c r="G70" s="295" t="s">
        <v>107</v>
      </c>
      <c r="H70" s="274">
        <f>'ARP_General inputs'!J70</f>
        <v>0</v>
      </c>
    </row>
    <row r="71" spans="5:8" x14ac:dyDescent="0.25">
      <c r="E71" s="93" t="s">
        <v>23</v>
      </c>
      <c r="F71" s="93"/>
      <c r="G71" s="93" t="s">
        <v>107</v>
      </c>
      <c r="H71" s="275">
        <f>'ARP_General inputs'!J71</f>
        <v>0</v>
      </c>
    </row>
    <row r="72" spans="5:8" x14ac:dyDescent="0.25">
      <c r="E72" s="295" t="s">
        <v>24</v>
      </c>
      <c r="G72" s="295" t="s">
        <v>107</v>
      </c>
      <c r="H72" s="276">
        <f>SUM(H61:H71)</f>
        <v>11687220.076479014</v>
      </c>
    </row>
    <row r="73" spans="5:8" x14ac:dyDescent="0.25">
      <c r="H73" s="253"/>
    </row>
    <row r="74" spans="5:8" x14ac:dyDescent="0.25">
      <c r="E74" s="93" t="s">
        <v>25</v>
      </c>
      <c r="F74" s="93"/>
      <c r="G74" s="93" t="s">
        <v>107</v>
      </c>
      <c r="H74" s="275">
        <f>'ARP_General inputs'!J74</f>
        <v>-17629263.193433948</v>
      </c>
    </row>
    <row r="75" spans="5:8" x14ac:dyDescent="0.25">
      <c r="E75" s="295" t="s">
        <v>26</v>
      </c>
      <c r="G75" s="295" t="s">
        <v>107</v>
      </c>
      <c r="H75" s="276">
        <f>H74 + H72 + H59 + H48 + H47</f>
        <v>393798660.8873862</v>
      </c>
    </row>
    <row r="76" spans="5:8" x14ac:dyDescent="0.25">
      <c r="H76" s="253"/>
    </row>
    <row r="77" spans="5:8" x14ac:dyDescent="0.25">
      <c r="E77" s="295" t="s">
        <v>27</v>
      </c>
      <c r="G77" s="295" t="s">
        <v>107</v>
      </c>
      <c r="H77" s="274">
        <f>'ARP_General inputs'!J77</f>
        <v>0</v>
      </c>
    </row>
    <row r="78" spans="5:8" x14ac:dyDescent="0.25">
      <c r="E78" s="295" t="s">
        <v>28</v>
      </c>
      <c r="G78" s="295" t="s">
        <v>107</v>
      </c>
      <c r="H78" s="274">
        <f>'ARP_General inputs'!J78</f>
        <v>550076.828243747</v>
      </c>
    </row>
    <row r="79" spans="5:8" x14ac:dyDescent="0.25">
      <c r="E79" s="295" t="s">
        <v>29</v>
      </c>
      <c r="G79" s="295" t="s">
        <v>107</v>
      </c>
      <c r="H79" s="274">
        <f>'ARP_General inputs'!J79</f>
        <v>0</v>
      </c>
    </row>
    <row r="80" spans="5:8" x14ac:dyDescent="0.25">
      <c r="E80" s="295" t="s">
        <v>30</v>
      </c>
      <c r="G80" s="295" t="s">
        <v>107</v>
      </c>
      <c r="H80" s="274">
        <f>'ARP_General inputs'!J80</f>
        <v>0</v>
      </c>
    </row>
    <row r="81" spans="3:27" x14ac:dyDescent="0.25">
      <c r="E81" s="93" t="s">
        <v>31</v>
      </c>
      <c r="F81" s="93"/>
      <c r="G81" s="93" t="s">
        <v>107</v>
      </c>
      <c r="H81" s="275">
        <f>'ARP_General inputs'!J81</f>
        <v>0</v>
      </c>
    </row>
    <row r="82" spans="3:27" x14ac:dyDescent="0.25">
      <c r="E82" s="93" t="s">
        <v>32</v>
      </c>
      <c r="F82" s="93"/>
      <c r="G82" s="93" t="s">
        <v>107</v>
      </c>
      <c r="H82" s="269">
        <f>SUM(H77:H81)</f>
        <v>550076.828243747</v>
      </c>
    </row>
    <row r="83" spans="3:27" x14ac:dyDescent="0.25">
      <c r="E83" s="295" t="s">
        <v>33</v>
      </c>
      <c r="G83" s="295" t="s">
        <v>107</v>
      </c>
      <c r="H83" s="270">
        <f>H75+H82</f>
        <v>394348737.71562994</v>
      </c>
    </row>
    <row r="84" spans="3:27" x14ac:dyDescent="0.25">
      <c r="H84" s="253"/>
    </row>
    <row r="85" spans="3:27" x14ac:dyDescent="0.25">
      <c r="E85" s="295" t="s">
        <v>34</v>
      </c>
      <c r="G85" s="295" t="s">
        <v>107</v>
      </c>
      <c r="H85" s="274">
        <f>'ARP_General inputs'!J85</f>
        <v>32062587.726600684</v>
      </c>
    </row>
    <row r="86" spans="3:27" x14ac:dyDescent="0.25">
      <c r="E86" s="295" t="s">
        <v>35</v>
      </c>
      <c r="G86" s="295" t="s">
        <v>107</v>
      </c>
      <c r="H86" s="274">
        <f>'ARP_General inputs'!J86</f>
        <v>0</v>
      </c>
    </row>
    <row r="87" spans="3:27" x14ac:dyDescent="0.25">
      <c r="E87" s="295" t="s">
        <v>36</v>
      </c>
      <c r="G87" s="295" t="s">
        <v>107</v>
      </c>
      <c r="H87" s="274">
        <f>'ARP_General inputs'!J87</f>
        <v>0</v>
      </c>
    </row>
    <row r="88" spans="3:27" x14ac:dyDescent="0.25">
      <c r="E88" s="93" t="s">
        <v>37</v>
      </c>
      <c r="F88" s="93"/>
      <c r="G88" s="93" t="s">
        <v>107</v>
      </c>
      <c r="H88" s="275">
        <f>'ARP_General inputs'!J88</f>
        <v>0</v>
      </c>
    </row>
    <row r="89" spans="3:27" x14ac:dyDescent="0.25">
      <c r="E89" s="295" t="s">
        <v>38</v>
      </c>
      <c r="G89" s="295" t="s">
        <v>107</v>
      </c>
      <c r="H89" s="276">
        <f>SUM(H85:H88)</f>
        <v>32062587.726600684</v>
      </c>
    </row>
    <row r="90" spans="3:27" x14ac:dyDescent="0.25">
      <c r="E90" s="91" t="s">
        <v>39</v>
      </c>
      <c r="F90" s="91"/>
      <c r="G90" s="91" t="s">
        <v>107</v>
      </c>
      <c r="H90" s="255">
        <f>H83-H89</f>
        <v>362286149.98902923</v>
      </c>
    </row>
    <row r="91" spans="3:27" x14ac:dyDescent="0.25">
      <c r="H91" s="386"/>
    </row>
    <row r="92" spans="3:27" x14ac:dyDescent="0.25">
      <c r="C92" s="7" t="str">
        <f ca="1">INDEX('Version control'!$H$34:$H$58,MATCH($A$1,'Version control'!$F$34:$F$58,0),1)&amp;"-D: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25">
      <c r="E94" s="14" t="s">
        <v>719</v>
      </c>
      <c r="G94" s="295" t="s">
        <v>94</v>
      </c>
      <c r="H94" s="388">
        <f>'ARP_General inputs'!J100</f>
        <v>3.6900000000000002E-2</v>
      </c>
      <c r="I94" s="295" t="s">
        <v>431</v>
      </c>
      <c r="J94" s="88" t="s">
        <v>804</v>
      </c>
    </row>
    <row r="95" spans="3:27" x14ac:dyDescent="0.25">
      <c r="E95" s="14" t="s">
        <v>41</v>
      </c>
      <c r="G95" s="14" t="s">
        <v>605</v>
      </c>
      <c r="H95" s="384">
        <f>'ARP_General inputs'!J101</f>
        <v>365</v>
      </c>
    </row>
    <row r="96" spans="3:27" x14ac:dyDescent="0.25">
      <c r="E96" s="295" t="s">
        <v>540</v>
      </c>
      <c r="G96" s="295" t="s">
        <v>267</v>
      </c>
      <c r="H96" s="312">
        <f>days_in_year * hours_in_day</f>
        <v>8760</v>
      </c>
    </row>
    <row r="98" spans="2:27" x14ac:dyDescent="0.25">
      <c r="C98" s="7" t="str">
        <f ca="1">INDEX('Version control'!$H$34:$H$58,MATCH($A$1,'Version control'!$F$34:$F$58,0),1)&amp;"-E: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25">
      <c r="E100" s="14" t="s">
        <v>117</v>
      </c>
      <c r="G100" s="295" t="s">
        <v>606</v>
      </c>
      <c r="H100" s="274">
        <f>'ARP_General inputs'!J105</f>
        <v>21063474.14219616</v>
      </c>
      <c r="I100" s="295" t="s">
        <v>431</v>
      </c>
      <c r="J100" s="295" t="s">
        <v>805</v>
      </c>
    </row>
    <row r="101" spans="2:27" x14ac:dyDescent="0.25">
      <c r="H101" s="253"/>
    </row>
    <row r="102" spans="2:27" x14ac:dyDescent="0.25">
      <c r="C102" s="7" t="str">
        <f ca="1">INDEX('Version control'!$H$34:$H$58,MATCH($A$1,'Version control'!$F$34:$F$58,0),1)&amp;"-F: Other expenditure"</f>
        <v>Section 503-F: Other expenditure</v>
      </c>
      <c r="D102" s="7"/>
      <c r="E102" s="7"/>
      <c r="F102" s="7"/>
      <c r="G102" s="172"/>
      <c r="H102" s="243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25">
      <c r="H103" s="253"/>
    </row>
    <row r="104" spans="2:27" x14ac:dyDescent="0.25">
      <c r="E104" s="96" t="s">
        <v>79</v>
      </c>
      <c r="F104" s="96"/>
      <c r="H104" s="253"/>
      <c r="I104" s="295" t="s">
        <v>431</v>
      </c>
      <c r="J104" s="295" t="s">
        <v>806</v>
      </c>
    </row>
    <row r="105" spans="2:27" x14ac:dyDescent="0.25">
      <c r="F105" s="16" t="s">
        <v>128</v>
      </c>
      <c r="G105" s="91" t="s">
        <v>606</v>
      </c>
      <c r="H105" s="273">
        <f>'ARP_General inputs'!J110</f>
        <v>27148683.067078464</v>
      </c>
    </row>
    <row r="106" spans="2:27" x14ac:dyDescent="0.25">
      <c r="F106" s="14" t="s">
        <v>129</v>
      </c>
      <c r="G106" s="295" t="s">
        <v>606</v>
      </c>
      <c r="H106" s="274">
        <f>'ARP_General inputs'!J111</f>
        <v>65878403.730445035</v>
      </c>
      <c r="R106" s="86"/>
      <c r="S106" s="86"/>
    </row>
    <row r="107" spans="2:27" x14ac:dyDescent="0.25">
      <c r="F107" s="15" t="s">
        <v>130</v>
      </c>
      <c r="G107" s="93" t="s">
        <v>606</v>
      </c>
      <c r="H107" s="275">
        <f>'ARP_General inputs'!J112</f>
        <v>25006389.855650973</v>
      </c>
      <c r="R107" s="86"/>
      <c r="S107" s="86"/>
    </row>
    <row r="109" spans="2:27" x14ac:dyDescent="0.2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25">
      <c r="E111" s="295" t="s">
        <v>516</v>
      </c>
      <c r="G111" s="122" t="s">
        <v>692</v>
      </c>
      <c r="H111" s="377">
        <f t="array" ref="H111">SUM(IF(ISERROR(H6:H108), 1))</f>
        <v>0</v>
      </c>
    </row>
    <row r="113" spans="2:27" x14ac:dyDescent="0.25">
      <c r="E113" s="96" t="s">
        <v>893</v>
      </c>
    </row>
    <row r="114" spans="2:27" x14ac:dyDescent="0.25">
      <c r="F114" s="91" t="s">
        <v>541</v>
      </c>
      <c r="G114" s="58" t="s">
        <v>692</v>
      </c>
      <c r="H114" s="177">
        <f>IF(SUM(H19:H21) = hours_in_year, 0, 1)</f>
        <v>0</v>
      </c>
    </row>
    <row r="115" spans="2:27" x14ac:dyDescent="0.25">
      <c r="F115" s="93" t="s">
        <v>542</v>
      </c>
      <c r="G115" s="61" t="s">
        <v>692</v>
      </c>
      <c r="H115" s="179">
        <f>IF(SUM(H24:H26) = hours_in_year, 0, 1)</f>
        <v>0</v>
      </c>
    </row>
    <row r="117" spans="2:27" x14ac:dyDescent="0.25">
      <c r="E117" s="295" t="s">
        <v>446</v>
      </c>
      <c r="G117" s="122" t="s">
        <v>692</v>
      </c>
      <c r="H117" s="152">
        <f>SUM(H111,H114:H115)</f>
        <v>0</v>
      </c>
    </row>
    <row r="119" spans="2:27" x14ac:dyDescent="0.2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4" priority="4" operator="greaterThan">
      <formula>0</formula>
    </cfRule>
  </conditionalFormatting>
  <conditionalFormatting sqref="H114:H117">
    <cfRule type="cellIs" dxfId="183" priority="3" operator="greaterThan">
      <formula>0</formula>
    </cfRule>
  </conditionalFormatting>
  <conditionalFormatting sqref="H117">
    <cfRule type="cellIs" dxfId="182" priority="2" operator="greaterThan">
      <formula>0</formula>
    </cfRule>
  </conditionalFormatting>
  <conditionalFormatting sqref="A4:XFD4">
    <cfRule type="expression" dxfId="181" priority="1">
      <formula>LEFT($A$4,1) &lt;&gt; "0"</formula>
    </cfRule>
  </conditionalFormatting>
  <dataValidations count="5">
    <dataValidation type="whole" allowBlank="1" showInputMessage="1" showErrorMessage="1" sqref="H96" xr:uid="{00000000-0002-0000-1000-000000000000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00000000-0002-0000-1000-000001000000}">
      <formula1>0</formula1>
    </dataValidation>
    <dataValidation type="decimal" operator="greaterThanOrEqual" allowBlank="1" showInputMessage="1" showErrorMessage="1" sqref="H19:H21 H24:H26 H105:H107 H100" xr:uid="{00000000-0002-0000-1000-000002000000}">
      <formula1>0</formula1>
    </dataValidation>
    <dataValidation type="decimal" allowBlank="1" showInputMessage="1" showErrorMessage="1" sqref="H95" xr:uid="{00000000-0002-0000-1000-000003000000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0000000-0002-0000-1000-000004000000}">
      <formula1>0</formula1>
      <formula2>1</formula2>
    </dataValidation>
  </dataValidations>
  <hyperlinks>
    <hyperlink ref="B5:F5" location="'Model map'!A1" display="Click here to return to model map" xr:uid="{00000000-0004-0000-10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>
    <tabColor theme="4" tint="0.59999389629810485"/>
    <pageSetUpPr fitToPage="1"/>
  </sheetPr>
  <dimension ref="A1:KZ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814</v>
      </c>
      <c r="E9" s="295"/>
    </row>
    <row r="10" spans="1:27" x14ac:dyDescent="0.25">
      <c r="C10" s="82" t="s">
        <v>613</v>
      </c>
      <c r="E10" s="295"/>
    </row>
    <row r="11" spans="1:27" x14ac:dyDescent="0.25">
      <c r="C11" s="82" t="s">
        <v>614</v>
      </c>
      <c r="E11" s="295"/>
    </row>
    <row r="12" spans="1:27" x14ac:dyDescent="0.25">
      <c r="C12" s="82" t="s">
        <v>615</v>
      </c>
      <c r="E12" s="295"/>
    </row>
    <row r="13" spans="1:27" x14ac:dyDescent="0.25">
      <c r="C13" s="82"/>
      <c r="E13" s="295"/>
    </row>
    <row r="14" spans="1:27" x14ac:dyDescent="0.25">
      <c r="C14" s="82" t="s">
        <v>399</v>
      </c>
      <c r="E14" s="295"/>
    </row>
    <row r="15" spans="1:27" x14ac:dyDescent="0.25">
      <c r="C15" s="82" t="s">
        <v>325</v>
      </c>
      <c r="E15" s="295"/>
    </row>
    <row r="17" spans="2:27" x14ac:dyDescent="0.25">
      <c r="B17" s="95" t="s">
        <v>439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control'!$H$34:$H$58,MATCH($A$1,'Version control'!$F$34:$F$58,0),1)&amp;"-A: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524</v>
      </c>
      <c r="F21" s="98"/>
    </row>
    <row r="22" spans="2:27" x14ac:dyDescent="0.25">
      <c r="D22" s="86"/>
      <c r="F22" s="98"/>
    </row>
    <row r="23" spans="2:27" x14ac:dyDescent="0.25">
      <c r="D23" s="295"/>
      <c r="E23" s="96" t="s">
        <v>617</v>
      </c>
      <c r="F23" s="96"/>
      <c r="I23" s="295" t="s">
        <v>431</v>
      </c>
      <c r="AA23" s="295" t="s">
        <v>811</v>
      </c>
    </row>
    <row r="24" spans="2:27" x14ac:dyDescent="0.25">
      <c r="D24" s="295"/>
      <c r="E24" s="82" t="s">
        <v>815</v>
      </c>
    </row>
    <row r="25" spans="2:27" x14ac:dyDescent="0.25">
      <c r="D25" s="86"/>
      <c r="F25" s="91" t="s">
        <v>324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5" t="s">
        <v>43</v>
      </c>
      <c r="G26" s="295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5" t="s">
        <v>44</v>
      </c>
      <c r="G27" s="295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5" t="s">
        <v>45</v>
      </c>
      <c r="G28" s="295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5" t="s">
        <v>46</v>
      </c>
      <c r="G29" s="295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5" t="s">
        <v>47</v>
      </c>
      <c r="G30" s="295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5" t="s">
        <v>51</v>
      </c>
      <c r="G31" s="295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5" t="s">
        <v>48</v>
      </c>
      <c r="G32" s="295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5" t="s">
        <v>49</v>
      </c>
      <c r="G33" s="295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5" t="s">
        <v>50</v>
      </c>
      <c r="G34" s="295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5" t="s">
        <v>124</v>
      </c>
      <c r="G35" s="295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5"/>
      <c r="E38" s="96" t="s">
        <v>642</v>
      </c>
      <c r="F38" s="98"/>
    </row>
    <row r="39" spans="4:27" x14ac:dyDescent="0.25">
      <c r="D39" s="86"/>
      <c r="E39" s="295"/>
      <c r="F39" s="14" t="s">
        <v>642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5"/>
      <c r="E41" s="96" t="s">
        <v>618</v>
      </c>
      <c r="F41" s="96"/>
    </row>
    <row r="42" spans="4:27" x14ac:dyDescent="0.25">
      <c r="D42" s="295"/>
      <c r="E42" s="82" t="s">
        <v>816</v>
      </c>
    </row>
    <row r="43" spans="4:27" x14ac:dyDescent="0.25">
      <c r="D43" s="86"/>
      <c r="F43" s="91" t="s">
        <v>324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5" t="s">
        <v>43</v>
      </c>
      <c r="G44" s="295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431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5" t="s">
        <v>817</v>
      </c>
    </row>
    <row r="46" spans="4:27" x14ac:dyDescent="0.25">
      <c r="D46" s="86"/>
      <c r="F46" s="295" t="s">
        <v>45</v>
      </c>
      <c r="G46" s="295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5" t="s">
        <v>46</v>
      </c>
      <c r="G47" s="295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5" t="s">
        <v>47</v>
      </c>
      <c r="G48" s="295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431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5" t="s">
        <v>818</v>
      </c>
    </row>
    <row r="50" spans="2:27" x14ac:dyDescent="0.25">
      <c r="D50" s="86"/>
      <c r="F50" s="295" t="s">
        <v>48</v>
      </c>
      <c r="G50" s="295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5" t="s">
        <v>49</v>
      </c>
      <c r="G51" s="295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5" t="s">
        <v>50</v>
      </c>
      <c r="G52" s="295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5" t="s">
        <v>124</v>
      </c>
      <c r="G53" s="295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5"/>
      <c r="E57" s="295"/>
    </row>
    <row r="58" spans="2:27" x14ac:dyDescent="0.25">
      <c r="D58" s="295"/>
      <c r="E58" s="295" t="s">
        <v>516</v>
      </c>
      <c r="G58" s="122" t="s">
        <v>692</v>
      </c>
      <c r="H58" s="152">
        <f t="array" ref="H58">SUM(IF(ISERROR(H25:Y54), 1))</f>
        <v>0</v>
      </c>
    </row>
    <row r="59" spans="2:27" x14ac:dyDescent="0.25">
      <c r="D59" s="295"/>
      <c r="E59" s="295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H58">
    <cfRule type="cellIs" dxfId="180" priority="10" operator="greaterThan">
      <formula>0</formula>
    </cfRule>
  </conditionalFormatting>
  <conditionalFormatting sqref="A4:I4 Z4:XFD4">
    <cfRule type="expression" dxfId="179" priority="9">
      <formula>LEFT($A$4,1) &lt;&gt; "0"</formula>
    </cfRule>
  </conditionalFormatting>
  <conditionalFormatting sqref="N4:P4">
    <cfRule type="expression" dxfId="178" priority="8">
      <formula>LEFT($A$4,1) &lt;&gt; "0"</formula>
    </cfRule>
  </conditionalFormatting>
  <conditionalFormatting sqref="L4:M4">
    <cfRule type="expression" dxfId="177" priority="7">
      <formula>LEFT($A$4,1) &lt;&gt; "0"</formula>
    </cfRule>
  </conditionalFormatting>
  <conditionalFormatting sqref="J4:K4">
    <cfRule type="expression" dxfId="176" priority="6">
      <formula>LEFT($A$4,1) &lt;&gt; "0"</formula>
    </cfRule>
  </conditionalFormatting>
  <conditionalFormatting sqref="Q4">
    <cfRule type="expression" dxfId="175" priority="5">
      <formula>LEFT($A$4,1) &lt;&gt; "0"</formula>
    </cfRule>
  </conditionalFormatting>
  <conditionalFormatting sqref="R4:S4">
    <cfRule type="expression" dxfId="174" priority="4">
      <formula>LEFT($A$4,1) &lt;&gt; "0"</formula>
    </cfRule>
  </conditionalFormatting>
  <conditionalFormatting sqref="T4:U4">
    <cfRule type="expression" dxfId="173" priority="3">
      <formula>LEFT($A$4,1) &lt;&gt; "0"</formula>
    </cfRule>
  </conditionalFormatting>
  <conditionalFormatting sqref="V4:W4">
    <cfRule type="expression" dxfId="172" priority="2">
      <formula>LEFT($A$4,1) &lt;&gt; "0"</formula>
    </cfRule>
  </conditionalFormatting>
  <conditionalFormatting sqref="X4:Y4">
    <cfRule type="expression" dxfId="171" priority="1">
      <formula>LEFT($A$4,1) &lt;&gt; "0"</formula>
    </cfRule>
  </conditionalFormatting>
  <hyperlinks>
    <hyperlink ref="B5:F5" location="'Model map'!A1" display="Click here to return to model map" xr:uid="{00000000-0004-0000-11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>
    <tabColor theme="4" tint="0.59999389629810485"/>
    <pageSetUpPr fitToPage="1"/>
  </sheetPr>
  <dimension ref="A1:JF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0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4"/>
      <c r="J5" s="387" t="s">
        <v>324</v>
      </c>
      <c r="K5" s="387" t="s">
        <v>43</v>
      </c>
      <c r="L5" s="387" t="s">
        <v>44</v>
      </c>
      <c r="M5" s="387" t="s">
        <v>45</v>
      </c>
      <c r="N5" s="387" t="s">
        <v>46</v>
      </c>
      <c r="O5" s="387" t="s">
        <v>47</v>
      </c>
      <c r="P5" s="387" t="s">
        <v>51</v>
      </c>
      <c r="Q5" s="387" t="s">
        <v>48</v>
      </c>
      <c r="R5" s="387" t="s">
        <v>49</v>
      </c>
      <c r="S5" s="387" t="s">
        <v>50</v>
      </c>
      <c r="T5" s="387" t="s">
        <v>124</v>
      </c>
      <c r="U5" s="387" t="s">
        <v>123</v>
      </c>
      <c r="W5" s="372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400</v>
      </c>
    </row>
    <row r="10" spans="1:23" x14ac:dyDescent="0.25">
      <c r="C10" s="82" t="s">
        <v>401</v>
      </c>
    </row>
    <row r="11" spans="1:23" x14ac:dyDescent="0.25">
      <c r="C11" s="82" t="s">
        <v>786</v>
      </c>
    </row>
    <row r="13" spans="1:23" x14ac:dyDescent="0.25">
      <c r="B13" s="95" t="s">
        <v>779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525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control'!$H$34:$H$58,MATCH($A$1,'Version control'!$F$34:$F$58,0),1)&amp;"-A: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5" t="s">
        <v>389</v>
      </c>
      <c r="F19" s="87"/>
      <c r="G19" s="108" t="s">
        <v>94</v>
      </c>
      <c r="H19" s="88"/>
      <c r="I19" s="88"/>
      <c r="J19" s="385"/>
      <c r="K19" s="388">
        <f>'Inputs by network level'!K18</f>
        <v>2.5000000000000001E-2</v>
      </c>
      <c r="L19" s="388">
        <f>'Inputs by network level'!L18</f>
        <v>0.1</v>
      </c>
      <c r="M19" s="385"/>
      <c r="N19" s="388">
        <f>'Inputs by network level'!N18</f>
        <v>0.26</v>
      </c>
      <c r="O19" s="385"/>
      <c r="P19" s="385"/>
      <c r="Q19" s="388">
        <f>'Inputs by network level'!Q18</f>
        <v>0.2</v>
      </c>
      <c r="R19" s="385"/>
      <c r="S19" s="385"/>
      <c r="T19" s="79"/>
      <c r="U19" s="79"/>
    </row>
    <row r="20" spans="2:23" x14ac:dyDescent="0.25">
      <c r="E20" s="295" t="s">
        <v>70</v>
      </c>
      <c r="F20" s="87"/>
      <c r="G20" s="108" t="s">
        <v>94</v>
      </c>
      <c r="H20" s="88"/>
      <c r="I20" s="88"/>
      <c r="J20" s="389">
        <f t="shared" ref="J20" si="0">IF(I20 = "", 1, I20 / (1 + J19))</f>
        <v>1</v>
      </c>
      <c r="K20" s="389">
        <f>IF(J20 = "", 1, J20 / (1 + K19))</f>
        <v>0.97560975609756106</v>
      </c>
      <c r="L20" s="389">
        <f t="shared" ref="L20:S20" si="1">IF(K20 = "", 1, K20 / (1 + L19))</f>
        <v>0.88691796008869184</v>
      </c>
      <c r="M20" s="389">
        <f t="shared" si="1"/>
        <v>0.88691796008869184</v>
      </c>
      <c r="N20" s="389">
        <f t="shared" si="1"/>
        <v>0.7039031429275332</v>
      </c>
      <c r="O20" s="389">
        <f t="shared" si="1"/>
        <v>0.7039031429275332</v>
      </c>
      <c r="P20" s="389">
        <f t="shared" si="1"/>
        <v>0.7039031429275332</v>
      </c>
      <c r="Q20" s="389">
        <f t="shared" si="1"/>
        <v>0.58658595243961098</v>
      </c>
      <c r="R20" s="389">
        <f t="shared" si="1"/>
        <v>0.58658595243961098</v>
      </c>
      <c r="S20" s="389">
        <f t="shared" si="1"/>
        <v>0.58658595243961098</v>
      </c>
      <c r="T20" s="79"/>
      <c r="U20" s="79"/>
    </row>
    <row r="21" spans="2:23" x14ac:dyDescent="0.25">
      <c r="E21" s="295" t="s">
        <v>390</v>
      </c>
      <c r="F21" s="87"/>
      <c r="G21" s="108" t="s">
        <v>94</v>
      </c>
      <c r="H21" s="88"/>
      <c r="I21" s="88"/>
      <c r="J21" s="389">
        <f>1 / J20 - 1</f>
        <v>0</v>
      </c>
      <c r="K21" s="389">
        <f t="shared" ref="K21:S21" si="2">1 / K20 - 1</f>
        <v>2.4999999999999911E-2</v>
      </c>
      <c r="L21" s="389">
        <f t="shared" si="2"/>
        <v>0.12749999999999995</v>
      </c>
      <c r="M21" s="389">
        <f t="shared" si="2"/>
        <v>0.12749999999999995</v>
      </c>
      <c r="N21" s="389">
        <f t="shared" si="2"/>
        <v>0.42064999999999997</v>
      </c>
      <c r="O21" s="389">
        <f t="shared" si="2"/>
        <v>0.42064999999999997</v>
      </c>
      <c r="P21" s="389">
        <f t="shared" si="2"/>
        <v>0.42064999999999997</v>
      </c>
      <c r="Q21" s="389">
        <f t="shared" si="2"/>
        <v>0.70477999999999996</v>
      </c>
      <c r="R21" s="389">
        <f t="shared" si="2"/>
        <v>0.70477999999999996</v>
      </c>
      <c r="S21" s="389">
        <f t="shared" si="2"/>
        <v>0.70477999999999996</v>
      </c>
      <c r="T21" s="79"/>
      <c r="U21" s="79"/>
    </row>
    <row r="22" spans="2:23" x14ac:dyDescent="0.25">
      <c r="E22" s="295" t="s">
        <v>392</v>
      </c>
      <c r="F22" s="87"/>
      <c r="G22" s="108" t="s">
        <v>94</v>
      </c>
      <c r="H22" s="88"/>
      <c r="I22" s="88"/>
      <c r="J22" s="385"/>
      <c r="K22" s="385"/>
      <c r="L22" s="385"/>
      <c r="M22" s="385"/>
      <c r="N22" s="385"/>
      <c r="O22" s="385"/>
      <c r="P22" s="389">
        <f>M21</f>
        <v>0.12749999999999995</v>
      </c>
      <c r="Q22" s="385"/>
      <c r="R22" s="385"/>
      <c r="S22" s="385"/>
      <c r="T22" s="79"/>
      <c r="U22" s="79"/>
    </row>
    <row r="23" spans="2:23" x14ac:dyDescent="0.25">
      <c r="E23" s="295" t="s">
        <v>391</v>
      </c>
      <c r="F23" s="87"/>
      <c r="G23" s="108" t="s">
        <v>94</v>
      </c>
      <c r="H23" s="88"/>
      <c r="I23" s="88" t="s">
        <v>431</v>
      </c>
      <c r="J23" s="313">
        <f t="shared" ref="J23:S23" si="3">IF(J22 = "", J21, J22)</f>
        <v>0</v>
      </c>
      <c r="K23" s="313">
        <f t="shared" si="3"/>
        <v>2.4999999999999911E-2</v>
      </c>
      <c r="L23" s="313">
        <f t="shared" si="3"/>
        <v>0.12749999999999995</v>
      </c>
      <c r="M23" s="313">
        <f t="shared" si="3"/>
        <v>0.12749999999999995</v>
      </c>
      <c r="N23" s="313">
        <f t="shared" si="3"/>
        <v>0.42064999999999997</v>
      </c>
      <c r="O23" s="313">
        <f t="shared" si="3"/>
        <v>0.42064999999999997</v>
      </c>
      <c r="P23" s="313">
        <f t="shared" si="3"/>
        <v>0.12749999999999995</v>
      </c>
      <c r="Q23" s="313">
        <f t="shared" si="3"/>
        <v>0.70477999999999996</v>
      </c>
      <c r="R23" s="313">
        <f t="shared" si="3"/>
        <v>0.70477999999999996</v>
      </c>
      <c r="S23" s="313">
        <f t="shared" si="3"/>
        <v>0.70477999999999996</v>
      </c>
      <c r="T23" s="79"/>
      <c r="U23" s="79"/>
      <c r="W23" s="90" t="s">
        <v>901</v>
      </c>
    </row>
    <row r="24" spans="2:23" x14ac:dyDescent="0.25">
      <c r="F24" s="87"/>
      <c r="G24" s="108"/>
      <c r="H24" s="88"/>
      <c r="I24" s="88"/>
      <c r="J24" s="389"/>
      <c r="K24" s="389"/>
      <c r="L24" s="389"/>
      <c r="M24" s="389"/>
      <c r="N24" s="389"/>
      <c r="O24" s="389"/>
      <c r="P24" s="389"/>
      <c r="Q24" s="389"/>
      <c r="R24" s="389"/>
      <c r="S24" s="389"/>
      <c r="T24" s="88"/>
      <c r="U24" s="88"/>
    </row>
    <row r="25" spans="2:23" x14ac:dyDescent="0.25">
      <c r="C25" s="7" t="str">
        <f ca="1">INDEX('Version control'!$H$34:$H$58,MATCH($A$1,'Version control'!$F$34:$F$58,0),1)&amp;"-B: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5" t="s">
        <v>98</v>
      </c>
      <c r="F27" s="390"/>
      <c r="G27" s="109" t="s">
        <v>528</v>
      </c>
      <c r="H27" s="88"/>
      <c r="I27" s="88"/>
      <c r="J27" s="280"/>
      <c r="K27" s="274">
        <f>'Inputs by network level'!K22</f>
        <v>1</v>
      </c>
      <c r="L27" s="274">
        <f>'Inputs by network level'!L22</f>
        <v>1.0049999999999999</v>
      </c>
      <c r="M27" s="274">
        <f>'Inputs by network level'!M22</f>
        <v>1.012</v>
      </c>
      <c r="N27" s="274">
        <f>'Inputs by network level'!N22</f>
        <v>1.018</v>
      </c>
      <c r="O27" s="274">
        <f>'Inputs by network level'!O22</f>
        <v>1.0269999999999999</v>
      </c>
      <c r="P27" s="280"/>
      <c r="Q27" s="274">
        <f>'Inputs by network level'!Q22</f>
        <v>1.038</v>
      </c>
      <c r="R27" s="274">
        <f>'Inputs by network level'!R22</f>
        <v>1.06</v>
      </c>
      <c r="S27" s="274">
        <f>'Inputs by network level'!S22</f>
        <v>1.1120000000000001</v>
      </c>
      <c r="T27" s="280"/>
      <c r="U27" s="280"/>
    </row>
    <row r="28" spans="2:23" x14ac:dyDescent="0.25">
      <c r="E28" s="295" t="s">
        <v>171</v>
      </c>
      <c r="F28" s="390"/>
      <c r="G28" s="109" t="s">
        <v>528</v>
      </c>
      <c r="H28" s="88"/>
      <c r="I28" s="88"/>
      <c r="J28" s="276">
        <f>K27</f>
        <v>1</v>
      </c>
      <c r="K28" s="280"/>
      <c r="L28" s="280"/>
      <c r="M28" s="280"/>
      <c r="N28" s="280"/>
      <c r="O28" s="280"/>
      <c r="P28" s="276">
        <f>O27</f>
        <v>1.0269999999999999</v>
      </c>
      <c r="Q28" s="280"/>
      <c r="R28" s="280"/>
      <c r="S28" s="280"/>
      <c r="T28" s="280"/>
      <c r="U28" s="280"/>
    </row>
    <row r="29" spans="2:23" x14ac:dyDescent="0.25">
      <c r="E29" s="295" t="s">
        <v>100</v>
      </c>
      <c r="F29" s="390"/>
      <c r="G29" s="109" t="s">
        <v>528</v>
      </c>
      <c r="H29" s="88"/>
      <c r="I29" s="88" t="s">
        <v>431</v>
      </c>
      <c r="J29" s="257">
        <f t="shared" ref="J29:S29" si="4">J27 + J28</f>
        <v>1</v>
      </c>
      <c r="K29" s="257">
        <f t="shared" si="4"/>
        <v>1</v>
      </c>
      <c r="L29" s="257">
        <f t="shared" si="4"/>
        <v>1.0049999999999999</v>
      </c>
      <c r="M29" s="257">
        <f t="shared" si="4"/>
        <v>1.012</v>
      </c>
      <c r="N29" s="257">
        <f t="shared" si="4"/>
        <v>1.018</v>
      </c>
      <c r="O29" s="257">
        <f t="shared" si="4"/>
        <v>1.0269999999999999</v>
      </c>
      <c r="P29" s="257">
        <f t="shared" si="4"/>
        <v>1.0269999999999999</v>
      </c>
      <c r="Q29" s="257">
        <f t="shared" si="4"/>
        <v>1.038</v>
      </c>
      <c r="R29" s="257">
        <f t="shared" si="4"/>
        <v>1.06</v>
      </c>
      <c r="S29" s="257">
        <f t="shared" si="4"/>
        <v>1.1120000000000001</v>
      </c>
      <c r="T29" s="280"/>
      <c r="U29" s="280"/>
      <c r="W29" s="90" t="s">
        <v>800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778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777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control'!$H$34:$H$58,MATCH($A$1,'Version control'!$F$34:$F$58,0),1)&amp;"-C: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5" t="s">
        <v>51</v>
      </c>
      <c r="F37" s="14"/>
      <c r="G37" s="109" t="s">
        <v>94</v>
      </c>
      <c r="H37" s="388">
        <f>'Inputs by network level'!P20</f>
        <v>0</v>
      </c>
      <c r="I37" s="88"/>
    </row>
    <row r="38" spans="3:23" x14ac:dyDescent="0.25">
      <c r="E38" s="295" t="s">
        <v>396</v>
      </c>
      <c r="F38" s="87"/>
      <c r="G38" s="108" t="s">
        <v>94</v>
      </c>
      <c r="H38" s="88"/>
      <c r="I38" s="88"/>
      <c r="J38" s="79"/>
      <c r="K38" s="79"/>
      <c r="L38" s="79"/>
      <c r="M38" s="391">
        <f>1 - $H$37</f>
        <v>1</v>
      </c>
      <c r="N38" s="391">
        <f>1 - $H$37</f>
        <v>1</v>
      </c>
      <c r="O38" s="391">
        <f>1 - $H$37</f>
        <v>1</v>
      </c>
      <c r="P38" s="392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control'!$H$34:$H$58,MATCH($A$1,'Version control'!$F$34:$F$58,0),1)&amp;"-D: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902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403</v>
      </c>
      <c r="G44" s="108"/>
    </row>
    <row r="45" spans="3:23" x14ac:dyDescent="0.25">
      <c r="E45" s="82" t="s">
        <v>903</v>
      </c>
      <c r="G45" s="108"/>
    </row>
    <row r="46" spans="3:23" x14ac:dyDescent="0.25">
      <c r="F46" s="91" t="s">
        <v>1038</v>
      </c>
      <c r="G46" s="40" t="s">
        <v>141</v>
      </c>
      <c r="H46" s="91"/>
      <c r="I46" s="91"/>
      <c r="J46" s="273">
        <f t="array" ref="J46:S61">TRANSPOSE('Fixed inputs'!J60:Y69)</f>
        <v>1</v>
      </c>
      <c r="K46" s="273">
        <v>1</v>
      </c>
      <c r="L46" s="273">
        <v>1</v>
      </c>
      <c r="M46" s="273">
        <v>1</v>
      </c>
      <c r="N46" s="273">
        <v>1</v>
      </c>
      <c r="O46" s="273">
        <v>1</v>
      </c>
      <c r="P46" s="273">
        <v>1</v>
      </c>
      <c r="Q46" s="273">
        <v>1</v>
      </c>
      <c r="R46" s="273">
        <v>1</v>
      </c>
      <c r="S46" s="273">
        <v>1</v>
      </c>
      <c r="T46" s="239"/>
      <c r="U46" s="239"/>
      <c r="W46" s="88"/>
    </row>
    <row r="47" spans="3:23" x14ac:dyDescent="0.25">
      <c r="F47" s="295" t="s">
        <v>1039</v>
      </c>
      <c r="G47" s="109" t="s">
        <v>141</v>
      </c>
      <c r="J47" s="274">
        <v>1</v>
      </c>
      <c r="K47" s="274">
        <v>1</v>
      </c>
      <c r="L47" s="274">
        <v>1</v>
      </c>
      <c r="M47" s="274">
        <v>1</v>
      </c>
      <c r="N47" s="274">
        <v>1</v>
      </c>
      <c r="O47" s="274">
        <v>1</v>
      </c>
      <c r="P47" s="274">
        <v>1</v>
      </c>
      <c r="Q47" s="274">
        <v>1</v>
      </c>
      <c r="R47" s="274">
        <v>1</v>
      </c>
      <c r="S47" s="274">
        <v>1</v>
      </c>
      <c r="T47" s="280"/>
      <c r="U47" s="280"/>
    </row>
    <row r="48" spans="3:23" x14ac:dyDescent="0.25">
      <c r="F48" s="295" t="s">
        <v>1040</v>
      </c>
      <c r="G48" s="109" t="s">
        <v>141</v>
      </c>
      <c r="J48" s="274">
        <v>1</v>
      </c>
      <c r="K48" s="274">
        <v>1</v>
      </c>
      <c r="L48" s="274">
        <v>1</v>
      </c>
      <c r="M48" s="274">
        <v>1</v>
      </c>
      <c r="N48" s="274">
        <v>1</v>
      </c>
      <c r="O48" s="274">
        <v>1</v>
      </c>
      <c r="P48" s="274">
        <v>1</v>
      </c>
      <c r="Q48" s="274">
        <v>1</v>
      </c>
      <c r="R48" s="274">
        <v>1</v>
      </c>
      <c r="S48" s="274">
        <v>1</v>
      </c>
      <c r="T48" s="280"/>
      <c r="U48" s="280"/>
    </row>
    <row r="49" spans="5:21" x14ac:dyDescent="0.25">
      <c r="F49" s="295" t="s">
        <v>1041</v>
      </c>
      <c r="G49" s="109" t="s">
        <v>141</v>
      </c>
      <c r="J49" s="274">
        <v>1</v>
      </c>
      <c r="K49" s="274">
        <v>1</v>
      </c>
      <c r="L49" s="274">
        <v>1</v>
      </c>
      <c r="M49" s="274">
        <v>1</v>
      </c>
      <c r="N49" s="274">
        <v>1</v>
      </c>
      <c r="O49" s="274">
        <v>1</v>
      </c>
      <c r="P49" s="274">
        <v>1</v>
      </c>
      <c r="Q49" s="274">
        <v>1</v>
      </c>
      <c r="R49" s="274">
        <v>1</v>
      </c>
      <c r="S49" s="274">
        <v>1</v>
      </c>
      <c r="T49" s="280"/>
      <c r="U49" s="280"/>
    </row>
    <row r="50" spans="5:21" x14ac:dyDescent="0.25">
      <c r="F50" s="295" t="s">
        <v>1042</v>
      </c>
      <c r="G50" s="109" t="s">
        <v>141</v>
      </c>
      <c r="J50" s="274">
        <v>1</v>
      </c>
      <c r="K50" s="274">
        <v>1</v>
      </c>
      <c r="L50" s="274">
        <v>1</v>
      </c>
      <c r="M50" s="274">
        <v>1</v>
      </c>
      <c r="N50" s="274">
        <v>1</v>
      </c>
      <c r="O50" s="274">
        <v>1</v>
      </c>
      <c r="P50" s="274">
        <v>1</v>
      </c>
      <c r="Q50" s="274">
        <v>1</v>
      </c>
      <c r="R50" s="274">
        <v>1</v>
      </c>
      <c r="S50" s="274">
        <v>1</v>
      </c>
      <c r="T50" s="280"/>
      <c r="U50" s="280"/>
    </row>
    <row r="51" spans="5:21" x14ac:dyDescent="0.25">
      <c r="F51" s="295" t="s">
        <v>1043</v>
      </c>
      <c r="G51" s="109" t="s">
        <v>141</v>
      </c>
      <c r="J51" s="274">
        <v>1</v>
      </c>
      <c r="K51" s="274">
        <v>1</v>
      </c>
      <c r="L51" s="274">
        <v>1</v>
      </c>
      <c r="M51" s="274">
        <v>1</v>
      </c>
      <c r="N51" s="274">
        <v>1</v>
      </c>
      <c r="O51" s="274">
        <v>1</v>
      </c>
      <c r="P51" s="274">
        <v>1</v>
      </c>
      <c r="Q51" s="274">
        <v>1</v>
      </c>
      <c r="R51" s="274">
        <v>1</v>
      </c>
      <c r="S51" s="274">
        <v>0</v>
      </c>
      <c r="T51" s="280"/>
      <c r="U51" s="280"/>
    </row>
    <row r="52" spans="5:21" x14ac:dyDescent="0.25">
      <c r="F52" s="295" t="s">
        <v>1044</v>
      </c>
      <c r="G52" s="109" t="s">
        <v>141</v>
      </c>
      <c r="J52" s="274">
        <v>1</v>
      </c>
      <c r="K52" s="274">
        <v>1</v>
      </c>
      <c r="L52" s="274">
        <v>1</v>
      </c>
      <c r="M52" s="274">
        <v>1</v>
      </c>
      <c r="N52" s="274">
        <v>1</v>
      </c>
      <c r="O52" s="274">
        <v>1</v>
      </c>
      <c r="P52" s="274">
        <v>1</v>
      </c>
      <c r="Q52" s="274">
        <v>1</v>
      </c>
      <c r="R52" s="274">
        <v>0</v>
      </c>
      <c r="S52" s="274">
        <v>0</v>
      </c>
      <c r="T52" s="280"/>
      <c r="U52" s="280"/>
    </row>
    <row r="53" spans="5:21" x14ac:dyDescent="0.25">
      <c r="F53" s="295" t="s">
        <v>1045</v>
      </c>
      <c r="G53" s="109" t="s">
        <v>141</v>
      </c>
      <c r="J53" s="274">
        <v>1</v>
      </c>
      <c r="K53" s="274">
        <v>1</v>
      </c>
      <c r="L53" s="274">
        <v>1</v>
      </c>
      <c r="M53" s="274">
        <v>1</v>
      </c>
      <c r="N53" s="274">
        <v>1</v>
      </c>
      <c r="O53" s="274">
        <v>1</v>
      </c>
      <c r="P53" s="274">
        <v>1</v>
      </c>
      <c r="Q53" s="274">
        <v>1</v>
      </c>
      <c r="R53" s="274">
        <v>1</v>
      </c>
      <c r="S53" s="274">
        <v>1</v>
      </c>
      <c r="T53" s="280"/>
      <c r="U53" s="280"/>
    </row>
    <row r="54" spans="5:21" x14ac:dyDescent="0.25">
      <c r="F54" s="295" t="s">
        <v>1046</v>
      </c>
      <c r="G54" s="109" t="s">
        <v>141</v>
      </c>
      <c r="J54" s="274">
        <v>-1</v>
      </c>
      <c r="K54" s="274">
        <v>-1</v>
      </c>
      <c r="L54" s="274">
        <v>-1</v>
      </c>
      <c r="M54" s="274">
        <v>-1</v>
      </c>
      <c r="N54" s="274">
        <v>-1</v>
      </c>
      <c r="O54" s="274">
        <v>-1</v>
      </c>
      <c r="P54" s="274">
        <v>-1</v>
      </c>
      <c r="Q54" s="274">
        <v>-1</v>
      </c>
      <c r="R54" s="274">
        <v>-1</v>
      </c>
      <c r="S54" s="274">
        <v>-1</v>
      </c>
      <c r="T54" s="280"/>
      <c r="U54" s="280"/>
    </row>
    <row r="55" spans="5:21" x14ac:dyDescent="0.25">
      <c r="F55" s="295" t="s">
        <v>1047</v>
      </c>
      <c r="G55" s="109" t="s">
        <v>141</v>
      </c>
      <c r="J55" s="274">
        <v>-1</v>
      </c>
      <c r="K55" s="274">
        <v>-1</v>
      </c>
      <c r="L55" s="274">
        <v>-1</v>
      </c>
      <c r="M55" s="274">
        <v>-1</v>
      </c>
      <c r="N55" s="274">
        <v>-1</v>
      </c>
      <c r="O55" s="274">
        <v>-1</v>
      </c>
      <c r="P55" s="274">
        <v>-1</v>
      </c>
      <c r="Q55" s="274">
        <v>-1</v>
      </c>
      <c r="R55" s="274">
        <v>-1</v>
      </c>
      <c r="S55" s="274">
        <v>0</v>
      </c>
      <c r="T55" s="280"/>
      <c r="U55" s="280"/>
    </row>
    <row r="56" spans="5:21" x14ac:dyDescent="0.25">
      <c r="F56" s="295" t="s">
        <v>1048</v>
      </c>
      <c r="G56" s="109" t="s">
        <v>141</v>
      </c>
      <c r="J56" s="274">
        <v>-1</v>
      </c>
      <c r="K56" s="274">
        <v>-1</v>
      </c>
      <c r="L56" s="274">
        <v>-1</v>
      </c>
      <c r="M56" s="274">
        <v>-1</v>
      </c>
      <c r="N56" s="274">
        <v>-1</v>
      </c>
      <c r="O56" s="274">
        <v>-1</v>
      </c>
      <c r="P56" s="274">
        <v>-1</v>
      </c>
      <c r="Q56" s="274">
        <v>-1</v>
      </c>
      <c r="R56" s="274">
        <v>-1</v>
      </c>
      <c r="S56" s="274">
        <v>-1</v>
      </c>
      <c r="T56" s="280"/>
      <c r="U56" s="280"/>
    </row>
    <row r="57" spans="5:21" x14ac:dyDescent="0.25">
      <c r="F57" s="295" t="s">
        <v>1049</v>
      </c>
      <c r="G57" s="109" t="s">
        <v>141</v>
      </c>
      <c r="J57" s="274">
        <v>-1</v>
      </c>
      <c r="K57" s="274">
        <v>-1</v>
      </c>
      <c r="L57" s="274">
        <v>-1</v>
      </c>
      <c r="M57" s="274">
        <v>-1</v>
      </c>
      <c r="N57" s="274">
        <v>-1</v>
      </c>
      <c r="O57" s="274">
        <v>-1</v>
      </c>
      <c r="P57" s="274">
        <v>-1</v>
      </c>
      <c r="Q57" s="274">
        <v>-1</v>
      </c>
      <c r="R57" s="274">
        <v>-1</v>
      </c>
      <c r="S57" s="274">
        <v>-1</v>
      </c>
      <c r="T57" s="280"/>
      <c r="U57" s="280"/>
    </row>
    <row r="58" spans="5:21" x14ac:dyDescent="0.25">
      <c r="F58" s="295" t="s">
        <v>1050</v>
      </c>
      <c r="G58" s="109" t="s">
        <v>141</v>
      </c>
      <c r="J58" s="274">
        <v>-1</v>
      </c>
      <c r="K58" s="274">
        <v>-1</v>
      </c>
      <c r="L58" s="274">
        <v>-1</v>
      </c>
      <c r="M58" s="274">
        <v>-1</v>
      </c>
      <c r="N58" s="274">
        <v>-1</v>
      </c>
      <c r="O58" s="274">
        <v>-1</v>
      </c>
      <c r="P58" s="274">
        <v>-1</v>
      </c>
      <c r="Q58" s="274">
        <v>-1</v>
      </c>
      <c r="R58" s="274">
        <v>-1</v>
      </c>
      <c r="S58" s="274">
        <v>0</v>
      </c>
      <c r="T58" s="280"/>
      <c r="U58" s="280"/>
    </row>
    <row r="59" spans="5:21" x14ac:dyDescent="0.25">
      <c r="F59" s="295" t="s">
        <v>1051</v>
      </c>
      <c r="G59" s="109" t="s">
        <v>141</v>
      </c>
      <c r="J59" s="274">
        <v>-1</v>
      </c>
      <c r="K59" s="274">
        <v>-1</v>
      </c>
      <c r="L59" s="274">
        <v>-1</v>
      </c>
      <c r="M59" s="274">
        <v>-1</v>
      </c>
      <c r="N59" s="274">
        <v>-1</v>
      </c>
      <c r="O59" s="274">
        <v>-1</v>
      </c>
      <c r="P59" s="274">
        <v>-1</v>
      </c>
      <c r="Q59" s="274">
        <v>-1</v>
      </c>
      <c r="R59" s="274">
        <v>-1</v>
      </c>
      <c r="S59" s="274">
        <v>0</v>
      </c>
      <c r="T59" s="280"/>
      <c r="U59" s="280"/>
    </row>
    <row r="60" spans="5:21" x14ac:dyDescent="0.25">
      <c r="F60" s="295" t="s">
        <v>1052</v>
      </c>
      <c r="G60" s="109" t="s">
        <v>141</v>
      </c>
      <c r="J60" s="274">
        <v>-1</v>
      </c>
      <c r="K60" s="274">
        <v>-1</v>
      </c>
      <c r="L60" s="274">
        <v>-1</v>
      </c>
      <c r="M60" s="274">
        <v>-1</v>
      </c>
      <c r="N60" s="274">
        <v>-1</v>
      </c>
      <c r="O60" s="274">
        <v>-1</v>
      </c>
      <c r="P60" s="274">
        <v>-1</v>
      </c>
      <c r="Q60" s="274">
        <v>-1</v>
      </c>
      <c r="R60" s="274">
        <v>0</v>
      </c>
      <c r="S60" s="274">
        <v>0</v>
      </c>
      <c r="T60" s="280"/>
      <c r="U60" s="280"/>
    </row>
    <row r="61" spans="5:21" x14ac:dyDescent="0.25">
      <c r="F61" s="93" t="s">
        <v>1053</v>
      </c>
      <c r="G61" s="36" t="s">
        <v>141</v>
      </c>
      <c r="H61" s="93"/>
      <c r="I61" s="93"/>
      <c r="J61" s="275">
        <v>-1</v>
      </c>
      <c r="K61" s="275">
        <v>-1</v>
      </c>
      <c r="L61" s="275">
        <v>-1</v>
      </c>
      <c r="M61" s="275">
        <v>-1</v>
      </c>
      <c r="N61" s="275">
        <v>-1</v>
      </c>
      <c r="O61" s="275">
        <v>-1</v>
      </c>
      <c r="P61" s="275">
        <v>-1</v>
      </c>
      <c r="Q61" s="275">
        <v>-1</v>
      </c>
      <c r="R61" s="275">
        <v>0</v>
      </c>
      <c r="S61" s="275">
        <v>0</v>
      </c>
      <c r="T61" s="241"/>
      <c r="U61" s="241"/>
    </row>
    <row r="62" spans="5:21" x14ac:dyDescent="0.25">
      <c r="G62" s="108"/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  <c r="U62" s="253"/>
    </row>
    <row r="63" spans="5:21" x14ac:dyDescent="0.25">
      <c r="E63" s="96" t="s">
        <v>544</v>
      </c>
      <c r="G63" s="108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5:21" x14ac:dyDescent="0.25">
      <c r="E64" s="82" t="s">
        <v>397</v>
      </c>
      <c r="G64" s="108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</row>
    <row r="65" spans="6:23" x14ac:dyDescent="0.25">
      <c r="F65" s="91" t="s">
        <v>1038</v>
      </c>
      <c r="G65" s="40" t="s">
        <v>141</v>
      </c>
      <c r="H65" s="91"/>
      <c r="I65" s="91"/>
      <c r="J65" s="268">
        <f t="shared" ref="J65:S80" si="5">IF(J$38 = "", J46, J46 * J$38)</f>
        <v>1</v>
      </c>
      <c r="K65" s="268">
        <f t="shared" si="5"/>
        <v>1</v>
      </c>
      <c r="L65" s="268">
        <f t="shared" si="5"/>
        <v>1</v>
      </c>
      <c r="M65" s="268">
        <f t="shared" si="5"/>
        <v>1</v>
      </c>
      <c r="N65" s="268">
        <f t="shared" si="5"/>
        <v>1</v>
      </c>
      <c r="O65" s="268">
        <f t="shared" si="5"/>
        <v>1</v>
      </c>
      <c r="P65" s="268">
        <f t="shared" si="5"/>
        <v>0</v>
      </c>
      <c r="Q65" s="268">
        <f t="shared" si="5"/>
        <v>1</v>
      </c>
      <c r="R65" s="268">
        <f t="shared" si="5"/>
        <v>1</v>
      </c>
      <c r="S65" s="268">
        <f t="shared" si="5"/>
        <v>1</v>
      </c>
      <c r="T65" s="239"/>
      <c r="U65" s="239"/>
      <c r="W65" s="88"/>
    </row>
    <row r="66" spans="6:23" x14ac:dyDescent="0.25">
      <c r="F66" s="295" t="s">
        <v>1039</v>
      </c>
      <c r="G66" s="109" t="s">
        <v>141</v>
      </c>
      <c r="J66" s="276">
        <f t="shared" si="5"/>
        <v>1</v>
      </c>
      <c r="K66" s="276">
        <f t="shared" si="5"/>
        <v>1</v>
      </c>
      <c r="L66" s="276">
        <f t="shared" si="5"/>
        <v>1</v>
      </c>
      <c r="M66" s="276">
        <f t="shared" si="5"/>
        <v>1</v>
      </c>
      <c r="N66" s="276">
        <f t="shared" si="5"/>
        <v>1</v>
      </c>
      <c r="O66" s="276">
        <f t="shared" si="5"/>
        <v>1</v>
      </c>
      <c r="P66" s="276">
        <f t="shared" si="5"/>
        <v>0</v>
      </c>
      <c r="Q66" s="276">
        <f t="shared" si="5"/>
        <v>1</v>
      </c>
      <c r="R66" s="276">
        <f t="shared" si="5"/>
        <v>1</v>
      </c>
      <c r="S66" s="276">
        <f t="shared" si="5"/>
        <v>1</v>
      </c>
      <c r="T66" s="280"/>
      <c r="U66" s="280"/>
    </row>
    <row r="67" spans="6:23" x14ac:dyDescent="0.25">
      <c r="F67" s="295" t="s">
        <v>1040</v>
      </c>
      <c r="G67" s="109" t="s">
        <v>141</v>
      </c>
      <c r="J67" s="276">
        <f t="shared" si="5"/>
        <v>1</v>
      </c>
      <c r="K67" s="276">
        <f t="shared" si="5"/>
        <v>1</v>
      </c>
      <c r="L67" s="276">
        <f t="shared" si="5"/>
        <v>1</v>
      </c>
      <c r="M67" s="276">
        <f t="shared" si="5"/>
        <v>1</v>
      </c>
      <c r="N67" s="276">
        <f t="shared" si="5"/>
        <v>1</v>
      </c>
      <c r="O67" s="276">
        <f t="shared" si="5"/>
        <v>1</v>
      </c>
      <c r="P67" s="276">
        <f t="shared" si="5"/>
        <v>0</v>
      </c>
      <c r="Q67" s="276">
        <f t="shared" si="5"/>
        <v>1</v>
      </c>
      <c r="R67" s="276">
        <f t="shared" si="5"/>
        <v>1</v>
      </c>
      <c r="S67" s="276">
        <f t="shared" si="5"/>
        <v>1</v>
      </c>
      <c r="T67" s="280"/>
      <c r="U67" s="280"/>
    </row>
    <row r="68" spans="6:23" x14ac:dyDescent="0.25">
      <c r="F68" s="295" t="s">
        <v>1041</v>
      </c>
      <c r="G68" s="109" t="s">
        <v>141</v>
      </c>
      <c r="J68" s="276">
        <f t="shared" si="5"/>
        <v>1</v>
      </c>
      <c r="K68" s="276">
        <f t="shared" si="5"/>
        <v>1</v>
      </c>
      <c r="L68" s="276">
        <f t="shared" si="5"/>
        <v>1</v>
      </c>
      <c r="M68" s="276">
        <f t="shared" si="5"/>
        <v>1</v>
      </c>
      <c r="N68" s="276">
        <f t="shared" si="5"/>
        <v>1</v>
      </c>
      <c r="O68" s="276">
        <f t="shared" si="5"/>
        <v>1</v>
      </c>
      <c r="P68" s="276">
        <f t="shared" si="5"/>
        <v>0</v>
      </c>
      <c r="Q68" s="276">
        <f t="shared" si="5"/>
        <v>1</v>
      </c>
      <c r="R68" s="276">
        <f t="shared" si="5"/>
        <v>1</v>
      </c>
      <c r="S68" s="276">
        <f t="shared" si="5"/>
        <v>1</v>
      </c>
      <c r="T68" s="280"/>
      <c r="U68" s="280"/>
    </row>
    <row r="69" spans="6:23" x14ac:dyDescent="0.25">
      <c r="F69" s="295" t="s">
        <v>1042</v>
      </c>
      <c r="G69" s="109" t="s">
        <v>141</v>
      </c>
      <c r="J69" s="276">
        <f t="shared" si="5"/>
        <v>1</v>
      </c>
      <c r="K69" s="276">
        <f t="shared" si="5"/>
        <v>1</v>
      </c>
      <c r="L69" s="276">
        <f t="shared" si="5"/>
        <v>1</v>
      </c>
      <c r="M69" s="276">
        <f t="shared" si="5"/>
        <v>1</v>
      </c>
      <c r="N69" s="276">
        <f t="shared" si="5"/>
        <v>1</v>
      </c>
      <c r="O69" s="276">
        <f t="shared" si="5"/>
        <v>1</v>
      </c>
      <c r="P69" s="276">
        <f t="shared" si="5"/>
        <v>0</v>
      </c>
      <c r="Q69" s="276">
        <f t="shared" si="5"/>
        <v>1</v>
      </c>
      <c r="R69" s="276">
        <f t="shared" si="5"/>
        <v>1</v>
      </c>
      <c r="S69" s="276">
        <f t="shared" si="5"/>
        <v>1</v>
      </c>
      <c r="T69" s="280"/>
      <c r="U69" s="280"/>
    </row>
    <row r="70" spans="6:23" x14ac:dyDescent="0.25">
      <c r="F70" s="295" t="s">
        <v>1043</v>
      </c>
      <c r="G70" s="109" t="s">
        <v>141</v>
      </c>
      <c r="J70" s="276">
        <f t="shared" si="5"/>
        <v>1</v>
      </c>
      <c r="K70" s="276">
        <f t="shared" si="5"/>
        <v>1</v>
      </c>
      <c r="L70" s="276">
        <f t="shared" si="5"/>
        <v>1</v>
      </c>
      <c r="M70" s="276">
        <f t="shared" si="5"/>
        <v>1</v>
      </c>
      <c r="N70" s="276">
        <f t="shared" si="5"/>
        <v>1</v>
      </c>
      <c r="O70" s="276">
        <f t="shared" si="5"/>
        <v>1</v>
      </c>
      <c r="P70" s="276">
        <f t="shared" si="5"/>
        <v>0</v>
      </c>
      <c r="Q70" s="276">
        <f t="shared" si="5"/>
        <v>1</v>
      </c>
      <c r="R70" s="276">
        <f t="shared" si="5"/>
        <v>1</v>
      </c>
      <c r="S70" s="276">
        <f t="shared" si="5"/>
        <v>0</v>
      </c>
      <c r="T70" s="280"/>
      <c r="U70" s="280"/>
    </row>
    <row r="71" spans="6:23" x14ac:dyDescent="0.25">
      <c r="F71" s="295" t="s">
        <v>1044</v>
      </c>
      <c r="G71" s="109" t="s">
        <v>141</v>
      </c>
      <c r="J71" s="276">
        <f t="shared" si="5"/>
        <v>1</v>
      </c>
      <c r="K71" s="276">
        <f t="shared" si="5"/>
        <v>1</v>
      </c>
      <c r="L71" s="276">
        <f t="shared" si="5"/>
        <v>1</v>
      </c>
      <c r="M71" s="276">
        <f t="shared" si="5"/>
        <v>1</v>
      </c>
      <c r="N71" s="276">
        <f t="shared" si="5"/>
        <v>1</v>
      </c>
      <c r="O71" s="276">
        <f t="shared" si="5"/>
        <v>1</v>
      </c>
      <c r="P71" s="276">
        <f t="shared" si="5"/>
        <v>0</v>
      </c>
      <c r="Q71" s="276">
        <f t="shared" si="5"/>
        <v>1</v>
      </c>
      <c r="R71" s="276">
        <f t="shared" si="5"/>
        <v>0</v>
      </c>
      <c r="S71" s="276">
        <f t="shared" si="5"/>
        <v>0</v>
      </c>
      <c r="T71" s="280"/>
      <c r="U71" s="280"/>
    </row>
    <row r="72" spans="6:23" x14ac:dyDescent="0.25">
      <c r="F72" s="295" t="s">
        <v>1045</v>
      </c>
      <c r="G72" s="109" t="s">
        <v>141</v>
      </c>
      <c r="J72" s="276">
        <f t="shared" si="5"/>
        <v>1</v>
      </c>
      <c r="K72" s="276">
        <f t="shared" si="5"/>
        <v>1</v>
      </c>
      <c r="L72" s="276">
        <f t="shared" si="5"/>
        <v>1</v>
      </c>
      <c r="M72" s="276">
        <f t="shared" si="5"/>
        <v>1</v>
      </c>
      <c r="N72" s="276">
        <f t="shared" si="5"/>
        <v>1</v>
      </c>
      <c r="O72" s="276">
        <f t="shared" si="5"/>
        <v>1</v>
      </c>
      <c r="P72" s="276">
        <f t="shared" si="5"/>
        <v>0</v>
      </c>
      <c r="Q72" s="276">
        <f t="shared" si="5"/>
        <v>1</v>
      </c>
      <c r="R72" s="276">
        <f t="shared" si="5"/>
        <v>1</v>
      </c>
      <c r="S72" s="276">
        <f t="shared" si="5"/>
        <v>1</v>
      </c>
      <c r="T72" s="280"/>
      <c r="U72" s="280"/>
    </row>
    <row r="73" spans="6:23" x14ac:dyDescent="0.25">
      <c r="F73" s="295" t="s">
        <v>1046</v>
      </c>
      <c r="G73" s="109" t="s">
        <v>141</v>
      </c>
      <c r="J73" s="276">
        <f t="shared" si="5"/>
        <v>-1</v>
      </c>
      <c r="K73" s="276">
        <f t="shared" si="5"/>
        <v>-1</v>
      </c>
      <c r="L73" s="276">
        <f t="shared" si="5"/>
        <v>-1</v>
      </c>
      <c r="M73" s="276">
        <f t="shared" si="5"/>
        <v>-1</v>
      </c>
      <c r="N73" s="276">
        <f t="shared" si="5"/>
        <v>-1</v>
      </c>
      <c r="O73" s="276">
        <f t="shared" si="5"/>
        <v>-1</v>
      </c>
      <c r="P73" s="276">
        <f t="shared" si="5"/>
        <v>0</v>
      </c>
      <c r="Q73" s="276">
        <f t="shared" si="5"/>
        <v>-1</v>
      </c>
      <c r="R73" s="276">
        <f t="shared" si="5"/>
        <v>-1</v>
      </c>
      <c r="S73" s="276">
        <f t="shared" si="5"/>
        <v>-1</v>
      </c>
      <c r="T73" s="280"/>
      <c r="U73" s="280"/>
    </row>
    <row r="74" spans="6:23" x14ac:dyDescent="0.25">
      <c r="F74" s="295" t="s">
        <v>1047</v>
      </c>
      <c r="G74" s="109" t="s">
        <v>141</v>
      </c>
      <c r="J74" s="276">
        <f t="shared" si="5"/>
        <v>-1</v>
      </c>
      <c r="K74" s="276">
        <f t="shared" si="5"/>
        <v>-1</v>
      </c>
      <c r="L74" s="276">
        <f t="shared" si="5"/>
        <v>-1</v>
      </c>
      <c r="M74" s="276">
        <f t="shared" si="5"/>
        <v>-1</v>
      </c>
      <c r="N74" s="276">
        <f t="shared" si="5"/>
        <v>-1</v>
      </c>
      <c r="O74" s="276">
        <f t="shared" si="5"/>
        <v>-1</v>
      </c>
      <c r="P74" s="276">
        <f t="shared" si="5"/>
        <v>0</v>
      </c>
      <c r="Q74" s="276">
        <f t="shared" si="5"/>
        <v>-1</v>
      </c>
      <c r="R74" s="276">
        <f t="shared" si="5"/>
        <v>-1</v>
      </c>
      <c r="S74" s="276">
        <f t="shared" si="5"/>
        <v>0</v>
      </c>
      <c r="T74" s="280"/>
      <c r="U74" s="280"/>
    </row>
    <row r="75" spans="6:23" x14ac:dyDescent="0.25">
      <c r="F75" s="295" t="s">
        <v>1048</v>
      </c>
      <c r="G75" s="109" t="s">
        <v>141</v>
      </c>
      <c r="J75" s="276">
        <f t="shared" si="5"/>
        <v>-1</v>
      </c>
      <c r="K75" s="276">
        <f t="shared" si="5"/>
        <v>-1</v>
      </c>
      <c r="L75" s="276">
        <f t="shared" si="5"/>
        <v>-1</v>
      </c>
      <c r="M75" s="276">
        <f t="shared" si="5"/>
        <v>-1</v>
      </c>
      <c r="N75" s="276">
        <f t="shared" si="5"/>
        <v>-1</v>
      </c>
      <c r="O75" s="276">
        <f t="shared" si="5"/>
        <v>-1</v>
      </c>
      <c r="P75" s="276">
        <f t="shared" si="5"/>
        <v>0</v>
      </c>
      <c r="Q75" s="276">
        <f t="shared" si="5"/>
        <v>-1</v>
      </c>
      <c r="R75" s="276">
        <f t="shared" si="5"/>
        <v>-1</v>
      </c>
      <c r="S75" s="276">
        <f t="shared" si="5"/>
        <v>-1</v>
      </c>
      <c r="T75" s="280"/>
      <c r="U75" s="280"/>
    </row>
    <row r="76" spans="6:23" x14ac:dyDescent="0.25">
      <c r="F76" s="295" t="s">
        <v>1049</v>
      </c>
      <c r="G76" s="109" t="s">
        <v>141</v>
      </c>
      <c r="J76" s="276">
        <f t="shared" si="5"/>
        <v>-1</v>
      </c>
      <c r="K76" s="276">
        <f t="shared" si="5"/>
        <v>-1</v>
      </c>
      <c r="L76" s="276">
        <f t="shared" si="5"/>
        <v>-1</v>
      </c>
      <c r="M76" s="276">
        <f t="shared" si="5"/>
        <v>-1</v>
      </c>
      <c r="N76" s="276">
        <f t="shared" si="5"/>
        <v>-1</v>
      </c>
      <c r="O76" s="276">
        <f t="shared" si="5"/>
        <v>-1</v>
      </c>
      <c r="P76" s="276">
        <f t="shared" si="5"/>
        <v>0</v>
      </c>
      <c r="Q76" s="276">
        <f t="shared" si="5"/>
        <v>-1</v>
      </c>
      <c r="R76" s="276">
        <f t="shared" si="5"/>
        <v>-1</v>
      </c>
      <c r="S76" s="276">
        <f t="shared" si="5"/>
        <v>-1</v>
      </c>
      <c r="T76" s="280"/>
      <c r="U76" s="280"/>
    </row>
    <row r="77" spans="6:23" x14ac:dyDescent="0.25">
      <c r="F77" s="295" t="s">
        <v>1050</v>
      </c>
      <c r="G77" s="109" t="s">
        <v>141</v>
      </c>
      <c r="J77" s="276">
        <f t="shared" si="5"/>
        <v>-1</v>
      </c>
      <c r="K77" s="276">
        <f t="shared" si="5"/>
        <v>-1</v>
      </c>
      <c r="L77" s="276">
        <f t="shared" si="5"/>
        <v>-1</v>
      </c>
      <c r="M77" s="276">
        <f t="shared" si="5"/>
        <v>-1</v>
      </c>
      <c r="N77" s="276">
        <f t="shared" si="5"/>
        <v>-1</v>
      </c>
      <c r="O77" s="276">
        <f t="shared" si="5"/>
        <v>-1</v>
      </c>
      <c r="P77" s="276">
        <f t="shared" si="5"/>
        <v>0</v>
      </c>
      <c r="Q77" s="276">
        <f t="shared" si="5"/>
        <v>-1</v>
      </c>
      <c r="R77" s="276">
        <f t="shared" si="5"/>
        <v>-1</v>
      </c>
      <c r="S77" s="276">
        <f t="shared" si="5"/>
        <v>0</v>
      </c>
      <c r="T77" s="280"/>
      <c r="U77" s="280"/>
    </row>
    <row r="78" spans="6:23" x14ac:dyDescent="0.25">
      <c r="F78" s="295" t="s">
        <v>1051</v>
      </c>
      <c r="G78" s="109" t="s">
        <v>141</v>
      </c>
      <c r="J78" s="276">
        <f t="shared" si="5"/>
        <v>-1</v>
      </c>
      <c r="K78" s="276">
        <f t="shared" si="5"/>
        <v>-1</v>
      </c>
      <c r="L78" s="276">
        <f t="shared" si="5"/>
        <v>-1</v>
      </c>
      <c r="M78" s="276">
        <f t="shared" si="5"/>
        <v>-1</v>
      </c>
      <c r="N78" s="276">
        <f t="shared" si="5"/>
        <v>-1</v>
      </c>
      <c r="O78" s="276">
        <f t="shared" si="5"/>
        <v>-1</v>
      </c>
      <c r="P78" s="276">
        <f t="shared" si="5"/>
        <v>0</v>
      </c>
      <c r="Q78" s="276">
        <f t="shared" si="5"/>
        <v>-1</v>
      </c>
      <c r="R78" s="276">
        <f t="shared" si="5"/>
        <v>-1</v>
      </c>
      <c r="S78" s="276">
        <f t="shared" si="5"/>
        <v>0</v>
      </c>
      <c r="T78" s="280"/>
      <c r="U78" s="280"/>
    </row>
    <row r="79" spans="6:23" x14ac:dyDescent="0.25">
      <c r="F79" s="295" t="s">
        <v>1052</v>
      </c>
      <c r="G79" s="109" t="s">
        <v>141</v>
      </c>
      <c r="J79" s="276">
        <f t="shared" si="5"/>
        <v>-1</v>
      </c>
      <c r="K79" s="276">
        <f t="shared" si="5"/>
        <v>-1</v>
      </c>
      <c r="L79" s="276">
        <f t="shared" si="5"/>
        <v>-1</v>
      </c>
      <c r="M79" s="276">
        <f t="shared" si="5"/>
        <v>-1</v>
      </c>
      <c r="N79" s="276">
        <f t="shared" si="5"/>
        <v>-1</v>
      </c>
      <c r="O79" s="276">
        <f t="shared" si="5"/>
        <v>-1</v>
      </c>
      <c r="P79" s="276">
        <f t="shared" si="5"/>
        <v>0</v>
      </c>
      <c r="Q79" s="276">
        <f t="shared" si="5"/>
        <v>-1</v>
      </c>
      <c r="R79" s="276">
        <f t="shared" si="5"/>
        <v>0</v>
      </c>
      <c r="S79" s="276">
        <f t="shared" si="5"/>
        <v>0</v>
      </c>
      <c r="T79" s="280"/>
      <c r="U79" s="280"/>
    </row>
    <row r="80" spans="6:23" x14ac:dyDescent="0.25">
      <c r="F80" s="93" t="s">
        <v>1053</v>
      </c>
      <c r="G80" s="36" t="s">
        <v>141</v>
      </c>
      <c r="H80" s="93"/>
      <c r="I80" s="93"/>
      <c r="J80" s="269">
        <f t="shared" si="5"/>
        <v>-1</v>
      </c>
      <c r="K80" s="269">
        <f t="shared" si="5"/>
        <v>-1</v>
      </c>
      <c r="L80" s="269">
        <f t="shared" si="5"/>
        <v>-1</v>
      </c>
      <c r="M80" s="269">
        <f t="shared" si="5"/>
        <v>-1</v>
      </c>
      <c r="N80" s="269">
        <f t="shared" si="5"/>
        <v>-1</v>
      </c>
      <c r="O80" s="269">
        <f t="shared" si="5"/>
        <v>-1</v>
      </c>
      <c r="P80" s="269">
        <f t="shared" si="5"/>
        <v>0</v>
      </c>
      <c r="Q80" s="269">
        <f t="shared" si="5"/>
        <v>-1</v>
      </c>
      <c r="R80" s="269">
        <f t="shared" si="5"/>
        <v>0</v>
      </c>
      <c r="S80" s="269">
        <f t="shared" si="5"/>
        <v>0</v>
      </c>
      <c r="T80" s="241"/>
      <c r="U80" s="241"/>
    </row>
    <row r="81" spans="5:23" x14ac:dyDescent="0.25">
      <c r="G81" s="108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</row>
    <row r="82" spans="5:23" x14ac:dyDescent="0.25">
      <c r="E82" s="96" t="s">
        <v>402</v>
      </c>
      <c r="G82" s="108"/>
      <c r="I82" s="295" t="s">
        <v>431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W82" s="88" t="s">
        <v>894</v>
      </c>
    </row>
    <row r="83" spans="5:23" x14ac:dyDescent="0.25">
      <c r="E83" s="82" t="s">
        <v>319</v>
      </c>
      <c r="G83" s="108"/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</row>
    <row r="84" spans="5:23" x14ac:dyDescent="0.25">
      <c r="F84" s="91" t="s">
        <v>1038</v>
      </c>
      <c r="G84" s="40" t="s">
        <v>132</v>
      </c>
      <c r="H84" s="91"/>
      <c r="I84" s="91"/>
      <c r="J84" s="273">
        <f t="array" ref="J84:S99">TRANSPOSE('Fixed inputs'!J73:Y82)</f>
        <v>1</v>
      </c>
      <c r="K84" s="273">
        <v>1</v>
      </c>
      <c r="L84" s="273">
        <v>1</v>
      </c>
      <c r="M84" s="273">
        <v>1</v>
      </c>
      <c r="N84" s="273">
        <v>1</v>
      </c>
      <c r="O84" s="273">
        <v>1</v>
      </c>
      <c r="P84" s="273">
        <v>1</v>
      </c>
      <c r="Q84" s="273">
        <v>1</v>
      </c>
      <c r="R84" s="273">
        <v>1</v>
      </c>
      <c r="S84" s="273">
        <v>1</v>
      </c>
      <c r="T84" s="239"/>
      <c r="U84" s="239"/>
    </row>
    <row r="85" spans="5:23" x14ac:dyDescent="0.25">
      <c r="F85" s="295" t="s">
        <v>1039</v>
      </c>
      <c r="G85" s="109" t="s">
        <v>132</v>
      </c>
      <c r="J85" s="274">
        <v>1</v>
      </c>
      <c r="K85" s="274">
        <v>1</v>
      </c>
      <c r="L85" s="274">
        <v>1</v>
      </c>
      <c r="M85" s="274">
        <v>1</v>
      </c>
      <c r="N85" s="274">
        <v>1</v>
      </c>
      <c r="O85" s="274">
        <v>1</v>
      </c>
      <c r="P85" s="274">
        <v>1</v>
      </c>
      <c r="Q85" s="274">
        <v>1</v>
      </c>
      <c r="R85" s="274">
        <v>1</v>
      </c>
      <c r="S85" s="274">
        <v>1</v>
      </c>
      <c r="T85" s="280"/>
      <c r="U85" s="280"/>
    </row>
    <row r="86" spans="5:23" x14ac:dyDescent="0.25">
      <c r="F86" s="295" t="s">
        <v>1040</v>
      </c>
      <c r="G86" s="109" t="s">
        <v>132</v>
      </c>
      <c r="J86" s="274">
        <v>1</v>
      </c>
      <c r="K86" s="274">
        <v>1</v>
      </c>
      <c r="L86" s="274">
        <v>1</v>
      </c>
      <c r="M86" s="274">
        <v>1</v>
      </c>
      <c r="N86" s="274">
        <v>1</v>
      </c>
      <c r="O86" s="274">
        <v>1</v>
      </c>
      <c r="P86" s="274">
        <v>1</v>
      </c>
      <c r="Q86" s="274">
        <v>1</v>
      </c>
      <c r="R86" s="274">
        <v>1</v>
      </c>
      <c r="S86" s="274">
        <v>1</v>
      </c>
      <c r="T86" s="280"/>
      <c r="U86" s="280"/>
    </row>
    <row r="87" spans="5:23" x14ac:dyDescent="0.25">
      <c r="F87" s="295" t="s">
        <v>1041</v>
      </c>
      <c r="G87" s="109" t="s">
        <v>132</v>
      </c>
      <c r="J87" s="274">
        <v>1</v>
      </c>
      <c r="K87" s="274">
        <v>1</v>
      </c>
      <c r="L87" s="274">
        <v>1</v>
      </c>
      <c r="M87" s="274">
        <v>1</v>
      </c>
      <c r="N87" s="274">
        <v>1</v>
      </c>
      <c r="O87" s="274">
        <v>1</v>
      </c>
      <c r="P87" s="274">
        <v>1</v>
      </c>
      <c r="Q87" s="274">
        <v>1</v>
      </c>
      <c r="R87" s="274">
        <v>1</v>
      </c>
      <c r="S87" s="274">
        <v>1</v>
      </c>
      <c r="T87" s="280"/>
      <c r="U87" s="280"/>
    </row>
    <row r="88" spans="5:23" x14ac:dyDescent="0.25">
      <c r="F88" s="295" t="s">
        <v>1042</v>
      </c>
      <c r="G88" s="109" t="s">
        <v>132</v>
      </c>
      <c r="J88" s="274">
        <v>1</v>
      </c>
      <c r="K88" s="274">
        <v>1</v>
      </c>
      <c r="L88" s="274">
        <v>1</v>
      </c>
      <c r="M88" s="274">
        <v>1</v>
      </c>
      <c r="N88" s="274">
        <v>1</v>
      </c>
      <c r="O88" s="274">
        <v>1</v>
      </c>
      <c r="P88" s="274">
        <v>1</v>
      </c>
      <c r="Q88" s="274">
        <v>1</v>
      </c>
      <c r="R88" s="274">
        <v>1</v>
      </c>
      <c r="S88" s="274">
        <v>1</v>
      </c>
      <c r="T88" s="280"/>
      <c r="U88" s="280"/>
    </row>
    <row r="89" spans="5:23" x14ac:dyDescent="0.25">
      <c r="F89" s="295" t="s">
        <v>1043</v>
      </c>
      <c r="G89" s="109" t="s">
        <v>132</v>
      </c>
      <c r="J89" s="274">
        <v>1</v>
      </c>
      <c r="K89" s="274">
        <v>1</v>
      </c>
      <c r="L89" s="274">
        <v>1</v>
      </c>
      <c r="M89" s="274">
        <v>1</v>
      </c>
      <c r="N89" s="274">
        <v>1</v>
      </c>
      <c r="O89" s="274">
        <v>1</v>
      </c>
      <c r="P89" s="274">
        <v>1</v>
      </c>
      <c r="Q89" s="274">
        <v>1</v>
      </c>
      <c r="R89" s="274">
        <v>1</v>
      </c>
      <c r="S89" s="274">
        <v>0</v>
      </c>
      <c r="T89" s="280"/>
      <c r="U89" s="280"/>
    </row>
    <row r="90" spans="5:23" x14ac:dyDescent="0.25">
      <c r="F90" s="295" t="s">
        <v>1044</v>
      </c>
      <c r="G90" s="109" t="s">
        <v>132</v>
      </c>
      <c r="J90" s="274">
        <v>1</v>
      </c>
      <c r="K90" s="274">
        <v>1</v>
      </c>
      <c r="L90" s="274">
        <v>1</v>
      </c>
      <c r="M90" s="274">
        <v>1</v>
      </c>
      <c r="N90" s="274">
        <v>1</v>
      </c>
      <c r="O90" s="274">
        <v>1</v>
      </c>
      <c r="P90" s="274">
        <v>1</v>
      </c>
      <c r="Q90" s="274">
        <v>1</v>
      </c>
      <c r="R90" s="274">
        <v>0</v>
      </c>
      <c r="S90" s="274">
        <v>0</v>
      </c>
      <c r="T90" s="280"/>
      <c r="U90" s="280"/>
    </row>
    <row r="91" spans="5:23" x14ac:dyDescent="0.25">
      <c r="F91" s="295" t="s">
        <v>1045</v>
      </c>
      <c r="G91" s="109" t="s">
        <v>132</v>
      </c>
      <c r="J91" s="274">
        <v>1</v>
      </c>
      <c r="K91" s="274">
        <v>1</v>
      </c>
      <c r="L91" s="274">
        <v>1</v>
      </c>
      <c r="M91" s="274">
        <v>1</v>
      </c>
      <c r="N91" s="274">
        <v>1</v>
      </c>
      <c r="O91" s="274">
        <v>1</v>
      </c>
      <c r="P91" s="274">
        <v>1</v>
      </c>
      <c r="Q91" s="274">
        <v>1</v>
      </c>
      <c r="R91" s="274">
        <v>1</v>
      </c>
      <c r="S91" s="274">
        <v>1</v>
      </c>
      <c r="T91" s="280"/>
      <c r="U91" s="280"/>
    </row>
    <row r="92" spans="5:23" x14ac:dyDescent="0.25">
      <c r="F92" s="295" t="s">
        <v>1046</v>
      </c>
      <c r="G92" s="109" t="s">
        <v>132</v>
      </c>
      <c r="J92" s="274">
        <v>-1</v>
      </c>
      <c r="K92" s="274">
        <v>-1</v>
      </c>
      <c r="L92" s="274">
        <v>-1</v>
      </c>
      <c r="M92" s="274">
        <v>-1</v>
      </c>
      <c r="N92" s="274">
        <v>-1</v>
      </c>
      <c r="O92" s="274">
        <v>-1</v>
      </c>
      <c r="P92" s="274">
        <v>-1</v>
      </c>
      <c r="Q92" s="274">
        <v>-1</v>
      </c>
      <c r="R92" s="274">
        <v>-1</v>
      </c>
      <c r="S92" s="274">
        <v>0</v>
      </c>
      <c r="T92" s="280"/>
      <c r="U92" s="280"/>
    </row>
    <row r="93" spans="5:23" x14ac:dyDescent="0.25">
      <c r="F93" s="295" t="s">
        <v>1047</v>
      </c>
      <c r="G93" s="109" t="s">
        <v>132</v>
      </c>
      <c r="J93" s="274">
        <v>-1</v>
      </c>
      <c r="K93" s="274">
        <v>-1</v>
      </c>
      <c r="L93" s="274">
        <v>-1</v>
      </c>
      <c r="M93" s="274">
        <v>-1</v>
      </c>
      <c r="N93" s="274">
        <v>-1</v>
      </c>
      <c r="O93" s="274">
        <v>-1</v>
      </c>
      <c r="P93" s="274">
        <v>-1</v>
      </c>
      <c r="Q93" s="274">
        <v>-1</v>
      </c>
      <c r="R93" s="274">
        <v>0</v>
      </c>
      <c r="S93" s="274">
        <v>0</v>
      </c>
      <c r="T93" s="280"/>
      <c r="U93" s="280"/>
    </row>
    <row r="94" spans="5:23" x14ac:dyDescent="0.25">
      <c r="F94" s="295" t="s">
        <v>1048</v>
      </c>
      <c r="G94" s="109" t="s">
        <v>132</v>
      </c>
      <c r="J94" s="274">
        <v>-1</v>
      </c>
      <c r="K94" s="274">
        <v>-1</v>
      </c>
      <c r="L94" s="274">
        <v>-1</v>
      </c>
      <c r="M94" s="274">
        <v>-1</v>
      </c>
      <c r="N94" s="274">
        <v>-1</v>
      </c>
      <c r="O94" s="274">
        <v>-1</v>
      </c>
      <c r="P94" s="274">
        <v>-1</v>
      </c>
      <c r="Q94" s="274">
        <v>-1</v>
      </c>
      <c r="R94" s="274">
        <v>-1</v>
      </c>
      <c r="S94" s="274">
        <v>0</v>
      </c>
      <c r="T94" s="280"/>
      <c r="U94" s="280"/>
    </row>
    <row r="95" spans="5:23" x14ac:dyDescent="0.25">
      <c r="F95" s="295" t="s">
        <v>1049</v>
      </c>
      <c r="G95" s="109" t="s">
        <v>132</v>
      </c>
      <c r="J95" s="274">
        <v>-1</v>
      </c>
      <c r="K95" s="274">
        <v>-1</v>
      </c>
      <c r="L95" s="274">
        <v>-1</v>
      </c>
      <c r="M95" s="274">
        <v>-1</v>
      </c>
      <c r="N95" s="274">
        <v>-1</v>
      </c>
      <c r="O95" s="274">
        <v>-1</v>
      </c>
      <c r="P95" s="274">
        <v>-1</v>
      </c>
      <c r="Q95" s="274">
        <v>-1</v>
      </c>
      <c r="R95" s="274">
        <v>-1</v>
      </c>
      <c r="S95" s="274">
        <v>0</v>
      </c>
      <c r="T95" s="280"/>
      <c r="U95" s="280"/>
    </row>
    <row r="96" spans="5:23" x14ac:dyDescent="0.25">
      <c r="F96" s="295" t="s">
        <v>1050</v>
      </c>
      <c r="G96" s="109" t="s">
        <v>132</v>
      </c>
      <c r="J96" s="274">
        <v>-1</v>
      </c>
      <c r="K96" s="274">
        <v>-1</v>
      </c>
      <c r="L96" s="274">
        <v>-1</v>
      </c>
      <c r="M96" s="274">
        <v>-1</v>
      </c>
      <c r="N96" s="274">
        <v>-1</v>
      </c>
      <c r="O96" s="274">
        <v>-1</v>
      </c>
      <c r="P96" s="274">
        <v>-1</v>
      </c>
      <c r="Q96" s="274">
        <v>-1</v>
      </c>
      <c r="R96" s="274">
        <v>0</v>
      </c>
      <c r="S96" s="274">
        <v>0</v>
      </c>
      <c r="T96" s="280"/>
      <c r="U96" s="280"/>
    </row>
    <row r="97" spans="5:23" x14ac:dyDescent="0.25">
      <c r="F97" s="295" t="s">
        <v>1051</v>
      </c>
      <c r="G97" s="109" t="s">
        <v>132</v>
      </c>
      <c r="J97" s="274">
        <v>-1</v>
      </c>
      <c r="K97" s="274">
        <v>-1</v>
      </c>
      <c r="L97" s="274">
        <v>-1</v>
      </c>
      <c r="M97" s="274">
        <v>-1</v>
      </c>
      <c r="N97" s="274">
        <v>-1</v>
      </c>
      <c r="O97" s="274">
        <v>-1</v>
      </c>
      <c r="P97" s="274">
        <v>-1</v>
      </c>
      <c r="Q97" s="274">
        <v>-1</v>
      </c>
      <c r="R97" s="274">
        <v>0</v>
      </c>
      <c r="S97" s="274">
        <v>0</v>
      </c>
      <c r="T97" s="280"/>
      <c r="U97" s="280"/>
    </row>
    <row r="98" spans="5:23" x14ac:dyDescent="0.25">
      <c r="F98" s="295" t="s">
        <v>1052</v>
      </c>
      <c r="G98" s="109" t="s">
        <v>132</v>
      </c>
      <c r="J98" s="274">
        <v>-1</v>
      </c>
      <c r="K98" s="274">
        <v>-1</v>
      </c>
      <c r="L98" s="274">
        <v>-1</v>
      </c>
      <c r="M98" s="274">
        <v>-1</v>
      </c>
      <c r="N98" s="274">
        <v>-1</v>
      </c>
      <c r="O98" s="274">
        <v>-1</v>
      </c>
      <c r="P98" s="274">
        <v>-1</v>
      </c>
      <c r="Q98" s="274">
        <v>0</v>
      </c>
      <c r="R98" s="274">
        <v>0</v>
      </c>
      <c r="S98" s="274">
        <v>0</v>
      </c>
      <c r="T98" s="280"/>
      <c r="U98" s="280"/>
    </row>
    <row r="99" spans="5:23" x14ac:dyDescent="0.25">
      <c r="F99" s="93" t="s">
        <v>1053</v>
      </c>
      <c r="G99" s="36" t="s">
        <v>132</v>
      </c>
      <c r="H99" s="93"/>
      <c r="I99" s="93"/>
      <c r="J99" s="275">
        <v>-1</v>
      </c>
      <c r="K99" s="275">
        <v>-1</v>
      </c>
      <c r="L99" s="275">
        <v>-1</v>
      </c>
      <c r="M99" s="275">
        <v>-1</v>
      </c>
      <c r="N99" s="275">
        <v>-1</v>
      </c>
      <c r="O99" s="275">
        <v>-1</v>
      </c>
      <c r="P99" s="275">
        <v>-1</v>
      </c>
      <c r="Q99" s="275">
        <v>0</v>
      </c>
      <c r="R99" s="275">
        <v>0</v>
      </c>
      <c r="S99" s="275">
        <v>0</v>
      </c>
      <c r="T99" s="241"/>
      <c r="U99" s="241"/>
    </row>
    <row r="100" spans="5:23" x14ac:dyDescent="0.25">
      <c r="G100" s="108"/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</row>
    <row r="101" spans="5:23" x14ac:dyDescent="0.25">
      <c r="E101" s="96" t="s">
        <v>545</v>
      </c>
      <c r="G101" s="108"/>
      <c r="I101" s="295" t="s">
        <v>431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  <c r="W101" s="88" t="s">
        <v>894</v>
      </c>
    </row>
    <row r="102" spans="5:23" x14ac:dyDescent="0.25">
      <c r="E102" s="82" t="s">
        <v>319</v>
      </c>
      <c r="G102" s="108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</row>
    <row r="103" spans="5:23" x14ac:dyDescent="0.25">
      <c r="E103" s="82" t="s">
        <v>397</v>
      </c>
      <c r="G103" s="108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5:23" x14ac:dyDescent="0.25">
      <c r="F104" s="91" t="s">
        <v>1038</v>
      </c>
      <c r="G104" s="40" t="s">
        <v>132</v>
      </c>
      <c r="H104" s="91"/>
      <c r="I104" s="91"/>
      <c r="J104" s="268">
        <f t="shared" ref="J104:S119" si="6">IF(J$38 = "", J84, J84 * J$38)</f>
        <v>1</v>
      </c>
      <c r="K104" s="268">
        <f t="shared" si="6"/>
        <v>1</v>
      </c>
      <c r="L104" s="268">
        <f t="shared" si="6"/>
        <v>1</v>
      </c>
      <c r="M104" s="268">
        <f t="shared" si="6"/>
        <v>1</v>
      </c>
      <c r="N104" s="268">
        <f t="shared" si="6"/>
        <v>1</v>
      </c>
      <c r="O104" s="268">
        <f t="shared" si="6"/>
        <v>1</v>
      </c>
      <c r="P104" s="268">
        <f t="shared" si="6"/>
        <v>0</v>
      </c>
      <c r="Q104" s="268">
        <f t="shared" si="6"/>
        <v>1</v>
      </c>
      <c r="R104" s="268">
        <f t="shared" si="6"/>
        <v>1</v>
      </c>
      <c r="S104" s="268">
        <f t="shared" si="6"/>
        <v>1</v>
      </c>
      <c r="T104" s="239"/>
      <c r="U104" s="239"/>
    </row>
    <row r="105" spans="5:23" x14ac:dyDescent="0.25">
      <c r="F105" s="295" t="s">
        <v>1039</v>
      </c>
      <c r="G105" s="109" t="s">
        <v>132</v>
      </c>
      <c r="J105" s="276">
        <f t="shared" si="6"/>
        <v>1</v>
      </c>
      <c r="K105" s="276">
        <f t="shared" si="6"/>
        <v>1</v>
      </c>
      <c r="L105" s="276">
        <f t="shared" si="6"/>
        <v>1</v>
      </c>
      <c r="M105" s="276">
        <f t="shared" si="6"/>
        <v>1</v>
      </c>
      <c r="N105" s="276">
        <f t="shared" si="6"/>
        <v>1</v>
      </c>
      <c r="O105" s="276">
        <f t="shared" si="6"/>
        <v>1</v>
      </c>
      <c r="P105" s="276">
        <f t="shared" si="6"/>
        <v>0</v>
      </c>
      <c r="Q105" s="276">
        <f t="shared" si="6"/>
        <v>1</v>
      </c>
      <c r="R105" s="276">
        <f t="shared" si="6"/>
        <v>1</v>
      </c>
      <c r="S105" s="276">
        <f t="shared" si="6"/>
        <v>1</v>
      </c>
      <c r="T105" s="280"/>
      <c r="U105" s="280"/>
    </row>
    <row r="106" spans="5:23" x14ac:dyDescent="0.25">
      <c r="F106" s="295" t="s">
        <v>1040</v>
      </c>
      <c r="G106" s="109" t="s">
        <v>132</v>
      </c>
      <c r="J106" s="276">
        <f t="shared" si="6"/>
        <v>1</v>
      </c>
      <c r="K106" s="276">
        <f t="shared" si="6"/>
        <v>1</v>
      </c>
      <c r="L106" s="276">
        <f t="shared" si="6"/>
        <v>1</v>
      </c>
      <c r="M106" s="276">
        <f t="shared" si="6"/>
        <v>1</v>
      </c>
      <c r="N106" s="276">
        <f t="shared" si="6"/>
        <v>1</v>
      </c>
      <c r="O106" s="276">
        <f t="shared" si="6"/>
        <v>1</v>
      </c>
      <c r="P106" s="276">
        <f t="shared" si="6"/>
        <v>0</v>
      </c>
      <c r="Q106" s="276">
        <f t="shared" si="6"/>
        <v>1</v>
      </c>
      <c r="R106" s="276">
        <f t="shared" si="6"/>
        <v>1</v>
      </c>
      <c r="S106" s="276">
        <f t="shared" si="6"/>
        <v>1</v>
      </c>
      <c r="T106" s="280"/>
      <c r="U106" s="280"/>
    </row>
    <row r="107" spans="5:23" x14ac:dyDescent="0.25">
      <c r="F107" s="295" t="s">
        <v>1041</v>
      </c>
      <c r="G107" s="109" t="s">
        <v>132</v>
      </c>
      <c r="J107" s="276">
        <f t="shared" si="6"/>
        <v>1</v>
      </c>
      <c r="K107" s="276">
        <f t="shared" si="6"/>
        <v>1</v>
      </c>
      <c r="L107" s="276">
        <f t="shared" si="6"/>
        <v>1</v>
      </c>
      <c r="M107" s="276">
        <f t="shared" si="6"/>
        <v>1</v>
      </c>
      <c r="N107" s="276">
        <f t="shared" si="6"/>
        <v>1</v>
      </c>
      <c r="O107" s="276">
        <f t="shared" si="6"/>
        <v>1</v>
      </c>
      <c r="P107" s="276">
        <f t="shared" si="6"/>
        <v>0</v>
      </c>
      <c r="Q107" s="276">
        <f t="shared" si="6"/>
        <v>1</v>
      </c>
      <c r="R107" s="276">
        <f t="shared" si="6"/>
        <v>1</v>
      </c>
      <c r="S107" s="276">
        <f t="shared" si="6"/>
        <v>1</v>
      </c>
      <c r="T107" s="280"/>
      <c r="U107" s="280"/>
    </row>
    <row r="108" spans="5:23" x14ac:dyDescent="0.25">
      <c r="F108" s="295" t="s">
        <v>1042</v>
      </c>
      <c r="G108" s="109" t="s">
        <v>132</v>
      </c>
      <c r="J108" s="276">
        <f t="shared" si="6"/>
        <v>1</v>
      </c>
      <c r="K108" s="276">
        <f t="shared" si="6"/>
        <v>1</v>
      </c>
      <c r="L108" s="276">
        <f t="shared" si="6"/>
        <v>1</v>
      </c>
      <c r="M108" s="276">
        <f t="shared" si="6"/>
        <v>1</v>
      </c>
      <c r="N108" s="276">
        <f t="shared" si="6"/>
        <v>1</v>
      </c>
      <c r="O108" s="276">
        <f t="shared" si="6"/>
        <v>1</v>
      </c>
      <c r="P108" s="276">
        <f t="shared" si="6"/>
        <v>0</v>
      </c>
      <c r="Q108" s="276">
        <f t="shared" si="6"/>
        <v>1</v>
      </c>
      <c r="R108" s="276">
        <f t="shared" si="6"/>
        <v>1</v>
      </c>
      <c r="S108" s="276">
        <f t="shared" si="6"/>
        <v>1</v>
      </c>
      <c r="T108" s="280"/>
      <c r="U108" s="280"/>
    </row>
    <row r="109" spans="5:23" x14ac:dyDescent="0.25">
      <c r="F109" s="295" t="s">
        <v>1043</v>
      </c>
      <c r="G109" s="109" t="s">
        <v>132</v>
      </c>
      <c r="J109" s="276">
        <f t="shared" si="6"/>
        <v>1</v>
      </c>
      <c r="K109" s="276">
        <f t="shared" si="6"/>
        <v>1</v>
      </c>
      <c r="L109" s="276">
        <f t="shared" si="6"/>
        <v>1</v>
      </c>
      <c r="M109" s="276">
        <f t="shared" si="6"/>
        <v>1</v>
      </c>
      <c r="N109" s="276">
        <f t="shared" si="6"/>
        <v>1</v>
      </c>
      <c r="O109" s="276">
        <f t="shared" si="6"/>
        <v>1</v>
      </c>
      <c r="P109" s="276">
        <f t="shared" si="6"/>
        <v>0</v>
      </c>
      <c r="Q109" s="276">
        <f t="shared" si="6"/>
        <v>1</v>
      </c>
      <c r="R109" s="276">
        <f t="shared" si="6"/>
        <v>1</v>
      </c>
      <c r="S109" s="276">
        <f t="shared" si="6"/>
        <v>0</v>
      </c>
      <c r="T109" s="280"/>
      <c r="U109" s="280"/>
    </row>
    <row r="110" spans="5:23" x14ac:dyDescent="0.25">
      <c r="F110" s="295" t="s">
        <v>1044</v>
      </c>
      <c r="G110" s="109" t="s">
        <v>132</v>
      </c>
      <c r="J110" s="276">
        <f t="shared" si="6"/>
        <v>1</v>
      </c>
      <c r="K110" s="276">
        <f t="shared" si="6"/>
        <v>1</v>
      </c>
      <c r="L110" s="276">
        <f t="shared" si="6"/>
        <v>1</v>
      </c>
      <c r="M110" s="276">
        <f t="shared" si="6"/>
        <v>1</v>
      </c>
      <c r="N110" s="276">
        <f t="shared" si="6"/>
        <v>1</v>
      </c>
      <c r="O110" s="276">
        <f t="shared" si="6"/>
        <v>1</v>
      </c>
      <c r="P110" s="276">
        <f t="shared" si="6"/>
        <v>0</v>
      </c>
      <c r="Q110" s="276">
        <f t="shared" si="6"/>
        <v>1</v>
      </c>
      <c r="R110" s="276">
        <f t="shared" si="6"/>
        <v>0</v>
      </c>
      <c r="S110" s="276">
        <f t="shared" si="6"/>
        <v>0</v>
      </c>
      <c r="T110" s="280"/>
      <c r="U110" s="280"/>
    </row>
    <row r="111" spans="5:23" x14ac:dyDescent="0.25">
      <c r="F111" s="295" t="s">
        <v>1045</v>
      </c>
      <c r="G111" s="109" t="s">
        <v>132</v>
      </c>
      <c r="J111" s="276">
        <f t="shared" si="6"/>
        <v>1</v>
      </c>
      <c r="K111" s="276">
        <f t="shared" si="6"/>
        <v>1</v>
      </c>
      <c r="L111" s="276">
        <f t="shared" si="6"/>
        <v>1</v>
      </c>
      <c r="M111" s="276">
        <f t="shared" si="6"/>
        <v>1</v>
      </c>
      <c r="N111" s="276">
        <f t="shared" si="6"/>
        <v>1</v>
      </c>
      <c r="O111" s="276">
        <f t="shared" si="6"/>
        <v>1</v>
      </c>
      <c r="P111" s="276">
        <f t="shared" si="6"/>
        <v>0</v>
      </c>
      <c r="Q111" s="276">
        <f t="shared" si="6"/>
        <v>1</v>
      </c>
      <c r="R111" s="276">
        <f t="shared" si="6"/>
        <v>1</v>
      </c>
      <c r="S111" s="276">
        <f t="shared" si="6"/>
        <v>1</v>
      </c>
      <c r="T111" s="280"/>
      <c r="U111" s="280"/>
    </row>
    <row r="112" spans="5:23" x14ac:dyDescent="0.25">
      <c r="F112" s="295" t="s">
        <v>1046</v>
      </c>
      <c r="G112" s="109" t="s">
        <v>132</v>
      </c>
      <c r="J112" s="276">
        <f t="shared" si="6"/>
        <v>-1</v>
      </c>
      <c r="K112" s="276">
        <f t="shared" si="6"/>
        <v>-1</v>
      </c>
      <c r="L112" s="276">
        <f t="shared" si="6"/>
        <v>-1</v>
      </c>
      <c r="M112" s="276">
        <f t="shared" si="6"/>
        <v>-1</v>
      </c>
      <c r="N112" s="276">
        <f t="shared" si="6"/>
        <v>-1</v>
      </c>
      <c r="O112" s="276">
        <f t="shared" si="6"/>
        <v>-1</v>
      </c>
      <c r="P112" s="276">
        <f t="shared" si="6"/>
        <v>0</v>
      </c>
      <c r="Q112" s="276">
        <f t="shared" si="6"/>
        <v>-1</v>
      </c>
      <c r="R112" s="276">
        <f t="shared" si="6"/>
        <v>-1</v>
      </c>
      <c r="S112" s="276">
        <f t="shared" si="6"/>
        <v>0</v>
      </c>
      <c r="T112" s="280"/>
      <c r="U112" s="280"/>
    </row>
    <row r="113" spans="3:23" x14ac:dyDescent="0.25">
      <c r="F113" s="295" t="s">
        <v>1047</v>
      </c>
      <c r="G113" s="109" t="s">
        <v>132</v>
      </c>
      <c r="J113" s="276">
        <f t="shared" si="6"/>
        <v>-1</v>
      </c>
      <c r="K113" s="276">
        <f t="shared" si="6"/>
        <v>-1</v>
      </c>
      <c r="L113" s="276">
        <f t="shared" si="6"/>
        <v>-1</v>
      </c>
      <c r="M113" s="276">
        <f t="shared" si="6"/>
        <v>-1</v>
      </c>
      <c r="N113" s="276">
        <f t="shared" si="6"/>
        <v>-1</v>
      </c>
      <c r="O113" s="276">
        <f t="shared" si="6"/>
        <v>-1</v>
      </c>
      <c r="P113" s="276">
        <f t="shared" si="6"/>
        <v>0</v>
      </c>
      <c r="Q113" s="276">
        <f t="shared" si="6"/>
        <v>-1</v>
      </c>
      <c r="R113" s="276">
        <f t="shared" si="6"/>
        <v>0</v>
      </c>
      <c r="S113" s="276">
        <f t="shared" si="6"/>
        <v>0</v>
      </c>
      <c r="T113" s="280"/>
      <c r="U113" s="280"/>
    </row>
    <row r="114" spans="3:23" x14ac:dyDescent="0.25">
      <c r="F114" s="295" t="s">
        <v>1048</v>
      </c>
      <c r="G114" s="109" t="s">
        <v>132</v>
      </c>
      <c r="J114" s="276">
        <f t="shared" si="6"/>
        <v>-1</v>
      </c>
      <c r="K114" s="276">
        <f t="shared" si="6"/>
        <v>-1</v>
      </c>
      <c r="L114" s="276">
        <f t="shared" si="6"/>
        <v>-1</v>
      </c>
      <c r="M114" s="276">
        <f t="shared" si="6"/>
        <v>-1</v>
      </c>
      <c r="N114" s="276">
        <f t="shared" si="6"/>
        <v>-1</v>
      </c>
      <c r="O114" s="276">
        <f t="shared" si="6"/>
        <v>-1</v>
      </c>
      <c r="P114" s="276">
        <f t="shared" si="6"/>
        <v>0</v>
      </c>
      <c r="Q114" s="276">
        <f t="shared" si="6"/>
        <v>-1</v>
      </c>
      <c r="R114" s="276">
        <f t="shared" si="6"/>
        <v>-1</v>
      </c>
      <c r="S114" s="276">
        <f t="shared" si="6"/>
        <v>0</v>
      </c>
      <c r="T114" s="280"/>
      <c r="U114" s="280"/>
    </row>
    <row r="115" spans="3:23" x14ac:dyDescent="0.25">
      <c r="F115" s="295" t="s">
        <v>1049</v>
      </c>
      <c r="G115" s="109" t="s">
        <v>132</v>
      </c>
      <c r="J115" s="276">
        <f t="shared" si="6"/>
        <v>-1</v>
      </c>
      <c r="K115" s="276">
        <f t="shared" si="6"/>
        <v>-1</v>
      </c>
      <c r="L115" s="276">
        <f t="shared" si="6"/>
        <v>-1</v>
      </c>
      <c r="M115" s="276">
        <f t="shared" si="6"/>
        <v>-1</v>
      </c>
      <c r="N115" s="276">
        <f t="shared" si="6"/>
        <v>-1</v>
      </c>
      <c r="O115" s="276">
        <f t="shared" si="6"/>
        <v>-1</v>
      </c>
      <c r="P115" s="276">
        <f t="shared" si="6"/>
        <v>0</v>
      </c>
      <c r="Q115" s="276">
        <f t="shared" si="6"/>
        <v>-1</v>
      </c>
      <c r="R115" s="276">
        <f t="shared" si="6"/>
        <v>-1</v>
      </c>
      <c r="S115" s="276">
        <f t="shared" si="6"/>
        <v>0</v>
      </c>
      <c r="T115" s="280"/>
      <c r="U115" s="280"/>
    </row>
    <row r="116" spans="3:23" x14ac:dyDescent="0.25">
      <c r="F116" s="295" t="s">
        <v>1050</v>
      </c>
      <c r="G116" s="109" t="s">
        <v>132</v>
      </c>
      <c r="J116" s="276">
        <f t="shared" si="6"/>
        <v>-1</v>
      </c>
      <c r="K116" s="276">
        <f t="shared" si="6"/>
        <v>-1</v>
      </c>
      <c r="L116" s="276">
        <f t="shared" si="6"/>
        <v>-1</v>
      </c>
      <c r="M116" s="276">
        <f t="shared" si="6"/>
        <v>-1</v>
      </c>
      <c r="N116" s="276">
        <f t="shared" si="6"/>
        <v>-1</v>
      </c>
      <c r="O116" s="276">
        <f t="shared" si="6"/>
        <v>-1</v>
      </c>
      <c r="P116" s="276">
        <f t="shared" si="6"/>
        <v>0</v>
      </c>
      <c r="Q116" s="276">
        <f t="shared" si="6"/>
        <v>-1</v>
      </c>
      <c r="R116" s="276">
        <f t="shared" si="6"/>
        <v>0</v>
      </c>
      <c r="S116" s="276">
        <f t="shared" si="6"/>
        <v>0</v>
      </c>
      <c r="T116" s="280"/>
      <c r="U116" s="280"/>
    </row>
    <row r="117" spans="3:23" x14ac:dyDescent="0.25">
      <c r="F117" s="295" t="s">
        <v>1051</v>
      </c>
      <c r="G117" s="109" t="s">
        <v>132</v>
      </c>
      <c r="J117" s="276">
        <f t="shared" si="6"/>
        <v>-1</v>
      </c>
      <c r="K117" s="276">
        <f t="shared" si="6"/>
        <v>-1</v>
      </c>
      <c r="L117" s="276">
        <f t="shared" si="6"/>
        <v>-1</v>
      </c>
      <c r="M117" s="276">
        <f t="shared" si="6"/>
        <v>-1</v>
      </c>
      <c r="N117" s="276">
        <f t="shared" si="6"/>
        <v>-1</v>
      </c>
      <c r="O117" s="276">
        <f t="shared" si="6"/>
        <v>-1</v>
      </c>
      <c r="P117" s="276">
        <f t="shared" si="6"/>
        <v>0</v>
      </c>
      <c r="Q117" s="276">
        <f t="shared" si="6"/>
        <v>-1</v>
      </c>
      <c r="R117" s="276">
        <f t="shared" si="6"/>
        <v>0</v>
      </c>
      <c r="S117" s="276">
        <f t="shared" si="6"/>
        <v>0</v>
      </c>
      <c r="T117" s="280"/>
      <c r="U117" s="280"/>
    </row>
    <row r="118" spans="3:23" x14ac:dyDescent="0.25">
      <c r="F118" s="295" t="s">
        <v>1052</v>
      </c>
      <c r="G118" s="109" t="s">
        <v>132</v>
      </c>
      <c r="J118" s="276">
        <f t="shared" si="6"/>
        <v>-1</v>
      </c>
      <c r="K118" s="276">
        <f t="shared" si="6"/>
        <v>-1</v>
      </c>
      <c r="L118" s="276">
        <f t="shared" si="6"/>
        <v>-1</v>
      </c>
      <c r="M118" s="276">
        <f t="shared" si="6"/>
        <v>-1</v>
      </c>
      <c r="N118" s="276">
        <f t="shared" si="6"/>
        <v>-1</v>
      </c>
      <c r="O118" s="276">
        <f t="shared" si="6"/>
        <v>-1</v>
      </c>
      <c r="P118" s="276">
        <f t="shared" si="6"/>
        <v>0</v>
      </c>
      <c r="Q118" s="276">
        <f t="shared" si="6"/>
        <v>0</v>
      </c>
      <c r="R118" s="276">
        <f t="shared" si="6"/>
        <v>0</v>
      </c>
      <c r="S118" s="276">
        <f t="shared" si="6"/>
        <v>0</v>
      </c>
      <c r="T118" s="280"/>
      <c r="U118" s="280"/>
    </row>
    <row r="119" spans="3:23" x14ac:dyDescent="0.25">
      <c r="F119" s="93" t="s">
        <v>1053</v>
      </c>
      <c r="G119" s="36" t="s">
        <v>132</v>
      </c>
      <c r="H119" s="93"/>
      <c r="I119" s="93"/>
      <c r="J119" s="269">
        <f t="shared" si="6"/>
        <v>-1</v>
      </c>
      <c r="K119" s="269">
        <f t="shared" si="6"/>
        <v>-1</v>
      </c>
      <c r="L119" s="269">
        <f t="shared" si="6"/>
        <v>-1</v>
      </c>
      <c r="M119" s="269">
        <f t="shared" si="6"/>
        <v>-1</v>
      </c>
      <c r="N119" s="269">
        <f t="shared" si="6"/>
        <v>-1</v>
      </c>
      <c r="O119" s="269">
        <f t="shared" si="6"/>
        <v>-1</v>
      </c>
      <c r="P119" s="269">
        <f t="shared" si="6"/>
        <v>0</v>
      </c>
      <c r="Q119" s="269">
        <f t="shared" si="6"/>
        <v>0</v>
      </c>
      <c r="R119" s="269">
        <f t="shared" si="6"/>
        <v>0</v>
      </c>
      <c r="S119" s="269">
        <f t="shared" si="6"/>
        <v>0</v>
      </c>
      <c r="T119" s="241"/>
      <c r="U119" s="241"/>
    </row>
    <row r="120" spans="3:23" x14ac:dyDescent="0.25">
      <c r="G120" s="108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</row>
    <row r="121" spans="3:23" x14ac:dyDescent="0.25">
      <c r="C121" s="7" t="str">
        <f ca="1">INDEX('Version control'!$H$34:$H$58,MATCH($A$1,'Version control'!$F$34:$F$58,0),1)&amp;"-E: User loss factors"</f>
        <v>Section 505-E: User loss factors</v>
      </c>
      <c r="D121" s="7"/>
      <c r="E121" s="7"/>
      <c r="F121" s="7"/>
      <c r="G121" s="7"/>
      <c r="H121" s="7"/>
      <c r="I121" s="7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7"/>
      <c r="W121" s="7"/>
    </row>
    <row r="122" spans="3:23" x14ac:dyDescent="0.25">
      <c r="H122" s="88"/>
      <c r="I122" s="88"/>
      <c r="J122" s="277"/>
      <c r="K122" s="277"/>
      <c r="L122" s="277"/>
      <c r="M122" s="277"/>
      <c r="N122" s="277"/>
      <c r="O122" s="277"/>
      <c r="P122" s="277"/>
      <c r="Q122" s="277"/>
      <c r="R122" s="277"/>
      <c r="S122" s="277"/>
      <c r="T122" s="277"/>
      <c r="U122" s="277"/>
      <c r="W122" s="88"/>
    </row>
    <row r="123" spans="3:23" x14ac:dyDescent="0.25">
      <c r="E123" s="96" t="s">
        <v>405</v>
      </c>
      <c r="G123" s="108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  <c r="W123" s="88"/>
    </row>
    <row r="124" spans="3:23" x14ac:dyDescent="0.25">
      <c r="E124" s="82" t="s">
        <v>437</v>
      </c>
      <c r="G124" s="108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</row>
    <row r="125" spans="3:23" x14ac:dyDescent="0.25">
      <c r="E125" s="82" t="s">
        <v>438</v>
      </c>
      <c r="G125" s="108"/>
      <c r="H125" s="41" t="s">
        <v>270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</row>
    <row r="126" spans="3:23" x14ac:dyDescent="0.25">
      <c r="F126" s="91" t="s">
        <v>1038</v>
      </c>
      <c r="G126" s="40" t="s">
        <v>528</v>
      </c>
      <c r="H126" s="268">
        <f t="shared" ref="H126:H141" si="7">MAX(J126:S126)</f>
        <v>1.1120000000000001</v>
      </c>
      <c r="I126" s="91"/>
      <c r="J126" s="268">
        <f>OR(SUM(J65:$S65) = 1, SUM(J65:$S65) = -1) * J$29</f>
        <v>0</v>
      </c>
      <c r="K126" s="268">
        <f>OR(SUM(K65:$S65) = 1, SUM(K65:$S65) = -1) * K$29</f>
        <v>0</v>
      </c>
      <c r="L126" s="268">
        <f>OR(SUM(L65:$S65) = 1, SUM(L65:$S65) = -1) * L$29</f>
        <v>0</v>
      </c>
      <c r="M126" s="268">
        <f>OR(SUM(M65:$S65) = 1, SUM(M65:$S65) = -1) * M$29</f>
        <v>0</v>
      </c>
      <c r="N126" s="268">
        <f>OR(SUM(N65:$S65) = 1, SUM(N65:$S65) = -1) * N$29</f>
        <v>0</v>
      </c>
      <c r="O126" s="268">
        <f>OR(SUM(O65:$S65) = 1, SUM(O65:$S65) = -1) * O$29</f>
        <v>0</v>
      </c>
      <c r="P126" s="268">
        <f>OR(SUM(P65:$S65) = 1, SUM(P65:$S65) = -1) * P$29</f>
        <v>0</v>
      </c>
      <c r="Q126" s="268">
        <f>OR(SUM(Q65:$S65) = 1, SUM(Q65:$S65) = -1) * Q$29</f>
        <v>0</v>
      </c>
      <c r="R126" s="268">
        <f>OR(SUM(R65:$S65) = 1, SUM(R65:$S65) = -1) * R$29</f>
        <v>0</v>
      </c>
      <c r="S126" s="268">
        <f>OR(SUM(S65:$S65) = 1, SUM(S65:$S65) = -1) * S$29</f>
        <v>1.1120000000000001</v>
      </c>
      <c r="T126" s="239"/>
      <c r="U126" s="239"/>
      <c r="W126" s="88"/>
    </row>
    <row r="127" spans="3:23" x14ac:dyDescent="0.25">
      <c r="F127" s="295" t="s">
        <v>1039</v>
      </c>
      <c r="G127" s="109" t="s">
        <v>528</v>
      </c>
      <c r="H127" s="276">
        <f t="shared" si="7"/>
        <v>1.1120000000000001</v>
      </c>
      <c r="J127" s="276">
        <f>OR(SUM(J66:$S66) = 1, SUM(J66:$S66) = -1) * J$29</f>
        <v>0</v>
      </c>
      <c r="K127" s="276">
        <f>OR(SUM(K66:$S66) = 1, SUM(K66:$S66) = -1) * K$29</f>
        <v>0</v>
      </c>
      <c r="L127" s="276">
        <f>OR(SUM(L66:$S66) = 1, SUM(L66:$S66) = -1) * L$29</f>
        <v>0</v>
      </c>
      <c r="M127" s="276">
        <f>OR(SUM(M66:$S66) = 1, SUM(M66:$S66) = -1) * M$29</f>
        <v>0</v>
      </c>
      <c r="N127" s="276">
        <f>OR(SUM(N66:$S66) = 1, SUM(N66:$S66) = -1) * N$29</f>
        <v>0</v>
      </c>
      <c r="O127" s="276">
        <f>OR(SUM(O66:$S66) = 1, SUM(O66:$S66) = -1) * O$29</f>
        <v>0</v>
      </c>
      <c r="P127" s="276">
        <f>OR(SUM(P66:$S66) = 1, SUM(P66:$S66) = -1) * P$29</f>
        <v>0</v>
      </c>
      <c r="Q127" s="276">
        <f>OR(SUM(Q66:$S66) = 1, SUM(Q66:$S66) = -1) * Q$29</f>
        <v>0</v>
      </c>
      <c r="R127" s="276">
        <f>OR(SUM(R66:$S66) = 1, SUM(R66:$S66) = -1) * R$29</f>
        <v>0</v>
      </c>
      <c r="S127" s="276">
        <f>OR(SUM(S66:$S66) = 1, SUM(S66:$S66) = -1) * S$29</f>
        <v>1.1120000000000001</v>
      </c>
      <c r="T127" s="280"/>
      <c r="U127" s="280"/>
      <c r="W127" s="88"/>
    </row>
    <row r="128" spans="3:23" x14ac:dyDescent="0.25">
      <c r="F128" s="295" t="s">
        <v>1040</v>
      </c>
      <c r="G128" s="109" t="s">
        <v>528</v>
      </c>
      <c r="H128" s="276">
        <f t="shared" si="7"/>
        <v>1.1120000000000001</v>
      </c>
      <c r="J128" s="276">
        <f>OR(SUM(J67:$S67) = 1, SUM(J67:$S67) = -1) * J$29</f>
        <v>0</v>
      </c>
      <c r="K128" s="276">
        <f>OR(SUM(K67:$S67) = 1, SUM(K67:$S67) = -1) * K$29</f>
        <v>0</v>
      </c>
      <c r="L128" s="276">
        <f>OR(SUM(L67:$S67) = 1, SUM(L67:$S67) = -1) * L$29</f>
        <v>0</v>
      </c>
      <c r="M128" s="276">
        <f>OR(SUM(M67:$S67) = 1, SUM(M67:$S67) = -1) * M$29</f>
        <v>0</v>
      </c>
      <c r="N128" s="276">
        <f>OR(SUM(N67:$S67) = 1, SUM(N67:$S67) = -1) * N$29</f>
        <v>0</v>
      </c>
      <c r="O128" s="276">
        <f>OR(SUM(O67:$S67) = 1, SUM(O67:$S67) = -1) * O$29</f>
        <v>0</v>
      </c>
      <c r="P128" s="276">
        <f>OR(SUM(P67:$S67) = 1, SUM(P67:$S67) = -1) * P$29</f>
        <v>0</v>
      </c>
      <c r="Q128" s="276">
        <f>OR(SUM(Q67:$S67) = 1, SUM(Q67:$S67) = -1) * Q$29</f>
        <v>0</v>
      </c>
      <c r="R128" s="276">
        <f>OR(SUM(R67:$S67) = 1, SUM(R67:$S67) = -1) * R$29</f>
        <v>0</v>
      </c>
      <c r="S128" s="276">
        <f>OR(SUM(S67:$S67) = 1, SUM(S67:$S67) = -1) * S$29</f>
        <v>1.1120000000000001</v>
      </c>
      <c r="T128" s="280"/>
      <c r="U128" s="280"/>
      <c r="W128" s="88"/>
    </row>
    <row r="129" spans="5:23" x14ac:dyDescent="0.25">
      <c r="F129" s="295" t="s">
        <v>1041</v>
      </c>
      <c r="G129" s="109" t="s">
        <v>528</v>
      </c>
      <c r="H129" s="276">
        <f t="shared" si="7"/>
        <v>1.1120000000000001</v>
      </c>
      <c r="J129" s="276">
        <f>OR(SUM(J68:$S68) = 1, SUM(J68:$S68) = -1) * J$29</f>
        <v>0</v>
      </c>
      <c r="K129" s="276">
        <f>OR(SUM(K68:$S68) = 1, SUM(K68:$S68) = -1) * K$29</f>
        <v>0</v>
      </c>
      <c r="L129" s="276">
        <f>OR(SUM(L68:$S68) = 1, SUM(L68:$S68) = -1) * L$29</f>
        <v>0</v>
      </c>
      <c r="M129" s="276">
        <f>OR(SUM(M68:$S68) = 1, SUM(M68:$S68) = -1) * M$29</f>
        <v>0</v>
      </c>
      <c r="N129" s="276">
        <f>OR(SUM(N68:$S68) = 1, SUM(N68:$S68) = -1) * N$29</f>
        <v>0</v>
      </c>
      <c r="O129" s="276">
        <f>OR(SUM(O68:$S68) = 1, SUM(O68:$S68) = -1) * O$29</f>
        <v>0</v>
      </c>
      <c r="P129" s="276">
        <f>OR(SUM(P68:$S68) = 1, SUM(P68:$S68) = -1) * P$29</f>
        <v>0</v>
      </c>
      <c r="Q129" s="276">
        <f>OR(SUM(Q68:$S68) = 1, SUM(Q68:$S68) = -1) * Q$29</f>
        <v>0</v>
      </c>
      <c r="R129" s="276">
        <f>OR(SUM(R68:$S68) = 1, SUM(R68:$S68) = -1) * R$29</f>
        <v>0</v>
      </c>
      <c r="S129" s="276">
        <f>OR(SUM(S68:$S68) = 1, SUM(S68:$S68) = -1) * S$29</f>
        <v>1.1120000000000001</v>
      </c>
      <c r="T129" s="280"/>
      <c r="U129" s="280"/>
    </row>
    <row r="130" spans="5:23" x14ac:dyDescent="0.25">
      <c r="F130" s="295" t="s">
        <v>1042</v>
      </c>
      <c r="G130" s="109" t="s">
        <v>528</v>
      </c>
      <c r="H130" s="276">
        <f t="shared" si="7"/>
        <v>1.1120000000000001</v>
      </c>
      <c r="J130" s="276">
        <f>OR(SUM(J69:$S69) = 1, SUM(J69:$S69) = -1) * J$29</f>
        <v>0</v>
      </c>
      <c r="K130" s="276">
        <f>OR(SUM(K69:$S69) = 1, SUM(K69:$S69) = -1) * K$29</f>
        <v>0</v>
      </c>
      <c r="L130" s="276">
        <f>OR(SUM(L69:$S69) = 1, SUM(L69:$S69) = -1) * L$29</f>
        <v>0</v>
      </c>
      <c r="M130" s="276">
        <f>OR(SUM(M69:$S69) = 1, SUM(M69:$S69) = -1) * M$29</f>
        <v>0</v>
      </c>
      <c r="N130" s="276">
        <f>OR(SUM(N69:$S69) = 1, SUM(N69:$S69) = -1) * N$29</f>
        <v>0</v>
      </c>
      <c r="O130" s="276">
        <f>OR(SUM(O69:$S69) = 1, SUM(O69:$S69) = -1) * O$29</f>
        <v>0</v>
      </c>
      <c r="P130" s="276">
        <f>OR(SUM(P69:$S69) = 1, SUM(P69:$S69) = -1) * P$29</f>
        <v>0</v>
      </c>
      <c r="Q130" s="276">
        <f>OR(SUM(Q69:$S69) = 1, SUM(Q69:$S69) = -1) * Q$29</f>
        <v>0</v>
      </c>
      <c r="R130" s="276">
        <f>OR(SUM(R69:$S69) = 1, SUM(R69:$S69) = -1) * R$29</f>
        <v>0</v>
      </c>
      <c r="S130" s="276">
        <f>OR(SUM(S69:$S69) = 1, SUM(S69:$S69) = -1) * S$29</f>
        <v>1.1120000000000001</v>
      </c>
      <c r="T130" s="280"/>
      <c r="U130" s="280"/>
    </row>
    <row r="131" spans="5:23" x14ac:dyDescent="0.25">
      <c r="F131" s="295" t="s">
        <v>1043</v>
      </c>
      <c r="G131" s="109" t="s">
        <v>528</v>
      </c>
      <c r="H131" s="276">
        <f t="shared" si="7"/>
        <v>1.06</v>
      </c>
      <c r="J131" s="276">
        <f>OR(SUM(J70:$S70) = 1, SUM(J70:$S70) = -1) * J$29</f>
        <v>0</v>
      </c>
      <c r="K131" s="276">
        <f>OR(SUM(K70:$S70) = 1, SUM(K70:$S70) = -1) * K$29</f>
        <v>0</v>
      </c>
      <c r="L131" s="276">
        <f>OR(SUM(L70:$S70) = 1, SUM(L70:$S70) = -1) * L$29</f>
        <v>0</v>
      </c>
      <c r="M131" s="276">
        <f>OR(SUM(M70:$S70) = 1, SUM(M70:$S70) = -1) * M$29</f>
        <v>0</v>
      </c>
      <c r="N131" s="276">
        <f>OR(SUM(N70:$S70) = 1, SUM(N70:$S70) = -1) * N$29</f>
        <v>0</v>
      </c>
      <c r="O131" s="276">
        <f>OR(SUM(O70:$S70) = 1, SUM(O70:$S70) = -1) * O$29</f>
        <v>0</v>
      </c>
      <c r="P131" s="276">
        <f>OR(SUM(P70:$S70) = 1, SUM(P70:$S70) = -1) * P$29</f>
        <v>0</v>
      </c>
      <c r="Q131" s="276">
        <f>OR(SUM(Q70:$S70) = 1, SUM(Q70:$S70) = -1) * Q$29</f>
        <v>0</v>
      </c>
      <c r="R131" s="276">
        <f>OR(SUM(R70:$S70) = 1, SUM(R70:$S70) = -1) * R$29</f>
        <v>1.06</v>
      </c>
      <c r="S131" s="276">
        <f>OR(SUM(S70:$S70) = 1, SUM(S70:$S70) = -1) * S$29</f>
        <v>0</v>
      </c>
      <c r="T131" s="280"/>
      <c r="U131" s="280"/>
    </row>
    <row r="132" spans="5:23" x14ac:dyDescent="0.25">
      <c r="F132" s="295" t="s">
        <v>1044</v>
      </c>
      <c r="G132" s="109" t="s">
        <v>528</v>
      </c>
      <c r="H132" s="276">
        <f t="shared" si="7"/>
        <v>1.038</v>
      </c>
      <c r="J132" s="276">
        <f>OR(SUM(J71:$S71) = 1, SUM(J71:$S71) = -1) * J$29</f>
        <v>0</v>
      </c>
      <c r="K132" s="276">
        <f>OR(SUM(K71:$S71) = 1, SUM(K71:$S71) = -1) * K$29</f>
        <v>0</v>
      </c>
      <c r="L132" s="276">
        <f>OR(SUM(L71:$S71) = 1, SUM(L71:$S71) = -1) * L$29</f>
        <v>0</v>
      </c>
      <c r="M132" s="276">
        <f>OR(SUM(M71:$S71) = 1, SUM(M71:$S71) = -1) * M$29</f>
        <v>0</v>
      </c>
      <c r="N132" s="276">
        <f>OR(SUM(N71:$S71) = 1, SUM(N71:$S71) = -1) * N$29</f>
        <v>0</v>
      </c>
      <c r="O132" s="276">
        <f>OR(SUM(O71:$S71) = 1, SUM(O71:$S71) = -1) * O$29</f>
        <v>0</v>
      </c>
      <c r="P132" s="276">
        <f>OR(SUM(P71:$S71) = 1, SUM(P71:$S71) = -1) * P$29</f>
        <v>1.0269999999999999</v>
      </c>
      <c r="Q132" s="276">
        <f>OR(SUM(Q71:$S71) = 1, SUM(Q71:$S71) = -1) * Q$29</f>
        <v>1.038</v>
      </c>
      <c r="R132" s="276">
        <f>OR(SUM(R71:$S71) = 1, SUM(R71:$S71) = -1) * R$29</f>
        <v>0</v>
      </c>
      <c r="S132" s="276">
        <f>OR(SUM(S71:$S71) = 1, SUM(S71:$S71) = -1) * S$29</f>
        <v>0</v>
      </c>
      <c r="T132" s="280"/>
      <c r="U132" s="280"/>
    </row>
    <row r="133" spans="5:23" x14ac:dyDescent="0.25">
      <c r="F133" s="295" t="s">
        <v>1045</v>
      </c>
      <c r="G133" s="109" t="s">
        <v>528</v>
      </c>
      <c r="H133" s="276">
        <f t="shared" si="7"/>
        <v>1.1120000000000001</v>
      </c>
      <c r="J133" s="276">
        <f>OR(SUM(J72:$S72) = 1, SUM(J72:$S72) = -1) * J$29</f>
        <v>0</v>
      </c>
      <c r="K133" s="276">
        <f>OR(SUM(K72:$S72) = 1, SUM(K72:$S72) = -1) * K$29</f>
        <v>0</v>
      </c>
      <c r="L133" s="276">
        <f>OR(SUM(L72:$S72) = 1, SUM(L72:$S72) = -1) * L$29</f>
        <v>0</v>
      </c>
      <c r="M133" s="276">
        <f>OR(SUM(M72:$S72) = 1, SUM(M72:$S72) = -1) * M$29</f>
        <v>0</v>
      </c>
      <c r="N133" s="276">
        <f>OR(SUM(N72:$S72) = 1, SUM(N72:$S72) = -1) * N$29</f>
        <v>0</v>
      </c>
      <c r="O133" s="276">
        <f>OR(SUM(O72:$S72) = 1, SUM(O72:$S72) = -1) * O$29</f>
        <v>0</v>
      </c>
      <c r="P133" s="276">
        <f>OR(SUM(P72:$S72) = 1, SUM(P72:$S72) = -1) * P$29</f>
        <v>0</v>
      </c>
      <c r="Q133" s="276">
        <f>OR(SUM(Q72:$S72) = 1, SUM(Q72:$S72) = -1) * Q$29</f>
        <v>0</v>
      </c>
      <c r="R133" s="276">
        <f>OR(SUM(R72:$S72) = 1, SUM(R72:$S72) = -1) * R$29</f>
        <v>0</v>
      </c>
      <c r="S133" s="276">
        <f>OR(SUM(S72:$S72) = 1, SUM(S72:$S72) = -1) * S$29</f>
        <v>1.1120000000000001</v>
      </c>
      <c r="T133" s="280"/>
      <c r="U133" s="280"/>
    </row>
    <row r="134" spans="5:23" x14ac:dyDescent="0.25">
      <c r="F134" s="295" t="s">
        <v>1046</v>
      </c>
      <c r="G134" s="109" t="s">
        <v>528</v>
      </c>
      <c r="H134" s="276">
        <f t="shared" si="7"/>
        <v>1.1120000000000001</v>
      </c>
      <c r="J134" s="276">
        <f>OR(SUM(J73:$S73) = 1, SUM(J73:$S73) = -1) * J$29</f>
        <v>0</v>
      </c>
      <c r="K134" s="276">
        <f>OR(SUM(K73:$S73) = 1, SUM(K73:$S73) = -1) * K$29</f>
        <v>0</v>
      </c>
      <c r="L134" s="276">
        <f>OR(SUM(L73:$S73) = 1, SUM(L73:$S73) = -1) * L$29</f>
        <v>0</v>
      </c>
      <c r="M134" s="276">
        <f>OR(SUM(M73:$S73) = 1, SUM(M73:$S73) = -1) * M$29</f>
        <v>0</v>
      </c>
      <c r="N134" s="276">
        <f>OR(SUM(N73:$S73) = 1, SUM(N73:$S73) = -1) * N$29</f>
        <v>0</v>
      </c>
      <c r="O134" s="276">
        <f>OR(SUM(O73:$S73) = 1, SUM(O73:$S73) = -1) * O$29</f>
        <v>0</v>
      </c>
      <c r="P134" s="276">
        <f>OR(SUM(P73:$S73) = 1, SUM(P73:$S73) = -1) * P$29</f>
        <v>0</v>
      </c>
      <c r="Q134" s="276">
        <f>OR(SUM(Q73:$S73) = 1, SUM(Q73:$S73) = -1) * Q$29</f>
        <v>0</v>
      </c>
      <c r="R134" s="276">
        <f>OR(SUM(R73:$S73) = 1, SUM(R73:$S73) = -1) * R$29</f>
        <v>0</v>
      </c>
      <c r="S134" s="276">
        <f>OR(SUM(S73:$S73) = 1, SUM(S73:$S73) = -1) * S$29</f>
        <v>1.1120000000000001</v>
      </c>
      <c r="T134" s="280"/>
      <c r="U134" s="280"/>
    </row>
    <row r="135" spans="5:23" x14ac:dyDescent="0.25">
      <c r="F135" s="295" t="s">
        <v>1047</v>
      </c>
      <c r="G135" s="109" t="s">
        <v>528</v>
      </c>
      <c r="H135" s="276">
        <f t="shared" si="7"/>
        <v>1.06</v>
      </c>
      <c r="J135" s="276">
        <f>OR(SUM(J74:$S74) = 1, SUM(J74:$S74) = -1) * J$29</f>
        <v>0</v>
      </c>
      <c r="K135" s="276">
        <f>OR(SUM(K74:$S74) = 1, SUM(K74:$S74) = -1) * K$29</f>
        <v>0</v>
      </c>
      <c r="L135" s="276">
        <f>OR(SUM(L74:$S74) = 1, SUM(L74:$S74) = -1) * L$29</f>
        <v>0</v>
      </c>
      <c r="M135" s="276">
        <f>OR(SUM(M74:$S74) = 1, SUM(M74:$S74) = -1) * M$29</f>
        <v>0</v>
      </c>
      <c r="N135" s="276">
        <f>OR(SUM(N74:$S74) = 1, SUM(N74:$S74) = -1) * N$29</f>
        <v>0</v>
      </c>
      <c r="O135" s="276">
        <f>OR(SUM(O74:$S74) = 1, SUM(O74:$S74) = -1) * O$29</f>
        <v>0</v>
      </c>
      <c r="P135" s="276">
        <f>OR(SUM(P74:$S74) = 1, SUM(P74:$S74) = -1) * P$29</f>
        <v>0</v>
      </c>
      <c r="Q135" s="276">
        <f>OR(SUM(Q74:$S74) = 1, SUM(Q74:$S74) = -1) * Q$29</f>
        <v>0</v>
      </c>
      <c r="R135" s="276">
        <f>OR(SUM(R74:$S74) = 1, SUM(R74:$S74) = -1) * R$29</f>
        <v>1.06</v>
      </c>
      <c r="S135" s="276">
        <f>OR(SUM(S74:$S74) = 1, SUM(S74:$S74) = -1) * S$29</f>
        <v>0</v>
      </c>
      <c r="T135" s="280"/>
      <c r="U135" s="280"/>
    </row>
    <row r="136" spans="5:23" x14ac:dyDescent="0.25">
      <c r="F136" s="295" t="s">
        <v>1048</v>
      </c>
      <c r="G136" s="109" t="s">
        <v>528</v>
      </c>
      <c r="H136" s="276">
        <f t="shared" si="7"/>
        <v>1.1120000000000001</v>
      </c>
      <c r="J136" s="276">
        <f>OR(SUM(J75:$S75) = 1, SUM(J75:$S75) = -1) * J$29</f>
        <v>0</v>
      </c>
      <c r="K136" s="276">
        <f>OR(SUM(K75:$S75) = 1, SUM(K75:$S75) = -1) * K$29</f>
        <v>0</v>
      </c>
      <c r="L136" s="276">
        <f>OR(SUM(L75:$S75) = 1, SUM(L75:$S75) = -1) * L$29</f>
        <v>0</v>
      </c>
      <c r="M136" s="276">
        <f>OR(SUM(M75:$S75) = 1, SUM(M75:$S75) = -1) * M$29</f>
        <v>0</v>
      </c>
      <c r="N136" s="276">
        <f>OR(SUM(N75:$S75) = 1, SUM(N75:$S75) = -1) * N$29</f>
        <v>0</v>
      </c>
      <c r="O136" s="276">
        <f>OR(SUM(O75:$S75) = 1, SUM(O75:$S75) = -1) * O$29</f>
        <v>0</v>
      </c>
      <c r="P136" s="276">
        <f>OR(SUM(P75:$S75) = 1, SUM(P75:$S75) = -1) * P$29</f>
        <v>0</v>
      </c>
      <c r="Q136" s="276">
        <f>OR(SUM(Q75:$S75) = 1, SUM(Q75:$S75) = -1) * Q$29</f>
        <v>0</v>
      </c>
      <c r="R136" s="276">
        <f>OR(SUM(R75:$S75) = 1, SUM(R75:$S75) = -1) * R$29</f>
        <v>0</v>
      </c>
      <c r="S136" s="276">
        <f>OR(SUM(S75:$S75) = 1, SUM(S75:$S75) = -1) * S$29</f>
        <v>1.1120000000000001</v>
      </c>
      <c r="T136" s="280"/>
      <c r="U136" s="280"/>
    </row>
    <row r="137" spans="5:23" x14ac:dyDescent="0.25">
      <c r="F137" s="295" t="s">
        <v>1049</v>
      </c>
      <c r="G137" s="109" t="s">
        <v>528</v>
      </c>
      <c r="H137" s="276">
        <f t="shared" si="7"/>
        <v>1.1120000000000001</v>
      </c>
      <c r="J137" s="276">
        <f>OR(SUM(J76:$S76) = 1, SUM(J76:$S76) = -1) * J$29</f>
        <v>0</v>
      </c>
      <c r="K137" s="276">
        <f>OR(SUM(K76:$S76) = 1, SUM(K76:$S76) = -1) * K$29</f>
        <v>0</v>
      </c>
      <c r="L137" s="276">
        <f>OR(SUM(L76:$S76) = 1, SUM(L76:$S76) = -1) * L$29</f>
        <v>0</v>
      </c>
      <c r="M137" s="276">
        <f>OR(SUM(M76:$S76) = 1, SUM(M76:$S76) = -1) * M$29</f>
        <v>0</v>
      </c>
      <c r="N137" s="276">
        <f>OR(SUM(N76:$S76) = 1, SUM(N76:$S76) = -1) * N$29</f>
        <v>0</v>
      </c>
      <c r="O137" s="276">
        <f>OR(SUM(O76:$S76) = 1, SUM(O76:$S76) = -1) * O$29</f>
        <v>0</v>
      </c>
      <c r="P137" s="276">
        <f>OR(SUM(P76:$S76) = 1, SUM(P76:$S76) = -1) * P$29</f>
        <v>0</v>
      </c>
      <c r="Q137" s="276">
        <f>OR(SUM(Q76:$S76) = 1, SUM(Q76:$S76) = -1) * Q$29</f>
        <v>0</v>
      </c>
      <c r="R137" s="276">
        <f>OR(SUM(R76:$S76) = 1, SUM(R76:$S76) = -1) * R$29</f>
        <v>0</v>
      </c>
      <c r="S137" s="276">
        <f>OR(SUM(S76:$S76) = 1, SUM(S76:$S76) = -1) * S$29</f>
        <v>1.1120000000000001</v>
      </c>
      <c r="T137" s="280"/>
      <c r="U137" s="280"/>
    </row>
    <row r="138" spans="5:23" x14ac:dyDescent="0.25">
      <c r="F138" s="295" t="s">
        <v>1050</v>
      </c>
      <c r="G138" s="109" t="s">
        <v>528</v>
      </c>
      <c r="H138" s="276">
        <f t="shared" si="7"/>
        <v>1.06</v>
      </c>
      <c r="J138" s="276">
        <f>OR(SUM(J77:$S77) = 1, SUM(J77:$S77) = -1) * J$29</f>
        <v>0</v>
      </c>
      <c r="K138" s="276">
        <f>OR(SUM(K77:$S77) = 1, SUM(K77:$S77) = -1) * K$29</f>
        <v>0</v>
      </c>
      <c r="L138" s="276">
        <f>OR(SUM(L77:$S77) = 1, SUM(L77:$S77) = -1) * L$29</f>
        <v>0</v>
      </c>
      <c r="M138" s="276">
        <f>OR(SUM(M77:$S77) = 1, SUM(M77:$S77) = -1) * M$29</f>
        <v>0</v>
      </c>
      <c r="N138" s="276">
        <f>OR(SUM(N77:$S77) = 1, SUM(N77:$S77) = -1) * N$29</f>
        <v>0</v>
      </c>
      <c r="O138" s="276">
        <f>OR(SUM(O77:$S77) = 1, SUM(O77:$S77) = -1) * O$29</f>
        <v>0</v>
      </c>
      <c r="P138" s="276">
        <f>OR(SUM(P77:$S77) = 1, SUM(P77:$S77) = -1) * P$29</f>
        <v>0</v>
      </c>
      <c r="Q138" s="276">
        <f>OR(SUM(Q77:$S77) = 1, SUM(Q77:$S77) = -1) * Q$29</f>
        <v>0</v>
      </c>
      <c r="R138" s="276">
        <f>OR(SUM(R77:$S77) = 1, SUM(R77:$S77) = -1) * R$29</f>
        <v>1.06</v>
      </c>
      <c r="S138" s="276">
        <f>OR(SUM(S77:$S77) = 1, SUM(S77:$S77) = -1) * S$29</f>
        <v>0</v>
      </c>
      <c r="T138" s="280"/>
      <c r="U138" s="280"/>
    </row>
    <row r="139" spans="5:23" x14ac:dyDescent="0.25">
      <c r="F139" s="295" t="s">
        <v>1051</v>
      </c>
      <c r="G139" s="109" t="s">
        <v>528</v>
      </c>
      <c r="H139" s="276">
        <f t="shared" si="7"/>
        <v>1.06</v>
      </c>
      <c r="J139" s="276">
        <f>OR(SUM(J78:$S78) = 1, SUM(J78:$S78) = -1) * J$29</f>
        <v>0</v>
      </c>
      <c r="K139" s="276">
        <f>OR(SUM(K78:$S78) = 1, SUM(K78:$S78) = -1) * K$29</f>
        <v>0</v>
      </c>
      <c r="L139" s="276">
        <f>OR(SUM(L78:$S78) = 1, SUM(L78:$S78) = -1) * L$29</f>
        <v>0</v>
      </c>
      <c r="M139" s="276">
        <f>OR(SUM(M78:$S78) = 1, SUM(M78:$S78) = -1) * M$29</f>
        <v>0</v>
      </c>
      <c r="N139" s="276">
        <f>OR(SUM(N78:$S78) = 1, SUM(N78:$S78) = -1) * N$29</f>
        <v>0</v>
      </c>
      <c r="O139" s="276">
        <f>OR(SUM(O78:$S78) = 1, SUM(O78:$S78) = -1) * O$29</f>
        <v>0</v>
      </c>
      <c r="P139" s="276">
        <f>OR(SUM(P78:$S78) = 1, SUM(P78:$S78) = -1) * P$29</f>
        <v>0</v>
      </c>
      <c r="Q139" s="276">
        <f>OR(SUM(Q78:$S78) = 1, SUM(Q78:$S78) = -1) * Q$29</f>
        <v>0</v>
      </c>
      <c r="R139" s="276">
        <f>OR(SUM(R78:$S78) = 1, SUM(R78:$S78) = -1) * R$29</f>
        <v>1.06</v>
      </c>
      <c r="S139" s="276">
        <f>OR(SUM(S78:$S78) = 1, SUM(S78:$S78) = -1) * S$29</f>
        <v>0</v>
      </c>
      <c r="T139" s="280"/>
      <c r="U139" s="280"/>
    </row>
    <row r="140" spans="5:23" x14ac:dyDescent="0.25">
      <c r="F140" s="295" t="s">
        <v>1052</v>
      </c>
      <c r="G140" s="109" t="s">
        <v>528</v>
      </c>
      <c r="H140" s="276">
        <f t="shared" si="7"/>
        <v>1.038</v>
      </c>
      <c r="J140" s="276">
        <f>OR(SUM(J79:$S79) = 1, SUM(J79:$S79) = -1) * J$29</f>
        <v>0</v>
      </c>
      <c r="K140" s="276">
        <f>OR(SUM(K79:$S79) = 1, SUM(K79:$S79) = -1) * K$29</f>
        <v>0</v>
      </c>
      <c r="L140" s="276">
        <f>OR(SUM(L79:$S79) = 1, SUM(L79:$S79) = -1) * L$29</f>
        <v>0</v>
      </c>
      <c r="M140" s="276">
        <f>OR(SUM(M79:$S79) = 1, SUM(M79:$S79) = -1) * M$29</f>
        <v>0</v>
      </c>
      <c r="N140" s="276">
        <f>OR(SUM(N79:$S79) = 1, SUM(N79:$S79) = -1) * N$29</f>
        <v>0</v>
      </c>
      <c r="O140" s="276">
        <f>OR(SUM(O79:$S79) = 1, SUM(O79:$S79) = -1) * O$29</f>
        <v>0</v>
      </c>
      <c r="P140" s="276">
        <f>OR(SUM(P79:$S79) = 1, SUM(P79:$S79) = -1) * P$29</f>
        <v>1.0269999999999999</v>
      </c>
      <c r="Q140" s="276">
        <f>OR(SUM(Q79:$S79) = 1, SUM(Q79:$S79) = -1) * Q$29</f>
        <v>1.038</v>
      </c>
      <c r="R140" s="276">
        <f>OR(SUM(R79:$S79) = 1, SUM(R79:$S79) = -1) * R$29</f>
        <v>0</v>
      </c>
      <c r="S140" s="276">
        <f>OR(SUM(S79:$S79) = 1, SUM(S79:$S79) = -1) * S$29</f>
        <v>0</v>
      </c>
      <c r="T140" s="280"/>
      <c r="U140" s="280"/>
    </row>
    <row r="141" spans="5:23" x14ac:dyDescent="0.25">
      <c r="F141" s="93" t="s">
        <v>1053</v>
      </c>
      <c r="G141" s="36" t="s">
        <v>528</v>
      </c>
      <c r="H141" s="269">
        <f t="shared" si="7"/>
        <v>1.038</v>
      </c>
      <c r="I141" s="93"/>
      <c r="J141" s="269">
        <f>OR(SUM(J80:$S80) = 1, SUM(J80:$S80) = -1) * J$29</f>
        <v>0</v>
      </c>
      <c r="K141" s="269">
        <f>OR(SUM(K80:$S80) = 1, SUM(K80:$S80) = -1) * K$29</f>
        <v>0</v>
      </c>
      <c r="L141" s="269">
        <f>OR(SUM(L80:$S80) = 1, SUM(L80:$S80) = -1) * L$29</f>
        <v>0</v>
      </c>
      <c r="M141" s="269">
        <f>OR(SUM(M80:$S80) = 1, SUM(M80:$S80) = -1) * M$29</f>
        <v>0</v>
      </c>
      <c r="N141" s="269">
        <f>OR(SUM(N80:$S80) = 1, SUM(N80:$S80) = -1) * N$29</f>
        <v>0</v>
      </c>
      <c r="O141" s="269">
        <f>OR(SUM(O80:$S80) = 1, SUM(O80:$S80) = -1) * O$29</f>
        <v>0</v>
      </c>
      <c r="P141" s="269">
        <f>OR(SUM(P80:$S80) = 1, SUM(P80:$S80) = -1) * P$29</f>
        <v>1.0269999999999999</v>
      </c>
      <c r="Q141" s="269">
        <f>OR(SUM(Q80:$S80) = 1, SUM(Q80:$S80) = -1) * Q$29</f>
        <v>1.038</v>
      </c>
      <c r="R141" s="269">
        <f>OR(SUM(R80:$S80) = 1, SUM(R80:$S80) = -1) * R$29</f>
        <v>0</v>
      </c>
      <c r="S141" s="269">
        <f>OR(SUM(S80:$S80) = 1, SUM(S80:$S80) = -1) * S$29</f>
        <v>0</v>
      </c>
      <c r="T141" s="241"/>
      <c r="U141" s="241"/>
    </row>
    <row r="142" spans="5:23" x14ac:dyDescent="0.25">
      <c r="G142" s="108"/>
    </row>
    <row r="143" spans="5:23" x14ac:dyDescent="0.25">
      <c r="E143" s="96" t="s">
        <v>406</v>
      </c>
      <c r="G143" s="108"/>
      <c r="I143" s="295" t="s">
        <v>431</v>
      </c>
      <c r="W143" s="88" t="s">
        <v>819</v>
      </c>
    </row>
    <row r="144" spans="5:23" x14ac:dyDescent="0.25">
      <c r="E144" s="82" t="s">
        <v>397</v>
      </c>
      <c r="G144" s="108"/>
    </row>
    <row r="145" spans="6:23" x14ac:dyDescent="0.25">
      <c r="F145" s="91" t="s">
        <v>1038</v>
      </c>
      <c r="G145" s="40" t="s">
        <v>528</v>
      </c>
      <c r="H145" s="74"/>
      <c r="I145" s="91"/>
      <c r="J145" s="255">
        <f t="shared" ref="J145:S160" si="8">$H126 * J104</f>
        <v>1.1120000000000001</v>
      </c>
      <c r="K145" s="255">
        <f t="shared" si="8"/>
        <v>1.1120000000000001</v>
      </c>
      <c r="L145" s="255">
        <f t="shared" si="8"/>
        <v>1.1120000000000001</v>
      </c>
      <c r="M145" s="255">
        <f t="shared" si="8"/>
        <v>1.1120000000000001</v>
      </c>
      <c r="N145" s="255">
        <f t="shared" si="8"/>
        <v>1.1120000000000001</v>
      </c>
      <c r="O145" s="255">
        <f t="shared" si="8"/>
        <v>1.1120000000000001</v>
      </c>
      <c r="P145" s="255">
        <f t="shared" si="8"/>
        <v>0</v>
      </c>
      <c r="Q145" s="255">
        <f t="shared" si="8"/>
        <v>1.1120000000000001</v>
      </c>
      <c r="R145" s="255">
        <f t="shared" si="8"/>
        <v>1.1120000000000001</v>
      </c>
      <c r="S145" s="255">
        <f t="shared" si="8"/>
        <v>1.1120000000000001</v>
      </c>
      <c r="T145" s="239"/>
      <c r="U145" s="239"/>
    </row>
    <row r="146" spans="6:23" x14ac:dyDescent="0.25">
      <c r="F146" s="295" t="s">
        <v>1039</v>
      </c>
      <c r="G146" s="109" t="s">
        <v>528</v>
      </c>
      <c r="H146" s="90"/>
      <c r="J146" s="257">
        <f t="shared" si="8"/>
        <v>1.1120000000000001</v>
      </c>
      <c r="K146" s="257">
        <f t="shared" si="8"/>
        <v>1.1120000000000001</v>
      </c>
      <c r="L146" s="257">
        <f t="shared" si="8"/>
        <v>1.1120000000000001</v>
      </c>
      <c r="M146" s="257">
        <f t="shared" si="8"/>
        <v>1.1120000000000001</v>
      </c>
      <c r="N146" s="257">
        <f t="shared" si="8"/>
        <v>1.1120000000000001</v>
      </c>
      <c r="O146" s="257">
        <f t="shared" si="8"/>
        <v>1.1120000000000001</v>
      </c>
      <c r="P146" s="257">
        <f t="shared" si="8"/>
        <v>0</v>
      </c>
      <c r="Q146" s="257">
        <f t="shared" si="8"/>
        <v>1.1120000000000001</v>
      </c>
      <c r="R146" s="257">
        <f t="shared" si="8"/>
        <v>1.1120000000000001</v>
      </c>
      <c r="S146" s="257">
        <f t="shared" si="8"/>
        <v>1.1120000000000001</v>
      </c>
      <c r="T146" s="280"/>
      <c r="U146" s="280"/>
      <c r="W146" s="88"/>
    </row>
    <row r="147" spans="6:23" x14ac:dyDescent="0.25">
      <c r="F147" s="295" t="s">
        <v>1040</v>
      </c>
      <c r="G147" s="109" t="s">
        <v>528</v>
      </c>
      <c r="H147" s="90"/>
      <c r="J147" s="257">
        <f t="shared" si="8"/>
        <v>1.1120000000000001</v>
      </c>
      <c r="K147" s="257">
        <f t="shared" si="8"/>
        <v>1.1120000000000001</v>
      </c>
      <c r="L147" s="257">
        <f t="shared" si="8"/>
        <v>1.1120000000000001</v>
      </c>
      <c r="M147" s="257">
        <f t="shared" si="8"/>
        <v>1.1120000000000001</v>
      </c>
      <c r="N147" s="257">
        <f t="shared" si="8"/>
        <v>1.1120000000000001</v>
      </c>
      <c r="O147" s="257">
        <f t="shared" si="8"/>
        <v>1.1120000000000001</v>
      </c>
      <c r="P147" s="257">
        <f t="shared" si="8"/>
        <v>0</v>
      </c>
      <c r="Q147" s="257">
        <f t="shared" si="8"/>
        <v>1.1120000000000001</v>
      </c>
      <c r="R147" s="257">
        <f t="shared" si="8"/>
        <v>1.1120000000000001</v>
      </c>
      <c r="S147" s="257">
        <f t="shared" si="8"/>
        <v>1.1120000000000001</v>
      </c>
      <c r="T147" s="280"/>
      <c r="U147" s="280"/>
      <c r="W147" s="88"/>
    </row>
    <row r="148" spans="6:23" x14ac:dyDescent="0.25">
      <c r="F148" s="295" t="s">
        <v>1041</v>
      </c>
      <c r="G148" s="109" t="s">
        <v>528</v>
      </c>
      <c r="H148" s="90"/>
      <c r="J148" s="257">
        <f t="shared" si="8"/>
        <v>1.1120000000000001</v>
      </c>
      <c r="K148" s="257">
        <f t="shared" si="8"/>
        <v>1.1120000000000001</v>
      </c>
      <c r="L148" s="257">
        <f t="shared" si="8"/>
        <v>1.1120000000000001</v>
      </c>
      <c r="M148" s="257">
        <f t="shared" si="8"/>
        <v>1.1120000000000001</v>
      </c>
      <c r="N148" s="257">
        <f t="shared" si="8"/>
        <v>1.1120000000000001</v>
      </c>
      <c r="O148" s="257">
        <f t="shared" si="8"/>
        <v>1.1120000000000001</v>
      </c>
      <c r="P148" s="257">
        <f t="shared" si="8"/>
        <v>0</v>
      </c>
      <c r="Q148" s="257">
        <f t="shared" si="8"/>
        <v>1.1120000000000001</v>
      </c>
      <c r="R148" s="257">
        <f t="shared" si="8"/>
        <v>1.1120000000000001</v>
      </c>
      <c r="S148" s="257">
        <f t="shared" si="8"/>
        <v>1.1120000000000001</v>
      </c>
      <c r="T148" s="280"/>
      <c r="U148" s="280"/>
    </row>
    <row r="149" spans="6:23" x14ac:dyDescent="0.25">
      <c r="F149" s="295" t="s">
        <v>1042</v>
      </c>
      <c r="G149" s="109" t="s">
        <v>528</v>
      </c>
      <c r="H149" s="90"/>
      <c r="J149" s="257">
        <f t="shared" si="8"/>
        <v>1.1120000000000001</v>
      </c>
      <c r="K149" s="257">
        <f t="shared" si="8"/>
        <v>1.1120000000000001</v>
      </c>
      <c r="L149" s="257">
        <f t="shared" si="8"/>
        <v>1.1120000000000001</v>
      </c>
      <c r="M149" s="257">
        <f t="shared" si="8"/>
        <v>1.1120000000000001</v>
      </c>
      <c r="N149" s="257">
        <f t="shared" si="8"/>
        <v>1.1120000000000001</v>
      </c>
      <c r="O149" s="257">
        <f t="shared" si="8"/>
        <v>1.1120000000000001</v>
      </c>
      <c r="P149" s="257">
        <f t="shared" si="8"/>
        <v>0</v>
      </c>
      <c r="Q149" s="257">
        <f t="shared" si="8"/>
        <v>1.1120000000000001</v>
      </c>
      <c r="R149" s="257">
        <f t="shared" si="8"/>
        <v>1.1120000000000001</v>
      </c>
      <c r="S149" s="257">
        <f t="shared" si="8"/>
        <v>1.1120000000000001</v>
      </c>
      <c r="T149" s="280"/>
      <c r="U149" s="280"/>
    </row>
    <row r="150" spans="6:23" x14ac:dyDescent="0.25">
      <c r="F150" s="295" t="s">
        <v>1043</v>
      </c>
      <c r="G150" s="109" t="s">
        <v>528</v>
      </c>
      <c r="H150" s="90"/>
      <c r="J150" s="257">
        <f t="shared" si="8"/>
        <v>1.06</v>
      </c>
      <c r="K150" s="257">
        <f t="shared" si="8"/>
        <v>1.06</v>
      </c>
      <c r="L150" s="257">
        <f t="shared" si="8"/>
        <v>1.06</v>
      </c>
      <c r="M150" s="257">
        <f t="shared" si="8"/>
        <v>1.06</v>
      </c>
      <c r="N150" s="257">
        <f t="shared" si="8"/>
        <v>1.06</v>
      </c>
      <c r="O150" s="257">
        <f t="shared" si="8"/>
        <v>1.06</v>
      </c>
      <c r="P150" s="257">
        <f t="shared" si="8"/>
        <v>0</v>
      </c>
      <c r="Q150" s="257">
        <f t="shared" si="8"/>
        <v>1.06</v>
      </c>
      <c r="R150" s="257">
        <f t="shared" si="8"/>
        <v>1.06</v>
      </c>
      <c r="S150" s="257">
        <f t="shared" si="8"/>
        <v>0</v>
      </c>
      <c r="T150" s="280"/>
      <c r="U150" s="280"/>
    </row>
    <row r="151" spans="6:23" x14ac:dyDescent="0.25">
      <c r="F151" s="295" t="s">
        <v>1044</v>
      </c>
      <c r="G151" s="109" t="s">
        <v>528</v>
      </c>
      <c r="H151" s="90"/>
      <c r="J151" s="257">
        <f t="shared" si="8"/>
        <v>1.038</v>
      </c>
      <c r="K151" s="257">
        <f t="shared" si="8"/>
        <v>1.038</v>
      </c>
      <c r="L151" s="257">
        <f t="shared" si="8"/>
        <v>1.038</v>
      </c>
      <c r="M151" s="257">
        <f t="shared" si="8"/>
        <v>1.038</v>
      </c>
      <c r="N151" s="257">
        <f t="shared" si="8"/>
        <v>1.038</v>
      </c>
      <c r="O151" s="257">
        <f t="shared" si="8"/>
        <v>1.038</v>
      </c>
      <c r="P151" s="257">
        <f t="shared" si="8"/>
        <v>0</v>
      </c>
      <c r="Q151" s="257">
        <f t="shared" si="8"/>
        <v>1.038</v>
      </c>
      <c r="R151" s="257">
        <f t="shared" si="8"/>
        <v>0</v>
      </c>
      <c r="S151" s="257">
        <f t="shared" si="8"/>
        <v>0</v>
      </c>
      <c r="T151" s="280"/>
      <c r="U151" s="280"/>
    </row>
    <row r="152" spans="6:23" x14ac:dyDescent="0.25">
      <c r="F152" s="295" t="s">
        <v>1045</v>
      </c>
      <c r="G152" s="109" t="s">
        <v>528</v>
      </c>
      <c r="H152" s="90"/>
      <c r="J152" s="257">
        <f t="shared" si="8"/>
        <v>1.1120000000000001</v>
      </c>
      <c r="K152" s="257">
        <f t="shared" si="8"/>
        <v>1.1120000000000001</v>
      </c>
      <c r="L152" s="257">
        <f t="shared" si="8"/>
        <v>1.1120000000000001</v>
      </c>
      <c r="M152" s="257">
        <f t="shared" si="8"/>
        <v>1.1120000000000001</v>
      </c>
      <c r="N152" s="257">
        <f t="shared" si="8"/>
        <v>1.1120000000000001</v>
      </c>
      <c r="O152" s="257">
        <f t="shared" si="8"/>
        <v>1.1120000000000001</v>
      </c>
      <c r="P152" s="257">
        <f t="shared" si="8"/>
        <v>0</v>
      </c>
      <c r="Q152" s="257">
        <f t="shared" si="8"/>
        <v>1.1120000000000001</v>
      </c>
      <c r="R152" s="257">
        <f t="shared" si="8"/>
        <v>1.1120000000000001</v>
      </c>
      <c r="S152" s="257">
        <f t="shared" si="8"/>
        <v>1.1120000000000001</v>
      </c>
      <c r="T152" s="280"/>
      <c r="U152" s="280"/>
    </row>
    <row r="153" spans="6:23" x14ac:dyDescent="0.25">
      <c r="F153" s="295" t="s">
        <v>1046</v>
      </c>
      <c r="G153" s="109" t="s">
        <v>528</v>
      </c>
      <c r="H153" s="90"/>
      <c r="J153" s="257">
        <f t="shared" si="8"/>
        <v>-1.1120000000000001</v>
      </c>
      <c r="K153" s="257">
        <f t="shared" si="8"/>
        <v>-1.1120000000000001</v>
      </c>
      <c r="L153" s="257">
        <f t="shared" si="8"/>
        <v>-1.1120000000000001</v>
      </c>
      <c r="M153" s="257">
        <f t="shared" si="8"/>
        <v>-1.1120000000000001</v>
      </c>
      <c r="N153" s="257">
        <f t="shared" si="8"/>
        <v>-1.1120000000000001</v>
      </c>
      <c r="O153" s="257">
        <f t="shared" si="8"/>
        <v>-1.1120000000000001</v>
      </c>
      <c r="P153" s="257">
        <f t="shared" si="8"/>
        <v>0</v>
      </c>
      <c r="Q153" s="257">
        <f t="shared" si="8"/>
        <v>-1.1120000000000001</v>
      </c>
      <c r="R153" s="257">
        <f t="shared" si="8"/>
        <v>-1.1120000000000001</v>
      </c>
      <c r="S153" s="257">
        <f t="shared" si="8"/>
        <v>0</v>
      </c>
      <c r="T153" s="280"/>
      <c r="U153" s="280"/>
    </row>
    <row r="154" spans="6:23" x14ac:dyDescent="0.25">
      <c r="F154" s="295" t="s">
        <v>1047</v>
      </c>
      <c r="G154" s="109" t="s">
        <v>528</v>
      </c>
      <c r="H154" s="90"/>
      <c r="J154" s="257">
        <f t="shared" si="8"/>
        <v>-1.06</v>
      </c>
      <c r="K154" s="257">
        <f t="shared" si="8"/>
        <v>-1.06</v>
      </c>
      <c r="L154" s="257">
        <f t="shared" si="8"/>
        <v>-1.06</v>
      </c>
      <c r="M154" s="257">
        <f t="shared" si="8"/>
        <v>-1.06</v>
      </c>
      <c r="N154" s="257">
        <f t="shared" si="8"/>
        <v>-1.06</v>
      </c>
      <c r="O154" s="257">
        <f t="shared" si="8"/>
        <v>-1.06</v>
      </c>
      <c r="P154" s="257">
        <f t="shared" si="8"/>
        <v>0</v>
      </c>
      <c r="Q154" s="257">
        <f t="shared" si="8"/>
        <v>-1.06</v>
      </c>
      <c r="R154" s="257">
        <f t="shared" si="8"/>
        <v>0</v>
      </c>
      <c r="S154" s="257">
        <f t="shared" si="8"/>
        <v>0</v>
      </c>
      <c r="T154" s="280"/>
      <c r="U154" s="280"/>
    </row>
    <row r="155" spans="6:23" x14ac:dyDescent="0.25">
      <c r="F155" s="295" t="s">
        <v>1048</v>
      </c>
      <c r="G155" s="109" t="s">
        <v>528</v>
      </c>
      <c r="H155" s="90"/>
      <c r="J155" s="257">
        <f t="shared" si="8"/>
        <v>-1.1120000000000001</v>
      </c>
      <c r="K155" s="257">
        <f t="shared" si="8"/>
        <v>-1.1120000000000001</v>
      </c>
      <c r="L155" s="257">
        <f t="shared" si="8"/>
        <v>-1.1120000000000001</v>
      </c>
      <c r="M155" s="257">
        <f t="shared" si="8"/>
        <v>-1.1120000000000001</v>
      </c>
      <c r="N155" s="257">
        <f t="shared" si="8"/>
        <v>-1.1120000000000001</v>
      </c>
      <c r="O155" s="257">
        <f t="shared" si="8"/>
        <v>-1.1120000000000001</v>
      </c>
      <c r="P155" s="257">
        <f t="shared" si="8"/>
        <v>0</v>
      </c>
      <c r="Q155" s="257">
        <f t="shared" si="8"/>
        <v>-1.1120000000000001</v>
      </c>
      <c r="R155" s="257">
        <f t="shared" si="8"/>
        <v>-1.1120000000000001</v>
      </c>
      <c r="S155" s="257">
        <f t="shared" si="8"/>
        <v>0</v>
      </c>
      <c r="T155" s="280"/>
      <c r="U155" s="280"/>
    </row>
    <row r="156" spans="6:23" x14ac:dyDescent="0.25">
      <c r="F156" s="295" t="s">
        <v>1049</v>
      </c>
      <c r="G156" s="109" t="s">
        <v>528</v>
      </c>
      <c r="H156" s="90"/>
      <c r="J156" s="257">
        <f t="shared" si="8"/>
        <v>-1.1120000000000001</v>
      </c>
      <c r="K156" s="257">
        <f t="shared" si="8"/>
        <v>-1.1120000000000001</v>
      </c>
      <c r="L156" s="257">
        <f t="shared" si="8"/>
        <v>-1.1120000000000001</v>
      </c>
      <c r="M156" s="257">
        <f t="shared" si="8"/>
        <v>-1.1120000000000001</v>
      </c>
      <c r="N156" s="257">
        <f t="shared" si="8"/>
        <v>-1.1120000000000001</v>
      </c>
      <c r="O156" s="257">
        <f t="shared" si="8"/>
        <v>-1.1120000000000001</v>
      </c>
      <c r="P156" s="257">
        <f t="shared" si="8"/>
        <v>0</v>
      </c>
      <c r="Q156" s="257">
        <f t="shared" si="8"/>
        <v>-1.1120000000000001</v>
      </c>
      <c r="R156" s="257">
        <f t="shared" si="8"/>
        <v>-1.1120000000000001</v>
      </c>
      <c r="S156" s="257">
        <f t="shared" si="8"/>
        <v>0</v>
      </c>
      <c r="T156" s="280"/>
      <c r="U156" s="280"/>
    </row>
    <row r="157" spans="6:23" x14ac:dyDescent="0.25">
      <c r="F157" s="295" t="s">
        <v>1050</v>
      </c>
      <c r="G157" s="109" t="s">
        <v>528</v>
      </c>
      <c r="H157" s="90"/>
      <c r="J157" s="257">
        <f t="shared" si="8"/>
        <v>-1.06</v>
      </c>
      <c r="K157" s="257">
        <f t="shared" si="8"/>
        <v>-1.06</v>
      </c>
      <c r="L157" s="257">
        <f t="shared" si="8"/>
        <v>-1.06</v>
      </c>
      <c r="M157" s="257">
        <f t="shared" si="8"/>
        <v>-1.06</v>
      </c>
      <c r="N157" s="257">
        <f t="shared" si="8"/>
        <v>-1.06</v>
      </c>
      <c r="O157" s="257">
        <f t="shared" si="8"/>
        <v>-1.06</v>
      </c>
      <c r="P157" s="257">
        <f t="shared" si="8"/>
        <v>0</v>
      </c>
      <c r="Q157" s="257">
        <f t="shared" si="8"/>
        <v>-1.06</v>
      </c>
      <c r="R157" s="257">
        <f t="shared" si="8"/>
        <v>0</v>
      </c>
      <c r="S157" s="257">
        <f t="shared" si="8"/>
        <v>0</v>
      </c>
      <c r="T157" s="280"/>
      <c r="U157" s="280"/>
    </row>
    <row r="158" spans="6:23" x14ac:dyDescent="0.25">
      <c r="F158" s="295" t="s">
        <v>1051</v>
      </c>
      <c r="G158" s="109" t="s">
        <v>528</v>
      </c>
      <c r="H158" s="90"/>
      <c r="J158" s="257">
        <f t="shared" si="8"/>
        <v>-1.06</v>
      </c>
      <c r="K158" s="257">
        <f t="shared" si="8"/>
        <v>-1.06</v>
      </c>
      <c r="L158" s="257">
        <f t="shared" si="8"/>
        <v>-1.06</v>
      </c>
      <c r="M158" s="257">
        <f t="shared" si="8"/>
        <v>-1.06</v>
      </c>
      <c r="N158" s="257">
        <f t="shared" si="8"/>
        <v>-1.06</v>
      </c>
      <c r="O158" s="257">
        <f t="shared" si="8"/>
        <v>-1.06</v>
      </c>
      <c r="P158" s="257">
        <f t="shared" si="8"/>
        <v>0</v>
      </c>
      <c r="Q158" s="257">
        <f t="shared" si="8"/>
        <v>-1.06</v>
      </c>
      <c r="R158" s="257">
        <f t="shared" si="8"/>
        <v>0</v>
      </c>
      <c r="S158" s="257">
        <f t="shared" si="8"/>
        <v>0</v>
      </c>
      <c r="T158" s="280"/>
      <c r="U158" s="280"/>
    </row>
    <row r="159" spans="6:23" x14ac:dyDescent="0.25">
      <c r="F159" s="295" t="s">
        <v>1052</v>
      </c>
      <c r="G159" s="109" t="s">
        <v>528</v>
      </c>
      <c r="H159" s="90"/>
      <c r="J159" s="257">
        <f t="shared" si="8"/>
        <v>-1.038</v>
      </c>
      <c r="K159" s="257">
        <f t="shared" si="8"/>
        <v>-1.038</v>
      </c>
      <c r="L159" s="257">
        <f t="shared" si="8"/>
        <v>-1.038</v>
      </c>
      <c r="M159" s="257">
        <f t="shared" si="8"/>
        <v>-1.038</v>
      </c>
      <c r="N159" s="257">
        <f t="shared" si="8"/>
        <v>-1.038</v>
      </c>
      <c r="O159" s="257">
        <f t="shared" si="8"/>
        <v>-1.038</v>
      </c>
      <c r="P159" s="257">
        <f t="shared" si="8"/>
        <v>0</v>
      </c>
      <c r="Q159" s="257">
        <f t="shared" si="8"/>
        <v>0</v>
      </c>
      <c r="R159" s="257">
        <f t="shared" si="8"/>
        <v>0</v>
      </c>
      <c r="S159" s="257">
        <f t="shared" si="8"/>
        <v>0</v>
      </c>
      <c r="T159" s="280"/>
      <c r="U159" s="280"/>
    </row>
    <row r="160" spans="6:23" x14ac:dyDescent="0.25">
      <c r="F160" s="93" t="s">
        <v>1053</v>
      </c>
      <c r="G160" s="36" t="s">
        <v>528</v>
      </c>
      <c r="H160" s="187"/>
      <c r="I160" s="93"/>
      <c r="J160" s="259">
        <f t="shared" si="8"/>
        <v>-1.038</v>
      </c>
      <c r="K160" s="259">
        <f t="shared" si="8"/>
        <v>-1.038</v>
      </c>
      <c r="L160" s="259">
        <f t="shared" si="8"/>
        <v>-1.038</v>
      </c>
      <c r="M160" s="259">
        <f t="shared" si="8"/>
        <v>-1.038</v>
      </c>
      <c r="N160" s="259">
        <f t="shared" si="8"/>
        <v>-1.038</v>
      </c>
      <c r="O160" s="259">
        <f t="shared" si="8"/>
        <v>-1.038</v>
      </c>
      <c r="P160" s="259">
        <f t="shared" si="8"/>
        <v>0</v>
      </c>
      <c r="Q160" s="259">
        <f t="shared" si="8"/>
        <v>0</v>
      </c>
      <c r="R160" s="259">
        <f t="shared" si="8"/>
        <v>0</v>
      </c>
      <c r="S160" s="259">
        <f t="shared" si="8"/>
        <v>0</v>
      </c>
      <c r="T160" s="241"/>
      <c r="U160" s="241"/>
    </row>
    <row r="161" spans="5:23" x14ac:dyDescent="0.25">
      <c r="G161" s="108"/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</row>
    <row r="162" spans="5:23" x14ac:dyDescent="0.25">
      <c r="E162" s="96" t="s">
        <v>405</v>
      </c>
      <c r="G162" s="108"/>
      <c r="I162" s="295" t="s">
        <v>431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  <c r="U162" s="253"/>
      <c r="W162" s="88" t="s">
        <v>819</v>
      </c>
    </row>
    <row r="163" spans="5:23" x14ac:dyDescent="0.25">
      <c r="E163" s="82" t="s">
        <v>397</v>
      </c>
      <c r="G163" s="108"/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  <c r="U163" s="253"/>
    </row>
    <row r="164" spans="5:23" x14ac:dyDescent="0.25">
      <c r="F164" s="91" t="s">
        <v>1038</v>
      </c>
      <c r="G164" s="40" t="s">
        <v>528</v>
      </c>
      <c r="H164" s="74"/>
      <c r="I164" s="91"/>
      <c r="J164" s="239"/>
      <c r="K164" s="239"/>
      <c r="L164" s="239"/>
      <c r="M164" s="239"/>
      <c r="N164" s="239"/>
      <c r="O164" s="239"/>
      <c r="P164" s="239"/>
      <c r="Q164" s="239"/>
      <c r="R164" s="239"/>
      <c r="S164" s="239"/>
      <c r="T164" s="239"/>
      <c r="U164" s="239"/>
    </row>
    <row r="165" spans="5:23" x14ac:dyDescent="0.25">
      <c r="F165" s="295" t="s">
        <v>1039</v>
      </c>
      <c r="G165" s="109" t="s">
        <v>528</v>
      </c>
      <c r="H165" s="90"/>
      <c r="J165" s="280"/>
      <c r="K165" s="280"/>
      <c r="L165" s="280"/>
      <c r="M165" s="280"/>
      <c r="N165" s="280"/>
      <c r="O165" s="280"/>
      <c r="P165" s="280"/>
      <c r="Q165" s="280"/>
      <c r="R165" s="280"/>
      <c r="S165" s="280"/>
      <c r="T165" s="280"/>
      <c r="U165" s="280"/>
      <c r="W165" s="88"/>
    </row>
    <row r="166" spans="5:23" x14ac:dyDescent="0.25">
      <c r="F166" s="295" t="s">
        <v>1040</v>
      </c>
      <c r="G166" s="109" t="s">
        <v>528</v>
      </c>
      <c r="H166" s="90"/>
      <c r="J166" s="280"/>
      <c r="K166" s="280"/>
      <c r="L166" s="280"/>
      <c r="M166" s="280"/>
      <c r="N166" s="280"/>
      <c r="O166" s="280"/>
      <c r="P166" s="280"/>
      <c r="Q166" s="280"/>
      <c r="R166" s="280"/>
      <c r="S166" s="280"/>
      <c r="T166" s="280"/>
      <c r="U166" s="280"/>
      <c r="W166" s="88"/>
    </row>
    <row r="167" spans="5:23" x14ac:dyDescent="0.25">
      <c r="F167" s="295" t="s">
        <v>1041</v>
      </c>
      <c r="G167" s="109" t="s">
        <v>528</v>
      </c>
      <c r="H167" s="90"/>
      <c r="J167" s="280"/>
      <c r="K167" s="280"/>
      <c r="L167" s="280"/>
      <c r="M167" s="280"/>
      <c r="N167" s="280"/>
      <c r="O167" s="280"/>
      <c r="P167" s="280"/>
      <c r="Q167" s="280"/>
      <c r="R167" s="280"/>
      <c r="S167" s="280"/>
      <c r="T167" s="280"/>
      <c r="U167" s="280"/>
    </row>
    <row r="168" spans="5:23" x14ac:dyDescent="0.25">
      <c r="F168" s="295" t="s">
        <v>1042</v>
      </c>
      <c r="G168" s="109" t="s">
        <v>528</v>
      </c>
      <c r="H168" s="90"/>
      <c r="J168" s="280"/>
      <c r="K168" s="280"/>
      <c r="L168" s="280"/>
      <c r="M168" s="280"/>
      <c r="N168" s="280"/>
      <c r="O168" s="280"/>
      <c r="P168" s="280"/>
      <c r="Q168" s="280"/>
      <c r="R168" s="280"/>
      <c r="S168" s="280"/>
      <c r="T168" s="280"/>
      <c r="U168" s="280"/>
    </row>
    <row r="169" spans="5:23" x14ac:dyDescent="0.25">
      <c r="F169" s="295" t="s">
        <v>1043</v>
      </c>
      <c r="G169" s="109" t="s">
        <v>528</v>
      </c>
      <c r="H169" s="90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</row>
    <row r="170" spans="5:23" x14ac:dyDescent="0.25">
      <c r="F170" s="295" t="s">
        <v>1044</v>
      </c>
      <c r="G170" s="109" t="s">
        <v>528</v>
      </c>
      <c r="H170" s="90"/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</row>
    <row r="171" spans="5:23" x14ac:dyDescent="0.25">
      <c r="F171" s="295" t="s">
        <v>1045</v>
      </c>
      <c r="G171" s="109" t="s">
        <v>528</v>
      </c>
      <c r="H171" s="90"/>
      <c r="J171" s="280"/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</row>
    <row r="172" spans="5:23" x14ac:dyDescent="0.25">
      <c r="F172" s="295" t="s">
        <v>1046</v>
      </c>
      <c r="G172" s="109" t="s">
        <v>528</v>
      </c>
      <c r="H172" s="90"/>
      <c r="J172" s="257">
        <f t="shared" ref="J172:S179" si="9">$H134 * J73</f>
        <v>-1.1120000000000001</v>
      </c>
      <c r="K172" s="257">
        <f t="shared" si="9"/>
        <v>-1.1120000000000001</v>
      </c>
      <c r="L172" s="257">
        <f t="shared" si="9"/>
        <v>-1.1120000000000001</v>
      </c>
      <c r="M172" s="257">
        <f t="shared" si="9"/>
        <v>-1.1120000000000001</v>
      </c>
      <c r="N172" s="257">
        <f t="shared" si="9"/>
        <v>-1.1120000000000001</v>
      </c>
      <c r="O172" s="257">
        <f t="shared" si="9"/>
        <v>-1.1120000000000001</v>
      </c>
      <c r="P172" s="257">
        <f t="shared" si="9"/>
        <v>0</v>
      </c>
      <c r="Q172" s="257">
        <f t="shared" si="9"/>
        <v>-1.1120000000000001</v>
      </c>
      <c r="R172" s="257">
        <f t="shared" si="9"/>
        <v>-1.1120000000000001</v>
      </c>
      <c r="S172" s="257">
        <f t="shared" si="9"/>
        <v>-1.1120000000000001</v>
      </c>
      <c r="T172" s="280"/>
      <c r="U172" s="280"/>
    </row>
    <row r="173" spans="5:23" x14ac:dyDescent="0.25">
      <c r="F173" s="295" t="s">
        <v>1047</v>
      </c>
      <c r="G173" s="109" t="s">
        <v>528</v>
      </c>
      <c r="H173" s="90"/>
      <c r="J173" s="257">
        <f t="shared" si="9"/>
        <v>-1.06</v>
      </c>
      <c r="K173" s="257">
        <f t="shared" si="9"/>
        <v>-1.06</v>
      </c>
      <c r="L173" s="257">
        <f t="shared" si="9"/>
        <v>-1.06</v>
      </c>
      <c r="M173" s="257">
        <f t="shared" si="9"/>
        <v>-1.06</v>
      </c>
      <c r="N173" s="257">
        <f t="shared" si="9"/>
        <v>-1.06</v>
      </c>
      <c r="O173" s="257">
        <f t="shared" si="9"/>
        <v>-1.06</v>
      </c>
      <c r="P173" s="257">
        <f t="shared" si="9"/>
        <v>0</v>
      </c>
      <c r="Q173" s="257">
        <f t="shared" si="9"/>
        <v>-1.06</v>
      </c>
      <c r="R173" s="257">
        <f t="shared" si="9"/>
        <v>-1.06</v>
      </c>
      <c r="S173" s="257">
        <f t="shared" si="9"/>
        <v>0</v>
      </c>
      <c r="T173" s="280"/>
      <c r="U173" s="280"/>
    </row>
    <row r="174" spans="5:23" x14ac:dyDescent="0.25">
      <c r="F174" s="295" t="s">
        <v>1048</v>
      </c>
      <c r="G174" s="109" t="s">
        <v>528</v>
      </c>
      <c r="H174" s="90"/>
      <c r="J174" s="257">
        <f t="shared" si="9"/>
        <v>-1.1120000000000001</v>
      </c>
      <c r="K174" s="257">
        <f t="shared" si="9"/>
        <v>-1.1120000000000001</v>
      </c>
      <c r="L174" s="257">
        <f t="shared" si="9"/>
        <v>-1.1120000000000001</v>
      </c>
      <c r="M174" s="257">
        <f t="shared" si="9"/>
        <v>-1.1120000000000001</v>
      </c>
      <c r="N174" s="257">
        <f t="shared" si="9"/>
        <v>-1.1120000000000001</v>
      </c>
      <c r="O174" s="257">
        <f t="shared" si="9"/>
        <v>-1.1120000000000001</v>
      </c>
      <c r="P174" s="257">
        <f t="shared" si="9"/>
        <v>0</v>
      </c>
      <c r="Q174" s="257">
        <f t="shared" si="9"/>
        <v>-1.1120000000000001</v>
      </c>
      <c r="R174" s="257">
        <f t="shared" si="9"/>
        <v>-1.1120000000000001</v>
      </c>
      <c r="S174" s="257">
        <f t="shared" si="9"/>
        <v>-1.1120000000000001</v>
      </c>
      <c r="T174" s="280"/>
      <c r="U174" s="280"/>
    </row>
    <row r="175" spans="5:23" x14ac:dyDescent="0.25">
      <c r="F175" s="295" t="s">
        <v>1049</v>
      </c>
      <c r="G175" s="109" t="s">
        <v>528</v>
      </c>
      <c r="H175" s="90"/>
      <c r="J175" s="257">
        <f t="shared" si="9"/>
        <v>-1.1120000000000001</v>
      </c>
      <c r="K175" s="257">
        <f t="shared" si="9"/>
        <v>-1.1120000000000001</v>
      </c>
      <c r="L175" s="257">
        <f t="shared" si="9"/>
        <v>-1.1120000000000001</v>
      </c>
      <c r="M175" s="257">
        <f t="shared" si="9"/>
        <v>-1.1120000000000001</v>
      </c>
      <c r="N175" s="257">
        <f t="shared" si="9"/>
        <v>-1.1120000000000001</v>
      </c>
      <c r="O175" s="257">
        <f t="shared" si="9"/>
        <v>-1.1120000000000001</v>
      </c>
      <c r="P175" s="257">
        <f t="shared" si="9"/>
        <v>0</v>
      </c>
      <c r="Q175" s="257">
        <f t="shared" si="9"/>
        <v>-1.1120000000000001</v>
      </c>
      <c r="R175" s="257">
        <f t="shared" si="9"/>
        <v>-1.1120000000000001</v>
      </c>
      <c r="S175" s="257">
        <f t="shared" si="9"/>
        <v>-1.1120000000000001</v>
      </c>
      <c r="T175" s="280"/>
      <c r="U175" s="280"/>
    </row>
    <row r="176" spans="5:23" x14ac:dyDescent="0.25">
      <c r="F176" s="295" t="s">
        <v>1050</v>
      </c>
      <c r="G176" s="109" t="s">
        <v>528</v>
      </c>
      <c r="H176" s="90"/>
      <c r="J176" s="257">
        <f t="shared" si="9"/>
        <v>-1.06</v>
      </c>
      <c r="K176" s="257">
        <f t="shared" si="9"/>
        <v>-1.06</v>
      </c>
      <c r="L176" s="257">
        <f t="shared" si="9"/>
        <v>-1.06</v>
      </c>
      <c r="M176" s="257">
        <f t="shared" si="9"/>
        <v>-1.06</v>
      </c>
      <c r="N176" s="257">
        <f t="shared" si="9"/>
        <v>-1.06</v>
      </c>
      <c r="O176" s="257">
        <f t="shared" si="9"/>
        <v>-1.06</v>
      </c>
      <c r="P176" s="257">
        <f t="shared" si="9"/>
        <v>0</v>
      </c>
      <c r="Q176" s="257">
        <f t="shared" si="9"/>
        <v>-1.06</v>
      </c>
      <c r="R176" s="257">
        <f t="shared" si="9"/>
        <v>-1.06</v>
      </c>
      <c r="S176" s="257">
        <f t="shared" si="9"/>
        <v>0</v>
      </c>
      <c r="T176" s="280"/>
      <c r="U176" s="280"/>
    </row>
    <row r="177" spans="2:44" x14ac:dyDescent="0.25">
      <c r="F177" s="295" t="s">
        <v>1051</v>
      </c>
      <c r="G177" s="109" t="s">
        <v>528</v>
      </c>
      <c r="H177" s="90"/>
      <c r="J177" s="257">
        <f t="shared" si="9"/>
        <v>-1.06</v>
      </c>
      <c r="K177" s="257">
        <f t="shared" si="9"/>
        <v>-1.06</v>
      </c>
      <c r="L177" s="257">
        <f t="shared" si="9"/>
        <v>-1.06</v>
      </c>
      <c r="M177" s="257">
        <f t="shared" si="9"/>
        <v>-1.06</v>
      </c>
      <c r="N177" s="257">
        <f t="shared" si="9"/>
        <v>-1.06</v>
      </c>
      <c r="O177" s="257">
        <f t="shared" si="9"/>
        <v>-1.06</v>
      </c>
      <c r="P177" s="257">
        <f t="shared" si="9"/>
        <v>0</v>
      </c>
      <c r="Q177" s="257">
        <f t="shared" si="9"/>
        <v>-1.06</v>
      </c>
      <c r="R177" s="257">
        <f t="shared" si="9"/>
        <v>-1.06</v>
      </c>
      <c r="S177" s="257">
        <f t="shared" si="9"/>
        <v>0</v>
      </c>
      <c r="T177" s="280"/>
      <c r="U177" s="280"/>
    </row>
    <row r="178" spans="2:44" x14ac:dyDescent="0.25">
      <c r="F178" s="295" t="s">
        <v>1052</v>
      </c>
      <c r="G178" s="109" t="s">
        <v>528</v>
      </c>
      <c r="H178" s="90"/>
      <c r="J178" s="257">
        <f t="shared" si="9"/>
        <v>-1.038</v>
      </c>
      <c r="K178" s="257">
        <f t="shared" si="9"/>
        <v>-1.038</v>
      </c>
      <c r="L178" s="257">
        <f t="shared" si="9"/>
        <v>-1.038</v>
      </c>
      <c r="M178" s="257">
        <f t="shared" si="9"/>
        <v>-1.038</v>
      </c>
      <c r="N178" s="257">
        <f t="shared" si="9"/>
        <v>-1.038</v>
      </c>
      <c r="O178" s="257">
        <f t="shared" si="9"/>
        <v>-1.038</v>
      </c>
      <c r="P178" s="257">
        <f t="shared" si="9"/>
        <v>0</v>
      </c>
      <c r="Q178" s="257">
        <f t="shared" si="9"/>
        <v>-1.038</v>
      </c>
      <c r="R178" s="257">
        <f t="shared" si="9"/>
        <v>0</v>
      </c>
      <c r="S178" s="257">
        <f t="shared" si="9"/>
        <v>0</v>
      </c>
      <c r="T178" s="280"/>
      <c r="U178" s="280"/>
    </row>
    <row r="179" spans="2:44" x14ac:dyDescent="0.25">
      <c r="F179" s="93" t="s">
        <v>1053</v>
      </c>
      <c r="G179" s="36" t="s">
        <v>528</v>
      </c>
      <c r="H179" s="187"/>
      <c r="I179" s="93"/>
      <c r="J179" s="259">
        <f>$H141 * J80</f>
        <v>-1.038</v>
      </c>
      <c r="K179" s="259">
        <f t="shared" si="9"/>
        <v>-1.038</v>
      </c>
      <c r="L179" s="259">
        <f t="shared" si="9"/>
        <v>-1.038</v>
      </c>
      <c r="M179" s="259">
        <f t="shared" si="9"/>
        <v>-1.038</v>
      </c>
      <c r="N179" s="259">
        <f t="shared" si="9"/>
        <v>-1.038</v>
      </c>
      <c r="O179" s="259">
        <f t="shared" si="9"/>
        <v>-1.038</v>
      </c>
      <c r="P179" s="259">
        <f t="shared" si="9"/>
        <v>0</v>
      </c>
      <c r="Q179" s="259">
        <f t="shared" si="9"/>
        <v>-1.038</v>
      </c>
      <c r="R179" s="259">
        <f t="shared" si="9"/>
        <v>0</v>
      </c>
      <c r="S179" s="259">
        <f t="shared" si="9"/>
        <v>0</v>
      </c>
      <c r="T179" s="241"/>
      <c r="U179" s="241"/>
    </row>
    <row r="180" spans="2:44" x14ac:dyDescent="0.25">
      <c r="G180" s="108"/>
    </row>
    <row r="181" spans="2:44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</row>
    <row r="182" spans="2:44" x14ac:dyDescent="0.25">
      <c r="G182" s="108"/>
    </row>
    <row r="183" spans="2:44" x14ac:dyDescent="0.25">
      <c r="E183" s="295" t="s">
        <v>516</v>
      </c>
      <c r="G183" s="122" t="s">
        <v>692</v>
      </c>
      <c r="H183" s="152">
        <f t="array" ref="H183">SUM(IF(ISERROR(H19:W181), 1))</f>
        <v>0</v>
      </c>
    </row>
    <row r="185" spans="2:44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H183">
    <cfRule type="cellIs" dxfId="170" priority="2" operator="greaterThan">
      <formula>0</formula>
    </cfRule>
  </conditionalFormatting>
  <conditionalFormatting sqref="A4:XFD4">
    <cfRule type="expression" dxfId="169" priority="1">
      <formula>LEFT($A$4,1) &lt;&gt; "0"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00000000-0002-0000-1200-000000000000}">
      <formula1>0</formula1>
      <formula2>4</formula2>
    </dataValidation>
  </dataValidations>
  <hyperlinks>
    <hyperlink ref="B5:F5" location="'Model map'!A1" display="Click here to return to model map" xr:uid="{00000000-0004-0000-12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93" width="24.5703125" style="295" hidden="1" customWidth="1"/>
    <col min="294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0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904</v>
      </c>
    </row>
    <row r="10" spans="1:23" x14ac:dyDescent="0.25">
      <c r="C10" s="82" t="s">
        <v>905</v>
      </c>
    </row>
    <row r="12" spans="1:23" x14ac:dyDescent="0.25">
      <c r="B12" s="95" t="s">
        <v>289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526</v>
      </c>
    </row>
    <row r="16" spans="1:23" x14ac:dyDescent="0.25">
      <c r="C16" s="7" t="str">
        <f ca="1">INDEX('Version control'!$H$34:$H$58,MATCH($A$1,'Version control'!$F$34:$F$58,0),1)&amp;"-A: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431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810</v>
      </c>
    </row>
    <row r="19" spans="5:23" x14ac:dyDescent="0.25">
      <c r="E19" s="82" t="s">
        <v>248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1038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1039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1040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1041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1042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1043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1044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1045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1046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1047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1048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1049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1050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1051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1052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1053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control'!$H$34:$H$58,MATCH($A$1,'Version control'!$F$34:$F$58,0),1)&amp;"-B: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621</v>
      </c>
      <c r="H40" s="88"/>
      <c r="I40" s="88" t="s">
        <v>431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820</v>
      </c>
    </row>
    <row r="41" spans="3:23" x14ac:dyDescent="0.25">
      <c r="E41" s="82" t="s">
        <v>249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324</v>
      </c>
      <c r="K42" s="393" t="s">
        <v>43</v>
      </c>
      <c r="L42" s="393" t="s">
        <v>44</v>
      </c>
      <c r="M42" s="393" t="s">
        <v>45</v>
      </c>
      <c r="N42" s="393" t="s">
        <v>46</v>
      </c>
      <c r="O42" s="393" t="s">
        <v>47</v>
      </c>
      <c r="P42" s="393" t="s">
        <v>51</v>
      </c>
      <c r="Q42" s="393" t="s">
        <v>48</v>
      </c>
      <c r="R42" s="393" t="s">
        <v>49</v>
      </c>
      <c r="S42" s="393" t="s">
        <v>50</v>
      </c>
      <c r="T42" s="393" t="s">
        <v>124</v>
      </c>
      <c r="U42" s="393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0.32635129017655001</v>
      </c>
      <c r="R43" s="143">
        <f>'Inputs by network level'!R29</f>
        <v>0.71097285067873295</v>
      </c>
      <c r="S43" s="143">
        <f>'Inputs by network level'!S29</f>
        <v>0.93094869075781095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0.32635129017655001</v>
      </c>
      <c r="R44" s="143">
        <f>'Inputs by network level'!R30</f>
        <v>0.71097285067873295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0.29443019943019899</v>
      </c>
      <c r="O45" s="143">
        <f>'Inputs by network level'!O31</f>
        <v>0.14317058823529399</v>
      </c>
      <c r="P45" s="143">
        <f>'Inputs by network level'!P31</f>
        <v>0</v>
      </c>
      <c r="Q45" s="143">
        <f>'Inputs by network level'!Q31</f>
        <v>0.73429040289723801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94">
        <f>'Inputs by network level'!L32</f>
        <v>0</v>
      </c>
      <c r="M46" s="394">
        <f>'Inputs by network level'!M32</f>
        <v>0</v>
      </c>
      <c r="N46" s="394">
        <f>'Inputs by network level'!N32</f>
        <v>0.29443019943019899</v>
      </c>
      <c r="O46" s="394">
        <f>'Inputs by network level'!O32</f>
        <v>0.14317058823529399</v>
      </c>
      <c r="P46" s="394">
        <f>'Inputs by network level'!P32</f>
        <v>0</v>
      </c>
      <c r="Q46" s="394">
        <f>'Inputs by network level'!Q32</f>
        <v>0</v>
      </c>
      <c r="R46" s="394">
        <f>'Inputs by network level'!R32</f>
        <v>0</v>
      </c>
      <c r="S46" s="394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622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250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324</v>
      </c>
      <c r="K50" s="393" t="s">
        <v>43</v>
      </c>
      <c r="L50" s="393" t="s">
        <v>44</v>
      </c>
      <c r="M50" s="393" t="s">
        <v>45</v>
      </c>
      <c r="N50" s="393" t="s">
        <v>46</v>
      </c>
      <c r="O50" s="393" t="s">
        <v>47</v>
      </c>
      <c r="P50" s="393" t="s">
        <v>51</v>
      </c>
      <c r="Q50" s="393" t="s">
        <v>48</v>
      </c>
      <c r="R50" s="393" t="s">
        <v>49</v>
      </c>
      <c r="S50" s="393" t="s">
        <v>50</v>
      </c>
      <c r="T50" s="393" t="s">
        <v>124</v>
      </c>
      <c r="U50" s="393" t="s">
        <v>123</v>
      </c>
      <c r="W50" s="88"/>
    </row>
    <row r="51" spans="5:23" x14ac:dyDescent="0.25">
      <c r="F51" s="14" t="s">
        <v>1038</v>
      </c>
      <c r="G51" s="14"/>
      <c r="H51" s="109" t="s">
        <v>94</v>
      </c>
      <c r="J51" s="374"/>
      <c r="K51" s="374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0.32635129017655001</v>
      </c>
      <c r="R51" s="17">
        <f t="shared" si="0"/>
        <v>0.71097285067873295</v>
      </c>
      <c r="S51" s="17">
        <f t="shared" si="0"/>
        <v>0.93094869075781095</v>
      </c>
      <c r="T51" s="374"/>
      <c r="U51" s="374"/>
    </row>
    <row r="52" spans="5:23" x14ac:dyDescent="0.25">
      <c r="F52" s="14" t="s">
        <v>1039</v>
      </c>
      <c r="G52" s="14"/>
      <c r="H52" s="109" t="s">
        <v>94</v>
      </c>
      <c r="J52" s="374"/>
      <c r="K52" s="374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0.32635129017655001</v>
      </c>
      <c r="R52" s="17">
        <f t="shared" si="0"/>
        <v>0.71097285067873295</v>
      </c>
      <c r="S52" s="17">
        <f t="shared" si="0"/>
        <v>0.93094869075781095</v>
      </c>
      <c r="T52" s="374"/>
      <c r="U52" s="374"/>
    </row>
    <row r="53" spans="5:23" x14ac:dyDescent="0.25">
      <c r="F53" s="14" t="s">
        <v>1040</v>
      </c>
      <c r="G53" s="14"/>
      <c r="H53" s="109" t="s">
        <v>94</v>
      </c>
      <c r="J53" s="374"/>
      <c r="K53" s="374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0.32635129017655001</v>
      </c>
      <c r="R53" s="17">
        <f t="shared" si="0"/>
        <v>0.71097285067873295</v>
      </c>
      <c r="S53" s="17">
        <f t="shared" si="0"/>
        <v>0.93094869075781095</v>
      </c>
      <c r="T53" s="374"/>
      <c r="U53" s="374"/>
    </row>
    <row r="54" spans="5:23" x14ac:dyDescent="0.25">
      <c r="F54" s="14" t="s">
        <v>1041</v>
      </c>
      <c r="G54" s="14"/>
      <c r="H54" s="109" t="s">
        <v>94</v>
      </c>
      <c r="J54" s="374"/>
      <c r="K54" s="374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0.32635129017655001</v>
      </c>
      <c r="R54" s="17">
        <f t="shared" si="0"/>
        <v>0.71097285067873295</v>
      </c>
      <c r="S54" s="17">
        <f t="shared" si="0"/>
        <v>0.93094869075781095</v>
      </c>
      <c r="T54" s="374"/>
      <c r="U54" s="374"/>
    </row>
    <row r="55" spans="5:23" x14ac:dyDescent="0.25">
      <c r="F55" s="14" t="s">
        <v>1042</v>
      </c>
      <c r="G55" s="14"/>
      <c r="H55" s="109" t="s">
        <v>94</v>
      </c>
      <c r="J55" s="374"/>
      <c r="K55" s="374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0.32635129017655001</v>
      </c>
      <c r="R55" s="17">
        <f t="shared" si="0"/>
        <v>0.71097285067873295</v>
      </c>
      <c r="S55" s="17">
        <f t="shared" si="0"/>
        <v>0.93094869075781095</v>
      </c>
      <c r="T55" s="374"/>
      <c r="U55" s="374"/>
    </row>
    <row r="56" spans="5:23" x14ac:dyDescent="0.25">
      <c r="F56" s="14" t="s">
        <v>1043</v>
      </c>
      <c r="G56" s="14"/>
      <c r="H56" s="109" t="s">
        <v>94</v>
      </c>
      <c r="J56" s="374"/>
      <c r="K56" s="374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0.32635129017655001</v>
      </c>
      <c r="R56" s="17">
        <f t="shared" si="0"/>
        <v>0.71097285067873295</v>
      </c>
      <c r="S56" s="17">
        <f t="shared" si="0"/>
        <v>0</v>
      </c>
      <c r="T56" s="374"/>
      <c r="U56" s="374"/>
    </row>
    <row r="57" spans="5:23" x14ac:dyDescent="0.25">
      <c r="F57" s="14" t="s">
        <v>1044</v>
      </c>
      <c r="G57" s="14"/>
      <c r="H57" s="109" t="s">
        <v>94</v>
      </c>
      <c r="J57" s="374"/>
      <c r="K57" s="374"/>
      <c r="L57" s="17">
        <f t="shared" si="0"/>
        <v>0</v>
      </c>
      <c r="M57" s="17">
        <f t="shared" si="0"/>
        <v>0</v>
      </c>
      <c r="N57" s="17">
        <f t="shared" si="0"/>
        <v>0.29443019943019899</v>
      </c>
      <c r="O57" s="17">
        <f t="shared" si="0"/>
        <v>0.14317058823529399</v>
      </c>
      <c r="P57" s="17">
        <f t="shared" si="0"/>
        <v>0</v>
      </c>
      <c r="Q57" s="17">
        <f t="shared" si="0"/>
        <v>0.73429040289723801</v>
      </c>
      <c r="R57" s="17">
        <f t="shared" si="0"/>
        <v>0</v>
      </c>
      <c r="S57" s="17">
        <f t="shared" si="0"/>
        <v>0</v>
      </c>
      <c r="T57" s="374"/>
      <c r="U57" s="374"/>
    </row>
    <row r="58" spans="5:23" x14ac:dyDescent="0.25">
      <c r="F58" s="14" t="s">
        <v>1045</v>
      </c>
      <c r="G58" s="14"/>
      <c r="H58" s="109" t="s">
        <v>94</v>
      </c>
      <c r="J58" s="374"/>
      <c r="K58" s="374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0.32635129017655001</v>
      </c>
      <c r="R58" s="17">
        <f t="shared" si="0"/>
        <v>0.71097285067873295</v>
      </c>
      <c r="S58" s="17">
        <f t="shared" si="0"/>
        <v>0.93094869075781095</v>
      </c>
      <c r="T58" s="374"/>
      <c r="U58" s="374"/>
    </row>
    <row r="59" spans="5:23" x14ac:dyDescent="0.25">
      <c r="F59" s="14" t="s">
        <v>1046</v>
      </c>
      <c r="G59" s="14"/>
      <c r="H59" s="109" t="s">
        <v>94</v>
      </c>
      <c r="J59" s="374"/>
      <c r="K59" s="374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0.32635129017655001</v>
      </c>
      <c r="R59" s="17">
        <f t="shared" si="0"/>
        <v>0.71097285067873295</v>
      </c>
      <c r="S59" s="17">
        <f t="shared" si="0"/>
        <v>0.93094869075781095</v>
      </c>
      <c r="T59" s="374"/>
      <c r="U59" s="374"/>
    </row>
    <row r="60" spans="5:23" x14ac:dyDescent="0.25">
      <c r="F60" s="14" t="s">
        <v>1047</v>
      </c>
      <c r="G60" s="14"/>
      <c r="H60" s="109" t="s">
        <v>94</v>
      </c>
      <c r="J60" s="374"/>
      <c r="K60" s="374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0.32635129017655001</v>
      </c>
      <c r="R60" s="17">
        <f t="shared" si="0"/>
        <v>0.71097285067873295</v>
      </c>
      <c r="S60" s="17">
        <f t="shared" si="0"/>
        <v>0</v>
      </c>
      <c r="T60" s="374"/>
      <c r="U60" s="374"/>
    </row>
    <row r="61" spans="5:23" x14ac:dyDescent="0.25">
      <c r="F61" s="14" t="s">
        <v>1048</v>
      </c>
      <c r="G61" s="14"/>
      <c r="H61" s="109" t="s">
        <v>94</v>
      </c>
      <c r="J61" s="374"/>
      <c r="K61" s="374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0.32635129017655001</v>
      </c>
      <c r="R61" s="17">
        <f t="shared" si="0"/>
        <v>0.71097285067873295</v>
      </c>
      <c r="S61" s="17">
        <f t="shared" si="0"/>
        <v>0.93094869075781095</v>
      </c>
      <c r="T61" s="374"/>
      <c r="U61" s="374"/>
    </row>
    <row r="62" spans="5:23" x14ac:dyDescent="0.25">
      <c r="F62" s="14" t="s">
        <v>1049</v>
      </c>
      <c r="G62" s="14"/>
      <c r="H62" s="109" t="s">
        <v>94</v>
      </c>
      <c r="J62" s="374"/>
      <c r="K62" s="374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0.32635129017655001</v>
      </c>
      <c r="R62" s="17">
        <f t="shared" si="0"/>
        <v>0.71097285067873295</v>
      </c>
      <c r="S62" s="17">
        <f t="shared" si="0"/>
        <v>0.93094869075781095</v>
      </c>
      <c r="T62" s="374"/>
      <c r="U62" s="374"/>
    </row>
    <row r="63" spans="5:23" x14ac:dyDescent="0.25">
      <c r="F63" s="14" t="s">
        <v>1050</v>
      </c>
      <c r="G63" s="14"/>
      <c r="H63" s="109" t="s">
        <v>94</v>
      </c>
      <c r="J63" s="374"/>
      <c r="K63" s="374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0.32635129017655001</v>
      </c>
      <c r="R63" s="17">
        <f t="shared" si="0"/>
        <v>0.71097285067873295</v>
      </c>
      <c r="S63" s="17">
        <f t="shared" si="0"/>
        <v>0</v>
      </c>
      <c r="T63" s="374"/>
      <c r="U63" s="374"/>
    </row>
    <row r="64" spans="5:23" x14ac:dyDescent="0.25">
      <c r="F64" s="14" t="s">
        <v>1051</v>
      </c>
      <c r="G64" s="14"/>
      <c r="H64" s="109" t="s">
        <v>94</v>
      </c>
      <c r="J64" s="374"/>
      <c r="K64" s="374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0.32635129017655001</v>
      </c>
      <c r="R64" s="17">
        <f t="shared" si="0"/>
        <v>0.71097285067873295</v>
      </c>
      <c r="S64" s="17">
        <f t="shared" si="0"/>
        <v>0</v>
      </c>
      <c r="T64" s="374"/>
      <c r="U64" s="374"/>
    </row>
    <row r="65" spans="2:23" x14ac:dyDescent="0.25">
      <c r="F65" s="14" t="s">
        <v>1052</v>
      </c>
      <c r="G65" s="14"/>
      <c r="H65" s="109" t="s">
        <v>94</v>
      </c>
      <c r="J65" s="374"/>
      <c r="K65" s="374"/>
      <c r="L65" s="17">
        <f t="shared" si="0"/>
        <v>0</v>
      </c>
      <c r="M65" s="17">
        <f t="shared" si="0"/>
        <v>0</v>
      </c>
      <c r="N65" s="17">
        <f t="shared" si="0"/>
        <v>0.29443019943019899</v>
      </c>
      <c r="O65" s="17">
        <f t="shared" si="0"/>
        <v>0.14317058823529399</v>
      </c>
      <c r="P65" s="17">
        <f t="shared" si="0"/>
        <v>0</v>
      </c>
      <c r="Q65" s="17">
        <f t="shared" si="0"/>
        <v>0.73429040289723801</v>
      </c>
      <c r="R65" s="17">
        <f t="shared" si="0"/>
        <v>0</v>
      </c>
      <c r="S65" s="17">
        <f t="shared" si="0"/>
        <v>0</v>
      </c>
      <c r="T65" s="374"/>
      <c r="U65" s="374"/>
    </row>
    <row r="66" spans="2:23" x14ac:dyDescent="0.25">
      <c r="F66" s="15" t="s">
        <v>1053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0.29443019943019899</v>
      </c>
      <c r="O66" s="18">
        <f t="shared" si="0"/>
        <v>0.14317058823529399</v>
      </c>
      <c r="P66" s="18">
        <f t="shared" si="0"/>
        <v>0</v>
      </c>
      <c r="Q66" s="18">
        <f t="shared" si="0"/>
        <v>0.73429040289723801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5" t="s">
        <v>516</v>
      </c>
      <c r="G70" s="122" t="s">
        <v>692</v>
      </c>
      <c r="H70" s="152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H70">
    <cfRule type="cellIs" dxfId="168" priority="3" operator="greaterThan">
      <formula>0</formula>
    </cfRule>
  </conditionalFormatting>
  <conditionalFormatting sqref="A4:XFD4">
    <cfRule type="expression" dxfId="167" priority="2">
      <formula>LEFT($A$4,1) &lt;&gt; "0"</formula>
    </cfRule>
  </conditionalFormatting>
  <conditionalFormatting sqref="J5:U5">
    <cfRule type="expression" dxfId="166" priority="1">
      <formula>LEFT($A$4,1) &lt;&gt; "0"</formula>
    </cfRule>
  </conditionalFormatting>
  <hyperlinks>
    <hyperlink ref="B5:F5" location="'Model map'!A1" display="Click here to return to model map" xr:uid="{00000000-0004-0000-13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8">
    <tabColor theme="4" tint="0.59999389629810485"/>
    <pageSetUpPr fitToPage="1"/>
  </sheetPr>
  <dimension ref="A1:LH14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0" t="str">
        <f>H140 &amp; IF(H140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407</v>
      </c>
    </row>
    <row r="10" spans="1:43" x14ac:dyDescent="0.25">
      <c r="C10" s="82" t="s">
        <v>681</v>
      </c>
    </row>
    <row r="11" spans="1:43" x14ac:dyDescent="0.25">
      <c r="C11" s="82" t="s">
        <v>682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control'!$H$34:$H$58,MATCH($A$1,'Version control'!$F$34:$F$58,0),1)&amp;"-A: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409</v>
      </c>
    </row>
    <row r="18" spans="4:43" x14ac:dyDescent="0.25">
      <c r="D18" s="82" t="s">
        <v>410</v>
      </c>
    </row>
    <row r="19" spans="4:43" x14ac:dyDescent="0.25">
      <c r="D19" s="82"/>
    </row>
    <row r="20" spans="4:43" x14ac:dyDescent="0.25">
      <c r="E20" s="86" t="s">
        <v>156</v>
      </c>
      <c r="I20" s="295" t="s">
        <v>431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408</v>
      </c>
      <c r="AA21" s="295" t="s">
        <v>821</v>
      </c>
    </row>
    <row r="22" spans="4:43" x14ac:dyDescent="0.25">
      <c r="F22" s="91" t="s">
        <v>66</v>
      </c>
      <c r="G22" s="91" t="s">
        <v>94</v>
      </c>
      <c r="H22" s="137">
        <f>'General inputs'!H33</f>
        <v>0.38002274557606974</v>
      </c>
      <c r="AQ22" s="88"/>
    </row>
    <row r="23" spans="4:43" x14ac:dyDescent="0.25">
      <c r="F23" s="295" t="s">
        <v>67</v>
      </c>
      <c r="G23" s="295" t="s">
        <v>94</v>
      </c>
      <c r="H23" s="143">
        <f>'General inputs'!H34</f>
        <v>0.55710107807599307</v>
      </c>
      <c r="AQ23" s="88"/>
    </row>
    <row r="24" spans="4:43" x14ac:dyDescent="0.25">
      <c r="F24" s="295" t="s">
        <v>68</v>
      </c>
      <c r="G24" s="295" t="s">
        <v>94</v>
      </c>
      <c r="H24" s="143">
        <f>'General inputs'!H35</f>
        <v>0.28402147020999663</v>
      </c>
      <c r="AQ24" s="88"/>
    </row>
    <row r="25" spans="4:43" x14ac:dyDescent="0.25">
      <c r="F25" s="93" t="s">
        <v>69</v>
      </c>
      <c r="G25" s="93" t="s">
        <v>94</v>
      </c>
      <c r="H25" s="394">
        <f>'General inputs'!H36</f>
        <v>0.19097590599842459</v>
      </c>
      <c r="AQ25" s="88"/>
    </row>
    <row r="27" spans="4:43" x14ac:dyDescent="0.25">
      <c r="E27" s="96" t="s">
        <v>157</v>
      </c>
      <c r="I27" s="295" t="s">
        <v>431</v>
      </c>
      <c r="AA27" s="295" t="s">
        <v>1026</v>
      </c>
      <c r="AQ27" s="88"/>
    </row>
    <row r="28" spans="4:43" x14ac:dyDescent="0.25">
      <c r="E28" s="82" t="s">
        <v>679</v>
      </c>
    </row>
    <row r="29" spans="4:43" x14ac:dyDescent="0.25">
      <c r="E29" s="82" t="s">
        <v>680</v>
      </c>
    </row>
    <row r="30" spans="4:43" x14ac:dyDescent="0.25">
      <c r="F30" s="91" t="s">
        <v>66</v>
      </c>
      <c r="G30" s="91" t="s">
        <v>132</v>
      </c>
      <c r="H30" s="91"/>
      <c r="I30" s="91"/>
      <c r="J30" s="299">
        <f>'Fixed inputs'!J46</f>
        <v>1</v>
      </c>
      <c r="K30" s="299">
        <f>'Fixed inputs'!K46</f>
        <v>1</v>
      </c>
      <c r="L30" s="299">
        <f>'Fixed inputs'!L46</f>
        <v>1</v>
      </c>
      <c r="M30" s="299">
        <f>'Fixed inputs'!M46</f>
        <v>1</v>
      </c>
      <c r="N30" s="299">
        <f>'Fixed inputs'!N46</f>
        <v>1</v>
      </c>
      <c r="O30" s="299">
        <f>'Fixed inputs'!O46</f>
        <v>0</v>
      </c>
      <c r="P30" s="299">
        <f>'Fixed inputs'!P46</f>
        <v>0</v>
      </c>
      <c r="Q30" s="299">
        <f>'Fixed inputs'!Q46</f>
        <v>1</v>
      </c>
      <c r="R30" s="299">
        <f>'Fixed inputs'!R46</f>
        <v>0</v>
      </c>
      <c r="S30" s="299">
        <f>'Fixed inputs'!S46</f>
        <v>0</v>
      </c>
      <c r="T30" s="299">
        <f>'Fixed inputs'!T46</f>
        <v>0</v>
      </c>
      <c r="U30" s="299">
        <f>'Fixed inputs'!U46</f>
        <v>0</v>
      </c>
      <c r="V30" s="299">
        <f>'Fixed inputs'!V46</f>
        <v>0</v>
      </c>
      <c r="W30" s="299">
        <f>'Fixed inputs'!W46</f>
        <v>0</v>
      </c>
      <c r="X30" s="299">
        <f>'Fixed inputs'!X46</f>
        <v>0</v>
      </c>
      <c r="Y30" s="299">
        <f>'Fixed inputs'!Y46</f>
        <v>0</v>
      </c>
      <c r="AQ30" s="88"/>
    </row>
    <row r="31" spans="4:43" x14ac:dyDescent="0.25">
      <c r="F31" s="295" t="s">
        <v>67</v>
      </c>
      <c r="G31" s="295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5" t="s">
        <v>68</v>
      </c>
      <c r="G32" s="295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5">
        <f t="shared" ref="J34:Y34" si="0">J30 * $H$22</f>
        <v>0.38002274557606974</v>
      </c>
      <c r="K34" s="395">
        <f t="shared" si="0"/>
        <v>0.38002274557606974</v>
      </c>
      <c r="L34" s="395">
        <f t="shared" si="0"/>
        <v>0.38002274557606974</v>
      </c>
      <c r="M34" s="395">
        <f t="shared" si="0"/>
        <v>0.38002274557606974</v>
      </c>
      <c r="N34" s="395">
        <f t="shared" si="0"/>
        <v>0.38002274557606974</v>
      </c>
      <c r="O34" s="395">
        <f t="shared" si="0"/>
        <v>0</v>
      </c>
      <c r="P34" s="395">
        <f t="shared" si="0"/>
        <v>0</v>
      </c>
      <c r="Q34" s="395">
        <f t="shared" si="0"/>
        <v>0.38002274557606974</v>
      </c>
      <c r="R34" s="395">
        <f t="shared" si="0"/>
        <v>0</v>
      </c>
      <c r="S34" s="395">
        <f t="shared" si="0"/>
        <v>0</v>
      </c>
      <c r="T34" s="395">
        <f t="shared" si="0"/>
        <v>0</v>
      </c>
      <c r="U34" s="395">
        <f t="shared" si="0"/>
        <v>0</v>
      </c>
      <c r="V34" s="395">
        <f t="shared" si="0"/>
        <v>0</v>
      </c>
      <c r="W34" s="395">
        <f t="shared" si="0"/>
        <v>0</v>
      </c>
      <c r="X34" s="395">
        <f t="shared" si="0"/>
        <v>0</v>
      </c>
      <c r="Y34" s="395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5">
        <f t="shared" ref="J35:Y35" si="1">SUMPRODUCT(J31:J33,$H$23:$H$25)</f>
        <v>0.55710107807599307</v>
      </c>
      <c r="K35" s="395">
        <f t="shared" si="1"/>
        <v>0.55710107807599307</v>
      </c>
      <c r="L35" s="395">
        <f t="shared" si="1"/>
        <v>0.55710107807599307</v>
      </c>
      <c r="M35" s="395">
        <f t="shared" si="1"/>
        <v>0.55710107807599307</v>
      </c>
      <c r="N35" s="395">
        <f t="shared" si="1"/>
        <v>0.55710107807599307</v>
      </c>
      <c r="O35" s="395">
        <f t="shared" si="1"/>
        <v>0.28402147020999663</v>
      </c>
      <c r="P35" s="395">
        <f t="shared" si="1"/>
        <v>0.19097590599842459</v>
      </c>
      <c r="Q35" s="395">
        <f t="shared" si="1"/>
        <v>0.55710107807599307</v>
      </c>
      <c r="R35" s="395">
        <f t="shared" si="1"/>
        <v>0</v>
      </c>
      <c r="S35" s="395">
        <f t="shared" si="1"/>
        <v>0</v>
      </c>
      <c r="T35" s="395">
        <f t="shared" si="1"/>
        <v>0</v>
      </c>
      <c r="U35" s="395">
        <f t="shared" si="1"/>
        <v>0</v>
      </c>
      <c r="V35" s="395">
        <f t="shared" si="1"/>
        <v>0</v>
      </c>
      <c r="W35" s="395">
        <f t="shared" si="1"/>
        <v>0</v>
      </c>
      <c r="X35" s="395">
        <f t="shared" si="1"/>
        <v>0</v>
      </c>
      <c r="Y35" s="395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5" t="s">
        <v>431</v>
      </c>
      <c r="AA37" s="295" t="s">
        <v>1026</v>
      </c>
      <c r="AQ37" s="88"/>
    </row>
    <row r="38" spans="4:43" x14ac:dyDescent="0.25">
      <c r="E38" s="82" t="s">
        <v>411</v>
      </c>
    </row>
    <row r="39" spans="4:43" x14ac:dyDescent="0.25">
      <c r="F39" s="14" t="s">
        <v>440</v>
      </c>
      <c r="G39" s="14" t="s">
        <v>174</v>
      </c>
      <c r="J39" s="396" t="b">
        <f>'Fixed inputs'!J105</f>
        <v>0</v>
      </c>
      <c r="K39" s="396" t="b">
        <f>'Fixed inputs'!K105</f>
        <v>0</v>
      </c>
      <c r="L39" s="396" t="b">
        <f>'Fixed inputs'!L105</f>
        <v>0</v>
      </c>
      <c r="M39" s="396" t="b">
        <f>'Fixed inputs'!M105</f>
        <v>0</v>
      </c>
      <c r="N39" s="396" t="b">
        <f>'Fixed inputs'!N105</f>
        <v>0</v>
      </c>
      <c r="O39" s="396" t="b">
        <f>'Fixed inputs'!O105</f>
        <v>0</v>
      </c>
      <c r="P39" s="396" t="b">
        <f>'Fixed inputs'!P105</f>
        <v>0</v>
      </c>
      <c r="Q39" s="396" t="b">
        <f>'Fixed inputs'!Q105</f>
        <v>0</v>
      </c>
      <c r="R39" s="396" t="b">
        <f>'Fixed inputs'!R105</f>
        <v>1</v>
      </c>
      <c r="S39" s="396" t="b">
        <f>'Fixed inputs'!S105</f>
        <v>1</v>
      </c>
      <c r="T39" s="396" t="b">
        <f>'Fixed inputs'!T105</f>
        <v>1</v>
      </c>
      <c r="U39" s="396" t="b">
        <f>'Fixed inputs'!U105</f>
        <v>1</v>
      </c>
      <c r="V39" s="396" t="b">
        <f>'Fixed inputs'!V105</f>
        <v>1</v>
      </c>
      <c r="W39" s="396" t="b">
        <f>'Fixed inputs'!W105</f>
        <v>1</v>
      </c>
      <c r="X39" s="396" t="b">
        <f>'Fixed inputs'!X105</f>
        <v>1</v>
      </c>
      <c r="Y39" s="396" t="b">
        <f>'Fixed inputs'!Y105</f>
        <v>1</v>
      </c>
      <c r="AQ39" s="88"/>
    </row>
    <row r="40" spans="4:43" x14ac:dyDescent="0.25">
      <c r="F40" s="14" t="s">
        <v>441</v>
      </c>
      <c r="G40" s="14" t="s">
        <v>174</v>
      </c>
      <c r="J40" s="396" t="b">
        <f>'Fixed inputs'!J109</f>
        <v>0</v>
      </c>
      <c r="K40" s="396" t="b">
        <f>'Fixed inputs'!K109</f>
        <v>0</v>
      </c>
      <c r="L40" s="396" t="b">
        <f>'Fixed inputs'!L109</f>
        <v>0</v>
      </c>
      <c r="M40" s="396" t="b">
        <f>'Fixed inputs'!M109</f>
        <v>0</v>
      </c>
      <c r="N40" s="396" t="b">
        <f>'Fixed inputs'!N109</f>
        <v>0</v>
      </c>
      <c r="O40" s="396" t="b">
        <f>'Fixed inputs'!O109</f>
        <v>0</v>
      </c>
      <c r="P40" s="396" t="b">
        <f>'Fixed inputs'!P109</f>
        <v>0</v>
      </c>
      <c r="Q40" s="396" t="b">
        <f>'Fixed inputs'!Q109</f>
        <v>0</v>
      </c>
      <c r="R40" s="396" t="b">
        <f>'Fixed inputs'!R109</f>
        <v>1</v>
      </c>
      <c r="S40" s="396" t="b">
        <f>'Fixed inputs'!S109</f>
        <v>1</v>
      </c>
      <c r="T40" s="396" t="b">
        <f>'Fixed inputs'!T109</f>
        <v>1</v>
      </c>
      <c r="U40" s="396" t="b">
        <f>'Fixed inputs'!U109</f>
        <v>1</v>
      </c>
      <c r="V40" s="396" t="b">
        <f>'Fixed inputs'!V109</f>
        <v>1</v>
      </c>
      <c r="W40" s="396" t="b">
        <f>'Fixed inputs'!W109</f>
        <v>1</v>
      </c>
      <c r="X40" s="396" t="b">
        <f>'Fixed inputs'!X109</f>
        <v>1</v>
      </c>
      <c r="Y40" s="396" t="b">
        <f>'Fixed inputs'!Y109</f>
        <v>1</v>
      </c>
      <c r="AQ40" s="88"/>
    </row>
    <row r="41" spans="4:43" x14ac:dyDescent="0.25">
      <c r="F41" s="14" t="s">
        <v>442</v>
      </c>
      <c r="G41" s="14" t="s">
        <v>174</v>
      </c>
      <c r="J41" s="396" t="b">
        <f>'Fixed inputs'!J113</f>
        <v>0</v>
      </c>
      <c r="K41" s="396" t="b">
        <f>'Fixed inputs'!K113</f>
        <v>0</v>
      </c>
      <c r="L41" s="396" t="b">
        <f>'Fixed inputs'!L113</f>
        <v>0</v>
      </c>
      <c r="M41" s="396" t="b">
        <f>'Fixed inputs'!M113</f>
        <v>0</v>
      </c>
      <c r="N41" s="396" t="b">
        <f>'Fixed inputs'!N113</f>
        <v>0</v>
      </c>
      <c r="O41" s="396" t="b">
        <f>'Fixed inputs'!O113</f>
        <v>0</v>
      </c>
      <c r="P41" s="396" t="b">
        <f>'Fixed inputs'!P113</f>
        <v>0</v>
      </c>
      <c r="Q41" s="396" t="b">
        <f>'Fixed inputs'!Q113</f>
        <v>0</v>
      </c>
      <c r="R41" s="396" t="b">
        <f>'Fixed inputs'!R113</f>
        <v>1</v>
      </c>
      <c r="S41" s="396" t="b">
        <f>'Fixed inputs'!S113</f>
        <v>1</v>
      </c>
      <c r="T41" s="396" t="b">
        <f>'Fixed inputs'!T113</f>
        <v>1</v>
      </c>
      <c r="U41" s="396" t="b">
        <f>'Fixed inputs'!U113</f>
        <v>1</v>
      </c>
      <c r="V41" s="396" t="b">
        <f>'Fixed inputs'!V113</f>
        <v>1</v>
      </c>
      <c r="W41" s="396" t="b">
        <f>'Fixed inputs'!W113</f>
        <v>1</v>
      </c>
      <c r="X41" s="396" t="b">
        <f>'Fixed inputs'!X113</f>
        <v>1</v>
      </c>
      <c r="Y41" s="396" t="b">
        <f>'Fixed inputs'!Y113</f>
        <v>1</v>
      </c>
      <c r="AQ41" s="88"/>
    </row>
    <row r="42" spans="4:43" x14ac:dyDescent="0.25">
      <c r="F42" s="14" t="s">
        <v>443</v>
      </c>
      <c r="G42" s="14" t="s">
        <v>174</v>
      </c>
      <c r="J42" s="396" t="b">
        <f>'Fixed inputs'!J117</f>
        <v>0</v>
      </c>
      <c r="K42" s="396" t="b">
        <f>'Fixed inputs'!K117</f>
        <v>0</v>
      </c>
      <c r="L42" s="396" t="b">
        <f>'Fixed inputs'!L117</f>
        <v>0</v>
      </c>
      <c r="M42" s="396" t="b">
        <f>'Fixed inputs'!M117</f>
        <v>0</v>
      </c>
      <c r="N42" s="396" t="b">
        <f>'Fixed inputs'!N117</f>
        <v>0</v>
      </c>
      <c r="O42" s="396" t="b">
        <f>'Fixed inputs'!O117</f>
        <v>0</v>
      </c>
      <c r="P42" s="396" t="b">
        <f>'Fixed inputs'!P117</f>
        <v>0</v>
      </c>
      <c r="Q42" s="396" t="b">
        <f>'Fixed inputs'!Q117</f>
        <v>0</v>
      </c>
      <c r="R42" s="396" t="b">
        <f>'Fixed inputs'!R117</f>
        <v>1</v>
      </c>
      <c r="S42" s="396" t="b">
        <f>'Fixed inputs'!S117</f>
        <v>1</v>
      </c>
      <c r="T42" s="396" t="b">
        <f>'Fixed inputs'!T117</f>
        <v>1</v>
      </c>
      <c r="U42" s="396" t="b">
        <f>'Fixed inputs'!U117</f>
        <v>1</v>
      </c>
      <c r="V42" s="396" t="b">
        <f>'Fixed inputs'!V117</f>
        <v>1</v>
      </c>
      <c r="W42" s="396" t="b">
        <f>'Fixed inputs'!W117</f>
        <v>1</v>
      </c>
      <c r="X42" s="396" t="b">
        <f>'Fixed inputs'!X117</f>
        <v>1</v>
      </c>
      <c r="Y42" s="396" t="b">
        <f>'Fixed inputs'!Y117</f>
        <v>1</v>
      </c>
      <c r="AQ42" s="88"/>
    </row>
    <row r="43" spans="4:43" x14ac:dyDescent="0.25">
      <c r="F43" s="14" t="s">
        <v>444</v>
      </c>
      <c r="G43" s="14" t="s">
        <v>174</v>
      </c>
      <c r="J43" s="396" t="b">
        <f>'Fixed inputs'!J121</f>
        <v>0</v>
      </c>
      <c r="K43" s="396" t="b">
        <f>'Fixed inputs'!K121</f>
        <v>0</v>
      </c>
      <c r="L43" s="396" t="b">
        <f>'Fixed inputs'!L121</f>
        <v>0</v>
      </c>
      <c r="M43" s="396" t="b">
        <f>'Fixed inputs'!M121</f>
        <v>0</v>
      </c>
      <c r="N43" s="396" t="b">
        <f>'Fixed inputs'!N121</f>
        <v>0</v>
      </c>
      <c r="O43" s="396" t="b">
        <f>'Fixed inputs'!O121</f>
        <v>0</v>
      </c>
      <c r="P43" s="396" t="b">
        <f>'Fixed inputs'!P121</f>
        <v>0</v>
      </c>
      <c r="Q43" s="396" t="b">
        <f>'Fixed inputs'!Q121</f>
        <v>0</v>
      </c>
      <c r="R43" s="396" t="b">
        <f>'Fixed inputs'!R121</f>
        <v>1</v>
      </c>
      <c r="S43" s="396" t="b">
        <f>'Fixed inputs'!S121</f>
        <v>1</v>
      </c>
      <c r="T43" s="396" t="b">
        <f>'Fixed inputs'!T121</f>
        <v>1</v>
      </c>
      <c r="U43" s="396" t="b">
        <f>'Fixed inputs'!U121</f>
        <v>1</v>
      </c>
      <c r="V43" s="396" t="b">
        <f>'Fixed inputs'!V121</f>
        <v>1</v>
      </c>
      <c r="W43" s="396" t="b">
        <f>'Fixed inputs'!W121</f>
        <v>1</v>
      </c>
      <c r="X43" s="396" t="b">
        <f>'Fixed inputs'!X121</f>
        <v>1</v>
      </c>
      <c r="Y43" s="396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82" t="s">
        <v>603</v>
      </c>
      <c r="AQ53" s="88"/>
    </row>
    <row r="54" spans="2:43" x14ac:dyDescent="0.25">
      <c r="C54" s="96"/>
      <c r="AQ54" s="88"/>
    </row>
    <row r="55" spans="2:43" x14ac:dyDescent="0.25">
      <c r="C55" s="7" t="str">
        <f ca="1">INDEX('Version control'!$H$34:$H$58,MATCH($A$1,'Version control'!$F$34:$F$58,0),1)&amp;"-B: Volume discounting"</f>
        <v>Section 507-B: Volume discounting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Q55" s="88"/>
    </row>
    <row r="56" spans="2:43" x14ac:dyDescent="0.25">
      <c r="C56" s="96"/>
      <c r="AQ56" s="88"/>
    </row>
    <row r="57" spans="2:43" x14ac:dyDescent="0.25">
      <c r="C57" s="82"/>
      <c r="E57" s="96" t="s">
        <v>134</v>
      </c>
      <c r="I57" s="295" t="s">
        <v>431</v>
      </c>
      <c r="AA57" s="295" t="s">
        <v>801</v>
      </c>
      <c r="AQ57" s="88"/>
    </row>
    <row r="58" spans="2:43" x14ac:dyDescent="0.25">
      <c r="C58" s="82"/>
      <c r="E58" s="96"/>
      <c r="AQ58" s="88"/>
    </row>
    <row r="59" spans="2:43" x14ac:dyDescent="0.25">
      <c r="F59" s="14" t="s">
        <v>145</v>
      </c>
      <c r="G59" s="14" t="s">
        <v>120</v>
      </c>
      <c r="J59" s="274">
        <f>'Inputs by customer type'!J24</f>
        <v>565724.84769405378</v>
      </c>
      <c r="K59" s="274">
        <f>'Inputs by customer type'!K24</f>
        <v>45.600324459247773</v>
      </c>
      <c r="L59" s="274">
        <f>'Inputs by customer type'!L24</f>
        <v>148255.30521434694</v>
      </c>
      <c r="M59" s="274">
        <f>'Inputs by customer type'!M24</f>
        <v>6.8595464743105259</v>
      </c>
      <c r="N59" s="274">
        <f>'Inputs by customer type'!N24</f>
        <v>91792.359658494301</v>
      </c>
      <c r="O59" s="274">
        <f>'Inputs by customer type'!O24</f>
        <v>105860.63117892911</v>
      </c>
      <c r="P59" s="274">
        <f>'Inputs by customer type'!P24</f>
        <v>161221.11018721742</v>
      </c>
      <c r="Q59" s="274">
        <f>'Inputs by customer type'!Q24</f>
        <v>7070.8623594972905</v>
      </c>
      <c r="R59" s="274">
        <f>'Inputs by customer type'!R24</f>
        <v>104.47429331694744</v>
      </c>
      <c r="S59" s="274">
        <f>'Inputs by customer type'!S24</f>
        <v>35.771932311779992</v>
      </c>
      <c r="T59" s="274">
        <f>'Inputs by customer type'!T24</f>
        <v>4876.2857099056537</v>
      </c>
      <c r="U59" s="274">
        <f>'Inputs by customer type'!U24</f>
        <v>0</v>
      </c>
      <c r="V59" s="274">
        <f>'Inputs by customer type'!V24</f>
        <v>1421.8434887434785</v>
      </c>
      <c r="W59" s="274">
        <f>'Inputs by customer type'!W24</f>
        <v>0</v>
      </c>
      <c r="X59" s="274">
        <f>'Inputs by customer type'!X24</f>
        <v>42821.256435874217</v>
      </c>
      <c r="Y59" s="274">
        <f>'Inputs by customer type'!Y24</f>
        <v>0</v>
      </c>
      <c r="AQ59" s="88"/>
    </row>
    <row r="60" spans="2:43" x14ac:dyDescent="0.25">
      <c r="F60" s="14" t="s">
        <v>146</v>
      </c>
      <c r="G60" s="14" t="s">
        <v>120</v>
      </c>
      <c r="J60" s="274">
        <f>'Inputs by customer type'!J33</f>
        <v>6614.2642110959696</v>
      </c>
      <c r="K60" s="274">
        <f>'Inputs by customer type'!K33</f>
        <v>0</v>
      </c>
      <c r="L60" s="274">
        <f>'Inputs by customer type'!L33</f>
        <v>238.1771508003859</v>
      </c>
      <c r="M60" s="274">
        <f>'Inputs by customer type'!M33</f>
        <v>0</v>
      </c>
      <c r="N60" s="274">
        <f>'Inputs by customer type'!N33</f>
        <v>782.38165777500001</v>
      </c>
      <c r="O60" s="274">
        <f>'Inputs by customer type'!O33</f>
        <v>0</v>
      </c>
      <c r="P60" s="274">
        <f>'Inputs by customer type'!P33</f>
        <v>0</v>
      </c>
      <c r="Q60" s="274">
        <f>'Inputs by customer type'!Q33</f>
        <v>5.48725246628352</v>
      </c>
      <c r="R60" s="274">
        <f>'Inputs by customer type'!R33</f>
        <v>0</v>
      </c>
      <c r="S60" s="274">
        <f>'Inputs by customer type'!S33</f>
        <v>0</v>
      </c>
      <c r="T60" s="274">
        <f>'Inputs by customer type'!T33</f>
        <v>0</v>
      </c>
      <c r="U60" s="274">
        <f>'Inputs by customer type'!U33</f>
        <v>0</v>
      </c>
      <c r="V60" s="274">
        <f>'Inputs by customer type'!V33</f>
        <v>0</v>
      </c>
      <c r="W60" s="274">
        <f>'Inputs by customer type'!W33</f>
        <v>0</v>
      </c>
      <c r="X60" s="274">
        <f>'Inputs by customer type'!X33</f>
        <v>0</v>
      </c>
      <c r="Y60" s="274">
        <f>'Inputs by customer type'!Y33</f>
        <v>0</v>
      </c>
      <c r="AQ60" s="88"/>
    </row>
    <row r="61" spans="2:43" x14ac:dyDescent="0.25">
      <c r="F61" s="14" t="s">
        <v>147</v>
      </c>
      <c r="G61" s="14" t="s">
        <v>120</v>
      </c>
      <c r="J61" s="274">
        <f>'Inputs by customer type'!J42</f>
        <v>9005.7413990104942</v>
      </c>
      <c r="K61" s="274">
        <f>'Inputs by customer type'!K42</f>
        <v>0</v>
      </c>
      <c r="L61" s="274">
        <f>'Inputs by customer type'!L42</f>
        <v>854.01034020084694</v>
      </c>
      <c r="M61" s="274">
        <f>'Inputs by customer type'!M42</f>
        <v>0</v>
      </c>
      <c r="N61" s="274">
        <f>'Inputs by customer type'!N42</f>
        <v>7542.4207166712504</v>
      </c>
      <c r="O61" s="274">
        <f>'Inputs by customer type'!O42</f>
        <v>1135.5501489325</v>
      </c>
      <c r="P61" s="274">
        <f>'Inputs by customer type'!P42</f>
        <v>2073.1723091137501</v>
      </c>
      <c r="Q61" s="274">
        <f>'Inputs by customer type'!Q42</f>
        <v>8.0564727585887912</v>
      </c>
      <c r="R61" s="274">
        <f>'Inputs by customer type'!R42</f>
        <v>0</v>
      </c>
      <c r="S61" s="274">
        <f>'Inputs by customer type'!S42</f>
        <v>0</v>
      </c>
      <c r="T61" s="274">
        <f>'Inputs by customer type'!T42</f>
        <v>60.292999999999999</v>
      </c>
      <c r="U61" s="274">
        <f>'Inputs by customer type'!U42</f>
        <v>0</v>
      </c>
      <c r="V61" s="274">
        <f>'Inputs by customer type'!V42</f>
        <v>0</v>
      </c>
      <c r="W61" s="274">
        <f>'Inputs by customer type'!W42</f>
        <v>0</v>
      </c>
      <c r="X61" s="274">
        <f>'Inputs by customer type'!X42</f>
        <v>0</v>
      </c>
      <c r="Y61" s="274">
        <f>'Inputs by customer type'!Y42</f>
        <v>0</v>
      </c>
      <c r="AQ61" s="88"/>
    </row>
    <row r="62" spans="2:43" x14ac:dyDescent="0.25">
      <c r="F62" s="14" t="s">
        <v>178</v>
      </c>
      <c r="G62" s="14" t="s">
        <v>94</v>
      </c>
      <c r="J62" s="17">
        <f t="shared" ref="J62:Y62" si="2">IF(J$39, J$45, J$34)</f>
        <v>0.38002274557606974</v>
      </c>
      <c r="K62" s="17">
        <f t="shared" si="2"/>
        <v>0.38002274557606974</v>
      </c>
      <c r="L62" s="17">
        <f t="shared" si="2"/>
        <v>0.38002274557606974</v>
      </c>
      <c r="M62" s="17">
        <f t="shared" si="2"/>
        <v>0.38002274557606974</v>
      </c>
      <c r="N62" s="17">
        <f t="shared" si="2"/>
        <v>0.38002274557606974</v>
      </c>
      <c r="O62" s="17">
        <f t="shared" si="2"/>
        <v>0</v>
      </c>
      <c r="P62" s="17">
        <f t="shared" si="2"/>
        <v>0</v>
      </c>
      <c r="Q62" s="17">
        <f t="shared" si="2"/>
        <v>0.38002274557606974</v>
      </c>
      <c r="R62" s="17">
        <f t="shared" si="2"/>
        <v>0</v>
      </c>
      <c r="S62" s="17">
        <f t="shared" si="2"/>
        <v>0</v>
      </c>
      <c r="T62" s="17">
        <f t="shared" si="2"/>
        <v>0</v>
      </c>
      <c r="U62" s="17">
        <f t="shared" si="2"/>
        <v>0</v>
      </c>
      <c r="V62" s="17">
        <f t="shared" si="2"/>
        <v>0</v>
      </c>
      <c r="W62" s="17">
        <f t="shared" si="2"/>
        <v>0</v>
      </c>
      <c r="X62" s="17">
        <f t="shared" si="2"/>
        <v>0</v>
      </c>
      <c r="Y62" s="17">
        <f t="shared" si="2"/>
        <v>0</v>
      </c>
      <c r="AQ62" s="88"/>
    </row>
    <row r="63" spans="2:43" x14ac:dyDescent="0.25">
      <c r="F63" s="14" t="s">
        <v>179</v>
      </c>
      <c r="G63" s="14" t="s">
        <v>94</v>
      </c>
      <c r="J63" s="17">
        <f t="shared" ref="J63:Y63" si="3">IF(J$39, J$45, J$35)</f>
        <v>0.55710107807599307</v>
      </c>
      <c r="K63" s="17">
        <f t="shared" si="3"/>
        <v>0.55710107807599307</v>
      </c>
      <c r="L63" s="17">
        <f t="shared" si="3"/>
        <v>0.55710107807599307</v>
      </c>
      <c r="M63" s="17">
        <f t="shared" si="3"/>
        <v>0.55710107807599307</v>
      </c>
      <c r="N63" s="17">
        <f t="shared" si="3"/>
        <v>0.55710107807599307</v>
      </c>
      <c r="O63" s="17">
        <f t="shared" si="3"/>
        <v>0.28402147020999663</v>
      </c>
      <c r="P63" s="17">
        <f t="shared" si="3"/>
        <v>0.19097590599842459</v>
      </c>
      <c r="Q63" s="17">
        <f t="shared" si="3"/>
        <v>0.55710107807599307</v>
      </c>
      <c r="R63" s="17">
        <f t="shared" si="3"/>
        <v>0</v>
      </c>
      <c r="S63" s="17">
        <f t="shared" si="3"/>
        <v>0</v>
      </c>
      <c r="T63" s="17">
        <f t="shared" si="3"/>
        <v>0</v>
      </c>
      <c r="U63" s="17">
        <f t="shared" si="3"/>
        <v>0</v>
      </c>
      <c r="V63" s="17">
        <f t="shared" si="3"/>
        <v>0</v>
      </c>
      <c r="W63" s="17">
        <f t="shared" si="3"/>
        <v>0</v>
      </c>
      <c r="X63" s="17">
        <f t="shared" si="3"/>
        <v>0</v>
      </c>
      <c r="Y63" s="17">
        <f t="shared" si="3"/>
        <v>0</v>
      </c>
      <c r="AQ63" s="88"/>
    </row>
    <row r="64" spans="2:43" x14ac:dyDescent="0.25">
      <c r="F64" s="14" t="s">
        <v>166</v>
      </c>
      <c r="G64" s="14" t="s">
        <v>120</v>
      </c>
      <c r="J64" s="276">
        <f t="shared" ref="J64:Y65" si="4">J60 * (1 - J62)</f>
        <v>4100.6933656297424</v>
      </c>
      <c r="K64" s="276">
        <f t="shared" si="4"/>
        <v>0</v>
      </c>
      <c r="L64" s="276">
        <f t="shared" si="4"/>
        <v>147.66441601973764</v>
      </c>
      <c r="M64" s="276">
        <f t="shared" si="4"/>
        <v>0</v>
      </c>
      <c r="N64" s="276">
        <f t="shared" si="4"/>
        <v>485.05883209898752</v>
      </c>
      <c r="O64" s="276">
        <f t="shared" si="4"/>
        <v>0</v>
      </c>
      <c r="P64" s="276">
        <f t="shared" si="4"/>
        <v>0</v>
      </c>
      <c r="Q64" s="276">
        <f t="shared" si="4"/>
        <v>3.4019717183773968</v>
      </c>
      <c r="R64" s="276">
        <f t="shared" si="4"/>
        <v>0</v>
      </c>
      <c r="S64" s="276">
        <f t="shared" si="4"/>
        <v>0</v>
      </c>
      <c r="T64" s="276">
        <f t="shared" si="4"/>
        <v>0</v>
      </c>
      <c r="U64" s="276">
        <f t="shared" si="4"/>
        <v>0</v>
      </c>
      <c r="V64" s="276">
        <f t="shared" si="4"/>
        <v>0</v>
      </c>
      <c r="W64" s="276">
        <f t="shared" si="4"/>
        <v>0</v>
      </c>
      <c r="X64" s="276">
        <f t="shared" si="4"/>
        <v>0</v>
      </c>
      <c r="Y64" s="276">
        <f t="shared" si="4"/>
        <v>0</v>
      </c>
      <c r="AQ64" s="88"/>
    </row>
    <row r="65" spans="5:43" x14ac:dyDescent="0.25">
      <c r="F65" s="15" t="s">
        <v>177</v>
      </c>
      <c r="G65" s="15" t="s">
        <v>120</v>
      </c>
      <c r="H65" s="93"/>
      <c r="I65" s="93"/>
      <c r="J65" s="269">
        <f t="shared" si="4"/>
        <v>3988.6331567481457</v>
      </c>
      <c r="K65" s="269">
        <f t="shared" si="4"/>
        <v>0</v>
      </c>
      <c r="L65" s="269">
        <f t="shared" si="4"/>
        <v>378.24025898690951</v>
      </c>
      <c r="M65" s="269">
        <f t="shared" si="4"/>
        <v>0</v>
      </c>
      <c r="N65" s="269">
        <f t="shared" si="4"/>
        <v>3340.5300041109926</v>
      </c>
      <c r="O65" s="269">
        <f t="shared" si="4"/>
        <v>813.02952613551076</v>
      </c>
      <c r="P65" s="269">
        <f t="shared" si="4"/>
        <v>1677.2463490899056</v>
      </c>
      <c r="Q65" s="269">
        <f t="shared" si="4"/>
        <v>3.5682030992891058</v>
      </c>
      <c r="R65" s="269">
        <f t="shared" si="4"/>
        <v>0</v>
      </c>
      <c r="S65" s="269">
        <f t="shared" si="4"/>
        <v>0</v>
      </c>
      <c r="T65" s="269">
        <f t="shared" si="4"/>
        <v>60.292999999999999</v>
      </c>
      <c r="U65" s="269">
        <f t="shared" si="4"/>
        <v>0</v>
      </c>
      <c r="V65" s="269">
        <f t="shared" si="4"/>
        <v>0</v>
      </c>
      <c r="W65" s="269">
        <f t="shared" si="4"/>
        <v>0</v>
      </c>
      <c r="X65" s="269">
        <f t="shared" si="4"/>
        <v>0</v>
      </c>
      <c r="Y65" s="269">
        <f t="shared" si="4"/>
        <v>0</v>
      </c>
      <c r="AQ65" s="88"/>
    </row>
    <row r="66" spans="5:43" x14ac:dyDescent="0.25">
      <c r="F66" s="14" t="s">
        <v>167</v>
      </c>
      <c r="G66" s="14" t="s">
        <v>120</v>
      </c>
      <c r="J66" s="257">
        <f t="shared" ref="J66:Y66" si="5">J59 + J64 + J65</f>
        <v>573814.17421643168</v>
      </c>
      <c r="K66" s="257">
        <f t="shared" si="5"/>
        <v>45.600324459247773</v>
      </c>
      <c r="L66" s="257">
        <f t="shared" si="5"/>
        <v>148781.2098893536</v>
      </c>
      <c r="M66" s="257">
        <f t="shared" si="5"/>
        <v>6.8595464743105259</v>
      </c>
      <c r="N66" s="257">
        <f t="shared" si="5"/>
        <v>95617.94849470428</v>
      </c>
      <c r="O66" s="257">
        <f t="shared" si="5"/>
        <v>106673.66070506461</v>
      </c>
      <c r="P66" s="257">
        <f t="shared" si="5"/>
        <v>162898.35653630731</v>
      </c>
      <c r="Q66" s="257">
        <f t="shared" si="5"/>
        <v>7077.8325343149572</v>
      </c>
      <c r="R66" s="257">
        <f t="shared" si="5"/>
        <v>104.47429331694744</v>
      </c>
      <c r="S66" s="257">
        <f t="shared" si="5"/>
        <v>35.771932311779992</v>
      </c>
      <c r="T66" s="257">
        <f t="shared" si="5"/>
        <v>4936.5787099056533</v>
      </c>
      <c r="U66" s="257">
        <f t="shared" si="5"/>
        <v>0</v>
      </c>
      <c r="V66" s="257">
        <f t="shared" si="5"/>
        <v>1421.8434887434785</v>
      </c>
      <c r="W66" s="257">
        <f t="shared" si="5"/>
        <v>0</v>
      </c>
      <c r="X66" s="257">
        <f t="shared" si="5"/>
        <v>42821.256435874217</v>
      </c>
      <c r="Y66" s="257">
        <f t="shared" si="5"/>
        <v>0</v>
      </c>
      <c r="AQ66" s="88"/>
    </row>
    <row r="67" spans="5:43" x14ac:dyDescent="0.25">
      <c r="E67" s="96"/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AQ67" s="88"/>
    </row>
    <row r="68" spans="5:43" x14ac:dyDescent="0.25">
      <c r="E68" s="96" t="s">
        <v>135</v>
      </c>
      <c r="I68" s="295" t="s">
        <v>431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801</v>
      </c>
      <c r="AQ68" s="88"/>
    </row>
    <row r="69" spans="5:43" x14ac:dyDescent="0.25">
      <c r="E69" s="96"/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AQ69" s="88"/>
    </row>
    <row r="70" spans="5:43" x14ac:dyDescent="0.25">
      <c r="F70" s="14" t="s">
        <v>145</v>
      </c>
      <c r="G70" s="14" t="s">
        <v>120</v>
      </c>
      <c r="J70" s="274">
        <f>'Inputs by customer type'!J25</f>
        <v>2004244.7443350828</v>
      </c>
      <c r="K70" s="274">
        <f>'Inputs by customer type'!K25</f>
        <v>769.70150120030291</v>
      </c>
      <c r="L70" s="274">
        <f>'Inputs by customer type'!L25</f>
        <v>779468.22863586666</v>
      </c>
      <c r="M70" s="274">
        <f>'Inputs by customer type'!M25</f>
        <v>363.68083419264593</v>
      </c>
      <c r="N70" s="274">
        <f>'Inputs by customer type'!N25</f>
        <v>424005.57007851894</v>
      </c>
      <c r="O70" s="274">
        <f>'Inputs by customer type'!O25</f>
        <v>523823.73557284038</v>
      </c>
      <c r="P70" s="274">
        <f>'Inputs by customer type'!P25</f>
        <v>763633.0714178842</v>
      </c>
      <c r="Q70" s="274">
        <f>'Inputs by customer type'!Q25</f>
        <v>51992.039513992626</v>
      </c>
      <c r="R70" s="274">
        <f>'Inputs by customer type'!R25</f>
        <v>509.89423910109542</v>
      </c>
      <c r="S70" s="274">
        <f>'Inputs by customer type'!S25</f>
        <v>160.58959252319966</v>
      </c>
      <c r="T70" s="274">
        <f>'Inputs by customer type'!T25</f>
        <v>23805.598357778857</v>
      </c>
      <c r="U70" s="274">
        <f>'Inputs by customer type'!U25</f>
        <v>0</v>
      </c>
      <c r="V70" s="274">
        <f>'Inputs by customer type'!V25</f>
        <v>6382.5471914560349</v>
      </c>
      <c r="W70" s="274">
        <f>'Inputs by customer type'!W25</f>
        <v>0</v>
      </c>
      <c r="X70" s="274">
        <f>'Inputs by customer type'!X25</f>
        <v>169444.19263568314</v>
      </c>
      <c r="Y70" s="274">
        <f>'Inputs by customer type'!Y25</f>
        <v>0</v>
      </c>
      <c r="AQ70" s="88"/>
    </row>
    <row r="71" spans="5:43" x14ac:dyDescent="0.25">
      <c r="F71" s="14" t="s">
        <v>146</v>
      </c>
      <c r="G71" s="14" t="s">
        <v>120</v>
      </c>
      <c r="J71" s="274">
        <f>'Inputs by customer type'!J34</f>
        <v>23444.485144935399</v>
      </c>
      <c r="K71" s="274">
        <f>'Inputs by customer type'!K34</f>
        <v>0</v>
      </c>
      <c r="L71" s="274">
        <f>'Inputs by customer type'!L34</f>
        <v>1251.285970528603</v>
      </c>
      <c r="M71" s="274">
        <f>'Inputs by customer type'!M34</f>
        <v>0</v>
      </c>
      <c r="N71" s="274">
        <f>'Inputs by customer type'!N34</f>
        <v>3509.5403745600001</v>
      </c>
      <c r="O71" s="274">
        <f>'Inputs by customer type'!O34</f>
        <v>0</v>
      </c>
      <c r="P71" s="274">
        <f>'Inputs by customer type'!P34</f>
        <v>0</v>
      </c>
      <c r="Q71" s="274">
        <f>'Inputs by customer type'!Q34</f>
        <v>35.440333955030702</v>
      </c>
      <c r="R71" s="274">
        <f>'Inputs by customer type'!R34</f>
        <v>0</v>
      </c>
      <c r="S71" s="274">
        <f>'Inputs by customer type'!S34</f>
        <v>0</v>
      </c>
      <c r="T71" s="274">
        <f>'Inputs by customer type'!T34</f>
        <v>0</v>
      </c>
      <c r="U71" s="274">
        <f>'Inputs by customer type'!U34</f>
        <v>0</v>
      </c>
      <c r="V71" s="274">
        <f>'Inputs by customer type'!V34</f>
        <v>0</v>
      </c>
      <c r="W71" s="274">
        <f>'Inputs by customer type'!W34</f>
        <v>0</v>
      </c>
      <c r="X71" s="274">
        <f>'Inputs by customer type'!X34</f>
        <v>0</v>
      </c>
      <c r="Y71" s="274">
        <f>'Inputs by customer type'!Y34</f>
        <v>0</v>
      </c>
      <c r="AQ71" s="88"/>
    </row>
    <row r="72" spans="5:43" x14ac:dyDescent="0.25">
      <c r="F72" s="14" t="s">
        <v>147</v>
      </c>
      <c r="G72" s="14" t="s">
        <v>120</v>
      </c>
      <c r="J72" s="274">
        <f>'Inputs by customer type'!J43</f>
        <v>31875.610402966777</v>
      </c>
      <c r="K72" s="274">
        <f>'Inputs by customer type'!K43</f>
        <v>0</v>
      </c>
      <c r="L72" s="274">
        <f>'Inputs by customer type'!L43</f>
        <v>4488.2954865451193</v>
      </c>
      <c r="M72" s="274">
        <f>'Inputs by customer type'!M43</f>
        <v>0</v>
      </c>
      <c r="N72" s="274">
        <f>'Inputs by customer type'!N43</f>
        <v>32517.586661996247</v>
      </c>
      <c r="O72" s="274">
        <f>'Inputs by customer type'!O43</f>
        <v>5159.4436601887501</v>
      </c>
      <c r="P72" s="274">
        <f>'Inputs by customer type'!P43</f>
        <v>9664.500104686249</v>
      </c>
      <c r="Q72" s="274">
        <f>'Inputs by customer type'!Q43</f>
        <v>97.501767602595052</v>
      </c>
      <c r="R72" s="274">
        <f>'Inputs by customer type'!R43</f>
        <v>0</v>
      </c>
      <c r="S72" s="274">
        <f>'Inputs by customer type'!S43</f>
        <v>0</v>
      </c>
      <c r="T72" s="274">
        <f>'Inputs by customer type'!T43</f>
        <v>0</v>
      </c>
      <c r="U72" s="274">
        <f>'Inputs by customer type'!U43</f>
        <v>0</v>
      </c>
      <c r="V72" s="274">
        <f>'Inputs by customer type'!V43</f>
        <v>0</v>
      </c>
      <c r="W72" s="274">
        <f>'Inputs by customer type'!W43</f>
        <v>0</v>
      </c>
      <c r="X72" s="274">
        <f>'Inputs by customer type'!X43</f>
        <v>0</v>
      </c>
      <c r="Y72" s="274">
        <f>'Inputs by customer type'!Y43</f>
        <v>0</v>
      </c>
      <c r="AQ72" s="88"/>
    </row>
    <row r="73" spans="5:43" x14ac:dyDescent="0.25">
      <c r="F73" s="14" t="s">
        <v>178</v>
      </c>
      <c r="G73" s="14" t="s">
        <v>94</v>
      </c>
      <c r="J73" s="17">
        <f t="shared" ref="J73:Y73" si="6">IF(J$39, J$45, J$34)</f>
        <v>0.38002274557606974</v>
      </c>
      <c r="K73" s="17">
        <f t="shared" si="6"/>
        <v>0.38002274557606974</v>
      </c>
      <c r="L73" s="17">
        <f t="shared" si="6"/>
        <v>0.38002274557606974</v>
      </c>
      <c r="M73" s="17">
        <f t="shared" si="6"/>
        <v>0.38002274557606974</v>
      </c>
      <c r="N73" s="17">
        <f t="shared" si="6"/>
        <v>0.38002274557606974</v>
      </c>
      <c r="O73" s="17">
        <f t="shared" si="6"/>
        <v>0</v>
      </c>
      <c r="P73" s="17">
        <f t="shared" si="6"/>
        <v>0</v>
      </c>
      <c r="Q73" s="17">
        <f t="shared" si="6"/>
        <v>0.38002274557606974</v>
      </c>
      <c r="R73" s="17">
        <f t="shared" si="6"/>
        <v>0</v>
      </c>
      <c r="S73" s="17">
        <f t="shared" si="6"/>
        <v>0</v>
      </c>
      <c r="T73" s="17">
        <f t="shared" si="6"/>
        <v>0</v>
      </c>
      <c r="U73" s="17">
        <f t="shared" si="6"/>
        <v>0</v>
      </c>
      <c r="V73" s="17">
        <f t="shared" si="6"/>
        <v>0</v>
      </c>
      <c r="W73" s="17">
        <f t="shared" si="6"/>
        <v>0</v>
      </c>
      <c r="X73" s="17">
        <f t="shared" si="6"/>
        <v>0</v>
      </c>
      <c r="Y73" s="17">
        <f t="shared" si="6"/>
        <v>0</v>
      </c>
      <c r="AQ73" s="88"/>
    </row>
    <row r="74" spans="5:43" x14ac:dyDescent="0.25">
      <c r="F74" s="14" t="s">
        <v>179</v>
      </c>
      <c r="G74" s="14" t="s">
        <v>94</v>
      </c>
      <c r="J74" s="17">
        <f t="shared" ref="J74:Y74" si="7">IF(J$39, J$45, J$35)</f>
        <v>0.55710107807599307</v>
      </c>
      <c r="K74" s="17">
        <f t="shared" si="7"/>
        <v>0.55710107807599307</v>
      </c>
      <c r="L74" s="17">
        <f t="shared" si="7"/>
        <v>0.55710107807599307</v>
      </c>
      <c r="M74" s="17">
        <f t="shared" si="7"/>
        <v>0.55710107807599307</v>
      </c>
      <c r="N74" s="17">
        <f t="shared" si="7"/>
        <v>0.55710107807599307</v>
      </c>
      <c r="O74" s="17">
        <f t="shared" si="7"/>
        <v>0.28402147020999663</v>
      </c>
      <c r="P74" s="17">
        <f t="shared" si="7"/>
        <v>0.19097590599842459</v>
      </c>
      <c r="Q74" s="17">
        <f t="shared" si="7"/>
        <v>0.55710107807599307</v>
      </c>
      <c r="R74" s="17">
        <f t="shared" si="7"/>
        <v>0</v>
      </c>
      <c r="S74" s="17">
        <f t="shared" si="7"/>
        <v>0</v>
      </c>
      <c r="T74" s="17">
        <f t="shared" si="7"/>
        <v>0</v>
      </c>
      <c r="U74" s="17">
        <f t="shared" si="7"/>
        <v>0</v>
      </c>
      <c r="V74" s="17">
        <f t="shared" si="7"/>
        <v>0</v>
      </c>
      <c r="W74" s="17">
        <f t="shared" si="7"/>
        <v>0</v>
      </c>
      <c r="X74" s="17">
        <f t="shared" si="7"/>
        <v>0</v>
      </c>
      <c r="Y74" s="17">
        <f t="shared" si="7"/>
        <v>0</v>
      </c>
      <c r="AQ74" s="88"/>
    </row>
    <row r="75" spans="5:43" x14ac:dyDescent="0.25">
      <c r="F75" s="14" t="s">
        <v>166</v>
      </c>
      <c r="G75" s="14" t="s">
        <v>120</v>
      </c>
      <c r="J75" s="276">
        <f t="shared" ref="J75:Y76" si="8">J71 * (1 - J73)</f>
        <v>14535.047531539667</v>
      </c>
      <c r="K75" s="276">
        <f t="shared" si="8"/>
        <v>0</v>
      </c>
      <c r="L75" s="276">
        <f t="shared" si="8"/>
        <v>775.76884050750618</v>
      </c>
      <c r="M75" s="276">
        <f t="shared" si="8"/>
        <v>0</v>
      </c>
      <c r="N75" s="276">
        <f t="shared" si="8"/>
        <v>2175.8352057096408</v>
      </c>
      <c r="O75" s="276">
        <f t="shared" si="8"/>
        <v>0</v>
      </c>
      <c r="P75" s="276">
        <f t="shared" si="8"/>
        <v>0</v>
      </c>
      <c r="Q75" s="276">
        <f t="shared" si="8"/>
        <v>21.972200941307126</v>
      </c>
      <c r="R75" s="276">
        <f t="shared" si="8"/>
        <v>0</v>
      </c>
      <c r="S75" s="276">
        <f t="shared" si="8"/>
        <v>0</v>
      </c>
      <c r="T75" s="276">
        <f t="shared" si="8"/>
        <v>0</v>
      </c>
      <c r="U75" s="276">
        <f t="shared" si="8"/>
        <v>0</v>
      </c>
      <c r="V75" s="276">
        <f t="shared" si="8"/>
        <v>0</v>
      </c>
      <c r="W75" s="276">
        <f t="shared" si="8"/>
        <v>0</v>
      </c>
      <c r="X75" s="276">
        <f t="shared" si="8"/>
        <v>0</v>
      </c>
      <c r="Y75" s="276">
        <f t="shared" si="8"/>
        <v>0</v>
      </c>
      <c r="AQ75" s="88"/>
    </row>
    <row r="76" spans="5:43" x14ac:dyDescent="0.25">
      <c r="F76" s="15" t="s">
        <v>177</v>
      </c>
      <c r="G76" s="15" t="s">
        <v>120</v>
      </c>
      <c r="H76" s="93"/>
      <c r="I76" s="93"/>
      <c r="J76" s="269">
        <f t="shared" si="8"/>
        <v>14117.673483143646</v>
      </c>
      <c r="K76" s="269">
        <f t="shared" si="8"/>
        <v>0</v>
      </c>
      <c r="L76" s="269">
        <f t="shared" si="8"/>
        <v>1987.8612322672195</v>
      </c>
      <c r="M76" s="269">
        <f t="shared" si="8"/>
        <v>0</v>
      </c>
      <c r="N76" s="269">
        <f t="shared" si="8"/>
        <v>14402.004076168605</v>
      </c>
      <c r="O76" s="269">
        <f t="shared" si="8"/>
        <v>3694.0508863562955</v>
      </c>
      <c r="P76" s="269">
        <f t="shared" si="8"/>
        <v>7818.8134411719229</v>
      </c>
      <c r="Q76" s="269">
        <f t="shared" si="8"/>
        <v>43.183427756874416</v>
      </c>
      <c r="R76" s="269">
        <f t="shared" si="8"/>
        <v>0</v>
      </c>
      <c r="S76" s="269">
        <f t="shared" si="8"/>
        <v>0</v>
      </c>
      <c r="T76" s="269">
        <f t="shared" si="8"/>
        <v>0</v>
      </c>
      <c r="U76" s="269">
        <f t="shared" si="8"/>
        <v>0</v>
      </c>
      <c r="V76" s="269">
        <f t="shared" si="8"/>
        <v>0</v>
      </c>
      <c r="W76" s="269">
        <f t="shared" si="8"/>
        <v>0</v>
      </c>
      <c r="X76" s="269">
        <f t="shared" si="8"/>
        <v>0</v>
      </c>
      <c r="Y76" s="269">
        <f t="shared" si="8"/>
        <v>0</v>
      </c>
      <c r="AQ76" s="88"/>
    </row>
    <row r="77" spans="5:43" x14ac:dyDescent="0.25">
      <c r="F77" s="14" t="s">
        <v>167</v>
      </c>
      <c r="G77" s="14" t="s">
        <v>120</v>
      </c>
      <c r="J77" s="257">
        <f t="shared" ref="J77:Y77" si="9">J70 + J75 + J76</f>
        <v>2032897.465349766</v>
      </c>
      <c r="K77" s="257">
        <f t="shared" si="9"/>
        <v>769.70150120030291</v>
      </c>
      <c r="L77" s="257">
        <f t="shared" si="9"/>
        <v>782231.85870864138</v>
      </c>
      <c r="M77" s="257">
        <f t="shared" si="9"/>
        <v>363.68083419264593</v>
      </c>
      <c r="N77" s="257">
        <f t="shared" si="9"/>
        <v>440583.40936039714</v>
      </c>
      <c r="O77" s="257">
        <f t="shared" si="9"/>
        <v>527517.78645919671</v>
      </c>
      <c r="P77" s="257">
        <f t="shared" si="9"/>
        <v>771451.8848590561</v>
      </c>
      <c r="Q77" s="257">
        <f t="shared" si="9"/>
        <v>52057.195142690813</v>
      </c>
      <c r="R77" s="257">
        <f t="shared" si="9"/>
        <v>509.89423910109542</v>
      </c>
      <c r="S77" s="257">
        <f t="shared" si="9"/>
        <v>160.58959252319966</v>
      </c>
      <c r="T77" s="257">
        <f t="shared" si="9"/>
        <v>23805.598357778857</v>
      </c>
      <c r="U77" s="257">
        <f t="shared" si="9"/>
        <v>0</v>
      </c>
      <c r="V77" s="257">
        <f t="shared" si="9"/>
        <v>6382.5471914560349</v>
      </c>
      <c r="W77" s="257">
        <f t="shared" si="9"/>
        <v>0</v>
      </c>
      <c r="X77" s="257">
        <f t="shared" si="9"/>
        <v>169444.19263568314</v>
      </c>
      <c r="Y77" s="257">
        <f t="shared" si="9"/>
        <v>0</v>
      </c>
      <c r="AQ77" s="88"/>
    </row>
    <row r="78" spans="5:43" x14ac:dyDescent="0.25">
      <c r="E78" s="96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  <c r="AQ78" s="88"/>
    </row>
    <row r="79" spans="5:43" x14ac:dyDescent="0.25">
      <c r="E79" s="96" t="s">
        <v>136</v>
      </c>
      <c r="I79" s="295" t="s">
        <v>431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A79" s="295" t="s">
        <v>801</v>
      </c>
      <c r="AQ79" s="88"/>
    </row>
    <row r="80" spans="5:43" x14ac:dyDescent="0.25"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25">
      <c r="F81" s="14" t="s">
        <v>145</v>
      </c>
      <c r="G81" s="14" t="s">
        <v>120</v>
      </c>
      <c r="J81" s="274">
        <f>'Inputs by customer type'!J26</f>
        <v>1886875.9715677693</v>
      </c>
      <c r="K81" s="274">
        <f>'Inputs by customer type'!K26</f>
        <v>10340.203230515768</v>
      </c>
      <c r="L81" s="274">
        <f>'Inputs by customer type'!L26</f>
        <v>755406.33561361348</v>
      </c>
      <c r="M81" s="274">
        <f>'Inputs by customer type'!M26</f>
        <v>4425.6666229911798</v>
      </c>
      <c r="N81" s="274">
        <f>'Inputs by customer type'!N26</f>
        <v>422617.96593606938</v>
      </c>
      <c r="O81" s="274">
        <f>'Inputs by customer type'!O26</f>
        <v>576300.52899391274</v>
      </c>
      <c r="P81" s="274">
        <f>'Inputs by customer type'!P26</f>
        <v>948286.74499818834</v>
      </c>
      <c r="Q81" s="274">
        <f>'Inputs by customer type'!Q26</f>
        <v>96017.10841937708</v>
      </c>
      <c r="R81" s="274">
        <f>'Inputs by customer type'!R26</f>
        <v>534.48350594468047</v>
      </c>
      <c r="S81" s="274">
        <f>'Inputs by customer type'!S26</f>
        <v>201.06201955341325</v>
      </c>
      <c r="T81" s="274">
        <f>'Inputs by customer type'!T26</f>
        <v>27627.12669629819</v>
      </c>
      <c r="U81" s="274">
        <f>'Inputs by customer type'!U26</f>
        <v>0</v>
      </c>
      <c r="V81" s="274">
        <f>'Inputs by customer type'!V26</f>
        <v>7999.8037931113131</v>
      </c>
      <c r="W81" s="274">
        <f>'Inputs by customer type'!W26</f>
        <v>0</v>
      </c>
      <c r="X81" s="274">
        <f>'Inputs by customer type'!X26</f>
        <v>178082.97709073228</v>
      </c>
      <c r="Y81" s="274">
        <f>'Inputs by customer type'!Y26</f>
        <v>0</v>
      </c>
      <c r="AQ81" s="88"/>
    </row>
    <row r="82" spans="5:43" x14ac:dyDescent="0.25">
      <c r="F82" s="14" t="s">
        <v>146</v>
      </c>
      <c r="G82" s="14" t="s">
        <v>120</v>
      </c>
      <c r="J82" s="274">
        <f>'Inputs by customer type'!J35</f>
        <v>22076.133431648639</v>
      </c>
      <c r="K82" s="274">
        <f>'Inputs by customer type'!K35</f>
        <v>0</v>
      </c>
      <c r="L82" s="274">
        <f>'Inputs by customer type'!L35</f>
        <v>1210.8886018597616</v>
      </c>
      <c r="M82" s="274">
        <f>'Inputs by customer type'!M35</f>
        <v>0</v>
      </c>
      <c r="N82" s="274">
        <f>'Inputs by customer type'!N35</f>
        <v>2920.7853130087501</v>
      </c>
      <c r="O82" s="274">
        <f>'Inputs by customer type'!O35</f>
        <v>0</v>
      </c>
      <c r="P82" s="274">
        <f>'Inputs by customer type'!P35</f>
        <v>0</v>
      </c>
      <c r="Q82" s="274">
        <f>'Inputs by customer type'!Q35</f>
        <v>41.235843049935781</v>
      </c>
      <c r="R82" s="274">
        <f>'Inputs by customer type'!R35</f>
        <v>0</v>
      </c>
      <c r="S82" s="274">
        <f>'Inputs by customer type'!S35</f>
        <v>0</v>
      </c>
      <c r="T82" s="274">
        <f>'Inputs by customer type'!T35</f>
        <v>0</v>
      </c>
      <c r="U82" s="274">
        <f>'Inputs by customer type'!U35</f>
        <v>0</v>
      </c>
      <c r="V82" s="274">
        <f>'Inputs by customer type'!V35</f>
        <v>0</v>
      </c>
      <c r="W82" s="274">
        <f>'Inputs by customer type'!W35</f>
        <v>0</v>
      </c>
      <c r="X82" s="274">
        <f>'Inputs by customer type'!X35</f>
        <v>0</v>
      </c>
      <c r="Y82" s="274">
        <f>'Inputs by customer type'!Y35</f>
        <v>0</v>
      </c>
      <c r="AQ82" s="88"/>
    </row>
    <row r="83" spans="5:43" x14ac:dyDescent="0.25">
      <c r="F83" s="14" t="s">
        <v>147</v>
      </c>
      <c r="G83" s="14" t="s">
        <v>120</v>
      </c>
      <c r="J83" s="274">
        <f>'Inputs by customer type'!J44</f>
        <v>30015.529807040235</v>
      </c>
      <c r="K83" s="274">
        <f>'Inputs by customer type'!K44</f>
        <v>0</v>
      </c>
      <c r="L83" s="274">
        <f>'Inputs by customer type'!L44</f>
        <v>4346.9698734777849</v>
      </c>
      <c r="M83" s="274">
        <f>'Inputs by customer type'!M44</f>
        <v>0</v>
      </c>
      <c r="N83" s="274">
        <f>'Inputs by customer type'!N44</f>
        <v>28865.285111946254</v>
      </c>
      <c r="O83" s="274">
        <f>'Inputs by customer type'!O44</f>
        <v>4790.5713691774999</v>
      </c>
      <c r="P83" s="274">
        <f>'Inputs by customer type'!P44</f>
        <v>9024.7703629625012</v>
      </c>
      <c r="Q83" s="274">
        <f>'Inputs by customer type'!Q44</f>
        <v>110.98097121631618</v>
      </c>
      <c r="R83" s="274">
        <f>'Inputs by customer type'!R44</f>
        <v>0</v>
      </c>
      <c r="S83" s="274">
        <f>'Inputs by customer type'!S44</f>
        <v>0</v>
      </c>
      <c r="T83" s="274">
        <f>'Inputs by customer type'!T44</f>
        <v>0</v>
      </c>
      <c r="U83" s="274">
        <f>'Inputs by customer type'!U44</f>
        <v>0</v>
      </c>
      <c r="V83" s="274">
        <f>'Inputs by customer type'!V44</f>
        <v>0</v>
      </c>
      <c r="W83" s="274">
        <f>'Inputs by customer type'!W44</f>
        <v>0</v>
      </c>
      <c r="X83" s="274">
        <f>'Inputs by customer type'!X44</f>
        <v>0</v>
      </c>
      <c r="Y83" s="274">
        <f>'Inputs by customer type'!Y44</f>
        <v>0</v>
      </c>
      <c r="AQ83" s="88"/>
    </row>
    <row r="84" spans="5:43" x14ac:dyDescent="0.25">
      <c r="F84" s="14" t="s">
        <v>178</v>
      </c>
      <c r="G84" s="14" t="s">
        <v>94</v>
      </c>
      <c r="J84" s="17">
        <f t="shared" ref="J84:Y84" si="10">IF(J$39, J$45, J$34)</f>
        <v>0.38002274557606974</v>
      </c>
      <c r="K84" s="17">
        <f t="shared" si="10"/>
        <v>0.38002274557606974</v>
      </c>
      <c r="L84" s="17">
        <f t="shared" si="10"/>
        <v>0.38002274557606974</v>
      </c>
      <c r="M84" s="17">
        <f t="shared" si="10"/>
        <v>0.38002274557606974</v>
      </c>
      <c r="N84" s="17">
        <f t="shared" si="10"/>
        <v>0.38002274557606974</v>
      </c>
      <c r="O84" s="17">
        <f t="shared" si="10"/>
        <v>0</v>
      </c>
      <c r="P84" s="17">
        <f t="shared" si="10"/>
        <v>0</v>
      </c>
      <c r="Q84" s="17">
        <f t="shared" si="10"/>
        <v>0.38002274557606974</v>
      </c>
      <c r="R84" s="17">
        <f t="shared" si="10"/>
        <v>0</v>
      </c>
      <c r="S84" s="17">
        <f t="shared" si="10"/>
        <v>0</v>
      </c>
      <c r="T84" s="17">
        <f t="shared" si="10"/>
        <v>0</v>
      </c>
      <c r="U84" s="17">
        <f t="shared" si="10"/>
        <v>0</v>
      </c>
      <c r="V84" s="17">
        <f t="shared" si="10"/>
        <v>0</v>
      </c>
      <c r="W84" s="17">
        <f t="shared" si="10"/>
        <v>0</v>
      </c>
      <c r="X84" s="17">
        <f t="shared" si="10"/>
        <v>0</v>
      </c>
      <c r="Y84" s="17">
        <f t="shared" si="10"/>
        <v>0</v>
      </c>
      <c r="AQ84" s="88"/>
    </row>
    <row r="85" spans="5:43" x14ac:dyDescent="0.25">
      <c r="F85" s="14" t="s">
        <v>179</v>
      </c>
      <c r="G85" s="14" t="s">
        <v>94</v>
      </c>
      <c r="J85" s="17">
        <f t="shared" ref="J85:Y85" si="11">IF(J$39, J$45, J$35)</f>
        <v>0.55710107807599307</v>
      </c>
      <c r="K85" s="17">
        <f t="shared" si="11"/>
        <v>0.55710107807599307</v>
      </c>
      <c r="L85" s="17">
        <f t="shared" si="11"/>
        <v>0.55710107807599307</v>
      </c>
      <c r="M85" s="17">
        <f t="shared" si="11"/>
        <v>0.55710107807599307</v>
      </c>
      <c r="N85" s="17">
        <f t="shared" si="11"/>
        <v>0.55710107807599307</v>
      </c>
      <c r="O85" s="17">
        <f t="shared" si="11"/>
        <v>0.28402147020999663</v>
      </c>
      <c r="P85" s="17">
        <f t="shared" si="11"/>
        <v>0.19097590599842459</v>
      </c>
      <c r="Q85" s="17">
        <f t="shared" si="11"/>
        <v>0.55710107807599307</v>
      </c>
      <c r="R85" s="17">
        <f t="shared" si="11"/>
        <v>0</v>
      </c>
      <c r="S85" s="17">
        <f t="shared" si="11"/>
        <v>0</v>
      </c>
      <c r="T85" s="17">
        <f t="shared" si="11"/>
        <v>0</v>
      </c>
      <c r="U85" s="17">
        <f t="shared" si="11"/>
        <v>0</v>
      </c>
      <c r="V85" s="17">
        <f t="shared" si="11"/>
        <v>0</v>
      </c>
      <c r="W85" s="17">
        <f t="shared" si="11"/>
        <v>0</v>
      </c>
      <c r="X85" s="17">
        <f t="shared" si="11"/>
        <v>0</v>
      </c>
      <c r="Y85" s="17">
        <f t="shared" si="11"/>
        <v>0</v>
      </c>
      <c r="AQ85" s="88"/>
    </row>
    <row r="86" spans="5:43" x14ac:dyDescent="0.25">
      <c r="F86" s="14" t="s">
        <v>166</v>
      </c>
      <c r="G86" s="14" t="s">
        <v>120</v>
      </c>
      <c r="J86" s="276">
        <f t="shared" ref="J86:Y87" si="12">J82 * (1 - J84)</f>
        <v>13686.700593249861</v>
      </c>
      <c r="K86" s="276">
        <f t="shared" si="12"/>
        <v>0</v>
      </c>
      <c r="L86" s="276">
        <f t="shared" si="12"/>
        <v>750.7233907942466</v>
      </c>
      <c r="M86" s="276">
        <f t="shared" si="12"/>
        <v>0</v>
      </c>
      <c r="N86" s="276">
        <f t="shared" si="12"/>
        <v>1810.8204591209046</v>
      </c>
      <c r="O86" s="276">
        <f t="shared" si="12"/>
        <v>0</v>
      </c>
      <c r="P86" s="276">
        <f t="shared" si="12"/>
        <v>0</v>
      </c>
      <c r="Q86" s="276">
        <f t="shared" si="12"/>
        <v>25.565284757955293</v>
      </c>
      <c r="R86" s="276">
        <f t="shared" si="12"/>
        <v>0</v>
      </c>
      <c r="S86" s="276">
        <f t="shared" si="12"/>
        <v>0</v>
      </c>
      <c r="T86" s="276">
        <f t="shared" si="12"/>
        <v>0</v>
      </c>
      <c r="U86" s="276">
        <f t="shared" si="12"/>
        <v>0</v>
      </c>
      <c r="V86" s="276">
        <f t="shared" si="12"/>
        <v>0</v>
      </c>
      <c r="W86" s="276">
        <f t="shared" si="12"/>
        <v>0</v>
      </c>
      <c r="X86" s="276">
        <f t="shared" si="12"/>
        <v>0</v>
      </c>
      <c r="Y86" s="276">
        <f t="shared" si="12"/>
        <v>0</v>
      </c>
      <c r="AQ86" s="88"/>
    </row>
    <row r="87" spans="5:43" x14ac:dyDescent="0.25">
      <c r="F87" s="15" t="s">
        <v>177</v>
      </c>
      <c r="G87" s="15" t="s">
        <v>120</v>
      </c>
      <c r="H87" s="93"/>
      <c r="I87" s="93"/>
      <c r="J87" s="269">
        <f t="shared" si="12"/>
        <v>13293.845792516016</v>
      </c>
      <c r="K87" s="269">
        <f t="shared" si="12"/>
        <v>0</v>
      </c>
      <c r="L87" s="269">
        <f t="shared" si="12"/>
        <v>1925.2682705994478</v>
      </c>
      <c r="M87" s="269">
        <f t="shared" si="12"/>
        <v>0</v>
      </c>
      <c r="N87" s="269">
        <f t="shared" si="12"/>
        <v>12784.403657110084</v>
      </c>
      <c r="O87" s="269">
        <f t="shared" si="12"/>
        <v>3429.9462457577902</v>
      </c>
      <c r="P87" s="269">
        <f t="shared" si="12"/>
        <v>7301.2566664680062</v>
      </c>
      <c r="Q87" s="269">
        <f t="shared" si="12"/>
        <v>49.153352505785676</v>
      </c>
      <c r="R87" s="269">
        <f t="shared" si="12"/>
        <v>0</v>
      </c>
      <c r="S87" s="269">
        <f t="shared" si="12"/>
        <v>0</v>
      </c>
      <c r="T87" s="269">
        <f t="shared" si="12"/>
        <v>0</v>
      </c>
      <c r="U87" s="269">
        <f t="shared" si="12"/>
        <v>0</v>
      </c>
      <c r="V87" s="269">
        <f t="shared" si="12"/>
        <v>0</v>
      </c>
      <c r="W87" s="269">
        <f t="shared" si="12"/>
        <v>0</v>
      </c>
      <c r="X87" s="269">
        <f t="shared" si="12"/>
        <v>0</v>
      </c>
      <c r="Y87" s="269">
        <f t="shared" si="12"/>
        <v>0</v>
      </c>
      <c r="AQ87" s="88"/>
    </row>
    <row r="88" spans="5:43" x14ac:dyDescent="0.25">
      <c r="F88" s="14" t="s">
        <v>167</v>
      </c>
      <c r="G88" s="14" t="s">
        <v>120</v>
      </c>
      <c r="J88" s="257">
        <f t="shared" ref="J88:Y88" si="13">J81 + J86 + J87</f>
        <v>1913856.5179535351</v>
      </c>
      <c r="K88" s="257">
        <f t="shared" si="13"/>
        <v>10340.203230515768</v>
      </c>
      <c r="L88" s="257">
        <f t="shared" si="13"/>
        <v>758082.32727500715</v>
      </c>
      <c r="M88" s="257">
        <f t="shared" si="13"/>
        <v>4425.6666229911798</v>
      </c>
      <c r="N88" s="257">
        <f t="shared" si="13"/>
        <v>437213.19005230034</v>
      </c>
      <c r="O88" s="257">
        <f t="shared" si="13"/>
        <v>579730.47523967049</v>
      </c>
      <c r="P88" s="257">
        <f t="shared" si="13"/>
        <v>955588.00166465633</v>
      </c>
      <c r="Q88" s="257">
        <f t="shared" si="13"/>
        <v>96091.827056640832</v>
      </c>
      <c r="R88" s="257">
        <f t="shared" si="13"/>
        <v>534.48350594468047</v>
      </c>
      <c r="S88" s="257">
        <f t="shared" si="13"/>
        <v>201.06201955341325</v>
      </c>
      <c r="T88" s="257">
        <f t="shared" si="13"/>
        <v>27627.12669629819</v>
      </c>
      <c r="U88" s="257">
        <f t="shared" si="13"/>
        <v>0</v>
      </c>
      <c r="V88" s="257">
        <f t="shared" si="13"/>
        <v>7999.8037931113131</v>
      </c>
      <c r="W88" s="257">
        <f t="shared" si="13"/>
        <v>0</v>
      </c>
      <c r="X88" s="257">
        <f t="shared" si="13"/>
        <v>178082.97709073228</v>
      </c>
      <c r="Y88" s="257">
        <f t="shared" si="13"/>
        <v>0</v>
      </c>
      <c r="AQ88" s="88"/>
    </row>
    <row r="89" spans="5:43" x14ac:dyDescent="0.25">
      <c r="E89" s="96"/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  <c r="U89" s="253"/>
      <c r="V89" s="253"/>
      <c r="W89" s="253"/>
      <c r="X89" s="253"/>
      <c r="Y89" s="253"/>
      <c r="AQ89" s="88"/>
    </row>
    <row r="90" spans="5:43" x14ac:dyDescent="0.25">
      <c r="E90" s="96" t="s">
        <v>142</v>
      </c>
      <c r="I90" s="295" t="s">
        <v>431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  <c r="U90" s="253"/>
      <c r="V90" s="253"/>
      <c r="W90" s="253"/>
      <c r="X90" s="253"/>
      <c r="Y90" s="253"/>
      <c r="AQ90" s="88"/>
    </row>
    <row r="91" spans="5:43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25">
      <c r="F92" s="14" t="s">
        <v>167</v>
      </c>
      <c r="G92" s="14" t="s">
        <v>120</v>
      </c>
      <c r="J92" s="276">
        <f t="shared" ref="J92:Y92" si="14">J88 + J77 + J66</f>
        <v>4520568.1575197326</v>
      </c>
      <c r="K92" s="276">
        <f t="shared" si="14"/>
        <v>11155.50505617532</v>
      </c>
      <c r="L92" s="276">
        <f t="shared" si="14"/>
        <v>1689095.3958730022</v>
      </c>
      <c r="M92" s="276">
        <f t="shared" si="14"/>
        <v>4796.2070036581363</v>
      </c>
      <c r="N92" s="276">
        <f t="shared" si="14"/>
        <v>973414.54790740181</v>
      </c>
      <c r="O92" s="276">
        <f t="shared" si="14"/>
        <v>1213921.9224039319</v>
      </c>
      <c r="P92" s="276">
        <f t="shared" si="14"/>
        <v>1889938.2430600198</v>
      </c>
      <c r="Q92" s="276">
        <f t="shared" si="14"/>
        <v>155226.85473364659</v>
      </c>
      <c r="R92" s="276">
        <f t="shared" si="14"/>
        <v>1148.8520383627235</v>
      </c>
      <c r="S92" s="276">
        <f t="shared" si="14"/>
        <v>397.42354438839288</v>
      </c>
      <c r="T92" s="276">
        <f t="shared" si="14"/>
        <v>56369.303763982702</v>
      </c>
      <c r="U92" s="276">
        <f t="shared" si="14"/>
        <v>0</v>
      </c>
      <c r="V92" s="276">
        <f t="shared" si="14"/>
        <v>15804.194473310825</v>
      </c>
      <c r="W92" s="276">
        <f t="shared" si="14"/>
        <v>0</v>
      </c>
      <c r="X92" s="276">
        <f t="shared" si="14"/>
        <v>390348.42616228963</v>
      </c>
      <c r="Y92" s="276">
        <f t="shared" si="14"/>
        <v>0</v>
      </c>
      <c r="AQ92" s="88"/>
    </row>
    <row r="93" spans="5:43" x14ac:dyDescent="0.25">
      <c r="E93" s="96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AQ93" s="88"/>
    </row>
    <row r="94" spans="5:43" x14ac:dyDescent="0.25">
      <c r="E94" s="96" t="s">
        <v>74</v>
      </c>
      <c r="I94" s="295" t="s">
        <v>431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AA94" s="295" t="s">
        <v>801</v>
      </c>
      <c r="AQ94" s="88"/>
    </row>
    <row r="95" spans="5:43" x14ac:dyDescent="0.25">
      <c r="E95" s="96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AQ95" s="88"/>
    </row>
    <row r="96" spans="5:43" x14ac:dyDescent="0.25">
      <c r="F96" s="14" t="s">
        <v>145</v>
      </c>
      <c r="G96" s="14" t="s">
        <v>74</v>
      </c>
      <c r="J96" s="274">
        <f>'Inputs by customer type'!J27</f>
        <v>1391172</v>
      </c>
      <c r="K96" s="274">
        <f>'Inputs by customer type'!K27</f>
        <v>3359</v>
      </c>
      <c r="L96" s="274">
        <f>'Inputs by customer type'!L27</f>
        <v>97941</v>
      </c>
      <c r="M96" s="274">
        <f>'Inputs by customer type'!M27</f>
        <v>996</v>
      </c>
      <c r="N96" s="274">
        <f>'Inputs by customer type'!N27</f>
        <v>5288</v>
      </c>
      <c r="O96" s="274">
        <f>'Inputs by customer type'!O27</f>
        <v>3061</v>
      </c>
      <c r="P96" s="274">
        <f>'Inputs by customer type'!P27</f>
        <v>797</v>
      </c>
      <c r="Q96" s="274">
        <f>'Inputs by customer type'!Q27</f>
        <v>582</v>
      </c>
      <c r="R96" s="274">
        <f>'Inputs by customer type'!R27</f>
        <v>156</v>
      </c>
      <c r="S96" s="274">
        <f>'Inputs by customer type'!S27</f>
        <v>24</v>
      </c>
      <c r="T96" s="274">
        <f>'Inputs by customer type'!T27</f>
        <v>313</v>
      </c>
      <c r="U96" s="274">
        <f>'Inputs by customer type'!U27</f>
        <v>0</v>
      </c>
      <c r="V96" s="274">
        <f>'Inputs by customer type'!V27</f>
        <v>41</v>
      </c>
      <c r="W96" s="274">
        <f>'Inputs by customer type'!W27</f>
        <v>0</v>
      </c>
      <c r="X96" s="274">
        <f>'Inputs by customer type'!X27</f>
        <v>133</v>
      </c>
      <c r="Y96" s="274">
        <f>'Inputs by customer type'!Y27</f>
        <v>0</v>
      </c>
      <c r="AQ96" s="88"/>
    </row>
    <row r="97" spans="5:43" x14ac:dyDescent="0.25">
      <c r="F97" s="14" t="s">
        <v>146</v>
      </c>
      <c r="G97" s="14" t="s">
        <v>74</v>
      </c>
      <c r="J97" s="274">
        <f>'Inputs by customer type'!J36</f>
        <v>19946</v>
      </c>
      <c r="K97" s="274">
        <f>'Inputs by customer type'!K36</f>
        <v>0</v>
      </c>
      <c r="L97" s="274">
        <f>'Inputs by customer type'!L36</f>
        <v>314</v>
      </c>
      <c r="M97" s="274">
        <f>'Inputs by customer type'!M36</f>
        <v>0</v>
      </c>
      <c r="N97" s="274">
        <f>'Inputs by customer type'!N36</f>
        <v>37</v>
      </c>
      <c r="O97" s="274">
        <f>'Inputs by customer type'!O36</f>
        <v>0</v>
      </c>
      <c r="P97" s="274">
        <f>'Inputs by customer type'!P36</f>
        <v>0</v>
      </c>
      <c r="Q97" s="274">
        <f>'Inputs by customer type'!Q36</f>
        <v>8</v>
      </c>
      <c r="R97" s="274">
        <f>'Inputs by customer type'!R36</f>
        <v>0</v>
      </c>
      <c r="S97" s="274">
        <f>'Inputs by customer type'!S36</f>
        <v>0</v>
      </c>
      <c r="T97" s="274">
        <f>'Inputs by customer type'!T36</f>
        <v>0</v>
      </c>
      <c r="U97" s="274">
        <f>'Inputs by customer type'!U36</f>
        <v>0</v>
      </c>
      <c r="V97" s="274">
        <f>'Inputs by customer type'!V36</f>
        <v>0</v>
      </c>
      <c r="W97" s="274">
        <f>'Inputs by customer type'!W36</f>
        <v>0</v>
      </c>
      <c r="X97" s="274">
        <f>'Inputs by customer type'!X36</f>
        <v>0</v>
      </c>
      <c r="Y97" s="274">
        <f>'Inputs by customer type'!Y36</f>
        <v>0</v>
      </c>
      <c r="AQ97" s="88"/>
    </row>
    <row r="98" spans="5:43" x14ac:dyDescent="0.25">
      <c r="F98" s="14" t="s">
        <v>147</v>
      </c>
      <c r="G98" s="14" t="s">
        <v>74</v>
      </c>
      <c r="J98" s="274">
        <f>'Inputs by customer type'!J45</f>
        <v>26068</v>
      </c>
      <c r="K98" s="274">
        <f>'Inputs by customer type'!K45</f>
        <v>0</v>
      </c>
      <c r="L98" s="274">
        <f>'Inputs by customer type'!L45</f>
        <v>609</v>
      </c>
      <c r="M98" s="274">
        <f>'Inputs by customer type'!M45</f>
        <v>0</v>
      </c>
      <c r="N98" s="274">
        <f>'Inputs by customer type'!N45</f>
        <v>214</v>
      </c>
      <c r="O98" s="274">
        <f>'Inputs by customer type'!O45</f>
        <v>20</v>
      </c>
      <c r="P98" s="274">
        <f>'Inputs by customer type'!P45</f>
        <v>18</v>
      </c>
      <c r="Q98" s="274">
        <f>'Inputs by customer type'!Q45</f>
        <v>50</v>
      </c>
      <c r="R98" s="274">
        <f>'Inputs by customer type'!R45</f>
        <v>0</v>
      </c>
      <c r="S98" s="274">
        <f>'Inputs by customer type'!S45</f>
        <v>0</v>
      </c>
      <c r="T98" s="274">
        <f>'Inputs by customer type'!T45</f>
        <v>0</v>
      </c>
      <c r="U98" s="274">
        <f>'Inputs by customer type'!U45</f>
        <v>0</v>
      </c>
      <c r="V98" s="274">
        <f>'Inputs by customer type'!V45</f>
        <v>0</v>
      </c>
      <c r="W98" s="274">
        <f>'Inputs by customer type'!W45</f>
        <v>0</v>
      </c>
      <c r="X98" s="274">
        <f>'Inputs by customer type'!X45</f>
        <v>0</v>
      </c>
      <c r="Y98" s="274">
        <f>'Inputs by customer type'!Y45</f>
        <v>0</v>
      </c>
      <c r="AQ98" s="88"/>
    </row>
    <row r="99" spans="5:43" x14ac:dyDescent="0.25">
      <c r="F99" s="14" t="s">
        <v>178</v>
      </c>
      <c r="G99" s="14" t="s">
        <v>94</v>
      </c>
      <c r="J99" s="17">
        <f t="shared" ref="J99:Y99" si="15">IF(J$40, J$46, J$34)</f>
        <v>0.38002274557606974</v>
      </c>
      <c r="K99" s="17">
        <f t="shared" si="15"/>
        <v>0.38002274557606974</v>
      </c>
      <c r="L99" s="17">
        <f t="shared" si="15"/>
        <v>0.38002274557606974</v>
      </c>
      <c r="M99" s="17">
        <f t="shared" si="15"/>
        <v>0.38002274557606974</v>
      </c>
      <c r="N99" s="17">
        <f t="shared" si="15"/>
        <v>0.38002274557606974</v>
      </c>
      <c r="O99" s="17">
        <f t="shared" si="15"/>
        <v>0</v>
      </c>
      <c r="P99" s="17">
        <f t="shared" si="15"/>
        <v>0</v>
      </c>
      <c r="Q99" s="17">
        <f t="shared" si="15"/>
        <v>0.38002274557606974</v>
      </c>
      <c r="R99" s="17">
        <f t="shared" si="15"/>
        <v>1</v>
      </c>
      <c r="S99" s="17">
        <f t="shared" si="15"/>
        <v>1</v>
      </c>
      <c r="T99" s="17">
        <f t="shared" si="15"/>
        <v>1</v>
      </c>
      <c r="U99" s="17">
        <f t="shared" si="15"/>
        <v>1</v>
      </c>
      <c r="V99" s="17">
        <f t="shared" si="15"/>
        <v>1</v>
      </c>
      <c r="W99" s="17">
        <f t="shared" si="15"/>
        <v>1</v>
      </c>
      <c r="X99" s="17">
        <f t="shared" si="15"/>
        <v>1</v>
      </c>
      <c r="Y99" s="17">
        <f t="shared" si="15"/>
        <v>1</v>
      </c>
      <c r="AQ99" s="88"/>
    </row>
    <row r="100" spans="5:43" x14ac:dyDescent="0.25">
      <c r="F100" s="14" t="s">
        <v>179</v>
      </c>
      <c r="G100" s="14" t="s">
        <v>94</v>
      </c>
      <c r="J100" s="17">
        <f t="shared" ref="J100:Y100" si="16">IF(J$40, J$46, J$35)</f>
        <v>0.55710107807599307</v>
      </c>
      <c r="K100" s="17">
        <f t="shared" si="16"/>
        <v>0.55710107807599307</v>
      </c>
      <c r="L100" s="17">
        <f t="shared" si="16"/>
        <v>0.55710107807599307</v>
      </c>
      <c r="M100" s="17">
        <f t="shared" si="16"/>
        <v>0.55710107807599307</v>
      </c>
      <c r="N100" s="17">
        <f t="shared" si="16"/>
        <v>0.55710107807599307</v>
      </c>
      <c r="O100" s="17">
        <f t="shared" si="16"/>
        <v>0.28402147020999663</v>
      </c>
      <c r="P100" s="17">
        <f t="shared" si="16"/>
        <v>0.19097590599842459</v>
      </c>
      <c r="Q100" s="17">
        <f t="shared" si="16"/>
        <v>0.55710107807599307</v>
      </c>
      <c r="R100" s="17">
        <f t="shared" si="16"/>
        <v>1</v>
      </c>
      <c r="S100" s="17">
        <f t="shared" si="16"/>
        <v>1</v>
      </c>
      <c r="T100" s="17">
        <f t="shared" si="16"/>
        <v>1</v>
      </c>
      <c r="U100" s="17">
        <f t="shared" si="16"/>
        <v>1</v>
      </c>
      <c r="V100" s="17">
        <f t="shared" si="16"/>
        <v>1</v>
      </c>
      <c r="W100" s="17">
        <f t="shared" si="16"/>
        <v>1</v>
      </c>
      <c r="X100" s="17">
        <f t="shared" si="16"/>
        <v>1</v>
      </c>
      <c r="Y100" s="17">
        <f t="shared" si="16"/>
        <v>1</v>
      </c>
      <c r="AQ100" s="88"/>
    </row>
    <row r="101" spans="5:43" x14ac:dyDescent="0.25">
      <c r="F101" s="14" t="s">
        <v>166</v>
      </c>
      <c r="G101" s="14" t="s">
        <v>74</v>
      </c>
      <c r="J101" s="276">
        <f t="shared" ref="J101:Y102" si="17">J97 * (1 - J99)</f>
        <v>12366.066316739712</v>
      </c>
      <c r="K101" s="276">
        <f t="shared" si="17"/>
        <v>0</v>
      </c>
      <c r="L101" s="276">
        <f t="shared" si="17"/>
        <v>194.67285788911411</v>
      </c>
      <c r="M101" s="276">
        <f t="shared" si="17"/>
        <v>0</v>
      </c>
      <c r="N101" s="276">
        <f t="shared" si="17"/>
        <v>22.939158413685419</v>
      </c>
      <c r="O101" s="276">
        <f t="shared" si="17"/>
        <v>0</v>
      </c>
      <c r="P101" s="276">
        <f t="shared" si="17"/>
        <v>0</v>
      </c>
      <c r="Q101" s="276">
        <f t="shared" si="17"/>
        <v>4.9598180353914421</v>
      </c>
      <c r="R101" s="276">
        <f t="shared" si="17"/>
        <v>0</v>
      </c>
      <c r="S101" s="276">
        <f t="shared" si="17"/>
        <v>0</v>
      </c>
      <c r="T101" s="276">
        <f t="shared" si="17"/>
        <v>0</v>
      </c>
      <c r="U101" s="276">
        <f t="shared" si="17"/>
        <v>0</v>
      </c>
      <c r="V101" s="276">
        <f t="shared" si="17"/>
        <v>0</v>
      </c>
      <c r="W101" s="276">
        <f t="shared" si="17"/>
        <v>0</v>
      </c>
      <c r="X101" s="276">
        <f t="shared" si="17"/>
        <v>0</v>
      </c>
      <c r="Y101" s="276">
        <f t="shared" si="17"/>
        <v>0</v>
      </c>
      <c r="AQ101" s="88"/>
    </row>
    <row r="102" spans="5:43" x14ac:dyDescent="0.25">
      <c r="F102" s="15" t="s">
        <v>177</v>
      </c>
      <c r="G102" s="15" t="s">
        <v>74</v>
      </c>
      <c r="H102" s="93"/>
      <c r="I102" s="93"/>
      <c r="J102" s="269">
        <f t="shared" si="17"/>
        <v>11545.489096715013</v>
      </c>
      <c r="K102" s="269">
        <f t="shared" si="17"/>
        <v>0</v>
      </c>
      <c r="L102" s="269">
        <f t="shared" si="17"/>
        <v>269.7254434517202</v>
      </c>
      <c r="M102" s="269">
        <f t="shared" si="17"/>
        <v>0</v>
      </c>
      <c r="N102" s="269">
        <f t="shared" si="17"/>
        <v>94.780369291737486</v>
      </c>
      <c r="O102" s="269">
        <f t="shared" si="17"/>
        <v>14.319570595800069</v>
      </c>
      <c r="P102" s="269">
        <f t="shared" si="17"/>
        <v>14.562433692028357</v>
      </c>
      <c r="Q102" s="269">
        <f t="shared" si="17"/>
        <v>22.144946096200346</v>
      </c>
      <c r="R102" s="269">
        <f t="shared" si="17"/>
        <v>0</v>
      </c>
      <c r="S102" s="269">
        <f t="shared" si="17"/>
        <v>0</v>
      </c>
      <c r="T102" s="269">
        <f t="shared" si="17"/>
        <v>0</v>
      </c>
      <c r="U102" s="269">
        <f t="shared" si="17"/>
        <v>0</v>
      </c>
      <c r="V102" s="269">
        <f t="shared" si="17"/>
        <v>0</v>
      </c>
      <c r="W102" s="269">
        <f t="shared" si="17"/>
        <v>0</v>
      </c>
      <c r="X102" s="269">
        <f t="shared" si="17"/>
        <v>0</v>
      </c>
      <c r="Y102" s="269">
        <f t="shared" si="17"/>
        <v>0</v>
      </c>
      <c r="AQ102" s="88"/>
    </row>
    <row r="103" spans="5:43" x14ac:dyDescent="0.25">
      <c r="F103" s="14" t="s">
        <v>167</v>
      </c>
      <c r="G103" s="14" t="s">
        <v>74</v>
      </c>
      <c r="J103" s="257">
        <f t="shared" ref="J103:Y103" si="18">J96 + J101 + J102</f>
        <v>1415083.5554134548</v>
      </c>
      <c r="K103" s="257">
        <f t="shared" si="18"/>
        <v>3359</v>
      </c>
      <c r="L103" s="257">
        <f t="shared" si="18"/>
        <v>98405.398301340843</v>
      </c>
      <c r="M103" s="257">
        <f t="shared" si="18"/>
        <v>996</v>
      </c>
      <c r="N103" s="257">
        <f t="shared" si="18"/>
        <v>5405.7195277054234</v>
      </c>
      <c r="O103" s="257">
        <f t="shared" si="18"/>
        <v>3075.3195705958001</v>
      </c>
      <c r="P103" s="257">
        <f t="shared" si="18"/>
        <v>811.56243369202832</v>
      </c>
      <c r="Q103" s="257">
        <f t="shared" si="18"/>
        <v>609.10476413159176</v>
      </c>
      <c r="R103" s="257">
        <f t="shared" si="18"/>
        <v>156</v>
      </c>
      <c r="S103" s="257">
        <f t="shared" si="18"/>
        <v>24</v>
      </c>
      <c r="T103" s="257">
        <f t="shared" si="18"/>
        <v>313</v>
      </c>
      <c r="U103" s="257">
        <f t="shared" si="18"/>
        <v>0</v>
      </c>
      <c r="V103" s="257">
        <f t="shared" si="18"/>
        <v>41</v>
      </c>
      <c r="W103" s="257">
        <f t="shared" si="18"/>
        <v>0</v>
      </c>
      <c r="X103" s="257">
        <f t="shared" si="18"/>
        <v>133</v>
      </c>
      <c r="Y103" s="257">
        <f t="shared" si="18"/>
        <v>0</v>
      </c>
      <c r="AQ103" s="88"/>
    </row>
    <row r="104" spans="5:43" x14ac:dyDescent="0.25">
      <c r="E104" s="96"/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25">
      <c r="E105" s="96" t="s">
        <v>259</v>
      </c>
      <c r="I105" s="295" t="s">
        <v>431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AA105" s="295" t="s">
        <v>801</v>
      </c>
      <c r="AQ105" s="88"/>
    </row>
    <row r="106" spans="5:43" x14ac:dyDescent="0.25">
      <c r="E106" s="96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AQ106" s="88"/>
    </row>
    <row r="107" spans="5:43" x14ac:dyDescent="0.25">
      <c r="F107" s="14" t="s">
        <v>145</v>
      </c>
      <c r="G107" s="14" t="s">
        <v>169</v>
      </c>
      <c r="J107" s="274">
        <f>'Inputs by customer type'!J28</f>
        <v>0</v>
      </c>
      <c r="K107" s="274">
        <f>'Inputs by customer type'!K28</f>
        <v>0</v>
      </c>
      <c r="L107" s="274">
        <f>'Inputs by customer type'!L28</f>
        <v>0</v>
      </c>
      <c r="M107" s="274">
        <f>'Inputs by customer type'!M28</f>
        <v>0</v>
      </c>
      <c r="N107" s="274">
        <f>'Inputs by customer type'!N28</f>
        <v>541813</v>
      </c>
      <c r="O107" s="274">
        <f>'Inputs by customer type'!O28</f>
        <v>569993</v>
      </c>
      <c r="P107" s="274">
        <f>'Inputs by customer type'!P28</f>
        <v>663160</v>
      </c>
      <c r="Q107" s="274">
        <f>'Inputs by customer type'!Q28</f>
        <v>0</v>
      </c>
      <c r="R107" s="274">
        <f>'Inputs by customer type'!R28</f>
        <v>0</v>
      </c>
      <c r="S107" s="274">
        <f>'Inputs by customer type'!S28</f>
        <v>0</v>
      </c>
      <c r="T107" s="274">
        <f>'Inputs by customer type'!T28</f>
        <v>0</v>
      </c>
      <c r="U107" s="274">
        <f>'Inputs by customer type'!U28</f>
        <v>0</v>
      </c>
      <c r="V107" s="274">
        <f>'Inputs by customer type'!V28</f>
        <v>0</v>
      </c>
      <c r="W107" s="274">
        <f>'Inputs by customer type'!W28</f>
        <v>0</v>
      </c>
      <c r="X107" s="274">
        <f>'Inputs by customer type'!X28</f>
        <v>0</v>
      </c>
      <c r="Y107" s="274">
        <f>'Inputs by customer type'!Y28</f>
        <v>0</v>
      </c>
      <c r="AQ107" s="88"/>
    </row>
    <row r="108" spans="5:43" x14ac:dyDescent="0.25">
      <c r="F108" s="14" t="s">
        <v>146</v>
      </c>
      <c r="G108" s="14" t="s">
        <v>169</v>
      </c>
      <c r="J108" s="274">
        <f>'Inputs by customer type'!J37</f>
        <v>0</v>
      </c>
      <c r="K108" s="274">
        <f>'Inputs by customer type'!K37</f>
        <v>0</v>
      </c>
      <c r="L108" s="274">
        <f>'Inputs by customer type'!L37</f>
        <v>0</v>
      </c>
      <c r="M108" s="274">
        <f>'Inputs by customer type'!M37</f>
        <v>0</v>
      </c>
      <c r="N108" s="274">
        <f>'Inputs by customer type'!N37</f>
        <v>5254.416666666667</v>
      </c>
      <c r="O108" s="274">
        <f>'Inputs by customer type'!O37</f>
        <v>0</v>
      </c>
      <c r="P108" s="274">
        <f>'Inputs by customer type'!P37</f>
        <v>0</v>
      </c>
      <c r="Q108" s="274">
        <f>'Inputs by customer type'!Q37</f>
        <v>0</v>
      </c>
      <c r="R108" s="274">
        <f>'Inputs by customer type'!R37</f>
        <v>0</v>
      </c>
      <c r="S108" s="274">
        <f>'Inputs by customer type'!S37</f>
        <v>0</v>
      </c>
      <c r="T108" s="274">
        <f>'Inputs by customer type'!T37</f>
        <v>0</v>
      </c>
      <c r="U108" s="274">
        <f>'Inputs by customer type'!U37</f>
        <v>0</v>
      </c>
      <c r="V108" s="274">
        <f>'Inputs by customer type'!V37</f>
        <v>0</v>
      </c>
      <c r="W108" s="274">
        <f>'Inputs by customer type'!W37</f>
        <v>0</v>
      </c>
      <c r="X108" s="274">
        <f>'Inputs by customer type'!X37</f>
        <v>0</v>
      </c>
      <c r="Y108" s="274">
        <f>'Inputs by customer type'!Y37</f>
        <v>0</v>
      </c>
      <c r="AQ108" s="88"/>
    </row>
    <row r="109" spans="5:43" x14ac:dyDescent="0.25">
      <c r="F109" s="14" t="s">
        <v>147</v>
      </c>
      <c r="G109" s="14" t="s">
        <v>169</v>
      </c>
      <c r="J109" s="274">
        <f>'Inputs by customer type'!J46</f>
        <v>0</v>
      </c>
      <c r="K109" s="274">
        <f>'Inputs by customer type'!K46</f>
        <v>0</v>
      </c>
      <c r="L109" s="274">
        <f>'Inputs by customer type'!L46</f>
        <v>0</v>
      </c>
      <c r="M109" s="274">
        <f>'Inputs by customer type'!M46</f>
        <v>0</v>
      </c>
      <c r="N109" s="274">
        <f>'Inputs by customer type'!N46</f>
        <v>51277.083333333336</v>
      </c>
      <c r="O109" s="274">
        <f>'Inputs by customer type'!O46</f>
        <v>10933.333333333334</v>
      </c>
      <c r="P109" s="274">
        <f>'Inputs by customer type'!P46</f>
        <v>12853</v>
      </c>
      <c r="Q109" s="274">
        <f>'Inputs by customer type'!Q46</f>
        <v>0</v>
      </c>
      <c r="R109" s="274">
        <f>'Inputs by customer type'!R46</f>
        <v>0</v>
      </c>
      <c r="S109" s="274">
        <f>'Inputs by customer type'!S46</f>
        <v>0</v>
      </c>
      <c r="T109" s="274">
        <f>'Inputs by customer type'!T46</f>
        <v>0</v>
      </c>
      <c r="U109" s="274">
        <f>'Inputs by customer type'!U46</f>
        <v>0</v>
      </c>
      <c r="V109" s="274">
        <f>'Inputs by customer type'!V46</f>
        <v>0</v>
      </c>
      <c r="W109" s="274">
        <f>'Inputs by customer type'!W46</f>
        <v>0</v>
      </c>
      <c r="X109" s="274">
        <f>'Inputs by customer type'!X46</f>
        <v>0</v>
      </c>
      <c r="Y109" s="274">
        <f>'Inputs by customer type'!Y46</f>
        <v>0</v>
      </c>
      <c r="AQ109" s="88"/>
    </row>
    <row r="110" spans="5:43" x14ac:dyDescent="0.25">
      <c r="F110" s="14" t="s">
        <v>178</v>
      </c>
      <c r="G110" s="14" t="s">
        <v>94</v>
      </c>
      <c r="J110" s="17">
        <f t="shared" ref="J110:Y110" si="19">IF(J$41, J$47, J$34)</f>
        <v>0.38002274557606974</v>
      </c>
      <c r="K110" s="17">
        <f t="shared" si="19"/>
        <v>0.38002274557606974</v>
      </c>
      <c r="L110" s="17">
        <f t="shared" si="19"/>
        <v>0.38002274557606974</v>
      </c>
      <c r="M110" s="17">
        <f t="shared" si="19"/>
        <v>0.38002274557606974</v>
      </c>
      <c r="N110" s="17">
        <f t="shared" si="19"/>
        <v>0.38002274557606974</v>
      </c>
      <c r="O110" s="17">
        <f t="shared" si="19"/>
        <v>0</v>
      </c>
      <c r="P110" s="17">
        <f t="shared" si="19"/>
        <v>0</v>
      </c>
      <c r="Q110" s="17">
        <f t="shared" si="19"/>
        <v>0.38002274557606974</v>
      </c>
      <c r="R110" s="17">
        <f t="shared" si="19"/>
        <v>0</v>
      </c>
      <c r="S110" s="17">
        <f t="shared" si="19"/>
        <v>0</v>
      </c>
      <c r="T110" s="17">
        <f t="shared" si="19"/>
        <v>0</v>
      </c>
      <c r="U110" s="17">
        <f t="shared" si="19"/>
        <v>0</v>
      </c>
      <c r="V110" s="17">
        <f t="shared" si="19"/>
        <v>0</v>
      </c>
      <c r="W110" s="17">
        <f t="shared" si="19"/>
        <v>0</v>
      </c>
      <c r="X110" s="17">
        <f t="shared" si="19"/>
        <v>0</v>
      </c>
      <c r="Y110" s="17">
        <f t="shared" si="19"/>
        <v>0</v>
      </c>
      <c r="AQ110" s="88"/>
    </row>
    <row r="111" spans="5:43" x14ac:dyDescent="0.25">
      <c r="F111" s="14" t="s">
        <v>179</v>
      </c>
      <c r="G111" s="14" t="s">
        <v>94</v>
      </c>
      <c r="J111" s="17">
        <f t="shared" ref="J111:Y111" si="20">IF(J$41, J$47, J$35)</f>
        <v>0.55710107807599307</v>
      </c>
      <c r="K111" s="17">
        <f t="shared" si="20"/>
        <v>0.55710107807599307</v>
      </c>
      <c r="L111" s="17">
        <f t="shared" si="20"/>
        <v>0.55710107807599307</v>
      </c>
      <c r="M111" s="17">
        <f t="shared" si="20"/>
        <v>0.55710107807599307</v>
      </c>
      <c r="N111" s="17">
        <f t="shared" si="20"/>
        <v>0.55710107807599307</v>
      </c>
      <c r="O111" s="17">
        <f t="shared" si="20"/>
        <v>0.28402147020999663</v>
      </c>
      <c r="P111" s="17">
        <f t="shared" si="20"/>
        <v>0.19097590599842459</v>
      </c>
      <c r="Q111" s="17">
        <f t="shared" si="20"/>
        <v>0.55710107807599307</v>
      </c>
      <c r="R111" s="17">
        <f t="shared" si="20"/>
        <v>0</v>
      </c>
      <c r="S111" s="17">
        <f t="shared" si="20"/>
        <v>0</v>
      </c>
      <c r="T111" s="17">
        <f t="shared" si="20"/>
        <v>0</v>
      </c>
      <c r="U111" s="17">
        <f t="shared" si="20"/>
        <v>0</v>
      </c>
      <c r="V111" s="17">
        <f t="shared" si="20"/>
        <v>0</v>
      </c>
      <c r="W111" s="17">
        <f t="shared" si="20"/>
        <v>0</v>
      </c>
      <c r="X111" s="17">
        <f t="shared" si="20"/>
        <v>0</v>
      </c>
      <c r="Y111" s="17">
        <f t="shared" si="20"/>
        <v>0</v>
      </c>
      <c r="AQ111" s="88"/>
    </row>
    <row r="112" spans="5:43" x14ac:dyDescent="0.25">
      <c r="F112" s="14" t="s">
        <v>166</v>
      </c>
      <c r="G112" s="14" t="s">
        <v>169</v>
      </c>
      <c r="J112" s="276">
        <f t="shared" ref="J112:Y113" si="21">J108 * (1 - J110)</f>
        <v>0</v>
      </c>
      <c r="K112" s="276">
        <f t="shared" si="21"/>
        <v>0</v>
      </c>
      <c r="L112" s="276">
        <f t="shared" si="21"/>
        <v>0</v>
      </c>
      <c r="M112" s="276">
        <f t="shared" si="21"/>
        <v>0</v>
      </c>
      <c r="N112" s="276">
        <f t="shared" si="21"/>
        <v>3257.6188185993396</v>
      </c>
      <c r="O112" s="276">
        <f t="shared" si="21"/>
        <v>0</v>
      </c>
      <c r="P112" s="276">
        <f t="shared" si="21"/>
        <v>0</v>
      </c>
      <c r="Q112" s="276">
        <f t="shared" si="21"/>
        <v>0</v>
      </c>
      <c r="R112" s="276">
        <f t="shared" si="21"/>
        <v>0</v>
      </c>
      <c r="S112" s="276">
        <f t="shared" si="21"/>
        <v>0</v>
      </c>
      <c r="T112" s="276">
        <f t="shared" si="21"/>
        <v>0</v>
      </c>
      <c r="U112" s="276">
        <f t="shared" si="21"/>
        <v>0</v>
      </c>
      <c r="V112" s="276">
        <f t="shared" si="21"/>
        <v>0</v>
      </c>
      <c r="W112" s="276">
        <f t="shared" si="21"/>
        <v>0</v>
      </c>
      <c r="X112" s="276">
        <f t="shared" si="21"/>
        <v>0</v>
      </c>
      <c r="Y112" s="276">
        <f t="shared" si="21"/>
        <v>0</v>
      </c>
      <c r="AQ112" s="88"/>
    </row>
    <row r="113" spans="5:43" x14ac:dyDescent="0.25">
      <c r="F113" s="15" t="s">
        <v>177</v>
      </c>
      <c r="G113" s="15" t="s">
        <v>169</v>
      </c>
      <c r="H113" s="93"/>
      <c r="I113" s="93"/>
      <c r="J113" s="269">
        <f t="shared" si="21"/>
        <v>0</v>
      </c>
      <c r="K113" s="269">
        <f t="shared" si="21"/>
        <v>0</v>
      </c>
      <c r="L113" s="269">
        <f t="shared" si="21"/>
        <v>0</v>
      </c>
      <c r="M113" s="269">
        <f t="shared" si="21"/>
        <v>0</v>
      </c>
      <c r="N113" s="269">
        <f t="shared" si="21"/>
        <v>22710.564927740797</v>
      </c>
      <c r="O113" s="269">
        <f t="shared" si="21"/>
        <v>7828.0319257040383</v>
      </c>
      <c r="P113" s="269">
        <f t="shared" si="21"/>
        <v>10398.386680202248</v>
      </c>
      <c r="Q113" s="269">
        <f t="shared" si="21"/>
        <v>0</v>
      </c>
      <c r="R113" s="269">
        <f t="shared" si="21"/>
        <v>0</v>
      </c>
      <c r="S113" s="269">
        <f t="shared" si="21"/>
        <v>0</v>
      </c>
      <c r="T113" s="269">
        <f t="shared" si="21"/>
        <v>0</v>
      </c>
      <c r="U113" s="269">
        <f t="shared" si="21"/>
        <v>0</v>
      </c>
      <c r="V113" s="269">
        <f t="shared" si="21"/>
        <v>0</v>
      </c>
      <c r="W113" s="269">
        <f t="shared" si="21"/>
        <v>0</v>
      </c>
      <c r="X113" s="269">
        <f t="shared" si="21"/>
        <v>0</v>
      </c>
      <c r="Y113" s="269">
        <f t="shared" si="21"/>
        <v>0</v>
      </c>
      <c r="AQ113" s="88"/>
    </row>
    <row r="114" spans="5:43" x14ac:dyDescent="0.25">
      <c r="F114" s="14" t="s">
        <v>167</v>
      </c>
      <c r="G114" s="14" t="s">
        <v>169</v>
      </c>
      <c r="J114" s="257">
        <f t="shared" ref="J114:Y114" si="22">J107 + J112 + J113</f>
        <v>0</v>
      </c>
      <c r="K114" s="257">
        <f t="shared" si="22"/>
        <v>0</v>
      </c>
      <c r="L114" s="257">
        <f t="shared" si="22"/>
        <v>0</v>
      </c>
      <c r="M114" s="257">
        <f t="shared" si="22"/>
        <v>0</v>
      </c>
      <c r="N114" s="257">
        <f t="shared" si="22"/>
        <v>567781.18374634022</v>
      </c>
      <c r="O114" s="257">
        <f t="shared" si="22"/>
        <v>577821.03192570398</v>
      </c>
      <c r="P114" s="257">
        <f t="shared" si="22"/>
        <v>673558.38668020221</v>
      </c>
      <c r="Q114" s="257">
        <f t="shared" si="22"/>
        <v>0</v>
      </c>
      <c r="R114" s="257">
        <f t="shared" si="22"/>
        <v>0</v>
      </c>
      <c r="S114" s="257">
        <f t="shared" si="22"/>
        <v>0</v>
      </c>
      <c r="T114" s="257">
        <f t="shared" si="22"/>
        <v>0</v>
      </c>
      <c r="U114" s="257">
        <f t="shared" si="22"/>
        <v>0</v>
      </c>
      <c r="V114" s="257">
        <f t="shared" si="22"/>
        <v>0</v>
      </c>
      <c r="W114" s="257">
        <f t="shared" si="22"/>
        <v>0</v>
      </c>
      <c r="X114" s="257">
        <f t="shared" si="22"/>
        <v>0</v>
      </c>
      <c r="Y114" s="257">
        <f t="shared" si="22"/>
        <v>0</v>
      </c>
      <c r="AQ114" s="88"/>
    </row>
    <row r="115" spans="5:43" x14ac:dyDescent="0.25">
      <c r="E115" s="96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25">
      <c r="E116" s="96" t="s">
        <v>260</v>
      </c>
      <c r="I116" s="295" t="s">
        <v>431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AA116" s="295" t="s">
        <v>801</v>
      </c>
      <c r="AQ116" s="88"/>
    </row>
    <row r="117" spans="5:43" x14ac:dyDescent="0.25">
      <c r="E117" s="9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AQ117" s="88"/>
    </row>
    <row r="118" spans="5:43" x14ac:dyDescent="0.25">
      <c r="F118" s="14" t="s">
        <v>145</v>
      </c>
      <c r="G118" s="14" t="s">
        <v>169</v>
      </c>
      <c r="J118" s="274">
        <f>'Inputs by customer type'!J29</f>
        <v>0</v>
      </c>
      <c r="K118" s="274">
        <f>'Inputs by customer type'!K29</f>
        <v>0</v>
      </c>
      <c r="L118" s="274">
        <f>'Inputs by customer type'!L29</f>
        <v>0</v>
      </c>
      <c r="M118" s="274">
        <f>'Inputs by customer type'!M29</f>
        <v>0</v>
      </c>
      <c r="N118" s="274">
        <f>'Inputs by customer type'!N29</f>
        <v>32600.04</v>
      </c>
      <c r="O118" s="274">
        <f>'Inputs by customer type'!O29</f>
        <v>11444.7</v>
      </c>
      <c r="P118" s="274">
        <f>'Inputs by customer type'!P29</f>
        <v>14202.12</v>
      </c>
      <c r="Q118" s="274">
        <f>'Inputs by customer type'!Q29</f>
        <v>0</v>
      </c>
      <c r="R118" s="274">
        <f>'Inputs by customer type'!R29</f>
        <v>0</v>
      </c>
      <c r="S118" s="274">
        <f>'Inputs by customer type'!S29</f>
        <v>0</v>
      </c>
      <c r="T118" s="274">
        <f>'Inputs by customer type'!T29</f>
        <v>0</v>
      </c>
      <c r="U118" s="274">
        <f>'Inputs by customer type'!U29</f>
        <v>0</v>
      </c>
      <c r="V118" s="274">
        <f>'Inputs by customer type'!V29</f>
        <v>0</v>
      </c>
      <c r="W118" s="274">
        <f>'Inputs by customer type'!W29</f>
        <v>0</v>
      </c>
      <c r="X118" s="274">
        <f>'Inputs by customer type'!X29</f>
        <v>0</v>
      </c>
      <c r="Y118" s="274">
        <f>'Inputs by customer type'!Y29</f>
        <v>0</v>
      </c>
      <c r="AQ118" s="88"/>
    </row>
    <row r="119" spans="5:43" x14ac:dyDescent="0.25">
      <c r="F119" s="14" t="s">
        <v>146</v>
      </c>
      <c r="G119" s="14" t="s">
        <v>169</v>
      </c>
      <c r="J119" s="274">
        <f>'Inputs by customer type'!J38</f>
        <v>0</v>
      </c>
      <c r="K119" s="274">
        <f>'Inputs by customer type'!K38</f>
        <v>0</v>
      </c>
      <c r="L119" s="274">
        <f>'Inputs by customer type'!L38</f>
        <v>0</v>
      </c>
      <c r="M119" s="274">
        <f>'Inputs by customer type'!M38</f>
        <v>0</v>
      </c>
      <c r="N119" s="274">
        <f>'Inputs by customer type'!N38</f>
        <v>0</v>
      </c>
      <c r="O119" s="274">
        <f>'Inputs by customer type'!O38</f>
        <v>0</v>
      </c>
      <c r="P119" s="274">
        <f>'Inputs by customer type'!P38</f>
        <v>0</v>
      </c>
      <c r="Q119" s="274">
        <f>'Inputs by customer type'!Q38</f>
        <v>0</v>
      </c>
      <c r="R119" s="274">
        <f>'Inputs by customer type'!R38</f>
        <v>0</v>
      </c>
      <c r="S119" s="274">
        <f>'Inputs by customer type'!S38</f>
        <v>0</v>
      </c>
      <c r="T119" s="274">
        <f>'Inputs by customer type'!T38</f>
        <v>0</v>
      </c>
      <c r="U119" s="274">
        <f>'Inputs by customer type'!U38</f>
        <v>0</v>
      </c>
      <c r="V119" s="274">
        <f>'Inputs by customer type'!V38</f>
        <v>0</v>
      </c>
      <c r="W119" s="274">
        <f>'Inputs by customer type'!W38</f>
        <v>0</v>
      </c>
      <c r="X119" s="274">
        <f>'Inputs by customer type'!X38</f>
        <v>0</v>
      </c>
      <c r="Y119" s="274">
        <f>'Inputs by customer type'!Y38</f>
        <v>0</v>
      </c>
      <c r="AQ119" s="88"/>
    </row>
    <row r="120" spans="5:43" x14ac:dyDescent="0.25">
      <c r="F120" s="14" t="s">
        <v>147</v>
      </c>
      <c r="G120" s="14" t="s">
        <v>169</v>
      </c>
      <c r="J120" s="274">
        <f>'Inputs by customer type'!J47</f>
        <v>0</v>
      </c>
      <c r="K120" s="274">
        <f>'Inputs by customer type'!K47</f>
        <v>0</v>
      </c>
      <c r="L120" s="274">
        <f>'Inputs by customer type'!L47</f>
        <v>0</v>
      </c>
      <c r="M120" s="274">
        <f>'Inputs by customer type'!M47</f>
        <v>0</v>
      </c>
      <c r="N120" s="274">
        <f>'Inputs by customer type'!N47</f>
        <v>14</v>
      </c>
      <c r="O120" s="274">
        <f>'Inputs by customer type'!O47</f>
        <v>0</v>
      </c>
      <c r="P120" s="274">
        <f>'Inputs by customer type'!P47</f>
        <v>0</v>
      </c>
      <c r="Q120" s="274">
        <f>'Inputs by customer type'!Q47</f>
        <v>0</v>
      </c>
      <c r="R120" s="274">
        <f>'Inputs by customer type'!R47</f>
        <v>0</v>
      </c>
      <c r="S120" s="274">
        <f>'Inputs by customer type'!S47</f>
        <v>0</v>
      </c>
      <c r="T120" s="274">
        <f>'Inputs by customer type'!T47</f>
        <v>0</v>
      </c>
      <c r="U120" s="274">
        <f>'Inputs by customer type'!U47</f>
        <v>0</v>
      </c>
      <c r="V120" s="274">
        <f>'Inputs by customer type'!V47</f>
        <v>0</v>
      </c>
      <c r="W120" s="274">
        <f>'Inputs by customer type'!W47</f>
        <v>0</v>
      </c>
      <c r="X120" s="274">
        <f>'Inputs by customer type'!X47</f>
        <v>0</v>
      </c>
      <c r="Y120" s="274">
        <f>'Inputs by customer type'!Y47</f>
        <v>0</v>
      </c>
      <c r="AQ120" s="88"/>
    </row>
    <row r="121" spans="5:43" x14ac:dyDescent="0.25">
      <c r="F121" s="14" t="s">
        <v>178</v>
      </c>
      <c r="G121" s="14" t="s">
        <v>94</v>
      </c>
      <c r="J121" s="17">
        <f t="shared" ref="J121:Y121" si="23">IF(J$42, J$48, J$34)</f>
        <v>0.38002274557606974</v>
      </c>
      <c r="K121" s="17">
        <f t="shared" si="23"/>
        <v>0.38002274557606974</v>
      </c>
      <c r="L121" s="17">
        <f t="shared" si="23"/>
        <v>0.38002274557606974</v>
      </c>
      <c r="M121" s="17">
        <f t="shared" si="23"/>
        <v>0.38002274557606974</v>
      </c>
      <c r="N121" s="17">
        <f t="shared" si="23"/>
        <v>0.38002274557606974</v>
      </c>
      <c r="O121" s="17">
        <f t="shared" si="23"/>
        <v>0</v>
      </c>
      <c r="P121" s="17">
        <f t="shared" si="23"/>
        <v>0</v>
      </c>
      <c r="Q121" s="17">
        <f t="shared" si="23"/>
        <v>0.38002274557606974</v>
      </c>
      <c r="R121" s="17">
        <f t="shared" si="23"/>
        <v>0</v>
      </c>
      <c r="S121" s="17">
        <f t="shared" si="23"/>
        <v>0</v>
      </c>
      <c r="T121" s="17">
        <f t="shared" si="23"/>
        <v>0</v>
      </c>
      <c r="U121" s="17">
        <f t="shared" si="23"/>
        <v>0</v>
      </c>
      <c r="V121" s="17">
        <f t="shared" si="23"/>
        <v>0</v>
      </c>
      <c r="W121" s="17">
        <f t="shared" si="23"/>
        <v>0</v>
      </c>
      <c r="X121" s="17">
        <f t="shared" si="23"/>
        <v>0</v>
      </c>
      <c r="Y121" s="17">
        <f t="shared" si="23"/>
        <v>0</v>
      </c>
      <c r="AQ121" s="88"/>
    </row>
    <row r="122" spans="5:43" x14ac:dyDescent="0.25">
      <c r="F122" s="14" t="s">
        <v>179</v>
      </c>
      <c r="G122" s="14" t="s">
        <v>94</v>
      </c>
      <c r="J122" s="17">
        <f t="shared" ref="J122:Y122" si="24">IF(J$42, J$48, J$35)</f>
        <v>0.55710107807599307</v>
      </c>
      <c r="K122" s="17">
        <f t="shared" si="24"/>
        <v>0.55710107807599307</v>
      </c>
      <c r="L122" s="17">
        <f t="shared" si="24"/>
        <v>0.55710107807599307</v>
      </c>
      <c r="M122" s="17">
        <f t="shared" si="24"/>
        <v>0.55710107807599307</v>
      </c>
      <c r="N122" s="17">
        <f t="shared" si="24"/>
        <v>0.55710107807599307</v>
      </c>
      <c r="O122" s="17">
        <f t="shared" si="24"/>
        <v>0.28402147020999663</v>
      </c>
      <c r="P122" s="17">
        <f t="shared" si="24"/>
        <v>0.19097590599842459</v>
      </c>
      <c r="Q122" s="17">
        <f t="shared" si="24"/>
        <v>0.55710107807599307</v>
      </c>
      <c r="R122" s="17">
        <f t="shared" si="24"/>
        <v>0</v>
      </c>
      <c r="S122" s="17">
        <f t="shared" si="24"/>
        <v>0</v>
      </c>
      <c r="T122" s="17">
        <f t="shared" si="24"/>
        <v>0</v>
      </c>
      <c r="U122" s="17">
        <f t="shared" si="24"/>
        <v>0</v>
      </c>
      <c r="V122" s="17">
        <f t="shared" si="24"/>
        <v>0</v>
      </c>
      <c r="W122" s="17">
        <f t="shared" si="24"/>
        <v>0</v>
      </c>
      <c r="X122" s="17">
        <f t="shared" si="24"/>
        <v>0</v>
      </c>
      <c r="Y122" s="17">
        <f t="shared" si="24"/>
        <v>0</v>
      </c>
      <c r="AQ122" s="88"/>
    </row>
    <row r="123" spans="5:43" x14ac:dyDescent="0.25">
      <c r="F123" s="14" t="s">
        <v>166</v>
      </c>
      <c r="G123" s="14" t="s">
        <v>169</v>
      </c>
      <c r="J123" s="276">
        <f t="shared" ref="J123:Y124" si="25">J119 * (1 - J121)</f>
        <v>0</v>
      </c>
      <c r="K123" s="276">
        <f t="shared" si="25"/>
        <v>0</v>
      </c>
      <c r="L123" s="276">
        <f t="shared" si="25"/>
        <v>0</v>
      </c>
      <c r="M123" s="276">
        <f t="shared" si="25"/>
        <v>0</v>
      </c>
      <c r="N123" s="276">
        <f t="shared" si="25"/>
        <v>0</v>
      </c>
      <c r="O123" s="276">
        <f t="shared" si="25"/>
        <v>0</v>
      </c>
      <c r="P123" s="276">
        <f t="shared" si="25"/>
        <v>0</v>
      </c>
      <c r="Q123" s="276">
        <f t="shared" si="25"/>
        <v>0</v>
      </c>
      <c r="R123" s="276">
        <f t="shared" si="25"/>
        <v>0</v>
      </c>
      <c r="S123" s="276">
        <f t="shared" si="25"/>
        <v>0</v>
      </c>
      <c r="T123" s="276">
        <f t="shared" si="25"/>
        <v>0</v>
      </c>
      <c r="U123" s="276">
        <f t="shared" si="25"/>
        <v>0</v>
      </c>
      <c r="V123" s="276">
        <f t="shared" si="25"/>
        <v>0</v>
      </c>
      <c r="W123" s="276">
        <f t="shared" si="25"/>
        <v>0</v>
      </c>
      <c r="X123" s="276">
        <f t="shared" si="25"/>
        <v>0</v>
      </c>
      <c r="Y123" s="276">
        <f t="shared" si="25"/>
        <v>0</v>
      </c>
      <c r="AQ123" s="88"/>
    </row>
    <row r="124" spans="5:43" x14ac:dyDescent="0.25">
      <c r="F124" s="15" t="s">
        <v>177</v>
      </c>
      <c r="G124" s="15" t="s">
        <v>169</v>
      </c>
      <c r="H124" s="93"/>
      <c r="I124" s="93"/>
      <c r="J124" s="269">
        <f t="shared" si="25"/>
        <v>0</v>
      </c>
      <c r="K124" s="269">
        <f t="shared" si="25"/>
        <v>0</v>
      </c>
      <c r="L124" s="269">
        <f t="shared" si="25"/>
        <v>0</v>
      </c>
      <c r="M124" s="269">
        <f t="shared" si="25"/>
        <v>0</v>
      </c>
      <c r="N124" s="269">
        <f t="shared" si="25"/>
        <v>6.200584906936097</v>
      </c>
      <c r="O124" s="269">
        <f t="shared" si="25"/>
        <v>0</v>
      </c>
      <c r="P124" s="269">
        <f t="shared" si="25"/>
        <v>0</v>
      </c>
      <c r="Q124" s="269">
        <f t="shared" si="25"/>
        <v>0</v>
      </c>
      <c r="R124" s="269">
        <f t="shared" si="25"/>
        <v>0</v>
      </c>
      <c r="S124" s="269">
        <f t="shared" si="25"/>
        <v>0</v>
      </c>
      <c r="T124" s="269">
        <f t="shared" si="25"/>
        <v>0</v>
      </c>
      <c r="U124" s="269">
        <f t="shared" si="25"/>
        <v>0</v>
      </c>
      <c r="V124" s="269">
        <f t="shared" si="25"/>
        <v>0</v>
      </c>
      <c r="W124" s="269">
        <f t="shared" si="25"/>
        <v>0</v>
      </c>
      <c r="X124" s="269">
        <f t="shared" si="25"/>
        <v>0</v>
      </c>
      <c r="Y124" s="269">
        <f t="shared" si="25"/>
        <v>0</v>
      </c>
      <c r="AQ124" s="88"/>
    </row>
    <row r="125" spans="5:43" x14ac:dyDescent="0.25">
      <c r="F125" s="14" t="s">
        <v>167</v>
      </c>
      <c r="G125" s="14" t="s">
        <v>169</v>
      </c>
      <c r="J125" s="257">
        <f t="shared" ref="J125:Y125" si="26">J118 + J123 + J124</f>
        <v>0</v>
      </c>
      <c r="K125" s="257">
        <f t="shared" si="26"/>
        <v>0</v>
      </c>
      <c r="L125" s="257">
        <f t="shared" si="26"/>
        <v>0</v>
      </c>
      <c r="M125" s="257">
        <f t="shared" si="26"/>
        <v>0</v>
      </c>
      <c r="N125" s="257">
        <f t="shared" si="26"/>
        <v>32606.240584906936</v>
      </c>
      <c r="O125" s="257">
        <f t="shared" si="26"/>
        <v>11444.7</v>
      </c>
      <c r="P125" s="257">
        <f t="shared" si="26"/>
        <v>14202.12</v>
      </c>
      <c r="Q125" s="257">
        <f t="shared" si="26"/>
        <v>0</v>
      </c>
      <c r="R125" s="257">
        <f t="shared" si="26"/>
        <v>0</v>
      </c>
      <c r="S125" s="257">
        <f t="shared" si="26"/>
        <v>0</v>
      </c>
      <c r="T125" s="257">
        <f t="shared" si="26"/>
        <v>0</v>
      </c>
      <c r="U125" s="257">
        <f t="shared" si="26"/>
        <v>0</v>
      </c>
      <c r="V125" s="257">
        <f t="shared" si="26"/>
        <v>0</v>
      </c>
      <c r="W125" s="257">
        <f t="shared" si="26"/>
        <v>0</v>
      </c>
      <c r="X125" s="257">
        <f t="shared" si="26"/>
        <v>0</v>
      </c>
      <c r="Y125" s="257">
        <f t="shared" si="26"/>
        <v>0</v>
      </c>
      <c r="AQ125" s="88"/>
    </row>
    <row r="126" spans="5:43" x14ac:dyDescent="0.25">
      <c r="E126" s="9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25">
      <c r="E127" s="96" t="s">
        <v>261</v>
      </c>
      <c r="I127" s="295" t="s">
        <v>431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A127" s="295" t="s">
        <v>801</v>
      </c>
      <c r="AQ127" s="88"/>
    </row>
    <row r="128" spans="5:43" x14ac:dyDescent="0.25">
      <c r="E128" s="96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AQ128" s="88"/>
    </row>
    <row r="129" spans="2:43" x14ac:dyDescent="0.25">
      <c r="F129" s="14" t="s">
        <v>145</v>
      </c>
      <c r="G129" s="14" t="s">
        <v>170</v>
      </c>
      <c r="J129" s="274">
        <f>'Inputs by customer type'!J30</f>
        <v>0</v>
      </c>
      <c r="K129" s="274">
        <f>'Inputs by customer type'!K30</f>
        <v>0</v>
      </c>
      <c r="L129" s="274">
        <f>'Inputs by customer type'!L30</f>
        <v>0</v>
      </c>
      <c r="M129" s="274">
        <f>'Inputs by customer type'!M30</f>
        <v>0</v>
      </c>
      <c r="N129" s="274">
        <f>'Inputs by customer type'!N30</f>
        <v>75780</v>
      </c>
      <c r="O129" s="274">
        <f>'Inputs by customer type'!O30</f>
        <v>92280</v>
      </c>
      <c r="P129" s="274">
        <f>'Inputs by customer type'!P30</f>
        <v>113496</v>
      </c>
      <c r="Q129" s="274">
        <f>'Inputs by customer type'!Q30</f>
        <v>0</v>
      </c>
      <c r="R129" s="274">
        <f>'Inputs by customer type'!R30</f>
        <v>0</v>
      </c>
      <c r="S129" s="274">
        <f>'Inputs by customer type'!S30</f>
        <v>0</v>
      </c>
      <c r="T129" s="274">
        <f>'Inputs by customer type'!T30</f>
        <v>4428</v>
      </c>
      <c r="U129" s="274">
        <f>'Inputs by customer type'!U30</f>
        <v>0</v>
      </c>
      <c r="V129" s="274">
        <f>'Inputs by customer type'!V30</f>
        <v>186</v>
      </c>
      <c r="W129" s="274">
        <f>'Inputs by customer type'!W30</f>
        <v>0</v>
      </c>
      <c r="X129" s="274">
        <f>'Inputs by customer type'!X30</f>
        <v>6792</v>
      </c>
      <c r="Y129" s="274">
        <f>'Inputs by customer type'!Y30</f>
        <v>0</v>
      </c>
      <c r="AQ129" s="88"/>
    </row>
    <row r="130" spans="2:43" x14ac:dyDescent="0.25">
      <c r="F130" s="14" t="s">
        <v>146</v>
      </c>
      <c r="G130" s="14" t="s">
        <v>170</v>
      </c>
      <c r="J130" s="274">
        <f>'Inputs by customer type'!J39</f>
        <v>0</v>
      </c>
      <c r="K130" s="274">
        <f>'Inputs by customer type'!K39</f>
        <v>0</v>
      </c>
      <c r="L130" s="274">
        <f>'Inputs by customer type'!L39</f>
        <v>0</v>
      </c>
      <c r="M130" s="274">
        <f>'Inputs by customer type'!M39</f>
        <v>0</v>
      </c>
      <c r="N130" s="274">
        <f>'Inputs by customer type'!N39</f>
        <v>275.2457</v>
      </c>
      <c r="O130" s="274">
        <f>'Inputs by customer type'!O39</f>
        <v>0</v>
      </c>
      <c r="P130" s="274">
        <f>'Inputs by customer type'!P39</f>
        <v>0</v>
      </c>
      <c r="Q130" s="274">
        <f>'Inputs by customer type'!Q39</f>
        <v>0</v>
      </c>
      <c r="R130" s="274">
        <f>'Inputs by customer type'!R39</f>
        <v>0</v>
      </c>
      <c r="S130" s="274">
        <f>'Inputs by customer type'!S39</f>
        <v>0</v>
      </c>
      <c r="T130" s="274">
        <f>'Inputs by customer type'!T39</f>
        <v>0</v>
      </c>
      <c r="U130" s="274">
        <f>'Inputs by customer type'!U39</f>
        <v>0</v>
      </c>
      <c r="V130" s="274">
        <f>'Inputs by customer type'!V39</f>
        <v>0</v>
      </c>
      <c r="W130" s="274">
        <f>'Inputs by customer type'!W39</f>
        <v>0</v>
      </c>
      <c r="X130" s="274">
        <f>'Inputs by customer type'!X39</f>
        <v>0</v>
      </c>
      <c r="Y130" s="274">
        <f>'Inputs by customer type'!Y39</f>
        <v>0</v>
      </c>
      <c r="AQ130" s="88"/>
    </row>
    <row r="131" spans="2:43" x14ac:dyDescent="0.25">
      <c r="F131" s="14" t="s">
        <v>147</v>
      </c>
      <c r="G131" s="14" t="s">
        <v>170</v>
      </c>
      <c r="J131" s="274">
        <f>'Inputs by customer type'!J48</f>
        <v>0</v>
      </c>
      <c r="K131" s="274">
        <f>'Inputs by customer type'!K48</f>
        <v>0</v>
      </c>
      <c r="L131" s="274">
        <f>'Inputs by customer type'!L48</f>
        <v>0</v>
      </c>
      <c r="M131" s="274">
        <f>'Inputs by customer type'!M48</f>
        <v>0</v>
      </c>
      <c r="N131" s="274">
        <f>'Inputs by customer type'!N48</f>
        <v>3989.2191999999991</v>
      </c>
      <c r="O131" s="274">
        <f>'Inputs by customer type'!O48</f>
        <v>3463.8448000000003</v>
      </c>
      <c r="P131" s="274">
        <f>'Inputs by customer type'!P48</f>
        <v>316.33280000000002</v>
      </c>
      <c r="Q131" s="274">
        <f>'Inputs by customer type'!Q48</f>
        <v>0</v>
      </c>
      <c r="R131" s="274">
        <f>'Inputs by customer type'!R48</f>
        <v>0</v>
      </c>
      <c r="S131" s="274">
        <f>'Inputs by customer type'!S48</f>
        <v>0</v>
      </c>
      <c r="T131" s="274">
        <f>'Inputs by customer type'!T48</f>
        <v>65.780299999999997</v>
      </c>
      <c r="U131" s="274">
        <f>'Inputs by customer type'!U48</f>
        <v>0</v>
      </c>
      <c r="V131" s="274">
        <f>'Inputs by customer type'!V48</f>
        <v>0</v>
      </c>
      <c r="W131" s="274">
        <f>'Inputs by customer type'!W48</f>
        <v>0</v>
      </c>
      <c r="X131" s="274">
        <f>'Inputs by customer type'!X48</f>
        <v>0</v>
      </c>
      <c r="Y131" s="274">
        <f>'Inputs by customer type'!Y48</f>
        <v>0</v>
      </c>
      <c r="AQ131" s="88"/>
    </row>
    <row r="132" spans="2:43" x14ac:dyDescent="0.25">
      <c r="F132" s="14" t="s">
        <v>178</v>
      </c>
      <c r="G132" s="14" t="s">
        <v>94</v>
      </c>
      <c r="J132" s="17">
        <f t="shared" ref="J132:Y132" si="27">IF(J$43, J$49, J$34)</f>
        <v>0.38002274557606974</v>
      </c>
      <c r="K132" s="17">
        <f t="shared" si="27"/>
        <v>0.38002274557606974</v>
      </c>
      <c r="L132" s="17">
        <f t="shared" si="27"/>
        <v>0.38002274557606974</v>
      </c>
      <c r="M132" s="17">
        <f t="shared" si="27"/>
        <v>0.38002274557606974</v>
      </c>
      <c r="N132" s="17">
        <f t="shared" si="27"/>
        <v>0.38002274557606974</v>
      </c>
      <c r="O132" s="17">
        <f t="shared" si="27"/>
        <v>0</v>
      </c>
      <c r="P132" s="17">
        <f t="shared" si="27"/>
        <v>0</v>
      </c>
      <c r="Q132" s="17">
        <f t="shared" si="27"/>
        <v>0.38002274557606974</v>
      </c>
      <c r="R132" s="17">
        <f t="shared" si="27"/>
        <v>0</v>
      </c>
      <c r="S132" s="17">
        <f t="shared" si="27"/>
        <v>0</v>
      </c>
      <c r="T132" s="17">
        <f t="shared" si="27"/>
        <v>0</v>
      </c>
      <c r="U132" s="17">
        <f t="shared" si="27"/>
        <v>0</v>
      </c>
      <c r="V132" s="17">
        <f t="shared" si="27"/>
        <v>0</v>
      </c>
      <c r="W132" s="17">
        <f t="shared" si="27"/>
        <v>0</v>
      </c>
      <c r="X132" s="17">
        <f t="shared" si="27"/>
        <v>0</v>
      </c>
      <c r="Y132" s="17">
        <f t="shared" si="27"/>
        <v>0</v>
      </c>
      <c r="AQ132" s="88"/>
    </row>
    <row r="133" spans="2:43" x14ac:dyDescent="0.25">
      <c r="F133" s="14" t="s">
        <v>179</v>
      </c>
      <c r="G133" s="14" t="s">
        <v>94</v>
      </c>
      <c r="J133" s="17">
        <f t="shared" ref="J133:Y133" si="28">IF(J$43, J$49, J$35)</f>
        <v>0.55710107807599307</v>
      </c>
      <c r="K133" s="17">
        <f t="shared" si="28"/>
        <v>0.55710107807599307</v>
      </c>
      <c r="L133" s="17">
        <f t="shared" si="28"/>
        <v>0.55710107807599307</v>
      </c>
      <c r="M133" s="17">
        <f t="shared" si="28"/>
        <v>0.55710107807599307</v>
      </c>
      <c r="N133" s="17">
        <f t="shared" si="28"/>
        <v>0.55710107807599307</v>
      </c>
      <c r="O133" s="17">
        <f t="shared" si="28"/>
        <v>0.28402147020999663</v>
      </c>
      <c r="P133" s="17">
        <f t="shared" si="28"/>
        <v>0.19097590599842459</v>
      </c>
      <c r="Q133" s="17">
        <f t="shared" si="28"/>
        <v>0.55710107807599307</v>
      </c>
      <c r="R133" s="17">
        <f t="shared" si="28"/>
        <v>0</v>
      </c>
      <c r="S133" s="17">
        <f t="shared" si="28"/>
        <v>0</v>
      </c>
      <c r="T133" s="17">
        <f t="shared" si="28"/>
        <v>0</v>
      </c>
      <c r="U133" s="17">
        <f t="shared" si="28"/>
        <v>0</v>
      </c>
      <c r="V133" s="17">
        <f t="shared" si="28"/>
        <v>0</v>
      </c>
      <c r="W133" s="17">
        <f t="shared" si="28"/>
        <v>0</v>
      </c>
      <c r="X133" s="17">
        <f t="shared" si="28"/>
        <v>0</v>
      </c>
      <c r="Y133" s="17">
        <f t="shared" si="28"/>
        <v>0</v>
      </c>
      <c r="AQ133" s="88"/>
    </row>
    <row r="134" spans="2:43" x14ac:dyDescent="0.25">
      <c r="F134" s="14" t="s">
        <v>166</v>
      </c>
      <c r="G134" s="14" t="s">
        <v>170</v>
      </c>
      <c r="J134" s="276">
        <f t="shared" ref="J134:Y135" si="29">J130 * (1 - J132)</f>
        <v>0</v>
      </c>
      <c r="K134" s="276">
        <f t="shared" si="29"/>
        <v>0</v>
      </c>
      <c r="L134" s="276">
        <f t="shared" si="29"/>
        <v>0</v>
      </c>
      <c r="M134" s="276">
        <f t="shared" si="29"/>
        <v>0</v>
      </c>
      <c r="N134" s="276">
        <f t="shared" si="29"/>
        <v>170.64607337799279</v>
      </c>
      <c r="O134" s="276">
        <f t="shared" si="29"/>
        <v>0</v>
      </c>
      <c r="P134" s="276">
        <f t="shared" si="29"/>
        <v>0</v>
      </c>
      <c r="Q134" s="276">
        <f t="shared" si="29"/>
        <v>0</v>
      </c>
      <c r="R134" s="276">
        <f t="shared" si="29"/>
        <v>0</v>
      </c>
      <c r="S134" s="276">
        <f t="shared" si="29"/>
        <v>0</v>
      </c>
      <c r="T134" s="276">
        <f t="shared" si="29"/>
        <v>0</v>
      </c>
      <c r="U134" s="276">
        <f t="shared" si="29"/>
        <v>0</v>
      </c>
      <c r="V134" s="276">
        <f t="shared" si="29"/>
        <v>0</v>
      </c>
      <c r="W134" s="276">
        <f t="shared" si="29"/>
        <v>0</v>
      </c>
      <c r="X134" s="276">
        <f t="shared" si="29"/>
        <v>0</v>
      </c>
      <c r="Y134" s="276">
        <f t="shared" si="29"/>
        <v>0</v>
      </c>
      <c r="AQ134" s="88"/>
    </row>
    <row r="135" spans="2:43" x14ac:dyDescent="0.25">
      <c r="F135" s="15" t="s">
        <v>177</v>
      </c>
      <c r="G135" s="15" t="s">
        <v>170</v>
      </c>
      <c r="H135" s="93"/>
      <c r="I135" s="93"/>
      <c r="J135" s="269">
        <f t="shared" si="29"/>
        <v>0</v>
      </c>
      <c r="K135" s="269">
        <f t="shared" si="29"/>
        <v>0</v>
      </c>
      <c r="L135" s="269">
        <f t="shared" si="29"/>
        <v>0</v>
      </c>
      <c r="M135" s="269">
        <f t="shared" si="29"/>
        <v>0</v>
      </c>
      <c r="N135" s="269">
        <f t="shared" si="29"/>
        <v>1766.820882998549</v>
      </c>
      <c r="O135" s="269">
        <f t="shared" si="29"/>
        <v>2480.0385073247485</v>
      </c>
      <c r="P135" s="269">
        <f t="shared" si="29"/>
        <v>255.92085692298156</v>
      </c>
      <c r="Q135" s="269">
        <f t="shared" si="29"/>
        <v>0</v>
      </c>
      <c r="R135" s="269">
        <f t="shared" si="29"/>
        <v>0</v>
      </c>
      <c r="S135" s="269">
        <f t="shared" si="29"/>
        <v>0</v>
      </c>
      <c r="T135" s="269">
        <f t="shared" si="29"/>
        <v>65.780299999999997</v>
      </c>
      <c r="U135" s="269">
        <f t="shared" si="29"/>
        <v>0</v>
      </c>
      <c r="V135" s="269">
        <f t="shared" si="29"/>
        <v>0</v>
      </c>
      <c r="W135" s="269">
        <f t="shared" si="29"/>
        <v>0</v>
      </c>
      <c r="X135" s="269">
        <f t="shared" si="29"/>
        <v>0</v>
      </c>
      <c r="Y135" s="269">
        <f t="shared" si="29"/>
        <v>0</v>
      </c>
      <c r="AQ135" s="88"/>
    </row>
    <row r="136" spans="2:43" x14ac:dyDescent="0.25">
      <c r="F136" s="14" t="s">
        <v>167</v>
      </c>
      <c r="G136" s="14" t="s">
        <v>170</v>
      </c>
      <c r="J136" s="257">
        <f t="shared" ref="J136:Y136" si="30">J129 + J134 + J135</f>
        <v>0</v>
      </c>
      <c r="K136" s="257">
        <f t="shared" si="30"/>
        <v>0</v>
      </c>
      <c r="L136" s="257">
        <f t="shared" si="30"/>
        <v>0</v>
      </c>
      <c r="M136" s="257">
        <f t="shared" si="30"/>
        <v>0</v>
      </c>
      <c r="N136" s="257">
        <f t="shared" si="30"/>
        <v>77717.466956376549</v>
      </c>
      <c r="O136" s="257">
        <f t="shared" si="30"/>
        <v>94760.038507324745</v>
      </c>
      <c r="P136" s="257">
        <f t="shared" si="30"/>
        <v>113751.92085692298</v>
      </c>
      <c r="Q136" s="257">
        <f t="shared" si="30"/>
        <v>0</v>
      </c>
      <c r="R136" s="257">
        <f t="shared" si="30"/>
        <v>0</v>
      </c>
      <c r="S136" s="257">
        <f t="shared" si="30"/>
        <v>0</v>
      </c>
      <c r="T136" s="257">
        <f t="shared" si="30"/>
        <v>4493.7803000000004</v>
      </c>
      <c r="U136" s="257">
        <f t="shared" si="30"/>
        <v>0</v>
      </c>
      <c r="V136" s="257">
        <f t="shared" si="30"/>
        <v>186</v>
      </c>
      <c r="W136" s="257">
        <f t="shared" si="30"/>
        <v>0</v>
      </c>
      <c r="X136" s="257">
        <f t="shared" si="30"/>
        <v>6792</v>
      </c>
      <c r="Y136" s="257">
        <f t="shared" si="30"/>
        <v>0</v>
      </c>
      <c r="AQ136" s="88"/>
    </row>
    <row r="137" spans="2:43" x14ac:dyDescent="0.25">
      <c r="D137" s="96"/>
      <c r="AQ137" s="88"/>
    </row>
    <row r="138" spans="2:43" x14ac:dyDescent="0.25">
      <c r="B138" s="95" t="s">
        <v>109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Q138" s="95"/>
    </row>
    <row r="140" spans="2:43" x14ac:dyDescent="0.25">
      <c r="E140" s="295" t="s">
        <v>516</v>
      </c>
      <c r="G140" s="122" t="s">
        <v>692</v>
      </c>
      <c r="H140" s="152">
        <f t="array" ref="H140">SUM(IF(ISERROR(H22:Y137), 1))</f>
        <v>0</v>
      </c>
    </row>
    <row r="142" spans="2:43" x14ac:dyDescent="0.25">
      <c r="B142" s="95" t="s">
        <v>110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Q142" s="95"/>
    </row>
  </sheetData>
  <sheetProtection sheet="1" objects="1" formatCells="0" formatColumns="0" formatRows="0" sort="0" autoFilter="0"/>
  <conditionalFormatting sqref="H140">
    <cfRule type="cellIs" dxfId="165" priority="10" operator="greaterThan">
      <formula>0</formula>
    </cfRule>
  </conditionalFormatting>
  <conditionalFormatting sqref="A4:I4 Z4:XFD4">
    <cfRule type="expression" dxfId="164" priority="9">
      <formula>LEFT($A$4,1) &lt;&gt; "0"</formula>
    </cfRule>
  </conditionalFormatting>
  <conditionalFormatting sqref="N4:P4">
    <cfRule type="expression" dxfId="163" priority="8">
      <formula>LEFT($A$4,1) &lt;&gt; "0"</formula>
    </cfRule>
  </conditionalFormatting>
  <conditionalFormatting sqref="L4:M4">
    <cfRule type="expression" dxfId="162" priority="7">
      <formula>LEFT($A$4,1) &lt;&gt; "0"</formula>
    </cfRule>
  </conditionalFormatting>
  <conditionalFormatting sqref="J4:K4">
    <cfRule type="expression" dxfId="161" priority="6">
      <formula>LEFT($A$4,1) &lt;&gt; "0"</formula>
    </cfRule>
  </conditionalFormatting>
  <conditionalFormatting sqref="Q4">
    <cfRule type="expression" dxfId="160" priority="5">
      <formula>LEFT($A$4,1) &lt;&gt; "0"</formula>
    </cfRule>
  </conditionalFormatting>
  <conditionalFormatting sqref="R4:S4">
    <cfRule type="expression" dxfId="159" priority="4">
      <formula>LEFT($A$4,1) &lt;&gt; "0"</formula>
    </cfRule>
  </conditionalFormatting>
  <conditionalFormatting sqref="T4:U4">
    <cfRule type="expression" dxfId="158" priority="3">
      <formula>LEFT($A$4,1) &lt;&gt; "0"</formula>
    </cfRule>
  </conditionalFormatting>
  <conditionalFormatting sqref="V4:W4">
    <cfRule type="expression" dxfId="157" priority="2">
      <formula>LEFT($A$4,1) &lt;&gt; "0"</formula>
    </cfRule>
  </conditionalFormatting>
  <conditionalFormatting sqref="X4:Y4">
    <cfRule type="expression" dxfId="156" priority="1">
      <formula>LEFT($A$4,1) &lt;&gt; "0"</formula>
    </cfRule>
  </conditionalFormatting>
  <hyperlinks>
    <hyperlink ref="B5:F5" location="'Model map'!A1" display="Click here to return to model map" xr:uid="{00000000-0004-0000-14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theme="4" tint="0.59999389629810485"/>
    <pageSetUpPr fitToPage="1"/>
  </sheetPr>
  <dimension ref="A1:KQ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03" width="24.5703125" style="295" hidden="1" customWidth="1"/>
    <col min="304" max="16384" width="8.85546875" style="295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372" t="s">
        <v>91</v>
      </c>
      <c r="H5" s="387" t="s">
        <v>92</v>
      </c>
      <c r="I5" s="111"/>
      <c r="J5" s="387" t="s">
        <v>1038</v>
      </c>
      <c r="K5" s="387" t="s">
        <v>1039</v>
      </c>
      <c r="L5" s="387" t="s">
        <v>1040</v>
      </c>
      <c r="M5" s="387" t="s">
        <v>1041</v>
      </c>
      <c r="N5" s="387" t="s">
        <v>1042</v>
      </c>
      <c r="O5" s="387" t="s">
        <v>1043</v>
      </c>
      <c r="P5" s="387" t="s">
        <v>1044</v>
      </c>
      <c r="Q5" s="387" t="s">
        <v>1045</v>
      </c>
      <c r="R5" s="387" t="s">
        <v>1046</v>
      </c>
      <c r="S5" s="387" t="s">
        <v>1047</v>
      </c>
      <c r="T5" s="387" t="s">
        <v>1048</v>
      </c>
      <c r="U5" s="387" t="s">
        <v>1049</v>
      </c>
      <c r="V5" s="387" t="s">
        <v>1050</v>
      </c>
      <c r="W5" s="387" t="s">
        <v>1051</v>
      </c>
      <c r="X5" s="387" t="s">
        <v>1052</v>
      </c>
      <c r="Y5" s="387" t="s">
        <v>1053</v>
      </c>
      <c r="AA5" s="372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1118</v>
      </c>
    </row>
    <row r="10" spans="1:27" x14ac:dyDescent="0.25">
      <c r="C10" s="82" t="s">
        <v>871</v>
      </c>
    </row>
    <row r="11" spans="1:27" x14ac:dyDescent="0.25">
      <c r="C11" s="82" t="s">
        <v>872</v>
      </c>
    </row>
    <row r="13" spans="1:27" x14ac:dyDescent="0.25">
      <c r="B13" s="95" t="s">
        <v>868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1058</v>
      </c>
      <c r="I15" s="295" t="s">
        <v>431</v>
      </c>
      <c r="AA15" s="295" t="s">
        <v>1059</v>
      </c>
    </row>
    <row r="16" spans="1:27" x14ac:dyDescent="0.25">
      <c r="C16" s="82" t="s">
        <v>873</v>
      </c>
    </row>
    <row r="18" spans="3:27" x14ac:dyDescent="0.25">
      <c r="C18" s="7" t="str">
        <f ca="1">INDEX('Version control'!$H$34:$H$58,MATCH($A$1,'Version control'!$F$34:$F$58,0),1)&amp;"-A: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52" t="s">
        <v>302</v>
      </c>
      <c r="F20" s="14"/>
      <c r="G20" s="14" t="s">
        <v>271</v>
      </c>
      <c r="J20" s="401" t="b">
        <f>'Fixed inputs'!J127</f>
        <v>0</v>
      </c>
      <c r="K20" s="401" t="b">
        <f>'Fixed inputs'!K127</f>
        <v>0</v>
      </c>
      <c r="L20" s="401" t="b">
        <f>'Fixed inputs'!L127</f>
        <v>0</v>
      </c>
      <c r="M20" s="401" t="b">
        <f>'Fixed inputs'!M127</f>
        <v>0</v>
      </c>
      <c r="N20" s="401" t="b">
        <f>'Fixed inputs'!N127</f>
        <v>0</v>
      </c>
      <c r="O20" s="401" t="b">
        <f>'Fixed inputs'!O127</f>
        <v>0</v>
      </c>
      <c r="P20" s="401" t="b">
        <f>'Fixed inputs'!P127</f>
        <v>0</v>
      </c>
      <c r="Q20" s="401" t="b">
        <f>'Fixed inputs'!Q127</f>
        <v>1</v>
      </c>
      <c r="R20" s="401" t="b">
        <f>'Fixed inputs'!R127</f>
        <v>0</v>
      </c>
      <c r="S20" s="401" t="b">
        <f>'Fixed inputs'!S127</f>
        <v>0</v>
      </c>
      <c r="T20" s="401" t="b">
        <f>'Fixed inputs'!T127</f>
        <v>0</v>
      </c>
      <c r="U20" s="401" t="b">
        <f>'Fixed inputs'!U127</f>
        <v>0</v>
      </c>
      <c r="V20" s="401" t="b">
        <f>'Fixed inputs'!V127</f>
        <v>0</v>
      </c>
      <c r="W20" s="401" t="b">
        <f>'Fixed inputs'!W127</f>
        <v>0</v>
      </c>
      <c r="X20" s="401" t="b">
        <f>'Fixed inputs'!X127</f>
        <v>0</v>
      </c>
      <c r="Y20" s="401" t="b">
        <f>'Fixed inputs'!Y127</f>
        <v>0</v>
      </c>
    </row>
    <row r="22" spans="3:27" x14ac:dyDescent="0.25">
      <c r="E22" s="96" t="s">
        <v>297</v>
      </c>
      <c r="I22" s="295" t="s">
        <v>431</v>
      </c>
      <c r="AA22" s="295" t="s">
        <v>822</v>
      </c>
    </row>
    <row r="23" spans="3:27" x14ac:dyDescent="0.25">
      <c r="E23" s="82" t="s">
        <v>412</v>
      </c>
      <c r="F23" s="82"/>
    </row>
    <row r="24" spans="3:27" x14ac:dyDescent="0.25">
      <c r="F24" s="16" t="s">
        <v>300</v>
      </c>
      <c r="G24" s="16" t="s">
        <v>267</v>
      </c>
      <c r="H24" s="104"/>
      <c r="I24" s="104"/>
      <c r="J24" s="273">
        <f>IF(J$20, 'General inputs'!$H19, 'General inputs'!$H24)</f>
        <v>783</v>
      </c>
      <c r="K24" s="273">
        <f>IF(K$20, 'General inputs'!$H19, 'General inputs'!$H24)</f>
        <v>783</v>
      </c>
      <c r="L24" s="273">
        <f>IF(L$20, 'General inputs'!$H19, 'General inputs'!$H24)</f>
        <v>783</v>
      </c>
      <c r="M24" s="273">
        <f>IF(M$20, 'General inputs'!$H19, 'General inputs'!$H24)</f>
        <v>783</v>
      </c>
      <c r="N24" s="273">
        <f>IF(N$20, 'General inputs'!$H19, 'General inputs'!$H24)</f>
        <v>783</v>
      </c>
      <c r="O24" s="273">
        <f>IF(O$20, 'General inputs'!$H19, 'General inputs'!$H24)</f>
        <v>783</v>
      </c>
      <c r="P24" s="273">
        <f>IF(P$20, 'General inputs'!$H19, 'General inputs'!$H24)</f>
        <v>783</v>
      </c>
      <c r="Q24" s="273">
        <f>IF(Q$20, 'General inputs'!$H19, 'General inputs'!$H24)</f>
        <v>258</v>
      </c>
      <c r="R24" s="273">
        <f>IF(R$20, 'General inputs'!$H19, 'General inputs'!$H24)</f>
        <v>783</v>
      </c>
      <c r="S24" s="273">
        <f>IF(S$20, 'General inputs'!$H19, 'General inputs'!$H24)</f>
        <v>783</v>
      </c>
      <c r="T24" s="273">
        <f>IF(T$20, 'General inputs'!$H19, 'General inputs'!$H24)</f>
        <v>783</v>
      </c>
      <c r="U24" s="273">
        <f>IF(U$20, 'General inputs'!$H19, 'General inputs'!$H24)</f>
        <v>783</v>
      </c>
      <c r="V24" s="273">
        <f>IF(V$20, 'General inputs'!$H19, 'General inputs'!$H24)</f>
        <v>783</v>
      </c>
      <c r="W24" s="273">
        <f>IF(W$20, 'General inputs'!$H19, 'General inputs'!$H24)</f>
        <v>783</v>
      </c>
      <c r="X24" s="273">
        <f>IF(X$20, 'General inputs'!$H19, 'General inputs'!$H24)</f>
        <v>783</v>
      </c>
      <c r="Y24" s="273">
        <f>IF(Y$20, 'General inputs'!$H19, 'General inputs'!$H24)</f>
        <v>783</v>
      </c>
    </row>
    <row r="25" spans="3:27" x14ac:dyDescent="0.25">
      <c r="F25" s="14" t="s">
        <v>301</v>
      </c>
      <c r="G25" s="295" t="s">
        <v>267</v>
      </c>
      <c r="H25" s="397"/>
      <c r="I25" s="397"/>
      <c r="J25" s="274">
        <f>IF(J$20, 'General inputs'!$H20, 'General inputs'!$H25)</f>
        <v>3417.5</v>
      </c>
      <c r="K25" s="274">
        <f>IF(K$20, 'General inputs'!$H20, 'General inputs'!$H25)</f>
        <v>3417.5</v>
      </c>
      <c r="L25" s="274">
        <f>IF(L$20, 'General inputs'!$H20, 'General inputs'!$H25)</f>
        <v>3417.5</v>
      </c>
      <c r="M25" s="274">
        <f>IF(M$20, 'General inputs'!$H20, 'General inputs'!$H25)</f>
        <v>3417.5</v>
      </c>
      <c r="N25" s="274">
        <f>IF(N$20, 'General inputs'!$H20, 'General inputs'!$H25)</f>
        <v>3417.5</v>
      </c>
      <c r="O25" s="274">
        <f>IF(O$20, 'General inputs'!$H20, 'General inputs'!$H25)</f>
        <v>3417.5</v>
      </c>
      <c r="P25" s="274">
        <f>IF(P$20, 'General inputs'!$H20, 'General inputs'!$H25)</f>
        <v>3417.5</v>
      </c>
      <c r="Q25" s="274">
        <f>IF(Q$20, 'General inputs'!$H20, 'General inputs'!$H25)</f>
        <v>3942.5</v>
      </c>
      <c r="R25" s="274">
        <f>IF(R$20, 'General inputs'!$H20, 'General inputs'!$H25)</f>
        <v>3417.5</v>
      </c>
      <c r="S25" s="274">
        <f>IF(S$20, 'General inputs'!$H20, 'General inputs'!$H25)</f>
        <v>3417.5</v>
      </c>
      <c r="T25" s="274">
        <f>IF(T$20, 'General inputs'!$H20, 'General inputs'!$H25)</f>
        <v>3417.5</v>
      </c>
      <c r="U25" s="274">
        <f>IF(U$20, 'General inputs'!$H20, 'General inputs'!$H25)</f>
        <v>3417.5</v>
      </c>
      <c r="V25" s="274">
        <f>IF(V$20, 'General inputs'!$H20, 'General inputs'!$H25)</f>
        <v>3417.5</v>
      </c>
      <c r="W25" s="274">
        <f>IF(W$20, 'General inputs'!$H20, 'General inputs'!$H25)</f>
        <v>3417.5</v>
      </c>
      <c r="X25" s="274">
        <f>IF(X$20, 'General inputs'!$H20, 'General inputs'!$H25)</f>
        <v>3417.5</v>
      </c>
      <c r="Y25" s="274">
        <f>IF(Y$20, 'General inputs'!$H20, 'General inputs'!$H25)</f>
        <v>3417.5</v>
      </c>
    </row>
    <row r="26" spans="3:27" x14ac:dyDescent="0.25">
      <c r="F26" s="15" t="s">
        <v>86</v>
      </c>
      <c r="G26" s="93" t="s">
        <v>267</v>
      </c>
      <c r="H26" s="105"/>
      <c r="I26" s="105"/>
      <c r="J26" s="275">
        <f>IF(J$20, 'General inputs'!$H21, 'General inputs'!$H26)</f>
        <v>4559.5</v>
      </c>
      <c r="K26" s="275">
        <f>IF(K$20, 'General inputs'!$H21, 'General inputs'!$H26)</f>
        <v>4559.5</v>
      </c>
      <c r="L26" s="275">
        <f>IF(L$20, 'General inputs'!$H21, 'General inputs'!$H26)</f>
        <v>4559.5</v>
      </c>
      <c r="M26" s="275">
        <f>IF(M$20, 'General inputs'!$H21, 'General inputs'!$H26)</f>
        <v>4559.5</v>
      </c>
      <c r="N26" s="275">
        <f>IF(N$20, 'General inputs'!$H21, 'General inputs'!$H26)</f>
        <v>4559.5</v>
      </c>
      <c r="O26" s="275">
        <f>IF(O$20, 'General inputs'!$H21, 'General inputs'!$H26)</f>
        <v>4559.5</v>
      </c>
      <c r="P26" s="275">
        <f>IF(P$20, 'General inputs'!$H21, 'General inputs'!$H26)</f>
        <v>4559.5</v>
      </c>
      <c r="Q26" s="275">
        <f>IF(Q$20, 'General inputs'!$H21, 'General inputs'!$H26)</f>
        <v>4559.5</v>
      </c>
      <c r="R26" s="275">
        <f>IF(R$20, 'General inputs'!$H21, 'General inputs'!$H26)</f>
        <v>4559.5</v>
      </c>
      <c r="S26" s="275">
        <f>IF(S$20, 'General inputs'!$H21, 'General inputs'!$H26)</f>
        <v>4559.5</v>
      </c>
      <c r="T26" s="275">
        <f>IF(T$20, 'General inputs'!$H21, 'General inputs'!$H26)</f>
        <v>4559.5</v>
      </c>
      <c r="U26" s="275">
        <f>IF(U$20, 'General inputs'!$H21, 'General inputs'!$H26)</f>
        <v>4559.5</v>
      </c>
      <c r="V26" s="275">
        <f>IF(V$20, 'General inputs'!$H21, 'General inputs'!$H26)</f>
        <v>4559.5</v>
      </c>
      <c r="W26" s="275">
        <f>IF(W$20, 'General inputs'!$H21, 'General inputs'!$H26)</f>
        <v>4559.5</v>
      </c>
      <c r="X26" s="275">
        <f>IF(X$20, 'General inputs'!$H21, 'General inputs'!$H26)</f>
        <v>4559.5</v>
      </c>
      <c r="Y26" s="275">
        <f>IF(Y$20, 'General inputs'!$H21, 'General inputs'!$H26)</f>
        <v>4559.5</v>
      </c>
    </row>
    <row r="27" spans="3:27" x14ac:dyDescent="0.25"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25">
      <c r="C28" s="7" t="str">
        <f ca="1">INDEX('Version control'!$H$34:$H$58,MATCH($A$1,'Version control'!$F$34:$F$58,0),1)&amp;"-B: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E30" s="96" t="s">
        <v>298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25">
      <c r="F31" s="16" t="s">
        <v>134</v>
      </c>
      <c r="G31" s="16" t="s">
        <v>120</v>
      </c>
      <c r="H31" s="91"/>
      <c r="I31" s="91"/>
      <c r="J31" s="273">
        <f>'Volume adjustments'!J66</f>
        <v>573814.17421643168</v>
      </c>
      <c r="K31" s="273">
        <f>'Volume adjustments'!K66</f>
        <v>45.600324459247773</v>
      </c>
      <c r="L31" s="273">
        <f>'Volume adjustments'!L66</f>
        <v>148781.2098893536</v>
      </c>
      <c r="M31" s="273">
        <f>'Volume adjustments'!M66</f>
        <v>6.8595464743105259</v>
      </c>
      <c r="N31" s="273">
        <f>'Volume adjustments'!N66</f>
        <v>95617.94849470428</v>
      </c>
      <c r="O31" s="273">
        <f>'Volume adjustments'!O66</f>
        <v>106673.66070506461</v>
      </c>
      <c r="P31" s="273">
        <f>'Volume adjustments'!P66</f>
        <v>162898.35653630731</v>
      </c>
      <c r="Q31" s="273">
        <f>'Volume adjustments'!Q66</f>
        <v>7077.8325343149572</v>
      </c>
      <c r="R31" s="273">
        <f>'Volume adjustments'!R66</f>
        <v>104.47429331694744</v>
      </c>
      <c r="S31" s="273">
        <f>'Volume adjustments'!S66</f>
        <v>35.771932311779992</v>
      </c>
      <c r="T31" s="273">
        <f>'Volume adjustments'!T66</f>
        <v>4936.5787099056533</v>
      </c>
      <c r="U31" s="273">
        <f>'Volume adjustments'!U66</f>
        <v>0</v>
      </c>
      <c r="V31" s="273">
        <f>'Volume adjustments'!V66</f>
        <v>1421.8434887434785</v>
      </c>
      <c r="W31" s="273">
        <f>'Volume adjustments'!W66</f>
        <v>0</v>
      </c>
      <c r="X31" s="273">
        <f>'Volume adjustments'!X66</f>
        <v>42821.256435874217</v>
      </c>
      <c r="Y31" s="273">
        <f>'Volume adjustments'!Y66</f>
        <v>0</v>
      </c>
    </row>
    <row r="32" spans="3:27" x14ac:dyDescent="0.25">
      <c r="F32" s="14" t="s">
        <v>135</v>
      </c>
      <c r="G32" s="14" t="s">
        <v>120</v>
      </c>
      <c r="J32" s="274">
        <f>'Volume adjustments'!J77</f>
        <v>2032897.465349766</v>
      </c>
      <c r="K32" s="274">
        <f>'Volume adjustments'!K77</f>
        <v>769.70150120030291</v>
      </c>
      <c r="L32" s="274">
        <f>'Volume adjustments'!L77</f>
        <v>782231.85870864138</v>
      </c>
      <c r="M32" s="274">
        <f>'Volume adjustments'!M77</f>
        <v>363.68083419264593</v>
      </c>
      <c r="N32" s="274">
        <f>'Volume adjustments'!N77</f>
        <v>440583.40936039714</v>
      </c>
      <c r="O32" s="274">
        <f>'Volume adjustments'!O77</f>
        <v>527517.78645919671</v>
      </c>
      <c r="P32" s="274">
        <f>'Volume adjustments'!P77</f>
        <v>771451.8848590561</v>
      </c>
      <c r="Q32" s="274">
        <f>'Volume adjustments'!Q77</f>
        <v>52057.195142690813</v>
      </c>
      <c r="R32" s="274">
        <f>'Volume adjustments'!R77</f>
        <v>509.89423910109542</v>
      </c>
      <c r="S32" s="274">
        <f>'Volume adjustments'!S77</f>
        <v>160.58959252319966</v>
      </c>
      <c r="T32" s="274">
        <f>'Volume adjustments'!T77</f>
        <v>23805.598357778857</v>
      </c>
      <c r="U32" s="274">
        <f>'Volume adjustments'!U77</f>
        <v>0</v>
      </c>
      <c r="V32" s="274">
        <f>'Volume adjustments'!V77</f>
        <v>6382.5471914560349</v>
      </c>
      <c r="W32" s="274">
        <f>'Volume adjustments'!W77</f>
        <v>0</v>
      </c>
      <c r="X32" s="274">
        <f>'Volume adjustments'!X77</f>
        <v>169444.19263568314</v>
      </c>
      <c r="Y32" s="274">
        <f>'Volume adjustments'!Y77</f>
        <v>0</v>
      </c>
    </row>
    <row r="33" spans="3:27" x14ac:dyDescent="0.25">
      <c r="F33" s="14" t="s">
        <v>136</v>
      </c>
      <c r="G33" s="14" t="s">
        <v>120</v>
      </c>
      <c r="J33" s="274">
        <f>'Volume adjustments'!J88</f>
        <v>1913856.5179535351</v>
      </c>
      <c r="K33" s="274">
        <f>'Volume adjustments'!K88</f>
        <v>10340.203230515768</v>
      </c>
      <c r="L33" s="274">
        <f>'Volume adjustments'!L88</f>
        <v>758082.32727500715</v>
      </c>
      <c r="M33" s="274">
        <f>'Volume adjustments'!M88</f>
        <v>4425.6666229911798</v>
      </c>
      <c r="N33" s="274">
        <f>'Volume adjustments'!N88</f>
        <v>437213.19005230034</v>
      </c>
      <c r="O33" s="274">
        <f>'Volume adjustments'!O88</f>
        <v>579730.47523967049</v>
      </c>
      <c r="P33" s="274">
        <f>'Volume adjustments'!P88</f>
        <v>955588.00166465633</v>
      </c>
      <c r="Q33" s="274">
        <f>'Volume adjustments'!Q88</f>
        <v>96091.827056640832</v>
      </c>
      <c r="R33" s="274">
        <f>'Volume adjustments'!R88</f>
        <v>534.48350594468047</v>
      </c>
      <c r="S33" s="274">
        <f>'Volume adjustments'!S88</f>
        <v>201.06201955341325</v>
      </c>
      <c r="T33" s="274">
        <f>'Volume adjustments'!T88</f>
        <v>27627.12669629819</v>
      </c>
      <c r="U33" s="274">
        <f>'Volume adjustments'!U88</f>
        <v>0</v>
      </c>
      <c r="V33" s="274">
        <f>'Volume adjustments'!V88</f>
        <v>7999.8037931113131</v>
      </c>
      <c r="W33" s="274">
        <f>'Volume adjustments'!W88</f>
        <v>0</v>
      </c>
      <c r="X33" s="274">
        <f>'Volume adjustments'!X88</f>
        <v>178082.97709073228</v>
      </c>
      <c r="Y33" s="274">
        <f>'Volume adjustments'!Y88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1">
        <f t="shared" ref="J34:Y34" si="0">SUM(J31:J33)</f>
        <v>4520568.1575197326</v>
      </c>
      <c r="K34" s="271">
        <f t="shared" si="0"/>
        <v>11155.50505617532</v>
      </c>
      <c r="L34" s="271">
        <f t="shared" si="0"/>
        <v>1689095.3958730022</v>
      </c>
      <c r="M34" s="271">
        <f t="shared" si="0"/>
        <v>4796.2070036581363</v>
      </c>
      <c r="N34" s="271">
        <f t="shared" si="0"/>
        <v>973414.54790740181</v>
      </c>
      <c r="O34" s="271">
        <f t="shared" si="0"/>
        <v>1213921.9224039319</v>
      </c>
      <c r="P34" s="271">
        <f t="shared" si="0"/>
        <v>1889938.2430600198</v>
      </c>
      <c r="Q34" s="271">
        <f t="shared" si="0"/>
        <v>155226.85473364661</v>
      </c>
      <c r="R34" s="271">
        <f t="shared" si="0"/>
        <v>1148.8520383627233</v>
      </c>
      <c r="S34" s="271">
        <f t="shared" si="0"/>
        <v>397.42354438839288</v>
      </c>
      <c r="T34" s="271">
        <f t="shared" si="0"/>
        <v>56369.303763982702</v>
      </c>
      <c r="U34" s="271">
        <f t="shared" si="0"/>
        <v>0</v>
      </c>
      <c r="V34" s="271">
        <f t="shared" si="0"/>
        <v>15804.194473310827</v>
      </c>
      <c r="W34" s="271">
        <f t="shared" si="0"/>
        <v>0</v>
      </c>
      <c r="X34" s="271">
        <f t="shared" si="0"/>
        <v>390348.42616228963</v>
      </c>
      <c r="Y34" s="271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control'!$H$34:$H$58,MATCH($A$1,'Version control'!$F$34:$F$58,0),1)&amp;"-C: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7"/>
      <c r="AA36" s="7"/>
    </row>
    <row r="37" spans="3:27" x14ac:dyDescent="0.25"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7" x14ac:dyDescent="0.25">
      <c r="E38" s="14" t="s">
        <v>1057</v>
      </c>
      <c r="F38" s="14"/>
      <c r="G38" s="14" t="s">
        <v>527</v>
      </c>
      <c r="I38" s="295" t="s">
        <v>431</v>
      </c>
      <c r="J38" s="398">
        <f>'Fixed inputs'!J149</f>
        <v>1</v>
      </c>
      <c r="K38" s="398">
        <f>'Fixed inputs'!K149</f>
        <v>1</v>
      </c>
      <c r="L38" s="398">
        <f>'Fixed inputs'!L149</f>
        <v>2</v>
      </c>
      <c r="M38" s="398">
        <f>'Fixed inputs'!M149</f>
        <v>2</v>
      </c>
      <c r="N38" s="399"/>
      <c r="O38" s="399"/>
      <c r="P38" s="399"/>
      <c r="Q38" s="399"/>
      <c r="R38" s="399"/>
      <c r="S38" s="399"/>
      <c r="T38" s="399"/>
      <c r="U38" s="399"/>
      <c r="V38" s="399"/>
      <c r="W38" s="399"/>
      <c r="X38" s="399"/>
      <c r="Y38" s="399"/>
      <c r="AA38" s="295" t="s">
        <v>1060</v>
      </c>
    </row>
    <row r="39" spans="3:27" x14ac:dyDescent="0.25"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</row>
    <row r="40" spans="3:27" x14ac:dyDescent="0.25">
      <c r="E40" s="96" t="s">
        <v>1061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  <c r="U40" s="253"/>
      <c r="V40" s="253"/>
      <c r="W40" s="253"/>
      <c r="X40" s="253"/>
      <c r="Y40" s="253"/>
    </row>
    <row r="41" spans="3:27" x14ac:dyDescent="0.25">
      <c r="E41" s="82" t="s">
        <v>412</v>
      </c>
    </row>
    <row r="42" spans="3:27" x14ac:dyDescent="0.25">
      <c r="F42" s="16" t="s">
        <v>300</v>
      </c>
      <c r="G42" s="16" t="s">
        <v>94</v>
      </c>
      <c r="H42" s="91"/>
      <c r="I42" s="91"/>
      <c r="J42" s="180">
        <f t="shared" ref="J42:M44" si="1">SUMIF($J$38:$Y$38, J$38, $J31:$Y31) / SUMIF($J$38:$Y$38, J$38, $J$34:$Y$34)</f>
        <v>0.1266316786435957</v>
      </c>
      <c r="K42" s="180">
        <f t="shared" si="1"/>
        <v>0.1266316786435957</v>
      </c>
      <c r="L42" s="180">
        <f t="shared" si="1"/>
        <v>8.7838011111896278E-2</v>
      </c>
      <c r="M42" s="180">
        <f t="shared" si="1"/>
        <v>8.7838011111896278E-2</v>
      </c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301</v>
      </c>
      <c r="G43" s="14" t="s">
        <v>94</v>
      </c>
      <c r="J43" s="395">
        <f t="shared" si="1"/>
        <v>0.44876239556385383</v>
      </c>
      <c r="K43" s="395">
        <f t="shared" si="1"/>
        <v>0.44876239556385383</v>
      </c>
      <c r="L43" s="395">
        <f t="shared" si="1"/>
        <v>0.4620104015001828</v>
      </c>
      <c r="M43" s="395">
        <f t="shared" si="1"/>
        <v>0.4620104015001828</v>
      </c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0.42460592579255046</v>
      </c>
      <c r="K44" s="181">
        <f t="shared" si="1"/>
        <v>0.42460592579255046</v>
      </c>
      <c r="L44" s="181">
        <f t="shared" si="1"/>
        <v>0.45015158738792088</v>
      </c>
      <c r="M44" s="181">
        <f t="shared" si="1"/>
        <v>0.45015158738792088</v>
      </c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</row>
    <row r="46" spans="3:27" x14ac:dyDescent="0.25">
      <c r="E46" s="96" t="s">
        <v>1062</v>
      </c>
      <c r="F46" s="14"/>
      <c r="G46" s="14"/>
    </row>
    <row r="47" spans="3:27" x14ac:dyDescent="0.25">
      <c r="E47" s="82" t="s">
        <v>412</v>
      </c>
    </row>
    <row r="48" spans="3:27" x14ac:dyDescent="0.25">
      <c r="F48" s="16" t="s">
        <v>300</v>
      </c>
      <c r="G48" s="16" t="s">
        <v>94</v>
      </c>
      <c r="H48" s="91"/>
      <c r="I48" s="91"/>
      <c r="J48" s="180">
        <f>IF(ISNUMBER(J$38), J42, IF(J$34 = 0, 0, J31 / J$34))</f>
        <v>0.1266316786435957</v>
      </c>
      <c r="K48" s="180">
        <f t="shared" ref="K48:Y48" si="2">IF(ISNUMBER(K$38), K42, IF(K$34 = 0, 0, K31 / K$34))</f>
        <v>0.1266316786435957</v>
      </c>
      <c r="L48" s="180">
        <f t="shared" si="2"/>
        <v>8.7838011111896278E-2</v>
      </c>
      <c r="M48" s="180">
        <f t="shared" si="2"/>
        <v>8.7838011111896278E-2</v>
      </c>
      <c r="N48" s="180">
        <f t="shared" si="2"/>
        <v>9.8229422089755075E-2</v>
      </c>
      <c r="O48" s="180">
        <f t="shared" si="2"/>
        <v>8.7875223880806569E-2</v>
      </c>
      <c r="P48" s="180">
        <f t="shared" si="2"/>
        <v>8.6192423024657558E-2</v>
      </c>
      <c r="Q48" s="180">
        <f t="shared" si="2"/>
        <v>4.5596701334055842E-2</v>
      </c>
      <c r="R48" s="180">
        <f t="shared" si="2"/>
        <v>9.0937988381722415E-2</v>
      </c>
      <c r="S48" s="180">
        <f t="shared" si="2"/>
        <v>9.0009595095405084E-2</v>
      </c>
      <c r="T48" s="180">
        <f t="shared" si="2"/>
        <v>8.7575655193028873E-2</v>
      </c>
      <c r="U48" s="180">
        <f t="shared" si="2"/>
        <v>0</v>
      </c>
      <c r="V48" s="180">
        <f t="shared" si="2"/>
        <v>8.9966210624945309E-2</v>
      </c>
      <c r="W48" s="180">
        <f t="shared" si="2"/>
        <v>0</v>
      </c>
      <c r="X48" s="180">
        <f t="shared" si="2"/>
        <v>0.10970008732165613</v>
      </c>
      <c r="Y48" s="180">
        <f t="shared" si="2"/>
        <v>0</v>
      </c>
    </row>
    <row r="49" spans="2:27" x14ac:dyDescent="0.25">
      <c r="F49" s="14" t="s">
        <v>301</v>
      </c>
      <c r="G49" s="14" t="s">
        <v>94</v>
      </c>
      <c r="J49" s="395">
        <f t="shared" ref="J49:Y50" si="3">IF(ISNUMBER(J$38), J43, IF(J$34 = 0, 0, J32 / J$34))</f>
        <v>0.44876239556385383</v>
      </c>
      <c r="K49" s="395">
        <f t="shared" si="3"/>
        <v>0.44876239556385383</v>
      </c>
      <c r="L49" s="395">
        <f t="shared" si="3"/>
        <v>0.4620104015001828</v>
      </c>
      <c r="M49" s="395">
        <f t="shared" si="3"/>
        <v>0.4620104015001828</v>
      </c>
      <c r="N49" s="395">
        <f t="shared" si="3"/>
        <v>0.45261642155188808</v>
      </c>
      <c r="O49" s="395">
        <f t="shared" si="3"/>
        <v>0.43455660263104257</v>
      </c>
      <c r="P49" s="395">
        <f t="shared" si="3"/>
        <v>0.40818893828508906</v>
      </c>
      <c r="Q49" s="395">
        <f t="shared" si="3"/>
        <v>0.33536204306925904</v>
      </c>
      <c r="R49" s="395">
        <f t="shared" si="3"/>
        <v>0.44382933752528031</v>
      </c>
      <c r="S49" s="395">
        <f t="shared" si="3"/>
        <v>0.40407669548198466</v>
      </c>
      <c r="T49" s="395">
        <f t="shared" si="3"/>
        <v>0.42231492617777372</v>
      </c>
      <c r="U49" s="395">
        <f t="shared" si="3"/>
        <v>0</v>
      </c>
      <c r="V49" s="395">
        <f t="shared" si="3"/>
        <v>0.40385147134417365</v>
      </c>
      <c r="W49" s="395">
        <f t="shared" si="3"/>
        <v>0</v>
      </c>
      <c r="X49" s="395">
        <f t="shared" si="3"/>
        <v>0.43408447755656054</v>
      </c>
      <c r="Y49" s="395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0.42460592579255046</v>
      </c>
      <c r="K50" s="181">
        <f t="shared" si="3"/>
        <v>0.42460592579255046</v>
      </c>
      <c r="L50" s="181">
        <f t="shared" si="3"/>
        <v>0.45015158738792088</v>
      </c>
      <c r="M50" s="181">
        <f t="shared" si="3"/>
        <v>0.45015158738792088</v>
      </c>
      <c r="N50" s="181">
        <f t="shared" si="3"/>
        <v>0.44915415635835682</v>
      </c>
      <c r="O50" s="181">
        <f t="shared" si="3"/>
        <v>0.47756817348815084</v>
      </c>
      <c r="P50" s="181">
        <f t="shared" si="3"/>
        <v>0.50561863869025336</v>
      </c>
      <c r="Q50" s="181">
        <f t="shared" si="3"/>
        <v>0.61904125559668499</v>
      </c>
      <c r="R50" s="181">
        <f t="shared" si="3"/>
        <v>0.46523267409299729</v>
      </c>
      <c r="S50" s="181">
        <f t="shared" si="3"/>
        <v>0.50591370942261027</v>
      </c>
      <c r="T50" s="181">
        <f t="shared" si="3"/>
        <v>0.49010941862919738</v>
      </c>
      <c r="U50" s="181">
        <f t="shared" si="3"/>
        <v>0</v>
      </c>
      <c r="V50" s="181">
        <f t="shared" si="3"/>
        <v>0.50618231803088098</v>
      </c>
      <c r="W50" s="181">
        <f t="shared" si="3"/>
        <v>0</v>
      </c>
      <c r="X50" s="181">
        <f t="shared" si="3"/>
        <v>0.45621543512178336</v>
      </c>
      <c r="Y50" s="181">
        <f t="shared" si="3"/>
        <v>0</v>
      </c>
    </row>
    <row r="52" spans="2:27" x14ac:dyDescent="0.25">
      <c r="C52" s="7" t="str">
        <f ca="1">INDEX('Version control'!$H$34:$H$58,MATCH($A$1,'Version control'!$F$34:$F$58,0),1)&amp;"-D: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5" t="s">
        <v>269</v>
      </c>
      <c r="G54" s="295" t="s">
        <v>528</v>
      </c>
      <c r="H54" s="253"/>
      <c r="I54" s="253"/>
      <c r="J54" s="253">
        <f t="shared" ref="J54:Y54" si="4">J48 * hours_in_year / J24</f>
        <v>1.4167222285030632</v>
      </c>
      <c r="K54" s="253">
        <f t="shared" si="4"/>
        <v>1.4167222285030632</v>
      </c>
      <c r="L54" s="253">
        <f t="shared" si="4"/>
        <v>0.98270878332083189</v>
      </c>
      <c r="M54" s="253">
        <f t="shared" si="4"/>
        <v>0.98270878332083189</v>
      </c>
      <c r="N54" s="253">
        <f t="shared" si="4"/>
        <v>1.098965182000325</v>
      </c>
      <c r="O54" s="253">
        <f t="shared" si="4"/>
        <v>0.9831251100841194</v>
      </c>
      <c r="P54" s="253">
        <f t="shared" si="4"/>
        <v>0.96429837253639872</v>
      </c>
      <c r="Q54" s="253">
        <f t="shared" si="4"/>
        <v>1.5481670685516635</v>
      </c>
      <c r="R54" s="253">
        <f t="shared" si="4"/>
        <v>1.0173905213587335</v>
      </c>
      <c r="S54" s="253">
        <f t="shared" si="4"/>
        <v>1.0070038991516583</v>
      </c>
      <c r="T54" s="253">
        <f t="shared" si="4"/>
        <v>0.97977361365380966</v>
      </c>
      <c r="U54" s="253">
        <f t="shared" si="4"/>
        <v>0</v>
      </c>
      <c r="V54" s="253">
        <f t="shared" si="4"/>
        <v>1.0065185249993882</v>
      </c>
      <c r="W54" s="253">
        <f t="shared" si="4"/>
        <v>0</v>
      </c>
      <c r="X54" s="253">
        <f t="shared" si="4"/>
        <v>1.2272959960890266</v>
      </c>
      <c r="Y54" s="253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943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927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control'!$H$34:$H$58,MATCH($A$1,'Version control'!$F$34:$F$58,0),1)&amp;"-E: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0.46500000000000002</v>
      </c>
      <c r="K62" s="143">
        <f>'Inputs by customer type'!K18</f>
        <v>0.10066666666666667</v>
      </c>
      <c r="L62" s="143">
        <f>'Inputs by customer type'!L18</f>
        <v>0.44500000000000001</v>
      </c>
      <c r="M62" s="143">
        <f>'Inputs by customer type'!M18</f>
        <v>0.16600000000000001</v>
      </c>
      <c r="N62" s="143">
        <f>'Inputs by customer type'!N18</f>
        <v>0.56933333333333336</v>
      </c>
      <c r="O62" s="143">
        <f>'Inputs by customer type'!O18</f>
        <v>0.60566666666666669</v>
      </c>
      <c r="P62" s="143">
        <f>'Inputs by customer type'!P18</f>
        <v>0.7426666666666667</v>
      </c>
      <c r="Q62" s="143">
        <f>'Inputs by customer type'!Q18</f>
        <v>0.46933333333333332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0.87133333333333329</v>
      </c>
      <c r="K63" s="143">
        <f>'Inputs by customer type'!K19</f>
        <v>0</v>
      </c>
      <c r="L63" s="143">
        <f>'Inputs by customer type'!L19</f>
        <v>0.71866666666666668</v>
      </c>
      <c r="M63" s="143">
        <f>'Inputs by customer type'!M19</f>
        <v>0</v>
      </c>
      <c r="N63" s="143">
        <f>'Inputs by customer type'!N19</f>
        <v>0.83300000000000007</v>
      </c>
      <c r="O63" s="143">
        <f>'Inputs by customer type'!O19</f>
        <v>0.77066666666666672</v>
      </c>
      <c r="P63" s="143">
        <f>'Inputs by customer type'!P19</f>
        <v>0.84399999999999997</v>
      </c>
      <c r="Q63" s="143">
        <f>'Inputs by customer type'!Q19</f>
        <v>0.84666666666666668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control'!$H$34:$H$58,MATCH($A$1,'Version control'!$F$34:$F$58,0),1)&amp;"-F: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303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395</v>
      </c>
      <c r="F69" s="14"/>
      <c r="G69" s="14" t="s">
        <v>102</v>
      </c>
      <c r="J69" s="253">
        <f>J34 / hours_in_year</f>
        <v>516.04659332417043</v>
      </c>
      <c r="K69" s="253">
        <f>K34 / hours_in_year</f>
        <v>1.2734594812985525</v>
      </c>
      <c r="L69" s="253">
        <f>L34 / hours_in_year</f>
        <v>192.81910911792264</v>
      </c>
      <c r="M69" s="253">
        <f>M34 / hours_in_year</f>
        <v>0.54751221502946756</v>
      </c>
      <c r="N69" s="399"/>
      <c r="O69" s="399"/>
      <c r="P69" s="399"/>
      <c r="Q69" s="399"/>
      <c r="R69" s="399"/>
      <c r="S69" s="399"/>
      <c r="T69" s="399"/>
      <c r="U69" s="399"/>
      <c r="V69" s="399"/>
      <c r="W69" s="399"/>
      <c r="X69" s="399"/>
      <c r="Y69" s="399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304</v>
      </c>
      <c r="F71" s="14"/>
      <c r="G71" s="14" t="s">
        <v>102</v>
      </c>
      <c r="J71" s="253">
        <f>IF(J62 = 0, 0, J34 / (J62 * hours_in_year))</f>
        <v>1109.7776200519793</v>
      </c>
      <c r="K71" s="253">
        <f>IF(K62 = 0, 0, K34 / (K62 * hours_in_year))</f>
        <v>12.650259747998865</v>
      </c>
      <c r="L71" s="253">
        <f>IF(L62 = 0, 0, L34 / (L62 * hours_in_year))</f>
        <v>433.30136880432048</v>
      </c>
      <c r="M71" s="253">
        <f>IF(M62 = 0, 0, M34 / (M62 * hours_in_year))</f>
        <v>3.2982663555992024</v>
      </c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394</v>
      </c>
      <c r="F73" s="14"/>
      <c r="G73" s="14" t="s">
        <v>102</v>
      </c>
      <c r="J73" s="253">
        <f>J71 * J63</f>
        <v>966.98623293862454</v>
      </c>
      <c r="K73" s="253">
        <f t="shared" ref="K73:M73" si="5">K71 * K63</f>
        <v>0</v>
      </c>
      <c r="L73" s="253">
        <f t="shared" si="5"/>
        <v>311.39925038070498</v>
      </c>
      <c r="M73" s="253">
        <f t="shared" si="5"/>
        <v>0</v>
      </c>
      <c r="N73" s="399"/>
      <c r="O73" s="399"/>
      <c r="P73" s="399"/>
      <c r="Q73" s="399"/>
      <c r="R73" s="399"/>
      <c r="S73" s="399"/>
      <c r="T73" s="399"/>
      <c r="U73" s="399"/>
      <c r="V73" s="399"/>
      <c r="W73" s="399"/>
      <c r="X73" s="399"/>
      <c r="Y73" s="399"/>
    </row>
    <row r="74" spans="3:27" x14ac:dyDescent="0.25">
      <c r="D74" s="96"/>
      <c r="E74" s="14"/>
      <c r="F74" s="14"/>
      <c r="G74" s="14"/>
    </row>
    <row r="75" spans="3:27" x14ac:dyDescent="0.25">
      <c r="D75" s="96" t="s">
        <v>1063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5">
        <f>SUMIF($J$38:$Y$38, J$38, $J$69:$Y$69) / SUMIF($J$38:$Y$38, J$38, $J$71:$Y$71)</f>
        <v>0.46089380183398315</v>
      </c>
      <c r="K77" s="395">
        <f t="shared" ref="K77:M77" si="6">SUMIF($J$38:$Y$38, K$38, $J$69:$Y$69) / SUMIF($J$38:$Y$38, K$38, $J$71:$Y$71)</f>
        <v>0.46089380183398315</v>
      </c>
      <c r="L77" s="395">
        <f t="shared" si="6"/>
        <v>0.44289231085162245</v>
      </c>
      <c r="M77" s="395">
        <f t="shared" si="6"/>
        <v>0.44289231085162245</v>
      </c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5">
        <f>SUMIF($J$38:$Y$38, J$38, $J$73:$Y$73) / SUMIF($J$38:$Y$38, J$38, $J$71:$Y$71)</f>
        <v>0.86151302042759836</v>
      </c>
      <c r="K79" s="395">
        <f t="shared" ref="K79:M79" si="7">SUMIF($J$38:$Y$38, K$38, $J$73:$Y$73) / SUMIF($J$38:$Y$38, K$38, $J$71:$Y$71)</f>
        <v>0.86151302042759836</v>
      </c>
      <c r="L79" s="395">
        <f t="shared" si="7"/>
        <v>0.71323754145292462</v>
      </c>
      <c r="M79" s="395">
        <f t="shared" si="7"/>
        <v>0.71323754145292462</v>
      </c>
      <c r="N79" s="399"/>
      <c r="O79" s="399"/>
      <c r="P79" s="399"/>
      <c r="Q79" s="399"/>
      <c r="R79" s="399"/>
      <c r="S79" s="399"/>
      <c r="T79" s="399"/>
      <c r="U79" s="399"/>
      <c r="V79" s="399"/>
      <c r="W79" s="399"/>
      <c r="X79" s="399"/>
      <c r="Y79" s="399"/>
    </row>
    <row r="80" spans="3:27" x14ac:dyDescent="0.25">
      <c r="D80" s="96"/>
      <c r="E80" s="14"/>
      <c r="F80" s="14"/>
      <c r="G80" s="14"/>
    </row>
    <row r="81" spans="2:27" x14ac:dyDescent="0.25">
      <c r="D81" s="96" t="s">
        <v>1064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5">
        <f>IF(J$38 = 0, J62, J77)</f>
        <v>0.46089380183398315</v>
      </c>
      <c r="K83" s="395">
        <f t="shared" ref="K83:Y83" si="8">IF(K$38 = 0, K62, K77)</f>
        <v>0.46089380183398315</v>
      </c>
      <c r="L83" s="395">
        <f t="shared" si="8"/>
        <v>0.44289231085162245</v>
      </c>
      <c r="M83" s="395">
        <f t="shared" si="8"/>
        <v>0.44289231085162245</v>
      </c>
      <c r="N83" s="395">
        <f t="shared" si="8"/>
        <v>0.56933333333333336</v>
      </c>
      <c r="O83" s="395">
        <f t="shared" si="8"/>
        <v>0.60566666666666669</v>
      </c>
      <c r="P83" s="395">
        <f t="shared" si="8"/>
        <v>0.7426666666666667</v>
      </c>
      <c r="Q83" s="395">
        <f t="shared" si="8"/>
        <v>0.46933333333333332</v>
      </c>
      <c r="R83" s="395">
        <f t="shared" si="8"/>
        <v>0</v>
      </c>
      <c r="S83" s="395">
        <f t="shared" si="8"/>
        <v>0</v>
      </c>
      <c r="T83" s="395">
        <f t="shared" si="8"/>
        <v>0</v>
      </c>
      <c r="U83" s="395">
        <f t="shared" si="8"/>
        <v>0</v>
      </c>
      <c r="V83" s="395">
        <f t="shared" si="8"/>
        <v>0</v>
      </c>
      <c r="W83" s="395">
        <f t="shared" si="8"/>
        <v>0</v>
      </c>
      <c r="X83" s="395">
        <f t="shared" si="8"/>
        <v>0</v>
      </c>
      <c r="Y83" s="395">
        <f t="shared" si="8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5">
        <f>IF(J38 = 0, J63, J79)</f>
        <v>0.86151302042759836</v>
      </c>
      <c r="K85" s="395">
        <f t="shared" ref="K85:Y85" si="9">IF(K38 = 0, K63, K79)</f>
        <v>0.86151302042759836</v>
      </c>
      <c r="L85" s="395">
        <f t="shared" si="9"/>
        <v>0.71323754145292462</v>
      </c>
      <c r="M85" s="395">
        <f t="shared" si="9"/>
        <v>0.71323754145292462</v>
      </c>
      <c r="N85" s="395">
        <f t="shared" si="9"/>
        <v>0.83300000000000007</v>
      </c>
      <c r="O85" s="395">
        <f t="shared" si="9"/>
        <v>0.77066666666666672</v>
      </c>
      <c r="P85" s="395">
        <f t="shared" si="9"/>
        <v>0.84399999999999997</v>
      </c>
      <c r="Q85" s="395">
        <f t="shared" si="9"/>
        <v>0.84666666666666668</v>
      </c>
      <c r="R85" s="395">
        <f t="shared" si="9"/>
        <v>0</v>
      </c>
      <c r="S85" s="395">
        <f t="shared" si="9"/>
        <v>0</v>
      </c>
      <c r="T85" s="395">
        <f t="shared" si="9"/>
        <v>0</v>
      </c>
      <c r="U85" s="395">
        <f t="shared" si="9"/>
        <v>0</v>
      </c>
      <c r="V85" s="395">
        <f t="shared" si="9"/>
        <v>0</v>
      </c>
      <c r="W85" s="395">
        <f t="shared" si="9"/>
        <v>0</v>
      </c>
      <c r="X85" s="395">
        <f t="shared" si="9"/>
        <v>0</v>
      </c>
      <c r="Y85" s="395">
        <f t="shared" si="9"/>
        <v>0</v>
      </c>
    </row>
    <row r="87" spans="2:27" x14ac:dyDescent="0.25">
      <c r="C87" s="7" t="str">
        <f ca="1">INDEX('Version control'!$H$34:$H$58,MATCH($A$1,'Version control'!$F$34:$F$58,0),1)&amp;"-G: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528</v>
      </c>
      <c r="J89" s="253">
        <f t="shared" ref="J89:Y89" si="10">IF(AND(J62 = 0, J63 = 0), 1, J63 / J62)</f>
        <v>1.8738351254480285</v>
      </c>
      <c r="K89" s="253">
        <f t="shared" si="10"/>
        <v>0</v>
      </c>
      <c r="L89" s="253">
        <f t="shared" si="10"/>
        <v>1.6149812734082396</v>
      </c>
      <c r="M89" s="253">
        <f t="shared" si="10"/>
        <v>0</v>
      </c>
      <c r="N89" s="253">
        <f t="shared" si="10"/>
        <v>1.4631147540983607</v>
      </c>
      <c r="O89" s="253">
        <f t="shared" si="10"/>
        <v>1.2724270776004403</v>
      </c>
      <c r="P89" s="253">
        <f t="shared" si="10"/>
        <v>1.1364452423698383</v>
      </c>
      <c r="Q89" s="253">
        <f t="shared" si="10"/>
        <v>1.8039772727272727</v>
      </c>
      <c r="R89" s="253">
        <f t="shared" si="10"/>
        <v>1</v>
      </c>
      <c r="S89" s="253">
        <f t="shared" si="10"/>
        <v>1</v>
      </c>
      <c r="T89" s="253">
        <f t="shared" si="10"/>
        <v>1</v>
      </c>
      <c r="U89" s="253">
        <f t="shared" si="10"/>
        <v>1</v>
      </c>
      <c r="V89" s="253">
        <f t="shared" si="10"/>
        <v>1</v>
      </c>
      <c r="W89" s="253">
        <f t="shared" si="10"/>
        <v>1</v>
      </c>
      <c r="X89" s="253">
        <f t="shared" si="10"/>
        <v>1</v>
      </c>
      <c r="Y89" s="253">
        <f t="shared" si="10"/>
        <v>1</v>
      </c>
    </row>
    <row r="90" spans="2:27" x14ac:dyDescent="0.25">
      <c r="D90" s="96"/>
      <c r="J90" s="274"/>
      <c r="K90" s="274"/>
      <c r="L90" s="274"/>
      <c r="M90" s="274"/>
      <c r="N90" s="274"/>
      <c r="O90" s="274"/>
      <c r="P90" s="274"/>
      <c r="Q90" s="274"/>
      <c r="R90" s="274"/>
      <c r="S90" s="274"/>
      <c r="T90" s="274"/>
      <c r="U90" s="274"/>
      <c r="V90" s="274"/>
      <c r="W90" s="274"/>
      <c r="X90" s="274"/>
      <c r="Y90" s="274"/>
    </row>
    <row r="91" spans="2:27" x14ac:dyDescent="0.25">
      <c r="E91" s="14" t="s">
        <v>1065</v>
      </c>
      <c r="G91" s="14" t="s">
        <v>528</v>
      </c>
      <c r="I91" s="295" t="s">
        <v>431</v>
      </c>
      <c r="J91" s="253">
        <f>IF(AND(J83 = 0, J85 = 0), 1, J85 / J83)</f>
        <v>1.8692224043792214</v>
      </c>
      <c r="K91" s="253">
        <f t="shared" ref="K91:Y91" si="11">IF(AND(K83 = 0, K85 = 0), 1, K85 / K83)</f>
        <v>1.8692224043792214</v>
      </c>
      <c r="L91" s="253">
        <f t="shared" si="11"/>
        <v>1.6104084988097098</v>
      </c>
      <c r="M91" s="253">
        <f t="shared" si="11"/>
        <v>1.6104084988097098</v>
      </c>
      <c r="N91" s="253">
        <f t="shared" si="11"/>
        <v>1.4631147540983607</v>
      </c>
      <c r="O91" s="253">
        <f t="shared" si="11"/>
        <v>1.2724270776004403</v>
      </c>
      <c r="P91" s="253">
        <f t="shared" si="11"/>
        <v>1.1364452423698383</v>
      </c>
      <c r="Q91" s="253">
        <f t="shared" si="11"/>
        <v>1.8039772727272727</v>
      </c>
      <c r="R91" s="253">
        <f t="shared" si="11"/>
        <v>1</v>
      </c>
      <c r="S91" s="253">
        <f t="shared" si="11"/>
        <v>1</v>
      </c>
      <c r="T91" s="253">
        <f t="shared" si="11"/>
        <v>1</v>
      </c>
      <c r="U91" s="253">
        <f t="shared" si="11"/>
        <v>1</v>
      </c>
      <c r="V91" s="253">
        <f t="shared" si="11"/>
        <v>1</v>
      </c>
      <c r="W91" s="253">
        <f t="shared" si="11"/>
        <v>1</v>
      </c>
      <c r="X91" s="253">
        <f t="shared" si="11"/>
        <v>1</v>
      </c>
      <c r="Y91" s="253">
        <f t="shared" si="11"/>
        <v>1</v>
      </c>
      <c r="Z91" s="253"/>
      <c r="AA91" s="295" t="s">
        <v>1060</v>
      </c>
    </row>
    <row r="92" spans="2:27" x14ac:dyDescent="0.25">
      <c r="D92" s="96"/>
      <c r="J92" s="274"/>
      <c r="K92" s="274"/>
      <c r="L92" s="274"/>
      <c r="M92" s="274"/>
      <c r="N92" s="274"/>
      <c r="O92" s="274"/>
      <c r="P92" s="274"/>
      <c r="Q92" s="274"/>
      <c r="R92" s="274"/>
      <c r="S92" s="274"/>
      <c r="T92" s="274"/>
      <c r="U92" s="274"/>
      <c r="V92" s="274"/>
      <c r="W92" s="274"/>
      <c r="X92" s="274"/>
      <c r="Y92" s="274"/>
    </row>
    <row r="93" spans="2:27" x14ac:dyDescent="0.25">
      <c r="E93" s="14" t="s">
        <v>696</v>
      </c>
      <c r="G93" s="14" t="s">
        <v>528</v>
      </c>
      <c r="I93" s="295" t="s">
        <v>431</v>
      </c>
      <c r="J93" s="253">
        <f>IF(OR(J54 = 0, J85 = 0), 1, J91 / J54)</f>
        <v>1.3193993619725151</v>
      </c>
      <c r="K93" s="253">
        <f t="shared" ref="K93:Y93" si="12">IF(OR(K54 = 0, K85 = 0), 1, K91 / K54)</f>
        <v>1.3193993619725151</v>
      </c>
      <c r="L93" s="253">
        <f t="shared" si="12"/>
        <v>1.638744383018248</v>
      </c>
      <c r="M93" s="253">
        <f t="shared" si="12"/>
        <v>1.638744383018248</v>
      </c>
      <c r="N93" s="253">
        <f t="shared" si="12"/>
        <v>1.33135678733262</v>
      </c>
      <c r="O93" s="253">
        <f t="shared" si="12"/>
        <v>1.2942677026035549</v>
      </c>
      <c r="P93" s="253">
        <f t="shared" si="12"/>
        <v>1.1785203363774646</v>
      </c>
      <c r="Q93" s="253">
        <f t="shared" si="12"/>
        <v>1.1652342369063076</v>
      </c>
      <c r="R93" s="253">
        <f t="shared" si="12"/>
        <v>1</v>
      </c>
      <c r="S93" s="253">
        <f t="shared" si="12"/>
        <v>1</v>
      </c>
      <c r="T93" s="253">
        <f t="shared" si="12"/>
        <v>1</v>
      </c>
      <c r="U93" s="253">
        <f t="shared" si="12"/>
        <v>1</v>
      </c>
      <c r="V93" s="253">
        <f t="shared" si="12"/>
        <v>1</v>
      </c>
      <c r="W93" s="253">
        <f t="shared" si="12"/>
        <v>1</v>
      </c>
      <c r="X93" s="253">
        <f t="shared" si="12"/>
        <v>1</v>
      </c>
      <c r="Y93" s="253">
        <f t="shared" si="12"/>
        <v>1</v>
      </c>
      <c r="AA93" s="295" t="s">
        <v>860</v>
      </c>
    </row>
    <row r="94" spans="2:27" x14ac:dyDescent="0.25">
      <c r="F94" s="14"/>
      <c r="G94" s="14"/>
    </row>
    <row r="95" spans="2:27" x14ac:dyDescent="0.25">
      <c r="B95" s="95" t="s">
        <v>906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907</v>
      </c>
      <c r="I97" s="295" t="s">
        <v>431</v>
      </c>
      <c r="AA97" s="295" t="s">
        <v>861</v>
      </c>
    </row>
    <row r="98" spans="3:27" x14ac:dyDescent="0.25">
      <c r="C98" s="82" t="s">
        <v>744</v>
      </c>
    </row>
    <row r="100" spans="3:27" x14ac:dyDescent="0.25">
      <c r="C100" s="7" t="str">
        <f ca="1">INDEX('Version control'!$H$34:$H$58,MATCH($A$1,'Version control'!$F$34:$F$58,0),1)&amp;"-H: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683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0.64059393798428077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0.29893928908515344</v>
      </c>
    </row>
    <row r="105" spans="3:27" x14ac:dyDescent="0.25">
      <c r="F105" s="36" t="s">
        <v>86</v>
      </c>
      <c r="G105" s="15" t="s">
        <v>94</v>
      </c>
      <c r="H105" s="394">
        <f>'Inputs by network level'!K45</f>
        <v>6.0466772930565967E-2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0.43452525848360851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0.50500796858582575</v>
      </c>
    </row>
    <row r="108" spans="3:27" x14ac:dyDescent="0.25">
      <c r="F108" s="36" t="s">
        <v>86</v>
      </c>
      <c r="G108" s="15" t="s">
        <v>94</v>
      </c>
      <c r="H108" s="182">
        <f>H105</f>
        <v>6.0466772930565967E-2</v>
      </c>
    </row>
    <row r="109" spans="3:27" x14ac:dyDescent="0.25">
      <c r="F109" s="82"/>
      <c r="G109" s="14"/>
    </row>
    <row r="110" spans="3:27" x14ac:dyDescent="0.25">
      <c r="E110" s="96" t="s">
        <v>684</v>
      </c>
      <c r="G110" s="14"/>
    </row>
    <row r="111" spans="3:27" x14ac:dyDescent="0.25">
      <c r="F111" s="40" t="s">
        <v>300</v>
      </c>
      <c r="G111" s="16" t="s">
        <v>94</v>
      </c>
      <c r="H111" s="137">
        <f>'Inputs by network level'!L43</f>
        <v>0.64059393798428077</v>
      </c>
    </row>
    <row r="112" spans="3:27" x14ac:dyDescent="0.25">
      <c r="F112" s="109" t="s">
        <v>301</v>
      </c>
      <c r="G112" s="14" t="s">
        <v>94</v>
      </c>
      <c r="H112" s="143">
        <f>'Inputs by network level'!L44</f>
        <v>0.29893928908515344</v>
      </c>
    </row>
    <row r="113" spans="5:8" x14ac:dyDescent="0.25">
      <c r="F113" s="36" t="s">
        <v>86</v>
      </c>
      <c r="G113" s="15" t="s">
        <v>94</v>
      </c>
      <c r="H113" s="394">
        <f>'Inputs by network level'!L45</f>
        <v>6.0466772930565967E-2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0.43452525848360851</v>
      </c>
    </row>
    <row r="115" spans="5:8" x14ac:dyDescent="0.25">
      <c r="F115" s="109" t="s">
        <v>88</v>
      </c>
      <c r="G115" s="14" t="s">
        <v>94</v>
      </c>
      <c r="H115" s="63">
        <f>SUM(H111:H112) - H114</f>
        <v>0.50500796858582575</v>
      </c>
    </row>
    <row r="116" spans="5:8" x14ac:dyDescent="0.25">
      <c r="F116" s="36" t="s">
        <v>86</v>
      </c>
      <c r="G116" s="15" t="s">
        <v>94</v>
      </c>
      <c r="H116" s="182">
        <f>H113</f>
        <v>6.0466772930565967E-2</v>
      </c>
    </row>
    <row r="117" spans="5:8" x14ac:dyDescent="0.25">
      <c r="F117" s="82"/>
      <c r="G117" s="14"/>
    </row>
    <row r="118" spans="5:8" x14ac:dyDescent="0.25">
      <c r="E118" s="96" t="s">
        <v>685</v>
      </c>
      <c r="G118" s="14"/>
    </row>
    <row r="119" spans="5:8" x14ac:dyDescent="0.25">
      <c r="F119" s="40" t="s">
        <v>300</v>
      </c>
      <c r="G119" s="16" t="s">
        <v>94</v>
      </c>
      <c r="H119" s="137">
        <f>'Inputs by network level'!M43</f>
        <v>0.53217910374335931</v>
      </c>
    </row>
    <row r="120" spans="5:8" x14ac:dyDescent="0.25">
      <c r="F120" s="109" t="s">
        <v>301</v>
      </c>
      <c r="G120" s="14" t="s">
        <v>94</v>
      </c>
      <c r="H120" s="143">
        <f>'Inputs by network level'!M44</f>
        <v>0.37365644809946624</v>
      </c>
    </row>
    <row r="121" spans="5:8" x14ac:dyDescent="0.25">
      <c r="F121" s="36" t="s">
        <v>86</v>
      </c>
      <c r="G121" s="15" t="s">
        <v>94</v>
      </c>
      <c r="H121" s="394">
        <f>'Inputs by network level'!M45</f>
        <v>9.4164448157174549E-2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0.27632578480793984</v>
      </c>
    </row>
    <row r="123" spans="5:8" x14ac:dyDescent="0.25">
      <c r="F123" s="109" t="s">
        <v>88</v>
      </c>
      <c r="G123" s="14" t="s">
        <v>94</v>
      </c>
      <c r="H123" s="63">
        <f>SUM(H119:H120) - H122</f>
        <v>0.6295097670348857</v>
      </c>
    </row>
    <row r="124" spans="5:8" x14ac:dyDescent="0.25">
      <c r="F124" s="36" t="s">
        <v>86</v>
      </c>
      <c r="G124" s="15" t="s">
        <v>94</v>
      </c>
      <c r="H124" s="182">
        <f>H121</f>
        <v>9.4164448157174549E-2</v>
      </c>
    </row>
    <row r="125" spans="5:8" x14ac:dyDescent="0.25">
      <c r="F125" s="82"/>
      <c r="G125" s="14"/>
    </row>
    <row r="126" spans="5:8" x14ac:dyDescent="0.25">
      <c r="E126" s="96" t="s">
        <v>686</v>
      </c>
      <c r="G126" s="14"/>
    </row>
    <row r="127" spans="5:8" x14ac:dyDescent="0.25">
      <c r="F127" s="40" t="s">
        <v>300</v>
      </c>
      <c r="G127" s="16" t="s">
        <v>94</v>
      </c>
      <c r="H127" s="137">
        <f>'Inputs by network level'!N43</f>
        <v>0.53217910374335931</v>
      </c>
    </row>
    <row r="128" spans="5:8" x14ac:dyDescent="0.25">
      <c r="F128" s="109" t="s">
        <v>301</v>
      </c>
      <c r="G128" s="14" t="s">
        <v>94</v>
      </c>
      <c r="H128" s="143">
        <f>'Inputs by network level'!N44</f>
        <v>0.37365644809946624</v>
      </c>
    </row>
    <row r="129" spans="5:8" x14ac:dyDescent="0.25">
      <c r="F129" s="36" t="s">
        <v>86</v>
      </c>
      <c r="G129" s="15" t="s">
        <v>94</v>
      </c>
      <c r="H129" s="394">
        <f>'Inputs by network level'!N45</f>
        <v>9.4164448157174549E-2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0.27632578480793984</v>
      </c>
    </row>
    <row r="131" spans="5:8" x14ac:dyDescent="0.25">
      <c r="F131" s="109" t="s">
        <v>88</v>
      </c>
      <c r="G131" s="14" t="s">
        <v>94</v>
      </c>
      <c r="H131" s="63">
        <f>SUM(H127:H128) - H130</f>
        <v>0.6295097670348857</v>
      </c>
    </row>
    <row r="132" spans="5:8" x14ac:dyDescent="0.25">
      <c r="F132" s="36" t="s">
        <v>86</v>
      </c>
      <c r="G132" s="15" t="s">
        <v>94</v>
      </c>
      <c r="H132" s="182">
        <f>H129</f>
        <v>9.4164448157174549E-2</v>
      </c>
    </row>
    <row r="133" spans="5:8" x14ac:dyDescent="0.25">
      <c r="F133" s="82"/>
      <c r="G133" s="14"/>
    </row>
    <row r="134" spans="5:8" x14ac:dyDescent="0.25">
      <c r="E134" s="96" t="s">
        <v>687</v>
      </c>
      <c r="G134" s="14"/>
    </row>
    <row r="135" spans="5:8" x14ac:dyDescent="0.25">
      <c r="F135" s="40" t="s">
        <v>300</v>
      </c>
      <c r="G135" s="16" t="s">
        <v>94</v>
      </c>
      <c r="H135" s="137">
        <f>'Inputs by network level'!O43</f>
        <v>0.47753234715150211</v>
      </c>
    </row>
    <row r="136" spans="5:8" x14ac:dyDescent="0.25">
      <c r="F136" s="109" t="s">
        <v>301</v>
      </c>
      <c r="G136" s="14" t="s">
        <v>94</v>
      </c>
      <c r="H136" s="143">
        <f>'Inputs by network level'!O44</f>
        <v>0.47784500254209555</v>
      </c>
    </row>
    <row r="137" spans="5:8" x14ac:dyDescent="0.25">
      <c r="F137" s="36" t="s">
        <v>86</v>
      </c>
      <c r="G137" s="15" t="s">
        <v>94</v>
      </c>
      <c r="H137" s="394">
        <f>'Inputs by network level'!O45</f>
        <v>4.4622650306402389E-2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0.32769471232252295</v>
      </c>
    </row>
    <row r="139" spans="5:8" x14ac:dyDescent="0.25">
      <c r="F139" s="109" t="s">
        <v>88</v>
      </c>
      <c r="G139" s="14" t="s">
        <v>94</v>
      </c>
      <c r="H139" s="63">
        <f>SUM(H135:H136) - H138</f>
        <v>0.62768263737107466</v>
      </c>
    </row>
    <row r="140" spans="5:8" x14ac:dyDescent="0.25">
      <c r="F140" s="36" t="s">
        <v>86</v>
      </c>
      <c r="G140" s="15" t="s">
        <v>94</v>
      </c>
      <c r="H140" s="182">
        <f>H137</f>
        <v>4.4622650306402389E-2</v>
      </c>
    </row>
    <row r="141" spans="5:8" x14ac:dyDescent="0.25">
      <c r="F141" s="82"/>
      <c r="G141" s="14"/>
    </row>
    <row r="142" spans="5:8" x14ac:dyDescent="0.25">
      <c r="E142" s="96" t="s">
        <v>688</v>
      </c>
      <c r="G142" s="14"/>
    </row>
    <row r="143" spans="5:8" x14ac:dyDescent="0.25">
      <c r="F143" s="40" t="s">
        <v>300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301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94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689</v>
      </c>
      <c r="G150" s="14"/>
    </row>
    <row r="151" spans="5:8" x14ac:dyDescent="0.25">
      <c r="F151" s="40" t="s">
        <v>300</v>
      </c>
      <c r="G151" s="16" t="s">
        <v>94</v>
      </c>
      <c r="H151" s="137">
        <f>'Inputs by network level'!Q43</f>
        <v>0.47753234715150211</v>
      </c>
    </row>
    <row r="152" spans="5:8" x14ac:dyDescent="0.25">
      <c r="F152" s="109" t="s">
        <v>301</v>
      </c>
      <c r="G152" s="14" t="s">
        <v>94</v>
      </c>
      <c r="H152" s="143">
        <f>'Inputs by network level'!Q44</f>
        <v>0.47784500254209555</v>
      </c>
    </row>
    <row r="153" spans="5:8" x14ac:dyDescent="0.25">
      <c r="F153" s="36" t="s">
        <v>86</v>
      </c>
      <c r="G153" s="15" t="s">
        <v>94</v>
      </c>
      <c r="H153" s="394">
        <f>'Inputs by network level'!Q45</f>
        <v>4.4622650306402389E-2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0.32769471232252295</v>
      </c>
    </row>
    <row r="155" spans="5:8" x14ac:dyDescent="0.25">
      <c r="F155" s="109" t="s">
        <v>88</v>
      </c>
      <c r="G155" s="14" t="s">
        <v>94</v>
      </c>
      <c r="H155" s="63">
        <f>SUM(H151:H152) - H154</f>
        <v>0.62768263737107466</v>
      </c>
    </row>
    <row r="156" spans="5:8" x14ac:dyDescent="0.25">
      <c r="F156" s="36" t="s">
        <v>86</v>
      </c>
      <c r="G156" s="15" t="s">
        <v>94</v>
      </c>
      <c r="H156" s="182">
        <f>H153</f>
        <v>4.4622650306402389E-2</v>
      </c>
    </row>
    <row r="157" spans="5:8" x14ac:dyDescent="0.25">
      <c r="F157" s="82"/>
      <c r="G157" s="14"/>
    </row>
    <row r="158" spans="5:8" x14ac:dyDescent="0.25">
      <c r="E158" s="96" t="s">
        <v>690</v>
      </c>
      <c r="G158" s="14"/>
    </row>
    <row r="159" spans="5:8" x14ac:dyDescent="0.25">
      <c r="F159" s="40" t="s">
        <v>300</v>
      </c>
      <c r="G159" s="16" t="s">
        <v>94</v>
      </c>
      <c r="H159" s="137">
        <f>'Inputs by network level'!R43</f>
        <v>0.47753234715150211</v>
      </c>
    </row>
    <row r="160" spans="5:8" x14ac:dyDescent="0.25">
      <c r="F160" s="109" t="s">
        <v>301</v>
      </c>
      <c r="G160" s="14" t="s">
        <v>94</v>
      </c>
      <c r="H160" s="143">
        <f>'Inputs by network level'!R44</f>
        <v>0.47784500254209555</v>
      </c>
    </row>
    <row r="161" spans="3:27" x14ac:dyDescent="0.25">
      <c r="F161" s="36" t="s">
        <v>86</v>
      </c>
      <c r="G161" s="15" t="s">
        <v>94</v>
      </c>
      <c r="H161" s="394">
        <f>'Inputs by network level'!R45</f>
        <v>4.4622650306402389E-2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0.32769471232252295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0.62768263737107466</v>
      </c>
    </row>
    <row r="164" spans="3:27" x14ac:dyDescent="0.25">
      <c r="F164" s="36" t="s">
        <v>86</v>
      </c>
      <c r="G164" s="15" t="s">
        <v>94</v>
      </c>
      <c r="H164" s="182">
        <f>H161</f>
        <v>4.4622650306402389E-2</v>
      </c>
    </row>
    <row r="165" spans="3:27" x14ac:dyDescent="0.25">
      <c r="F165" s="82"/>
      <c r="G165" s="14"/>
    </row>
    <row r="166" spans="3:27" x14ac:dyDescent="0.25">
      <c r="E166" s="96" t="s">
        <v>691</v>
      </c>
      <c r="G166" s="14"/>
    </row>
    <row r="167" spans="3:27" x14ac:dyDescent="0.25">
      <c r="F167" s="40" t="s">
        <v>300</v>
      </c>
      <c r="G167" s="16" t="s">
        <v>94</v>
      </c>
      <c r="H167" s="137">
        <f>'Inputs by network level'!S43</f>
        <v>0.47753234715150211</v>
      </c>
    </row>
    <row r="168" spans="3:27" x14ac:dyDescent="0.25">
      <c r="F168" s="109" t="s">
        <v>301</v>
      </c>
      <c r="G168" s="14" t="s">
        <v>94</v>
      </c>
      <c r="H168" s="143">
        <f>'Inputs by network level'!S44</f>
        <v>0.47784500254209555</v>
      </c>
    </row>
    <row r="169" spans="3:27" x14ac:dyDescent="0.25">
      <c r="F169" s="36" t="s">
        <v>86</v>
      </c>
      <c r="G169" s="15" t="s">
        <v>94</v>
      </c>
      <c r="H169" s="394">
        <f>'Inputs by network level'!S45</f>
        <v>4.4622650306402389E-2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0.32769471232252295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0.62768263737107466</v>
      </c>
    </row>
    <row r="172" spans="3:27" x14ac:dyDescent="0.25">
      <c r="F172" s="36" t="s">
        <v>86</v>
      </c>
      <c r="G172" s="15" t="s">
        <v>94</v>
      </c>
      <c r="H172" s="182">
        <f>H169</f>
        <v>4.4622650306402389E-2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control'!$H$34:$H$58,MATCH($A$1,'Version control'!$F$34:$F$58,0),1)&amp;"-I: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683</v>
      </c>
      <c r="G176" s="14"/>
    </row>
    <row r="177" spans="5:25" x14ac:dyDescent="0.25">
      <c r="E177" s="82"/>
      <c r="F177" s="40" t="s">
        <v>300</v>
      </c>
      <c r="G177" s="16" t="s">
        <v>94</v>
      </c>
      <c r="H177" s="137"/>
      <c r="I177" s="91"/>
      <c r="J177" s="180">
        <f t="shared" ref="J177:Y179" si="13">IF(J$20, $H106, $H103)</f>
        <v>0.64059393798428077</v>
      </c>
      <c r="K177" s="180">
        <f t="shared" si="13"/>
        <v>0.64059393798428077</v>
      </c>
      <c r="L177" s="180">
        <f t="shared" si="13"/>
        <v>0.64059393798428077</v>
      </c>
      <c r="M177" s="180">
        <f t="shared" si="13"/>
        <v>0.64059393798428077</v>
      </c>
      <c r="N177" s="180">
        <f t="shared" si="13"/>
        <v>0.64059393798428077</v>
      </c>
      <c r="O177" s="180">
        <f t="shared" si="13"/>
        <v>0.64059393798428077</v>
      </c>
      <c r="P177" s="180">
        <f t="shared" si="13"/>
        <v>0.64059393798428077</v>
      </c>
      <c r="Q177" s="180">
        <f t="shared" si="13"/>
        <v>0.43452525848360851</v>
      </c>
      <c r="R177" s="180">
        <f t="shared" si="13"/>
        <v>0.64059393798428077</v>
      </c>
      <c r="S177" s="180">
        <f t="shared" si="13"/>
        <v>0.64059393798428077</v>
      </c>
      <c r="T177" s="180">
        <f t="shared" si="13"/>
        <v>0.64059393798428077</v>
      </c>
      <c r="U177" s="180">
        <f t="shared" si="13"/>
        <v>0.64059393798428077</v>
      </c>
      <c r="V177" s="180">
        <f t="shared" si="13"/>
        <v>0.64059393798428077</v>
      </c>
      <c r="W177" s="180">
        <f t="shared" si="13"/>
        <v>0.64059393798428077</v>
      </c>
      <c r="X177" s="180">
        <f t="shared" si="13"/>
        <v>0.64059393798428077</v>
      </c>
      <c r="Y177" s="180">
        <f t="shared" si="13"/>
        <v>0.64059393798428077</v>
      </c>
    </row>
    <row r="178" spans="5:25" x14ac:dyDescent="0.25">
      <c r="E178" s="82"/>
      <c r="F178" s="109" t="s">
        <v>301</v>
      </c>
      <c r="G178" s="14" t="s">
        <v>94</v>
      </c>
      <c r="H178" s="143"/>
      <c r="J178" s="395">
        <f t="shared" si="13"/>
        <v>0.29893928908515344</v>
      </c>
      <c r="K178" s="395">
        <f t="shared" si="13"/>
        <v>0.29893928908515344</v>
      </c>
      <c r="L178" s="395">
        <f t="shared" si="13"/>
        <v>0.29893928908515344</v>
      </c>
      <c r="M178" s="395">
        <f t="shared" si="13"/>
        <v>0.29893928908515344</v>
      </c>
      <c r="N178" s="395">
        <f t="shared" si="13"/>
        <v>0.29893928908515344</v>
      </c>
      <c r="O178" s="395">
        <f t="shared" si="13"/>
        <v>0.29893928908515344</v>
      </c>
      <c r="P178" s="395">
        <f t="shared" si="13"/>
        <v>0.29893928908515344</v>
      </c>
      <c r="Q178" s="395">
        <f t="shared" si="13"/>
        <v>0.50500796858582575</v>
      </c>
      <c r="R178" s="395">
        <f t="shared" si="13"/>
        <v>0.29893928908515344</v>
      </c>
      <c r="S178" s="395">
        <f t="shared" si="13"/>
        <v>0.29893928908515344</v>
      </c>
      <c r="T178" s="395">
        <f t="shared" si="13"/>
        <v>0.29893928908515344</v>
      </c>
      <c r="U178" s="395">
        <f t="shared" si="13"/>
        <v>0.29893928908515344</v>
      </c>
      <c r="V178" s="395">
        <f t="shared" si="13"/>
        <v>0.29893928908515344</v>
      </c>
      <c r="W178" s="395">
        <f t="shared" si="13"/>
        <v>0.29893928908515344</v>
      </c>
      <c r="X178" s="395">
        <f t="shared" si="13"/>
        <v>0.29893928908515344</v>
      </c>
      <c r="Y178" s="395">
        <f t="shared" si="13"/>
        <v>0.29893928908515344</v>
      </c>
    </row>
    <row r="179" spans="5:25" x14ac:dyDescent="0.25">
      <c r="E179" s="82"/>
      <c r="F179" s="36" t="s">
        <v>86</v>
      </c>
      <c r="G179" s="15" t="s">
        <v>94</v>
      </c>
      <c r="H179" s="394"/>
      <c r="I179" s="93"/>
      <c r="J179" s="181">
        <f t="shared" si="13"/>
        <v>6.0466772930565967E-2</v>
      </c>
      <c r="K179" s="181">
        <f t="shared" si="13"/>
        <v>6.0466772930565967E-2</v>
      </c>
      <c r="L179" s="181">
        <f t="shared" si="13"/>
        <v>6.0466772930565967E-2</v>
      </c>
      <c r="M179" s="181">
        <f t="shared" si="13"/>
        <v>6.0466772930565967E-2</v>
      </c>
      <c r="N179" s="181">
        <f t="shared" si="13"/>
        <v>6.0466772930565967E-2</v>
      </c>
      <c r="O179" s="181">
        <f t="shared" si="13"/>
        <v>6.0466772930565967E-2</v>
      </c>
      <c r="P179" s="181">
        <f t="shared" si="13"/>
        <v>6.0466772930565967E-2</v>
      </c>
      <c r="Q179" s="181">
        <f t="shared" si="13"/>
        <v>6.0466772930565967E-2</v>
      </c>
      <c r="R179" s="181">
        <f t="shared" si="13"/>
        <v>6.0466772930565967E-2</v>
      </c>
      <c r="S179" s="181">
        <f t="shared" si="13"/>
        <v>6.0466772930565967E-2</v>
      </c>
      <c r="T179" s="181">
        <f t="shared" si="13"/>
        <v>6.0466772930565967E-2</v>
      </c>
      <c r="U179" s="181">
        <f t="shared" si="13"/>
        <v>6.0466772930565967E-2</v>
      </c>
      <c r="V179" s="181">
        <f t="shared" si="13"/>
        <v>6.0466772930565967E-2</v>
      </c>
      <c r="W179" s="181">
        <f t="shared" si="13"/>
        <v>6.0466772930565967E-2</v>
      </c>
      <c r="X179" s="181">
        <f t="shared" si="13"/>
        <v>6.0466772930565967E-2</v>
      </c>
      <c r="Y179" s="181">
        <f t="shared" si="13"/>
        <v>6.0466772930565967E-2</v>
      </c>
    </row>
    <row r="180" spans="5:25" x14ac:dyDescent="0.25">
      <c r="E180" s="82"/>
      <c r="F180" s="109"/>
      <c r="G180" s="14"/>
      <c r="H180" s="143"/>
      <c r="J180" s="395"/>
      <c r="K180" s="395"/>
      <c r="L180" s="395"/>
      <c r="M180" s="395"/>
      <c r="N180" s="395"/>
      <c r="O180" s="395"/>
      <c r="P180" s="395"/>
      <c r="Q180" s="395"/>
      <c r="R180" s="395"/>
      <c r="S180" s="395"/>
      <c r="T180" s="395"/>
      <c r="U180" s="395"/>
      <c r="V180" s="395"/>
      <c r="W180" s="395"/>
      <c r="X180" s="395"/>
      <c r="Y180" s="395"/>
    </row>
    <row r="181" spans="5:25" x14ac:dyDescent="0.25">
      <c r="E181" s="96" t="s">
        <v>684</v>
      </c>
      <c r="G181" s="14"/>
    </row>
    <row r="182" spans="5:25" x14ac:dyDescent="0.25">
      <c r="E182" s="82"/>
      <c r="F182" s="40" t="s">
        <v>300</v>
      </c>
      <c r="G182" s="16" t="s">
        <v>94</v>
      </c>
      <c r="H182" s="137"/>
      <c r="I182" s="91"/>
      <c r="J182" s="180">
        <f t="shared" ref="J182:Y184" si="14">IF(J$20, $H114, $H111)</f>
        <v>0.64059393798428077</v>
      </c>
      <c r="K182" s="180">
        <f t="shared" si="14"/>
        <v>0.64059393798428077</v>
      </c>
      <c r="L182" s="180">
        <f t="shared" si="14"/>
        <v>0.64059393798428077</v>
      </c>
      <c r="M182" s="180">
        <f t="shared" si="14"/>
        <v>0.64059393798428077</v>
      </c>
      <c r="N182" s="180">
        <f t="shared" si="14"/>
        <v>0.64059393798428077</v>
      </c>
      <c r="O182" s="180">
        <f t="shared" si="14"/>
        <v>0.64059393798428077</v>
      </c>
      <c r="P182" s="180">
        <f t="shared" si="14"/>
        <v>0.64059393798428077</v>
      </c>
      <c r="Q182" s="180">
        <f t="shared" si="14"/>
        <v>0.43452525848360851</v>
      </c>
      <c r="R182" s="180">
        <f t="shared" si="14"/>
        <v>0.64059393798428077</v>
      </c>
      <c r="S182" s="180">
        <f t="shared" si="14"/>
        <v>0.64059393798428077</v>
      </c>
      <c r="T182" s="180">
        <f t="shared" si="14"/>
        <v>0.64059393798428077</v>
      </c>
      <c r="U182" s="180">
        <f t="shared" si="14"/>
        <v>0.64059393798428077</v>
      </c>
      <c r="V182" s="180">
        <f t="shared" si="14"/>
        <v>0.64059393798428077</v>
      </c>
      <c r="W182" s="180">
        <f t="shared" si="14"/>
        <v>0.64059393798428077</v>
      </c>
      <c r="X182" s="180">
        <f t="shared" si="14"/>
        <v>0.64059393798428077</v>
      </c>
      <c r="Y182" s="180">
        <f t="shared" si="14"/>
        <v>0.64059393798428077</v>
      </c>
    </row>
    <row r="183" spans="5:25" x14ac:dyDescent="0.25">
      <c r="E183" s="82"/>
      <c r="F183" s="109" t="s">
        <v>301</v>
      </c>
      <c r="G183" s="14" t="s">
        <v>94</v>
      </c>
      <c r="H183" s="143"/>
      <c r="J183" s="395">
        <f t="shared" si="14"/>
        <v>0.29893928908515344</v>
      </c>
      <c r="K183" s="395">
        <f t="shared" si="14"/>
        <v>0.29893928908515344</v>
      </c>
      <c r="L183" s="395">
        <f t="shared" si="14"/>
        <v>0.29893928908515344</v>
      </c>
      <c r="M183" s="395">
        <f t="shared" si="14"/>
        <v>0.29893928908515344</v>
      </c>
      <c r="N183" s="395">
        <f t="shared" si="14"/>
        <v>0.29893928908515344</v>
      </c>
      <c r="O183" s="395">
        <f t="shared" si="14"/>
        <v>0.29893928908515344</v>
      </c>
      <c r="P183" s="395">
        <f t="shared" si="14"/>
        <v>0.29893928908515344</v>
      </c>
      <c r="Q183" s="395">
        <f t="shared" si="14"/>
        <v>0.50500796858582575</v>
      </c>
      <c r="R183" s="395">
        <f t="shared" si="14"/>
        <v>0.29893928908515344</v>
      </c>
      <c r="S183" s="395">
        <f t="shared" si="14"/>
        <v>0.29893928908515344</v>
      </c>
      <c r="T183" s="395">
        <f t="shared" si="14"/>
        <v>0.29893928908515344</v>
      </c>
      <c r="U183" s="395">
        <f t="shared" si="14"/>
        <v>0.29893928908515344</v>
      </c>
      <c r="V183" s="395">
        <f t="shared" si="14"/>
        <v>0.29893928908515344</v>
      </c>
      <c r="W183" s="395">
        <f t="shared" si="14"/>
        <v>0.29893928908515344</v>
      </c>
      <c r="X183" s="395">
        <f t="shared" si="14"/>
        <v>0.29893928908515344</v>
      </c>
      <c r="Y183" s="395">
        <f t="shared" si="14"/>
        <v>0.29893928908515344</v>
      </c>
    </row>
    <row r="184" spans="5:25" x14ac:dyDescent="0.25">
      <c r="E184" s="82"/>
      <c r="F184" s="36" t="s">
        <v>86</v>
      </c>
      <c r="G184" s="15" t="s">
        <v>94</v>
      </c>
      <c r="H184" s="394"/>
      <c r="I184" s="93"/>
      <c r="J184" s="181">
        <f t="shared" si="14"/>
        <v>6.0466772930565967E-2</v>
      </c>
      <c r="K184" s="181">
        <f t="shared" si="14"/>
        <v>6.0466772930565967E-2</v>
      </c>
      <c r="L184" s="181">
        <f t="shared" si="14"/>
        <v>6.0466772930565967E-2</v>
      </c>
      <c r="M184" s="181">
        <f t="shared" si="14"/>
        <v>6.0466772930565967E-2</v>
      </c>
      <c r="N184" s="181">
        <f t="shared" si="14"/>
        <v>6.0466772930565967E-2</v>
      </c>
      <c r="O184" s="181">
        <f t="shared" si="14"/>
        <v>6.0466772930565967E-2</v>
      </c>
      <c r="P184" s="181">
        <f t="shared" si="14"/>
        <v>6.0466772930565967E-2</v>
      </c>
      <c r="Q184" s="181">
        <f t="shared" si="14"/>
        <v>6.0466772930565967E-2</v>
      </c>
      <c r="R184" s="181">
        <f t="shared" si="14"/>
        <v>6.0466772930565967E-2</v>
      </c>
      <c r="S184" s="181">
        <f t="shared" si="14"/>
        <v>6.0466772930565967E-2</v>
      </c>
      <c r="T184" s="181">
        <f t="shared" si="14"/>
        <v>6.0466772930565967E-2</v>
      </c>
      <c r="U184" s="181">
        <f t="shared" si="14"/>
        <v>6.0466772930565967E-2</v>
      </c>
      <c r="V184" s="181">
        <f t="shared" si="14"/>
        <v>6.0466772930565967E-2</v>
      </c>
      <c r="W184" s="181">
        <f t="shared" si="14"/>
        <v>6.0466772930565967E-2</v>
      </c>
      <c r="X184" s="181">
        <f t="shared" si="14"/>
        <v>6.0466772930565967E-2</v>
      </c>
      <c r="Y184" s="181">
        <f t="shared" si="14"/>
        <v>6.0466772930565967E-2</v>
      </c>
    </row>
    <row r="185" spans="5:25" x14ac:dyDescent="0.25">
      <c r="E185" s="82"/>
      <c r="F185" s="109"/>
      <c r="G185" s="14"/>
      <c r="H185" s="143"/>
      <c r="J185" s="395"/>
      <c r="K185" s="395"/>
      <c r="L185" s="395"/>
      <c r="M185" s="395"/>
      <c r="N185" s="395"/>
      <c r="O185" s="395"/>
      <c r="P185" s="395"/>
      <c r="Q185" s="395"/>
      <c r="R185" s="395"/>
      <c r="S185" s="395"/>
      <c r="T185" s="395"/>
      <c r="U185" s="395"/>
      <c r="V185" s="395"/>
      <c r="W185" s="395"/>
      <c r="X185" s="395"/>
      <c r="Y185" s="395"/>
    </row>
    <row r="186" spans="5:25" x14ac:dyDescent="0.25">
      <c r="E186" s="96" t="s">
        <v>685</v>
      </c>
      <c r="G186" s="14"/>
    </row>
    <row r="187" spans="5:25" x14ac:dyDescent="0.25">
      <c r="E187" s="82"/>
      <c r="F187" s="40" t="s">
        <v>300</v>
      </c>
      <c r="G187" s="16" t="s">
        <v>94</v>
      </c>
      <c r="H187" s="137"/>
      <c r="I187" s="91"/>
      <c r="J187" s="180">
        <f t="shared" ref="J187:Y189" si="15">IF(J$20, $H122, $H119)</f>
        <v>0.53217910374335931</v>
      </c>
      <c r="K187" s="180">
        <f t="shared" si="15"/>
        <v>0.53217910374335931</v>
      </c>
      <c r="L187" s="180">
        <f t="shared" si="15"/>
        <v>0.53217910374335931</v>
      </c>
      <c r="M187" s="180">
        <f t="shared" si="15"/>
        <v>0.53217910374335931</v>
      </c>
      <c r="N187" s="180">
        <f t="shared" si="15"/>
        <v>0.53217910374335931</v>
      </c>
      <c r="O187" s="180">
        <f t="shared" si="15"/>
        <v>0.53217910374335931</v>
      </c>
      <c r="P187" s="180">
        <f t="shared" si="15"/>
        <v>0.53217910374335931</v>
      </c>
      <c r="Q187" s="180">
        <f t="shared" si="15"/>
        <v>0.27632578480793984</v>
      </c>
      <c r="R187" s="180">
        <f t="shared" si="15"/>
        <v>0.53217910374335931</v>
      </c>
      <c r="S187" s="180">
        <f t="shared" si="15"/>
        <v>0.53217910374335931</v>
      </c>
      <c r="T187" s="180">
        <f t="shared" si="15"/>
        <v>0.53217910374335931</v>
      </c>
      <c r="U187" s="180">
        <f t="shared" si="15"/>
        <v>0.53217910374335931</v>
      </c>
      <c r="V187" s="180">
        <f t="shared" si="15"/>
        <v>0.53217910374335931</v>
      </c>
      <c r="W187" s="180">
        <f t="shared" si="15"/>
        <v>0.53217910374335931</v>
      </c>
      <c r="X187" s="180">
        <f t="shared" si="15"/>
        <v>0.53217910374335931</v>
      </c>
      <c r="Y187" s="180">
        <f t="shared" si="15"/>
        <v>0.53217910374335931</v>
      </c>
    </row>
    <row r="188" spans="5:25" x14ac:dyDescent="0.25">
      <c r="E188" s="82"/>
      <c r="F188" s="109" t="s">
        <v>301</v>
      </c>
      <c r="G188" s="14" t="s">
        <v>94</v>
      </c>
      <c r="H188" s="143"/>
      <c r="J188" s="395">
        <f t="shared" si="15"/>
        <v>0.37365644809946624</v>
      </c>
      <c r="K188" s="395">
        <f t="shared" si="15"/>
        <v>0.37365644809946624</v>
      </c>
      <c r="L188" s="395">
        <f t="shared" si="15"/>
        <v>0.37365644809946624</v>
      </c>
      <c r="M188" s="395">
        <f t="shared" si="15"/>
        <v>0.37365644809946624</v>
      </c>
      <c r="N188" s="395">
        <f t="shared" si="15"/>
        <v>0.37365644809946624</v>
      </c>
      <c r="O188" s="395">
        <f t="shared" si="15"/>
        <v>0.37365644809946624</v>
      </c>
      <c r="P188" s="395">
        <f t="shared" si="15"/>
        <v>0.37365644809946624</v>
      </c>
      <c r="Q188" s="395">
        <f t="shared" si="15"/>
        <v>0.6295097670348857</v>
      </c>
      <c r="R188" s="395">
        <f t="shared" si="15"/>
        <v>0.37365644809946624</v>
      </c>
      <c r="S188" s="395">
        <f t="shared" si="15"/>
        <v>0.37365644809946624</v>
      </c>
      <c r="T188" s="395">
        <f t="shared" si="15"/>
        <v>0.37365644809946624</v>
      </c>
      <c r="U188" s="395">
        <f t="shared" si="15"/>
        <v>0.37365644809946624</v>
      </c>
      <c r="V188" s="395">
        <f t="shared" si="15"/>
        <v>0.37365644809946624</v>
      </c>
      <c r="W188" s="395">
        <f t="shared" si="15"/>
        <v>0.37365644809946624</v>
      </c>
      <c r="X188" s="395">
        <f t="shared" si="15"/>
        <v>0.37365644809946624</v>
      </c>
      <c r="Y188" s="395">
        <f t="shared" si="15"/>
        <v>0.37365644809946624</v>
      </c>
    </row>
    <row r="189" spans="5:25" x14ac:dyDescent="0.25">
      <c r="E189" s="82"/>
      <c r="F189" s="36" t="s">
        <v>86</v>
      </c>
      <c r="G189" s="15" t="s">
        <v>94</v>
      </c>
      <c r="H189" s="394"/>
      <c r="I189" s="93"/>
      <c r="J189" s="181">
        <f t="shared" si="15"/>
        <v>9.4164448157174549E-2</v>
      </c>
      <c r="K189" s="181">
        <f t="shared" si="15"/>
        <v>9.4164448157174549E-2</v>
      </c>
      <c r="L189" s="181">
        <f t="shared" si="15"/>
        <v>9.4164448157174549E-2</v>
      </c>
      <c r="M189" s="181">
        <f t="shared" si="15"/>
        <v>9.4164448157174549E-2</v>
      </c>
      <c r="N189" s="181">
        <f t="shared" si="15"/>
        <v>9.4164448157174549E-2</v>
      </c>
      <c r="O189" s="181">
        <f t="shared" si="15"/>
        <v>9.4164448157174549E-2</v>
      </c>
      <c r="P189" s="181">
        <f t="shared" si="15"/>
        <v>9.4164448157174549E-2</v>
      </c>
      <c r="Q189" s="181">
        <f t="shared" si="15"/>
        <v>9.4164448157174549E-2</v>
      </c>
      <c r="R189" s="181">
        <f t="shared" si="15"/>
        <v>9.4164448157174549E-2</v>
      </c>
      <c r="S189" s="181">
        <f t="shared" si="15"/>
        <v>9.4164448157174549E-2</v>
      </c>
      <c r="T189" s="181">
        <f t="shared" si="15"/>
        <v>9.4164448157174549E-2</v>
      </c>
      <c r="U189" s="181">
        <f t="shared" si="15"/>
        <v>9.4164448157174549E-2</v>
      </c>
      <c r="V189" s="181">
        <f t="shared" si="15"/>
        <v>9.4164448157174549E-2</v>
      </c>
      <c r="W189" s="181">
        <f t="shared" si="15"/>
        <v>9.4164448157174549E-2</v>
      </c>
      <c r="X189" s="181">
        <f t="shared" si="15"/>
        <v>9.4164448157174549E-2</v>
      </c>
      <c r="Y189" s="181">
        <f t="shared" si="15"/>
        <v>9.4164448157174549E-2</v>
      </c>
    </row>
    <row r="190" spans="5:25" x14ac:dyDescent="0.25">
      <c r="E190" s="82"/>
      <c r="F190" s="109"/>
      <c r="G190" s="14"/>
      <c r="H190" s="143"/>
      <c r="J190" s="395"/>
      <c r="K190" s="395"/>
      <c r="L190" s="395"/>
      <c r="M190" s="395"/>
      <c r="N190" s="395"/>
      <c r="O190" s="395"/>
      <c r="P190" s="395"/>
      <c r="Q190" s="395"/>
      <c r="R190" s="395"/>
      <c r="S190" s="395"/>
      <c r="T190" s="395"/>
      <c r="U190" s="395"/>
      <c r="V190" s="395"/>
      <c r="W190" s="395"/>
      <c r="X190" s="395"/>
      <c r="Y190" s="395"/>
    </row>
    <row r="191" spans="5:25" x14ac:dyDescent="0.25">
      <c r="E191" s="96" t="s">
        <v>686</v>
      </c>
      <c r="G191" s="14"/>
    </row>
    <row r="192" spans="5:25" x14ac:dyDescent="0.25">
      <c r="E192" s="82"/>
      <c r="F192" s="40" t="s">
        <v>300</v>
      </c>
      <c r="G192" s="16" t="s">
        <v>94</v>
      </c>
      <c r="H192" s="137"/>
      <c r="I192" s="91"/>
      <c r="J192" s="180">
        <f t="shared" ref="J192:Y194" si="16">IF(J$20, $H130, $H127)</f>
        <v>0.53217910374335931</v>
      </c>
      <c r="K192" s="180">
        <f t="shared" si="16"/>
        <v>0.53217910374335931</v>
      </c>
      <c r="L192" s="180">
        <f t="shared" si="16"/>
        <v>0.53217910374335931</v>
      </c>
      <c r="M192" s="180">
        <f t="shared" si="16"/>
        <v>0.53217910374335931</v>
      </c>
      <c r="N192" s="180">
        <f t="shared" si="16"/>
        <v>0.53217910374335931</v>
      </c>
      <c r="O192" s="180">
        <f t="shared" si="16"/>
        <v>0.53217910374335931</v>
      </c>
      <c r="P192" s="180">
        <f t="shared" si="16"/>
        <v>0.53217910374335931</v>
      </c>
      <c r="Q192" s="180">
        <f t="shared" si="16"/>
        <v>0.27632578480793984</v>
      </c>
      <c r="R192" s="180">
        <f t="shared" si="16"/>
        <v>0.53217910374335931</v>
      </c>
      <c r="S192" s="180">
        <f t="shared" si="16"/>
        <v>0.53217910374335931</v>
      </c>
      <c r="T192" s="180">
        <f t="shared" si="16"/>
        <v>0.53217910374335931</v>
      </c>
      <c r="U192" s="180">
        <f t="shared" si="16"/>
        <v>0.53217910374335931</v>
      </c>
      <c r="V192" s="180">
        <f t="shared" si="16"/>
        <v>0.53217910374335931</v>
      </c>
      <c r="W192" s="180">
        <f t="shared" si="16"/>
        <v>0.53217910374335931</v>
      </c>
      <c r="X192" s="180">
        <f t="shared" si="16"/>
        <v>0.53217910374335931</v>
      </c>
      <c r="Y192" s="180">
        <f t="shared" si="16"/>
        <v>0.53217910374335931</v>
      </c>
    </row>
    <row r="193" spans="5:25" x14ac:dyDescent="0.25">
      <c r="E193" s="82"/>
      <c r="F193" s="109" t="s">
        <v>301</v>
      </c>
      <c r="G193" s="14" t="s">
        <v>94</v>
      </c>
      <c r="H193" s="143"/>
      <c r="J193" s="395">
        <f t="shared" si="16"/>
        <v>0.37365644809946624</v>
      </c>
      <c r="K193" s="395">
        <f t="shared" si="16"/>
        <v>0.37365644809946624</v>
      </c>
      <c r="L193" s="395">
        <f t="shared" si="16"/>
        <v>0.37365644809946624</v>
      </c>
      <c r="M193" s="395">
        <f t="shared" si="16"/>
        <v>0.37365644809946624</v>
      </c>
      <c r="N193" s="395">
        <f t="shared" si="16"/>
        <v>0.37365644809946624</v>
      </c>
      <c r="O193" s="395">
        <f t="shared" si="16"/>
        <v>0.37365644809946624</v>
      </c>
      <c r="P193" s="395">
        <f t="shared" si="16"/>
        <v>0.37365644809946624</v>
      </c>
      <c r="Q193" s="395">
        <f t="shared" si="16"/>
        <v>0.6295097670348857</v>
      </c>
      <c r="R193" s="395">
        <f t="shared" si="16"/>
        <v>0.37365644809946624</v>
      </c>
      <c r="S193" s="395">
        <f t="shared" si="16"/>
        <v>0.37365644809946624</v>
      </c>
      <c r="T193" s="395">
        <f t="shared" si="16"/>
        <v>0.37365644809946624</v>
      </c>
      <c r="U193" s="395">
        <f t="shared" si="16"/>
        <v>0.37365644809946624</v>
      </c>
      <c r="V193" s="395">
        <f t="shared" si="16"/>
        <v>0.37365644809946624</v>
      </c>
      <c r="W193" s="395">
        <f t="shared" si="16"/>
        <v>0.37365644809946624</v>
      </c>
      <c r="X193" s="395">
        <f t="shared" si="16"/>
        <v>0.37365644809946624</v>
      </c>
      <c r="Y193" s="395">
        <f t="shared" si="16"/>
        <v>0.37365644809946624</v>
      </c>
    </row>
    <row r="194" spans="5:25" x14ac:dyDescent="0.25">
      <c r="E194" s="82"/>
      <c r="F194" s="36" t="s">
        <v>86</v>
      </c>
      <c r="G194" s="15" t="s">
        <v>94</v>
      </c>
      <c r="H194" s="394"/>
      <c r="I194" s="93"/>
      <c r="J194" s="181">
        <f t="shared" si="16"/>
        <v>9.4164448157174549E-2</v>
      </c>
      <c r="K194" s="181">
        <f t="shared" si="16"/>
        <v>9.4164448157174549E-2</v>
      </c>
      <c r="L194" s="181">
        <f t="shared" si="16"/>
        <v>9.4164448157174549E-2</v>
      </c>
      <c r="M194" s="181">
        <f t="shared" si="16"/>
        <v>9.4164448157174549E-2</v>
      </c>
      <c r="N194" s="181">
        <f t="shared" si="16"/>
        <v>9.4164448157174549E-2</v>
      </c>
      <c r="O194" s="181">
        <f t="shared" si="16"/>
        <v>9.4164448157174549E-2</v>
      </c>
      <c r="P194" s="181">
        <f t="shared" si="16"/>
        <v>9.4164448157174549E-2</v>
      </c>
      <c r="Q194" s="181">
        <f t="shared" si="16"/>
        <v>9.4164448157174549E-2</v>
      </c>
      <c r="R194" s="181">
        <f t="shared" si="16"/>
        <v>9.4164448157174549E-2</v>
      </c>
      <c r="S194" s="181">
        <f t="shared" si="16"/>
        <v>9.4164448157174549E-2</v>
      </c>
      <c r="T194" s="181">
        <f t="shared" si="16"/>
        <v>9.4164448157174549E-2</v>
      </c>
      <c r="U194" s="181">
        <f t="shared" si="16"/>
        <v>9.4164448157174549E-2</v>
      </c>
      <c r="V194" s="181">
        <f t="shared" si="16"/>
        <v>9.4164448157174549E-2</v>
      </c>
      <c r="W194" s="181">
        <f t="shared" si="16"/>
        <v>9.4164448157174549E-2</v>
      </c>
      <c r="X194" s="181">
        <f t="shared" si="16"/>
        <v>9.4164448157174549E-2</v>
      </c>
      <c r="Y194" s="181">
        <f t="shared" si="16"/>
        <v>9.4164448157174549E-2</v>
      </c>
    </row>
    <row r="195" spans="5:25" x14ac:dyDescent="0.25">
      <c r="E195" s="82"/>
      <c r="F195" s="109"/>
      <c r="G195" s="14"/>
      <c r="H195" s="143"/>
      <c r="J195" s="395"/>
      <c r="K195" s="395"/>
      <c r="L195" s="395"/>
      <c r="M195" s="395"/>
      <c r="N195" s="395"/>
      <c r="O195" s="395"/>
      <c r="P195" s="395"/>
      <c r="Q195" s="395"/>
      <c r="R195" s="395"/>
      <c r="S195" s="395"/>
      <c r="T195" s="395"/>
      <c r="U195" s="395"/>
      <c r="V195" s="395"/>
      <c r="W195" s="395"/>
      <c r="X195" s="395"/>
      <c r="Y195" s="395"/>
    </row>
    <row r="196" spans="5:25" x14ac:dyDescent="0.25">
      <c r="E196" s="96" t="s">
        <v>687</v>
      </c>
      <c r="G196" s="14"/>
    </row>
    <row r="197" spans="5:25" x14ac:dyDescent="0.25">
      <c r="E197" s="82"/>
      <c r="F197" s="40" t="s">
        <v>300</v>
      </c>
      <c r="G197" s="16" t="s">
        <v>94</v>
      </c>
      <c r="H197" s="137"/>
      <c r="I197" s="91"/>
      <c r="J197" s="180">
        <f t="shared" ref="J197:Y199" si="17">IF(J$20, $H138, $H135)</f>
        <v>0.47753234715150211</v>
      </c>
      <c r="K197" s="180">
        <f t="shared" si="17"/>
        <v>0.47753234715150211</v>
      </c>
      <c r="L197" s="180">
        <f t="shared" si="17"/>
        <v>0.47753234715150211</v>
      </c>
      <c r="M197" s="180">
        <f t="shared" si="17"/>
        <v>0.47753234715150211</v>
      </c>
      <c r="N197" s="180">
        <f t="shared" si="17"/>
        <v>0.47753234715150211</v>
      </c>
      <c r="O197" s="180">
        <f t="shared" si="17"/>
        <v>0.47753234715150211</v>
      </c>
      <c r="P197" s="180">
        <f t="shared" si="17"/>
        <v>0.47753234715150211</v>
      </c>
      <c r="Q197" s="180">
        <f t="shared" si="17"/>
        <v>0.32769471232252295</v>
      </c>
      <c r="R197" s="180">
        <f t="shared" si="17"/>
        <v>0.47753234715150211</v>
      </c>
      <c r="S197" s="180">
        <f t="shared" si="17"/>
        <v>0.47753234715150211</v>
      </c>
      <c r="T197" s="180">
        <f t="shared" si="17"/>
        <v>0.47753234715150211</v>
      </c>
      <c r="U197" s="180">
        <f t="shared" si="17"/>
        <v>0.47753234715150211</v>
      </c>
      <c r="V197" s="180">
        <f t="shared" si="17"/>
        <v>0.47753234715150211</v>
      </c>
      <c r="W197" s="180">
        <f t="shared" si="17"/>
        <v>0.47753234715150211</v>
      </c>
      <c r="X197" s="180">
        <f t="shared" si="17"/>
        <v>0.47753234715150211</v>
      </c>
      <c r="Y197" s="180">
        <f t="shared" si="17"/>
        <v>0.47753234715150211</v>
      </c>
    </row>
    <row r="198" spans="5:25" x14ac:dyDescent="0.25">
      <c r="E198" s="82"/>
      <c r="F198" s="109" t="s">
        <v>301</v>
      </c>
      <c r="G198" s="14" t="s">
        <v>94</v>
      </c>
      <c r="H198" s="143"/>
      <c r="J198" s="395">
        <f t="shared" si="17"/>
        <v>0.47784500254209555</v>
      </c>
      <c r="K198" s="395">
        <f t="shared" si="17"/>
        <v>0.47784500254209555</v>
      </c>
      <c r="L198" s="395">
        <f t="shared" si="17"/>
        <v>0.47784500254209555</v>
      </c>
      <c r="M198" s="395">
        <f t="shared" si="17"/>
        <v>0.47784500254209555</v>
      </c>
      <c r="N198" s="395">
        <f t="shared" si="17"/>
        <v>0.47784500254209555</v>
      </c>
      <c r="O198" s="395">
        <f t="shared" si="17"/>
        <v>0.47784500254209555</v>
      </c>
      <c r="P198" s="395">
        <f t="shared" si="17"/>
        <v>0.47784500254209555</v>
      </c>
      <c r="Q198" s="395">
        <f t="shared" si="17"/>
        <v>0.62768263737107466</v>
      </c>
      <c r="R198" s="395">
        <f t="shared" si="17"/>
        <v>0.47784500254209555</v>
      </c>
      <c r="S198" s="395">
        <f t="shared" si="17"/>
        <v>0.47784500254209555</v>
      </c>
      <c r="T198" s="395">
        <f t="shared" si="17"/>
        <v>0.47784500254209555</v>
      </c>
      <c r="U198" s="395">
        <f t="shared" si="17"/>
        <v>0.47784500254209555</v>
      </c>
      <c r="V198" s="395">
        <f t="shared" si="17"/>
        <v>0.47784500254209555</v>
      </c>
      <c r="W198" s="395">
        <f t="shared" si="17"/>
        <v>0.47784500254209555</v>
      </c>
      <c r="X198" s="395">
        <f t="shared" si="17"/>
        <v>0.47784500254209555</v>
      </c>
      <c r="Y198" s="395">
        <f t="shared" si="17"/>
        <v>0.47784500254209555</v>
      </c>
    </row>
    <row r="199" spans="5:25" x14ac:dyDescent="0.25">
      <c r="E199" s="82"/>
      <c r="F199" s="36" t="s">
        <v>86</v>
      </c>
      <c r="G199" s="15" t="s">
        <v>94</v>
      </c>
      <c r="H199" s="394"/>
      <c r="I199" s="93"/>
      <c r="J199" s="181">
        <f t="shared" si="17"/>
        <v>4.4622650306402389E-2</v>
      </c>
      <c r="K199" s="181">
        <f t="shared" si="17"/>
        <v>4.4622650306402389E-2</v>
      </c>
      <c r="L199" s="181">
        <f t="shared" si="17"/>
        <v>4.4622650306402389E-2</v>
      </c>
      <c r="M199" s="181">
        <f t="shared" si="17"/>
        <v>4.4622650306402389E-2</v>
      </c>
      <c r="N199" s="181">
        <f t="shared" si="17"/>
        <v>4.4622650306402389E-2</v>
      </c>
      <c r="O199" s="181">
        <f t="shared" si="17"/>
        <v>4.4622650306402389E-2</v>
      </c>
      <c r="P199" s="181">
        <f t="shared" si="17"/>
        <v>4.4622650306402389E-2</v>
      </c>
      <c r="Q199" s="181">
        <f t="shared" si="17"/>
        <v>4.4622650306402389E-2</v>
      </c>
      <c r="R199" s="181">
        <f t="shared" si="17"/>
        <v>4.4622650306402389E-2</v>
      </c>
      <c r="S199" s="181">
        <f t="shared" si="17"/>
        <v>4.4622650306402389E-2</v>
      </c>
      <c r="T199" s="181">
        <f t="shared" si="17"/>
        <v>4.4622650306402389E-2</v>
      </c>
      <c r="U199" s="181">
        <f t="shared" si="17"/>
        <v>4.4622650306402389E-2</v>
      </c>
      <c r="V199" s="181">
        <f t="shared" si="17"/>
        <v>4.4622650306402389E-2</v>
      </c>
      <c r="W199" s="181">
        <f t="shared" si="17"/>
        <v>4.4622650306402389E-2</v>
      </c>
      <c r="X199" s="181">
        <f t="shared" si="17"/>
        <v>4.4622650306402389E-2</v>
      </c>
      <c r="Y199" s="181">
        <f t="shared" si="17"/>
        <v>4.4622650306402389E-2</v>
      </c>
    </row>
    <row r="200" spans="5:25" x14ac:dyDescent="0.25">
      <c r="E200" s="82"/>
      <c r="F200" s="109"/>
      <c r="G200" s="14"/>
      <c r="H200" s="143"/>
      <c r="J200" s="395"/>
      <c r="K200" s="395"/>
      <c r="L200" s="395"/>
      <c r="M200" s="395"/>
      <c r="N200" s="395"/>
      <c r="O200" s="395"/>
      <c r="P200" s="395"/>
      <c r="Q200" s="395"/>
      <c r="R200" s="395"/>
      <c r="S200" s="395"/>
      <c r="T200" s="395"/>
      <c r="U200" s="395"/>
      <c r="V200" s="395"/>
      <c r="W200" s="395"/>
      <c r="X200" s="395"/>
      <c r="Y200" s="395"/>
    </row>
    <row r="201" spans="5:25" x14ac:dyDescent="0.25">
      <c r="E201" s="96" t="s">
        <v>688</v>
      </c>
      <c r="G201" s="14"/>
    </row>
    <row r="202" spans="5:25" x14ac:dyDescent="0.25">
      <c r="E202" s="82"/>
      <c r="F202" s="40" t="s">
        <v>300</v>
      </c>
      <c r="G202" s="16" t="s">
        <v>94</v>
      </c>
      <c r="H202" s="137"/>
      <c r="I202" s="91"/>
      <c r="J202" s="180">
        <f t="shared" ref="J202:Y204" si="18">IF(J$20, $H146, $H143)</f>
        <v>0</v>
      </c>
      <c r="K202" s="180">
        <f t="shared" si="18"/>
        <v>0</v>
      </c>
      <c r="L202" s="180">
        <f t="shared" si="18"/>
        <v>0</v>
      </c>
      <c r="M202" s="180">
        <f t="shared" si="18"/>
        <v>0</v>
      </c>
      <c r="N202" s="180">
        <f t="shared" si="18"/>
        <v>0</v>
      </c>
      <c r="O202" s="180">
        <f t="shared" si="18"/>
        <v>0</v>
      </c>
      <c r="P202" s="180">
        <f t="shared" si="18"/>
        <v>0</v>
      </c>
      <c r="Q202" s="180">
        <f t="shared" si="18"/>
        <v>0</v>
      </c>
      <c r="R202" s="180">
        <f t="shared" si="18"/>
        <v>0</v>
      </c>
      <c r="S202" s="180">
        <f t="shared" si="18"/>
        <v>0</v>
      </c>
      <c r="T202" s="180">
        <f t="shared" si="18"/>
        <v>0</v>
      </c>
      <c r="U202" s="180">
        <f t="shared" si="18"/>
        <v>0</v>
      </c>
      <c r="V202" s="180">
        <f t="shared" si="18"/>
        <v>0</v>
      </c>
      <c r="W202" s="180">
        <f t="shared" si="18"/>
        <v>0</v>
      </c>
      <c r="X202" s="180">
        <f t="shared" si="18"/>
        <v>0</v>
      </c>
      <c r="Y202" s="180">
        <f t="shared" si="18"/>
        <v>0</v>
      </c>
    </row>
    <row r="203" spans="5:25" x14ac:dyDescent="0.25">
      <c r="E203" s="82"/>
      <c r="F203" s="109" t="s">
        <v>301</v>
      </c>
      <c r="G203" s="14" t="s">
        <v>94</v>
      </c>
      <c r="H203" s="143"/>
      <c r="J203" s="395">
        <f t="shared" si="18"/>
        <v>0</v>
      </c>
      <c r="K203" s="395">
        <f t="shared" si="18"/>
        <v>0</v>
      </c>
      <c r="L203" s="395">
        <f t="shared" si="18"/>
        <v>0</v>
      </c>
      <c r="M203" s="395">
        <f t="shared" si="18"/>
        <v>0</v>
      </c>
      <c r="N203" s="395">
        <f t="shared" si="18"/>
        <v>0</v>
      </c>
      <c r="O203" s="395">
        <f t="shared" si="18"/>
        <v>0</v>
      </c>
      <c r="P203" s="395">
        <f t="shared" si="18"/>
        <v>0</v>
      </c>
      <c r="Q203" s="395">
        <f t="shared" si="18"/>
        <v>0</v>
      </c>
      <c r="R203" s="395">
        <f t="shared" si="18"/>
        <v>0</v>
      </c>
      <c r="S203" s="395">
        <f t="shared" si="18"/>
        <v>0</v>
      </c>
      <c r="T203" s="395">
        <f t="shared" si="18"/>
        <v>0</v>
      </c>
      <c r="U203" s="395">
        <f t="shared" si="18"/>
        <v>0</v>
      </c>
      <c r="V203" s="395">
        <f t="shared" si="18"/>
        <v>0</v>
      </c>
      <c r="W203" s="395">
        <f t="shared" si="18"/>
        <v>0</v>
      </c>
      <c r="X203" s="395">
        <f t="shared" si="18"/>
        <v>0</v>
      </c>
      <c r="Y203" s="395">
        <f t="shared" si="18"/>
        <v>0</v>
      </c>
    </row>
    <row r="204" spans="5:25" x14ac:dyDescent="0.25">
      <c r="E204" s="82"/>
      <c r="F204" s="36" t="s">
        <v>86</v>
      </c>
      <c r="G204" s="15" t="s">
        <v>94</v>
      </c>
      <c r="H204" s="394"/>
      <c r="I204" s="93"/>
      <c r="J204" s="181">
        <f t="shared" si="18"/>
        <v>0</v>
      </c>
      <c r="K204" s="181">
        <f t="shared" si="18"/>
        <v>0</v>
      </c>
      <c r="L204" s="181">
        <f t="shared" si="18"/>
        <v>0</v>
      </c>
      <c r="M204" s="181">
        <f t="shared" si="18"/>
        <v>0</v>
      </c>
      <c r="N204" s="181">
        <f t="shared" si="18"/>
        <v>0</v>
      </c>
      <c r="O204" s="181">
        <f t="shared" si="18"/>
        <v>0</v>
      </c>
      <c r="P204" s="181">
        <f t="shared" si="18"/>
        <v>0</v>
      </c>
      <c r="Q204" s="181">
        <f t="shared" si="18"/>
        <v>0</v>
      </c>
      <c r="R204" s="181">
        <f t="shared" si="18"/>
        <v>0</v>
      </c>
      <c r="S204" s="181">
        <f t="shared" si="18"/>
        <v>0</v>
      </c>
      <c r="T204" s="181">
        <f t="shared" si="18"/>
        <v>0</v>
      </c>
      <c r="U204" s="181">
        <f t="shared" si="18"/>
        <v>0</v>
      </c>
      <c r="V204" s="181">
        <f t="shared" si="18"/>
        <v>0</v>
      </c>
      <c r="W204" s="181">
        <f t="shared" si="18"/>
        <v>0</v>
      </c>
      <c r="X204" s="181">
        <f t="shared" si="18"/>
        <v>0</v>
      </c>
      <c r="Y204" s="181">
        <f t="shared" si="18"/>
        <v>0</v>
      </c>
    </row>
    <row r="205" spans="5:25" x14ac:dyDescent="0.25">
      <c r="E205" s="82"/>
      <c r="F205" s="109"/>
      <c r="G205" s="14"/>
      <c r="H205" s="143"/>
      <c r="J205" s="395"/>
      <c r="K205" s="395"/>
      <c r="L205" s="395"/>
      <c r="M205" s="395"/>
      <c r="N205" s="395"/>
      <c r="O205" s="395"/>
      <c r="P205" s="395"/>
      <c r="Q205" s="395"/>
      <c r="R205" s="395"/>
      <c r="S205" s="395"/>
      <c r="T205" s="395"/>
      <c r="U205" s="395"/>
      <c r="V205" s="395"/>
      <c r="W205" s="395"/>
      <c r="X205" s="395"/>
      <c r="Y205" s="395"/>
    </row>
    <row r="206" spans="5:25" x14ac:dyDescent="0.25">
      <c r="E206" s="96" t="s">
        <v>689</v>
      </c>
      <c r="G206" s="14"/>
    </row>
    <row r="207" spans="5:25" x14ac:dyDescent="0.25">
      <c r="E207" s="82"/>
      <c r="F207" s="40" t="s">
        <v>300</v>
      </c>
      <c r="G207" s="16" t="s">
        <v>94</v>
      </c>
      <c r="H207" s="137"/>
      <c r="I207" s="91"/>
      <c r="J207" s="180">
        <f t="shared" ref="J207:Y209" si="19">IF(J$20, $H154, $H151)</f>
        <v>0.47753234715150211</v>
      </c>
      <c r="K207" s="180">
        <f t="shared" si="19"/>
        <v>0.47753234715150211</v>
      </c>
      <c r="L207" s="180">
        <f t="shared" si="19"/>
        <v>0.47753234715150211</v>
      </c>
      <c r="M207" s="180">
        <f t="shared" si="19"/>
        <v>0.47753234715150211</v>
      </c>
      <c r="N207" s="180">
        <f t="shared" si="19"/>
        <v>0.47753234715150211</v>
      </c>
      <c r="O207" s="180">
        <f t="shared" si="19"/>
        <v>0.47753234715150211</v>
      </c>
      <c r="P207" s="180">
        <f t="shared" si="19"/>
        <v>0.47753234715150211</v>
      </c>
      <c r="Q207" s="180">
        <f t="shared" si="19"/>
        <v>0.32769471232252295</v>
      </c>
      <c r="R207" s="180">
        <f t="shared" si="19"/>
        <v>0.47753234715150211</v>
      </c>
      <c r="S207" s="180">
        <f t="shared" si="19"/>
        <v>0.47753234715150211</v>
      </c>
      <c r="T207" s="180">
        <f t="shared" si="19"/>
        <v>0.47753234715150211</v>
      </c>
      <c r="U207" s="180">
        <f t="shared" si="19"/>
        <v>0.47753234715150211</v>
      </c>
      <c r="V207" s="180">
        <f t="shared" si="19"/>
        <v>0.47753234715150211</v>
      </c>
      <c r="W207" s="180">
        <f t="shared" si="19"/>
        <v>0.47753234715150211</v>
      </c>
      <c r="X207" s="180">
        <f t="shared" si="19"/>
        <v>0.47753234715150211</v>
      </c>
      <c r="Y207" s="180">
        <f t="shared" si="19"/>
        <v>0.47753234715150211</v>
      </c>
    </row>
    <row r="208" spans="5:25" x14ac:dyDescent="0.25">
      <c r="E208" s="82"/>
      <c r="F208" s="109" t="s">
        <v>301</v>
      </c>
      <c r="G208" s="14" t="s">
        <v>94</v>
      </c>
      <c r="H208" s="143"/>
      <c r="J208" s="395">
        <f t="shared" si="19"/>
        <v>0.47784500254209555</v>
      </c>
      <c r="K208" s="395">
        <f t="shared" si="19"/>
        <v>0.47784500254209555</v>
      </c>
      <c r="L208" s="395">
        <f t="shared" si="19"/>
        <v>0.47784500254209555</v>
      </c>
      <c r="M208" s="395">
        <f t="shared" si="19"/>
        <v>0.47784500254209555</v>
      </c>
      <c r="N208" s="395">
        <f t="shared" si="19"/>
        <v>0.47784500254209555</v>
      </c>
      <c r="O208" s="395">
        <f t="shared" si="19"/>
        <v>0.47784500254209555</v>
      </c>
      <c r="P208" s="395">
        <f t="shared" si="19"/>
        <v>0.47784500254209555</v>
      </c>
      <c r="Q208" s="395">
        <f t="shared" si="19"/>
        <v>0.62768263737107466</v>
      </c>
      <c r="R208" s="395">
        <f t="shared" si="19"/>
        <v>0.47784500254209555</v>
      </c>
      <c r="S208" s="395">
        <f t="shared" si="19"/>
        <v>0.47784500254209555</v>
      </c>
      <c r="T208" s="395">
        <f t="shared" si="19"/>
        <v>0.47784500254209555</v>
      </c>
      <c r="U208" s="395">
        <f t="shared" si="19"/>
        <v>0.47784500254209555</v>
      </c>
      <c r="V208" s="395">
        <f t="shared" si="19"/>
        <v>0.47784500254209555</v>
      </c>
      <c r="W208" s="395">
        <f t="shared" si="19"/>
        <v>0.47784500254209555</v>
      </c>
      <c r="X208" s="395">
        <f t="shared" si="19"/>
        <v>0.47784500254209555</v>
      </c>
      <c r="Y208" s="395">
        <f t="shared" si="19"/>
        <v>0.47784500254209555</v>
      </c>
    </row>
    <row r="209" spans="3:27" x14ac:dyDescent="0.25">
      <c r="E209" s="82"/>
      <c r="F209" s="36" t="s">
        <v>86</v>
      </c>
      <c r="G209" s="15" t="s">
        <v>94</v>
      </c>
      <c r="H209" s="394"/>
      <c r="I209" s="93"/>
      <c r="J209" s="181">
        <f t="shared" si="19"/>
        <v>4.4622650306402389E-2</v>
      </c>
      <c r="K209" s="181">
        <f t="shared" si="19"/>
        <v>4.4622650306402389E-2</v>
      </c>
      <c r="L209" s="181">
        <f t="shared" si="19"/>
        <v>4.4622650306402389E-2</v>
      </c>
      <c r="M209" s="181">
        <f t="shared" si="19"/>
        <v>4.4622650306402389E-2</v>
      </c>
      <c r="N209" s="181">
        <f t="shared" si="19"/>
        <v>4.4622650306402389E-2</v>
      </c>
      <c r="O209" s="181">
        <f t="shared" si="19"/>
        <v>4.4622650306402389E-2</v>
      </c>
      <c r="P209" s="181">
        <f t="shared" si="19"/>
        <v>4.4622650306402389E-2</v>
      </c>
      <c r="Q209" s="181">
        <f t="shared" si="19"/>
        <v>4.4622650306402389E-2</v>
      </c>
      <c r="R209" s="181">
        <f t="shared" si="19"/>
        <v>4.4622650306402389E-2</v>
      </c>
      <c r="S209" s="181">
        <f t="shared" si="19"/>
        <v>4.4622650306402389E-2</v>
      </c>
      <c r="T209" s="181">
        <f t="shared" si="19"/>
        <v>4.4622650306402389E-2</v>
      </c>
      <c r="U209" s="181">
        <f t="shared" si="19"/>
        <v>4.4622650306402389E-2</v>
      </c>
      <c r="V209" s="181">
        <f t="shared" si="19"/>
        <v>4.4622650306402389E-2</v>
      </c>
      <c r="W209" s="181">
        <f t="shared" si="19"/>
        <v>4.4622650306402389E-2</v>
      </c>
      <c r="X209" s="181">
        <f t="shared" si="19"/>
        <v>4.4622650306402389E-2</v>
      </c>
      <c r="Y209" s="181">
        <f t="shared" si="19"/>
        <v>4.4622650306402389E-2</v>
      </c>
    </row>
    <row r="210" spans="3:27" x14ac:dyDescent="0.25">
      <c r="E210" s="82"/>
      <c r="F210" s="109"/>
      <c r="G210" s="14"/>
      <c r="H210" s="143"/>
      <c r="J210" s="395"/>
      <c r="K210" s="395"/>
      <c r="L210" s="395"/>
      <c r="M210" s="395"/>
      <c r="N210" s="395"/>
      <c r="O210" s="395"/>
      <c r="P210" s="395"/>
      <c r="Q210" s="395"/>
      <c r="R210" s="395"/>
      <c r="S210" s="395"/>
      <c r="T210" s="395"/>
      <c r="U210" s="395"/>
      <c r="V210" s="395"/>
      <c r="W210" s="395"/>
      <c r="X210" s="395"/>
      <c r="Y210" s="395"/>
    </row>
    <row r="211" spans="3:27" x14ac:dyDescent="0.25">
      <c r="E211" s="96" t="s">
        <v>690</v>
      </c>
      <c r="G211" s="14"/>
    </row>
    <row r="212" spans="3:27" x14ac:dyDescent="0.25">
      <c r="E212" s="82"/>
      <c r="F212" s="40" t="s">
        <v>300</v>
      </c>
      <c r="G212" s="16" t="s">
        <v>94</v>
      </c>
      <c r="H212" s="137"/>
      <c r="I212" s="91"/>
      <c r="J212" s="180">
        <f t="shared" ref="J212:Y214" si="20">IF(J$20, $H162, $H159)</f>
        <v>0.47753234715150211</v>
      </c>
      <c r="K212" s="180">
        <f t="shared" si="20"/>
        <v>0.47753234715150211</v>
      </c>
      <c r="L212" s="180">
        <f t="shared" si="20"/>
        <v>0.47753234715150211</v>
      </c>
      <c r="M212" s="180">
        <f t="shared" si="20"/>
        <v>0.47753234715150211</v>
      </c>
      <c r="N212" s="180">
        <f t="shared" si="20"/>
        <v>0.47753234715150211</v>
      </c>
      <c r="O212" s="180">
        <f t="shared" si="20"/>
        <v>0.47753234715150211</v>
      </c>
      <c r="P212" s="180">
        <f t="shared" si="20"/>
        <v>0.47753234715150211</v>
      </c>
      <c r="Q212" s="180">
        <f t="shared" si="20"/>
        <v>0.32769471232252295</v>
      </c>
      <c r="R212" s="180">
        <f t="shared" si="20"/>
        <v>0.47753234715150211</v>
      </c>
      <c r="S212" s="180">
        <f t="shared" si="20"/>
        <v>0.47753234715150211</v>
      </c>
      <c r="T212" s="180">
        <f t="shared" si="20"/>
        <v>0.47753234715150211</v>
      </c>
      <c r="U212" s="180">
        <f t="shared" si="20"/>
        <v>0.47753234715150211</v>
      </c>
      <c r="V212" s="180">
        <f t="shared" si="20"/>
        <v>0.47753234715150211</v>
      </c>
      <c r="W212" s="180">
        <f t="shared" si="20"/>
        <v>0.47753234715150211</v>
      </c>
      <c r="X212" s="180">
        <f t="shared" si="20"/>
        <v>0.47753234715150211</v>
      </c>
      <c r="Y212" s="180">
        <f t="shared" si="20"/>
        <v>0.47753234715150211</v>
      </c>
    </row>
    <row r="213" spans="3:27" x14ac:dyDescent="0.25">
      <c r="E213" s="82"/>
      <c r="F213" s="109" t="s">
        <v>301</v>
      </c>
      <c r="G213" s="14" t="s">
        <v>94</v>
      </c>
      <c r="H213" s="143"/>
      <c r="J213" s="395">
        <f t="shared" si="20"/>
        <v>0.47784500254209555</v>
      </c>
      <c r="K213" s="395">
        <f t="shared" si="20"/>
        <v>0.47784500254209555</v>
      </c>
      <c r="L213" s="395">
        <f t="shared" si="20"/>
        <v>0.47784500254209555</v>
      </c>
      <c r="M213" s="395">
        <f t="shared" si="20"/>
        <v>0.47784500254209555</v>
      </c>
      <c r="N213" s="395">
        <f t="shared" si="20"/>
        <v>0.47784500254209555</v>
      </c>
      <c r="O213" s="395">
        <f t="shared" si="20"/>
        <v>0.47784500254209555</v>
      </c>
      <c r="P213" s="395">
        <f t="shared" si="20"/>
        <v>0.47784500254209555</v>
      </c>
      <c r="Q213" s="395">
        <f t="shared" si="20"/>
        <v>0.62768263737107466</v>
      </c>
      <c r="R213" s="395">
        <f t="shared" si="20"/>
        <v>0.47784500254209555</v>
      </c>
      <c r="S213" s="395">
        <f t="shared" si="20"/>
        <v>0.47784500254209555</v>
      </c>
      <c r="T213" s="395">
        <f t="shared" si="20"/>
        <v>0.47784500254209555</v>
      </c>
      <c r="U213" s="395">
        <f t="shared" si="20"/>
        <v>0.47784500254209555</v>
      </c>
      <c r="V213" s="395">
        <f t="shared" si="20"/>
        <v>0.47784500254209555</v>
      </c>
      <c r="W213" s="395">
        <f t="shared" si="20"/>
        <v>0.47784500254209555</v>
      </c>
      <c r="X213" s="395">
        <f t="shared" si="20"/>
        <v>0.47784500254209555</v>
      </c>
      <c r="Y213" s="395">
        <f t="shared" si="20"/>
        <v>0.47784500254209555</v>
      </c>
    </row>
    <row r="214" spans="3:27" x14ac:dyDescent="0.25">
      <c r="E214" s="82"/>
      <c r="F214" s="36" t="s">
        <v>86</v>
      </c>
      <c r="G214" s="15" t="s">
        <v>94</v>
      </c>
      <c r="H214" s="394"/>
      <c r="I214" s="93"/>
      <c r="J214" s="181">
        <f t="shared" si="20"/>
        <v>4.4622650306402389E-2</v>
      </c>
      <c r="K214" s="181">
        <f t="shared" si="20"/>
        <v>4.4622650306402389E-2</v>
      </c>
      <c r="L214" s="181">
        <f t="shared" si="20"/>
        <v>4.4622650306402389E-2</v>
      </c>
      <c r="M214" s="181">
        <f t="shared" si="20"/>
        <v>4.4622650306402389E-2</v>
      </c>
      <c r="N214" s="181">
        <f t="shared" si="20"/>
        <v>4.4622650306402389E-2</v>
      </c>
      <c r="O214" s="181">
        <f t="shared" si="20"/>
        <v>4.4622650306402389E-2</v>
      </c>
      <c r="P214" s="181">
        <f t="shared" si="20"/>
        <v>4.4622650306402389E-2</v>
      </c>
      <c r="Q214" s="181">
        <f t="shared" si="20"/>
        <v>4.4622650306402389E-2</v>
      </c>
      <c r="R214" s="181">
        <f t="shared" si="20"/>
        <v>4.4622650306402389E-2</v>
      </c>
      <c r="S214" s="181">
        <f t="shared" si="20"/>
        <v>4.4622650306402389E-2</v>
      </c>
      <c r="T214" s="181">
        <f t="shared" si="20"/>
        <v>4.4622650306402389E-2</v>
      </c>
      <c r="U214" s="181">
        <f t="shared" si="20"/>
        <v>4.4622650306402389E-2</v>
      </c>
      <c r="V214" s="181">
        <f t="shared" si="20"/>
        <v>4.4622650306402389E-2</v>
      </c>
      <c r="W214" s="181">
        <f t="shared" si="20"/>
        <v>4.4622650306402389E-2</v>
      </c>
      <c r="X214" s="181">
        <f t="shared" si="20"/>
        <v>4.4622650306402389E-2</v>
      </c>
      <c r="Y214" s="181">
        <f t="shared" si="20"/>
        <v>4.4622650306402389E-2</v>
      </c>
    </row>
    <row r="215" spans="3:27" x14ac:dyDescent="0.25">
      <c r="E215" s="82"/>
      <c r="F215" s="109"/>
      <c r="G215" s="14"/>
      <c r="H215" s="143"/>
      <c r="J215" s="395"/>
      <c r="K215" s="395"/>
      <c r="L215" s="395"/>
      <c r="M215" s="395"/>
      <c r="N215" s="395"/>
      <c r="O215" s="395"/>
      <c r="P215" s="395"/>
      <c r="Q215" s="395"/>
      <c r="R215" s="395"/>
      <c r="S215" s="395"/>
      <c r="T215" s="395"/>
      <c r="U215" s="395"/>
      <c r="V215" s="395"/>
      <c r="W215" s="395"/>
      <c r="X215" s="395"/>
      <c r="Y215" s="395"/>
    </row>
    <row r="216" spans="3:27" x14ac:dyDescent="0.25">
      <c r="E216" s="96" t="s">
        <v>691</v>
      </c>
      <c r="G216" s="14"/>
    </row>
    <row r="217" spans="3:27" x14ac:dyDescent="0.25">
      <c r="E217" s="82"/>
      <c r="F217" s="40" t="s">
        <v>300</v>
      </c>
      <c r="G217" s="16" t="s">
        <v>94</v>
      </c>
      <c r="H217" s="137"/>
      <c r="I217" s="91"/>
      <c r="J217" s="180">
        <f t="shared" ref="J217:Y219" si="21">IF(J$20, $H170, $H167)</f>
        <v>0.47753234715150211</v>
      </c>
      <c r="K217" s="180">
        <f t="shared" si="21"/>
        <v>0.47753234715150211</v>
      </c>
      <c r="L217" s="180">
        <f t="shared" si="21"/>
        <v>0.47753234715150211</v>
      </c>
      <c r="M217" s="180">
        <f t="shared" si="21"/>
        <v>0.47753234715150211</v>
      </c>
      <c r="N217" s="180">
        <f t="shared" si="21"/>
        <v>0.47753234715150211</v>
      </c>
      <c r="O217" s="180">
        <f t="shared" si="21"/>
        <v>0.47753234715150211</v>
      </c>
      <c r="P217" s="180">
        <f t="shared" si="21"/>
        <v>0.47753234715150211</v>
      </c>
      <c r="Q217" s="180">
        <f t="shared" si="21"/>
        <v>0.32769471232252295</v>
      </c>
      <c r="R217" s="180">
        <f t="shared" si="21"/>
        <v>0.47753234715150211</v>
      </c>
      <c r="S217" s="180">
        <f t="shared" si="21"/>
        <v>0.47753234715150211</v>
      </c>
      <c r="T217" s="180">
        <f t="shared" si="21"/>
        <v>0.47753234715150211</v>
      </c>
      <c r="U217" s="180">
        <f t="shared" si="21"/>
        <v>0.47753234715150211</v>
      </c>
      <c r="V217" s="180">
        <f t="shared" si="21"/>
        <v>0.47753234715150211</v>
      </c>
      <c r="W217" s="180">
        <f t="shared" si="21"/>
        <v>0.47753234715150211</v>
      </c>
      <c r="X217" s="180">
        <f t="shared" si="21"/>
        <v>0.47753234715150211</v>
      </c>
      <c r="Y217" s="180">
        <f t="shared" si="21"/>
        <v>0.47753234715150211</v>
      </c>
    </row>
    <row r="218" spans="3:27" x14ac:dyDescent="0.25">
      <c r="E218" s="82"/>
      <c r="F218" s="109" t="s">
        <v>301</v>
      </c>
      <c r="G218" s="14" t="s">
        <v>94</v>
      </c>
      <c r="H218" s="143"/>
      <c r="J218" s="395">
        <f t="shared" si="21"/>
        <v>0.47784500254209555</v>
      </c>
      <c r="K218" s="395">
        <f t="shared" si="21"/>
        <v>0.47784500254209555</v>
      </c>
      <c r="L218" s="395">
        <f t="shared" si="21"/>
        <v>0.47784500254209555</v>
      </c>
      <c r="M218" s="395">
        <f t="shared" si="21"/>
        <v>0.47784500254209555</v>
      </c>
      <c r="N218" s="395">
        <f t="shared" si="21"/>
        <v>0.47784500254209555</v>
      </c>
      <c r="O218" s="395">
        <f t="shared" si="21"/>
        <v>0.47784500254209555</v>
      </c>
      <c r="P218" s="395">
        <f t="shared" si="21"/>
        <v>0.47784500254209555</v>
      </c>
      <c r="Q218" s="395">
        <f t="shared" si="21"/>
        <v>0.62768263737107466</v>
      </c>
      <c r="R218" s="395">
        <f t="shared" si="21"/>
        <v>0.47784500254209555</v>
      </c>
      <c r="S218" s="395">
        <f t="shared" si="21"/>
        <v>0.47784500254209555</v>
      </c>
      <c r="T218" s="395">
        <f t="shared" si="21"/>
        <v>0.47784500254209555</v>
      </c>
      <c r="U218" s="395">
        <f t="shared" si="21"/>
        <v>0.47784500254209555</v>
      </c>
      <c r="V218" s="395">
        <f t="shared" si="21"/>
        <v>0.47784500254209555</v>
      </c>
      <c r="W218" s="395">
        <f t="shared" si="21"/>
        <v>0.47784500254209555</v>
      </c>
      <c r="X218" s="395">
        <f t="shared" si="21"/>
        <v>0.47784500254209555</v>
      </c>
      <c r="Y218" s="395">
        <f t="shared" si="21"/>
        <v>0.47784500254209555</v>
      </c>
    </row>
    <row r="219" spans="3:27" x14ac:dyDescent="0.25">
      <c r="E219" s="82"/>
      <c r="F219" s="36" t="s">
        <v>86</v>
      </c>
      <c r="G219" s="15" t="s">
        <v>94</v>
      </c>
      <c r="H219" s="394"/>
      <c r="I219" s="93"/>
      <c r="J219" s="181">
        <f t="shared" si="21"/>
        <v>4.4622650306402389E-2</v>
      </c>
      <c r="K219" s="181">
        <f t="shared" si="21"/>
        <v>4.4622650306402389E-2</v>
      </c>
      <c r="L219" s="181">
        <f t="shared" si="21"/>
        <v>4.4622650306402389E-2</v>
      </c>
      <c r="M219" s="181">
        <f t="shared" si="21"/>
        <v>4.4622650306402389E-2</v>
      </c>
      <c r="N219" s="181">
        <f t="shared" si="21"/>
        <v>4.4622650306402389E-2</v>
      </c>
      <c r="O219" s="181">
        <f t="shared" si="21"/>
        <v>4.4622650306402389E-2</v>
      </c>
      <c r="P219" s="181">
        <f t="shared" si="21"/>
        <v>4.4622650306402389E-2</v>
      </c>
      <c r="Q219" s="181">
        <f t="shared" si="21"/>
        <v>4.4622650306402389E-2</v>
      </c>
      <c r="R219" s="181">
        <f t="shared" si="21"/>
        <v>4.4622650306402389E-2</v>
      </c>
      <c r="S219" s="181">
        <f t="shared" si="21"/>
        <v>4.4622650306402389E-2</v>
      </c>
      <c r="T219" s="181">
        <f t="shared" si="21"/>
        <v>4.4622650306402389E-2</v>
      </c>
      <c r="U219" s="181">
        <f t="shared" si="21"/>
        <v>4.4622650306402389E-2</v>
      </c>
      <c r="V219" s="181">
        <f t="shared" si="21"/>
        <v>4.4622650306402389E-2</v>
      </c>
      <c r="W219" s="181">
        <f t="shared" si="21"/>
        <v>4.4622650306402389E-2</v>
      </c>
      <c r="X219" s="181">
        <f t="shared" si="21"/>
        <v>4.4622650306402389E-2</v>
      </c>
      <c r="Y219" s="181">
        <f t="shared" si="21"/>
        <v>4.4622650306402389E-2</v>
      </c>
    </row>
    <row r="220" spans="3:27" x14ac:dyDescent="0.25">
      <c r="D220" s="82"/>
      <c r="E220" s="109"/>
      <c r="G220" s="14"/>
      <c r="H220" s="143"/>
      <c r="J220" s="395"/>
      <c r="K220" s="395"/>
      <c r="L220" s="395"/>
      <c r="M220" s="395"/>
      <c r="N220" s="395"/>
      <c r="O220" s="395"/>
      <c r="P220" s="395"/>
      <c r="Q220" s="395"/>
      <c r="R220" s="395"/>
      <c r="S220" s="395"/>
      <c r="T220" s="395"/>
      <c r="U220" s="395"/>
      <c r="V220" s="395"/>
      <c r="W220" s="395"/>
      <c r="X220" s="395"/>
      <c r="Y220" s="395"/>
    </row>
    <row r="221" spans="3:27" x14ac:dyDescent="0.25">
      <c r="C221" s="7" t="str">
        <f ca="1">INDEX('Version control'!$H$34:$H$58,MATCH($A$1,'Version control'!$F$34:$F$58,0),1)&amp;"-J: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5"/>
      <c r="K222" s="395"/>
      <c r="L222" s="395"/>
      <c r="M222" s="395"/>
      <c r="N222" s="395"/>
      <c r="O222" s="395"/>
      <c r="P222" s="395"/>
      <c r="Q222" s="395"/>
      <c r="R222" s="395"/>
      <c r="S222" s="395"/>
      <c r="T222" s="395"/>
      <c r="U222" s="395"/>
      <c r="V222" s="395"/>
      <c r="W222" s="395"/>
      <c r="X222" s="395"/>
      <c r="Y222" s="395"/>
    </row>
    <row r="223" spans="3:27" x14ac:dyDescent="0.25">
      <c r="E223" s="96" t="s">
        <v>393</v>
      </c>
      <c r="G223" s="14"/>
    </row>
    <row r="224" spans="3:27" x14ac:dyDescent="0.25">
      <c r="F224" s="16" t="s">
        <v>300</v>
      </c>
      <c r="G224" s="16" t="s">
        <v>623</v>
      </c>
      <c r="H224" s="91"/>
      <c r="I224" s="91"/>
      <c r="J224" s="278">
        <f t="shared" ref="J224:Y226" si="22">1 / J24</f>
        <v>1.277139208173691E-3</v>
      </c>
      <c r="K224" s="278">
        <f t="shared" si="22"/>
        <v>1.277139208173691E-3</v>
      </c>
      <c r="L224" s="278">
        <f t="shared" si="22"/>
        <v>1.277139208173691E-3</v>
      </c>
      <c r="M224" s="278">
        <f t="shared" si="22"/>
        <v>1.277139208173691E-3</v>
      </c>
      <c r="N224" s="278">
        <f t="shared" si="22"/>
        <v>1.277139208173691E-3</v>
      </c>
      <c r="O224" s="278">
        <f t="shared" si="22"/>
        <v>1.277139208173691E-3</v>
      </c>
      <c r="P224" s="278">
        <f t="shared" si="22"/>
        <v>1.277139208173691E-3</v>
      </c>
      <c r="Q224" s="278">
        <f t="shared" si="22"/>
        <v>3.875968992248062E-3</v>
      </c>
      <c r="R224" s="278">
        <f t="shared" si="22"/>
        <v>1.277139208173691E-3</v>
      </c>
      <c r="S224" s="278">
        <f t="shared" si="22"/>
        <v>1.277139208173691E-3</v>
      </c>
      <c r="T224" s="278">
        <f t="shared" si="22"/>
        <v>1.277139208173691E-3</v>
      </c>
      <c r="U224" s="278">
        <f t="shared" si="22"/>
        <v>1.277139208173691E-3</v>
      </c>
      <c r="V224" s="278">
        <f t="shared" si="22"/>
        <v>1.277139208173691E-3</v>
      </c>
      <c r="W224" s="278">
        <f t="shared" si="22"/>
        <v>1.277139208173691E-3</v>
      </c>
      <c r="X224" s="278">
        <f t="shared" si="22"/>
        <v>1.277139208173691E-3</v>
      </c>
      <c r="Y224" s="278">
        <f t="shared" si="22"/>
        <v>1.277139208173691E-3</v>
      </c>
    </row>
    <row r="225" spans="5:25" x14ac:dyDescent="0.25">
      <c r="F225" s="14" t="s">
        <v>301</v>
      </c>
      <c r="G225" s="14" t="s">
        <v>623</v>
      </c>
      <c r="J225" s="253">
        <f t="shared" si="22"/>
        <v>2.9261155815654721E-4</v>
      </c>
      <c r="K225" s="253">
        <f t="shared" si="22"/>
        <v>2.9261155815654721E-4</v>
      </c>
      <c r="L225" s="253">
        <f t="shared" si="22"/>
        <v>2.9261155815654721E-4</v>
      </c>
      <c r="M225" s="253">
        <f t="shared" si="22"/>
        <v>2.9261155815654721E-4</v>
      </c>
      <c r="N225" s="253">
        <f t="shared" si="22"/>
        <v>2.9261155815654721E-4</v>
      </c>
      <c r="O225" s="253">
        <f t="shared" si="22"/>
        <v>2.9261155815654721E-4</v>
      </c>
      <c r="P225" s="253">
        <f t="shared" si="22"/>
        <v>2.9261155815654721E-4</v>
      </c>
      <c r="Q225" s="253">
        <f t="shared" si="22"/>
        <v>2.5364616360177552E-4</v>
      </c>
      <c r="R225" s="253">
        <f t="shared" si="22"/>
        <v>2.9261155815654721E-4</v>
      </c>
      <c r="S225" s="253">
        <f t="shared" si="22"/>
        <v>2.9261155815654721E-4</v>
      </c>
      <c r="T225" s="253">
        <f t="shared" si="22"/>
        <v>2.9261155815654721E-4</v>
      </c>
      <c r="U225" s="253">
        <f t="shared" si="22"/>
        <v>2.9261155815654721E-4</v>
      </c>
      <c r="V225" s="253">
        <f t="shared" si="22"/>
        <v>2.9261155815654721E-4</v>
      </c>
      <c r="W225" s="253">
        <f t="shared" si="22"/>
        <v>2.9261155815654721E-4</v>
      </c>
      <c r="X225" s="253">
        <f t="shared" si="22"/>
        <v>2.9261155815654721E-4</v>
      </c>
      <c r="Y225" s="253">
        <f t="shared" si="22"/>
        <v>2.9261155815654721E-4</v>
      </c>
    </row>
    <row r="226" spans="5:25" x14ac:dyDescent="0.25">
      <c r="F226" s="15" t="s">
        <v>86</v>
      </c>
      <c r="G226" s="15" t="s">
        <v>623</v>
      </c>
      <c r="H226" s="93"/>
      <c r="I226" s="93"/>
      <c r="J226" s="272">
        <f t="shared" si="22"/>
        <v>2.193222941111964E-4</v>
      </c>
      <c r="K226" s="272">
        <f t="shared" si="22"/>
        <v>2.193222941111964E-4</v>
      </c>
      <c r="L226" s="272">
        <f t="shared" si="22"/>
        <v>2.193222941111964E-4</v>
      </c>
      <c r="M226" s="272">
        <f t="shared" si="22"/>
        <v>2.193222941111964E-4</v>
      </c>
      <c r="N226" s="272">
        <f t="shared" si="22"/>
        <v>2.193222941111964E-4</v>
      </c>
      <c r="O226" s="272">
        <f t="shared" si="22"/>
        <v>2.193222941111964E-4</v>
      </c>
      <c r="P226" s="272">
        <f t="shared" si="22"/>
        <v>2.193222941111964E-4</v>
      </c>
      <c r="Q226" s="272">
        <f t="shared" si="22"/>
        <v>2.193222941111964E-4</v>
      </c>
      <c r="R226" s="272">
        <f t="shared" si="22"/>
        <v>2.193222941111964E-4</v>
      </c>
      <c r="S226" s="272">
        <f t="shared" si="22"/>
        <v>2.193222941111964E-4</v>
      </c>
      <c r="T226" s="272">
        <f t="shared" si="22"/>
        <v>2.193222941111964E-4</v>
      </c>
      <c r="U226" s="272">
        <f t="shared" si="22"/>
        <v>2.193222941111964E-4</v>
      </c>
      <c r="V226" s="272">
        <f t="shared" si="22"/>
        <v>2.193222941111964E-4</v>
      </c>
      <c r="W226" s="272">
        <f t="shared" si="22"/>
        <v>2.193222941111964E-4</v>
      </c>
      <c r="X226" s="272">
        <f t="shared" si="22"/>
        <v>2.193222941111964E-4</v>
      </c>
      <c r="Y226" s="272">
        <f t="shared" si="22"/>
        <v>2.193222941111964E-4</v>
      </c>
    </row>
    <row r="227" spans="5:25" x14ac:dyDescent="0.25">
      <c r="G227" s="14"/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  <c r="U227" s="253"/>
      <c r="V227" s="253"/>
      <c r="W227" s="253"/>
      <c r="X227" s="253"/>
      <c r="Y227" s="253"/>
    </row>
    <row r="228" spans="5:25" x14ac:dyDescent="0.25">
      <c r="E228" s="96" t="s">
        <v>134</v>
      </c>
      <c r="G228" s="14"/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  <c r="U228" s="253"/>
      <c r="V228" s="253"/>
      <c r="W228" s="253"/>
      <c r="X228" s="253"/>
      <c r="Y228" s="253"/>
    </row>
    <row r="229" spans="5:25" x14ac:dyDescent="0.25">
      <c r="F229" s="107" t="s">
        <v>43</v>
      </c>
      <c r="G229" s="16" t="s">
        <v>528</v>
      </c>
      <c r="H229" s="91"/>
      <c r="I229" s="91"/>
      <c r="J229" s="271">
        <f t="shared" ref="J229:Y229" si="23">J177 * J$224 * hours_in_year</f>
        <v>7.1667980801306506</v>
      </c>
      <c r="K229" s="271">
        <f t="shared" si="23"/>
        <v>7.1667980801306506</v>
      </c>
      <c r="L229" s="271">
        <f t="shared" si="23"/>
        <v>7.1667980801306506</v>
      </c>
      <c r="M229" s="271">
        <f t="shared" si="23"/>
        <v>7.1667980801306506</v>
      </c>
      <c r="N229" s="271">
        <f t="shared" si="23"/>
        <v>7.1667980801306506</v>
      </c>
      <c r="O229" s="271">
        <f t="shared" si="23"/>
        <v>7.1667980801306506</v>
      </c>
      <c r="P229" s="271">
        <f t="shared" si="23"/>
        <v>7.1667980801306506</v>
      </c>
      <c r="Q229" s="271">
        <f t="shared" si="23"/>
        <v>14.753648311303916</v>
      </c>
      <c r="R229" s="271">
        <f t="shared" si="23"/>
        <v>7.1667980801306506</v>
      </c>
      <c r="S229" s="271">
        <f t="shared" si="23"/>
        <v>7.1667980801306506</v>
      </c>
      <c r="T229" s="271">
        <f t="shared" si="23"/>
        <v>7.1667980801306506</v>
      </c>
      <c r="U229" s="271">
        <f t="shared" si="23"/>
        <v>7.1667980801306506</v>
      </c>
      <c r="V229" s="271">
        <f t="shared" si="23"/>
        <v>7.1667980801306506</v>
      </c>
      <c r="W229" s="271">
        <f t="shared" si="23"/>
        <v>7.1667980801306506</v>
      </c>
      <c r="X229" s="271">
        <f t="shared" si="23"/>
        <v>7.1667980801306506</v>
      </c>
      <c r="Y229" s="271">
        <f t="shared" si="23"/>
        <v>7.1667980801306506</v>
      </c>
    </row>
    <row r="230" spans="5:25" x14ac:dyDescent="0.25">
      <c r="F230" s="400" t="s">
        <v>44</v>
      </c>
      <c r="G230" s="14" t="s">
        <v>528</v>
      </c>
      <c r="J230" s="271">
        <f t="shared" ref="J230:Y230" si="24">J182 * J224 * hours_in_year</f>
        <v>7.1667980801306506</v>
      </c>
      <c r="K230" s="271">
        <f t="shared" si="24"/>
        <v>7.1667980801306506</v>
      </c>
      <c r="L230" s="271">
        <f t="shared" si="24"/>
        <v>7.1667980801306506</v>
      </c>
      <c r="M230" s="271">
        <f t="shared" si="24"/>
        <v>7.1667980801306506</v>
      </c>
      <c r="N230" s="271">
        <f t="shared" si="24"/>
        <v>7.1667980801306506</v>
      </c>
      <c r="O230" s="271">
        <f t="shared" si="24"/>
        <v>7.1667980801306506</v>
      </c>
      <c r="P230" s="271">
        <f t="shared" si="24"/>
        <v>7.1667980801306506</v>
      </c>
      <c r="Q230" s="271">
        <f t="shared" si="24"/>
        <v>14.753648311303916</v>
      </c>
      <c r="R230" s="271">
        <f t="shared" si="24"/>
        <v>7.1667980801306506</v>
      </c>
      <c r="S230" s="271">
        <f t="shared" si="24"/>
        <v>7.1667980801306506</v>
      </c>
      <c r="T230" s="271">
        <f t="shared" si="24"/>
        <v>7.1667980801306506</v>
      </c>
      <c r="U230" s="271">
        <f t="shared" si="24"/>
        <v>7.1667980801306506</v>
      </c>
      <c r="V230" s="271">
        <f t="shared" si="24"/>
        <v>7.1667980801306506</v>
      </c>
      <c r="W230" s="271">
        <f t="shared" si="24"/>
        <v>7.1667980801306506</v>
      </c>
      <c r="X230" s="271">
        <f t="shared" si="24"/>
        <v>7.1667980801306506</v>
      </c>
      <c r="Y230" s="271">
        <f t="shared" si="24"/>
        <v>7.1667980801306506</v>
      </c>
    </row>
    <row r="231" spans="5:25" x14ac:dyDescent="0.25">
      <c r="F231" s="400" t="s">
        <v>45</v>
      </c>
      <c r="G231" s="14" t="s">
        <v>528</v>
      </c>
      <c r="J231" s="271">
        <f t="shared" ref="J231:Y231" si="25">J187 * J224 * hours_in_year</f>
        <v>5.9538811606536752</v>
      </c>
      <c r="K231" s="271">
        <f t="shared" si="25"/>
        <v>5.9538811606536752</v>
      </c>
      <c r="L231" s="271">
        <f t="shared" si="25"/>
        <v>5.9538811606536752</v>
      </c>
      <c r="M231" s="271">
        <f t="shared" si="25"/>
        <v>5.9538811606536752</v>
      </c>
      <c r="N231" s="271">
        <f t="shared" si="25"/>
        <v>5.9538811606536752</v>
      </c>
      <c r="O231" s="271">
        <f t="shared" si="25"/>
        <v>5.9538811606536752</v>
      </c>
      <c r="P231" s="271">
        <f t="shared" si="25"/>
        <v>5.9538811606536752</v>
      </c>
      <c r="Q231" s="271">
        <f t="shared" si="25"/>
        <v>9.3822243213858645</v>
      </c>
      <c r="R231" s="271">
        <f t="shared" si="25"/>
        <v>5.9538811606536752</v>
      </c>
      <c r="S231" s="271">
        <f t="shared" si="25"/>
        <v>5.9538811606536752</v>
      </c>
      <c r="T231" s="271">
        <f t="shared" si="25"/>
        <v>5.9538811606536752</v>
      </c>
      <c r="U231" s="271">
        <f t="shared" si="25"/>
        <v>5.9538811606536752</v>
      </c>
      <c r="V231" s="271">
        <f t="shared" si="25"/>
        <v>5.9538811606536752</v>
      </c>
      <c r="W231" s="271">
        <f t="shared" si="25"/>
        <v>5.9538811606536752</v>
      </c>
      <c r="X231" s="271">
        <f t="shared" si="25"/>
        <v>5.9538811606536752</v>
      </c>
      <c r="Y231" s="271">
        <f t="shared" si="25"/>
        <v>5.9538811606536752</v>
      </c>
    </row>
    <row r="232" spans="5:25" x14ac:dyDescent="0.25">
      <c r="F232" s="400" t="s">
        <v>46</v>
      </c>
      <c r="G232" s="14" t="s">
        <v>528</v>
      </c>
      <c r="J232" s="271">
        <f t="shared" ref="J232:Y232" si="26">J192 * J224 * hours_in_year</f>
        <v>5.9538811606536752</v>
      </c>
      <c r="K232" s="271">
        <f t="shared" si="26"/>
        <v>5.9538811606536752</v>
      </c>
      <c r="L232" s="271">
        <f t="shared" si="26"/>
        <v>5.9538811606536752</v>
      </c>
      <c r="M232" s="271">
        <f t="shared" si="26"/>
        <v>5.9538811606536752</v>
      </c>
      <c r="N232" s="271">
        <f t="shared" si="26"/>
        <v>5.9538811606536752</v>
      </c>
      <c r="O232" s="271">
        <f t="shared" si="26"/>
        <v>5.9538811606536752</v>
      </c>
      <c r="P232" s="271">
        <f t="shared" si="26"/>
        <v>5.9538811606536752</v>
      </c>
      <c r="Q232" s="271">
        <f t="shared" si="26"/>
        <v>9.3822243213858645</v>
      </c>
      <c r="R232" s="271">
        <f t="shared" si="26"/>
        <v>5.9538811606536752</v>
      </c>
      <c r="S232" s="271">
        <f t="shared" si="26"/>
        <v>5.9538811606536752</v>
      </c>
      <c r="T232" s="271">
        <f t="shared" si="26"/>
        <v>5.9538811606536752</v>
      </c>
      <c r="U232" s="271">
        <f t="shared" si="26"/>
        <v>5.9538811606536752</v>
      </c>
      <c r="V232" s="271">
        <f t="shared" si="26"/>
        <v>5.9538811606536752</v>
      </c>
      <c r="W232" s="271">
        <f t="shared" si="26"/>
        <v>5.9538811606536752</v>
      </c>
      <c r="X232" s="271">
        <f t="shared" si="26"/>
        <v>5.9538811606536752</v>
      </c>
      <c r="Y232" s="271">
        <f t="shared" si="26"/>
        <v>5.9538811606536752</v>
      </c>
    </row>
    <row r="233" spans="5:25" x14ac:dyDescent="0.25">
      <c r="F233" s="400" t="s">
        <v>47</v>
      </c>
      <c r="G233" s="14" t="s">
        <v>528</v>
      </c>
      <c r="J233" s="271">
        <f t="shared" ref="J233:Y233" si="27">J197 * J224 * hours_in_year</f>
        <v>5.3425074853731278</v>
      </c>
      <c r="K233" s="271">
        <f t="shared" si="27"/>
        <v>5.3425074853731278</v>
      </c>
      <c r="L233" s="271">
        <f t="shared" si="27"/>
        <v>5.3425074853731278</v>
      </c>
      <c r="M233" s="271">
        <f t="shared" si="27"/>
        <v>5.3425074853731278</v>
      </c>
      <c r="N233" s="271">
        <f t="shared" si="27"/>
        <v>5.3425074853731278</v>
      </c>
      <c r="O233" s="271">
        <f t="shared" si="27"/>
        <v>5.3425074853731278</v>
      </c>
      <c r="P233" s="271">
        <f t="shared" si="27"/>
        <v>5.3425074853731278</v>
      </c>
      <c r="Q233" s="271">
        <f t="shared" si="27"/>
        <v>11.126378604439152</v>
      </c>
      <c r="R233" s="271">
        <f t="shared" si="27"/>
        <v>5.3425074853731278</v>
      </c>
      <c r="S233" s="271">
        <f t="shared" si="27"/>
        <v>5.3425074853731278</v>
      </c>
      <c r="T233" s="271">
        <f t="shared" si="27"/>
        <v>5.3425074853731278</v>
      </c>
      <c r="U233" s="271">
        <f t="shared" si="27"/>
        <v>5.3425074853731278</v>
      </c>
      <c r="V233" s="271">
        <f t="shared" si="27"/>
        <v>5.3425074853731278</v>
      </c>
      <c r="W233" s="271">
        <f t="shared" si="27"/>
        <v>5.3425074853731278</v>
      </c>
      <c r="X233" s="271">
        <f t="shared" si="27"/>
        <v>5.3425074853731278</v>
      </c>
      <c r="Y233" s="271">
        <f t="shared" si="27"/>
        <v>5.3425074853731278</v>
      </c>
    </row>
    <row r="234" spans="5:25" x14ac:dyDescent="0.25">
      <c r="F234" s="400" t="s">
        <v>51</v>
      </c>
      <c r="G234" s="14" t="s">
        <v>528</v>
      </c>
      <c r="J234" s="271">
        <f t="shared" ref="J234:Y234" si="28">J202 * J224 * hours_in_year</f>
        <v>0</v>
      </c>
      <c r="K234" s="271">
        <f t="shared" si="28"/>
        <v>0</v>
      </c>
      <c r="L234" s="271">
        <f t="shared" si="28"/>
        <v>0</v>
      </c>
      <c r="M234" s="271">
        <f t="shared" si="28"/>
        <v>0</v>
      </c>
      <c r="N234" s="271">
        <f t="shared" si="28"/>
        <v>0</v>
      </c>
      <c r="O234" s="271">
        <f t="shared" si="28"/>
        <v>0</v>
      </c>
      <c r="P234" s="271">
        <f t="shared" si="28"/>
        <v>0</v>
      </c>
      <c r="Q234" s="271">
        <f t="shared" si="28"/>
        <v>0</v>
      </c>
      <c r="R234" s="271">
        <f t="shared" si="28"/>
        <v>0</v>
      </c>
      <c r="S234" s="271">
        <f t="shared" si="28"/>
        <v>0</v>
      </c>
      <c r="T234" s="271">
        <f t="shared" si="28"/>
        <v>0</v>
      </c>
      <c r="U234" s="271">
        <f t="shared" si="28"/>
        <v>0</v>
      </c>
      <c r="V234" s="271">
        <f t="shared" si="28"/>
        <v>0</v>
      </c>
      <c r="W234" s="271">
        <f t="shared" si="28"/>
        <v>0</v>
      </c>
      <c r="X234" s="271">
        <f t="shared" si="28"/>
        <v>0</v>
      </c>
      <c r="Y234" s="271">
        <f t="shared" si="28"/>
        <v>0</v>
      </c>
    </row>
    <row r="235" spans="5:25" x14ac:dyDescent="0.25">
      <c r="F235" s="400" t="s">
        <v>48</v>
      </c>
      <c r="G235" s="14" t="s">
        <v>528</v>
      </c>
      <c r="J235" s="271">
        <f t="shared" ref="J235:Y235" si="29">J207 * J224 * hours_in_year</f>
        <v>5.3425074853731278</v>
      </c>
      <c r="K235" s="271">
        <f t="shared" si="29"/>
        <v>5.3425074853731278</v>
      </c>
      <c r="L235" s="271">
        <f t="shared" si="29"/>
        <v>5.3425074853731278</v>
      </c>
      <c r="M235" s="271">
        <f t="shared" si="29"/>
        <v>5.3425074853731278</v>
      </c>
      <c r="N235" s="271">
        <f t="shared" si="29"/>
        <v>5.3425074853731278</v>
      </c>
      <c r="O235" s="271">
        <f t="shared" si="29"/>
        <v>5.3425074853731278</v>
      </c>
      <c r="P235" s="271">
        <f t="shared" si="29"/>
        <v>5.3425074853731278</v>
      </c>
      <c r="Q235" s="271">
        <f t="shared" si="29"/>
        <v>11.126378604439152</v>
      </c>
      <c r="R235" s="271">
        <f t="shared" si="29"/>
        <v>5.3425074853731278</v>
      </c>
      <c r="S235" s="271">
        <f t="shared" si="29"/>
        <v>5.3425074853731278</v>
      </c>
      <c r="T235" s="271">
        <f t="shared" si="29"/>
        <v>5.3425074853731278</v>
      </c>
      <c r="U235" s="271">
        <f t="shared" si="29"/>
        <v>5.3425074853731278</v>
      </c>
      <c r="V235" s="271">
        <f t="shared" si="29"/>
        <v>5.3425074853731278</v>
      </c>
      <c r="W235" s="271">
        <f t="shared" si="29"/>
        <v>5.3425074853731278</v>
      </c>
      <c r="X235" s="271">
        <f t="shared" si="29"/>
        <v>5.3425074853731278</v>
      </c>
      <c r="Y235" s="271">
        <f t="shared" si="29"/>
        <v>5.3425074853731278</v>
      </c>
    </row>
    <row r="236" spans="5:25" x14ac:dyDescent="0.25">
      <c r="F236" s="400" t="s">
        <v>49</v>
      </c>
      <c r="G236" s="14" t="s">
        <v>528</v>
      </c>
      <c r="J236" s="271">
        <f t="shared" ref="J236:Y236" si="30">J212 * J224 * hours_in_year</f>
        <v>5.3425074853731278</v>
      </c>
      <c r="K236" s="271">
        <f t="shared" si="30"/>
        <v>5.3425074853731278</v>
      </c>
      <c r="L236" s="271">
        <f t="shared" si="30"/>
        <v>5.3425074853731278</v>
      </c>
      <c r="M236" s="271">
        <f t="shared" si="30"/>
        <v>5.3425074853731278</v>
      </c>
      <c r="N236" s="271">
        <f t="shared" si="30"/>
        <v>5.3425074853731278</v>
      </c>
      <c r="O236" s="271">
        <f t="shared" si="30"/>
        <v>5.3425074853731278</v>
      </c>
      <c r="P236" s="271">
        <f t="shared" si="30"/>
        <v>5.3425074853731278</v>
      </c>
      <c r="Q236" s="271">
        <f t="shared" si="30"/>
        <v>11.126378604439152</v>
      </c>
      <c r="R236" s="271">
        <f t="shared" si="30"/>
        <v>5.3425074853731278</v>
      </c>
      <c r="S236" s="271">
        <f t="shared" si="30"/>
        <v>5.3425074853731278</v>
      </c>
      <c r="T236" s="271">
        <f t="shared" si="30"/>
        <v>5.3425074853731278</v>
      </c>
      <c r="U236" s="271">
        <f t="shared" si="30"/>
        <v>5.3425074853731278</v>
      </c>
      <c r="V236" s="271">
        <f t="shared" si="30"/>
        <v>5.3425074853731278</v>
      </c>
      <c r="W236" s="271">
        <f t="shared" si="30"/>
        <v>5.3425074853731278</v>
      </c>
      <c r="X236" s="271">
        <f t="shared" si="30"/>
        <v>5.3425074853731278</v>
      </c>
      <c r="Y236" s="271">
        <f t="shared" si="30"/>
        <v>5.3425074853731278</v>
      </c>
    </row>
    <row r="237" spans="5:25" x14ac:dyDescent="0.25">
      <c r="F237" s="116" t="s">
        <v>50</v>
      </c>
      <c r="G237" s="15" t="s">
        <v>528</v>
      </c>
      <c r="H237" s="93"/>
      <c r="I237" s="93"/>
      <c r="J237" s="271">
        <f t="shared" ref="J237:Y237" si="31">J217 * J224 * hours_in_year</f>
        <v>5.3425074853731278</v>
      </c>
      <c r="K237" s="271">
        <f t="shared" si="31"/>
        <v>5.3425074853731278</v>
      </c>
      <c r="L237" s="271">
        <f t="shared" si="31"/>
        <v>5.3425074853731278</v>
      </c>
      <c r="M237" s="271">
        <f t="shared" si="31"/>
        <v>5.3425074853731278</v>
      </c>
      <c r="N237" s="271">
        <f t="shared" si="31"/>
        <v>5.3425074853731278</v>
      </c>
      <c r="O237" s="271">
        <f t="shared" si="31"/>
        <v>5.3425074853731278</v>
      </c>
      <c r="P237" s="271">
        <f t="shared" si="31"/>
        <v>5.3425074853731278</v>
      </c>
      <c r="Q237" s="271">
        <f t="shared" si="31"/>
        <v>11.126378604439152</v>
      </c>
      <c r="R237" s="271">
        <f t="shared" si="31"/>
        <v>5.3425074853731278</v>
      </c>
      <c r="S237" s="271">
        <f t="shared" si="31"/>
        <v>5.3425074853731278</v>
      </c>
      <c r="T237" s="271">
        <f t="shared" si="31"/>
        <v>5.3425074853731278</v>
      </c>
      <c r="U237" s="271">
        <f t="shared" si="31"/>
        <v>5.3425074853731278</v>
      </c>
      <c r="V237" s="271">
        <f t="shared" si="31"/>
        <v>5.3425074853731278</v>
      </c>
      <c r="W237" s="271">
        <f t="shared" si="31"/>
        <v>5.3425074853731278</v>
      </c>
      <c r="X237" s="271">
        <f t="shared" si="31"/>
        <v>5.3425074853731278</v>
      </c>
      <c r="Y237" s="271">
        <f t="shared" si="31"/>
        <v>5.3425074853731278</v>
      </c>
    </row>
    <row r="238" spans="5:25" x14ac:dyDescent="0.25">
      <c r="G238" s="14"/>
      <c r="J238" s="276"/>
      <c r="K238" s="276"/>
      <c r="L238" s="276"/>
      <c r="M238" s="276"/>
      <c r="N238" s="276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</row>
    <row r="239" spans="5:25" x14ac:dyDescent="0.25">
      <c r="E239" s="96" t="s">
        <v>135</v>
      </c>
      <c r="G239" s="14"/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  <c r="U239" s="253"/>
      <c r="V239" s="253"/>
      <c r="W239" s="253"/>
      <c r="X239" s="253"/>
      <c r="Y239" s="253"/>
    </row>
    <row r="240" spans="5:25" x14ac:dyDescent="0.25">
      <c r="F240" s="16" t="s">
        <v>43</v>
      </c>
      <c r="G240" s="16" t="s">
        <v>528</v>
      </c>
      <c r="H240" s="91"/>
      <c r="I240" s="91"/>
      <c r="J240" s="271">
        <f t="shared" ref="J240:Y240" si="32">J178 * J225 * hours_in_year</f>
        <v>0.76626427867913516</v>
      </c>
      <c r="K240" s="271">
        <f t="shared" si="32"/>
        <v>0.76626427867913516</v>
      </c>
      <c r="L240" s="271">
        <f t="shared" si="32"/>
        <v>0.76626427867913516</v>
      </c>
      <c r="M240" s="271">
        <f t="shared" si="32"/>
        <v>0.76626427867913516</v>
      </c>
      <c r="N240" s="271">
        <f t="shared" si="32"/>
        <v>0.76626427867913516</v>
      </c>
      <c r="O240" s="271">
        <f t="shared" si="32"/>
        <v>0.76626427867913516</v>
      </c>
      <c r="P240" s="271">
        <f t="shared" si="32"/>
        <v>0.76626427867913516</v>
      </c>
      <c r="Q240" s="271">
        <f t="shared" si="32"/>
        <v>1.1220976042642572</v>
      </c>
      <c r="R240" s="271">
        <f t="shared" si="32"/>
        <v>0.76626427867913516</v>
      </c>
      <c r="S240" s="271">
        <f t="shared" si="32"/>
        <v>0.76626427867913516</v>
      </c>
      <c r="T240" s="271">
        <f t="shared" si="32"/>
        <v>0.76626427867913516</v>
      </c>
      <c r="U240" s="271">
        <f t="shared" si="32"/>
        <v>0.76626427867913516</v>
      </c>
      <c r="V240" s="271">
        <f t="shared" si="32"/>
        <v>0.76626427867913516</v>
      </c>
      <c r="W240" s="271">
        <f t="shared" si="32"/>
        <v>0.76626427867913516</v>
      </c>
      <c r="X240" s="271">
        <f t="shared" si="32"/>
        <v>0.76626427867913516</v>
      </c>
      <c r="Y240" s="271">
        <f t="shared" si="32"/>
        <v>0.76626427867913516</v>
      </c>
    </row>
    <row r="241" spans="5:25" x14ac:dyDescent="0.25">
      <c r="F241" s="14" t="s">
        <v>44</v>
      </c>
      <c r="G241" s="14" t="s">
        <v>528</v>
      </c>
      <c r="J241" s="271">
        <f t="shared" ref="J241:Y241" si="33">J183 * J225 * hours_in_year</f>
        <v>0.76626427867913516</v>
      </c>
      <c r="K241" s="271">
        <f t="shared" si="33"/>
        <v>0.76626427867913516</v>
      </c>
      <c r="L241" s="271">
        <f t="shared" si="33"/>
        <v>0.76626427867913516</v>
      </c>
      <c r="M241" s="271">
        <f t="shared" si="33"/>
        <v>0.76626427867913516</v>
      </c>
      <c r="N241" s="271">
        <f t="shared" si="33"/>
        <v>0.76626427867913516</v>
      </c>
      <c r="O241" s="271">
        <f t="shared" si="33"/>
        <v>0.76626427867913516</v>
      </c>
      <c r="P241" s="271">
        <f t="shared" si="33"/>
        <v>0.76626427867913516</v>
      </c>
      <c r="Q241" s="271">
        <f t="shared" si="33"/>
        <v>1.1220976042642572</v>
      </c>
      <c r="R241" s="271">
        <f t="shared" si="33"/>
        <v>0.76626427867913516</v>
      </c>
      <c r="S241" s="271">
        <f t="shared" si="33"/>
        <v>0.76626427867913516</v>
      </c>
      <c r="T241" s="271">
        <f t="shared" si="33"/>
        <v>0.76626427867913516</v>
      </c>
      <c r="U241" s="271">
        <f t="shared" si="33"/>
        <v>0.76626427867913516</v>
      </c>
      <c r="V241" s="271">
        <f t="shared" si="33"/>
        <v>0.76626427867913516</v>
      </c>
      <c r="W241" s="271">
        <f t="shared" si="33"/>
        <v>0.76626427867913516</v>
      </c>
      <c r="X241" s="271">
        <f t="shared" si="33"/>
        <v>0.76626427867913516</v>
      </c>
      <c r="Y241" s="271">
        <f t="shared" si="33"/>
        <v>0.76626427867913516</v>
      </c>
    </row>
    <row r="242" spans="5:25" x14ac:dyDescent="0.25">
      <c r="F242" s="14" t="s">
        <v>45</v>
      </c>
      <c r="G242" s="14" t="s">
        <v>528</v>
      </c>
      <c r="J242" s="271">
        <f t="shared" ref="J242:Y242" si="34">J188 * J225 * hours_in_year</f>
        <v>0.95778507252416223</v>
      </c>
      <c r="K242" s="271">
        <f t="shared" si="34"/>
        <v>0.95778507252416223</v>
      </c>
      <c r="L242" s="271">
        <f t="shared" si="34"/>
        <v>0.95778507252416223</v>
      </c>
      <c r="M242" s="271">
        <f t="shared" si="34"/>
        <v>0.95778507252416223</v>
      </c>
      <c r="N242" s="271">
        <f t="shared" si="34"/>
        <v>0.95778507252416223</v>
      </c>
      <c r="O242" s="271">
        <f t="shared" si="34"/>
        <v>0.95778507252416223</v>
      </c>
      <c r="P242" s="271">
        <f t="shared" si="34"/>
        <v>0.95778507252416223</v>
      </c>
      <c r="Q242" s="271">
        <f t="shared" si="34"/>
        <v>1.3987331792582367</v>
      </c>
      <c r="R242" s="271">
        <f t="shared" si="34"/>
        <v>0.95778507252416223</v>
      </c>
      <c r="S242" s="271">
        <f t="shared" si="34"/>
        <v>0.95778507252416223</v>
      </c>
      <c r="T242" s="271">
        <f t="shared" si="34"/>
        <v>0.95778507252416223</v>
      </c>
      <c r="U242" s="271">
        <f t="shared" si="34"/>
        <v>0.95778507252416223</v>
      </c>
      <c r="V242" s="271">
        <f t="shared" si="34"/>
        <v>0.95778507252416223</v>
      </c>
      <c r="W242" s="271">
        <f t="shared" si="34"/>
        <v>0.95778507252416223</v>
      </c>
      <c r="X242" s="271">
        <f t="shared" si="34"/>
        <v>0.95778507252416223</v>
      </c>
      <c r="Y242" s="271">
        <f t="shared" si="34"/>
        <v>0.95778507252416223</v>
      </c>
    </row>
    <row r="243" spans="5:25" x14ac:dyDescent="0.25">
      <c r="F243" s="14" t="s">
        <v>46</v>
      </c>
      <c r="G243" s="14" t="s">
        <v>528</v>
      </c>
      <c r="J243" s="271">
        <f t="shared" ref="J243:Y243" si="35">J193 * J225 * hours_in_year</f>
        <v>0.95778507252416223</v>
      </c>
      <c r="K243" s="271">
        <f t="shared" si="35"/>
        <v>0.95778507252416223</v>
      </c>
      <c r="L243" s="271">
        <f t="shared" si="35"/>
        <v>0.95778507252416223</v>
      </c>
      <c r="M243" s="271">
        <f t="shared" si="35"/>
        <v>0.95778507252416223</v>
      </c>
      <c r="N243" s="271">
        <f t="shared" si="35"/>
        <v>0.95778507252416223</v>
      </c>
      <c r="O243" s="271">
        <f t="shared" si="35"/>
        <v>0.95778507252416223</v>
      </c>
      <c r="P243" s="271">
        <f t="shared" si="35"/>
        <v>0.95778507252416223</v>
      </c>
      <c r="Q243" s="271">
        <f t="shared" si="35"/>
        <v>1.3987331792582367</v>
      </c>
      <c r="R243" s="271">
        <f t="shared" si="35"/>
        <v>0.95778507252416223</v>
      </c>
      <c r="S243" s="271">
        <f t="shared" si="35"/>
        <v>0.95778507252416223</v>
      </c>
      <c r="T243" s="271">
        <f t="shared" si="35"/>
        <v>0.95778507252416223</v>
      </c>
      <c r="U243" s="271">
        <f t="shared" si="35"/>
        <v>0.95778507252416223</v>
      </c>
      <c r="V243" s="271">
        <f t="shared" si="35"/>
        <v>0.95778507252416223</v>
      </c>
      <c r="W243" s="271">
        <f t="shared" si="35"/>
        <v>0.95778507252416223</v>
      </c>
      <c r="X243" s="271">
        <f t="shared" si="35"/>
        <v>0.95778507252416223</v>
      </c>
      <c r="Y243" s="271">
        <f t="shared" si="35"/>
        <v>0.95778507252416223</v>
      </c>
    </row>
    <row r="244" spans="5:25" x14ac:dyDescent="0.25">
      <c r="F244" s="14" t="s">
        <v>47</v>
      </c>
      <c r="G244" s="14" t="s">
        <v>528</v>
      </c>
      <c r="J244" s="271">
        <f t="shared" ref="J244:Y244" si="36">J198 * J225 * hours_in_year</f>
        <v>1.2248492237801776</v>
      </c>
      <c r="K244" s="271">
        <f t="shared" si="36"/>
        <v>1.2248492237801776</v>
      </c>
      <c r="L244" s="271">
        <f t="shared" si="36"/>
        <v>1.2248492237801776</v>
      </c>
      <c r="M244" s="271">
        <f t="shared" si="36"/>
        <v>1.2248492237801776</v>
      </c>
      <c r="N244" s="271">
        <f t="shared" si="36"/>
        <v>1.2248492237801776</v>
      </c>
      <c r="O244" s="271">
        <f t="shared" si="36"/>
        <v>1.2248492237801776</v>
      </c>
      <c r="P244" s="271">
        <f t="shared" si="36"/>
        <v>1.2248492237801776</v>
      </c>
      <c r="Q244" s="271">
        <f t="shared" si="36"/>
        <v>1.3946734060546895</v>
      </c>
      <c r="R244" s="271">
        <f t="shared" si="36"/>
        <v>1.2248492237801776</v>
      </c>
      <c r="S244" s="271">
        <f t="shared" si="36"/>
        <v>1.2248492237801776</v>
      </c>
      <c r="T244" s="271">
        <f t="shared" si="36"/>
        <v>1.2248492237801776</v>
      </c>
      <c r="U244" s="271">
        <f t="shared" si="36"/>
        <v>1.2248492237801776</v>
      </c>
      <c r="V244" s="271">
        <f t="shared" si="36"/>
        <v>1.2248492237801776</v>
      </c>
      <c r="W244" s="271">
        <f t="shared" si="36"/>
        <v>1.2248492237801776</v>
      </c>
      <c r="X244" s="271">
        <f t="shared" si="36"/>
        <v>1.2248492237801776</v>
      </c>
      <c r="Y244" s="271">
        <f t="shared" si="36"/>
        <v>1.2248492237801776</v>
      </c>
    </row>
    <row r="245" spans="5:25" x14ac:dyDescent="0.25">
      <c r="F245" s="14" t="s">
        <v>51</v>
      </c>
      <c r="G245" s="14" t="s">
        <v>528</v>
      </c>
      <c r="J245" s="271">
        <f t="shared" ref="J245:Y245" si="37">J203 * J225 * hours_in_year</f>
        <v>0</v>
      </c>
      <c r="K245" s="271">
        <f t="shared" si="37"/>
        <v>0</v>
      </c>
      <c r="L245" s="271">
        <f t="shared" si="37"/>
        <v>0</v>
      </c>
      <c r="M245" s="271">
        <f t="shared" si="37"/>
        <v>0</v>
      </c>
      <c r="N245" s="271">
        <f t="shared" si="37"/>
        <v>0</v>
      </c>
      <c r="O245" s="271">
        <f t="shared" si="37"/>
        <v>0</v>
      </c>
      <c r="P245" s="271">
        <f t="shared" si="37"/>
        <v>0</v>
      </c>
      <c r="Q245" s="271">
        <f t="shared" si="37"/>
        <v>0</v>
      </c>
      <c r="R245" s="271">
        <f t="shared" si="37"/>
        <v>0</v>
      </c>
      <c r="S245" s="271">
        <f t="shared" si="37"/>
        <v>0</v>
      </c>
      <c r="T245" s="271">
        <f t="shared" si="37"/>
        <v>0</v>
      </c>
      <c r="U245" s="271">
        <f t="shared" si="37"/>
        <v>0</v>
      </c>
      <c r="V245" s="271">
        <f t="shared" si="37"/>
        <v>0</v>
      </c>
      <c r="W245" s="271">
        <f t="shared" si="37"/>
        <v>0</v>
      </c>
      <c r="X245" s="271">
        <f t="shared" si="37"/>
        <v>0</v>
      </c>
      <c r="Y245" s="271">
        <f t="shared" si="37"/>
        <v>0</v>
      </c>
    </row>
    <row r="246" spans="5:25" x14ac:dyDescent="0.25">
      <c r="F246" s="14" t="s">
        <v>48</v>
      </c>
      <c r="G246" s="14" t="s">
        <v>528</v>
      </c>
      <c r="J246" s="271">
        <f t="shared" ref="J246:Y246" si="38">J208 * J225 * hours_in_year</f>
        <v>1.2248492237801776</v>
      </c>
      <c r="K246" s="271">
        <f t="shared" si="38"/>
        <v>1.2248492237801776</v>
      </c>
      <c r="L246" s="271">
        <f t="shared" si="38"/>
        <v>1.2248492237801776</v>
      </c>
      <c r="M246" s="271">
        <f t="shared" si="38"/>
        <v>1.2248492237801776</v>
      </c>
      <c r="N246" s="271">
        <f t="shared" si="38"/>
        <v>1.2248492237801776</v>
      </c>
      <c r="O246" s="271">
        <f t="shared" si="38"/>
        <v>1.2248492237801776</v>
      </c>
      <c r="P246" s="271">
        <f t="shared" si="38"/>
        <v>1.2248492237801776</v>
      </c>
      <c r="Q246" s="271">
        <f t="shared" si="38"/>
        <v>1.3946734060546895</v>
      </c>
      <c r="R246" s="271">
        <f t="shared" si="38"/>
        <v>1.2248492237801776</v>
      </c>
      <c r="S246" s="271">
        <f t="shared" si="38"/>
        <v>1.2248492237801776</v>
      </c>
      <c r="T246" s="271">
        <f t="shared" si="38"/>
        <v>1.2248492237801776</v>
      </c>
      <c r="U246" s="271">
        <f t="shared" si="38"/>
        <v>1.2248492237801776</v>
      </c>
      <c r="V246" s="271">
        <f t="shared" si="38"/>
        <v>1.2248492237801776</v>
      </c>
      <c r="W246" s="271">
        <f t="shared" si="38"/>
        <v>1.2248492237801776</v>
      </c>
      <c r="X246" s="271">
        <f t="shared" si="38"/>
        <v>1.2248492237801776</v>
      </c>
      <c r="Y246" s="271">
        <f t="shared" si="38"/>
        <v>1.2248492237801776</v>
      </c>
    </row>
    <row r="247" spans="5:25" x14ac:dyDescent="0.25">
      <c r="F247" s="14" t="s">
        <v>49</v>
      </c>
      <c r="G247" s="14" t="s">
        <v>528</v>
      </c>
      <c r="J247" s="271">
        <f t="shared" ref="J247:Y247" si="39">J213 * J225 * hours_in_year</f>
        <v>1.2248492237801776</v>
      </c>
      <c r="K247" s="271">
        <f t="shared" si="39"/>
        <v>1.2248492237801776</v>
      </c>
      <c r="L247" s="271">
        <f t="shared" si="39"/>
        <v>1.2248492237801776</v>
      </c>
      <c r="M247" s="271">
        <f t="shared" si="39"/>
        <v>1.2248492237801776</v>
      </c>
      <c r="N247" s="271">
        <f t="shared" si="39"/>
        <v>1.2248492237801776</v>
      </c>
      <c r="O247" s="271">
        <f t="shared" si="39"/>
        <v>1.2248492237801776</v>
      </c>
      <c r="P247" s="271">
        <f t="shared" si="39"/>
        <v>1.2248492237801776</v>
      </c>
      <c r="Q247" s="271">
        <f t="shared" si="39"/>
        <v>1.3946734060546895</v>
      </c>
      <c r="R247" s="271">
        <f t="shared" si="39"/>
        <v>1.2248492237801776</v>
      </c>
      <c r="S247" s="271">
        <f t="shared" si="39"/>
        <v>1.2248492237801776</v>
      </c>
      <c r="T247" s="271">
        <f t="shared" si="39"/>
        <v>1.2248492237801776</v>
      </c>
      <c r="U247" s="271">
        <f t="shared" si="39"/>
        <v>1.2248492237801776</v>
      </c>
      <c r="V247" s="271">
        <f t="shared" si="39"/>
        <v>1.2248492237801776</v>
      </c>
      <c r="W247" s="271">
        <f t="shared" si="39"/>
        <v>1.2248492237801776</v>
      </c>
      <c r="X247" s="271">
        <f t="shared" si="39"/>
        <v>1.2248492237801776</v>
      </c>
      <c r="Y247" s="271">
        <f t="shared" si="39"/>
        <v>1.2248492237801776</v>
      </c>
    </row>
    <row r="248" spans="5:25" x14ac:dyDescent="0.25">
      <c r="F248" s="15" t="s">
        <v>50</v>
      </c>
      <c r="G248" s="15" t="s">
        <v>528</v>
      </c>
      <c r="H248" s="93"/>
      <c r="I248" s="93"/>
      <c r="J248" s="271">
        <f t="shared" ref="J248:Y248" si="40">J218 * J225 * hours_in_year</f>
        <v>1.2248492237801776</v>
      </c>
      <c r="K248" s="271">
        <f t="shared" si="40"/>
        <v>1.2248492237801776</v>
      </c>
      <c r="L248" s="271">
        <f t="shared" si="40"/>
        <v>1.2248492237801776</v>
      </c>
      <c r="M248" s="271">
        <f t="shared" si="40"/>
        <v>1.2248492237801776</v>
      </c>
      <c r="N248" s="271">
        <f t="shared" si="40"/>
        <v>1.2248492237801776</v>
      </c>
      <c r="O248" s="271">
        <f t="shared" si="40"/>
        <v>1.2248492237801776</v>
      </c>
      <c r="P248" s="271">
        <f t="shared" si="40"/>
        <v>1.2248492237801776</v>
      </c>
      <c r="Q248" s="271">
        <f t="shared" si="40"/>
        <v>1.3946734060546895</v>
      </c>
      <c r="R248" s="271">
        <f t="shared" si="40"/>
        <v>1.2248492237801776</v>
      </c>
      <c r="S248" s="271">
        <f t="shared" si="40"/>
        <v>1.2248492237801776</v>
      </c>
      <c r="T248" s="271">
        <f t="shared" si="40"/>
        <v>1.2248492237801776</v>
      </c>
      <c r="U248" s="271">
        <f t="shared" si="40"/>
        <v>1.2248492237801776</v>
      </c>
      <c r="V248" s="271">
        <f t="shared" si="40"/>
        <v>1.2248492237801776</v>
      </c>
      <c r="W248" s="271">
        <f t="shared" si="40"/>
        <v>1.2248492237801776</v>
      </c>
      <c r="X248" s="271">
        <f t="shared" si="40"/>
        <v>1.2248492237801776</v>
      </c>
      <c r="Y248" s="271">
        <f t="shared" si="40"/>
        <v>1.2248492237801776</v>
      </c>
    </row>
    <row r="249" spans="5:25" x14ac:dyDescent="0.25"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5:25" x14ac:dyDescent="0.25">
      <c r="E250" s="96" t="s">
        <v>136</v>
      </c>
      <c r="G250" s="14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5:25" x14ac:dyDescent="0.25">
      <c r="F251" s="16" t="s">
        <v>43</v>
      </c>
      <c r="G251" s="16" t="s">
        <v>528</v>
      </c>
      <c r="H251" s="91"/>
      <c r="I251" s="91"/>
      <c r="J251" s="271">
        <f t="shared" ref="J251:Y251" si="41">J179 * J226 * hours_in_year</f>
        <v>0.11617259148410086</v>
      </c>
      <c r="K251" s="271">
        <f t="shared" si="41"/>
        <v>0.11617259148410086</v>
      </c>
      <c r="L251" s="271">
        <f t="shared" si="41"/>
        <v>0.11617259148410086</v>
      </c>
      <c r="M251" s="271">
        <f t="shared" si="41"/>
        <v>0.11617259148410086</v>
      </c>
      <c r="N251" s="271">
        <f t="shared" si="41"/>
        <v>0.11617259148410086</v>
      </c>
      <c r="O251" s="271">
        <f t="shared" si="41"/>
        <v>0.11617259148410086</v>
      </c>
      <c r="P251" s="271">
        <f t="shared" si="41"/>
        <v>0.11617259148410086</v>
      </c>
      <c r="Q251" s="271">
        <f t="shared" si="41"/>
        <v>0.11617259148410086</v>
      </c>
      <c r="R251" s="271">
        <f t="shared" si="41"/>
        <v>0.11617259148410086</v>
      </c>
      <c r="S251" s="271">
        <f t="shared" si="41"/>
        <v>0.11617259148410086</v>
      </c>
      <c r="T251" s="271">
        <f t="shared" si="41"/>
        <v>0.11617259148410086</v>
      </c>
      <c r="U251" s="271">
        <f t="shared" si="41"/>
        <v>0.11617259148410086</v>
      </c>
      <c r="V251" s="271">
        <f t="shared" si="41"/>
        <v>0.11617259148410086</v>
      </c>
      <c r="W251" s="271">
        <f t="shared" si="41"/>
        <v>0.11617259148410086</v>
      </c>
      <c r="X251" s="271">
        <f t="shared" si="41"/>
        <v>0.11617259148410086</v>
      </c>
      <c r="Y251" s="271">
        <f t="shared" si="41"/>
        <v>0.11617259148410086</v>
      </c>
    </row>
    <row r="252" spans="5:25" x14ac:dyDescent="0.25">
      <c r="F252" s="14" t="s">
        <v>44</v>
      </c>
      <c r="G252" s="14" t="s">
        <v>528</v>
      </c>
      <c r="J252" s="271">
        <f t="shared" ref="J252:Y252" si="42">J184 * J226 * hours_in_year</f>
        <v>0.11617259148410086</v>
      </c>
      <c r="K252" s="271">
        <f t="shared" si="42"/>
        <v>0.11617259148410086</v>
      </c>
      <c r="L252" s="271">
        <f t="shared" si="42"/>
        <v>0.11617259148410086</v>
      </c>
      <c r="M252" s="271">
        <f t="shared" si="42"/>
        <v>0.11617259148410086</v>
      </c>
      <c r="N252" s="271">
        <f t="shared" si="42"/>
        <v>0.11617259148410086</v>
      </c>
      <c r="O252" s="271">
        <f t="shared" si="42"/>
        <v>0.11617259148410086</v>
      </c>
      <c r="P252" s="271">
        <f t="shared" si="42"/>
        <v>0.11617259148410086</v>
      </c>
      <c r="Q252" s="271">
        <f t="shared" si="42"/>
        <v>0.11617259148410086</v>
      </c>
      <c r="R252" s="271">
        <f t="shared" si="42"/>
        <v>0.11617259148410086</v>
      </c>
      <c r="S252" s="271">
        <f t="shared" si="42"/>
        <v>0.11617259148410086</v>
      </c>
      <c r="T252" s="271">
        <f t="shared" si="42"/>
        <v>0.11617259148410086</v>
      </c>
      <c r="U252" s="271">
        <f t="shared" si="42"/>
        <v>0.11617259148410086</v>
      </c>
      <c r="V252" s="271">
        <f t="shared" si="42"/>
        <v>0.11617259148410086</v>
      </c>
      <c r="W252" s="271">
        <f t="shared" si="42"/>
        <v>0.11617259148410086</v>
      </c>
      <c r="X252" s="271">
        <f t="shared" si="42"/>
        <v>0.11617259148410086</v>
      </c>
      <c r="Y252" s="271">
        <f t="shared" si="42"/>
        <v>0.11617259148410086</v>
      </c>
    </row>
    <row r="253" spans="5:25" x14ac:dyDescent="0.25">
      <c r="F253" s="14" t="s">
        <v>45</v>
      </c>
      <c r="G253" s="14" t="s">
        <v>528</v>
      </c>
      <c r="J253" s="271">
        <f t="shared" ref="J253:Y253" si="43">J189 * J226 * hours_in_year</f>
        <v>0.18091469807146596</v>
      </c>
      <c r="K253" s="271">
        <f t="shared" si="43"/>
        <v>0.18091469807146596</v>
      </c>
      <c r="L253" s="271">
        <f t="shared" si="43"/>
        <v>0.18091469807146596</v>
      </c>
      <c r="M253" s="271">
        <f t="shared" si="43"/>
        <v>0.18091469807146596</v>
      </c>
      <c r="N253" s="271">
        <f t="shared" si="43"/>
        <v>0.18091469807146596</v>
      </c>
      <c r="O253" s="271">
        <f t="shared" si="43"/>
        <v>0.18091469807146596</v>
      </c>
      <c r="P253" s="271">
        <f t="shared" si="43"/>
        <v>0.18091469807146596</v>
      </c>
      <c r="Q253" s="271">
        <f t="shared" si="43"/>
        <v>0.18091469807146596</v>
      </c>
      <c r="R253" s="271">
        <f t="shared" si="43"/>
        <v>0.18091469807146596</v>
      </c>
      <c r="S253" s="271">
        <f t="shared" si="43"/>
        <v>0.18091469807146596</v>
      </c>
      <c r="T253" s="271">
        <f t="shared" si="43"/>
        <v>0.18091469807146596</v>
      </c>
      <c r="U253" s="271">
        <f t="shared" si="43"/>
        <v>0.18091469807146596</v>
      </c>
      <c r="V253" s="271">
        <f t="shared" si="43"/>
        <v>0.18091469807146596</v>
      </c>
      <c r="W253" s="271">
        <f t="shared" si="43"/>
        <v>0.18091469807146596</v>
      </c>
      <c r="X253" s="271">
        <f t="shared" si="43"/>
        <v>0.18091469807146596</v>
      </c>
      <c r="Y253" s="271">
        <f t="shared" si="43"/>
        <v>0.18091469807146596</v>
      </c>
    </row>
    <row r="254" spans="5:25" x14ac:dyDescent="0.25">
      <c r="F254" s="14" t="s">
        <v>46</v>
      </c>
      <c r="G254" s="14" t="s">
        <v>528</v>
      </c>
      <c r="J254" s="271">
        <f t="shared" ref="J254:Y254" si="44">J194 * J226 * hours_in_year</f>
        <v>0.18091469807146596</v>
      </c>
      <c r="K254" s="271">
        <f t="shared" si="44"/>
        <v>0.18091469807146596</v>
      </c>
      <c r="L254" s="271">
        <f t="shared" si="44"/>
        <v>0.18091469807146596</v>
      </c>
      <c r="M254" s="271">
        <f t="shared" si="44"/>
        <v>0.18091469807146596</v>
      </c>
      <c r="N254" s="271">
        <f t="shared" si="44"/>
        <v>0.18091469807146596</v>
      </c>
      <c r="O254" s="271">
        <f t="shared" si="44"/>
        <v>0.18091469807146596</v>
      </c>
      <c r="P254" s="271">
        <f t="shared" si="44"/>
        <v>0.18091469807146596</v>
      </c>
      <c r="Q254" s="271">
        <f t="shared" si="44"/>
        <v>0.18091469807146596</v>
      </c>
      <c r="R254" s="271">
        <f t="shared" si="44"/>
        <v>0.18091469807146596</v>
      </c>
      <c r="S254" s="271">
        <f t="shared" si="44"/>
        <v>0.18091469807146596</v>
      </c>
      <c r="T254" s="271">
        <f t="shared" si="44"/>
        <v>0.18091469807146596</v>
      </c>
      <c r="U254" s="271">
        <f t="shared" si="44"/>
        <v>0.18091469807146596</v>
      </c>
      <c r="V254" s="271">
        <f t="shared" si="44"/>
        <v>0.18091469807146596</v>
      </c>
      <c r="W254" s="271">
        <f t="shared" si="44"/>
        <v>0.18091469807146596</v>
      </c>
      <c r="X254" s="271">
        <f t="shared" si="44"/>
        <v>0.18091469807146596</v>
      </c>
      <c r="Y254" s="271">
        <f t="shared" si="44"/>
        <v>0.18091469807146596</v>
      </c>
    </row>
    <row r="255" spans="5:25" x14ac:dyDescent="0.25">
      <c r="F255" s="14" t="s">
        <v>47</v>
      </c>
      <c r="G255" s="14" t="s">
        <v>528</v>
      </c>
      <c r="J255" s="271">
        <f t="shared" ref="J255:Y255" si="45">J199 * J226 * hours_in_year</f>
        <v>8.573186022241143E-2</v>
      </c>
      <c r="K255" s="271">
        <f t="shared" si="45"/>
        <v>8.573186022241143E-2</v>
      </c>
      <c r="L255" s="271">
        <f t="shared" si="45"/>
        <v>8.573186022241143E-2</v>
      </c>
      <c r="M255" s="271">
        <f t="shared" si="45"/>
        <v>8.573186022241143E-2</v>
      </c>
      <c r="N255" s="271">
        <f t="shared" si="45"/>
        <v>8.573186022241143E-2</v>
      </c>
      <c r="O255" s="271">
        <f t="shared" si="45"/>
        <v>8.573186022241143E-2</v>
      </c>
      <c r="P255" s="271">
        <f t="shared" si="45"/>
        <v>8.573186022241143E-2</v>
      </c>
      <c r="Q255" s="271">
        <f t="shared" si="45"/>
        <v>8.573186022241143E-2</v>
      </c>
      <c r="R255" s="271">
        <f t="shared" si="45"/>
        <v>8.573186022241143E-2</v>
      </c>
      <c r="S255" s="271">
        <f t="shared" si="45"/>
        <v>8.573186022241143E-2</v>
      </c>
      <c r="T255" s="271">
        <f t="shared" si="45"/>
        <v>8.573186022241143E-2</v>
      </c>
      <c r="U255" s="271">
        <f t="shared" si="45"/>
        <v>8.573186022241143E-2</v>
      </c>
      <c r="V255" s="271">
        <f t="shared" si="45"/>
        <v>8.573186022241143E-2</v>
      </c>
      <c r="W255" s="271">
        <f t="shared" si="45"/>
        <v>8.573186022241143E-2</v>
      </c>
      <c r="X255" s="271">
        <f t="shared" si="45"/>
        <v>8.573186022241143E-2</v>
      </c>
      <c r="Y255" s="271">
        <f t="shared" si="45"/>
        <v>8.573186022241143E-2</v>
      </c>
    </row>
    <row r="256" spans="5:25" x14ac:dyDescent="0.25">
      <c r="F256" s="14" t="s">
        <v>51</v>
      </c>
      <c r="G256" s="14" t="s">
        <v>528</v>
      </c>
      <c r="J256" s="271">
        <f t="shared" ref="J256:Y256" si="46">J204 * J226 * hours_in_year</f>
        <v>0</v>
      </c>
      <c r="K256" s="271">
        <f t="shared" si="46"/>
        <v>0</v>
      </c>
      <c r="L256" s="271">
        <f t="shared" si="46"/>
        <v>0</v>
      </c>
      <c r="M256" s="271">
        <f t="shared" si="46"/>
        <v>0</v>
      </c>
      <c r="N256" s="271">
        <f t="shared" si="46"/>
        <v>0</v>
      </c>
      <c r="O256" s="271">
        <f t="shared" si="46"/>
        <v>0</v>
      </c>
      <c r="P256" s="271">
        <f t="shared" si="46"/>
        <v>0</v>
      </c>
      <c r="Q256" s="271">
        <f t="shared" si="46"/>
        <v>0</v>
      </c>
      <c r="R256" s="271">
        <f t="shared" si="46"/>
        <v>0</v>
      </c>
      <c r="S256" s="271">
        <f t="shared" si="46"/>
        <v>0</v>
      </c>
      <c r="T256" s="271">
        <f t="shared" si="46"/>
        <v>0</v>
      </c>
      <c r="U256" s="271">
        <f t="shared" si="46"/>
        <v>0</v>
      </c>
      <c r="V256" s="271">
        <f t="shared" si="46"/>
        <v>0</v>
      </c>
      <c r="W256" s="271">
        <f t="shared" si="46"/>
        <v>0</v>
      </c>
      <c r="X256" s="271">
        <f t="shared" si="46"/>
        <v>0</v>
      </c>
      <c r="Y256" s="271">
        <f t="shared" si="46"/>
        <v>0</v>
      </c>
    </row>
    <row r="257" spans="2:27" x14ac:dyDescent="0.25">
      <c r="F257" s="14" t="s">
        <v>48</v>
      </c>
      <c r="G257" s="14" t="s">
        <v>528</v>
      </c>
      <c r="J257" s="271">
        <f t="shared" ref="J257:Y257" si="47">J209 * J226 * hours_in_year</f>
        <v>8.573186022241143E-2</v>
      </c>
      <c r="K257" s="271">
        <f t="shared" si="47"/>
        <v>8.573186022241143E-2</v>
      </c>
      <c r="L257" s="271">
        <f t="shared" si="47"/>
        <v>8.573186022241143E-2</v>
      </c>
      <c r="M257" s="271">
        <f t="shared" si="47"/>
        <v>8.573186022241143E-2</v>
      </c>
      <c r="N257" s="271">
        <f t="shared" si="47"/>
        <v>8.573186022241143E-2</v>
      </c>
      <c r="O257" s="271">
        <f t="shared" si="47"/>
        <v>8.573186022241143E-2</v>
      </c>
      <c r="P257" s="271">
        <f t="shared" si="47"/>
        <v>8.573186022241143E-2</v>
      </c>
      <c r="Q257" s="271">
        <f t="shared" si="47"/>
        <v>8.573186022241143E-2</v>
      </c>
      <c r="R257" s="271">
        <f t="shared" si="47"/>
        <v>8.573186022241143E-2</v>
      </c>
      <c r="S257" s="271">
        <f t="shared" si="47"/>
        <v>8.573186022241143E-2</v>
      </c>
      <c r="T257" s="271">
        <f t="shared" si="47"/>
        <v>8.573186022241143E-2</v>
      </c>
      <c r="U257" s="271">
        <f t="shared" si="47"/>
        <v>8.573186022241143E-2</v>
      </c>
      <c r="V257" s="271">
        <f t="shared" si="47"/>
        <v>8.573186022241143E-2</v>
      </c>
      <c r="W257" s="271">
        <f t="shared" si="47"/>
        <v>8.573186022241143E-2</v>
      </c>
      <c r="X257" s="271">
        <f t="shared" si="47"/>
        <v>8.573186022241143E-2</v>
      </c>
      <c r="Y257" s="271">
        <f t="shared" si="47"/>
        <v>8.573186022241143E-2</v>
      </c>
    </row>
    <row r="258" spans="2:27" x14ac:dyDescent="0.25">
      <c r="F258" s="14" t="s">
        <v>49</v>
      </c>
      <c r="G258" s="14" t="s">
        <v>528</v>
      </c>
      <c r="J258" s="271">
        <f t="shared" ref="J258:Y258" si="48">J214 * J226 * hours_in_year</f>
        <v>8.573186022241143E-2</v>
      </c>
      <c r="K258" s="271">
        <f t="shared" si="48"/>
        <v>8.573186022241143E-2</v>
      </c>
      <c r="L258" s="271">
        <f t="shared" si="48"/>
        <v>8.573186022241143E-2</v>
      </c>
      <c r="M258" s="271">
        <f t="shared" si="48"/>
        <v>8.573186022241143E-2</v>
      </c>
      <c r="N258" s="271">
        <f t="shared" si="48"/>
        <v>8.573186022241143E-2</v>
      </c>
      <c r="O258" s="271">
        <f t="shared" si="48"/>
        <v>8.573186022241143E-2</v>
      </c>
      <c r="P258" s="271">
        <f t="shared" si="48"/>
        <v>8.573186022241143E-2</v>
      </c>
      <c r="Q258" s="271">
        <f t="shared" si="48"/>
        <v>8.573186022241143E-2</v>
      </c>
      <c r="R258" s="271">
        <f t="shared" si="48"/>
        <v>8.573186022241143E-2</v>
      </c>
      <c r="S258" s="271">
        <f t="shared" si="48"/>
        <v>8.573186022241143E-2</v>
      </c>
      <c r="T258" s="271">
        <f t="shared" si="48"/>
        <v>8.573186022241143E-2</v>
      </c>
      <c r="U258" s="271">
        <f t="shared" si="48"/>
        <v>8.573186022241143E-2</v>
      </c>
      <c r="V258" s="271">
        <f t="shared" si="48"/>
        <v>8.573186022241143E-2</v>
      </c>
      <c r="W258" s="271">
        <f t="shared" si="48"/>
        <v>8.573186022241143E-2</v>
      </c>
      <c r="X258" s="271">
        <f t="shared" si="48"/>
        <v>8.573186022241143E-2</v>
      </c>
      <c r="Y258" s="271">
        <f t="shared" si="48"/>
        <v>8.573186022241143E-2</v>
      </c>
    </row>
    <row r="259" spans="2:27" x14ac:dyDescent="0.25">
      <c r="F259" s="15" t="s">
        <v>50</v>
      </c>
      <c r="G259" s="15" t="s">
        <v>528</v>
      </c>
      <c r="H259" s="93"/>
      <c r="I259" s="93"/>
      <c r="J259" s="271">
        <f t="shared" ref="J259:Y259" si="49">J219 * J226 * hours_in_year</f>
        <v>8.573186022241143E-2</v>
      </c>
      <c r="K259" s="271">
        <f t="shared" si="49"/>
        <v>8.573186022241143E-2</v>
      </c>
      <c r="L259" s="271">
        <f t="shared" si="49"/>
        <v>8.573186022241143E-2</v>
      </c>
      <c r="M259" s="271">
        <f t="shared" si="49"/>
        <v>8.573186022241143E-2</v>
      </c>
      <c r="N259" s="271">
        <f t="shared" si="49"/>
        <v>8.573186022241143E-2</v>
      </c>
      <c r="O259" s="271">
        <f t="shared" si="49"/>
        <v>8.573186022241143E-2</v>
      </c>
      <c r="P259" s="271">
        <f t="shared" si="49"/>
        <v>8.573186022241143E-2</v>
      </c>
      <c r="Q259" s="271">
        <f t="shared" si="49"/>
        <v>8.573186022241143E-2</v>
      </c>
      <c r="R259" s="271">
        <f t="shared" si="49"/>
        <v>8.573186022241143E-2</v>
      </c>
      <c r="S259" s="271">
        <f t="shared" si="49"/>
        <v>8.573186022241143E-2</v>
      </c>
      <c r="T259" s="271">
        <f t="shared" si="49"/>
        <v>8.573186022241143E-2</v>
      </c>
      <c r="U259" s="271">
        <f t="shared" si="49"/>
        <v>8.573186022241143E-2</v>
      </c>
      <c r="V259" s="271">
        <f t="shared" si="49"/>
        <v>8.573186022241143E-2</v>
      </c>
      <c r="W259" s="271">
        <f t="shared" si="49"/>
        <v>8.573186022241143E-2</v>
      </c>
      <c r="X259" s="271">
        <f t="shared" si="49"/>
        <v>8.573186022241143E-2</v>
      </c>
      <c r="Y259" s="271">
        <f t="shared" si="49"/>
        <v>8.573186022241143E-2</v>
      </c>
    </row>
    <row r="260" spans="2:27" x14ac:dyDescent="0.25"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</row>
    <row r="261" spans="2:27" x14ac:dyDescent="0.25">
      <c r="B261" s="95" t="s">
        <v>1066</v>
      </c>
      <c r="C261" s="72"/>
      <c r="D261" s="71"/>
      <c r="E261" s="71"/>
      <c r="F261" s="72"/>
      <c r="G261" s="72"/>
      <c r="H261" s="72"/>
      <c r="I261" s="72"/>
      <c r="J261" s="279"/>
      <c r="K261" s="279"/>
      <c r="L261" s="279"/>
      <c r="M261" s="279"/>
      <c r="N261" s="279"/>
      <c r="O261" s="279"/>
      <c r="P261" s="279"/>
      <c r="Q261" s="279"/>
      <c r="R261" s="279"/>
      <c r="S261" s="279"/>
      <c r="T261" s="279"/>
      <c r="U261" s="279"/>
      <c r="V261" s="279"/>
      <c r="W261" s="279"/>
      <c r="X261" s="279"/>
      <c r="Y261" s="279"/>
      <c r="Z261" s="72"/>
      <c r="AA261" s="72"/>
    </row>
    <row r="262" spans="2:27" x14ac:dyDescent="0.25">
      <c r="F262" s="14"/>
      <c r="G262" s="14"/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  <c r="U262" s="253"/>
      <c r="V262" s="253"/>
      <c r="W262" s="253"/>
      <c r="X262" s="253"/>
      <c r="Y262" s="253"/>
    </row>
    <row r="263" spans="2:27" x14ac:dyDescent="0.25">
      <c r="C263" s="82" t="s">
        <v>1119</v>
      </c>
      <c r="F263" s="14"/>
      <c r="G263" s="14"/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  <c r="U263" s="253"/>
      <c r="V263" s="253"/>
      <c r="W263" s="253"/>
      <c r="X263" s="253"/>
      <c r="Y263" s="253"/>
    </row>
    <row r="264" spans="2:27" x14ac:dyDescent="0.25">
      <c r="F264" s="14"/>
      <c r="G264" s="14"/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  <c r="U264" s="253"/>
      <c r="V264" s="253"/>
      <c r="W264" s="253"/>
      <c r="X264" s="253"/>
      <c r="Y264" s="253"/>
    </row>
    <row r="265" spans="2:27" x14ac:dyDescent="0.25">
      <c r="C265" s="7" t="str">
        <f ca="1">INDEX('Version control'!$H$34:$H$58,MATCH($A$1,'Version control'!$F$34:$F$58,0),1)&amp;"-K: Load coefficient"</f>
        <v>Section 508-K: Load coefficient</v>
      </c>
      <c r="D265" s="7"/>
      <c r="E265" s="7"/>
      <c r="F265" s="7"/>
      <c r="G265" s="7"/>
      <c r="H265" s="7"/>
      <c r="I265" s="7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7"/>
      <c r="AA265" s="7"/>
    </row>
    <row r="266" spans="2:27" x14ac:dyDescent="0.25">
      <c r="F266" s="14"/>
      <c r="G266" s="14"/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  <c r="U266" s="253"/>
      <c r="V266" s="253"/>
      <c r="W266" s="253"/>
      <c r="X266" s="253"/>
      <c r="Y266" s="253"/>
    </row>
    <row r="267" spans="2:27" x14ac:dyDescent="0.25">
      <c r="E267" s="14" t="s">
        <v>143</v>
      </c>
      <c r="G267" s="14" t="s">
        <v>528</v>
      </c>
      <c r="J267" s="257">
        <f>J89</f>
        <v>1.8738351254480285</v>
      </c>
      <c r="K267" s="257">
        <f t="shared" ref="K267:Y267" si="50">K89</f>
        <v>0</v>
      </c>
      <c r="L267" s="257">
        <f t="shared" si="50"/>
        <v>1.6149812734082396</v>
      </c>
      <c r="M267" s="257">
        <f t="shared" si="50"/>
        <v>0</v>
      </c>
      <c r="N267" s="257">
        <f t="shared" si="50"/>
        <v>1.4631147540983607</v>
      </c>
      <c r="O267" s="257">
        <f t="shared" si="50"/>
        <v>1.2724270776004403</v>
      </c>
      <c r="P267" s="257">
        <f t="shared" si="50"/>
        <v>1.1364452423698383</v>
      </c>
      <c r="Q267" s="257">
        <f t="shared" si="50"/>
        <v>1.8039772727272727</v>
      </c>
      <c r="R267" s="257">
        <f t="shared" si="50"/>
        <v>1</v>
      </c>
      <c r="S267" s="257">
        <f t="shared" si="50"/>
        <v>1</v>
      </c>
      <c r="T267" s="257">
        <f t="shared" si="50"/>
        <v>1</v>
      </c>
      <c r="U267" s="257">
        <f t="shared" si="50"/>
        <v>1</v>
      </c>
      <c r="V267" s="257">
        <f t="shared" si="50"/>
        <v>1</v>
      </c>
      <c r="W267" s="257">
        <f t="shared" si="50"/>
        <v>1</v>
      </c>
      <c r="X267" s="257">
        <f t="shared" si="50"/>
        <v>1</v>
      </c>
      <c r="Y267" s="257">
        <f t="shared" si="50"/>
        <v>1</v>
      </c>
    </row>
    <row r="268" spans="2:27" x14ac:dyDescent="0.25">
      <c r="F268" s="14"/>
      <c r="G268" s="14"/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  <c r="U268" s="253"/>
      <c r="V268" s="253"/>
      <c r="W268" s="253"/>
      <c r="X268" s="253"/>
      <c r="Y268" s="253"/>
    </row>
    <row r="269" spans="2:27" x14ac:dyDescent="0.25">
      <c r="C269" s="7" t="str">
        <f ca="1">INDEX('Version control'!$H$34:$H$58,MATCH($A$1,'Version control'!$F$34:$F$58,0),1)&amp;"-L: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7"/>
      <c r="AA269" s="7"/>
    </row>
    <row r="270" spans="2:27" x14ac:dyDescent="0.25">
      <c r="F270" s="14"/>
      <c r="G270" s="14"/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  <c r="U270" s="253"/>
      <c r="V270" s="253"/>
      <c r="W270" s="253"/>
      <c r="X270" s="253"/>
      <c r="Y270" s="253"/>
    </row>
    <row r="271" spans="2:27" x14ac:dyDescent="0.25">
      <c r="E271" s="96" t="s">
        <v>134</v>
      </c>
      <c r="G271" s="14"/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  <c r="U271" s="253"/>
      <c r="V271" s="253"/>
      <c r="W271" s="253"/>
      <c r="X271" s="253"/>
      <c r="Y271" s="253"/>
    </row>
    <row r="272" spans="2:27" x14ac:dyDescent="0.25">
      <c r="F272" s="16" t="s">
        <v>43</v>
      </c>
      <c r="G272" s="16" t="s">
        <v>528</v>
      </c>
      <c r="H272" s="91"/>
      <c r="I272" s="91"/>
      <c r="J272" s="255">
        <f>J229 * J$93</f>
        <v>9.455868814310227</v>
      </c>
      <c r="K272" s="255">
        <f t="shared" ref="K272:Y272" si="51">K229 * K$93</f>
        <v>9.455868814310227</v>
      </c>
      <c r="L272" s="255">
        <f t="shared" si="51"/>
        <v>11.744550098040067</v>
      </c>
      <c r="M272" s="255">
        <f t="shared" si="51"/>
        <v>11.744550098040067</v>
      </c>
      <c r="N272" s="255">
        <f t="shared" si="51"/>
        <v>9.5415652674243319</v>
      </c>
      <c r="O272" s="255">
        <f t="shared" si="51"/>
        <v>9.2757552861942649</v>
      </c>
      <c r="P272" s="255">
        <f t="shared" si="51"/>
        <v>8.4462172841449412</v>
      </c>
      <c r="Q272" s="255">
        <f t="shared" si="51"/>
        <v>17.191456131606252</v>
      </c>
      <c r="R272" s="255">
        <f t="shared" si="51"/>
        <v>7.1667980801306506</v>
      </c>
      <c r="S272" s="255">
        <f t="shared" si="51"/>
        <v>7.1667980801306506</v>
      </c>
      <c r="T272" s="255">
        <f t="shared" si="51"/>
        <v>7.1667980801306506</v>
      </c>
      <c r="U272" s="255">
        <f t="shared" si="51"/>
        <v>7.1667980801306506</v>
      </c>
      <c r="V272" s="255">
        <f t="shared" si="51"/>
        <v>7.1667980801306506</v>
      </c>
      <c r="W272" s="255">
        <f t="shared" si="51"/>
        <v>7.1667980801306506</v>
      </c>
      <c r="X272" s="255">
        <f t="shared" si="51"/>
        <v>7.1667980801306506</v>
      </c>
      <c r="Y272" s="255">
        <f t="shared" si="51"/>
        <v>7.1667980801306506</v>
      </c>
    </row>
    <row r="273" spans="5:25" x14ac:dyDescent="0.25">
      <c r="F273" s="14" t="s">
        <v>44</v>
      </c>
      <c r="G273" s="14" t="s">
        <v>528</v>
      </c>
      <c r="J273" s="257">
        <f t="shared" ref="J273:Y280" si="52">J230 * J$93</f>
        <v>9.455868814310227</v>
      </c>
      <c r="K273" s="257">
        <f t="shared" si="52"/>
        <v>9.455868814310227</v>
      </c>
      <c r="L273" s="257">
        <f t="shared" si="52"/>
        <v>11.744550098040067</v>
      </c>
      <c r="M273" s="257">
        <f t="shared" si="52"/>
        <v>11.744550098040067</v>
      </c>
      <c r="N273" s="257">
        <f t="shared" si="52"/>
        <v>9.5415652674243319</v>
      </c>
      <c r="O273" s="257">
        <f t="shared" si="52"/>
        <v>9.2757552861942649</v>
      </c>
      <c r="P273" s="257">
        <f t="shared" si="52"/>
        <v>8.4462172841449412</v>
      </c>
      <c r="Q273" s="257">
        <f t="shared" si="52"/>
        <v>17.191456131606252</v>
      </c>
      <c r="R273" s="257">
        <f t="shared" si="52"/>
        <v>7.1667980801306506</v>
      </c>
      <c r="S273" s="257">
        <f t="shared" si="52"/>
        <v>7.1667980801306506</v>
      </c>
      <c r="T273" s="257">
        <f t="shared" si="52"/>
        <v>7.1667980801306506</v>
      </c>
      <c r="U273" s="257">
        <f t="shared" si="52"/>
        <v>7.1667980801306506</v>
      </c>
      <c r="V273" s="257">
        <f t="shared" si="52"/>
        <v>7.1667980801306506</v>
      </c>
      <c r="W273" s="257">
        <f t="shared" si="52"/>
        <v>7.1667980801306506</v>
      </c>
      <c r="X273" s="257">
        <f t="shared" si="52"/>
        <v>7.1667980801306506</v>
      </c>
      <c r="Y273" s="257">
        <f t="shared" si="52"/>
        <v>7.1667980801306506</v>
      </c>
    </row>
    <row r="274" spans="5:25" x14ac:dyDescent="0.25">
      <c r="F274" s="14" t="s">
        <v>45</v>
      </c>
      <c r="G274" s="14" t="s">
        <v>528</v>
      </c>
      <c r="J274" s="257">
        <f t="shared" si="52"/>
        <v>7.8555470046266365</v>
      </c>
      <c r="K274" s="257">
        <f t="shared" si="52"/>
        <v>7.8555470046266365</v>
      </c>
      <c r="L274" s="257">
        <f t="shared" si="52"/>
        <v>9.7568893091793765</v>
      </c>
      <c r="M274" s="257">
        <f t="shared" si="52"/>
        <v>9.7568893091793765</v>
      </c>
      <c r="N274" s="257">
        <f t="shared" si="52"/>
        <v>7.9267400942080872</v>
      </c>
      <c r="O274" s="257">
        <f t="shared" si="52"/>
        <v>7.7059160913738198</v>
      </c>
      <c r="P274" s="257">
        <f t="shared" si="52"/>
        <v>7.0167700282050181</v>
      </c>
      <c r="Q274" s="257">
        <f t="shared" si="52"/>
        <v>10.932488997613858</v>
      </c>
      <c r="R274" s="257">
        <f t="shared" si="52"/>
        <v>5.9538811606536752</v>
      </c>
      <c r="S274" s="257">
        <f t="shared" si="52"/>
        <v>5.9538811606536752</v>
      </c>
      <c r="T274" s="257">
        <f t="shared" si="52"/>
        <v>5.9538811606536752</v>
      </c>
      <c r="U274" s="257">
        <f t="shared" si="52"/>
        <v>5.9538811606536752</v>
      </c>
      <c r="V274" s="257">
        <f t="shared" si="52"/>
        <v>5.9538811606536752</v>
      </c>
      <c r="W274" s="257">
        <f t="shared" si="52"/>
        <v>5.9538811606536752</v>
      </c>
      <c r="X274" s="257">
        <f t="shared" si="52"/>
        <v>5.9538811606536752</v>
      </c>
      <c r="Y274" s="257">
        <f t="shared" si="52"/>
        <v>5.9538811606536752</v>
      </c>
    </row>
    <row r="275" spans="5:25" x14ac:dyDescent="0.25">
      <c r="F275" s="14" t="s">
        <v>46</v>
      </c>
      <c r="G275" s="14" t="s">
        <v>528</v>
      </c>
      <c r="J275" s="257">
        <f t="shared" si="52"/>
        <v>7.8555470046266365</v>
      </c>
      <c r="K275" s="257">
        <f t="shared" si="52"/>
        <v>7.8555470046266365</v>
      </c>
      <c r="L275" s="257">
        <f t="shared" si="52"/>
        <v>9.7568893091793765</v>
      </c>
      <c r="M275" s="257">
        <f t="shared" si="52"/>
        <v>9.7568893091793765</v>
      </c>
      <c r="N275" s="257">
        <f t="shared" si="52"/>
        <v>7.9267400942080872</v>
      </c>
      <c r="O275" s="257">
        <f t="shared" si="52"/>
        <v>7.7059160913738198</v>
      </c>
      <c r="P275" s="257">
        <f t="shared" si="52"/>
        <v>7.0167700282050181</v>
      </c>
      <c r="Q275" s="257">
        <f t="shared" si="52"/>
        <v>10.932488997613858</v>
      </c>
      <c r="R275" s="257">
        <f t="shared" si="52"/>
        <v>5.9538811606536752</v>
      </c>
      <c r="S275" s="257">
        <f t="shared" si="52"/>
        <v>5.9538811606536752</v>
      </c>
      <c r="T275" s="257">
        <f t="shared" si="52"/>
        <v>5.9538811606536752</v>
      </c>
      <c r="U275" s="257">
        <f t="shared" si="52"/>
        <v>5.9538811606536752</v>
      </c>
      <c r="V275" s="257">
        <f t="shared" si="52"/>
        <v>5.9538811606536752</v>
      </c>
      <c r="W275" s="257">
        <f t="shared" si="52"/>
        <v>5.9538811606536752</v>
      </c>
      <c r="X275" s="257">
        <f t="shared" si="52"/>
        <v>5.9538811606536752</v>
      </c>
      <c r="Y275" s="257">
        <f t="shared" si="52"/>
        <v>5.9538811606536752</v>
      </c>
    </row>
    <row r="276" spans="5:25" x14ac:dyDescent="0.25">
      <c r="F276" s="14" t="s">
        <v>47</v>
      </c>
      <c r="G276" s="14" t="s">
        <v>528</v>
      </c>
      <c r="J276" s="257">
        <f t="shared" si="52"/>
        <v>7.0489009675346903</v>
      </c>
      <c r="K276" s="257">
        <f t="shared" si="52"/>
        <v>7.0489009675346903</v>
      </c>
      <c r="L276" s="257">
        <f t="shared" si="52"/>
        <v>8.7550041328881587</v>
      </c>
      <c r="M276" s="257">
        <f t="shared" si="52"/>
        <v>8.7550041328881587</v>
      </c>
      <c r="N276" s="257">
        <f t="shared" si="52"/>
        <v>7.112783602026842</v>
      </c>
      <c r="O276" s="257">
        <f t="shared" si="52"/>
        <v>6.914634889236174</v>
      </c>
      <c r="P276" s="257">
        <f t="shared" si="52"/>
        <v>6.2962537187610605</v>
      </c>
      <c r="Q276" s="257">
        <f t="shared" si="52"/>
        <v>12.964837282674322</v>
      </c>
      <c r="R276" s="257">
        <f t="shared" si="52"/>
        <v>5.3425074853731278</v>
      </c>
      <c r="S276" s="257">
        <f t="shared" si="52"/>
        <v>5.3425074853731278</v>
      </c>
      <c r="T276" s="257">
        <f t="shared" si="52"/>
        <v>5.3425074853731278</v>
      </c>
      <c r="U276" s="257">
        <f t="shared" si="52"/>
        <v>5.3425074853731278</v>
      </c>
      <c r="V276" s="257">
        <f t="shared" si="52"/>
        <v>5.3425074853731278</v>
      </c>
      <c r="W276" s="257">
        <f t="shared" si="52"/>
        <v>5.3425074853731278</v>
      </c>
      <c r="X276" s="257">
        <f t="shared" si="52"/>
        <v>5.3425074853731278</v>
      </c>
      <c r="Y276" s="257">
        <f t="shared" si="52"/>
        <v>5.3425074853731278</v>
      </c>
    </row>
    <row r="277" spans="5:25" x14ac:dyDescent="0.25">
      <c r="F277" s="14" t="s">
        <v>51</v>
      </c>
      <c r="G277" s="14" t="s">
        <v>528</v>
      </c>
      <c r="J277" s="257">
        <f t="shared" si="52"/>
        <v>0</v>
      </c>
      <c r="K277" s="257">
        <f t="shared" si="52"/>
        <v>0</v>
      </c>
      <c r="L277" s="257">
        <f t="shared" si="52"/>
        <v>0</v>
      </c>
      <c r="M277" s="257">
        <f t="shared" si="52"/>
        <v>0</v>
      </c>
      <c r="N277" s="257">
        <f t="shared" si="52"/>
        <v>0</v>
      </c>
      <c r="O277" s="257">
        <f t="shared" si="52"/>
        <v>0</v>
      </c>
      <c r="P277" s="257">
        <f t="shared" si="52"/>
        <v>0</v>
      </c>
      <c r="Q277" s="257">
        <f t="shared" si="52"/>
        <v>0</v>
      </c>
      <c r="R277" s="257">
        <f t="shared" si="52"/>
        <v>0</v>
      </c>
      <c r="S277" s="257">
        <f t="shared" si="52"/>
        <v>0</v>
      </c>
      <c r="T277" s="257">
        <f t="shared" si="52"/>
        <v>0</v>
      </c>
      <c r="U277" s="257">
        <f t="shared" si="52"/>
        <v>0</v>
      </c>
      <c r="V277" s="257">
        <f t="shared" si="52"/>
        <v>0</v>
      </c>
      <c r="W277" s="257">
        <f t="shared" si="52"/>
        <v>0</v>
      </c>
      <c r="X277" s="257">
        <f t="shared" si="52"/>
        <v>0</v>
      </c>
      <c r="Y277" s="257">
        <f t="shared" si="52"/>
        <v>0</v>
      </c>
    </row>
    <row r="278" spans="5:25" x14ac:dyDescent="0.25">
      <c r="F278" s="14" t="s">
        <v>48</v>
      </c>
      <c r="G278" s="14" t="s">
        <v>528</v>
      </c>
      <c r="J278" s="257">
        <f t="shared" si="52"/>
        <v>7.0489009675346903</v>
      </c>
      <c r="K278" s="257">
        <f t="shared" si="52"/>
        <v>7.0489009675346903</v>
      </c>
      <c r="L278" s="257">
        <f t="shared" si="52"/>
        <v>8.7550041328881587</v>
      </c>
      <c r="M278" s="257">
        <f t="shared" si="52"/>
        <v>8.7550041328881587</v>
      </c>
      <c r="N278" s="257">
        <f t="shared" si="52"/>
        <v>7.112783602026842</v>
      </c>
      <c r="O278" s="257">
        <f t="shared" si="52"/>
        <v>6.914634889236174</v>
      </c>
      <c r="P278" s="257">
        <f t="shared" si="52"/>
        <v>6.2962537187610605</v>
      </c>
      <c r="Q278" s="257">
        <f t="shared" si="52"/>
        <v>12.964837282674322</v>
      </c>
      <c r="R278" s="257">
        <f t="shared" si="52"/>
        <v>5.3425074853731278</v>
      </c>
      <c r="S278" s="257">
        <f t="shared" si="52"/>
        <v>5.3425074853731278</v>
      </c>
      <c r="T278" s="257">
        <f t="shared" si="52"/>
        <v>5.3425074853731278</v>
      </c>
      <c r="U278" s="257">
        <f t="shared" si="52"/>
        <v>5.3425074853731278</v>
      </c>
      <c r="V278" s="257">
        <f t="shared" si="52"/>
        <v>5.3425074853731278</v>
      </c>
      <c r="W278" s="257">
        <f t="shared" si="52"/>
        <v>5.3425074853731278</v>
      </c>
      <c r="X278" s="257">
        <f t="shared" si="52"/>
        <v>5.3425074853731278</v>
      </c>
      <c r="Y278" s="257">
        <f t="shared" si="52"/>
        <v>5.3425074853731278</v>
      </c>
    </row>
    <row r="279" spans="5:25" x14ac:dyDescent="0.25">
      <c r="F279" s="14" t="s">
        <v>49</v>
      </c>
      <c r="G279" s="14" t="s">
        <v>528</v>
      </c>
      <c r="J279" s="257">
        <f t="shared" si="52"/>
        <v>7.0489009675346903</v>
      </c>
      <c r="K279" s="257">
        <f t="shared" si="52"/>
        <v>7.0489009675346903</v>
      </c>
      <c r="L279" s="257">
        <f t="shared" si="52"/>
        <v>8.7550041328881587</v>
      </c>
      <c r="M279" s="257">
        <f t="shared" si="52"/>
        <v>8.7550041328881587</v>
      </c>
      <c r="N279" s="257">
        <f t="shared" si="52"/>
        <v>7.112783602026842</v>
      </c>
      <c r="O279" s="257">
        <f t="shared" si="52"/>
        <v>6.914634889236174</v>
      </c>
      <c r="P279" s="257">
        <f t="shared" si="52"/>
        <v>6.2962537187610605</v>
      </c>
      <c r="Q279" s="257">
        <f t="shared" si="52"/>
        <v>12.964837282674322</v>
      </c>
      <c r="R279" s="257">
        <f t="shared" si="52"/>
        <v>5.3425074853731278</v>
      </c>
      <c r="S279" s="257">
        <f t="shared" si="52"/>
        <v>5.3425074853731278</v>
      </c>
      <c r="T279" s="257">
        <f t="shared" si="52"/>
        <v>5.3425074853731278</v>
      </c>
      <c r="U279" s="257">
        <f t="shared" si="52"/>
        <v>5.3425074853731278</v>
      </c>
      <c r="V279" s="257">
        <f t="shared" si="52"/>
        <v>5.3425074853731278</v>
      </c>
      <c r="W279" s="257">
        <f t="shared" si="52"/>
        <v>5.3425074853731278</v>
      </c>
      <c r="X279" s="257">
        <f t="shared" si="52"/>
        <v>5.3425074853731278</v>
      </c>
      <c r="Y279" s="257">
        <f t="shared" si="52"/>
        <v>5.3425074853731278</v>
      </c>
    </row>
    <row r="280" spans="5:25" x14ac:dyDescent="0.25">
      <c r="F280" s="15" t="s">
        <v>50</v>
      </c>
      <c r="G280" s="15" t="s">
        <v>528</v>
      </c>
      <c r="H280" s="93"/>
      <c r="I280" s="93"/>
      <c r="J280" s="259">
        <f t="shared" si="52"/>
        <v>7.0489009675346903</v>
      </c>
      <c r="K280" s="259">
        <f t="shared" si="52"/>
        <v>7.0489009675346903</v>
      </c>
      <c r="L280" s="259">
        <f t="shared" si="52"/>
        <v>8.7550041328881587</v>
      </c>
      <c r="M280" s="259">
        <f t="shared" si="52"/>
        <v>8.7550041328881587</v>
      </c>
      <c r="N280" s="259">
        <f t="shared" si="52"/>
        <v>7.112783602026842</v>
      </c>
      <c r="O280" s="259">
        <f t="shared" si="52"/>
        <v>6.914634889236174</v>
      </c>
      <c r="P280" s="259">
        <f t="shared" si="52"/>
        <v>6.2962537187610605</v>
      </c>
      <c r="Q280" s="259">
        <f t="shared" si="52"/>
        <v>12.964837282674322</v>
      </c>
      <c r="R280" s="259">
        <f t="shared" si="52"/>
        <v>5.3425074853731278</v>
      </c>
      <c r="S280" s="259">
        <f t="shared" si="52"/>
        <v>5.3425074853731278</v>
      </c>
      <c r="T280" s="259">
        <f t="shared" si="52"/>
        <v>5.3425074853731278</v>
      </c>
      <c r="U280" s="259">
        <f t="shared" si="52"/>
        <v>5.3425074853731278</v>
      </c>
      <c r="V280" s="259">
        <f t="shared" si="52"/>
        <v>5.3425074853731278</v>
      </c>
      <c r="W280" s="259">
        <f t="shared" si="52"/>
        <v>5.3425074853731278</v>
      </c>
      <c r="X280" s="259">
        <f t="shared" si="52"/>
        <v>5.3425074853731278</v>
      </c>
      <c r="Y280" s="259">
        <f t="shared" si="52"/>
        <v>5.3425074853731278</v>
      </c>
    </row>
    <row r="281" spans="5:25" x14ac:dyDescent="0.25"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  <c r="U281" s="253"/>
      <c r="V281" s="253"/>
      <c r="W281" s="253"/>
      <c r="X281" s="253"/>
      <c r="Y281" s="253"/>
    </row>
    <row r="282" spans="5:25" x14ac:dyDescent="0.25">
      <c r="E282" s="96" t="s">
        <v>135</v>
      </c>
      <c r="F282" s="14"/>
      <c r="G282" s="14"/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  <c r="U282" s="253"/>
      <c r="V282" s="253"/>
      <c r="W282" s="253"/>
      <c r="X282" s="253"/>
      <c r="Y282" s="253"/>
    </row>
    <row r="283" spans="5:25" x14ac:dyDescent="0.25">
      <c r="F283" s="16" t="s">
        <v>43</v>
      </c>
      <c r="G283" s="16" t="s">
        <v>528</v>
      </c>
      <c r="H283" s="91"/>
      <c r="I283" s="91"/>
      <c r="J283" s="255">
        <f>J240 * J$93</f>
        <v>1.0110086003915804</v>
      </c>
      <c r="K283" s="255">
        <f t="shared" ref="K283:Y283" si="53">K240 * K$93</f>
        <v>1.0110086003915804</v>
      </c>
      <c r="L283" s="255">
        <f t="shared" si="53"/>
        <v>1.2557112825929622</v>
      </c>
      <c r="M283" s="255">
        <f t="shared" si="53"/>
        <v>1.2557112825929622</v>
      </c>
      <c r="N283" s="255">
        <f t="shared" si="53"/>
        <v>1.0201711483100009</v>
      </c>
      <c r="O283" s="255">
        <f t="shared" si="53"/>
        <v>0.99175110755321449</v>
      </c>
      <c r="P283" s="255">
        <f t="shared" si="53"/>
        <v>0.90305803546296959</v>
      </c>
      <c r="Q283" s="255">
        <f t="shared" si="53"/>
        <v>1.3075065456392576</v>
      </c>
      <c r="R283" s="255">
        <f t="shared" si="53"/>
        <v>0.76626427867913516</v>
      </c>
      <c r="S283" s="255">
        <f t="shared" si="53"/>
        <v>0.76626427867913516</v>
      </c>
      <c r="T283" s="255">
        <f t="shared" si="53"/>
        <v>0.76626427867913516</v>
      </c>
      <c r="U283" s="255">
        <f t="shared" si="53"/>
        <v>0.76626427867913516</v>
      </c>
      <c r="V283" s="255">
        <f t="shared" si="53"/>
        <v>0.76626427867913516</v>
      </c>
      <c r="W283" s="255">
        <f t="shared" si="53"/>
        <v>0.76626427867913516</v>
      </c>
      <c r="X283" s="255">
        <f t="shared" si="53"/>
        <v>0.76626427867913516</v>
      </c>
      <c r="Y283" s="255">
        <f t="shared" si="53"/>
        <v>0.76626427867913516</v>
      </c>
    </row>
    <row r="284" spans="5:25" x14ac:dyDescent="0.25">
      <c r="F284" s="14" t="s">
        <v>44</v>
      </c>
      <c r="G284" s="14" t="s">
        <v>528</v>
      </c>
      <c r="J284" s="257">
        <f t="shared" ref="J284:Y291" si="54">J241 * J$93</f>
        <v>1.0110086003915804</v>
      </c>
      <c r="K284" s="257">
        <f t="shared" si="54"/>
        <v>1.0110086003915804</v>
      </c>
      <c r="L284" s="257">
        <f t="shared" si="54"/>
        <v>1.2557112825929622</v>
      </c>
      <c r="M284" s="257">
        <f t="shared" si="54"/>
        <v>1.2557112825929622</v>
      </c>
      <c r="N284" s="257">
        <f t="shared" si="54"/>
        <v>1.0201711483100009</v>
      </c>
      <c r="O284" s="257">
        <f t="shared" si="54"/>
        <v>0.99175110755321449</v>
      </c>
      <c r="P284" s="257">
        <f t="shared" si="54"/>
        <v>0.90305803546296959</v>
      </c>
      <c r="Q284" s="257">
        <f t="shared" si="54"/>
        <v>1.3075065456392576</v>
      </c>
      <c r="R284" s="257">
        <f t="shared" si="54"/>
        <v>0.76626427867913516</v>
      </c>
      <c r="S284" s="257">
        <f t="shared" si="54"/>
        <v>0.76626427867913516</v>
      </c>
      <c r="T284" s="257">
        <f t="shared" si="54"/>
        <v>0.76626427867913516</v>
      </c>
      <c r="U284" s="257">
        <f t="shared" si="54"/>
        <v>0.76626427867913516</v>
      </c>
      <c r="V284" s="257">
        <f t="shared" si="54"/>
        <v>0.76626427867913516</v>
      </c>
      <c r="W284" s="257">
        <f t="shared" si="54"/>
        <v>0.76626427867913516</v>
      </c>
      <c r="X284" s="257">
        <f t="shared" si="54"/>
        <v>0.76626427867913516</v>
      </c>
      <c r="Y284" s="257">
        <f t="shared" si="54"/>
        <v>0.76626427867913516</v>
      </c>
    </row>
    <row r="285" spans="5:25" x14ac:dyDescent="0.25">
      <c r="F285" s="14" t="s">
        <v>45</v>
      </c>
      <c r="G285" s="14" t="s">
        <v>528</v>
      </c>
      <c r="J285" s="257">
        <f t="shared" si="54"/>
        <v>1.2637010135951787</v>
      </c>
      <c r="K285" s="257">
        <f t="shared" si="54"/>
        <v>1.2637010135951787</v>
      </c>
      <c r="L285" s="257">
        <f t="shared" si="54"/>
        <v>1.5695649077376961</v>
      </c>
      <c r="M285" s="257">
        <f t="shared" si="54"/>
        <v>1.5695649077376961</v>
      </c>
      <c r="N285" s="257">
        <f t="shared" si="54"/>
        <v>1.275153657110909</v>
      </c>
      <c r="O285" s="257">
        <f t="shared" si="54"/>
        <v>1.2396302854038268</v>
      </c>
      <c r="P285" s="257">
        <f t="shared" si="54"/>
        <v>1.1287691858484901</v>
      </c>
      <c r="Q285" s="257">
        <f t="shared" si="54"/>
        <v>1.6298517887685049</v>
      </c>
      <c r="R285" s="257">
        <f t="shared" si="54"/>
        <v>0.95778507252416223</v>
      </c>
      <c r="S285" s="257">
        <f t="shared" si="54"/>
        <v>0.95778507252416223</v>
      </c>
      <c r="T285" s="257">
        <f t="shared" si="54"/>
        <v>0.95778507252416223</v>
      </c>
      <c r="U285" s="257">
        <f t="shared" si="54"/>
        <v>0.95778507252416223</v>
      </c>
      <c r="V285" s="257">
        <f t="shared" si="54"/>
        <v>0.95778507252416223</v>
      </c>
      <c r="W285" s="257">
        <f t="shared" si="54"/>
        <v>0.95778507252416223</v>
      </c>
      <c r="X285" s="257">
        <f t="shared" si="54"/>
        <v>0.95778507252416223</v>
      </c>
      <c r="Y285" s="257">
        <f t="shared" si="54"/>
        <v>0.95778507252416223</v>
      </c>
    </row>
    <row r="286" spans="5:25" x14ac:dyDescent="0.25">
      <c r="F286" s="14" t="s">
        <v>46</v>
      </c>
      <c r="G286" s="14" t="s">
        <v>528</v>
      </c>
      <c r="J286" s="257">
        <f t="shared" si="54"/>
        <v>1.2637010135951787</v>
      </c>
      <c r="K286" s="257">
        <f t="shared" si="54"/>
        <v>1.2637010135951787</v>
      </c>
      <c r="L286" s="257">
        <f t="shared" si="54"/>
        <v>1.5695649077376961</v>
      </c>
      <c r="M286" s="257">
        <f t="shared" si="54"/>
        <v>1.5695649077376961</v>
      </c>
      <c r="N286" s="257">
        <f t="shared" si="54"/>
        <v>1.275153657110909</v>
      </c>
      <c r="O286" s="257">
        <f t="shared" si="54"/>
        <v>1.2396302854038268</v>
      </c>
      <c r="P286" s="257">
        <f t="shared" si="54"/>
        <v>1.1287691858484901</v>
      </c>
      <c r="Q286" s="257">
        <f t="shared" si="54"/>
        <v>1.6298517887685049</v>
      </c>
      <c r="R286" s="257">
        <f t="shared" si="54"/>
        <v>0.95778507252416223</v>
      </c>
      <c r="S286" s="257">
        <f t="shared" si="54"/>
        <v>0.95778507252416223</v>
      </c>
      <c r="T286" s="257">
        <f t="shared" si="54"/>
        <v>0.95778507252416223</v>
      </c>
      <c r="U286" s="257">
        <f t="shared" si="54"/>
        <v>0.95778507252416223</v>
      </c>
      <c r="V286" s="257">
        <f t="shared" si="54"/>
        <v>0.95778507252416223</v>
      </c>
      <c r="W286" s="257">
        <f t="shared" si="54"/>
        <v>0.95778507252416223</v>
      </c>
      <c r="X286" s="257">
        <f t="shared" si="54"/>
        <v>0.95778507252416223</v>
      </c>
      <c r="Y286" s="257">
        <f t="shared" si="54"/>
        <v>0.95778507252416223</v>
      </c>
    </row>
    <row r="287" spans="5:25" x14ac:dyDescent="0.25">
      <c r="F287" s="14" t="s">
        <v>47</v>
      </c>
      <c r="G287" s="14" t="s">
        <v>528</v>
      </c>
      <c r="J287" s="257">
        <f t="shared" si="54"/>
        <v>1.6160652843680967</v>
      </c>
      <c r="K287" s="257">
        <f t="shared" si="54"/>
        <v>1.6160652843680967</v>
      </c>
      <c r="L287" s="257">
        <f t="shared" si="54"/>
        <v>2.007214785514027</v>
      </c>
      <c r="M287" s="257">
        <f t="shared" si="54"/>
        <v>2.007214785514027</v>
      </c>
      <c r="N287" s="257">
        <f t="shared" si="54"/>
        <v>1.6307113275388305</v>
      </c>
      <c r="O287" s="257">
        <f t="shared" si="54"/>
        <v>1.5852827908977181</v>
      </c>
      <c r="P287" s="257">
        <f t="shared" si="54"/>
        <v>1.4435097192210913</v>
      </c>
      <c r="Q287" s="257">
        <f t="shared" si="54"/>
        <v>1.6251212020376569</v>
      </c>
      <c r="R287" s="257">
        <f t="shared" si="54"/>
        <v>1.2248492237801776</v>
      </c>
      <c r="S287" s="257">
        <f t="shared" si="54"/>
        <v>1.2248492237801776</v>
      </c>
      <c r="T287" s="257">
        <f t="shared" si="54"/>
        <v>1.2248492237801776</v>
      </c>
      <c r="U287" s="257">
        <f t="shared" si="54"/>
        <v>1.2248492237801776</v>
      </c>
      <c r="V287" s="257">
        <f t="shared" si="54"/>
        <v>1.2248492237801776</v>
      </c>
      <c r="W287" s="257">
        <f t="shared" si="54"/>
        <v>1.2248492237801776</v>
      </c>
      <c r="X287" s="257">
        <f t="shared" si="54"/>
        <v>1.2248492237801776</v>
      </c>
      <c r="Y287" s="257">
        <f t="shared" si="54"/>
        <v>1.2248492237801776</v>
      </c>
    </row>
    <row r="288" spans="5:25" x14ac:dyDescent="0.25">
      <c r="F288" s="14" t="s">
        <v>51</v>
      </c>
      <c r="G288" s="14" t="s">
        <v>528</v>
      </c>
      <c r="J288" s="257">
        <f t="shared" si="54"/>
        <v>0</v>
      </c>
      <c r="K288" s="257">
        <f t="shared" si="54"/>
        <v>0</v>
      </c>
      <c r="L288" s="257">
        <f t="shared" si="54"/>
        <v>0</v>
      </c>
      <c r="M288" s="257">
        <f t="shared" si="54"/>
        <v>0</v>
      </c>
      <c r="N288" s="257">
        <f t="shared" si="54"/>
        <v>0</v>
      </c>
      <c r="O288" s="257">
        <f t="shared" si="54"/>
        <v>0</v>
      </c>
      <c r="P288" s="257">
        <f t="shared" si="54"/>
        <v>0</v>
      </c>
      <c r="Q288" s="257">
        <f t="shared" si="54"/>
        <v>0</v>
      </c>
      <c r="R288" s="257">
        <f t="shared" si="54"/>
        <v>0</v>
      </c>
      <c r="S288" s="257">
        <f t="shared" si="54"/>
        <v>0</v>
      </c>
      <c r="T288" s="257">
        <f t="shared" si="54"/>
        <v>0</v>
      </c>
      <c r="U288" s="257">
        <f t="shared" si="54"/>
        <v>0</v>
      </c>
      <c r="V288" s="257">
        <f t="shared" si="54"/>
        <v>0</v>
      </c>
      <c r="W288" s="257">
        <f t="shared" si="54"/>
        <v>0</v>
      </c>
      <c r="X288" s="257">
        <f t="shared" si="54"/>
        <v>0</v>
      </c>
      <c r="Y288" s="257">
        <f t="shared" si="54"/>
        <v>0</v>
      </c>
    </row>
    <row r="289" spans="2:27" x14ac:dyDescent="0.25">
      <c r="F289" s="14" t="s">
        <v>48</v>
      </c>
      <c r="G289" s="14" t="s">
        <v>528</v>
      </c>
      <c r="J289" s="257">
        <f t="shared" si="54"/>
        <v>1.6160652843680967</v>
      </c>
      <c r="K289" s="257">
        <f t="shared" si="54"/>
        <v>1.6160652843680967</v>
      </c>
      <c r="L289" s="257">
        <f t="shared" si="54"/>
        <v>2.007214785514027</v>
      </c>
      <c r="M289" s="257">
        <f t="shared" si="54"/>
        <v>2.007214785514027</v>
      </c>
      <c r="N289" s="257">
        <f t="shared" si="54"/>
        <v>1.6307113275388305</v>
      </c>
      <c r="O289" s="257">
        <f t="shared" si="54"/>
        <v>1.5852827908977181</v>
      </c>
      <c r="P289" s="257">
        <f t="shared" si="54"/>
        <v>1.4435097192210913</v>
      </c>
      <c r="Q289" s="257">
        <f t="shared" si="54"/>
        <v>1.6251212020376569</v>
      </c>
      <c r="R289" s="257">
        <f t="shared" si="54"/>
        <v>1.2248492237801776</v>
      </c>
      <c r="S289" s="257">
        <f t="shared" si="54"/>
        <v>1.2248492237801776</v>
      </c>
      <c r="T289" s="257">
        <f t="shared" si="54"/>
        <v>1.2248492237801776</v>
      </c>
      <c r="U289" s="257">
        <f t="shared" si="54"/>
        <v>1.2248492237801776</v>
      </c>
      <c r="V289" s="257">
        <f t="shared" si="54"/>
        <v>1.2248492237801776</v>
      </c>
      <c r="W289" s="257">
        <f t="shared" si="54"/>
        <v>1.2248492237801776</v>
      </c>
      <c r="X289" s="257">
        <f t="shared" si="54"/>
        <v>1.2248492237801776</v>
      </c>
      <c r="Y289" s="257">
        <f t="shared" si="54"/>
        <v>1.2248492237801776</v>
      </c>
    </row>
    <row r="290" spans="2:27" x14ac:dyDescent="0.25">
      <c r="F290" s="14" t="s">
        <v>49</v>
      </c>
      <c r="G290" s="14" t="s">
        <v>528</v>
      </c>
      <c r="J290" s="257">
        <f t="shared" si="54"/>
        <v>1.6160652843680967</v>
      </c>
      <c r="K290" s="257">
        <f t="shared" si="54"/>
        <v>1.6160652843680967</v>
      </c>
      <c r="L290" s="257">
        <f t="shared" si="54"/>
        <v>2.007214785514027</v>
      </c>
      <c r="M290" s="257">
        <f t="shared" si="54"/>
        <v>2.007214785514027</v>
      </c>
      <c r="N290" s="257">
        <f t="shared" si="54"/>
        <v>1.6307113275388305</v>
      </c>
      <c r="O290" s="257">
        <f t="shared" si="54"/>
        <v>1.5852827908977181</v>
      </c>
      <c r="P290" s="257">
        <f t="shared" si="54"/>
        <v>1.4435097192210913</v>
      </c>
      <c r="Q290" s="257">
        <f t="shared" si="54"/>
        <v>1.6251212020376569</v>
      </c>
      <c r="R290" s="257">
        <f t="shared" si="54"/>
        <v>1.2248492237801776</v>
      </c>
      <c r="S290" s="257">
        <f t="shared" si="54"/>
        <v>1.2248492237801776</v>
      </c>
      <c r="T290" s="257">
        <f t="shared" si="54"/>
        <v>1.2248492237801776</v>
      </c>
      <c r="U290" s="257">
        <f t="shared" si="54"/>
        <v>1.2248492237801776</v>
      </c>
      <c r="V290" s="257">
        <f t="shared" si="54"/>
        <v>1.2248492237801776</v>
      </c>
      <c r="W290" s="257">
        <f t="shared" si="54"/>
        <v>1.2248492237801776</v>
      </c>
      <c r="X290" s="257">
        <f t="shared" si="54"/>
        <v>1.2248492237801776</v>
      </c>
      <c r="Y290" s="257">
        <f t="shared" si="54"/>
        <v>1.2248492237801776</v>
      </c>
    </row>
    <row r="291" spans="2:27" x14ac:dyDescent="0.25">
      <c r="F291" s="15" t="s">
        <v>50</v>
      </c>
      <c r="G291" s="15" t="s">
        <v>528</v>
      </c>
      <c r="H291" s="93"/>
      <c r="I291" s="93"/>
      <c r="J291" s="259">
        <f t="shared" si="54"/>
        <v>1.6160652843680967</v>
      </c>
      <c r="K291" s="259">
        <f t="shared" si="54"/>
        <v>1.6160652843680967</v>
      </c>
      <c r="L291" s="259">
        <f t="shared" si="54"/>
        <v>2.007214785514027</v>
      </c>
      <c r="M291" s="259">
        <f t="shared" si="54"/>
        <v>2.007214785514027</v>
      </c>
      <c r="N291" s="259">
        <f t="shared" si="54"/>
        <v>1.6307113275388305</v>
      </c>
      <c r="O291" s="259">
        <f t="shared" si="54"/>
        <v>1.5852827908977181</v>
      </c>
      <c r="P291" s="259">
        <f t="shared" si="54"/>
        <v>1.4435097192210913</v>
      </c>
      <c r="Q291" s="259">
        <f t="shared" si="54"/>
        <v>1.6251212020376569</v>
      </c>
      <c r="R291" s="259">
        <f t="shared" si="54"/>
        <v>1.2248492237801776</v>
      </c>
      <c r="S291" s="259">
        <f t="shared" si="54"/>
        <v>1.2248492237801776</v>
      </c>
      <c r="T291" s="259">
        <f t="shared" si="54"/>
        <v>1.2248492237801776</v>
      </c>
      <c r="U291" s="259">
        <f t="shared" si="54"/>
        <v>1.2248492237801776</v>
      </c>
      <c r="V291" s="259">
        <f t="shared" si="54"/>
        <v>1.2248492237801776</v>
      </c>
      <c r="W291" s="259">
        <f t="shared" si="54"/>
        <v>1.2248492237801776</v>
      </c>
      <c r="X291" s="259">
        <f t="shared" si="54"/>
        <v>1.2248492237801776</v>
      </c>
      <c r="Y291" s="259">
        <f t="shared" si="54"/>
        <v>1.2248492237801776</v>
      </c>
    </row>
    <row r="292" spans="2:27" x14ac:dyDescent="0.25"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  <c r="U292" s="253"/>
      <c r="V292" s="253"/>
      <c r="W292" s="253"/>
      <c r="X292" s="253"/>
      <c r="Y292" s="253"/>
    </row>
    <row r="293" spans="2:27" x14ac:dyDescent="0.25">
      <c r="E293" s="96" t="s">
        <v>136</v>
      </c>
      <c r="F293" s="14"/>
      <c r="G293" s="14"/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  <c r="U293" s="253"/>
      <c r="V293" s="253"/>
      <c r="W293" s="253"/>
      <c r="X293" s="253"/>
      <c r="Y293" s="253"/>
    </row>
    <row r="294" spans="2:27" x14ac:dyDescent="0.25">
      <c r="F294" s="16" t="s">
        <v>43</v>
      </c>
      <c r="G294" s="16" t="s">
        <v>528</v>
      </c>
      <c r="H294" s="91"/>
      <c r="I294" s="91"/>
      <c r="J294" s="255">
        <f>J251 * J$93</f>
        <v>0.15327804308281631</v>
      </c>
      <c r="K294" s="255">
        <f t="shared" ref="K294:Y294" si="55">K251 * K$93</f>
        <v>0.15327804308281631</v>
      </c>
      <c r="L294" s="255">
        <f t="shared" si="55"/>
        <v>0.19037718175524385</v>
      </c>
      <c r="M294" s="255">
        <f t="shared" si="55"/>
        <v>0.19037718175524385</v>
      </c>
      <c r="N294" s="255">
        <f t="shared" si="55"/>
        <v>0.15466716817437742</v>
      </c>
      <c r="O294" s="255">
        <f t="shared" si="55"/>
        <v>0.15035843308562855</v>
      </c>
      <c r="P294" s="255">
        <f t="shared" si="55"/>
        <v>0.13691176159368432</v>
      </c>
      <c r="Q294" s="255">
        <f t="shared" si="55"/>
        <v>0.13536828098740447</v>
      </c>
      <c r="R294" s="255">
        <f t="shared" si="55"/>
        <v>0.11617259148410086</v>
      </c>
      <c r="S294" s="255">
        <f t="shared" si="55"/>
        <v>0.11617259148410086</v>
      </c>
      <c r="T294" s="255">
        <f t="shared" si="55"/>
        <v>0.11617259148410086</v>
      </c>
      <c r="U294" s="255">
        <f t="shared" si="55"/>
        <v>0.11617259148410086</v>
      </c>
      <c r="V294" s="255">
        <f t="shared" si="55"/>
        <v>0.11617259148410086</v>
      </c>
      <c r="W294" s="255">
        <f t="shared" si="55"/>
        <v>0.11617259148410086</v>
      </c>
      <c r="X294" s="255">
        <f t="shared" si="55"/>
        <v>0.11617259148410086</v>
      </c>
      <c r="Y294" s="255">
        <f t="shared" si="55"/>
        <v>0.11617259148410086</v>
      </c>
    </row>
    <row r="295" spans="2:27" x14ac:dyDescent="0.25">
      <c r="F295" s="14" t="s">
        <v>44</v>
      </c>
      <c r="G295" s="14" t="s">
        <v>528</v>
      </c>
      <c r="J295" s="257">
        <f t="shared" ref="J295:Y302" si="56">J252 * J$93</f>
        <v>0.15327804308281631</v>
      </c>
      <c r="K295" s="257">
        <f t="shared" si="56"/>
        <v>0.15327804308281631</v>
      </c>
      <c r="L295" s="257">
        <f t="shared" si="56"/>
        <v>0.19037718175524385</v>
      </c>
      <c r="M295" s="257">
        <f t="shared" si="56"/>
        <v>0.19037718175524385</v>
      </c>
      <c r="N295" s="257">
        <f t="shared" si="56"/>
        <v>0.15466716817437742</v>
      </c>
      <c r="O295" s="257">
        <f t="shared" si="56"/>
        <v>0.15035843308562855</v>
      </c>
      <c r="P295" s="257">
        <f t="shared" si="56"/>
        <v>0.13691176159368432</v>
      </c>
      <c r="Q295" s="257">
        <f t="shared" si="56"/>
        <v>0.13536828098740447</v>
      </c>
      <c r="R295" s="257">
        <f t="shared" si="56"/>
        <v>0.11617259148410086</v>
      </c>
      <c r="S295" s="257">
        <f t="shared" si="56"/>
        <v>0.11617259148410086</v>
      </c>
      <c r="T295" s="257">
        <f t="shared" si="56"/>
        <v>0.11617259148410086</v>
      </c>
      <c r="U295" s="257">
        <f t="shared" si="56"/>
        <v>0.11617259148410086</v>
      </c>
      <c r="V295" s="257">
        <f t="shared" si="56"/>
        <v>0.11617259148410086</v>
      </c>
      <c r="W295" s="257">
        <f t="shared" si="56"/>
        <v>0.11617259148410086</v>
      </c>
      <c r="X295" s="257">
        <f t="shared" si="56"/>
        <v>0.11617259148410086</v>
      </c>
      <c r="Y295" s="257">
        <f t="shared" si="56"/>
        <v>0.11617259148410086</v>
      </c>
    </row>
    <row r="296" spans="2:27" x14ac:dyDescent="0.25">
      <c r="F296" s="14" t="s">
        <v>45</v>
      </c>
      <c r="G296" s="14" t="s">
        <v>528</v>
      </c>
      <c r="J296" s="257">
        <f t="shared" si="56"/>
        <v>0.23869873720694237</v>
      </c>
      <c r="K296" s="257">
        <f t="shared" si="56"/>
        <v>0.23869873720694237</v>
      </c>
      <c r="L296" s="257">
        <f t="shared" si="56"/>
        <v>0.29647294527005708</v>
      </c>
      <c r="M296" s="257">
        <f t="shared" si="56"/>
        <v>0.29647294527005708</v>
      </c>
      <c r="N296" s="257">
        <f t="shared" si="56"/>
        <v>0.24086201120567785</v>
      </c>
      <c r="O296" s="257">
        <f t="shared" si="56"/>
        <v>0.23415205064017203</v>
      </c>
      <c r="P296" s="257">
        <f t="shared" si="56"/>
        <v>0.21321165082681151</v>
      </c>
      <c r="Q296" s="257">
        <f t="shared" si="56"/>
        <v>0.21080800015243967</v>
      </c>
      <c r="R296" s="257">
        <f t="shared" si="56"/>
        <v>0.18091469807146596</v>
      </c>
      <c r="S296" s="257">
        <f t="shared" si="56"/>
        <v>0.18091469807146596</v>
      </c>
      <c r="T296" s="257">
        <f t="shared" si="56"/>
        <v>0.18091469807146596</v>
      </c>
      <c r="U296" s="257">
        <f t="shared" si="56"/>
        <v>0.18091469807146596</v>
      </c>
      <c r="V296" s="257">
        <f t="shared" si="56"/>
        <v>0.18091469807146596</v>
      </c>
      <c r="W296" s="257">
        <f t="shared" si="56"/>
        <v>0.18091469807146596</v>
      </c>
      <c r="X296" s="257">
        <f t="shared" si="56"/>
        <v>0.18091469807146596</v>
      </c>
      <c r="Y296" s="257">
        <f t="shared" si="56"/>
        <v>0.18091469807146596</v>
      </c>
    </row>
    <row r="297" spans="2:27" x14ac:dyDescent="0.25">
      <c r="F297" s="14" t="s">
        <v>46</v>
      </c>
      <c r="G297" s="14" t="s">
        <v>528</v>
      </c>
      <c r="J297" s="257">
        <f t="shared" si="56"/>
        <v>0.23869873720694237</v>
      </c>
      <c r="K297" s="257">
        <f t="shared" si="56"/>
        <v>0.23869873720694237</v>
      </c>
      <c r="L297" s="257">
        <f t="shared" si="56"/>
        <v>0.29647294527005708</v>
      </c>
      <c r="M297" s="257">
        <f t="shared" si="56"/>
        <v>0.29647294527005708</v>
      </c>
      <c r="N297" s="257">
        <f t="shared" si="56"/>
        <v>0.24086201120567785</v>
      </c>
      <c r="O297" s="257">
        <f t="shared" si="56"/>
        <v>0.23415205064017203</v>
      </c>
      <c r="P297" s="257">
        <f t="shared" si="56"/>
        <v>0.21321165082681151</v>
      </c>
      <c r="Q297" s="257">
        <f t="shared" si="56"/>
        <v>0.21080800015243967</v>
      </c>
      <c r="R297" s="257">
        <f t="shared" si="56"/>
        <v>0.18091469807146596</v>
      </c>
      <c r="S297" s="257">
        <f t="shared" si="56"/>
        <v>0.18091469807146596</v>
      </c>
      <c r="T297" s="257">
        <f t="shared" si="56"/>
        <v>0.18091469807146596</v>
      </c>
      <c r="U297" s="257">
        <f t="shared" si="56"/>
        <v>0.18091469807146596</v>
      </c>
      <c r="V297" s="257">
        <f t="shared" si="56"/>
        <v>0.18091469807146596</v>
      </c>
      <c r="W297" s="257">
        <f t="shared" si="56"/>
        <v>0.18091469807146596</v>
      </c>
      <c r="X297" s="257">
        <f t="shared" si="56"/>
        <v>0.18091469807146596</v>
      </c>
      <c r="Y297" s="257">
        <f t="shared" si="56"/>
        <v>0.18091469807146596</v>
      </c>
    </row>
    <row r="298" spans="2:27" x14ac:dyDescent="0.25">
      <c r="F298" s="14" t="s">
        <v>47</v>
      </c>
      <c r="G298" s="14" t="s">
        <v>528</v>
      </c>
      <c r="J298" s="257">
        <f t="shared" si="56"/>
        <v>0.11311456167816648</v>
      </c>
      <c r="K298" s="257">
        <f t="shared" si="56"/>
        <v>0.11311456167816648</v>
      </c>
      <c r="L298" s="257">
        <f t="shared" si="56"/>
        <v>0.1404926043851823</v>
      </c>
      <c r="M298" s="257">
        <f t="shared" si="56"/>
        <v>0.1404926043851823</v>
      </c>
      <c r="N298" s="257">
        <f t="shared" si="56"/>
        <v>0.11413969399775892</v>
      </c>
      <c r="O298" s="257">
        <f t="shared" si="56"/>
        <v>0.11095997776998953</v>
      </c>
      <c r="P298" s="257">
        <f t="shared" si="56"/>
        <v>0.10103674074758209</v>
      </c>
      <c r="Q298" s="257">
        <f t="shared" si="56"/>
        <v>9.9897698724819808E-2</v>
      </c>
      <c r="R298" s="257">
        <f t="shared" si="56"/>
        <v>8.573186022241143E-2</v>
      </c>
      <c r="S298" s="257">
        <f t="shared" si="56"/>
        <v>8.573186022241143E-2</v>
      </c>
      <c r="T298" s="257">
        <f t="shared" si="56"/>
        <v>8.573186022241143E-2</v>
      </c>
      <c r="U298" s="257">
        <f t="shared" si="56"/>
        <v>8.573186022241143E-2</v>
      </c>
      <c r="V298" s="257">
        <f t="shared" si="56"/>
        <v>8.573186022241143E-2</v>
      </c>
      <c r="W298" s="257">
        <f t="shared" si="56"/>
        <v>8.573186022241143E-2</v>
      </c>
      <c r="X298" s="257">
        <f t="shared" si="56"/>
        <v>8.573186022241143E-2</v>
      </c>
      <c r="Y298" s="257">
        <f t="shared" si="56"/>
        <v>8.573186022241143E-2</v>
      </c>
    </row>
    <row r="299" spans="2:27" x14ac:dyDescent="0.25">
      <c r="F299" s="14" t="s">
        <v>51</v>
      </c>
      <c r="G299" s="14" t="s">
        <v>528</v>
      </c>
      <c r="J299" s="257">
        <f t="shared" si="56"/>
        <v>0</v>
      </c>
      <c r="K299" s="257">
        <f t="shared" si="56"/>
        <v>0</v>
      </c>
      <c r="L299" s="257">
        <f t="shared" si="56"/>
        <v>0</v>
      </c>
      <c r="M299" s="257">
        <f t="shared" si="56"/>
        <v>0</v>
      </c>
      <c r="N299" s="257">
        <f t="shared" si="56"/>
        <v>0</v>
      </c>
      <c r="O299" s="257">
        <f t="shared" si="56"/>
        <v>0</v>
      </c>
      <c r="P299" s="257">
        <f t="shared" si="56"/>
        <v>0</v>
      </c>
      <c r="Q299" s="257">
        <f t="shared" si="56"/>
        <v>0</v>
      </c>
      <c r="R299" s="257">
        <f t="shared" si="56"/>
        <v>0</v>
      </c>
      <c r="S299" s="257">
        <f t="shared" si="56"/>
        <v>0</v>
      </c>
      <c r="T299" s="257">
        <f t="shared" si="56"/>
        <v>0</v>
      </c>
      <c r="U299" s="257">
        <f t="shared" si="56"/>
        <v>0</v>
      </c>
      <c r="V299" s="257">
        <f t="shared" si="56"/>
        <v>0</v>
      </c>
      <c r="W299" s="257">
        <f t="shared" si="56"/>
        <v>0</v>
      </c>
      <c r="X299" s="257">
        <f t="shared" si="56"/>
        <v>0</v>
      </c>
      <c r="Y299" s="257">
        <f t="shared" si="56"/>
        <v>0</v>
      </c>
    </row>
    <row r="300" spans="2:27" x14ac:dyDescent="0.25">
      <c r="F300" s="14" t="s">
        <v>48</v>
      </c>
      <c r="G300" s="14" t="s">
        <v>528</v>
      </c>
      <c r="J300" s="257">
        <f t="shared" si="56"/>
        <v>0.11311456167816648</v>
      </c>
      <c r="K300" s="257">
        <f t="shared" si="56"/>
        <v>0.11311456167816648</v>
      </c>
      <c r="L300" s="257">
        <f t="shared" si="56"/>
        <v>0.1404926043851823</v>
      </c>
      <c r="M300" s="257">
        <f t="shared" si="56"/>
        <v>0.1404926043851823</v>
      </c>
      <c r="N300" s="257">
        <f t="shared" si="56"/>
        <v>0.11413969399775892</v>
      </c>
      <c r="O300" s="257">
        <f t="shared" si="56"/>
        <v>0.11095997776998953</v>
      </c>
      <c r="P300" s="257">
        <f t="shared" si="56"/>
        <v>0.10103674074758209</v>
      </c>
      <c r="Q300" s="257">
        <f t="shared" si="56"/>
        <v>9.9897698724819808E-2</v>
      </c>
      <c r="R300" s="257">
        <f t="shared" si="56"/>
        <v>8.573186022241143E-2</v>
      </c>
      <c r="S300" s="257">
        <f t="shared" si="56"/>
        <v>8.573186022241143E-2</v>
      </c>
      <c r="T300" s="257">
        <f t="shared" si="56"/>
        <v>8.573186022241143E-2</v>
      </c>
      <c r="U300" s="257">
        <f t="shared" si="56"/>
        <v>8.573186022241143E-2</v>
      </c>
      <c r="V300" s="257">
        <f t="shared" si="56"/>
        <v>8.573186022241143E-2</v>
      </c>
      <c r="W300" s="257">
        <f t="shared" si="56"/>
        <v>8.573186022241143E-2</v>
      </c>
      <c r="X300" s="257">
        <f t="shared" si="56"/>
        <v>8.573186022241143E-2</v>
      </c>
      <c r="Y300" s="257">
        <f t="shared" si="56"/>
        <v>8.573186022241143E-2</v>
      </c>
    </row>
    <row r="301" spans="2:27" x14ac:dyDescent="0.25">
      <c r="F301" s="14" t="s">
        <v>49</v>
      </c>
      <c r="G301" s="14" t="s">
        <v>528</v>
      </c>
      <c r="J301" s="257">
        <f t="shared" si="56"/>
        <v>0.11311456167816648</v>
      </c>
      <c r="K301" s="257">
        <f t="shared" si="56"/>
        <v>0.11311456167816648</v>
      </c>
      <c r="L301" s="257">
        <f t="shared" si="56"/>
        <v>0.1404926043851823</v>
      </c>
      <c r="M301" s="257">
        <f t="shared" si="56"/>
        <v>0.1404926043851823</v>
      </c>
      <c r="N301" s="257">
        <f t="shared" si="56"/>
        <v>0.11413969399775892</v>
      </c>
      <c r="O301" s="257">
        <f t="shared" si="56"/>
        <v>0.11095997776998953</v>
      </c>
      <c r="P301" s="257">
        <f t="shared" si="56"/>
        <v>0.10103674074758209</v>
      </c>
      <c r="Q301" s="257">
        <f t="shared" si="56"/>
        <v>9.9897698724819808E-2</v>
      </c>
      <c r="R301" s="257">
        <f t="shared" si="56"/>
        <v>8.573186022241143E-2</v>
      </c>
      <c r="S301" s="257">
        <f t="shared" si="56"/>
        <v>8.573186022241143E-2</v>
      </c>
      <c r="T301" s="257">
        <f t="shared" si="56"/>
        <v>8.573186022241143E-2</v>
      </c>
      <c r="U301" s="257">
        <f t="shared" si="56"/>
        <v>8.573186022241143E-2</v>
      </c>
      <c r="V301" s="257">
        <f t="shared" si="56"/>
        <v>8.573186022241143E-2</v>
      </c>
      <c r="W301" s="257">
        <f t="shared" si="56"/>
        <v>8.573186022241143E-2</v>
      </c>
      <c r="X301" s="257">
        <f t="shared" si="56"/>
        <v>8.573186022241143E-2</v>
      </c>
      <c r="Y301" s="257">
        <f t="shared" si="56"/>
        <v>8.573186022241143E-2</v>
      </c>
    </row>
    <row r="302" spans="2:27" x14ac:dyDescent="0.25">
      <c r="F302" s="15" t="s">
        <v>50</v>
      </c>
      <c r="G302" s="15" t="s">
        <v>528</v>
      </c>
      <c r="H302" s="93"/>
      <c r="I302" s="93"/>
      <c r="J302" s="259">
        <f t="shared" si="56"/>
        <v>0.11311456167816648</v>
      </c>
      <c r="K302" s="259">
        <f t="shared" si="56"/>
        <v>0.11311456167816648</v>
      </c>
      <c r="L302" s="259">
        <f t="shared" si="56"/>
        <v>0.1404926043851823</v>
      </c>
      <c r="M302" s="259">
        <f t="shared" si="56"/>
        <v>0.1404926043851823</v>
      </c>
      <c r="N302" s="259">
        <f t="shared" si="56"/>
        <v>0.11413969399775892</v>
      </c>
      <c r="O302" s="259">
        <f t="shared" si="56"/>
        <v>0.11095997776998953</v>
      </c>
      <c r="P302" s="259">
        <f t="shared" si="56"/>
        <v>0.10103674074758209</v>
      </c>
      <c r="Q302" s="259">
        <f t="shared" si="56"/>
        <v>9.9897698724819808E-2</v>
      </c>
      <c r="R302" s="259">
        <f t="shared" si="56"/>
        <v>8.573186022241143E-2</v>
      </c>
      <c r="S302" s="259">
        <f t="shared" si="56"/>
        <v>8.573186022241143E-2</v>
      </c>
      <c r="T302" s="259">
        <f t="shared" si="56"/>
        <v>8.573186022241143E-2</v>
      </c>
      <c r="U302" s="259">
        <f t="shared" si="56"/>
        <v>8.573186022241143E-2</v>
      </c>
      <c r="V302" s="259">
        <f t="shared" si="56"/>
        <v>8.573186022241143E-2</v>
      </c>
      <c r="W302" s="259">
        <f t="shared" si="56"/>
        <v>8.573186022241143E-2</v>
      </c>
      <c r="X302" s="259">
        <f t="shared" si="56"/>
        <v>8.573186022241143E-2</v>
      </c>
      <c r="Y302" s="259">
        <f t="shared" si="56"/>
        <v>8.573186022241143E-2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5" t="s">
        <v>516</v>
      </c>
      <c r="G306" s="122" t="s">
        <v>692</v>
      </c>
      <c r="H306" s="152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H306">
    <cfRule type="cellIs" dxfId="155" priority="10" operator="greaterThan">
      <formula>0</formula>
    </cfRule>
  </conditionalFormatting>
  <conditionalFormatting sqref="A4:I4 Z4:XFD4">
    <cfRule type="expression" dxfId="154" priority="9">
      <formula>LEFT($A$4,1) &lt;&gt; "0"</formula>
    </cfRule>
  </conditionalFormatting>
  <conditionalFormatting sqref="N4:P4">
    <cfRule type="expression" dxfId="153" priority="8">
      <formula>LEFT($A$4,1) &lt;&gt; "0"</formula>
    </cfRule>
  </conditionalFormatting>
  <conditionalFormatting sqref="L4:M4">
    <cfRule type="expression" dxfId="152" priority="7">
      <formula>LEFT($A$4,1) &lt;&gt; "0"</formula>
    </cfRule>
  </conditionalFormatting>
  <conditionalFormatting sqref="J4:K4">
    <cfRule type="expression" dxfId="151" priority="6">
      <formula>LEFT($A$4,1) &lt;&gt; "0"</formula>
    </cfRule>
  </conditionalFormatting>
  <conditionalFormatting sqref="Q4">
    <cfRule type="expression" dxfId="150" priority="5">
      <formula>LEFT($A$4,1) &lt;&gt; "0"</formula>
    </cfRule>
  </conditionalFormatting>
  <conditionalFormatting sqref="R4:S4">
    <cfRule type="expression" dxfId="149" priority="4">
      <formula>LEFT($A$4,1) &lt;&gt; "0"</formula>
    </cfRule>
  </conditionalFormatting>
  <conditionalFormatting sqref="T4:U4">
    <cfRule type="expression" dxfId="148" priority="3">
      <formula>LEFT($A$4,1) &lt;&gt; "0"</formula>
    </cfRule>
  </conditionalFormatting>
  <conditionalFormatting sqref="V4:W4">
    <cfRule type="expression" dxfId="147" priority="2">
      <formula>LEFT($A$4,1) &lt;&gt; "0"</formula>
    </cfRule>
  </conditionalFormatting>
  <conditionalFormatting sqref="X4:Y4">
    <cfRule type="expression" dxfId="146" priority="1">
      <formula>LEFT($A$4,1) &lt;&gt; "0"</formula>
    </cfRule>
  </conditionalFormatting>
  <hyperlinks>
    <hyperlink ref="B5:F5" location="'Model map'!A1" display="Click here to return to model map" xr:uid="{00000000-0004-0000-15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>
    <tabColor theme="4" tint="0.59999389629810485"/>
    <pageSetUpPr fitToPage="1"/>
  </sheetPr>
  <dimension ref="A1:LH32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0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416</v>
      </c>
      <c r="D9" s="82"/>
    </row>
    <row r="10" spans="1:43" x14ac:dyDescent="0.25">
      <c r="C10" s="82" t="s">
        <v>413</v>
      </c>
      <c r="D10" s="82"/>
    </row>
    <row r="11" spans="1:43" x14ac:dyDescent="0.25">
      <c r="C11" s="82" t="s">
        <v>362</v>
      </c>
      <c r="D11" s="82"/>
    </row>
    <row r="12" spans="1:43" x14ac:dyDescent="0.25">
      <c r="C12" s="82"/>
      <c r="D12" s="82" t="s">
        <v>363</v>
      </c>
    </row>
    <row r="13" spans="1:43" x14ac:dyDescent="0.25">
      <c r="C13" s="82"/>
      <c r="D13" s="82" t="s">
        <v>364</v>
      </c>
    </row>
    <row r="14" spans="1:43" x14ac:dyDescent="0.25">
      <c r="C14" s="82"/>
      <c r="D14" s="82" t="s">
        <v>365</v>
      </c>
    </row>
    <row r="16" spans="1:43" x14ac:dyDescent="0.25">
      <c r="B16" s="95" t="s">
        <v>773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control'!$H$34:$H$58,MATCH($A$1,'Version control'!$F$34:$F$58,0),1)&amp;"-A: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415</v>
      </c>
      <c r="AQ20" s="88"/>
    </row>
    <row r="21" spans="3:43" x14ac:dyDescent="0.25">
      <c r="C21" s="96"/>
      <c r="AQ21" s="88"/>
    </row>
    <row r="22" spans="3:43" x14ac:dyDescent="0.25">
      <c r="E22" s="96" t="s">
        <v>618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5" t="s">
        <v>44</v>
      </c>
      <c r="G24" s="295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5" t="s">
        <v>45</v>
      </c>
      <c r="G25" s="295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5" t="s">
        <v>46</v>
      </c>
      <c r="G26" s="295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5" t="s">
        <v>47</v>
      </c>
      <c r="G27" s="295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5" t="s">
        <v>51</v>
      </c>
      <c r="G28" s="295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5" t="s">
        <v>48</v>
      </c>
      <c r="G29" s="295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5" t="s">
        <v>49</v>
      </c>
      <c r="G30" s="295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94">
        <f>'Standing charge factors'!J52</f>
        <v>1</v>
      </c>
      <c r="K31" s="394">
        <f>'Standing charge factors'!K52</f>
        <v>1</v>
      </c>
      <c r="L31" s="394">
        <f>'Standing charge factors'!L52</f>
        <v>1</v>
      </c>
      <c r="M31" s="394">
        <f>'Standing charge factors'!M52</f>
        <v>1</v>
      </c>
      <c r="N31" s="394">
        <f>'Standing charge factors'!N52</f>
        <v>1</v>
      </c>
      <c r="O31" s="394">
        <f>'Standing charge factors'!O52</f>
        <v>0</v>
      </c>
      <c r="P31" s="394">
        <f>'Standing charge factors'!P52</f>
        <v>0</v>
      </c>
      <c r="Q31" s="394">
        <f>'Standing charge factors'!Q52</f>
        <v>0</v>
      </c>
      <c r="R31" s="394">
        <f>'Standing charge factors'!R52</f>
        <v>0</v>
      </c>
      <c r="S31" s="394">
        <f>'Standing charge factors'!S52</f>
        <v>0</v>
      </c>
      <c r="T31" s="394">
        <f>'Standing charge factors'!T52</f>
        <v>0</v>
      </c>
      <c r="U31" s="394">
        <f>'Standing charge factors'!U52</f>
        <v>0</v>
      </c>
      <c r="V31" s="394">
        <f>'Standing charge factors'!V52</f>
        <v>0</v>
      </c>
      <c r="W31" s="394">
        <f>'Standing charge factors'!W52</f>
        <v>0</v>
      </c>
      <c r="X31" s="394">
        <f>'Standing charge factors'!X52</f>
        <v>0</v>
      </c>
      <c r="Y31" s="394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619</v>
      </c>
      <c r="I33" s="295" t="s">
        <v>431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5" t="s">
        <v>862</v>
      </c>
      <c r="AQ33" s="88"/>
    </row>
    <row r="34" spans="5:43" x14ac:dyDescent="0.25">
      <c r="E34" s="96"/>
      <c r="F34" s="91" t="s">
        <v>43</v>
      </c>
      <c r="G34" s="91" t="s">
        <v>528</v>
      </c>
      <c r="H34" s="278"/>
      <c r="I34" s="278"/>
      <c r="J34" s="273">
        <f t="array" ref="J34:Y42">TRANSPOSE('Load &amp; loss characteristics'!K145:S160)</f>
        <v>1.1120000000000001</v>
      </c>
      <c r="K34" s="273">
        <v>1.1120000000000001</v>
      </c>
      <c r="L34" s="273">
        <v>1.1120000000000001</v>
      </c>
      <c r="M34" s="273">
        <v>1.1120000000000001</v>
      </c>
      <c r="N34" s="273">
        <v>1.1120000000000001</v>
      </c>
      <c r="O34" s="273">
        <v>1.06</v>
      </c>
      <c r="P34" s="273">
        <v>1.038</v>
      </c>
      <c r="Q34" s="273">
        <v>1.1120000000000001</v>
      </c>
      <c r="R34" s="273">
        <v>-1.1120000000000001</v>
      </c>
      <c r="S34" s="273">
        <v>-1.06</v>
      </c>
      <c r="T34" s="273">
        <v>-1.1120000000000001</v>
      </c>
      <c r="U34" s="273">
        <v>-1.1120000000000001</v>
      </c>
      <c r="V34" s="273">
        <v>-1.06</v>
      </c>
      <c r="W34" s="273">
        <v>-1.06</v>
      </c>
      <c r="X34" s="273">
        <v>-1.038</v>
      </c>
      <c r="Y34" s="273">
        <v>-1.038</v>
      </c>
      <c r="AQ34" s="88"/>
    </row>
    <row r="35" spans="5:43" x14ac:dyDescent="0.25">
      <c r="E35" s="96"/>
      <c r="F35" s="295" t="s">
        <v>44</v>
      </c>
      <c r="G35" s="295" t="s">
        <v>528</v>
      </c>
      <c r="H35" s="253"/>
      <c r="I35" s="253"/>
      <c r="J35" s="274">
        <v>1.1120000000000001</v>
      </c>
      <c r="K35" s="274">
        <v>1.1120000000000001</v>
      </c>
      <c r="L35" s="274">
        <v>1.1120000000000001</v>
      </c>
      <c r="M35" s="274">
        <v>1.1120000000000001</v>
      </c>
      <c r="N35" s="274">
        <v>1.1120000000000001</v>
      </c>
      <c r="O35" s="274">
        <v>1.06</v>
      </c>
      <c r="P35" s="274">
        <v>1.038</v>
      </c>
      <c r="Q35" s="274">
        <v>1.1120000000000001</v>
      </c>
      <c r="R35" s="274">
        <v>-1.1120000000000001</v>
      </c>
      <c r="S35" s="274">
        <v>-1.06</v>
      </c>
      <c r="T35" s="274">
        <v>-1.1120000000000001</v>
      </c>
      <c r="U35" s="274">
        <v>-1.1120000000000001</v>
      </c>
      <c r="V35" s="274">
        <v>-1.06</v>
      </c>
      <c r="W35" s="274">
        <v>-1.06</v>
      </c>
      <c r="X35" s="274">
        <v>-1.038</v>
      </c>
      <c r="Y35" s="274">
        <v>-1.038</v>
      </c>
      <c r="AQ35" s="88"/>
    </row>
    <row r="36" spans="5:43" x14ac:dyDescent="0.25">
      <c r="E36" s="96"/>
      <c r="F36" s="295" t="s">
        <v>45</v>
      </c>
      <c r="G36" s="295" t="s">
        <v>528</v>
      </c>
      <c r="H36" s="253"/>
      <c r="I36" s="253"/>
      <c r="J36" s="274">
        <v>1.1120000000000001</v>
      </c>
      <c r="K36" s="274">
        <v>1.1120000000000001</v>
      </c>
      <c r="L36" s="274">
        <v>1.1120000000000001</v>
      </c>
      <c r="M36" s="274">
        <v>1.1120000000000001</v>
      </c>
      <c r="N36" s="274">
        <v>1.1120000000000001</v>
      </c>
      <c r="O36" s="274">
        <v>1.06</v>
      </c>
      <c r="P36" s="274">
        <v>1.038</v>
      </c>
      <c r="Q36" s="274">
        <v>1.1120000000000001</v>
      </c>
      <c r="R36" s="274">
        <v>-1.1120000000000001</v>
      </c>
      <c r="S36" s="274">
        <v>-1.06</v>
      </c>
      <c r="T36" s="274">
        <v>-1.1120000000000001</v>
      </c>
      <c r="U36" s="274">
        <v>-1.1120000000000001</v>
      </c>
      <c r="V36" s="274">
        <v>-1.06</v>
      </c>
      <c r="W36" s="274">
        <v>-1.06</v>
      </c>
      <c r="X36" s="274">
        <v>-1.038</v>
      </c>
      <c r="Y36" s="274">
        <v>-1.038</v>
      </c>
      <c r="AQ36" s="88"/>
    </row>
    <row r="37" spans="5:43" x14ac:dyDescent="0.25">
      <c r="E37" s="96"/>
      <c r="F37" s="295" t="s">
        <v>46</v>
      </c>
      <c r="G37" s="295" t="s">
        <v>528</v>
      </c>
      <c r="H37" s="253"/>
      <c r="I37" s="253"/>
      <c r="J37" s="274">
        <v>1.1120000000000001</v>
      </c>
      <c r="K37" s="274">
        <v>1.1120000000000001</v>
      </c>
      <c r="L37" s="274">
        <v>1.1120000000000001</v>
      </c>
      <c r="M37" s="274">
        <v>1.1120000000000001</v>
      </c>
      <c r="N37" s="274">
        <v>1.1120000000000001</v>
      </c>
      <c r="O37" s="274">
        <v>1.06</v>
      </c>
      <c r="P37" s="274">
        <v>1.038</v>
      </c>
      <c r="Q37" s="274">
        <v>1.1120000000000001</v>
      </c>
      <c r="R37" s="274">
        <v>-1.1120000000000001</v>
      </c>
      <c r="S37" s="274">
        <v>-1.06</v>
      </c>
      <c r="T37" s="274">
        <v>-1.1120000000000001</v>
      </c>
      <c r="U37" s="274">
        <v>-1.1120000000000001</v>
      </c>
      <c r="V37" s="274">
        <v>-1.06</v>
      </c>
      <c r="W37" s="274">
        <v>-1.06</v>
      </c>
      <c r="X37" s="274">
        <v>-1.038</v>
      </c>
      <c r="Y37" s="274">
        <v>-1.038</v>
      </c>
      <c r="AQ37" s="88"/>
    </row>
    <row r="38" spans="5:43" x14ac:dyDescent="0.25">
      <c r="E38" s="96"/>
      <c r="F38" s="295" t="s">
        <v>47</v>
      </c>
      <c r="G38" s="295" t="s">
        <v>528</v>
      </c>
      <c r="H38" s="253"/>
      <c r="I38" s="253"/>
      <c r="J38" s="274">
        <v>1.1120000000000001</v>
      </c>
      <c r="K38" s="274">
        <v>1.1120000000000001</v>
      </c>
      <c r="L38" s="274">
        <v>1.1120000000000001</v>
      </c>
      <c r="M38" s="274">
        <v>1.1120000000000001</v>
      </c>
      <c r="N38" s="274">
        <v>1.1120000000000001</v>
      </c>
      <c r="O38" s="274">
        <v>1.06</v>
      </c>
      <c r="P38" s="274">
        <v>1.038</v>
      </c>
      <c r="Q38" s="274">
        <v>1.1120000000000001</v>
      </c>
      <c r="R38" s="274">
        <v>-1.1120000000000001</v>
      </c>
      <c r="S38" s="274">
        <v>-1.06</v>
      </c>
      <c r="T38" s="274">
        <v>-1.1120000000000001</v>
      </c>
      <c r="U38" s="274">
        <v>-1.1120000000000001</v>
      </c>
      <c r="V38" s="274">
        <v>-1.06</v>
      </c>
      <c r="W38" s="274">
        <v>-1.06</v>
      </c>
      <c r="X38" s="274">
        <v>-1.038</v>
      </c>
      <c r="Y38" s="274">
        <v>-1.038</v>
      </c>
      <c r="AQ38" s="88"/>
    </row>
    <row r="39" spans="5:43" x14ac:dyDescent="0.25">
      <c r="E39" s="96"/>
      <c r="F39" s="295" t="s">
        <v>51</v>
      </c>
      <c r="G39" s="295" t="s">
        <v>528</v>
      </c>
      <c r="H39" s="253"/>
      <c r="I39" s="253"/>
      <c r="J39" s="274">
        <v>0</v>
      </c>
      <c r="K39" s="274">
        <v>0</v>
      </c>
      <c r="L39" s="274">
        <v>0</v>
      </c>
      <c r="M39" s="274">
        <v>0</v>
      </c>
      <c r="N39" s="274">
        <v>0</v>
      </c>
      <c r="O39" s="274">
        <v>0</v>
      </c>
      <c r="P39" s="274">
        <v>0</v>
      </c>
      <c r="Q39" s="274">
        <v>0</v>
      </c>
      <c r="R39" s="274">
        <v>0</v>
      </c>
      <c r="S39" s="274">
        <v>0</v>
      </c>
      <c r="T39" s="274">
        <v>0</v>
      </c>
      <c r="U39" s="274">
        <v>0</v>
      </c>
      <c r="V39" s="274">
        <v>0</v>
      </c>
      <c r="W39" s="274">
        <v>0</v>
      </c>
      <c r="X39" s="274">
        <v>0</v>
      </c>
      <c r="Y39" s="274">
        <v>0</v>
      </c>
      <c r="AQ39" s="88"/>
    </row>
    <row r="40" spans="5:43" x14ac:dyDescent="0.25">
      <c r="E40" s="96"/>
      <c r="F40" s="295" t="s">
        <v>48</v>
      </c>
      <c r="G40" s="295" t="s">
        <v>528</v>
      </c>
      <c r="H40" s="253"/>
      <c r="I40" s="253"/>
      <c r="J40" s="274">
        <v>1.1120000000000001</v>
      </c>
      <c r="K40" s="274">
        <v>1.1120000000000001</v>
      </c>
      <c r="L40" s="274">
        <v>1.1120000000000001</v>
      </c>
      <c r="M40" s="274">
        <v>1.1120000000000001</v>
      </c>
      <c r="N40" s="274">
        <v>1.1120000000000001</v>
      </c>
      <c r="O40" s="274">
        <v>1.06</v>
      </c>
      <c r="P40" s="274">
        <v>1.038</v>
      </c>
      <c r="Q40" s="274">
        <v>1.1120000000000001</v>
      </c>
      <c r="R40" s="274">
        <v>-1.1120000000000001</v>
      </c>
      <c r="S40" s="274">
        <v>-1.06</v>
      </c>
      <c r="T40" s="274">
        <v>-1.1120000000000001</v>
      </c>
      <c r="U40" s="274">
        <v>-1.1120000000000001</v>
      </c>
      <c r="V40" s="274">
        <v>-1.06</v>
      </c>
      <c r="W40" s="274">
        <v>-1.06</v>
      </c>
      <c r="X40" s="274">
        <v>0</v>
      </c>
      <c r="Y40" s="274">
        <v>0</v>
      </c>
      <c r="AQ40" s="88"/>
    </row>
    <row r="41" spans="5:43" x14ac:dyDescent="0.25">
      <c r="E41" s="96"/>
      <c r="F41" s="295" t="s">
        <v>49</v>
      </c>
      <c r="G41" s="295" t="s">
        <v>528</v>
      </c>
      <c r="H41" s="253"/>
      <c r="I41" s="253"/>
      <c r="J41" s="274">
        <v>1.1120000000000001</v>
      </c>
      <c r="K41" s="274">
        <v>1.1120000000000001</v>
      </c>
      <c r="L41" s="274">
        <v>1.1120000000000001</v>
      </c>
      <c r="M41" s="274">
        <v>1.1120000000000001</v>
      </c>
      <c r="N41" s="274">
        <v>1.1120000000000001</v>
      </c>
      <c r="O41" s="274">
        <v>1.06</v>
      </c>
      <c r="P41" s="274">
        <v>0</v>
      </c>
      <c r="Q41" s="274">
        <v>1.1120000000000001</v>
      </c>
      <c r="R41" s="274">
        <v>-1.1120000000000001</v>
      </c>
      <c r="S41" s="274">
        <v>0</v>
      </c>
      <c r="T41" s="274">
        <v>-1.1120000000000001</v>
      </c>
      <c r="U41" s="274">
        <v>-1.1120000000000001</v>
      </c>
      <c r="V41" s="274">
        <v>0</v>
      </c>
      <c r="W41" s="274">
        <v>0</v>
      </c>
      <c r="X41" s="274">
        <v>0</v>
      </c>
      <c r="Y41" s="274">
        <v>0</v>
      </c>
      <c r="AQ41" s="88"/>
    </row>
    <row r="42" spans="5:43" x14ac:dyDescent="0.25">
      <c r="E42" s="96"/>
      <c r="F42" s="93" t="s">
        <v>50</v>
      </c>
      <c r="G42" s="93" t="s">
        <v>528</v>
      </c>
      <c r="H42" s="272"/>
      <c r="I42" s="272"/>
      <c r="J42" s="275">
        <v>1.1120000000000001</v>
      </c>
      <c r="K42" s="275">
        <v>1.1120000000000001</v>
      </c>
      <c r="L42" s="275">
        <v>1.1120000000000001</v>
      </c>
      <c r="M42" s="275">
        <v>1.1120000000000001</v>
      </c>
      <c r="N42" s="275">
        <v>1.1120000000000001</v>
      </c>
      <c r="O42" s="275">
        <v>0</v>
      </c>
      <c r="P42" s="275">
        <v>0</v>
      </c>
      <c r="Q42" s="275">
        <v>1.1120000000000001</v>
      </c>
      <c r="R42" s="275">
        <v>0</v>
      </c>
      <c r="S42" s="275">
        <v>0</v>
      </c>
      <c r="T42" s="275">
        <v>0</v>
      </c>
      <c r="U42" s="275">
        <v>0</v>
      </c>
      <c r="V42" s="275">
        <v>0</v>
      </c>
      <c r="W42" s="275">
        <v>0</v>
      </c>
      <c r="X42" s="275">
        <v>0</v>
      </c>
      <c r="Y42" s="275">
        <v>0</v>
      </c>
      <c r="AQ42" s="88"/>
    </row>
    <row r="43" spans="5:43" x14ac:dyDescent="0.25">
      <c r="E43" s="96"/>
      <c r="H43" s="253"/>
      <c r="I43" s="253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  <c r="AQ43" s="88"/>
    </row>
    <row r="44" spans="5:43" x14ac:dyDescent="0.25">
      <c r="E44" s="96" t="s">
        <v>620</v>
      </c>
      <c r="H44" s="253"/>
      <c r="I44" s="253"/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Q44" s="88"/>
    </row>
    <row r="45" spans="5:43" x14ac:dyDescent="0.25">
      <c r="E45" s="96"/>
      <c r="F45" s="91" t="s">
        <v>43</v>
      </c>
      <c r="G45" s="91" t="s">
        <v>528</v>
      </c>
      <c r="H45" s="273">
        <f>'Load &amp; loss characteristics'!K29</f>
        <v>1</v>
      </c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AQ45" s="88"/>
    </row>
    <row r="46" spans="5:43" x14ac:dyDescent="0.25">
      <c r="E46" s="96"/>
      <c r="F46" s="295" t="s">
        <v>44</v>
      </c>
      <c r="G46" s="295" t="s">
        <v>528</v>
      </c>
      <c r="H46" s="274">
        <f>'Load &amp; loss characteristics'!L29</f>
        <v>1.0049999999999999</v>
      </c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AQ46" s="88"/>
    </row>
    <row r="47" spans="5:43" x14ac:dyDescent="0.25">
      <c r="E47" s="96"/>
      <c r="F47" s="295" t="s">
        <v>45</v>
      </c>
      <c r="G47" s="295" t="s">
        <v>528</v>
      </c>
      <c r="H47" s="274">
        <f>'Load &amp; loss characteristics'!M29</f>
        <v>1.012</v>
      </c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AQ47" s="88"/>
    </row>
    <row r="48" spans="5:43" x14ac:dyDescent="0.25">
      <c r="E48" s="96"/>
      <c r="F48" s="295" t="s">
        <v>46</v>
      </c>
      <c r="G48" s="295" t="s">
        <v>528</v>
      </c>
      <c r="H48" s="274">
        <f>'Load &amp; loss characteristics'!N29</f>
        <v>1.018</v>
      </c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AQ48" s="88"/>
    </row>
    <row r="49" spans="2:43" x14ac:dyDescent="0.25">
      <c r="E49" s="96"/>
      <c r="F49" s="295" t="s">
        <v>47</v>
      </c>
      <c r="G49" s="295" t="s">
        <v>528</v>
      </c>
      <c r="H49" s="274">
        <f>'Load &amp; loss characteristics'!O29</f>
        <v>1.0269999999999999</v>
      </c>
      <c r="I49" s="253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  <c r="AQ49" s="88"/>
    </row>
    <row r="50" spans="2:43" x14ac:dyDescent="0.25">
      <c r="E50" s="96"/>
      <c r="F50" s="295" t="s">
        <v>51</v>
      </c>
      <c r="G50" s="295" t="s">
        <v>528</v>
      </c>
      <c r="H50" s="274">
        <f>'Load &amp; loss characteristics'!P29</f>
        <v>1.0269999999999999</v>
      </c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AQ50" s="88"/>
    </row>
    <row r="51" spans="2:43" x14ac:dyDescent="0.25">
      <c r="E51" s="96"/>
      <c r="F51" s="295" t="s">
        <v>48</v>
      </c>
      <c r="G51" s="295" t="s">
        <v>528</v>
      </c>
      <c r="H51" s="274">
        <f>'Load &amp; loss characteristics'!Q29</f>
        <v>1.038</v>
      </c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AQ51" s="88"/>
    </row>
    <row r="52" spans="2:43" x14ac:dyDescent="0.25">
      <c r="E52" s="96"/>
      <c r="F52" s="295" t="s">
        <v>49</v>
      </c>
      <c r="G52" s="295" t="s">
        <v>528</v>
      </c>
      <c r="H52" s="274">
        <f>'Load &amp; loss characteristics'!R29</f>
        <v>1.06</v>
      </c>
      <c r="I52" s="253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  <c r="AQ52" s="88"/>
    </row>
    <row r="53" spans="2:43" x14ac:dyDescent="0.25">
      <c r="E53" s="96"/>
      <c r="F53" s="93" t="s">
        <v>50</v>
      </c>
      <c r="G53" s="93" t="s">
        <v>528</v>
      </c>
      <c r="H53" s="275">
        <f>'Load &amp; loss characteristics'!S29</f>
        <v>1.1120000000000001</v>
      </c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AQ53" s="88"/>
    </row>
    <row r="54" spans="2:43" x14ac:dyDescent="0.25">
      <c r="E54" s="96"/>
      <c r="H54" s="253"/>
      <c r="I54" s="253"/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Q54" s="88"/>
    </row>
    <row r="55" spans="2:43" x14ac:dyDescent="0.25">
      <c r="E55" s="96" t="s">
        <v>414</v>
      </c>
      <c r="H55" s="253"/>
      <c r="I55" s="253" t="s">
        <v>431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  <c r="U55" s="253"/>
      <c r="V55" s="253"/>
      <c r="W55" s="253"/>
      <c r="X55" s="253"/>
      <c r="Y55" s="253"/>
      <c r="AA55" s="295" t="s">
        <v>863</v>
      </c>
    </row>
    <row r="56" spans="2:43" x14ac:dyDescent="0.25">
      <c r="E56" s="96"/>
      <c r="F56" s="91" t="s">
        <v>134</v>
      </c>
      <c r="G56" s="91" t="s">
        <v>120</v>
      </c>
      <c r="H56" s="278"/>
      <c r="I56" s="278"/>
      <c r="J56" s="273">
        <f>'Volume adjustments'!J66</f>
        <v>573814.17421643168</v>
      </c>
      <c r="K56" s="273">
        <f>'Volume adjustments'!K66</f>
        <v>45.600324459247773</v>
      </c>
      <c r="L56" s="273">
        <f>'Volume adjustments'!L66</f>
        <v>148781.2098893536</v>
      </c>
      <c r="M56" s="273">
        <f>'Volume adjustments'!M66</f>
        <v>6.8595464743105259</v>
      </c>
      <c r="N56" s="273">
        <f>'Volume adjustments'!N66</f>
        <v>95617.94849470428</v>
      </c>
      <c r="O56" s="273">
        <f>'Volume adjustments'!O66</f>
        <v>106673.66070506461</v>
      </c>
      <c r="P56" s="273">
        <f>'Volume adjustments'!P66</f>
        <v>162898.35653630731</v>
      </c>
      <c r="Q56" s="273">
        <f>'Volume adjustments'!Q66</f>
        <v>7077.8325343149572</v>
      </c>
      <c r="R56" s="273">
        <f>'Volume adjustments'!R66</f>
        <v>104.47429331694744</v>
      </c>
      <c r="S56" s="273">
        <f>'Volume adjustments'!S66</f>
        <v>35.771932311779992</v>
      </c>
      <c r="T56" s="273">
        <f>'Volume adjustments'!T66</f>
        <v>4936.5787099056533</v>
      </c>
      <c r="U56" s="273">
        <f>'Volume adjustments'!U66</f>
        <v>0</v>
      </c>
      <c r="V56" s="273">
        <f>'Volume adjustments'!V66</f>
        <v>1421.8434887434785</v>
      </c>
      <c r="W56" s="273">
        <f>'Volume adjustments'!W66</f>
        <v>0</v>
      </c>
      <c r="X56" s="273">
        <f>'Volume adjustments'!X66</f>
        <v>42821.256435874217</v>
      </c>
      <c r="Y56" s="273">
        <f>'Volume adjustments'!Y66</f>
        <v>0</v>
      </c>
      <c r="AQ56" s="88"/>
    </row>
    <row r="57" spans="2:43" x14ac:dyDescent="0.25">
      <c r="E57" s="96"/>
      <c r="F57" s="295" t="s">
        <v>135</v>
      </c>
      <c r="G57" s="295" t="s">
        <v>120</v>
      </c>
      <c r="H57" s="253"/>
      <c r="I57" s="253"/>
      <c r="J57" s="274">
        <f>'Volume adjustments'!J77</f>
        <v>2032897.465349766</v>
      </c>
      <c r="K57" s="274">
        <f>'Volume adjustments'!K77</f>
        <v>769.70150120030291</v>
      </c>
      <c r="L57" s="274">
        <f>'Volume adjustments'!L77</f>
        <v>782231.85870864138</v>
      </c>
      <c r="M57" s="274">
        <f>'Volume adjustments'!M77</f>
        <v>363.68083419264593</v>
      </c>
      <c r="N57" s="274">
        <f>'Volume adjustments'!N77</f>
        <v>440583.40936039714</v>
      </c>
      <c r="O57" s="274">
        <f>'Volume adjustments'!O77</f>
        <v>527517.78645919671</v>
      </c>
      <c r="P57" s="274">
        <f>'Volume adjustments'!P77</f>
        <v>771451.8848590561</v>
      </c>
      <c r="Q57" s="274">
        <f>'Volume adjustments'!Q77</f>
        <v>52057.195142690813</v>
      </c>
      <c r="R57" s="274">
        <f>'Volume adjustments'!R77</f>
        <v>509.89423910109542</v>
      </c>
      <c r="S57" s="274">
        <f>'Volume adjustments'!S77</f>
        <v>160.58959252319966</v>
      </c>
      <c r="T57" s="274">
        <f>'Volume adjustments'!T77</f>
        <v>23805.598357778857</v>
      </c>
      <c r="U57" s="274">
        <f>'Volume adjustments'!U77</f>
        <v>0</v>
      </c>
      <c r="V57" s="274">
        <f>'Volume adjustments'!V77</f>
        <v>6382.5471914560349</v>
      </c>
      <c r="W57" s="274">
        <f>'Volume adjustments'!W77</f>
        <v>0</v>
      </c>
      <c r="X57" s="274">
        <f>'Volume adjustments'!X77</f>
        <v>169444.19263568314</v>
      </c>
      <c r="Y57" s="274">
        <f>'Volume adjustments'!Y77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2"/>
      <c r="I58" s="272"/>
      <c r="J58" s="275">
        <f>'Volume adjustments'!J88</f>
        <v>1913856.5179535351</v>
      </c>
      <c r="K58" s="275">
        <f>'Volume adjustments'!K88</f>
        <v>10340.203230515768</v>
      </c>
      <c r="L58" s="275">
        <f>'Volume adjustments'!L88</f>
        <v>758082.32727500715</v>
      </c>
      <c r="M58" s="275">
        <f>'Volume adjustments'!M88</f>
        <v>4425.6666229911798</v>
      </c>
      <c r="N58" s="275">
        <f>'Volume adjustments'!N88</f>
        <v>437213.19005230034</v>
      </c>
      <c r="O58" s="275">
        <f>'Volume adjustments'!O88</f>
        <v>579730.47523967049</v>
      </c>
      <c r="P58" s="275">
        <f>'Volume adjustments'!P88</f>
        <v>955588.00166465633</v>
      </c>
      <c r="Q58" s="275">
        <f>'Volume adjustments'!Q88</f>
        <v>96091.827056640832</v>
      </c>
      <c r="R58" s="275">
        <f>'Volume adjustments'!R88</f>
        <v>534.48350594468047</v>
      </c>
      <c r="S58" s="275">
        <f>'Volume adjustments'!S88</f>
        <v>201.06201955341325</v>
      </c>
      <c r="T58" s="275">
        <f>'Volume adjustments'!T88</f>
        <v>27627.12669629819</v>
      </c>
      <c r="U58" s="275">
        <f>'Volume adjustments'!U88</f>
        <v>0</v>
      </c>
      <c r="V58" s="275">
        <f>'Volume adjustments'!V88</f>
        <v>7999.8037931113131</v>
      </c>
      <c r="W58" s="275">
        <f>'Volume adjustments'!W88</f>
        <v>0</v>
      </c>
      <c r="X58" s="275">
        <f>'Volume adjustments'!X88</f>
        <v>178082.97709073228</v>
      </c>
      <c r="Y58" s="275">
        <f>'Volume adjustments'!Y88</f>
        <v>0</v>
      </c>
      <c r="AQ58" s="88"/>
    </row>
    <row r="59" spans="2:43" x14ac:dyDescent="0.25">
      <c r="E59" s="96"/>
      <c r="F59" s="73" t="s">
        <v>604</v>
      </c>
      <c r="G59" s="73" t="s">
        <v>120</v>
      </c>
      <c r="H59" s="281"/>
      <c r="I59" s="281"/>
      <c r="J59" s="281">
        <f t="shared" ref="J59:Y59" si="0">SUM(J56:J58)</f>
        <v>4520568.1575197326</v>
      </c>
      <c r="K59" s="281">
        <f t="shared" si="0"/>
        <v>11155.50505617532</v>
      </c>
      <c r="L59" s="281">
        <f t="shared" si="0"/>
        <v>1689095.3958730022</v>
      </c>
      <c r="M59" s="281">
        <f t="shared" si="0"/>
        <v>4796.2070036581363</v>
      </c>
      <c r="N59" s="281">
        <f t="shared" si="0"/>
        <v>973414.54790740181</v>
      </c>
      <c r="O59" s="281">
        <f t="shared" si="0"/>
        <v>1213921.9224039319</v>
      </c>
      <c r="P59" s="281">
        <f t="shared" si="0"/>
        <v>1889938.2430600198</v>
      </c>
      <c r="Q59" s="281">
        <f t="shared" si="0"/>
        <v>155226.85473364661</v>
      </c>
      <c r="R59" s="281">
        <f t="shared" si="0"/>
        <v>1148.8520383627233</v>
      </c>
      <c r="S59" s="281">
        <f t="shared" si="0"/>
        <v>397.42354438839288</v>
      </c>
      <c r="T59" s="281">
        <f t="shared" si="0"/>
        <v>56369.303763982702</v>
      </c>
      <c r="U59" s="281">
        <f t="shared" si="0"/>
        <v>0</v>
      </c>
      <c r="V59" s="281">
        <f t="shared" si="0"/>
        <v>15804.194473310827</v>
      </c>
      <c r="W59" s="281">
        <f t="shared" si="0"/>
        <v>0</v>
      </c>
      <c r="X59" s="281">
        <f t="shared" si="0"/>
        <v>390348.42616228963</v>
      </c>
      <c r="Y59" s="281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5" t="s">
        <v>431</v>
      </c>
      <c r="J61" s="143">
        <f>'Inputs by customer type'!J18</f>
        <v>0.46500000000000002</v>
      </c>
      <c r="K61" s="143">
        <f>'Inputs by customer type'!K18</f>
        <v>0.10066666666666667</v>
      </c>
      <c r="L61" s="143">
        <f>'Inputs by customer type'!L18</f>
        <v>0.44500000000000001</v>
      </c>
      <c r="M61" s="143">
        <f>'Inputs by customer type'!M18</f>
        <v>0.16600000000000001</v>
      </c>
      <c r="N61" s="143">
        <f>'Inputs by customer type'!N18</f>
        <v>0.56933333333333336</v>
      </c>
      <c r="O61" s="143">
        <f>'Inputs by customer type'!O18</f>
        <v>0.60566666666666669</v>
      </c>
      <c r="P61" s="143">
        <f>'Inputs by customer type'!P18</f>
        <v>0.7426666666666667</v>
      </c>
      <c r="Q61" s="143">
        <f>'Inputs by customer type'!Q18</f>
        <v>0.46933333333333332</v>
      </c>
      <c r="R61" s="374"/>
      <c r="S61" s="374"/>
      <c r="T61" s="374"/>
      <c r="U61" s="374"/>
      <c r="V61" s="374"/>
      <c r="W61" s="374"/>
      <c r="X61" s="374"/>
      <c r="Y61" s="374"/>
      <c r="AA61" s="295" t="s">
        <v>864</v>
      </c>
      <c r="AQ61" s="88"/>
    </row>
    <row r="63" spans="2:43" x14ac:dyDescent="0.25">
      <c r="B63" s="95" t="s">
        <v>358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417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control'!$H$34:$H$58,MATCH($A$1,'Version control'!$F$34:$F$58,0),1)&amp;"-B: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305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528</v>
      </c>
      <c r="H70" s="91"/>
      <c r="I70" s="91"/>
      <c r="J70" s="273">
        <f>'Pseudo-load coefficients'!J272</f>
        <v>9.455868814310227</v>
      </c>
      <c r="K70" s="273">
        <f>'Pseudo-load coefficients'!K272</f>
        <v>9.455868814310227</v>
      </c>
      <c r="L70" s="273">
        <f>'Pseudo-load coefficients'!L272</f>
        <v>11.744550098040067</v>
      </c>
      <c r="M70" s="273">
        <f>'Pseudo-load coefficients'!M272</f>
        <v>11.744550098040067</v>
      </c>
      <c r="N70" s="273">
        <f>'Pseudo-load coefficients'!N272</f>
        <v>9.5415652674243319</v>
      </c>
      <c r="O70" s="273">
        <f>'Pseudo-load coefficients'!O272</f>
        <v>9.2757552861942649</v>
      </c>
      <c r="P70" s="273">
        <f>'Pseudo-load coefficients'!P272</f>
        <v>8.4462172841449412</v>
      </c>
      <c r="Q70" s="273">
        <f>'Pseudo-load coefficients'!Q272</f>
        <v>17.191456131606252</v>
      </c>
      <c r="R70" s="273">
        <f>'Pseudo-load coefficients'!R272</f>
        <v>7.1667980801306506</v>
      </c>
      <c r="S70" s="273">
        <f>'Pseudo-load coefficients'!S272</f>
        <v>7.1667980801306506</v>
      </c>
      <c r="T70" s="273">
        <f>'Pseudo-load coefficients'!T272</f>
        <v>7.1667980801306506</v>
      </c>
      <c r="U70" s="273">
        <f>'Pseudo-load coefficients'!U272</f>
        <v>7.1667980801306506</v>
      </c>
      <c r="V70" s="273">
        <f>'Pseudo-load coefficients'!V272</f>
        <v>7.1667980801306506</v>
      </c>
      <c r="W70" s="273">
        <f>'Pseudo-load coefficients'!W272</f>
        <v>7.1667980801306506</v>
      </c>
      <c r="X70" s="273">
        <f>'Pseudo-load coefficients'!X272</f>
        <v>7.1667980801306506</v>
      </c>
      <c r="Y70" s="273">
        <f>'Pseudo-load coefficients'!Y272</f>
        <v>7.1667980801306506</v>
      </c>
      <c r="AQ70" s="88"/>
    </row>
    <row r="71" spans="3:43" x14ac:dyDescent="0.25">
      <c r="E71" s="96"/>
      <c r="F71" s="295" t="s">
        <v>44</v>
      </c>
      <c r="G71" s="295" t="s">
        <v>528</v>
      </c>
      <c r="J71" s="274">
        <f>'Pseudo-load coefficients'!J273</f>
        <v>9.455868814310227</v>
      </c>
      <c r="K71" s="274">
        <f>'Pseudo-load coefficients'!K273</f>
        <v>9.455868814310227</v>
      </c>
      <c r="L71" s="274">
        <f>'Pseudo-load coefficients'!L273</f>
        <v>11.744550098040067</v>
      </c>
      <c r="M71" s="274">
        <f>'Pseudo-load coefficients'!M273</f>
        <v>11.744550098040067</v>
      </c>
      <c r="N71" s="274">
        <f>'Pseudo-load coefficients'!N273</f>
        <v>9.5415652674243319</v>
      </c>
      <c r="O71" s="274">
        <f>'Pseudo-load coefficients'!O273</f>
        <v>9.2757552861942649</v>
      </c>
      <c r="P71" s="274">
        <f>'Pseudo-load coefficients'!P273</f>
        <v>8.4462172841449412</v>
      </c>
      <c r="Q71" s="274">
        <f>'Pseudo-load coefficients'!Q273</f>
        <v>17.191456131606252</v>
      </c>
      <c r="R71" s="274">
        <f>'Pseudo-load coefficients'!R273</f>
        <v>7.1667980801306506</v>
      </c>
      <c r="S71" s="274">
        <f>'Pseudo-load coefficients'!S273</f>
        <v>7.1667980801306506</v>
      </c>
      <c r="T71" s="274">
        <f>'Pseudo-load coefficients'!T273</f>
        <v>7.1667980801306506</v>
      </c>
      <c r="U71" s="274">
        <f>'Pseudo-load coefficients'!U273</f>
        <v>7.1667980801306506</v>
      </c>
      <c r="V71" s="274">
        <f>'Pseudo-load coefficients'!V273</f>
        <v>7.1667980801306506</v>
      </c>
      <c r="W71" s="274">
        <f>'Pseudo-load coefficients'!W273</f>
        <v>7.1667980801306506</v>
      </c>
      <c r="X71" s="274">
        <f>'Pseudo-load coefficients'!X273</f>
        <v>7.1667980801306506</v>
      </c>
      <c r="Y71" s="274">
        <f>'Pseudo-load coefficients'!Y273</f>
        <v>7.1667980801306506</v>
      </c>
      <c r="AQ71" s="88"/>
    </row>
    <row r="72" spans="3:43" x14ac:dyDescent="0.25">
      <c r="E72" s="96"/>
      <c r="F72" s="295" t="s">
        <v>45</v>
      </c>
      <c r="G72" s="295" t="s">
        <v>528</v>
      </c>
      <c r="J72" s="274">
        <f>'Pseudo-load coefficients'!J274</f>
        <v>7.8555470046266365</v>
      </c>
      <c r="K72" s="274">
        <f>'Pseudo-load coefficients'!K274</f>
        <v>7.8555470046266365</v>
      </c>
      <c r="L72" s="274">
        <f>'Pseudo-load coefficients'!L274</f>
        <v>9.7568893091793765</v>
      </c>
      <c r="M72" s="274">
        <f>'Pseudo-load coefficients'!M274</f>
        <v>9.7568893091793765</v>
      </c>
      <c r="N72" s="274">
        <f>'Pseudo-load coefficients'!N274</f>
        <v>7.9267400942080872</v>
      </c>
      <c r="O72" s="274">
        <f>'Pseudo-load coefficients'!O274</f>
        <v>7.7059160913738198</v>
      </c>
      <c r="P72" s="274">
        <f>'Pseudo-load coefficients'!P274</f>
        <v>7.0167700282050181</v>
      </c>
      <c r="Q72" s="274">
        <f>'Pseudo-load coefficients'!Q274</f>
        <v>10.932488997613858</v>
      </c>
      <c r="R72" s="274">
        <f>'Pseudo-load coefficients'!R274</f>
        <v>5.9538811606536752</v>
      </c>
      <c r="S72" s="274">
        <f>'Pseudo-load coefficients'!S274</f>
        <v>5.9538811606536752</v>
      </c>
      <c r="T72" s="274">
        <f>'Pseudo-load coefficients'!T274</f>
        <v>5.9538811606536752</v>
      </c>
      <c r="U72" s="274">
        <f>'Pseudo-load coefficients'!U274</f>
        <v>5.9538811606536752</v>
      </c>
      <c r="V72" s="274">
        <f>'Pseudo-load coefficients'!V274</f>
        <v>5.9538811606536752</v>
      </c>
      <c r="W72" s="274">
        <f>'Pseudo-load coefficients'!W274</f>
        <v>5.9538811606536752</v>
      </c>
      <c r="X72" s="274">
        <f>'Pseudo-load coefficients'!X274</f>
        <v>5.9538811606536752</v>
      </c>
      <c r="Y72" s="274">
        <f>'Pseudo-load coefficients'!Y274</f>
        <v>5.9538811606536752</v>
      </c>
      <c r="AQ72" s="88"/>
    </row>
    <row r="73" spans="3:43" x14ac:dyDescent="0.25">
      <c r="E73" s="96"/>
      <c r="F73" s="295" t="s">
        <v>46</v>
      </c>
      <c r="G73" s="295" t="s">
        <v>528</v>
      </c>
      <c r="J73" s="274">
        <f>'Pseudo-load coefficients'!J275</f>
        <v>7.8555470046266365</v>
      </c>
      <c r="K73" s="274">
        <f>'Pseudo-load coefficients'!K275</f>
        <v>7.8555470046266365</v>
      </c>
      <c r="L73" s="274">
        <f>'Pseudo-load coefficients'!L275</f>
        <v>9.7568893091793765</v>
      </c>
      <c r="M73" s="274">
        <f>'Pseudo-load coefficients'!M275</f>
        <v>9.7568893091793765</v>
      </c>
      <c r="N73" s="274">
        <f>'Pseudo-load coefficients'!N275</f>
        <v>7.9267400942080872</v>
      </c>
      <c r="O73" s="274">
        <f>'Pseudo-load coefficients'!O275</f>
        <v>7.7059160913738198</v>
      </c>
      <c r="P73" s="274">
        <f>'Pseudo-load coefficients'!P275</f>
        <v>7.0167700282050181</v>
      </c>
      <c r="Q73" s="274">
        <f>'Pseudo-load coefficients'!Q275</f>
        <v>10.932488997613858</v>
      </c>
      <c r="R73" s="274">
        <f>'Pseudo-load coefficients'!R275</f>
        <v>5.9538811606536752</v>
      </c>
      <c r="S73" s="274">
        <f>'Pseudo-load coefficients'!S275</f>
        <v>5.9538811606536752</v>
      </c>
      <c r="T73" s="274">
        <f>'Pseudo-load coefficients'!T275</f>
        <v>5.9538811606536752</v>
      </c>
      <c r="U73" s="274">
        <f>'Pseudo-load coefficients'!U275</f>
        <v>5.9538811606536752</v>
      </c>
      <c r="V73" s="274">
        <f>'Pseudo-load coefficients'!V275</f>
        <v>5.9538811606536752</v>
      </c>
      <c r="W73" s="274">
        <f>'Pseudo-load coefficients'!W275</f>
        <v>5.9538811606536752</v>
      </c>
      <c r="X73" s="274">
        <f>'Pseudo-load coefficients'!X275</f>
        <v>5.9538811606536752</v>
      </c>
      <c r="Y73" s="274">
        <f>'Pseudo-load coefficients'!Y275</f>
        <v>5.9538811606536752</v>
      </c>
      <c r="AQ73" s="88"/>
    </row>
    <row r="74" spans="3:43" x14ac:dyDescent="0.25">
      <c r="E74" s="96"/>
      <c r="F74" s="295" t="s">
        <v>47</v>
      </c>
      <c r="G74" s="295" t="s">
        <v>528</v>
      </c>
      <c r="J74" s="274">
        <f>'Pseudo-load coefficients'!J276</f>
        <v>7.0489009675346903</v>
      </c>
      <c r="K74" s="274">
        <f>'Pseudo-load coefficients'!K276</f>
        <v>7.0489009675346903</v>
      </c>
      <c r="L74" s="274">
        <f>'Pseudo-load coefficients'!L276</f>
        <v>8.7550041328881587</v>
      </c>
      <c r="M74" s="274">
        <f>'Pseudo-load coefficients'!M276</f>
        <v>8.7550041328881587</v>
      </c>
      <c r="N74" s="274">
        <f>'Pseudo-load coefficients'!N276</f>
        <v>7.112783602026842</v>
      </c>
      <c r="O74" s="274">
        <f>'Pseudo-load coefficients'!O276</f>
        <v>6.914634889236174</v>
      </c>
      <c r="P74" s="274">
        <f>'Pseudo-load coefficients'!P276</f>
        <v>6.2962537187610605</v>
      </c>
      <c r="Q74" s="274">
        <f>'Pseudo-load coefficients'!Q276</f>
        <v>12.964837282674322</v>
      </c>
      <c r="R74" s="274">
        <f>'Pseudo-load coefficients'!R276</f>
        <v>5.3425074853731278</v>
      </c>
      <c r="S74" s="274">
        <f>'Pseudo-load coefficients'!S276</f>
        <v>5.3425074853731278</v>
      </c>
      <c r="T74" s="274">
        <f>'Pseudo-load coefficients'!T276</f>
        <v>5.3425074853731278</v>
      </c>
      <c r="U74" s="274">
        <f>'Pseudo-load coefficients'!U276</f>
        <v>5.3425074853731278</v>
      </c>
      <c r="V74" s="274">
        <f>'Pseudo-load coefficients'!V276</f>
        <v>5.3425074853731278</v>
      </c>
      <c r="W74" s="274">
        <f>'Pseudo-load coefficients'!W276</f>
        <v>5.3425074853731278</v>
      </c>
      <c r="X74" s="274">
        <f>'Pseudo-load coefficients'!X276</f>
        <v>5.3425074853731278</v>
      </c>
      <c r="Y74" s="274">
        <f>'Pseudo-load coefficients'!Y276</f>
        <v>5.3425074853731278</v>
      </c>
      <c r="AQ74" s="88"/>
    </row>
    <row r="75" spans="3:43" x14ac:dyDescent="0.25">
      <c r="E75" s="96"/>
      <c r="F75" s="295" t="s">
        <v>51</v>
      </c>
      <c r="G75" s="295" t="s">
        <v>528</v>
      </c>
      <c r="J75" s="274">
        <f>'Pseudo-load coefficients'!J277</f>
        <v>0</v>
      </c>
      <c r="K75" s="274">
        <f>'Pseudo-load coefficients'!K277</f>
        <v>0</v>
      </c>
      <c r="L75" s="274">
        <f>'Pseudo-load coefficients'!L277</f>
        <v>0</v>
      </c>
      <c r="M75" s="274">
        <f>'Pseudo-load coefficients'!M277</f>
        <v>0</v>
      </c>
      <c r="N75" s="274">
        <f>'Pseudo-load coefficients'!N277</f>
        <v>0</v>
      </c>
      <c r="O75" s="274">
        <f>'Pseudo-load coefficients'!O277</f>
        <v>0</v>
      </c>
      <c r="P75" s="274">
        <f>'Pseudo-load coefficients'!P277</f>
        <v>0</v>
      </c>
      <c r="Q75" s="274">
        <f>'Pseudo-load coefficients'!Q277</f>
        <v>0</v>
      </c>
      <c r="R75" s="274">
        <f>'Pseudo-load coefficients'!R277</f>
        <v>0</v>
      </c>
      <c r="S75" s="274">
        <f>'Pseudo-load coefficients'!S277</f>
        <v>0</v>
      </c>
      <c r="T75" s="274">
        <f>'Pseudo-load coefficients'!T277</f>
        <v>0</v>
      </c>
      <c r="U75" s="274">
        <f>'Pseudo-load coefficients'!U277</f>
        <v>0</v>
      </c>
      <c r="V75" s="274">
        <f>'Pseudo-load coefficients'!V277</f>
        <v>0</v>
      </c>
      <c r="W75" s="274">
        <f>'Pseudo-load coefficients'!W277</f>
        <v>0</v>
      </c>
      <c r="X75" s="274">
        <f>'Pseudo-load coefficients'!X277</f>
        <v>0</v>
      </c>
      <c r="Y75" s="274">
        <f>'Pseudo-load coefficients'!Y277</f>
        <v>0</v>
      </c>
      <c r="AQ75" s="88"/>
    </row>
    <row r="76" spans="3:43" x14ac:dyDescent="0.25">
      <c r="E76" s="96"/>
      <c r="F76" s="295" t="s">
        <v>48</v>
      </c>
      <c r="G76" s="295" t="s">
        <v>528</v>
      </c>
      <c r="J76" s="274">
        <f>'Pseudo-load coefficients'!J278</f>
        <v>7.0489009675346903</v>
      </c>
      <c r="K76" s="274">
        <f>'Pseudo-load coefficients'!K278</f>
        <v>7.0489009675346903</v>
      </c>
      <c r="L76" s="274">
        <f>'Pseudo-load coefficients'!L278</f>
        <v>8.7550041328881587</v>
      </c>
      <c r="M76" s="274">
        <f>'Pseudo-load coefficients'!M278</f>
        <v>8.7550041328881587</v>
      </c>
      <c r="N76" s="274">
        <f>'Pseudo-load coefficients'!N278</f>
        <v>7.112783602026842</v>
      </c>
      <c r="O76" s="274">
        <f>'Pseudo-load coefficients'!O278</f>
        <v>6.914634889236174</v>
      </c>
      <c r="P76" s="274">
        <f>'Pseudo-load coefficients'!P278</f>
        <v>6.2962537187610605</v>
      </c>
      <c r="Q76" s="274">
        <f>'Pseudo-load coefficients'!Q278</f>
        <v>12.964837282674322</v>
      </c>
      <c r="R76" s="274">
        <f>'Pseudo-load coefficients'!R278</f>
        <v>5.3425074853731278</v>
      </c>
      <c r="S76" s="274">
        <f>'Pseudo-load coefficients'!S278</f>
        <v>5.3425074853731278</v>
      </c>
      <c r="T76" s="274">
        <f>'Pseudo-load coefficients'!T278</f>
        <v>5.3425074853731278</v>
      </c>
      <c r="U76" s="274">
        <f>'Pseudo-load coefficients'!U278</f>
        <v>5.3425074853731278</v>
      </c>
      <c r="V76" s="274">
        <f>'Pseudo-load coefficients'!V278</f>
        <v>5.3425074853731278</v>
      </c>
      <c r="W76" s="274">
        <f>'Pseudo-load coefficients'!W278</f>
        <v>5.3425074853731278</v>
      </c>
      <c r="X76" s="274">
        <f>'Pseudo-load coefficients'!X278</f>
        <v>5.3425074853731278</v>
      </c>
      <c r="Y76" s="274">
        <f>'Pseudo-load coefficients'!Y278</f>
        <v>5.3425074853731278</v>
      </c>
      <c r="AQ76" s="88"/>
    </row>
    <row r="77" spans="3:43" x14ac:dyDescent="0.25">
      <c r="E77" s="96"/>
      <c r="F77" s="295" t="s">
        <v>49</v>
      </c>
      <c r="G77" s="295" t="s">
        <v>528</v>
      </c>
      <c r="J77" s="274">
        <f>'Pseudo-load coefficients'!J279</f>
        <v>7.0489009675346903</v>
      </c>
      <c r="K77" s="274">
        <f>'Pseudo-load coefficients'!K279</f>
        <v>7.0489009675346903</v>
      </c>
      <c r="L77" s="274">
        <f>'Pseudo-load coefficients'!L279</f>
        <v>8.7550041328881587</v>
      </c>
      <c r="M77" s="274">
        <f>'Pseudo-load coefficients'!M279</f>
        <v>8.7550041328881587</v>
      </c>
      <c r="N77" s="274">
        <f>'Pseudo-load coefficients'!N279</f>
        <v>7.112783602026842</v>
      </c>
      <c r="O77" s="274">
        <f>'Pseudo-load coefficients'!O279</f>
        <v>6.914634889236174</v>
      </c>
      <c r="P77" s="274">
        <f>'Pseudo-load coefficients'!P279</f>
        <v>6.2962537187610605</v>
      </c>
      <c r="Q77" s="274">
        <f>'Pseudo-load coefficients'!Q279</f>
        <v>12.964837282674322</v>
      </c>
      <c r="R77" s="274">
        <f>'Pseudo-load coefficients'!R279</f>
        <v>5.3425074853731278</v>
      </c>
      <c r="S77" s="274">
        <f>'Pseudo-load coefficients'!S279</f>
        <v>5.3425074853731278</v>
      </c>
      <c r="T77" s="274">
        <f>'Pseudo-load coefficients'!T279</f>
        <v>5.3425074853731278</v>
      </c>
      <c r="U77" s="274">
        <f>'Pseudo-load coefficients'!U279</f>
        <v>5.3425074853731278</v>
      </c>
      <c r="V77" s="274">
        <f>'Pseudo-load coefficients'!V279</f>
        <v>5.3425074853731278</v>
      </c>
      <c r="W77" s="274">
        <f>'Pseudo-load coefficients'!W279</f>
        <v>5.3425074853731278</v>
      </c>
      <c r="X77" s="274">
        <f>'Pseudo-load coefficients'!X279</f>
        <v>5.3425074853731278</v>
      </c>
      <c r="Y77" s="274">
        <f>'Pseudo-load coefficients'!Y279</f>
        <v>5.3425074853731278</v>
      </c>
      <c r="AQ77" s="88"/>
    </row>
    <row r="78" spans="3:43" x14ac:dyDescent="0.25">
      <c r="E78" s="96"/>
      <c r="F78" s="93" t="s">
        <v>50</v>
      </c>
      <c r="G78" s="93" t="s">
        <v>528</v>
      </c>
      <c r="H78" s="93"/>
      <c r="I78" s="93"/>
      <c r="J78" s="275">
        <f>'Pseudo-load coefficients'!J280</f>
        <v>7.0489009675346903</v>
      </c>
      <c r="K78" s="275">
        <f>'Pseudo-load coefficients'!K280</f>
        <v>7.0489009675346903</v>
      </c>
      <c r="L78" s="275">
        <f>'Pseudo-load coefficients'!L280</f>
        <v>8.7550041328881587</v>
      </c>
      <c r="M78" s="275">
        <f>'Pseudo-load coefficients'!M280</f>
        <v>8.7550041328881587</v>
      </c>
      <c r="N78" s="275">
        <f>'Pseudo-load coefficients'!N280</f>
        <v>7.112783602026842</v>
      </c>
      <c r="O78" s="275">
        <f>'Pseudo-load coefficients'!O280</f>
        <v>6.914634889236174</v>
      </c>
      <c r="P78" s="275">
        <f>'Pseudo-load coefficients'!P280</f>
        <v>6.2962537187610605</v>
      </c>
      <c r="Q78" s="275">
        <f>'Pseudo-load coefficients'!Q280</f>
        <v>12.964837282674322</v>
      </c>
      <c r="R78" s="275">
        <f>'Pseudo-load coefficients'!R280</f>
        <v>5.3425074853731278</v>
      </c>
      <c r="S78" s="275">
        <f>'Pseudo-load coefficients'!S280</f>
        <v>5.3425074853731278</v>
      </c>
      <c r="T78" s="275">
        <f>'Pseudo-load coefficients'!T280</f>
        <v>5.3425074853731278</v>
      </c>
      <c r="U78" s="275">
        <f>'Pseudo-load coefficients'!U280</f>
        <v>5.3425074853731278</v>
      </c>
      <c r="V78" s="275">
        <f>'Pseudo-load coefficients'!V280</f>
        <v>5.3425074853731278</v>
      </c>
      <c r="W78" s="275">
        <f>'Pseudo-load coefficients'!W280</f>
        <v>5.3425074853731278</v>
      </c>
      <c r="X78" s="275">
        <f>'Pseudo-load coefficients'!X280</f>
        <v>5.3425074853731278</v>
      </c>
      <c r="Y78" s="275">
        <f>'Pseudo-load coefficients'!Y280</f>
        <v>5.3425074853731278</v>
      </c>
      <c r="AQ78" s="88"/>
    </row>
    <row r="79" spans="3:43" x14ac:dyDescent="0.25">
      <c r="E79" s="96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  <c r="AQ79" s="88"/>
    </row>
    <row r="80" spans="3:43" x14ac:dyDescent="0.25">
      <c r="E80" s="96" t="s">
        <v>624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  <c r="AQ80" s="88"/>
    </row>
    <row r="81" spans="5:43" x14ac:dyDescent="0.25">
      <c r="E81" s="82" t="s">
        <v>421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8">
        <f t="shared" ref="J82:Y82" si="1">J$56 * J34 * J70 / hours_in_year / $H45</f>
        <v>688.76868143410422</v>
      </c>
      <c r="K82" s="278">
        <f t="shared" si="1"/>
        <v>5.4735621324887143E-2</v>
      </c>
      <c r="L82" s="278">
        <f t="shared" si="1"/>
        <v>221.81205833220216</v>
      </c>
      <c r="M82" s="278">
        <f t="shared" si="1"/>
        <v>1.0226628240378994E-2</v>
      </c>
      <c r="N82" s="278">
        <f t="shared" si="1"/>
        <v>115.81364437043109</v>
      </c>
      <c r="O82" s="278">
        <f t="shared" si="1"/>
        <v>119.73144960201579</v>
      </c>
      <c r="P82" s="278">
        <f t="shared" si="1"/>
        <v>163.03175357170355</v>
      </c>
      <c r="Q82" s="278">
        <f t="shared" si="1"/>
        <v>15.445914525437281</v>
      </c>
      <c r="R82" s="278">
        <f t="shared" si="1"/>
        <v>-9.5046316806027265E-2</v>
      </c>
      <c r="S82" s="278">
        <f t="shared" si="1"/>
        <v>-3.1021966753824903E-2</v>
      </c>
      <c r="T82" s="278">
        <f t="shared" si="1"/>
        <v>-4.4910916274508041</v>
      </c>
      <c r="U82" s="278">
        <f t="shared" si="1"/>
        <v>0</v>
      </c>
      <c r="V82" s="278">
        <f t="shared" si="1"/>
        <v>-1.2330444174081518</v>
      </c>
      <c r="W82" s="278">
        <f t="shared" si="1"/>
        <v>0</v>
      </c>
      <c r="X82" s="278">
        <f t="shared" si="1"/>
        <v>-36.364516866793956</v>
      </c>
      <c r="Y82" s="278">
        <f t="shared" si="1"/>
        <v>0</v>
      </c>
      <c r="AQ82" s="88"/>
    </row>
    <row r="83" spans="5:43" x14ac:dyDescent="0.25">
      <c r="E83" s="96"/>
      <c r="F83" s="295" t="s">
        <v>44</v>
      </c>
      <c r="G83" s="295" t="s">
        <v>102</v>
      </c>
      <c r="J83" s="253">
        <f t="shared" ref="J83:Y83" si="2">J$56 * J35 * J71 / hours_in_year / $H46</f>
        <v>685.34197157622316</v>
      </c>
      <c r="K83" s="253">
        <f t="shared" si="2"/>
        <v>5.4463304800882732E-2</v>
      </c>
      <c r="L83" s="253">
        <f t="shared" si="2"/>
        <v>220.70851575343499</v>
      </c>
      <c r="M83" s="253">
        <f t="shared" si="2"/>
        <v>1.0175749492914422E-2</v>
      </c>
      <c r="N83" s="253">
        <f t="shared" si="2"/>
        <v>115.23745708500607</v>
      </c>
      <c r="O83" s="253">
        <f t="shared" si="2"/>
        <v>119.13577074827442</v>
      </c>
      <c r="P83" s="253">
        <f t="shared" si="2"/>
        <v>162.22065032010306</v>
      </c>
      <c r="Q83" s="253">
        <f t="shared" si="2"/>
        <v>15.369069179539585</v>
      </c>
      <c r="R83" s="253">
        <f t="shared" si="2"/>
        <v>-9.45734495582361E-2</v>
      </c>
      <c r="S83" s="253">
        <f t="shared" si="2"/>
        <v>-3.0867628610771053E-2</v>
      </c>
      <c r="T83" s="253">
        <f t="shared" si="2"/>
        <v>-4.4687478880107507</v>
      </c>
      <c r="U83" s="253">
        <f t="shared" si="2"/>
        <v>0</v>
      </c>
      <c r="V83" s="253">
        <f t="shared" si="2"/>
        <v>-1.226909868067813</v>
      </c>
      <c r="W83" s="253">
        <f t="shared" si="2"/>
        <v>0</v>
      </c>
      <c r="X83" s="253">
        <f t="shared" si="2"/>
        <v>-36.183598872431801</v>
      </c>
      <c r="Y83" s="253">
        <f t="shared" si="2"/>
        <v>0</v>
      </c>
      <c r="AQ83" s="88"/>
    </row>
    <row r="84" spans="5:43" x14ac:dyDescent="0.25">
      <c r="E84" s="96"/>
      <c r="F84" s="295" t="s">
        <v>45</v>
      </c>
      <c r="G84" s="295" t="s">
        <v>102</v>
      </c>
      <c r="J84" s="253">
        <f t="shared" ref="J84:Y84" si="3">J$56 * J36 * J72 / hours_in_year / $H47</f>
        <v>565.41571121832021</v>
      </c>
      <c r="K84" s="253">
        <f t="shared" si="3"/>
        <v>4.4932908673996678E-2</v>
      </c>
      <c r="L84" s="253">
        <f t="shared" si="3"/>
        <v>182.08729011541215</v>
      </c>
      <c r="M84" s="253">
        <f t="shared" si="3"/>
        <v>8.3951207941972174E-3</v>
      </c>
      <c r="N84" s="253">
        <f t="shared" si="3"/>
        <v>95.07234557202753</v>
      </c>
      <c r="O84" s="253">
        <f t="shared" si="3"/>
        <v>98.288503174924088</v>
      </c>
      <c r="P84" s="253">
        <f t="shared" si="3"/>
        <v>133.83406850756148</v>
      </c>
      <c r="Q84" s="253">
        <f t="shared" si="3"/>
        <v>9.7059824181609589</v>
      </c>
      <c r="R84" s="253">
        <f t="shared" si="3"/>
        <v>-7.8024280522840758E-2</v>
      </c>
      <c r="S84" s="253">
        <f t="shared" si="3"/>
        <v>-2.5466180255153056E-2</v>
      </c>
      <c r="T84" s="253">
        <f t="shared" si="3"/>
        <v>-3.6867729836300378</v>
      </c>
      <c r="U84" s="253">
        <f t="shared" si="3"/>
        <v>0</v>
      </c>
      <c r="V84" s="253">
        <f t="shared" si="3"/>
        <v>-1.0122160095621455</v>
      </c>
      <c r="W84" s="253">
        <f t="shared" si="3"/>
        <v>0</v>
      </c>
      <c r="X84" s="253">
        <f t="shared" si="3"/>
        <v>-29.851922309443772</v>
      </c>
      <c r="Y84" s="253">
        <f t="shared" si="3"/>
        <v>0</v>
      </c>
      <c r="AQ84" s="88"/>
    </row>
    <row r="85" spans="5:43" x14ac:dyDescent="0.25">
      <c r="E85" s="96"/>
      <c r="F85" s="295" t="s">
        <v>46</v>
      </c>
      <c r="G85" s="295" t="s">
        <v>102</v>
      </c>
      <c r="J85" s="253">
        <f t="shared" ref="J85:Y85" si="4">J$56 * J37 * J73 / hours_in_year / $H48</f>
        <v>562.08320211487239</v>
      </c>
      <c r="K85" s="253">
        <f t="shared" si="4"/>
        <v>4.4668078171006521E-2</v>
      </c>
      <c r="L85" s="253">
        <f t="shared" si="4"/>
        <v>181.01408408329772</v>
      </c>
      <c r="M85" s="253">
        <f t="shared" si="4"/>
        <v>8.3456407109308295E-3</v>
      </c>
      <c r="N85" s="253">
        <f t="shared" si="4"/>
        <v>94.511997759225792</v>
      </c>
      <c r="O85" s="253">
        <f t="shared" si="4"/>
        <v>97.709199619865601</v>
      </c>
      <c r="P85" s="253">
        <f t="shared" si="4"/>
        <v>133.04526260280178</v>
      </c>
      <c r="Q85" s="253">
        <f t="shared" si="4"/>
        <v>9.6487762349497928</v>
      </c>
      <c r="R85" s="253">
        <f t="shared" si="4"/>
        <v>-7.7564412464749349E-2</v>
      </c>
      <c r="S85" s="253">
        <f t="shared" si="4"/>
        <v>-2.5316084890191447E-2</v>
      </c>
      <c r="T85" s="253">
        <f t="shared" si="4"/>
        <v>-3.6650434768502929</v>
      </c>
      <c r="U85" s="253">
        <f t="shared" si="4"/>
        <v>0</v>
      </c>
      <c r="V85" s="253">
        <f t="shared" si="4"/>
        <v>-1.006250099879068</v>
      </c>
      <c r="W85" s="253">
        <f t="shared" si="4"/>
        <v>0</v>
      </c>
      <c r="X85" s="253">
        <f t="shared" si="4"/>
        <v>-29.675977777168072</v>
      </c>
      <c r="Y85" s="253">
        <f t="shared" si="4"/>
        <v>0</v>
      </c>
      <c r="AQ85" s="88"/>
    </row>
    <row r="86" spans="5:43" x14ac:dyDescent="0.25">
      <c r="E86" s="96"/>
      <c r="F86" s="295" t="s">
        <v>47</v>
      </c>
      <c r="G86" s="295" t="s">
        <v>102</v>
      </c>
      <c r="J86" s="253">
        <f t="shared" ref="J86:Y86" si="5">J$56 * J38 * J74 / hours_in_year / $H49</f>
        <v>499.94579326840704</v>
      </c>
      <c r="K86" s="253">
        <f t="shared" si="5"/>
        <v>3.9730092788674336E-2</v>
      </c>
      <c r="L86" s="253">
        <f t="shared" si="5"/>
        <v>161.00326343017736</v>
      </c>
      <c r="M86" s="253">
        <f t="shared" si="5"/>
        <v>7.4230433321270557E-3</v>
      </c>
      <c r="N86" s="253">
        <f t="shared" si="5"/>
        <v>84.063845913440844</v>
      </c>
      <c r="O86" s="253">
        <f t="shared" si="5"/>
        <v>86.907602165971809</v>
      </c>
      <c r="P86" s="253">
        <f t="shared" si="5"/>
        <v>118.33731928350275</v>
      </c>
      <c r="Q86" s="253">
        <f t="shared" si="5"/>
        <v>11.342207564592751</v>
      </c>
      <c r="R86" s="253">
        <f t="shared" si="5"/>
        <v>-6.8989789364247933E-2</v>
      </c>
      <c r="S86" s="253">
        <f t="shared" si="5"/>
        <v>-2.2517431752551231E-2</v>
      </c>
      <c r="T86" s="253">
        <f t="shared" si="5"/>
        <v>-3.2598787181379785</v>
      </c>
      <c r="U86" s="253">
        <f t="shared" si="5"/>
        <v>0</v>
      </c>
      <c r="V86" s="253">
        <f t="shared" si="5"/>
        <v>-0.89501074310283768</v>
      </c>
      <c r="W86" s="253">
        <f t="shared" si="5"/>
        <v>0</v>
      </c>
      <c r="X86" s="253">
        <f t="shared" si="5"/>
        <v>-26.39534537769342</v>
      </c>
      <c r="Y86" s="253">
        <f t="shared" si="5"/>
        <v>0</v>
      </c>
      <c r="AQ86" s="88"/>
    </row>
    <row r="87" spans="5:43" x14ac:dyDescent="0.25">
      <c r="E87" s="96"/>
      <c r="F87" s="295" t="s">
        <v>51</v>
      </c>
      <c r="G87" s="295" t="s">
        <v>102</v>
      </c>
      <c r="J87" s="253">
        <f t="shared" ref="J87:Y87" si="6">J$56 * J39 * J75 / hours_in_year / $H50</f>
        <v>0</v>
      </c>
      <c r="K87" s="253">
        <f t="shared" si="6"/>
        <v>0</v>
      </c>
      <c r="L87" s="253">
        <f t="shared" si="6"/>
        <v>0</v>
      </c>
      <c r="M87" s="253">
        <f t="shared" si="6"/>
        <v>0</v>
      </c>
      <c r="N87" s="253">
        <f t="shared" si="6"/>
        <v>0</v>
      </c>
      <c r="O87" s="253">
        <f t="shared" si="6"/>
        <v>0</v>
      </c>
      <c r="P87" s="253">
        <f t="shared" si="6"/>
        <v>0</v>
      </c>
      <c r="Q87" s="253">
        <f t="shared" si="6"/>
        <v>0</v>
      </c>
      <c r="R87" s="253">
        <f t="shared" si="6"/>
        <v>0</v>
      </c>
      <c r="S87" s="253">
        <f t="shared" si="6"/>
        <v>0</v>
      </c>
      <c r="T87" s="253">
        <f t="shared" si="6"/>
        <v>0</v>
      </c>
      <c r="U87" s="253">
        <f t="shared" si="6"/>
        <v>0</v>
      </c>
      <c r="V87" s="253">
        <f t="shared" si="6"/>
        <v>0</v>
      </c>
      <c r="W87" s="253">
        <f t="shared" si="6"/>
        <v>0</v>
      </c>
      <c r="X87" s="253">
        <f t="shared" si="6"/>
        <v>0</v>
      </c>
      <c r="Y87" s="253">
        <f t="shared" si="6"/>
        <v>0</v>
      </c>
      <c r="AQ87" s="88"/>
    </row>
    <row r="88" spans="5:43" x14ac:dyDescent="0.25">
      <c r="E88" s="96"/>
      <c r="F88" s="295" t="s">
        <v>48</v>
      </c>
      <c r="G88" s="295" t="s">
        <v>102</v>
      </c>
      <c r="J88" s="253">
        <f t="shared" ref="J88:Y88" si="7">J$56 * J40 * J76 / hours_in_year / $H51</f>
        <v>494.64771646113098</v>
      </c>
      <c r="K88" s="253">
        <f t="shared" si="7"/>
        <v>3.9309060976848303E-2</v>
      </c>
      <c r="L88" s="253">
        <f t="shared" si="7"/>
        <v>159.29706314334501</v>
      </c>
      <c r="M88" s="253">
        <f t="shared" si="7"/>
        <v>7.3443790964301398E-3</v>
      </c>
      <c r="N88" s="253">
        <f>N$56 * N40 * N76 / hours_in_year / $H51</f>
        <v>83.172995908577789</v>
      </c>
      <c r="O88" s="253">
        <f t="shared" si="7"/>
        <v>85.986616015850714</v>
      </c>
      <c r="P88" s="253">
        <f t="shared" si="7"/>
        <v>117.08326291344635</v>
      </c>
      <c r="Q88" s="253">
        <f t="shared" si="7"/>
        <v>11.222010759958337</v>
      </c>
      <c r="R88" s="253">
        <f t="shared" si="7"/>
        <v>-6.825868369661138E-2</v>
      </c>
      <c r="S88" s="253">
        <f t="shared" si="7"/>
        <v>-2.2278807716637872E-2</v>
      </c>
      <c r="T88" s="253">
        <f t="shared" si="7"/>
        <v>-3.2253327972328552</v>
      </c>
      <c r="U88" s="253">
        <f t="shared" si="7"/>
        <v>0</v>
      </c>
      <c r="V88" s="253">
        <f t="shared" si="7"/>
        <v>-0.88552604351311581</v>
      </c>
      <c r="W88" s="253">
        <f t="shared" si="7"/>
        <v>0</v>
      </c>
      <c r="X88" s="253">
        <f t="shared" si="7"/>
        <v>0</v>
      </c>
      <c r="Y88" s="253">
        <f t="shared" si="7"/>
        <v>0</v>
      </c>
      <c r="AQ88" s="88"/>
    </row>
    <row r="89" spans="5:43" x14ac:dyDescent="0.25">
      <c r="E89" s="96"/>
      <c r="F89" s="295" t="s">
        <v>49</v>
      </c>
      <c r="G89" s="295" t="s">
        <v>102</v>
      </c>
      <c r="J89" s="253">
        <f t="shared" ref="J89:Y89" si="8">J$56 * J41 * J77 / hours_in_year / $H52</f>
        <v>484.38144310061693</v>
      </c>
      <c r="K89" s="253">
        <f t="shared" si="8"/>
        <v>3.8493212541479756E-2</v>
      </c>
      <c r="L89" s="253">
        <f t="shared" si="8"/>
        <v>155.99089768187937</v>
      </c>
      <c r="M89" s="253">
        <f t="shared" si="8"/>
        <v>7.1919485868815894E-3</v>
      </c>
      <c r="N89" s="253">
        <f t="shared" si="8"/>
        <v>81.446763918022398</v>
      </c>
      <c r="O89" s="253">
        <f t="shared" si="8"/>
        <v>84.201988136276441</v>
      </c>
      <c r="P89" s="253">
        <f t="shared" si="8"/>
        <v>0</v>
      </c>
      <c r="Q89" s="253">
        <f t="shared" si="8"/>
        <v>10.989101102676184</v>
      </c>
      <c r="R89" s="253">
        <f t="shared" si="8"/>
        <v>-6.6841994034983601E-2</v>
      </c>
      <c r="S89" s="253">
        <f t="shared" si="8"/>
        <v>0</v>
      </c>
      <c r="T89" s="253">
        <f t="shared" si="8"/>
        <v>-3.1583919278563242</v>
      </c>
      <c r="U89" s="253">
        <f t="shared" si="8"/>
        <v>0</v>
      </c>
      <c r="V89" s="253">
        <f t="shared" si="8"/>
        <v>0</v>
      </c>
      <c r="W89" s="253">
        <f t="shared" si="8"/>
        <v>0</v>
      </c>
      <c r="X89" s="253">
        <f t="shared" si="8"/>
        <v>0</v>
      </c>
      <c r="Y89" s="253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2">
        <f t="shared" ref="J90:Y90" si="9">J$56 * J42 * J78 / hours_in_year / $H53</f>
        <v>461.73051230814201</v>
      </c>
      <c r="K90" s="272">
        <f t="shared" si="9"/>
        <v>3.6693170228388972E-2</v>
      </c>
      <c r="L90" s="272">
        <f t="shared" si="9"/>
        <v>148.69635930107205</v>
      </c>
      <c r="M90" s="272">
        <f t="shared" si="9"/>
        <v>6.8556344443295725E-3</v>
      </c>
      <c r="N90" s="272">
        <f t="shared" si="9"/>
        <v>77.6381022959566</v>
      </c>
      <c r="O90" s="272">
        <f t="shared" si="9"/>
        <v>0</v>
      </c>
      <c r="P90" s="272">
        <f t="shared" si="9"/>
        <v>0</v>
      </c>
      <c r="Q90" s="272">
        <f t="shared" si="9"/>
        <v>10.475222274133772</v>
      </c>
      <c r="R90" s="272">
        <f t="shared" si="9"/>
        <v>0</v>
      </c>
      <c r="S90" s="272">
        <f t="shared" si="9"/>
        <v>0</v>
      </c>
      <c r="T90" s="272">
        <f t="shared" si="9"/>
        <v>0</v>
      </c>
      <c r="U90" s="272">
        <f t="shared" si="9"/>
        <v>0</v>
      </c>
      <c r="V90" s="272">
        <f t="shared" si="9"/>
        <v>0</v>
      </c>
      <c r="W90" s="272">
        <f t="shared" si="9"/>
        <v>0</v>
      </c>
      <c r="X90" s="272">
        <f t="shared" si="9"/>
        <v>0</v>
      </c>
      <c r="Y90" s="272">
        <f t="shared" si="9"/>
        <v>0</v>
      </c>
      <c r="AQ90" s="88"/>
    </row>
    <row r="91" spans="5:43" x14ac:dyDescent="0.25">
      <c r="E91" s="96"/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  <c r="U91" s="253"/>
      <c r="V91" s="253"/>
      <c r="W91" s="253"/>
      <c r="X91" s="253"/>
      <c r="Y91" s="253"/>
      <c r="AQ91" s="88"/>
    </row>
    <row r="92" spans="5:43" x14ac:dyDescent="0.25">
      <c r="E92" s="96" t="s">
        <v>306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AQ92" s="88"/>
    </row>
    <row r="93" spans="5:43" x14ac:dyDescent="0.25">
      <c r="E93" s="96"/>
      <c r="F93" s="91" t="s">
        <v>43</v>
      </c>
      <c r="G93" s="91" t="s">
        <v>528</v>
      </c>
      <c r="H93" s="91"/>
      <c r="I93" s="91"/>
      <c r="J93" s="273">
        <f>'Pseudo-load coefficients'!J283</f>
        <v>1.0110086003915804</v>
      </c>
      <c r="K93" s="273">
        <f>'Pseudo-load coefficients'!K283</f>
        <v>1.0110086003915804</v>
      </c>
      <c r="L93" s="273">
        <f>'Pseudo-load coefficients'!L283</f>
        <v>1.2557112825929622</v>
      </c>
      <c r="M93" s="273">
        <f>'Pseudo-load coefficients'!M283</f>
        <v>1.2557112825929622</v>
      </c>
      <c r="N93" s="273">
        <f>'Pseudo-load coefficients'!N283</f>
        <v>1.0201711483100009</v>
      </c>
      <c r="O93" s="273">
        <f>'Pseudo-load coefficients'!O283</f>
        <v>0.99175110755321449</v>
      </c>
      <c r="P93" s="273">
        <f>'Pseudo-load coefficients'!P283</f>
        <v>0.90305803546296959</v>
      </c>
      <c r="Q93" s="273">
        <f>'Pseudo-load coefficients'!Q283</f>
        <v>1.3075065456392576</v>
      </c>
      <c r="R93" s="273">
        <f>'Pseudo-load coefficients'!R283</f>
        <v>0.76626427867913516</v>
      </c>
      <c r="S93" s="273">
        <f>'Pseudo-load coefficients'!S283</f>
        <v>0.76626427867913516</v>
      </c>
      <c r="T93" s="273">
        <f>'Pseudo-load coefficients'!T283</f>
        <v>0.76626427867913516</v>
      </c>
      <c r="U93" s="273">
        <f>'Pseudo-load coefficients'!U283</f>
        <v>0.76626427867913516</v>
      </c>
      <c r="V93" s="273">
        <f>'Pseudo-load coefficients'!V283</f>
        <v>0.76626427867913516</v>
      </c>
      <c r="W93" s="273">
        <f>'Pseudo-load coefficients'!W283</f>
        <v>0.76626427867913516</v>
      </c>
      <c r="X93" s="273">
        <f>'Pseudo-load coefficients'!X283</f>
        <v>0.76626427867913516</v>
      </c>
      <c r="Y93" s="273">
        <f>'Pseudo-load coefficients'!Y283</f>
        <v>0.76626427867913516</v>
      </c>
      <c r="AQ93" s="88"/>
    </row>
    <row r="94" spans="5:43" x14ac:dyDescent="0.25">
      <c r="E94" s="96"/>
      <c r="F94" s="295" t="s">
        <v>44</v>
      </c>
      <c r="G94" s="295" t="s">
        <v>528</v>
      </c>
      <c r="J94" s="274">
        <f>'Pseudo-load coefficients'!J284</f>
        <v>1.0110086003915804</v>
      </c>
      <c r="K94" s="274">
        <f>'Pseudo-load coefficients'!K284</f>
        <v>1.0110086003915804</v>
      </c>
      <c r="L94" s="274">
        <f>'Pseudo-load coefficients'!L284</f>
        <v>1.2557112825929622</v>
      </c>
      <c r="M94" s="274">
        <f>'Pseudo-load coefficients'!M284</f>
        <v>1.2557112825929622</v>
      </c>
      <c r="N94" s="274">
        <f>'Pseudo-load coefficients'!N284</f>
        <v>1.0201711483100009</v>
      </c>
      <c r="O94" s="274">
        <f>'Pseudo-load coefficients'!O284</f>
        <v>0.99175110755321449</v>
      </c>
      <c r="P94" s="274">
        <f>'Pseudo-load coefficients'!P284</f>
        <v>0.90305803546296959</v>
      </c>
      <c r="Q94" s="274">
        <f>'Pseudo-load coefficients'!Q284</f>
        <v>1.3075065456392576</v>
      </c>
      <c r="R94" s="274">
        <f>'Pseudo-load coefficients'!R284</f>
        <v>0.76626427867913516</v>
      </c>
      <c r="S94" s="274">
        <f>'Pseudo-load coefficients'!S284</f>
        <v>0.76626427867913516</v>
      </c>
      <c r="T94" s="274">
        <f>'Pseudo-load coefficients'!T284</f>
        <v>0.76626427867913516</v>
      </c>
      <c r="U94" s="274">
        <f>'Pseudo-load coefficients'!U284</f>
        <v>0.76626427867913516</v>
      </c>
      <c r="V94" s="274">
        <f>'Pseudo-load coefficients'!V284</f>
        <v>0.76626427867913516</v>
      </c>
      <c r="W94" s="274">
        <f>'Pseudo-load coefficients'!W284</f>
        <v>0.76626427867913516</v>
      </c>
      <c r="X94" s="274">
        <f>'Pseudo-load coefficients'!X284</f>
        <v>0.76626427867913516</v>
      </c>
      <c r="Y94" s="274">
        <f>'Pseudo-load coefficients'!Y284</f>
        <v>0.76626427867913516</v>
      </c>
      <c r="AQ94" s="88"/>
    </row>
    <row r="95" spans="5:43" x14ac:dyDescent="0.25">
      <c r="E95" s="96"/>
      <c r="F95" s="295" t="s">
        <v>45</v>
      </c>
      <c r="G95" s="295" t="s">
        <v>528</v>
      </c>
      <c r="J95" s="274">
        <f>'Pseudo-load coefficients'!J285</f>
        <v>1.2637010135951787</v>
      </c>
      <c r="K95" s="274">
        <f>'Pseudo-load coefficients'!K285</f>
        <v>1.2637010135951787</v>
      </c>
      <c r="L95" s="274">
        <f>'Pseudo-load coefficients'!L285</f>
        <v>1.5695649077376961</v>
      </c>
      <c r="M95" s="274">
        <f>'Pseudo-load coefficients'!M285</f>
        <v>1.5695649077376961</v>
      </c>
      <c r="N95" s="274">
        <f>'Pseudo-load coefficients'!N285</f>
        <v>1.275153657110909</v>
      </c>
      <c r="O95" s="274">
        <f>'Pseudo-load coefficients'!O285</f>
        <v>1.2396302854038268</v>
      </c>
      <c r="P95" s="274">
        <f>'Pseudo-load coefficients'!P285</f>
        <v>1.1287691858484901</v>
      </c>
      <c r="Q95" s="274">
        <f>'Pseudo-load coefficients'!Q285</f>
        <v>1.6298517887685049</v>
      </c>
      <c r="R95" s="274">
        <f>'Pseudo-load coefficients'!R285</f>
        <v>0.95778507252416223</v>
      </c>
      <c r="S95" s="274">
        <f>'Pseudo-load coefficients'!S285</f>
        <v>0.95778507252416223</v>
      </c>
      <c r="T95" s="274">
        <f>'Pseudo-load coefficients'!T285</f>
        <v>0.95778507252416223</v>
      </c>
      <c r="U95" s="274">
        <f>'Pseudo-load coefficients'!U285</f>
        <v>0.95778507252416223</v>
      </c>
      <c r="V95" s="274">
        <f>'Pseudo-load coefficients'!V285</f>
        <v>0.95778507252416223</v>
      </c>
      <c r="W95" s="274">
        <f>'Pseudo-load coefficients'!W285</f>
        <v>0.95778507252416223</v>
      </c>
      <c r="X95" s="274">
        <f>'Pseudo-load coefficients'!X285</f>
        <v>0.95778507252416223</v>
      </c>
      <c r="Y95" s="274">
        <f>'Pseudo-load coefficients'!Y285</f>
        <v>0.95778507252416223</v>
      </c>
      <c r="AQ95" s="88"/>
    </row>
    <row r="96" spans="5:43" x14ac:dyDescent="0.25">
      <c r="E96" s="96"/>
      <c r="F96" s="295" t="s">
        <v>46</v>
      </c>
      <c r="G96" s="295" t="s">
        <v>528</v>
      </c>
      <c r="J96" s="274">
        <f>'Pseudo-load coefficients'!J286</f>
        <v>1.2637010135951787</v>
      </c>
      <c r="K96" s="274">
        <f>'Pseudo-load coefficients'!K286</f>
        <v>1.2637010135951787</v>
      </c>
      <c r="L96" s="274">
        <f>'Pseudo-load coefficients'!L286</f>
        <v>1.5695649077376961</v>
      </c>
      <c r="M96" s="274">
        <f>'Pseudo-load coefficients'!M286</f>
        <v>1.5695649077376961</v>
      </c>
      <c r="N96" s="274">
        <f>'Pseudo-load coefficients'!N286</f>
        <v>1.275153657110909</v>
      </c>
      <c r="O96" s="274">
        <f>'Pseudo-load coefficients'!O286</f>
        <v>1.2396302854038268</v>
      </c>
      <c r="P96" s="274">
        <f>'Pseudo-load coefficients'!P286</f>
        <v>1.1287691858484901</v>
      </c>
      <c r="Q96" s="274">
        <f>'Pseudo-load coefficients'!Q286</f>
        <v>1.6298517887685049</v>
      </c>
      <c r="R96" s="274">
        <f>'Pseudo-load coefficients'!R286</f>
        <v>0.95778507252416223</v>
      </c>
      <c r="S96" s="274">
        <f>'Pseudo-load coefficients'!S286</f>
        <v>0.95778507252416223</v>
      </c>
      <c r="T96" s="274">
        <f>'Pseudo-load coefficients'!T286</f>
        <v>0.95778507252416223</v>
      </c>
      <c r="U96" s="274">
        <f>'Pseudo-load coefficients'!U286</f>
        <v>0.95778507252416223</v>
      </c>
      <c r="V96" s="274">
        <f>'Pseudo-load coefficients'!V286</f>
        <v>0.95778507252416223</v>
      </c>
      <c r="W96" s="274">
        <f>'Pseudo-load coefficients'!W286</f>
        <v>0.95778507252416223</v>
      </c>
      <c r="X96" s="274">
        <f>'Pseudo-load coefficients'!X286</f>
        <v>0.95778507252416223</v>
      </c>
      <c r="Y96" s="274">
        <f>'Pseudo-load coefficients'!Y286</f>
        <v>0.95778507252416223</v>
      </c>
      <c r="AQ96" s="88"/>
    </row>
    <row r="97" spans="5:43" x14ac:dyDescent="0.25">
      <c r="E97" s="96"/>
      <c r="F97" s="295" t="s">
        <v>47</v>
      </c>
      <c r="G97" s="295" t="s">
        <v>528</v>
      </c>
      <c r="J97" s="274">
        <f>'Pseudo-load coefficients'!J287</f>
        <v>1.6160652843680967</v>
      </c>
      <c r="K97" s="274">
        <f>'Pseudo-load coefficients'!K287</f>
        <v>1.6160652843680967</v>
      </c>
      <c r="L97" s="274">
        <f>'Pseudo-load coefficients'!L287</f>
        <v>2.007214785514027</v>
      </c>
      <c r="M97" s="274">
        <f>'Pseudo-load coefficients'!M287</f>
        <v>2.007214785514027</v>
      </c>
      <c r="N97" s="274">
        <f>'Pseudo-load coefficients'!N287</f>
        <v>1.6307113275388305</v>
      </c>
      <c r="O97" s="274">
        <f>'Pseudo-load coefficients'!O287</f>
        <v>1.5852827908977181</v>
      </c>
      <c r="P97" s="274">
        <f>'Pseudo-load coefficients'!P287</f>
        <v>1.4435097192210913</v>
      </c>
      <c r="Q97" s="274">
        <f>'Pseudo-load coefficients'!Q287</f>
        <v>1.6251212020376569</v>
      </c>
      <c r="R97" s="274">
        <f>'Pseudo-load coefficients'!R287</f>
        <v>1.2248492237801776</v>
      </c>
      <c r="S97" s="274">
        <f>'Pseudo-load coefficients'!S287</f>
        <v>1.2248492237801776</v>
      </c>
      <c r="T97" s="274">
        <f>'Pseudo-load coefficients'!T287</f>
        <v>1.2248492237801776</v>
      </c>
      <c r="U97" s="274">
        <f>'Pseudo-load coefficients'!U287</f>
        <v>1.2248492237801776</v>
      </c>
      <c r="V97" s="274">
        <f>'Pseudo-load coefficients'!V287</f>
        <v>1.2248492237801776</v>
      </c>
      <c r="W97" s="274">
        <f>'Pseudo-load coefficients'!W287</f>
        <v>1.2248492237801776</v>
      </c>
      <c r="X97" s="274">
        <f>'Pseudo-load coefficients'!X287</f>
        <v>1.2248492237801776</v>
      </c>
      <c r="Y97" s="274">
        <f>'Pseudo-load coefficients'!Y287</f>
        <v>1.2248492237801776</v>
      </c>
      <c r="AQ97" s="88"/>
    </row>
    <row r="98" spans="5:43" x14ac:dyDescent="0.25">
      <c r="E98" s="96"/>
      <c r="F98" s="295" t="s">
        <v>51</v>
      </c>
      <c r="G98" s="295" t="s">
        <v>528</v>
      </c>
      <c r="J98" s="274">
        <f>'Pseudo-load coefficients'!J288</f>
        <v>0</v>
      </c>
      <c r="K98" s="274">
        <f>'Pseudo-load coefficients'!K288</f>
        <v>0</v>
      </c>
      <c r="L98" s="274">
        <f>'Pseudo-load coefficients'!L288</f>
        <v>0</v>
      </c>
      <c r="M98" s="274">
        <f>'Pseudo-load coefficients'!M288</f>
        <v>0</v>
      </c>
      <c r="N98" s="274">
        <f>'Pseudo-load coefficients'!N288</f>
        <v>0</v>
      </c>
      <c r="O98" s="274">
        <f>'Pseudo-load coefficients'!O288</f>
        <v>0</v>
      </c>
      <c r="P98" s="274">
        <f>'Pseudo-load coefficients'!P288</f>
        <v>0</v>
      </c>
      <c r="Q98" s="274">
        <f>'Pseudo-load coefficients'!Q288</f>
        <v>0</v>
      </c>
      <c r="R98" s="274">
        <f>'Pseudo-load coefficients'!R288</f>
        <v>0</v>
      </c>
      <c r="S98" s="274">
        <f>'Pseudo-load coefficients'!S288</f>
        <v>0</v>
      </c>
      <c r="T98" s="274">
        <f>'Pseudo-load coefficients'!T288</f>
        <v>0</v>
      </c>
      <c r="U98" s="274">
        <f>'Pseudo-load coefficients'!U288</f>
        <v>0</v>
      </c>
      <c r="V98" s="274">
        <f>'Pseudo-load coefficients'!V288</f>
        <v>0</v>
      </c>
      <c r="W98" s="274">
        <f>'Pseudo-load coefficients'!W288</f>
        <v>0</v>
      </c>
      <c r="X98" s="274">
        <f>'Pseudo-load coefficients'!X288</f>
        <v>0</v>
      </c>
      <c r="Y98" s="274">
        <f>'Pseudo-load coefficients'!Y288</f>
        <v>0</v>
      </c>
      <c r="AQ98" s="88"/>
    </row>
    <row r="99" spans="5:43" x14ac:dyDescent="0.25">
      <c r="E99" s="96"/>
      <c r="F99" s="295" t="s">
        <v>48</v>
      </c>
      <c r="G99" s="295" t="s">
        <v>528</v>
      </c>
      <c r="J99" s="274">
        <f>'Pseudo-load coefficients'!J289</f>
        <v>1.6160652843680967</v>
      </c>
      <c r="K99" s="274">
        <f>'Pseudo-load coefficients'!K289</f>
        <v>1.6160652843680967</v>
      </c>
      <c r="L99" s="274">
        <f>'Pseudo-load coefficients'!L289</f>
        <v>2.007214785514027</v>
      </c>
      <c r="M99" s="274">
        <f>'Pseudo-load coefficients'!M289</f>
        <v>2.007214785514027</v>
      </c>
      <c r="N99" s="274">
        <f>'Pseudo-load coefficients'!N289</f>
        <v>1.6307113275388305</v>
      </c>
      <c r="O99" s="274">
        <f>'Pseudo-load coefficients'!O289</f>
        <v>1.5852827908977181</v>
      </c>
      <c r="P99" s="274">
        <f>'Pseudo-load coefficients'!P289</f>
        <v>1.4435097192210913</v>
      </c>
      <c r="Q99" s="274">
        <f>'Pseudo-load coefficients'!Q289</f>
        <v>1.6251212020376569</v>
      </c>
      <c r="R99" s="274">
        <f>'Pseudo-load coefficients'!R289</f>
        <v>1.2248492237801776</v>
      </c>
      <c r="S99" s="274">
        <f>'Pseudo-load coefficients'!S289</f>
        <v>1.2248492237801776</v>
      </c>
      <c r="T99" s="274">
        <f>'Pseudo-load coefficients'!T289</f>
        <v>1.2248492237801776</v>
      </c>
      <c r="U99" s="274">
        <f>'Pseudo-load coefficients'!U289</f>
        <v>1.2248492237801776</v>
      </c>
      <c r="V99" s="274">
        <f>'Pseudo-load coefficients'!V289</f>
        <v>1.2248492237801776</v>
      </c>
      <c r="W99" s="274">
        <f>'Pseudo-load coefficients'!W289</f>
        <v>1.2248492237801776</v>
      </c>
      <c r="X99" s="274">
        <f>'Pseudo-load coefficients'!X289</f>
        <v>1.2248492237801776</v>
      </c>
      <c r="Y99" s="274">
        <f>'Pseudo-load coefficients'!Y289</f>
        <v>1.2248492237801776</v>
      </c>
      <c r="AQ99" s="88"/>
    </row>
    <row r="100" spans="5:43" x14ac:dyDescent="0.25">
      <c r="E100" s="96"/>
      <c r="F100" s="295" t="s">
        <v>49</v>
      </c>
      <c r="G100" s="295" t="s">
        <v>528</v>
      </c>
      <c r="J100" s="274">
        <f>'Pseudo-load coefficients'!J290</f>
        <v>1.6160652843680967</v>
      </c>
      <c r="K100" s="274">
        <f>'Pseudo-load coefficients'!K290</f>
        <v>1.6160652843680967</v>
      </c>
      <c r="L100" s="274">
        <f>'Pseudo-load coefficients'!L290</f>
        <v>2.007214785514027</v>
      </c>
      <c r="M100" s="274">
        <f>'Pseudo-load coefficients'!M290</f>
        <v>2.007214785514027</v>
      </c>
      <c r="N100" s="274">
        <f>'Pseudo-load coefficients'!N290</f>
        <v>1.6307113275388305</v>
      </c>
      <c r="O100" s="274">
        <f>'Pseudo-load coefficients'!O290</f>
        <v>1.5852827908977181</v>
      </c>
      <c r="P100" s="274">
        <f>'Pseudo-load coefficients'!P290</f>
        <v>1.4435097192210913</v>
      </c>
      <c r="Q100" s="274">
        <f>'Pseudo-load coefficients'!Q290</f>
        <v>1.6251212020376569</v>
      </c>
      <c r="R100" s="274">
        <f>'Pseudo-load coefficients'!R290</f>
        <v>1.2248492237801776</v>
      </c>
      <c r="S100" s="274">
        <f>'Pseudo-load coefficients'!S290</f>
        <v>1.2248492237801776</v>
      </c>
      <c r="T100" s="274">
        <f>'Pseudo-load coefficients'!T290</f>
        <v>1.2248492237801776</v>
      </c>
      <c r="U100" s="274">
        <f>'Pseudo-load coefficients'!U290</f>
        <v>1.2248492237801776</v>
      </c>
      <c r="V100" s="274">
        <f>'Pseudo-load coefficients'!V290</f>
        <v>1.2248492237801776</v>
      </c>
      <c r="W100" s="274">
        <f>'Pseudo-load coefficients'!W290</f>
        <v>1.2248492237801776</v>
      </c>
      <c r="X100" s="274">
        <f>'Pseudo-load coefficients'!X290</f>
        <v>1.2248492237801776</v>
      </c>
      <c r="Y100" s="274">
        <f>'Pseudo-load coefficients'!Y290</f>
        <v>1.2248492237801776</v>
      </c>
      <c r="AQ100" s="88"/>
    </row>
    <row r="101" spans="5:43" x14ac:dyDescent="0.25">
      <c r="E101" s="96"/>
      <c r="F101" s="93" t="s">
        <v>50</v>
      </c>
      <c r="G101" s="93" t="s">
        <v>528</v>
      </c>
      <c r="H101" s="93"/>
      <c r="I101" s="93"/>
      <c r="J101" s="275">
        <f>'Pseudo-load coefficients'!J291</f>
        <v>1.6160652843680967</v>
      </c>
      <c r="K101" s="275">
        <f>'Pseudo-load coefficients'!K291</f>
        <v>1.6160652843680967</v>
      </c>
      <c r="L101" s="275">
        <f>'Pseudo-load coefficients'!L291</f>
        <v>2.007214785514027</v>
      </c>
      <c r="M101" s="275">
        <f>'Pseudo-load coefficients'!M291</f>
        <v>2.007214785514027</v>
      </c>
      <c r="N101" s="275">
        <f>'Pseudo-load coefficients'!N291</f>
        <v>1.6307113275388305</v>
      </c>
      <c r="O101" s="275">
        <f>'Pseudo-load coefficients'!O291</f>
        <v>1.5852827908977181</v>
      </c>
      <c r="P101" s="275">
        <f>'Pseudo-load coefficients'!P291</f>
        <v>1.4435097192210913</v>
      </c>
      <c r="Q101" s="275">
        <f>'Pseudo-load coefficients'!Q291</f>
        <v>1.6251212020376569</v>
      </c>
      <c r="R101" s="275">
        <f>'Pseudo-load coefficients'!R291</f>
        <v>1.2248492237801776</v>
      </c>
      <c r="S101" s="275">
        <f>'Pseudo-load coefficients'!S291</f>
        <v>1.2248492237801776</v>
      </c>
      <c r="T101" s="275">
        <f>'Pseudo-load coefficients'!T291</f>
        <v>1.2248492237801776</v>
      </c>
      <c r="U101" s="275">
        <f>'Pseudo-load coefficients'!U291</f>
        <v>1.2248492237801776</v>
      </c>
      <c r="V101" s="275">
        <f>'Pseudo-load coefficients'!V291</f>
        <v>1.2248492237801776</v>
      </c>
      <c r="W101" s="275">
        <f>'Pseudo-load coefficients'!W291</f>
        <v>1.2248492237801776</v>
      </c>
      <c r="X101" s="275">
        <f>'Pseudo-load coefficients'!X291</f>
        <v>1.2248492237801776</v>
      </c>
      <c r="Y101" s="275">
        <f>'Pseudo-load coefficients'!Y291</f>
        <v>1.2248492237801776</v>
      </c>
      <c r="AQ101" s="88"/>
    </row>
    <row r="102" spans="5:43" x14ac:dyDescent="0.25">
      <c r="E102" s="96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  <c r="AQ102" s="88"/>
    </row>
    <row r="103" spans="5:43" x14ac:dyDescent="0.25">
      <c r="E103" s="96" t="s">
        <v>625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  <c r="AQ103" s="88"/>
    </row>
    <row r="104" spans="5:43" x14ac:dyDescent="0.25">
      <c r="E104" s="82" t="s">
        <v>420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  <c r="U104" s="253"/>
      <c r="V104" s="253"/>
      <c r="W104" s="253"/>
      <c r="X104" s="253"/>
      <c r="Y104" s="253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8">
        <f t="shared" ref="J105:Y105" si="10">J$57 * J34 * J93 / hours_in_year / $H45</f>
        <v>260.89815355654554</v>
      </c>
      <c r="K105" s="278">
        <f t="shared" si="10"/>
        <v>9.8782011328992253E-2</v>
      </c>
      <c r="L105" s="278">
        <f t="shared" si="10"/>
        <v>124.68837854903251</v>
      </c>
      <c r="M105" s="278">
        <f t="shared" si="10"/>
        <v>5.7971013351082276E-2</v>
      </c>
      <c r="N105" s="278">
        <f t="shared" si="10"/>
        <v>57.056070400767936</v>
      </c>
      <c r="O105" s="278">
        <f t="shared" si="10"/>
        <v>63.305517113404591</v>
      </c>
      <c r="P105" s="278">
        <f t="shared" si="10"/>
        <v>82.550128412287123</v>
      </c>
      <c r="Q105" s="278">
        <f t="shared" si="10"/>
        <v>8.6402302759266565</v>
      </c>
      <c r="R105" s="278">
        <f t="shared" si="10"/>
        <v>-4.9597452095447657E-2</v>
      </c>
      <c r="S105" s="278">
        <f t="shared" si="10"/>
        <v>-1.4890104152380798E-2</v>
      </c>
      <c r="T105" s="278">
        <f t="shared" si="10"/>
        <v>-2.3155723944535693</v>
      </c>
      <c r="U105" s="278">
        <f t="shared" si="10"/>
        <v>0</v>
      </c>
      <c r="V105" s="278">
        <f t="shared" si="10"/>
        <v>-0.59179920034068423</v>
      </c>
      <c r="W105" s="278">
        <f t="shared" si="10"/>
        <v>0</v>
      </c>
      <c r="X105" s="278">
        <f t="shared" si="10"/>
        <v>-15.385035989053822</v>
      </c>
      <c r="Y105" s="278">
        <f t="shared" si="10"/>
        <v>0</v>
      </c>
      <c r="AQ105" s="88"/>
    </row>
    <row r="106" spans="5:43" x14ac:dyDescent="0.25">
      <c r="E106" s="96"/>
      <c r="F106" s="295" t="s">
        <v>44</v>
      </c>
      <c r="G106" s="295" t="s">
        <v>102</v>
      </c>
      <c r="J106" s="253">
        <f t="shared" ref="J106:Y106" si="11">J$57 * J35 * J94 / hours_in_year / $H46</f>
        <v>259.60015279258266</v>
      </c>
      <c r="K106" s="253">
        <f t="shared" si="11"/>
        <v>9.8290558536310704E-2</v>
      </c>
      <c r="L106" s="253">
        <f t="shared" si="11"/>
        <v>124.06803835724629</v>
      </c>
      <c r="M106" s="253">
        <f t="shared" si="11"/>
        <v>5.7682600349335603E-2</v>
      </c>
      <c r="N106" s="253">
        <f t="shared" si="11"/>
        <v>56.772209353997951</v>
      </c>
      <c r="O106" s="253">
        <f t="shared" si="11"/>
        <v>62.990564291944871</v>
      </c>
      <c r="P106" s="253">
        <f t="shared" si="11"/>
        <v>82.1394312560071</v>
      </c>
      <c r="Q106" s="253">
        <f t="shared" si="11"/>
        <v>8.5972440556484155</v>
      </c>
      <c r="R106" s="253">
        <f t="shared" si="11"/>
        <v>-4.9350698602435482E-2</v>
      </c>
      <c r="S106" s="253">
        <f t="shared" si="11"/>
        <v>-1.4816024032219701E-2</v>
      </c>
      <c r="T106" s="253">
        <f t="shared" si="11"/>
        <v>-2.3040521337846465</v>
      </c>
      <c r="U106" s="253">
        <f t="shared" si="11"/>
        <v>0</v>
      </c>
      <c r="V106" s="253">
        <f t="shared" si="11"/>
        <v>-0.58885492571212372</v>
      </c>
      <c r="W106" s="253">
        <f t="shared" si="11"/>
        <v>0</v>
      </c>
      <c r="X106" s="253">
        <f t="shared" si="11"/>
        <v>-15.308493521446591</v>
      </c>
      <c r="Y106" s="253">
        <f t="shared" si="11"/>
        <v>0</v>
      </c>
      <c r="AQ106" s="88"/>
    </row>
    <row r="107" spans="5:43" x14ac:dyDescent="0.25">
      <c r="E107" s="96"/>
      <c r="F107" s="295" t="s">
        <v>45</v>
      </c>
      <c r="G107" s="295" t="s">
        <v>102</v>
      </c>
      <c r="J107" s="253">
        <f t="shared" ref="J107:Y107" si="12">J$57 * J36 * J95 / hours_in_year / $H47</f>
        <v>322.24039170336073</v>
      </c>
      <c r="K107" s="253">
        <f t="shared" si="12"/>
        <v>0.12200758644695157</v>
      </c>
      <c r="L107" s="253">
        <f t="shared" si="12"/>
        <v>154.00504525145615</v>
      </c>
      <c r="M107" s="253">
        <f t="shared" si="12"/>
        <v>7.1601127854071925E-2</v>
      </c>
      <c r="N107" s="253">
        <f t="shared" si="12"/>
        <v>70.471063993226608</v>
      </c>
      <c r="O107" s="253">
        <f t="shared" si="12"/>
        <v>78.189877366019815</v>
      </c>
      <c r="P107" s="253">
        <f t="shared" si="12"/>
        <v>101.95927166258305</v>
      </c>
      <c r="Q107" s="253">
        <f t="shared" si="12"/>
        <v>10.642632027000577</v>
      </c>
      <c r="R107" s="253">
        <f t="shared" si="12"/>
        <v>-6.1258779231880667E-2</v>
      </c>
      <c r="S107" s="253">
        <f t="shared" si="12"/>
        <v>-1.8391057694960244E-2</v>
      </c>
      <c r="T107" s="253">
        <f t="shared" si="12"/>
        <v>-2.8600085712928842</v>
      </c>
      <c r="U107" s="253">
        <f t="shared" si="12"/>
        <v>0</v>
      </c>
      <c r="V107" s="253">
        <f t="shared" si="12"/>
        <v>-0.73094272047496966</v>
      </c>
      <c r="W107" s="253">
        <f t="shared" si="12"/>
        <v>0</v>
      </c>
      <c r="X107" s="253">
        <f t="shared" si="12"/>
        <v>-19.002357647611742</v>
      </c>
      <c r="Y107" s="253">
        <f t="shared" si="12"/>
        <v>0</v>
      </c>
      <c r="AQ107" s="88"/>
    </row>
    <row r="108" spans="5:43" x14ac:dyDescent="0.25">
      <c r="E108" s="96"/>
      <c r="F108" s="295" t="s">
        <v>46</v>
      </c>
      <c r="G108" s="295" t="s">
        <v>102</v>
      </c>
      <c r="J108" s="253">
        <f t="shared" ref="J108:Y108" si="13">J$57 * J37 * J96 / hours_in_year / $H48</f>
        <v>320.34113595658255</v>
      </c>
      <c r="K108" s="253">
        <f t="shared" si="13"/>
        <v>0.12128848475865912</v>
      </c>
      <c r="L108" s="253">
        <f t="shared" si="13"/>
        <v>153.09735343268531</v>
      </c>
      <c r="M108" s="253">
        <f t="shared" si="13"/>
        <v>7.1179117277328868E-2</v>
      </c>
      <c r="N108" s="253">
        <f t="shared" si="13"/>
        <v>70.055713910751791</v>
      </c>
      <c r="O108" s="253">
        <f t="shared" si="13"/>
        <v>77.729033295100237</v>
      </c>
      <c r="P108" s="253">
        <f t="shared" si="13"/>
        <v>101.35833292979768</v>
      </c>
      <c r="Q108" s="253">
        <f t="shared" si="13"/>
        <v>10.579905315643011</v>
      </c>
      <c r="R108" s="253">
        <f t="shared" si="13"/>
        <v>-6.0897725523244829E-2</v>
      </c>
      <c r="S108" s="253">
        <f t="shared" si="13"/>
        <v>-1.8282662462966375E-2</v>
      </c>
      <c r="T108" s="253">
        <f t="shared" si="13"/>
        <v>-2.8431519392420417</v>
      </c>
      <c r="U108" s="253">
        <f t="shared" si="13"/>
        <v>0</v>
      </c>
      <c r="V108" s="253">
        <f t="shared" si="13"/>
        <v>-0.72663461013818198</v>
      </c>
      <c r="W108" s="253">
        <f t="shared" si="13"/>
        <v>0</v>
      </c>
      <c r="X108" s="253">
        <f t="shared" si="13"/>
        <v>-18.890359468942126</v>
      </c>
      <c r="Y108" s="253">
        <f t="shared" si="13"/>
        <v>0</v>
      </c>
      <c r="AQ108" s="88"/>
    </row>
    <row r="109" spans="5:43" x14ac:dyDescent="0.25">
      <c r="E109" s="96"/>
      <c r="F109" s="295" t="s">
        <v>47</v>
      </c>
      <c r="G109" s="295" t="s">
        <v>102</v>
      </c>
      <c r="J109" s="253">
        <f t="shared" ref="J109:Y109" si="14">J$57 * J38 * J97 / hours_in_year / $H49</f>
        <v>406.07346648704151</v>
      </c>
      <c r="K109" s="253">
        <f t="shared" si="14"/>
        <v>0.15374870699585955</v>
      </c>
      <c r="L109" s="253">
        <f t="shared" si="14"/>
        <v>194.0705268237181</v>
      </c>
      <c r="M109" s="253">
        <f t="shared" si="14"/>
        <v>9.0228658295730402E-2</v>
      </c>
      <c r="N109" s="253">
        <f t="shared" si="14"/>
        <v>88.804600476971231</v>
      </c>
      <c r="O109" s="253">
        <f t="shared" si="14"/>
        <v>98.531516730046221</v>
      </c>
      <c r="P109" s="253">
        <f t="shared" si="14"/>
        <v>128.48468395182647</v>
      </c>
      <c r="Q109" s="253">
        <f t="shared" si="14"/>
        <v>10.456750801202956</v>
      </c>
      <c r="R109" s="253">
        <f t="shared" si="14"/>
        <v>-7.7195675886446394E-2</v>
      </c>
      <c r="S109" s="253">
        <f t="shared" si="14"/>
        <v>-2.3175619018706024E-2</v>
      </c>
      <c r="T109" s="253">
        <f t="shared" si="14"/>
        <v>-3.6040596543113006</v>
      </c>
      <c r="U109" s="253">
        <f t="shared" si="14"/>
        <v>0</v>
      </c>
      <c r="V109" s="253">
        <f t="shared" si="14"/>
        <v>-0.92110254315968776</v>
      </c>
      <c r="W109" s="253">
        <f t="shared" si="14"/>
        <v>0</v>
      </c>
      <c r="X109" s="253">
        <f t="shared" si="14"/>
        <v>-23.94595289747399</v>
      </c>
      <c r="Y109" s="253">
        <f t="shared" si="14"/>
        <v>0</v>
      </c>
      <c r="AQ109" s="88"/>
    </row>
    <row r="110" spans="5:43" x14ac:dyDescent="0.25">
      <c r="E110" s="96"/>
      <c r="F110" s="295" t="s">
        <v>51</v>
      </c>
      <c r="G110" s="295" t="s">
        <v>102</v>
      </c>
      <c r="J110" s="253">
        <f t="shared" ref="J110:Y110" si="15">J$57 * J39 * J98 / hours_in_year / $H50</f>
        <v>0</v>
      </c>
      <c r="K110" s="253">
        <f t="shared" si="15"/>
        <v>0</v>
      </c>
      <c r="L110" s="253">
        <f t="shared" si="15"/>
        <v>0</v>
      </c>
      <c r="M110" s="253">
        <f t="shared" si="15"/>
        <v>0</v>
      </c>
      <c r="N110" s="253">
        <f t="shared" si="15"/>
        <v>0</v>
      </c>
      <c r="O110" s="253">
        <f t="shared" si="15"/>
        <v>0</v>
      </c>
      <c r="P110" s="253">
        <f t="shared" si="15"/>
        <v>0</v>
      </c>
      <c r="Q110" s="253">
        <f t="shared" si="15"/>
        <v>0</v>
      </c>
      <c r="R110" s="253">
        <f t="shared" si="15"/>
        <v>0</v>
      </c>
      <c r="S110" s="253">
        <f t="shared" si="15"/>
        <v>0</v>
      </c>
      <c r="T110" s="253">
        <f t="shared" si="15"/>
        <v>0</v>
      </c>
      <c r="U110" s="253">
        <f t="shared" si="15"/>
        <v>0</v>
      </c>
      <c r="V110" s="253">
        <f t="shared" si="15"/>
        <v>0</v>
      </c>
      <c r="W110" s="253">
        <f t="shared" si="15"/>
        <v>0</v>
      </c>
      <c r="X110" s="253">
        <f t="shared" si="15"/>
        <v>0</v>
      </c>
      <c r="Y110" s="253">
        <f t="shared" si="15"/>
        <v>0</v>
      </c>
      <c r="AQ110" s="88"/>
    </row>
    <row r="111" spans="5:43" x14ac:dyDescent="0.25">
      <c r="E111" s="96"/>
      <c r="F111" s="295" t="s">
        <v>48</v>
      </c>
      <c r="G111" s="295" t="s">
        <v>102</v>
      </c>
      <c r="J111" s="253">
        <f t="shared" ref="J111:Y111" si="16">J$57 * J40 * J99 / hours_in_year / $H51</f>
        <v>401.77018312349861</v>
      </c>
      <c r="K111" s="253">
        <f t="shared" si="16"/>
        <v>0.15211938543809994</v>
      </c>
      <c r="L111" s="253">
        <f t="shared" si="16"/>
        <v>192.01390274369794</v>
      </c>
      <c r="M111" s="253">
        <f t="shared" si="16"/>
        <v>8.9272477909166773E-2</v>
      </c>
      <c r="N111" s="253">
        <f t="shared" si="16"/>
        <v>87.863511261897344</v>
      </c>
      <c r="O111" s="253">
        <f t="shared" si="16"/>
        <v>97.487348440999469</v>
      </c>
      <c r="P111" s="253">
        <f t="shared" si="16"/>
        <v>127.12309288875315</v>
      </c>
      <c r="Q111" s="253">
        <f t="shared" si="16"/>
        <v>10.34593744974512</v>
      </c>
      <c r="R111" s="253">
        <f t="shared" si="16"/>
        <v>-7.6377609957013912E-2</v>
      </c>
      <c r="S111" s="253">
        <f t="shared" si="16"/>
        <v>-2.2930019973228404E-2</v>
      </c>
      <c r="T111" s="253">
        <f t="shared" si="16"/>
        <v>-3.5658663439091574</v>
      </c>
      <c r="U111" s="253">
        <f t="shared" si="16"/>
        <v>0</v>
      </c>
      <c r="V111" s="253">
        <f t="shared" si="16"/>
        <v>-0.91134134087186824</v>
      </c>
      <c r="W111" s="253">
        <f t="shared" si="16"/>
        <v>0</v>
      </c>
      <c r="X111" s="253">
        <f t="shared" si="16"/>
        <v>0</v>
      </c>
      <c r="Y111" s="253">
        <f t="shared" si="16"/>
        <v>0</v>
      </c>
      <c r="AQ111" s="88"/>
    </row>
    <row r="112" spans="5:43" x14ac:dyDescent="0.25">
      <c r="E112" s="96"/>
      <c r="F112" s="295" t="s">
        <v>49</v>
      </c>
      <c r="G112" s="295" t="s">
        <v>102</v>
      </c>
      <c r="J112" s="253">
        <f t="shared" ref="J112:Y112" si="17">J$57 * J41 * J100 / hours_in_year / $H52</f>
        <v>393.43155668131277</v>
      </c>
      <c r="K112" s="253">
        <f t="shared" si="17"/>
        <v>0.14896219064598842</v>
      </c>
      <c r="L112" s="253">
        <f t="shared" si="17"/>
        <v>188.02870853580987</v>
      </c>
      <c r="M112" s="253">
        <f t="shared" si="17"/>
        <v>8.7419652895957642E-2</v>
      </c>
      <c r="N112" s="253">
        <f t="shared" si="17"/>
        <v>86.039928952688157</v>
      </c>
      <c r="O112" s="253">
        <f t="shared" si="17"/>
        <v>95.464026114865518</v>
      </c>
      <c r="P112" s="253">
        <f t="shared" si="17"/>
        <v>0</v>
      </c>
      <c r="Q112" s="253">
        <f t="shared" si="17"/>
        <v>10.131210446071163</v>
      </c>
      <c r="R112" s="253">
        <f t="shared" si="17"/>
        <v>-7.479241427866079E-2</v>
      </c>
      <c r="S112" s="253">
        <f t="shared" si="17"/>
        <v>0</v>
      </c>
      <c r="T112" s="253">
        <f t="shared" si="17"/>
        <v>-3.4918577971487785</v>
      </c>
      <c r="U112" s="253">
        <f t="shared" si="17"/>
        <v>0</v>
      </c>
      <c r="V112" s="253">
        <f t="shared" si="17"/>
        <v>0</v>
      </c>
      <c r="W112" s="253">
        <f t="shared" si="17"/>
        <v>0</v>
      </c>
      <c r="X112" s="253">
        <f t="shared" si="17"/>
        <v>0</v>
      </c>
      <c r="Y112" s="253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2">
        <f t="shared" ref="J113:Y113" si="18">J$57 * J42 * J101 / hours_in_year / $H53</f>
        <v>375.03367813146724</v>
      </c>
      <c r="K113" s="272">
        <f t="shared" si="18"/>
        <v>0.14199633281002494</v>
      </c>
      <c r="L113" s="272">
        <f t="shared" si="18"/>
        <v>179.23599914384752</v>
      </c>
      <c r="M113" s="272">
        <f t="shared" si="18"/>
        <v>8.3331683515930843E-2</v>
      </c>
      <c r="N113" s="272">
        <f t="shared" si="18"/>
        <v>82.016479037634383</v>
      </c>
      <c r="O113" s="272">
        <f t="shared" si="18"/>
        <v>0</v>
      </c>
      <c r="P113" s="272">
        <f t="shared" si="18"/>
        <v>0</v>
      </c>
      <c r="Q113" s="272">
        <f t="shared" si="18"/>
        <v>9.6574488065066841</v>
      </c>
      <c r="R113" s="272">
        <f t="shared" si="18"/>
        <v>0</v>
      </c>
      <c r="S113" s="272">
        <f t="shared" si="18"/>
        <v>0</v>
      </c>
      <c r="T113" s="272">
        <f t="shared" si="18"/>
        <v>0</v>
      </c>
      <c r="U113" s="272">
        <f t="shared" si="18"/>
        <v>0</v>
      </c>
      <c r="V113" s="272">
        <f t="shared" si="18"/>
        <v>0</v>
      </c>
      <c r="W113" s="272">
        <f t="shared" si="18"/>
        <v>0</v>
      </c>
      <c r="X113" s="272">
        <f t="shared" si="18"/>
        <v>0</v>
      </c>
      <c r="Y113" s="272">
        <f t="shared" si="18"/>
        <v>0</v>
      </c>
      <c r="AQ113" s="88"/>
    </row>
    <row r="114" spans="5:43" x14ac:dyDescent="0.25">
      <c r="E114" s="96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AQ114" s="88"/>
    </row>
    <row r="115" spans="5:43" x14ac:dyDescent="0.25">
      <c r="E115" s="96" t="s">
        <v>307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AQ115" s="88"/>
    </row>
    <row r="116" spans="5:43" x14ac:dyDescent="0.25">
      <c r="E116" s="96"/>
      <c r="F116" s="91" t="s">
        <v>43</v>
      </c>
      <c r="G116" s="91" t="s">
        <v>528</v>
      </c>
      <c r="H116" s="91"/>
      <c r="I116" s="91"/>
      <c r="J116" s="273">
        <f>'Pseudo-load coefficients'!J294</f>
        <v>0.15327804308281631</v>
      </c>
      <c r="K116" s="273">
        <f>'Pseudo-load coefficients'!K294</f>
        <v>0.15327804308281631</v>
      </c>
      <c r="L116" s="273">
        <f>'Pseudo-load coefficients'!L294</f>
        <v>0.19037718175524385</v>
      </c>
      <c r="M116" s="273">
        <f>'Pseudo-load coefficients'!M294</f>
        <v>0.19037718175524385</v>
      </c>
      <c r="N116" s="273">
        <f>'Pseudo-load coefficients'!N294</f>
        <v>0.15466716817437742</v>
      </c>
      <c r="O116" s="273">
        <f>'Pseudo-load coefficients'!O294</f>
        <v>0.15035843308562855</v>
      </c>
      <c r="P116" s="273">
        <f>'Pseudo-load coefficients'!P294</f>
        <v>0.13691176159368432</v>
      </c>
      <c r="Q116" s="273">
        <f>'Pseudo-load coefficients'!Q294</f>
        <v>0.13536828098740447</v>
      </c>
      <c r="R116" s="273">
        <f>'Pseudo-load coefficients'!R294</f>
        <v>0.11617259148410086</v>
      </c>
      <c r="S116" s="273">
        <f>'Pseudo-load coefficients'!S294</f>
        <v>0.11617259148410086</v>
      </c>
      <c r="T116" s="273">
        <f>'Pseudo-load coefficients'!T294</f>
        <v>0.11617259148410086</v>
      </c>
      <c r="U116" s="273">
        <f>'Pseudo-load coefficients'!U294</f>
        <v>0.11617259148410086</v>
      </c>
      <c r="V116" s="273">
        <f>'Pseudo-load coefficients'!V294</f>
        <v>0.11617259148410086</v>
      </c>
      <c r="W116" s="273">
        <f>'Pseudo-load coefficients'!W294</f>
        <v>0.11617259148410086</v>
      </c>
      <c r="X116" s="273">
        <f>'Pseudo-load coefficients'!X294</f>
        <v>0.11617259148410086</v>
      </c>
      <c r="Y116" s="273">
        <f>'Pseudo-load coefficients'!Y294</f>
        <v>0.11617259148410086</v>
      </c>
      <c r="AQ116" s="88"/>
    </row>
    <row r="117" spans="5:43" x14ac:dyDescent="0.25">
      <c r="E117" s="96"/>
      <c r="F117" s="295" t="s">
        <v>44</v>
      </c>
      <c r="G117" s="295" t="s">
        <v>528</v>
      </c>
      <c r="J117" s="274">
        <f>'Pseudo-load coefficients'!J295</f>
        <v>0.15327804308281631</v>
      </c>
      <c r="K117" s="274">
        <f>'Pseudo-load coefficients'!K295</f>
        <v>0.15327804308281631</v>
      </c>
      <c r="L117" s="274">
        <f>'Pseudo-load coefficients'!L295</f>
        <v>0.19037718175524385</v>
      </c>
      <c r="M117" s="274">
        <f>'Pseudo-load coefficients'!M295</f>
        <v>0.19037718175524385</v>
      </c>
      <c r="N117" s="274">
        <f>'Pseudo-load coefficients'!N295</f>
        <v>0.15466716817437742</v>
      </c>
      <c r="O117" s="274">
        <f>'Pseudo-load coefficients'!O295</f>
        <v>0.15035843308562855</v>
      </c>
      <c r="P117" s="274">
        <f>'Pseudo-load coefficients'!P295</f>
        <v>0.13691176159368432</v>
      </c>
      <c r="Q117" s="274">
        <f>'Pseudo-load coefficients'!Q295</f>
        <v>0.13536828098740447</v>
      </c>
      <c r="R117" s="274">
        <f>'Pseudo-load coefficients'!R295</f>
        <v>0.11617259148410086</v>
      </c>
      <c r="S117" s="274">
        <f>'Pseudo-load coefficients'!S295</f>
        <v>0.11617259148410086</v>
      </c>
      <c r="T117" s="274">
        <f>'Pseudo-load coefficients'!T295</f>
        <v>0.11617259148410086</v>
      </c>
      <c r="U117" s="274">
        <f>'Pseudo-load coefficients'!U295</f>
        <v>0.11617259148410086</v>
      </c>
      <c r="V117" s="274">
        <f>'Pseudo-load coefficients'!V295</f>
        <v>0.11617259148410086</v>
      </c>
      <c r="W117" s="274">
        <f>'Pseudo-load coefficients'!W295</f>
        <v>0.11617259148410086</v>
      </c>
      <c r="X117" s="274">
        <f>'Pseudo-load coefficients'!X295</f>
        <v>0.11617259148410086</v>
      </c>
      <c r="Y117" s="274">
        <f>'Pseudo-load coefficients'!Y295</f>
        <v>0.11617259148410086</v>
      </c>
      <c r="AQ117" s="88"/>
    </row>
    <row r="118" spans="5:43" x14ac:dyDescent="0.25">
      <c r="E118" s="96"/>
      <c r="F118" s="295" t="s">
        <v>45</v>
      </c>
      <c r="G118" s="295" t="s">
        <v>528</v>
      </c>
      <c r="J118" s="274">
        <f>'Pseudo-load coefficients'!J296</f>
        <v>0.23869873720694237</v>
      </c>
      <c r="K118" s="274">
        <f>'Pseudo-load coefficients'!K296</f>
        <v>0.23869873720694237</v>
      </c>
      <c r="L118" s="274">
        <f>'Pseudo-load coefficients'!L296</f>
        <v>0.29647294527005708</v>
      </c>
      <c r="M118" s="274">
        <f>'Pseudo-load coefficients'!M296</f>
        <v>0.29647294527005708</v>
      </c>
      <c r="N118" s="274">
        <f>'Pseudo-load coefficients'!N296</f>
        <v>0.24086201120567785</v>
      </c>
      <c r="O118" s="274">
        <f>'Pseudo-load coefficients'!O296</f>
        <v>0.23415205064017203</v>
      </c>
      <c r="P118" s="274">
        <f>'Pseudo-load coefficients'!P296</f>
        <v>0.21321165082681151</v>
      </c>
      <c r="Q118" s="274">
        <f>'Pseudo-load coefficients'!Q296</f>
        <v>0.21080800015243967</v>
      </c>
      <c r="R118" s="274">
        <f>'Pseudo-load coefficients'!R296</f>
        <v>0.18091469807146596</v>
      </c>
      <c r="S118" s="274">
        <f>'Pseudo-load coefficients'!S296</f>
        <v>0.18091469807146596</v>
      </c>
      <c r="T118" s="274">
        <f>'Pseudo-load coefficients'!T296</f>
        <v>0.18091469807146596</v>
      </c>
      <c r="U118" s="274">
        <f>'Pseudo-load coefficients'!U296</f>
        <v>0.18091469807146596</v>
      </c>
      <c r="V118" s="274">
        <f>'Pseudo-load coefficients'!V296</f>
        <v>0.18091469807146596</v>
      </c>
      <c r="W118" s="274">
        <f>'Pseudo-load coefficients'!W296</f>
        <v>0.18091469807146596</v>
      </c>
      <c r="X118" s="274">
        <f>'Pseudo-load coefficients'!X296</f>
        <v>0.18091469807146596</v>
      </c>
      <c r="Y118" s="274">
        <f>'Pseudo-load coefficients'!Y296</f>
        <v>0.18091469807146596</v>
      </c>
      <c r="AQ118" s="88"/>
    </row>
    <row r="119" spans="5:43" x14ac:dyDescent="0.25">
      <c r="E119" s="96"/>
      <c r="F119" s="295" t="s">
        <v>46</v>
      </c>
      <c r="G119" s="295" t="s">
        <v>528</v>
      </c>
      <c r="J119" s="274">
        <f>'Pseudo-load coefficients'!J297</f>
        <v>0.23869873720694237</v>
      </c>
      <c r="K119" s="274">
        <f>'Pseudo-load coefficients'!K297</f>
        <v>0.23869873720694237</v>
      </c>
      <c r="L119" s="274">
        <f>'Pseudo-load coefficients'!L297</f>
        <v>0.29647294527005708</v>
      </c>
      <c r="M119" s="274">
        <f>'Pseudo-load coefficients'!M297</f>
        <v>0.29647294527005708</v>
      </c>
      <c r="N119" s="274">
        <f>'Pseudo-load coefficients'!N297</f>
        <v>0.24086201120567785</v>
      </c>
      <c r="O119" s="274">
        <f>'Pseudo-load coefficients'!O297</f>
        <v>0.23415205064017203</v>
      </c>
      <c r="P119" s="274">
        <f>'Pseudo-load coefficients'!P297</f>
        <v>0.21321165082681151</v>
      </c>
      <c r="Q119" s="274">
        <f>'Pseudo-load coefficients'!Q297</f>
        <v>0.21080800015243967</v>
      </c>
      <c r="R119" s="274">
        <f>'Pseudo-load coefficients'!R297</f>
        <v>0.18091469807146596</v>
      </c>
      <c r="S119" s="274">
        <f>'Pseudo-load coefficients'!S297</f>
        <v>0.18091469807146596</v>
      </c>
      <c r="T119" s="274">
        <f>'Pseudo-load coefficients'!T297</f>
        <v>0.18091469807146596</v>
      </c>
      <c r="U119" s="274">
        <f>'Pseudo-load coefficients'!U297</f>
        <v>0.18091469807146596</v>
      </c>
      <c r="V119" s="274">
        <f>'Pseudo-load coefficients'!V297</f>
        <v>0.18091469807146596</v>
      </c>
      <c r="W119" s="274">
        <f>'Pseudo-load coefficients'!W297</f>
        <v>0.18091469807146596</v>
      </c>
      <c r="X119" s="274">
        <f>'Pseudo-load coefficients'!X297</f>
        <v>0.18091469807146596</v>
      </c>
      <c r="Y119" s="274">
        <f>'Pseudo-load coefficients'!Y297</f>
        <v>0.18091469807146596</v>
      </c>
      <c r="AQ119" s="88"/>
    </row>
    <row r="120" spans="5:43" x14ac:dyDescent="0.25">
      <c r="E120" s="96"/>
      <c r="F120" s="295" t="s">
        <v>47</v>
      </c>
      <c r="G120" s="295" t="s">
        <v>528</v>
      </c>
      <c r="J120" s="274">
        <f>'Pseudo-load coefficients'!J298</f>
        <v>0.11311456167816648</v>
      </c>
      <c r="K120" s="274">
        <f>'Pseudo-load coefficients'!K298</f>
        <v>0.11311456167816648</v>
      </c>
      <c r="L120" s="274">
        <f>'Pseudo-load coefficients'!L298</f>
        <v>0.1404926043851823</v>
      </c>
      <c r="M120" s="274">
        <f>'Pseudo-load coefficients'!M298</f>
        <v>0.1404926043851823</v>
      </c>
      <c r="N120" s="274">
        <f>'Pseudo-load coefficients'!N298</f>
        <v>0.11413969399775892</v>
      </c>
      <c r="O120" s="274">
        <f>'Pseudo-load coefficients'!O298</f>
        <v>0.11095997776998953</v>
      </c>
      <c r="P120" s="274">
        <f>'Pseudo-load coefficients'!P298</f>
        <v>0.10103674074758209</v>
      </c>
      <c r="Q120" s="274">
        <f>'Pseudo-load coefficients'!Q298</f>
        <v>9.9897698724819808E-2</v>
      </c>
      <c r="R120" s="274">
        <f>'Pseudo-load coefficients'!R298</f>
        <v>8.573186022241143E-2</v>
      </c>
      <c r="S120" s="274">
        <f>'Pseudo-load coefficients'!S298</f>
        <v>8.573186022241143E-2</v>
      </c>
      <c r="T120" s="274">
        <f>'Pseudo-load coefficients'!T298</f>
        <v>8.573186022241143E-2</v>
      </c>
      <c r="U120" s="274">
        <f>'Pseudo-load coefficients'!U298</f>
        <v>8.573186022241143E-2</v>
      </c>
      <c r="V120" s="274">
        <f>'Pseudo-load coefficients'!V298</f>
        <v>8.573186022241143E-2</v>
      </c>
      <c r="W120" s="274">
        <f>'Pseudo-load coefficients'!W298</f>
        <v>8.573186022241143E-2</v>
      </c>
      <c r="X120" s="274">
        <f>'Pseudo-load coefficients'!X298</f>
        <v>8.573186022241143E-2</v>
      </c>
      <c r="Y120" s="274">
        <f>'Pseudo-load coefficients'!Y298</f>
        <v>8.573186022241143E-2</v>
      </c>
      <c r="AQ120" s="88"/>
    </row>
    <row r="121" spans="5:43" x14ac:dyDescent="0.25">
      <c r="E121" s="96"/>
      <c r="F121" s="295" t="s">
        <v>51</v>
      </c>
      <c r="G121" s="295" t="s">
        <v>528</v>
      </c>
      <c r="J121" s="274">
        <f>'Pseudo-load coefficients'!J299</f>
        <v>0</v>
      </c>
      <c r="K121" s="274">
        <f>'Pseudo-load coefficients'!K299</f>
        <v>0</v>
      </c>
      <c r="L121" s="274">
        <f>'Pseudo-load coefficients'!L299</f>
        <v>0</v>
      </c>
      <c r="M121" s="274">
        <f>'Pseudo-load coefficients'!M299</f>
        <v>0</v>
      </c>
      <c r="N121" s="274">
        <f>'Pseudo-load coefficients'!N299</f>
        <v>0</v>
      </c>
      <c r="O121" s="274">
        <f>'Pseudo-load coefficients'!O299</f>
        <v>0</v>
      </c>
      <c r="P121" s="274">
        <f>'Pseudo-load coefficients'!P299</f>
        <v>0</v>
      </c>
      <c r="Q121" s="274">
        <f>'Pseudo-load coefficients'!Q299</f>
        <v>0</v>
      </c>
      <c r="R121" s="274">
        <f>'Pseudo-load coefficients'!R299</f>
        <v>0</v>
      </c>
      <c r="S121" s="274">
        <f>'Pseudo-load coefficients'!S299</f>
        <v>0</v>
      </c>
      <c r="T121" s="274">
        <f>'Pseudo-load coefficients'!T299</f>
        <v>0</v>
      </c>
      <c r="U121" s="274">
        <f>'Pseudo-load coefficients'!U299</f>
        <v>0</v>
      </c>
      <c r="V121" s="274">
        <f>'Pseudo-load coefficients'!V299</f>
        <v>0</v>
      </c>
      <c r="W121" s="274">
        <f>'Pseudo-load coefficients'!W299</f>
        <v>0</v>
      </c>
      <c r="X121" s="274">
        <f>'Pseudo-load coefficients'!X299</f>
        <v>0</v>
      </c>
      <c r="Y121" s="274">
        <f>'Pseudo-load coefficients'!Y299</f>
        <v>0</v>
      </c>
      <c r="AQ121" s="88"/>
    </row>
    <row r="122" spans="5:43" x14ac:dyDescent="0.25">
      <c r="E122" s="96"/>
      <c r="F122" s="295" t="s">
        <v>48</v>
      </c>
      <c r="G122" s="295" t="s">
        <v>528</v>
      </c>
      <c r="J122" s="274">
        <f>'Pseudo-load coefficients'!J300</f>
        <v>0.11311456167816648</v>
      </c>
      <c r="K122" s="274">
        <f>'Pseudo-load coefficients'!K300</f>
        <v>0.11311456167816648</v>
      </c>
      <c r="L122" s="274">
        <f>'Pseudo-load coefficients'!L300</f>
        <v>0.1404926043851823</v>
      </c>
      <c r="M122" s="274">
        <f>'Pseudo-load coefficients'!M300</f>
        <v>0.1404926043851823</v>
      </c>
      <c r="N122" s="274">
        <f>'Pseudo-load coefficients'!N300</f>
        <v>0.11413969399775892</v>
      </c>
      <c r="O122" s="274">
        <f>'Pseudo-load coefficients'!O300</f>
        <v>0.11095997776998953</v>
      </c>
      <c r="P122" s="274">
        <f>'Pseudo-load coefficients'!P300</f>
        <v>0.10103674074758209</v>
      </c>
      <c r="Q122" s="274">
        <f>'Pseudo-load coefficients'!Q300</f>
        <v>9.9897698724819808E-2</v>
      </c>
      <c r="R122" s="274">
        <f>'Pseudo-load coefficients'!R300</f>
        <v>8.573186022241143E-2</v>
      </c>
      <c r="S122" s="274">
        <f>'Pseudo-load coefficients'!S300</f>
        <v>8.573186022241143E-2</v>
      </c>
      <c r="T122" s="274">
        <f>'Pseudo-load coefficients'!T300</f>
        <v>8.573186022241143E-2</v>
      </c>
      <c r="U122" s="274">
        <f>'Pseudo-load coefficients'!U300</f>
        <v>8.573186022241143E-2</v>
      </c>
      <c r="V122" s="274">
        <f>'Pseudo-load coefficients'!V300</f>
        <v>8.573186022241143E-2</v>
      </c>
      <c r="W122" s="274">
        <f>'Pseudo-load coefficients'!W300</f>
        <v>8.573186022241143E-2</v>
      </c>
      <c r="X122" s="274">
        <f>'Pseudo-load coefficients'!X300</f>
        <v>8.573186022241143E-2</v>
      </c>
      <c r="Y122" s="274">
        <f>'Pseudo-load coefficients'!Y300</f>
        <v>8.573186022241143E-2</v>
      </c>
      <c r="AQ122" s="88"/>
    </row>
    <row r="123" spans="5:43" x14ac:dyDescent="0.25">
      <c r="E123" s="96"/>
      <c r="F123" s="295" t="s">
        <v>49</v>
      </c>
      <c r="G123" s="295" t="s">
        <v>528</v>
      </c>
      <c r="J123" s="274">
        <f>'Pseudo-load coefficients'!J301</f>
        <v>0.11311456167816648</v>
      </c>
      <c r="K123" s="274">
        <f>'Pseudo-load coefficients'!K301</f>
        <v>0.11311456167816648</v>
      </c>
      <c r="L123" s="274">
        <f>'Pseudo-load coefficients'!L301</f>
        <v>0.1404926043851823</v>
      </c>
      <c r="M123" s="274">
        <f>'Pseudo-load coefficients'!M301</f>
        <v>0.1404926043851823</v>
      </c>
      <c r="N123" s="274">
        <f>'Pseudo-load coefficients'!N301</f>
        <v>0.11413969399775892</v>
      </c>
      <c r="O123" s="274">
        <f>'Pseudo-load coefficients'!O301</f>
        <v>0.11095997776998953</v>
      </c>
      <c r="P123" s="274">
        <f>'Pseudo-load coefficients'!P301</f>
        <v>0.10103674074758209</v>
      </c>
      <c r="Q123" s="274">
        <f>'Pseudo-load coefficients'!Q301</f>
        <v>9.9897698724819808E-2</v>
      </c>
      <c r="R123" s="274">
        <f>'Pseudo-load coefficients'!R301</f>
        <v>8.573186022241143E-2</v>
      </c>
      <c r="S123" s="274">
        <f>'Pseudo-load coefficients'!S301</f>
        <v>8.573186022241143E-2</v>
      </c>
      <c r="T123" s="274">
        <f>'Pseudo-load coefficients'!T301</f>
        <v>8.573186022241143E-2</v>
      </c>
      <c r="U123" s="274">
        <f>'Pseudo-load coefficients'!U301</f>
        <v>8.573186022241143E-2</v>
      </c>
      <c r="V123" s="274">
        <f>'Pseudo-load coefficients'!V301</f>
        <v>8.573186022241143E-2</v>
      </c>
      <c r="W123" s="274">
        <f>'Pseudo-load coefficients'!W301</f>
        <v>8.573186022241143E-2</v>
      </c>
      <c r="X123" s="274">
        <f>'Pseudo-load coefficients'!X301</f>
        <v>8.573186022241143E-2</v>
      </c>
      <c r="Y123" s="274">
        <f>'Pseudo-load coefficients'!Y301</f>
        <v>8.573186022241143E-2</v>
      </c>
      <c r="AQ123" s="88"/>
    </row>
    <row r="124" spans="5:43" x14ac:dyDescent="0.25">
      <c r="E124" s="96"/>
      <c r="F124" s="93" t="s">
        <v>50</v>
      </c>
      <c r="G124" s="93" t="s">
        <v>528</v>
      </c>
      <c r="H124" s="93"/>
      <c r="I124" s="93"/>
      <c r="J124" s="275">
        <f>'Pseudo-load coefficients'!J302</f>
        <v>0.11311456167816648</v>
      </c>
      <c r="K124" s="275">
        <f>'Pseudo-load coefficients'!K302</f>
        <v>0.11311456167816648</v>
      </c>
      <c r="L124" s="275">
        <f>'Pseudo-load coefficients'!L302</f>
        <v>0.1404926043851823</v>
      </c>
      <c r="M124" s="275">
        <f>'Pseudo-load coefficients'!M302</f>
        <v>0.1404926043851823</v>
      </c>
      <c r="N124" s="275">
        <f>'Pseudo-load coefficients'!N302</f>
        <v>0.11413969399775892</v>
      </c>
      <c r="O124" s="275">
        <f>'Pseudo-load coefficients'!O302</f>
        <v>0.11095997776998953</v>
      </c>
      <c r="P124" s="275">
        <f>'Pseudo-load coefficients'!P302</f>
        <v>0.10103674074758209</v>
      </c>
      <c r="Q124" s="275">
        <f>'Pseudo-load coefficients'!Q302</f>
        <v>9.9897698724819808E-2</v>
      </c>
      <c r="R124" s="275">
        <f>'Pseudo-load coefficients'!R302</f>
        <v>8.573186022241143E-2</v>
      </c>
      <c r="S124" s="275">
        <f>'Pseudo-load coefficients'!S302</f>
        <v>8.573186022241143E-2</v>
      </c>
      <c r="T124" s="275">
        <f>'Pseudo-load coefficients'!T302</f>
        <v>8.573186022241143E-2</v>
      </c>
      <c r="U124" s="275">
        <f>'Pseudo-load coefficients'!U302</f>
        <v>8.573186022241143E-2</v>
      </c>
      <c r="V124" s="275">
        <f>'Pseudo-load coefficients'!V302</f>
        <v>8.573186022241143E-2</v>
      </c>
      <c r="W124" s="275">
        <f>'Pseudo-load coefficients'!W302</f>
        <v>8.573186022241143E-2</v>
      </c>
      <c r="X124" s="275">
        <f>'Pseudo-load coefficients'!X302</f>
        <v>8.573186022241143E-2</v>
      </c>
      <c r="Y124" s="275">
        <f>'Pseudo-load coefficients'!Y302</f>
        <v>8.573186022241143E-2</v>
      </c>
      <c r="AQ124" s="88"/>
    </row>
    <row r="125" spans="5:43" x14ac:dyDescent="0.25">
      <c r="E125" s="96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AQ125" s="88"/>
    </row>
    <row r="126" spans="5:43" x14ac:dyDescent="0.25">
      <c r="E126" s="96" t="s">
        <v>626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AQ126" s="88"/>
    </row>
    <row r="127" spans="5:43" x14ac:dyDescent="0.25">
      <c r="E127" s="82" t="s">
        <v>419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8">
        <f t="shared" ref="J128:Y128" si="19">J$58 * J34 * J116 / hours_in_year / $H45</f>
        <v>37.238313490444106</v>
      </c>
      <c r="K128" s="278">
        <f t="shared" si="19"/>
        <v>0.20119153439181559</v>
      </c>
      <c r="L128" s="278">
        <f t="shared" si="19"/>
        <v>18.320273245392741</v>
      </c>
      <c r="M128" s="278">
        <f t="shared" si="19"/>
        <v>0.10695332011980806</v>
      </c>
      <c r="N128" s="278">
        <f t="shared" si="19"/>
        <v>8.5840466786745662</v>
      </c>
      <c r="O128" s="278">
        <f t="shared" si="19"/>
        <v>10.547649294653544</v>
      </c>
      <c r="P128" s="278">
        <f t="shared" si="19"/>
        <v>15.502605440524329</v>
      </c>
      <c r="Q128" s="278">
        <f t="shared" si="19"/>
        <v>1.6512165999432915</v>
      </c>
      <c r="R128" s="278">
        <f t="shared" si="19"/>
        <v>-7.8820405705598996E-3</v>
      </c>
      <c r="S128" s="278">
        <f t="shared" si="19"/>
        <v>-2.8264120561849082E-3</v>
      </c>
      <c r="T128" s="278">
        <f t="shared" si="19"/>
        <v>-0.40741787360367854</v>
      </c>
      <c r="U128" s="278">
        <f t="shared" si="19"/>
        <v>0</v>
      </c>
      <c r="V128" s="278">
        <f t="shared" si="19"/>
        <v>-0.11245655414277238</v>
      </c>
      <c r="W128" s="278">
        <f t="shared" si="19"/>
        <v>0</v>
      </c>
      <c r="X128" s="278">
        <f t="shared" si="19"/>
        <v>-2.4514290712159625</v>
      </c>
      <c r="Y128" s="278">
        <f t="shared" si="19"/>
        <v>0</v>
      </c>
      <c r="AQ128" s="88"/>
    </row>
    <row r="129" spans="3:43" x14ac:dyDescent="0.25">
      <c r="E129" s="96"/>
      <c r="F129" s="295" t="s">
        <v>44</v>
      </c>
      <c r="G129" s="295" t="s">
        <v>102</v>
      </c>
      <c r="J129" s="253">
        <f t="shared" ref="J129:Y129" si="20">J$58 * J35 * J117 / hours_in_year / $H46</f>
        <v>37.05304824919812</v>
      </c>
      <c r="K129" s="253">
        <f t="shared" si="20"/>
        <v>0.20019058148439364</v>
      </c>
      <c r="L129" s="253">
        <f t="shared" si="20"/>
        <v>18.229127607355963</v>
      </c>
      <c r="M129" s="253">
        <f t="shared" si="20"/>
        <v>0.10642121404956027</v>
      </c>
      <c r="N129" s="253">
        <f t="shared" si="20"/>
        <v>8.5413399787806643</v>
      </c>
      <c r="O129" s="253">
        <f t="shared" si="20"/>
        <v>10.495173427515965</v>
      </c>
      <c r="P129" s="253">
        <f t="shared" si="20"/>
        <v>15.425478050272966</v>
      </c>
      <c r="Q129" s="253">
        <f t="shared" si="20"/>
        <v>1.6430015919833747</v>
      </c>
      <c r="R129" s="253">
        <f t="shared" si="20"/>
        <v>-7.8428264383680595E-3</v>
      </c>
      <c r="S129" s="253">
        <f t="shared" si="20"/>
        <v>-2.8123503046616006E-3</v>
      </c>
      <c r="T129" s="253">
        <f t="shared" si="20"/>
        <v>-0.40539091900863539</v>
      </c>
      <c r="U129" s="253">
        <f t="shared" si="20"/>
        <v>0</v>
      </c>
      <c r="V129" s="253">
        <f t="shared" si="20"/>
        <v>-0.11189706879877849</v>
      </c>
      <c r="W129" s="253">
        <f t="shared" si="20"/>
        <v>0</v>
      </c>
      <c r="X129" s="253">
        <f t="shared" si="20"/>
        <v>-2.43923290668255</v>
      </c>
      <c r="Y129" s="253">
        <f t="shared" si="20"/>
        <v>0</v>
      </c>
      <c r="AQ129" s="88"/>
    </row>
    <row r="130" spans="3:43" x14ac:dyDescent="0.25">
      <c r="E130" s="96"/>
      <c r="F130" s="295" t="s">
        <v>45</v>
      </c>
      <c r="G130" s="295" t="s">
        <v>102</v>
      </c>
      <c r="J130" s="253">
        <f t="shared" ref="J130:Y130" si="21">J$58 * J36 * J118 / hours_in_year / $H47</f>
        <v>57.303304302957272</v>
      </c>
      <c r="K130" s="253">
        <f t="shared" si="21"/>
        <v>0.30959886841791573</v>
      </c>
      <c r="L130" s="253">
        <f t="shared" si="21"/>
        <v>28.191722296002037</v>
      </c>
      <c r="M130" s="253">
        <f t="shared" si="21"/>
        <v>0.16458260524096227</v>
      </c>
      <c r="N130" s="253">
        <f t="shared" si="21"/>
        <v>13.20935866510457</v>
      </c>
      <c r="O130" s="253">
        <f t="shared" si="21"/>
        <v>16.231002442350306</v>
      </c>
      <c r="P130" s="253">
        <f t="shared" si="21"/>
        <v>23.855820357573666</v>
      </c>
      <c r="Q130" s="253">
        <f t="shared" si="21"/>
        <v>2.5409358917644269</v>
      </c>
      <c r="R130" s="253">
        <f t="shared" si="21"/>
        <v>-1.2129093049795425E-2</v>
      </c>
      <c r="S130" s="253">
        <f t="shared" si="21"/>
        <v>-4.3493578242385488E-3</v>
      </c>
      <c r="T130" s="253">
        <f t="shared" si="21"/>
        <v>-0.62694542800834419</v>
      </c>
      <c r="U130" s="253">
        <f t="shared" si="21"/>
        <v>0</v>
      </c>
      <c r="V130" s="253">
        <f t="shared" si="21"/>
        <v>-0.17305112769295888</v>
      </c>
      <c r="W130" s="253">
        <f t="shared" si="21"/>
        <v>0</v>
      </c>
      <c r="X130" s="253">
        <f t="shared" si="21"/>
        <v>-3.7723240629856165</v>
      </c>
      <c r="Y130" s="253">
        <f t="shared" si="21"/>
        <v>0</v>
      </c>
      <c r="AQ130" s="88"/>
    </row>
    <row r="131" spans="3:43" x14ac:dyDescent="0.25">
      <c r="E131" s="96"/>
      <c r="F131" s="295" t="s">
        <v>46</v>
      </c>
      <c r="G131" s="295" t="s">
        <v>102</v>
      </c>
      <c r="J131" s="253">
        <f t="shared" ref="J131:Y131" si="22">J$58 * J37 * J119 / hours_in_year / $H48</f>
        <v>56.96556380608326</v>
      </c>
      <c r="K131" s="253">
        <f t="shared" si="22"/>
        <v>0.30777412066692605</v>
      </c>
      <c r="L131" s="253">
        <f t="shared" si="22"/>
        <v>28.025562832567843</v>
      </c>
      <c r="M131" s="253">
        <f t="shared" si="22"/>
        <v>0.16361257023954207</v>
      </c>
      <c r="N131" s="253">
        <f t="shared" si="22"/>
        <v>13.131503898905525</v>
      </c>
      <c r="O131" s="253">
        <f t="shared" si="22"/>
        <v>16.135338380804036</v>
      </c>
      <c r="P131" s="253">
        <f t="shared" si="22"/>
        <v>23.715216308314883</v>
      </c>
      <c r="Q131" s="253">
        <f t="shared" si="22"/>
        <v>2.5259598452510805</v>
      </c>
      <c r="R131" s="253">
        <f t="shared" si="22"/>
        <v>-1.2057605271505865E-2</v>
      </c>
      <c r="S131" s="253">
        <f t="shared" si="22"/>
        <v>-4.3237231022882237E-3</v>
      </c>
      <c r="T131" s="253">
        <f t="shared" si="22"/>
        <v>-0.62325026831477826</v>
      </c>
      <c r="U131" s="253">
        <f t="shared" si="22"/>
        <v>0</v>
      </c>
      <c r="V131" s="253">
        <f t="shared" si="22"/>
        <v>-0.17203117998553477</v>
      </c>
      <c r="W131" s="253">
        <f t="shared" si="22"/>
        <v>0</v>
      </c>
      <c r="X131" s="253">
        <f t="shared" si="22"/>
        <v>-3.7500903258756817</v>
      </c>
      <c r="Y131" s="253">
        <f t="shared" si="22"/>
        <v>0</v>
      </c>
      <c r="AQ131" s="88"/>
    </row>
    <row r="132" spans="3:43" x14ac:dyDescent="0.25">
      <c r="E132" s="96"/>
      <c r="F132" s="295" t="s">
        <v>47</v>
      </c>
      <c r="G132" s="295" t="s">
        <v>102</v>
      </c>
      <c r="J132" s="253">
        <f t="shared" ref="J132:Y132" si="23">J$58 * J38 * J120 / hours_in_year / $H49</f>
        <v>26.758276061327749</v>
      </c>
      <c r="K132" s="253">
        <f t="shared" si="23"/>
        <v>0.14456988283961386</v>
      </c>
      <c r="L132" s="253">
        <f t="shared" si="23"/>
        <v>13.164369786643883</v>
      </c>
      <c r="M132" s="253">
        <f t="shared" si="23"/>
        <v>7.6853278174796646E-2</v>
      </c>
      <c r="N132" s="253">
        <f t="shared" si="23"/>
        <v>6.1682248528854693</v>
      </c>
      <c r="O132" s="253">
        <f t="shared" si="23"/>
        <v>7.5792076807354478</v>
      </c>
      <c r="P132" s="253">
        <f t="shared" si="23"/>
        <v>11.139682686055078</v>
      </c>
      <c r="Q132" s="253">
        <f t="shared" si="23"/>
        <v>1.1865121021033285</v>
      </c>
      <c r="R132" s="253">
        <f t="shared" si="23"/>
        <v>-5.6637854334555078E-3</v>
      </c>
      <c r="S132" s="253">
        <f t="shared" si="23"/>
        <v>-2.0309704434350526E-3</v>
      </c>
      <c r="T132" s="253">
        <f t="shared" si="23"/>
        <v>-0.29275761742013179</v>
      </c>
      <c r="U132" s="253">
        <f t="shared" si="23"/>
        <v>0</v>
      </c>
      <c r="V132" s="253">
        <f t="shared" si="23"/>
        <v>-8.0807728347583305E-2</v>
      </c>
      <c r="W132" s="253">
        <f t="shared" si="23"/>
        <v>0</v>
      </c>
      <c r="X132" s="253">
        <f t="shared" si="23"/>
        <v>-1.7615195126705698</v>
      </c>
      <c r="Y132" s="253">
        <f t="shared" si="23"/>
        <v>0</v>
      </c>
      <c r="AQ132" s="88"/>
    </row>
    <row r="133" spans="3:43" x14ac:dyDescent="0.25">
      <c r="E133" s="96"/>
      <c r="F133" s="295" t="s">
        <v>51</v>
      </c>
      <c r="G133" s="295" t="s">
        <v>102</v>
      </c>
      <c r="J133" s="253">
        <f t="shared" ref="J133:Y133" si="24">J$58 * J39 * J121 / hours_in_year / $H50</f>
        <v>0</v>
      </c>
      <c r="K133" s="253">
        <f t="shared" si="24"/>
        <v>0</v>
      </c>
      <c r="L133" s="253">
        <f t="shared" si="24"/>
        <v>0</v>
      </c>
      <c r="M133" s="253">
        <f t="shared" si="24"/>
        <v>0</v>
      </c>
      <c r="N133" s="253">
        <f t="shared" si="24"/>
        <v>0</v>
      </c>
      <c r="O133" s="253">
        <f t="shared" si="24"/>
        <v>0</v>
      </c>
      <c r="P133" s="253">
        <f t="shared" si="24"/>
        <v>0</v>
      </c>
      <c r="Q133" s="253">
        <f t="shared" si="24"/>
        <v>0</v>
      </c>
      <c r="R133" s="253">
        <f t="shared" si="24"/>
        <v>0</v>
      </c>
      <c r="S133" s="253">
        <f t="shared" si="24"/>
        <v>0</v>
      </c>
      <c r="T133" s="253">
        <f t="shared" si="24"/>
        <v>0</v>
      </c>
      <c r="U133" s="253">
        <f t="shared" si="24"/>
        <v>0</v>
      </c>
      <c r="V133" s="253">
        <f t="shared" si="24"/>
        <v>0</v>
      </c>
      <c r="W133" s="253">
        <f t="shared" si="24"/>
        <v>0</v>
      </c>
      <c r="X133" s="253">
        <f t="shared" si="24"/>
        <v>0</v>
      </c>
      <c r="Y133" s="253">
        <f t="shared" si="24"/>
        <v>0</v>
      </c>
      <c r="AQ133" s="88"/>
    </row>
    <row r="134" spans="3:43" x14ac:dyDescent="0.25">
      <c r="E134" s="96"/>
      <c r="F134" s="295" t="s">
        <v>48</v>
      </c>
      <c r="G134" s="295" t="s">
        <v>102</v>
      </c>
      <c r="J134" s="253">
        <f t="shared" ref="J134:Y134" si="25">J$58 * J40 * J122 / hours_in_year / $H51</f>
        <v>26.474710515398453</v>
      </c>
      <c r="K134" s="253">
        <f t="shared" si="25"/>
        <v>0.14303783205807652</v>
      </c>
      <c r="L134" s="253">
        <f t="shared" si="25"/>
        <v>13.024862977729544</v>
      </c>
      <c r="M134" s="253">
        <f t="shared" si="25"/>
        <v>7.6038840737491467E-2</v>
      </c>
      <c r="N134" s="253">
        <f t="shared" si="25"/>
        <v>6.1028583082017107</v>
      </c>
      <c r="O134" s="253">
        <f t="shared" si="25"/>
        <v>7.4988885241958618</v>
      </c>
      <c r="P134" s="253">
        <f t="shared" si="25"/>
        <v>11.021632098823279</v>
      </c>
      <c r="Q134" s="253">
        <f t="shared" si="25"/>
        <v>1.1739382744317131</v>
      </c>
      <c r="R134" s="253">
        <f t="shared" si="25"/>
        <v>-5.6037645858948038E-3</v>
      </c>
      <c r="S134" s="253">
        <f t="shared" si="25"/>
        <v>-2.009447635267629E-3</v>
      </c>
      <c r="T134" s="253">
        <f t="shared" si="25"/>
        <v>-0.28965517638774113</v>
      </c>
      <c r="U134" s="253">
        <f t="shared" si="25"/>
        <v>0</v>
      </c>
      <c r="V134" s="253">
        <f t="shared" si="25"/>
        <v>-7.995138440555688E-2</v>
      </c>
      <c r="W134" s="253">
        <f t="shared" si="25"/>
        <v>0</v>
      </c>
      <c r="X134" s="253">
        <f t="shared" si="25"/>
        <v>0</v>
      </c>
      <c r="Y134" s="253">
        <f t="shared" si="25"/>
        <v>0</v>
      </c>
      <c r="AQ134" s="88"/>
    </row>
    <row r="135" spans="3:43" x14ac:dyDescent="0.25">
      <c r="E135" s="96"/>
      <c r="F135" s="295" t="s">
        <v>49</v>
      </c>
      <c r="G135" s="295" t="s">
        <v>102</v>
      </c>
      <c r="J135" s="253">
        <f t="shared" ref="J135:Y135" si="26">J$58 * J41 * J123 / hours_in_year / $H52</f>
        <v>25.925235391493956</v>
      </c>
      <c r="K135" s="253">
        <f t="shared" si="26"/>
        <v>0.14006912233611643</v>
      </c>
      <c r="L135" s="253">
        <f t="shared" si="26"/>
        <v>12.754535632908741</v>
      </c>
      <c r="M135" s="253">
        <f t="shared" si="26"/>
        <v>7.4460676118411451E-2</v>
      </c>
      <c r="N135" s="253">
        <f t="shared" si="26"/>
        <v>5.976195211239034</v>
      </c>
      <c r="O135" s="253">
        <f t="shared" si="26"/>
        <v>7.3432512152031171</v>
      </c>
      <c r="P135" s="253">
        <f t="shared" si="26"/>
        <v>0</v>
      </c>
      <c r="Q135" s="253">
        <f t="shared" si="26"/>
        <v>1.1495735177925643</v>
      </c>
      <c r="R135" s="253">
        <f t="shared" si="26"/>
        <v>-5.4874600378856655E-3</v>
      </c>
      <c r="S135" s="253">
        <f t="shared" si="26"/>
        <v>0</v>
      </c>
      <c r="T135" s="253">
        <f t="shared" si="26"/>
        <v>-0.28364346517969369</v>
      </c>
      <c r="U135" s="253">
        <f t="shared" si="26"/>
        <v>0</v>
      </c>
      <c r="V135" s="253">
        <f t="shared" si="26"/>
        <v>0</v>
      </c>
      <c r="W135" s="253">
        <f t="shared" si="26"/>
        <v>0</v>
      </c>
      <c r="X135" s="253">
        <f t="shared" si="26"/>
        <v>0</v>
      </c>
      <c r="Y135" s="253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2">
        <f t="shared" ref="J136:Y136" si="27">J$58 * J42 * J124 / hours_in_year / $H53</f>
        <v>24.71290424009316</v>
      </c>
      <c r="K136" s="272">
        <f t="shared" si="27"/>
        <v>0.13351912740672969</v>
      </c>
      <c r="L136" s="272">
        <f t="shared" si="27"/>
        <v>12.158100513384232</v>
      </c>
      <c r="M136" s="272">
        <f t="shared" si="27"/>
        <v>7.0978702055320267E-2</v>
      </c>
      <c r="N136" s="272">
        <f t="shared" si="27"/>
        <v>5.6967328452458412</v>
      </c>
      <c r="O136" s="272">
        <f t="shared" si="27"/>
        <v>0</v>
      </c>
      <c r="P136" s="272">
        <f t="shared" si="27"/>
        <v>0</v>
      </c>
      <c r="Q136" s="272">
        <f t="shared" si="27"/>
        <v>1.095816482787876</v>
      </c>
      <c r="R136" s="272">
        <f t="shared" si="27"/>
        <v>0</v>
      </c>
      <c r="S136" s="272">
        <f t="shared" si="27"/>
        <v>0</v>
      </c>
      <c r="T136" s="272">
        <f t="shared" si="27"/>
        <v>0</v>
      </c>
      <c r="U136" s="272">
        <f t="shared" si="27"/>
        <v>0</v>
      </c>
      <c r="V136" s="272">
        <f t="shared" si="27"/>
        <v>0</v>
      </c>
      <c r="W136" s="272">
        <f t="shared" si="27"/>
        <v>0</v>
      </c>
      <c r="X136" s="272">
        <f t="shared" si="27"/>
        <v>0</v>
      </c>
      <c r="Y136" s="272">
        <f t="shared" si="27"/>
        <v>0</v>
      </c>
      <c r="AQ136" s="88"/>
    </row>
    <row r="137" spans="3:43" x14ac:dyDescent="0.25">
      <c r="D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AQ137" s="88"/>
    </row>
    <row r="138" spans="3:43" x14ac:dyDescent="0.25">
      <c r="C138" s="7" t="str">
        <f ca="1">INDEX('Version control'!$H$34:$H$58,MATCH($A$1,'Version control'!$F$34:$F$58,0),1)&amp;"-C: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7"/>
      <c r="AA138" s="7"/>
      <c r="AQ138" s="88"/>
    </row>
    <row r="139" spans="3:43" x14ac:dyDescent="0.25">
      <c r="H139" s="90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3:43" x14ac:dyDescent="0.25">
      <c r="E140" s="96" t="s">
        <v>775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  <c r="AQ140" s="88"/>
    </row>
    <row r="141" spans="3:43" x14ac:dyDescent="0.25">
      <c r="E141" s="82" t="s">
        <v>418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8">
        <f t="shared" ref="J142:Y150" si="28">J82 + J105 + J128</f>
        <v>986.90514848109376</v>
      </c>
      <c r="K142" s="278">
        <f t="shared" si="28"/>
        <v>0.354709167045695</v>
      </c>
      <c r="L142" s="278">
        <f t="shared" si="28"/>
        <v>364.82071012662743</v>
      </c>
      <c r="M142" s="278">
        <f t="shared" si="28"/>
        <v>0.17515096171126932</v>
      </c>
      <c r="N142" s="278">
        <f t="shared" si="28"/>
        <v>181.45376144987358</v>
      </c>
      <c r="O142" s="278">
        <f t="shared" si="28"/>
        <v>193.58461601007392</v>
      </c>
      <c r="P142" s="278">
        <f t="shared" si="28"/>
        <v>261.08448742451503</v>
      </c>
      <c r="Q142" s="278">
        <f t="shared" si="28"/>
        <v>25.737361401307229</v>
      </c>
      <c r="R142" s="278">
        <f t="shared" si="28"/>
        <v>-0.15252580947203484</v>
      </c>
      <c r="S142" s="278">
        <f t="shared" si="28"/>
        <v>-4.8738482962390611E-2</v>
      </c>
      <c r="T142" s="278">
        <f t="shared" si="28"/>
        <v>-7.2140818955080519</v>
      </c>
      <c r="U142" s="278">
        <f t="shared" si="28"/>
        <v>0</v>
      </c>
      <c r="V142" s="278">
        <f t="shared" si="28"/>
        <v>-1.9373001718916085</v>
      </c>
      <c r="W142" s="278">
        <f t="shared" si="28"/>
        <v>0</v>
      </c>
      <c r="X142" s="278">
        <f t="shared" si="28"/>
        <v>-54.200981927063744</v>
      </c>
      <c r="Y142" s="278">
        <f t="shared" si="28"/>
        <v>0</v>
      </c>
      <c r="AQ142" s="88"/>
    </row>
    <row r="143" spans="3:43" x14ac:dyDescent="0.25">
      <c r="C143" s="96"/>
      <c r="F143" s="295" t="s">
        <v>44</v>
      </c>
      <c r="G143" s="295" t="s">
        <v>102</v>
      </c>
      <c r="J143" s="253">
        <f t="shared" si="28"/>
        <v>981.99517261800395</v>
      </c>
      <c r="K143" s="253">
        <f t="shared" si="28"/>
        <v>0.35294444482158704</v>
      </c>
      <c r="L143" s="253">
        <f t="shared" si="28"/>
        <v>363.00568171803724</v>
      </c>
      <c r="M143" s="253">
        <f t="shared" si="28"/>
        <v>0.17427956389181032</v>
      </c>
      <c r="N143" s="253">
        <f t="shared" si="28"/>
        <v>180.55100641778469</v>
      </c>
      <c r="O143" s="253">
        <f t="shared" si="28"/>
        <v>192.62150846773525</v>
      </c>
      <c r="P143" s="253">
        <f t="shared" si="28"/>
        <v>259.78555962638313</v>
      </c>
      <c r="Q143" s="253">
        <f t="shared" si="28"/>
        <v>25.609314827171374</v>
      </c>
      <c r="R143" s="253">
        <f t="shared" si="28"/>
        <v>-0.15176697459903965</v>
      </c>
      <c r="S143" s="253">
        <f t="shared" si="28"/>
        <v>-4.8496002947652356E-2</v>
      </c>
      <c r="T143" s="253">
        <f t="shared" si="28"/>
        <v>-7.1781909408040327</v>
      </c>
      <c r="U143" s="253">
        <f t="shared" si="28"/>
        <v>0</v>
      </c>
      <c r="V143" s="253">
        <f t="shared" si="28"/>
        <v>-1.9276618625787152</v>
      </c>
      <c r="W143" s="253">
        <f t="shared" si="28"/>
        <v>0</v>
      </c>
      <c r="X143" s="253">
        <f t="shared" si="28"/>
        <v>-53.931325300560943</v>
      </c>
      <c r="Y143" s="253">
        <f t="shared" si="28"/>
        <v>0</v>
      </c>
      <c r="AQ143" s="88"/>
    </row>
    <row r="144" spans="3:43" x14ac:dyDescent="0.25">
      <c r="C144" s="96"/>
      <c r="F144" s="295" t="s">
        <v>45</v>
      </c>
      <c r="G144" s="295" t="s">
        <v>102</v>
      </c>
      <c r="J144" s="253">
        <f t="shared" si="28"/>
        <v>944.9594072246382</v>
      </c>
      <c r="K144" s="253">
        <f t="shared" si="28"/>
        <v>0.47653936353886395</v>
      </c>
      <c r="L144" s="253">
        <f t="shared" si="28"/>
        <v>364.28405766287028</v>
      </c>
      <c r="M144" s="253">
        <f t="shared" si="28"/>
        <v>0.2445788538892314</v>
      </c>
      <c r="N144" s="253">
        <f t="shared" si="28"/>
        <v>178.7527682303587</v>
      </c>
      <c r="O144" s="253">
        <f t="shared" si="28"/>
        <v>192.7093829832942</v>
      </c>
      <c r="P144" s="253">
        <f t="shared" si="28"/>
        <v>259.64916052771821</v>
      </c>
      <c r="Q144" s="253">
        <f t="shared" si="28"/>
        <v>22.889550336925964</v>
      </c>
      <c r="R144" s="253">
        <f t="shared" si="28"/>
        <v>-0.15141215280451686</v>
      </c>
      <c r="S144" s="253">
        <f t="shared" si="28"/>
        <v>-4.8206595774351851E-2</v>
      </c>
      <c r="T144" s="253">
        <f t="shared" si="28"/>
        <v>-7.1737269829312664</v>
      </c>
      <c r="U144" s="253">
        <f t="shared" si="28"/>
        <v>0</v>
      </c>
      <c r="V144" s="253">
        <f t="shared" si="28"/>
        <v>-1.9162098577300741</v>
      </c>
      <c r="W144" s="253">
        <f t="shared" si="28"/>
        <v>0</v>
      </c>
      <c r="X144" s="253">
        <f t="shared" si="28"/>
        <v>-52.626604020041128</v>
      </c>
      <c r="Y144" s="253">
        <f t="shared" si="28"/>
        <v>0</v>
      </c>
      <c r="AQ144" s="88"/>
    </row>
    <row r="145" spans="3:43" x14ac:dyDescent="0.25">
      <c r="C145" s="96"/>
      <c r="F145" s="295" t="s">
        <v>46</v>
      </c>
      <c r="G145" s="295" t="s">
        <v>102</v>
      </c>
      <c r="J145" s="253">
        <f t="shared" si="28"/>
        <v>939.38990187753825</v>
      </c>
      <c r="K145" s="253">
        <f t="shared" si="28"/>
        <v>0.47373068359659171</v>
      </c>
      <c r="L145" s="253">
        <f t="shared" si="28"/>
        <v>362.13700034855088</v>
      </c>
      <c r="M145" s="253">
        <f t="shared" si="28"/>
        <v>0.24313732822780176</v>
      </c>
      <c r="N145" s="253">
        <f t="shared" si="28"/>
        <v>177.69921556888312</v>
      </c>
      <c r="O145" s="253">
        <f t="shared" si="28"/>
        <v>191.57357129576988</v>
      </c>
      <c r="P145" s="253">
        <f t="shared" si="28"/>
        <v>258.11881184091436</v>
      </c>
      <c r="Q145" s="253">
        <f t="shared" si="28"/>
        <v>22.754641395843883</v>
      </c>
      <c r="R145" s="253">
        <f t="shared" si="28"/>
        <v>-0.15051974325950004</v>
      </c>
      <c r="S145" s="253">
        <f t="shared" si="28"/>
        <v>-4.7922470455446044E-2</v>
      </c>
      <c r="T145" s="253">
        <f t="shared" si="28"/>
        <v>-7.1314456844071126</v>
      </c>
      <c r="U145" s="253">
        <f t="shared" si="28"/>
        <v>0</v>
      </c>
      <c r="V145" s="253">
        <f t="shared" si="28"/>
        <v>-1.9049158900027847</v>
      </c>
      <c r="W145" s="253">
        <f t="shared" si="28"/>
        <v>0</v>
      </c>
      <c r="X145" s="253">
        <f t="shared" si="28"/>
        <v>-52.316427571985876</v>
      </c>
      <c r="Y145" s="253">
        <f t="shared" si="28"/>
        <v>0</v>
      </c>
      <c r="AQ145" s="88"/>
    </row>
    <row r="146" spans="3:43" x14ac:dyDescent="0.25">
      <c r="C146" s="96"/>
      <c r="F146" s="295" t="s">
        <v>47</v>
      </c>
      <c r="G146" s="295" t="s">
        <v>102</v>
      </c>
      <c r="J146" s="253">
        <f t="shared" si="28"/>
        <v>932.77753581677621</v>
      </c>
      <c r="K146" s="253">
        <f t="shared" si="28"/>
        <v>0.33804868262414778</v>
      </c>
      <c r="L146" s="253">
        <f t="shared" si="28"/>
        <v>368.23816004053936</v>
      </c>
      <c r="M146" s="253">
        <f t="shared" si="28"/>
        <v>0.17450497980265411</v>
      </c>
      <c r="N146" s="253">
        <f t="shared" si="28"/>
        <v>179.03667124329755</v>
      </c>
      <c r="O146" s="253">
        <f t="shared" si="28"/>
        <v>193.01832657675348</v>
      </c>
      <c r="P146" s="253">
        <f t="shared" si="28"/>
        <v>257.96168592138429</v>
      </c>
      <c r="Q146" s="253">
        <f t="shared" si="28"/>
        <v>22.985470467899034</v>
      </c>
      <c r="R146" s="253">
        <f t="shared" si="28"/>
        <v>-0.15184925068414981</v>
      </c>
      <c r="S146" s="253">
        <f t="shared" si="28"/>
        <v>-4.7724021214692304E-2</v>
      </c>
      <c r="T146" s="253">
        <f t="shared" si="28"/>
        <v>-7.1566959898694114</v>
      </c>
      <c r="U146" s="253">
        <f t="shared" si="28"/>
        <v>0</v>
      </c>
      <c r="V146" s="253">
        <f t="shared" si="28"/>
        <v>-1.8969210146101085</v>
      </c>
      <c r="W146" s="253">
        <f t="shared" si="28"/>
        <v>0</v>
      </c>
      <c r="X146" s="253">
        <f t="shared" si="28"/>
        <v>-52.102817787837978</v>
      </c>
      <c r="Y146" s="253">
        <f t="shared" si="28"/>
        <v>0</v>
      </c>
      <c r="AQ146" s="88"/>
    </row>
    <row r="147" spans="3:43" x14ac:dyDescent="0.25">
      <c r="C147" s="96"/>
      <c r="F147" s="295" t="s">
        <v>51</v>
      </c>
      <c r="G147" s="295" t="s">
        <v>102</v>
      </c>
      <c r="H147" s="90"/>
      <c r="J147" s="253">
        <f t="shared" si="28"/>
        <v>0</v>
      </c>
      <c r="K147" s="253">
        <f t="shared" si="28"/>
        <v>0</v>
      </c>
      <c r="L147" s="253">
        <f t="shared" si="28"/>
        <v>0</v>
      </c>
      <c r="M147" s="253">
        <f t="shared" si="28"/>
        <v>0</v>
      </c>
      <c r="N147" s="253">
        <f t="shared" si="28"/>
        <v>0</v>
      </c>
      <c r="O147" s="253">
        <f t="shared" si="28"/>
        <v>0</v>
      </c>
      <c r="P147" s="253">
        <f t="shared" si="28"/>
        <v>0</v>
      </c>
      <c r="Q147" s="253">
        <f t="shared" si="28"/>
        <v>0</v>
      </c>
      <c r="R147" s="253">
        <f t="shared" si="28"/>
        <v>0</v>
      </c>
      <c r="S147" s="253">
        <f t="shared" si="28"/>
        <v>0</v>
      </c>
      <c r="T147" s="253">
        <f t="shared" si="28"/>
        <v>0</v>
      </c>
      <c r="U147" s="253">
        <f t="shared" si="28"/>
        <v>0</v>
      </c>
      <c r="V147" s="253">
        <f t="shared" si="28"/>
        <v>0</v>
      </c>
      <c r="W147" s="253">
        <f t="shared" si="28"/>
        <v>0</v>
      </c>
      <c r="X147" s="253">
        <f t="shared" si="28"/>
        <v>0</v>
      </c>
      <c r="Y147" s="253">
        <f t="shared" si="28"/>
        <v>0</v>
      </c>
      <c r="AQ147" s="88"/>
    </row>
    <row r="148" spans="3:43" x14ac:dyDescent="0.25">
      <c r="C148" s="96"/>
      <c r="F148" s="295" t="s">
        <v>48</v>
      </c>
      <c r="G148" s="295" t="s">
        <v>102</v>
      </c>
      <c r="J148" s="253">
        <f t="shared" si="28"/>
        <v>922.89261010002804</v>
      </c>
      <c r="K148" s="253">
        <f t="shared" si="28"/>
        <v>0.33446627847302479</v>
      </c>
      <c r="L148" s="253">
        <f t="shared" si="28"/>
        <v>364.33582886477245</v>
      </c>
      <c r="M148" s="253">
        <f t="shared" si="28"/>
        <v>0.17265569774308837</v>
      </c>
      <c r="N148" s="253">
        <f>N88 + N111 + N134</f>
        <v>177.13936547867686</v>
      </c>
      <c r="O148" s="253">
        <f t="shared" si="28"/>
        <v>190.97285298104603</v>
      </c>
      <c r="P148" s="253">
        <f t="shared" si="28"/>
        <v>255.22798790102277</v>
      </c>
      <c r="Q148" s="253">
        <f t="shared" si="28"/>
        <v>22.741886484135172</v>
      </c>
      <c r="R148" s="253">
        <f t="shared" si="28"/>
        <v>-0.15024005823952011</v>
      </c>
      <c r="S148" s="253">
        <f t="shared" si="28"/>
        <v>-4.7218275325133903E-2</v>
      </c>
      <c r="T148" s="253">
        <f t="shared" si="28"/>
        <v>-7.080854317529754</v>
      </c>
      <c r="U148" s="253">
        <f t="shared" si="28"/>
        <v>0</v>
      </c>
      <c r="V148" s="253">
        <f t="shared" si="28"/>
        <v>-1.8768187687905409</v>
      </c>
      <c r="W148" s="253">
        <f t="shared" si="28"/>
        <v>0</v>
      </c>
      <c r="X148" s="253">
        <f t="shared" si="28"/>
        <v>0</v>
      </c>
      <c r="Y148" s="253">
        <f t="shared" si="28"/>
        <v>0</v>
      </c>
      <c r="AQ148" s="88"/>
    </row>
    <row r="149" spans="3:43" x14ac:dyDescent="0.25">
      <c r="C149" s="96"/>
      <c r="F149" s="295" t="s">
        <v>49</v>
      </c>
      <c r="G149" s="295" t="s">
        <v>102</v>
      </c>
      <c r="J149" s="253">
        <f t="shared" si="28"/>
        <v>903.73823517342362</v>
      </c>
      <c r="K149" s="253">
        <f t="shared" si="28"/>
        <v>0.32752452552358458</v>
      </c>
      <c r="L149" s="253">
        <f t="shared" si="28"/>
        <v>356.77414185059797</v>
      </c>
      <c r="M149" s="253">
        <f t="shared" si="28"/>
        <v>0.16907227760125068</v>
      </c>
      <c r="N149" s="253">
        <f t="shared" si="28"/>
        <v>173.46288808194959</v>
      </c>
      <c r="O149" s="253">
        <f t="shared" si="28"/>
        <v>187.00926546634508</v>
      </c>
      <c r="P149" s="253">
        <f t="shared" si="28"/>
        <v>0</v>
      </c>
      <c r="Q149" s="253">
        <f t="shared" si="28"/>
        <v>22.26988506653991</v>
      </c>
      <c r="R149" s="253">
        <f t="shared" si="28"/>
        <v>-0.14712186835153004</v>
      </c>
      <c r="S149" s="253">
        <f t="shared" si="28"/>
        <v>0</v>
      </c>
      <c r="T149" s="253">
        <f t="shared" si="28"/>
        <v>-6.9338931901847962</v>
      </c>
      <c r="U149" s="253">
        <f t="shared" si="28"/>
        <v>0</v>
      </c>
      <c r="V149" s="253">
        <f t="shared" si="28"/>
        <v>0</v>
      </c>
      <c r="W149" s="253">
        <f t="shared" si="28"/>
        <v>0</v>
      </c>
      <c r="X149" s="253">
        <f t="shared" si="28"/>
        <v>0</v>
      </c>
      <c r="Y149" s="253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2">
        <f t="shared" si="28"/>
        <v>861.47709467970242</v>
      </c>
      <c r="K150" s="272">
        <f t="shared" si="28"/>
        <v>0.31220863044514358</v>
      </c>
      <c r="L150" s="272">
        <f t="shared" si="28"/>
        <v>340.09045895830383</v>
      </c>
      <c r="M150" s="272">
        <f t="shared" si="28"/>
        <v>0.16116602001558067</v>
      </c>
      <c r="N150" s="272">
        <f t="shared" si="28"/>
        <v>165.35131417883682</v>
      </c>
      <c r="O150" s="272">
        <f t="shared" si="28"/>
        <v>0</v>
      </c>
      <c r="P150" s="272">
        <f t="shared" si="28"/>
        <v>0</v>
      </c>
      <c r="Q150" s="272">
        <f t="shared" si="28"/>
        <v>21.228487563428331</v>
      </c>
      <c r="R150" s="272">
        <f t="shared" si="28"/>
        <v>0</v>
      </c>
      <c r="S150" s="272">
        <f t="shared" si="28"/>
        <v>0</v>
      </c>
      <c r="T150" s="272">
        <f t="shared" si="28"/>
        <v>0</v>
      </c>
      <c r="U150" s="272">
        <f t="shared" si="28"/>
        <v>0</v>
      </c>
      <c r="V150" s="272">
        <f t="shared" si="28"/>
        <v>0</v>
      </c>
      <c r="W150" s="272">
        <f t="shared" si="28"/>
        <v>0</v>
      </c>
      <c r="X150" s="272">
        <f t="shared" si="28"/>
        <v>0</v>
      </c>
      <c r="Y150" s="272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774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718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5">
        <f t="shared" ref="H154:H162" si="29">SUM(J142:Y142) * thousand</f>
        <v>1950562.3167353501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5" t="s">
        <v>44</v>
      </c>
      <c r="G155" s="295" t="s">
        <v>113</v>
      </c>
      <c r="H155" s="257">
        <f t="shared" si="29"/>
        <v>1940858.0266023385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5" t="s">
        <v>45</v>
      </c>
      <c r="G156" s="295" t="s">
        <v>113</v>
      </c>
      <c r="H156" s="257">
        <f t="shared" si="29"/>
        <v>1902049.2855739521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5" t="s">
        <v>46</v>
      </c>
      <c r="G157" s="295" t="s">
        <v>113</v>
      </c>
      <c r="H157" s="257">
        <f t="shared" si="29"/>
        <v>1890838.7789792139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5" t="s">
        <v>47</v>
      </c>
      <c r="G158" s="295" t="s">
        <v>113</v>
      </c>
      <c r="H158" s="257">
        <f t="shared" si="29"/>
        <v>1893174.3956648605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5" t="s">
        <v>51</v>
      </c>
      <c r="G159" s="295" t="s">
        <v>113</v>
      </c>
      <c r="H159" s="257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5" t="s">
        <v>48</v>
      </c>
      <c r="G160" s="295" t="s">
        <v>113</v>
      </c>
      <c r="H160" s="257">
        <f t="shared" si="29"/>
        <v>1924662.5223660127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5" t="s">
        <v>49</v>
      </c>
      <c r="G161" s="295" t="s">
        <v>113</v>
      </c>
      <c r="H161" s="257">
        <f t="shared" si="29"/>
        <v>1636669.9973834448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9">
        <f t="shared" si="29"/>
        <v>1388620.7300307325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control'!$H$34:$H$58,MATCH($A$1,'Version control'!$F$34:$F$58,0),1)&amp;"-D: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908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627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8">
        <f t="shared" ref="J168:Y176" si="30">J142 * (1 - J23)</f>
        <v>986.90514848109376</v>
      </c>
      <c r="K168" s="278">
        <f t="shared" si="30"/>
        <v>0.354709167045695</v>
      </c>
      <c r="L168" s="278">
        <f t="shared" si="30"/>
        <v>364.82071012662743</v>
      </c>
      <c r="M168" s="278">
        <f t="shared" si="30"/>
        <v>0.17515096171126932</v>
      </c>
      <c r="N168" s="278">
        <f t="shared" si="30"/>
        <v>181.45376144987358</v>
      </c>
      <c r="O168" s="278">
        <f t="shared" si="30"/>
        <v>193.58461601007392</v>
      </c>
      <c r="P168" s="278">
        <f t="shared" si="30"/>
        <v>261.08448742451503</v>
      </c>
      <c r="Q168" s="278">
        <f t="shared" si="30"/>
        <v>25.737361401307229</v>
      </c>
      <c r="R168" s="278">
        <f t="shared" si="30"/>
        <v>-0.15252580947203484</v>
      </c>
      <c r="S168" s="278">
        <f t="shared" si="30"/>
        <v>-4.8738482962390611E-2</v>
      </c>
      <c r="T168" s="278">
        <f t="shared" si="30"/>
        <v>-7.2140818955080519</v>
      </c>
      <c r="U168" s="278">
        <f t="shared" si="30"/>
        <v>0</v>
      </c>
      <c r="V168" s="278">
        <f t="shared" si="30"/>
        <v>-1.9373001718916085</v>
      </c>
      <c r="W168" s="278">
        <f t="shared" si="30"/>
        <v>0</v>
      </c>
      <c r="X168" s="278">
        <f t="shared" si="30"/>
        <v>-54.200981927063744</v>
      </c>
      <c r="Y168" s="278">
        <f t="shared" si="30"/>
        <v>0</v>
      </c>
      <c r="AQ168" s="88"/>
    </row>
    <row r="169" spans="3:43" x14ac:dyDescent="0.25">
      <c r="C169" s="96"/>
      <c r="F169" s="295" t="s">
        <v>44</v>
      </c>
      <c r="G169" s="295" t="s">
        <v>102</v>
      </c>
      <c r="H169" s="90"/>
      <c r="J169" s="253">
        <f t="shared" si="30"/>
        <v>981.99517261800395</v>
      </c>
      <c r="K169" s="253">
        <f t="shared" si="30"/>
        <v>0.35294444482158704</v>
      </c>
      <c r="L169" s="253">
        <f t="shared" si="30"/>
        <v>363.00568171803724</v>
      </c>
      <c r="M169" s="253">
        <f t="shared" si="30"/>
        <v>0.17427956389181032</v>
      </c>
      <c r="N169" s="253">
        <f t="shared" si="30"/>
        <v>180.55100641778469</v>
      </c>
      <c r="O169" s="253">
        <f t="shared" si="30"/>
        <v>192.62150846773525</v>
      </c>
      <c r="P169" s="253">
        <f t="shared" si="30"/>
        <v>259.78555962638313</v>
      </c>
      <c r="Q169" s="253">
        <f t="shared" si="30"/>
        <v>25.609314827171374</v>
      </c>
      <c r="R169" s="253">
        <f t="shared" si="30"/>
        <v>-0.15176697459903965</v>
      </c>
      <c r="S169" s="253">
        <f t="shared" si="30"/>
        <v>-4.8496002947652356E-2</v>
      </c>
      <c r="T169" s="253">
        <f t="shared" si="30"/>
        <v>-7.1781909408040327</v>
      </c>
      <c r="U169" s="253">
        <f t="shared" si="30"/>
        <v>0</v>
      </c>
      <c r="V169" s="253">
        <f t="shared" si="30"/>
        <v>-1.9276618625787152</v>
      </c>
      <c r="W169" s="253">
        <f t="shared" si="30"/>
        <v>0</v>
      </c>
      <c r="X169" s="253">
        <f t="shared" si="30"/>
        <v>-53.931325300560943</v>
      </c>
      <c r="Y169" s="253">
        <f t="shared" si="30"/>
        <v>0</v>
      </c>
      <c r="AQ169" s="88"/>
    </row>
    <row r="170" spans="3:43" x14ac:dyDescent="0.25">
      <c r="C170" s="96"/>
      <c r="F170" s="295" t="s">
        <v>45</v>
      </c>
      <c r="G170" s="295" t="s">
        <v>102</v>
      </c>
      <c r="H170" s="90"/>
      <c r="J170" s="253">
        <f t="shared" si="30"/>
        <v>944.9594072246382</v>
      </c>
      <c r="K170" s="253">
        <f t="shared" si="30"/>
        <v>0.47653936353886395</v>
      </c>
      <c r="L170" s="253">
        <f t="shared" si="30"/>
        <v>364.28405766287028</v>
      </c>
      <c r="M170" s="253">
        <f t="shared" si="30"/>
        <v>0.2445788538892314</v>
      </c>
      <c r="N170" s="253">
        <f t="shared" si="30"/>
        <v>178.7527682303587</v>
      </c>
      <c r="O170" s="253">
        <f t="shared" si="30"/>
        <v>192.7093829832942</v>
      </c>
      <c r="P170" s="253">
        <f t="shared" si="30"/>
        <v>259.64916052771821</v>
      </c>
      <c r="Q170" s="253">
        <f t="shared" si="30"/>
        <v>22.889550336925964</v>
      </c>
      <c r="R170" s="253">
        <f t="shared" si="30"/>
        <v>-0.15141215280451686</v>
      </c>
      <c r="S170" s="253">
        <f t="shared" si="30"/>
        <v>-4.8206595774351851E-2</v>
      </c>
      <c r="T170" s="253">
        <f t="shared" si="30"/>
        <v>-7.1737269829312664</v>
      </c>
      <c r="U170" s="253">
        <f t="shared" si="30"/>
        <v>0</v>
      </c>
      <c r="V170" s="253">
        <f t="shared" si="30"/>
        <v>-1.9162098577300741</v>
      </c>
      <c r="W170" s="253">
        <f t="shared" si="30"/>
        <v>0</v>
      </c>
      <c r="X170" s="253">
        <f t="shared" si="30"/>
        <v>-52.626604020041128</v>
      </c>
      <c r="Y170" s="253">
        <f t="shared" si="30"/>
        <v>0</v>
      </c>
      <c r="AQ170" s="88"/>
    </row>
    <row r="171" spans="3:43" x14ac:dyDescent="0.25">
      <c r="C171" s="96"/>
      <c r="F171" s="295" t="s">
        <v>46</v>
      </c>
      <c r="G171" s="295" t="s">
        <v>102</v>
      </c>
      <c r="H171" s="90"/>
      <c r="J171" s="253">
        <f t="shared" si="30"/>
        <v>939.38990187753825</v>
      </c>
      <c r="K171" s="253">
        <f t="shared" si="30"/>
        <v>0.47373068359659171</v>
      </c>
      <c r="L171" s="253">
        <f t="shared" si="30"/>
        <v>362.13700034855088</v>
      </c>
      <c r="M171" s="253">
        <f t="shared" si="30"/>
        <v>0.24313732822780176</v>
      </c>
      <c r="N171" s="253">
        <f t="shared" si="30"/>
        <v>177.69921556888312</v>
      </c>
      <c r="O171" s="253">
        <f t="shared" si="30"/>
        <v>191.57357129576988</v>
      </c>
      <c r="P171" s="253">
        <f t="shared" si="30"/>
        <v>206.49504947273149</v>
      </c>
      <c r="Q171" s="253">
        <f t="shared" si="30"/>
        <v>22.754641395843883</v>
      </c>
      <c r="R171" s="253">
        <f t="shared" si="30"/>
        <v>-0.15051974325950004</v>
      </c>
      <c r="S171" s="253">
        <f t="shared" si="30"/>
        <v>-4.7922470455446044E-2</v>
      </c>
      <c r="T171" s="253">
        <f t="shared" si="30"/>
        <v>-7.1314456844071126</v>
      </c>
      <c r="U171" s="253">
        <f t="shared" si="30"/>
        <v>0</v>
      </c>
      <c r="V171" s="253">
        <f t="shared" si="30"/>
        <v>-1.9049158900027847</v>
      </c>
      <c r="W171" s="253">
        <f t="shared" si="30"/>
        <v>0</v>
      </c>
      <c r="X171" s="253">
        <f t="shared" si="30"/>
        <v>-52.316427571985876</v>
      </c>
      <c r="Y171" s="253">
        <f t="shared" si="30"/>
        <v>0</v>
      </c>
      <c r="AQ171" s="88"/>
    </row>
    <row r="172" spans="3:43" x14ac:dyDescent="0.25">
      <c r="C172" s="96"/>
      <c r="F172" s="295" t="s">
        <v>47</v>
      </c>
      <c r="G172" s="295" t="s">
        <v>102</v>
      </c>
      <c r="H172" s="90"/>
      <c r="J172" s="253">
        <f t="shared" si="30"/>
        <v>932.77753581677621</v>
      </c>
      <c r="K172" s="253">
        <f t="shared" si="30"/>
        <v>0.33804868262414778</v>
      </c>
      <c r="L172" s="253">
        <f t="shared" si="30"/>
        <v>368.23816004053936</v>
      </c>
      <c r="M172" s="253">
        <f t="shared" si="30"/>
        <v>0.17450497980265411</v>
      </c>
      <c r="N172" s="253">
        <f t="shared" si="30"/>
        <v>179.03667124329755</v>
      </c>
      <c r="O172" s="253">
        <f t="shared" si="30"/>
        <v>193.01832657675348</v>
      </c>
      <c r="P172" s="253">
        <f t="shared" si="30"/>
        <v>0</v>
      </c>
      <c r="Q172" s="253">
        <f t="shared" si="30"/>
        <v>22.985470467899034</v>
      </c>
      <c r="R172" s="253">
        <f t="shared" si="30"/>
        <v>-0.15184925068414981</v>
      </c>
      <c r="S172" s="253">
        <f t="shared" si="30"/>
        <v>-4.7724021214692304E-2</v>
      </c>
      <c r="T172" s="253">
        <f t="shared" si="30"/>
        <v>-7.1566959898694114</v>
      </c>
      <c r="U172" s="253">
        <f t="shared" si="30"/>
        <v>0</v>
      </c>
      <c r="V172" s="253">
        <f t="shared" si="30"/>
        <v>-1.8969210146101085</v>
      </c>
      <c r="W172" s="253">
        <f t="shared" si="30"/>
        <v>0</v>
      </c>
      <c r="X172" s="253">
        <f t="shared" si="30"/>
        <v>-52.102817787837978</v>
      </c>
      <c r="Y172" s="253">
        <f t="shared" si="30"/>
        <v>0</v>
      </c>
      <c r="AQ172" s="88"/>
    </row>
    <row r="173" spans="3:43" x14ac:dyDescent="0.25">
      <c r="C173" s="96"/>
      <c r="F173" s="295" t="s">
        <v>51</v>
      </c>
      <c r="G173" s="295" t="s">
        <v>102</v>
      </c>
      <c r="H173" s="90"/>
      <c r="J173" s="253">
        <f t="shared" si="30"/>
        <v>0</v>
      </c>
      <c r="K173" s="253">
        <f t="shared" si="30"/>
        <v>0</v>
      </c>
      <c r="L173" s="253">
        <f t="shared" si="30"/>
        <v>0</v>
      </c>
      <c r="M173" s="253">
        <f t="shared" si="30"/>
        <v>0</v>
      </c>
      <c r="N173" s="253">
        <f t="shared" si="30"/>
        <v>0</v>
      </c>
      <c r="O173" s="253">
        <f t="shared" si="30"/>
        <v>0</v>
      </c>
      <c r="P173" s="253">
        <f t="shared" si="30"/>
        <v>0</v>
      </c>
      <c r="Q173" s="253">
        <f t="shared" si="30"/>
        <v>0</v>
      </c>
      <c r="R173" s="253">
        <f t="shared" si="30"/>
        <v>0</v>
      </c>
      <c r="S173" s="253">
        <f t="shared" si="30"/>
        <v>0</v>
      </c>
      <c r="T173" s="253">
        <f t="shared" si="30"/>
        <v>0</v>
      </c>
      <c r="U173" s="253">
        <f t="shared" si="30"/>
        <v>0</v>
      </c>
      <c r="V173" s="253">
        <f t="shared" si="30"/>
        <v>0</v>
      </c>
      <c r="W173" s="253">
        <f t="shared" si="30"/>
        <v>0</v>
      </c>
      <c r="X173" s="253">
        <f t="shared" si="30"/>
        <v>0</v>
      </c>
      <c r="Y173" s="253">
        <f t="shared" si="30"/>
        <v>0</v>
      </c>
      <c r="AQ173" s="88"/>
    </row>
    <row r="174" spans="3:43" x14ac:dyDescent="0.25">
      <c r="C174" s="96"/>
      <c r="F174" s="295" t="s">
        <v>48</v>
      </c>
      <c r="G174" s="295" t="s">
        <v>102</v>
      </c>
      <c r="H174" s="90"/>
      <c r="J174" s="253">
        <f t="shared" si="30"/>
        <v>922.89261010002804</v>
      </c>
      <c r="K174" s="253">
        <f t="shared" si="30"/>
        <v>0.33446627847302479</v>
      </c>
      <c r="L174" s="253">
        <f t="shared" si="30"/>
        <v>364.33582886477245</v>
      </c>
      <c r="M174" s="253">
        <f t="shared" si="30"/>
        <v>0.17265569774308837</v>
      </c>
      <c r="N174" s="253">
        <f t="shared" si="30"/>
        <v>141.71149238294149</v>
      </c>
      <c r="O174" s="253">
        <f t="shared" si="30"/>
        <v>0</v>
      </c>
      <c r="P174" s="253">
        <f t="shared" si="30"/>
        <v>0</v>
      </c>
      <c r="Q174" s="253">
        <f t="shared" si="30"/>
        <v>22.741886484135172</v>
      </c>
      <c r="R174" s="253">
        <f t="shared" si="30"/>
        <v>-0.15024005823952011</v>
      </c>
      <c r="S174" s="253">
        <f t="shared" si="30"/>
        <v>-4.7218275325133903E-2</v>
      </c>
      <c r="T174" s="253">
        <f t="shared" si="30"/>
        <v>-7.080854317529754</v>
      </c>
      <c r="U174" s="253">
        <f t="shared" si="30"/>
        <v>0</v>
      </c>
      <c r="V174" s="253">
        <f t="shared" si="30"/>
        <v>-1.8768187687905409</v>
      </c>
      <c r="W174" s="253">
        <f t="shared" si="30"/>
        <v>0</v>
      </c>
      <c r="X174" s="253">
        <f t="shared" si="30"/>
        <v>0</v>
      </c>
      <c r="Y174" s="253">
        <f t="shared" si="30"/>
        <v>0</v>
      </c>
      <c r="AQ174" s="88"/>
    </row>
    <row r="175" spans="3:43" x14ac:dyDescent="0.25">
      <c r="C175" s="96"/>
      <c r="F175" s="295" t="s">
        <v>49</v>
      </c>
      <c r="G175" s="295" t="s">
        <v>102</v>
      </c>
      <c r="H175" s="90"/>
      <c r="J175" s="253">
        <f t="shared" si="30"/>
        <v>903.73823517342362</v>
      </c>
      <c r="K175" s="253">
        <f t="shared" si="30"/>
        <v>0.32752452552358458</v>
      </c>
      <c r="L175" s="253">
        <f t="shared" si="30"/>
        <v>356.77414185059797</v>
      </c>
      <c r="M175" s="253">
        <f t="shared" si="30"/>
        <v>0.16907227760125068</v>
      </c>
      <c r="N175" s="253">
        <f t="shared" si="30"/>
        <v>0</v>
      </c>
      <c r="O175" s="253">
        <f t="shared" si="30"/>
        <v>0</v>
      </c>
      <c r="P175" s="253">
        <f t="shared" si="30"/>
        <v>0</v>
      </c>
      <c r="Q175" s="253">
        <f t="shared" si="30"/>
        <v>22.26988506653991</v>
      </c>
      <c r="R175" s="253">
        <f t="shared" si="30"/>
        <v>-0.14712186835153004</v>
      </c>
      <c r="S175" s="253">
        <f t="shared" si="30"/>
        <v>0</v>
      </c>
      <c r="T175" s="253">
        <f t="shared" si="30"/>
        <v>-6.9338931901847962</v>
      </c>
      <c r="U175" s="253">
        <f t="shared" si="30"/>
        <v>0</v>
      </c>
      <c r="V175" s="253">
        <f t="shared" si="30"/>
        <v>0</v>
      </c>
      <c r="W175" s="253">
        <f t="shared" si="30"/>
        <v>0</v>
      </c>
      <c r="X175" s="253">
        <f t="shared" si="30"/>
        <v>0</v>
      </c>
      <c r="Y175" s="253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2">
        <f t="shared" si="30"/>
        <v>0</v>
      </c>
      <c r="K176" s="272">
        <f t="shared" si="30"/>
        <v>0</v>
      </c>
      <c r="L176" s="272">
        <f t="shared" si="30"/>
        <v>0</v>
      </c>
      <c r="M176" s="272">
        <f t="shared" si="30"/>
        <v>0</v>
      </c>
      <c r="N176" s="272">
        <f t="shared" si="30"/>
        <v>0</v>
      </c>
      <c r="O176" s="272">
        <f t="shared" si="30"/>
        <v>0</v>
      </c>
      <c r="P176" s="272">
        <f t="shared" si="30"/>
        <v>0</v>
      </c>
      <c r="Q176" s="272">
        <f t="shared" si="30"/>
        <v>21.228487563428331</v>
      </c>
      <c r="R176" s="272">
        <f t="shared" si="30"/>
        <v>0</v>
      </c>
      <c r="S176" s="272">
        <f t="shared" si="30"/>
        <v>0</v>
      </c>
      <c r="T176" s="272">
        <f t="shared" si="30"/>
        <v>0</v>
      </c>
      <c r="U176" s="272">
        <f t="shared" si="30"/>
        <v>0</v>
      </c>
      <c r="V176" s="272">
        <f t="shared" si="30"/>
        <v>0</v>
      </c>
      <c r="W176" s="272">
        <f t="shared" si="30"/>
        <v>0</v>
      </c>
      <c r="X176" s="272">
        <f t="shared" si="30"/>
        <v>0</v>
      </c>
      <c r="Y176" s="272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1">
        <f t="shared" ref="J177:Y177" si="31">SUM(J168:J176)</f>
        <v>6612.6580112915017</v>
      </c>
      <c r="K177" s="281">
        <f t="shared" si="31"/>
        <v>2.6579631456234947</v>
      </c>
      <c r="L177" s="281">
        <f t="shared" si="31"/>
        <v>2543.5955806119955</v>
      </c>
      <c r="M177" s="281">
        <f t="shared" si="31"/>
        <v>1.353379662867106</v>
      </c>
      <c r="N177" s="281">
        <f t="shared" si="31"/>
        <v>1039.204915293139</v>
      </c>
      <c r="O177" s="281">
        <f t="shared" si="31"/>
        <v>963.50740533362671</v>
      </c>
      <c r="P177" s="281">
        <f t="shared" si="31"/>
        <v>987.01425705134784</v>
      </c>
      <c r="Q177" s="281">
        <f t="shared" si="31"/>
        <v>186.21659754325088</v>
      </c>
      <c r="R177" s="281">
        <f t="shared" si="31"/>
        <v>-1.0554358574102913</v>
      </c>
      <c r="S177" s="281">
        <f t="shared" si="31"/>
        <v>-0.28830584867966708</v>
      </c>
      <c r="T177" s="281">
        <f t="shared" si="31"/>
        <v>-49.868889001234429</v>
      </c>
      <c r="U177" s="281">
        <f t="shared" si="31"/>
        <v>0</v>
      </c>
      <c r="V177" s="281">
        <f t="shared" si="31"/>
        <v>-11.459827565603833</v>
      </c>
      <c r="W177" s="281">
        <f t="shared" si="31"/>
        <v>0</v>
      </c>
      <c r="X177" s="281">
        <f t="shared" si="31"/>
        <v>-265.17815660748965</v>
      </c>
      <c r="Y177" s="281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360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422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823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control'!$H$34:$H$58,MATCH($A$1,'Version control'!$F$34:$F$58,0),1)&amp;"-E: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423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5" t="s">
        <v>259</v>
      </c>
      <c r="G188" s="295" t="s">
        <v>169</v>
      </c>
      <c r="J188" s="274">
        <f>'Volume adjustments'!J114</f>
        <v>0</v>
      </c>
      <c r="K188" s="274">
        <f>'Volume adjustments'!K114</f>
        <v>0</v>
      </c>
      <c r="L188" s="274">
        <f>'Volume adjustments'!L114</f>
        <v>0</v>
      </c>
      <c r="M188" s="274">
        <f>'Volume adjustments'!M114</f>
        <v>0</v>
      </c>
      <c r="N188" s="274">
        <f>'Volume adjustments'!N114</f>
        <v>567781.18374634022</v>
      </c>
      <c r="O188" s="274">
        <f>'Volume adjustments'!O114</f>
        <v>577821.03192570398</v>
      </c>
      <c r="P188" s="274">
        <f>'Volume adjustments'!P114</f>
        <v>673558.38668020221</v>
      </c>
      <c r="Q188" s="274">
        <f>'Volume adjustments'!Q114</f>
        <v>0</v>
      </c>
      <c r="R188" s="274">
        <f>'Volume adjustments'!R114</f>
        <v>0</v>
      </c>
      <c r="S188" s="274">
        <f>'Volume adjustments'!S114</f>
        <v>0</v>
      </c>
      <c r="T188" s="274">
        <f>'Volume adjustments'!T114</f>
        <v>0</v>
      </c>
      <c r="U188" s="274">
        <f>'Volume adjustments'!U114</f>
        <v>0</v>
      </c>
      <c r="V188" s="274">
        <f>'Volume adjustments'!V114</f>
        <v>0</v>
      </c>
      <c r="W188" s="274">
        <f>'Volume adjustments'!W114</f>
        <v>0</v>
      </c>
      <c r="X188" s="274">
        <f>'Volume adjustments'!X114</f>
        <v>0</v>
      </c>
      <c r="Y188" s="274">
        <f>'Volume adjustments'!Y114</f>
        <v>0</v>
      </c>
      <c r="AQ188" s="88"/>
    </row>
    <row r="189" spans="2:43" x14ac:dyDescent="0.25">
      <c r="C189" s="96"/>
      <c r="E189" s="295" t="s">
        <v>260</v>
      </c>
      <c r="G189" s="295" t="s">
        <v>169</v>
      </c>
      <c r="J189" s="274">
        <f>'Volume adjustments'!J125</f>
        <v>0</v>
      </c>
      <c r="K189" s="274">
        <f>'Volume adjustments'!K125</f>
        <v>0</v>
      </c>
      <c r="L189" s="274">
        <f>'Volume adjustments'!L125</f>
        <v>0</v>
      </c>
      <c r="M189" s="274">
        <f>'Volume adjustments'!M125</f>
        <v>0</v>
      </c>
      <c r="N189" s="274">
        <f>'Volume adjustments'!N125</f>
        <v>32606.240584906936</v>
      </c>
      <c r="O189" s="274">
        <f>'Volume adjustments'!O125</f>
        <v>11444.7</v>
      </c>
      <c r="P189" s="274">
        <f>'Volume adjustments'!P125</f>
        <v>14202.12</v>
      </c>
      <c r="Q189" s="274">
        <f>'Volume adjustments'!Q125</f>
        <v>0</v>
      </c>
      <c r="R189" s="274">
        <f>'Volume adjustments'!R125</f>
        <v>0</v>
      </c>
      <c r="S189" s="274">
        <f>'Volume adjustments'!S125</f>
        <v>0</v>
      </c>
      <c r="T189" s="274">
        <f>'Volume adjustments'!T125</f>
        <v>0</v>
      </c>
      <c r="U189" s="274">
        <f>'Volume adjustments'!U125</f>
        <v>0</v>
      </c>
      <c r="V189" s="274">
        <f>'Volume adjustments'!V125</f>
        <v>0</v>
      </c>
      <c r="W189" s="274">
        <f>'Volume adjustments'!W125</f>
        <v>0</v>
      </c>
      <c r="X189" s="274">
        <f>'Volume adjustments'!X125</f>
        <v>0</v>
      </c>
      <c r="Y189" s="274">
        <f>'Volume adjustments'!Y125</f>
        <v>0</v>
      </c>
      <c r="AQ189" s="88"/>
    </row>
    <row r="190" spans="2:43" x14ac:dyDescent="0.25">
      <c r="C190" s="96"/>
      <c r="J190" s="274"/>
      <c r="K190" s="274"/>
      <c r="L190" s="274"/>
      <c r="M190" s="274"/>
      <c r="N190" s="274"/>
      <c r="O190" s="274"/>
      <c r="P190" s="274"/>
      <c r="Q190" s="274"/>
      <c r="R190" s="274"/>
      <c r="S190" s="274"/>
      <c r="T190" s="274"/>
      <c r="U190" s="274"/>
      <c r="V190" s="274"/>
      <c r="W190" s="274"/>
      <c r="X190" s="274"/>
      <c r="Y190" s="274"/>
      <c r="AQ190" s="88"/>
    </row>
    <row r="191" spans="2:43" x14ac:dyDescent="0.25">
      <c r="C191" s="96"/>
      <c r="E191" s="295" t="s">
        <v>321</v>
      </c>
      <c r="G191" s="295" t="s">
        <v>169</v>
      </c>
      <c r="J191" s="253">
        <f t="shared" ref="J191:Y191" si="32">SUM(J188:J189)</f>
        <v>0</v>
      </c>
      <c r="K191" s="253">
        <f t="shared" si="32"/>
        <v>0</v>
      </c>
      <c r="L191" s="253">
        <f t="shared" si="32"/>
        <v>0</v>
      </c>
      <c r="M191" s="253">
        <f t="shared" si="32"/>
        <v>0</v>
      </c>
      <c r="N191" s="253">
        <f t="shared" si="32"/>
        <v>600387.42433124711</v>
      </c>
      <c r="O191" s="253">
        <f t="shared" si="32"/>
        <v>589265.73192570393</v>
      </c>
      <c r="P191" s="253">
        <f t="shared" si="32"/>
        <v>687760.5066802022</v>
      </c>
      <c r="Q191" s="253">
        <f t="shared" si="32"/>
        <v>0</v>
      </c>
      <c r="R191" s="253">
        <f t="shared" si="32"/>
        <v>0</v>
      </c>
      <c r="S191" s="253">
        <f t="shared" si="32"/>
        <v>0</v>
      </c>
      <c r="T191" s="253">
        <f t="shared" si="32"/>
        <v>0</v>
      </c>
      <c r="U191" s="253">
        <f t="shared" si="32"/>
        <v>0</v>
      </c>
      <c r="V191" s="253">
        <f t="shared" si="32"/>
        <v>0</v>
      </c>
      <c r="W191" s="253">
        <f t="shared" si="32"/>
        <v>0</v>
      </c>
      <c r="X191" s="253">
        <f t="shared" si="32"/>
        <v>0</v>
      </c>
      <c r="Y191" s="253">
        <f t="shared" si="32"/>
        <v>0</v>
      </c>
      <c r="AQ191" s="88"/>
    </row>
    <row r="192" spans="2:43" x14ac:dyDescent="0.25">
      <c r="C192" s="96"/>
      <c r="E192" s="295" t="s">
        <v>322</v>
      </c>
      <c r="G192" s="295" t="s">
        <v>102</v>
      </c>
      <c r="J192" s="253">
        <f t="shared" ref="J192:Y192" si="33">J191 * PowerFactor / thousand</f>
        <v>0</v>
      </c>
      <c r="K192" s="253">
        <f t="shared" si="33"/>
        <v>0</v>
      </c>
      <c r="L192" s="253">
        <f t="shared" si="33"/>
        <v>0</v>
      </c>
      <c r="M192" s="253">
        <f t="shared" si="33"/>
        <v>0</v>
      </c>
      <c r="N192" s="253">
        <f t="shared" si="33"/>
        <v>570.36805311468481</v>
      </c>
      <c r="O192" s="253">
        <f t="shared" si="33"/>
        <v>559.80244532941879</v>
      </c>
      <c r="P192" s="253">
        <f t="shared" si="33"/>
        <v>653.3724813461921</v>
      </c>
      <c r="Q192" s="253">
        <f t="shared" si="33"/>
        <v>0</v>
      </c>
      <c r="R192" s="253">
        <f t="shared" si="33"/>
        <v>0</v>
      </c>
      <c r="S192" s="253">
        <f t="shared" si="33"/>
        <v>0</v>
      </c>
      <c r="T192" s="253">
        <f t="shared" si="33"/>
        <v>0</v>
      </c>
      <c r="U192" s="253">
        <f t="shared" si="33"/>
        <v>0</v>
      </c>
      <c r="V192" s="253">
        <f t="shared" si="33"/>
        <v>0</v>
      </c>
      <c r="W192" s="253">
        <f t="shared" si="33"/>
        <v>0</v>
      </c>
      <c r="X192" s="253">
        <f t="shared" si="33"/>
        <v>0</v>
      </c>
      <c r="Y192" s="253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control'!$H$34:$H$58,MATCH($A$1,'Version control'!$F$34:$F$58,0),1)&amp;"-F: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824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5" t="s">
        <v>548</v>
      </c>
      <c r="G198" s="295" t="s">
        <v>174</v>
      </c>
      <c r="H198" s="83"/>
      <c r="I198" s="295" t="s">
        <v>431</v>
      </c>
      <c r="J198" s="401" t="b">
        <f>'Fixed inputs'!J131</f>
        <v>1</v>
      </c>
      <c r="K198" s="401" t="b">
        <f>'Fixed inputs'!K131</f>
        <v>0</v>
      </c>
      <c r="L198" s="401" t="b">
        <f>'Fixed inputs'!L131</f>
        <v>1</v>
      </c>
      <c r="M198" s="401" t="b">
        <f>'Fixed inputs'!M131</f>
        <v>0</v>
      </c>
      <c r="N198" s="401" t="b">
        <f>'Fixed inputs'!N131</f>
        <v>1</v>
      </c>
      <c r="O198" s="401" t="b">
        <f>'Fixed inputs'!O131</f>
        <v>1</v>
      </c>
      <c r="P198" s="401" t="b">
        <f>'Fixed inputs'!P131</f>
        <v>1</v>
      </c>
      <c r="Q198" s="401" t="b">
        <f>'Fixed inputs'!Q131</f>
        <v>1</v>
      </c>
      <c r="R198" s="401" t="b">
        <f>'Fixed inputs'!R131</f>
        <v>1</v>
      </c>
      <c r="S198" s="401" t="b">
        <f>'Fixed inputs'!S131</f>
        <v>1</v>
      </c>
      <c r="T198" s="401" t="b">
        <f>'Fixed inputs'!T131</f>
        <v>1</v>
      </c>
      <c r="U198" s="401" t="b">
        <f>'Fixed inputs'!U131</f>
        <v>1</v>
      </c>
      <c r="V198" s="401" t="b">
        <f>'Fixed inputs'!V131</f>
        <v>1</v>
      </c>
      <c r="W198" s="401" t="b">
        <f>'Fixed inputs'!W131</f>
        <v>1</v>
      </c>
      <c r="X198" s="401" t="b">
        <f>'Fixed inputs'!X131</f>
        <v>1</v>
      </c>
      <c r="Y198" s="401" t="b">
        <f>'Fixed inputs'!Y131</f>
        <v>1</v>
      </c>
      <c r="AA198" s="295" t="s">
        <v>825</v>
      </c>
    </row>
    <row r="199" spans="3:43" x14ac:dyDescent="0.25">
      <c r="D199" s="96"/>
      <c r="H199" s="402"/>
      <c r="J199" s="90"/>
      <c r="L199" s="90"/>
      <c r="AQ199" s="88"/>
    </row>
    <row r="200" spans="3:43" x14ac:dyDescent="0.25">
      <c r="C200" s="96"/>
      <c r="E200" s="295" t="s">
        <v>398</v>
      </c>
      <c r="G200" s="295" t="s">
        <v>102</v>
      </c>
      <c r="H200" s="90"/>
      <c r="I200" s="295" t="s">
        <v>431</v>
      </c>
      <c r="J200" s="257">
        <f t="shared" ref="J200:Q200" si="34">IF(J61 = 0, 0, J59 / (hours_in_year * J61))</f>
        <v>1109.7776200519793</v>
      </c>
      <c r="K200" s="257">
        <f t="shared" si="34"/>
        <v>12.650259747998865</v>
      </c>
      <c r="L200" s="257">
        <f t="shared" si="34"/>
        <v>433.30136880432048</v>
      </c>
      <c r="M200" s="257">
        <f t="shared" si="34"/>
        <v>3.2982663555992024</v>
      </c>
      <c r="N200" s="257">
        <f t="shared" si="34"/>
        <v>195.17631530657536</v>
      </c>
      <c r="O200" s="257">
        <f t="shared" si="34"/>
        <v>228.79839612260383</v>
      </c>
      <c r="P200" s="257">
        <f t="shared" si="34"/>
        <v>290.50229997110557</v>
      </c>
      <c r="Q200" s="257">
        <f t="shared" si="34"/>
        <v>37.755597839558355</v>
      </c>
      <c r="R200" s="378"/>
      <c r="S200" s="378"/>
      <c r="T200" s="378"/>
      <c r="U200" s="378"/>
      <c r="V200" s="378"/>
      <c r="W200" s="378"/>
      <c r="X200" s="378"/>
      <c r="Y200" s="378"/>
      <c r="AA200" s="295" t="s">
        <v>825</v>
      </c>
      <c r="AQ200" s="88"/>
    </row>
    <row r="201" spans="3:43" x14ac:dyDescent="0.25">
      <c r="C201" s="96"/>
      <c r="H201" s="90"/>
      <c r="J201" s="253"/>
      <c r="K201" s="253"/>
      <c r="L201" s="253"/>
      <c r="M201" s="253"/>
      <c r="N201" s="253"/>
      <c r="O201" s="253"/>
      <c r="P201" s="253"/>
      <c r="Q201" s="253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5" t="s">
        <v>384</v>
      </c>
      <c r="G202" s="295" t="s">
        <v>102</v>
      </c>
      <c r="H202" s="90"/>
      <c r="I202" s="295" t="s">
        <v>431</v>
      </c>
      <c r="J202" s="253">
        <f t="shared" ref="J202:Y202" si="35">J192 * J42 / $H53</f>
        <v>0</v>
      </c>
      <c r="K202" s="253">
        <f t="shared" si="35"/>
        <v>0</v>
      </c>
      <c r="L202" s="253">
        <f t="shared" si="35"/>
        <v>0</v>
      </c>
      <c r="M202" s="253">
        <f t="shared" si="35"/>
        <v>0</v>
      </c>
      <c r="N202" s="253">
        <f t="shared" si="35"/>
        <v>570.36805311468481</v>
      </c>
      <c r="O202" s="253">
        <f t="shared" si="35"/>
        <v>0</v>
      </c>
      <c r="P202" s="253">
        <f t="shared" si="35"/>
        <v>0</v>
      </c>
      <c r="Q202" s="253">
        <f t="shared" si="35"/>
        <v>0</v>
      </c>
      <c r="R202" s="253">
        <f t="shared" si="35"/>
        <v>0</v>
      </c>
      <c r="S202" s="253">
        <f t="shared" si="35"/>
        <v>0</v>
      </c>
      <c r="T202" s="253">
        <f t="shared" si="35"/>
        <v>0</v>
      </c>
      <c r="U202" s="253">
        <f t="shared" si="35"/>
        <v>0</v>
      </c>
      <c r="V202" s="253">
        <f t="shared" si="35"/>
        <v>0</v>
      </c>
      <c r="W202" s="253">
        <f t="shared" si="35"/>
        <v>0</v>
      </c>
      <c r="X202" s="253">
        <f t="shared" si="35"/>
        <v>0</v>
      </c>
      <c r="Y202" s="253">
        <f t="shared" si="35"/>
        <v>0</v>
      </c>
      <c r="AA202" s="295" t="s">
        <v>825</v>
      </c>
    </row>
    <row r="203" spans="3:43" x14ac:dyDescent="0.25">
      <c r="H203" s="90"/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  <c r="U203" s="253"/>
      <c r="V203" s="253"/>
      <c r="W203" s="253"/>
      <c r="X203" s="253"/>
      <c r="Y203" s="253"/>
    </row>
    <row r="204" spans="3:43" x14ac:dyDescent="0.25">
      <c r="E204" s="295" t="s">
        <v>547</v>
      </c>
      <c r="G204" s="295" t="s">
        <v>102</v>
      </c>
      <c r="H204" s="90"/>
      <c r="J204" s="253">
        <f t="shared" ref="J204:Y204" si="36">IF(J198, J$200 * J42 / $H53, 0)</f>
        <v>1109.7776200519793</v>
      </c>
      <c r="K204" s="253">
        <f t="shared" si="36"/>
        <v>0</v>
      </c>
      <c r="L204" s="253">
        <f t="shared" si="36"/>
        <v>433.30136880432048</v>
      </c>
      <c r="M204" s="253">
        <f t="shared" si="36"/>
        <v>0</v>
      </c>
      <c r="N204" s="253">
        <f t="shared" si="36"/>
        <v>195.17631530657536</v>
      </c>
      <c r="O204" s="253">
        <f t="shared" si="36"/>
        <v>0</v>
      </c>
      <c r="P204" s="253">
        <f t="shared" si="36"/>
        <v>0</v>
      </c>
      <c r="Q204" s="253">
        <f t="shared" si="36"/>
        <v>37.755597839558355</v>
      </c>
      <c r="R204" s="253">
        <f t="shared" si="36"/>
        <v>0</v>
      </c>
      <c r="S204" s="253">
        <f t="shared" si="36"/>
        <v>0</v>
      </c>
      <c r="T204" s="253">
        <f t="shared" si="36"/>
        <v>0</v>
      </c>
      <c r="U204" s="253">
        <f t="shared" si="36"/>
        <v>0</v>
      </c>
      <c r="V204" s="253">
        <f t="shared" si="36"/>
        <v>0</v>
      </c>
      <c r="W204" s="253">
        <f t="shared" si="36"/>
        <v>0</v>
      </c>
      <c r="X204" s="253">
        <f t="shared" si="36"/>
        <v>0</v>
      </c>
      <c r="Y204" s="253">
        <f t="shared" si="36"/>
        <v>0</v>
      </c>
    </row>
    <row r="205" spans="3:43" x14ac:dyDescent="0.25">
      <c r="H205" s="90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43" x14ac:dyDescent="0.25">
      <c r="E206" s="295" t="s">
        <v>551</v>
      </c>
      <c r="G206" s="295" t="s">
        <v>102</v>
      </c>
      <c r="H206" s="90"/>
      <c r="J206" s="253">
        <f t="shared" ref="J206:Y206" si="37">IF(J202 = 0, J204, J202)</f>
        <v>1109.7776200519793</v>
      </c>
      <c r="K206" s="253">
        <f t="shared" si="37"/>
        <v>0</v>
      </c>
      <c r="L206" s="253">
        <f t="shared" si="37"/>
        <v>433.30136880432048</v>
      </c>
      <c r="M206" s="253">
        <f t="shared" si="37"/>
        <v>0</v>
      </c>
      <c r="N206" s="253">
        <f t="shared" si="37"/>
        <v>570.36805311468481</v>
      </c>
      <c r="O206" s="253">
        <f t="shared" si="37"/>
        <v>0</v>
      </c>
      <c r="P206" s="253">
        <f t="shared" si="37"/>
        <v>0</v>
      </c>
      <c r="Q206" s="253">
        <f t="shared" si="37"/>
        <v>37.755597839558355</v>
      </c>
      <c r="R206" s="253">
        <f t="shared" si="37"/>
        <v>0</v>
      </c>
      <c r="S206" s="253">
        <f t="shared" si="37"/>
        <v>0</v>
      </c>
      <c r="T206" s="253">
        <f t="shared" si="37"/>
        <v>0</v>
      </c>
      <c r="U206" s="253">
        <f t="shared" si="37"/>
        <v>0</v>
      </c>
      <c r="V206" s="253">
        <f t="shared" si="37"/>
        <v>0</v>
      </c>
      <c r="W206" s="253">
        <f t="shared" si="37"/>
        <v>0</v>
      </c>
      <c r="X206" s="253">
        <f t="shared" si="37"/>
        <v>0</v>
      </c>
      <c r="Y206" s="253">
        <f t="shared" si="37"/>
        <v>0</v>
      </c>
    </row>
    <row r="207" spans="3:43" x14ac:dyDescent="0.25">
      <c r="H207" s="90"/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  <c r="U207" s="253"/>
      <c r="V207" s="253"/>
      <c r="W207" s="253"/>
      <c r="X207" s="253"/>
      <c r="Y207" s="253"/>
    </row>
    <row r="208" spans="3:43" x14ac:dyDescent="0.25">
      <c r="E208" s="295" t="s">
        <v>549</v>
      </c>
      <c r="G208" s="295" t="s">
        <v>102</v>
      </c>
      <c r="H208" s="90"/>
      <c r="I208" s="295" t="s">
        <v>431</v>
      </c>
      <c r="J208" s="253">
        <f t="shared" ref="J208:Y208" si="38">J150</f>
        <v>861.47709467970242</v>
      </c>
      <c r="K208" s="253">
        <f t="shared" si="38"/>
        <v>0.31220863044514358</v>
      </c>
      <c r="L208" s="253">
        <f t="shared" si="38"/>
        <v>340.09045895830383</v>
      </c>
      <c r="M208" s="253">
        <f t="shared" si="38"/>
        <v>0.16116602001558067</v>
      </c>
      <c r="N208" s="253">
        <f t="shared" si="38"/>
        <v>165.35131417883682</v>
      </c>
      <c r="O208" s="253">
        <f t="shared" si="38"/>
        <v>0</v>
      </c>
      <c r="P208" s="253">
        <f t="shared" si="38"/>
        <v>0</v>
      </c>
      <c r="Q208" s="253">
        <f t="shared" si="38"/>
        <v>21.228487563428331</v>
      </c>
      <c r="R208" s="253">
        <f t="shared" si="38"/>
        <v>0</v>
      </c>
      <c r="S208" s="253">
        <f t="shared" si="38"/>
        <v>0</v>
      </c>
      <c r="T208" s="253">
        <f t="shared" si="38"/>
        <v>0</v>
      </c>
      <c r="U208" s="253">
        <f t="shared" si="38"/>
        <v>0</v>
      </c>
      <c r="V208" s="253">
        <f t="shared" si="38"/>
        <v>0</v>
      </c>
      <c r="W208" s="253">
        <f t="shared" si="38"/>
        <v>0</v>
      </c>
      <c r="X208" s="253">
        <f t="shared" si="38"/>
        <v>0</v>
      </c>
      <c r="Y208" s="253">
        <f t="shared" si="38"/>
        <v>0</v>
      </c>
      <c r="AA208" s="295" t="s">
        <v>825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5" t="s">
        <v>550</v>
      </c>
      <c r="G210" s="295" t="s">
        <v>94</v>
      </c>
      <c r="H210" s="403">
        <f>SUM(J206:Y206) / SUM(J208:Y208) - 1</f>
        <v>0.54916500473310204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391</v>
      </c>
      <c r="J212" s="90"/>
      <c r="L212" s="90"/>
      <c r="AA212" s="295" t="s">
        <v>825</v>
      </c>
      <c r="AQ212" s="88"/>
    </row>
    <row r="213" spans="5:43" x14ac:dyDescent="0.25">
      <c r="E213" s="82" t="s">
        <v>425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2.4999999999999911E-2</v>
      </c>
      <c r="J214" s="90"/>
      <c r="K214" s="89"/>
      <c r="L214" s="90"/>
      <c r="M214" s="89"/>
      <c r="AQ214" s="88"/>
    </row>
    <row r="215" spans="5:43" x14ac:dyDescent="0.25">
      <c r="E215" s="96"/>
      <c r="F215" s="295" t="s">
        <v>44</v>
      </c>
      <c r="G215" s="295" t="s">
        <v>94</v>
      </c>
      <c r="H215" s="143">
        <v>0.12749999999999995</v>
      </c>
      <c r="J215" s="90"/>
      <c r="L215" s="90"/>
      <c r="AQ215" s="88"/>
    </row>
    <row r="216" spans="5:43" x14ac:dyDescent="0.25">
      <c r="E216" s="96"/>
      <c r="F216" s="295" t="s">
        <v>45</v>
      </c>
      <c r="G216" s="295" t="s">
        <v>94</v>
      </c>
      <c r="H216" s="143">
        <v>0.12749999999999995</v>
      </c>
      <c r="J216" s="90"/>
      <c r="L216" s="90"/>
      <c r="AQ216" s="88"/>
    </row>
    <row r="217" spans="5:43" x14ac:dyDescent="0.25">
      <c r="E217" s="96"/>
      <c r="F217" s="295" t="s">
        <v>46</v>
      </c>
      <c r="G217" s="295" t="s">
        <v>94</v>
      </c>
      <c r="H217" s="143">
        <v>0.42064999999999997</v>
      </c>
      <c r="J217" s="90"/>
      <c r="L217" s="90"/>
      <c r="AQ217" s="88"/>
    </row>
    <row r="218" spans="5:43" x14ac:dyDescent="0.25">
      <c r="E218" s="96"/>
      <c r="F218" s="295" t="s">
        <v>47</v>
      </c>
      <c r="G218" s="295" t="s">
        <v>94</v>
      </c>
      <c r="H218" s="143">
        <v>0.42064999999999997</v>
      </c>
      <c r="J218" s="90"/>
      <c r="L218" s="90"/>
      <c r="AQ218" s="88"/>
    </row>
    <row r="219" spans="5:43" x14ac:dyDescent="0.25">
      <c r="E219" s="96"/>
      <c r="F219" s="295" t="s">
        <v>51</v>
      </c>
      <c r="G219" s="295" t="s">
        <v>94</v>
      </c>
      <c r="H219" s="143">
        <v>0.12749999999999995</v>
      </c>
      <c r="J219" s="90"/>
      <c r="L219" s="90"/>
      <c r="AQ219" s="88"/>
    </row>
    <row r="220" spans="5:43" x14ac:dyDescent="0.25">
      <c r="E220" s="96"/>
      <c r="F220" s="295" t="s">
        <v>48</v>
      </c>
      <c r="G220" s="295" t="s">
        <v>94</v>
      </c>
      <c r="H220" s="143">
        <v>0.70477999999999996</v>
      </c>
      <c r="J220" s="90"/>
      <c r="L220" s="90"/>
      <c r="AQ220" s="88"/>
    </row>
    <row r="221" spans="5:43" x14ac:dyDescent="0.25">
      <c r="E221" s="96"/>
      <c r="F221" s="295" t="s">
        <v>49</v>
      </c>
      <c r="G221" s="295" t="s">
        <v>94</v>
      </c>
      <c r="H221" s="143">
        <v>0.70477999999999996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94">
        <v>0.70477999999999996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361</v>
      </c>
      <c r="J224" s="90"/>
      <c r="L224" s="90"/>
      <c r="AA224" s="295" t="s">
        <v>825</v>
      </c>
      <c r="AQ224" s="88"/>
    </row>
    <row r="225" spans="3:43" x14ac:dyDescent="0.25">
      <c r="E225" s="82" t="s">
        <v>424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2.4999999999999911E-2</v>
      </c>
      <c r="J226" s="90"/>
      <c r="L226" s="90"/>
      <c r="AQ226" s="88"/>
    </row>
    <row r="227" spans="3:43" x14ac:dyDescent="0.25">
      <c r="C227" s="96"/>
      <c r="F227" s="295" t="s">
        <v>44</v>
      </c>
      <c r="G227" s="295" t="s">
        <v>94</v>
      </c>
      <c r="H227" s="17">
        <f t="shared" si="39"/>
        <v>0.12749999999999995</v>
      </c>
      <c r="J227" s="90"/>
      <c r="L227" s="90"/>
      <c r="AQ227" s="88"/>
    </row>
    <row r="228" spans="3:43" x14ac:dyDescent="0.25">
      <c r="C228" s="96"/>
      <c r="F228" s="295" t="s">
        <v>45</v>
      </c>
      <c r="G228" s="295" t="s">
        <v>94</v>
      </c>
      <c r="H228" s="17">
        <f t="shared" si="39"/>
        <v>0.12749999999999995</v>
      </c>
      <c r="J228" s="90"/>
      <c r="L228" s="90"/>
      <c r="AQ228" s="88"/>
    </row>
    <row r="229" spans="3:43" x14ac:dyDescent="0.25">
      <c r="C229" s="96"/>
      <c r="F229" s="295" t="s">
        <v>46</v>
      </c>
      <c r="G229" s="295" t="s">
        <v>94</v>
      </c>
      <c r="H229" s="17">
        <f t="shared" si="39"/>
        <v>0.42064999999999997</v>
      </c>
      <c r="J229" s="90"/>
      <c r="L229" s="90"/>
      <c r="AQ229" s="88"/>
    </row>
    <row r="230" spans="3:43" x14ac:dyDescent="0.25">
      <c r="C230" s="96"/>
      <c r="F230" s="295" t="s">
        <v>47</v>
      </c>
      <c r="G230" s="295" t="s">
        <v>94</v>
      </c>
      <c r="H230" s="17">
        <f t="shared" si="39"/>
        <v>0.42064999999999997</v>
      </c>
      <c r="J230" s="90"/>
      <c r="L230" s="90"/>
      <c r="AQ230" s="88"/>
    </row>
    <row r="231" spans="3:43" x14ac:dyDescent="0.25">
      <c r="C231" s="96"/>
      <c r="F231" s="295" t="s">
        <v>51</v>
      </c>
      <c r="G231" s="295" t="s">
        <v>94</v>
      </c>
      <c r="H231" s="17">
        <f t="shared" si="39"/>
        <v>0.12749999999999995</v>
      </c>
      <c r="J231" s="90"/>
      <c r="L231" s="90"/>
      <c r="AQ231" s="88"/>
    </row>
    <row r="232" spans="3:43" x14ac:dyDescent="0.25">
      <c r="C232" s="96"/>
      <c r="F232" s="295" t="s">
        <v>48</v>
      </c>
      <c r="G232" s="295" t="s">
        <v>94</v>
      </c>
      <c r="H232" s="17">
        <f t="shared" si="39"/>
        <v>0.70477999999999996</v>
      </c>
      <c r="J232" s="90"/>
      <c r="L232" s="90"/>
      <c r="AQ232" s="88"/>
    </row>
    <row r="233" spans="3:43" x14ac:dyDescent="0.25">
      <c r="C233" s="96"/>
      <c r="F233" s="295" t="s">
        <v>49</v>
      </c>
      <c r="G233" s="295" t="s">
        <v>94</v>
      </c>
      <c r="H233" s="17">
        <f t="shared" si="39"/>
        <v>0.70477999999999996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0.54916500473310204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control'!$H$34:$H$58,MATCH($A$1,'Version control'!$F$34:$F$58,0),1)&amp;"-G: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426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8">
        <f t="shared" ref="J239:Y247" si="40">J$192 * J23 * J34 / (1 + $H226) / $H45</f>
        <v>0</v>
      </c>
      <c r="K239" s="278">
        <f t="shared" si="40"/>
        <v>0</v>
      </c>
      <c r="L239" s="278">
        <f t="shared" si="40"/>
        <v>0</v>
      </c>
      <c r="M239" s="278">
        <f t="shared" si="40"/>
        <v>0</v>
      </c>
      <c r="N239" s="278">
        <f t="shared" si="40"/>
        <v>0</v>
      </c>
      <c r="O239" s="278">
        <f t="shared" si="40"/>
        <v>0</v>
      </c>
      <c r="P239" s="278">
        <f t="shared" si="40"/>
        <v>0</v>
      </c>
      <c r="Q239" s="278">
        <f t="shared" si="40"/>
        <v>0</v>
      </c>
      <c r="R239" s="278">
        <f t="shared" si="40"/>
        <v>0</v>
      </c>
      <c r="S239" s="278">
        <f t="shared" si="40"/>
        <v>0</v>
      </c>
      <c r="T239" s="278">
        <f t="shared" si="40"/>
        <v>0</v>
      </c>
      <c r="U239" s="278">
        <f t="shared" si="40"/>
        <v>0</v>
      </c>
      <c r="V239" s="278">
        <f t="shared" si="40"/>
        <v>0</v>
      </c>
      <c r="W239" s="278">
        <f t="shared" si="40"/>
        <v>0</v>
      </c>
      <c r="X239" s="278">
        <f t="shared" si="40"/>
        <v>0</v>
      </c>
      <c r="Y239" s="278">
        <f t="shared" si="40"/>
        <v>0</v>
      </c>
      <c r="AQ239" s="88"/>
    </row>
    <row r="240" spans="3:43" x14ac:dyDescent="0.25">
      <c r="C240" s="96"/>
      <c r="F240" s="295" t="s">
        <v>44</v>
      </c>
      <c r="G240" s="295" t="s">
        <v>102</v>
      </c>
      <c r="H240" s="90"/>
      <c r="J240" s="253">
        <f t="shared" si="40"/>
        <v>0</v>
      </c>
      <c r="K240" s="253">
        <f t="shared" si="40"/>
        <v>0</v>
      </c>
      <c r="L240" s="253">
        <f t="shared" si="40"/>
        <v>0</v>
      </c>
      <c r="M240" s="253">
        <f t="shared" si="40"/>
        <v>0</v>
      </c>
      <c r="N240" s="253">
        <f t="shared" si="40"/>
        <v>0</v>
      </c>
      <c r="O240" s="253">
        <f t="shared" si="40"/>
        <v>0</v>
      </c>
      <c r="P240" s="253">
        <f t="shared" si="40"/>
        <v>0</v>
      </c>
      <c r="Q240" s="253">
        <f t="shared" si="40"/>
        <v>0</v>
      </c>
      <c r="R240" s="253">
        <f t="shared" si="40"/>
        <v>0</v>
      </c>
      <c r="S240" s="253">
        <f t="shared" si="40"/>
        <v>0</v>
      </c>
      <c r="T240" s="253">
        <f t="shared" si="40"/>
        <v>0</v>
      </c>
      <c r="U240" s="253">
        <f t="shared" si="40"/>
        <v>0</v>
      </c>
      <c r="V240" s="253">
        <f t="shared" si="40"/>
        <v>0</v>
      </c>
      <c r="W240" s="253">
        <f t="shared" si="40"/>
        <v>0</v>
      </c>
      <c r="X240" s="253">
        <f t="shared" si="40"/>
        <v>0</v>
      </c>
      <c r="Y240" s="253">
        <f t="shared" si="40"/>
        <v>0</v>
      </c>
      <c r="AQ240" s="88"/>
    </row>
    <row r="241" spans="3:43" x14ac:dyDescent="0.25">
      <c r="C241" s="96"/>
      <c r="F241" s="295" t="s">
        <v>45</v>
      </c>
      <c r="G241" s="295" t="s">
        <v>102</v>
      </c>
      <c r="H241" s="90"/>
      <c r="J241" s="253">
        <f t="shared" si="40"/>
        <v>0</v>
      </c>
      <c r="K241" s="253">
        <f t="shared" si="40"/>
        <v>0</v>
      </c>
      <c r="L241" s="253">
        <f t="shared" si="40"/>
        <v>0</v>
      </c>
      <c r="M241" s="253">
        <f t="shared" si="40"/>
        <v>0</v>
      </c>
      <c r="N241" s="253">
        <f t="shared" si="40"/>
        <v>0</v>
      </c>
      <c r="O241" s="253">
        <f t="shared" si="40"/>
        <v>0</v>
      </c>
      <c r="P241" s="253">
        <f t="shared" si="40"/>
        <v>0</v>
      </c>
      <c r="Q241" s="253">
        <f t="shared" si="40"/>
        <v>0</v>
      </c>
      <c r="R241" s="253">
        <f t="shared" si="40"/>
        <v>0</v>
      </c>
      <c r="S241" s="253">
        <f t="shared" si="40"/>
        <v>0</v>
      </c>
      <c r="T241" s="253">
        <f t="shared" si="40"/>
        <v>0</v>
      </c>
      <c r="U241" s="253">
        <f t="shared" si="40"/>
        <v>0</v>
      </c>
      <c r="V241" s="253">
        <f t="shared" si="40"/>
        <v>0</v>
      </c>
      <c r="W241" s="253">
        <f t="shared" si="40"/>
        <v>0</v>
      </c>
      <c r="X241" s="253">
        <f t="shared" si="40"/>
        <v>0</v>
      </c>
      <c r="Y241" s="253">
        <f t="shared" si="40"/>
        <v>0</v>
      </c>
      <c r="AQ241" s="88"/>
    </row>
    <row r="242" spans="3:43" x14ac:dyDescent="0.25">
      <c r="C242" s="96"/>
      <c r="F242" s="295" t="s">
        <v>46</v>
      </c>
      <c r="G242" s="295" t="s">
        <v>102</v>
      </c>
      <c r="H242" s="90"/>
      <c r="J242" s="253">
        <f t="shared" si="40"/>
        <v>0</v>
      </c>
      <c r="K242" s="253">
        <f t="shared" si="40"/>
        <v>0</v>
      </c>
      <c r="L242" s="253">
        <f t="shared" si="40"/>
        <v>0</v>
      </c>
      <c r="M242" s="253">
        <f t="shared" si="40"/>
        <v>0</v>
      </c>
      <c r="N242" s="253">
        <f t="shared" si="40"/>
        <v>0</v>
      </c>
      <c r="O242" s="253">
        <f t="shared" si="40"/>
        <v>0</v>
      </c>
      <c r="P242" s="253">
        <f t="shared" si="40"/>
        <v>93.789304314455734</v>
      </c>
      <c r="Q242" s="253">
        <f t="shared" si="40"/>
        <v>0</v>
      </c>
      <c r="R242" s="253">
        <f t="shared" si="40"/>
        <v>0</v>
      </c>
      <c r="S242" s="253">
        <f t="shared" si="40"/>
        <v>0</v>
      </c>
      <c r="T242" s="253">
        <f t="shared" si="40"/>
        <v>0</v>
      </c>
      <c r="U242" s="253">
        <f t="shared" si="40"/>
        <v>0</v>
      </c>
      <c r="V242" s="253">
        <f t="shared" si="40"/>
        <v>0</v>
      </c>
      <c r="W242" s="253">
        <f t="shared" si="40"/>
        <v>0</v>
      </c>
      <c r="X242" s="253">
        <f t="shared" si="40"/>
        <v>0</v>
      </c>
      <c r="Y242" s="253">
        <f t="shared" si="40"/>
        <v>0</v>
      </c>
      <c r="AQ242" s="88"/>
    </row>
    <row r="243" spans="3:43" x14ac:dyDescent="0.25">
      <c r="C243" s="96"/>
      <c r="F243" s="295" t="s">
        <v>47</v>
      </c>
      <c r="G243" s="295" t="s">
        <v>102</v>
      </c>
      <c r="H243" s="90"/>
      <c r="J243" s="253">
        <f t="shared" si="40"/>
        <v>0</v>
      </c>
      <c r="K243" s="253">
        <f t="shared" si="40"/>
        <v>0</v>
      </c>
      <c r="L243" s="253">
        <f t="shared" si="40"/>
        <v>0</v>
      </c>
      <c r="M243" s="253">
        <f t="shared" si="40"/>
        <v>0</v>
      </c>
      <c r="N243" s="253">
        <f t="shared" si="40"/>
        <v>0</v>
      </c>
      <c r="O243" s="253">
        <f t="shared" si="40"/>
        <v>0</v>
      </c>
      <c r="P243" s="253">
        <f t="shared" si="40"/>
        <v>464.83696101322266</v>
      </c>
      <c r="Q243" s="253">
        <f t="shared" si="40"/>
        <v>0</v>
      </c>
      <c r="R243" s="253">
        <f t="shared" si="40"/>
        <v>0</v>
      </c>
      <c r="S243" s="253">
        <f t="shared" si="40"/>
        <v>0</v>
      </c>
      <c r="T243" s="253">
        <f t="shared" si="40"/>
        <v>0</v>
      </c>
      <c r="U243" s="253">
        <f t="shared" si="40"/>
        <v>0</v>
      </c>
      <c r="V243" s="253">
        <f t="shared" si="40"/>
        <v>0</v>
      </c>
      <c r="W243" s="253">
        <f t="shared" si="40"/>
        <v>0</v>
      </c>
      <c r="X243" s="253">
        <f t="shared" si="40"/>
        <v>0</v>
      </c>
      <c r="Y243" s="253">
        <f t="shared" si="40"/>
        <v>0</v>
      </c>
      <c r="AQ243" s="88"/>
    </row>
    <row r="244" spans="3:43" x14ac:dyDescent="0.25">
      <c r="C244" s="96"/>
      <c r="F244" s="295" t="s">
        <v>51</v>
      </c>
      <c r="G244" s="295" t="s">
        <v>102</v>
      </c>
      <c r="H244" s="90"/>
      <c r="J244" s="253">
        <f t="shared" si="40"/>
        <v>0</v>
      </c>
      <c r="K244" s="253">
        <f t="shared" si="40"/>
        <v>0</v>
      </c>
      <c r="L244" s="253">
        <f t="shared" si="40"/>
        <v>0</v>
      </c>
      <c r="M244" s="253">
        <f t="shared" si="40"/>
        <v>0</v>
      </c>
      <c r="N244" s="253">
        <f t="shared" si="40"/>
        <v>0</v>
      </c>
      <c r="O244" s="253">
        <f t="shared" si="40"/>
        <v>0</v>
      </c>
      <c r="P244" s="253">
        <f t="shared" si="40"/>
        <v>0</v>
      </c>
      <c r="Q244" s="253">
        <f t="shared" si="40"/>
        <v>0</v>
      </c>
      <c r="R244" s="253">
        <f t="shared" si="40"/>
        <v>0</v>
      </c>
      <c r="S244" s="253">
        <f t="shared" si="40"/>
        <v>0</v>
      </c>
      <c r="T244" s="253">
        <f t="shared" si="40"/>
        <v>0</v>
      </c>
      <c r="U244" s="253">
        <f t="shared" si="40"/>
        <v>0</v>
      </c>
      <c r="V244" s="253">
        <f t="shared" si="40"/>
        <v>0</v>
      </c>
      <c r="W244" s="253">
        <f t="shared" si="40"/>
        <v>0</v>
      </c>
      <c r="X244" s="253">
        <f t="shared" si="40"/>
        <v>0</v>
      </c>
      <c r="Y244" s="253">
        <f t="shared" si="40"/>
        <v>0</v>
      </c>
      <c r="AQ244" s="88"/>
    </row>
    <row r="245" spans="3:43" x14ac:dyDescent="0.25">
      <c r="C245" s="96"/>
      <c r="F245" s="295" t="s">
        <v>48</v>
      </c>
      <c r="G245" s="295" t="s">
        <v>102</v>
      </c>
      <c r="H245" s="90"/>
      <c r="J245" s="253">
        <f t="shared" si="40"/>
        <v>0</v>
      </c>
      <c r="K245" s="253">
        <f t="shared" si="40"/>
        <v>0</v>
      </c>
      <c r="L245" s="253">
        <f t="shared" si="40"/>
        <v>0</v>
      </c>
      <c r="M245" s="253">
        <f t="shared" si="40"/>
        <v>0</v>
      </c>
      <c r="N245" s="253">
        <f t="shared" si="40"/>
        <v>71.684338169031463</v>
      </c>
      <c r="O245" s="253">
        <f t="shared" si="40"/>
        <v>335.33197071856961</v>
      </c>
      <c r="P245" s="253">
        <f t="shared" si="40"/>
        <v>383.25911926828803</v>
      </c>
      <c r="Q245" s="253">
        <f t="shared" si="40"/>
        <v>0</v>
      </c>
      <c r="R245" s="253">
        <f t="shared" si="40"/>
        <v>0</v>
      </c>
      <c r="S245" s="253">
        <f t="shared" si="40"/>
        <v>0</v>
      </c>
      <c r="T245" s="253">
        <f t="shared" si="40"/>
        <v>0</v>
      </c>
      <c r="U245" s="253">
        <f t="shared" si="40"/>
        <v>0</v>
      </c>
      <c r="V245" s="253">
        <f t="shared" si="40"/>
        <v>0</v>
      </c>
      <c r="W245" s="253">
        <f t="shared" si="40"/>
        <v>0</v>
      </c>
      <c r="X245" s="253">
        <f t="shared" si="40"/>
        <v>0</v>
      </c>
      <c r="Y245" s="253">
        <f t="shared" si="40"/>
        <v>0</v>
      </c>
      <c r="AQ245" s="88"/>
    </row>
    <row r="246" spans="3:43" x14ac:dyDescent="0.25">
      <c r="C246" s="96"/>
      <c r="F246" s="295" t="s">
        <v>49</v>
      </c>
      <c r="G246" s="295" t="s">
        <v>102</v>
      </c>
      <c r="H246" s="90"/>
      <c r="J246" s="253">
        <f t="shared" si="40"/>
        <v>0</v>
      </c>
      <c r="K246" s="253">
        <f t="shared" si="40"/>
        <v>0</v>
      </c>
      <c r="L246" s="253">
        <f t="shared" si="40"/>
        <v>0</v>
      </c>
      <c r="M246" s="253">
        <f t="shared" si="40"/>
        <v>0</v>
      </c>
      <c r="N246" s="253">
        <f t="shared" si="40"/>
        <v>350.98275009176723</v>
      </c>
      <c r="O246" s="253">
        <f t="shared" si="40"/>
        <v>328.37225057158042</v>
      </c>
      <c r="P246" s="253">
        <f t="shared" si="40"/>
        <v>0</v>
      </c>
      <c r="Q246" s="253">
        <f t="shared" si="40"/>
        <v>0</v>
      </c>
      <c r="R246" s="253">
        <f t="shared" si="40"/>
        <v>0</v>
      </c>
      <c r="S246" s="253">
        <f t="shared" si="40"/>
        <v>0</v>
      </c>
      <c r="T246" s="253">
        <f t="shared" si="40"/>
        <v>0</v>
      </c>
      <c r="U246" s="253">
        <f t="shared" si="40"/>
        <v>0</v>
      </c>
      <c r="V246" s="253">
        <f t="shared" si="40"/>
        <v>0</v>
      </c>
      <c r="W246" s="253">
        <f t="shared" si="40"/>
        <v>0</v>
      </c>
      <c r="X246" s="253">
        <f t="shared" si="40"/>
        <v>0</v>
      </c>
      <c r="Y246" s="253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2">
        <f t="shared" si="40"/>
        <v>0</v>
      </c>
      <c r="K247" s="272">
        <f t="shared" si="40"/>
        <v>0</v>
      </c>
      <c r="L247" s="272">
        <f t="shared" si="40"/>
        <v>0</v>
      </c>
      <c r="M247" s="272">
        <f t="shared" si="40"/>
        <v>0</v>
      </c>
      <c r="N247" s="272">
        <f t="shared" si="40"/>
        <v>368.17772888753751</v>
      </c>
      <c r="O247" s="272">
        <f t="shared" si="40"/>
        <v>0</v>
      </c>
      <c r="P247" s="272">
        <f t="shared" si="40"/>
        <v>0</v>
      </c>
      <c r="Q247" s="272">
        <f t="shared" si="40"/>
        <v>0</v>
      </c>
      <c r="R247" s="272">
        <f t="shared" si="40"/>
        <v>0</v>
      </c>
      <c r="S247" s="272">
        <f t="shared" si="40"/>
        <v>0</v>
      </c>
      <c r="T247" s="272">
        <f t="shared" si="40"/>
        <v>0</v>
      </c>
      <c r="U247" s="272">
        <f t="shared" si="40"/>
        <v>0</v>
      </c>
      <c r="V247" s="272">
        <f t="shared" si="40"/>
        <v>0</v>
      </c>
      <c r="W247" s="272">
        <f t="shared" si="40"/>
        <v>0</v>
      </c>
      <c r="X247" s="272">
        <f t="shared" si="40"/>
        <v>0</v>
      </c>
      <c r="Y247" s="272">
        <f t="shared" si="40"/>
        <v>0</v>
      </c>
      <c r="AQ247" s="88"/>
    </row>
    <row r="248" spans="3:43" x14ac:dyDescent="0.25">
      <c r="H248" s="83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3:43" x14ac:dyDescent="0.25">
      <c r="C249" s="7" t="str">
        <f ca="1">INDEX('Version control'!$H$34:$H$58,MATCH($A$1,'Version control'!$F$34:$F$58,0),1)&amp;"-H: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7"/>
      <c r="AA249" s="7"/>
      <c r="AQ249" s="88"/>
    </row>
    <row r="250" spans="3:43" x14ac:dyDescent="0.25">
      <c r="H250" s="83"/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3:43" x14ac:dyDescent="0.25">
      <c r="E251" s="96" t="s">
        <v>427</v>
      </c>
      <c r="F251" s="82"/>
      <c r="H251" s="83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8">
        <f t="shared" ref="J252:Y260" si="41">IF(AND(J$192 = 0, J$198), J$200 * J23 * J34 / (1 + $H226) / $H45, 0)</f>
        <v>0</v>
      </c>
      <c r="K252" s="278">
        <f t="shared" si="41"/>
        <v>0</v>
      </c>
      <c r="L252" s="278">
        <f t="shared" si="41"/>
        <v>0</v>
      </c>
      <c r="M252" s="278">
        <f t="shared" si="41"/>
        <v>0</v>
      </c>
      <c r="N252" s="278">
        <f t="shared" si="41"/>
        <v>0</v>
      </c>
      <c r="O252" s="278">
        <f t="shared" si="41"/>
        <v>0</v>
      </c>
      <c r="P252" s="278">
        <f t="shared" si="41"/>
        <v>0</v>
      </c>
      <c r="Q252" s="278">
        <f t="shared" si="41"/>
        <v>0</v>
      </c>
      <c r="R252" s="278">
        <f t="shared" si="41"/>
        <v>0</v>
      </c>
      <c r="S252" s="278">
        <f t="shared" si="41"/>
        <v>0</v>
      </c>
      <c r="T252" s="278">
        <f t="shared" si="41"/>
        <v>0</v>
      </c>
      <c r="U252" s="278">
        <f t="shared" si="41"/>
        <v>0</v>
      </c>
      <c r="V252" s="278">
        <f t="shared" si="41"/>
        <v>0</v>
      </c>
      <c r="W252" s="278">
        <f t="shared" si="41"/>
        <v>0</v>
      </c>
      <c r="X252" s="278">
        <f t="shared" si="41"/>
        <v>0</v>
      </c>
      <c r="Y252" s="278">
        <f t="shared" si="41"/>
        <v>0</v>
      </c>
      <c r="AQ252" s="88"/>
    </row>
    <row r="253" spans="3:43" x14ac:dyDescent="0.25">
      <c r="C253" s="96"/>
      <c r="F253" s="295" t="s">
        <v>44</v>
      </c>
      <c r="G253" s="90" t="s">
        <v>102</v>
      </c>
      <c r="H253" s="90"/>
      <c r="J253" s="253">
        <f t="shared" si="41"/>
        <v>0</v>
      </c>
      <c r="K253" s="253">
        <f t="shared" si="41"/>
        <v>0</v>
      </c>
      <c r="L253" s="253">
        <f t="shared" si="41"/>
        <v>0</v>
      </c>
      <c r="M253" s="253">
        <f t="shared" si="41"/>
        <v>0</v>
      </c>
      <c r="N253" s="253">
        <f t="shared" si="41"/>
        <v>0</v>
      </c>
      <c r="O253" s="253">
        <f t="shared" si="41"/>
        <v>0</v>
      </c>
      <c r="P253" s="253">
        <f t="shared" si="41"/>
        <v>0</v>
      </c>
      <c r="Q253" s="253">
        <f t="shared" si="41"/>
        <v>0</v>
      </c>
      <c r="R253" s="253">
        <f t="shared" si="41"/>
        <v>0</v>
      </c>
      <c r="S253" s="253">
        <f t="shared" si="41"/>
        <v>0</v>
      </c>
      <c r="T253" s="253">
        <f t="shared" si="41"/>
        <v>0</v>
      </c>
      <c r="U253" s="253">
        <f t="shared" si="41"/>
        <v>0</v>
      </c>
      <c r="V253" s="253">
        <f t="shared" si="41"/>
        <v>0</v>
      </c>
      <c r="W253" s="253">
        <f t="shared" si="41"/>
        <v>0</v>
      </c>
      <c r="X253" s="253">
        <f t="shared" si="41"/>
        <v>0</v>
      </c>
      <c r="Y253" s="253">
        <f t="shared" si="41"/>
        <v>0</v>
      </c>
      <c r="AQ253" s="88"/>
    </row>
    <row r="254" spans="3:43" x14ac:dyDescent="0.25">
      <c r="C254" s="96"/>
      <c r="F254" s="295" t="s">
        <v>45</v>
      </c>
      <c r="G254" s="90" t="s">
        <v>102</v>
      </c>
      <c r="H254" s="90"/>
      <c r="J254" s="253">
        <f t="shared" si="41"/>
        <v>0</v>
      </c>
      <c r="K254" s="253">
        <f t="shared" si="41"/>
        <v>0</v>
      </c>
      <c r="L254" s="253">
        <f t="shared" si="41"/>
        <v>0</v>
      </c>
      <c r="M254" s="253">
        <f t="shared" si="41"/>
        <v>0</v>
      </c>
      <c r="N254" s="253">
        <f t="shared" si="41"/>
        <v>0</v>
      </c>
      <c r="O254" s="253">
        <f t="shared" si="41"/>
        <v>0</v>
      </c>
      <c r="P254" s="253">
        <f t="shared" si="41"/>
        <v>0</v>
      </c>
      <c r="Q254" s="253">
        <f t="shared" si="41"/>
        <v>0</v>
      </c>
      <c r="R254" s="253">
        <f t="shared" si="41"/>
        <v>0</v>
      </c>
      <c r="S254" s="253">
        <f t="shared" si="41"/>
        <v>0</v>
      </c>
      <c r="T254" s="253">
        <f t="shared" si="41"/>
        <v>0</v>
      </c>
      <c r="U254" s="253">
        <f t="shared" si="41"/>
        <v>0</v>
      </c>
      <c r="V254" s="253">
        <f t="shared" si="41"/>
        <v>0</v>
      </c>
      <c r="W254" s="253">
        <f t="shared" si="41"/>
        <v>0</v>
      </c>
      <c r="X254" s="253">
        <f t="shared" si="41"/>
        <v>0</v>
      </c>
      <c r="Y254" s="253">
        <f t="shared" si="41"/>
        <v>0</v>
      </c>
      <c r="AQ254" s="88"/>
    </row>
    <row r="255" spans="3:43" x14ac:dyDescent="0.25">
      <c r="C255" s="96"/>
      <c r="F255" s="295" t="s">
        <v>46</v>
      </c>
      <c r="G255" s="90" t="s">
        <v>102</v>
      </c>
      <c r="H255" s="90"/>
      <c r="J255" s="253">
        <f t="shared" si="41"/>
        <v>0</v>
      </c>
      <c r="K255" s="253">
        <f t="shared" si="41"/>
        <v>0</v>
      </c>
      <c r="L255" s="253">
        <f t="shared" si="41"/>
        <v>0</v>
      </c>
      <c r="M255" s="253">
        <f t="shared" si="41"/>
        <v>0</v>
      </c>
      <c r="N255" s="253">
        <f t="shared" si="41"/>
        <v>0</v>
      </c>
      <c r="O255" s="253">
        <f t="shared" si="41"/>
        <v>0</v>
      </c>
      <c r="P255" s="253">
        <f t="shared" si="41"/>
        <v>0</v>
      </c>
      <c r="Q255" s="253">
        <f t="shared" si="41"/>
        <v>0</v>
      </c>
      <c r="R255" s="253">
        <f t="shared" si="41"/>
        <v>0</v>
      </c>
      <c r="S255" s="253">
        <f t="shared" si="41"/>
        <v>0</v>
      </c>
      <c r="T255" s="253">
        <f t="shared" si="41"/>
        <v>0</v>
      </c>
      <c r="U255" s="253">
        <f t="shared" si="41"/>
        <v>0</v>
      </c>
      <c r="V255" s="253">
        <f t="shared" si="41"/>
        <v>0</v>
      </c>
      <c r="W255" s="253">
        <f t="shared" si="41"/>
        <v>0</v>
      </c>
      <c r="X255" s="253">
        <f t="shared" si="41"/>
        <v>0</v>
      </c>
      <c r="Y255" s="253">
        <f t="shared" si="41"/>
        <v>0</v>
      </c>
      <c r="AQ255" s="88"/>
    </row>
    <row r="256" spans="3:43" x14ac:dyDescent="0.25">
      <c r="C256" s="96"/>
      <c r="F256" s="295" t="s">
        <v>47</v>
      </c>
      <c r="G256" s="90" t="s">
        <v>102</v>
      </c>
      <c r="H256" s="90"/>
      <c r="J256" s="253">
        <f t="shared" si="41"/>
        <v>0</v>
      </c>
      <c r="K256" s="253">
        <f t="shared" si="41"/>
        <v>0</v>
      </c>
      <c r="L256" s="253">
        <f t="shared" si="41"/>
        <v>0</v>
      </c>
      <c r="M256" s="253">
        <f t="shared" si="41"/>
        <v>0</v>
      </c>
      <c r="N256" s="253">
        <f t="shared" si="41"/>
        <v>0</v>
      </c>
      <c r="O256" s="253">
        <f t="shared" si="41"/>
        <v>0</v>
      </c>
      <c r="P256" s="253">
        <f t="shared" si="41"/>
        <v>0</v>
      </c>
      <c r="Q256" s="253">
        <f t="shared" si="41"/>
        <v>0</v>
      </c>
      <c r="R256" s="253">
        <f t="shared" si="41"/>
        <v>0</v>
      </c>
      <c r="S256" s="253">
        <f t="shared" si="41"/>
        <v>0</v>
      </c>
      <c r="T256" s="253">
        <f t="shared" si="41"/>
        <v>0</v>
      </c>
      <c r="U256" s="253">
        <f t="shared" si="41"/>
        <v>0</v>
      </c>
      <c r="V256" s="253">
        <f t="shared" si="41"/>
        <v>0</v>
      </c>
      <c r="W256" s="253">
        <f t="shared" si="41"/>
        <v>0</v>
      </c>
      <c r="X256" s="253">
        <f t="shared" si="41"/>
        <v>0</v>
      </c>
      <c r="Y256" s="253">
        <f t="shared" si="41"/>
        <v>0</v>
      </c>
      <c r="AQ256" s="88"/>
    </row>
    <row r="257" spans="2:43" x14ac:dyDescent="0.25">
      <c r="C257" s="96"/>
      <c r="F257" s="295" t="s">
        <v>51</v>
      </c>
      <c r="G257" s="90" t="s">
        <v>102</v>
      </c>
      <c r="H257" s="90"/>
      <c r="J257" s="253">
        <f t="shared" si="41"/>
        <v>0</v>
      </c>
      <c r="K257" s="253">
        <f t="shared" si="41"/>
        <v>0</v>
      </c>
      <c r="L257" s="253">
        <f t="shared" si="41"/>
        <v>0</v>
      </c>
      <c r="M257" s="253">
        <f t="shared" si="41"/>
        <v>0</v>
      </c>
      <c r="N257" s="253">
        <f t="shared" si="41"/>
        <v>0</v>
      </c>
      <c r="O257" s="253">
        <f t="shared" si="41"/>
        <v>0</v>
      </c>
      <c r="P257" s="253">
        <f t="shared" si="41"/>
        <v>0</v>
      </c>
      <c r="Q257" s="253">
        <f t="shared" si="41"/>
        <v>0</v>
      </c>
      <c r="R257" s="253">
        <f t="shared" si="41"/>
        <v>0</v>
      </c>
      <c r="S257" s="253">
        <f t="shared" si="41"/>
        <v>0</v>
      </c>
      <c r="T257" s="253">
        <f t="shared" si="41"/>
        <v>0</v>
      </c>
      <c r="U257" s="253">
        <f t="shared" si="41"/>
        <v>0</v>
      </c>
      <c r="V257" s="253">
        <f t="shared" si="41"/>
        <v>0</v>
      </c>
      <c r="W257" s="253">
        <f t="shared" si="41"/>
        <v>0</v>
      </c>
      <c r="X257" s="253">
        <f t="shared" si="41"/>
        <v>0</v>
      </c>
      <c r="Y257" s="253">
        <f t="shared" si="41"/>
        <v>0</v>
      </c>
      <c r="AQ257" s="88"/>
    </row>
    <row r="258" spans="2:43" x14ac:dyDescent="0.25">
      <c r="C258" s="96"/>
      <c r="F258" s="295" t="s">
        <v>48</v>
      </c>
      <c r="G258" s="90" t="s">
        <v>102</v>
      </c>
      <c r="H258" s="90"/>
      <c r="J258" s="253">
        <f t="shared" si="41"/>
        <v>0</v>
      </c>
      <c r="K258" s="253">
        <f t="shared" si="41"/>
        <v>0</v>
      </c>
      <c r="L258" s="253">
        <f t="shared" si="41"/>
        <v>0</v>
      </c>
      <c r="M258" s="253">
        <f t="shared" si="41"/>
        <v>0</v>
      </c>
      <c r="N258" s="253">
        <f t="shared" si="41"/>
        <v>0</v>
      </c>
      <c r="O258" s="253">
        <f t="shared" si="41"/>
        <v>0</v>
      </c>
      <c r="P258" s="253">
        <f t="shared" si="41"/>
        <v>0</v>
      </c>
      <c r="Q258" s="253">
        <f t="shared" si="41"/>
        <v>0</v>
      </c>
      <c r="R258" s="253">
        <f t="shared" si="41"/>
        <v>0</v>
      </c>
      <c r="S258" s="253">
        <f t="shared" si="41"/>
        <v>0</v>
      </c>
      <c r="T258" s="253">
        <f t="shared" si="41"/>
        <v>0</v>
      </c>
      <c r="U258" s="253">
        <f t="shared" si="41"/>
        <v>0</v>
      </c>
      <c r="V258" s="253">
        <f t="shared" si="41"/>
        <v>0</v>
      </c>
      <c r="W258" s="253">
        <f t="shared" si="41"/>
        <v>0</v>
      </c>
      <c r="X258" s="253">
        <f t="shared" si="41"/>
        <v>0</v>
      </c>
      <c r="Y258" s="253">
        <f t="shared" si="41"/>
        <v>0</v>
      </c>
      <c r="AQ258" s="88"/>
    </row>
    <row r="259" spans="2:43" x14ac:dyDescent="0.25">
      <c r="C259" s="96"/>
      <c r="F259" s="295" t="s">
        <v>49</v>
      </c>
      <c r="G259" s="90" t="s">
        <v>102</v>
      </c>
      <c r="H259" s="90"/>
      <c r="J259" s="253">
        <f t="shared" si="41"/>
        <v>0</v>
      </c>
      <c r="K259" s="253">
        <f t="shared" si="41"/>
        <v>0</v>
      </c>
      <c r="L259" s="253">
        <f t="shared" si="41"/>
        <v>0</v>
      </c>
      <c r="M259" s="253">
        <f t="shared" si="41"/>
        <v>0</v>
      </c>
      <c r="N259" s="253">
        <f t="shared" si="41"/>
        <v>0</v>
      </c>
      <c r="O259" s="253">
        <f t="shared" si="41"/>
        <v>0</v>
      </c>
      <c r="P259" s="253">
        <f t="shared" si="41"/>
        <v>0</v>
      </c>
      <c r="Q259" s="253">
        <f t="shared" si="41"/>
        <v>0</v>
      </c>
      <c r="R259" s="253">
        <f t="shared" si="41"/>
        <v>0</v>
      </c>
      <c r="S259" s="253">
        <f t="shared" si="41"/>
        <v>0</v>
      </c>
      <c r="T259" s="253">
        <f t="shared" si="41"/>
        <v>0</v>
      </c>
      <c r="U259" s="253">
        <f t="shared" si="41"/>
        <v>0</v>
      </c>
      <c r="V259" s="253">
        <f t="shared" si="41"/>
        <v>0</v>
      </c>
      <c r="W259" s="253">
        <f t="shared" si="41"/>
        <v>0</v>
      </c>
      <c r="X259" s="253">
        <f t="shared" si="41"/>
        <v>0</v>
      </c>
      <c r="Y259" s="253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2">
        <f t="shared" si="41"/>
        <v>716.37147538275133</v>
      </c>
      <c r="K260" s="272">
        <f t="shared" si="41"/>
        <v>0</v>
      </c>
      <c r="L260" s="272">
        <f t="shared" si="41"/>
        <v>279.69994641014489</v>
      </c>
      <c r="M260" s="272">
        <f t="shared" si="41"/>
        <v>0</v>
      </c>
      <c r="N260" s="272">
        <f t="shared" si="41"/>
        <v>0</v>
      </c>
      <c r="O260" s="272">
        <f t="shared" si="41"/>
        <v>0</v>
      </c>
      <c r="P260" s="272">
        <f t="shared" si="41"/>
        <v>0</v>
      </c>
      <c r="Q260" s="272">
        <f t="shared" si="41"/>
        <v>0</v>
      </c>
      <c r="R260" s="272">
        <f t="shared" si="41"/>
        <v>0</v>
      </c>
      <c r="S260" s="272">
        <f t="shared" si="41"/>
        <v>0</v>
      </c>
      <c r="T260" s="272">
        <f t="shared" si="41"/>
        <v>0</v>
      </c>
      <c r="U260" s="272">
        <f t="shared" si="41"/>
        <v>0</v>
      </c>
      <c r="V260" s="272">
        <f t="shared" si="41"/>
        <v>0</v>
      </c>
      <c r="W260" s="272">
        <f t="shared" si="41"/>
        <v>0</v>
      </c>
      <c r="X260" s="272">
        <f t="shared" si="41"/>
        <v>0</v>
      </c>
      <c r="Y260" s="272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356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428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control'!$H$34:$H$58,MATCH($A$1,'Version control'!$F$34:$F$58,0),1)&amp;"-I: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429</v>
      </c>
      <c r="F268" s="82"/>
      <c r="H268" s="174" t="s">
        <v>272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5">
        <f t="shared" ref="H269:H277" si="42">SUM(J269:Y269)</f>
        <v>1950.5623167353501</v>
      </c>
      <c r="I269" s="278"/>
      <c r="J269" s="278">
        <f t="shared" ref="J269:Y277" si="43">J239 + J252 + J168</f>
        <v>986.90514848109376</v>
      </c>
      <c r="K269" s="278">
        <f t="shared" si="43"/>
        <v>0.354709167045695</v>
      </c>
      <c r="L269" s="278">
        <f t="shared" si="43"/>
        <v>364.82071012662743</v>
      </c>
      <c r="M269" s="278">
        <f t="shared" si="43"/>
        <v>0.17515096171126932</v>
      </c>
      <c r="N269" s="278">
        <f t="shared" si="43"/>
        <v>181.45376144987358</v>
      </c>
      <c r="O269" s="278">
        <f t="shared" si="43"/>
        <v>193.58461601007392</v>
      </c>
      <c r="P269" s="278">
        <f t="shared" si="43"/>
        <v>261.08448742451503</v>
      </c>
      <c r="Q269" s="278">
        <f t="shared" si="43"/>
        <v>25.737361401307229</v>
      </c>
      <c r="R269" s="278">
        <f t="shared" si="43"/>
        <v>-0.15252580947203484</v>
      </c>
      <c r="S269" s="278">
        <f t="shared" si="43"/>
        <v>-4.8738482962390611E-2</v>
      </c>
      <c r="T269" s="278">
        <f t="shared" si="43"/>
        <v>-7.2140818955080519</v>
      </c>
      <c r="U269" s="278">
        <f t="shared" si="43"/>
        <v>0</v>
      </c>
      <c r="V269" s="278">
        <f t="shared" si="43"/>
        <v>-1.9373001718916085</v>
      </c>
      <c r="W269" s="278">
        <f t="shared" si="43"/>
        <v>0</v>
      </c>
      <c r="X269" s="278">
        <f t="shared" si="43"/>
        <v>-54.200981927063744</v>
      </c>
      <c r="Y269" s="278">
        <f t="shared" si="43"/>
        <v>0</v>
      </c>
      <c r="AQ269" s="88"/>
    </row>
    <row r="270" spans="2:43" x14ac:dyDescent="0.25">
      <c r="C270" s="96"/>
      <c r="F270" s="295" t="s">
        <v>44</v>
      </c>
      <c r="G270" s="295" t="s">
        <v>102</v>
      </c>
      <c r="H270" s="257">
        <f t="shared" si="42"/>
        <v>1940.8580266023384</v>
      </c>
      <c r="I270" s="253"/>
      <c r="J270" s="253">
        <f t="shared" si="43"/>
        <v>981.99517261800395</v>
      </c>
      <c r="K270" s="253">
        <f t="shared" si="43"/>
        <v>0.35294444482158704</v>
      </c>
      <c r="L270" s="253">
        <f t="shared" si="43"/>
        <v>363.00568171803724</v>
      </c>
      <c r="M270" s="253">
        <f t="shared" si="43"/>
        <v>0.17427956389181032</v>
      </c>
      <c r="N270" s="253">
        <f t="shared" si="43"/>
        <v>180.55100641778469</v>
      </c>
      <c r="O270" s="253">
        <f t="shared" si="43"/>
        <v>192.62150846773525</v>
      </c>
      <c r="P270" s="253">
        <f t="shared" si="43"/>
        <v>259.78555962638313</v>
      </c>
      <c r="Q270" s="253">
        <f t="shared" si="43"/>
        <v>25.609314827171374</v>
      </c>
      <c r="R270" s="253">
        <f t="shared" si="43"/>
        <v>-0.15176697459903965</v>
      </c>
      <c r="S270" s="253">
        <f t="shared" si="43"/>
        <v>-4.8496002947652356E-2</v>
      </c>
      <c r="T270" s="253">
        <f t="shared" si="43"/>
        <v>-7.1781909408040327</v>
      </c>
      <c r="U270" s="253">
        <f t="shared" si="43"/>
        <v>0</v>
      </c>
      <c r="V270" s="253">
        <f t="shared" si="43"/>
        <v>-1.9276618625787152</v>
      </c>
      <c r="W270" s="253">
        <f t="shared" si="43"/>
        <v>0</v>
      </c>
      <c r="X270" s="253">
        <f t="shared" si="43"/>
        <v>-53.931325300560943</v>
      </c>
      <c r="Y270" s="253">
        <f t="shared" si="43"/>
        <v>0</v>
      </c>
      <c r="AQ270" s="88"/>
    </row>
    <row r="271" spans="2:43" x14ac:dyDescent="0.25">
      <c r="C271" s="96"/>
      <c r="F271" s="295" t="s">
        <v>45</v>
      </c>
      <c r="G271" s="295" t="s">
        <v>102</v>
      </c>
      <c r="H271" s="257">
        <f t="shared" si="42"/>
        <v>1902.0492855739521</v>
      </c>
      <c r="I271" s="253"/>
      <c r="J271" s="253">
        <f t="shared" si="43"/>
        <v>944.9594072246382</v>
      </c>
      <c r="K271" s="253">
        <f t="shared" si="43"/>
        <v>0.47653936353886395</v>
      </c>
      <c r="L271" s="253">
        <f t="shared" si="43"/>
        <v>364.28405766287028</v>
      </c>
      <c r="M271" s="253">
        <f t="shared" si="43"/>
        <v>0.2445788538892314</v>
      </c>
      <c r="N271" s="253">
        <f t="shared" si="43"/>
        <v>178.7527682303587</v>
      </c>
      <c r="O271" s="253">
        <f t="shared" si="43"/>
        <v>192.7093829832942</v>
      </c>
      <c r="P271" s="253">
        <f t="shared" si="43"/>
        <v>259.64916052771821</v>
      </c>
      <c r="Q271" s="253">
        <f t="shared" si="43"/>
        <v>22.889550336925964</v>
      </c>
      <c r="R271" s="253">
        <f t="shared" si="43"/>
        <v>-0.15141215280451686</v>
      </c>
      <c r="S271" s="253">
        <f t="shared" si="43"/>
        <v>-4.8206595774351851E-2</v>
      </c>
      <c r="T271" s="253">
        <f t="shared" si="43"/>
        <v>-7.1737269829312664</v>
      </c>
      <c r="U271" s="253">
        <f t="shared" si="43"/>
        <v>0</v>
      </c>
      <c r="V271" s="253">
        <f t="shared" si="43"/>
        <v>-1.9162098577300741</v>
      </c>
      <c r="W271" s="253">
        <f t="shared" si="43"/>
        <v>0</v>
      </c>
      <c r="X271" s="253">
        <f t="shared" si="43"/>
        <v>-52.626604020041128</v>
      </c>
      <c r="Y271" s="253">
        <f t="shared" si="43"/>
        <v>0</v>
      </c>
      <c r="AQ271" s="88"/>
    </row>
    <row r="272" spans="2:43" x14ac:dyDescent="0.25">
      <c r="C272" s="96"/>
      <c r="F272" s="295" t="s">
        <v>46</v>
      </c>
      <c r="G272" s="295" t="s">
        <v>102</v>
      </c>
      <c r="H272" s="257">
        <f t="shared" si="42"/>
        <v>1933.0043209254868</v>
      </c>
      <c r="I272" s="253"/>
      <c r="J272" s="253">
        <f t="shared" si="43"/>
        <v>939.38990187753825</v>
      </c>
      <c r="K272" s="253">
        <f t="shared" si="43"/>
        <v>0.47373068359659171</v>
      </c>
      <c r="L272" s="253">
        <f t="shared" si="43"/>
        <v>362.13700034855088</v>
      </c>
      <c r="M272" s="253">
        <f t="shared" si="43"/>
        <v>0.24313732822780176</v>
      </c>
      <c r="N272" s="253">
        <f t="shared" si="43"/>
        <v>177.69921556888312</v>
      </c>
      <c r="O272" s="253">
        <f t="shared" si="43"/>
        <v>191.57357129576988</v>
      </c>
      <c r="P272" s="253">
        <f t="shared" si="43"/>
        <v>300.28435378718723</v>
      </c>
      <c r="Q272" s="253">
        <f t="shared" si="43"/>
        <v>22.754641395843883</v>
      </c>
      <c r="R272" s="253">
        <f t="shared" si="43"/>
        <v>-0.15051974325950004</v>
      </c>
      <c r="S272" s="253">
        <f t="shared" si="43"/>
        <v>-4.7922470455446044E-2</v>
      </c>
      <c r="T272" s="253">
        <f t="shared" si="43"/>
        <v>-7.1314456844071126</v>
      </c>
      <c r="U272" s="253">
        <f t="shared" si="43"/>
        <v>0</v>
      </c>
      <c r="V272" s="253">
        <f t="shared" si="43"/>
        <v>-1.9049158900027847</v>
      </c>
      <c r="W272" s="253">
        <f t="shared" si="43"/>
        <v>0</v>
      </c>
      <c r="X272" s="253">
        <f t="shared" si="43"/>
        <v>-52.316427571985876</v>
      </c>
      <c r="Y272" s="253">
        <f t="shared" si="43"/>
        <v>0</v>
      </c>
      <c r="AQ272" s="88"/>
    </row>
    <row r="273" spans="2:43" x14ac:dyDescent="0.25">
      <c r="C273" s="96"/>
      <c r="F273" s="295" t="s">
        <v>47</v>
      </c>
      <c r="G273" s="295" t="s">
        <v>102</v>
      </c>
      <c r="H273" s="257">
        <f t="shared" si="42"/>
        <v>2100.0496707566986</v>
      </c>
      <c r="I273" s="253"/>
      <c r="J273" s="253">
        <f t="shared" si="43"/>
        <v>932.77753581677621</v>
      </c>
      <c r="K273" s="253">
        <f t="shared" si="43"/>
        <v>0.33804868262414778</v>
      </c>
      <c r="L273" s="253">
        <f t="shared" si="43"/>
        <v>368.23816004053936</v>
      </c>
      <c r="M273" s="253">
        <f t="shared" si="43"/>
        <v>0.17450497980265411</v>
      </c>
      <c r="N273" s="253">
        <f t="shared" si="43"/>
        <v>179.03667124329755</v>
      </c>
      <c r="O273" s="253">
        <f t="shared" si="43"/>
        <v>193.01832657675348</v>
      </c>
      <c r="P273" s="253">
        <f t="shared" si="43"/>
        <v>464.83696101322266</v>
      </c>
      <c r="Q273" s="253">
        <f t="shared" si="43"/>
        <v>22.985470467899034</v>
      </c>
      <c r="R273" s="253">
        <f t="shared" si="43"/>
        <v>-0.15184925068414981</v>
      </c>
      <c r="S273" s="253">
        <f t="shared" si="43"/>
        <v>-4.7724021214692304E-2</v>
      </c>
      <c r="T273" s="253">
        <f t="shared" si="43"/>
        <v>-7.1566959898694114</v>
      </c>
      <c r="U273" s="253">
        <f t="shared" si="43"/>
        <v>0</v>
      </c>
      <c r="V273" s="253">
        <f t="shared" si="43"/>
        <v>-1.8969210146101085</v>
      </c>
      <c r="W273" s="253">
        <f t="shared" si="43"/>
        <v>0</v>
      </c>
      <c r="X273" s="253">
        <f t="shared" si="43"/>
        <v>-52.102817787837978</v>
      </c>
      <c r="Y273" s="253">
        <f t="shared" si="43"/>
        <v>0</v>
      </c>
      <c r="AQ273" s="88"/>
    </row>
    <row r="274" spans="2:43" x14ac:dyDescent="0.25">
      <c r="C274" s="96"/>
      <c r="F274" s="295" t="s">
        <v>51</v>
      </c>
      <c r="G274" s="295" t="s">
        <v>102</v>
      </c>
      <c r="H274" s="257">
        <f t="shared" si="42"/>
        <v>0</v>
      </c>
      <c r="I274" s="253"/>
      <c r="J274" s="253">
        <f t="shared" si="43"/>
        <v>0</v>
      </c>
      <c r="K274" s="253">
        <f t="shared" si="43"/>
        <v>0</v>
      </c>
      <c r="L274" s="253">
        <f t="shared" si="43"/>
        <v>0</v>
      </c>
      <c r="M274" s="253">
        <f t="shared" si="43"/>
        <v>0</v>
      </c>
      <c r="N274" s="253">
        <f t="shared" si="43"/>
        <v>0</v>
      </c>
      <c r="O274" s="253">
        <f t="shared" si="43"/>
        <v>0</v>
      </c>
      <c r="P274" s="253">
        <f t="shared" si="43"/>
        <v>0</v>
      </c>
      <c r="Q274" s="253">
        <f t="shared" si="43"/>
        <v>0</v>
      </c>
      <c r="R274" s="253">
        <f t="shared" si="43"/>
        <v>0</v>
      </c>
      <c r="S274" s="253">
        <f t="shared" si="43"/>
        <v>0</v>
      </c>
      <c r="T274" s="253">
        <f t="shared" si="43"/>
        <v>0</v>
      </c>
      <c r="U274" s="253">
        <f t="shared" si="43"/>
        <v>0</v>
      </c>
      <c r="V274" s="253">
        <f t="shared" si="43"/>
        <v>0</v>
      </c>
      <c r="W274" s="253">
        <f t="shared" si="43"/>
        <v>0</v>
      </c>
      <c r="X274" s="253">
        <f t="shared" si="43"/>
        <v>0</v>
      </c>
      <c r="Y274" s="253">
        <f t="shared" si="43"/>
        <v>0</v>
      </c>
      <c r="AQ274" s="88"/>
    </row>
    <row r="275" spans="2:43" x14ac:dyDescent="0.25">
      <c r="C275" s="96"/>
      <c r="F275" s="295" t="s">
        <v>48</v>
      </c>
      <c r="G275" s="295" t="s">
        <v>102</v>
      </c>
      <c r="H275" s="257">
        <f t="shared" si="42"/>
        <v>2233.3092365440975</v>
      </c>
      <c r="I275" s="253"/>
      <c r="J275" s="253">
        <f t="shared" si="43"/>
        <v>922.89261010002804</v>
      </c>
      <c r="K275" s="253">
        <f t="shared" si="43"/>
        <v>0.33446627847302479</v>
      </c>
      <c r="L275" s="253">
        <f t="shared" si="43"/>
        <v>364.33582886477245</v>
      </c>
      <c r="M275" s="253">
        <f t="shared" si="43"/>
        <v>0.17265569774308837</v>
      </c>
      <c r="N275" s="253">
        <f t="shared" si="43"/>
        <v>213.39583055197295</v>
      </c>
      <c r="O275" s="253">
        <f t="shared" si="43"/>
        <v>335.33197071856961</v>
      </c>
      <c r="P275" s="253">
        <f t="shared" si="43"/>
        <v>383.25911926828803</v>
      </c>
      <c r="Q275" s="253">
        <f t="shared" si="43"/>
        <v>22.741886484135172</v>
      </c>
      <c r="R275" s="253">
        <f t="shared" si="43"/>
        <v>-0.15024005823952011</v>
      </c>
      <c r="S275" s="253">
        <f t="shared" si="43"/>
        <v>-4.7218275325133903E-2</v>
      </c>
      <c r="T275" s="253">
        <f t="shared" si="43"/>
        <v>-7.080854317529754</v>
      </c>
      <c r="U275" s="253">
        <f t="shared" si="43"/>
        <v>0</v>
      </c>
      <c r="V275" s="253">
        <f t="shared" si="43"/>
        <v>-1.8768187687905409</v>
      </c>
      <c r="W275" s="253">
        <f t="shared" si="43"/>
        <v>0</v>
      </c>
      <c r="X275" s="253">
        <f t="shared" si="43"/>
        <v>0</v>
      </c>
      <c r="Y275" s="253">
        <f t="shared" si="43"/>
        <v>0</v>
      </c>
      <c r="AQ275" s="88"/>
    </row>
    <row r="276" spans="2:43" x14ac:dyDescent="0.25">
      <c r="C276" s="96"/>
      <c r="F276" s="295" t="s">
        <v>49</v>
      </c>
      <c r="G276" s="295" t="s">
        <v>102</v>
      </c>
      <c r="H276" s="257">
        <f t="shared" si="42"/>
        <v>1955.5528444984977</v>
      </c>
      <c r="I276" s="253"/>
      <c r="J276" s="253">
        <f t="shared" si="43"/>
        <v>903.73823517342362</v>
      </c>
      <c r="K276" s="253">
        <f t="shared" si="43"/>
        <v>0.32752452552358458</v>
      </c>
      <c r="L276" s="253">
        <f t="shared" si="43"/>
        <v>356.77414185059797</v>
      </c>
      <c r="M276" s="253">
        <f t="shared" si="43"/>
        <v>0.16907227760125068</v>
      </c>
      <c r="N276" s="253">
        <f t="shared" si="43"/>
        <v>350.98275009176723</v>
      </c>
      <c r="O276" s="253">
        <f t="shared" si="43"/>
        <v>328.37225057158042</v>
      </c>
      <c r="P276" s="253">
        <f t="shared" si="43"/>
        <v>0</v>
      </c>
      <c r="Q276" s="253">
        <f t="shared" si="43"/>
        <v>22.26988506653991</v>
      </c>
      <c r="R276" s="253">
        <f t="shared" si="43"/>
        <v>-0.14712186835153004</v>
      </c>
      <c r="S276" s="253">
        <f t="shared" si="43"/>
        <v>0</v>
      </c>
      <c r="T276" s="253">
        <f t="shared" si="43"/>
        <v>-6.9338931901847962</v>
      </c>
      <c r="U276" s="253">
        <f t="shared" si="43"/>
        <v>0</v>
      </c>
      <c r="V276" s="253">
        <f t="shared" si="43"/>
        <v>0</v>
      </c>
      <c r="W276" s="253">
        <f t="shared" si="43"/>
        <v>0</v>
      </c>
      <c r="X276" s="253">
        <f t="shared" si="43"/>
        <v>0</v>
      </c>
      <c r="Y276" s="253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9">
        <f t="shared" si="42"/>
        <v>1385.4776382438622</v>
      </c>
      <c r="I277" s="272"/>
      <c r="J277" s="272">
        <f t="shared" si="43"/>
        <v>716.37147538275133</v>
      </c>
      <c r="K277" s="272">
        <f t="shared" si="43"/>
        <v>0</v>
      </c>
      <c r="L277" s="272">
        <f t="shared" si="43"/>
        <v>279.69994641014489</v>
      </c>
      <c r="M277" s="272">
        <f t="shared" si="43"/>
        <v>0</v>
      </c>
      <c r="N277" s="272">
        <f t="shared" si="43"/>
        <v>368.17772888753751</v>
      </c>
      <c r="O277" s="272">
        <f t="shared" si="43"/>
        <v>0</v>
      </c>
      <c r="P277" s="272">
        <f t="shared" si="43"/>
        <v>0</v>
      </c>
      <c r="Q277" s="272">
        <f t="shared" si="43"/>
        <v>21.228487563428331</v>
      </c>
      <c r="R277" s="272">
        <f t="shared" si="43"/>
        <v>0</v>
      </c>
      <c r="S277" s="272">
        <f t="shared" si="43"/>
        <v>0</v>
      </c>
      <c r="T277" s="272">
        <f t="shared" si="43"/>
        <v>0</v>
      </c>
      <c r="U277" s="272">
        <f t="shared" si="43"/>
        <v>0</v>
      </c>
      <c r="V277" s="272">
        <f t="shared" si="43"/>
        <v>0</v>
      </c>
      <c r="W277" s="272">
        <f t="shared" si="43"/>
        <v>0</v>
      </c>
      <c r="X277" s="272">
        <f t="shared" si="43"/>
        <v>0</v>
      </c>
      <c r="Y277" s="272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5" t="s">
        <v>516</v>
      </c>
      <c r="G281" s="122" t="s">
        <v>692</v>
      </c>
      <c r="H281" s="152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  <row r="288" spans="2:43" x14ac:dyDescent="0.25">
      <c r="J288" s="90"/>
      <c r="L288" s="90"/>
    </row>
    <row r="289" spans="10:12" x14ac:dyDescent="0.25">
      <c r="J289" s="90"/>
      <c r="L289" s="90"/>
    </row>
    <row r="290" spans="10:12" x14ac:dyDescent="0.25">
      <c r="J290" s="90"/>
      <c r="L290" s="90"/>
    </row>
    <row r="291" spans="10:12" x14ac:dyDescent="0.25">
      <c r="J291" s="90"/>
      <c r="L291" s="90"/>
    </row>
    <row r="292" spans="10:12" x14ac:dyDescent="0.25">
      <c r="J292" s="90"/>
      <c r="L292" s="90"/>
    </row>
    <row r="293" spans="10:12" x14ac:dyDescent="0.25">
      <c r="J293" s="90"/>
      <c r="L293" s="90"/>
    </row>
    <row r="294" spans="10:12" x14ac:dyDescent="0.25">
      <c r="J294" s="90"/>
      <c r="L294" s="90"/>
    </row>
    <row r="295" spans="10:12" x14ac:dyDescent="0.25">
      <c r="J295" s="90"/>
      <c r="L295" s="90"/>
    </row>
    <row r="296" spans="10:12" x14ac:dyDescent="0.25">
      <c r="J296" s="90"/>
      <c r="L296" s="90"/>
    </row>
    <row r="297" spans="10:12" x14ac:dyDescent="0.25">
      <c r="J297" s="90"/>
      <c r="L297" s="90"/>
    </row>
    <row r="298" spans="10:12" x14ac:dyDescent="0.25">
      <c r="J298" s="90"/>
      <c r="L298" s="90"/>
    </row>
    <row r="299" spans="10:12" x14ac:dyDescent="0.25">
      <c r="J299" s="90"/>
      <c r="L299" s="90"/>
    </row>
    <row r="300" spans="10:12" x14ac:dyDescent="0.25">
      <c r="J300" s="90"/>
      <c r="L300" s="90"/>
    </row>
    <row r="301" spans="10:12" x14ac:dyDescent="0.25">
      <c r="J301" s="90"/>
      <c r="L301" s="90"/>
    </row>
    <row r="302" spans="10:12" x14ac:dyDescent="0.25">
      <c r="J302" s="90"/>
      <c r="L302" s="90"/>
    </row>
    <row r="303" spans="10:12" x14ac:dyDescent="0.25">
      <c r="J303" s="90"/>
      <c r="L303" s="90"/>
    </row>
    <row r="304" spans="10:12" x14ac:dyDescent="0.25">
      <c r="J304" s="90"/>
      <c r="L304" s="90"/>
    </row>
    <row r="305" spans="10:12" x14ac:dyDescent="0.25">
      <c r="J305" s="90"/>
      <c r="L305" s="90"/>
    </row>
    <row r="306" spans="10:12" x14ac:dyDescent="0.25">
      <c r="J306" s="90"/>
      <c r="L306" s="90"/>
    </row>
    <row r="307" spans="10:12" x14ac:dyDescent="0.25">
      <c r="J307" s="90"/>
      <c r="L307" s="90"/>
    </row>
    <row r="308" spans="10:12" x14ac:dyDescent="0.25">
      <c r="J308" s="90"/>
      <c r="L308" s="90"/>
    </row>
    <row r="309" spans="10:12" x14ac:dyDescent="0.25">
      <c r="J309" s="90"/>
      <c r="L309" s="90"/>
    </row>
    <row r="310" spans="10:12" x14ac:dyDescent="0.25">
      <c r="J310" s="90"/>
      <c r="L310" s="90"/>
    </row>
    <row r="311" spans="10:12" x14ac:dyDescent="0.25">
      <c r="J311" s="90"/>
      <c r="L311" s="90"/>
    </row>
    <row r="312" spans="10:12" x14ac:dyDescent="0.25">
      <c r="J312" s="90"/>
      <c r="L312" s="90"/>
    </row>
    <row r="313" spans="10:12" x14ac:dyDescent="0.25">
      <c r="J313" s="90"/>
      <c r="L313" s="90"/>
    </row>
    <row r="314" spans="10:12" x14ac:dyDescent="0.25">
      <c r="J314" s="90"/>
      <c r="L314" s="90"/>
    </row>
    <row r="315" spans="10:12" x14ac:dyDescent="0.25">
      <c r="J315" s="90"/>
      <c r="L315" s="90"/>
    </row>
    <row r="316" spans="10:12" x14ac:dyDescent="0.25">
      <c r="J316" s="90"/>
      <c r="L316" s="90"/>
    </row>
    <row r="317" spans="10:12" x14ac:dyDescent="0.25">
      <c r="J317" s="90"/>
      <c r="L317" s="90"/>
    </row>
    <row r="318" spans="10:12" x14ac:dyDescent="0.25">
      <c r="J318" s="90"/>
      <c r="L318" s="90"/>
    </row>
    <row r="319" spans="10:12" x14ac:dyDescent="0.25">
      <c r="J319" s="90"/>
      <c r="L319" s="90"/>
    </row>
    <row r="320" spans="10:12" x14ac:dyDescent="0.25">
      <c r="J320" s="90"/>
      <c r="L320" s="90"/>
    </row>
  </sheetData>
  <sheetProtection sheet="1" objects="1" formatCells="0" formatColumns="0" formatRows="0" sort="0" autoFilter="0"/>
  <conditionalFormatting sqref="H281">
    <cfRule type="cellIs" dxfId="145" priority="10" operator="greaterThan">
      <formula>0</formula>
    </cfRule>
  </conditionalFormatting>
  <conditionalFormatting sqref="A4:I4 Z4:XFD4">
    <cfRule type="expression" dxfId="144" priority="9">
      <formula>LEFT($A$4,1) &lt;&gt; "0"</formula>
    </cfRule>
  </conditionalFormatting>
  <conditionalFormatting sqref="N4:P4">
    <cfRule type="expression" dxfId="143" priority="8">
      <formula>LEFT($A$4,1) &lt;&gt; "0"</formula>
    </cfRule>
  </conditionalFormatting>
  <conditionalFormatting sqref="L4:M4">
    <cfRule type="expression" dxfId="142" priority="7">
      <formula>LEFT($A$4,1) &lt;&gt; "0"</formula>
    </cfRule>
  </conditionalFormatting>
  <conditionalFormatting sqref="J4:K4">
    <cfRule type="expression" dxfId="141" priority="6">
      <formula>LEFT($A$4,1) &lt;&gt; "0"</formula>
    </cfRule>
  </conditionalFormatting>
  <conditionalFormatting sqref="Q4">
    <cfRule type="expression" dxfId="140" priority="5">
      <formula>LEFT($A$4,1) &lt;&gt; "0"</formula>
    </cfRule>
  </conditionalFormatting>
  <conditionalFormatting sqref="R4:S4">
    <cfRule type="expression" dxfId="139" priority="4">
      <formula>LEFT($A$4,1) &lt;&gt; "0"</formula>
    </cfRule>
  </conditionalFormatting>
  <conditionalFormatting sqref="T4:U4">
    <cfRule type="expression" dxfId="138" priority="3">
      <formula>LEFT($A$4,1) &lt;&gt; "0"</formula>
    </cfRule>
  </conditionalFormatting>
  <conditionalFormatting sqref="V4:W4">
    <cfRule type="expression" dxfId="137" priority="2">
      <formula>LEFT($A$4,1) &lt;&gt; "0"</formula>
    </cfRule>
  </conditionalFormatting>
  <conditionalFormatting sqref="X4:Y4">
    <cfRule type="expression" dxfId="136" priority="1">
      <formula>LEFT($A$4,1) &lt;&gt; "0"</formula>
    </cfRule>
  </conditionalFormatting>
  <hyperlinks>
    <hyperlink ref="B5:F5" location="'Model map'!A1" display="Click here to return to model map" xr:uid="{00000000-0004-0000-1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6">
    <tabColor theme="4" tint="0.59999389629810485"/>
    <pageSetUpPr fitToPage="1"/>
  </sheetPr>
  <dimension ref="A1:LH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41" width="17" style="295" hidden="1" customWidth="1"/>
    <col min="42" max="42" width="3.5703125" style="295" hidden="1" customWidth="1"/>
    <col min="43" max="43" width="18.42578125" style="295" hidden="1" customWidth="1"/>
    <col min="44" max="44" width="4.42578125" style="295" hidden="1" customWidth="1"/>
    <col min="45" max="45" width="24.5703125" style="295" hidden="1" customWidth="1"/>
    <col min="46" max="46" width="3.5703125" style="295" hidden="1" customWidth="1"/>
    <col min="47" max="47" width="15.42578125" style="295" hidden="1" customWidth="1"/>
    <col min="48" max="320" width="24.5703125" style="295" hidden="1" customWidth="1"/>
    <col min="321" max="16384" width="8.85546875" style="295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Manweb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43" x14ac:dyDescent="0.25">
      <c r="A4" s="370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738</v>
      </c>
    </row>
    <row r="10" spans="1:43" x14ac:dyDescent="0.25">
      <c r="C10" s="82" t="s">
        <v>739</v>
      </c>
    </row>
    <row r="11" spans="1:43" x14ac:dyDescent="0.25">
      <c r="D11" s="96"/>
      <c r="AQ11" s="88"/>
    </row>
    <row r="12" spans="1:43" x14ac:dyDescent="0.25">
      <c r="B12" s="95" t="s">
        <v>776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control'!$H$34:$H$58,MATCH($A$1,'Version control'!$F$34:$F$58,0),1)&amp;"-A: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474</v>
      </c>
      <c r="G16" s="14" t="s">
        <v>74</v>
      </c>
      <c r="J16" s="274">
        <f>'Volume adjustments'!J103</f>
        <v>1415083.5554134548</v>
      </c>
      <c r="K16" s="274">
        <f>'Volume adjustments'!K103</f>
        <v>3359</v>
      </c>
      <c r="L16" s="274">
        <f>'Volume adjustments'!L103</f>
        <v>98405.398301340843</v>
      </c>
      <c r="M16" s="274">
        <f>'Volume adjustments'!M103</f>
        <v>996</v>
      </c>
      <c r="N16" s="274">
        <f>'Volume adjustments'!N103</f>
        <v>5405.7195277054234</v>
      </c>
      <c r="O16" s="274">
        <f>'Volume adjustments'!O103</f>
        <v>3075.3195705958001</v>
      </c>
      <c r="P16" s="274">
        <f>'Volume adjustments'!P103</f>
        <v>811.56243369202832</v>
      </c>
      <c r="Q16" s="274">
        <f>'Volume adjustments'!Q103</f>
        <v>609.10476413159176</v>
      </c>
      <c r="R16" s="274">
        <f>'Volume adjustments'!R103</f>
        <v>156</v>
      </c>
      <c r="S16" s="274">
        <f>'Volume adjustments'!S103</f>
        <v>24</v>
      </c>
      <c r="T16" s="274">
        <f>'Volume adjustments'!T103</f>
        <v>313</v>
      </c>
      <c r="U16" s="274">
        <f>'Volume adjustments'!U103</f>
        <v>0</v>
      </c>
      <c r="V16" s="274">
        <f>'Volume adjustments'!V103</f>
        <v>41</v>
      </c>
      <c r="W16" s="274">
        <f>'Volume adjustments'!W103</f>
        <v>0</v>
      </c>
      <c r="X16" s="274">
        <f>'Volume adjustments'!X103</f>
        <v>133</v>
      </c>
      <c r="Y16" s="274">
        <f>'Volume adjustments'!Y103</f>
        <v>0</v>
      </c>
    </row>
    <row r="17" spans="5:27" x14ac:dyDescent="0.25">
      <c r="E17" s="14" t="s">
        <v>730</v>
      </c>
      <c r="G17" s="14" t="s">
        <v>120</v>
      </c>
      <c r="J17" s="273">
        <f>'Volume adjustments'!J92</f>
        <v>4520568.1575197326</v>
      </c>
      <c r="K17" s="273">
        <f>'Volume adjustments'!K92</f>
        <v>11155.50505617532</v>
      </c>
      <c r="L17" s="273">
        <f>'Volume adjustments'!L92</f>
        <v>1689095.3958730022</v>
      </c>
      <c r="M17" s="273">
        <f>'Volume adjustments'!M92</f>
        <v>4796.2070036581363</v>
      </c>
      <c r="N17" s="273">
        <f>'Volume adjustments'!N92</f>
        <v>973414.54790740181</v>
      </c>
      <c r="O17" s="273">
        <f>'Volume adjustments'!O92</f>
        <v>1213921.9224039319</v>
      </c>
      <c r="P17" s="273">
        <f>'Volume adjustments'!P92</f>
        <v>1889938.2430600198</v>
      </c>
      <c r="Q17" s="273">
        <f>'Volume adjustments'!Q92</f>
        <v>155226.85473364659</v>
      </c>
      <c r="R17" s="273">
        <f>'Volume adjustments'!R92</f>
        <v>1148.8520383627235</v>
      </c>
      <c r="S17" s="273">
        <f>'Volume adjustments'!S92</f>
        <v>397.42354438839288</v>
      </c>
      <c r="T17" s="273">
        <f>'Volume adjustments'!T92</f>
        <v>56369.303763982702</v>
      </c>
      <c r="U17" s="273">
        <f>'Volume adjustments'!U92</f>
        <v>0</v>
      </c>
      <c r="V17" s="273">
        <f>'Volume adjustments'!V92</f>
        <v>15804.194473310825</v>
      </c>
      <c r="W17" s="273">
        <f>'Volume adjustments'!W92</f>
        <v>0</v>
      </c>
      <c r="X17" s="273">
        <f>'Volume adjustments'!X92</f>
        <v>390348.42616228963</v>
      </c>
      <c r="Y17" s="273">
        <f>'Volume adjustments'!Y92</f>
        <v>0</v>
      </c>
    </row>
    <row r="18" spans="5:27" x14ac:dyDescent="0.25"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</row>
    <row r="19" spans="5:27" x14ac:dyDescent="0.25">
      <c r="E19" s="86" t="s">
        <v>732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</row>
    <row r="20" spans="5:27" x14ac:dyDescent="0.25">
      <c r="E20" s="82" t="s">
        <v>731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3"/>
      <c r="V20" s="253"/>
      <c r="W20" s="253"/>
      <c r="X20" s="253"/>
      <c r="Y20" s="253"/>
    </row>
    <row r="21" spans="5:27" x14ac:dyDescent="0.25">
      <c r="E21" s="86"/>
      <c r="F21" s="91" t="s">
        <v>124</v>
      </c>
      <c r="G21" s="91" t="s">
        <v>610</v>
      </c>
      <c r="H21" s="141"/>
      <c r="I21" s="91"/>
      <c r="J21" s="273">
        <f>'Inputs by customer type'!J56</f>
        <v>377.70000000000005</v>
      </c>
      <c r="K21" s="273">
        <f>'Inputs by customer type'!K56</f>
        <v>0</v>
      </c>
      <c r="L21" s="273">
        <f>'Inputs by customer type'!L56</f>
        <v>508.75</v>
      </c>
      <c r="M21" s="273">
        <f>'Inputs by customer type'!M56</f>
        <v>0</v>
      </c>
      <c r="N21" s="273">
        <f>'Inputs by customer type'!N56</f>
        <v>2380</v>
      </c>
      <c r="O21" s="273">
        <f>'Inputs by customer type'!O56</f>
        <v>840</v>
      </c>
      <c r="P21" s="273">
        <f>'Inputs by customer type'!P56</f>
        <v>0</v>
      </c>
      <c r="Q21" s="239"/>
      <c r="R21" s="273">
        <f>'Inputs by customer type'!R56</f>
        <v>0</v>
      </c>
      <c r="S21" s="273">
        <f>'Inputs by customer type'!S56</f>
        <v>0</v>
      </c>
      <c r="T21" s="273">
        <f>'Inputs by customer type'!T56</f>
        <v>0</v>
      </c>
      <c r="U21" s="273">
        <f>'Inputs by customer type'!U56</f>
        <v>0</v>
      </c>
      <c r="V21" s="273">
        <f>'Inputs by customer type'!V56</f>
        <v>0</v>
      </c>
      <c r="W21" s="273">
        <f>'Inputs by customer type'!W56</f>
        <v>0</v>
      </c>
      <c r="X21" s="273">
        <f>'Inputs by customer type'!X56</f>
        <v>0</v>
      </c>
      <c r="Y21" s="273">
        <f>'Inputs by customer type'!Y56</f>
        <v>0</v>
      </c>
    </row>
    <row r="22" spans="5:27" x14ac:dyDescent="0.25">
      <c r="E22" s="86"/>
      <c r="F22" s="295" t="s">
        <v>123</v>
      </c>
      <c r="G22" s="295" t="s">
        <v>610</v>
      </c>
      <c r="H22" s="384"/>
      <c r="J22" s="274">
        <f>'Inputs by customer type'!J57</f>
        <v>0</v>
      </c>
      <c r="K22" s="274">
        <f>'Inputs by customer type'!K57</f>
        <v>0</v>
      </c>
      <c r="L22" s="274">
        <f>'Inputs by customer type'!L57</f>
        <v>0</v>
      </c>
      <c r="M22" s="274">
        <f>'Inputs by customer type'!M57</f>
        <v>0</v>
      </c>
      <c r="N22" s="274">
        <f>'Inputs by customer type'!N57</f>
        <v>0</v>
      </c>
      <c r="O22" s="274">
        <f>'Inputs by customer type'!O57</f>
        <v>0</v>
      </c>
      <c r="P22" s="274">
        <f>'Inputs by customer type'!P57</f>
        <v>12718.10554</v>
      </c>
      <c r="Q22" s="280"/>
      <c r="R22" s="274">
        <f>'Inputs by customer type'!R57</f>
        <v>0</v>
      </c>
      <c r="S22" s="274">
        <f>'Inputs by customer type'!S57</f>
        <v>0</v>
      </c>
      <c r="T22" s="274">
        <f>'Inputs by customer type'!T57</f>
        <v>0</v>
      </c>
      <c r="U22" s="274">
        <f>'Inputs by customer type'!U57</f>
        <v>0</v>
      </c>
      <c r="V22" s="274">
        <f>'Inputs by customer type'!V57</f>
        <v>0</v>
      </c>
      <c r="W22" s="274">
        <f>'Inputs by customer type'!W57</f>
        <v>0</v>
      </c>
      <c r="X22" s="274">
        <f>'Inputs by customer type'!X57</f>
        <v>9287</v>
      </c>
      <c r="Y22" s="274">
        <f>'Inputs by customer type'!Y57</f>
        <v>9287</v>
      </c>
    </row>
    <row r="23" spans="5:27" x14ac:dyDescent="0.25">
      <c r="E23" s="86"/>
      <c r="F23" s="93" t="s">
        <v>453</v>
      </c>
      <c r="G23" s="93" t="s">
        <v>328</v>
      </c>
      <c r="H23" s="93"/>
      <c r="I23" s="93"/>
      <c r="J23" s="436"/>
      <c r="K23" s="436"/>
      <c r="L23" s="436"/>
      <c r="M23" s="436"/>
      <c r="N23" s="436"/>
      <c r="O23" s="436"/>
      <c r="P23" s="436"/>
      <c r="Q23" s="435">
        <f>'Inputs by customer type'!Q59</f>
        <v>120.51</v>
      </c>
      <c r="R23" s="436"/>
      <c r="S23" s="436"/>
      <c r="T23" s="436"/>
      <c r="U23" s="436"/>
      <c r="V23" s="436"/>
      <c r="W23" s="436"/>
      <c r="X23" s="436"/>
      <c r="Y23" s="436"/>
    </row>
    <row r="24" spans="5:27" x14ac:dyDescent="0.25"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5:27" x14ac:dyDescent="0.25">
      <c r="E25" s="86" t="s">
        <v>733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5:27" x14ac:dyDescent="0.25">
      <c r="E26" s="82" t="s">
        <v>737</v>
      </c>
      <c r="I26" s="295" t="s">
        <v>431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3"/>
      <c r="V26" s="253"/>
      <c r="W26" s="253"/>
      <c r="X26" s="253"/>
      <c r="Y26" s="253"/>
      <c r="AA26" s="295" t="s">
        <v>1123</v>
      </c>
    </row>
    <row r="27" spans="5:27" x14ac:dyDescent="0.25">
      <c r="F27" s="91" t="s">
        <v>124</v>
      </c>
      <c r="G27" s="91" t="s">
        <v>107</v>
      </c>
      <c r="H27" s="74"/>
      <c r="I27" s="91"/>
      <c r="J27" s="268">
        <f t="shared" ref="J27:Y28" si="0">J21 * J$16</f>
        <v>534477058.87966192</v>
      </c>
      <c r="K27" s="268">
        <f t="shared" si="0"/>
        <v>0</v>
      </c>
      <c r="L27" s="268">
        <f t="shared" si="0"/>
        <v>50063746.385807157</v>
      </c>
      <c r="M27" s="268">
        <f t="shared" si="0"/>
        <v>0</v>
      </c>
      <c r="N27" s="268">
        <f t="shared" si="0"/>
        <v>12865612.475938907</v>
      </c>
      <c r="O27" s="268">
        <f t="shared" si="0"/>
        <v>2583268.4393004719</v>
      </c>
      <c r="P27" s="268">
        <f t="shared" si="0"/>
        <v>0</v>
      </c>
      <c r="Q27" s="268">
        <f t="shared" si="0"/>
        <v>0</v>
      </c>
      <c r="R27" s="268">
        <f t="shared" si="0"/>
        <v>0</v>
      </c>
      <c r="S27" s="268">
        <f t="shared" si="0"/>
        <v>0</v>
      </c>
      <c r="T27" s="268">
        <f t="shared" si="0"/>
        <v>0</v>
      </c>
      <c r="U27" s="268">
        <f t="shared" si="0"/>
        <v>0</v>
      </c>
      <c r="V27" s="268">
        <f t="shared" si="0"/>
        <v>0</v>
      </c>
      <c r="W27" s="268">
        <f t="shared" si="0"/>
        <v>0</v>
      </c>
      <c r="X27" s="268">
        <f t="shared" si="0"/>
        <v>0</v>
      </c>
      <c r="Y27" s="268">
        <f t="shared" si="0"/>
        <v>0</v>
      </c>
    </row>
    <row r="28" spans="5:27" x14ac:dyDescent="0.25">
      <c r="F28" s="295" t="s">
        <v>123</v>
      </c>
      <c r="G28" s="295" t="s">
        <v>107</v>
      </c>
      <c r="H28" s="90"/>
      <c r="J28" s="276">
        <f t="shared" si="0"/>
        <v>0</v>
      </c>
      <c r="K28" s="276">
        <f t="shared" si="0"/>
        <v>0</v>
      </c>
      <c r="L28" s="276">
        <f t="shared" si="0"/>
        <v>0</v>
      </c>
      <c r="M28" s="276">
        <f t="shared" si="0"/>
        <v>0</v>
      </c>
      <c r="N28" s="276">
        <f t="shared" si="0"/>
        <v>0</v>
      </c>
      <c r="O28" s="276">
        <f t="shared" si="0"/>
        <v>0</v>
      </c>
      <c r="P28" s="276">
        <f t="shared" si="0"/>
        <v>10321536.683994468</v>
      </c>
      <c r="Q28" s="276">
        <f t="shared" si="0"/>
        <v>0</v>
      </c>
      <c r="R28" s="276">
        <f t="shared" si="0"/>
        <v>0</v>
      </c>
      <c r="S28" s="276">
        <f t="shared" si="0"/>
        <v>0</v>
      </c>
      <c r="T28" s="276">
        <f t="shared" si="0"/>
        <v>0</v>
      </c>
      <c r="U28" s="276">
        <f t="shared" si="0"/>
        <v>0</v>
      </c>
      <c r="V28" s="276">
        <f t="shared" si="0"/>
        <v>0</v>
      </c>
      <c r="W28" s="276">
        <f t="shared" si="0"/>
        <v>0</v>
      </c>
      <c r="X28" s="276">
        <f t="shared" si="0"/>
        <v>1235171</v>
      </c>
      <c r="Y28" s="276">
        <f t="shared" si="0"/>
        <v>0</v>
      </c>
    </row>
    <row r="29" spans="5:27" x14ac:dyDescent="0.25">
      <c r="F29" s="93" t="s">
        <v>453</v>
      </c>
      <c r="G29" s="93" t="s">
        <v>107</v>
      </c>
      <c r="H29" s="187"/>
      <c r="I29" s="93"/>
      <c r="J29" s="436"/>
      <c r="K29" s="436"/>
      <c r="L29" s="436"/>
      <c r="M29" s="436"/>
      <c r="N29" s="436"/>
      <c r="O29" s="436"/>
      <c r="P29" s="436"/>
      <c r="Q29" s="271">
        <f t="shared" ref="Q29" si="1">Q23 * Q$17</f>
        <v>18706388.263951752</v>
      </c>
      <c r="R29" s="436"/>
      <c r="S29" s="436"/>
      <c r="T29" s="436"/>
      <c r="U29" s="436"/>
      <c r="V29" s="436"/>
      <c r="W29" s="436"/>
      <c r="X29" s="436"/>
      <c r="Y29" s="436"/>
    </row>
    <row r="30" spans="5:27" x14ac:dyDescent="0.25"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5:27" x14ac:dyDescent="0.25">
      <c r="E31" s="86" t="s">
        <v>867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5:27" x14ac:dyDescent="0.25">
      <c r="E32" s="82" t="s">
        <v>736</v>
      </c>
      <c r="H32" s="41" t="s">
        <v>272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</row>
    <row r="33" spans="2:43" x14ac:dyDescent="0.25">
      <c r="F33" s="91" t="s">
        <v>734</v>
      </c>
      <c r="G33" s="91" t="s">
        <v>107</v>
      </c>
      <c r="H33" s="255">
        <f>SUM(J33:Y33)</f>
        <v>618696074.44466019</v>
      </c>
      <c r="I33" s="91"/>
      <c r="J33" s="278">
        <f t="shared" ref="J33:Y33" si="2">J27 +J29</f>
        <v>534477058.87966192</v>
      </c>
      <c r="K33" s="278">
        <f t="shared" si="2"/>
        <v>0</v>
      </c>
      <c r="L33" s="278">
        <f t="shared" si="2"/>
        <v>50063746.385807157</v>
      </c>
      <c r="M33" s="278">
        <f t="shared" si="2"/>
        <v>0</v>
      </c>
      <c r="N33" s="278">
        <f t="shared" si="2"/>
        <v>12865612.475938907</v>
      </c>
      <c r="O33" s="278">
        <f t="shared" si="2"/>
        <v>2583268.4393004719</v>
      </c>
      <c r="P33" s="278">
        <f t="shared" si="2"/>
        <v>0</v>
      </c>
      <c r="Q33" s="278">
        <f t="shared" si="2"/>
        <v>18706388.263951752</v>
      </c>
      <c r="R33" s="278">
        <f t="shared" si="2"/>
        <v>0</v>
      </c>
      <c r="S33" s="278">
        <f t="shared" si="2"/>
        <v>0</v>
      </c>
      <c r="T33" s="278">
        <f t="shared" si="2"/>
        <v>0</v>
      </c>
      <c r="U33" s="278">
        <f t="shared" si="2"/>
        <v>0</v>
      </c>
      <c r="V33" s="278">
        <f t="shared" si="2"/>
        <v>0</v>
      </c>
      <c r="W33" s="278">
        <f t="shared" si="2"/>
        <v>0</v>
      </c>
      <c r="X33" s="278">
        <f t="shared" si="2"/>
        <v>0</v>
      </c>
      <c r="Y33" s="278">
        <f t="shared" si="2"/>
        <v>0</v>
      </c>
    </row>
    <row r="34" spans="2:43" x14ac:dyDescent="0.25">
      <c r="F34" s="93" t="s">
        <v>735</v>
      </c>
      <c r="G34" s="93" t="s">
        <v>107</v>
      </c>
      <c r="H34" s="259">
        <f>SUM(J34:Y34)</f>
        <v>11556707.683994468</v>
      </c>
      <c r="I34" s="93"/>
      <c r="J34" s="281">
        <f t="shared" ref="J34:Y34" si="3">J28</f>
        <v>0</v>
      </c>
      <c r="K34" s="281">
        <f t="shared" si="3"/>
        <v>0</v>
      </c>
      <c r="L34" s="281">
        <f t="shared" si="3"/>
        <v>0</v>
      </c>
      <c r="M34" s="281">
        <f t="shared" si="3"/>
        <v>0</v>
      </c>
      <c r="N34" s="281">
        <f t="shared" si="3"/>
        <v>0</v>
      </c>
      <c r="O34" s="281">
        <f t="shared" si="3"/>
        <v>0</v>
      </c>
      <c r="P34" s="281">
        <f t="shared" si="3"/>
        <v>10321536.683994468</v>
      </c>
      <c r="Q34" s="281">
        <f t="shared" si="3"/>
        <v>0</v>
      </c>
      <c r="R34" s="281">
        <f t="shared" si="3"/>
        <v>0</v>
      </c>
      <c r="S34" s="281">
        <f t="shared" si="3"/>
        <v>0</v>
      </c>
      <c r="T34" s="281">
        <f t="shared" si="3"/>
        <v>0</v>
      </c>
      <c r="U34" s="281">
        <f t="shared" si="3"/>
        <v>0</v>
      </c>
      <c r="V34" s="281">
        <f t="shared" si="3"/>
        <v>0</v>
      </c>
      <c r="W34" s="281">
        <f t="shared" si="3"/>
        <v>0</v>
      </c>
      <c r="X34" s="281">
        <f t="shared" si="3"/>
        <v>1235171</v>
      </c>
      <c r="Y34" s="281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5" t="s">
        <v>516</v>
      </c>
      <c r="G38" s="122" t="s">
        <v>692</v>
      </c>
      <c r="H38" s="152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H38">
    <cfRule type="cellIs" dxfId="135" priority="10" operator="greaterThan">
      <formula>0</formula>
    </cfRule>
  </conditionalFormatting>
  <conditionalFormatting sqref="A4:I4 Z4:XFD4">
    <cfRule type="expression" dxfId="134" priority="9">
      <formula>LEFT($A$4,1) &lt;&gt; "0"</formula>
    </cfRule>
  </conditionalFormatting>
  <conditionalFormatting sqref="N4:P4">
    <cfRule type="expression" dxfId="133" priority="8">
      <formula>LEFT($A$4,1) &lt;&gt; "0"</formula>
    </cfRule>
  </conditionalFormatting>
  <conditionalFormatting sqref="L4:M4">
    <cfRule type="expression" dxfId="132" priority="7">
      <formula>LEFT($A$4,1) &lt;&gt; "0"</formula>
    </cfRule>
  </conditionalFormatting>
  <conditionalFormatting sqref="J4:K4">
    <cfRule type="expression" dxfId="131" priority="6">
      <formula>LEFT($A$4,1) &lt;&gt; "0"</formula>
    </cfRule>
  </conditionalFormatting>
  <conditionalFormatting sqref="Q4">
    <cfRule type="expression" dxfId="130" priority="5">
      <formula>LEFT($A$4,1) &lt;&gt; "0"</formula>
    </cfRule>
  </conditionalFormatting>
  <conditionalFormatting sqref="R4:S4">
    <cfRule type="expression" dxfId="129" priority="4">
      <formula>LEFT($A$4,1) &lt;&gt; "0"</formula>
    </cfRule>
  </conditionalFormatting>
  <conditionalFormatting sqref="T4:U4">
    <cfRule type="expression" dxfId="128" priority="3">
      <formula>LEFT($A$4,1) &lt;&gt; "0"</formula>
    </cfRule>
  </conditionalFormatting>
  <conditionalFormatting sqref="V4:W4">
    <cfRule type="expression" dxfId="127" priority="2">
      <formula>LEFT($A$4,1) &lt;&gt; "0"</formula>
    </cfRule>
  </conditionalFormatting>
  <conditionalFormatting sqref="X4:Y4">
    <cfRule type="expression" dxfId="126" priority="1">
      <formula>LEFT($A$4,1) &lt;&gt; "0"</formula>
    </cfRule>
  </conditionalFormatting>
  <dataValidations count="2">
    <dataValidation type="textLength" operator="equal" allowBlank="1" showInputMessage="1" showErrorMessage="1" error="This cell is not in use." sqref="Y23 Y29" xr:uid="{00000000-0002-0000-1700-000000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16:Y17 J21:Y23" xr:uid="{00000000-0002-0000-1700-000001000000}">
      <formula1>0</formula1>
    </dataValidation>
  </dataValidations>
  <hyperlinks>
    <hyperlink ref="B5:F5" location="'Model map'!A1" display="Click here to return to model map" xr:uid="{00000000-0004-0000-1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7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1" width="17" style="295" customWidth="1"/>
    <col min="22" max="22" width="2.42578125" style="295" customWidth="1"/>
    <col min="23" max="23" width="50.5703125" style="295" customWidth="1"/>
    <col min="24" max="24" width="2.42578125" style="295" customWidth="1"/>
    <col min="25" max="42" width="17" style="295" hidden="1" customWidth="1"/>
    <col min="43" max="43" width="2.42578125" style="295" hidden="1" customWidth="1"/>
    <col min="44" max="44" width="18.42578125" style="295" hidden="1" customWidth="1"/>
    <col min="45" max="45" width="4.42578125" style="295" hidden="1" customWidth="1"/>
    <col min="46" max="266" width="24.5703125" style="295" hidden="1" customWidth="1"/>
    <col min="267" max="16384" width="8.85546875" style="295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Manweb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3" x14ac:dyDescent="0.25">
      <c r="A4" s="370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4"/>
      <c r="J5" s="8" t="s">
        <v>324</v>
      </c>
      <c r="K5" s="387" t="s">
        <v>43</v>
      </c>
      <c r="L5" s="387" t="s">
        <v>44</v>
      </c>
      <c r="M5" s="387" t="s">
        <v>45</v>
      </c>
      <c r="N5" s="387" t="s">
        <v>46</v>
      </c>
      <c r="O5" s="387" t="s">
        <v>47</v>
      </c>
      <c r="P5" s="387" t="s">
        <v>51</v>
      </c>
      <c r="Q5" s="387" t="s">
        <v>48</v>
      </c>
      <c r="R5" s="387" t="s">
        <v>49</v>
      </c>
      <c r="S5" s="387" t="s">
        <v>50</v>
      </c>
      <c r="T5" s="387" t="s">
        <v>124</v>
      </c>
      <c r="U5" s="387" t="s">
        <v>123</v>
      </c>
      <c r="W5" s="372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480</v>
      </c>
      <c r="D9" s="82"/>
    </row>
    <row r="10" spans="1:23" x14ac:dyDescent="0.25">
      <c r="C10" s="82" t="s">
        <v>1013</v>
      </c>
      <c r="D10" s="82"/>
    </row>
    <row r="11" spans="1:23" x14ac:dyDescent="0.25">
      <c r="C11" s="82"/>
      <c r="D11" s="82" t="s">
        <v>790</v>
      </c>
    </row>
    <row r="12" spans="1:23" x14ac:dyDescent="0.25">
      <c r="C12" s="82"/>
      <c r="D12" s="82" t="s">
        <v>430</v>
      </c>
    </row>
    <row r="13" spans="1:23" x14ac:dyDescent="0.25">
      <c r="C13" s="82" t="s">
        <v>826</v>
      </c>
      <c r="D13" s="82"/>
    </row>
    <row r="15" spans="1:23" x14ac:dyDescent="0.25">
      <c r="B15" s="95" t="s">
        <v>1017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1018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control'!$H$34:$H$58,MATCH($A$1,'Version control'!$F$34:$F$58,0),1)&amp;"-A: Financial data"</f>
        <v>Section 511-A: Financial data</v>
      </c>
      <c r="D19" s="7"/>
      <c r="E19" s="7"/>
      <c r="F19" s="7"/>
      <c r="G19" s="7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7"/>
      <c r="W19" s="228"/>
    </row>
    <row r="20" spans="3:25" x14ac:dyDescent="0.25">
      <c r="H20" s="88"/>
    </row>
    <row r="21" spans="3:25" x14ac:dyDescent="0.25">
      <c r="D21" s="82" t="s">
        <v>432</v>
      </c>
      <c r="I21" s="88" t="s">
        <v>431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804</v>
      </c>
    </row>
    <row r="22" spans="3:25" x14ac:dyDescent="0.25">
      <c r="D22" s="82"/>
    </row>
    <row r="23" spans="3:25" x14ac:dyDescent="0.25">
      <c r="D23" s="86"/>
      <c r="E23" s="14" t="s">
        <v>719</v>
      </c>
      <c r="G23" s="14" t="s">
        <v>94</v>
      </c>
      <c r="H23" s="388">
        <f>'General inputs'!H94</f>
        <v>3.6900000000000002E-2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404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5">
        <f>H23 / (1 - (1 + H23) ^ -H24)</f>
        <v>4.8216791977211342E-2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control'!$H$34:$H$58,MATCH($A$1,'Version control'!$F$34:$F$58,0),1)&amp;"-B: Diversity and loss adjustment factors"</f>
        <v>Section 511-B: Diversity and loss adjustment factors</v>
      </c>
      <c r="D27" s="7"/>
      <c r="E27" s="7"/>
      <c r="F27" s="7"/>
      <c r="G27" s="7"/>
      <c r="H27" s="228"/>
      <c r="I27" s="228"/>
      <c r="J27" s="228"/>
      <c r="K27" s="228"/>
      <c r="L27" s="228"/>
      <c r="M27" s="228"/>
      <c r="N27" s="228"/>
      <c r="O27" s="228"/>
      <c r="P27" s="228"/>
      <c r="Q27" s="228"/>
      <c r="R27" s="228"/>
      <c r="S27" s="228"/>
      <c r="T27" s="228"/>
      <c r="U27" s="228"/>
      <c r="V27" s="7"/>
      <c r="W27" s="228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436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5" t="s">
        <v>645</v>
      </c>
      <c r="F31" s="390"/>
      <c r="G31" s="14" t="s">
        <v>99</v>
      </c>
      <c r="H31" s="88"/>
      <c r="I31" s="88"/>
      <c r="J31" s="280"/>
      <c r="K31" s="274">
        <f>'Load &amp; loss characteristics'!K29</f>
        <v>1</v>
      </c>
      <c r="L31" s="274">
        <f>'Load &amp; loss characteristics'!L29</f>
        <v>1.0049999999999999</v>
      </c>
      <c r="M31" s="274">
        <f>'Load &amp; loss characteristics'!M29</f>
        <v>1.012</v>
      </c>
      <c r="N31" s="274">
        <f>'Load &amp; loss characteristics'!N29</f>
        <v>1.018</v>
      </c>
      <c r="O31" s="274">
        <f>'Load &amp; loss characteristics'!O29</f>
        <v>1.0269999999999999</v>
      </c>
      <c r="P31" s="274">
        <f>'Load &amp; loss characteristics'!P29</f>
        <v>1.0269999999999999</v>
      </c>
      <c r="Q31" s="274">
        <f>'Load &amp; loss characteristics'!Q29</f>
        <v>1.038</v>
      </c>
      <c r="R31" s="274">
        <f>'Load &amp; loss characteristics'!R29</f>
        <v>1.06</v>
      </c>
      <c r="S31" s="274">
        <f>'Load &amp; loss characteristics'!S29</f>
        <v>1.1120000000000001</v>
      </c>
      <c r="T31" s="280"/>
      <c r="U31" s="280"/>
    </row>
    <row r="32" spans="3:25" x14ac:dyDescent="0.25">
      <c r="E32" s="295" t="s">
        <v>152</v>
      </c>
      <c r="F32" s="406"/>
      <c r="G32" s="14" t="s">
        <v>94</v>
      </c>
      <c r="H32" s="88"/>
      <c r="I32" s="88"/>
      <c r="J32" s="407"/>
      <c r="K32" s="408">
        <f>'Load &amp; loss characteristics'!$K$23</f>
        <v>2.4999999999999911E-2</v>
      </c>
      <c r="L32" s="409"/>
      <c r="M32" s="409"/>
      <c r="N32" s="409"/>
      <c r="O32" s="409"/>
      <c r="P32" s="407"/>
      <c r="Q32" s="409"/>
      <c r="R32" s="409"/>
      <c r="S32" s="409"/>
      <c r="T32" s="407"/>
      <c r="U32" s="407"/>
      <c r="Y32" s="3"/>
    </row>
    <row r="33" spans="3:23" x14ac:dyDescent="0.25">
      <c r="E33" s="295" t="s">
        <v>151</v>
      </c>
      <c r="F33" s="390"/>
      <c r="G33" s="14" t="s">
        <v>94</v>
      </c>
      <c r="H33" s="88"/>
      <c r="I33" s="88"/>
      <c r="J33" s="374"/>
      <c r="K33" s="405">
        <f xml:space="preserve"> 1 / (1 + K32)</f>
        <v>0.97560975609756106</v>
      </c>
      <c r="L33" s="409"/>
      <c r="M33" s="409"/>
      <c r="N33" s="409"/>
      <c r="O33" s="409"/>
      <c r="P33" s="409"/>
      <c r="Q33" s="409"/>
      <c r="R33" s="409"/>
      <c r="S33" s="409"/>
      <c r="T33" s="407"/>
      <c r="U33" s="407"/>
      <c r="W33" s="88"/>
    </row>
    <row r="34" spans="3:23" x14ac:dyDescent="0.25">
      <c r="F34" s="390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control'!$H$34:$H$58,MATCH($A$1,'Version control'!$F$34:$F$58,0),1)&amp;"-C: Maximum demand"</f>
        <v>Section 511-C: Maximum demand</v>
      </c>
      <c r="D35" s="7"/>
      <c r="E35" s="7"/>
      <c r="F35" s="7"/>
      <c r="G35" s="7"/>
      <c r="H35" s="228"/>
      <c r="I35" s="228"/>
      <c r="J35" s="228"/>
      <c r="K35" s="228"/>
      <c r="L35" s="228"/>
      <c r="M35" s="228"/>
      <c r="N35" s="228"/>
      <c r="O35" s="228"/>
      <c r="P35" s="228"/>
      <c r="Q35" s="228"/>
      <c r="R35" s="228"/>
      <c r="S35" s="228"/>
      <c r="T35" s="228"/>
      <c r="U35" s="228"/>
      <c r="V35" s="7"/>
      <c r="W35" s="228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1019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5" t="s">
        <v>101</v>
      </c>
      <c r="F39" s="390"/>
      <c r="G39" s="14" t="s">
        <v>102</v>
      </c>
      <c r="H39" s="274">
        <f>'Fixed inputs'!H41</f>
        <v>500</v>
      </c>
      <c r="I39" s="88"/>
      <c r="J39" s="280"/>
      <c r="K39" s="280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W39" s="88"/>
    </row>
    <row r="40" spans="3:23" x14ac:dyDescent="0.25">
      <c r="E40" s="295" t="s">
        <v>103</v>
      </c>
      <c r="F40" s="390"/>
      <c r="G40" s="14" t="s">
        <v>102</v>
      </c>
      <c r="H40" s="88"/>
      <c r="I40" s="88" t="s">
        <v>431</v>
      </c>
      <c r="J40" s="280"/>
      <c r="K40" s="410">
        <f t="shared" ref="K40:S40" si="0">$H$39 * $K$33 / K31</f>
        <v>487.80487804878055</v>
      </c>
      <c r="L40" s="410">
        <f t="shared" si="0"/>
        <v>485.37798810823938</v>
      </c>
      <c r="M40" s="410">
        <f t="shared" si="0"/>
        <v>482.02063048298476</v>
      </c>
      <c r="N40" s="410">
        <f t="shared" si="0"/>
        <v>479.17964444870387</v>
      </c>
      <c r="O40" s="410">
        <f t="shared" si="0"/>
        <v>474.98040705820893</v>
      </c>
      <c r="P40" s="410">
        <f t="shared" si="0"/>
        <v>474.98040705820893</v>
      </c>
      <c r="Q40" s="410">
        <f t="shared" si="0"/>
        <v>469.94689600075196</v>
      </c>
      <c r="R40" s="410">
        <f t="shared" si="0"/>
        <v>460.19328117809482</v>
      </c>
      <c r="S40" s="410">
        <f t="shared" si="0"/>
        <v>438.6734514827163</v>
      </c>
      <c r="T40" s="280"/>
      <c r="U40" s="280"/>
      <c r="W40" s="88" t="s">
        <v>827</v>
      </c>
    </row>
    <row r="41" spans="3:23" x14ac:dyDescent="0.25">
      <c r="F41" s="390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control'!$H$34:$H$58,MATCH($A$1,'Version control'!$F$34:$F$58,0),1)&amp;"-D: Rerouting matrix"</f>
        <v>Section 511-D: Rerouting matrix</v>
      </c>
      <c r="D42" s="7"/>
      <c r="E42" s="7"/>
      <c r="F42" s="7"/>
      <c r="G42" s="7"/>
      <c r="H42" s="228"/>
      <c r="I42" s="228"/>
      <c r="J42" s="228"/>
      <c r="K42" s="228"/>
      <c r="L42" s="228"/>
      <c r="M42" s="228"/>
      <c r="N42" s="228"/>
      <c r="O42" s="228"/>
      <c r="P42" s="228"/>
      <c r="Q42" s="228"/>
      <c r="R42" s="228"/>
      <c r="S42" s="228"/>
      <c r="T42" s="228"/>
      <c r="U42" s="228"/>
      <c r="V42" s="7"/>
      <c r="W42" s="228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517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642</v>
      </c>
      <c r="G46" s="14" t="s">
        <v>94</v>
      </c>
      <c r="H46" s="88"/>
      <c r="I46" s="88"/>
      <c r="J46" s="409"/>
      <c r="K46" s="409"/>
      <c r="L46" s="409"/>
      <c r="M46" s="409"/>
      <c r="N46" s="409"/>
      <c r="O46" s="409"/>
      <c r="P46" s="408">
        <f>'Inputs by network level'!P20</f>
        <v>0</v>
      </c>
      <c r="Q46" s="409"/>
      <c r="R46" s="409"/>
      <c r="S46" s="409"/>
      <c r="T46" s="409"/>
      <c r="U46" s="409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09"/>
      <c r="K47" s="409"/>
      <c r="L47" s="409"/>
      <c r="M47" s="405">
        <f>IF(M46 = "", 1 - $P$46, M46)</f>
        <v>1</v>
      </c>
      <c r="N47" s="405">
        <f>IF(N46 = "", 1 - $P$46, N46)</f>
        <v>1</v>
      </c>
      <c r="O47" s="405">
        <f>IF(O46 = "", 1 - $P$46, O46)</f>
        <v>1</v>
      </c>
      <c r="P47" s="405">
        <f>IF(P46 = "", 1 - $P$46, P46)</f>
        <v>0</v>
      </c>
      <c r="Q47" s="409"/>
      <c r="R47" s="409"/>
      <c r="S47" s="409"/>
      <c r="T47" s="409"/>
      <c r="U47" s="409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80"/>
      <c r="K48" s="276">
        <f t="shared" ref="K48:S48" si="1">IF(K47 = "", K40, K47 * K40)</f>
        <v>487.80487804878055</v>
      </c>
      <c r="L48" s="276">
        <f t="shared" si="1"/>
        <v>485.37798810823938</v>
      </c>
      <c r="M48" s="276">
        <f t="shared" si="1"/>
        <v>482.02063048298476</v>
      </c>
      <c r="N48" s="276">
        <f t="shared" si="1"/>
        <v>479.17964444870387</v>
      </c>
      <c r="O48" s="276">
        <f t="shared" si="1"/>
        <v>474.98040705820893</v>
      </c>
      <c r="P48" s="276">
        <f t="shared" si="1"/>
        <v>0</v>
      </c>
      <c r="Q48" s="276">
        <f t="shared" si="1"/>
        <v>469.94689600075196</v>
      </c>
      <c r="R48" s="276">
        <f t="shared" si="1"/>
        <v>460.19328117809482</v>
      </c>
      <c r="S48" s="276">
        <f t="shared" si="1"/>
        <v>438.6734514827163</v>
      </c>
      <c r="T48" s="280"/>
      <c r="U48" s="280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control'!$H$34:$H$58,MATCH($A$1,'Version control'!$F$34:$F$58,0),1)&amp;"-E: Annuitised cost of assets"</f>
        <v>Section 511-E: Annuitised cost of assets</v>
      </c>
      <c r="D50" s="7"/>
      <c r="E50" s="7"/>
      <c r="F50" s="7"/>
      <c r="G50" s="7"/>
      <c r="H50" s="228"/>
      <c r="I50" s="228"/>
      <c r="J50" s="228"/>
      <c r="K50" s="228"/>
      <c r="L50" s="228"/>
      <c r="M50" s="228"/>
      <c r="N50" s="228"/>
      <c r="O50" s="228"/>
      <c r="P50" s="228"/>
      <c r="Q50" s="228"/>
      <c r="R50" s="228"/>
      <c r="S50" s="228"/>
      <c r="T50" s="228"/>
      <c r="U50" s="228"/>
      <c r="V50" s="7"/>
      <c r="W50" s="228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11"/>
    </row>
    <row r="52" spans="2:23" x14ac:dyDescent="0.25">
      <c r="D52" s="82" t="s">
        <v>1020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11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11"/>
    </row>
    <row r="54" spans="2:23" x14ac:dyDescent="0.25">
      <c r="E54" s="295" t="s">
        <v>106</v>
      </c>
      <c r="F54" s="406"/>
      <c r="G54" s="14" t="s">
        <v>107</v>
      </c>
      <c r="H54" s="88"/>
      <c r="I54" s="88"/>
      <c r="J54" s="280"/>
      <c r="K54" s="280"/>
      <c r="L54" s="274">
        <f>'Inputs by network level'!L36</f>
        <v>176579243.66605631</v>
      </c>
      <c r="M54" s="274">
        <f>'Inputs by network level'!M36</f>
        <v>14804761.569380201</v>
      </c>
      <c r="N54" s="274">
        <f>'Inputs by network level'!N36</f>
        <v>151137440.56071511</v>
      </c>
      <c r="O54" s="274">
        <f>'Inputs by network level'!O36</f>
        <v>25102344.612437621</v>
      </c>
      <c r="P54" s="274">
        <f>'Inputs by network level'!P36</f>
        <v>0</v>
      </c>
      <c r="Q54" s="274">
        <f>'Inputs by network level'!Q36</f>
        <v>206026699.02858776</v>
      </c>
      <c r="R54" s="274">
        <f>'Inputs by network level'!R36</f>
        <v>80581703.717901006</v>
      </c>
      <c r="S54" s="274">
        <f>'Inputs by network level'!S36</f>
        <v>49341750.299323045</v>
      </c>
      <c r="T54" s="280"/>
      <c r="U54" s="280"/>
      <c r="W54" s="88"/>
    </row>
    <row r="55" spans="2:23" x14ac:dyDescent="0.25">
      <c r="E55" s="295" t="s">
        <v>125</v>
      </c>
      <c r="F55" s="406"/>
      <c r="G55" s="14" t="s">
        <v>1021</v>
      </c>
      <c r="H55" s="88"/>
      <c r="I55" s="88"/>
      <c r="J55" s="280"/>
      <c r="K55" s="280"/>
      <c r="L55" s="276">
        <f t="shared" ref="L55:S55" si="2">IF(L48 = 0, 0, L54 / (L48 * thousand))</f>
        <v>363.79738676299246</v>
      </c>
      <c r="M55" s="276">
        <f t="shared" si="2"/>
        <v>30.713958351836158</v>
      </c>
      <c r="N55" s="276">
        <f t="shared" si="2"/>
        <v>315.40872470615636</v>
      </c>
      <c r="O55" s="276">
        <f t="shared" si="2"/>
        <v>52.849221229795532</v>
      </c>
      <c r="P55" s="276">
        <f t="shared" si="2"/>
        <v>0</v>
      </c>
      <c r="Q55" s="276">
        <f t="shared" si="2"/>
        <v>438.4042128629319</v>
      </c>
      <c r="R55" s="276">
        <f t="shared" si="2"/>
        <v>175.1040421789989</v>
      </c>
      <c r="S55" s="276">
        <f t="shared" si="2"/>
        <v>112.47945398233681</v>
      </c>
      <c r="T55" s="280"/>
      <c r="U55" s="280"/>
      <c r="W55" s="88"/>
    </row>
    <row r="56" spans="2:23" x14ac:dyDescent="0.25">
      <c r="E56" s="295" t="s">
        <v>126</v>
      </c>
      <c r="F56" s="406"/>
      <c r="G56" s="14" t="s">
        <v>108</v>
      </c>
      <c r="H56" s="88"/>
      <c r="I56" s="88" t="s">
        <v>431</v>
      </c>
      <c r="J56" s="280"/>
      <c r="K56" s="280"/>
      <c r="L56" s="276">
        <f t="shared" ref="L56:S56" si="3">L55 * $H$25</f>
        <v>17.541142919404308</v>
      </c>
      <c r="M56" s="276">
        <f t="shared" si="3"/>
        <v>1.480928540647217</v>
      </c>
      <c r="N56" s="276">
        <f t="shared" si="3"/>
        <v>15.207996866954261</v>
      </c>
      <c r="O56" s="276">
        <f t="shared" si="3"/>
        <v>2.5482199061946726</v>
      </c>
      <c r="P56" s="276">
        <f t="shared" si="3"/>
        <v>0</v>
      </c>
      <c r="Q56" s="276">
        <f t="shared" si="3"/>
        <v>21.138444733545068</v>
      </c>
      <c r="R56" s="276">
        <f t="shared" si="3"/>
        <v>8.4429551761136299</v>
      </c>
      <c r="S56" s="276">
        <f t="shared" si="3"/>
        <v>5.4233984343766499</v>
      </c>
      <c r="T56" s="280"/>
      <c r="U56" s="280"/>
      <c r="W56" s="88" t="s">
        <v>828</v>
      </c>
    </row>
    <row r="57" spans="2:23" x14ac:dyDescent="0.25">
      <c r="H57" s="88"/>
      <c r="I57" s="88"/>
      <c r="J57" s="277"/>
      <c r="K57" s="277"/>
      <c r="L57" s="277"/>
      <c r="M57" s="277"/>
      <c r="N57" s="277"/>
      <c r="O57" s="277"/>
      <c r="P57" s="277"/>
      <c r="Q57" s="277"/>
      <c r="R57" s="277"/>
      <c r="S57" s="277"/>
      <c r="T57" s="277"/>
      <c r="U57" s="277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2"/>
      <c r="K58" s="282"/>
      <c r="L58" s="282"/>
      <c r="M58" s="282"/>
      <c r="N58" s="282"/>
      <c r="O58" s="282"/>
      <c r="P58" s="282"/>
      <c r="Q58" s="282"/>
      <c r="R58" s="282"/>
      <c r="S58" s="282"/>
      <c r="T58" s="282"/>
      <c r="U58" s="282"/>
      <c r="V58" s="95"/>
      <c r="W58" s="95"/>
    </row>
    <row r="59" spans="2:23" x14ac:dyDescent="0.25"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</row>
    <row r="60" spans="2:23" x14ac:dyDescent="0.25">
      <c r="C60" s="82" t="s">
        <v>245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  <c r="U60" s="253"/>
    </row>
    <row r="61" spans="2:23" x14ac:dyDescent="0.25"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</row>
    <row r="62" spans="2:23" x14ac:dyDescent="0.25">
      <c r="C62" s="7" t="str">
        <f ca="1">INDEX('Version control'!$H$34:$H$58,MATCH($A$1,'Version control'!$F$34:$F$58,0),1)&amp;"-F: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8"/>
      <c r="I62" s="228"/>
      <c r="J62" s="283"/>
      <c r="K62" s="283"/>
      <c r="L62" s="283"/>
      <c r="M62" s="283"/>
      <c r="N62" s="283"/>
      <c r="O62" s="283"/>
      <c r="P62" s="283"/>
      <c r="Q62" s="283"/>
      <c r="R62" s="283"/>
      <c r="S62" s="283"/>
      <c r="T62" s="283"/>
      <c r="U62" s="283"/>
      <c r="V62" s="7"/>
      <c r="W62" s="228"/>
    </row>
    <row r="63" spans="2:23" x14ac:dyDescent="0.25">
      <c r="D63" s="96"/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  <c r="U63" s="253"/>
    </row>
    <row r="64" spans="2:23" x14ac:dyDescent="0.25">
      <c r="E64" s="295" t="s">
        <v>112</v>
      </c>
      <c r="G64" s="295" t="s">
        <v>102</v>
      </c>
      <c r="J64" s="280"/>
      <c r="K64" s="274">
        <f t="array" ref="K64:S64">TRANSPOSE('System peak demand'!H269:H277)</f>
        <v>1950.5623167353501</v>
      </c>
      <c r="L64" s="274">
        <v>1940.8580266023384</v>
      </c>
      <c r="M64" s="274">
        <v>1902.0492855739521</v>
      </c>
      <c r="N64" s="274">
        <v>1933.0043209254868</v>
      </c>
      <c r="O64" s="274">
        <v>2100.0496707566986</v>
      </c>
      <c r="P64" s="274">
        <v>0</v>
      </c>
      <c r="Q64" s="274">
        <v>2233.3092365440975</v>
      </c>
      <c r="R64" s="274">
        <v>1955.5528444984977</v>
      </c>
      <c r="S64" s="274">
        <v>1385.4776382438622</v>
      </c>
      <c r="T64" s="280"/>
      <c r="U64" s="280"/>
    </row>
    <row r="65" spans="3:24" x14ac:dyDescent="0.25">
      <c r="E65" s="14" t="s">
        <v>647</v>
      </c>
      <c r="F65" s="14"/>
      <c r="G65" s="14" t="s">
        <v>102</v>
      </c>
      <c r="H65" s="386"/>
      <c r="J65" s="276">
        <f>K64</f>
        <v>1950.5623167353501</v>
      </c>
      <c r="K65" s="280"/>
      <c r="L65" s="280"/>
      <c r="M65" s="280"/>
      <c r="N65" s="280"/>
      <c r="O65" s="280"/>
      <c r="P65" s="280"/>
      <c r="Q65" s="280"/>
      <c r="R65" s="280"/>
      <c r="S65" s="280"/>
      <c r="T65" s="280"/>
      <c r="U65" s="280"/>
      <c r="W65" s="90"/>
      <c r="X65" s="90"/>
    </row>
    <row r="66" spans="3:24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X66" s="90"/>
    </row>
    <row r="67" spans="3:24" x14ac:dyDescent="0.25">
      <c r="E67" s="14" t="s">
        <v>112</v>
      </c>
      <c r="F67" s="14"/>
      <c r="G67" s="14" t="s">
        <v>113</v>
      </c>
      <c r="H67" s="386"/>
      <c r="J67" s="276">
        <f t="shared" ref="J67:S67" si="4">SUM(J64:J65) * thousand</f>
        <v>1950562.3167353501</v>
      </c>
      <c r="K67" s="276">
        <f t="shared" si="4"/>
        <v>1950562.3167353501</v>
      </c>
      <c r="L67" s="276">
        <f t="shared" si="4"/>
        <v>1940858.0266023385</v>
      </c>
      <c r="M67" s="276">
        <f t="shared" si="4"/>
        <v>1902049.2855739521</v>
      </c>
      <c r="N67" s="276">
        <f t="shared" si="4"/>
        <v>1933004.3209254867</v>
      </c>
      <c r="O67" s="276">
        <f t="shared" si="4"/>
        <v>2100049.6707566986</v>
      </c>
      <c r="P67" s="276">
        <f t="shared" si="4"/>
        <v>0</v>
      </c>
      <c r="Q67" s="276">
        <f t="shared" si="4"/>
        <v>2233309.2365440973</v>
      </c>
      <c r="R67" s="276">
        <f t="shared" si="4"/>
        <v>1955552.8444984977</v>
      </c>
      <c r="S67" s="276">
        <f t="shared" si="4"/>
        <v>1385477.6382438622</v>
      </c>
      <c r="T67" s="280"/>
      <c r="U67" s="280"/>
      <c r="W67" s="90"/>
      <c r="X67" s="90"/>
    </row>
    <row r="68" spans="3:24" x14ac:dyDescent="0.25"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</row>
    <row r="69" spans="3:24" x14ac:dyDescent="0.25">
      <c r="C69" s="7" t="str">
        <f ca="1">INDEX('Version control'!$H$34:$H$58,MATCH($A$1,'Version control'!$F$34:$F$58,0),1)&amp;"-G: Notional asset values, by network level"</f>
        <v>Section 511-G: Notional asset values, by network level</v>
      </c>
      <c r="D69" s="7"/>
      <c r="E69" s="7"/>
      <c r="F69" s="7"/>
      <c r="G69" s="7"/>
      <c r="H69" s="228"/>
      <c r="I69" s="228"/>
      <c r="J69" s="283"/>
      <c r="K69" s="283"/>
      <c r="L69" s="283"/>
      <c r="M69" s="283"/>
      <c r="N69" s="283"/>
      <c r="O69" s="283"/>
      <c r="P69" s="283"/>
      <c r="Q69" s="283"/>
      <c r="R69" s="283"/>
      <c r="S69" s="283"/>
      <c r="T69" s="283"/>
      <c r="U69" s="283"/>
      <c r="V69" s="7"/>
      <c r="W69" s="228"/>
    </row>
    <row r="70" spans="3:24" x14ac:dyDescent="0.25">
      <c r="E70" s="96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X70" s="90"/>
    </row>
    <row r="71" spans="3:24" x14ac:dyDescent="0.25">
      <c r="D71" s="82" t="s">
        <v>909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  <c r="U71" s="253"/>
      <c r="X71" s="90"/>
    </row>
    <row r="72" spans="3:24" x14ac:dyDescent="0.25">
      <c r="D72" s="82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X72" s="90"/>
    </row>
    <row r="73" spans="3:24" x14ac:dyDescent="0.25">
      <c r="E73" s="14" t="s">
        <v>114</v>
      </c>
      <c r="F73" s="14"/>
      <c r="G73" s="14" t="s">
        <v>107</v>
      </c>
      <c r="J73" s="280"/>
      <c r="K73" s="280"/>
      <c r="L73" s="276">
        <f t="shared" ref="L73:S73" si="5">L67 * L55</f>
        <v>706079078.1559093</v>
      </c>
      <c r="M73" s="276">
        <f t="shared" si="5"/>
        <v>58419462.540258087</v>
      </c>
      <c r="N73" s="276">
        <f t="shared" si="5"/>
        <v>609686427.71459758</v>
      </c>
      <c r="O73" s="276">
        <f t="shared" si="5"/>
        <v>110985989.64338003</v>
      </c>
      <c r="P73" s="276">
        <f t="shared" si="5"/>
        <v>0</v>
      </c>
      <c r="Q73" s="276">
        <f t="shared" si="5"/>
        <v>979092177.92663038</v>
      </c>
      <c r="R73" s="276">
        <f t="shared" si="5"/>
        <v>342425207.76632619</v>
      </c>
      <c r="S73" s="276">
        <f t="shared" si="5"/>
        <v>155837768.25440717</v>
      </c>
      <c r="T73" s="280"/>
      <c r="U73" s="280"/>
      <c r="X73" s="90"/>
    </row>
    <row r="74" spans="3:24" x14ac:dyDescent="0.25">
      <c r="E74" s="14" t="s">
        <v>122</v>
      </c>
      <c r="F74" s="14"/>
      <c r="G74" s="14" t="s">
        <v>107</v>
      </c>
      <c r="J74" s="280"/>
      <c r="K74" s="280"/>
      <c r="L74" s="280"/>
      <c r="M74" s="280"/>
      <c r="N74" s="280"/>
      <c r="O74" s="280"/>
      <c r="P74" s="280"/>
      <c r="Q74" s="280"/>
      <c r="R74" s="280"/>
      <c r="S74" s="280"/>
      <c r="T74" s="274">
        <f>'Service model assets'!H33</f>
        <v>618696074.44466019</v>
      </c>
      <c r="U74" s="274">
        <f>'Service model assets'!H34</f>
        <v>11556707.683994468</v>
      </c>
      <c r="X74" s="90"/>
    </row>
    <row r="75" spans="3:24" x14ac:dyDescent="0.25"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  <c r="U75" s="253"/>
      <c r="X75" s="90"/>
    </row>
    <row r="76" spans="3:24" x14ac:dyDescent="0.25">
      <c r="E76" s="14" t="s">
        <v>115</v>
      </c>
      <c r="F76" s="14"/>
      <c r="G76" s="14" t="s">
        <v>107</v>
      </c>
      <c r="I76" s="295" t="s">
        <v>431</v>
      </c>
      <c r="J76" s="280"/>
      <c r="K76" s="276">
        <f t="shared" ref="K76:U76" si="6">K73 + K74</f>
        <v>0</v>
      </c>
      <c r="L76" s="276">
        <f t="shared" si="6"/>
        <v>706079078.1559093</v>
      </c>
      <c r="M76" s="276">
        <f t="shared" si="6"/>
        <v>58419462.540258087</v>
      </c>
      <c r="N76" s="276">
        <f t="shared" si="6"/>
        <v>609686427.71459758</v>
      </c>
      <c r="O76" s="276">
        <f t="shared" si="6"/>
        <v>110985989.64338003</v>
      </c>
      <c r="P76" s="276">
        <f t="shared" si="6"/>
        <v>0</v>
      </c>
      <c r="Q76" s="276">
        <f t="shared" si="6"/>
        <v>979092177.92663038</v>
      </c>
      <c r="R76" s="276">
        <f t="shared" si="6"/>
        <v>342425207.76632619</v>
      </c>
      <c r="S76" s="276">
        <f t="shared" si="6"/>
        <v>155837768.25440717</v>
      </c>
      <c r="T76" s="276">
        <f t="shared" si="6"/>
        <v>618696074.44466019</v>
      </c>
      <c r="U76" s="276">
        <f t="shared" si="6"/>
        <v>11556707.683994468</v>
      </c>
      <c r="W76" s="88" t="s">
        <v>829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09"/>
      <c r="K78" s="395">
        <f t="shared" ref="K78:U78" si="7">K76 / SUM($K$76:$U$76)</f>
        <v>0</v>
      </c>
      <c r="L78" s="395">
        <f t="shared" si="7"/>
        <v>0.19652728402226266</v>
      </c>
      <c r="M78" s="395">
        <f t="shared" si="7"/>
        <v>1.6260244301619303E-2</v>
      </c>
      <c r="N78" s="395">
        <f t="shared" si="7"/>
        <v>0.16969773138856264</v>
      </c>
      <c r="O78" s="395">
        <f t="shared" si="7"/>
        <v>3.089140548690807E-2</v>
      </c>
      <c r="P78" s="395">
        <f t="shared" si="7"/>
        <v>0</v>
      </c>
      <c r="Q78" s="395">
        <f t="shared" si="7"/>
        <v>0.27251668047990896</v>
      </c>
      <c r="R78" s="395">
        <f t="shared" si="7"/>
        <v>9.530929062341581E-2</v>
      </c>
      <c r="S78" s="395">
        <f t="shared" si="7"/>
        <v>4.3375273805191003E-2</v>
      </c>
      <c r="T78" s="395">
        <f t="shared" si="7"/>
        <v>0.17220544115739436</v>
      </c>
      <c r="U78" s="395">
        <f t="shared" si="7"/>
        <v>3.2166487347372453E-3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control'!$H$34:$H$58,MATCH($A$1,'Version control'!$F$34:$F$58,0),1)&amp;"-H: Other operating costs"</f>
        <v>Section 511-H: Other operating costs</v>
      </c>
      <c r="D80" s="7"/>
      <c r="E80" s="7"/>
      <c r="F80" s="7"/>
      <c r="G80" s="7"/>
      <c r="H80" s="228"/>
      <c r="I80" s="228"/>
      <c r="J80" s="228"/>
      <c r="K80" s="228"/>
      <c r="L80" s="228"/>
      <c r="M80" s="228"/>
      <c r="N80" s="228"/>
      <c r="O80" s="228"/>
      <c r="P80" s="228"/>
      <c r="Q80" s="228"/>
      <c r="R80" s="228"/>
      <c r="S80" s="228"/>
      <c r="T80" s="228"/>
      <c r="U80" s="228"/>
      <c r="V80" s="7"/>
      <c r="W80" s="228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433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606</v>
      </c>
      <c r="H86" s="274">
        <f>'General inputs'!H105</f>
        <v>27148683.067078464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606</v>
      </c>
      <c r="H87" s="274">
        <f>'General inputs'!H106</f>
        <v>65878403.730445035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606</v>
      </c>
      <c r="H88" s="274">
        <f>'General inputs'!H107</f>
        <v>25006389.855650973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4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606</v>
      </c>
      <c r="H90" s="276">
        <f>H86 + H87 * H84 + H88</f>
        <v>91682115.160996452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control'!$H$34:$H$58,MATCH($A$1,'Version control'!$F$34:$F$58,0),1)&amp;"-I: Other operating costs by network level"</f>
        <v>Section 511-I: Other operating costs by network level</v>
      </c>
      <c r="D92" s="7"/>
      <c r="E92" s="7"/>
      <c r="F92" s="7"/>
      <c r="G92" s="7"/>
      <c r="H92" s="228"/>
      <c r="I92" s="228"/>
      <c r="J92" s="228"/>
      <c r="K92" s="228"/>
      <c r="L92" s="228"/>
      <c r="M92" s="228"/>
      <c r="N92" s="228"/>
      <c r="O92" s="228"/>
      <c r="P92" s="228"/>
      <c r="Q92" s="228"/>
      <c r="R92" s="228"/>
      <c r="S92" s="228"/>
      <c r="T92" s="228"/>
      <c r="U92" s="228"/>
      <c r="V92" s="7"/>
      <c r="W92" s="228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434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435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606</v>
      </c>
      <c r="I97" s="295" t="s">
        <v>431</v>
      </c>
      <c r="J97" s="280"/>
      <c r="K97" s="276">
        <f t="shared" ref="K97:U97" si="8">K78 * $H$90</f>
        <v>0</v>
      </c>
      <c r="L97" s="276">
        <f t="shared" si="8"/>
        <v>18018037.086006943</v>
      </c>
      <c r="M97" s="276">
        <f t="shared" si="8"/>
        <v>1490773.5906069973</v>
      </c>
      <c r="N97" s="276">
        <f t="shared" si="8"/>
        <v>15558246.951726044</v>
      </c>
      <c r="O97" s="276">
        <f t="shared" si="8"/>
        <v>2832189.3953357432</v>
      </c>
      <c r="P97" s="276">
        <f t="shared" si="8"/>
        <v>0</v>
      </c>
      <c r="Q97" s="276">
        <f t="shared" si="8"/>
        <v>24984905.683051486</v>
      </c>
      <c r="R97" s="276">
        <f t="shared" si="8"/>
        <v>8738157.3588488884</v>
      </c>
      <c r="S97" s="276">
        <f t="shared" si="8"/>
        <v>3976736.8481472745</v>
      </c>
      <c r="T97" s="276">
        <f t="shared" si="8"/>
        <v>15788159.087542428</v>
      </c>
      <c r="U97" s="276">
        <f t="shared" si="8"/>
        <v>294909.15973065363</v>
      </c>
      <c r="W97" s="88" t="s">
        <v>830</v>
      </c>
    </row>
    <row r="98" spans="2:23" x14ac:dyDescent="0.25">
      <c r="E98" s="14" t="s">
        <v>117</v>
      </c>
      <c r="F98" s="14"/>
      <c r="G98" s="14" t="s">
        <v>606</v>
      </c>
      <c r="H98" s="90"/>
      <c r="I98" s="90"/>
      <c r="J98" s="274">
        <f>'General inputs'!$H$100</f>
        <v>21063474.14219616</v>
      </c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</row>
    <row r="99" spans="2:23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</row>
    <row r="100" spans="2:23" x14ac:dyDescent="0.25">
      <c r="E100" s="14" t="s">
        <v>127</v>
      </c>
      <c r="F100" s="14"/>
      <c r="G100" s="14" t="s">
        <v>1022</v>
      </c>
      <c r="I100" s="295" t="s">
        <v>431</v>
      </c>
      <c r="J100" s="276">
        <f t="shared" ref="J100:S100" si="9">IF(J$67 = 0, 0, SUM(J97:J98) / J$67)</f>
        <v>10.798667625984915</v>
      </c>
      <c r="K100" s="276">
        <f t="shared" si="9"/>
        <v>0</v>
      </c>
      <c r="L100" s="276">
        <f t="shared" si="9"/>
        <v>9.283542041222498</v>
      </c>
      <c r="M100" s="276">
        <f t="shared" si="9"/>
        <v>0.78377232488860005</v>
      </c>
      <c r="N100" s="276">
        <f t="shared" si="9"/>
        <v>8.0487388379334011</v>
      </c>
      <c r="O100" s="276">
        <f t="shared" si="9"/>
        <v>1.3486297180367344</v>
      </c>
      <c r="P100" s="276">
        <f t="shared" si="9"/>
        <v>0</v>
      </c>
      <c r="Q100" s="276">
        <f t="shared" si="9"/>
        <v>11.187391908929738</v>
      </c>
      <c r="R100" s="276">
        <f t="shared" si="9"/>
        <v>4.4683821168176063</v>
      </c>
      <c r="S100" s="276">
        <f t="shared" si="9"/>
        <v>2.8703002765081922</v>
      </c>
      <c r="T100" s="280"/>
      <c r="U100" s="280"/>
      <c r="W100" s="88" t="s">
        <v>831</v>
      </c>
    </row>
    <row r="101" spans="2:23" x14ac:dyDescent="0.25"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  <c r="U101" s="253"/>
    </row>
    <row r="102" spans="2:23" x14ac:dyDescent="0.25">
      <c r="B102" s="95" t="s">
        <v>366</v>
      </c>
      <c r="C102" s="95"/>
      <c r="D102" s="95"/>
      <c r="E102" s="95"/>
      <c r="F102" s="95"/>
      <c r="G102" s="95"/>
      <c r="H102" s="95"/>
      <c r="I102" s="95"/>
      <c r="J102" s="282"/>
      <c r="K102" s="282"/>
      <c r="L102" s="282"/>
      <c r="M102" s="282"/>
      <c r="N102" s="282"/>
      <c r="O102" s="282"/>
      <c r="P102" s="282"/>
      <c r="Q102" s="282"/>
      <c r="R102" s="282"/>
      <c r="S102" s="282"/>
      <c r="T102" s="282"/>
      <c r="U102" s="282"/>
      <c r="V102" s="95"/>
      <c r="W102" s="95"/>
    </row>
    <row r="103" spans="2:23" x14ac:dyDescent="0.25">
      <c r="B103" s="82"/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</row>
    <row r="104" spans="2:23" x14ac:dyDescent="0.25">
      <c r="C104" s="7" t="str">
        <f ca="1">INDEX('Version control'!$H$34:$H$58,MATCH($A$1,'Version control'!$F$34:$F$58,0),1)&amp;"-J: Notional asset values by network level"</f>
        <v>Section 511-J: Notional asset values by network level</v>
      </c>
      <c r="D104" s="7"/>
      <c r="E104" s="7"/>
      <c r="F104" s="7"/>
      <c r="G104" s="7"/>
      <c r="H104" s="228"/>
      <c r="I104" s="228"/>
      <c r="J104" s="283"/>
      <c r="K104" s="283"/>
      <c r="L104" s="283"/>
      <c r="M104" s="283"/>
      <c r="N104" s="283"/>
      <c r="O104" s="283"/>
      <c r="P104" s="283"/>
      <c r="Q104" s="283"/>
      <c r="R104" s="283"/>
      <c r="S104" s="283"/>
      <c r="T104" s="283"/>
      <c r="U104" s="283"/>
      <c r="V104" s="7"/>
      <c r="W104" s="228"/>
    </row>
    <row r="105" spans="2:23" x14ac:dyDescent="0.25">
      <c r="B105" s="82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</row>
    <row r="106" spans="2:23" x14ac:dyDescent="0.25">
      <c r="B106" s="82"/>
      <c r="D106" s="82" t="s">
        <v>388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</row>
    <row r="107" spans="2:23" x14ac:dyDescent="0.25">
      <c r="B107" s="82"/>
      <c r="D107" s="82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</row>
    <row r="108" spans="2:23" x14ac:dyDescent="0.25">
      <c r="B108" s="82"/>
      <c r="E108" s="14" t="s">
        <v>115</v>
      </c>
      <c r="F108" s="14"/>
      <c r="G108" s="14" t="s">
        <v>107</v>
      </c>
      <c r="J108" s="280"/>
      <c r="K108" s="257">
        <f t="shared" ref="K108:U108" si="10">K76</f>
        <v>0</v>
      </c>
      <c r="L108" s="257">
        <f t="shared" si="10"/>
        <v>706079078.1559093</v>
      </c>
      <c r="M108" s="257">
        <f t="shared" si="10"/>
        <v>58419462.540258087</v>
      </c>
      <c r="N108" s="257">
        <f t="shared" si="10"/>
        <v>609686427.71459758</v>
      </c>
      <c r="O108" s="257">
        <f t="shared" si="10"/>
        <v>110985989.64338003</v>
      </c>
      <c r="P108" s="257">
        <f t="shared" si="10"/>
        <v>0</v>
      </c>
      <c r="Q108" s="257">
        <f t="shared" si="10"/>
        <v>979092177.92663038</v>
      </c>
      <c r="R108" s="257">
        <f t="shared" si="10"/>
        <v>342425207.76632619</v>
      </c>
      <c r="S108" s="257">
        <f t="shared" si="10"/>
        <v>155837768.25440717</v>
      </c>
      <c r="T108" s="257">
        <f t="shared" si="10"/>
        <v>618696074.44466019</v>
      </c>
      <c r="U108" s="257">
        <f t="shared" si="10"/>
        <v>11556707.683994468</v>
      </c>
    </row>
    <row r="109" spans="2:23" x14ac:dyDescent="0.25">
      <c r="B109" s="82"/>
    </row>
    <row r="110" spans="2:23" x14ac:dyDescent="0.25">
      <c r="C110" s="7" t="str">
        <f ca="1">INDEX('Version control'!$H$34:$H$58,MATCH($A$1,'Version control'!$F$34:$F$58,0),1)&amp;"-K: Unit costs"</f>
        <v>Section 511-K: Unit costs</v>
      </c>
      <c r="D110" s="7"/>
      <c r="E110" s="7"/>
      <c r="F110" s="7"/>
      <c r="G110" s="7"/>
      <c r="H110" s="228"/>
      <c r="I110" s="228"/>
      <c r="J110" s="228"/>
      <c r="K110" s="228"/>
      <c r="L110" s="228"/>
      <c r="M110" s="228"/>
      <c r="N110" s="228"/>
      <c r="O110" s="228"/>
      <c r="P110" s="228"/>
      <c r="Q110" s="228"/>
      <c r="R110" s="228"/>
      <c r="S110" s="228"/>
      <c r="T110" s="228"/>
      <c r="U110" s="228"/>
      <c r="V110" s="7"/>
      <c r="W110" s="228"/>
    </row>
    <row r="111" spans="2:23" x14ac:dyDescent="0.25">
      <c r="B111" s="82"/>
    </row>
    <row r="112" spans="2:23" x14ac:dyDescent="0.25">
      <c r="B112" s="82"/>
      <c r="D112" s="82" t="s">
        <v>368</v>
      </c>
    </row>
    <row r="113" spans="2:24" x14ac:dyDescent="0.25">
      <c r="B113" s="82"/>
      <c r="D113" s="82"/>
    </row>
    <row r="114" spans="2:24" x14ac:dyDescent="0.25">
      <c r="E114" s="295" t="s">
        <v>126</v>
      </c>
      <c r="F114" s="406"/>
      <c r="G114" s="14" t="s">
        <v>1022</v>
      </c>
      <c r="H114" s="88"/>
      <c r="I114" s="88"/>
      <c r="J114" s="280"/>
      <c r="K114" s="280"/>
      <c r="L114" s="257">
        <f t="shared" ref="L114:S114" si="11">L56</f>
        <v>17.541142919404308</v>
      </c>
      <c r="M114" s="257">
        <f t="shared" si="11"/>
        <v>1.480928540647217</v>
      </c>
      <c r="N114" s="257">
        <f t="shared" si="11"/>
        <v>15.207996866954261</v>
      </c>
      <c r="O114" s="257">
        <f t="shared" si="11"/>
        <v>2.5482199061946726</v>
      </c>
      <c r="P114" s="257">
        <f t="shared" si="11"/>
        <v>0</v>
      </c>
      <c r="Q114" s="257">
        <f t="shared" si="11"/>
        <v>21.138444733545068</v>
      </c>
      <c r="R114" s="257">
        <f t="shared" si="11"/>
        <v>8.4429551761136299</v>
      </c>
      <c r="S114" s="257">
        <f t="shared" si="11"/>
        <v>5.4233984343766499</v>
      </c>
      <c r="T114" s="280"/>
      <c r="U114" s="280"/>
    </row>
    <row r="115" spans="2:24" x14ac:dyDescent="0.25">
      <c r="B115" s="82"/>
      <c r="E115" s="295" t="s">
        <v>127</v>
      </c>
      <c r="F115" s="14"/>
      <c r="G115" s="14" t="s">
        <v>1022</v>
      </c>
      <c r="J115" s="257">
        <f t="shared" ref="J115:S115" si="12">J100</f>
        <v>10.798667625984915</v>
      </c>
      <c r="K115" s="257">
        <f t="shared" si="12"/>
        <v>0</v>
      </c>
      <c r="L115" s="257">
        <f t="shared" si="12"/>
        <v>9.283542041222498</v>
      </c>
      <c r="M115" s="257">
        <f t="shared" si="12"/>
        <v>0.78377232488860005</v>
      </c>
      <c r="N115" s="257">
        <f t="shared" si="12"/>
        <v>8.0487388379334011</v>
      </c>
      <c r="O115" s="257">
        <f t="shared" si="12"/>
        <v>1.3486297180367344</v>
      </c>
      <c r="P115" s="257">
        <f t="shared" si="12"/>
        <v>0</v>
      </c>
      <c r="Q115" s="257">
        <f t="shared" si="12"/>
        <v>11.187391908929738</v>
      </c>
      <c r="R115" s="257">
        <f t="shared" si="12"/>
        <v>4.4683821168176063</v>
      </c>
      <c r="S115" s="257">
        <f t="shared" si="12"/>
        <v>2.8703002765081922</v>
      </c>
      <c r="T115" s="280"/>
      <c r="U115" s="280"/>
    </row>
    <row r="116" spans="2:24" x14ac:dyDescent="0.25">
      <c r="B116" s="82"/>
    </row>
    <row r="117" spans="2:24" x14ac:dyDescent="0.25">
      <c r="C117" s="7" t="str">
        <f ca="1">INDEX('Version control'!$H$34:$H$58,MATCH($A$1,'Version control'!$F$34:$F$58,0),1)&amp;"-L: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8"/>
      <c r="I117" s="228"/>
      <c r="J117" s="228"/>
      <c r="K117" s="228"/>
      <c r="L117" s="228"/>
      <c r="M117" s="228"/>
      <c r="N117" s="228"/>
      <c r="O117" s="228"/>
      <c r="P117" s="228"/>
      <c r="Q117" s="228"/>
      <c r="R117" s="228"/>
      <c r="S117" s="228"/>
      <c r="T117" s="228"/>
      <c r="U117" s="228"/>
      <c r="V117" s="7"/>
      <c r="W117" s="228"/>
    </row>
    <row r="118" spans="2:24" x14ac:dyDescent="0.25">
      <c r="B118" s="82"/>
    </row>
    <row r="119" spans="2:24" x14ac:dyDescent="0.25">
      <c r="B119" s="82"/>
      <c r="D119" s="82" t="s">
        <v>693</v>
      </c>
    </row>
    <row r="120" spans="2:24" x14ac:dyDescent="0.25">
      <c r="B120" s="82"/>
      <c r="D120" s="82"/>
    </row>
    <row r="121" spans="2:24" x14ac:dyDescent="0.25">
      <c r="B121" s="82"/>
      <c r="C121" s="96"/>
      <c r="E121" s="295" t="s">
        <v>97</v>
      </c>
      <c r="F121" s="14"/>
      <c r="G121" s="14" t="s">
        <v>94</v>
      </c>
      <c r="H121" s="110">
        <f>H25</f>
        <v>4.8216791977211342E-2</v>
      </c>
    </row>
    <row r="122" spans="2:24" x14ac:dyDescent="0.25">
      <c r="B122" s="82"/>
      <c r="C122" s="96"/>
      <c r="E122" s="295" t="s">
        <v>131</v>
      </c>
      <c r="F122" s="14"/>
      <c r="G122" s="14" t="s">
        <v>606</v>
      </c>
      <c r="H122" s="257">
        <f>H90</f>
        <v>91682115.160996452</v>
      </c>
    </row>
    <row r="123" spans="2:24" x14ac:dyDescent="0.25">
      <c r="E123" s="295" t="s">
        <v>115</v>
      </c>
      <c r="F123" s="14"/>
      <c r="G123" s="14" t="s">
        <v>107</v>
      </c>
      <c r="H123" s="257">
        <f>SUM(K76:U76)</f>
        <v>3592778894.1301632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5" t="s">
        <v>516</v>
      </c>
      <c r="G127" s="122" t="s">
        <v>692</v>
      </c>
      <c r="H127" s="412">
        <f t="array" ref="H127">SUM(IF(ISERROR(H23:U123), 1))</f>
        <v>0</v>
      </c>
    </row>
    <row r="129" spans="2:23" x14ac:dyDescent="0.25">
      <c r="E129" s="295" t="s">
        <v>646</v>
      </c>
      <c r="G129" s="122" t="s">
        <v>692</v>
      </c>
      <c r="H129" s="412">
        <f>SUM(J129:U129)</f>
        <v>0</v>
      </c>
      <c r="J129" s="413"/>
      <c r="K129" s="413"/>
      <c r="L129" s="413"/>
      <c r="M129" s="413"/>
      <c r="N129" s="412">
        <f t="shared" ref="N129:U129" si="13">IFERROR(IF(OR(AND(N54&gt;0, N48=0), AND(N48&gt;0, N54=0)), 1, 0),1)</f>
        <v>0</v>
      </c>
      <c r="O129" s="412">
        <f t="shared" si="13"/>
        <v>0</v>
      </c>
      <c r="P129" s="412">
        <f t="shared" si="13"/>
        <v>0</v>
      </c>
      <c r="Q129" s="412">
        <f t="shared" si="13"/>
        <v>0</v>
      </c>
      <c r="R129" s="412">
        <f t="shared" si="13"/>
        <v>0</v>
      </c>
      <c r="S129" s="412">
        <f t="shared" si="13"/>
        <v>0</v>
      </c>
      <c r="T129" s="412">
        <f t="shared" si="13"/>
        <v>0</v>
      </c>
      <c r="U129" s="412">
        <f t="shared" si="13"/>
        <v>0</v>
      </c>
    </row>
    <row r="131" spans="2:23" x14ac:dyDescent="0.25">
      <c r="E131" s="295" t="s">
        <v>446</v>
      </c>
      <c r="G131" s="122" t="s">
        <v>692</v>
      </c>
      <c r="H131" s="312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5" operator="greaterThan">
      <formula>0</formula>
    </cfRule>
  </conditionalFormatting>
  <conditionalFormatting sqref="H129">
    <cfRule type="cellIs" dxfId="124" priority="4" operator="greaterThan">
      <formula>0</formula>
    </cfRule>
  </conditionalFormatting>
  <conditionalFormatting sqref="J129:U129">
    <cfRule type="cellIs" dxfId="123" priority="3" operator="greaterThan">
      <formula>0</formula>
    </cfRule>
  </conditionalFormatting>
  <conditionalFormatting sqref="H131:H132">
    <cfRule type="cellIs" dxfId="122" priority="2" operator="greaterThan">
      <formula>0</formula>
    </cfRule>
  </conditionalFormatting>
  <conditionalFormatting sqref="A4:XFD4">
    <cfRule type="expression" dxfId="121" priority="1">
      <formula>LEFT($A$4,1) &lt;&gt; "0"</formula>
    </cfRule>
  </conditionalFormatting>
  <hyperlinks>
    <hyperlink ref="B5:F5" location="'Model map'!A1" display="Click here to return to model map" xr:uid="{00000000-0004-0000-1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">
    <tabColor theme="4" tint="0.59999389629810485"/>
    <pageSetUpPr fitToPage="1"/>
  </sheetPr>
  <dimension ref="A1:JU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81" width="24.5703125" style="295" hidden="1" customWidth="1"/>
    <col min="282" max="16384" width="8.85546875" style="295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616</v>
      </c>
      <c r="E9" s="14"/>
    </row>
    <row r="11" spans="1:27" x14ac:dyDescent="0.25">
      <c r="B11" s="95" t="s">
        <v>771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control'!$H$34:$H$58,MATCH($A$1,'Version control'!$F$34:$F$58,0),1)&amp;"-A: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449</v>
      </c>
    </row>
    <row r="17" spans="5:27" x14ac:dyDescent="0.25">
      <c r="E17" s="96" t="s">
        <v>631</v>
      </c>
      <c r="G17" s="14"/>
      <c r="H17" s="88"/>
      <c r="I17" s="88" t="s">
        <v>431</v>
      </c>
      <c r="AA17" s="295" t="s">
        <v>832</v>
      </c>
    </row>
    <row r="18" spans="5:27" x14ac:dyDescent="0.25">
      <c r="F18" s="414" t="s">
        <v>324</v>
      </c>
      <c r="G18" s="16" t="s">
        <v>108</v>
      </c>
      <c r="H18" s="239"/>
    </row>
    <row r="19" spans="5:27" x14ac:dyDescent="0.25">
      <c r="F19" s="415" t="s">
        <v>43</v>
      </c>
      <c r="G19" s="14" t="s">
        <v>108</v>
      </c>
      <c r="H19" s="280"/>
    </row>
    <row r="20" spans="5:27" x14ac:dyDescent="0.25">
      <c r="F20" s="415" t="s">
        <v>44</v>
      </c>
      <c r="G20" s="14" t="s">
        <v>108</v>
      </c>
      <c r="H20" s="416">
        <f t="array" ref="H20:H27">TRANSPOSE('Unit costs'!L114:S114)</f>
        <v>17.541142919404308</v>
      </c>
    </row>
    <row r="21" spans="5:27" x14ac:dyDescent="0.25">
      <c r="F21" s="415" t="s">
        <v>45</v>
      </c>
      <c r="G21" s="14" t="s">
        <v>108</v>
      </c>
      <c r="H21" s="416">
        <v>1.480928540647217</v>
      </c>
    </row>
    <row r="22" spans="5:27" x14ac:dyDescent="0.25">
      <c r="F22" s="415" t="s">
        <v>46</v>
      </c>
      <c r="G22" s="14" t="s">
        <v>108</v>
      </c>
      <c r="H22" s="416">
        <v>15.207996866954261</v>
      </c>
    </row>
    <row r="23" spans="5:27" x14ac:dyDescent="0.25">
      <c r="F23" s="415" t="s">
        <v>47</v>
      </c>
      <c r="G23" s="14" t="s">
        <v>108</v>
      </c>
      <c r="H23" s="416">
        <v>2.5482199061946726</v>
      </c>
    </row>
    <row r="24" spans="5:27" x14ac:dyDescent="0.25">
      <c r="F24" s="415" t="s">
        <v>51</v>
      </c>
      <c r="G24" s="14" t="s">
        <v>108</v>
      </c>
      <c r="H24" s="416">
        <v>0</v>
      </c>
    </row>
    <row r="25" spans="5:27" x14ac:dyDescent="0.25">
      <c r="F25" s="415" t="s">
        <v>48</v>
      </c>
      <c r="G25" s="14" t="s">
        <v>108</v>
      </c>
      <c r="H25" s="416">
        <v>21.138444733545068</v>
      </c>
    </row>
    <row r="26" spans="5:27" x14ac:dyDescent="0.25">
      <c r="F26" s="415" t="s">
        <v>49</v>
      </c>
      <c r="G26" s="14" t="s">
        <v>108</v>
      </c>
      <c r="H26" s="416">
        <v>8.4429551761136299</v>
      </c>
    </row>
    <row r="27" spans="5:27" x14ac:dyDescent="0.25">
      <c r="F27" s="417" t="s">
        <v>50</v>
      </c>
      <c r="G27" s="15" t="s">
        <v>108</v>
      </c>
      <c r="H27" s="285">
        <v>5.4233984343766499</v>
      </c>
    </row>
    <row r="28" spans="5:27" x14ac:dyDescent="0.25">
      <c r="F28" s="415"/>
      <c r="G28" s="14"/>
      <c r="H28" s="274"/>
    </row>
    <row r="29" spans="5:27" x14ac:dyDescent="0.25">
      <c r="E29" s="96" t="s">
        <v>632</v>
      </c>
      <c r="G29" s="14"/>
      <c r="H29" s="253"/>
    </row>
    <row r="30" spans="5:27" x14ac:dyDescent="0.25">
      <c r="F30" s="414" t="s">
        <v>324</v>
      </c>
      <c r="G30" s="16" t="s">
        <v>1022</v>
      </c>
      <c r="H30" s="284">
        <f t="array" ref="H30:H39">TRANSPOSE('Unit costs'!J115:S115)</f>
        <v>10.798667625984915</v>
      </c>
    </row>
    <row r="31" spans="5:27" x14ac:dyDescent="0.25">
      <c r="F31" s="415" t="s">
        <v>43</v>
      </c>
      <c r="G31" s="14" t="s">
        <v>1022</v>
      </c>
      <c r="H31" s="416">
        <v>0</v>
      </c>
    </row>
    <row r="32" spans="5:27" x14ac:dyDescent="0.25">
      <c r="F32" s="415" t="s">
        <v>44</v>
      </c>
      <c r="G32" s="14" t="s">
        <v>1022</v>
      </c>
      <c r="H32" s="416">
        <v>9.283542041222498</v>
      </c>
    </row>
    <row r="33" spans="5:16" x14ac:dyDescent="0.25">
      <c r="F33" s="415" t="s">
        <v>45</v>
      </c>
      <c r="G33" s="14" t="s">
        <v>1022</v>
      </c>
      <c r="H33" s="416">
        <v>0.78377232488860005</v>
      </c>
      <c r="J33" s="90"/>
      <c r="K33" s="90"/>
      <c r="L33" s="90"/>
      <c r="M33" s="90"/>
      <c r="N33" s="90"/>
    </row>
    <row r="34" spans="5:16" x14ac:dyDescent="0.25">
      <c r="F34" s="415" t="s">
        <v>46</v>
      </c>
      <c r="G34" s="14" t="s">
        <v>1022</v>
      </c>
      <c r="H34" s="416">
        <v>8.0487388379334011</v>
      </c>
      <c r="J34" s="90"/>
      <c r="K34" s="90"/>
      <c r="L34" s="90"/>
      <c r="M34" s="90"/>
      <c r="N34" s="90"/>
    </row>
    <row r="35" spans="5:16" x14ac:dyDescent="0.25">
      <c r="F35" s="415" t="s">
        <v>47</v>
      </c>
      <c r="G35" s="14" t="s">
        <v>1022</v>
      </c>
      <c r="H35" s="416">
        <v>1.3486297180367344</v>
      </c>
      <c r="J35" s="90"/>
      <c r="K35" s="90"/>
      <c r="L35" s="90"/>
      <c r="M35" s="90"/>
      <c r="N35" s="90"/>
    </row>
    <row r="36" spans="5:16" x14ac:dyDescent="0.25">
      <c r="F36" s="415" t="s">
        <v>51</v>
      </c>
      <c r="G36" s="14" t="s">
        <v>1022</v>
      </c>
      <c r="H36" s="416">
        <v>0</v>
      </c>
      <c r="J36" s="90"/>
      <c r="K36" s="90"/>
      <c r="L36" s="90"/>
      <c r="M36" s="90"/>
      <c r="N36" s="90"/>
    </row>
    <row r="37" spans="5:16" x14ac:dyDescent="0.25">
      <c r="F37" s="415" t="s">
        <v>48</v>
      </c>
      <c r="G37" s="14" t="s">
        <v>1022</v>
      </c>
      <c r="H37" s="416">
        <v>11.187391908929738</v>
      </c>
      <c r="J37" s="90"/>
      <c r="K37" s="90"/>
      <c r="L37" s="90"/>
      <c r="M37" s="90"/>
      <c r="N37" s="90"/>
      <c r="O37" s="90"/>
    </row>
    <row r="38" spans="5:16" x14ac:dyDescent="0.25">
      <c r="F38" s="415" t="s">
        <v>49</v>
      </c>
      <c r="G38" s="14" t="s">
        <v>1022</v>
      </c>
      <c r="H38" s="416">
        <v>4.4683821168176063</v>
      </c>
      <c r="J38" s="90"/>
      <c r="K38" s="90"/>
      <c r="L38" s="90"/>
      <c r="M38" s="90"/>
      <c r="N38" s="90"/>
      <c r="O38" s="90"/>
    </row>
    <row r="39" spans="5:16" x14ac:dyDescent="0.25">
      <c r="F39" s="417" t="s">
        <v>50</v>
      </c>
      <c r="G39" s="15" t="s">
        <v>1022</v>
      </c>
      <c r="H39" s="285">
        <v>2.8703002765081922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3"/>
      <c r="J40" s="90"/>
      <c r="K40" s="90"/>
      <c r="L40" s="90"/>
      <c r="M40" s="90"/>
      <c r="N40" s="90"/>
      <c r="O40" s="90"/>
    </row>
    <row r="41" spans="5:16" x14ac:dyDescent="0.25">
      <c r="E41" s="96" t="s">
        <v>628</v>
      </c>
      <c r="F41" s="96"/>
      <c r="H41" s="277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239</v>
      </c>
      <c r="F42" s="82"/>
      <c r="H42" s="277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324</v>
      </c>
      <c r="G43" s="91" t="s">
        <v>528</v>
      </c>
      <c r="H43" s="273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5" t="s">
        <v>43</v>
      </c>
      <c r="G44" s="295" t="s">
        <v>528</v>
      </c>
      <c r="H44" s="274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5" t="s">
        <v>44</v>
      </c>
      <c r="G45" s="295" t="s">
        <v>528</v>
      </c>
      <c r="H45" s="274">
        <v>1.0049999999999999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5" t="s">
        <v>45</v>
      </c>
      <c r="G46" s="295" t="s">
        <v>528</v>
      </c>
      <c r="H46" s="274">
        <v>1.012</v>
      </c>
      <c r="J46" s="90"/>
      <c r="K46" s="90"/>
      <c r="L46" s="90"/>
      <c r="M46" s="90"/>
      <c r="N46" s="90"/>
      <c r="O46" s="90"/>
    </row>
    <row r="47" spans="5:16" x14ac:dyDescent="0.25">
      <c r="F47" s="295" t="s">
        <v>46</v>
      </c>
      <c r="G47" s="295" t="s">
        <v>528</v>
      </c>
      <c r="H47" s="274">
        <v>1.018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5" t="s">
        <v>47</v>
      </c>
      <c r="G48" s="295" t="s">
        <v>528</v>
      </c>
      <c r="H48" s="274">
        <v>1.0269999999999999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5" t="s">
        <v>51</v>
      </c>
      <c r="G49" s="295" t="s">
        <v>528</v>
      </c>
      <c r="H49" s="274">
        <v>1.0269999999999999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5" t="s">
        <v>48</v>
      </c>
      <c r="G50" s="295" t="s">
        <v>528</v>
      </c>
      <c r="H50" s="274">
        <v>1.038</v>
      </c>
      <c r="J50" s="90"/>
      <c r="K50" s="90"/>
      <c r="L50" s="90"/>
      <c r="M50" s="90"/>
      <c r="N50" s="90"/>
      <c r="O50" s="90"/>
    </row>
    <row r="51" spans="4:25" x14ac:dyDescent="0.25">
      <c r="F51" s="295" t="s">
        <v>49</v>
      </c>
      <c r="G51" s="295" t="s">
        <v>528</v>
      </c>
      <c r="H51" s="274">
        <v>1.06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528</v>
      </c>
      <c r="H52" s="275">
        <v>1.1120000000000001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406</v>
      </c>
      <c r="F54" s="96"/>
      <c r="J54" s="90"/>
      <c r="L54" s="90"/>
    </row>
    <row r="55" spans="4:25" x14ac:dyDescent="0.25">
      <c r="D55" s="96"/>
      <c r="E55" s="96"/>
      <c r="F55" s="414" t="s">
        <v>324</v>
      </c>
      <c r="G55" s="91" t="s">
        <v>528</v>
      </c>
      <c r="H55" s="91"/>
      <c r="I55" s="91"/>
      <c r="J55" s="284">
        <f t="array" ref="J55:Y64">TRANSPOSE('Load &amp; loss characteristics'!J145:S160)</f>
        <v>1.1120000000000001</v>
      </c>
      <c r="K55" s="284">
        <v>1.1120000000000001</v>
      </c>
      <c r="L55" s="284">
        <v>1.1120000000000001</v>
      </c>
      <c r="M55" s="284">
        <v>1.1120000000000001</v>
      </c>
      <c r="N55" s="284">
        <v>1.1120000000000001</v>
      </c>
      <c r="O55" s="284">
        <v>1.06</v>
      </c>
      <c r="P55" s="284">
        <v>1.038</v>
      </c>
      <c r="Q55" s="284">
        <v>1.1120000000000001</v>
      </c>
      <c r="R55" s="284">
        <v>-1.1120000000000001</v>
      </c>
      <c r="S55" s="284">
        <v>-1.06</v>
      </c>
      <c r="T55" s="284">
        <v>-1.1120000000000001</v>
      </c>
      <c r="U55" s="284">
        <v>-1.1120000000000001</v>
      </c>
      <c r="V55" s="284">
        <v>-1.06</v>
      </c>
      <c r="W55" s="284">
        <v>-1.06</v>
      </c>
      <c r="X55" s="284">
        <v>-1.038</v>
      </c>
      <c r="Y55" s="284">
        <v>-1.038</v>
      </c>
    </row>
    <row r="56" spans="4:25" x14ac:dyDescent="0.25">
      <c r="D56" s="96"/>
      <c r="E56" s="96"/>
      <c r="F56" s="415" t="s">
        <v>43</v>
      </c>
      <c r="G56" s="295" t="s">
        <v>528</v>
      </c>
      <c r="J56" s="416">
        <v>1.1120000000000001</v>
      </c>
      <c r="K56" s="416">
        <v>1.1120000000000001</v>
      </c>
      <c r="L56" s="416">
        <v>1.1120000000000001</v>
      </c>
      <c r="M56" s="416">
        <v>1.1120000000000001</v>
      </c>
      <c r="N56" s="416">
        <v>1.1120000000000001</v>
      </c>
      <c r="O56" s="416">
        <v>1.06</v>
      </c>
      <c r="P56" s="416">
        <v>1.038</v>
      </c>
      <c r="Q56" s="416">
        <v>1.1120000000000001</v>
      </c>
      <c r="R56" s="416">
        <v>-1.1120000000000001</v>
      </c>
      <c r="S56" s="416">
        <v>-1.06</v>
      </c>
      <c r="T56" s="416">
        <v>-1.1120000000000001</v>
      </c>
      <c r="U56" s="416">
        <v>-1.1120000000000001</v>
      </c>
      <c r="V56" s="416">
        <v>-1.06</v>
      </c>
      <c r="W56" s="416">
        <v>-1.06</v>
      </c>
      <c r="X56" s="416">
        <v>-1.038</v>
      </c>
      <c r="Y56" s="416">
        <v>-1.038</v>
      </c>
    </row>
    <row r="57" spans="4:25" x14ac:dyDescent="0.25">
      <c r="D57" s="96"/>
      <c r="E57" s="96"/>
      <c r="F57" s="415" t="s">
        <v>44</v>
      </c>
      <c r="G57" s="295" t="s">
        <v>528</v>
      </c>
      <c r="J57" s="416">
        <v>1.1120000000000001</v>
      </c>
      <c r="K57" s="416">
        <v>1.1120000000000001</v>
      </c>
      <c r="L57" s="416">
        <v>1.1120000000000001</v>
      </c>
      <c r="M57" s="416">
        <v>1.1120000000000001</v>
      </c>
      <c r="N57" s="416">
        <v>1.1120000000000001</v>
      </c>
      <c r="O57" s="416">
        <v>1.06</v>
      </c>
      <c r="P57" s="416">
        <v>1.038</v>
      </c>
      <c r="Q57" s="416">
        <v>1.1120000000000001</v>
      </c>
      <c r="R57" s="416">
        <v>-1.1120000000000001</v>
      </c>
      <c r="S57" s="416">
        <v>-1.06</v>
      </c>
      <c r="T57" s="416">
        <v>-1.1120000000000001</v>
      </c>
      <c r="U57" s="416">
        <v>-1.1120000000000001</v>
      </c>
      <c r="V57" s="416">
        <v>-1.06</v>
      </c>
      <c r="W57" s="416">
        <v>-1.06</v>
      </c>
      <c r="X57" s="416">
        <v>-1.038</v>
      </c>
      <c r="Y57" s="416">
        <v>-1.038</v>
      </c>
    </row>
    <row r="58" spans="4:25" x14ac:dyDescent="0.25">
      <c r="D58" s="96"/>
      <c r="E58" s="96"/>
      <c r="F58" s="415" t="s">
        <v>45</v>
      </c>
      <c r="G58" s="295" t="s">
        <v>528</v>
      </c>
      <c r="J58" s="416">
        <v>1.1120000000000001</v>
      </c>
      <c r="K58" s="416">
        <v>1.1120000000000001</v>
      </c>
      <c r="L58" s="416">
        <v>1.1120000000000001</v>
      </c>
      <c r="M58" s="416">
        <v>1.1120000000000001</v>
      </c>
      <c r="N58" s="416">
        <v>1.1120000000000001</v>
      </c>
      <c r="O58" s="416">
        <v>1.06</v>
      </c>
      <c r="P58" s="416">
        <v>1.038</v>
      </c>
      <c r="Q58" s="416">
        <v>1.1120000000000001</v>
      </c>
      <c r="R58" s="416">
        <v>-1.1120000000000001</v>
      </c>
      <c r="S58" s="416">
        <v>-1.06</v>
      </c>
      <c r="T58" s="416">
        <v>-1.1120000000000001</v>
      </c>
      <c r="U58" s="416">
        <v>-1.1120000000000001</v>
      </c>
      <c r="V58" s="416">
        <v>-1.06</v>
      </c>
      <c r="W58" s="416">
        <v>-1.06</v>
      </c>
      <c r="X58" s="416">
        <v>-1.038</v>
      </c>
      <c r="Y58" s="416">
        <v>-1.038</v>
      </c>
    </row>
    <row r="59" spans="4:25" x14ac:dyDescent="0.25">
      <c r="D59" s="96"/>
      <c r="E59" s="96"/>
      <c r="F59" s="415" t="s">
        <v>46</v>
      </c>
      <c r="G59" s="295" t="s">
        <v>528</v>
      </c>
      <c r="J59" s="416">
        <v>1.1120000000000001</v>
      </c>
      <c r="K59" s="416">
        <v>1.1120000000000001</v>
      </c>
      <c r="L59" s="416">
        <v>1.1120000000000001</v>
      </c>
      <c r="M59" s="416">
        <v>1.1120000000000001</v>
      </c>
      <c r="N59" s="416">
        <v>1.1120000000000001</v>
      </c>
      <c r="O59" s="416">
        <v>1.06</v>
      </c>
      <c r="P59" s="416">
        <v>1.038</v>
      </c>
      <c r="Q59" s="416">
        <v>1.1120000000000001</v>
      </c>
      <c r="R59" s="416">
        <v>-1.1120000000000001</v>
      </c>
      <c r="S59" s="416">
        <v>-1.06</v>
      </c>
      <c r="T59" s="416">
        <v>-1.1120000000000001</v>
      </c>
      <c r="U59" s="416">
        <v>-1.1120000000000001</v>
      </c>
      <c r="V59" s="416">
        <v>-1.06</v>
      </c>
      <c r="W59" s="416">
        <v>-1.06</v>
      </c>
      <c r="X59" s="416">
        <v>-1.038</v>
      </c>
      <c r="Y59" s="416">
        <v>-1.038</v>
      </c>
    </row>
    <row r="60" spans="4:25" x14ac:dyDescent="0.25">
      <c r="D60" s="96"/>
      <c r="E60" s="96"/>
      <c r="F60" s="415" t="s">
        <v>47</v>
      </c>
      <c r="G60" s="295" t="s">
        <v>528</v>
      </c>
      <c r="J60" s="416">
        <v>1.1120000000000001</v>
      </c>
      <c r="K60" s="416">
        <v>1.1120000000000001</v>
      </c>
      <c r="L60" s="416">
        <v>1.1120000000000001</v>
      </c>
      <c r="M60" s="416">
        <v>1.1120000000000001</v>
      </c>
      <c r="N60" s="416">
        <v>1.1120000000000001</v>
      </c>
      <c r="O60" s="416">
        <v>1.06</v>
      </c>
      <c r="P60" s="416">
        <v>1.038</v>
      </c>
      <c r="Q60" s="416">
        <v>1.1120000000000001</v>
      </c>
      <c r="R60" s="416">
        <v>-1.1120000000000001</v>
      </c>
      <c r="S60" s="416">
        <v>-1.06</v>
      </c>
      <c r="T60" s="416">
        <v>-1.1120000000000001</v>
      </c>
      <c r="U60" s="416">
        <v>-1.1120000000000001</v>
      </c>
      <c r="V60" s="416">
        <v>-1.06</v>
      </c>
      <c r="W60" s="416">
        <v>-1.06</v>
      </c>
      <c r="X60" s="416">
        <v>-1.038</v>
      </c>
      <c r="Y60" s="416">
        <v>-1.038</v>
      </c>
    </row>
    <row r="61" spans="4:25" x14ac:dyDescent="0.25">
      <c r="D61" s="96"/>
      <c r="E61" s="96"/>
      <c r="F61" s="415" t="s">
        <v>51</v>
      </c>
      <c r="G61" s="295" t="s">
        <v>528</v>
      </c>
      <c r="J61" s="416">
        <v>0</v>
      </c>
      <c r="K61" s="416">
        <v>0</v>
      </c>
      <c r="L61" s="416">
        <v>0</v>
      </c>
      <c r="M61" s="416">
        <v>0</v>
      </c>
      <c r="N61" s="416">
        <v>0</v>
      </c>
      <c r="O61" s="416">
        <v>0</v>
      </c>
      <c r="P61" s="416">
        <v>0</v>
      </c>
      <c r="Q61" s="416">
        <v>0</v>
      </c>
      <c r="R61" s="416">
        <v>0</v>
      </c>
      <c r="S61" s="416">
        <v>0</v>
      </c>
      <c r="T61" s="416">
        <v>0</v>
      </c>
      <c r="U61" s="416">
        <v>0</v>
      </c>
      <c r="V61" s="416">
        <v>0</v>
      </c>
      <c r="W61" s="416">
        <v>0</v>
      </c>
      <c r="X61" s="416">
        <v>0</v>
      </c>
      <c r="Y61" s="416">
        <v>0</v>
      </c>
    </row>
    <row r="62" spans="4:25" x14ac:dyDescent="0.25">
      <c r="D62" s="96"/>
      <c r="E62" s="96"/>
      <c r="F62" s="415" t="s">
        <v>48</v>
      </c>
      <c r="G62" s="295" t="s">
        <v>528</v>
      </c>
      <c r="J62" s="416">
        <v>1.1120000000000001</v>
      </c>
      <c r="K62" s="416">
        <v>1.1120000000000001</v>
      </c>
      <c r="L62" s="416">
        <v>1.1120000000000001</v>
      </c>
      <c r="M62" s="416">
        <v>1.1120000000000001</v>
      </c>
      <c r="N62" s="416">
        <v>1.1120000000000001</v>
      </c>
      <c r="O62" s="416">
        <v>1.06</v>
      </c>
      <c r="P62" s="416">
        <v>1.038</v>
      </c>
      <c r="Q62" s="416">
        <v>1.1120000000000001</v>
      </c>
      <c r="R62" s="416">
        <v>-1.1120000000000001</v>
      </c>
      <c r="S62" s="416">
        <v>-1.06</v>
      </c>
      <c r="T62" s="416">
        <v>-1.1120000000000001</v>
      </c>
      <c r="U62" s="416">
        <v>-1.1120000000000001</v>
      </c>
      <c r="V62" s="416">
        <v>-1.06</v>
      </c>
      <c r="W62" s="416">
        <v>-1.06</v>
      </c>
      <c r="X62" s="416">
        <v>0</v>
      </c>
      <c r="Y62" s="416">
        <v>0</v>
      </c>
    </row>
    <row r="63" spans="4:25" x14ac:dyDescent="0.25">
      <c r="D63" s="96"/>
      <c r="E63" s="96"/>
      <c r="F63" s="415" t="s">
        <v>49</v>
      </c>
      <c r="G63" s="295" t="s">
        <v>528</v>
      </c>
      <c r="J63" s="416">
        <v>1.1120000000000001</v>
      </c>
      <c r="K63" s="416">
        <v>1.1120000000000001</v>
      </c>
      <c r="L63" s="416">
        <v>1.1120000000000001</v>
      </c>
      <c r="M63" s="416">
        <v>1.1120000000000001</v>
      </c>
      <c r="N63" s="416">
        <v>1.1120000000000001</v>
      </c>
      <c r="O63" s="416">
        <v>1.06</v>
      </c>
      <c r="P63" s="416">
        <v>0</v>
      </c>
      <c r="Q63" s="416">
        <v>1.1120000000000001</v>
      </c>
      <c r="R63" s="416">
        <v>-1.1120000000000001</v>
      </c>
      <c r="S63" s="416">
        <v>0</v>
      </c>
      <c r="T63" s="416">
        <v>-1.1120000000000001</v>
      </c>
      <c r="U63" s="416">
        <v>-1.1120000000000001</v>
      </c>
      <c r="V63" s="416">
        <v>0</v>
      </c>
      <c r="W63" s="416">
        <v>0</v>
      </c>
      <c r="X63" s="416">
        <v>0</v>
      </c>
      <c r="Y63" s="416">
        <v>0</v>
      </c>
    </row>
    <row r="64" spans="4:25" x14ac:dyDescent="0.25">
      <c r="D64" s="96"/>
      <c r="E64" s="96"/>
      <c r="F64" s="417" t="s">
        <v>50</v>
      </c>
      <c r="G64" s="93" t="s">
        <v>528</v>
      </c>
      <c r="H64" s="93"/>
      <c r="I64" s="93"/>
      <c r="J64" s="285">
        <v>1.1120000000000001</v>
      </c>
      <c r="K64" s="285">
        <v>1.1120000000000001</v>
      </c>
      <c r="L64" s="285">
        <v>1.1120000000000001</v>
      </c>
      <c r="M64" s="285">
        <v>1.1120000000000001</v>
      </c>
      <c r="N64" s="285">
        <v>1.1120000000000001</v>
      </c>
      <c r="O64" s="285">
        <v>0</v>
      </c>
      <c r="P64" s="285">
        <v>0</v>
      </c>
      <c r="Q64" s="285">
        <v>1.1120000000000001</v>
      </c>
      <c r="R64" s="285">
        <v>0</v>
      </c>
      <c r="S64" s="285">
        <v>0</v>
      </c>
      <c r="T64" s="285">
        <v>0</v>
      </c>
      <c r="U64" s="285">
        <v>0</v>
      </c>
      <c r="V64" s="285">
        <v>0</v>
      </c>
      <c r="W64" s="285">
        <v>0</v>
      </c>
      <c r="X64" s="285">
        <v>0</v>
      </c>
      <c r="Y64" s="285">
        <v>0</v>
      </c>
    </row>
    <row r="65" spans="3:25" x14ac:dyDescent="0.25">
      <c r="D65" s="96"/>
      <c r="E65" s="96"/>
      <c r="J65" s="238"/>
      <c r="K65" s="238"/>
      <c r="L65" s="238"/>
      <c r="M65" s="238"/>
      <c r="N65" s="238"/>
      <c r="O65" s="238"/>
      <c r="P65" s="238"/>
      <c r="Q65" s="238"/>
      <c r="R65" s="238"/>
      <c r="S65" s="238"/>
      <c r="T65" s="238"/>
      <c r="U65" s="238"/>
      <c r="V65" s="238"/>
      <c r="W65" s="238"/>
      <c r="X65" s="238"/>
      <c r="Y65" s="238"/>
    </row>
    <row r="66" spans="3:25" x14ac:dyDescent="0.25">
      <c r="E66" s="96" t="s">
        <v>622</v>
      </c>
      <c r="J66" s="238"/>
      <c r="K66" s="238"/>
      <c r="L66" s="238"/>
      <c r="M66" s="238"/>
      <c r="N66" s="238"/>
      <c r="O66" s="238"/>
      <c r="P66" s="238"/>
      <c r="Q66" s="238"/>
      <c r="R66" s="238"/>
      <c r="S66" s="238"/>
      <c r="T66" s="238"/>
      <c r="U66" s="238"/>
      <c r="V66" s="238"/>
      <c r="W66" s="238"/>
      <c r="X66" s="238"/>
      <c r="Y66" s="238"/>
    </row>
    <row r="67" spans="3:25" x14ac:dyDescent="0.25">
      <c r="D67" s="96"/>
      <c r="E67" s="96"/>
      <c r="F67" s="414" t="s">
        <v>324</v>
      </c>
      <c r="G67" s="16" t="s">
        <v>94</v>
      </c>
      <c r="H67" s="91"/>
      <c r="I67" s="91"/>
      <c r="J67" s="245"/>
      <c r="K67" s="245"/>
      <c r="L67" s="245"/>
      <c r="M67" s="245"/>
      <c r="N67" s="245"/>
      <c r="O67" s="245"/>
      <c r="P67" s="245"/>
      <c r="Q67" s="245"/>
      <c r="R67" s="245"/>
      <c r="S67" s="245"/>
      <c r="T67" s="245"/>
      <c r="U67" s="245"/>
      <c r="V67" s="245"/>
      <c r="W67" s="245"/>
      <c r="X67" s="245"/>
      <c r="Y67" s="245"/>
    </row>
    <row r="68" spans="3:25" x14ac:dyDescent="0.25">
      <c r="D68" s="96"/>
      <c r="E68" s="96"/>
      <c r="F68" s="415" t="s">
        <v>43</v>
      </c>
      <c r="G68" s="14" t="s">
        <v>94</v>
      </c>
      <c r="J68" s="418"/>
      <c r="K68" s="418"/>
      <c r="L68" s="418"/>
      <c r="M68" s="418"/>
      <c r="N68" s="418"/>
      <c r="O68" s="418"/>
      <c r="P68" s="418"/>
      <c r="Q68" s="418"/>
      <c r="R68" s="418"/>
      <c r="S68" s="418"/>
      <c r="T68" s="418"/>
      <c r="U68" s="418"/>
      <c r="V68" s="418"/>
      <c r="W68" s="418"/>
      <c r="X68" s="418"/>
      <c r="Y68" s="418"/>
    </row>
    <row r="69" spans="3:25" x14ac:dyDescent="0.25">
      <c r="D69" s="96"/>
      <c r="E69" s="96"/>
      <c r="F69" s="415" t="s">
        <v>44</v>
      </c>
      <c r="G69" s="14" t="s">
        <v>94</v>
      </c>
      <c r="J69" s="416">
        <f t="array" ref="J69:Y76">TRANSPOSE('Customer contributions'!L51:S66)</f>
        <v>0</v>
      </c>
      <c r="K69" s="416">
        <v>0</v>
      </c>
      <c r="L69" s="416">
        <v>0</v>
      </c>
      <c r="M69" s="416">
        <v>0</v>
      </c>
      <c r="N69" s="416">
        <v>0</v>
      </c>
      <c r="O69" s="416">
        <v>0</v>
      </c>
      <c r="P69" s="416">
        <v>0</v>
      </c>
      <c r="Q69" s="416">
        <v>0</v>
      </c>
      <c r="R69" s="416">
        <v>0</v>
      </c>
      <c r="S69" s="416">
        <v>0</v>
      </c>
      <c r="T69" s="416">
        <v>0</v>
      </c>
      <c r="U69" s="416">
        <v>0</v>
      </c>
      <c r="V69" s="416">
        <v>0</v>
      </c>
      <c r="W69" s="416">
        <v>0</v>
      </c>
      <c r="X69" s="416">
        <v>0</v>
      </c>
      <c r="Y69" s="416">
        <v>0</v>
      </c>
    </row>
    <row r="70" spans="3:25" x14ac:dyDescent="0.25">
      <c r="D70" s="96"/>
      <c r="E70" s="96"/>
      <c r="F70" s="415" t="s">
        <v>45</v>
      </c>
      <c r="G70" s="14" t="s">
        <v>94</v>
      </c>
      <c r="J70" s="416">
        <v>0</v>
      </c>
      <c r="K70" s="416">
        <v>0</v>
      </c>
      <c r="L70" s="416">
        <v>0</v>
      </c>
      <c r="M70" s="416">
        <v>0</v>
      </c>
      <c r="N70" s="416">
        <v>0</v>
      </c>
      <c r="O70" s="416">
        <v>0</v>
      </c>
      <c r="P70" s="416">
        <v>0</v>
      </c>
      <c r="Q70" s="416">
        <v>0</v>
      </c>
      <c r="R70" s="416">
        <v>0</v>
      </c>
      <c r="S70" s="416">
        <v>0</v>
      </c>
      <c r="T70" s="416">
        <v>0</v>
      </c>
      <c r="U70" s="416">
        <v>0</v>
      </c>
      <c r="V70" s="416">
        <v>0</v>
      </c>
      <c r="W70" s="416">
        <v>0</v>
      </c>
      <c r="X70" s="416">
        <v>0</v>
      </c>
      <c r="Y70" s="416">
        <v>0</v>
      </c>
    </row>
    <row r="71" spans="3:25" x14ac:dyDescent="0.25">
      <c r="D71" s="96"/>
      <c r="E71" s="96"/>
      <c r="F71" s="415" t="s">
        <v>46</v>
      </c>
      <c r="G71" s="14" t="s">
        <v>94</v>
      </c>
      <c r="J71" s="416">
        <v>0</v>
      </c>
      <c r="K71" s="416">
        <v>0</v>
      </c>
      <c r="L71" s="416">
        <v>0</v>
      </c>
      <c r="M71" s="416">
        <v>0</v>
      </c>
      <c r="N71" s="416">
        <v>0</v>
      </c>
      <c r="O71" s="416">
        <v>0</v>
      </c>
      <c r="P71" s="416">
        <v>0.29443019943019899</v>
      </c>
      <c r="Q71" s="416">
        <v>0</v>
      </c>
      <c r="R71" s="416">
        <v>0</v>
      </c>
      <c r="S71" s="416">
        <v>0</v>
      </c>
      <c r="T71" s="416">
        <v>0</v>
      </c>
      <c r="U71" s="416">
        <v>0</v>
      </c>
      <c r="V71" s="416">
        <v>0</v>
      </c>
      <c r="W71" s="416">
        <v>0</v>
      </c>
      <c r="X71" s="416">
        <v>0.29443019943019899</v>
      </c>
      <c r="Y71" s="416">
        <v>0.29443019943019899</v>
      </c>
    </row>
    <row r="72" spans="3:25" x14ac:dyDescent="0.25">
      <c r="D72" s="96"/>
      <c r="E72" s="96"/>
      <c r="F72" s="415" t="s">
        <v>47</v>
      </c>
      <c r="G72" s="14" t="s">
        <v>94</v>
      </c>
      <c r="J72" s="416">
        <v>0</v>
      </c>
      <c r="K72" s="416">
        <v>0</v>
      </c>
      <c r="L72" s="416">
        <v>0</v>
      </c>
      <c r="M72" s="416">
        <v>0</v>
      </c>
      <c r="N72" s="416">
        <v>0</v>
      </c>
      <c r="O72" s="416">
        <v>0</v>
      </c>
      <c r="P72" s="416">
        <v>0.14317058823529399</v>
      </c>
      <c r="Q72" s="416">
        <v>0</v>
      </c>
      <c r="R72" s="416">
        <v>0</v>
      </c>
      <c r="S72" s="416">
        <v>0</v>
      </c>
      <c r="T72" s="416">
        <v>0</v>
      </c>
      <c r="U72" s="416">
        <v>0</v>
      </c>
      <c r="V72" s="416">
        <v>0</v>
      </c>
      <c r="W72" s="416">
        <v>0</v>
      </c>
      <c r="X72" s="416">
        <v>0.14317058823529399</v>
      </c>
      <c r="Y72" s="416">
        <v>0.14317058823529399</v>
      </c>
    </row>
    <row r="73" spans="3:25" x14ac:dyDescent="0.25">
      <c r="D73" s="96"/>
      <c r="E73" s="96"/>
      <c r="F73" s="415" t="s">
        <v>51</v>
      </c>
      <c r="G73" s="14" t="s">
        <v>94</v>
      </c>
      <c r="J73" s="416">
        <v>0</v>
      </c>
      <c r="K73" s="416">
        <v>0</v>
      </c>
      <c r="L73" s="416">
        <v>0</v>
      </c>
      <c r="M73" s="416">
        <v>0</v>
      </c>
      <c r="N73" s="416">
        <v>0</v>
      </c>
      <c r="O73" s="416">
        <v>0</v>
      </c>
      <c r="P73" s="416">
        <v>0</v>
      </c>
      <c r="Q73" s="416">
        <v>0</v>
      </c>
      <c r="R73" s="416">
        <v>0</v>
      </c>
      <c r="S73" s="416">
        <v>0</v>
      </c>
      <c r="T73" s="416">
        <v>0</v>
      </c>
      <c r="U73" s="416">
        <v>0</v>
      </c>
      <c r="V73" s="416">
        <v>0</v>
      </c>
      <c r="W73" s="416">
        <v>0</v>
      </c>
      <c r="X73" s="416">
        <v>0</v>
      </c>
      <c r="Y73" s="416">
        <v>0</v>
      </c>
    </row>
    <row r="74" spans="3:25" x14ac:dyDescent="0.25">
      <c r="D74" s="96"/>
      <c r="E74" s="96"/>
      <c r="F74" s="415" t="s">
        <v>48</v>
      </c>
      <c r="G74" s="14" t="s">
        <v>94</v>
      </c>
      <c r="J74" s="416">
        <v>0.32635129017655001</v>
      </c>
      <c r="K74" s="416">
        <v>0.32635129017655001</v>
      </c>
      <c r="L74" s="416">
        <v>0.32635129017655001</v>
      </c>
      <c r="M74" s="416">
        <v>0.32635129017655001</v>
      </c>
      <c r="N74" s="416">
        <v>0.32635129017655001</v>
      </c>
      <c r="O74" s="416">
        <v>0.32635129017655001</v>
      </c>
      <c r="P74" s="416">
        <v>0.73429040289723801</v>
      </c>
      <c r="Q74" s="416">
        <v>0.32635129017655001</v>
      </c>
      <c r="R74" s="416">
        <v>0.32635129017655001</v>
      </c>
      <c r="S74" s="416">
        <v>0.32635129017655001</v>
      </c>
      <c r="T74" s="416">
        <v>0.32635129017655001</v>
      </c>
      <c r="U74" s="416">
        <v>0.32635129017655001</v>
      </c>
      <c r="V74" s="416">
        <v>0.32635129017655001</v>
      </c>
      <c r="W74" s="416">
        <v>0.32635129017655001</v>
      </c>
      <c r="X74" s="416">
        <v>0.73429040289723801</v>
      </c>
      <c r="Y74" s="416">
        <v>0.73429040289723801</v>
      </c>
    </row>
    <row r="75" spans="3:25" x14ac:dyDescent="0.25">
      <c r="D75" s="96"/>
      <c r="E75" s="96"/>
      <c r="F75" s="415" t="s">
        <v>49</v>
      </c>
      <c r="G75" s="14" t="s">
        <v>94</v>
      </c>
      <c r="J75" s="416">
        <v>0.71097285067873295</v>
      </c>
      <c r="K75" s="416">
        <v>0.71097285067873295</v>
      </c>
      <c r="L75" s="416">
        <v>0.71097285067873295</v>
      </c>
      <c r="M75" s="416">
        <v>0.71097285067873295</v>
      </c>
      <c r="N75" s="416">
        <v>0.71097285067873295</v>
      </c>
      <c r="O75" s="416">
        <v>0.71097285067873295</v>
      </c>
      <c r="P75" s="416">
        <v>0</v>
      </c>
      <c r="Q75" s="416">
        <v>0.71097285067873295</v>
      </c>
      <c r="R75" s="416">
        <v>0.71097285067873295</v>
      </c>
      <c r="S75" s="416">
        <v>0.71097285067873295</v>
      </c>
      <c r="T75" s="416">
        <v>0.71097285067873295</v>
      </c>
      <c r="U75" s="416">
        <v>0.71097285067873295</v>
      </c>
      <c r="V75" s="416">
        <v>0.71097285067873295</v>
      </c>
      <c r="W75" s="416">
        <v>0.71097285067873295</v>
      </c>
      <c r="X75" s="416">
        <v>0</v>
      </c>
      <c r="Y75" s="416">
        <v>0</v>
      </c>
    </row>
    <row r="76" spans="3:25" x14ac:dyDescent="0.25">
      <c r="D76" s="96"/>
      <c r="E76" s="96"/>
      <c r="F76" s="417" t="s">
        <v>50</v>
      </c>
      <c r="G76" s="15" t="s">
        <v>94</v>
      </c>
      <c r="H76" s="93"/>
      <c r="I76" s="93"/>
      <c r="J76" s="285">
        <v>0.93094869075781095</v>
      </c>
      <c r="K76" s="285">
        <v>0.93094869075781095</v>
      </c>
      <c r="L76" s="285">
        <v>0.93094869075781095</v>
      </c>
      <c r="M76" s="285">
        <v>0.93094869075781095</v>
      </c>
      <c r="N76" s="285">
        <v>0.93094869075781095</v>
      </c>
      <c r="O76" s="285">
        <v>0</v>
      </c>
      <c r="P76" s="285">
        <v>0</v>
      </c>
      <c r="Q76" s="285">
        <v>0.93094869075781095</v>
      </c>
      <c r="R76" s="285">
        <v>0.93094869075781095</v>
      </c>
      <c r="S76" s="285">
        <v>0</v>
      </c>
      <c r="T76" s="285">
        <v>0.93094869075781095</v>
      </c>
      <c r="U76" s="285">
        <v>0.93094869075781095</v>
      </c>
      <c r="V76" s="285">
        <v>0</v>
      </c>
      <c r="W76" s="285">
        <v>0</v>
      </c>
      <c r="X76" s="285">
        <v>0</v>
      </c>
      <c r="Y76" s="285">
        <v>0</v>
      </c>
    </row>
    <row r="77" spans="3:25" x14ac:dyDescent="0.25">
      <c r="C77" s="96"/>
      <c r="D77" s="96"/>
      <c r="J77" s="238"/>
      <c r="K77" s="238"/>
      <c r="L77" s="238"/>
      <c r="M77" s="238"/>
      <c r="N77" s="238"/>
      <c r="O77" s="238"/>
      <c r="P77" s="238"/>
      <c r="Q77" s="238"/>
      <c r="R77" s="238"/>
      <c r="S77" s="238"/>
      <c r="T77" s="238"/>
      <c r="U77" s="238"/>
      <c r="V77" s="238"/>
      <c r="W77" s="238"/>
      <c r="X77" s="238"/>
      <c r="Y77" s="238"/>
    </row>
    <row r="78" spans="3:25" x14ac:dyDescent="0.25">
      <c r="E78" s="14" t="s">
        <v>143</v>
      </c>
      <c r="F78" s="14"/>
      <c r="G78" s="14" t="s">
        <v>528</v>
      </c>
      <c r="J78" s="416">
        <f>'Pseudo-load coefficients'!J267</f>
        <v>1.8738351254480285</v>
      </c>
      <c r="K78" s="416">
        <f>'Pseudo-load coefficients'!K267</f>
        <v>0</v>
      </c>
      <c r="L78" s="416">
        <f>'Pseudo-load coefficients'!L267</f>
        <v>1.6149812734082396</v>
      </c>
      <c r="M78" s="416">
        <f>'Pseudo-load coefficients'!M267</f>
        <v>0</v>
      </c>
      <c r="N78" s="416">
        <f>'Pseudo-load coefficients'!N267</f>
        <v>1.4631147540983607</v>
      </c>
      <c r="O78" s="416">
        <f>'Pseudo-load coefficients'!O267</f>
        <v>1.2724270776004403</v>
      </c>
      <c r="P78" s="416">
        <f>'Pseudo-load coefficients'!P267</f>
        <v>1.1364452423698383</v>
      </c>
      <c r="Q78" s="416">
        <f>'Pseudo-load coefficients'!Q267</f>
        <v>1.8039772727272727</v>
      </c>
      <c r="R78" s="416">
        <f>'Pseudo-load coefficients'!R267</f>
        <v>1</v>
      </c>
      <c r="S78" s="416">
        <f>'Pseudo-load coefficients'!S267</f>
        <v>1</v>
      </c>
      <c r="T78" s="416">
        <f>'Pseudo-load coefficients'!T267</f>
        <v>1</v>
      </c>
      <c r="U78" s="416">
        <f>'Pseudo-load coefficients'!U267</f>
        <v>1</v>
      </c>
      <c r="V78" s="416">
        <f>'Pseudo-load coefficients'!V267</f>
        <v>1</v>
      </c>
      <c r="W78" s="416">
        <f>'Pseudo-load coefficients'!W267</f>
        <v>1</v>
      </c>
      <c r="X78" s="416">
        <f>'Pseudo-load coefficients'!X267</f>
        <v>1</v>
      </c>
      <c r="Y78" s="416">
        <f>'Pseudo-load coefficients'!Y267</f>
        <v>1</v>
      </c>
    </row>
    <row r="79" spans="3:25" x14ac:dyDescent="0.25">
      <c r="D79" s="96"/>
      <c r="J79" s="238"/>
      <c r="K79" s="238"/>
      <c r="L79" s="238"/>
      <c r="M79" s="238"/>
      <c r="N79" s="238"/>
      <c r="O79" s="238"/>
      <c r="P79" s="238"/>
      <c r="Q79" s="238"/>
      <c r="R79" s="238"/>
      <c r="S79" s="238"/>
      <c r="T79" s="238"/>
      <c r="U79" s="238"/>
      <c r="V79" s="238"/>
      <c r="W79" s="238"/>
      <c r="X79" s="238"/>
      <c r="Y79" s="238"/>
    </row>
    <row r="80" spans="3:25" x14ac:dyDescent="0.25">
      <c r="E80" s="96" t="s">
        <v>305</v>
      </c>
      <c r="J80" s="238"/>
      <c r="K80" s="238"/>
      <c r="L80" s="238"/>
      <c r="M80" s="238"/>
      <c r="N80" s="238"/>
      <c r="O80" s="238"/>
      <c r="P80" s="238"/>
      <c r="Q80" s="238"/>
      <c r="R80" s="238"/>
      <c r="S80" s="238"/>
      <c r="T80" s="238"/>
      <c r="U80" s="238"/>
      <c r="V80" s="238"/>
      <c r="W80" s="238"/>
      <c r="X80" s="238"/>
      <c r="Y80" s="238"/>
    </row>
    <row r="81" spans="5:25" x14ac:dyDescent="0.25">
      <c r="E81" s="96"/>
      <c r="F81" s="414" t="s">
        <v>324</v>
      </c>
      <c r="G81" s="16" t="s">
        <v>528</v>
      </c>
      <c r="H81" s="91"/>
      <c r="I81" s="91"/>
      <c r="J81" s="284">
        <f>'Pseudo-load coefficients'!J272</f>
        <v>9.455868814310227</v>
      </c>
      <c r="K81" s="284">
        <f>'Pseudo-load coefficients'!K272</f>
        <v>9.455868814310227</v>
      </c>
      <c r="L81" s="284">
        <f>'Pseudo-load coefficients'!L272</f>
        <v>11.744550098040067</v>
      </c>
      <c r="M81" s="284">
        <f>'Pseudo-load coefficients'!M272</f>
        <v>11.744550098040067</v>
      </c>
      <c r="N81" s="284">
        <f>'Pseudo-load coefficients'!N272</f>
        <v>9.5415652674243319</v>
      </c>
      <c r="O81" s="284">
        <f>'Pseudo-load coefficients'!O272</f>
        <v>9.2757552861942649</v>
      </c>
      <c r="P81" s="284">
        <f>'Pseudo-load coefficients'!P272</f>
        <v>8.4462172841449412</v>
      </c>
      <c r="Q81" s="284">
        <f>'Pseudo-load coefficients'!Q272</f>
        <v>17.191456131606252</v>
      </c>
      <c r="R81" s="284">
        <f>'Pseudo-load coefficients'!R272</f>
        <v>7.1667980801306506</v>
      </c>
      <c r="S81" s="284">
        <f>'Pseudo-load coefficients'!S272</f>
        <v>7.1667980801306506</v>
      </c>
      <c r="T81" s="284">
        <f>'Pseudo-load coefficients'!T272</f>
        <v>7.1667980801306506</v>
      </c>
      <c r="U81" s="284">
        <f>'Pseudo-load coefficients'!U272</f>
        <v>7.1667980801306506</v>
      </c>
      <c r="V81" s="284">
        <f>'Pseudo-load coefficients'!V272</f>
        <v>7.1667980801306506</v>
      </c>
      <c r="W81" s="284">
        <f>'Pseudo-load coefficients'!W272</f>
        <v>7.1667980801306506</v>
      </c>
      <c r="X81" s="284">
        <f>'Pseudo-load coefficients'!X272</f>
        <v>7.1667980801306506</v>
      </c>
      <c r="Y81" s="284">
        <f>'Pseudo-load coefficients'!Y272</f>
        <v>7.1667980801306506</v>
      </c>
    </row>
    <row r="82" spans="5:25" x14ac:dyDescent="0.25">
      <c r="E82" s="96"/>
      <c r="F82" s="415" t="s">
        <v>43</v>
      </c>
      <c r="G82" s="14" t="s">
        <v>528</v>
      </c>
      <c r="J82" s="416">
        <f>'Pseudo-load coefficients'!J272</f>
        <v>9.455868814310227</v>
      </c>
      <c r="K82" s="416">
        <f>'Pseudo-load coefficients'!K272</f>
        <v>9.455868814310227</v>
      </c>
      <c r="L82" s="416">
        <f>'Pseudo-load coefficients'!L272</f>
        <v>11.744550098040067</v>
      </c>
      <c r="M82" s="416">
        <f>'Pseudo-load coefficients'!M272</f>
        <v>11.744550098040067</v>
      </c>
      <c r="N82" s="416">
        <f>'Pseudo-load coefficients'!N272</f>
        <v>9.5415652674243319</v>
      </c>
      <c r="O82" s="416">
        <f>'Pseudo-load coefficients'!O272</f>
        <v>9.2757552861942649</v>
      </c>
      <c r="P82" s="416">
        <f>'Pseudo-load coefficients'!P272</f>
        <v>8.4462172841449412</v>
      </c>
      <c r="Q82" s="416">
        <f>'Pseudo-load coefficients'!Q272</f>
        <v>17.191456131606252</v>
      </c>
      <c r="R82" s="416">
        <f>'Pseudo-load coefficients'!R272</f>
        <v>7.1667980801306506</v>
      </c>
      <c r="S82" s="416">
        <f>'Pseudo-load coefficients'!S272</f>
        <v>7.1667980801306506</v>
      </c>
      <c r="T82" s="416">
        <f>'Pseudo-load coefficients'!T272</f>
        <v>7.1667980801306506</v>
      </c>
      <c r="U82" s="416">
        <f>'Pseudo-load coefficients'!U272</f>
        <v>7.1667980801306506</v>
      </c>
      <c r="V82" s="416">
        <f>'Pseudo-load coefficients'!V272</f>
        <v>7.1667980801306506</v>
      </c>
      <c r="W82" s="416">
        <f>'Pseudo-load coefficients'!W272</f>
        <v>7.1667980801306506</v>
      </c>
      <c r="X82" s="416">
        <f>'Pseudo-load coefficients'!X272</f>
        <v>7.1667980801306506</v>
      </c>
      <c r="Y82" s="416">
        <f>'Pseudo-load coefficients'!Y272</f>
        <v>7.1667980801306506</v>
      </c>
    </row>
    <row r="83" spans="5:25" x14ac:dyDescent="0.25">
      <c r="E83" s="96"/>
      <c r="F83" s="415" t="s">
        <v>44</v>
      </c>
      <c r="G83" s="14" t="s">
        <v>528</v>
      </c>
      <c r="J83" s="416">
        <f>'Pseudo-load coefficients'!J273</f>
        <v>9.455868814310227</v>
      </c>
      <c r="K83" s="416">
        <f>'Pseudo-load coefficients'!K273</f>
        <v>9.455868814310227</v>
      </c>
      <c r="L83" s="416">
        <f>'Pseudo-load coefficients'!L273</f>
        <v>11.744550098040067</v>
      </c>
      <c r="M83" s="416">
        <f>'Pseudo-load coefficients'!M273</f>
        <v>11.744550098040067</v>
      </c>
      <c r="N83" s="416">
        <f>'Pseudo-load coefficients'!N273</f>
        <v>9.5415652674243319</v>
      </c>
      <c r="O83" s="416">
        <f>'Pseudo-load coefficients'!O273</f>
        <v>9.2757552861942649</v>
      </c>
      <c r="P83" s="416">
        <f>'Pseudo-load coefficients'!P273</f>
        <v>8.4462172841449412</v>
      </c>
      <c r="Q83" s="416">
        <f>'Pseudo-load coefficients'!Q273</f>
        <v>17.191456131606252</v>
      </c>
      <c r="R83" s="416">
        <f>'Pseudo-load coefficients'!R273</f>
        <v>7.1667980801306506</v>
      </c>
      <c r="S83" s="416">
        <f>'Pseudo-load coefficients'!S273</f>
        <v>7.1667980801306506</v>
      </c>
      <c r="T83" s="416">
        <f>'Pseudo-load coefficients'!T273</f>
        <v>7.1667980801306506</v>
      </c>
      <c r="U83" s="416">
        <f>'Pseudo-load coefficients'!U273</f>
        <v>7.1667980801306506</v>
      </c>
      <c r="V83" s="416">
        <f>'Pseudo-load coefficients'!V273</f>
        <v>7.1667980801306506</v>
      </c>
      <c r="W83" s="416">
        <f>'Pseudo-load coefficients'!W273</f>
        <v>7.1667980801306506</v>
      </c>
      <c r="X83" s="416">
        <f>'Pseudo-load coefficients'!X273</f>
        <v>7.1667980801306506</v>
      </c>
      <c r="Y83" s="416">
        <f>'Pseudo-load coefficients'!Y273</f>
        <v>7.1667980801306506</v>
      </c>
    </row>
    <row r="84" spans="5:25" x14ac:dyDescent="0.25">
      <c r="E84" s="96"/>
      <c r="F84" s="415" t="s">
        <v>45</v>
      </c>
      <c r="G84" s="14" t="s">
        <v>528</v>
      </c>
      <c r="J84" s="416">
        <f>'Pseudo-load coefficients'!J274</f>
        <v>7.8555470046266365</v>
      </c>
      <c r="K84" s="416">
        <f>'Pseudo-load coefficients'!K274</f>
        <v>7.8555470046266365</v>
      </c>
      <c r="L84" s="416">
        <f>'Pseudo-load coefficients'!L274</f>
        <v>9.7568893091793765</v>
      </c>
      <c r="M84" s="416">
        <f>'Pseudo-load coefficients'!M274</f>
        <v>9.7568893091793765</v>
      </c>
      <c r="N84" s="416">
        <f>'Pseudo-load coefficients'!N274</f>
        <v>7.9267400942080872</v>
      </c>
      <c r="O84" s="416">
        <f>'Pseudo-load coefficients'!O274</f>
        <v>7.7059160913738198</v>
      </c>
      <c r="P84" s="416">
        <f>'Pseudo-load coefficients'!P274</f>
        <v>7.0167700282050181</v>
      </c>
      <c r="Q84" s="416">
        <f>'Pseudo-load coefficients'!Q274</f>
        <v>10.932488997613858</v>
      </c>
      <c r="R84" s="416">
        <f>'Pseudo-load coefficients'!R274</f>
        <v>5.9538811606536752</v>
      </c>
      <c r="S84" s="416">
        <f>'Pseudo-load coefficients'!S274</f>
        <v>5.9538811606536752</v>
      </c>
      <c r="T84" s="416">
        <f>'Pseudo-load coefficients'!T274</f>
        <v>5.9538811606536752</v>
      </c>
      <c r="U84" s="416">
        <f>'Pseudo-load coefficients'!U274</f>
        <v>5.9538811606536752</v>
      </c>
      <c r="V84" s="416">
        <f>'Pseudo-load coefficients'!V274</f>
        <v>5.9538811606536752</v>
      </c>
      <c r="W84" s="416">
        <f>'Pseudo-load coefficients'!W274</f>
        <v>5.9538811606536752</v>
      </c>
      <c r="X84" s="416">
        <f>'Pseudo-load coefficients'!X274</f>
        <v>5.9538811606536752</v>
      </c>
      <c r="Y84" s="416">
        <f>'Pseudo-load coefficients'!Y274</f>
        <v>5.9538811606536752</v>
      </c>
    </row>
    <row r="85" spans="5:25" x14ac:dyDescent="0.25">
      <c r="E85" s="96"/>
      <c r="F85" s="415" t="s">
        <v>46</v>
      </c>
      <c r="G85" s="14" t="s">
        <v>528</v>
      </c>
      <c r="J85" s="416">
        <f>'Pseudo-load coefficients'!J275</f>
        <v>7.8555470046266365</v>
      </c>
      <c r="K85" s="416">
        <f>'Pseudo-load coefficients'!K275</f>
        <v>7.8555470046266365</v>
      </c>
      <c r="L85" s="416">
        <f>'Pseudo-load coefficients'!L275</f>
        <v>9.7568893091793765</v>
      </c>
      <c r="M85" s="416">
        <f>'Pseudo-load coefficients'!M275</f>
        <v>9.7568893091793765</v>
      </c>
      <c r="N85" s="416">
        <f>'Pseudo-load coefficients'!N275</f>
        <v>7.9267400942080872</v>
      </c>
      <c r="O85" s="416">
        <f>'Pseudo-load coefficients'!O275</f>
        <v>7.7059160913738198</v>
      </c>
      <c r="P85" s="416">
        <f>'Pseudo-load coefficients'!P275</f>
        <v>7.0167700282050181</v>
      </c>
      <c r="Q85" s="416">
        <f>'Pseudo-load coefficients'!Q275</f>
        <v>10.932488997613858</v>
      </c>
      <c r="R85" s="416">
        <f>'Pseudo-load coefficients'!R275</f>
        <v>5.9538811606536752</v>
      </c>
      <c r="S85" s="416">
        <f>'Pseudo-load coefficients'!S275</f>
        <v>5.9538811606536752</v>
      </c>
      <c r="T85" s="416">
        <f>'Pseudo-load coefficients'!T275</f>
        <v>5.9538811606536752</v>
      </c>
      <c r="U85" s="416">
        <f>'Pseudo-load coefficients'!U275</f>
        <v>5.9538811606536752</v>
      </c>
      <c r="V85" s="416">
        <f>'Pseudo-load coefficients'!V275</f>
        <v>5.9538811606536752</v>
      </c>
      <c r="W85" s="416">
        <f>'Pseudo-load coefficients'!W275</f>
        <v>5.9538811606536752</v>
      </c>
      <c r="X85" s="416">
        <f>'Pseudo-load coefficients'!X275</f>
        <v>5.9538811606536752</v>
      </c>
      <c r="Y85" s="416">
        <f>'Pseudo-load coefficients'!Y275</f>
        <v>5.9538811606536752</v>
      </c>
    </row>
    <row r="86" spans="5:25" x14ac:dyDescent="0.25">
      <c r="E86" s="96"/>
      <c r="F86" s="415" t="s">
        <v>47</v>
      </c>
      <c r="G86" s="14" t="s">
        <v>528</v>
      </c>
      <c r="J86" s="416">
        <f>'Pseudo-load coefficients'!J276</f>
        <v>7.0489009675346903</v>
      </c>
      <c r="K86" s="416">
        <f>'Pseudo-load coefficients'!K276</f>
        <v>7.0489009675346903</v>
      </c>
      <c r="L86" s="416">
        <f>'Pseudo-load coefficients'!L276</f>
        <v>8.7550041328881587</v>
      </c>
      <c r="M86" s="416">
        <f>'Pseudo-load coefficients'!M276</f>
        <v>8.7550041328881587</v>
      </c>
      <c r="N86" s="416">
        <f>'Pseudo-load coefficients'!N276</f>
        <v>7.112783602026842</v>
      </c>
      <c r="O86" s="416">
        <f>'Pseudo-load coefficients'!O276</f>
        <v>6.914634889236174</v>
      </c>
      <c r="P86" s="416">
        <f>'Pseudo-load coefficients'!P276</f>
        <v>6.2962537187610605</v>
      </c>
      <c r="Q86" s="416">
        <f>'Pseudo-load coefficients'!Q276</f>
        <v>12.964837282674322</v>
      </c>
      <c r="R86" s="416">
        <f>'Pseudo-load coefficients'!R276</f>
        <v>5.3425074853731278</v>
      </c>
      <c r="S86" s="416">
        <f>'Pseudo-load coefficients'!S276</f>
        <v>5.3425074853731278</v>
      </c>
      <c r="T86" s="416">
        <f>'Pseudo-load coefficients'!T276</f>
        <v>5.3425074853731278</v>
      </c>
      <c r="U86" s="416">
        <f>'Pseudo-load coefficients'!U276</f>
        <v>5.3425074853731278</v>
      </c>
      <c r="V86" s="416">
        <f>'Pseudo-load coefficients'!V276</f>
        <v>5.3425074853731278</v>
      </c>
      <c r="W86" s="416">
        <f>'Pseudo-load coefficients'!W276</f>
        <v>5.3425074853731278</v>
      </c>
      <c r="X86" s="416">
        <f>'Pseudo-load coefficients'!X276</f>
        <v>5.3425074853731278</v>
      </c>
      <c r="Y86" s="416">
        <f>'Pseudo-load coefficients'!Y276</f>
        <v>5.3425074853731278</v>
      </c>
    </row>
    <row r="87" spans="5:25" x14ac:dyDescent="0.25">
      <c r="E87" s="96"/>
      <c r="F87" s="415" t="s">
        <v>51</v>
      </c>
      <c r="G87" s="14" t="s">
        <v>528</v>
      </c>
      <c r="J87" s="416">
        <f>'Pseudo-load coefficients'!J277</f>
        <v>0</v>
      </c>
      <c r="K87" s="416">
        <f>'Pseudo-load coefficients'!K277</f>
        <v>0</v>
      </c>
      <c r="L87" s="416">
        <f>'Pseudo-load coefficients'!L277</f>
        <v>0</v>
      </c>
      <c r="M87" s="416">
        <f>'Pseudo-load coefficients'!M277</f>
        <v>0</v>
      </c>
      <c r="N87" s="416">
        <f>'Pseudo-load coefficients'!N277</f>
        <v>0</v>
      </c>
      <c r="O87" s="416">
        <f>'Pseudo-load coefficients'!O277</f>
        <v>0</v>
      </c>
      <c r="P87" s="416">
        <f>'Pseudo-load coefficients'!P277</f>
        <v>0</v>
      </c>
      <c r="Q87" s="416">
        <f>'Pseudo-load coefficients'!Q277</f>
        <v>0</v>
      </c>
      <c r="R87" s="416">
        <f>'Pseudo-load coefficients'!R277</f>
        <v>0</v>
      </c>
      <c r="S87" s="416">
        <f>'Pseudo-load coefficients'!S277</f>
        <v>0</v>
      </c>
      <c r="T87" s="416">
        <f>'Pseudo-load coefficients'!T277</f>
        <v>0</v>
      </c>
      <c r="U87" s="416">
        <f>'Pseudo-load coefficients'!U277</f>
        <v>0</v>
      </c>
      <c r="V87" s="416">
        <f>'Pseudo-load coefficients'!V277</f>
        <v>0</v>
      </c>
      <c r="W87" s="416">
        <f>'Pseudo-load coefficients'!W277</f>
        <v>0</v>
      </c>
      <c r="X87" s="416">
        <f>'Pseudo-load coefficients'!X277</f>
        <v>0</v>
      </c>
      <c r="Y87" s="416">
        <f>'Pseudo-load coefficients'!Y277</f>
        <v>0</v>
      </c>
    </row>
    <row r="88" spans="5:25" x14ac:dyDescent="0.25">
      <c r="E88" s="96"/>
      <c r="F88" s="415" t="s">
        <v>48</v>
      </c>
      <c r="G88" s="14" t="s">
        <v>528</v>
      </c>
      <c r="J88" s="416">
        <f>'Pseudo-load coefficients'!J278</f>
        <v>7.0489009675346903</v>
      </c>
      <c r="K88" s="416">
        <f>'Pseudo-load coefficients'!K278</f>
        <v>7.0489009675346903</v>
      </c>
      <c r="L88" s="416">
        <f>'Pseudo-load coefficients'!L278</f>
        <v>8.7550041328881587</v>
      </c>
      <c r="M88" s="416">
        <f>'Pseudo-load coefficients'!M278</f>
        <v>8.7550041328881587</v>
      </c>
      <c r="N88" s="416">
        <f>'Pseudo-load coefficients'!N278</f>
        <v>7.112783602026842</v>
      </c>
      <c r="O88" s="416">
        <f>'Pseudo-load coefficients'!O278</f>
        <v>6.914634889236174</v>
      </c>
      <c r="P88" s="416">
        <f>'Pseudo-load coefficients'!P278</f>
        <v>6.2962537187610605</v>
      </c>
      <c r="Q88" s="416">
        <f>'Pseudo-load coefficients'!Q278</f>
        <v>12.964837282674322</v>
      </c>
      <c r="R88" s="416">
        <f>'Pseudo-load coefficients'!R278</f>
        <v>5.3425074853731278</v>
      </c>
      <c r="S88" s="416">
        <f>'Pseudo-load coefficients'!S278</f>
        <v>5.3425074853731278</v>
      </c>
      <c r="T88" s="416">
        <f>'Pseudo-load coefficients'!T278</f>
        <v>5.3425074853731278</v>
      </c>
      <c r="U88" s="416">
        <f>'Pseudo-load coefficients'!U278</f>
        <v>5.3425074853731278</v>
      </c>
      <c r="V88" s="416">
        <f>'Pseudo-load coefficients'!V278</f>
        <v>5.3425074853731278</v>
      </c>
      <c r="W88" s="416">
        <f>'Pseudo-load coefficients'!W278</f>
        <v>5.3425074853731278</v>
      </c>
      <c r="X88" s="416">
        <f>'Pseudo-load coefficients'!X278</f>
        <v>5.3425074853731278</v>
      </c>
      <c r="Y88" s="416">
        <f>'Pseudo-load coefficients'!Y278</f>
        <v>5.3425074853731278</v>
      </c>
    </row>
    <row r="89" spans="5:25" x14ac:dyDescent="0.25">
      <c r="E89" s="96"/>
      <c r="F89" s="415" t="s">
        <v>49</v>
      </c>
      <c r="G89" s="14" t="s">
        <v>528</v>
      </c>
      <c r="J89" s="416">
        <f>'Pseudo-load coefficients'!J279</f>
        <v>7.0489009675346903</v>
      </c>
      <c r="K89" s="416">
        <f>'Pseudo-load coefficients'!K279</f>
        <v>7.0489009675346903</v>
      </c>
      <c r="L89" s="416">
        <f>'Pseudo-load coefficients'!L279</f>
        <v>8.7550041328881587</v>
      </c>
      <c r="M89" s="416">
        <f>'Pseudo-load coefficients'!M279</f>
        <v>8.7550041328881587</v>
      </c>
      <c r="N89" s="416">
        <f>'Pseudo-load coefficients'!N279</f>
        <v>7.112783602026842</v>
      </c>
      <c r="O89" s="416">
        <f>'Pseudo-load coefficients'!O279</f>
        <v>6.914634889236174</v>
      </c>
      <c r="P89" s="416">
        <f>'Pseudo-load coefficients'!P279</f>
        <v>6.2962537187610605</v>
      </c>
      <c r="Q89" s="416">
        <f>'Pseudo-load coefficients'!Q279</f>
        <v>12.964837282674322</v>
      </c>
      <c r="R89" s="416">
        <f>'Pseudo-load coefficients'!R279</f>
        <v>5.3425074853731278</v>
      </c>
      <c r="S89" s="416">
        <f>'Pseudo-load coefficients'!S279</f>
        <v>5.3425074853731278</v>
      </c>
      <c r="T89" s="416">
        <f>'Pseudo-load coefficients'!T279</f>
        <v>5.3425074853731278</v>
      </c>
      <c r="U89" s="416">
        <f>'Pseudo-load coefficients'!U279</f>
        <v>5.3425074853731278</v>
      </c>
      <c r="V89" s="416">
        <f>'Pseudo-load coefficients'!V279</f>
        <v>5.3425074853731278</v>
      </c>
      <c r="W89" s="416">
        <f>'Pseudo-load coefficients'!W279</f>
        <v>5.3425074853731278</v>
      </c>
      <c r="X89" s="416">
        <f>'Pseudo-load coefficients'!X279</f>
        <v>5.3425074853731278</v>
      </c>
      <c r="Y89" s="416">
        <f>'Pseudo-load coefficients'!Y279</f>
        <v>5.3425074853731278</v>
      </c>
    </row>
    <row r="90" spans="5:25" x14ac:dyDescent="0.25">
      <c r="E90" s="96"/>
      <c r="F90" s="417" t="s">
        <v>50</v>
      </c>
      <c r="G90" s="15" t="s">
        <v>528</v>
      </c>
      <c r="H90" s="93"/>
      <c r="I90" s="93"/>
      <c r="J90" s="285">
        <f>'Pseudo-load coefficients'!J280</f>
        <v>7.0489009675346903</v>
      </c>
      <c r="K90" s="285">
        <f>'Pseudo-load coefficients'!K280</f>
        <v>7.0489009675346903</v>
      </c>
      <c r="L90" s="285">
        <f>'Pseudo-load coefficients'!L280</f>
        <v>8.7550041328881587</v>
      </c>
      <c r="M90" s="285">
        <f>'Pseudo-load coefficients'!M280</f>
        <v>8.7550041328881587</v>
      </c>
      <c r="N90" s="285">
        <f>'Pseudo-load coefficients'!N280</f>
        <v>7.112783602026842</v>
      </c>
      <c r="O90" s="285">
        <f>'Pseudo-load coefficients'!O280</f>
        <v>6.914634889236174</v>
      </c>
      <c r="P90" s="285">
        <f>'Pseudo-load coefficients'!P280</f>
        <v>6.2962537187610605</v>
      </c>
      <c r="Q90" s="285">
        <f>'Pseudo-load coefficients'!Q280</f>
        <v>12.964837282674322</v>
      </c>
      <c r="R90" s="285">
        <f>'Pseudo-load coefficients'!R280</f>
        <v>5.3425074853731278</v>
      </c>
      <c r="S90" s="285">
        <f>'Pseudo-load coefficients'!S280</f>
        <v>5.3425074853731278</v>
      </c>
      <c r="T90" s="285">
        <f>'Pseudo-load coefficients'!T280</f>
        <v>5.3425074853731278</v>
      </c>
      <c r="U90" s="285">
        <f>'Pseudo-load coefficients'!U280</f>
        <v>5.3425074853731278</v>
      </c>
      <c r="V90" s="285">
        <f>'Pseudo-load coefficients'!V280</f>
        <v>5.3425074853731278</v>
      </c>
      <c r="W90" s="285">
        <f>'Pseudo-load coefficients'!W280</f>
        <v>5.3425074853731278</v>
      </c>
      <c r="X90" s="285">
        <f>'Pseudo-load coefficients'!X280</f>
        <v>5.3425074853731278</v>
      </c>
      <c r="Y90" s="285">
        <f>'Pseudo-load coefficients'!Y280</f>
        <v>5.3425074853731278</v>
      </c>
    </row>
    <row r="91" spans="5:25" x14ac:dyDescent="0.25">
      <c r="E91" s="96"/>
      <c r="J91" s="238"/>
      <c r="K91" s="238"/>
      <c r="L91" s="238"/>
      <c r="M91" s="238"/>
      <c r="N91" s="238"/>
      <c r="O91" s="238"/>
      <c r="P91" s="238"/>
      <c r="Q91" s="238"/>
      <c r="R91" s="238"/>
      <c r="S91" s="238"/>
      <c r="T91" s="238"/>
      <c r="U91" s="238"/>
      <c r="V91" s="238"/>
      <c r="W91" s="238"/>
      <c r="X91" s="238"/>
      <c r="Y91" s="238"/>
    </row>
    <row r="92" spans="5:25" x14ac:dyDescent="0.25">
      <c r="E92" s="96" t="s">
        <v>306</v>
      </c>
      <c r="J92" s="238"/>
      <c r="K92" s="238"/>
      <c r="L92" s="238"/>
      <c r="M92" s="238"/>
      <c r="N92" s="238"/>
      <c r="O92" s="238"/>
      <c r="P92" s="238"/>
      <c r="Q92" s="238"/>
      <c r="R92" s="238"/>
      <c r="S92" s="238"/>
      <c r="T92" s="238"/>
      <c r="U92" s="238"/>
      <c r="V92" s="238"/>
      <c r="W92" s="238"/>
      <c r="X92" s="238"/>
      <c r="Y92" s="238"/>
    </row>
    <row r="93" spans="5:25" x14ac:dyDescent="0.25">
      <c r="E93" s="96"/>
      <c r="F93" s="414" t="s">
        <v>324</v>
      </c>
      <c r="G93" s="16" t="s">
        <v>528</v>
      </c>
      <c r="H93" s="91"/>
      <c r="I93" s="91"/>
      <c r="J93" s="284">
        <f>'Pseudo-load coefficients'!J283</f>
        <v>1.0110086003915804</v>
      </c>
      <c r="K93" s="284">
        <f>'Pseudo-load coefficients'!K283</f>
        <v>1.0110086003915804</v>
      </c>
      <c r="L93" s="284">
        <f>'Pseudo-load coefficients'!L283</f>
        <v>1.2557112825929622</v>
      </c>
      <c r="M93" s="284">
        <f>'Pseudo-load coefficients'!M283</f>
        <v>1.2557112825929622</v>
      </c>
      <c r="N93" s="284">
        <f>'Pseudo-load coefficients'!N283</f>
        <v>1.0201711483100009</v>
      </c>
      <c r="O93" s="284">
        <f>'Pseudo-load coefficients'!O283</f>
        <v>0.99175110755321449</v>
      </c>
      <c r="P93" s="284">
        <f>'Pseudo-load coefficients'!P283</f>
        <v>0.90305803546296959</v>
      </c>
      <c r="Q93" s="284">
        <f>'Pseudo-load coefficients'!Q283</f>
        <v>1.3075065456392576</v>
      </c>
      <c r="R93" s="284">
        <f>'Pseudo-load coefficients'!R283</f>
        <v>0.76626427867913516</v>
      </c>
      <c r="S93" s="284">
        <f>'Pseudo-load coefficients'!S283</f>
        <v>0.76626427867913516</v>
      </c>
      <c r="T93" s="284">
        <f>'Pseudo-load coefficients'!T283</f>
        <v>0.76626427867913516</v>
      </c>
      <c r="U93" s="284">
        <f>'Pseudo-load coefficients'!U283</f>
        <v>0.76626427867913516</v>
      </c>
      <c r="V93" s="284">
        <f>'Pseudo-load coefficients'!V283</f>
        <v>0.76626427867913516</v>
      </c>
      <c r="W93" s="284">
        <f>'Pseudo-load coefficients'!W283</f>
        <v>0.76626427867913516</v>
      </c>
      <c r="X93" s="284">
        <f>'Pseudo-load coefficients'!X283</f>
        <v>0.76626427867913516</v>
      </c>
      <c r="Y93" s="284">
        <f>'Pseudo-load coefficients'!Y283</f>
        <v>0.76626427867913516</v>
      </c>
    </row>
    <row r="94" spans="5:25" x14ac:dyDescent="0.25">
      <c r="E94" s="96"/>
      <c r="F94" s="415" t="s">
        <v>43</v>
      </c>
      <c r="G94" s="14" t="s">
        <v>528</v>
      </c>
      <c r="J94" s="416">
        <f>'Pseudo-load coefficients'!J283</f>
        <v>1.0110086003915804</v>
      </c>
      <c r="K94" s="416">
        <f>'Pseudo-load coefficients'!K283</f>
        <v>1.0110086003915804</v>
      </c>
      <c r="L94" s="416">
        <f>'Pseudo-load coefficients'!L283</f>
        <v>1.2557112825929622</v>
      </c>
      <c r="M94" s="416">
        <f>'Pseudo-load coefficients'!M283</f>
        <v>1.2557112825929622</v>
      </c>
      <c r="N94" s="416">
        <f>'Pseudo-load coefficients'!N283</f>
        <v>1.0201711483100009</v>
      </c>
      <c r="O94" s="416">
        <f>'Pseudo-load coefficients'!O283</f>
        <v>0.99175110755321449</v>
      </c>
      <c r="P94" s="416">
        <f>'Pseudo-load coefficients'!P283</f>
        <v>0.90305803546296959</v>
      </c>
      <c r="Q94" s="416">
        <f>'Pseudo-load coefficients'!Q283</f>
        <v>1.3075065456392576</v>
      </c>
      <c r="R94" s="416">
        <f>'Pseudo-load coefficients'!R283</f>
        <v>0.76626427867913516</v>
      </c>
      <c r="S94" s="416">
        <f>'Pseudo-load coefficients'!S283</f>
        <v>0.76626427867913516</v>
      </c>
      <c r="T94" s="416">
        <f>'Pseudo-load coefficients'!T283</f>
        <v>0.76626427867913516</v>
      </c>
      <c r="U94" s="416">
        <f>'Pseudo-load coefficients'!U283</f>
        <v>0.76626427867913516</v>
      </c>
      <c r="V94" s="416">
        <f>'Pseudo-load coefficients'!V283</f>
        <v>0.76626427867913516</v>
      </c>
      <c r="W94" s="416">
        <f>'Pseudo-load coefficients'!W283</f>
        <v>0.76626427867913516</v>
      </c>
      <c r="X94" s="416">
        <f>'Pseudo-load coefficients'!X283</f>
        <v>0.76626427867913516</v>
      </c>
      <c r="Y94" s="416">
        <f>'Pseudo-load coefficients'!Y283</f>
        <v>0.76626427867913516</v>
      </c>
    </row>
    <row r="95" spans="5:25" x14ac:dyDescent="0.25">
      <c r="E95" s="96"/>
      <c r="F95" s="415" t="s">
        <v>44</v>
      </c>
      <c r="G95" s="14" t="s">
        <v>528</v>
      </c>
      <c r="J95" s="416">
        <f>'Pseudo-load coefficients'!J284</f>
        <v>1.0110086003915804</v>
      </c>
      <c r="K95" s="416">
        <f>'Pseudo-load coefficients'!K284</f>
        <v>1.0110086003915804</v>
      </c>
      <c r="L95" s="416">
        <f>'Pseudo-load coefficients'!L284</f>
        <v>1.2557112825929622</v>
      </c>
      <c r="M95" s="416">
        <f>'Pseudo-load coefficients'!M284</f>
        <v>1.2557112825929622</v>
      </c>
      <c r="N95" s="416">
        <f>'Pseudo-load coefficients'!N284</f>
        <v>1.0201711483100009</v>
      </c>
      <c r="O95" s="416">
        <f>'Pseudo-load coefficients'!O284</f>
        <v>0.99175110755321449</v>
      </c>
      <c r="P95" s="416">
        <f>'Pseudo-load coefficients'!P284</f>
        <v>0.90305803546296959</v>
      </c>
      <c r="Q95" s="416">
        <f>'Pseudo-load coefficients'!Q284</f>
        <v>1.3075065456392576</v>
      </c>
      <c r="R95" s="416">
        <f>'Pseudo-load coefficients'!R284</f>
        <v>0.76626427867913516</v>
      </c>
      <c r="S95" s="416">
        <f>'Pseudo-load coefficients'!S284</f>
        <v>0.76626427867913516</v>
      </c>
      <c r="T95" s="416">
        <f>'Pseudo-load coefficients'!T284</f>
        <v>0.76626427867913516</v>
      </c>
      <c r="U95" s="416">
        <f>'Pseudo-load coefficients'!U284</f>
        <v>0.76626427867913516</v>
      </c>
      <c r="V95" s="416">
        <f>'Pseudo-load coefficients'!V284</f>
        <v>0.76626427867913516</v>
      </c>
      <c r="W95" s="416">
        <f>'Pseudo-load coefficients'!W284</f>
        <v>0.76626427867913516</v>
      </c>
      <c r="X95" s="416">
        <f>'Pseudo-load coefficients'!X284</f>
        <v>0.76626427867913516</v>
      </c>
      <c r="Y95" s="416">
        <f>'Pseudo-load coefficients'!Y284</f>
        <v>0.76626427867913516</v>
      </c>
    </row>
    <row r="96" spans="5:25" x14ac:dyDescent="0.25">
      <c r="E96" s="96"/>
      <c r="F96" s="415" t="s">
        <v>45</v>
      </c>
      <c r="G96" s="14" t="s">
        <v>528</v>
      </c>
      <c r="J96" s="416">
        <f>'Pseudo-load coefficients'!J285</f>
        <v>1.2637010135951787</v>
      </c>
      <c r="K96" s="416">
        <f>'Pseudo-load coefficients'!K285</f>
        <v>1.2637010135951787</v>
      </c>
      <c r="L96" s="416">
        <f>'Pseudo-load coefficients'!L285</f>
        <v>1.5695649077376961</v>
      </c>
      <c r="M96" s="416">
        <f>'Pseudo-load coefficients'!M285</f>
        <v>1.5695649077376961</v>
      </c>
      <c r="N96" s="416">
        <f>'Pseudo-load coefficients'!N285</f>
        <v>1.275153657110909</v>
      </c>
      <c r="O96" s="416">
        <f>'Pseudo-load coefficients'!O285</f>
        <v>1.2396302854038268</v>
      </c>
      <c r="P96" s="416">
        <f>'Pseudo-load coefficients'!P285</f>
        <v>1.1287691858484901</v>
      </c>
      <c r="Q96" s="416">
        <f>'Pseudo-load coefficients'!Q285</f>
        <v>1.6298517887685049</v>
      </c>
      <c r="R96" s="416">
        <f>'Pseudo-load coefficients'!R285</f>
        <v>0.95778507252416223</v>
      </c>
      <c r="S96" s="416">
        <f>'Pseudo-load coefficients'!S285</f>
        <v>0.95778507252416223</v>
      </c>
      <c r="T96" s="416">
        <f>'Pseudo-load coefficients'!T285</f>
        <v>0.95778507252416223</v>
      </c>
      <c r="U96" s="416">
        <f>'Pseudo-load coefficients'!U285</f>
        <v>0.95778507252416223</v>
      </c>
      <c r="V96" s="416">
        <f>'Pseudo-load coefficients'!V285</f>
        <v>0.95778507252416223</v>
      </c>
      <c r="W96" s="416">
        <f>'Pseudo-load coefficients'!W285</f>
        <v>0.95778507252416223</v>
      </c>
      <c r="X96" s="416">
        <f>'Pseudo-load coefficients'!X285</f>
        <v>0.95778507252416223</v>
      </c>
      <c r="Y96" s="416">
        <f>'Pseudo-load coefficients'!Y285</f>
        <v>0.95778507252416223</v>
      </c>
    </row>
    <row r="97" spans="3:25" x14ac:dyDescent="0.25">
      <c r="E97" s="96"/>
      <c r="F97" s="415" t="s">
        <v>46</v>
      </c>
      <c r="G97" s="14" t="s">
        <v>528</v>
      </c>
      <c r="J97" s="416">
        <f>'Pseudo-load coefficients'!J286</f>
        <v>1.2637010135951787</v>
      </c>
      <c r="K97" s="416">
        <f>'Pseudo-load coefficients'!K286</f>
        <v>1.2637010135951787</v>
      </c>
      <c r="L97" s="416">
        <f>'Pseudo-load coefficients'!L286</f>
        <v>1.5695649077376961</v>
      </c>
      <c r="M97" s="416">
        <f>'Pseudo-load coefficients'!M286</f>
        <v>1.5695649077376961</v>
      </c>
      <c r="N97" s="416">
        <f>'Pseudo-load coefficients'!N286</f>
        <v>1.275153657110909</v>
      </c>
      <c r="O97" s="416">
        <f>'Pseudo-load coefficients'!O286</f>
        <v>1.2396302854038268</v>
      </c>
      <c r="P97" s="416">
        <f>'Pseudo-load coefficients'!P286</f>
        <v>1.1287691858484901</v>
      </c>
      <c r="Q97" s="416">
        <f>'Pseudo-load coefficients'!Q286</f>
        <v>1.6298517887685049</v>
      </c>
      <c r="R97" s="416">
        <f>'Pseudo-load coefficients'!R286</f>
        <v>0.95778507252416223</v>
      </c>
      <c r="S97" s="416">
        <f>'Pseudo-load coefficients'!S286</f>
        <v>0.95778507252416223</v>
      </c>
      <c r="T97" s="416">
        <f>'Pseudo-load coefficients'!T286</f>
        <v>0.95778507252416223</v>
      </c>
      <c r="U97" s="416">
        <f>'Pseudo-load coefficients'!U286</f>
        <v>0.95778507252416223</v>
      </c>
      <c r="V97" s="416">
        <f>'Pseudo-load coefficients'!V286</f>
        <v>0.95778507252416223</v>
      </c>
      <c r="W97" s="416">
        <f>'Pseudo-load coefficients'!W286</f>
        <v>0.95778507252416223</v>
      </c>
      <c r="X97" s="416">
        <f>'Pseudo-load coefficients'!X286</f>
        <v>0.95778507252416223</v>
      </c>
      <c r="Y97" s="416">
        <f>'Pseudo-load coefficients'!Y286</f>
        <v>0.95778507252416223</v>
      </c>
    </row>
    <row r="98" spans="3:25" x14ac:dyDescent="0.25">
      <c r="E98" s="96"/>
      <c r="F98" s="415" t="s">
        <v>47</v>
      </c>
      <c r="G98" s="14" t="s">
        <v>528</v>
      </c>
      <c r="J98" s="416">
        <f>'Pseudo-load coefficients'!J287</f>
        <v>1.6160652843680967</v>
      </c>
      <c r="K98" s="416">
        <f>'Pseudo-load coefficients'!K287</f>
        <v>1.6160652843680967</v>
      </c>
      <c r="L98" s="416">
        <f>'Pseudo-load coefficients'!L287</f>
        <v>2.007214785514027</v>
      </c>
      <c r="M98" s="416">
        <f>'Pseudo-load coefficients'!M287</f>
        <v>2.007214785514027</v>
      </c>
      <c r="N98" s="416">
        <f>'Pseudo-load coefficients'!N287</f>
        <v>1.6307113275388305</v>
      </c>
      <c r="O98" s="416">
        <f>'Pseudo-load coefficients'!O287</f>
        <v>1.5852827908977181</v>
      </c>
      <c r="P98" s="416">
        <f>'Pseudo-load coefficients'!P287</f>
        <v>1.4435097192210913</v>
      </c>
      <c r="Q98" s="416">
        <f>'Pseudo-load coefficients'!Q287</f>
        <v>1.6251212020376569</v>
      </c>
      <c r="R98" s="416">
        <f>'Pseudo-load coefficients'!R287</f>
        <v>1.2248492237801776</v>
      </c>
      <c r="S98" s="416">
        <f>'Pseudo-load coefficients'!S287</f>
        <v>1.2248492237801776</v>
      </c>
      <c r="T98" s="416">
        <f>'Pseudo-load coefficients'!T287</f>
        <v>1.2248492237801776</v>
      </c>
      <c r="U98" s="416">
        <f>'Pseudo-load coefficients'!U287</f>
        <v>1.2248492237801776</v>
      </c>
      <c r="V98" s="416">
        <f>'Pseudo-load coefficients'!V287</f>
        <v>1.2248492237801776</v>
      </c>
      <c r="W98" s="416">
        <f>'Pseudo-load coefficients'!W287</f>
        <v>1.2248492237801776</v>
      </c>
      <c r="X98" s="416">
        <f>'Pseudo-load coefficients'!X287</f>
        <v>1.2248492237801776</v>
      </c>
      <c r="Y98" s="416">
        <f>'Pseudo-load coefficients'!Y287</f>
        <v>1.2248492237801776</v>
      </c>
    </row>
    <row r="99" spans="3:25" x14ac:dyDescent="0.25">
      <c r="E99" s="96"/>
      <c r="F99" s="415" t="s">
        <v>51</v>
      </c>
      <c r="G99" s="14" t="s">
        <v>528</v>
      </c>
      <c r="J99" s="416">
        <f>'Pseudo-load coefficients'!J288</f>
        <v>0</v>
      </c>
      <c r="K99" s="416">
        <f>'Pseudo-load coefficients'!K288</f>
        <v>0</v>
      </c>
      <c r="L99" s="416">
        <f>'Pseudo-load coefficients'!L288</f>
        <v>0</v>
      </c>
      <c r="M99" s="416">
        <f>'Pseudo-load coefficients'!M288</f>
        <v>0</v>
      </c>
      <c r="N99" s="416">
        <f>'Pseudo-load coefficients'!N288</f>
        <v>0</v>
      </c>
      <c r="O99" s="416">
        <f>'Pseudo-load coefficients'!O288</f>
        <v>0</v>
      </c>
      <c r="P99" s="416">
        <f>'Pseudo-load coefficients'!P288</f>
        <v>0</v>
      </c>
      <c r="Q99" s="416">
        <f>'Pseudo-load coefficients'!Q288</f>
        <v>0</v>
      </c>
      <c r="R99" s="416">
        <f>'Pseudo-load coefficients'!R288</f>
        <v>0</v>
      </c>
      <c r="S99" s="416">
        <f>'Pseudo-load coefficients'!S288</f>
        <v>0</v>
      </c>
      <c r="T99" s="416">
        <f>'Pseudo-load coefficients'!T288</f>
        <v>0</v>
      </c>
      <c r="U99" s="416">
        <f>'Pseudo-load coefficients'!U288</f>
        <v>0</v>
      </c>
      <c r="V99" s="416">
        <f>'Pseudo-load coefficients'!V288</f>
        <v>0</v>
      </c>
      <c r="W99" s="416">
        <f>'Pseudo-load coefficients'!W288</f>
        <v>0</v>
      </c>
      <c r="X99" s="416">
        <f>'Pseudo-load coefficients'!X288</f>
        <v>0</v>
      </c>
      <c r="Y99" s="416">
        <f>'Pseudo-load coefficients'!Y288</f>
        <v>0</v>
      </c>
    </row>
    <row r="100" spans="3:25" x14ac:dyDescent="0.25">
      <c r="E100" s="96"/>
      <c r="F100" s="415" t="s">
        <v>48</v>
      </c>
      <c r="G100" s="14" t="s">
        <v>528</v>
      </c>
      <c r="J100" s="416">
        <f>'Pseudo-load coefficients'!J289</f>
        <v>1.6160652843680967</v>
      </c>
      <c r="K100" s="416">
        <f>'Pseudo-load coefficients'!K289</f>
        <v>1.6160652843680967</v>
      </c>
      <c r="L100" s="416">
        <f>'Pseudo-load coefficients'!L289</f>
        <v>2.007214785514027</v>
      </c>
      <c r="M100" s="416">
        <f>'Pseudo-load coefficients'!M289</f>
        <v>2.007214785514027</v>
      </c>
      <c r="N100" s="416">
        <f>'Pseudo-load coefficients'!N289</f>
        <v>1.6307113275388305</v>
      </c>
      <c r="O100" s="416">
        <f>'Pseudo-load coefficients'!O289</f>
        <v>1.5852827908977181</v>
      </c>
      <c r="P100" s="416">
        <f>'Pseudo-load coefficients'!P289</f>
        <v>1.4435097192210913</v>
      </c>
      <c r="Q100" s="416">
        <f>'Pseudo-load coefficients'!Q289</f>
        <v>1.6251212020376569</v>
      </c>
      <c r="R100" s="416">
        <f>'Pseudo-load coefficients'!R289</f>
        <v>1.2248492237801776</v>
      </c>
      <c r="S100" s="416">
        <f>'Pseudo-load coefficients'!S289</f>
        <v>1.2248492237801776</v>
      </c>
      <c r="T100" s="416">
        <f>'Pseudo-load coefficients'!T289</f>
        <v>1.2248492237801776</v>
      </c>
      <c r="U100" s="416">
        <f>'Pseudo-load coefficients'!U289</f>
        <v>1.2248492237801776</v>
      </c>
      <c r="V100" s="416">
        <f>'Pseudo-load coefficients'!V289</f>
        <v>1.2248492237801776</v>
      </c>
      <c r="W100" s="416">
        <f>'Pseudo-load coefficients'!W289</f>
        <v>1.2248492237801776</v>
      </c>
      <c r="X100" s="416">
        <f>'Pseudo-load coefficients'!X289</f>
        <v>1.2248492237801776</v>
      </c>
      <c r="Y100" s="416">
        <f>'Pseudo-load coefficients'!Y289</f>
        <v>1.2248492237801776</v>
      </c>
    </row>
    <row r="101" spans="3:25" x14ac:dyDescent="0.25">
      <c r="E101" s="96"/>
      <c r="F101" s="415" t="s">
        <v>49</v>
      </c>
      <c r="G101" s="14" t="s">
        <v>528</v>
      </c>
      <c r="J101" s="416">
        <f>'Pseudo-load coefficients'!J290</f>
        <v>1.6160652843680967</v>
      </c>
      <c r="K101" s="416">
        <f>'Pseudo-load coefficients'!K290</f>
        <v>1.6160652843680967</v>
      </c>
      <c r="L101" s="416">
        <f>'Pseudo-load coefficients'!L290</f>
        <v>2.007214785514027</v>
      </c>
      <c r="M101" s="416">
        <f>'Pseudo-load coefficients'!M290</f>
        <v>2.007214785514027</v>
      </c>
      <c r="N101" s="416">
        <f>'Pseudo-load coefficients'!N290</f>
        <v>1.6307113275388305</v>
      </c>
      <c r="O101" s="416">
        <f>'Pseudo-load coefficients'!O290</f>
        <v>1.5852827908977181</v>
      </c>
      <c r="P101" s="416">
        <f>'Pseudo-load coefficients'!P290</f>
        <v>1.4435097192210913</v>
      </c>
      <c r="Q101" s="416">
        <f>'Pseudo-load coefficients'!Q290</f>
        <v>1.6251212020376569</v>
      </c>
      <c r="R101" s="416">
        <f>'Pseudo-load coefficients'!R290</f>
        <v>1.2248492237801776</v>
      </c>
      <c r="S101" s="416">
        <f>'Pseudo-load coefficients'!S290</f>
        <v>1.2248492237801776</v>
      </c>
      <c r="T101" s="416">
        <f>'Pseudo-load coefficients'!T290</f>
        <v>1.2248492237801776</v>
      </c>
      <c r="U101" s="416">
        <f>'Pseudo-load coefficients'!U290</f>
        <v>1.2248492237801776</v>
      </c>
      <c r="V101" s="416">
        <f>'Pseudo-load coefficients'!V290</f>
        <v>1.2248492237801776</v>
      </c>
      <c r="W101" s="416">
        <f>'Pseudo-load coefficients'!W290</f>
        <v>1.2248492237801776</v>
      </c>
      <c r="X101" s="416">
        <f>'Pseudo-load coefficients'!X290</f>
        <v>1.2248492237801776</v>
      </c>
      <c r="Y101" s="416">
        <f>'Pseudo-load coefficients'!Y290</f>
        <v>1.2248492237801776</v>
      </c>
    </row>
    <row r="102" spans="3:25" x14ac:dyDescent="0.25">
      <c r="E102" s="96"/>
      <c r="F102" s="417" t="s">
        <v>50</v>
      </c>
      <c r="G102" s="15" t="s">
        <v>528</v>
      </c>
      <c r="H102" s="93"/>
      <c r="I102" s="93"/>
      <c r="J102" s="285">
        <f>'Pseudo-load coefficients'!J291</f>
        <v>1.6160652843680967</v>
      </c>
      <c r="K102" s="285">
        <f>'Pseudo-load coefficients'!K291</f>
        <v>1.6160652843680967</v>
      </c>
      <c r="L102" s="285">
        <f>'Pseudo-load coefficients'!L291</f>
        <v>2.007214785514027</v>
      </c>
      <c r="M102" s="285">
        <f>'Pseudo-load coefficients'!M291</f>
        <v>2.007214785514027</v>
      </c>
      <c r="N102" s="285">
        <f>'Pseudo-load coefficients'!N291</f>
        <v>1.6307113275388305</v>
      </c>
      <c r="O102" s="285">
        <f>'Pseudo-load coefficients'!O291</f>
        <v>1.5852827908977181</v>
      </c>
      <c r="P102" s="285">
        <f>'Pseudo-load coefficients'!P291</f>
        <v>1.4435097192210913</v>
      </c>
      <c r="Q102" s="285">
        <f>'Pseudo-load coefficients'!Q291</f>
        <v>1.6251212020376569</v>
      </c>
      <c r="R102" s="285">
        <f>'Pseudo-load coefficients'!R291</f>
        <v>1.2248492237801776</v>
      </c>
      <c r="S102" s="285">
        <f>'Pseudo-load coefficients'!S291</f>
        <v>1.2248492237801776</v>
      </c>
      <c r="T102" s="285">
        <f>'Pseudo-load coefficients'!T291</f>
        <v>1.2248492237801776</v>
      </c>
      <c r="U102" s="285">
        <f>'Pseudo-load coefficients'!U291</f>
        <v>1.2248492237801776</v>
      </c>
      <c r="V102" s="285">
        <f>'Pseudo-load coefficients'!V291</f>
        <v>1.2248492237801776</v>
      </c>
      <c r="W102" s="285">
        <f>'Pseudo-load coefficients'!W291</f>
        <v>1.2248492237801776</v>
      </c>
      <c r="X102" s="285">
        <f>'Pseudo-load coefficients'!X291</f>
        <v>1.2248492237801776</v>
      </c>
      <c r="Y102" s="285">
        <f>'Pseudo-load coefficients'!Y291</f>
        <v>1.2248492237801776</v>
      </c>
    </row>
    <row r="103" spans="3:25" x14ac:dyDescent="0.25">
      <c r="E103" s="96"/>
      <c r="J103" s="238"/>
      <c r="K103" s="238"/>
      <c r="L103" s="238"/>
      <c r="M103" s="238"/>
      <c r="N103" s="238"/>
      <c r="O103" s="238"/>
      <c r="P103" s="238"/>
      <c r="Q103" s="238"/>
      <c r="R103" s="238"/>
      <c r="S103" s="238"/>
      <c r="T103" s="238"/>
      <c r="U103" s="238"/>
      <c r="V103" s="238"/>
      <c r="W103" s="238"/>
      <c r="X103" s="238"/>
      <c r="Y103" s="238"/>
    </row>
    <row r="104" spans="3:25" x14ac:dyDescent="0.25">
      <c r="E104" s="96" t="s">
        <v>307</v>
      </c>
      <c r="J104" s="238"/>
      <c r="K104" s="238"/>
      <c r="L104" s="238"/>
      <c r="M104" s="238"/>
      <c r="N104" s="238"/>
      <c r="O104" s="238"/>
      <c r="P104" s="238"/>
      <c r="Q104" s="238"/>
      <c r="R104" s="238"/>
      <c r="S104" s="238"/>
      <c r="T104" s="238"/>
      <c r="U104" s="238"/>
      <c r="V104" s="238"/>
      <c r="W104" s="238"/>
      <c r="X104" s="238"/>
      <c r="Y104" s="238"/>
    </row>
    <row r="105" spans="3:25" x14ac:dyDescent="0.25">
      <c r="C105" s="96"/>
      <c r="E105" s="96"/>
      <c r="F105" s="414" t="s">
        <v>324</v>
      </c>
      <c r="G105" s="16" t="s">
        <v>528</v>
      </c>
      <c r="H105" s="91"/>
      <c r="I105" s="91"/>
      <c r="J105" s="284">
        <f>'Pseudo-load coefficients'!J294</f>
        <v>0.15327804308281631</v>
      </c>
      <c r="K105" s="284">
        <f>'Pseudo-load coefficients'!K294</f>
        <v>0.15327804308281631</v>
      </c>
      <c r="L105" s="284">
        <f>'Pseudo-load coefficients'!L294</f>
        <v>0.19037718175524385</v>
      </c>
      <c r="M105" s="284">
        <f>'Pseudo-load coefficients'!M294</f>
        <v>0.19037718175524385</v>
      </c>
      <c r="N105" s="284">
        <f>'Pseudo-load coefficients'!N294</f>
        <v>0.15466716817437742</v>
      </c>
      <c r="O105" s="284">
        <f>'Pseudo-load coefficients'!O294</f>
        <v>0.15035843308562855</v>
      </c>
      <c r="P105" s="284">
        <f>'Pseudo-load coefficients'!P294</f>
        <v>0.13691176159368432</v>
      </c>
      <c r="Q105" s="284">
        <f>'Pseudo-load coefficients'!Q294</f>
        <v>0.13536828098740447</v>
      </c>
      <c r="R105" s="284">
        <f>'Pseudo-load coefficients'!R294</f>
        <v>0.11617259148410086</v>
      </c>
      <c r="S105" s="284">
        <f>'Pseudo-load coefficients'!S294</f>
        <v>0.11617259148410086</v>
      </c>
      <c r="T105" s="284">
        <f>'Pseudo-load coefficients'!T294</f>
        <v>0.11617259148410086</v>
      </c>
      <c r="U105" s="284">
        <f>'Pseudo-load coefficients'!U294</f>
        <v>0.11617259148410086</v>
      </c>
      <c r="V105" s="284">
        <f>'Pseudo-load coefficients'!V294</f>
        <v>0.11617259148410086</v>
      </c>
      <c r="W105" s="284">
        <f>'Pseudo-load coefficients'!W294</f>
        <v>0.11617259148410086</v>
      </c>
      <c r="X105" s="284">
        <f>'Pseudo-load coefficients'!X294</f>
        <v>0.11617259148410086</v>
      </c>
      <c r="Y105" s="284">
        <f>'Pseudo-load coefficients'!Y294</f>
        <v>0.11617259148410086</v>
      </c>
    </row>
    <row r="106" spans="3:25" x14ac:dyDescent="0.25">
      <c r="C106" s="96"/>
      <c r="E106" s="96"/>
      <c r="F106" s="415" t="s">
        <v>43</v>
      </c>
      <c r="G106" s="14" t="s">
        <v>528</v>
      </c>
      <c r="J106" s="416">
        <f>'Pseudo-load coefficients'!J294</f>
        <v>0.15327804308281631</v>
      </c>
      <c r="K106" s="416">
        <f>'Pseudo-load coefficients'!K294</f>
        <v>0.15327804308281631</v>
      </c>
      <c r="L106" s="416">
        <f>'Pseudo-load coefficients'!L294</f>
        <v>0.19037718175524385</v>
      </c>
      <c r="M106" s="416">
        <f>'Pseudo-load coefficients'!M294</f>
        <v>0.19037718175524385</v>
      </c>
      <c r="N106" s="416">
        <f>'Pseudo-load coefficients'!N294</f>
        <v>0.15466716817437742</v>
      </c>
      <c r="O106" s="416">
        <f>'Pseudo-load coefficients'!O294</f>
        <v>0.15035843308562855</v>
      </c>
      <c r="P106" s="416">
        <f>'Pseudo-load coefficients'!P294</f>
        <v>0.13691176159368432</v>
      </c>
      <c r="Q106" s="416">
        <f>'Pseudo-load coefficients'!Q294</f>
        <v>0.13536828098740447</v>
      </c>
      <c r="R106" s="416">
        <f>'Pseudo-load coefficients'!R294</f>
        <v>0.11617259148410086</v>
      </c>
      <c r="S106" s="416">
        <f>'Pseudo-load coefficients'!S294</f>
        <v>0.11617259148410086</v>
      </c>
      <c r="T106" s="416">
        <f>'Pseudo-load coefficients'!T294</f>
        <v>0.11617259148410086</v>
      </c>
      <c r="U106" s="416">
        <f>'Pseudo-load coefficients'!U294</f>
        <v>0.11617259148410086</v>
      </c>
      <c r="V106" s="416">
        <f>'Pseudo-load coefficients'!V294</f>
        <v>0.11617259148410086</v>
      </c>
      <c r="W106" s="416">
        <f>'Pseudo-load coefficients'!W294</f>
        <v>0.11617259148410086</v>
      </c>
      <c r="X106" s="416">
        <f>'Pseudo-load coefficients'!X294</f>
        <v>0.11617259148410086</v>
      </c>
      <c r="Y106" s="416">
        <f>'Pseudo-load coefficients'!Y294</f>
        <v>0.11617259148410086</v>
      </c>
    </row>
    <row r="107" spans="3:25" x14ac:dyDescent="0.25">
      <c r="C107" s="96"/>
      <c r="E107" s="96"/>
      <c r="F107" s="415" t="s">
        <v>44</v>
      </c>
      <c r="G107" s="14" t="s">
        <v>528</v>
      </c>
      <c r="J107" s="416">
        <f>'Pseudo-load coefficients'!J295</f>
        <v>0.15327804308281631</v>
      </c>
      <c r="K107" s="416">
        <f>'Pseudo-load coefficients'!K295</f>
        <v>0.15327804308281631</v>
      </c>
      <c r="L107" s="416">
        <f>'Pseudo-load coefficients'!L295</f>
        <v>0.19037718175524385</v>
      </c>
      <c r="M107" s="416">
        <f>'Pseudo-load coefficients'!M295</f>
        <v>0.19037718175524385</v>
      </c>
      <c r="N107" s="416">
        <f>'Pseudo-load coefficients'!N295</f>
        <v>0.15466716817437742</v>
      </c>
      <c r="O107" s="416">
        <f>'Pseudo-load coefficients'!O295</f>
        <v>0.15035843308562855</v>
      </c>
      <c r="P107" s="416">
        <f>'Pseudo-load coefficients'!P295</f>
        <v>0.13691176159368432</v>
      </c>
      <c r="Q107" s="416">
        <f>'Pseudo-load coefficients'!Q295</f>
        <v>0.13536828098740447</v>
      </c>
      <c r="R107" s="416">
        <f>'Pseudo-load coefficients'!R295</f>
        <v>0.11617259148410086</v>
      </c>
      <c r="S107" s="416">
        <f>'Pseudo-load coefficients'!S295</f>
        <v>0.11617259148410086</v>
      </c>
      <c r="T107" s="416">
        <f>'Pseudo-load coefficients'!T295</f>
        <v>0.11617259148410086</v>
      </c>
      <c r="U107" s="416">
        <f>'Pseudo-load coefficients'!U295</f>
        <v>0.11617259148410086</v>
      </c>
      <c r="V107" s="416">
        <f>'Pseudo-load coefficients'!V295</f>
        <v>0.11617259148410086</v>
      </c>
      <c r="W107" s="416">
        <f>'Pseudo-load coefficients'!W295</f>
        <v>0.11617259148410086</v>
      </c>
      <c r="X107" s="416">
        <f>'Pseudo-load coefficients'!X295</f>
        <v>0.11617259148410086</v>
      </c>
      <c r="Y107" s="416">
        <f>'Pseudo-load coefficients'!Y295</f>
        <v>0.11617259148410086</v>
      </c>
    </row>
    <row r="108" spans="3:25" x14ac:dyDescent="0.25">
      <c r="C108" s="96"/>
      <c r="E108" s="96"/>
      <c r="F108" s="415" t="s">
        <v>45</v>
      </c>
      <c r="G108" s="14" t="s">
        <v>528</v>
      </c>
      <c r="J108" s="416">
        <f>'Pseudo-load coefficients'!J296</f>
        <v>0.23869873720694237</v>
      </c>
      <c r="K108" s="416">
        <f>'Pseudo-load coefficients'!K296</f>
        <v>0.23869873720694237</v>
      </c>
      <c r="L108" s="416">
        <f>'Pseudo-load coefficients'!L296</f>
        <v>0.29647294527005708</v>
      </c>
      <c r="M108" s="416">
        <f>'Pseudo-load coefficients'!M296</f>
        <v>0.29647294527005708</v>
      </c>
      <c r="N108" s="416">
        <f>'Pseudo-load coefficients'!N296</f>
        <v>0.24086201120567785</v>
      </c>
      <c r="O108" s="416">
        <f>'Pseudo-load coefficients'!O296</f>
        <v>0.23415205064017203</v>
      </c>
      <c r="P108" s="416">
        <f>'Pseudo-load coefficients'!P296</f>
        <v>0.21321165082681151</v>
      </c>
      <c r="Q108" s="416">
        <f>'Pseudo-load coefficients'!Q296</f>
        <v>0.21080800015243967</v>
      </c>
      <c r="R108" s="416">
        <f>'Pseudo-load coefficients'!R296</f>
        <v>0.18091469807146596</v>
      </c>
      <c r="S108" s="416">
        <f>'Pseudo-load coefficients'!S296</f>
        <v>0.18091469807146596</v>
      </c>
      <c r="T108" s="416">
        <f>'Pseudo-load coefficients'!T296</f>
        <v>0.18091469807146596</v>
      </c>
      <c r="U108" s="416">
        <f>'Pseudo-load coefficients'!U296</f>
        <v>0.18091469807146596</v>
      </c>
      <c r="V108" s="416">
        <f>'Pseudo-load coefficients'!V296</f>
        <v>0.18091469807146596</v>
      </c>
      <c r="W108" s="416">
        <f>'Pseudo-load coefficients'!W296</f>
        <v>0.18091469807146596</v>
      </c>
      <c r="X108" s="416">
        <f>'Pseudo-load coefficients'!X296</f>
        <v>0.18091469807146596</v>
      </c>
      <c r="Y108" s="416">
        <f>'Pseudo-load coefficients'!Y296</f>
        <v>0.18091469807146596</v>
      </c>
    </row>
    <row r="109" spans="3:25" x14ac:dyDescent="0.25">
      <c r="C109" s="96"/>
      <c r="E109" s="96"/>
      <c r="F109" s="415" t="s">
        <v>46</v>
      </c>
      <c r="G109" s="14" t="s">
        <v>528</v>
      </c>
      <c r="J109" s="416">
        <f>'Pseudo-load coefficients'!J297</f>
        <v>0.23869873720694237</v>
      </c>
      <c r="K109" s="416">
        <f>'Pseudo-load coefficients'!K297</f>
        <v>0.23869873720694237</v>
      </c>
      <c r="L109" s="416">
        <f>'Pseudo-load coefficients'!L297</f>
        <v>0.29647294527005708</v>
      </c>
      <c r="M109" s="416">
        <f>'Pseudo-load coefficients'!M297</f>
        <v>0.29647294527005708</v>
      </c>
      <c r="N109" s="416">
        <f>'Pseudo-load coefficients'!N297</f>
        <v>0.24086201120567785</v>
      </c>
      <c r="O109" s="416">
        <f>'Pseudo-load coefficients'!O297</f>
        <v>0.23415205064017203</v>
      </c>
      <c r="P109" s="416">
        <f>'Pseudo-load coefficients'!P297</f>
        <v>0.21321165082681151</v>
      </c>
      <c r="Q109" s="416">
        <f>'Pseudo-load coefficients'!Q297</f>
        <v>0.21080800015243967</v>
      </c>
      <c r="R109" s="416">
        <f>'Pseudo-load coefficients'!R297</f>
        <v>0.18091469807146596</v>
      </c>
      <c r="S109" s="416">
        <f>'Pseudo-load coefficients'!S297</f>
        <v>0.18091469807146596</v>
      </c>
      <c r="T109" s="416">
        <f>'Pseudo-load coefficients'!T297</f>
        <v>0.18091469807146596</v>
      </c>
      <c r="U109" s="416">
        <f>'Pseudo-load coefficients'!U297</f>
        <v>0.18091469807146596</v>
      </c>
      <c r="V109" s="416">
        <f>'Pseudo-load coefficients'!V297</f>
        <v>0.18091469807146596</v>
      </c>
      <c r="W109" s="416">
        <f>'Pseudo-load coefficients'!W297</f>
        <v>0.18091469807146596</v>
      </c>
      <c r="X109" s="416">
        <f>'Pseudo-load coefficients'!X297</f>
        <v>0.18091469807146596</v>
      </c>
      <c r="Y109" s="416">
        <f>'Pseudo-load coefficients'!Y297</f>
        <v>0.18091469807146596</v>
      </c>
    </row>
    <row r="110" spans="3:25" x14ac:dyDescent="0.25">
      <c r="C110" s="96"/>
      <c r="E110" s="96"/>
      <c r="F110" s="415" t="s">
        <v>47</v>
      </c>
      <c r="G110" s="14" t="s">
        <v>528</v>
      </c>
      <c r="J110" s="416">
        <f>'Pseudo-load coefficients'!J298</f>
        <v>0.11311456167816648</v>
      </c>
      <c r="K110" s="416">
        <f>'Pseudo-load coefficients'!K298</f>
        <v>0.11311456167816648</v>
      </c>
      <c r="L110" s="416">
        <f>'Pseudo-load coefficients'!L298</f>
        <v>0.1404926043851823</v>
      </c>
      <c r="M110" s="416">
        <f>'Pseudo-load coefficients'!M298</f>
        <v>0.1404926043851823</v>
      </c>
      <c r="N110" s="416">
        <f>'Pseudo-load coefficients'!N298</f>
        <v>0.11413969399775892</v>
      </c>
      <c r="O110" s="416">
        <f>'Pseudo-load coefficients'!O298</f>
        <v>0.11095997776998953</v>
      </c>
      <c r="P110" s="416">
        <f>'Pseudo-load coefficients'!P298</f>
        <v>0.10103674074758209</v>
      </c>
      <c r="Q110" s="416">
        <f>'Pseudo-load coefficients'!Q298</f>
        <v>9.9897698724819808E-2</v>
      </c>
      <c r="R110" s="416">
        <f>'Pseudo-load coefficients'!R298</f>
        <v>8.573186022241143E-2</v>
      </c>
      <c r="S110" s="416">
        <f>'Pseudo-load coefficients'!S298</f>
        <v>8.573186022241143E-2</v>
      </c>
      <c r="T110" s="416">
        <f>'Pseudo-load coefficients'!T298</f>
        <v>8.573186022241143E-2</v>
      </c>
      <c r="U110" s="416">
        <f>'Pseudo-load coefficients'!U298</f>
        <v>8.573186022241143E-2</v>
      </c>
      <c r="V110" s="416">
        <f>'Pseudo-load coefficients'!V298</f>
        <v>8.573186022241143E-2</v>
      </c>
      <c r="W110" s="416">
        <f>'Pseudo-load coefficients'!W298</f>
        <v>8.573186022241143E-2</v>
      </c>
      <c r="X110" s="416">
        <f>'Pseudo-load coefficients'!X298</f>
        <v>8.573186022241143E-2</v>
      </c>
      <c r="Y110" s="416">
        <f>'Pseudo-load coefficients'!Y298</f>
        <v>8.573186022241143E-2</v>
      </c>
    </row>
    <row r="111" spans="3:25" x14ac:dyDescent="0.25">
      <c r="C111" s="96"/>
      <c r="E111" s="96"/>
      <c r="F111" s="415" t="s">
        <v>51</v>
      </c>
      <c r="G111" s="14" t="s">
        <v>528</v>
      </c>
      <c r="J111" s="416">
        <f>'Pseudo-load coefficients'!J299</f>
        <v>0</v>
      </c>
      <c r="K111" s="416">
        <f>'Pseudo-load coefficients'!K299</f>
        <v>0</v>
      </c>
      <c r="L111" s="416">
        <f>'Pseudo-load coefficients'!L299</f>
        <v>0</v>
      </c>
      <c r="M111" s="416">
        <f>'Pseudo-load coefficients'!M299</f>
        <v>0</v>
      </c>
      <c r="N111" s="416">
        <f>'Pseudo-load coefficients'!N299</f>
        <v>0</v>
      </c>
      <c r="O111" s="416">
        <f>'Pseudo-load coefficients'!O299</f>
        <v>0</v>
      </c>
      <c r="P111" s="416">
        <f>'Pseudo-load coefficients'!P299</f>
        <v>0</v>
      </c>
      <c r="Q111" s="416">
        <f>'Pseudo-load coefficients'!Q299</f>
        <v>0</v>
      </c>
      <c r="R111" s="416">
        <f>'Pseudo-load coefficients'!R299</f>
        <v>0</v>
      </c>
      <c r="S111" s="416">
        <f>'Pseudo-load coefficients'!S299</f>
        <v>0</v>
      </c>
      <c r="T111" s="416">
        <f>'Pseudo-load coefficients'!T299</f>
        <v>0</v>
      </c>
      <c r="U111" s="416">
        <f>'Pseudo-load coefficients'!U299</f>
        <v>0</v>
      </c>
      <c r="V111" s="416">
        <f>'Pseudo-load coefficients'!V299</f>
        <v>0</v>
      </c>
      <c r="W111" s="416">
        <f>'Pseudo-load coefficients'!W299</f>
        <v>0</v>
      </c>
      <c r="X111" s="416">
        <f>'Pseudo-load coefficients'!X299</f>
        <v>0</v>
      </c>
      <c r="Y111" s="416">
        <f>'Pseudo-load coefficients'!Y299</f>
        <v>0</v>
      </c>
    </row>
    <row r="112" spans="3:25" x14ac:dyDescent="0.25">
      <c r="C112" s="96"/>
      <c r="E112" s="96"/>
      <c r="F112" s="415" t="s">
        <v>48</v>
      </c>
      <c r="G112" s="14" t="s">
        <v>528</v>
      </c>
      <c r="J112" s="416">
        <f>'Pseudo-load coefficients'!J300</f>
        <v>0.11311456167816648</v>
      </c>
      <c r="K112" s="416">
        <f>'Pseudo-load coefficients'!K300</f>
        <v>0.11311456167816648</v>
      </c>
      <c r="L112" s="416">
        <f>'Pseudo-load coefficients'!L300</f>
        <v>0.1404926043851823</v>
      </c>
      <c r="M112" s="416">
        <f>'Pseudo-load coefficients'!M300</f>
        <v>0.1404926043851823</v>
      </c>
      <c r="N112" s="416">
        <f>'Pseudo-load coefficients'!N300</f>
        <v>0.11413969399775892</v>
      </c>
      <c r="O112" s="416">
        <f>'Pseudo-load coefficients'!O300</f>
        <v>0.11095997776998953</v>
      </c>
      <c r="P112" s="416">
        <f>'Pseudo-load coefficients'!P300</f>
        <v>0.10103674074758209</v>
      </c>
      <c r="Q112" s="416">
        <f>'Pseudo-load coefficients'!Q300</f>
        <v>9.9897698724819808E-2</v>
      </c>
      <c r="R112" s="416">
        <f>'Pseudo-load coefficients'!R300</f>
        <v>8.573186022241143E-2</v>
      </c>
      <c r="S112" s="416">
        <f>'Pseudo-load coefficients'!S300</f>
        <v>8.573186022241143E-2</v>
      </c>
      <c r="T112" s="416">
        <f>'Pseudo-load coefficients'!T300</f>
        <v>8.573186022241143E-2</v>
      </c>
      <c r="U112" s="416">
        <f>'Pseudo-load coefficients'!U300</f>
        <v>8.573186022241143E-2</v>
      </c>
      <c r="V112" s="416">
        <f>'Pseudo-load coefficients'!V300</f>
        <v>8.573186022241143E-2</v>
      </c>
      <c r="W112" s="416">
        <f>'Pseudo-load coefficients'!W300</f>
        <v>8.573186022241143E-2</v>
      </c>
      <c r="X112" s="416">
        <f>'Pseudo-load coefficients'!X300</f>
        <v>8.573186022241143E-2</v>
      </c>
      <c r="Y112" s="416">
        <f>'Pseudo-load coefficients'!Y300</f>
        <v>8.573186022241143E-2</v>
      </c>
    </row>
    <row r="113" spans="2:27" x14ac:dyDescent="0.25">
      <c r="C113" s="96"/>
      <c r="E113" s="96"/>
      <c r="F113" s="415" t="s">
        <v>49</v>
      </c>
      <c r="G113" s="14" t="s">
        <v>528</v>
      </c>
      <c r="J113" s="416">
        <f>'Pseudo-load coefficients'!J301</f>
        <v>0.11311456167816648</v>
      </c>
      <c r="K113" s="416">
        <f>'Pseudo-load coefficients'!K301</f>
        <v>0.11311456167816648</v>
      </c>
      <c r="L113" s="416">
        <f>'Pseudo-load coefficients'!L301</f>
        <v>0.1404926043851823</v>
      </c>
      <c r="M113" s="416">
        <f>'Pseudo-load coefficients'!M301</f>
        <v>0.1404926043851823</v>
      </c>
      <c r="N113" s="416">
        <f>'Pseudo-load coefficients'!N301</f>
        <v>0.11413969399775892</v>
      </c>
      <c r="O113" s="416">
        <f>'Pseudo-load coefficients'!O301</f>
        <v>0.11095997776998953</v>
      </c>
      <c r="P113" s="416">
        <f>'Pseudo-load coefficients'!P301</f>
        <v>0.10103674074758209</v>
      </c>
      <c r="Q113" s="416">
        <f>'Pseudo-load coefficients'!Q301</f>
        <v>9.9897698724819808E-2</v>
      </c>
      <c r="R113" s="416">
        <f>'Pseudo-load coefficients'!R301</f>
        <v>8.573186022241143E-2</v>
      </c>
      <c r="S113" s="416">
        <f>'Pseudo-load coefficients'!S301</f>
        <v>8.573186022241143E-2</v>
      </c>
      <c r="T113" s="416">
        <f>'Pseudo-load coefficients'!T301</f>
        <v>8.573186022241143E-2</v>
      </c>
      <c r="U113" s="416">
        <f>'Pseudo-load coefficients'!U301</f>
        <v>8.573186022241143E-2</v>
      </c>
      <c r="V113" s="416">
        <f>'Pseudo-load coefficients'!V301</f>
        <v>8.573186022241143E-2</v>
      </c>
      <c r="W113" s="416">
        <f>'Pseudo-load coefficients'!W301</f>
        <v>8.573186022241143E-2</v>
      </c>
      <c r="X113" s="416">
        <f>'Pseudo-load coefficients'!X301</f>
        <v>8.573186022241143E-2</v>
      </c>
      <c r="Y113" s="416">
        <f>'Pseudo-load coefficients'!Y301</f>
        <v>8.573186022241143E-2</v>
      </c>
    </row>
    <row r="114" spans="2:27" x14ac:dyDescent="0.25">
      <c r="C114" s="96"/>
      <c r="E114" s="96"/>
      <c r="F114" s="417" t="s">
        <v>50</v>
      </c>
      <c r="G114" s="15" t="s">
        <v>528</v>
      </c>
      <c r="H114" s="93"/>
      <c r="I114" s="93"/>
      <c r="J114" s="285">
        <f>'Pseudo-load coefficients'!J302</f>
        <v>0.11311456167816648</v>
      </c>
      <c r="K114" s="285">
        <f>'Pseudo-load coefficients'!K302</f>
        <v>0.11311456167816648</v>
      </c>
      <c r="L114" s="285">
        <f>'Pseudo-load coefficients'!L302</f>
        <v>0.1404926043851823</v>
      </c>
      <c r="M114" s="285">
        <f>'Pseudo-load coefficients'!M302</f>
        <v>0.1404926043851823</v>
      </c>
      <c r="N114" s="285">
        <f>'Pseudo-load coefficients'!N302</f>
        <v>0.11413969399775892</v>
      </c>
      <c r="O114" s="285">
        <f>'Pseudo-load coefficients'!O302</f>
        <v>0.11095997776998953</v>
      </c>
      <c r="P114" s="285">
        <f>'Pseudo-load coefficients'!P302</f>
        <v>0.10103674074758209</v>
      </c>
      <c r="Q114" s="285">
        <f>'Pseudo-load coefficients'!Q302</f>
        <v>9.9897698724819808E-2</v>
      </c>
      <c r="R114" s="285">
        <f>'Pseudo-load coefficients'!R302</f>
        <v>8.573186022241143E-2</v>
      </c>
      <c r="S114" s="285">
        <f>'Pseudo-load coefficients'!S302</f>
        <v>8.573186022241143E-2</v>
      </c>
      <c r="T114" s="285">
        <f>'Pseudo-load coefficients'!T302</f>
        <v>8.573186022241143E-2</v>
      </c>
      <c r="U114" s="285">
        <f>'Pseudo-load coefficients'!U302</f>
        <v>8.573186022241143E-2</v>
      </c>
      <c r="V114" s="285">
        <f>'Pseudo-load coefficients'!V302</f>
        <v>8.573186022241143E-2</v>
      </c>
      <c r="W114" s="285">
        <f>'Pseudo-load coefficients'!W302</f>
        <v>8.573186022241143E-2</v>
      </c>
      <c r="X114" s="285">
        <f>'Pseudo-load coefficients'!X302</f>
        <v>8.573186022241143E-2</v>
      </c>
      <c r="Y114" s="285">
        <f>'Pseudo-load coefficients'!Y302</f>
        <v>8.573186022241143E-2</v>
      </c>
    </row>
    <row r="115" spans="2:27" x14ac:dyDescent="0.25">
      <c r="C115" s="96"/>
      <c r="D115" s="96"/>
      <c r="E115" s="96"/>
      <c r="J115" s="238"/>
      <c r="K115" s="238"/>
      <c r="L115" s="238"/>
      <c r="M115" s="238"/>
      <c r="N115" s="238"/>
      <c r="O115" s="238"/>
      <c r="P115" s="238"/>
      <c r="Q115" s="238"/>
      <c r="R115" s="238"/>
      <c r="S115" s="238"/>
      <c r="T115" s="238"/>
      <c r="U115" s="238"/>
      <c r="V115" s="238"/>
      <c r="W115" s="238"/>
      <c r="X115" s="238"/>
      <c r="Y115" s="238"/>
    </row>
    <row r="116" spans="2:27" x14ac:dyDescent="0.25">
      <c r="B116" s="95" t="s">
        <v>772</v>
      </c>
      <c r="C116" s="95"/>
      <c r="D116" s="95"/>
      <c r="E116" s="95"/>
      <c r="F116" s="95"/>
      <c r="G116" s="95"/>
      <c r="H116" s="95"/>
      <c r="I116" s="95"/>
      <c r="J116" s="282"/>
      <c r="K116" s="282"/>
      <c r="L116" s="282"/>
      <c r="M116" s="282"/>
      <c r="N116" s="282"/>
      <c r="O116" s="282"/>
      <c r="P116" s="282"/>
      <c r="Q116" s="282"/>
      <c r="R116" s="282"/>
      <c r="S116" s="282"/>
      <c r="T116" s="282"/>
      <c r="U116" s="282"/>
      <c r="V116" s="282"/>
      <c r="W116" s="282"/>
      <c r="X116" s="282"/>
      <c r="Y116" s="282"/>
      <c r="Z116" s="95"/>
      <c r="AA116" s="95"/>
    </row>
    <row r="117" spans="2:27" x14ac:dyDescent="0.25"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2:27" x14ac:dyDescent="0.25">
      <c r="C118" s="7" t="str">
        <f ca="1">INDEX('Version control'!$H$34:$H$58,MATCH($A$1,'Version control'!$F$34:$F$58,0),1)&amp;"-B: Yardstick charges"</f>
        <v>Section 512-B: Yardstick charges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7"/>
      <c r="AA118" s="7"/>
    </row>
    <row r="119" spans="2:27" x14ac:dyDescent="0.25">
      <c r="C119" s="96"/>
      <c r="D119" s="96"/>
      <c r="E119" s="96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</row>
    <row r="120" spans="2:27" x14ac:dyDescent="0.25">
      <c r="D120" s="82" t="s">
        <v>833</v>
      </c>
      <c r="E120" s="96"/>
      <c r="F120" s="96"/>
      <c r="J120" s="238"/>
      <c r="K120" s="238"/>
      <c r="L120" s="238"/>
      <c r="M120" s="238"/>
      <c r="N120" s="238"/>
      <c r="O120" s="238"/>
      <c r="P120" s="238"/>
      <c r="Q120" s="238"/>
      <c r="R120" s="238"/>
      <c r="S120" s="238"/>
      <c r="T120" s="238"/>
      <c r="U120" s="238"/>
      <c r="V120" s="238"/>
      <c r="W120" s="238"/>
      <c r="X120" s="238"/>
      <c r="Y120" s="238"/>
    </row>
    <row r="121" spans="2:27" x14ac:dyDescent="0.25">
      <c r="D121" s="96"/>
      <c r="E121" s="96"/>
      <c r="F121" s="96"/>
      <c r="I121" s="88" t="s">
        <v>431</v>
      </c>
      <c r="J121" s="238"/>
      <c r="K121" s="238"/>
      <c r="L121" s="238"/>
      <c r="M121" s="238"/>
      <c r="N121" s="238"/>
      <c r="O121" s="238"/>
      <c r="P121" s="238"/>
      <c r="Q121" s="238"/>
      <c r="R121" s="238"/>
      <c r="S121" s="238"/>
      <c r="T121" s="238"/>
      <c r="U121" s="238"/>
      <c r="V121" s="238"/>
      <c r="W121" s="238"/>
      <c r="X121" s="238"/>
      <c r="Y121" s="238"/>
      <c r="AA121" s="295" t="s">
        <v>832</v>
      </c>
    </row>
    <row r="122" spans="2:27" x14ac:dyDescent="0.25">
      <c r="E122" s="96" t="s">
        <v>139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  <c r="U122" s="253"/>
      <c r="V122" s="253"/>
      <c r="W122" s="253"/>
      <c r="X122" s="253"/>
      <c r="Y122" s="253"/>
    </row>
    <row r="123" spans="2:27" x14ac:dyDescent="0.25">
      <c r="E123" s="96"/>
      <c r="F123" s="414" t="s">
        <v>324</v>
      </c>
      <c r="G123" s="91" t="s">
        <v>183</v>
      </c>
      <c r="H123" s="349"/>
      <c r="I123" s="349"/>
      <c r="J123" s="355">
        <f t="shared" ref="J123:Y123" si="0">hundred * $H18 * J55 / $H43 * J$78 * (1 - J67) / hours_in_year</f>
        <v>0</v>
      </c>
      <c r="K123" s="355">
        <f t="shared" si="0"/>
        <v>0</v>
      </c>
      <c r="L123" s="355">
        <f t="shared" si="0"/>
        <v>0</v>
      </c>
      <c r="M123" s="355">
        <f t="shared" si="0"/>
        <v>0</v>
      </c>
      <c r="N123" s="355">
        <f t="shared" si="0"/>
        <v>0</v>
      </c>
      <c r="O123" s="355">
        <f t="shared" si="0"/>
        <v>0</v>
      </c>
      <c r="P123" s="355">
        <f t="shared" si="0"/>
        <v>0</v>
      </c>
      <c r="Q123" s="355">
        <f t="shared" si="0"/>
        <v>0</v>
      </c>
      <c r="R123" s="355">
        <f t="shared" si="0"/>
        <v>0</v>
      </c>
      <c r="S123" s="355">
        <f t="shared" si="0"/>
        <v>0</v>
      </c>
      <c r="T123" s="355">
        <f t="shared" si="0"/>
        <v>0</v>
      </c>
      <c r="U123" s="355">
        <f t="shared" si="0"/>
        <v>0</v>
      </c>
      <c r="V123" s="355">
        <f t="shared" si="0"/>
        <v>0</v>
      </c>
      <c r="W123" s="355">
        <f t="shared" si="0"/>
        <v>0</v>
      </c>
      <c r="X123" s="355">
        <f t="shared" si="0"/>
        <v>0</v>
      </c>
      <c r="Y123" s="355">
        <f t="shared" si="0"/>
        <v>0</v>
      </c>
      <c r="Z123" s="351"/>
      <c r="AA123" s="351"/>
    </row>
    <row r="124" spans="2:27" x14ac:dyDescent="0.25">
      <c r="E124" s="96"/>
      <c r="F124" s="415" t="s">
        <v>43</v>
      </c>
      <c r="G124" s="295" t="s">
        <v>183</v>
      </c>
      <c r="H124" s="351"/>
      <c r="I124" s="351"/>
      <c r="J124" s="356">
        <f t="shared" ref="J124:Y124" si="1">hundred * $H19 * J56 / $H44 * J$78 * (1 - J68) / hours_in_year</f>
        <v>0</v>
      </c>
      <c r="K124" s="356">
        <f t="shared" si="1"/>
        <v>0</v>
      </c>
      <c r="L124" s="356">
        <f t="shared" si="1"/>
        <v>0</v>
      </c>
      <c r="M124" s="356">
        <f t="shared" si="1"/>
        <v>0</v>
      </c>
      <c r="N124" s="356">
        <f t="shared" si="1"/>
        <v>0</v>
      </c>
      <c r="O124" s="356">
        <f t="shared" si="1"/>
        <v>0</v>
      </c>
      <c r="P124" s="356">
        <f t="shared" si="1"/>
        <v>0</v>
      </c>
      <c r="Q124" s="356">
        <f t="shared" si="1"/>
        <v>0</v>
      </c>
      <c r="R124" s="356">
        <f t="shared" si="1"/>
        <v>0</v>
      </c>
      <c r="S124" s="356">
        <f t="shared" si="1"/>
        <v>0</v>
      </c>
      <c r="T124" s="356">
        <f t="shared" si="1"/>
        <v>0</v>
      </c>
      <c r="U124" s="356">
        <f t="shared" si="1"/>
        <v>0</v>
      </c>
      <c r="V124" s="356">
        <f t="shared" si="1"/>
        <v>0</v>
      </c>
      <c r="W124" s="356">
        <f t="shared" si="1"/>
        <v>0</v>
      </c>
      <c r="X124" s="356">
        <f t="shared" si="1"/>
        <v>0</v>
      </c>
      <c r="Y124" s="356">
        <f t="shared" si="1"/>
        <v>0</v>
      </c>
      <c r="Z124" s="351"/>
      <c r="AA124" s="351"/>
    </row>
    <row r="125" spans="2:27" x14ac:dyDescent="0.25">
      <c r="E125" s="96"/>
      <c r="F125" s="415" t="s">
        <v>44</v>
      </c>
      <c r="G125" s="295" t="s">
        <v>183</v>
      </c>
      <c r="H125" s="351"/>
      <c r="I125" s="351"/>
      <c r="J125" s="356">
        <f t="shared" ref="J125:Y125" si="2">hundred * $H20 * J57 / $H45 * J$78 * (1 - J69) / hours_in_year</f>
        <v>0.41516800965590722</v>
      </c>
      <c r="K125" s="356">
        <f t="shared" si="2"/>
        <v>0</v>
      </c>
      <c r="L125" s="356">
        <f t="shared" si="2"/>
        <v>0.35781619834463796</v>
      </c>
      <c r="M125" s="356">
        <f t="shared" si="2"/>
        <v>0</v>
      </c>
      <c r="N125" s="356">
        <f t="shared" si="2"/>
        <v>0.3241685632357712</v>
      </c>
      <c r="O125" s="356">
        <f t="shared" si="2"/>
        <v>0.26873639492119128</v>
      </c>
      <c r="P125" s="356">
        <f t="shared" si="2"/>
        <v>0.23503556709958073</v>
      </c>
      <c r="Q125" s="356">
        <f t="shared" si="2"/>
        <v>0.39969026282587211</v>
      </c>
      <c r="R125" s="356">
        <f t="shared" si="2"/>
        <v>-0.22156058663733383</v>
      </c>
      <c r="S125" s="356">
        <f t="shared" si="2"/>
        <v>-0.2111998397801923</v>
      </c>
      <c r="T125" s="356">
        <f t="shared" si="2"/>
        <v>-0.22156058663733383</v>
      </c>
      <c r="U125" s="356">
        <f t="shared" si="2"/>
        <v>-0.22156058663733383</v>
      </c>
      <c r="V125" s="356">
        <f t="shared" si="2"/>
        <v>-0.2111998397801923</v>
      </c>
      <c r="W125" s="356">
        <f t="shared" si="2"/>
        <v>-0.2111998397801923</v>
      </c>
      <c r="X125" s="356">
        <f t="shared" si="2"/>
        <v>-0.20681644687909398</v>
      </c>
      <c r="Y125" s="356">
        <f t="shared" si="2"/>
        <v>-0.20681644687909398</v>
      </c>
      <c r="Z125" s="351"/>
      <c r="AA125" s="351"/>
    </row>
    <row r="126" spans="2:27" x14ac:dyDescent="0.25">
      <c r="E126" s="96"/>
      <c r="F126" s="415" t="s">
        <v>45</v>
      </c>
      <c r="G126" s="295" t="s">
        <v>183</v>
      </c>
      <c r="H126" s="351"/>
      <c r="I126" s="351"/>
      <c r="J126" s="356">
        <f t="shared" ref="J126:Y126" si="3">hundred * $H21 * J58 / $H46 * J$78 * (1 - J70) / hours_in_year</f>
        <v>3.4808527132520341E-2</v>
      </c>
      <c r="K126" s="356">
        <f t="shared" si="3"/>
        <v>0</v>
      </c>
      <c r="L126" s="356">
        <f t="shared" si="3"/>
        <v>3.0000035067387309E-2</v>
      </c>
      <c r="M126" s="356">
        <f t="shared" si="3"/>
        <v>0</v>
      </c>
      <c r="N126" s="356">
        <f t="shared" si="3"/>
        <v>2.7178949163868763E-2</v>
      </c>
      <c r="O126" s="356">
        <f t="shared" si="3"/>
        <v>2.2531403857110478E-2</v>
      </c>
      <c r="P126" s="356">
        <f t="shared" si="3"/>
        <v>1.9705858168777755E-2</v>
      </c>
      <c r="Q126" s="356">
        <f t="shared" si="3"/>
        <v>3.3510841477669223E-2</v>
      </c>
      <c r="R126" s="356">
        <f t="shared" si="3"/>
        <v>-1.8576088504156801E-2</v>
      </c>
      <c r="S126" s="356">
        <f t="shared" si="3"/>
        <v>-1.7707422494969611E-2</v>
      </c>
      <c r="T126" s="356">
        <f t="shared" si="3"/>
        <v>-1.8576088504156801E-2</v>
      </c>
      <c r="U126" s="356">
        <f t="shared" si="3"/>
        <v>-1.8576088504156801E-2</v>
      </c>
      <c r="V126" s="356">
        <f t="shared" si="3"/>
        <v>-1.7707422494969611E-2</v>
      </c>
      <c r="W126" s="356">
        <f t="shared" si="3"/>
        <v>-1.7707422494969611E-2</v>
      </c>
      <c r="X126" s="356">
        <f t="shared" si="3"/>
        <v>-1.7339909952621187E-2</v>
      </c>
      <c r="Y126" s="356">
        <f t="shared" si="3"/>
        <v>-1.7339909952621187E-2</v>
      </c>
      <c r="Z126" s="351"/>
      <c r="AA126" s="351"/>
    </row>
    <row r="127" spans="2:27" x14ac:dyDescent="0.25">
      <c r="E127" s="96"/>
      <c r="F127" s="415" t="s">
        <v>46</v>
      </c>
      <c r="G127" s="295" t="s">
        <v>183</v>
      </c>
      <c r="H127" s="351"/>
      <c r="I127" s="351"/>
      <c r="J127" s="356">
        <f t="shared" ref="J127:Y127" si="4">hundred * $H22 * J59 / $H47 * J$78 * (1 - J71) / hours_in_year</f>
        <v>0.35534997817040692</v>
      </c>
      <c r="K127" s="356">
        <f t="shared" si="4"/>
        <v>0</v>
      </c>
      <c r="L127" s="356">
        <f t="shared" si="4"/>
        <v>0.30626150212336317</v>
      </c>
      <c r="M127" s="356">
        <f t="shared" si="4"/>
        <v>0</v>
      </c>
      <c r="N127" s="356">
        <f t="shared" si="4"/>
        <v>0.27746186890660507</v>
      </c>
      <c r="O127" s="356">
        <f t="shared" si="4"/>
        <v>0.23001645080502753</v>
      </c>
      <c r="P127" s="356">
        <f t="shared" si="4"/>
        <v>0.14194038623301333</v>
      </c>
      <c r="Q127" s="356">
        <f t="shared" si="4"/>
        <v>0.34210228839118112</v>
      </c>
      <c r="R127" s="356">
        <f t="shared" si="4"/>
        <v>-0.18963780395857599</v>
      </c>
      <c r="S127" s="356">
        <f t="shared" si="4"/>
        <v>-0.18076984909720373</v>
      </c>
      <c r="T127" s="356">
        <f t="shared" si="4"/>
        <v>-0.18963780395857599</v>
      </c>
      <c r="U127" s="356">
        <f t="shared" si="4"/>
        <v>-0.18963780395857599</v>
      </c>
      <c r="V127" s="356">
        <f t="shared" si="4"/>
        <v>-0.18076984909720373</v>
      </c>
      <c r="W127" s="356">
        <f t="shared" si="4"/>
        <v>-0.18076984909720373</v>
      </c>
      <c r="X127" s="356">
        <f t="shared" si="4"/>
        <v>-0.12489857050835455</v>
      </c>
      <c r="Y127" s="356">
        <f t="shared" si="4"/>
        <v>-0.12489857050835455</v>
      </c>
      <c r="Z127" s="351"/>
      <c r="AA127" s="351"/>
    </row>
    <row r="128" spans="2:27" x14ac:dyDescent="0.25">
      <c r="E128" s="96"/>
      <c r="F128" s="415" t="s">
        <v>47</v>
      </c>
      <c r="G128" s="295" t="s">
        <v>183</v>
      </c>
      <c r="H128" s="351"/>
      <c r="I128" s="351"/>
      <c r="J128" s="356">
        <f t="shared" ref="J128:Y128" si="5">hundred * $H23 * J60 / $H48 * J$78 * (1 - J72) / hours_in_year</f>
        <v>5.9019906496777928E-2</v>
      </c>
      <c r="K128" s="356">
        <f t="shared" si="5"/>
        <v>0</v>
      </c>
      <c r="L128" s="356">
        <f t="shared" si="5"/>
        <v>5.086682518442591E-2</v>
      </c>
      <c r="M128" s="356">
        <f t="shared" si="5"/>
        <v>0</v>
      </c>
      <c r="N128" s="356">
        <f t="shared" si="5"/>
        <v>4.6083507992889593E-2</v>
      </c>
      <c r="O128" s="356">
        <f t="shared" si="5"/>
        <v>3.8203321382289025E-2</v>
      </c>
      <c r="P128" s="356">
        <f t="shared" si="5"/>
        <v>2.862876333560431E-2</v>
      </c>
      <c r="Q128" s="356">
        <f t="shared" si="5"/>
        <v>5.6819604090418196E-2</v>
      </c>
      <c r="R128" s="356">
        <f t="shared" si="5"/>
        <v>-3.1496851401302685E-2</v>
      </c>
      <c r="S128" s="356">
        <f t="shared" si="5"/>
        <v>-3.0023977055198603E-2</v>
      </c>
      <c r="T128" s="356">
        <f t="shared" si="5"/>
        <v>-3.1496851401302685E-2</v>
      </c>
      <c r="U128" s="356">
        <f t="shared" si="5"/>
        <v>-3.1496851401302685E-2</v>
      </c>
      <c r="V128" s="356">
        <f t="shared" si="5"/>
        <v>-3.0023977055198603E-2</v>
      </c>
      <c r="W128" s="356">
        <f t="shared" si="5"/>
        <v>-3.0023977055198603E-2</v>
      </c>
      <c r="X128" s="356">
        <f t="shared" si="5"/>
        <v>-2.5191502650760825E-2</v>
      </c>
      <c r="Y128" s="356">
        <f t="shared" si="5"/>
        <v>-2.5191502650760825E-2</v>
      </c>
      <c r="Z128" s="351"/>
      <c r="AA128" s="351"/>
    </row>
    <row r="129" spans="4:27" x14ac:dyDescent="0.25">
      <c r="E129" s="96"/>
      <c r="F129" s="415" t="s">
        <v>51</v>
      </c>
      <c r="G129" s="295" t="s">
        <v>183</v>
      </c>
      <c r="H129" s="351"/>
      <c r="I129" s="351"/>
      <c r="J129" s="356">
        <f t="shared" ref="J129:Y129" si="6">hundred * $H24 * J61 / $H49 * J$78 * (1 - J73) / hours_in_year</f>
        <v>0</v>
      </c>
      <c r="K129" s="356">
        <f t="shared" si="6"/>
        <v>0</v>
      </c>
      <c r="L129" s="356">
        <f t="shared" si="6"/>
        <v>0</v>
      </c>
      <c r="M129" s="356">
        <f t="shared" si="6"/>
        <v>0</v>
      </c>
      <c r="N129" s="356">
        <f t="shared" si="6"/>
        <v>0</v>
      </c>
      <c r="O129" s="356">
        <f t="shared" si="6"/>
        <v>0</v>
      </c>
      <c r="P129" s="356">
        <f t="shared" si="6"/>
        <v>0</v>
      </c>
      <c r="Q129" s="356">
        <f t="shared" si="6"/>
        <v>0</v>
      </c>
      <c r="R129" s="356">
        <f t="shared" si="6"/>
        <v>0</v>
      </c>
      <c r="S129" s="356">
        <f t="shared" si="6"/>
        <v>0</v>
      </c>
      <c r="T129" s="356">
        <f t="shared" si="6"/>
        <v>0</v>
      </c>
      <c r="U129" s="356">
        <f t="shared" si="6"/>
        <v>0</v>
      </c>
      <c r="V129" s="356">
        <f t="shared" si="6"/>
        <v>0</v>
      </c>
      <c r="W129" s="356">
        <f t="shared" si="6"/>
        <v>0</v>
      </c>
      <c r="X129" s="356">
        <f t="shared" si="6"/>
        <v>0</v>
      </c>
      <c r="Y129" s="356">
        <f t="shared" si="6"/>
        <v>0</v>
      </c>
      <c r="Z129" s="351"/>
      <c r="AA129" s="351"/>
    </row>
    <row r="130" spans="4:27" x14ac:dyDescent="0.25">
      <c r="E130" s="96"/>
      <c r="F130" s="415" t="s">
        <v>48</v>
      </c>
      <c r="G130" s="295" t="s">
        <v>183</v>
      </c>
      <c r="H130" s="351"/>
      <c r="I130" s="351"/>
      <c r="J130" s="356">
        <f t="shared" ref="J130:Y130" si="7">hundred * $H25 * J62 / $H50 * J$78 * (1 - J74) / hours_in_year</f>
        <v>0.32631813963952466</v>
      </c>
      <c r="K130" s="356">
        <f t="shared" si="7"/>
        <v>0</v>
      </c>
      <c r="L130" s="356">
        <f t="shared" si="7"/>
        <v>0.28124015690294185</v>
      </c>
      <c r="M130" s="356">
        <f t="shared" si="7"/>
        <v>0</v>
      </c>
      <c r="N130" s="356">
        <f t="shared" si="7"/>
        <v>0.25479343307878427</v>
      </c>
      <c r="O130" s="356">
        <f t="shared" si="7"/>
        <v>0.21122427163113194</v>
      </c>
      <c r="P130" s="356">
        <f t="shared" si="7"/>
        <v>7.2865958207783493E-2</v>
      </c>
      <c r="Q130" s="356">
        <f t="shared" si="7"/>
        <v>0.31415277662040708</v>
      </c>
      <c r="R130" s="356">
        <f t="shared" si="7"/>
        <v>-0.17414453129194221</v>
      </c>
      <c r="S130" s="356">
        <f t="shared" si="7"/>
        <v>-0.16600108198692332</v>
      </c>
      <c r="T130" s="356">
        <f t="shared" si="7"/>
        <v>-0.17414453129194221</v>
      </c>
      <c r="U130" s="356">
        <f t="shared" si="7"/>
        <v>-0.17414453129194221</v>
      </c>
      <c r="V130" s="356">
        <f t="shared" si="7"/>
        <v>-0.16600108198692332</v>
      </c>
      <c r="W130" s="356">
        <f t="shared" si="7"/>
        <v>-0.16600108198692332</v>
      </c>
      <c r="X130" s="356">
        <f t="shared" si="7"/>
        <v>0</v>
      </c>
      <c r="Y130" s="356">
        <f t="shared" si="7"/>
        <v>0</v>
      </c>
      <c r="Z130" s="351"/>
      <c r="AA130" s="351"/>
    </row>
    <row r="131" spans="4:27" x14ac:dyDescent="0.25">
      <c r="E131" s="96"/>
      <c r="F131" s="415" t="s">
        <v>49</v>
      </c>
      <c r="G131" s="295" t="s">
        <v>183</v>
      </c>
      <c r="H131" s="351"/>
      <c r="I131" s="351"/>
      <c r="J131" s="356">
        <f t="shared" ref="J131:Y131" si="8">hundred * $H26 * J63 / $H51 * J$78 * (1 - J75) / hours_in_year</f>
        <v>5.475947988827292E-2</v>
      </c>
      <c r="K131" s="356">
        <f t="shared" si="8"/>
        <v>0</v>
      </c>
      <c r="L131" s="356">
        <f t="shared" si="8"/>
        <v>4.7194939063804349E-2</v>
      </c>
      <c r="M131" s="356">
        <f t="shared" si="8"/>
        <v>0</v>
      </c>
      <c r="N131" s="356">
        <f t="shared" si="8"/>
        <v>4.2756911674461349E-2</v>
      </c>
      <c r="O131" s="356">
        <f t="shared" si="8"/>
        <v>3.5445566302496442E-2</v>
      </c>
      <c r="P131" s="356">
        <f t="shared" si="8"/>
        <v>0</v>
      </c>
      <c r="Q131" s="356">
        <f t="shared" si="8"/>
        <v>5.2718009094418775E-2</v>
      </c>
      <c r="R131" s="356">
        <f t="shared" si="8"/>
        <v>-2.9223211340528205E-2</v>
      </c>
      <c r="S131" s="356">
        <f t="shared" si="8"/>
        <v>0</v>
      </c>
      <c r="T131" s="356">
        <f t="shared" si="8"/>
        <v>-2.9223211340528205E-2</v>
      </c>
      <c r="U131" s="356">
        <f t="shared" si="8"/>
        <v>-2.9223211340528205E-2</v>
      </c>
      <c r="V131" s="356">
        <f t="shared" si="8"/>
        <v>0</v>
      </c>
      <c r="W131" s="356">
        <f t="shared" si="8"/>
        <v>0</v>
      </c>
      <c r="X131" s="356">
        <f t="shared" si="8"/>
        <v>0</v>
      </c>
      <c r="Y131" s="356">
        <f t="shared" si="8"/>
        <v>0</v>
      </c>
      <c r="Z131" s="351"/>
      <c r="AA131" s="351"/>
    </row>
    <row r="132" spans="4:27" x14ac:dyDescent="0.25">
      <c r="E132" s="96"/>
      <c r="F132" s="417" t="s">
        <v>50</v>
      </c>
      <c r="G132" s="93" t="s">
        <v>183</v>
      </c>
      <c r="H132" s="353"/>
      <c r="I132" s="353"/>
      <c r="J132" s="357">
        <f t="shared" ref="J132:Y132" si="9">hundred * $H27 * J64 / $H52 * J$78 * (1 - J76) / hours_in_year</f>
        <v>8.0107042520338456E-3</v>
      </c>
      <c r="K132" s="357">
        <f t="shared" si="9"/>
        <v>0</v>
      </c>
      <c r="L132" s="357">
        <f t="shared" si="9"/>
        <v>6.9040958716969228E-3</v>
      </c>
      <c r="M132" s="357">
        <f t="shared" si="9"/>
        <v>0</v>
      </c>
      <c r="N132" s="357">
        <f t="shared" si="9"/>
        <v>6.2548617125889527E-3</v>
      </c>
      <c r="O132" s="357">
        <f t="shared" si="9"/>
        <v>0</v>
      </c>
      <c r="P132" s="357">
        <f t="shared" si="9"/>
        <v>0</v>
      </c>
      <c r="Q132" s="357">
        <f t="shared" si="9"/>
        <v>7.7120597287093536E-3</v>
      </c>
      <c r="R132" s="357">
        <f t="shared" si="9"/>
        <v>0</v>
      </c>
      <c r="S132" s="357">
        <f t="shared" si="9"/>
        <v>0</v>
      </c>
      <c r="T132" s="357">
        <f t="shared" si="9"/>
        <v>0</v>
      </c>
      <c r="U132" s="357">
        <f t="shared" si="9"/>
        <v>0</v>
      </c>
      <c r="V132" s="357">
        <f t="shared" si="9"/>
        <v>0</v>
      </c>
      <c r="W132" s="357">
        <f t="shared" si="9"/>
        <v>0</v>
      </c>
      <c r="X132" s="357">
        <f t="shared" si="9"/>
        <v>0</v>
      </c>
      <c r="Y132" s="357">
        <f t="shared" si="9"/>
        <v>0</v>
      </c>
      <c r="Z132" s="351"/>
      <c r="AA132" s="351"/>
    </row>
    <row r="133" spans="4:27" x14ac:dyDescent="0.25">
      <c r="E133" s="96"/>
      <c r="F133" s="415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</row>
    <row r="134" spans="4:27" x14ac:dyDescent="0.25">
      <c r="E134" s="96" t="s">
        <v>116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</row>
    <row r="135" spans="4:27" x14ac:dyDescent="0.25">
      <c r="D135" s="96"/>
      <c r="E135" s="96"/>
      <c r="F135" s="414" t="s">
        <v>324</v>
      </c>
      <c r="G135" s="91" t="s">
        <v>183</v>
      </c>
      <c r="H135" s="349"/>
      <c r="I135" s="349"/>
      <c r="J135" s="355">
        <f t="shared" ref="J135:Y135" si="10">hundred * $H30 * J55 / $H43 * J$78 / hours_in_year</f>
        <v>0.25686340238170341</v>
      </c>
      <c r="K135" s="355">
        <f t="shared" si="10"/>
        <v>0</v>
      </c>
      <c r="L135" s="355">
        <f t="shared" si="10"/>
        <v>0.2213799811075651</v>
      </c>
      <c r="M135" s="355">
        <f t="shared" si="10"/>
        <v>0</v>
      </c>
      <c r="N135" s="355">
        <f t="shared" si="10"/>
        <v>0.20056227397419324</v>
      </c>
      <c r="O135" s="355">
        <f t="shared" si="10"/>
        <v>0.16626653098937327</v>
      </c>
      <c r="P135" s="355">
        <f t="shared" si="10"/>
        <v>0.14541591365854037</v>
      </c>
      <c r="Q135" s="355">
        <f t="shared" si="10"/>
        <v>0.24728735938344712</v>
      </c>
      <c r="R135" s="355">
        <f t="shared" si="10"/>
        <v>-0.13707897717003684</v>
      </c>
      <c r="S135" s="355">
        <f t="shared" si="10"/>
        <v>-0.13066880917287682</v>
      </c>
      <c r="T135" s="355">
        <f t="shared" si="10"/>
        <v>-0.13707897717003684</v>
      </c>
      <c r="U135" s="355">
        <f t="shared" si="10"/>
        <v>-0.13707897717003684</v>
      </c>
      <c r="V135" s="355">
        <f t="shared" si="10"/>
        <v>-0.13066880917287682</v>
      </c>
      <c r="W135" s="355">
        <f t="shared" si="10"/>
        <v>-0.13066880917287682</v>
      </c>
      <c r="X135" s="355">
        <f t="shared" si="10"/>
        <v>-0.12795681502023221</v>
      </c>
      <c r="Y135" s="355">
        <f t="shared" si="10"/>
        <v>-0.12795681502023221</v>
      </c>
      <c r="Z135" s="351"/>
      <c r="AA135" s="351"/>
    </row>
    <row r="136" spans="4:27" x14ac:dyDescent="0.25">
      <c r="D136" s="96"/>
      <c r="E136" s="96"/>
      <c r="F136" s="415" t="s">
        <v>43</v>
      </c>
      <c r="G136" s="295" t="s">
        <v>183</v>
      </c>
      <c r="H136" s="351"/>
      <c r="I136" s="351"/>
      <c r="J136" s="356">
        <f t="shared" ref="J136:Y136" si="11">hundred * $H31 * J56 / $H44 * J$78 / hours_in_year</f>
        <v>0</v>
      </c>
      <c r="K136" s="356">
        <f t="shared" si="11"/>
        <v>0</v>
      </c>
      <c r="L136" s="356">
        <f t="shared" si="11"/>
        <v>0</v>
      </c>
      <c r="M136" s="356">
        <f t="shared" si="11"/>
        <v>0</v>
      </c>
      <c r="N136" s="356">
        <f t="shared" si="11"/>
        <v>0</v>
      </c>
      <c r="O136" s="356">
        <f t="shared" si="11"/>
        <v>0</v>
      </c>
      <c r="P136" s="356">
        <f t="shared" si="11"/>
        <v>0</v>
      </c>
      <c r="Q136" s="356">
        <f t="shared" si="11"/>
        <v>0</v>
      </c>
      <c r="R136" s="356">
        <f t="shared" si="11"/>
        <v>0</v>
      </c>
      <c r="S136" s="356">
        <f t="shared" si="11"/>
        <v>0</v>
      </c>
      <c r="T136" s="356">
        <f t="shared" si="11"/>
        <v>0</v>
      </c>
      <c r="U136" s="356">
        <f t="shared" si="11"/>
        <v>0</v>
      </c>
      <c r="V136" s="356">
        <f t="shared" si="11"/>
        <v>0</v>
      </c>
      <c r="W136" s="356">
        <f t="shared" si="11"/>
        <v>0</v>
      </c>
      <c r="X136" s="356">
        <f t="shared" si="11"/>
        <v>0</v>
      </c>
      <c r="Y136" s="356">
        <f t="shared" si="11"/>
        <v>0</v>
      </c>
      <c r="Z136" s="351"/>
      <c r="AA136" s="351"/>
    </row>
    <row r="137" spans="4:27" x14ac:dyDescent="0.25">
      <c r="D137" s="96"/>
      <c r="E137" s="96"/>
      <c r="F137" s="415" t="s">
        <v>44</v>
      </c>
      <c r="G137" s="295" t="s">
        <v>183</v>
      </c>
      <c r="H137" s="351"/>
      <c r="I137" s="351"/>
      <c r="J137" s="356">
        <f t="shared" ref="J137:Y137" si="12">hundred * $H32 * J57 / $H45 * J$78 / hours_in_year</f>
        <v>0.21972511651721785</v>
      </c>
      <c r="K137" s="356">
        <f t="shared" si="12"/>
        <v>0</v>
      </c>
      <c r="L137" s="356">
        <f t="shared" si="12"/>
        <v>0.18937202299903852</v>
      </c>
      <c r="M137" s="356">
        <f t="shared" si="12"/>
        <v>0</v>
      </c>
      <c r="N137" s="356">
        <f t="shared" si="12"/>
        <v>0.17156421899469795</v>
      </c>
      <c r="O137" s="356">
        <f t="shared" si="12"/>
        <v>0.14222708472990284</v>
      </c>
      <c r="P137" s="356">
        <f t="shared" si="12"/>
        <v>0.12439112880938934</v>
      </c>
      <c r="Q137" s="356">
        <f t="shared" si="12"/>
        <v>0.21153361416983782</v>
      </c>
      <c r="R137" s="356">
        <f t="shared" si="12"/>
        <v>-0.11725957824847702</v>
      </c>
      <c r="S137" s="356">
        <f t="shared" si="12"/>
        <v>-0.1117762166757065</v>
      </c>
      <c r="T137" s="356">
        <f t="shared" si="12"/>
        <v>-0.11725957824847702</v>
      </c>
      <c r="U137" s="356">
        <f t="shared" si="12"/>
        <v>-0.11725957824847702</v>
      </c>
      <c r="V137" s="356">
        <f t="shared" si="12"/>
        <v>-0.1117762166757065</v>
      </c>
      <c r="W137" s="356">
        <f t="shared" si="12"/>
        <v>-0.1117762166757065</v>
      </c>
      <c r="X137" s="356">
        <f t="shared" si="12"/>
        <v>-0.10945633293338053</v>
      </c>
      <c r="Y137" s="356">
        <f t="shared" si="12"/>
        <v>-0.10945633293338053</v>
      </c>
      <c r="Z137" s="351"/>
      <c r="AA137" s="351"/>
    </row>
    <row r="138" spans="4:27" x14ac:dyDescent="0.25">
      <c r="D138" s="96"/>
      <c r="E138" s="96"/>
      <c r="F138" s="415" t="s">
        <v>45</v>
      </c>
      <c r="G138" s="295" t="s">
        <v>183</v>
      </c>
      <c r="H138" s="351"/>
      <c r="I138" s="351"/>
      <c r="J138" s="356">
        <f t="shared" ref="J138:Y138" si="13">hundred * $H33 * J58 / $H46 * J$78 / hours_in_year</f>
        <v>1.8422198970302932E-2</v>
      </c>
      <c r="K138" s="356">
        <f t="shared" si="13"/>
        <v>0</v>
      </c>
      <c r="L138" s="356">
        <f t="shared" si="13"/>
        <v>1.5877334109064844E-2</v>
      </c>
      <c r="M138" s="356">
        <f t="shared" si="13"/>
        <v>0</v>
      </c>
      <c r="N138" s="356">
        <f t="shared" si="13"/>
        <v>1.4384291739616778E-2</v>
      </c>
      <c r="O138" s="356">
        <f t="shared" si="13"/>
        <v>1.1924606960693487E-2</v>
      </c>
      <c r="P138" s="356">
        <f t="shared" si="13"/>
        <v>1.042920427755278E-2</v>
      </c>
      <c r="Q138" s="356">
        <f t="shared" si="13"/>
        <v>1.7735406816082759E-2</v>
      </c>
      <c r="R138" s="356">
        <f t="shared" si="13"/>
        <v>-9.8312806287576861E-3</v>
      </c>
      <c r="S138" s="356">
        <f t="shared" si="13"/>
        <v>-9.3715444842474328E-3</v>
      </c>
      <c r="T138" s="356">
        <f t="shared" si="13"/>
        <v>-9.8312806287576861E-3</v>
      </c>
      <c r="U138" s="356">
        <f t="shared" si="13"/>
        <v>-9.8312806287576861E-3</v>
      </c>
      <c r="V138" s="356">
        <f t="shared" si="13"/>
        <v>-9.3715444842474328E-3</v>
      </c>
      <c r="W138" s="356">
        <f t="shared" si="13"/>
        <v>-9.3715444842474328E-3</v>
      </c>
      <c r="X138" s="356">
        <f t="shared" si="13"/>
        <v>-9.1770407308007888E-3</v>
      </c>
      <c r="Y138" s="356">
        <f t="shared" si="13"/>
        <v>-9.1770407308007888E-3</v>
      </c>
      <c r="Z138" s="351"/>
      <c r="AA138" s="351"/>
    </row>
    <row r="139" spans="4:27" x14ac:dyDescent="0.25">
      <c r="D139" s="96"/>
      <c r="E139" s="96"/>
      <c r="F139" s="415" t="s">
        <v>46</v>
      </c>
      <c r="G139" s="295" t="s">
        <v>183</v>
      </c>
      <c r="H139" s="351"/>
      <c r="I139" s="351"/>
      <c r="J139" s="356">
        <f t="shared" ref="J139:Y139" si="14">hundred * $H34 * J59 / $H47 * J$78 / hours_in_year</f>
        <v>0.18806679113498154</v>
      </c>
      <c r="K139" s="356">
        <f t="shared" si="14"/>
        <v>0</v>
      </c>
      <c r="L139" s="356">
        <f t="shared" si="14"/>
        <v>0.16208701699961692</v>
      </c>
      <c r="M139" s="356">
        <f t="shared" si="14"/>
        <v>0</v>
      </c>
      <c r="N139" s="356">
        <f t="shared" si="14"/>
        <v>0.14684498818952149</v>
      </c>
      <c r="O139" s="356">
        <f t="shared" si="14"/>
        <v>0.12173479236971955</v>
      </c>
      <c r="P139" s="356">
        <f t="shared" si="14"/>
        <v>0.10646866781389029</v>
      </c>
      <c r="Q139" s="356">
        <f t="shared" si="14"/>
        <v>0.18105553277059824</v>
      </c>
      <c r="R139" s="356">
        <f t="shared" si="14"/>
        <v>-0.10036464178779621</v>
      </c>
      <c r="S139" s="356">
        <f t="shared" si="14"/>
        <v>-9.5671331200597079E-2</v>
      </c>
      <c r="T139" s="356">
        <f t="shared" si="14"/>
        <v>-0.10036464178779621</v>
      </c>
      <c r="U139" s="356">
        <f t="shared" si="14"/>
        <v>-0.10036464178779621</v>
      </c>
      <c r="V139" s="356">
        <f t="shared" si="14"/>
        <v>-9.5671331200597079E-2</v>
      </c>
      <c r="W139" s="356">
        <f t="shared" si="14"/>
        <v>-9.5671331200597079E-2</v>
      </c>
      <c r="X139" s="356">
        <f t="shared" si="14"/>
        <v>-9.3685699798320532E-2</v>
      </c>
      <c r="Y139" s="356">
        <f t="shared" si="14"/>
        <v>-9.3685699798320532E-2</v>
      </c>
      <c r="Z139" s="351"/>
      <c r="AA139" s="351"/>
    </row>
    <row r="140" spans="4:27" x14ac:dyDescent="0.25">
      <c r="D140" s="96"/>
      <c r="E140" s="96"/>
      <c r="F140" s="415" t="s">
        <v>47</v>
      </c>
      <c r="G140" s="295" t="s">
        <v>183</v>
      </c>
      <c r="H140" s="351"/>
      <c r="I140" s="351"/>
      <c r="J140" s="356">
        <f t="shared" ref="J140:Y140" si="15">hundred * $H35 * J60 / $H48 * J$78 / hours_in_year</f>
        <v>3.1235922639097097E-2</v>
      </c>
      <c r="K140" s="356">
        <f t="shared" si="15"/>
        <v>0</v>
      </c>
      <c r="L140" s="356">
        <f t="shared" si="15"/>
        <v>2.6920954482432886E-2</v>
      </c>
      <c r="M140" s="356">
        <f t="shared" si="15"/>
        <v>0</v>
      </c>
      <c r="N140" s="356">
        <f t="shared" si="15"/>
        <v>2.4389413268262231E-2</v>
      </c>
      <c r="O140" s="356">
        <f t="shared" si="15"/>
        <v>2.0218872954651169E-2</v>
      </c>
      <c r="P140" s="356">
        <f t="shared" si="15"/>
        <v>1.7683329689692433E-2</v>
      </c>
      <c r="Q140" s="356">
        <f t="shared" si="15"/>
        <v>3.0071426118733684E-2</v>
      </c>
      <c r="R140" s="356">
        <f t="shared" si="15"/>
        <v>-1.6669514950857098E-2</v>
      </c>
      <c r="S140" s="356">
        <f t="shared" si="15"/>
        <v>-1.5890005258910544E-2</v>
      </c>
      <c r="T140" s="356">
        <f t="shared" si="15"/>
        <v>-1.6669514950857098E-2</v>
      </c>
      <c r="U140" s="356">
        <f t="shared" si="15"/>
        <v>-1.6669514950857098E-2</v>
      </c>
      <c r="V140" s="356">
        <f t="shared" si="15"/>
        <v>-1.5890005258910544E-2</v>
      </c>
      <c r="W140" s="356">
        <f t="shared" si="15"/>
        <v>-1.5890005258910544E-2</v>
      </c>
      <c r="X140" s="356">
        <f t="shared" si="15"/>
        <v>-1.5560212696933154E-2</v>
      </c>
      <c r="Y140" s="356">
        <f t="shared" si="15"/>
        <v>-1.5560212696933154E-2</v>
      </c>
      <c r="Z140" s="351"/>
      <c r="AA140" s="351"/>
    </row>
    <row r="141" spans="4:27" x14ac:dyDescent="0.25">
      <c r="D141" s="96"/>
      <c r="E141" s="96"/>
      <c r="F141" s="415" t="s">
        <v>51</v>
      </c>
      <c r="G141" s="295" t="s">
        <v>183</v>
      </c>
      <c r="H141" s="351"/>
      <c r="I141" s="351"/>
      <c r="J141" s="356">
        <f t="shared" ref="J141:Y141" si="16">hundred * $H36 * J61 / $H49 * J$78 / hours_in_year</f>
        <v>0</v>
      </c>
      <c r="K141" s="356">
        <f t="shared" si="16"/>
        <v>0</v>
      </c>
      <c r="L141" s="356">
        <f t="shared" si="16"/>
        <v>0</v>
      </c>
      <c r="M141" s="356">
        <f t="shared" si="16"/>
        <v>0</v>
      </c>
      <c r="N141" s="356">
        <f t="shared" si="16"/>
        <v>0</v>
      </c>
      <c r="O141" s="356">
        <f t="shared" si="16"/>
        <v>0</v>
      </c>
      <c r="P141" s="356">
        <f t="shared" si="16"/>
        <v>0</v>
      </c>
      <c r="Q141" s="356">
        <f t="shared" si="16"/>
        <v>0</v>
      </c>
      <c r="R141" s="356">
        <f t="shared" si="16"/>
        <v>0</v>
      </c>
      <c r="S141" s="356">
        <f t="shared" si="16"/>
        <v>0</v>
      </c>
      <c r="T141" s="356">
        <f t="shared" si="16"/>
        <v>0</v>
      </c>
      <c r="U141" s="356">
        <f t="shared" si="16"/>
        <v>0</v>
      </c>
      <c r="V141" s="356">
        <f t="shared" si="16"/>
        <v>0</v>
      </c>
      <c r="W141" s="356">
        <f t="shared" si="16"/>
        <v>0</v>
      </c>
      <c r="X141" s="356">
        <f t="shared" si="16"/>
        <v>0</v>
      </c>
      <c r="Y141" s="356">
        <f t="shared" si="16"/>
        <v>0</v>
      </c>
      <c r="Z141" s="351"/>
      <c r="AA141" s="351"/>
    </row>
    <row r="142" spans="4:27" x14ac:dyDescent="0.25">
      <c r="D142" s="96"/>
      <c r="E142" s="96"/>
      <c r="F142" s="415" t="s">
        <v>48</v>
      </c>
      <c r="G142" s="295" t="s">
        <v>183</v>
      </c>
      <c r="H142" s="351"/>
      <c r="I142" s="351"/>
      <c r="J142" s="356">
        <f t="shared" ref="J142:Y142" si="17">hundred * $H37 * J62 / $H50 * J$78 / hours_in_year</f>
        <v>0.25636784658182493</v>
      </c>
      <c r="K142" s="356">
        <f t="shared" si="17"/>
        <v>0</v>
      </c>
      <c r="L142" s="356">
        <f t="shared" si="17"/>
        <v>0.22095288198562862</v>
      </c>
      <c r="M142" s="356">
        <f t="shared" si="17"/>
        <v>0</v>
      </c>
      <c r="N142" s="356">
        <f t="shared" si="17"/>
        <v>0.2001753375823867</v>
      </c>
      <c r="O142" s="356">
        <f t="shared" si="17"/>
        <v>0.16594575993754779</v>
      </c>
      <c r="P142" s="356">
        <f t="shared" si="17"/>
        <v>0.14513536882910988</v>
      </c>
      <c r="Q142" s="356">
        <f t="shared" si="17"/>
        <v>0.24681027824209792</v>
      </c>
      <c r="R142" s="356">
        <f t="shared" si="17"/>
        <v>-0.13681451644286374</v>
      </c>
      <c r="S142" s="356">
        <f t="shared" si="17"/>
        <v>-0.13041671531424062</v>
      </c>
      <c r="T142" s="356">
        <f t="shared" si="17"/>
        <v>-0.13681451644286374</v>
      </c>
      <c r="U142" s="356">
        <f t="shared" si="17"/>
        <v>-0.13681451644286374</v>
      </c>
      <c r="V142" s="356">
        <f t="shared" si="17"/>
        <v>-0.13041671531424062</v>
      </c>
      <c r="W142" s="356">
        <f t="shared" si="17"/>
        <v>-0.13041671531424062</v>
      </c>
      <c r="X142" s="356">
        <f t="shared" si="17"/>
        <v>0</v>
      </c>
      <c r="Y142" s="356">
        <f t="shared" si="17"/>
        <v>0</v>
      </c>
      <c r="Z142" s="351"/>
      <c r="AA142" s="351"/>
    </row>
    <row r="143" spans="4:27" x14ac:dyDescent="0.25">
      <c r="D143" s="96"/>
      <c r="E143" s="96"/>
      <c r="F143" s="415" t="s">
        <v>49</v>
      </c>
      <c r="G143" s="295" t="s">
        <v>183</v>
      </c>
      <c r="H143" s="351"/>
      <c r="I143" s="351"/>
      <c r="J143" s="356">
        <f t="shared" ref="J143:Y143" si="18">hundred * $H38 * J63 / $H51 * J$78 / hours_in_year</f>
        <v>0.1002712655857598</v>
      </c>
      <c r="K143" s="356">
        <f t="shared" si="18"/>
        <v>0</v>
      </c>
      <c r="L143" s="356">
        <f t="shared" si="18"/>
        <v>8.6419671604366824E-2</v>
      </c>
      <c r="M143" s="356">
        <f t="shared" si="18"/>
        <v>0</v>
      </c>
      <c r="N143" s="356">
        <f t="shared" si="18"/>
        <v>7.8293103858624077E-2</v>
      </c>
      <c r="O143" s="356">
        <f t="shared" si="18"/>
        <v>6.4905141535437166E-2</v>
      </c>
      <c r="P143" s="356">
        <f t="shared" si="18"/>
        <v>0</v>
      </c>
      <c r="Q143" s="356">
        <f t="shared" si="18"/>
        <v>9.6533084350770404E-2</v>
      </c>
      <c r="R143" s="356">
        <f t="shared" si="18"/>
        <v>-5.3511253057434933E-2</v>
      </c>
      <c r="S143" s="356">
        <f t="shared" si="18"/>
        <v>0</v>
      </c>
      <c r="T143" s="356">
        <f t="shared" si="18"/>
        <v>-5.3511253057434933E-2</v>
      </c>
      <c r="U143" s="356">
        <f t="shared" si="18"/>
        <v>-5.3511253057434933E-2</v>
      </c>
      <c r="V143" s="356">
        <f t="shared" si="18"/>
        <v>0</v>
      </c>
      <c r="W143" s="356">
        <f t="shared" si="18"/>
        <v>0</v>
      </c>
      <c r="X143" s="356">
        <f t="shared" si="18"/>
        <v>0</v>
      </c>
      <c r="Y143" s="356">
        <f t="shared" si="18"/>
        <v>0</v>
      </c>
      <c r="Z143" s="351"/>
      <c r="AA143" s="351"/>
    </row>
    <row r="144" spans="4:27" x14ac:dyDescent="0.25">
      <c r="D144" s="96"/>
      <c r="E144" s="96"/>
      <c r="F144" s="417" t="s">
        <v>50</v>
      </c>
      <c r="G144" s="93" t="s">
        <v>183</v>
      </c>
      <c r="H144" s="353"/>
      <c r="I144" s="353"/>
      <c r="J144" s="357">
        <f t="shared" ref="J144:Y144" si="19">hundred * $H39 * J64 / $H52 * J$78 / hours_in_year</f>
        <v>6.1398053409865733E-2</v>
      </c>
      <c r="K144" s="357">
        <f t="shared" si="19"/>
        <v>0</v>
      </c>
      <c r="L144" s="357">
        <f t="shared" si="19"/>
        <v>5.291645200478564E-2</v>
      </c>
      <c r="M144" s="357">
        <f t="shared" si="19"/>
        <v>0</v>
      </c>
      <c r="N144" s="357">
        <f t="shared" si="19"/>
        <v>4.7940395927531278E-2</v>
      </c>
      <c r="O144" s="357">
        <f t="shared" si="19"/>
        <v>0</v>
      </c>
      <c r="P144" s="357">
        <f t="shared" si="19"/>
        <v>0</v>
      </c>
      <c r="Q144" s="357">
        <f t="shared" si="19"/>
        <v>5.9109092063054626E-2</v>
      </c>
      <c r="R144" s="357">
        <f t="shared" si="19"/>
        <v>0</v>
      </c>
      <c r="S144" s="357">
        <f t="shared" si="19"/>
        <v>0</v>
      </c>
      <c r="T144" s="357">
        <f t="shared" si="19"/>
        <v>0</v>
      </c>
      <c r="U144" s="357">
        <f t="shared" si="19"/>
        <v>0</v>
      </c>
      <c r="V144" s="357">
        <f t="shared" si="19"/>
        <v>0</v>
      </c>
      <c r="W144" s="357">
        <f t="shared" si="19"/>
        <v>0</v>
      </c>
      <c r="X144" s="357">
        <f t="shared" si="19"/>
        <v>0</v>
      </c>
      <c r="Y144" s="357">
        <f t="shared" si="19"/>
        <v>0</v>
      </c>
      <c r="Z144" s="351"/>
      <c r="AA144" s="351"/>
    </row>
    <row r="145" spans="3:27" x14ac:dyDescent="0.25">
      <c r="C145" s="96"/>
      <c r="D145" s="96"/>
      <c r="E145" s="96"/>
      <c r="J145" s="238"/>
      <c r="K145" s="238"/>
      <c r="L145" s="238"/>
      <c r="M145" s="238"/>
      <c r="N145" s="238"/>
      <c r="O145" s="238"/>
      <c r="P145" s="238"/>
      <c r="Q145" s="238"/>
      <c r="R145" s="238"/>
      <c r="S145" s="238"/>
      <c r="T145" s="238"/>
      <c r="U145" s="238"/>
      <c r="V145" s="238"/>
      <c r="W145" s="238"/>
      <c r="X145" s="238"/>
      <c r="Y145" s="238"/>
    </row>
    <row r="146" spans="3:27" x14ac:dyDescent="0.25">
      <c r="C146" s="7" t="str">
        <f ca="1">INDEX('Version control'!$H$34:$H$58,MATCH($A$1,'Version control'!$F$34:$F$58,0),1)&amp;"-C: Unit rate 1"</f>
        <v>Section 512-C: Unit rate 1</v>
      </c>
      <c r="D146" s="7"/>
      <c r="E146" s="7"/>
      <c r="F146" s="7"/>
      <c r="G146" s="7"/>
      <c r="H146" s="7"/>
      <c r="I146" s="7"/>
      <c r="J146" s="242"/>
      <c r="K146" s="242"/>
      <c r="L146" s="242"/>
      <c r="M146" s="242"/>
      <c r="N146" s="242"/>
      <c r="O146" s="242"/>
      <c r="P146" s="242"/>
      <c r="Q146" s="242"/>
      <c r="R146" s="242"/>
      <c r="S146" s="242"/>
      <c r="T146" s="242"/>
      <c r="U146" s="242"/>
      <c r="V146" s="242"/>
      <c r="W146" s="242"/>
      <c r="X146" s="242"/>
      <c r="Y146" s="242"/>
      <c r="Z146" s="7"/>
      <c r="AA146" s="7"/>
    </row>
    <row r="147" spans="3:27" x14ac:dyDescent="0.25">
      <c r="C147" s="96"/>
      <c r="D147" s="96"/>
      <c r="E147" s="96"/>
      <c r="J147" s="238"/>
      <c r="K147" s="238"/>
      <c r="L147" s="238"/>
      <c r="M147" s="238"/>
      <c r="N147" s="238"/>
      <c r="O147" s="238"/>
      <c r="P147" s="238"/>
      <c r="Q147" s="238"/>
      <c r="R147" s="238"/>
      <c r="S147" s="238"/>
      <c r="T147" s="238"/>
      <c r="U147" s="238"/>
      <c r="V147" s="238"/>
      <c r="W147" s="238"/>
      <c r="X147" s="238"/>
      <c r="Y147" s="238"/>
    </row>
    <row r="148" spans="3:27" x14ac:dyDescent="0.25">
      <c r="D148" s="82" t="s">
        <v>928</v>
      </c>
      <c r="E148" s="96"/>
      <c r="F148" s="96"/>
      <c r="J148" s="238"/>
      <c r="K148" s="238"/>
      <c r="L148" s="238"/>
      <c r="M148" s="238"/>
      <c r="N148" s="238"/>
      <c r="O148" s="238"/>
      <c r="P148" s="238"/>
      <c r="Q148" s="238"/>
      <c r="R148" s="238"/>
      <c r="S148" s="238"/>
      <c r="T148" s="238"/>
      <c r="U148" s="238"/>
      <c r="V148" s="238"/>
      <c r="W148" s="238"/>
      <c r="X148" s="238"/>
      <c r="Y148" s="238"/>
    </row>
    <row r="149" spans="3:27" x14ac:dyDescent="0.25">
      <c r="D149" s="82" t="s">
        <v>448</v>
      </c>
      <c r="E149" s="96"/>
      <c r="F149" s="96"/>
      <c r="J149" s="238"/>
      <c r="K149" s="238"/>
      <c r="L149" s="238"/>
      <c r="M149" s="238"/>
      <c r="N149" s="238"/>
      <c r="O149" s="238"/>
      <c r="P149" s="238"/>
      <c r="Q149" s="238"/>
      <c r="R149" s="238"/>
      <c r="S149" s="238"/>
      <c r="T149" s="238"/>
      <c r="U149" s="238"/>
      <c r="V149" s="238"/>
      <c r="W149" s="238"/>
      <c r="X149" s="238"/>
      <c r="Y149" s="238"/>
    </row>
    <row r="150" spans="3:27" x14ac:dyDescent="0.25">
      <c r="D150" s="96"/>
      <c r="E150" s="96"/>
      <c r="F150" s="96"/>
      <c r="I150" s="88" t="s">
        <v>431</v>
      </c>
      <c r="J150" s="238"/>
      <c r="K150" s="238"/>
      <c r="L150" s="238"/>
      <c r="M150" s="238"/>
      <c r="N150" s="238"/>
      <c r="O150" s="238"/>
      <c r="P150" s="238"/>
      <c r="Q150" s="238"/>
      <c r="R150" s="238"/>
      <c r="S150" s="238"/>
      <c r="T150" s="238"/>
      <c r="U150" s="238"/>
      <c r="V150" s="238"/>
      <c r="W150" s="238"/>
      <c r="X150" s="238"/>
      <c r="Y150" s="238"/>
      <c r="AA150" s="295" t="s">
        <v>834</v>
      </c>
    </row>
    <row r="151" spans="3:27" x14ac:dyDescent="0.25">
      <c r="E151" s="96" t="s">
        <v>139</v>
      </c>
      <c r="J151" s="238"/>
      <c r="K151" s="238"/>
      <c r="L151" s="238"/>
      <c r="M151" s="238"/>
      <c r="N151" s="238"/>
      <c r="O151" s="238"/>
      <c r="P151" s="238"/>
      <c r="Q151" s="238"/>
      <c r="R151" s="238"/>
      <c r="S151" s="238"/>
      <c r="T151" s="238"/>
      <c r="U151" s="238"/>
      <c r="V151" s="238"/>
      <c r="W151" s="238"/>
      <c r="X151" s="238"/>
      <c r="Y151" s="238"/>
    </row>
    <row r="152" spans="3:27" x14ac:dyDescent="0.25">
      <c r="E152" s="96"/>
      <c r="F152" s="414" t="s">
        <v>324</v>
      </c>
      <c r="G152" s="91" t="s">
        <v>183</v>
      </c>
      <c r="H152" s="349"/>
      <c r="I152" s="349"/>
      <c r="J152" s="355">
        <f t="shared" ref="J152:Y152" si="20">hundred * $H18 * J55 / $H43 * J81 * (1 - J67) / hours_in_year</f>
        <v>0</v>
      </c>
      <c r="K152" s="355">
        <f t="shared" si="20"/>
        <v>0</v>
      </c>
      <c r="L152" s="355">
        <f t="shared" si="20"/>
        <v>0</v>
      </c>
      <c r="M152" s="355">
        <f t="shared" si="20"/>
        <v>0</v>
      </c>
      <c r="N152" s="355">
        <f t="shared" si="20"/>
        <v>0</v>
      </c>
      <c r="O152" s="355">
        <f t="shared" si="20"/>
        <v>0</v>
      </c>
      <c r="P152" s="355">
        <f t="shared" si="20"/>
        <v>0</v>
      </c>
      <c r="Q152" s="355">
        <f t="shared" si="20"/>
        <v>0</v>
      </c>
      <c r="R152" s="355">
        <f t="shared" si="20"/>
        <v>0</v>
      </c>
      <c r="S152" s="355">
        <f t="shared" si="20"/>
        <v>0</v>
      </c>
      <c r="T152" s="355">
        <f t="shared" si="20"/>
        <v>0</v>
      </c>
      <c r="U152" s="355">
        <f t="shared" si="20"/>
        <v>0</v>
      </c>
      <c r="V152" s="355">
        <f t="shared" si="20"/>
        <v>0</v>
      </c>
      <c r="W152" s="355">
        <f t="shared" si="20"/>
        <v>0</v>
      </c>
      <c r="X152" s="355">
        <f t="shared" si="20"/>
        <v>0</v>
      </c>
      <c r="Y152" s="355">
        <f t="shared" si="20"/>
        <v>0</v>
      </c>
      <c r="Z152" s="351"/>
      <c r="AA152" s="351"/>
    </row>
    <row r="153" spans="3:27" x14ac:dyDescent="0.25">
      <c r="E153" s="96"/>
      <c r="F153" s="415" t="s">
        <v>43</v>
      </c>
      <c r="G153" s="295" t="s">
        <v>183</v>
      </c>
      <c r="H153" s="351"/>
      <c r="I153" s="351"/>
      <c r="J153" s="356">
        <f t="shared" ref="J153:Y153" si="21">hundred * $H19 * J56 / $H44 * J82 * (1 - J68) / hours_in_year</f>
        <v>0</v>
      </c>
      <c r="K153" s="356">
        <f t="shared" si="21"/>
        <v>0</v>
      </c>
      <c r="L153" s="356">
        <f t="shared" si="21"/>
        <v>0</v>
      </c>
      <c r="M153" s="356">
        <f t="shared" si="21"/>
        <v>0</v>
      </c>
      <c r="N153" s="356">
        <f t="shared" si="21"/>
        <v>0</v>
      </c>
      <c r="O153" s="356">
        <f t="shared" si="21"/>
        <v>0</v>
      </c>
      <c r="P153" s="356">
        <f t="shared" si="21"/>
        <v>0</v>
      </c>
      <c r="Q153" s="356">
        <f t="shared" si="21"/>
        <v>0</v>
      </c>
      <c r="R153" s="356">
        <f t="shared" si="21"/>
        <v>0</v>
      </c>
      <c r="S153" s="356">
        <f t="shared" si="21"/>
        <v>0</v>
      </c>
      <c r="T153" s="356">
        <f t="shared" si="21"/>
        <v>0</v>
      </c>
      <c r="U153" s="356">
        <f t="shared" si="21"/>
        <v>0</v>
      </c>
      <c r="V153" s="356">
        <f t="shared" si="21"/>
        <v>0</v>
      </c>
      <c r="W153" s="356">
        <f t="shared" si="21"/>
        <v>0</v>
      </c>
      <c r="X153" s="356">
        <f t="shared" si="21"/>
        <v>0</v>
      </c>
      <c r="Y153" s="356">
        <f t="shared" si="21"/>
        <v>0</v>
      </c>
      <c r="Z153" s="351"/>
      <c r="AA153" s="351"/>
    </row>
    <row r="154" spans="3:27" x14ac:dyDescent="0.25">
      <c r="E154" s="96"/>
      <c r="F154" s="415" t="s">
        <v>44</v>
      </c>
      <c r="G154" s="295" t="s">
        <v>183</v>
      </c>
      <c r="H154" s="351"/>
      <c r="I154" s="351"/>
      <c r="J154" s="356">
        <f t="shared" ref="J154:Y154" si="22">hundred * $H20 * J57 / $H45 * J83 * (1 - J69) / hours_in_year</f>
        <v>2.0950478416642442</v>
      </c>
      <c r="K154" s="356">
        <f t="shared" si="22"/>
        <v>2.0950478416642442</v>
      </c>
      <c r="L154" s="356">
        <f t="shared" si="22"/>
        <v>2.6021294095133136</v>
      </c>
      <c r="M154" s="356">
        <f t="shared" si="22"/>
        <v>2.6021294095133136</v>
      </c>
      <c r="N154" s="356">
        <f t="shared" si="22"/>
        <v>2.114034798088944</v>
      </c>
      <c r="O154" s="356">
        <f t="shared" si="22"/>
        <v>1.9590380302845005</v>
      </c>
      <c r="P154" s="356">
        <f t="shared" si="22"/>
        <v>1.7468166482756475</v>
      </c>
      <c r="Q154" s="356">
        <f t="shared" si="22"/>
        <v>3.8089491056686708</v>
      </c>
      <c r="R154" s="356">
        <f t="shared" si="22"/>
        <v>-1.5878799869450646</v>
      </c>
      <c r="S154" s="356">
        <f t="shared" si="22"/>
        <v>-1.513626606260583</v>
      </c>
      <c r="T154" s="356">
        <f t="shared" si="22"/>
        <v>-1.5878799869450646</v>
      </c>
      <c r="U154" s="356">
        <f t="shared" si="22"/>
        <v>-1.5878799869450646</v>
      </c>
      <c r="V154" s="356">
        <f t="shared" si="22"/>
        <v>-1.513626606260583</v>
      </c>
      <c r="W154" s="356">
        <f t="shared" si="22"/>
        <v>-1.513626606260583</v>
      </c>
      <c r="X154" s="356">
        <f t="shared" si="22"/>
        <v>-1.4822117144325335</v>
      </c>
      <c r="Y154" s="356">
        <f t="shared" si="22"/>
        <v>-1.4822117144325335</v>
      </c>
      <c r="Z154" s="351"/>
      <c r="AA154" s="351"/>
    </row>
    <row r="155" spans="3:27" x14ac:dyDescent="0.25">
      <c r="E155" s="96"/>
      <c r="F155" s="415" t="s">
        <v>45</v>
      </c>
      <c r="G155" s="295" t="s">
        <v>183</v>
      </c>
      <c r="H155" s="351"/>
      <c r="I155" s="351"/>
      <c r="J155" s="356">
        <f t="shared" ref="J155:Y155" si="23">hundred * $H21 * J58 / $H46 * J84 * (1 - J70) / hours_in_year</f>
        <v>0.14592533640650826</v>
      </c>
      <c r="K155" s="356">
        <f t="shared" si="23"/>
        <v>0.14592533640650826</v>
      </c>
      <c r="L155" s="356">
        <f t="shared" si="23"/>
        <v>0.1812448393325774</v>
      </c>
      <c r="M155" s="356">
        <f t="shared" si="23"/>
        <v>0.1812448393325774</v>
      </c>
      <c r="N155" s="356">
        <f t="shared" si="23"/>
        <v>0.14724782553945764</v>
      </c>
      <c r="O155" s="356">
        <f t="shared" si="23"/>
        <v>0.13645191194074108</v>
      </c>
      <c r="P155" s="356">
        <f t="shared" si="23"/>
        <v>0.12167016044732623</v>
      </c>
      <c r="Q155" s="356">
        <f t="shared" si="23"/>
        <v>0.2030828831903955</v>
      </c>
      <c r="R155" s="356">
        <f t="shared" si="23"/>
        <v>-0.11059982338353448</v>
      </c>
      <c r="S155" s="356">
        <f t="shared" si="23"/>
        <v>-0.10542788919653467</v>
      </c>
      <c r="T155" s="356">
        <f t="shared" si="23"/>
        <v>-0.11059982338353448</v>
      </c>
      <c r="U155" s="356">
        <f t="shared" si="23"/>
        <v>-0.11059982338353448</v>
      </c>
      <c r="V155" s="356">
        <f t="shared" si="23"/>
        <v>-0.10542788919653467</v>
      </c>
      <c r="W155" s="356">
        <f t="shared" si="23"/>
        <v>-0.10542788919653467</v>
      </c>
      <c r="X155" s="356">
        <f t="shared" si="23"/>
        <v>-0.10323976319434244</v>
      </c>
      <c r="Y155" s="356">
        <f t="shared" si="23"/>
        <v>-0.10323976319434244</v>
      </c>
      <c r="Z155" s="351"/>
      <c r="AA155" s="351"/>
    </row>
    <row r="156" spans="3:27" x14ac:dyDescent="0.25">
      <c r="E156" s="96"/>
      <c r="F156" s="415" t="s">
        <v>46</v>
      </c>
      <c r="G156" s="295" t="s">
        <v>183</v>
      </c>
      <c r="H156" s="351"/>
      <c r="I156" s="351"/>
      <c r="J156" s="356">
        <f t="shared" ref="J156:Y156" si="24">hundred * $H22 * J59 / $H47 * J85 * (1 - J71) / hours_in_year</f>
        <v>1.4897086828507651</v>
      </c>
      <c r="K156" s="356">
        <f t="shared" si="24"/>
        <v>1.4897086828507651</v>
      </c>
      <c r="L156" s="356">
        <f t="shared" si="24"/>
        <v>1.8502750620596846</v>
      </c>
      <c r="M156" s="356">
        <f t="shared" si="24"/>
        <v>1.8502750620596846</v>
      </c>
      <c r="N156" s="356">
        <f t="shared" si="24"/>
        <v>1.5032095840160173</v>
      </c>
      <c r="O156" s="356">
        <f t="shared" si="24"/>
        <v>1.3929972889933593</v>
      </c>
      <c r="P156" s="356">
        <f t="shared" si="24"/>
        <v>0.87638454610867345</v>
      </c>
      <c r="Q156" s="356">
        <f t="shared" si="24"/>
        <v>2.0732132053087859</v>
      </c>
      <c r="R156" s="356">
        <f t="shared" si="24"/>
        <v>-1.1290809483367006</v>
      </c>
      <c r="S156" s="356">
        <f t="shared" si="24"/>
        <v>-1.076282198954049</v>
      </c>
      <c r="T156" s="356">
        <f t="shared" si="24"/>
        <v>-1.1290809483367006</v>
      </c>
      <c r="U156" s="356">
        <f t="shared" si="24"/>
        <v>-1.1290809483367006</v>
      </c>
      <c r="V156" s="356">
        <f t="shared" si="24"/>
        <v>-1.076282198954049</v>
      </c>
      <c r="W156" s="356">
        <f t="shared" si="24"/>
        <v>-1.076282198954049</v>
      </c>
      <c r="X156" s="356">
        <f t="shared" si="24"/>
        <v>-0.74363124594226682</v>
      </c>
      <c r="Y156" s="356">
        <f t="shared" si="24"/>
        <v>-0.74363124594226682</v>
      </c>
      <c r="Z156" s="351"/>
      <c r="AA156" s="351"/>
    </row>
    <row r="157" spans="3:27" x14ac:dyDescent="0.25">
      <c r="E157" s="96"/>
      <c r="F157" s="415" t="s">
        <v>47</v>
      </c>
      <c r="G157" s="295" t="s">
        <v>183</v>
      </c>
      <c r="H157" s="351"/>
      <c r="I157" s="351"/>
      <c r="J157" s="356">
        <f t="shared" ref="J157:Y157" si="25">hundred * $H23 * J60 / $H48 * J86 * (1 - J72) / hours_in_year</f>
        <v>0.2220181863169389</v>
      </c>
      <c r="K157" s="356">
        <f t="shared" si="25"/>
        <v>0.2220181863169389</v>
      </c>
      <c r="L157" s="356">
        <f t="shared" si="25"/>
        <v>0.27575506419136919</v>
      </c>
      <c r="M157" s="356">
        <f t="shared" si="25"/>
        <v>0.27575506419136919</v>
      </c>
      <c r="N157" s="356">
        <f t="shared" si="25"/>
        <v>0.22403028816266191</v>
      </c>
      <c r="O157" s="356">
        <f t="shared" si="25"/>
        <v>0.20760483925950263</v>
      </c>
      <c r="P157" s="356">
        <f t="shared" si="25"/>
        <v>0.15861209224603195</v>
      </c>
      <c r="Q157" s="356">
        <f t="shared" si="25"/>
        <v>0.4083515533344621</v>
      </c>
      <c r="R157" s="356">
        <f t="shared" si="25"/>
        <v>-0.16827216437714468</v>
      </c>
      <c r="S157" s="356">
        <f t="shared" si="25"/>
        <v>-0.16040332215806957</v>
      </c>
      <c r="T157" s="356">
        <f t="shared" si="25"/>
        <v>-0.16827216437714468</v>
      </c>
      <c r="U157" s="356">
        <f t="shared" si="25"/>
        <v>-0.16827216437714468</v>
      </c>
      <c r="V157" s="356">
        <f t="shared" si="25"/>
        <v>-0.16040332215806957</v>
      </c>
      <c r="W157" s="356">
        <f t="shared" si="25"/>
        <v>-0.16040332215806957</v>
      </c>
      <c r="X157" s="356">
        <f t="shared" si="25"/>
        <v>-0.13458579147948671</v>
      </c>
      <c r="Y157" s="356">
        <f t="shared" si="25"/>
        <v>-0.13458579147948671</v>
      </c>
      <c r="Z157" s="351"/>
      <c r="AA157" s="351"/>
    </row>
    <row r="158" spans="3:27" x14ac:dyDescent="0.25">
      <c r="E158" s="96"/>
      <c r="F158" s="415" t="s">
        <v>51</v>
      </c>
      <c r="G158" s="295" t="s">
        <v>183</v>
      </c>
      <c r="H158" s="351"/>
      <c r="I158" s="351"/>
      <c r="J158" s="356">
        <f t="shared" ref="J158:Y158" si="26">hundred * $H24 * J61 / $H49 * J87 * (1 - J73) / hours_in_year</f>
        <v>0</v>
      </c>
      <c r="K158" s="356">
        <f t="shared" si="26"/>
        <v>0</v>
      </c>
      <c r="L158" s="356">
        <f t="shared" si="26"/>
        <v>0</v>
      </c>
      <c r="M158" s="356">
        <f t="shared" si="26"/>
        <v>0</v>
      </c>
      <c r="N158" s="356">
        <f t="shared" si="26"/>
        <v>0</v>
      </c>
      <c r="O158" s="356">
        <f t="shared" si="26"/>
        <v>0</v>
      </c>
      <c r="P158" s="356">
        <f t="shared" si="26"/>
        <v>0</v>
      </c>
      <c r="Q158" s="356">
        <f t="shared" si="26"/>
        <v>0</v>
      </c>
      <c r="R158" s="356">
        <f t="shared" si="26"/>
        <v>0</v>
      </c>
      <c r="S158" s="356">
        <f t="shared" si="26"/>
        <v>0</v>
      </c>
      <c r="T158" s="356">
        <f t="shared" si="26"/>
        <v>0</v>
      </c>
      <c r="U158" s="356">
        <f t="shared" si="26"/>
        <v>0</v>
      </c>
      <c r="V158" s="356">
        <f t="shared" si="26"/>
        <v>0</v>
      </c>
      <c r="W158" s="356">
        <f t="shared" si="26"/>
        <v>0</v>
      </c>
      <c r="X158" s="356">
        <f t="shared" si="26"/>
        <v>0</v>
      </c>
      <c r="Y158" s="356">
        <f t="shared" si="26"/>
        <v>0</v>
      </c>
      <c r="Z158" s="351"/>
      <c r="AA158" s="351"/>
    </row>
    <row r="159" spans="3:27" x14ac:dyDescent="0.25">
      <c r="E159" s="96"/>
      <c r="F159" s="415" t="s">
        <v>48</v>
      </c>
      <c r="G159" s="295" t="s">
        <v>183</v>
      </c>
      <c r="H159" s="351"/>
      <c r="I159" s="351"/>
      <c r="J159" s="356">
        <f t="shared" ref="J159:Y159" si="27">hundred * $H25 * J62 / $H50 * J88 * (1 - J74) / hours_in_year</f>
        <v>1.2275275551146465</v>
      </c>
      <c r="K159" s="356">
        <f t="shared" si="27"/>
        <v>1.2275275551146465</v>
      </c>
      <c r="L159" s="356">
        <f t="shared" si="27"/>
        <v>1.5246360911808252</v>
      </c>
      <c r="M159" s="356">
        <f t="shared" si="27"/>
        <v>1.5246360911808252</v>
      </c>
      <c r="N159" s="356">
        <f t="shared" si="27"/>
        <v>1.2386523665559768</v>
      </c>
      <c r="O159" s="356">
        <f t="shared" si="27"/>
        <v>1.1478368731577344</v>
      </c>
      <c r="P159" s="356">
        <f t="shared" si="27"/>
        <v>0.40369966209735009</v>
      </c>
      <c r="Q159" s="356">
        <f t="shared" si="27"/>
        <v>2.2577555118676171</v>
      </c>
      <c r="R159" s="356">
        <f t="shared" si="27"/>
        <v>-0.93036846196399614</v>
      </c>
      <c r="S159" s="356">
        <f t="shared" si="27"/>
        <v>-0.88686202309517614</v>
      </c>
      <c r="T159" s="356">
        <f t="shared" si="27"/>
        <v>-0.93036846196399614</v>
      </c>
      <c r="U159" s="356">
        <f t="shared" si="27"/>
        <v>-0.93036846196399614</v>
      </c>
      <c r="V159" s="356">
        <f t="shared" si="27"/>
        <v>-0.88686202309517614</v>
      </c>
      <c r="W159" s="356">
        <f t="shared" si="27"/>
        <v>-0.88686202309517614</v>
      </c>
      <c r="X159" s="356">
        <f t="shared" si="27"/>
        <v>0</v>
      </c>
      <c r="Y159" s="356">
        <f t="shared" si="27"/>
        <v>0</v>
      </c>
      <c r="Z159" s="351"/>
      <c r="AA159" s="351"/>
    </row>
    <row r="160" spans="3:27" x14ac:dyDescent="0.25">
      <c r="E160" s="96"/>
      <c r="F160" s="415" t="s">
        <v>49</v>
      </c>
      <c r="G160" s="295" t="s">
        <v>183</v>
      </c>
      <c r="H160" s="351"/>
      <c r="I160" s="351"/>
      <c r="J160" s="356">
        <f t="shared" ref="J160:Y160" si="28">hundred * $H26 * J63 / $H51 * J89 * (1 - J75) / hours_in_year</f>
        <v>0.20599152269272</v>
      </c>
      <c r="K160" s="356">
        <f t="shared" si="28"/>
        <v>0.20599152269272</v>
      </c>
      <c r="L160" s="356">
        <f t="shared" si="28"/>
        <v>0.25584933606258858</v>
      </c>
      <c r="M160" s="356">
        <f t="shared" si="28"/>
        <v>0.25584933606258858</v>
      </c>
      <c r="N160" s="356">
        <f t="shared" si="28"/>
        <v>0.20785837842147389</v>
      </c>
      <c r="O160" s="356">
        <f t="shared" si="28"/>
        <v>0.19261862132498458</v>
      </c>
      <c r="P160" s="356">
        <f t="shared" si="28"/>
        <v>0</v>
      </c>
      <c r="Q160" s="356">
        <f t="shared" si="28"/>
        <v>0.37887417990715117</v>
      </c>
      <c r="R160" s="356">
        <f t="shared" si="28"/>
        <v>-0.15612522533341283</v>
      </c>
      <c r="S160" s="356">
        <f t="shared" si="28"/>
        <v>0</v>
      </c>
      <c r="T160" s="356">
        <f t="shared" si="28"/>
        <v>-0.15612522533341283</v>
      </c>
      <c r="U160" s="356">
        <f t="shared" si="28"/>
        <v>-0.15612522533341283</v>
      </c>
      <c r="V160" s="356">
        <f t="shared" si="28"/>
        <v>0</v>
      </c>
      <c r="W160" s="356">
        <f t="shared" si="28"/>
        <v>0</v>
      </c>
      <c r="X160" s="356">
        <f t="shared" si="28"/>
        <v>0</v>
      </c>
      <c r="Y160" s="356">
        <f t="shared" si="28"/>
        <v>0</v>
      </c>
      <c r="Z160" s="351"/>
      <c r="AA160" s="351"/>
    </row>
    <row r="161" spans="3:27" x14ac:dyDescent="0.25">
      <c r="E161" s="96"/>
      <c r="F161" s="417" t="s">
        <v>50</v>
      </c>
      <c r="G161" s="93" t="s">
        <v>183</v>
      </c>
      <c r="H161" s="353"/>
      <c r="I161" s="353"/>
      <c r="J161" s="357">
        <f t="shared" ref="J161:Y161" si="29">hundred * $H27 * J64 / $H52 * J90 * (1 - J76) / hours_in_year</f>
        <v>3.0134273920868364E-2</v>
      </c>
      <c r="K161" s="357">
        <f t="shared" si="29"/>
        <v>3.0134273920868364E-2</v>
      </c>
      <c r="L161" s="357">
        <f t="shared" si="29"/>
        <v>3.7427918754128535E-2</v>
      </c>
      <c r="M161" s="357">
        <f t="shared" si="29"/>
        <v>3.7427918754128535E-2</v>
      </c>
      <c r="N161" s="357">
        <f t="shared" si="29"/>
        <v>3.0407374197839131E-2</v>
      </c>
      <c r="O161" s="357">
        <f t="shared" si="29"/>
        <v>0</v>
      </c>
      <c r="P161" s="357">
        <f t="shared" si="29"/>
        <v>0</v>
      </c>
      <c r="Q161" s="357">
        <f t="shared" si="29"/>
        <v>5.5425088225098826E-2</v>
      </c>
      <c r="R161" s="357">
        <f t="shared" si="29"/>
        <v>0</v>
      </c>
      <c r="S161" s="357">
        <f t="shared" si="29"/>
        <v>0</v>
      </c>
      <c r="T161" s="357">
        <f t="shared" si="29"/>
        <v>0</v>
      </c>
      <c r="U161" s="357">
        <f t="shared" si="29"/>
        <v>0</v>
      </c>
      <c r="V161" s="357">
        <f t="shared" si="29"/>
        <v>0</v>
      </c>
      <c r="W161" s="357">
        <f t="shared" si="29"/>
        <v>0</v>
      </c>
      <c r="X161" s="357">
        <f t="shared" si="29"/>
        <v>0</v>
      </c>
      <c r="Y161" s="357">
        <f t="shared" si="29"/>
        <v>0</v>
      </c>
      <c r="Z161" s="351"/>
      <c r="AA161" s="351"/>
    </row>
    <row r="162" spans="3:27" x14ac:dyDescent="0.25">
      <c r="E162" s="96"/>
      <c r="F162" s="415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7" x14ac:dyDescent="0.25">
      <c r="E163" s="96" t="s">
        <v>116</v>
      </c>
      <c r="J163" s="238"/>
      <c r="K163" s="238"/>
      <c r="L163" s="238"/>
      <c r="M163" s="238"/>
      <c r="N163" s="238"/>
      <c r="O163" s="238"/>
      <c r="P163" s="238"/>
      <c r="Q163" s="238"/>
      <c r="R163" s="238"/>
      <c r="S163" s="238"/>
      <c r="T163" s="238"/>
      <c r="U163" s="238"/>
      <c r="V163" s="238"/>
      <c r="W163" s="238"/>
      <c r="X163" s="238"/>
      <c r="Y163" s="238"/>
    </row>
    <row r="164" spans="3:27" x14ac:dyDescent="0.25">
      <c r="D164" s="96"/>
      <c r="E164" s="96"/>
      <c r="F164" s="414" t="s">
        <v>324</v>
      </c>
      <c r="G164" s="91" t="s">
        <v>183</v>
      </c>
      <c r="H164" s="349"/>
      <c r="I164" s="349"/>
      <c r="J164" s="355">
        <f t="shared" ref="J164:Y164" si="30">hundred * $H30 * J55 / $H43 * J81 / hours_in_year</f>
        <v>1.2962008253196948</v>
      </c>
      <c r="K164" s="355">
        <f t="shared" si="30"/>
        <v>1.2962008253196948</v>
      </c>
      <c r="L164" s="355">
        <f t="shared" si="30"/>
        <v>1.6099309147615883</v>
      </c>
      <c r="M164" s="355">
        <f t="shared" si="30"/>
        <v>1.6099309147615883</v>
      </c>
      <c r="N164" s="355">
        <f t="shared" si="30"/>
        <v>1.3079480074596763</v>
      </c>
      <c r="O164" s="355">
        <f t="shared" si="30"/>
        <v>1.2120518974260219</v>
      </c>
      <c r="P164" s="355">
        <f t="shared" si="30"/>
        <v>1.0807510626480226</v>
      </c>
      <c r="Q164" s="355">
        <f t="shared" si="30"/>
        <v>2.3565872225841433</v>
      </c>
      <c r="R164" s="355">
        <f t="shared" si="30"/>
        <v>-0.98241735040849321</v>
      </c>
      <c r="S164" s="355">
        <f t="shared" si="30"/>
        <v>-0.93647697071313185</v>
      </c>
      <c r="T164" s="355">
        <f t="shared" si="30"/>
        <v>-0.98241735040849321</v>
      </c>
      <c r="U164" s="355">
        <f t="shared" si="30"/>
        <v>-0.98241735040849321</v>
      </c>
      <c r="V164" s="355">
        <f t="shared" si="30"/>
        <v>-0.93647697071313185</v>
      </c>
      <c r="W164" s="355">
        <f t="shared" si="30"/>
        <v>-0.93647697071313185</v>
      </c>
      <c r="X164" s="355">
        <f t="shared" si="30"/>
        <v>-0.91704065622663311</v>
      </c>
      <c r="Y164" s="355">
        <f t="shared" si="30"/>
        <v>-0.91704065622663311</v>
      </c>
      <c r="Z164" s="351"/>
      <c r="AA164" s="351"/>
    </row>
    <row r="165" spans="3:27" x14ac:dyDescent="0.25">
      <c r="D165" s="96"/>
      <c r="E165" s="96"/>
      <c r="F165" s="415" t="s">
        <v>43</v>
      </c>
      <c r="G165" s="295" t="s">
        <v>183</v>
      </c>
      <c r="H165" s="351"/>
      <c r="I165" s="351"/>
      <c r="J165" s="356">
        <f t="shared" ref="J165:Y165" si="31">hundred * $H31 * J56 / $H44 * J82 / hours_in_year</f>
        <v>0</v>
      </c>
      <c r="K165" s="356">
        <f t="shared" si="31"/>
        <v>0</v>
      </c>
      <c r="L165" s="356">
        <f t="shared" si="31"/>
        <v>0</v>
      </c>
      <c r="M165" s="356">
        <f t="shared" si="31"/>
        <v>0</v>
      </c>
      <c r="N165" s="356">
        <f t="shared" si="31"/>
        <v>0</v>
      </c>
      <c r="O165" s="356">
        <f t="shared" si="31"/>
        <v>0</v>
      </c>
      <c r="P165" s="356">
        <f t="shared" si="31"/>
        <v>0</v>
      </c>
      <c r="Q165" s="356">
        <f t="shared" si="31"/>
        <v>0</v>
      </c>
      <c r="R165" s="356">
        <f t="shared" si="31"/>
        <v>0</v>
      </c>
      <c r="S165" s="356">
        <f t="shared" si="31"/>
        <v>0</v>
      </c>
      <c r="T165" s="356">
        <f t="shared" si="31"/>
        <v>0</v>
      </c>
      <c r="U165" s="356">
        <f t="shared" si="31"/>
        <v>0</v>
      </c>
      <c r="V165" s="356">
        <f t="shared" si="31"/>
        <v>0</v>
      </c>
      <c r="W165" s="356">
        <f t="shared" si="31"/>
        <v>0</v>
      </c>
      <c r="X165" s="356">
        <f t="shared" si="31"/>
        <v>0</v>
      </c>
      <c r="Y165" s="356">
        <f t="shared" si="31"/>
        <v>0</v>
      </c>
      <c r="Z165" s="351"/>
      <c r="AA165" s="351"/>
    </row>
    <row r="166" spans="3:27" x14ac:dyDescent="0.25">
      <c r="D166" s="96"/>
      <c r="E166" s="96"/>
      <c r="F166" s="415" t="s">
        <v>44</v>
      </c>
      <c r="G166" s="295" t="s">
        <v>183</v>
      </c>
      <c r="H166" s="351"/>
      <c r="I166" s="351"/>
      <c r="J166" s="356">
        <f t="shared" ref="J166:Y166" si="32">hundred * $H32 * J57 / $H45 * J83 / hours_in_year</f>
        <v>1.1087911891389439</v>
      </c>
      <c r="K166" s="356">
        <f t="shared" si="32"/>
        <v>1.1087911891389439</v>
      </c>
      <c r="L166" s="356">
        <f t="shared" si="32"/>
        <v>1.3771609912142877</v>
      </c>
      <c r="M166" s="356">
        <f t="shared" si="32"/>
        <v>1.3771609912142877</v>
      </c>
      <c r="N166" s="356">
        <f t="shared" si="32"/>
        <v>1.1188399190884941</v>
      </c>
      <c r="O166" s="356">
        <f t="shared" si="32"/>
        <v>1.0368088327004801</v>
      </c>
      <c r="P166" s="356">
        <f t="shared" si="32"/>
        <v>0.92449197108104175</v>
      </c>
      <c r="Q166" s="356">
        <f t="shared" si="32"/>
        <v>2.0158628954693434</v>
      </c>
      <c r="R166" s="356">
        <f t="shared" si="32"/>
        <v>-0.84037572026811491</v>
      </c>
      <c r="S166" s="356">
        <f t="shared" si="32"/>
        <v>-0.80107757507572097</v>
      </c>
      <c r="T166" s="356">
        <f t="shared" si="32"/>
        <v>-0.84037572026811491</v>
      </c>
      <c r="U166" s="356">
        <f t="shared" si="32"/>
        <v>-0.84037572026811491</v>
      </c>
      <c r="V166" s="356">
        <f t="shared" si="32"/>
        <v>-0.80107757507572097</v>
      </c>
      <c r="W166" s="356">
        <f t="shared" si="32"/>
        <v>-0.80107757507572097</v>
      </c>
      <c r="X166" s="356">
        <f t="shared" si="32"/>
        <v>-0.78445143672509277</v>
      </c>
      <c r="Y166" s="356">
        <f t="shared" si="32"/>
        <v>-0.78445143672509277</v>
      </c>
      <c r="Z166" s="351"/>
      <c r="AA166" s="351"/>
    </row>
    <row r="167" spans="3:27" x14ac:dyDescent="0.25">
      <c r="D167" s="96"/>
      <c r="E167" s="96"/>
      <c r="F167" s="415" t="s">
        <v>45</v>
      </c>
      <c r="G167" s="295" t="s">
        <v>183</v>
      </c>
      <c r="H167" s="351"/>
      <c r="I167" s="351"/>
      <c r="J167" s="356">
        <f t="shared" ref="J167:Y167" si="33">hundred * $H33 * J58 / $H46 * J84 / hours_in_year</f>
        <v>7.7230087094881314E-2</v>
      </c>
      <c r="K167" s="356">
        <f t="shared" si="33"/>
        <v>7.7230087094881314E-2</v>
      </c>
      <c r="L167" s="356">
        <f t="shared" si="33"/>
        <v>9.5922716862268165E-2</v>
      </c>
      <c r="M167" s="356">
        <f t="shared" si="33"/>
        <v>9.5922716862268165E-2</v>
      </c>
      <c r="N167" s="356">
        <f t="shared" si="33"/>
        <v>7.7930006337384838E-2</v>
      </c>
      <c r="O167" s="356">
        <f t="shared" si="33"/>
        <v>7.2216335442187848E-2</v>
      </c>
      <c r="P167" s="356">
        <f t="shared" si="33"/>
        <v>6.4393184347499646E-2</v>
      </c>
      <c r="Q167" s="356">
        <f t="shared" si="33"/>
        <v>0.10748036730634765</v>
      </c>
      <c r="R167" s="356">
        <f t="shared" si="33"/>
        <v>-5.8534276520659803E-2</v>
      </c>
      <c r="S167" s="356">
        <f t="shared" si="33"/>
        <v>-5.5797062150988654E-2</v>
      </c>
      <c r="T167" s="356">
        <f t="shared" si="33"/>
        <v>-5.8534276520659803E-2</v>
      </c>
      <c r="U167" s="356">
        <f t="shared" si="33"/>
        <v>-5.8534276520659803E-2</v>
      </c>
      <c r="V167" s="356">
        <f t="shared" si="33"/>
        <v>-5.5797062150988654E-2</v>
      </c>
      <c r="W167" s="356">
        <f t="shared" si="33"/>
        <v>-5.5797062150988654E-2</v>
      </c>
      <c r="X167" s="356">
        <f t="shared" si="33"/>
        <v>-5.4639009917666251E-2</v>
      </c>
      <c r="Y167" s="356">
        <f t="shared" si="33"/>
        <v>-5.4639009917666251E-2</v>
      </c>
      <c r="Z167" s="351"/>
      <c r="AA167" s="351"/>
    </row>
    <row r="168" spans="3:27" x14ac:dyDescent="0.25">
      <c r="D168" s="96"/>
      <c r="E168" s="96"/>
      <c r="F168" s="415" t="s">
        <v>46</v>
      </c>
      <c r="G168" s="295" t="s">
        <v>183</v>
      </c>
      <c r="H168" s="351"/>
      <c r="I168" s="351"/>
      <c r="J168" s="356">
        <f t="shared" ref="J168:Y168" si="34">hundred * $H34 * J59 / $H47 * J85 / hours_in_year</f>
        <v>0.78841916116654776</v>
      </c>
      <c r="K168" s="356">
        <f t="shared" si="34"/>
        <v>0.78841916116654776</v>
      </c>
      <c r="L168" s="356">
        <f t="shared" si="34"/>
        <v>0.97924670047896645</v>
      </c>
      <c r="M168" s="356">
        <f t="shared" si="34"/>
        <v>0.97924670047896645</v>
      </c>
      <c r="N168" s="356">
        <f t="shared" si="34"/>
        <v>0.79556443010015654</v>
      </c>
      <c r="O168" s="356">
        <f t="shared" si="34"/>
        <v>0.73723525058183526</v>
      </c>
      <c r="P168" s="356">
        <f t="shared" si="34"/>
        <v>0.65737101041626844</v>
      </c>
      <c r="Q168" s="356">
        <f t="shared" si="34"/>
        <v>1.097235342094538</v>
      </c>
      <c r="R168" s="356">
        <f t="shared" si="34"/>
        <v>-0.59755914993611436</v>
      </c>
      <c r="S168" s="356">
        <f t="shared" si="34"/>
        <v>-0.56961573644989316</v>
      </c>
      <c r="T168" s="356">
        <f t="shared" si="34"/>
        <v>-0.59755914993611436</v>
      </c>
      <c r="U168" s="356">
        <f t="shared" si="34"/>
        <v>-0.59755914993611436</v>
      </c>
      <c r="V168" s="356">
        <f t="shared" si="34"/>
        <v>-0.56961573644989316</v>
      </c>
      <c r="W168" s="356">
        <f t="shared" si="34"/>
        <v>-0.56961573644989316</v>
      </c>
      <c r="X168" s="356">
        <f t="shared" si="34"/>
        <v>-0.55779352305187646</v>
      </c>
      <c r="Y168" s="356">
        <f t="shared" si="34"/>
        <v>-0.55779352305187646</v>
      </c>
      <c r="Z168" s="351"/>
      <c r="AA168" s="351"/>
    </row>
    <row r="169" spans="3:27" x14ac:dyDescent="0.25">
      <c r="D169" s="96"/>
      <c r="E169" s="96"/>
      <c r="F169" s="415" t="s">
        <v>47</v>
      </c>
      <c r="G169" s="295" t="s">
        <v>183</v>
      </c>
      <c r="H169" s="351"/>
      <c r="I169" s="351"/>
      <c r="J169" s="356">
        <f t="shared" ref="J169:Y169" si="35">hundred * $H35 * J60 / $H48 * J86 / hours_in_year</f>
        <v>0.1175017600654306</v>
      </c>
      <c r="K169" s="356">
        <f t="shared" si="35"/>
        <v>0.1175017600654306</v>
      </c>
      <c r="L169" s="356">
        <f t="shared" si="35"/>
        <v>0.14594167228799484</v>
      </c>
      <c r="M169" s="356">
        <f t="shared" si="35"/>
        <v>0.14594167228799484</v>
      </c>
      <c r="N169" s="356">
        <f t="shared" si="35"/>
        <v>0.11856665259619766</v>
      </c>
      <c r="O169" s="356">
        <f t="shared" si="35"/>
        <v>0.10987358475340912</v>
      </c>
      <c r="P169" s="356">
        <f t="shared" si="35"/>
        <v>9.797104705777844E-2</v>
      </c>
      <c r="Q169" s="356">
        <f t="shared" si="35"/>
        <v>0.21611754891896912</v>
      </c>
      <c r="R169" s="356">
        <f t="shared" si="35"/>
        <v>-8.905700840249331E-2</v>
      </c>
      <c r="S169" s="356">
        <f t="shared" si="35"/>
        <v>-8.4892472038347946E-2</v>
      </c>
      <c r="T169" s="356">
        <f t="shared" si="35"/>
        <v>-8.905700840249331E-2</v>
      </c>
      <c r="U169" s="356">
        <f t="shared" si="35"/>
        <v>-8.905700840249331E-2</v>
      </c>
      <c r="V169" s="356">
        <f t="shared" si="35"/>
        <v>-8.4892472038347946E-2</v>
      </c>
      <c r="W169" s="356">
        <f t="shared" si="35"/>
        <v>-8.4892472038347946E-2</v>
      </c>
      <c r="X169" s="356">
        <f t="shared" si="35"/>
        <v>-8.3130552807363353E-2</v>
      </c>
      <c r="Y169" s="356">
        <f t="shared" si="35"/>
        <v>-8.3130552807363353E-2</v>
      </c>
      <c r="Z169" s="351"/>
      <c r="AA169" s="351"/>
    </row>
    <row r="170" spans="3:27" x14ac:dyDescent="0.25">
      <c r="D170" s="96"/>
      <c r="E170" s="96"/>
      <c r="F170" s="415" t="s">
        <v>51</v>
      </c>
      <c r="G170" s="295" t="s">
        <v>183</v>
      </c>
      <c r="H170" s="351"/>
      <c r="I170" s="351"/>
      <c r="J170" s="356">
        <f t="shared" ref="J170:Y170" si="36">hundred * $H36 * J61 / $H49 * J87 / hours_in_year</f>
        <v>0</v>
      </c>
      <c r="K170" s="356">
        <f t="shared" si="36"/>
        <v>0</v>
      </c>
      <c r="L170" s="356">
        <f t="shared" si="36"/>
        <v>0</v>
      </c>
      <c r="M170" s="356">
        <f t="shared" si="36"/>
        <v>0</v>
      </c>
      <c r="N170" s="356">
        <f t="shared" si="36"/>
        <v>0</v>
      </c>
      <c r="O170" s="356">
        <f t="shared" si="36"/>
        <v>0</v>
      </c>
      <c r="P170" s="356">
        <f t="shared" si="36"/>
        <v>0</v>
      </c>
      <c r="Q170" s="356">
        <f t="shared" si="36"/>
        <v>0</v>
      </c>
      <c r="R170" s="356">
        <f t="shared" si="36"/>
        <v>0</v>
      </c>
      <c r="S170" s="356">
        <f t="shared" si="36"/>
        <v>0</v>
      </c>
      <c r="T170" s="356">
        <f t="shared" si="36"/>
        <v>0</v>
      </c>
      <c r="U170" s="356">
        <f t="shared" si="36"/>
        <v>0</v>
      </c>
      <c r="V170" s="356">
        <f t="shared" si="36"/>
        <v>0</v>
      </c>
      <c r="W170" s="356">
        <f t="shared" si="36"/>
        <v>0</v>
      </c>
      <c r="X170" s="356">
        <f t="shared" si="36"/>
        <v>0</v>
      </c>
      <c r="Y170" s="356">
        <f t="shared" si="36"/>
        <v>0</v>
      </c>
      <c r="Z170" s="351"/>
      <c r="AA170" s="351"/>
    </row>
    <row r="171" spans="3:27" x14ac:dyDescent="0.25">
      <c r="D171" s="96"/>
      <c r="E171" s="96"/>
      <c r="F171" s="415" t="s">
        <v>48</v>
      </c>
      <c r="G171" s="295" t="s">
        <v>183</v>
      </c>
      <c r="H171" s="351"/>
      <c r="I171" s="351"/>
      <c r="J171" s="356">
        <f t="shared" ref="J171:Y171" si="37">hundred * $H37 * J62 / $H50 * J88 / hours_in_year</f>
        <v>0.96439197732689286</v>
      </c>
      <c r="K171" s="356">
        <f t="shared" si="37"/>
        <v>0.96439197732689286</v>
      </c>
      <c r="L171" s="356">
        <f t="shared" si="37"/>
        <v>1.1978116568963668</v>
      </c>
      <c r="M171" s="356">
        <f t="shared" si="37"/>
        <v>1.1978116568963668</v>
      </c>
      <c r="N171" s="356">
        <f t="shared" si="37"/>
        <v>0.97313204907403295</v>
      </c>
      <c r="O171" s="356">
        <f t="shared" si="37"/>
        <v>0.90178396985142983</v>
      </c>
      <c r="P171" s="356">
        <f t="shared" si="37"/>
        <v>0.80409426837712616</v>
      </c>
      <c r="Q171" s="356">
        <f t="shared" si="37"/>
        <v>1.7737779435894987</v>
      </c>
      <c r="R171" s="356">
        <f t="shared" si="37"/>
        <v>-0.73093257820370439</v>
      </c>
      <c r="S171" s="356">
        <f t="shared" si="37"/>
        <v>-0.69675227778410687</v>
      </c>
      <c r="T171" s="356">
        <f t="shared" si="37"/>
        <v>-0.73093257820370439</v>
      </c>
      <c r="U171" s="356">
        <f t="shared" si="37"/>
        <v>-0.73093257820370439</v>
      </c>
      <c r="V171" s="356">
        <f t="shared" si="37"/>
        <v>-0.69675227778410687</v>
      </c>
      <c r="W171" s="356">
        <f t="shared" si="37"/>
        <v>-0.69675227778410687</v>
      </c>
      <c r="X171" s="356">
        <f t="shared" si="37"/>
        <v>0</v>
      </c>
      <c r="Y171" s="356">
        <f t="shared" si="37"/>
        <v>0</v>
      </c>
      <c r="Z171" s="351"/>
      <c r="AA171" s="351"/>
    </row>
    <row r="172" spans="3:27" x14ac:dyDescent="0.25">
      <c r="D172" s="96"/>
      <c r="E172" s="96"/>
      <c r="F172" s="415" t="s">
        <v>49</v>
      </c>
      <c r="G172" s="295" t="s">
        <v>183</v>
      </c>
      <c r="H172" s="351"/>
      <c r="I172" s="351"/>
      <c r="J172" s="356">
        <f t="shared" ref="J172:Y172" si="38">hundred * $H38 * J63 / $H51 * J89 / hours_in_year</f>
        <v>0.37719552345054674</v>
      </c>
      <c r="K172" s="356">
        <f t="shared" si="38"/>
        <v>0.37719552345054674</v>
      </c>
      <c r="L172" s="356">
        <f t="shared" si="38"/>
        <v>0.46849124167386696</v>
      </c>
      <c r="M172" s="356">
        <f t="shared" si="38"/>
        <v>0.46849124167386696</v>
      </c>
      <c r="N172" s="356">
        <f t="shared" si="38"/>
        <v>0.38061396327083191</v>
      </c>
      <c r="O172" s="356">
        <f t="shared" si="38"/>
        <v>0.35270811510714623</v>
      </c>
      <c r="P172" s="356">
        <f t="shared" si="38"/>
        <v>0</v>
      </c>
      <c r="Q172" s="356">
        <f t="shared" si="38"/>
        <v>0.69376468868165275</v>
      </c>
      <c r="R172" s="356">
        <f t="shared" si="38"/>
        <v>-0.28588427001104177</v>
      </c>
      <c r="S172" s="356">
        <f t="shared" si="38"/>
        <v>0</v>
      </c>
      <c r="T172" s="356">
        <f t="shared" si="38"/>
        <v>-0.28588427001104177</v>
      </c>
      <c r="U172" s="356">
        <f t="shared" si="38"/>
        <v>-0.28588427001104177</v>
      </c>
      <c r="V172" s="356">
        <f t="shared" si="38"/>
        <v>0</v>
      </c>
      <c r="W172" s="356">
        <f t="shared" si="38"/>
        <v>0</v>
      </c>
      <c r="X172" s="356">
        <f t="shared" si="38"/>
        <v>0</v>
      </c>
      <c r="Y172" s="356">
        <f t="shared" si="38"/>
        <v>0</v>
      </c>
      <c r="Z172" s="351"/>
      <c r="AA172" s="351"/>
    </row>
    <row r="173" spans="3:27" x14ac:dyDescent="0.25">
      <c r="D173" s="96"/>
      <c r="E173" s="96"/>
      <c r="F173" s="417" t="s">
        <v>50</v>
      </c>
      <c r="G173" s="93" t="s">
        <v>183</v>
      </c>
      <c r="H173" s="353"/>
      <c r="I173" s="353"/>
      <c r="J173" s="357">
        <f t="shared" ref="J173:Y173" si="39">hundred * $H39 * J64 / $H52 * J90 / hours_in_year</f>
        <v>0.23096418260495072</v>
      </c>
      <c r="K173" s="357">
        <f t="shared" si="39"/>
        <v>0.23096418260495072</v>
      </c>
      <c r="L173" s="357">
        <f t="shared" si="39"/>
        <v>0.28686633314451193</v>
      </c>
      <c r="M173" s="357">
        <f t="shared" si="39"/>
        <v>0.28686633314451193</v>
      </c>
      <c r="N173" s="357">
        <f t="shared" si="39"/>
        <v>0.23305736004155911</v>
      </c>
      <c r="O173" s="357">
        <f t="shared" si="39"/>
        <v>0</v>
      </c>
      <c r="P173" s="357">
        <f t="shared" si="39"/>
        <v>0</v>
      </c>
      <c r="Q173" s="357">
        <f t="shared" si="39"/>
        <v>0.424805662526756</v>
      </c>
      <c r="R173" s="357">
        <f t="shared" si="39"/>
        <v>0</v>
      </c>
      <c r="S173" s="357">
        <f t="shared" si="39"/>
        <v>0</v>
      </c>
      <c r="T173" s="357">
        <f t="shared" si="39"/>
        <v>0</v>
      </c>
      <c r="U173" s="357">
        <f t="shared" si="39"/>
        <v>0</v>
      </c>
      <c r="V173" s="357">
        <f t="shared" si="39"/>
        <v>0</v>
      </c>
      <c r="W173" s="357">
        <f t="shared" si="39"/>
        <v>0</v>
      </c>
      <c r="X173" s="357">
        <f t="shared" si="39"/>
        <v>0</v>
      </c>
      <c r="Y173" s="357">
        <f t="shared" si="39"/>
        <v>0</v>
      </c>
      <c r="Z173" s="351"/>
      <c r="AA173" s="351"/>
    </row>
    <row r="174" spans="3:27" x14ac:dyDescent="0.25">
      <c r="C174" s="96"/>
      <c r="D174" s="96"/>
      <c r="E174" s="96"/>
      <c r="J174" s="238"/>
      <c r="K174" s="238"/>
      <c r="L174" s="238"/>
      <c r="M174" s="238"/>
      <c r="N174" s="238"/>
      <c r="O174" s="238"/>
      <c r="P174" s="238"/>
      <c r="Q174" s="238"/>
      <c r="R174" s="238"/>
      <c r="S174" s="238"/>
      <c r="T174" s="238"/>
      <c r="U174" s="238"/>
      <c r="V174" s="238"/>
      <c r="W174" s="238"/>
      <c r="X174" s="238"/>
      <c r="Y174" s="238"/>
    </row>
    <row r="175" spans="3:27" x14ac:dyDescent="0.25">
      <c r="C175" s="7" t="str">
        <f ca="1">INDEX('Version control'!$H$34:$H$58,MATCH($A$1,'Version control'!$F$34:$F$58,0),1)&amp;"-D: Unit rate 2"</f>
        <v>Section 512-D: Unit rate 2</v>
      </c>
      <c r="D175" s="7"/>
      <c r="E175" s="7"/>
      <c r="F175" s="7"/>
      <c r="G175" s="7"/>
      <c r="H175" s="7"/>
      <c r="I175" s="7"/>
      <c r="J175" s="242"/>
      <c r="K175" s="242"/>
      <c r="L175" s="242"/>
      <c r="M175" s="242"/>
      <c r="N175" s="242"/>
      <c r="O175" s="242"/>
      <c r="P175" s="242"/>
      <c r="Q175" s="242"/>
      <c r="R175" s="242"/>
      <c r="S175" s="242"/>
      <c r="T175" s="242"/>
      <c r="U175" s="242"/>
      <c r="V175" s="242"/>
      <c r="W175" s="242"/>
      <c r="X175" s="242"/>
      <c r="Y175" s="242"/>
      <c r="Z175" s="7"/>
      <c r="AA175" s="7"/>
    </row>
    <row r="176" spans="3:27" x14ac:dyDescent="0.25">
      <c r="C176" s="96"/>
      <c r="D176" s="96"/>
      <c r="E176" s="96"/>
      <c r="J176" s="238"/>
      <c r="K176" s="238"/>
      <c r="L176" s="238"/>
      <c r="M176" s="238"/>
      <c r="N176" s="238"/>
      <c r="O176" s="238"/>
      <c r="P176" s="238"/>
      <c r="Q176" s="238"/>
      <c r="R176" s="238"/>
      <c r="S176" s="238"/>
      <c r="T176" s="238"/>
      <c r="U176" s="238"/>
      <c r="V176" s="238"/>
      <c r="W176" s="238"/>
      <c r="X176" s="238"/>
      <c r="Y176" s="238"/>
    </row>
    <row r="177" spans="4:27" x14ac:dyDescent="0.25">
      <c r="D177" s="82" t="s">
        <v>835</v>
      </c>
      <c r="E177" s="96"/>
      <c r="F177" s="96"/>
      <c r="J177" s="238"/>
      <c r="K177" s="238"/>
      <c r="L177" s="238"/>
      <c r="M177" s="238"/>
      <c r="N177" s="238"/>
      <c r="O177" s="238"/>
      <c r="P177" s="238"/>
      <c r="Q177" s="238"/>
      <c r="R177" s="238"/>
      <c r="S177" s="238"/>
      <c r="T177" s="238"/>
      <c r="U177" s="238"/>
      <c r="V177" s="238"/>
      <c r="W177" s="238"/>
      <c r="X177" s="238"/>
      <c r="Y177" s="238"/>
    </row>
    <row r="178" spans="4:27" x14ac:dyDescent="0.25">
      <c r="D178" s="82" t="s">
        <v>448</v>
      </c>
      <c r="E178" s="96"/>
      <c r="F178" s="96"/>
      <c r="J178" s="238"/>
      <c r="K178" s="238"/>
      <c r="L178" s="238"/>
      <c r="M178" s="238"/>
      <c r="N178" s="238"/>
      <c r="O178" s="238"/>
      <c r="P178" s="238"/>
      <c r="Q178" s="238"/>
      <c r="R178" s="238"/>
      <c r="S178" s="238"/>
      <c r="T178" s="238"/>
      <c r="U178" s="238"/>
      <c r="V178" s="238"/>
      <c r="W178" s="238"/>
      <c r="X178" s="238"/>
      <c r="Y178" s="238"/>
    </row>
    <row r="179" spans="4:27" x14ac:dyDescent="0.25">
      <c r="D179" s="96"/>
      <c r="E179" s="96"/>
      <c r="F179" s="96"/>
      <c r="I179" s="88" t="s">
        <v>431</v>
      </c>
      <c r="J179" s="238"/>
      <c r="K179" s="238"/>
      <c r="L179" s="238"/>
      <c r="M179" s="238"/>
      <c r="N179" s="238"/>
      <c r="O179" s="238"/>
      <c r="P179" s="238"/>
      <c r="Q179" s="238"/>
      <c r="R179" s="238"/>
      <c r="S179" s="238"/>
      <c r="T179" s="238"/>
      <c r="U179" s="238"/>
      <c r="V179" s="238"/>
      <c r="W179" s="238"/>
      <c r="X179" s="238"/>
      <c r="Y179" s="238"/>
      <c r="AA179" s="295" t="s">
        <v>834</v>
      </c>
    </row>
    <row r="180" spans="4:27" x14ac:dyDescent="0.25">
      <c r="E180" s="96" t="s">
        <v>139</v>
      </c>
      <c r="J180" s="238"/>
      <c r="K180" s="238"/>
      <c r="L180" s="238"/>
      <c r="M180" s="238"/>
      <c r="N180" s="238"/>
      <c r="O180" s="238"/>
      <c r="P180" s="238"/>
      <c r="Q180" s="238"/>
      <c r="R180" s="238"/>
      <c r="S180" s="238"/>
      <c r="T180" s="238"/>
      <c r="U180" s="238"/>
      <c r="V180" s="238"/>
      <c r="W180" s="238"/>
      <c r="X180" s="238"/>
      <c r="Y180" s="238"/>
    </row>
    <row r="181" spans="4:27" x14ac:dyDescent="0.25">
      <c r="E181" s="96"/>
      <c r="F181" s="414" t="s">
        <v>324</v>
      </c>
      <c r="G181" s="91" t="s">
        <v>183</v>
      </c>
      <c r="H181" s="349"/>
      <c r="I181" s="349"/>
      <c r="J181" s="355">
        <f t="shared" ref="J181:Y181" si="40">hundred * $H18 * J55 / $H43 * J93 * (1 - J67) / hours_in_year</f>
        <v>0</v>
      </c>
      <c r="K181" s="355">
        <f t="shared" si="40"/>
        <v>0</v>
      </c>
      <c r="L181" s="355">
        <f t="shared" si="40"/>
        <v>0</v>
      </c>
      <c r="M181" s="355">
        <f t="shared" si="40"/>
        <v>0</v>
      </c>
      <c r="N181" s="355">
        <f t="shared" si="40"/>
        <v>0</v>
      </c>
      <c r="O181" s="355">
        <f t="shared" si="40"/>
        <v>0</v>
      </c>
      <c r="P181" s="355">
        <f t="shared" si="40"/>
        <v>0</v>
      </c>
      <c r="Q181" s="355">
        <f t="shared" si="40"/>
        <v>0</v>
      </c>
      <c r="R181" s="355">
        <f t="shared" si="40"/>
        <v>0</v>
      </c>
      <c r="S181" s="355">
        <f t="shared" si="40"/>
        <v>0</v>
      </c>
      <c r="T181" s="355">
        <f t="shared" si="40"/>
        <v>0</v>
      </c>
      <c r="U181" s="355">
        <f t="shared" si="40"/>
        <v>0</v>
      </c>
      <c r="V181" s="355">
        <f t="shared" si="40"/>
        <v>0</v>
      </c>
      <c r="W181" s="355">
        <f t="shared" si="40"/>
        <v>0</v>
      </c>
      <c r="X181" s="355">
        <f t="shared" si="40"/>
        <v>0</v>
      </c>
      <c r="Y181" s="355">
        <f t="shared" si="40"/>
        <v>0</v>
      </c>
      <c r="Z181" s="351"/>
      <c r="AA181" s="351"/>
    </row>
    <row r="182" spans="4:27" x14ac:dyDescent="0.25">
      <c r="E182" s="96"/>
      <c r="F182" s="415" t="s">
        <v>43</v>
      </c>
      <c r="G182" s="295" t="s">
        <v>183</v>
      </c>
      <c r="H182" s="351"/>
      <c r="I182" s="351"/>
      <c r="J182" s="356">
        <f t="shared" ref="J182:Y182" si="41">hundred * $H19 * J56 / $H44 * J94 * (1 - J68) / hours_in_year</f>
        <v>0</v>
      </c>
      <c r="K182" s="356">
        <f t="shared" si="41"/>
        <v>0</v>
      </c>
      <c r="L182" s="356">
        <f t="shared" si="41"/>
        <v>0</v>
      </c>
      <c r="M182" s="356">
        <f t="shared" si="41"/>
        <v>0</v>
      </c>
      <c r="N182" s="356">
        <f t="shared" si="41"/>
        <v>0</v>
      </c>
      <c r="O182" s="356">
        <f t="shared" si="41"/>
        <v>0</v>
      </c>
      <c r="P182" s="356">
        <f t="shared" si="41"/>
        <v>0</v>
      </c>
      <c r="Q182" s="356">
        <f t="shared" si="41"/>
        <v>0</v>
      </c>
      <c r="R182" s="356">
        <f t="shared" si="41"/>
        <v>0</v>
      </c>
      <c r="S182" s="356">
        <f t="shared" si="41"/>
        <v>0</v>
      </c>
      <c r="T182" s="356">
        <f t="shared" si="41"/>
        <v>0</v>
      </c>
      <c r="U182" s="356">
        <f t="shared" si="41"/>
        <v>0</v>
      </c>
      <c r="V182" s="356">
        <f t="shared" si="41"/>
        <v>0</v>
      </c>
      <c r="W182" s="356">
        <f t="shared" si="41"/>
        <v>0</v>
      </c>
      <c r="X182" s="356">
        <f t="shared" si="41"/>
        <v>0</v>
      </c>
      <c r="Y182" s="356">
        <f t="shared" si="41"/>
        <v>0</v>
      </c>
      <c r="Z182" s="351"/>
      <c r="AA182" s="351"/>
    </row>
    <row r="183" spans="4:27" x14ac:dyDescent="0.25">
      <c r="E183" s="96"/>
      <c r="F183" s="415" t="s">
        <v>44</v>
      </c>
      <c r="G183" s="295" t="s">
        <v>183</v>
      </c>
      <c r="H183" s="351"/>
      <c r="I183" s="351"/>
      <c r="J183" s="356">
        <f t="shared" ref="J183:Y183" si="42">hundred * $H20 * J57 / $H45 * J95 * (1 - J69) / hours_in_year</f>
        <v>0.22399965859814833</v>
      </c>
      <c r="K183" s="356">
        <f t="shared" si="42"/>
        <v>0.22399965859814833</v>
      </c>
      <c r="L183" s="356">
        <f t="shared" si="42"/>
        <v>0.27821612841841553</v>
      </c>
      <c r="M183" s="356">
        <f t="shared" si="42"/>
        <v>0.27821612841841553</v>
      </c>
      <c r="N183" s="356">
        <f t="shared" si="42"/>
        <v>0.22602971809004629</v>
      </c>
      <c r="O183" s="356">
        <f t="shared" si="42"/>
        <v>0.20945767501706716</v>
      </c>
      <c r="P183" s="356">
        <f t="shared" si="42"/>
        <v>0.18676725422006624</v>
      </c>
      <c r="Q183" s="356">
        <f t="shared" si="42"/>
        <v>0.2896919172839878</v>
      </c>
      <c r="R183" s="356">
        <f t="shared" si="42"/>
        <v>-0.16977396310338261</v>
      </c>
      <c r="S183" s="356">
        <f t="shared" si="42"/>
        <v>-0.16183489288631797</v>
      </c>
      <c r="T183" s="356">
        <f t="shared" si="42"/>
        <v>-0.16977396310338261</v>
      </c>
      <c r="U183" s="356">
        <f t="shared" si="42"/>
        <v>-0.16977396310338261</v>
      </c>
      <c r="V183" s="356">
        <f t="shared" si="42"/>
        <v>-0.16183489288631797</v>
      </c>
      <c r="W183" s="356">
        <f t="shared" si="42"/>
        <v>-0.16183489288631797</v>
      </c>
      <c r="X183" s="356">
        <f t="shared" si="42"/>
        <v>-0.15847605548679061</v>
      </c>
      <c r="Y183" s="356">
        <f t="shared" si="42"/>
        <v>-0.15847605548679061</v>
      </c>
      <c r="Z183" s="351"/>
      <c r="AA183" s="351"/>
    </row>
    <row r="184" spans="4:27" x14ac:dyDescent="0.25">
      <c r="E184" s="96"/>
      <c r="F184" s="415" t="s">
        <v>45</v>
      </c>
      <c r="G184" s="295" t="s">
        <v>183</v>
      </c>
      <c r="H184" s="351"/>
      <c r="I184" s="351"/>
      <c r="J184" s="356">
        <f t="shared" ref="J184:Y184" si="43">hundred * $H21 * J58 / $H46 * J96 * (1 - J70) / hours_in_year</f>
        <v>2.3474621871336695E-2</v>
      </c>
      <c r="K184" s="356">
        <f t="shared" si="43"/>
        <v>2.3474621871336695E-2</v>
      </c>
      <c r="L184" s="356">
        <f t="shared" si="43"/>
        <v>2.9156376639154144E-2</v>
      </c>
      <c r="M184" s="356">
        <f t="shared" si="43"/>
        <v>2.9156376639154144E-2</v>
      </c>
      <c r="N184" s="356">
        <f t="shared" si="43"/>
        <v>2.368736719089146E-2</v>
      </c>
      <c r="O184" s="356">
        <f t="shared" si="43"/>
        <v>2.1950657201205325E-2</v>
      </c>
      <c r="P184" s="356">
        <f t="shared" si="43"/>
        <v>1.9572756039906346E-2</v>
      </c>
      <c r="Q184" s="356">
        <f t="shared" si="43"/>
        <v>3.0276271076822025E-2</v>
      </c>
      <c r="R184" s="356">
        <f t="shared" si="43"/>
        <v>-1.7791900275169078E-2</v>
      </c>
      <c r="S184" s="356">
        <f t="shared" si="43"/>
        <v>-1.6959904938560453E-2</v>
      </c>
      <c r="T184" s="356">
        <f t="shared" si="43"/>
        <v>-1.7791900275169078E-2</v>
      </c>
      <c r="U184" s="356">
        <f t="shared" si="43"/>
        <v>-1.7791900275169078E-2</v>
      </c>
      <c r="V184" s="356">
        <f t="shared" si="43"/>
        <v>-1.6959904938560453E-2</v>
      </c>
      <c r="W184" s="356">
        <f t="shared" si="43"/>
        <v>-1.6959904938560453E-2</v>
      </c>
      <c r="X184" s="356">
        <f t="shared" si="43"/>
        <v>-1.6607906911533722E-2</v>
      </c>
      <c r="Y184" s="356">
        <f t="shared" si="43"/>
        <v>-1.6607906911533722E-2</v>
      </c>
      <c r="Z184" s="351"/>
      <c r="AA184" s="351"/>
    </row>
    <row r="185" spans="4:27" x14ac:dyDescent="0.25">
      <c r="E185" s="96"/>
      <c r="F185" s="415" t="s">
        <v>46</v>
      </c>
      <c r="G185" s="295" t="s">
        <v>183</v>
      </c>
      <c r="H185" s="351"/>
      <c r="I185" s="351"/>
      <c r="J185" s="356">
        <f t="shared" ref="J185:Y185" si="44">hundred * $H22 * J59 / $H47 * J97 * (1 - J71) / hours_in_year</f>
        <v>0.23964548507841626</v>
      </c>
      <c r="K185" s="356">
        <f t="shared" si="44"/>
        <v>0.23964548507841626</v>
      </c>
      <c r="L185" s="356">
        <f t="shared" si="44"/>
        <v>0.29764884227382166</v>
      </c>
      <c r="M185" s="356">
        <f t="shared" si="44"/>
        <v>0.29764884227382166</v>
      </c>
      <c r="N185" s="356">
        <f t="shared" si="44"/>
        <v>0.2418173392442598</v>
      </c>
      <c r="O185" s="356">
        <f t="shared" si="44"/>
        <v>0.22408777962877338</v>
      </c>
      <c r="P185" s="356">
        <f t="shared" si="44"/>
        <v>0.1409816577463556</v>
      </c>
      <c r="Q185" s="356">
        <f t="shared" si="44"/>
        <v>0.30908151400001616</v>
      </c>
      <c r="R185" s="356">
        <f t="shared" si="44"/>
        <v>-0.18163225781778758</v>
      </c>
      <c r="S185" s="356">
        <f t="shared" si="44"/>
        <v>-0.17313866302774714</v>
      </c>
      <c r="T185" s="356">
        <f t="shared" si="44"/>
        <v>-0.18163225781778758</v>
      </c>
      <c r="U185" s="356">
        <f t="shared" si="44"/>
        <v>-0.18163225781778758</v>
      </c>
      <c r="V185" s="356">
        <f t="shared" si="44"/>
        <v>-0.17313866302774714</v>
      </c>
      <c r="W185" s="356">
        <f t="shared" si="44"/>
        <v>-0.17313866302774714</v>
      </c>
      <c r="X185" s="356">
        <f t="shared" si="44"/>
        <v>-0.11962598641250856</v>
      </c>
      <c r="Y185" s="356">
        <f t="shared" si="44"/>
        <v>-0.11962598641250856</v>
      </c>
      <c r="Z185" s="351"/>
      <c r="AA185" s="351"/>
    </row>
    <row r="186" spans="4:27" x14ac:dyDescent="0.25">
      <c r="E186" s="96"/>
      <c r="F186" s="415" t="s">
        <v>47</v>
      </c>
      <c r="G186" s="295" t="s">
        <v>183</v>
      </c>
      <c r="H186" s="351"/>
      <c r="I186" s="351"/>
      <c r="J186" s="356">
        <f t="shared" ref="J186:Y186" si="45">hundred * $H23 * J60 / $H48 * J98 * (1 - J72) / hours_in_year</f>
        <v>5.0900968116545917E-2</v>
      </c>
      <c r="K186" s="356">
        <f t="shared" si="45"/>
        <v>5.0900968116545917E-2</v>
      </c>
      <c r="L186" s="356">
        <f t="shared" si="45"/>
        <v>6.3220945829832953E-2</v>
      </c>
      <c r="M186" s="356">
        <f t="shared" si="45"/>
        <v>6.3220945829832953E-2</v>
      </c>
      <c r="N186" s="356">
        <f t="shared" si="45"/>
        <v>5.1362272361911578E-2</v>
      </c>
      <c r="O186" s="356">
        <f t="shared" si="45"/>
        <v>4.7596494139914292E-2</v>
      </c>
      <c r="P186" s="356">
        <f t="shared" si="45"/>
        <v>3.6364178918157138E-2</v>
      </c>
      <c r="Q186" s="356">
        <f t="shared" si="45"/>
        <v>5.1186201009686481E-2</v>
      </c>
      <c r="R186" s="356">
        <f t="shared" si="45"/>
        <v>-3.8578893990405191E-2</v>
      </c>
      <c r="S186" s="356">
        <f t="shared" si="45"/>
        <v>-3.6774844990853872E-2</v>
      </c>
      <c r="T186" s="356">
        <f t="shared" si="45"/>
        <v>-3.8578893990405191E-2</v>
      </c>
      <c r="U186" s="356">
        <f t="shared" si="45"/>
        <v>-3.8578893990405191E-2</v>
      </c>
      <c r="V186" s="356">
        <f t="shared" si="45"/>
        <v>-3.6774844990853872E-2</v>
      </c>
      <c r="W186" s="356">
        <f t="shared" si="45"/>
        <v>-3.6774844990853872E-2</v>
      </c>
      <c r="X186" s="356">
        <f t="shared" si="45"/>
        <v>-3.0855792467640683E-2</v>
      </c>
      <c r="Y186" s="356">
        <f t="shared" si="45"/>
        <v>-3.0855792467640683E-2</v>
      </c>
      <c r="Z186" s="351"/>
      <c r="AA186" s="351"/>
    </row>
    <row r="187" spans="4:27" x14ac:dyDescent="0.25">
      <c r="E187" s="96"/>
      <c r="F187" s="415" t="s">
        <v>51</v>
      </c>
      <c r="G187" s="295" t="s">
        <v>183</v>
      </c>
      <c r="H187" s="351"/>
      <c r="I187" s="351"/>
      <c r="J187" s="356">
        <f t="shared" ref="J187:Y187" si="46">hundred * $H24 * J61 / $H49 * J99 * (1 - J73) / hours_in_year</f>
        <v>0</v>
      </c>
      <c r="K187" s="356">
        <f t="shared" si="46"/>
        <v>0</v>
      </c>
      <c r="L187" s="356">
        <f t="shared" si="46"/>
        <v>0</v>
      </c>
      <c r="M187" s="356">
        <f t="shared" si="46"/>
        <v>0</v>
      </c>
      <c r="N187" s="356">
        <f t="shared" si="46"/>
        <v>0</v>
      </c>
      <c r="O187" s="356">
        <f t="shared" si="46"/>
        <v>0</v>
      </c>
      <c r="P187" s="356">
        <f t="shared" si="46"/>
        <v>0</v>
      </c>
      <c r="Q187" s="356">
        <f t="shared" si="46"/>
        <v>0</v>
      </c>
      <c r="R187" s="356">
        <f t="shared" si="46"/>
        <v>0</v>
      </c>
      <c r="S187" s="356">
        <f t="shared" si="46"/>
        <v>0</v>
      </c>
      <c r="T187" s="356">
        <f t="shared" si="46"/>
        <v>0</v>
      </c>
      <c r="U187" s="356">
        <f t="shared" si="46"/>
        <v>0</v>
      </c>
      <c r="V187" s="356">
        <f t="shared" si="46"/>
        <v>0</v>
      </c>
      <c r="W187" s="356">
        <f t="shared" si="46"/>
        <v>0</v>
      </c>
      <c r="X187" s="356">
        <f t="shared" si="46"/>
        <v>0</v>
      </c>
      <c r="Y187" s="356">
        <f t="shared" si="46"/>
        <v>0</v>
      </c>
      <c r="Z187" s="351"/>
      <c r="AA187" s="351"/>
    </row>
    <row r="188" spans="4:27" x14ac:dyDescent="0.25">
      <c r="E188" s="96"/>
      <c r="F188" s="415" t="s">
        <v>48</v>
      </c>
      <c r="G188" s="295" t="s">
        <v>183</v>
      </c>
      <c r="H188" s="351"/>
      <c r="I188" s="351"/>
      <c r="J188" s="356">
        <f t="shared" ref="J188:Y188" si="47">hundred * $H25 * J62 / $H50 * J100 * (1 - J74) / hours_in_year</f>
        <v>0.28142893148346149</v>
      </c>
      <c r="K188" s="356">
        <f t="shared" si="47"/>
        <v>0.28142893148346149</v>
      </c>
      <c r="L188" s="356">
        <f t="shared" si="47"/>
        <v>0.34954547802559649</v>
      </c>
      <c r="M188" s="356">
        <f t="shared" si="47"/>
        <v>0.34954547802559649</v>
      </c>
      <c r="N188" s="356">
        <f t="shared" si="47"/>
        <v>0.28397945980671047</v>
      </c>
      <c r="O188" s="356">
        <f t="shared" si="47"/>
        <v>0.26315865854427067</v>
      </c>
      <c r="P188" s="356">
        <f t="shared" si="47"/>
        <v>9.2554145991191758E-2</v>
      </c>
      <c r="Q188" s="356">
        <f t="shared" si="47"/>
        <v>0.28300597002144545</v>
      </c>
      <c r="R188" s="356">
        <f t="shared" si="47"/>
        <v>-0.21330079397849824</v>
      </c>
      <c r="S188" s="356">
        <f t="shared" si="47"/>
        <v>-0.20332629641835265</v>
      </c>
      <c r="T188" s="356">
        <f t="shared" si="47"/>
        <v>-0.21330079397849824</v>
      </c>
      <c r="U188" s="356">
        <f t="shared" si="47"/>
        <v>-0.21330079397849824</v>
      </c>
      <c r="V188" s="356">
        <f t="shared" si="47"/>
        <v>-0.20332629641835265</v>
      </c>
      <c r="W188" s="356">
        <f t="shared" si="47"/>
        <v>-0.20332629641835265</v>
      </c>
      <c r="X188" s="356">
        <f t="shared" si="47"/>
        <v>0</v>
      </c>
      <c r="Y188" s="356">
        <f t="shared" si="47"/>
        <v>0</v>
      </c>
      <c r="Z188" s="351"/>
      <c r="AA188" s="351"/>
    </row>
    <row r="189" spans="4:27" x14ac:dyDescent="0.25">
      <c r="E189" s="96"/>
      <c r="F189" s="415" t="s">
        <v>49</v>
      </c>
      <c r="G189" s="295" t="s">
        <v>183</v>
      </c>
      <c r="H189" s="351"/>
      <c r="I189" s="351"/>
      <c r="J189" s="356">
        <f t="shared" ref="J189:Y189" si="48">hundred * $H26 * J63 / $H51 * J101 * (1 - J75) / hours_in_year</f>
        <v>4.7226617345179703E-2</v>
      </c>
      <c r="K189" s="356">
        <f t="shared" si="48"/>
        <v>4.7226617345179703E-2</v>
      </c>
      <c r="L189" s="356">
        <f t="shared" si="48"/>
        <v>5.8657261882909408E-2</v>
      </c>
      <c r="M189" s="356">
        <f t="shared" si="48"/>
        <v>5.8657261882909408E-2</v>
      </c>
      <c r="N189" s="356">
        <f t="shared" si="48"/>
        <v>4.7654621760060557E-2</v>
      </c>
      <c r="O189" s="356">
        <f t="shared" si="48"/>
        <v>4.4160681002590629E-2</v>
      </c>
      <c r="P189" s="356">
        <f t="shared" si="48"/>
        <v>0</v>
      </c>
      <c r="Q189" s="356">
        <f t="shared" si="48"/>
        <v>4.7491260341119682E-2</v>
      </c>
      <c r="R189" s="356">
        <f t="shared" si="48"/>
        <v>-3.5794027726810063E-2</v>
      </c>
      <c r="S189" s="356">
        <f t="shared" si="48"/>
        <v>0</v>
      </c>
      <c r="T189" s="356">
        <f t="shared" si="48"/>
        <v>-3.5794027726810063E-2</v>
      </c>
      <c r="U189" s="356">
        <f t="shared" si="48"/>
        <v>-3.5794027726810063E-2</v>
      </c>
      <c r="V189" s="356">
        <f t="shared" si="48"/>
        <v>0</v>
      </c>
      <c r="W189" s="356">
        <f t="shared" si="48"/>
        <v>0</v>
      </c>
      <c r="X189" s="356">
        <f t="shared" si="48"/>
        <v>0</v>
      </c>
      <c r="Y189" s="356">
        <f t="shared" si="48"/>
        <v>0</v>
      </c>
      <c r="Z189" s="351"/>
      <c r="AA189" s="351"/>
    </row>
    <row r="190" spans="4:27" x14ac:dyDescent="0.25">
      <c r="E190" s="96"/>
      <c r="F190" s="417" t="s">
        <v>50</v>
      </c>
      <c r="G190" s="93" t="s">
        <v>183</v>
      </c>
      <c r="H190" s="353"/>
      <c r="I190" s="353"/>
      <c r="J190" s="357">
        <f t="shared" ref="J190:Y190" si="49">hundred * $H27 * J64 / $H52 * J102 * (1 - J76) / hours_in_year</f>
        <v>6.9087300527342233E-3</v>
      </c>
      <c r="K190" s="357">
        <f t="shared" si="49"/>
        <v>6.9087300527342233E-3</v>
      </c>
      <c r="L190" s="357">
        <f t="shared" si="49"/>
        <v>8.5809065048975033E-3</v>
      </c>
      <c r="M190" s="357">
        <f t="shared" si="49"/>
        <v>8.5809065048975033E-3</v>
      </c>
      <c r="N190" s="357">
        <f t="shared" si="49"/>
        <v>6.9713423491470231E-3</v>
      </c>
      <c r="O190" s="357">
        <f t="shared" si="49"/>
        <v>0</v>
      </c>
      <c r="P190" s="357">
        <f t="shared" si="49"/>
        <v>0</v>
      </c>
      <c r="Q190" s="357">
        <f t="shared" si="49"/>
        <v>6.9474443863468283E-3</v>
      </c>
      <c r="R190" s="357">
        <f t="shared" si="49"/>
        <v>0</v>
      </c>
      <c r="S190" s="357">
        <f t="shared" si="49"/>
        <v>0</v>
      </c>
      <c r="T190" s="357">
        <f t="shared" si="49"/>
        <v>0</v>
      </c>
      <c r="U190" s="357">
        <f t="shared" si="49"/>
        <v>0</v>
      </c>
      <c r="V190" s="357">
        <f t="shared" si="49"/>
        <v>0</v>
      </c>
      <c r="W190" s="357">
        <f t="shared" si="49"/>
        <v>0</v>
      </c>
      <c r="X190" s="357">
        <f t="shared" si="49"/>
        <v>0</v>
      </c>
      <c r="Y190" s="357">
        <f t="shared" si="49"/>
        <v>0</v>
      </c>
      <c r="Z190" s="351"/>
      <c r="AA190" s="351"/>
    </row>
    <row r="191" spans="4:27" x14ac:dyDescent="0.25">
      <c r="E191" s="96"/>
      <c r="F191" s="415"/>
      <c r="J191" s="238"/>
      <c r="K191" s="238"/>
      <c r="L191" s="238"/>
      <c r="M191" s="238"/>
      <c r="N191" s="238"/>
      <c r="O191" s="238"/>
      <c r="P191" s="238"/>
      <c r="Q191" s="238"/>
      <c r="R191" s="238"/>
      <c r="S191" s="238"/>
      <c r="T191" s="238"/>
      <c r="U191" s="238"/>
      <c r="V191" s="238"/>
      <c r="W191" s="238"/>
      <c r="X191" s="238"/>
      <c r="Y191" s="238"/>
    </row>
    <row r="192" spans="4:27" x14ac:dyDescent="0.25">
      <c r="E192" s="96" t="s">
        <v>116</v>
      </c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7" x14ac:dyDescent="0.25">
      <c r="D193" s="96"/>
      <c r="E193" s="96"/>
      <c r="F193" s="414" t="s">
        <v>324</v>
      </c>
      <c r="G193" s="91" t="s">
        <v>183</v>
      </c>
      <c r="H193" s="349"/>
      <c r="I193" s="349"/>
      <c r="J193" s="355">
        <f t="shared" ref="J193:Y193" si="50">hundred * $H30 * J55 / $H43 * J93 / hours_in_year</f>
        <v>0.13858802485178834</v>
      </c>
      <c r="K193" s="355">
        <f t="shared" si="50"/>
        <v>0.13858802485178834</v>
      </c>
      <c r="L193" s="355">
        <f t="shared" si="50"/>
        <v>0.17213161823871834</v>
      </c>
      <c r="M193" s="355">
        <f t="shared" si="50"/>
        <v>0.17213161823871834</v>
      </c>
      <c r="N193" s="355">
        <f t="shared" si="50"/>
        <v>0.13984401754871686</v>
      </c>
      <c r="O193" s="355">
        <f t="shared" si="50"/>
        <v>0.12959093621986023</v>
      </c>
      <c r="P193" s="355">
        <f t="shared" si="50"/>
        <v>0.11555242999626951</v>
      </c>
      <c r="Q193" s="355">
        <f t="shared" si="50"/>
        <v>0.17923165991935752</v>
      </c>
      <c r="R193" s="355">
        <f t="shared" si="50"/>
        <v>-0.10503872356327192</v>
      </c>
      <c r="S193" s="355">
        <f t="shared" si="50"/>
        <v>-0.10012684080671602</v>
      </c>
      <c r="T193" s="355">
        <f t="shared" si="50"/>
        <v>-0.10503872356327192</v>
      </c>
      <c r="U193" s="355">
        <f t="shared" si="50"/>
        <v>-0.10503872356327192</v>
      </c>
      <c r="V193" s="355">
        <f t="shared" si="50"/>
        <v>-0.10012684080671602</v>
      </c>
      <c r="W193" s="355">
        <f t="shared" si="50"/>
        <v>-0.10012684080671602</v>
      </c>
      <c r="X193" s="355">
        <f t="shared" si="50"/>
        <v>-9.8048736563557767E-2</v>
      </c>
      <c r="Y193" s="355">
        <f t="shared" si="50"/>
        <v>-9.8048736563557767E-2</v>
      </c>
      <c r="Z193" s="351"/>
      <c r="AA193" s="351"/>
    </row>
    <row r="194" spans="3:27" x14ac:dyDescent="0.25">
      <c r="D194" s="96"/>
      <c r="E194" s="96"/>
      <c r="F194" s="415" t="s">
        <v>43</v>
      </c>
      <c r="G194" s="295" t="s">
        <v>183</v>
      </c>
      <c r="H194" s="351"/>
      <c r="I194" s="351"/>
      <c r="J194" s="356">
        <f t="shared" ref="J194:Y194" si="51">hundred * $H31 * J56 / $H44 * J94 / hours_in_year</f>
        <v>0</v>
      </c>
      <c r="K194" s="356">
        <f t="shared" si="51"/>
        <v>0</v>
      </c>
      <c r="L194" s="356">
        <f t="shared" si="51"/>
        <v>0</v>
      </c>
      <c r="M194" s="356">
        <f t="shared" si="51"/>
        <v>0</v>
      </c>
      <c r="N194" s="356">
        <f t="shared" si="51"/>
        <v>0</v>
      </c>
      <c r="O194" s="356">
        <f t="shared" si="51"/>
        <v>0</v>
      </c>
      <c r="P194" s="356">
        <f t="shared" si="51"/>
        <v>0</v>
      </c>
      <c r="Q194" s="356">
        <f t="shared" si="51"/>
        <v>0</v>
      </c>
      <c r="R194" s="356">
        <f t="shared" si="51"/>
        <v>0</v>
      </c>
      <c r="S194" s="356">
        <f t="shared" si="51"/>
        <v>0</v>
      </c>
      <c r="T194" s="356">
        <f t="shared" si="51"/>
        <v>0</v>
      </c>
      <c r="U194" s="356">
        <f t="shared" si="51"/>
        <v>0</v>
      </c>
      <c r="V194" s="356">
        <f t="shared" si="51"/>
        <v>0</v>
      </c>
      <c r="W194" s="356">
        <f t="shared" si="51"/>
        <v>0</v>
      </c>
      <c r="X194" s="356">
        <f t="shared" si="51"/>
        <v>0</v>
      </c>
      <c r="Y194" s="356">
        <f t="shared" si="51"/>
        <v>0</v>
      </c>
      <c r="Z194" s="351"/>
      <c r="AA194" s="351"/>
    </row>
    <row r="195" spans="3:27" x14ac:dyDescent="0.25">
      <c r="D195" s="96"/>
      <c r="E195" s="96"/>
      <c r="F195" s="415" t="s">
        <v>44</v>
      </c>
      <c r="G195" s="295" t="s">
        <v>183</v>
      </c>
      <c r="H195" s="351"/>
      <c r="I195" s="351"/>
      <c r="J195" s="356">
        <f t="shared" ref="J195:Y195" si="52">hundred * $H32 * J57 / $H45 * J95 / hours_in_year</f>
        <v>0.11855044208749975</v>
      </c>
      <c r="K195" s="356">
        <f t="shared" si="52"/>
        <v>0.11855044208749975</v>
      </c>
      <c r="L195" s="356">
        <f t="shared" si="52"/>
        <v>0.14724417539870488</v>
      </c>
      <c r="M195" s="356">
        <f t="shared" si="52"/>
        <v>0.14724417539870488</v>
      </c>
      <c r="N195" s="356">
        <f t="shared" si="52"/>
        <v>0.11962483859209522</v>
      </c>
      <c r="O195" s="356">
        <f t="shared" si="52"/>
        <v>0.11085418668624</v>
      </c>
      <c r="P195" s="356">
        <f t="shared" si="52"/>
        <v>9.8845420987799346E-2</v>
      </c>
      <c r="Q195" s="356">
        <f t="shared" si="52"/>
        <v>0.15331766609878245</v>
      </c>
      <c r="R195" s="356">
        <f t="shared" si="52"/>
        <v>-8.9851826144788857E-2</v>
      </c>
      <c r="S195" s="356">
        <f t="shared" si="52"/>
        <v>-8.565012204449296E-2</v>
      </c>
      <c r="T195" s="356">
        <f t="shared" si="52"/>
        <v>-8.9851826144788857E-2</v>
      </c>
      <c r="U195" s="356">
        <f t="shared" si="52"/>
        <v>-8.9851826144788857E-2</v>
      </c>
      <c r="V195" s="356">
        <f t="shared" si="52"/>
        <v>-8.565012204449296E-2</v>
      </c>
      <c r="W195" s="356">
        <f t="shared" si="52"/>
        <v>-8.565012204449296E-2</v>
      </c>
      <c r="X195" s="356">
        <f t="shared" si="52"/>
        <v>-8.3872478002060089E-2</v>
      </c>
      <c r="Y195" s="356">
        <f t="shared" si="52"/>
        <v>-8.3872478002060089E-2</v>
      </c>
      <c r="Z195" s="351"/>
      <c r="AA195" s="351"/>
    </row>
    <row r="196" spans="3:27" x14ac:dyDescent="0.25">
      <c r="D196" s="96"/>
      <c r="E196" s="96"/>
      <c r="F196" s="415" t="s">
        <v>45</v>
      </c>
      <c r="G196" s="295" t="s">
        <v>183</v>
      </c>
      <c r="H196" s="351"/>
      <c r="I196" s="351"/>
      <c r="J196" s="356">
        <f t="shared" ref="J196:Y196" si="53">hundred * $H33 * J58 / $H46 * J96 / hours_in_year</f>
        <v>1.2423799295499733E-2</v>
      </c>
      <c r="K196" s="356">
        <f t="shared" si="53"/>
        <v>1.2423799295499733E-2</v>
      </c>
      <c r="L196" s="356">
        <f t="shared" si="53"/>
        <v>1.5430833073019457E-2</v>
      </c>
      <c r="M196" s="356">
        <f t="shared" si="53"/>
        <v>1.5430833073019457E-2</v>
      </c>
      <c r="N196" s="356">
        <f t="shared" si="53"/>
        <v>1.2536393447844001E-2</v>
      </c>
      <c r="O196" s="356">
        <f t="shared" si="53"/>
        <v>1.1617250363682304E-2</v>
      </c>
      <c r="P196" s="356">
        <f t="shared" si="53"/>
        <v>1.0358760794204438E-2</v>
      </c>
      <c r="Q196" s="356">
        <f t="shared" si="53"/>
        <v>1.6023530318665866E-2</v>
      </c>
      <c r="R196" s="356">
        <f t="shared" si="53"/>
        <v>-9.4162538300200712E-3</v>
      </c>
      <c r="S196" s="356">
        <f t="shared" si="53"/>
        <v>-8.9759254135083396E-3</v>
      </c>
      <c r="T196" s="356">
        <f t="shared" si="53"/>
        <v>-9.4162538300200712E-3</v>
      </c>
      <c r="U196" s="356">
        <f t="shared" si="53"/>
        <v>-9.4162538300200712E-3</v>
      </c>
      <c r="V196" s="356">
        <f t="shared" si="53"/>
        <v>-8.9759254135083396E-3</v>
      </c>
      <c r="W196" s="356">
        <f t="shared" si="53"/>
        <v>-8.9759254135083396E-3</v>
      </c>
      <c r="X196" s="356">
        <f t="shared" si="53"/>
        <v>-8.7896326219072257E-3</v>
      </c>
      <c r="Y196" s="356">
        <f t="shared" si="53"/>
        <v>-8.7896326219072257E-3</v>
      </c>
      <c r="Z196" s="351"/>
      <c r="AA196" s="351"/>
    </row>
    <row r="197" spans="3:27" x14ac:dyDescent="0.25">
      <c r="D197" s="96"/>
      <c r="E197" s="96"/>
      <c r="F197" s="415" t="s">
        <v>46</v>
      </c>
      <c r="G197" s="295" t="s">
        <v>183</v>
      </c>
      <c r="H197" s="351"/>
      <c r="I197" s="351"/>
      <c r="J197" s="356">
        <f t="shared" ref="J197:Y197" si="54">hundred * $H34 * J59 / $H47 * J97 / hours_in_year</f>
        <v>0.1268308995563551</v>
      </c>
      <c r="K197" s="356">
        <f t="shared" si="54"/>
        <v>0.1268308995563551</v>
      </c>
      <c r="L197" s="356">
        <f t="shared" si="54"/>
        <v>0.15752881972778926</v>
      </c>
      <c r="M197" s="356">
        <f t="shared" si="54"/>
        <v>0.15752881972778926</v>
      </c>
      <c r="N197" s="356">
        <f t="shared" si="54"/>
        <v>0.1279803400203347</v>
      </c>
      <c r="O197" s="356">
        <f t="shared" si="54"/>
        <v>0.11859707960116019</v>
      </c>
      <c r="P197" s="356">
        <f t="shared" si="54"/>
        <v>0.10574953108699632</v>
      </c>
      <c r="Q197" s="356">
        <f t="shared" si="54"/>
        <v>0.16357949094694987</v>
      </c>
      <c r="R197" s="356">
        <f t="shared" si="54"/>
        <v>-9.612775571358595E-2</v>
      </c>
      <c r="S197" s="356">
        <f t="shared" si="54"/>
        <v>-9.1632572892447028E-2</v>
      </c>
      <c r="T197" s="356">
        <f t="shared" si="54"/>
        <v>-9.612775571358595E-2</v>
      </c>
      <c r="U197" s="356">
        <f t="shared" si="54"/>
        <v>-9.612775571358595E-2</v>
      </c>
      <c r="V197" s="356">
        <f t="shared" si="54"/>
        <v>-9.1632572892447028E-2</v>
      </c>
      <c r="W197" s="356">
        <f t="shared" si="54"/>
        <v>-9.1632572892447028E-2</v>
      </c>
      <c r="X197" s="356">
        <f t="shared" si="54"/>
        <v>-8.9730764775811322E-2</v>
      </c>
      <c r="Y197" s="356">
        <f t="shared" si="54"/>
        <v>-8.9730764775811322E-2</v>
      </c>
      <c r="Z197" s="351"/>
      <c r="AA197" s="351"/>
    </row>
    <row r="198" spans="3:27" x14ac:dyDescent="0.25">
      <c r="D198" s="96"/>
      <c r="E198" s="96"/>
      <c r="F198" s="415" t="s">
        <v>47</v>
      </c>
      <c r="G198" s="295" t="s">
        <v>183</v>
      </c>
      <c r="H198" s="351"/>
      <c r="I198" s="351"/>
      <c r="J198" s="356">
        <f t="shared" ref="J198:Y198" si="55">hundred * $H35 * J60 / $H48 * J98 / hours_in_year</f>
        <v>2.6939024419335118E-2</v>
      </c>
      <c r="K198" s="356">
        <f t="shared" si="55"/>
        <v>2.6939024419335118E-2</v>
      </c>
      <c r="L198" s="356">
        <f t="shared" si="55"/>
        <v>3.3459296876707498E-2</v>
      </c>
      <c r="M198" s="356">
        <f t="shared" si="55"/>
        <v>3.3459296876707498E-2</v>
      </c>
      <c r="N198" s="356">
        <f t="shared" si="55"/>
        <v>2.7183166854940564E-2</v>
      </c>
      <c r="O198" s="356">
        <f t="shared" si="55"/>
        <v>2.5190151884225125E-2</v>
      </c>
      <c r="P198" s="356">
        <f t="shared" si="55"/>
        <v>2.2461318261170437E-2</v>
      </c>
      <c r="Q198" s="356">
        <f t="shared" si="55"/>
        <v>2.708998217432158E-2</v>
      </c>
      <c r="R198" s="356">
        <f t="shared" si="55"/>
        <v>-2.0417642448349382E-2</v>
      </c>
      <c r="S198" s="356">
        <f t="shared" si="55"/>
        <v>-1.9462860607239518E-2</v>
      </c>
      <c r="T198" s="356">
        <f t="shared" si="55"/>
        <v>-2.0417642448349382E-2</v>
      </c>
      <c r="U198" s="356">
        <f t="shared" si="55"/>
        <v>-2.0417642448349382E-2</v>
      </c>
      <c r="V198" s="356">
        <f t="shared" si="55"/>
        <v>-1.9462860607239518E-2</v>
      </c>
      <c r="W198" s="356">
        <f t="shared" si="55"/>
        <v>-1.9462860607239518E-2</v>
      </c>
      <c r="X198" s="356">
        <f t="shared" si="55"/>
        <v>-1.9058914443693037E-2</v>
      </c>
      <c r="Y198" s="356">
        <f t="shared" si="55"/>
        <v>-1.9058914443693037E-2</v>
      </c>
      <c r="Z198" s="351"/>
      <c r="AA198" s="351"/>
    </row>
    <row r="199" spans="3:27" x14ac:dyDescent="0.25">
      <c r="D199" s="96"/>
      <c r="E199" s="96"/>
      <c r="F199" s="415" t="s">
        <v>51</v>
      </c>
      <c r="G199" s="295" t="s">
        <v>183</v>
      </c>
      <c r="H199" s="351"/>
      <c r="I199" s="351"/>
      <c r="J199" s="356">
        <f t="shared" ref="J199:Y199" si="56">hundred * $H36 * J61 / $H49 * J99 / hours_in_year</f>
        <v>0</v>
      </c>
      <c r="K199" s="356">
        <f t="shared" si="56"/>
        <v>0</v>
      </c>
      <c r="L199" s="356">
        <f t="shared" si="56"/>
        <v>0</v>
      </c>
      <c r="M199" s="356">
        <f t="shared" si="56"/>
        <v>0</v>
      </c>
      <c r="N199" s="356">
        <f t="shared" si="56"/>
        <v>0</v>
      </c>
      <c r="O199" s="356">
        <f t="shared" si="56"/>
        <v>0</v>
      </c>
      <c r="P199" s="356">
        <f t="shared" si="56"/>
        <v>0</v>
      </c>
      <c r="Q199" s="356">
        <f t="shared" si="56"/>
        <v>0</v>
      </c>
      <c r="R199" s="356">
        <f t="shared" si="56"/>
        <v>0</v>
      </c>
      <c r="S199" s="356">
        <f t="shared" si="56"/>
        <v>0</v>
      </c>
      <c r="T199" s="356">
        <f t="shared" si="56"/>
        <v>0</v>
      </c>
      <c r="U199" s="356">
        <f t="shared" si="56"/>
        <v>0</v>
      </c>
      <c r="V199" s="356">
        <f t="shared" si="56"/>
        <v>0</v>
      </c>
      <c r="W199" s="356">
        <f t="shared" si="56"/>
        <v>0</v>
      </c>
      <c r="X199" s="356">
        <f t="shared" si="56"/>
        <v>0</v>
      </c>
      <c r="Y199" s="356">
        <f t="shared" si="56"/>
        <v>0</v>
      </c>
      <c r="Z199" s="351"/>
      <c r="AA199" s="351"/>
    </row>
    <row r="200" spans="3:27" x14ac:dyDescent="0.25">
      <c r="D200" s="96"/>
      <c r="E200" s="96"/>
      <c r="F200" s="415" t="s">
        <v>48</v>
      </c>
      <c r="G200" s="295" t="s">
        <v>183</v>
      </c>
      <c r="H200" s="351"/>
      <c r="I200" s="351"/>
      <c r="J200" s="356">
        <f t="shared" ref="J200:Y200" si="57">hundred * $H37 * J62 / $H50 * J100 / hours_in_year</f>
        <v>0.22110119042092022</v>
      </c>
      <c r="K200" s="356">
        <f t="shared" si="57"/>
        <v>0.22110119042092022</v>
      </c>
      <c r="L200" s="356">
        <f t="shared" si="57"/>
        <v>0.27461612027706805</v>
      </c>
      <c r="M200" s="356">
        <f t="shared" si="57"/>
        <v>0.27461612027706805</v>
      </c>
      <c r="N200" s="356">
        <f t="shared" si="57"/>
        <v>0.2231049817351255</v>
      </c>
      <c r="O200" s="356">
        <f t="shared" si="57"/>
        <v>0.20674737443307256</v>
      </c>
      <c r="P200" s="356">
        <f t="shared" si="57"/>
        <v>0.18435055882734561</v>
      </c>
      <c r="Q200" s="356">
        <f t="shared" si="57"/>
        <v>0.22234017141782747</v>
      </c>
      <c r="R200" s="356">
        <f t="shared" si="57"/>
        <v>-0.16757715426690198</v>
      </c>
      <c r="S200" s="356">
        <f t="shared" si="57"/>
        <v>-0.15974081252060804</v>
      </c>
      <c r="T200" s="356">
        <f t="shared" si="57"/>
        <v>-0.16757715426690198</v>
      </c>
      <c r="U200" s="356">
        <f t="shared" si="57"/>
        <v>-0.16757715426690198</v>
      </c>
      <c r="V200" s="356">
        <f t="shared" si="57"/>
        <v>-0.15974081252060804</v>
      </c>
      <c r="W200" s="356">
        <f t="shared" si="57"/>
        <v>-0.15974081252060804</v>
      </c>
      <c r="X200" s="356">
        <f t="shared" si="57"/>
        <v>0</v>
      </c>
      <c r="Y200" s="356">
        <f t="shared" si="57"/>
        <v>0</v>
      </c>
      <c r="Z200" s="351"/>
      <c r="AA200" s="351"/>
    </row>
    <row r="201" spans="3:27" x14ac:dyDescent="0.25">
      <c r="D201" s="96"/>
      <c r="E201" s="96"/>
      <c r="F201" s="415" t="s">
        <v>49</v>
      </c>
      <c r="G201" s="295" t="s">
        <v>183</v>
      </c>
      <c r="H201" s="351"/>
      <c r="I201" s="351"/>
      <c r="J201" s="356">
        <f t="shared" ref="J201:Y201" si="58">hundred * $H38 * J63 / $H51 * J101 / hours_in_year</f>
        <v>8.6477678389156779E-2</v>
      </c>
      <c r="K201" s="356">
        <f t="shared" si="58"/>
        <v>8.6477678389156779E-2</v>
      </c>
      <c r="L201" s="356">
        <f t="shared" si="58"/>
        <v>0.10740857832826609</v>
      </c>
      <c r="M201" s="356">
        <f t="shared" si="58"/>
        <v>0.10740857832826609</v>
      </c>
      <c r="N201" s="356">
        <f t="shared" si="58"/>
        <v>8.7261406511556019E-2</v>
      </c>
      <c r="O201" s="356">
        <f t="shared" si="58"/>
        <v>8.086357617518343E-2</v>
      </c>
      <c r="P201" s="356">
        <f t="shared" si="58"/>
        <v>0</v>
      </c>
      <c r="Q201" s="356">
        <f t="shared" si="58"/>
        <v>8.6962271891239895E-2</v>
      </c>
      <c r="R201" s="356">
        <f t="shared" si="58"/>
        <v>-6.5543216770903828E-2</v>
      </c>
      <c r="S201" s="356">
        <f t="shared" si="58"/>
        <v>0</v>
      </c>
      <c r="T201" s="356">
        <f t="shared" si="58"/>
        <v>-6.5543216770903828E-2</v>
      </c>
      <c r="U201" s="356">
        <f t="shared" si="58"/>
        <v>-6.5543216770903828E-2</v>
      </c>
      <c r="V201" s="356">
        <f t="shared" si="58"/>
        <v>0</v>
      </c>
      <c r="W201" s="356">
        <f t="shared" si="58"/>
        <v>0</v>
      </c>
      <c r="X201" s="356">
        <f t="shared" si="58"/>
        <v>0</v>
      </c>
      <c r="Y201" s="356">
        <f t="shared" si="58"/>
        <v>0</v>
      </c>
      <c r="Z201" s="351"/>
      <c r="AA201" s="351"/>
    </row>
    <row r="202" spans="3:27" x14ac:dyDescent="0.25">
      <c r="D202" s="96"/>
      <c r="E202" s="96"/>
      <c r="F202" s="417" t="s">
        <v>50</v>
      </c>
      <c r="G202" s="93" t="s">
        <v>183</v>
      </c>
      <c r="H202" s="353"/>
      <c r="I202" s="353"/>
      <c r="J202" s="357">
        <f t="shared" ref="J202:Y202" si="59">hundred * $H39 * J64 / $H52 * J102 / hours_in_year</f>
        <v>5.2951970691518697E-2</v>
      </c>
      <c r="K202" s="357">
        <f t="shared" si="59"/>
        <v>5.2951970691518697E-2</v>
      </c>
      <c r="L202" s="357">
        <f t="shared" si="59"/>
        <v>6.5768369336441132E-2</v>
      </c>
      <c r="M202" s="357">
        <f t="shared" si="59"/>
        <v>6.5768369336441132E-2</v>
      </c>
      <c r="N202" s="357">
        <f t="shared" si="59"/>
        <v>5.3431862720773354E-2</v>
      </c>
      <c r="O202" s="357">
        <f t="shared" si="59"/>
        <v>0</v>
      </c>
      <c r="P202" s="357">
        <f t="shared" si="59"/>
        <v>0</v>
      </c>
      <c r="Q202" s="357">
        <f t="shared" si="59"/>
        <v>5.3248696753059495E-2</v>
      </c>
      <c r="R202" s="357">
        <f t="shared" si="59"/>
        <v>0</v>
      </c>
      <c r="S202" s="357">
        <f t="shared" si="59"/>
        <v>0</v>
      </c>
      <c r="T202" s="357">
        <f t="shared" si="59"/>
        <v>0</v>
      </c>
      <c r="U202" s="357">
        <f t="shared" si="59"/>
        <v>0</v>
      </c>
      <c r="V202" s="357">
        <f t="shared" si="59"/>
        <v>0</v>
      </c>
      <c r="W202" s="357">
        <f t="shared" si="59"/>
        <v>0</v>
      </c>
      <c r="X202" s="357">
        <f t="shared" si="59"/>
        <v>0</v>
      </c>
      <c r="Y202" s="357">
        <f t="shared" si="59"/>
        <v>0</v>
      </c>
      <c r="Z202" s="351"/>
      <c r="AA202" s="351"/>
    </row>
    <row r="203" spans="3:27" x14ac:dyDescent="0.25">
      <c r="C203" s="96"/>
      <c r="D203" s="96"/>
      <c r="E203" s="96"/>
      <c r="J203" s="238"/>
      <c r="K203" s="238"/>
      <c r="L203" s="238"/>
      <c r="M203" s="238"/>
      <c r="N203" s="238"/>
      <c r="O203" s="238"/>
      <c r="P203" s="238"/>
      <c r="Q203" s="238"/>
      <c r="R203" s="238"/>
      <c r="S203" s="238"/>
      <c r="T203" s="238"/>
      <c r="U203" s="238"/>
      <c r="V203" s="238"/>
      <c r="W203" s="238"/>
      <c r="X203" s="238"/>
      <c r="Y203" s="238"/>
    </row>
    <row r="204" spans="3:27" x14ac:dyDescent="0.25">
      <c r="C204" s="7" t="str">
        <f ca="1">INDEX('Version control'!$H$34:$H$58,MATCH($A$1,'Version control'!$F$34:$F$58,0),1)&amp;"-E: Unit rate 3"</f>
        <v>Section 512-E: Unit rate 3</v>
      </c>
      <c r="D204" s="7"/>
      <c r="E204" s="7"/>
      <c r="F204" s="7"/>
      <c r="G204" s="7"/>
      <c r="H204" s="7"/>
      <c r="I204" s="7"/>
      <c r="J204" s="242"/>
      <c r="K204" s="242"/>
      <c r="L204" s="242"/>
      <c r="M204" s="242"/>
      <c r="N204" s="242"/>
      <c r="O204" s="242"/>
      <c r="P204" s="242"/>
      <c r="Q204" s="242"/>
      <c r="R204" s="242"/>
      <c r="S204" s="242"/>
      <c r="T204" s="242"/>
      <c r="U204" s="242"/>
      <c r="V204" s="242"/>
      <c r="W204" s="242"/>
      <c r="X204" s="242"/>
      <c r="Y204" s="242"/>
      <c r="Z204" s="7"/>
      <c r="AA204" s="7"/>
    </row>
    <row r="205" spans="3:27" x14ac:dyDescent="0.25">
      <c r="C205" s="96"/>
      <c r="D205" s="96"/>
      <c r="E205" s="96"/>
      <c r="J205" s="238"/>
      <c r="K205" s="238"/>
      <c r="L205" s="238"/>
      <c r="M205" s="238"/>
      <c r="N205" s="238"/>
      <c r="O205" s="238"/>
      <c r="P205" s="238"/>
      <c r="Q205" s="238"/>
      <c r="R205" s="238"/>
      <c r="S205" s="238"/>
      <c r="T205" s="238"/>
      <c r="U205" s="238"/>
      <c r="V205" s="238"/>
      <c r="W205" s="238"/>
      <c r="X205" s="238"/>
      <c r="Y205" s="238"/>
    </row>
    <row r="206" spans="3:27" x14ac:dyDescent="0.25">
      <c r="C206" s="82" t="s">
        <v>836</v>
      </c>
      <c r="D206" s="96"/>
      <c r="E206" s="96"/>
      <c r="I206" s="88" t="s">
        <v>431</v>
      </c>
      <c r="J206" s="238"/>
      <c r="K206" s="238"/>
      <c r="L206" s="238"/>
      <c r="M206" s="238"/>
      <c r="N206" s="238"/>
      <c r="O206" s="238"/>
      <c r="P206" s="238"/>
      <c r="Q206" s="238"/>
      <c r="R206" s="238"/>
      <c r="S206" s="238"/>
      <c r="T206" s="238"/>
      <c r="U206" s="238"/>
      <c r="V206" s="238"/>
      <c r="W206" s="238"/>
      <c r="X206" s="238"/>
      <c r="Y206" s="238"/>
      <c r="AA206" s="295" t="s">
        <v>834</v>
      </c>
    </row>
    <row r="207" spans="3:27" x14ac:dyDescent="0.25">
      <c r="C207" s="82" t="s">
        <v>911</v>
      </c>
      <c r="D207" s="96"/>
      <c r="E207" s="96"/>
      <c r="J207" s="238"/>
      <c r="K207" s="238"/>
      <c r="L207" s="238"/>
      <c r="M207" s="238"/>
      <c r="N207" s="238"/>
      <c r="O207" s="238"/>
      <c r="P207" s="238"/>
      <c r="Q207" s="238"/>
      <c r="R207" s="238"/>
      <c r="S207" s="238"/>
      <c r="T207" s="238"/>
      <c r="U207" s="238"/>
      <c r="V207" s="238"/>
      <c r="W207" s="238"/>
      <c r="X207" s="238"/>
      <c r="Y207" s="238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8"/>
      <c r="K209" s="238"/>
      <c r="L209" s="238"/>
      <c r="M209" s="238"/>
      <c r="N209" s="238"/>
      <c r="O209" s="238"/>
      <c r="P209" s="238"/>
      <c r="Q209" s="238"/>
      <c r="R209" s="238"/>
      <c r="S209" s="238"/>
      <c r="T209" s="238"/>
      <c r="U209" s="238"/>
      <c r="V209" s="238"/>
      <c r="W209" s="238"/>
      <c r="X209" s="238"/>
      <c r="Y209" s="238"/>
    </row>
    <row r="210" spans="3:27" x14ac:dyDescent="0.25">
      <c r="E210" s="96"/>
      <c r="F210" s="414" t="s">
        <v>324</v>
      </c>
      <c r="G210" s="91" t="s">
        <v>183</v>
      </c>
      <c r="H210" s="349"/>
      <c r="I210" s="349"/>
      <c r="J210" s="355">
        <f t="shared" ref="J210:Y210" si="60">hundred * $H18 * J55 / $H43 * J105 * (1 - J67) / hours_in_year</f>
        <v>0</v>
      </c>
      <c r="K210" s="355">
        <f t="shared" si="60"/>
        <v>0</v>
      </c>
      <c r="L210" s="355">
        <f t="shared" si="60"/>
        <v>0</v>
      </c>
      <c r="M210" s="355">
        <f t="shared" si="60"/>
        <v>0</v>
      </c>
      <c r="N210" s="355">
        <f t="shared" si="60"/>
        <v>0</v>
      </c>
      <c r="O210" s="355">
        <f t="shared" si="60"/>
        <v>0</v>
      </c>
      <c r="P210" s="355">
        <f t="shared" si="60"/>
        <v>0</v>
      </c>
      <c r="Q210" s="355">
        <f t="shared" si="60"/>
        <v>0</v>
      </c>
      <c r="R210" s="355">
        <f t="shared" si="60"/>
        <v>0</v>
      </c>
      <c r="S210" s="355">
        <f t="shared" si="60"/>
        <v>0</v>
      </c>
      <c r="T210" s="355">
        <f t="shared" si="60"/>
        <v>0</v>
      </c>
      <c r="U210" s="355">
        <f t="shared" si="60"/>
        <v>0</v>
      </c>
      <c r="V210" s="355">
        <f t="shared" si="60"/>
        <v>0</v>
      </c>
      <c r="W210" s="355">
        <f t="shared" si="60"/>
        <v>0</v>
      </c>
      <c r="X210" s="355">
        <f t="shared" si="60"/>
        <v>0</v>
      </c>
      <c r="Y210" s="355">
        <f t="shared" si="60"/>
        <v>0</v>
      </c>
      <c r="Z210" s="351"/>
      <c r="AA210" s="351"/>
    </row>
    <row r="211" spans="3:27" x14ac:dyDescent="0.25">
      <c r="E211" s="96"/>
      <c r="F211" s="415" t="s">
        <v>43</v>
      </c>
      <c r="G211" s="295" t="s">
        <v>183</v>
      </c>
      <c r="H211" s="351"/>
      <c r="I211" s="351"/>
      <c r="J211" s="356">
        <f t="shared" ref="J211:Y211" si="61">hundred * $H19 * J56 / $H44 * J106 * (1 - J68) / hours_in_year</f>
        <v>0</v>
      </c>
      <c r="K211" s="356">
        <f t="shared" si="61"/>
        <v>0</v>
      </c>
      <c r="L211" s="356">
        <f t="shared" si="61"/>
        <v>0</v>
      </c>
      <c r="M211" s="356">
        <f t="shared" si="61"/>
        <v>0</v>
      </c>
      <c r="N211" s="356">
        <f t="shared" si="61"/>
        <v>0</v>
      </c>
      <c r="O211" s="356">
        <f t="shared" si="61"/>
        <v>0</v>
      </c>
      <c r="P211" s="356">
        <f t="shared" si="61"/>
        <v>0</v>
      </c>
      <c r="Q211" s="356">
        <f t="shared" si="61"/>
        <v>0</v>
      </c>
      <c r="R211" s="356">
        <f t="shared" si="61"/>
        <v>0</v>
      </c>
      <c r="S211" s="356">
        <f t="shared" si="61"/>
        <v>0</v>
      </c>
      <c r="T211" s="356">
        <f t="shared" si="61"/>
        <v>0</v>
      </c>
      <c r="U211" s="356">
        <f t="shared" si="61"/>
        <v>0</v>
      </c>
      <c r="V211" s="356">
        <f t="shared" si="61"/>
        <v>0</v>
      </c>
      <c r="W211" s="356">
        <f t="shared" si="61"/>
        <v>0</v>
      </c>
      <c r="X211" s="356">
        <f t="shared" si="61"/>
        <v>0</v>
      </c>
      <c r="Y211" s="356">
        <f t="shared" si="61"/>
        <v>0</v>
      </c>
      <c r="Z211" s="351"/>
      <c r="AA211" s="351"/>
    </row>
    <row r="212" spans="3:27" x14ac:dyDescent="0.25">
      <c r="E212" s="96"/>
      <c r="F212" s="415" t="s">
        <v>44</v>
      </c>
      <c r="G212" s="295" t="s">
        <v>183</v>
      </c>
      <c r="H212" s="351"/>
      <c r="I212" s="351"/>
      <c r="J212" s="356">
        <f t="shared" ref="J212:Y212" si="62">hundred * $H20 * J57 / $H45 * J107 * (1 - J69) / hours_in_year</f>
        <v>3.3960373144051308E-2</v>
      </c>
      <c r="K212" s="356">
        <f t="shared" si="62"/>
        <v>3.3960373144051308E-2</v>
      </c>
      <c r="L212" s="356">
        <f t="shared" si="62"/>
        <v>4.2180080072054149E-2</v>
      </c>
      <c r="M212" s="356">
        <f t="shared" si="62"/>
        <v>4.2180080072054149E-2</v>
      </c>
      <c r="N212" s="356">
        <f t="shared" si="62"/>
        <v>3.4268148514250231E-2</v>
      </c>
      <c r="O212" s="356">
        <f t="shared" si="62"/>
        <v>3.1755676977285513E-2</v>
      </c>
      <c r="P212" s="356">
        <f t="shared" si="62"/>
        <v>2.8315604068763389E-2</v>
      </c>
      <c r="Q212" s="356">
        <f t="shared" si="62"/>
        <v>2.9992275747656776E-2</v>
      </c>
      <c r="R212" s="356">
        <f t="shared" si="62"/>
        <v>-2.5739267520396715E-2</v>
      </c>
      <c r="S212" s="356">
        <f t="shared" si="62"/>
        <v>-2.4535632708291837E-2</v>
      </c>
      <c r="T212" s="356">
        <f t="shared" si="62"/>
        <v>-2.5739267520396715E-2</v>
      </c>
      <c r="U212" s="356">
        <f t="shared" si="62"/>
        <v>-2.5739267520396715E-2</v>
      </c>
      <c r="V212" s="356">
        <f t="shared" si="62"/>
        <v>-2.4535632708291837E-2</v>
      </c>
      <c r="W212" s="356">
        <f t="shared" si="62"/>
        <v>-2.4535632708291837E-2</v>
      </c>
      <c r="X212" s="356">
        <f t="shared" si="62"/>
        <v>-2.4026402595478231E-2</v>
      </c>
      <c r="Y212" s="356">
        <f t="shared" si="62"/>
        <v>-2.4026402595478231E-2</v>
      </c>
      <c r="Z212" s="351"/>
      <c r="AA212" s="351"/>
    </row>
    <row r="213" spans="3:27" x14ac:dyDescent="0.25">
      <c r="E213" s="96"/>
      <c r="F213" s="415" t="s">
        <v>45</v>
      </c>
      <c r="G213" s="295" t="s">
        <v>183</v>
      </c>
      <c r="H213" s="351"/>
      <c r="I213" s="351"/>
      <c r="J213" s="356">
        <f t="shared" ref="J213:Y213" si="63">hundred * $H21 * J58 / $H46 * J108 * (1 - J70) / hours_in_year</f>
        <v>4.4340888681866277E-3</v>
      </c>
      <c r="K213" s="356">
        <f t="shared" si="63"/>
        <v>4.4340888681866277E-3</v>
      </c>
      <c r="L213" s="356">
        <f t="shared" si="63"/>
        <v>5.5073076704246155E-3</v>
      </c>
      <c r="M213" s="356">
        <f t="shared" si="63"/>
        <v>5.5073076704246155E-3</v>
      </c>
      <c r="N213" s="356">
        <f t="shared" si="63"/>
        <v>4.4742740374458783E-3</v>
      </c>
      <c r="O213" s="356">
        <f t="shared" si="63"/>
        <v>4.1462292887490459E-3</v>
      </c>
      <c r="P213" s="356">
        <f t="shared" si="63"/>
        <v>3.6970708261866219E-3</v>
      </c>
      <c r="Q213" s="356">
        <f t="shared" si="63"/>
        <v>3.9159880682160201E-3</v>
      </c>
      <c r="R213" s="356">
        <f t="shared" si="63"/>
        <v>-3.3606874430783572E-3</v>
      </c>
      <c r="S213" s="356">
        <f t="shared" si="63"/>
        <v>-3.2035329943013117E-3</v>
      </c>
      <c r="T213" s="356">
        <f t="shared" si="63"/>
        <v>-3.3606874430783572E-3</v>
      </c>
      <c r="U213" s="356">
        <f t="shared" si="63"/>
        <v>-3.3606874430783572E-3</v>
      </c>
      <c r="V213" s="356">
        <f t="shared" si="63"/>
        <v>-3.2035329943013117E-3</v>
      </c>
      <c r="W213" s="356">
        <f t="shared" si="63"/>
        <v>-3.2035329943013117E-3</v>
      </c>
      <c r="X213" s="356">
        <f t="shared" si="63"/>
        <v>-3.1370445736648694E-3</v>
      </c>
      <c r="Y213" s="356">
        <f t="shared" si="63"/>
        <v>-3.1370445736648694E-3</v>
      </c>
      <c r="Z213" s="351"/>
      <c r="AA213" s="351"/>
    </row>
    <row r="214" spans="3:27" x14ac:dyDescent="0.25">
      <c r="E214" s="96"/>
      <c r="F214" s="415" t="s">
        <v>46</v>
      </c>
      <c r="G214" s="295" t="s">
        <v>183</v>
      </c>
      <c r="H214" s="351"/>
      <c r="I214" s="351"/>
      <c r="J214" s="356">
        <f t="shared" ref="J214:Y214" si="64">hundred * $H22 * J59 / $H47 * J109 * (1 - J71) / hours_in_year</f>
        <v>4.5266304331609789E-2</v>
      </c>
      <c r="K214" s="356">
        <f t="shared" si="64"/>
        <v>4.5266304331609789E-2</v>
      </c>
      <c r="L214" s="356">
        <f t="shared" si="64"/>
        <v>5.6222478274144713E-2</v>
      </c>
      <c r="M214" s="356">
        <f t="shared" si="64"/>
        <v>5.6222478274144713E-2</v>
      </c>
      <c r="N214" s="356">
        <f t="shared" si="64"/>
        <v>4.567654286209067E-2</v>
      </c>
      <c r="O214" s="356">
        <f t="shared" si="64"/>
        <v>4.2327630860024702E-2</v>
      </c>
      <c r="P214" s="356">
        <f t="shared" si="64"/>
        <v>2.6629830403995185E-2</v>
      </c>
      <c r="Q214" s="356">
        <f t="shared" si="64"/>
        <v>3.9977166205807817E-2</v>
      </c>
      <c r="R214" s="356">
        <f t="shared" si="64"/>
        <v>-3.4308266046101633E-2</v>
      </c>
      <c r="S214" s="356">
        <f t="shared" si="64"/>
        <v>-3.2703922669845072E-2</v>
      </c>
      <c r="T214" s="356">
        <f t="shared" si="64"/>
        <v>-3.4308266046101633E-2</v>
      </c>
      <c r="U214" s="356">
        <f t="shared" si="64"/>
        <v>-3.4308266046101633E-2</v>
      </c>
      <c r="V214" s="356">
        <f t="shared" si="64"/>
        <v>-3.2703922669845072E-2</v>
      </c>
      <c r="W214" s="356">
        <f t="shared" si="64"/>
        <v>-3.2703922669845072E-2</v>
      </c>
      <c r="X214" s="356">
        <f t="shared" si="64"/>
        <v>-2.2595987173076662E-2</v>
      </c>
      <c r="Y214" s="356">
        <f t="shared" si="64"/>
        <v>-2.2595987173076662E-2</v>
      </c>
      <c r="Z214" s="351"/>
      <c r="AA214" s="351"/>
    </row>
    <row r="215" spans="3:27" x14ac:dyDescent="0.25">
      <c r="E215" s="96"/>
      <c r="F215" s="415" t="s">
        <v>47</v>
      </c>
      <c r="G215" s="295" t="s">
        <v>183</v>
      </c>
      <c r="H215" s="351"/>
      <c r="I215" s="351"/>
      <c r="J215" s="356">
        <f t="shared" ref="J215:Y215" si="65">hundred * $H23 * J60 / $H48 * J110 * (1 - J72) / hours_in_year</f>
        <v>3.5627525405006973E-3</v>
      </c>
      <c r="K215" s="356">
        <f t="shared" si="65"/>
        <v>3.5627525405006973E-3</v>
      </c>
      <c r="L215" s="356">
        <f t="shared" si="65"/>
        <v>4.4250746833020931E-3</v>
      </c>
      <c r="M215" s="356">
        <f t="shared" si="65"/>
        <v>4.4250746833020931E-3</v>
      </c>
      <c r="N215" s="356">
        <f t="shared" si="65"/>
        <v>3.5950409808375729E-3</v>
      </c>
      <c r="O215" s="356">
        <f t="shared" si="65"/>
        <v>3.3314598266115129E-3</v>
      </c>
      <c r="P215" s="356">
        <f t="shared" si="65"/>
        <v>2.545267322366949E-3</v>
      </c>
      <c r="Q215" s="356">
        <f t="shared" si="65"/>
        <v>3.1464629720677545E-3</v>
      </c>
      <c r="R215" s="356">
        <f t="shared" si="65"/>
        <v>-2.7002836617825458E-3</v>
      </c>
      <c r="S215" s="356">
        <f t="shared" si="65"/>
        <v>-2.5740114042171742E-3</v>
      </c>
      <c r="T215" s="356">
        <f t="shared" si="65"/>
        <v>-2.7002836617825458E-3</v>
      </c>
      <c r="U215" s="356">
        <f t="shared" si="65"/>
        <v>-2.7002836617825458E-3</v>
      </c>
      <c r="V215" s="356">
        <f t="shared" si="65"/>
        <v>-2.5740114042171742E-3</v>
      </c>
      <c r="W215" s="356">
        <f t="shared" si="65"/>
        <v>-2.5740114042171742E-3</v>
      </c>
      <c r="X215" s="356">
        <f t="shared" si="65"/>
        <v>-2.1597143840475343E-3</v>
      </c>
      <c r="Y215" s="356">
        <f t="shared" si="65"/>
        <v>-2.1597143840475343E-3</v>
      </c>
      <c r="Z215" s="351"/>
      <c r="AA215" s="351"/>
    </row>
    <row r="216" spans="3:27" x14ac:dyDescent="0.25">
      <c r="E216" s="96"/>
      <c r="F216" s="415" t="s">
        <v>51</v>
      </c>
      <c r="G216" s="295" t="s">
        <v>183</v>
      </c>
      <c r="H216" s="351"/>
      <c r="I216" s="351"/>
      <c r="J216" s="356">
        <f t="shared" ref="J216:Y216" si="66">hundred * $H24 * J61 / $H49 * J111 * (1 - J73) / hours_in_year</f>
        <v>0</v>
      </c>
      <c r="K216" s="356">
        <f t="shared" si="66"/>
        <v>0</v>
      </c>
      <c r="L216" s="356">
        <f t="shared" si="66"/>
        <v>0</v>
      </c>
      <c r="M216" s="356">
        <f t="shared" si="66"/>
        <v>0</v>
      </c>
      <c r="N216" s="356">
        <f t="shared" si="66"/>
        <v>0</v>
      </c>
      <c r="O216" s="356">
        <f t="shared" si="66"/>
        <v>0</v>
      </c>
      <c r="P216" s="356">
        <f t="shared" si="66"/>
        <v>0</v>
      </c>
      <c r="Q216" s="356">
        <f t="shared" si="66"/>
        <v>0</v>
      </c>
      <c r="R216" s="356">
        <f t="shared" si="66"/>
        <v>0</v>
      </c>
      <c r="S216" s="356">
        <f t="shared" si="66"/>
        <v>0</v>
      </c>
      <c r="T216" s="356">
        <f t="shared" si="66"/>
        <v>0</v>
      </c>
      <c r="U216" s="356">
        <f t="shared" si="66"/>
        <v>0</v>
      </c>
      <c r="V216" s="356">
        <f t="shared" si="66"/>
        <v>0</v>
      </c>
      <c r="W216" s="356">
        <f t="shared" si="66"/>
        <v>0</v>
      </c>
      <c r="X216" s="356">
        <f t="shared" si="66"/>
        <v>0</v>
      </c>
      <c r="Y216" s="356">
        <f t="shared" si="66"/>
        <v>0</v>
      </c>
      <c r="Z216" s="351"/>
      <c r="AA216" s="351"/>
    </row>
    <row r="217" spans="3:27" x14ac:dyDescent="0.25">
      <c r="E217" s="96"/>
      <c r="F217" s="415" t="s">
        <v>48</v>
      </c>
      <c r="G217" s="295" t="s">
        <v>183</v>
      </c>
      <c r="H217" s="351"/>
      <c r="I217" s="351"/>
      <c r="J217" s="356">
        <f t="shared" ref="J217:Y217" si="67">hundred * $H25 * J62 / $H50 * J112 * (1 - J74) / hours_in_year</f>
        <v>1.9698282325737788E-2</v>
      </c>
      <c r="K217" s="356">
        <f t="shared" si="67"/>
        <v>1.9698282325737788E-2</v>
      </c>
      <c r="L217" s="356">
        <f t="shared" si="67"/>
        <v>2.4466018740641832E-2</v>
      </c>
      <c r="M217" s="356">
        <f t="shared" si="67"/>
        <v>2.4466018740641832E-2</v>
      </c>
      <c r="N217" s="356">
        <f t="shared" si="67"/>
        <v>1.9876803513045438E-2</v>
      </c>
      <c r="O217" s="356">
        <f t="shared" si="67"/>
        <v>1.8419476367063221E-2</v>
      </c>
      <c r="P217" s="356">
        <f t="shared" si="67"/>
        <v>6.4782170352630855E-3</v>
      </c>
      <c r="Q217" s="356">
        <f t="shared" si="67"/>
        <v>1.7396637921577397E-2</v>
      </c>
      <c r="R217" s="356">
        <f t="shared" si="67"/>
        <v>-1.492973461521814E-2</v>
      </c>
      <c r="S217" s="356">
        <f t="shared" si="67"/>
        <v>-1.4231581557671969E-2</v>
      </c>
      <c r="T217" s="356">
        <f t="shared" si="67"/>
        <v>-1.492973461521814E-2</v>
      </c>
      <c r="U217" s="356">
        <f t="shared" si="67"/>
        <v>-1.492973461521814E-2</v>
      </c>
      <c r="V217" s="356">
        <f t="shared" si="67"/>
        <v>-1.4231581557671969E-2</v>
      </c>
      <c r="W217" s="356">
        <f t="shared" si="67"/>
        <v>-1.4231581557671969E-2</v>
      </c>
      <c r="X217" s="356">
        <f t="shared" si="67"/>
        <v>0</v>
      </c>
      <c r="Y217" s="356">
        <f t="shared" si="67"/>
        <v>0</v>
      </c>
      <c r="Z217" s="351"/>
      <c r="AA217" s="351"/>
    </row>
    <row r="218" spans="3:27" x14ac:dyDescent="0.25">
      <c r="E218" s="96"/>
      <c r="F218" s="415" t="s">
        <v>49</v>
      </c>
      <c r="G218" s="295" t="s">
        <v>183</v>
      </c>
      <c r="H218" s="351"/>
      <c r="I218" s="351"/>
      <c r="J218" s="356">
        <f t="shared" ref="J218:Y218" si="68">hundred * $H26 * J63 / $H51 * J113 * (1 - J75) / hours_in_year</f>
        <v>3.3055707416122723E-3</v>
      </c>
      <c r="K218" s="356">
        <f t="shared" si="68"/>
        <v>3.3055707416122723E-3</v>
      </c>
      <c r="L218" s="356">
        <f t="shared" si="68"/>
        <v>4.1056450697294026E-3</v>
      </c>
      <c r="M218" s="356">
        <f t="shared" si="68"/>
        <v>4.1056450697294026E-3</v>
      </c>
      <c r="N218" s="356">
        <f t="shared" si="68"/>
        <v>3.3355284000397278E-3</v>
      </c>
      <c r="O218" s="356">
        <f t="shared" si="68"/>
        <v>3.0909741848520488E-3</v>
      </c>
      <c r="P218" s="356">
        <f t="shared" si="68"/>
        <v>0</v>
      </c>
      <c r="Q218" s="356">
        <f t="shared" si="68"/>
        <v>2.9193315622678241E-3</v>
      </c>
      <c r="R218" s="356">
        <f t="shared" si="68"/>
        <v>-2.5053602698961526E-3</v>
      </c>
      <c r="S218" s="356">
        <f t="shared" si="68"/>
        <v>0</v>
      </c>
      <c r="T218" s="356">
        <f t="shared" si="68"/>
        <v>-2.5053602698961526E-3</v>
      </c>
      <c r="U218" s="356">
        <f t="shared" si="68"/>
        <v>-2.5053602698961526E-3</v>
      </c>
      <c r="V218" s="356">
        <f t="shared" si="68"/>
        <v>0</v>
      </c>
      <c r="W218" s="356">
        <f t="shared" si="68"/>
        <v>0</v>
      </c>
      <c r="X218" s="356">
        <f t="shared" si="68"/>
        <v>0</v>
      </c>
      <c r="Y218" s="356">
        <f t="shared" si="68"/>
        <v>0</v>
      </c>
      <c r="Z218" s="351"/>
      <c r="AA218" s="351"/>
    </row>
    <row r="219" spans="3:27" x14ac:dyDescent="0.25">
      <c r="E219" s="96"/>
      <c r="F219" s="417" t="s">
        <v>50</v>
      </c>
      <c r="G219" s="93" t="s">
        <v>183</v>
      </c>
      <c r="H219" s="353"/>
      <c r="I219" s="353"/>
      <c r="J219" s="357">
        <f t="shared" ref="J219:Y219" si="69">hundred * $H27 * J64 / $H52 * J114 * (1 - J76) / hours_in_year</f>
        <v>4.8356831820279845E-4</v>
      </c>
      <c r="K219" s="357">
        <f t="shared" si="69"/>
        <v>4.8356831820279845E-4</v>
      </c>
      <c r="L219" s="357">
        <f t="shared" si="69"/>
        <v>6.0061031413241237E-4</v>
      </c>
      <c r="M219" s="357">
        <f t="shared" si="69"/>
        <v>6.0061031413241237E-4</v>
      </c>
      <c r="N219" s="357">
        <f t="shared" si="69"/>
        <v>4.879507911962497E-4</v>
      </c>
      <c r="O219" s="357">
        <f t="shared" si="69"/>
        <v>0</v>
      </c>
      <c r="P219" s="357">
        <f t="shared" si="69"/>
        <v>0</v>
      </c>
      <c r="Q219" s="357">
        <f t="shared" si="69"/>
        <v>4.2706581228803275E-4</v>
      </c>
      <c r="R219" s="357">
        <f t="shared" si="69"/>
        <v>0</v>
      </c>
      <c r="S219" s="357">
        <f t="shared" si="69"/>
        <v>0</v>
      </c>
      <c r="T219" s="357">
        <f t="shared" si="69"/>
        <v>0</v>
      </c>
      <c r="U219" s="357">
        <f t="shared" si="69"/>
        <v>0</v>
      </c>
      <c r="V219" s="357">
        <f t="shared" si="69"/>
        <v>0</v>
      </c>
      <c r="W219" s="357">
        <f t="shared" si="69"/>
        <v>0</v>
      </c>
      <c r="X219" s="357">
        <f t="shared" si="69"/>
        <v>0</v>
      </c>
      <c r="Y219" s="357">
        <f t="shared" si="69"/>
        <v>0</v>
      </c>
      <c r="Z219" s="351"/>
      <c r="AA219" s="351"/>
    </row>
    <row r="220" spans="3:27" x14ac:dyDescent="0.25">
      <c r="E220" s="96"/>
      <c r="F220" s="415"/>
      <c r="J220" s="238"/>
      <c r="K220" s="238"/>
      <c r="L220" s="238"/>
      <c r="M220" s="238"/>
      <c r="N220" s="238"/>
      <c r="O220" s="238"/>
      <c r="P220" s="238"/>
      <c r="Q220" s="238"/>
      <c r="R220" s="238"/>
      <c r="S220" s="238"/>
      <c r="T220" s="238"/>
      <c r="U220" s="238"/>
      <c r="V220" s="238"/>
      <c r="W220" s="238"/>
      <c r="X220" s="238"/>
      <c r="Y220" s="238"/>
    </row>
    <row r="221" spans="3:27" x14ac:dyDescent="0.25">
      <c r="E221" s="96" t="s">
        <v>116</v>
      </c>
      <c r="J221" s="238"/>
      <c r="K221" s="238"/>
      <c r="L221" s="238"/>
      <c r="M221" s="238"/>
      <c r="N221" s="238"/>
      <c r="O221" s="238"/>
      <c r="P221" s="238"/>
      <c r="Q221" s="238"/>
      <c r="R221" s="238"/>
      <c r="S221" s="238"/>
      <c r="T221" s="238"/>
      <c r="U221" s="238"/>
      <c r="V221" s="238"/>
      <c r="W221" s="238"/>
      <c r="X221" s="238"/>
      <c r="Y221" s="238"/>
    </row>
    <row r="222" spans="3:27" x14ac:dyDescent="0.25">
      <c r="C222" s="96"/>
      <c r="E222" s="96"/>
      <c r="F222" s="414" t="s">
        <v>324</v>
      </c>
      <c r="G222" s="91" t="s">
        <v>183</v>
      </c>
      <c r="H222" s="349"/>
      <c r="I222" s="349"/>
      <c r="J222" s="355">
        <f t="shared" ref="J222:Y222" si="70">hundred * $H30 * J55 / $H43 * J105 / hours_in_year</f>
        <v>2.1011197368417302E-2</v>
      </c>
      <c r="K222" s="355">
        <f t="shared" si="70"/>
        <v>2.1011197368417302E-2</v>
      </c>
      <c r="L222" s="355">
        <f t="shared" si="70"/>
        <v>2.6096709351523025E-2</v>
      </c>
      <c r="M222" s="355">
        <f t="shared" si="70"/>
        <v>2.6096709351523025E-2</v>
      </c>
      <c r="N222" s="355">
        <f t="shared" si="70"/>
        <v>2.1201617215129729E-2</v>
      </c>
      <c r="O222" s="355">
        <f t="shared" si="70"/>
        <v>1.9647157400398768E-2</v>
      </c>
      <c r="P222" s="355">
        <f t="shared" si="70"/>
        <v>1.7518792952337197E-2</v>
      </c>
      <c r="Q222" s="355">
        <f t="shared" si="70"/>
        <v>1.8556145499019551E-2</v>
      </c>
      <c r="R222" s="355">
        <f t="shared" si="70"/>
        <v>-1.5924820015833081E-2</v>
      </c>
      <c r="S222" s="355">
        <f t="shared" si="70"/>
        <v>-1.5180134187754549E-2</v>
      </c>
      <c r="T222" s="355">
        <f t="shared" si="70"/>
        <v>-1.5924820015833081E-2</v>
      </c>
      <c r="U222" s="355">
        <f t="shared" si="70"/>
        <v>-1.5924820015833081E-2</v>
      </c>
      <c r="V222" s="355">
        <f t="shared" si="70"/>
        <v>-1.5180134187754549E-2</v>
      </c>
      <c r="W222" s="355">
        <f t="shared" si="70"/>
        <v>-1.5180134187754549E-2</v>
      </c>
      <c r="X222" s="355">
        <f t="shared" si="70"/>
        <v>-1.48650747989521E-2</v>
      </c>
      <c r="Y222" s="355">
        <f t="shared" si="70"/>
        <v>-1.48650747989521E-2</v>
      </c>
      <c r="Z222" s="351"/>
      <c r="AA222" s="351"/>
    </row>
    <row r="223" spans="3:27" x14ac:dyDescent="0.25">
      <c r="C223" s="96"/>
      <c r="E223" s="96"/>
      <c r="F223" s="415" t="s">
        <v>43</v>
      </c>
      <c r="G223" s="295" t="s">
        <v>183</v>
      </c>
      <c r="H223" s="351"/>
      <c r="I223" s="351"/>
      <c r="J223" s="356">
        <f t="shared" ref="J223:Y223" si="71">hundred * $H31 * J56 / $H44 * J106 / hours_in_year</f>
        <v>0</v>
      </c>
      <c r="K223" s="356">
        <f t="shared" si="71"/>
        <v>0</v>
      </c>
      <c r="L223" s="356">
        <f t="shared" si="71"/>
        <v>0</v>
      </c>
      <c r="M223" s="356">
        <f t="shared" si="71"/>
        <v>0</v>
      </c>
      <c r="N223" s="356">
        <f t="shared" si="71"/>
        <v>0</v>
      </c>
      <c r="O223" s="356">
        <f t="shared" si="71"/>
        <v>0</v>
      </c>
      <c r="P223" s="356">
        <f t="shared" si="71"/>
        <v>0</v>
      </c>
      <c r="Q223" s="356">
        <f t="shared" si="71"/>
        <v>0</v>
      </c>
      <c r="R223" s="356">
        <f t="shared" si="71"/>
        <v>0</v>
      </c>
      <c r="S223" s="356">
        <f t="shared" si="71"/>
        <v>0</v>
      </c>
      <c r="T223" s="356">
        <f t="shared" si="71"/>
        <v>0</v>
      </c>
      <c r="U223" s="356">
        <f t="shared" si="71"/>
        <v>0</v>
      </c>
      <c r="V223" s="356">
        <f t="shared" si="71"/>
        <v>0</v>
      </c>
      <c r="W223" s="356">
        <f t="shared" si="71"/>
        <v>0</v>
      </c>
      <c r="X223" s="356">
        <f t="shared" si="71"/>
        <v>0</v>
      </c>
      <c r="Y223" s="356">
        <f t="shared" si="71"/>
        <v>0</v>
      </c>
      <c r="Z223" s="351"/>
      <c r="AA223" s="351"/>
    </row>
    <row r="224" spans="3:27" x14ac:dyDescent="0.25">
      <c r="C224" s="96"/>
      <c r="E224" s="96"/>
      <c r="F224" s="415" t="s">
        <v>44</v>
      </c>
      <c r="G224" s="295" t="s">
        <v>183</v>
      </c>
      <c r="H224" s="351"/>
      <c r="I224" s="351"/>
      <c r="J224" s="356">
        <f t="shared" ref="J224:Y224" si="72">hundred * $H32 * J57 / $H45 * J107 / hours_in_year</f>
        <v>1.7973318686642932E-2</v>
      </c>
      <c r="K224" s="356">
        <f t="shared" si="72"/>
        <v>1.7973318686642932E-2</v>
      </c>
      <c r="L224" s="356">
        <f t="shared" si="72"/>
        <v>2.2323548040753548E-2</v>
      </c>
      <c r="M224" s="356">
        <f t="shared" si="72"/>
        <v>2.2323548040753548E-2</v>
      </c>
      <c r="N224" s="356">
        <f t="shared" si="72"/>
        <v>1.8136206909013766E-2</v>
      </c>
      <c r="O224" s="356">
        <f t="shared" si="72"/>
        <v>1.6806496795598931E-2</v>
      </c>
      <c r="P224" s="356">
        <f t="shared" si="72"/>
        <v>1.4985859359493932E-2</v>
      </c>
      <c r="Q224" s="356">
        <f t="shared" si="72"/>
        <v>1.5873227536804379E-2</v>
      </c>
      <c r="R224" s="356">
        <f t="shared" si="72"/>
        <v>-1.3622349081458282E-2</v>
      </c>
      <c r="S224" s="356">
        <f t="shared" si="72"/>
        <v>-1.2985332757505193E-2</v>
      </c>
      <c r="T224" s="356">
        <f t="shared" si="72"/>
        <v>-1.3622349081458282E-2</v>
      </c>
      <c r="U224" s="356">
        <f t="shared" si="72"/>
        <v>-1.3622349081458282E-2</v>
      </c>
      <c r="V224" s="356">
        <f t="shared" si="72"/>
        <v>-1.2985332757505193E-2</v>
      </c>
      <c r="W224" s="356">
        <f t="shared" si="72"/>
        <v>-1.2985332757505193E-2</v>
      </c>
      <c r="X224" s="356">
        <f t="shared" si="72"/>
        <v>-1.271582585121735E-2</v>
      </c>
      <c r="Y224" s="356">
        <f t="shared" si="72"/>
        <v>-1.271582585121735E-2</v>
      </c>
      <c r="Z224" s="351"/>
      <c r="AA224" s="351"/>
    </row>
    <row r="225" spans="2:27" x14ac:dyDescent="0.25">
      <c r="C225" s="96"/>
      <c r="E225" s="96"/>
      <c r="F225" s="415" t="s">
        <v>45</v>
      </c>
      <c r="G225" s="295" t="s">
        <v>183</v>
      </c>
      <c r="H225" s="351"/>
      <c r="I225" s="351"/>
      <c r="J225" s="356">
        <f t="shared" ref="J225:Y225" si="73">hundred * $H33 * J58 / $H46 * J108 / hours_in_year</f>
        <v>2.3467142712115339E-3</v>
      </c>
      <c r="K225" s="356">
        <f t="shared" si="73"/>
        <v>2.3467142712115339E-3</v>
      </c>
      <c r="L225" s="356">
        <f t="shared" si="73"/>
        <v>2.9147087237842498E-3</v>
      </c>
      <c r="M225" s="356">
        <f t="shared" si="73"/>
        <v>2.9147087237842498E-3</v>
      </c>
      <c r="N225" s="356">
        <f t="shared" si="73"/>
        <v>2.3679820249699977E-3</v>
      </c>
      <c r="O225" s="356">
        <f t="shared" si="73"/>
        <v>2.1943663586521298E-3</v>
      </c>
      <c r="P225" s="356">
        <f t="shared" si="73"/>
        <v>1.9566520039189248E-3</v>
      </c>
      <c r="Q225" s="356">
        <f t="shared" si="73"/>
        <v>2.0725126082858274E-3</v>
      </c>
      <c r="R225" s="356">
        <f t="shared" si="73"/>
        <v>-1.7786231666075489E-3</v>
      </c>
      <c r="S225" s="356">
        <f t="shared" si="73"/>
        <v>-1.6954501408309364E-3</v>
      </c>
      <c r="T225" s="356">
        <f t="shared" si="73"/>
        <v>-1.7786231666075489E-3</v>
      </c>
      <c r="U225" s="356">
        <f t="shared" si="73"/>
        <v>-1.7786231666075489E-3</v>
      </c>
      <c r="V225" s="356">
        <f t="shared" si="73"/>
        <v>-1.6954501408309364E-3</v>
      </c>
      <c r="W225" s="356">
        <f t="shared" si="73"/>
        <v>-1.6954501408309364E-3</v>
      </c>
      <c r="X225" s="356">
        <f t="shared" si="73"/>
        <v>-1.6602615530023701E-3</v>
      </c>
      <c r="Y225" s="356">
        <f t="shared" si="73"/>
        <v>-1.6602615530023701E-3</v>
      </c>
      <c r="Z225" s="351"/>
      <c r="AA225" s="351"/>
    </row>
    <row r="226" spans="2:27" x14ac:dyDescent="0.25">
      <c r="C226" s="96"/>
      <c r="E226" s="96"/>
      <c r="F226" s="415" t="s">
        <v>46</v>
      </c>
      <c r="G226" s="295" t="s">
        <v>183</v>
      </c>
      <c r="H226" s="351"/>
      <c r="I226" s="351"/>
      <c r="J226" s="356">
        <f t="shared" ref="J226:Y226" si="74">hundred * $H34 * J59 / $H47 * J109 / hours_in_year</f>
        <v>2.3956913254974073E-2</v>
      </c>
      <c r="K226" s="356">
        <f t="shared" si="74"/>
        <v>2.3956913254974073E-2</v>
      </c>
      <c r="L226" s="356">
        <f t="shared" si="74"/>
        <v>2.975540095180219E-2</v>
      </c>
      <c r="M226" s="356">
        <f t="shared" si="74"/>
        <v>2.975540095180219E-2</v>
      </c>
      <c r="N226" s="356">
        <f t="shared" si="74"/>
        <v>2.4174029474946013E-2</v>
      </c>
      <c r="O226" s="356">
        <f t="shared" si="74"/>
        <v>2.2401638388094877E-2</v>
      </c>
      <c r="P226" s="356">
        <f t="shared" si="74"/>
        <v>1.9974882712865006E-2</v>
      </c>
      <c r="Q226" s="356">
        <f t="shared" si="74"/>
        <v>2.1157669421301296E-2</v>
      </c>
      <c r="R226" s="356">
        <f t="shared" si="74"/>
        <v>-1.8157438866089982E-2</v>
      </c>
      <c r="S226" s="356">
        <f t="shared" si="74"/>
        <v>-1.7308349998251243E-2</v>
      </c>
      <c r="T226" s="356">
        <f t="shared" si="74"/>
        <v>-1.8157438866089982E-2</v>
      </c>
      <c r="U226" s="356">
        <f t="shared" si="74"/>
        <v>-1.8157438866089982E-2</v>
      </c>
      <c r="V226" s="356">
        <f t="shared" si="74"/>
        <v>-1.7308349998251243E-2</v>
      </c>
      <c r="W226" s="356">
        <f t="shared" si="74"/>
        <v>-1.7308349998251243E-2</v>
      </c>
      <c r="X226" s="356">
        <f t="shared" si="74"/>
        <v>-1.6949120092627161E-2</v>
      </c>
      <c r="Y226" s="356">
        <f t="shared" si="74"/>
        <v>-1.6949120092627161E-2</v>
      </c>
      <c r="Z226" s="351"/>
      <c r="AA226" s="351"/>
    </row>
    <row r="227" spans="2:27" x14ac:dyDescent="0.25">
      <c r="C227" s="96"/>
      <c r="E227" s="96"/>
      <c r="F227" s="415" t="s">
        <v>47</v>
      </c>
      <c r="G227" s="295" t="s">
        <v>183</v>
      </c>
      <c r="H227" s="351"/>
      <c r="I227" s="351"/>
      <c r="J227" s="356">
        <f t="shared" ref="J227:Y227" si="75">hundred * $H35 * J60 / $H48 * J110 / hours_in_year</f>
        <v>1.8855648770538436E-3</v>
      </c>
      <c r="K227" s="356">
        <f t="shared" si="75"/>
        <v>1.8855648770538436E-3</v>
      </c>
      <c r="L227" s="356">
        <f t="shared" si="75"/>
        <v>2.341943569283648E-3</v>
      </c>
      <c r="M227" s="356">
        <f t="shared" si="75"/>
        <v>2.341943569283648E-3</v>
      </c>
      <c r="N227" s="356">
        <f t="shared" si="75"/>
        <v>1.9026533355818967E-3</v>
      </c>
      <c r="O227" s="356">
        <f t="shared" si="75"/>
        <v>1.7631546302937307E-3</v>
      </c>
      <c r="P227" s="356">
        <f t="shared" si="75"/>
        <v>1.5721531762372704E-3</v>
      </c>
      <c r="Q227" s="356">
        <f t="shared" si="75"/>
        <v>1.6652461824496019E-3</v>
      </c>
      <c r="R227" s="356">
        <f t="shared" si="75"/>
        <v>-1.4291085257422782E-3</v>
      </c>
      <c r="S227" s="356">
        <f t="shared" si="75"/>
        <v>-1.3622797097903013E-3</v>
      </c>
      <c r="T227" s="356">
        <f t="shared" si="75"/>
        <v>-1.4291085257422782E-3</v>
      </c>
      <c r="U227" s="356">
        <f t="shared" si="75"/>
        <v>-1.4291085257422782E-3</v>
      </c>
      <c r="V227" s="356">
        <f t="shared" si="75"/>
        <v>-1.3622797097903013E-3</v>
      </c>
      <c r="W227" s="356">
        <f t="shared" si="75"/>
        <v>-1.3622797097903013E-3</v>
      </c>
      <c r="X227" s="356">
        <f t="shared" si="75"/>
        <v>-1.3340059799644647E-3</v>
      </c>
      <c r="Y227" s="356">
        <f t="shared" si="75"/>
        <v>-1.3340059799644647E-3</v>
      </c>
      <c r="Z227" s="351"/>
      <c r="AA227" s="351"/>
    </row>
    <row r="228" spans="2:27" x14ac:dyDescent="0.25">
      <c r="C228" s="96"/>
      <c r="E228" s="96"/>
      <c r="F228" s="415" t="s">
        <v>51</v>
      </c>
      <c r="G228" s="295" t="s">
        <v>183</v>
      </c>
      <c r="H228" s="351"/>
      <c r="I228" s="351"/>
      <c r="J228" s="356">
        <f t="shared" ref="J228:Y228" si="76">hundred * $H36 * J61 / $H49 * J111 / hours_in_year</f>
        <v>0</v>
      </c>
      <c r="K228" s="356">
        <f t="shared" si="76"/>
        <v>0</v>
      </c>
      <c r="L228" s="356">
        <f t="shared" si="76"/>
        <v>0</v>
      </c>
      <c r="M228" s="356">
        <f t="shared" si="76"/>
        <v>0</v>
      </c>
      <c r="N228" s="356">
        <f t="shared" si="76"/>
        <v>0</v>
      </c>
      <c r="O228" s="356">
        <f t="shared" si="76"/>
        <v>0</v>
      </c>
      <c r="P228" s="356">
        <f t="shared" si="76"/>
        <v>0</v>
      </c>
      <c r="Q228" s="356">
        <f t="shared" si="76"/>
        <v>0</v>
      </c>
      <c r="R228" s="356">
        <f t="shared" si="76"/>
        <v>0</v>
      </c>
      <c r="S228" s="356">
        <f t="shared" si="76"/>
        <v>0</v>
      </c>
      <c r="T228" s="356">
        <f t="shared" si="76"/>
        <v>0</v>
      </c>
      <c r="U228" s="356">
        <f t="shared" si="76"/>
        <v>0</v>
      </c>
      <c r="V228" s="356">
        <f t="shared" si="76"/>
        <v>0</v>
      </c>
      <c r="W228" s="356">
        <f t="shared" si="76"/>
        <v>0</v>
      </c>
      <c r="X228" s="356">
        <f t="shared" si="76"/>
        <v>0</v>
      </c>
      <c r="Y228" s="356">
        <f t="shared" si="76"/>
        <v>0</v>
      </c>
      <c r="Z228" s="351"/>
      <c r="AA228" s="351"/>
    </row>
    <row r="229" spans="2:27" x14ac:dyDescent="0.25">
      <c r="C229" s="96"/>
      <c r="E229" s="96"/>
      <c r="F229" s="415" t="s">
        <v>48</v>
      </c>
      <c r="G229" s="295" t="s">
        <v>183</v>
      </c>
      <c r="H229" s="351"/>
      <c r="I229" s="351"/>
      <c r="J229" s="356">
        <f t="shared" ref="J229:Y229" si="77">hundred * $H37 * J62 / $H50 * J112 / hours_in_year</f>
        <v>1.5475714058644832E-2</v>
      </c>
      <c r="K229" s="356">
        <f t="shared" si="77"/>
        <v>1.5475714058644832E-2</v>
      </c>
      <c r="L229" s="356">
        <f t="shared" si="77"/>
        <v>1.9221427732757274E-2</v>
      </c>
      <c r="M229" s="356">
        <f t="shared" si="77"/>
        <v>1.9221427732757274E-2</v>
      </c>
      <c r="N229" s="356">
        <f t="shared" si="77"/>
        <v>1.5615967041239822E-2</v>
      </c>
      <c r="O229" s="356">
        <f t="shared" si="77"/>
        <v>1.4471035832103194E-2</v>
      </c>
      <c r="P229" s="356">
        <f t="shared" si="77"/>
        <v>1.2903397442284605E-2</v>
      </c>
      <c r="Q229" s="356">
        <f t="shared" si="77"/>
        <v>1.3667455344791107E-2</v>
      </c>
      <c r="R229" s="356">
        <f t="shared" si="77"/>
        <v>-1.1729363000076404E-2</v>
      </c>
      <c r="S229" s="356">
        <f t="shared" si="77"/>
        <v>-1.1180867607986502E-2</v>
      </c>
      <c r="T229" s="356">
        <f t="shared" si="77"/>
        <v>-1.1729363000076404E-2</v>
      </c>
      <c r="U229" s="356">
        <f t="shared" si="77"/>
        <v>-1.1729363000076404E-2</v>
      </c>
      <c r="V229" s="356">
        <f t="shared" si="77"/>
        <v>-1.1180867607986502E-2</v>
      </c>
      <c r="W229" s="356">
        <f t="shared" si="77"/>
        <v>-1.1180867607986502E-2</v>
      </c>
      <c r="X229" s="356">
        <f t="shared" si="77"/>
        <v>0</v>
      </c>
      <c r="Y229" s="356">
        <f t="shared" si="77"/>
        <v>0</v>
      </c>
      <c r="Z229" s="351"/>
      <c r="AA229" s="351"/>
    </row>
    <row r="230" spans="2:27" x14ac:dyDescent="0.25">
      <c r="C230" s="96"/>
      <c r="E230" s="96"/>
      <c r="F230" s="415" t="s">
        <v>49</v>
      </c>
      <c r="G230" s="295" t="s">
        <v>183</v>
      </c>
      <c r="H230" s="351"/>
      <c r="I230" s="351"/>
      <c r="J230" s="356">
        <f t="shared" ref="J230:Y230" si="78">hundred * $H38 * J63 / $H51 * J113 / hours_in_year</f>
        <v>6.0529019344411983E-3</v>
      </c>
      <c r="K230" s="356">
        <f t="shared" si="78"/>
        <v>6.0529019344411983E-3</v>
      </c>
      <c r="L230" s="356">
        <f t="shared" si="78"/>
        <v>7.5179353059535827E-3</v>
      </c>
      <c r="M230" s="356">
        <f t="shared" si="78"/>
        <v>7.5179353059535827E-3</v>
      </c>
      <c r="N230" s="356">
        <f t="shared" si="78"/>
        <v>6.1077580494122647E-3</v>
      </c>
      <c r="O230" s="356">
        <f t="shared" si="78"/>
        <v>5.6599495473732926E-3</v>
      </c>
      <c r="P230" s="356">
        <f t="shared" si="78"/>
        <v>0</v>
      </c>
      <c r="Q230" s="356">
        <f t="shared" si="78"/>
        <v>5.3456510363192279E-3</v>
      </c>
      <c r="R230" s="356">
        <f t="shared" si="78"/>
        <v>-4.5876192674460985E-3</v>
      </c>
      <c r="S230" s="356">
        <f t="shared" si="78"/>
        <v>0</v>
      </c>
      <c r="T230" s="356">
        <f t="shared" si="78"/>
        <v>-4.5876192674460985E-3</v>
      </c>
      <c r="U230" s="356">
        <f t="shared" si="78"/>
        <v>-4.5876192674460985E-3</v>
      </c>
      <c r="V230" s="356">
        <f t="shared" si="78"/>
        <v>0</v>
      </c>
      <c r="W230" s="356">
        <f t="shared" si="78"/>
        <v>0</v>
      </c>
      <c r="X230" s="356">
        <f t="shared" si="78"/>
        <v>0</v>
      </c>
      <c r="Y230" s="356">
        <f t="shared" si="78"/>
        <v>0</v>
      </c>
      <c r="Z230" s="351"/>
      <c r="AA230" s="351"/>
    </row>
    <row r="231" spans="2:27" x14ac:dyDescent="0.25">
      <c r="C231" s="96"/>
      <c r="E231" s="96"/>
      <c r="F231" s="417" t="s">
        <v>50</v>
      </c>
      <c r="G231" s="93" t="s">
        <v>183</v>
      </c>
      <c r="H231" s="353"/>
      <c r="I231" s="353"/>
      <c r="J231" s="357">
        <f t="shared" ref="J231:Y231" si="79">hundred * $H39 * J64 / $H52 * J114 / hours_in_year</f>
        <v>3.7063100189719655E-3</v>
      </c>
      <c r="K231" s="357">
        <f t="shared" si="79"/>
        <v>3.7063100189719655E-3</v>
      </c>
      <c r="L231" s="357">
        <f t="shared" si="79"/>
        <v>4.6033785526728857E-3</v>
      </c>
      <c r="M231" s="357">
        <f t="shared" si="79"/>
        <v>4.6033785526728857E-3</v>
      </c>
      <c r="N231" s="357">
        <f t="shared" si="79"/>
        <v>3.7398994890676693E-3</v>
      </c>
      <c r="O231" s="357">
        <f t="shared" si="79"/>
        <v>0</v>
      </c>
      <c r="P231" s="357">
        <f t="shared" si="79"/>
        <v>0</v>
      </c>
      <c r="Q231" s="357">
        <f t="shared" si="79"/>
        <v>3.2732464871276521E-3</v>
      </c>
      <c r="R231" s="357">
        <f t="shared" si="79"/>
        <v>0</v>
      </c>
      <c r="S231" s="357">
        <f t="shared" si="79"/>
        <v>0</v>
      </c>
      <c r="T231" s="357">
        <f t="shared" si="79"/>
        <v>0</v>
      </c>
      <c r="U231" s="357">
        <f t="shared" si="79"/>
        <v>0</v>
      </c>
      <c r="V231" s="357">
        <f t="shared" si="79"/>
        <v>0</v>
      </c>
      <c r="W231" s="357">
        <f t="shared" si="79"/>
        <v>0</v>
      </c>
      <c r="X231" s="357">
        <f t="shared" si="79"/>
        <v>0</v>
      </c>
      <c r="Y231" s="357">
        <f t="shared" si="79"/>
        <v>0</v>
      </c>
      <c r="Z231" s="351"/>
      <c r="AA231" s="351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910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5" t="s">
        <v>516</v>
      </c>
      <c r="G237" s="122" t="s">
        <v>692</v>
      </c>
      <c r="H237" s="419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5" t="s">
        <v>445</v>
      </c>
      <c r="G239" s="122" t="s">
        <v>692</v>
      </c>
      <c r="H239" s="419">
        <f>SUM(J239:Y239)</f>
        <v>0</v>
      </c>
      <c r="I239" s="133"/>
      <c r="J239" s="419">
        <f t="shared" ref="J239:K239" si="80">IF(ABS(IFERROR(SUM(J152:J231), 1)) &gt; 0, 0, 1)</f>
        <v>0</v>
      </c>
      <c r="K239" s="419">
        <f t="shared" si="80"/>
        <v>0</v>
      </c>
      <c r="L239" s="419">
        <f t="shared" ref="L239:Y239" si="81">IF(ABS(IFERROR(SUM(L152:L231), 1)) &gt; 0, 0, 1)</f>
        <v>0</v>
      </c>
      <c r="M239" s="419">
        <f t="shared" si="81"/>
        <v>0</v>
      </c>
      <c r="N239" s="419">
        <f t="shared" si="81"/>
        <v>0</v>
      </c>
      <c r="O239" s="419">
        <f t="shared" si="81"/>
        <v>0</v>
      </c>
      <c r="P239" s="419">
        <f t="shared" si="81"/>
        <v>0</v>
      </c>
      <c r="Q239" s="419">
        <f t="shared" si="81"/>
        <v>0</v>
      </c>
      <c r="R239" s="419">
        <f t="shared" si="81"/>
        <v>0</v>
      </c>
      <c r="S239" s="419">
        <f t="shared" si="81"/>
        <v>0</v>
      </c>
      <c r="T239" s="419">
        <f t="shared" si="81"/>
        <v>0</v>
      </c>
      <c r="U239" s="419">
        <f t="shared" si="81"/>
        <v>0</v>
      </c>
      <c r="V239" s="419">
        <f t="shared" si="81"/>
        <v>0</v>
      </c>
      <c r="W239" s="419">
        <f t="shared" si="81"/>
        <v>0</v>
      </c>
      <c r="X239" s="419">
        <f t="shared" si="81"/>
        <v>0</v>
      </c>
      <c r="Y239" s="419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5" t="s">
        <v>447</v>
      </c>
      <c r="G241" s="122" t="s">
        <v>692</v>
      </c>
      <c r="H241" s="312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1">
    <cfRule type="cellIs" dxfId="120" priority="20" operator="greaterThan">
      <formula>0</formula>
    </cfRule>
  </conditionalFormatting>
  <conditionalFormatting sqref="H237">
    <cfRule type="cellIs" dxfId="119" priority="19" operator="greaterThan">
      <formula>0</formula>
    </cfRule>
  </conditionalFormatting>
  <conditionalFormatting sqref="H241">
    <cfRule type="cellIs" dxfId="118" priority="18" operator="greaterThan">
      <formula>0</formula>
    </cfRule>
  </conditionalFormatting>
  <conditionalFormatting sqref="A4:I4 Z4:XFD4">
    <cfRule type="expression" dxfId="117" priority="17">
      <formula>LEFT($A$4,1) &lt;&gt; "0"</formula>
    </cfRule>
  </conditionalFormatting>
  <conditionalFormatting sqref="N239:P241">
    <cfRule type="cellIs" dxfId="116" priority="16" operator="greaterThan">
      <formula>0</formula>
    </cfRule>
  </conditionalFormatting>
  <conditionalFormatting sqref="N4:P4">
    <cfRule type="expression" dxfId="115" priority="15">
      <formula>LEFT($A$4,1) &lt;&gt; "0"</formula>
    </cfRule>
  </conditionalFormatting>
  <conditionalFormatting sqref="L239:M241">
    <cfRule type="cellIs" dxfId="114" priority="14" operator="greaterThan">
      <formula>0</formula>
    </cfRule>
  </conditionalFormatting>
  <conditionalFormatting sqref="L4:M4">
    <cfRule type="expression" dxfId="113" priority="13">
      <formula>LEFT($A$4,1) &lt;&gt; "0"</formula>
    </cfRule>
  </conditionalFormatting>
  <conditionalFormatting sqref="J239:K241">
    <cfRule type="cellIs" dxfId="112" priority="12" operator="greaterThan">
      <formula>0</formula>
    </cfRule>
  </conditionalFormatting>
  <conditionalFormatting sqref="J4:K4">
    <cfRule type="expression" dxfId="111" priority="11">
      <formula>LEFT($A$4,1) &lt;&gt; "0"</formula>
    </cfRule>
  </conditionalFormatting>
  <conditionalFormatting sqref="Q239:Q241">
    <cfRule type="cellIs" dxfId="110" priority="10" operator="greaterThan">
      <formula>0</formula>
    </cfRule>
  </conditionalFormatting>
  <conditionalFormatting sqref="Q4">
    <cfRule type="expression" dxfId="109" priority="9">
      <formula>LEFT($A$4,1) &lt;&gt; "0"</formula>
    </cfRule>
  </conditionalFormatting>
  <conditionalFormatting sqref="R239:S241">
    <cfRule type="cellIs" dxfId="108" priority="8" operator="greaterThan">
      <formula>0</formula>
    </cfRule>
  </conditionalFormatting>
  <conditionalFormatting sqref="R4:S4">
    <cfRule type="expression" dxfId="107" priority="7">
      <formula>LEFT($A$4,1) &lt;&gt; "0"</formula>
    </cfRule>
  </conditionalFormatting>
  <conditionalFormatting sqref="T239:U241">
    <cfRule type="cellIs" dxfId="106" priority="6" operator="greaterThan">
      <formula>0</formula>
    </cfRule>
  </conditionalFormatting>
  <conditionalFormatting sqref="T4:U4">
    <cfRule type="expression" dxfId="105" priority="5">
      <formula>LEFT($A$4,1) &lt;&gt; "0"</formula>
    </cfRule>
  </conditionalFormatting>
  <conditionalFormatting sqref="V239:W241">
    <cfRule type="cellIs" dxfId="104" priority="4" operator="greaterThan">
      <formula>0</formula>
    </cfRule>
  </conditionalFormatting>
  <conditionalFormatting sqref="V4:W4">
    <cfRule type="expression" dxfId="103" priority="3">
      <formula>LEFT($A$4,1) &lt;&gt; "0"</formula>
    </cfRule>
  </conditionalFormatting>
  <conditionalFormatting sqref="X239:Y241">
    <cfRule type="cellIs" dxfId="102" priority="2" operator="greaterThan">
      <formula>0</formula>
    </cfRule>
  </conditionalFormatting>
  <conditionalFormatting sqref="X4:Y4">
    <cfRule type="expression" dxfId="101" priority="1">
      <formula>LEFT($A$4,1) &lt;&gt; "0"</formula>
    </cfRule>
  </conditionalFormatting>
  <hyperlinks>
    <hyperlink ref="B5:F5" location="'Model map'!A1" display="Click here to return to model map" xr:uid="{00000000-0004-0000-19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&amp;F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8">
    <tabColor theme="4" tint="0.59999389629810485"/>
    <pageSetUpPr fitToPage="1"/>
  </sheetPr>
  <dimension ref="A1:KZ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450</v>
      </c>
      <c r="D9" s="295"/>
      <c r="F9" s="82"/>
    </row>
    <row r="10" spans="1:27" x14ac:dyDescent="0.25">
      <c r="C10" s="82" t="s">
        <v>451</v>
      </c>
      <c r="D10" s="295"/>
      <c r="E10" s="295"/>
      <c r="F10" s="82"/>
    </row>
    <row r="11" spans="1:27" x14ac:dyDescent="0.25">
      <c r="C11" s="82" t="s">
        <v>479</v>
      </c>
    </row>
    <row r="13" spans="1:27" x14ac:dyDescent="0.25">
      <c r="B13" s="95" t="s">
        <v>770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452</v>
      </c>
    </row>
    <row r="16" spans="1:27" x14ac:dyDescent="0.25">
      <c r="C16" s="86"/>
    </row>
    <row r="17" spans="2:27" x14ac:dyDescent="0.25">
      <c r="C17" s="7" t="str">
        <f ca="1">INDEX('Version control'!$H$34:$H$58,MATCH($A$1,'Version control'!$F$34:$F$58,0),1)&amp;"-A: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5"/>
      <c r="E19" s="14" t="s">
        <v>97</v>
      </c>
      <c r="F19" s="14"/>
      <c r="G19" s="14" t="s">
        <v>94</v>
      </c>
      <c r="H19" s="408">
        <f>'Unit costs'!$H$121</f>
        <v>4.8216791977211342E-2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5" t="s">
        <v>131</v>
      </c>
      <c r="G20" s="295" t="s">
        <v>606</v>
      </c>
      <c r="H20" s="274">
        <f>'Unit costs'!$H$122</f>
        <v>91682115.160996452</v>
      </c>
    </row>
    <row r="21" spans="2:27" x14ac:dyDescent="0.25">
      <c r="C21" s="86"/>
      <c r="E21" s="295" t="s">
        <v>121</v>
      </c>
      <c r="G21" s="295" t="s">
        <v>606</v>
      </c>
      <c r="H21" s="274">
        <f>'Unit costs'!$H$123</f>
        <v>3592778894.1301632</v>
      </c>
    </row>
    <row r="22" spans="2:27" x14ac:dyDescent="0.25">
      <c r="D22" s="86"/>
      <c r="E22" s="295"/>
    </row>
    <row r="23" spans="2:27" x14ac:dyDescent="0.25">
      <c r="D23" s="295"/>
      <c r="E23" s="96" t="s">
        <v>454</v>
      </c>
      <c r="H23" s="90"/>
      <c r="J23" s="90"/>
      <c r="K23" s="90"/>
      <c r="L23" s="90"/>
      <c r="M23" s="90"/>
      <c r="N23" s="90"/>
    </row>
    <row r="24" spans="2:27" x14ac:dyDescent="0.25">
      <c r="D24" s="295"/>
      <c r="E24" s="82" t="s">
        <v>455</v>
      </c>
      <c r="H24" s="90"/>
    </row>
    <row r="25" spans="2:27" x14ac:dyDescent="0.25">
      <c r="E25" s="86"/>
      <c r="F25" s="91" t="s">
        <v>124</v>
      </c>
      <c r="G25" s="91" t="s">
        <v>610</v>
      </c>
      <c r="H25" s="141"/>
      <c r="I25" s="91"/>
      <c r="J25" s="273">
        <f>'Inputs by customer type'!J56</f>
        <v>377.70000000000005</v>
      </c>
      <c r="K25" s="273">
        <f>'Inputs by customer type'!K56</f>
        <v>0</v>
      </c>
      <c r="L25" s="273">
        <f>'Inputs by customer type'!L56</f>
        <v>508.75</v>
      </c>
      <c r="M25" s="273">
        <f>'Inputs by customer type'!M56</f>
        <v>0</v>
      </c>
      <c r="N25" s="273">
        <f>'Inputs by customer type'!N56</f>
        <v>2380</v>
      </c>
      <c r="O25" s="273">
        <f>'Inputs by customer type'!O56</f>
        <v>840</v>
      </c>
      <c r="P25" s="273">
        <f>'Inputs by customer type'!P56</f>
        <v>0</v>
      </c>
      <c r="Q25" s="239"/>
      <c r="R25" s="273">
        <f>'Inputs by customer type'!R56</f>
        <v>0</v>
      </c>
      <c r="S25" s="273">
        <f>'Inputs by customer type'!S56</f>
        <v>0</v>
      </c>
      <c r="T25" s="273">
        <f>'Inputs by customer type'!T56</f>
        <v>0</v>
      </c>
      <c r="U25" s="273">
        <f>'Inputs by customer type'!U56</f>
        <v>0</v>
      </c>
      <c r="V25" s="273">
        <f>'Inputs by customer type'!V56</f>
        <v>0</v>
      </c>
      <c r="W25" s="273">
        <f>'Inputs by customer type'!W56</f>
        <v>0</v>
      </c>
      <c r="X25" s="273">
        <f>'Inputs by customer type'!X56</f>
        <v>0</v>
      </c>
      <c r="Y25" s="273">
        <f>'Inputs by customer type'!Y56</f>
        <v>0</v>
      </c>
    </row>
    <row r="26" spans="2:27" x14ac:dyDescent="0.25">
      <c r="E26" s="86"/>
      <c r="F26" s="295" t="s">
        <v>123</v>
      </c>
      <c r="G26" s="295" t="s">
        <v>610</v>
      </c>
      <c r="H26" s="384"/>
      <c r="J26" s="274">
        <f>'Inputs by customer type'!J57</f>
        <v>0</v>
      </c>
      <c r="K26" s="274">
        <f>'Inputs by customer type'!K57</f>
        <v>0</v>
      </c>
      <c r="L26" s="274">
        <f>'Inputs by customer type'!L57</f>
        <v>0</v>
      </c>
      <c r="M26" s="274">
        <f>'Inputs by customer type'!M57</f>
        <v>0</v>
      </c>
      <c r="N26" s="274">
        <f>'Inputs by customer type'!N57</f>
        <v>0</v>
      </c>
      <c r="O26" s="274">
        <f>'Inputs by customer type'!O57</f>
        <v>0</v>
      </c>
      <c r="P26" s="274">
        <f>'Inputs by customer type'!P57</f>
        <v>12718.10554</v>
      </c>
      <c r="Q26" s="280"/>
      <c r="R26" s="274">
        <f>'Inputs by customer type'!R57</f>
        <v>0</v>
      </c>
      <c r="S26" s="274">
        <f>'Inputs by customer type'!S57</f>
        <v>0</v>
      </c>
      <c r="T26" s="274">
        <f>'Inputs by customer type'!T57</f>
        <v>0</v>
      </c>
      <c r="U26" s="274">
        <f>'Inputs by customer type'!U57</f>
        <v>0</v>
      </c>
      <c r="V26" s="274">
        <f>'Inputs by customer type'!V57</f>
        <v>0</v>
      </c>
      <c r="W26" s="274">
        <f>'Inputs by customer type'!W57</f>
        <v>0</v>
      </c>
      <c r="X26" s="274">
        <f>'Inputs by customer type'!X57</f>
        <v>9287</v>
      </c>
      <c r="Y26" s="274">
        <f>'Inputs by customer type'!Y57</f>
        <v>9287</v>
      </c>
    </row>
    <row r="27" spans="2:27" x14ac:dyDescent="0.25">
      <c r="E27" s="86"/>
      <c r="F27" s="93" t="s">
        <v>453</v>
      </c>
      <c r="G27" s="93" t="s">
        <v>328</v>
      </c>
      <c r="H27" s="93"/>
      <c r="I27" s="93"/>
      <c r="J27" s="241"/>
      <c r="K27" s="241"/>
      <c r="L27" s="241"/>
      <c r="M27" s="241"/>
      <c r="N27" s="241"/>
      <c r="O27" s="241"/>
      <c r="P27" s="241"/>
      <c r="Q27" s="275">
        <f>'Inputs by customer type'!Q59</f>
        <v>120.51</v>
      </c>
      <c r="R27" s="241"/>
      <c r="S27" s="241"/>
      <c r="T27" s="241"/>
      <c r="U27" s="241"/>
      <c r="V27" s="241"/>
      <c r="W27" s="241"/>
      <c r="X27" s="241"/>
      <c r="Y27" s="241"/>
    </row>
    <row r="28" spans="2:27" x14ac:dyDescent="0.25">
      <c r="D28" s="86"/>
      <c r="E28" s="295"/>
    </row>
    <row r="29" spans="2:27" x14ac:dyDescent="0.25">
      <c r="B29" s="95" t="s">
        <v>518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456</v>
      </c>
    </row>
    <row r="32" spans="2:27" x14ac:dyDescent="0.25">
      <c r="C32" s="86"/>
    </row>
    <row r="33" spans="2:27" x14ac:dyDescent="0.25">
      <c r="C33" s="7" t="str">
        <f ca="1">INDEX('Version control'!$H$34:$H$58,MATCH($A$1,'Version control'!$F$34:$F$58,0),1)&amp;"-B: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5"/>
      <c r="E35" s="295" t="s">
        <v>457</v>
      </c>
      <c r="G35" s="295" t="s">
        <v>107</v>
      </c>
      <c r="H35" s="276">
        <f>IF(H21 &lt;&gt; 0, H20  /H21, 0)</f>
        <v>2.5518440700813938E-2</v>
      </c>
      <c r="I35" s="295" t="s">
        <v>431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5" t="s">
        <v>912</v>
      </c>
    </row>
    <row r="36" spans="2:27" x14ac:dyDescent="0.25">
      <c r="D36" s="86"/>
      <c r="E36" s="295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control'!$H$34:$H$58,MATCH($A$1,'Version control'!$F$34:$F$58,0),1)&amp;"-C: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5"/>
      <c r="E39" s="82" t="s">
        <v>914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5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5"/>
      <c r="E41" s="96" t="s">
        <v>769</v>
      </c>
      <c r="H41" s="90"/>
      <c r="I41" s="295" t="s">
        <v>431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5" t="s">
        <v>913</v>
      </c>
    </row>
    <row r="42" spans="2:27" x14ac:dyDescent="0.25">
      <c r="D42" s="295"/>
      <c r="E42" s="86"/>
      <c r="F42" s="91" t="s">
        <v>124</v>
      </c>
      <c r="G42" s="91" t="s">
        <v>309</v>
      </c>
      <c r="H42" s="141"/>
      <c r="I42" s="91"/>
      <c r="J42" s="255">
        <f t="shared" ref="J42:K42" si="0">J25 * $H$35 / days_in_year * hundred</f>
        <v>2.6406342610129934</v>
      </c>
      <c r="K42" s="255">
        <f t="shared" si="0"/>
        <v>0</v>
      </c>
      <c r="L42" s="255">
        <f t="shared" ref="L42:M42" si="1">L25 * $H$35 / days_in_year * hundred</f>
        <v>3.556851152476463</v>
      </c>
      <c r="M42" s="255">
        <f t="shared" si="1"/>
        <v>0</v>
      </c>
      <c r="N42" s="255">
        <f t="shared" ref="N42:P42" si="2">N25 * $H$35 / days_in_year * hundred</f>
        <v>16.639421607654022</v>
      </c>
      <c r="O42" s="255">
        <f t="shared" si="2"/>
        <v>5.8727370379955364</v>
      </c>
      <c r="P42" s="255">
        <f t="shared" si="2"/>
        <v>0</v>
      </c>
      <c r="Q42" s="255">
        <f t="shared" ref="Q42:S42" si="3">Q25 * $H$35 / days_in_year * hundred</f>
        <v>0</v>
      </c>
      <c r="R42" s="255">
        <f t="shared" si="3"/>
        <v>0</v>
      </c>
      <c r="S42" s="255">
        <f t="shared" si="3"/>
        <v>0</v>
      </c>
      <c r="T42" s="255">
        <f t="shared" ref="T42:U42" si="4">T25 * $H$35 / days_in_year * hundred</f>
        <v>0</v>
      </c>
      <c r="U42" s="255">
        <f t="shared" si="4"/>
        <v>0</v>
      </c>
      <c r="V42" s="255">
        <f t="shared" ref="V42:W42" si="5">V25 * $H$35 / days_in_year * hundred</f>
        <v>0</v>
      </c>
      <c r="W42" s="255">
        <f t="shared" si="5"/>
        <v>0</v>
      </c>
      <c r="X42" s="255">
        <f t="shared" ref="X42:Y42" si="6">X25 * $H$35 / days_in_year * hundred</f>
        <v>0</v>
      </c>
      <c r="Y42" s="255">
        <f t="shared" si="6"/>
        <v>0</v>
      </c>
    </row>
    <row r="43" spans="2:27" x14ac:dyDescent="0.25">
      <c r="D43" s="295"/>
      <c r="E43" s="86"/>
      <c r="F43" s="295" t="s">
        <v>123</v>
      </c>
      <c r="G43" s="295" t="s">
        <v>309</v>
      </c>
      <c r="H43" s="384"/>
      <c r="J43" s="257">
        <f t="shared" ref="J43:K43" si="7">J26 * $H$35 / days_in_year * hundred</f>
        <v>0</v>
      </c>
      <c r="K43" s="257">
        <f t="shared" si="7"/>
        <v>0</v>
      </c>
      <c r="L43" s="257">
        <f t="shared" ref="L43:M43" si="8">L26 * $H$35 / days_in_year * hundred</f>
        <v>0</v>
      </c>
      <c r="M43" s="257">
        <f t="shared" si="8"/>
        <v>0</v>
      </c>
      <c r="N43" s="257">
        <f t="shared" ref="N43:P43" si="9">N26 * $H$35 / days_in_year * hundred</f>
        <v>0</v>
      </c>
      <c r="O43" s="257">
        <f t="shared" si="9"/>
        <v>0</v>
      </c>
      <c r="P43" s="257">
        <f t="shared" si="9"/>
        <v>88.916773164159807</v>
      </c>
      <c r="Q43" s="257">
        <f t="shared" ref="Q43:S43" si="10">Q26 * $H$35 / days_in_year * hundred</f>
        <v>0</v>
      </c>
      <c r="R43" s="257">
        <f t="shared" si="10"/>
        <v>0</v>
      </c>
      <c r="S43" s="257">
        <f t="shared" si="10"/>
        <v>0</v>
      </c>
      <c r="T43" s="257">
        <f t="shared" ref="T43:U43" si="11">T26 * $H$35 / days_in_year * hundred</f>
        <v>0</v>
      </c>
      <c r="U43" s="257">
        <f t="shared" si="11"/>
        <v>0</v>
      </c>
      <c r="V43" s="257">
        <f t="shared" ref="V43:W43" si="12">V26 * $H$35 / days_in_year * hundred</f>
        <v>0</v>
      </c>
      <c r="W43" s="257">
        <f t="shared" si="12"/>
        <v>0</v>
      </c>
      <c r="X43" s="257">
        <f t="shared" ref="X43:Y43" si="13">X26 * $H$35 / days_in_year * hundred</f>
        <v>64.92870103793399</v>
      </c>
      <c r="Y43" s="257">
        <f t="shared" si="13"/>
        <v>64.92870103793399</v>
      </c>
    </row>
    <row r="44" spans="2:27" x14ac:dyDescent="0.25">
      <c r="D44" s="295"/>
      <c r="E44" s="86"/>
      <c r="F44" s="93" t="s">
        <v>453</v>
      </c>
      <c r="G44" s="93" t="s">
        <v>183</v>
      </c>
      <c r="H44" s="353"/>
      <c r="I44" s="353"/>
      <c r="J44" s="358"/>
      <c r="K44" s="358"/>
      <c r="L44" s="358"/>
      <c r="M44" s="358"/>
      <c r="N44" s="358"/>
      <c r="O44" s="358"/>
      <c r="P44" s="358"/>
      <c r="Q44" s="359">
        <f t="shared" ref="Q44" si="14">Q27*$H$35/ten</f>
        <v>0.3075227288855088</v>
      </c>
      <c r="R44" s="358"/>
      <c r="S44" s="358"/>
      <c r="T44" s="358"/>
      <c r="U44" s="358"/>
      <c r="V44" s="358"/>
      <c r="W44" s="358"/>
      <c r="X44" s="358"/>
      <c r="Y44" s="358"/>
      <c r="Z44" s="351"/>
      <c r="AA44" s="351"/>
    </row>
    <row r="45" spans="2:27" x14ac:dyDescent="0.25">
      <c r="D45" s="86"/>
      <c r="E45" s="295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5" t="s">
        <v>516</v>
      </c>
      <c r="G48" s="122" t="s">
        <v>692</v>
      </c>
      <c r="H48" s="152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H48">
    <cfRule type="cellIs" dxfId="100" priority="10" operator="greaterThan">
      <formula>0</formula>
    </cfRule>
  </conditionalFormatting>
  <conditionalFormatting sqref="A4:I4 Z4:XFD4">
    <cfRule type="expression" dxfId="99" priority="9">
      <formula>LEFT($A$4,1) &lt;&gt; "0"</formula>
    </cfRule>
  </conditionalFormatting>
  <conditionalFormatting sqref="N4:P4">
    <cfRule type="expression" dxfId="98" priority="8">
      <formula>LEFT($A$4,1) &lt;&gt; "0"</formula>
    </cfRule>
  </conditionalFormatting>
  <conditionalFormatting sqref="L4:M4">
    <cfRule type="expression" dxfId="97" priority="7">
      <formula>LEFT($A$4,1) &lt;&gt; "0"</formula>
    </cfRule>
  </conditionalFormatting>
  <conditionalFormatting sqref="J4:K4">
    <cfRule type="expression" dxfId="96" priority="6">
      <formula>LEFT($A$4,1) &lt;&gt; "0"</formula>
    </cfRule>
  </conditionalFormatting>
  <conditionalFormatting sqref="Q4">
    <cfRule type="expression" dxfId="95" priority="5">
      <formula>LEFT($A$4,1) &lt;&gt; "0"</formula>
    </cfRule>
  </conditionalFormatting>
  <conditionalFormatting sqref="R4:S4">
    <cfRule type="expression" dxfId="94" priority="4">
      <formula>LEFT($A$4,1) &lt;&gt; "0"</formula>
    </cfRule>
  </conditionalFormatting>
  <conditionalFormatting sqref="T4:U4">
    <cfRule type="expression" dxfId="93" priority="3">
      <formula>LEFT($A$4,1) &lt;&gt; "0"</formula>
    </cfRule>
  </conditionalFormatting>
  <conditionalFormatting sqref="V4:W4">
    <cfRule type="expression" dxfId="92" priority="2">
      <formula>LEFT($A$4,1) &lt;&gt; "0"</formula>
    </cfRule>
  </conditionalFormatting>
  <conditionalFormatting sqref="X4:Y4">
    <cfRule type="expression" dxfId="91" priority="1">
      <formula>LEFT($A$4,1) &lt;&gt; "0"</formula>
    </cfRule>
  </conditionalFormatting>
  <hyperlinks>
    <hyperlink ref="B5:F5" location="'Model map'!A1" display="Click here to return to model map" xr:uid="{00000000-0004-0000-1A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0">
    <tabColor theme="4" tint="0.59999389629810485"/>
    <pageSetUpPr fitToPage="1"/>
  </sheetPr>
  <dimension ref="A1:KZ2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I5" s="111"/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458</v>
      </c>
      <c r="D9" s="295"/>
    </row>
    <row r="10" spans="1:27" x14ac:dyDescent="0.25">
      <c r="C10" s="82" t="s">
        <v>459</v>
      </c>
      <c r="D10" s="295"/>
      <c r="E10" s="295"/>
    </row>
    <row r="11" spans="1:27" x14ac:dyDescent="0.25">
      <c r="C11" s="82" t="s">
        <v>461</v>
      </c>
      <c r="D11" s="295"/>
      <c r="E11" s="295"/>
    </row>
    <row r="12" spans="1:27" x14ac:dyDescent="0.25">
      <c r="C12" s="82" t="s">
        <v>460</v>
      </c>
    </row>
    <row r="13" spans="1:27" x14ac:dyDescent="0.25">
      <c r="C13" s="82" t="s">
        <v>462</v>
      </c>
      <c r="D13" s="295"/>
    </row>
    <row r="15" spans="1:27" x14ac:dyDescent="0.25">
      <c r="B15" s="95" t="s">
        <v>768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520</v>
      </c>
    </row>
    <row r="19" spans="3:27" x14ac:dyDescent="0.25">
      <c r="C19" s="7" t="str">
        <f ca="1">INDEX('Version control'!$H$34:$H$58,MATCH($A$1,'Version control'!$F$34:$F$58,0),1)&amp;"-A: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5"/>
      <c r="E20" s="96"/>
    </row>
    <row r="21" spans="3:27" x14ac:dyDescent="0.25">
      <c r="D21" s="295"/>
      <c r="E21" s="96" t="s">
        <v>139</v>
      </c>
    </row>
    <row r="22" spans="3:27" x14ac:dyDescent="0.25">
      <c r="D22" s="295"/>
      <c r="F22" s="91" t="s">
        <v>324</v>
      </c>
      <c r="G22" s="91" t="s">
        <v>183</v>
      </c>
      <c r="H22" s="349"/>
      <c r="I22" s="349"/>
      <c r="J22" s="360">
        <f>'Initial unit rates'!J152</f>
        <v>0</v>
      </c>
      <c r="K22" s="360">
        <f>'Initial unit rates'!K152</f>
        <v>0</v>
      </c>
      <c r="L22" s="360">
        <f>'Initial unit rates'!L152</f>
        <v>0</v>
      </c>
      <c r="M22" s="360">
        <f>'Initial unit rates'!M152</f>
        <v>0</v>
      </c>
      <c r="N22" s="360">
        <f>'Initial unit rates'!N152</f>
        <v>0</v>
      </c>
      <c r="O22" s="360">
        <f>'Initial unit rates'!O152</f>
        <v>0</v>
      </c>
      <c r="P22" s="360">
        <f>'Initial unit rates'!P152</f>
        <v>0</v>
      </c>
      <c r="Q22" s="360">
        <f>'Initial unit rates'!Q152</f>
        <v>0</v>
      </c>
      <c r="R22" s="360">
        <f>'Initial unit rates'!R152</f>
        <v>0</v>
      </c>
      <c r="S22" s="360">
        <f>'Initial unit rates'!S152</f>
        <v>0</v>
      </c>
      <c r="T22" s="360">
        <f>'Initial unit rates'!T152</f>
        <v>0</v>
      </c>
      <c r="U22" s="360">
        <f>'Initial unit rates'!U152</f>
        <v>0</v>
      </c>
      <c r="V22" s="360">
        <f>'Initial unit rates'!V152</f>
        <v>0</v>
      </c>
      <c r="W22" s="360">
        <f>'Initial unit rates'!W152</f>
        <v>0</v>
      </c>
      <c r="X22" s="360">
        <f>'Initial unit rates'!X152</f>
        <v>0</v>
      </c>
      <c r="Y22" s="360">
        <f>'Initial unit rates'!Y152</f>
        <v>0</v>
      </c>
      <c r="Z22" s="351"/>
      <c r="AA22" s="351"/>
    </row>
    <row r="23" spans="3:27" x14ac:dyDescent="0.25">
      <c r="D23" s="295"/>
      <c r="F23" s="295" t="s">
        <v>43</v>
      </c>
      <c r="G23" s="295" t="s">
        <v>183</v>
      </c>
      <c r="H23" s="351"/>
      <c r="I23" s="351"/>
      <c r="J23" s="420">
        <f>'Initial unit rates'!J153</f>
        <v>0</v>
      </c>
      <c r="K23" s="420">
        <f>'Initial unit rates'!K153</f>
        <v>0</v>
      </c>
      <c r="L23" s="420">
        <f>'Initial unit rates'!L153</f>
        <v>0</v>
      </c>
      <c r="M23" s="420">
        <f>'Initial unit rates'!M153</f>
        <v>0</v>
      </c>
      <c r="N23" s="420">
        <f>'Initial unit rates'!N153</f>
        <v>0</v>
      </c>
      <c r="O23" s="420">
        <f>'Initial unit rates'!O153</f>
        <v>0</v>
      </c>
      <c r="P23" s="420">
        <f>'Initial unit rates'!P153</f>
        <v>0</v>
      </c>
      <c r="Q23" s="420">
        <f>'Initial unit rates'!Q153</f>
        <v>0</v>
      </c>
      <c r="R23" s="420">
        <f>'Initial unit rates'!R153</f>
        <v>0</v>
      </c>
      <c r="S23" s="420">
        <f>'Initial unit rates'!S153</f>
        <v>0</v>
      </c>
      <c r="T23" s="420">
        <f>'Initial unit rates'!T153</f>
        <v>0</v>
      </c>
      <c r="U23" s="420">
        <f>'Initial unit rates'!U153</f>
        <v>0</v>
      </c>
      <c r="V23" s="420">
        <f>'Initial unit rates'!V153</f>
        <v>0</v>
      </c>
      <c r="W23" s="420">
        <f>'Initial unit rates'!W153</f>
        <v>0</v>
      </c>
      <c r="X23" s="420">
        <f>'Initial unit rates'!X153</f>
        <v>0</v>
      </c>
      <c r="Y23" s="420">
        <f>'Initial unit rates'!Y153</f>
        <v>0</v>
      </c>
      <c r="Z23" s="351"/>
      <c r="AA23" s="351"/>
    </row>
    <row r="24" spans="3:27" x14ac:dyDescent="0.25">
      <c r="D24" s="295"/>
      <c r="F24" s="295" t="s">
        <v>44</v>
      </c>
      <c r="G24" s="295" t="s">
        <v>183</v>
      </c>
      <c r="H24" s="351"/>
      <c r="I24" s="351"/>
      <c r="J24" s="420">
        <f>'Initial unit rates'!J154</f>
        <v>2.0950478416642442</v>
      </c>
      <c r="K24" s="420">
        <f>'Initial unit rates'!K154</f>
        <v>2.0950478416642442</v>
      </c>
      <c r="L24" s="420">
        <f>'Initial unit rates'!L154</f>
        <v>2.6021294095133136</v>
      </c>
      <c r="M24" s="420">
        <f>'Initial unit rates'!M154</f>
        <v>2.6021294095133136</v>
      </c>
      <c r="N24" s="420">
        <f>'Initial unit rates'!N154</f>
        <v>2.114034798088944</v>
      </c>
      <c r="O24" s="420">
        <f>'Initial unit rates'!O154</f>
        <v>1.9590380302845005</v>
      </c>
      <c r="P24" s="420">
        <f>'Initial unit rates'!P154</f>
        <v>1.7468166482756475</v>
      </c>
      <c r="Q24" s="420">
        <f>'Initial unit rates'!Q154</f>
        <v>3.8089491056686708</v>
      </c>
      <c r="R24" s="420">
        <f>'Initial unit rates'!R154</f>
        <v>-1.5878799869450646</v>
      </c>
      <c r="S24" s="420">
        <f>'Initial unit rates'!S154</f>
        <v>-1.513626606260583</v>
      </c>
      <c r="T24" s="420">
        <f>'Initial unit rates'!T154</f>
        <v>-1.5878799869450646</v>
      </c>
      <c r="U24" s="420">
        <f>'Initial unit rates'!U154</f>
        <v>-1.5878799869450646</v>
      </c>
      <c r="V24" s="420">
        <f>'Initial unit rates'!V154</f>
        <v>-1.513626606260583</v>
      </c>
      <c r="W24" s="420">
        <f>'Initial unit rates'!W154</f>
        <v>-1.513626606260583</v>
      </c>
      <c r="X24" s="420">
        <f>'Initial unit rates'!X154</f>
        <v>-1.4822117144325335</v>
      </c>
      <c r="Y24" s="420">
        <f>'Initial unit rates'!Y154</f>
        <v>-1.4822117144325335</v>
      </c>
      <c r="Z24" s="351"/>
      <c r="AA24" s="351"/>
    </row>
    <row r="25" spans="3:27" x14ac:dyDescent="0.25">
      <c r="D25" s="295"/>
      <c r="F25" s="295" t="s">
        <v>45</v>
      </c>
      <c r="G25" s="295" t="s">
        <v>183</v>
      </c>
      <c r="H25" s="351"/>
      <c r="I25" s="351"/>
      <c r="J25" s="420">
        <f>'Initial unit rates'!J155</f>
        <v>0.14592533640650826</v>
      </c>
      <c r="K25" s="420">
        <f>'Initial unit rates'!K155</f>
        <v>0.14592533640650826</v>
      </c>
      <c r="L25" s="420">
        <f>'Initial unit rates'!L155</f>
        <v>0.1812448393325774</v>
      </c>
      <c r="M25" s="420">
        <f>'Initial unit rates'!M155</f>
        <v>0.1812448393325774</v>
      </c>
      <c r="N25" s="420">
        <f>'Initial unit rates'!N155</f>
        <v>0.14724782553945764</v>
      </c>
      <c r="O25" s="420">
        <f>'Initial unit rates'!O155</f>
        <v>0.13645191194074108</v>
      </c>
      <c r="P25" s="420">
        <f>'Initial unit rates'!P155</f>
        <v>0.12167016044732623</v>
      </c>
      <c r="Q25" s="420">
        <f>'Initial unit rates'!Q155</f>
        <v>0.2030828831903955</v>
      </c>
      <c r="R25" s="420">
        <f>'Initial unit rates'!R155</f>
        <v>-0.11059982338353448</v>
      </c>
      <c r="S25" s="420">
        <f>'Initial unit rates'!S155</f>
        <v>-0.10542788919653467</v>
      </c>
      <c r="T25" s="420">
        <f>'Initial unit rates'!T155</f>
        <v>-0.11059982338353448</v>
      </c>
      <c r="U25" s="420">
        <f>'Initial unit rates'!U155</f>
        <v>-0.11059982338353448</v>
      </c>
      <c r="V25" s="420">
        <f>'Initial unit rates'!V155</f>
        <v>-0.10542788919653467</v>
      </c>
      <c r="W25" s="420">
        <f>'Initial unit rates'!W155</f>
        <v>-0.10542788919653467</v>
      </c>
      <c r="X25" s="420">
        <f>'Initial unit rates'!X155</f>
        <v>-0.10323976319434244</v>
      </c>
      <c r="Y25" s="420">
        <f>'Initial unit rates'!Y155</f>
        <v>-0.10323976319434244</v>
      </c>
      <c r="Z25" s="351"/>
      <c r="AA25" s="351"/>
    </row>
    <row r="26" spans="3:27" x14ac:dyDescent="0.25">
      <c r="D26" s="295"/>
      <c r="F26" s="295" t="s">
        <v>46</v>
      </c>
      <c r="G26" s="295" t="s">
        <v>183</v>
      </c>
      <c r="H26" s="351"/>
      <c r="I26" s="351"/>
      <c r="J26" s="420">
        <f>'Initial unit rates'!J156</f>
        <v>1.4897086828507651</v>
      </c>
      <c r="K26" s="420">
        <f>'Initial unit rates'!K156</f>
        <v>1.4897086828507651</v>
      </c>
      <c r="L26" s="420">
        <f>'Initial unit rates'!L156</f>
        <v>1.8502750620596846</v>
      </c>
      <c r="M26" s="420">
        <f>'Initial unit rates'!M156</f>
        <v>1.8502750620596846</v>
      </c>
      <c r="N26" s="420">
        <f>'Initial unit rates'!N156</f>
        <v>1.5032095840160173</v>
      </c>
      <c r="O26" s="420">
        <f>'Initial unit rates'!O156</f>
        <v>1.3929972889933593</v>
      </c>
      <c r="P26" s="420">
        <f>'Initial unit rates'!P156</f>
        <v>0.87638454610867345</v>
      </c>
      <c r="Q26" s="420">
        <f>'Initial unit rates'!Q156</f>
        <v>2.0732132053087859</v>
      </c>
      <c r="R26" s="420">
        <f>'Initial unit rates'!R156</f>
        <v>-1.1290809483367006</v>
      </c>
      <c r="S26" s="420">
        <f>'Initial unit rates'!S156</f>
        <v>-1.076282198954049</v>
      </c>
      <c r="T26" s="420">
        <f>'Initial unit rates'!T156</f>
        <v>-1.1290809483367006</v>
      </c>
      <c r="U26" s="420">
        <f>'Initial unit rates'!U156</f>
        <v>-1.1290809483367006</v>
      </c>
      <c r="V26" s="420">
        <f>'Initial unit rates'!V156</f>
        <v>-1.076282198954049</v>
      </c>
      <c r="W26" s="420">
        <f>'Initial unit rates'!W156</f>
        <v>-1.076282198954049</v>
      </c>
      <c r="X26" s="420">
        <f>'Initial unit rates'!X156</f>
        <v>-0.74363124594226682</v>
      </c>
      <c r="Y26" s="420">
        <f>'Initial unit rates'!Y156</f>
        <v>-0.74363124594226682</v>
      </c>
      <c r="Z26" s="351"/>
      <c r="AA26" s="351"/>
    </row>
    <row r="27" spans="3:27" x14ac:dyDescent="0.25">
      <c r="D27" s="295"/>
      <c r="F27" s="295" t="s">
        <v>47</v>
      </c>
      <c r="G27" s="295" t="s">
        <v>183</v>
      </c>
      <c r="H27" s="351"/>
      <c r="I27" s="351"/>
      <c r="J27" s="420">
        <f>'Initial unit rates'!J157</f>
        <v>0.2220181863169389</v>
      </c>
      <c r="K27" s="420">
        <f>'Initial unit rates'!K157</f>
        <v>0.2220181863169389</v>
      </c>
      <c r="L27" s="420">
        <f>'Initial unit rates'!L157</f>
        <v>0.27575506419136919</v>
      </c>
      <c r="M27" s="420">
        <f>'Initial unit rates'!M157</f>
        <v>0.27575506419136919</v>
      </c>
      <c r="N27" s="420">
        <f>'Initial unit rates'!N157</f>
        <v>0.22403028816266191</v>
      </c>
      <c r="O27" s="420">
        <f>'Initial unit rates'!O157</f>
        <v>0.20760483925950263</v>
      </c>
      <c r="P27" s="420">
        <f>'Initial unit rates'!P157</f>
        <v>0.15861209224603195</v>
      </c>
      <c r="Q27" s="420">
        <f>'Initial unit rates'!Q157</f>
        <v>0.4083515533344621</v>
      </c>
      <c r="R27" s="420">
        <f>'Initial unit rates'!R157</f>
        <v>-0.16827216437714468</v>
      </c>
      <c r="S27" s="420">
        <f>'Initial unit rates'!S157</f>
        <v>-0.16040332215806957</v>
      </c>
      <c r="T27" s="420">
        <f>'Initial unit rates'!T157</f>
        <v>-0.16827216437714468</v>
      </c>
      <c r="U27" s="420">
        <f>'Initial unit rates'!U157</f>
        <v>-0.16827216437714468</v>
      </c>
      <c r="V27" s="420">
        <f>'Initial unit rates'!V157</f>
        <v>-0.16040332215806957</v>
      </c>
      <c r="W27" s="420">
        <f>'Initial unit rates'!W157</f>
        <v>-0.16040332215806957</v>
      </c>
      <c r="X27" s="420">
        <f>'Initial unit rates'!X157</f>
        <v>-0.13458579147948671</v>
      </c>
      <c r="Y27" s="420">
        <f>'Initial unit rates'!Y157</f>
        <v>-0.13458579147948671</v>
      </c>
      <c r="Z27" s="351"/>
      <c r="AA27" s="351"/>
    </row>
    <row r="28" spans="3:27" x14ac:dyDescent="0.25">
      <c r="D28" s="295"/>
      <c r="F28" s="295" t="s">
        <v>51</v>
      </c>
      <c r="G28" s="295" t="s">
        <v>183</v>
      </c>
      <c r="H28" s="351"/>
      <c r="I28" s="351"/>
      <c r="J28" s="420">
        <f>'Initial unit rates'!J158</f>
        <v>0</v>
      </c>
      <c r="K28" s="420">
        <f>'Initial unit rates'!K158</f>
        <v>0</v>
      </c>
      <c r="L28" s="420">
        <f>'Initial unit rates'!L158</f>
        <v>0</v>
      </c>
      <c r="M28" s="420">
        <f>'Initial unit rates'!M158</f>
        <v>0</v>
      </c>
      <c r="N28" s="420">
        <f>'Initial unit rates'!N158</f>
        <v>0</v>
      </c>
      <c r="O28" s="420">
        <f>'Initial unit rates'!O158</f>
        <v>0</v>
      </c>
      <c r="P28" s="420">
        <f>'Initial unit rates'!P158</f>
        <v>0</v>
      </c>
      <c r="Q28" s="420">
        <f>'Initial unit rates'!Q158</f>
        <v>0</v>
      </c>
      <c r="R28" s="420">
        <f>'Initial unit rates'!R158</f>
        <v>0</v>
      </c>
      <c r="S28" s="420">
        <f>'Initial unit rates'!S158</f>
        <v>0</v>
      </c>
      <c r="T28" s="420">
        <f>'Initial unit rates'!T158</f>
        <v>0</v>
      </c>
      <c r="U28" s="420">
        <f>'Initial unit rates'!U158</f>
        <v>0</v>
      </c>
      <c r="V28" s="420">
        <f>'Initial unit rates'!V158</f>
        <v>0</v>
      </c>
      <c r="W28" s="420">
        <f>'Initial unit rates'!W158</f>
        <v>0</v>
      </c>
      <c r="X28" s="420">
        <f>'Initial unit rates'!X158</f>
        <v>0</v>
      </c>
      <c r="Y28" s="420">
        <f>'Initial unit rates'!Y158</f>
        <v>0</v>
      </c>
      <c r="Z28" s="351"/>
      <c r="AA28" s="351"/>
    </row>
    <row r="29" spans="3:27" x14ac:dyDescent="0.25">
      <c r="D29" s="295"/>
      <c r="F29" s="295" t="s">
        <v>48</v>
      </c>
      <c r="G29" s="295" t="s">
        <v>183</v>
      </c>
      <c r="H29" s="351"/>
      <c r="I29" s="351"/>
      <c r="J29" s="420">
        <f>'Initial unit rates'!J159</f>
        <v>1.2275275551146465</v>
      </c>
      <c r="K29" s="420">
        <f>'Initial unit rates'!K159</f>
        <v>1.2275275551146465</v>
      </c>
      <c r="L29" s="420">
        <f>'Initial unit rates'!L159</f>
        <v>1.5246360911808252</v>
      </c>
      <c r="M29" s="420">
        <f>'Initial unit rates'!M159</f>
        <v>1.5246360911808252</v>
      </c>
      <c r="N29" s="420">
        <f>'Initial unit rates'!N159</f>
        <v>1.2386523665559768</v>
      </c>
      <c r="O29" s="420">
        <f>'Initial unit rates'!O159</f>
        <v>1.1478368731577344</v>
      </c>
      <c r="P29" s="420">
        <f>'Initial unit rates'!P159</f>
        <v>0.40369966209735009</v>
      </c>
      <c r="Q29" s="420">
        <f>'Initial unit rates'!Q159</f>
        <v>2.2577555118676171</v>
      </c>
      <c r="R29" s="420">
        <f>'Initial unit rates'!R159</f>
        <v>-0.93036846196399614</v>
      </c>
      <c r="S29" s="420">
        <f>'Initial unit rates'!S159</f>
        <v>-0.88686202309517614</v>
      </c>
      <c r="T29" s="420">
        <f>'Initial unit rates'!T159</f>
        <v>-0.93036846196399614</v>
      </c>
      <c r="U29" s="420">
        <f>'Initial unit rates'!U159</f>
        <v>-0.93036846196399614</v>
      </c>
      <c r="V29" s="420">
        <f>'Initial unit rates'!V159</f>
        <v>-0.88686202309517614</v>
      </c>
      <c r="W29" s="420">
        <f>'Initial unit rates'!W159</f>
        <v>-0.88686202309517614</v>
      </c>
      <c r="X29" s="420">
        <f>'Initial unit rates'!X159</f>
        <v>0</v>
      </c>
      <c r="Y29" s="420">
        <f>'Initial unit rates'!Y159</f>
        <v>0</v>
      </c>
      <c r="Z29" s="351"/>
      <c r="AA29" s="351"/>
    </row>
    <row r="30" spans="3:27" x14ac:dyDescent="0.25">
      <c r="D30" s="295"/>
      <c r="F30" s="295" t="s">
        <v>49</v>
      </c>
      <c r="G30" s="295" t="s">
        <v>183</v>
      </c>
      <c r="H30" s="351"/>
      <c r="I30" s="351"/>
      <c r="J30" s="420">
        <f>'Initial unit rates'!J160</f>
        <v>0.20599152269272</v>
      </c>
      <c r="K30" s="420">
        <f>'Initial unit rates'!K160</f>
        <v>0.20599152269272</v>
      </c>
      <c r="L30" s="420">
        <f>'Initial unit rates'!L160</f>
        <v>0.25584933606258858</v>
      </c>
      <c r="M30" s="420">
        <f>'Initial unit rates'!M160</f>
        <v>0.25584933606258858</v>
      </c>
      <c r="N30" s="420">
        <f>'Initial unit rates'!N160</f>
        <v>0.20785837842147389</v>
      </c>
      <c r="O30" s="420">
        <f>'Initial unit rates'!O160</f>
        <v>0.19261862132498458</v>
      </c>
      <c r="P30" s="420">
        <f>'Initial unit rates'!P160</f>
        <v>0</v>
      </c>
      <c r="Q30" s="420">
        <f>'Initial unit rates'!Q160</f>
        <v>0.37887417990715117</v>
      </c>
      <c r="R30" s="420">
        <f>'Initial unit rates'!R160</f>
        <v>-0.15612522533341283</v>
      </c>
      <c r="S30" s="420">
        <f>'Initial unit rates'!S160</f>
        <v>0</v>
      </c>
      <c r="T30" s="420">
        <f>'Initial unit rates'!T160</f>
        <v>-0.15612522533341283</v>
      </c>
      <c r="U30" s="420">
        <f>'Initial unit rates'!U160</f>
        <v>-0.15612522533341283</v>
      </c>
      <c r="V30" s="420">
        <f>'Initial unit rates'!V160</f>
        <v>0</v>
      </c>
      <c r="W30" s="420">
        <f>'Initial unit rates'!W160</f>
        <v>0</v>
      </c>
      <c r="X30" s="420">
        <f>'Initial unit rates'!X160</f>
        <v>0</v>
      </c>
      <c r="Y30" s="420">
        <f>'Initial unit rates'!Y160</f>
        <v>0</v>
      </c>
      <c r="Z30" s="351"/>
      <c r="AA30" s="351"/>
    </row>
    <row r="31" spans="3:27" x14ac:dyDescent="0.25">
      <c r="D31" s="295"/>
      <c r="F31" s="295" t="s">
        <v>50</v>
      </c>
      <c r="G31" s="295" t="s">
        <v>183</v>
      </c>
      <c r="H31" s="351"/>
      <c r="I31" s="351"/>
      <c r="J31" s="420">
        <f>'Initial unit rates'!J161</f>
        <v>3.0134273920868364E-2</v>
      </c>
      <c r="K31" s="420">
        <f>'Initial unit rates'!K161</f>
        <v>3.0134273920868364E-2</v>
      </c>
      <c r="L31" s="420">
        <f>'Initial unit rates'!L161</f>
        <v>3.7427918754128535E-2</v>
      </c>
      <c r="M31" s="420">
        <f>'Initial unit rates'!M161</f>
        <v>3.7427918754128535E-2</v>
      </c>
      <c r="N31" s="420">
        <f>'Initial unit rates'!N161</f>
        <v>3.0407374197839131E-2</v>
      </c>
      <c r="O31" s="420">
        <f>'Initial unit rates'!O161</f>
        <v>0</v>
      </c>
      <c r="P31" s="420">
        <f>'Initial unit rates'!P161</f>
        <v>0</v>
      </c>
      <c r="Q31" s="420">
        <f>'Initial unit rates'!Q161</f>
        <v>5.5425088225098826E-2</v>
      </c>
      <c r="R31" s="420">
        <f>'Initial unit rates'!R161</f>
        <v>0</v>
      </c>
      <c r="S31" s="420">
        <f>'Initial unit rates'!S161</f>
        <v>0</v>
      </c>
      <c r="T31" s="420">
        <f>'Initial unit rates'!T161</f>
        <v>0</v>
      </c>
      <c r="U31" s="420">
        <f>'Initial unit rates'!U161</f>
        <v>0</v>
      </c>
      <c r="V31" s="420">
        <f>'Initial unit rates'!V161</f>
        <v>0</v>
      </c>
      <c r="W31" s="420">
        <f>'Initial unit rates'!W161</f>
        <v>0</v>
      </c>
      <c r="X31" s="420">
        <f>'Initial unit rates'!X161</f>
        <v>0</v>
      </c>
      <c r="Y31" s="420">
        <f>'Initial unit rates'!Y161</f>
        <v>0</v>
      </c>
      <c r="Z31" s="351"/>
      <c r="AA31" s="351"/>
    </row>
    <row r="32" spans="3:27" x14ac:dyDescent="0.25">
      <c r="D32" s="295"/>
      <c r="F32" s="91" t="s">
        <v>124</v>
      </c>
      <c r="G32" s="91" t="s">
        <v>183</v>
      </c>
      <c r="H32" s="349"/>
      <c r="I32" s="349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51"/>
      <c r="AA32" s="351"/>
    </row>
    <row r="33" spans="4:27" x14ac:dyDescent="0.25">
      <c r="D33" s="295"/>
      <c r="F33" s="93" t="s">
        <v>123</v>
      </c>
      <c r="G33" s="93" t="s">
        <v>183</v>
      </c>
      <c r="H33" s="353"/>
      <c r="I33" s="353"/>
      <c r="J33" s="358"/>
      <c r="K33" s="358"/>
      <c r="L33" s="358"/>
      <c r="M33" s="358"/>
      <c r="N33" s="358"/>
      <c r="O33" s="358"/>
      <c r="P33" s="358"/>
      <c r="Q33" s="358"/>
      <c r="R33" s="358"/>
      <c r="S33" s="358"/>
      <c r="T33" s="358"/>
      <c r="U33" s="358"/>
      <c r="V33" s="358"/>
      <c r="W33" s="358"/>
      <c r="X33" s="358"/>
      <c r="Y33" s="358"/>
      <c r="Z33" s="351"/>
      <c r="AA33" s="351"/>
    </row>
    <row r="34" spans="4:27" x14ac:dyDescent="0.25">
      <c r="D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4:27" x14ac:dyDescent="0.25">
      <c r="D35" s="295"/>
      <c r="E35" s="96" t="s">
        <v>116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4:27" x14ac:dyDescent="0.25">
      <c r="D36" s="295"/>
      <c r="F36" s="91" t="s">
        <v>324</v>
      </c>
      <c r="G36" s="91" t="s">
        <v>183</v>
      </c>
      <c r="H36" s="349"/>
      <c r="I36" s="349"/>
      <c r="J36" s="360">
        <f>'Initial unit rates'!J164</f>
        <v>1.2962008253196948</v>
      </c>
      <c r="K36" s="360">
        <f>'Initial unit rates'!K164</f>
        <v>1.2962008253196948</v>
      </c>
      <c r="L36" s="360">
        <f>'Initial unit rates'!L164</f>
        <v>1.6099309147615883</v>
      </c>
      <c r="M36" s="360">
        <f>'Initial unit rates'!M164</f>
        <v>1.6099309147615883</v>
      </c>
      <c r="N36" s="360">
        <f>'Initial unit rates'!N164</f>
        <v>1.3079480074596763</v>
      </c>
      <c r="O36" s="360">
        <f>'Initial unit rates'!O164</f>
        <v>1.2120518974260219</v>
      </c>
      <c r="P36" s="360">
        <f>'Initial unit rates'!P164</f>
        <v>1.0807510626480226</v>
      </c>
      <c r="Q36" s="360">
        <f>'Initial unit rates'!Q164</f>
        <v>2.3565872225841433</v>
      </c>
      <c r="R36" s="360">
        <f>'Initial unit rates'!R164</f>
        <v>-0.98241735040849321</v>
      </c>
      <c r="S36" s="360">
        <f>'Initial unit rates'!S164</f>
        <v>-0.93647697071313185</v>
      </c>
      <c r="T36" s="360">
        <f>'Initial unit rates'!T164</f>
        <v>-0.98241735040849321</v>
      </c>
      <c r="U36" s="360">
        <f>'Initial unit rates'!U164</f>
        <v>-0.98241735040849321</v>
      </c>
      <c r="V36" s="360">
        <f>'Initial unit rates'!V164</f>
        <v>-0.93647697071313185</v>
      </c>
      <c r="W36" s="360">
        <f>'Initial unit rates'!W164</f>
        <v>-0.93647697071313185</v>
      </c>
      <c r="X36" s="360">
        <f>'Initial unit rates'!X164</f>
        <v>-0.91704065622663311</v>
      </c>
      <c r="Y36" s="360">
        <f>'Initial unit rates'!Y164</f>
        <v>-0.91704065622663311</v>
      </c>
      <c r="Z36" s="351"/>
      <c r="AA36" s="351"/>
    </row>
    <row r="37" spans="4:27" x14ac:dyDescent="0.25">
      <c r="D37" s="295"/>
      <c r="F37" s="295" t="s">
        <v>43</v>
      </c>
      <c r="G37" s="295" t="s">
        <v>183</v>
      </c>
      <c r="H37" s="351"/>
      <c r="I37" s="351"/>
      <c r="J37" s="420">
        <f>'Initial unit rates'!J165</f>
        <v>0</v>
      </c>
      <c r="K37" s="420">
        <f>'Initial unit rates'!K165</f>
        <v>0</v>
      </c>
      <c r="L37" s="420">
        <f>'Initial unit rates'!L165</f>
        <v>0</v>
      </c>
      <c r="M37" s="420">
        <f>'Initial unit rates'!M165</f>
        <v>0</v>
      </c>
      <c r="N37" s="420">
        <f>'Initial unit rates'!N165</f>
        <v>0</v>
      </c>
      <c r="O37" s="420">
        <f>'Initial unit rates'!O165</f>
        <v>0</v>
      </c>
      <c r="P37" s="420">
        <f>'Initial unit rates'!P165</f>
        <v>0</v>
      </c>
      <c r="Q37" s="420">
        <f>'Initial unit rates'!Q165</f>
        <v>0</v>
      </c>
      <c r="R37" s="420">
        <f>'Initial unit rates'!R165</f>
        <v>0</v>
      </c>
      <c r="S37" s="420">
        <f>'Initial unit rates'!S165</f>
        <v>0</v>
      </c>
      <c r="T37" s="420">
        <f>'Initial unit rates'!T165</f>
        <v>0</v>
      </c>
      <c r="U37" s="420">
        <f>'Initial unit rates'!U165</f>
        <v>0</v>
      </c>
      <c r="V37" s="420">
        <f>'Initial unit rates'!V165</f>
        <v>0</v>
      </c>
      <c r="W37" s="420">
        <f>'Initial unit rates'!W165</f>
        <v>0</v>
      </c>
      <c r="X37" s="420">
        <f>'Initial unit rates'!X165</f>
        <v>0</v>
      </c>
      <c r="Y37" s="420">
        <f>'Initial unit rates'!Y165</f>
        <v>0</v>
      </c>
      <c r="Z37" s="351"/>
      <c r="AA37" s="351"/>
    </row>
    <row r="38" spans="4:27" x14ac:dyDescent="0.25">
      <c r="D38" s="295"/>
      <c r="F38" s="295" t="s">
        <v>44</v>
      </c>
      <c r="G38" s="295" t="s">
        <v>183</v>
      </c>
      <c r="H38" s="351"/>
      <c r="I38" s="351"/>
      <c r="J38" s="420">
        <f>'Initial unit rates'!J166</f>
        <v>1.1087911891389439</v>
      </c>
      <c r="K38" s="420">
        <f>'Initial unit rates'!K166</f>
        <v>1.1087911891389439</v>
      </c>
      <c r="L38" s="420">
        <f>'Initial unit rates'!L166</f>
        <v>1.3771609912142877</v>
      </c>
      <c r="M38" s="420">
        <f>'Initial unit rates'!M166</f>
        <v>1.3771609912142877</v>
      </c>
      <c r="N38" s="420">
        <f>'Initial unit rates'!N166</f>
        <v>1.1188399190884941</v>
      </c>
      <c r="O38" s="420">
        <f>'Initial unit rates'!O166</f>
        <v>1.0368088327004801</v>
      </c>
      <c r="P38" s="420">
        <f>'Initial unit rates'!P166</f>
        <v>0.92449197108104175</v>
      </c>
      <c r="Q38" s="420">
        <f>'Initial unit rates'!Q166</f>
        <v>2.0158628954693434</v>
      </c>
      <c r="R38" s="420">
        <f>'Initial unit rates'!R166</f>
        <v>-0.84037572026811491</v>
      </c>
      <c r="S38" s="420">
        <f>'Initial unit rates'!S166</f>
        <v>-0.80107757507572097</v>
      </c>
      <c r="T38" s="420">
        <f>'Initial unit rates'!T166</f>
        <v>-0.84037572026811491</v>
      </c>
      <c r="U38" s="420">
        <f>'Initial unit rates'!U166</f>
        <v>-0.84037572026811491</v>
      </c>
      <c r="V38" s="420">
        <f>'Initial unit rates'!V166</f>
        <v>-0.80107757507572097</v>
      </c>
      <c r="W38" s="420">
        <f>'Initial unit rates'!W166</f>
        <v>-0.80107757507572097</v>
      </c>
      <c r="X38" s="420">
        <f>'Initial unit rates'!X166</f>
        <v>-0.78445143672509277</v>
      </c>
      <c r="Y38" s="420">
        <f>'Initial unit rates'!Y166</f>
        <v>-0.78445143672509277</v>
      </c>
      <c r="Z38" s="351"/>
      <c r="AA38" s="351"/>
    </row>
    <row r="39" spans="4:27" x14ac:dyDescent="0.25">
      <c r="D39" s="295"/>
      <c r="F39" s="295" t="s">
        <v>45</v>
      </c>
      <c r="G39" s="295" t="s">
        <v>183</v>
      </c>
      <c r="H39" s="351"/>
      <c r="I39" s="351"/>
      <c r="J39" s="420">
        <f>'Initial unit rates'!J167</f>
        <v>7.7230087094881314E-2</v>
      </c>
      <c r="K39" s="420">
        <f>'Initial unit rates'!K167</f>
        <v>7.7230087094881314E-2</v>
      </c>
      <c r="L39" s="420">
        <f>'Initial unit rates'!L167</f>
        <v>9.5922716862268165E-2</v>
      </c>
      <c r="M39" s="420">
        <f>'Initial unit rates'!M167</f>
        <v>9.5922716862268165E-2</v>
      </c>
      <c r="N39" s="420">
        <f>'Initial unit rates'!N167</f>
        <v>7.7930006337384838E-2</v>
      </c>
      <c r="O39" s="420">
        <f>'Initial unit rates'!O167</f>
        <v>7.2216335442187848E-2</v>
      </c>
      <c r="P39" s="420">
        <f>'Initial unit rates'!P167</f>
        <v>6.4393184347499646E-2</v>
      </c>
      <c r="Q39" s="420">
        <f>'Initial unit rates'!Q167</f>
        <v>0.10748036730634765</v>
      </c>
      <c r="R39" s="420">
        <f>'Initial unit rates'!R167</f>
        <v>-5.8534276520659803E-2</v>
      </c>
      <c r="S39" s="420">
        <f>'Initial unit rates'!S167</f>
        <v>-5.5797062150988654E-2</v>
      </c>
      <c r="T39" s="420">
        <f>'Initial unit rates'!T167</f>
        <v>-5.8534276520659803E-2</v>
      </c>
      <c r="U39" s="420">
        <f>'Initial unit rates'!U167</f>
        <v>-5.8534276520659803E-2</v>
      </c>
      <c r="V39" s="420">
        <f>'Initial unit rates'!V167</f>
        <v>-5.5797062150988654E-2</v>
      </c>
      <c r="W39" s="420">
        <f>'Initial unit rates'!W167</f>
        <v>-5.5797062150988654E-2</v>
      </c>
      <c r="X39" s="420">
        <f>'Initial unit rates'!X167</f>
        <v>-5.4639009917666251E-2</v>
      </c>
      <c r="Y39" s="420">
        <f>'Initial unit rates'!Y167</f>
        <v>-5.4639009917666251E-2</v>
      </c>
      <c r="Z39" s="351"/>
      <c r="AA39" s="351"/>
    </row>
    <row r="40" spans="4:27" x14ac:dyDescent="0.25">
      <c r="D40" s="295"/>
      <c r="F40" s="295" t="s">
        <v>46</v>
      </c>
      <c r="G40" s="295" t="s">
        <v>183</v>
      </c>
      <c r="H40" s="351"/>
      <c r="I40" s="351"/>
      <c r="J40" s="420">
        <f>'Initial unit rates'!J168</f>
        <v>0.78841916116654776</v>
      </c>
      <c r="K40" s="420">
        <f>'Initial unit rates'!K168</f>
        <v>0.78841916116654776</v>
      </c>
      <c r="L40" s="420">
        <f>'Initial unit rates'!L168</f>
        <v>0.97924670047896645</v>
      </c>
      <c r="M40" s="420">
        <f>'Initial unit rates'!M168</f>
        <v>0.97924670047896645</v>
      </c>
      <c r="N40" s="420">
        <f>'Initial unit rates'!N168</f>
        <v>0.79556443010015654</v>
      </c>
      <c r="O40" s="420">
        <f>'Initial unit rates'!O168</f>
        <v>0.73723525058183526</v>
      </c>
      <c r="P40" s="420">
        <f>'Initial unit rates'!P168</f>
        <v>0.65737101041626844</v>
      </c>
      <c r="Q40" s="420">
        <f>'Initial unit rates'!Q168</f>
        <v>1.097235342094538</v>
      </c>
      <c r="R40" s="420">
        <f>'Initial unit rates'!R168</f>
        <v>-0.59755914993611436</v>
      </c>
      <c r="S40" s="420">
        <f>'Initial unit rates'!S168</f>
        <v>-0.56961573644989316</v>
      </c>
      <c r="T40" s="420">
        <f>'Initial unit rates'!T168</f>
        <v>-0.59755914993611436</v>
      </c>
      <c r="U40" s="420">
        <f>'Initial unit rates'!U168</f>
        <v>-0.59755914993611436</v>
      </c>
      <c r="V40" s="420">
        <f>'Initial unit rates'!V168</f>
        <v>-0.56961573644989316</v>
      </c>
      <c r="W40" s="420">
        <f>'Initial unit rates'!W168</f>
        <v>-0.56961573644989316</v>
      </c>
      <c r="X40" s="420">
        <f>'Initial unit rates'!X168</f>
        <v>-0.55779352305187646</v>
      </c>
      <c r="Y40" s="420">
        <f>'Initial unit rates'!Y168</f>
        <v>-0.55779352305187646</v>
      </c>
      <c r="Z40" s="351"/>
      <c r="AA40" s="351"/>
    </row>
    <row r="41" spans="4:27" x14ac:dyDescent="0.25">
      <c r="D41" s="295"/>
      <c r="F41" s="295" t="s">
        <v>47</v>
      </c>
      <c r="G41" s="295" t="s">
        <v>183</v>
      </c>
      <c r="H41" s="351"/>
      <c r="I41" s="351"/>
      <c r="J41" s="420">
        <f>'Initial unit rates'!J169</f>
        <v>0.1175017600654306</v>
      </c>
      <c r="K41" s="420">
        <f>'Initial unit rates'!K169</f>
        <v>0.1175017600654306</v>
      </c>
      <c r="L41" s="420">
        <f>'Initial unit rates'!L169</f>
        <v>0.14594167228799484</v>
      </c>
      <c r="M41" s="420">
        <f>'Initial unit rates'!M169</f>
        <v>0.14594167228799484</v>
      </c>
      <c r="N41" s="420">
        <f>'Initial unit rates'!N169</f>
        <v>0.11856665259619766</v>
      </c>
      <c r="O41" s="420">
        <f>'Initial unit rates'!O169</f>
        <v>0.10987358475340912</v>
      </c>
      <c r="P41" s="420">
        <f>'Initial unit rates'!P169</f>
        <v>9.797104705777844E-2</v>
      </c>
      <c r="Q41" s="420">
        <f>'Initial unit rates'!Q169</f>
        <v>0.21611754891896912</v>
      </c>
      <c r="R41" s="420">
        <f>'Initial unit rates'!R169</f>
        <v>-8.905700840249331E-2</v>
      </c>
      <c r="S41" s="420">
        <f>'Initial unit rates'!S169</f>
        <v>-8.4892472038347946E-2</v>
      </c>
      <c r="T41" s="420">
        <f>'Initial unit rates'!T169</f>
        <v>-8.905700840249331E-2</v>
      </c>
      <c r="U41" s="420">
        <f>'Initial unit rates'!U169</f>
        <v>-8.905700840249331E-2</v>
      </c>
      <c r="V41" s="420">
        <f>'Initial unit rates'!V169</f>
        <v>-8.4892472038347946E-2</v>
      </c>
      <c r="W41" s="420">
        <f>'Initial unit rates'!W169</f>
        <v>-8.4892472038347946E-2</v>
      </c>
      <c r="X41" s="420">
        <f>'Initial unit rates'!X169</f>
        <v>-8.3130552807363353E-2</v>
      </c>
      <c r="Y41" s="420">
        <f>'Initial unit rates'!Y169</f>
        <v>-8.3130552807363353E-2</v>
      </c>
      <c r="Z41" s="351"/>
      <c r="AA41" s="351"/>
    </row>
    <row r="42" spans="4:27" x14ac:dyDescent="0.25">
      <c r="D42" s="295"/>
      <c r="F42" s="295" t="s">
        <v>51</v>
      </c>
      <c r="G42" s="295" t="s">
        <v>183</v>
      </c>
      <c r="H42" s="351"/>
      <c r="I42" s="351"/>
      <c r="J42" s="420">
        <f>'Initial unit rates'!J170</f>
        <v>0</v>
      </c>
      <c r="K42" s="420">
        <f>'Initial unit rates'!K170</f>
        <v>0</v>
      </c>
      <c r="L42" s="420">
        <f>'Initial unit rates'!L170</f>
        <v>0</v>
      </c>
      <c r="M42" s="420">
        <f>'Initial unit rates'!M170</f>
        <v>0</v>
      </c>
      <c r="N42" s="420">
        <f>'Initial unit rates'!N170</f>
        <v>0</v>
      </c>
      <c r="O42" s="420">
        <f>'Initial unit rates'!O170</f>
        <v>0</v>
      </c>
      <c r="P42" s="420">
        <f>'Initial unit rates'!P170</f>
        <v>0</v>
      </c>
      <c r="Q42" s="420">
        <f>'Initial unit rates'!Q170</f>
        <v>0</v>
      </c>
      <c r="R42" s="420">
        <f>'Initial unit rates'!R170</f>
        <v>0</v>
      </c>
      <c r="S42" s="420">
        <f>'Initial unit rates'!S170</f>
        <v>0</v>
      </c>
      <c r="T42" s="420">
        <f>'Initial unit rates'!T170</f>
        <v>0</v>
      </c>
      <c r="U42" s="420">
        <f>'Initial unit rates'!U170</f>
        <v>0</v>
      </c>
      <c r="V42" s="420">
        <f>'Initial unit rates'!V170</f>
        <v>0</v>
      </c>
      <c r="W42" s="420">
        <f>'Initial unit rates'!W170</f>
        <v>0</v>
      </c>
      <c r="X42" s="420">
        <f>'Initial unit rates'!X170</f>
        <v>0</v>
      </c>
      <c r="Y42" s="420">
        <f>'Initial unit rates'!Y170</f>
        <v>0</v>
      </c>
      <c r="Z42" s="351"/>
      <c r="AA42" s="351"/>
    </row>
    <row r="43" spans="4:27" x14ac:dyDescent="0.25">
      <c r="D43" s="295"/>
      <c r="F43" s="295" t="s">
        <v>48</v>
      </c>
      <c r="G43" s="295" t="s">
        <v>183</v>
      </c>
      <c r="H43" s="351"/>
      <c r="I43" s="351"/>
      <c r="J43" s="420">
        <f>'Initial unit rates'!J171</f>
        <v>0.96439197732689286</v>
      </c>
      <c r="K43" s="420">
        <f>'Initial unit rates'!K171</f>
        <v>0.96439197732689286</v>
      </c>
      <c r="L43" s="420">
        <f>'Initial unit rates'!L171</f>
        <v>1.1978116568963668</v>
      </c>
      <c r="M43" s="420">
        <f>'Initial unit rates'!M171</f>
        <v>1.1978116568963668</v>
      </c>
      <c r="N43" s="420">
        <f>'Initial unit rates'!N171</f>
        <v>0.97313204907403295</v>
      </c>
      <c r="O43" s="420">
        <f>'Initial unit rates'!O171</f>
        <v>0.90178396985142983</v>
      </c>
      <c r="P43" s="420">
        <f>'Initial unit rates'!P171</f>
        <v>0.80409426837712616</v>
      </c>
      <c r="Q43" s="420">
        <f>'Initial unit rates'!Q171</f>
        <v>1.7737779435894987</v>
      </c>
      <c r="R43" s="420">
        <f>'Initial unit rates'!R171</f>
        <v>-0.73093257820370439</v>
      </c>
      <c r="S43" s="420">
        <f>'Initial unit rates'!S171</f>
        <v>-0.69675227778410687</v>
      </c>
      <c r="T43" s="420">
        <f>'Initial unit rates'!T171</f>
        <v>-0.73093257820370439</v>
      </c>
      <c r="U43" s="420">
        <f>'Initial unit rates'!U171</f>
        <v>-0.73093257820370439</v>
      </c>
      <c r="V43" s="420">
        <f>'Initial unit rates'!V171</f>
        <v>-0.69675227778410687</v>
      </c>
      <c r="W43" s="420">
        <f>'Initial unit rates'!W171</f>
        <v>-0.69675227778410687</v>
      </c>
      <c r="X43" s="420">
        <f>'Initial unit rates'!X171</f>
        <v>0</v>
      </c>
      <c r="Y43" s="420">
        <f>'Initial unit rates'!Y171</f>
        <v>0</v>
      </c>
      <c r="Z43" s="351"/>
      <c r="AA43" s="351"/>
    </row>
    <row r="44" spans="4:27" x14ac:dyDescent="0.25">
      <c r="D44" s="295"/>
      <c r="F44" s="295" t="s">
        <v>49</v>
      </c>
      <c r="G44" s="295" t="s">
        <v>183</v>
      </c>
      <c r="H44" s="351"/>
      <c r="I44" s="351"/>
      <c r="J44" s="420">
        <f>'Initial unit rates'!J172</f>
        <v>0.37719552345054674</v>
      </c>
      <c r="K44" s="420">
        <f>'Initial unit rates'!K172</f>
        <v>0.37719552345054674</v>
      </c>
      <c r="L44" s="420">
        <f>'Initial unit rates'!L172</f>
        <v>0.46849124167386696</v>
      </c>
      <c r="M44" s="420">
        <f>'Initial unit rates'!M172</f>
        <v>0.46849124167386696</v>
      </c>
      <c r="N44" s="420">
        <f>'Initial unit rates'!N172</f>
        <v>0.38061396327083191</v>
      </c>
      <c r="O44" s="420">
        <f>'Initial unit rates'!O172</f>
        <v>0.35270811510714623</v>
      </c>
      <c r="P44" s="420">
        <f>'Initial unit rates'!P172</f>
        <v>0</v>
      </c>
      <c r="Q44" s="420">
        <f>'Initial unit rates'!Q172</f>
        <v>0.69376468868165275</v>
      </c>
      <c r="R44" s="420">
        <f>'Initial unit rates'!R172</f>
        <v>-0.28588427001104177</v>
      </c>
      <c r="S44" s="420">
        <f>'Initial unit rates'!S172</f>
        <v>0</v>
      </c>
      <c r="T44" s="420">
        <f>'Initial unit rates'!T172</f>
        <v>-0.28588427001104177</v>
      </c>
      <c r="U44" s="420">
        <f>'Initial unit rates'!U172</f>
        <v>-0.28588427001104177</v>
      </c>
      <c r="V44" s="420">
        <f>'Initial unit rates'!V172</f>
        <v>0</v>
      </c>
      <c r="W44" s="420">
        <f>'Initial unit rates'!W172</f>
        <v>0</v>
      </c>
      <c r="X44" s="420">
        <f>'Initial unit rates'!X172</f>
        <v>0</v>
      </c>
      <c r="Y44" s="420">
        <f>'Initial unit rates'!Y172</f>
        <v>0</v>
      </c>
      <c r="Z44" s="351"/>
      <c r="AA44" s="351"/>
    </row>
    <row r="45" spans="4:27" x14ac:dyDescent="0.25">
      <c r="D45" s="295"/>
      <c r="F45" s="295" t="s">
        <v>50</v>
      </c>
      <c r="G45" s="295" t="s">
        <v>183</v>
      </c>
      <c r="H45" s="351"/>
      <c r="I45" s="351"/>
      <c r="J45" s="420">
        <f>'Initial unit rates'!J173</f>
        <v>0.23096418260495072</v>
      </c>
      <c r="K45" s="420">
        <f>'Initial unit rates'!K173</f>
        <v>0.23096418260495072</v>
      </c>
      <c r="L45" s="420">
        <f>'Initial unit rates'!L173</f>
        <v>0.28686633314451193</v>
      </c>
      <c r="M45" s="420">
        <f>'Initial unit rates'!M173</f>
        <v>0.28686633314451193</v>
      </c>
      <c r="N45" s="420">
        <f>'Initial unit rates'!N173</f>
        <v>0.23305736004155911</v>
      </c>
      <c r="O45" s="420">
        <f>'Initial unit rates'!O173</f>
        <v>0</v>
      </c>
      <c r="P45" s="420">
        <f>'Initial unit rates'!P173</f>
        <v>0</v>
      </c>
      <c r="Q45" s="420">
        <f>'Initial unit rates'!Q173</f>
        <v>0.424805662526756</v>
      </c>
      <c r="R45" s="420">
        <f>'Initial unit rates'!R173</f>
        <v>0</v>
      </c>
      <c r="S45" s="420">
        <f>'Initial unit rates'!S173</f>
        <v>0</v>
      </c>
      <c r="T45" s="420">
        <f>'Initial unit rates'!T173</f>
        <v>0</v>
      </c>
      <c r="U45" s="420">
        <f>'Initial unit rates'!U173</f>
        <v>0</v>
      </c>
      <c r="V45" s="420">
        <f>'Initial unit rates'!V173</f>
        <v>0</v>
      </c>
      <c r="W45" s="420">
        <f>'Initial unit rates'!W173</f>
        <v>0</v>
      </c>
      <c r="X45" s="420">
        <f>'Initial unit rates'!X173</f>
        <v>0</v>
      </c>
      <c r="Y45" s="420">
        <f>'Initial unit rates'!Y173</f>
        <v>0</v>
      </c>
      <c r="Z45" s="351"/>
      <c r="AA45" s="351"/>
    </row>
    <row r="46" spans="4:27" x14ac:dyDescent="0.25">
      <c r="D46" s="295"/>
      <c r="F46" s="91" t="s">
        <v>124</v>
      </c>
      <c r="G46" s="91" t="s">
        <v>183</v>
      </c>
      <c r="H46" s="349"/>
      <c r="I46" s="349" t="s">
        <v>431</v>
      </c>
      <c r="J46" s="361"/>
      <c r="K46" s="361"/>
      <c r="L46" s="361"/>
      <c r="M46" s="361"/>
      <c r="N46" s="361"/>
      <c r="O46" s="361"/>
      <c r="P46" s="361"/>
      <c r="Q46" s="360">
        <f>'Service model charges'!$Q$44</f>
        <v>0.3075227288855088</v>
      </c>
      <c r="R46" s="361"/>
      <c r="S46" s="361"/>
      <c r="T46" s="361"/>
      <c r="U46" s="361"/>
      <c r="V46" s="361"/>
      <c r="W46" s="361"/>
      <c r="X46" s="361"/>
      <c r="Y46" s="361"/>
      <c r="Z46" s="351"/>
      <c r="AA46" s="351" t="s">
        <v>837</v>
      </c>
    </row>
    <row r="47" spans="4:27" x14ac:dyDescent="0.25">
      <c r="D47" s="295"/>
      <c r="F47" s="93" t="s">
        <v>123</v>
      </c>
      <c r="G47" s="93" t="s">
        <v>183</v>
      </c>
      <c r="H47" s="353"/>
      <c r="I47" s="353"/>
      <c r="J47" s="358"/>
      <c r="K47" s="358"/>
      <c r="L47" s="358"/>
      <c r="M47" s="358"/>
      <c r="N47" s="358"/>
      <c r="O47" s="358"/>
      <c r="P47" s="358"/>
      <c r="Q47" s="358"/>
      <c r="R47" s="358"/>
      <c r="S47" s="358"/>
      <c r="T47" s="358"/>
      <c r="U47" s="358"/>
      <c r="V47" s="358"/>
      <c r="W47" s="358"/>
      <c r="X47" s="358"/>
      <c r="Y47" s="358"/>
      <c r="Z47" s="351"/>
      <c r="AA47" s="351"/>
    </row>
    <row r="48" spans="4:27" x14ac:dyDescent="0.25"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</row>
    <row r="49" spans="3:27" x14ac:dyDescent="0.25">
      <c r="C49" s="7" t="str">
        <f ca="1">INDEX('Version control'!$H$34:$H$58,MATCH($A$1,'Version control'!$F$34:$F$58,0),1)&amp;"-B: Initial unit rate 2"</f>
        <v>Section 514-B: Initial unit rate 2</v>
      </c>
      <c r="D49" s="7"/>
      <c r="E49" s="7"/>
      <c r="F49" s="7"/>
      <c r="G49" s="7"/>
      <c r="H49" s="7"/>
      <c r="I49" s="7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7"/>
      <c r="AA49" s="7"/>
    </row>
    <row r="50" spans="3:27" x14ac:dyDescent="0.25">
      <c r="C50" s="96"/>
      <c r="D50" s="295"/>
      <c r="E50" s="96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</row>
    <row r="51" spans="3:27" x14ac:dyDescent="0.25">
      <c r="D51" s="295"/>
      <c r="E51" s="96" t="s">
        <v>139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25">
      <c r="D52" s="295"/>
      <c r="F52" s="91" t="s">
        <v>324</v>
      </c>
      <c r="G52" s="91" t="s">
        <v>183</v>
      </c>
      <c r="H52" s="349"/>
      <c r="I52" s="349"/>
      <c r="J52" s="360">
        <f>'Initial unit rates'!J181</f>
        <v>0</v>
      </c>
      <c r="K52" s="360">
        <f>'Initial unit rates'!K181</f>
        <v>0</v>
      </c>
      <c r="L52" s="360">
        <f>'Initial unit rates'!L181</f>
        <v>0</v>
      </c>
      <c r="M52" s="360">
        <f>'Initial unit rates'!M181</f>
        <v>0</v>
      </c>
      <c r="N52" s="360">
        <f>'Initial unit rates'!N181</f>
        <v>0</v>
      </c>
      <c r="O52" s="360">
        <f>'Initial unit rates'!O181</f>
        <v>0</v>
      </c>
      <c r="P52" s="360">
        <f>'Initial unit rates'!P181</f>
        <v>0</v>
      </c>
      <c r="Q52" s="360">
        <f>'Initial unit rates'!Q181</f>
        <v>0</v>
      </c>
      <c r="R52" s="360">
        <f>'Initial unit rates'!R181</f>
        <v>0</v>
      </c>
      <c r="S52" s="360">
        <f>'Initial unit rates'!S181</f>
        <v>0</v>
      </c>
      <c r="T52" s="360">
        <f>'Initial unit rates'!T181</f>
        <v>0</v>
      </c>
      <c r="U52" s="360">
        <f>'Initial unit rates'!U181</f>
        <v>0</v>
      </c>
      <c r="V52" s="360">
        <f>'Initial unit rates'!V181</f>
        <v>0</v>
      </c>
      <c r="W52" s="360">
        <f>'Initial unit rates'!W181</f>
        <v>0</v>
      </c>
      <c r="X52" s="360">
        <f>'Initial unit rates'!X181</f>
        <v>0</v>
      </c>
      <c r="Y52" s="360">
        <f>'Initial unit rates'!Y181</f>
        <v>0</v>
      </c>
      <c r="Z52" s="351"/>
      <c r="AA52" s="351"/>
    </row>
    <row r="53" spans="3:27" x14ac:dyDescent="0.25">
      <c r="D53" s="295"/>
      <c r="F53" s="295" t="s">
        <v>43</v>
      </c>
      <c r="G53" s="295" t="s">
        <v>183</v>
      </c>
      <c r="H53" s="351"/>
      <c r="I53" s="351"/>
      <c r="J53" s="420">
        <f>'Initial unit rates'!J182</f>
        <v>0</v>
      </c>
      <c r="K53" s="420">
        <f>'Initial unit rates'!K182</f>
        <v>0</v>
      </c>
      <c r="L53" s="420">
        <f>'Initial unit rates'!L182</f>
        <v>0</v>
      </c>
      <c r="M53" s="420">
        <f>'Initial unit rates'!M182</f>
        <v>0</v>
      </c>
      <c r="N53" s="420">
        <f>'Initial unit rates'!N182</f>
        <v>0</v>
      </c>
      <c r="O53" s="420">
        <f>'Initial unit rates'!O182</f>
        <v>0</v>
      </c>
      <c r="P53" s="420">
        <f>'Initial unit rates'!P182</f>
        <v>0</v>
      </c>
      <c r="Q53" s="420">
        <f>'Initial unit rates'!Q182</f>
        <v>0</v>
      </c>
      <c r="R53" s="420">
        <f>'Initial unit rates'!R182</f>
        <v>0</v>
      </c>
      <c r="S53" s="420">
        <f>'Initial unit rates'!S182</f>
        <v>0</v>
      </c>
      <c r="T53" s="420">
        <f>'Initial unit rates'!T182</f>
        <v>0</v>
      </c>
      <c r="U53" s="420">
        <f>'Initial unit rates'!U182</f>
        <v>0</v>
      </c>
      <c r="V53" s="420">
        <f>'Initial unit rates'!V182</f>
        <v>0</v>
      </c>
      <c r="W53" s="420">
        <f>'Initial unit rates'!W182</f>
        <v>0</v>
      </c>
      <c r="X53" s="420">
        <f>'Initial unit rates'!X182</f>
        <v>0</v>
      </c>
      <c r="Y53" s="420">
        <f>'Initial unit rates'!Y182</f>
        <v>0</v>
      </c>
      <c r="Z53" s="351"/>
      <c r="AA53" s="351"/>
    </row>
    <row r="54" spans="3:27" x14ac:dyDescent="0.25">
      <c r="D54" s="295"/>
      <c r="F54" s="295" t="s">
        <v>44</v>
      </c>
      <c r="G54" s="295" t="s">
        <v>183</v>
      </c>
      <c r="H54" s="351"/>
      <c r="I54" s="351"/>
      <c r="J54" s="420">
        <f>'Initial unit rates'!J183</f>
        <v>0.22399965859814833</v>
      </c>
      <c r="K54" s="420">
        <f>'Initial unit rates'!K183</f>
        <v>0.22399965859814833</v>
      </c>
      <c r="L54" s="420">
        <f>'Initial unit rates'!L183</f>
        <v>0.27821612841841553</v>
      </c>
      <c r="M54" s="420">
        <f>'Initial unit rates'!M183</f>
        <v>0.27821612841841553</v>
      </c>
      <c r="N54" s="420">
        <f>'Initial unit rates'!N183</f>
        <v>0.22602971809004629</v>
      </c>
      <c r="O54" s="420">
        <f>'Initial unit rates'!O183</f>
        <v>0.20945767501706716</v>
      </c>
      <c r="P54" s="420">
        <f>'Initial unit rates'!P183</f>
        <v>0.18676725422006624</v>
      </c>
      <c r="Q54" s="420">
        <f>'Initial unit rates'!Q183</f>
        <v>0.2896919172839878</v>
      </c>
      <c r="R54" s="420">
        <f>'Initial unit rates'!R183</f>
        <v>-0.16977396310338261</v>
      </c>
      <c r="S54" s="420">
        <f>'Initial unit rates'!S183</f>
        <v>-0.16183489288631797</v>
      </c>
      <c r="T54" s="420">
        <f>'Initial unit rates'!T183</f>
        <v>-0.16977396310338261</v>
      </c>
      <c r="U54" s="420">
        <f>'Initial unit rates'!U183</f>
        <v>-0.16977396310338261</v>
      </c>
      <c r="V54" s="420">
        <f>'Initial unit rates'!V183</f>
        <v>-0.16183489288631797</v>
      </c>
      <c r="W54" s="420">
        <f>'Initial unit rates'!W183</f>
        <v>-0.16183489288631797</v>
      </c>
      <c r="X54" s="420">
        <f>'Initial unit rates'!X183</f>
        <v>-0.15847605548679061</v>
      </c>
      <c r="Y54" s="420">
        <f>'Initial unit rates'!Y183</f>
        <v>-0.15847605548679061</v>
      </c>
      <c r="Z54" s="351"/>
      <c r="AA54" s="351"/>
    </row>
    <row r="55" spans="3:27" x14ac:dyDescent="0.25">
      <c r="D55" s="295"/>
      <c r="F55" s="295" t="s">
        <v>45</v>
      </c>
      <c r="G55" s="295" t="s">
        <v>183</v>
      </c>
      <c r="H55" s="351"/>
      <c r="I55" s="351"/>
      <c r="J55" s="420">
        <f>'Initial unit rates'!J184</f>
        <v>2.3474621871336695E-2</v>
      </c>
      <c r="K55" s="420">
        <f>'Initial unit rates'!K184</f>
        <v>2.3474621871336695E-2</v>
      </c>
      <c r="L55" s="420">
        <f>'Initial unit rates'!L184</f>
        <v>2.9156376639154144E-2</v>
      </c>
      <c r="M55" s="420">
        <f>'Initial unit rates'!M184</f>
        <v>2.9156376639154144E-2</v>
      </c>
      <c r="N55" s="420">
        <f>'Initial unit rates'!N184</f>
        <v>2.368736719089146E-2</v>
      </c>
      <c r="O55" s="420">
        <f>'Initial unit rates'!O184</f>
        <v>2.1950657201205325E-2</v>
      </c>
      <c r="P55" s="420">
        <f>'Initial unit rates'!P184</f>
        <v>1.9572756039906346E-2</v>
      </c>
      <c r="Q55" s="420">
        <f>'Initial unit rates'!Q184</f>
        <v>3.0276271076822025E-2</v>
      </c>
      <c r="R55" s="420">
        <f>'Initial unit rates'!R184</f>
        <v>-1.7791900275169078E-2</v>
      </c>
      <c r="S55" s="420">
        <f>'Initial unit rates'!S184</f>
        <v>-1.6959904938560453E-2</v>
      </c>
      <c r="T55" s="420">
        <f>'Initial unit rates'!T184</f>
        <v>-1.7791900275169078E-2</v>
      </c>
      <c r="U55" s="420">
        <f>'Initial unit rates'!U184</f>
        <v>-1.7791900275169078E-2</v>
      </c>
      <c r="V55" s="420">
        <f>'Initial unit rates'!V184</f>
        <v>-1.6959904938560453E-2</v>
      </c>
      <c r="W55" s="420">
        <f>'Initial unit rates'!W184</f>
        <v>-1.6959904938560453E-2</v>
      </c>
      <c r="X55" s="420">
        <f>'Initial unit rates'!X184</f>
        <v>-1.6607906911533722E-2</v>
      </c>
      <c r="Y55" s="420">
        <f>'Initial unit rates'!Y184</f>
        <v>-1.6607906911533722E-2</v>
      </c>
      <c r="Z55" s="351"/>
      <c r="AA55" s="351"/>
    </row>
    <row r="56" spans="3:27" x14ac:dyDescent="0.25">
      <c r="D56" s="295"/>
      <c r="F56" s="295" t="s">
        <v>46</v>
      </c>
      <c r="G56" s="295" t="s">
        <v>183</v>
      </c>
      <c r="H56" s="351"/>
      <c r="I56" s="351"/>
      <c r="J56" s="420">
        <f>'Initial unit rates'!J185</f>
        <v>0.23964548507841626</v>
      </c>
      <c r="K56" s="420">
        <f>'Initial unit rates'!K185</f>
        <v>0.23964548507841626</v>
      </c>
      <c r="L56" s="420">
        <f>'Initial unit rates'!L185</f>
        <v>0.29764884227382166</v>
      </c>
      <c r="M56" s="420">
        <f>'Initial unit rates'!M185</f>
        <v>0.29764884227382166</v>
      </c>
      <c r="N56" s="420">
        <f>'Initial unit rates'!N185</f>
        <v>0.2418173392442598</v>
      </c>
      <c r="O56" s="420">
        <f>'Initial unit rates'!O185</f>
        <v>0.22408777962877338</v>
      </c>
      <c r="P56" s="420">
        <f>'Initial unit rates'!P185</f>
        <v>0.1409816577463556</v>
      </c>
      <c r="Q56" s="420">
        <f>'Initial unit rates'!Q185</f>
        <v>0.30908151400001616</v>
      </c>
      <c r="R56" s="420">
        <f>'Initial unit rates'!R185</f>
        <v>-0.18163225781778758</v>
      </c>
      <c r="S56" s="420">
        <f>'Initial unit rates'!S185</f>
        <v>-0.17313866302774714</v>
      </c>
      <c r="T56" s="420">
        <f>'Initial unit rates'!T185</f>
        <v>-0.18163225781778758</v>
      </c>
      <c r="U56" s="420">
        <f>'Initial unit rates'!U185</f>
        <v>-0.18163225781778758</v>
      </c>
      <c r="V56" s="420">
        <f>'Initial unit rates'!V185</f>
        <v>-0.17313866302774714</v>
      </c>
      <c r="W56" s="420">
        <f>'Initial unit rates'!W185</f>
        <v>-0.17313866302774714</v>
      </c>
      <c r="X56" s="420">
        <f>'Initial unit rates'!X185</f>
        <v>-0.11962598641250856</v>
      </c>
      <c r="Y56" s="420">
        <f>'Initial unit rates'!Y185</f>
        <v>-0.11962598641250856</v>
      </c>
      <c r="Z56" s="351"/>
      <c r="AA56" s="351"/>
    </row>
    <row r="57" spans="3:27" x14ac:dyDescent="0.25">
      <c r="D57" s="295"/>
      <c r="F57" s="295" t="s">
        <v>47</v>
      </c>
      <c r="G57" s="295" t="s">
        <v>183</v>
      </c>
      <c r="H57" s="351"/>
      <c r="I57" s="351"/>
      <c r="J57" s="420">
        <f>'Initial unit rates'!J186</f>
        <v>5.0900968116545917E-2</v>
      </c>
      <c r="K57" s="420">
        <f>'Initial unit rates'!K186</f>
        <v>5.0900968116545917E-2</v>
      </c>
      <c r="L57" s="420">
        <f>'Initial unit rates'!L186</f>
        <v>6.3220945829832953E-2</v>
      </c>
      <c r="M57" s="420">
        <f>'Initial unit rates'!M186</f>
        <v>6.3220945829832953E-2</v>
      </c>
      <c r="N57" s="420">
        <f>'Initial unit rates'!N186</f>
        <v>5.1362272361911578E-2</v>
      </c>
      <c r="O57" s="420">
        <f>'Initial unit rates'!O186</f>
        <v>4.7596494139914292E-2</v>
      </c>
      <c r="P57" s="420">
        <f>'Initial unit rates'!P186</f>
        <v>3.6364178918157138E-2</v>
      </c>
      <c r="Q57" s="420">
        <f>'Initial unit rates'!Q186</f>
        <v>5.1186201009686481E-2</v>
      </c>
      <c r="R57" s="420">
        <f>'Initial unit rates'!R186</f>
        <v>-3.8578893990405191E-2</v>
      </c>
      <c r="S57" s="420">
        <f>'Initial unit rates'!S186</f>
        <v>-3.6774844990853872E-2</v>
      </c>
      <c r="T57" s="420">
        <f>'Initial unit rates'!T186</f>
        <v>-3.8578893990405191E-2</v>
      </c>
      <c r="U57" s="420">
        <f>'Initial unit rates'!U186</f>
        <v>-3.8578893990405191E-2</v>
      </c>
      <c r="V57" s="420">
        <f>'Initial unit rates'!V186</f>
        <v>-3.6774844990853872E-2</v>
      </c>
      <c r="W57" s="420">
        <f>'Initial unit rates'!W186</f>
        <v>-3.6774844990853872E-2</v>
      </c>
      <c r="X57" s="420">
        <f>'Initial unit rates'!X186</f>
        <v>-3.0855792467640683E-2</v>
      </c>
      <c r="Y57" s="420">
        <f>'Initial unit rates'!Y186</f>
        <v>-3.0855792467640683E-2</v>
      </c>
      <c r="Z57" s="351"/>
      <c r="AA57" s="351"/>
    </row>
    <row r="58" spans="3:27" x14ac:dyDescent="0.25">
      <c r="D58" s="295"/>
      <c r="F58" s="295" t="s">
        <v>51</v>
      </c>
      <c r="G58" s="295" t="s">
        <v>183</v>
      </c>
      <c r="H58" s="351"/>
      <c r="I58" s="351"/>
      <c r="J58" s="420">
        <f>'Initial unit rates'!J187</f>
        <v>0</v>
      </c>
      <c r="K58" s="420">
        <f>'Initial unit rates'!K187</f>
        <v>0</v>
      </c>
      <c r="L58" s="420">
        <f>'Initial unit rates'!L187</f>
        <v>0</v>
      </c>
      <c r="M58" s="420">
        <f>'Initial unit rates'!M187</f>
        <v>0</v>
      </c>
      <c r="N58" s="420">
        <f>'Initial unit rates'!N187</f>
        <v>0</v>
      </c>
      <c r="O58" s="420">
        <f>'Initial unit rates'!O187</f>
        <v>0</v>
      </c>
      <c r="P58" s="420">
        <f>'Initial unit rates'!P187</f>
        <v>0</v>
      </c>
      <c r="Q58" s="420">
        <f>'Initial unit rates'!Q187</f>
        <v>0</v>
      </c>
      <c r="R58" s="420">
        <f>'Initial unit rates'!R187</f>
        <v>0</v>
      </c>
      <c r="S58" s="420">
        <f>'Initial unit rates'!S187</f>
        <v>0</v>
      </c>
      <c r="T58" s="420">
        <f>'Initial unit rates'!T187</f>
        <v>0</v>
      </c>
      <c r="U58" s="420">
        <f>'Initial unit rates'!U187</f>
        <v>0</v>
      </c>
      <c r="V58" s="420">
        <f>'Initial unit rates'!V187</f>
        <v>0</v>
      </c>
      <c r="W58" s="420">
        <f>'Initial unit rates'!W187</f>
        <v>0</v>
      </c>
      <c r="X58" s="420">
        <f>'Initial unit rates'!X187</f>
        <v>0</v>
      </c>
      <c r="Y58" s="420">
        <f>'Initial unit rates'!Y187</f>
        <v>0</v>
      </c>
      <c r="Z58" s="351"/>
      <c r="AA58" s="351"/>
    </row>
    <row r="59" spans="3:27" x14ac:dyDescent="0.25">
      <c r="D59" s="295"/>
      <c r="F59" s="295" t="s">
        <v>48</v>
      </c>
      <c r="G59" s="295" t="s">
        <v>183</v>
      </c>
      <c r="H59" s="351"/>
      <c r="I59" s="351"/>
      <c r="J59" s="420">
        <f>'Initial unit rates'!J188</f>
        <v>0.28142893148346149</v>
      </c>
      <c r="K59" s="420">
        <f>'Initial unit rates'!K188</f>
        <v>0.28142893148346149</v>
      </c>
      <c r="L59" s="420">
        <f>'Initial unit rates'!L188</f>
        <v>0.34954547802559649</v>
      </c>
      <c r="M59" s="420">
        <f>'Initial unit rates'!M188</f>
        <v>0.34954547802559649</v>
      </c>
      <c r="N59" s="420">
        <f>'Initial unit rates'!N188</f>
        <v>0.28397945980671047</v>
      </c>
      <c r="O59" s="420">
        <f>'Initial unit rates'!O188</f>
        <v>0.26315865854427067</v>
      </c>
      <c r="P59" s="420">
        <f>'Initial unit rates'!P188</f>
        <v>9.2554145991191758E-2</v>
      </c>
      <c r="Q59" s="420">
        <f>'Initial unit rates'!Q188</f>
        <v>0.28300597002144545</v>
      </c>
      <c r="R59" s="420">
        <f>'Initial unit rates'!R188</f>
        <v>-0.21330079397849824</v>
      </c>
      <c r="S59" s="420">
        <f>'Initial unit rates'!S188</f>
        <v>-0.20332629641835265</v>
      </c>
      <c r="T59" s="420">
        <f>'Initial unit rates'!T188</f>
        <v>-0.21330079397849824</v>
      </c>
      <c r="U59" s="420">
        <f>'Initial unit rates'!U188</f>
        <v>-0.21330079397849824</v>
      </c>
      <c r="V59" s="420">
        <f>'Initial unit rates'!V188</f>
        <v>-0.20332629641835265</v>
      </c>
      <c r="W59" s="420">
        <f>'Initial unit rates'!W188</f>
        <v>-0.20332629641835265</v>
      </c>
      <c r="X59" s="420">
        <f>'Initial unit rates'!X188</f>
        <v>0</v>
      </c>
      <c r="Y59" s="420">
        <f>'Initial unit rates'!Y188</f>
        <v>0</v>
      </c>
      <c r="Z59" s="351"/>
      <c r="AA59" s="351"/>
    </row>
    <row r="60" spans="3:27" x14ac:dyDescent="0.25">
      <c r="D60" s="295"/>
      <c r="F60" s="295" t="s">
        <v>49</v>
      </c>
      <c r="G60" s="295" t="s">
        <v>183</v>
      </c>
      <c r="H60" s="351"/>
      <c r="I60" s="351"/>
      <c r="J60" s="420">
        <f>'Initial unit rates'!J189</f>
        <v>4.7226617345179703E-2</v>
      </c>
      <c r="K60" s="420">
        <f>'Initial unit rates'!K189</f>
        <v>4.7226617345179703E-2</v>
      </c>
      <c r="L60" s="420">
        <f>'Initial unit rates'!L189</f>
        <v>5.8657261882909408E-2</v>
      </c>
      <c r="M60" s="420">
        <f>'Initial unit rates'!M189</f>
        <v>5.8657261882909408E-2</v>
      </c>
      <c r="N60" s="420">
        <f>'Initial unit rates'!N189</f>
        <v>4.7654621760060557E-2</v>
      </c>
      <c r="O60" s="420">
        <f>'Initial unit rates'!O189</f>
        <v>4.4160681002590629E-2</v>
      </c>
      <c r="P60" s="420">
        <f>'Initial unit rates'!P189</f>
        <v>0</v>
      </c>
      <c r="Q60" s="420">
        <f>'Initial unit rates'!Q189</f>
        <v>4.7491260341119682E-2</v>
      </c>
      <c r="R60" s="420">
        <f>'Initial unit rates'!R189</f>
        <v>-3.5794027726810063E-2</v>
      </c>
      <c r="S60" s="420">
        <f>'Initial unit rates'!S189</f>
        <v>0</v>
      </c>
      <c r="T60" s="420">
        <f>'Initial unit rates'!T189</f>
        <v>-3.5794027726810063E-2</v>
      </c>
      <c r="U60" s="420">
        <f>'Initial unit rates'!U189</f>
        <v>-3.5794027726810063E-2</v>
      </c>
      <c r="V60" s="420">
        <f>'Initial unit rates'!V189</f>
        <v>0</v>
      </c>
      <c r="W60" s="420">
        <f>'Initial unit rates'!W189</f>
        <v>0</v>
      </c>
      <c r="X60" s="420">
        <f>'Initial unit rates'!X189</f>
        <v>0</v>
      </c>
      <c r="Y60" s="420">
        <f>'Initial unit rates'!Y189</f>
        <v>0</v>
      </c>
      <c r="Z60" s="351"/>
      <c r="AA60" s="351"/>
    </row>
    <row r="61" spans="3:27" x14ac:dyDescent="0.25">
      <c r="D61" s="295"/>
      <c r="F61" s="295" t="s">
        <v>50</v>
      </c>
      <c r="G61" s="295" t="s">
        <v>183</v>
      </c>
      <c r="H61" s="351"/>
      <c r="I61" s="351"/>
      <c r="J61" s="420">
        <f>'Initial unit rates'!J190</f>
        <v>6.9087300527342233E-3</v>
      </c>
      <c r="K61" s="420">
        <f>'Initial unit rates'!K190</f>
        <v>6.9087300527342233E-3</v>
      </c>
      <c r="L61" s="420">
        <f>'Initial unit rates'!L190</f>
        <v>8.5809065048975033E-3</v>
      </c>
      <c r="M61" s="420">
        <f>'Initial unit rates'!M190</f>
        <v>8.5809065048975033E-3</v>
      </c>
      <c r="N61" s="420">
        <f>'Initial unit rates'!N190</f>
        <v>6.9713423491470231E-3</v>
      </c>
      <c r="O61" s="420">
        <f>'Initial unit rates'!O190</f>
        <v>0</v>
      </c>
      <c r="P61" s="420">
        <f>'Initial unit rates'!P190</f>
        <v>0</v>
      </c>
      <c r="Q61" s="420">
        <f>'Initial unit rates'!Q190</f>
        <v>6.9474443863468283E-3</v>
      </c>
      <c r="R61" s="420">
        <f>'Initial unit rates'!R190</f>
        <v>0</v>
      </c>
      <c r="S61" s="420">
        <f>'Initial unit rates'!S190</f>
        <v>0</v>
      </c>
      <c r="T61" s="420">
        <f>'Initial unit rates'!T190</f>
        <v>0</v>
      </c>
      <c r="U61" s="420">
        <f>'Initial unit rates'!U190</f>
        <v>0</v>
      </c>
      <c r="V61" s="420">
        <f>'Initial unit rates'!V190</f>
        <v>0</v>
      </c>
      <c r="W61" s="420">
        <f>'Initial unit rates'!W190</f>
        <v>0</v>
      </c>
      <c r="X61" s="420">
        <f>'Initial unit rates'!X190</f>
        <v>0</v>
      </c>
      <c r="Y61" s="420">
        <f>'Initial unit rates'!Y190</f>
        <v>0</v>
      </c>
      <c r="Z61" s="351"/>
      <c r="AA61" s="351"/>
    </row>
    <row r="62" spans="3:27" x14ac:dyDescent="0.25">
      <c r="D62" s="295"/>
      <c r="F62" s="91" t="s">
        <v>124</v>
      </c>
      <c r="G62" s="91" t="s">
        <v>183</v>
      </c>
      <c r="H62" s="349"/>
      <c r="I62" s="349"/>
      <c r="J62" s="361"/>
      <c r="K62" s="361"/>
      <c r="L62" s="361"/>
      <c r="M62" s="361"/>
      <c r="N62" s="361"/>
      <c r="O62" s="361"/>
      <c r="P62" s="361"/>
      <c r="Q62" s="361"/>
      <c r="R62" s="361"/>
      <c r="S62" s="361"/>
      <c r="T62" s="361"/>
      <c r="U62" s="361"/>
      <c r="V62" s="361"/>
      <c r="W62" s="361"/>
      <c r="X62" s="361"/>
      <c r="Y62" s="361"/>
      <c r="Z62" s="351"/>
      <c r="AA62" s="351"/>
    </row>
    <row r="63" spans="3:27" x14ac:dyDescent="0.25">
      <c r="D63" s="295"/>
      <c r="F63" s="93" t="s">
        <v>123</v>
      </c>
      <c r="G63" s="93" t="s">
        <v>183</v>
      </c>
      <c r="H63" s="353"/>
      <c r="I63" s="353"/>
      <c r="J63" s="358"/>
      <c r="K63" s="358"/>
      <c r="L63" s="358"/>
      <c r="M63" s="358"/>
      <c r="N63" s="358"/>
      <c r="O63" s="358"/>
      <c r="P63" s="358"/>
      <c r="Q63" s="358"/>
      <c r="R63" s="358"/>
      <c r="S63" s="358"/>
      <c r="T63" s="358"/>
      <c r="U63" s="358"/>
      <c r="V63" s="358"/>
      <c r="W63" s="358"/>
      <c r="X63" s="358"/>
      <c r="Y63" s="358"/>
      <c r="Z63" s="351"/>
      <c r="AA63" s="351"/>
    </row>
    <row r="64" spans="3:27" x14ac:dyDescent="0.25">
      <c r="D64" s="295"/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  <c r="U64" s="253"/>
      <c r="V64" s="253"/>
      <c r="W64" s="253"/>
      <c r="X64" s="253"/>
      <c r="Y64" s="253"/>
    </row>
    <row r="65" spans="3:27" x14ac:dyDescent="0.25">
      <c r="D65" s="295"/>
      <c r="E65" s="96" t="s">
        <v>116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</row>
    <row r="66" spans="3:27" x14ac:dyDescent="0.25">
      <c r="D66" s="295"/>
      <c r="F66" s="91" t="s">
        <v>324</v>
      </c>
      <c r="G66" s="91" t="s">
        <v>183</v>
      </c>
      <c r="H66" s="349"/>
      <c r="I66" s="349"/>
      <c r="J66" s="360">
        <f>'Initial unit rates'!J193</f>
        <v>0.13858802485178834</v>
      </c>
      <c r="K66" s="360">
        <f>'Initial unit rates'!K193</f>
        <v>0.13858802485178834</v>
      </c>
      <c r="L66" s="360">
        <f>'Initial unit rates'!L193</f>
        <v>0.17213161823871834</v>
      </c>
      <c r="M66" s="360">
        <f>'Initial unit rates'!M193</f>
        <v>0.17213161823871834</v>
      </c>
      <c r="N66" s="360">
        <f>'Initial unit rates'!N193</f>
        <v>0.13984401754871686</v>
      </c>
      <c r="O66" s="360">
        <f>'Initial unit rates'!O193</f>
        <v>0.12959093621986023</v>
      </c>
      <c r="P66" s="360">
        <f>'Initial unit rates'!P193</f>
        <v>0.11555242999626951</v>
      </c>
      <c r="Q66" s="360">
        <f>'Initial unit rates'!Q193</f>
        <v>0.17923165991935752</v>
      </c>
      <c r="R66" s="360">
        <f>'Initial unit rates'!R193</f>
        <v>-0.10503872356327192</v>
      </c>
      <c r="S66" s="360">
        <f>'Initial unit rates'!S193</f>
        <v>-0.10012684080671602</v>
      </c>
      <c r="T66" s="360">
        <f>'Initial unit rates'!T193</f>
        <v>-0.10503872356327192</v>
      </c>
      <c r="U66" s="360">
        <f>'Initial unit rates'!U193</f>
        <v>-0.10503872356327192</v>
      </c>
      <c r="V66" s="360">
        <f>'Initial unit rates'!V193</f>
        <v>-0.10012684080671602</v>
      </c>
      <c r="W66" s="360">
        <f>'Initial unit rates'!W193</f>
        <v>-0.10012684080671602</v>
      </c>
      <c r="X66" s="360">
        <f>'Initial unit rates'!X193</f>
        <v>-9.8048736563557767E-2</v>
      </c>
      <c r="Y66" s="360">
        <f>'Initial unit rates'!Y193</f>
        <v>-9.8048736563557767E-2</v>
      </c>
      <c r="Z66" s="351"/>
      <c r="AA66" s="351"/>
    </row>
    <row r="67" spans="3:27" x14ac:dyDescent="0.25">
      <c r="D67" s="295"/>
      <c r="F67" s="295" t="s">
        <v>43</v>
      </c>
      <c r="G67" s="295" t="s">
        <v>183</v>
      </c>
      <c r="H67" s="351"/>
      <c r="I67" s="351"/>
      <c r="J67" s="420">
        <f>'Initial unit rates'!J194</f>
        <v>0</v>
      </c>
      <c r="K67" s="420">
        <f>'Initial unit rates'!K194</f>
        <v>0</v>
      </c>
      <c r="L67" s="420">
        <f>'Initial unit rates'!L194</f>
        <v>0</v>
      </c>
      <c r="M67" s="420">
        <f>'Initial unit rates'!M194</f>
        <v>0</v>
      </c>
      <c r="N67" s="420">
        <f>'Initial unit rates'!N194</f>
        <v>0</v>
      </c>
      <c r="O67" s="420">
        <f>'Initial unit rates'!O194</f>
        <v>0</v>
      </c>
      <c r="P67" s="420">
        <f>'Initial unit rates'!P194</f>
        <v>0</v>
      </c>
      <c r="Q67" s="420">
        <f>'Initial unit rates'!Q194</f>
        <v>0</v>
      </c>
      <c r="R67" s="420">
        <f>'Initial unit rates'!R194</f>
        <v>0</v>
      </c>
      <c r="S67" s="420">
        <f>'Initial unit rates'!S194</f>
        <v>0</v>
      </c>
      <c r="T67" s="420">
        <f>'Initial unit rates'!T194</f>
        <v>0</v>
      </c>
      <c r="U67" s="420">
        <f>'Initial unit rates'!U194</f>
        <v>0</v>
      </c>
      <c r="V67" s="420">
        <f>'Initial unit rates'!V194</f>
        <v>0</v>
      </c>
      <c r="W67" s="420">
        <f>'Initial unit rates'!W194</f>
        <v>0</v>
      </c>
      <c r="X67" s="420">
        <f>'Initial unit rates'!X194</f>
        <v>0</v>
      </c>
      <c r="Y67" s="420">
        <f>'Initial unit rates'!Y194</f>
        <v>0</v>
      </c>
      <c r="Z67" s="351"/>
      <c r="AA67" s="351"/>
    </row>
    <row r="68" spans="3:27" x14ac:dyDescent="0.25">
      <c r="D68" s="295"/>
      <c r="F68" s="295" t="s">
        <v>44</v>
      </c>
      <c r="G68" s="295" t="s">
        <v>183</v>
      </c>
      <c r="H68" s="351"/>
      <c r="I68" s="351"/>
      <c r="J68" s="420">
        <f>'Initial unit rates'!J195</f>
        <v>0.11855044208749975</v>
      </c>
      <c r="K68" s="420">
        <f>'Initial unit rates'!K195</f>
        <v>0.11855044208749975</v>
      </c>
      <c r="L68" s="420">
        <f>'Initial unit rates'!L195</f>
        <v>0.14724417539870488</v>
      </c>
      <c r="M68" s="420">
        <f>'Initial unit rates'!M195</f>
        <v>0.14724417539870488</v>
      </c>
      <c r="N68" s="420">
        <f>'Initial unit rates'!N195</f>
        <v>0.11962483859209522</v>
      </c>
      <c r="O68" s="420">
        <f>'Initial unit rates'!O195</f>
        <v>0.11085418668624</v>
      </c>
      <c r="P68" s="420">
        <f>'Initial unit rates'!P195</f>
        <v>9.8845420987799346E-2</v>
      </c>
      <c r="Q68" s="420">
        <f>'Initial unit rates'!Q195</f>
        <v>0.15331766609878245</v>
      </c>
      <c r="R68" s="420">
        <f>'Initial unit rates'!R195</f>
        <v>-8.9851826144788857E-2</v>
      </c>
      <c r="S68" s="420">
        <f>'Initial unit rates'!S195</f>
        <v>-8.565012204449296E-2</v>
      </c>
      <c r="T68" s="420">
        <f>'Initial unit rates'!T195</f>
        <v>-8.9851826144788857E-2</v>
      </c>
      <c r="U68" s="420">
        <f>'Initial unit rates'!U195</f>
        <v>-8.9851826144788857E-2</v>
      </c>
      <c r="V68" s="420">
        <f>'Initial unit rates'!V195</f>
        <v>-8.565012204449296E-2</v>
      </c>
      <c r="W68" s="420">
        <f>'Initial unit rates'!W195</f>
        <v>-8.565012204449296E-2</v>
      </c>
      <c r="X68" s="420">
        <f>'Initial unit rates'!X195</f>
        <v>-8.3872478002060089E-2</v>
      </c>
      <c r="Y68" s="420">
        <f>'Initial unit rates'!Y195</f>
        <v>-8.3872478002060089E-2</v>
      </c>
      <c r="Z68" s="351"/>
      <c r="AA68" s="351"/>
    </row>
    <row r="69" spans="3:27" x14ac:dyDescent="0.25">
      <c r="D69" s="295"/>
      <c r="F69" s="295" t="s">
        <v>45</v>
      </c>
      <c r="G69" s="295" t="s">
        <v>183</v>
      </c>
      <c r="H69" s="351"/>
      <c r="I69" s="351"/>
      <c r="J69" s="420">
        <f>'Initial unit rates'!J196</f>
        <v>1.2423799295499733E-2</v>
      </c>
      <c r="K69" s="420">
        <f>'Initial unit rates'!K196</f>
        <v>1.2423799295499733E-2</v>
      </c>
      <c r="L69" s="420">
        <f>'Initial unit rates'!L196</f>
        <v>1.5430833073019457E-2</v>
      </c>
      <c r="M69" s="420">
        <f>'Initial unit rates'!M196</f>
        <v>1.5430833073019457E-2</v>
      </c>
      <c r="N69" s="420">
        <f>'Initial unit rates'!N196</f>
        <v>1.2536393447844001E-2</v>
      </c>
      <c r="O69" s="420">
        <f>'Initial unit rates'!O196</f>
        <v>1.1617250363682304E-2</v>
      </c>
      <c r="P69" s="420">
        <f>'Initial unit rates'!P196</f>
        <v>1.0358760794204438E-2</v>
      </c>
      <c r="Q69" s="420">
        <f>'Initial unit rates'!Q196</f>
        <v>1.6023530318665866E-2</v>
      </c>
      <c r="R69" s="420">
        <f>'Initial unit rates'!R196</f>
        <v>-9.4162538300200712E-3</v>
      </c>
      <c r="S69" s="420">
        <f>'Initial unit rates'!S196</f>
        <v>-8.9759254135083396E-3</v>
      </c>
      <c r="T69" s="420">
        <f>'Initial unit rates'!T196</f>
        <v>-9.4162538300200712E-3</v>
      </c>
      <c r="U69" s="420">
        <f>'Initial unit rates'!U196</f>
        <v>-9.4162538300200712E-3</v>
      </c>
      <c r="V69" s="420">
        <f>'Initial unit rates'!V196</f>
        <v>-8.9759254135083396E-3</v>
      </c>
      <c r="W69" s="420">
        <f>'Initial unit rates'!W196</f>
        <v>-8.9759254135083396E-3</v>
      </c>
      <c r="X69" s="420">
        <f>'Initial unit rates'!X196</f>
        <v>-8.7896326219072257E-3</v>
      </c>
      <c r="Y69" s="420">
        <f>'Initial unit rates'!Y196</f>
        <v>-8.7896326219072257E-3</v>
      </c>
      <c r="Z69" s="351"/>
      <c r="AA69" s="351"/>
    </row>
    <row r="70" spans="3:27" x14ac:dyDescent="0.25">
      <c r="D70" s="295"/>
      <c r="F70" s="295" t="s">
        <v>46</v>
      </c>
      <c r="G70" s="295" t="s">
        <v>183</v>
      </c>
      <c r="H70" s="351"/>
      <c r="I70" s="351"/>
      <c r="J70" s="420">
        <f>'Initial unit rates'!J197</f>
        <v>0.1268308995563551</v>
      </c>
      <c r="K70" s="420">
        <f>'Initial unit rates'!K197</f>
        <v>0.1268308995563551</v>
      </c>
      <c r="L70" s="420">
        <f>'Initial unit rates'!L197</f>
        <v>0.15752881972778926</v>
      </c>
      <c r="M70" s="420">
        <f>'Initial unit rates'!M197</f>
        <v>0.15752881972778926</v>
      </c>
      <c r="N70" s="420">
        <f>'Initial unit rates'!N197</f>
        <v>0.1279803400203347</v>
      </c>
      <c r="O70" s="420">
        <f>'Initial unit rates'!O197</f>
        <v>0.11859707960116019</v>
      </c>
      <c r="P70" s="420">
        <f>'Initial unit rates'!P197</f>
        <v>0.10574953108699632</v>
      </c>
      <c r="Q70" s="420">
        <f>'Initial unit rates'!Q197</f>
        <v>0.16357949094694987</v>
      </c>
      <c r="R70" s="420">
        <f>'Initial unit rates'!R197</f>
        <v>-9.612775571358595E-2</v>
      </c>
      <c r="S70" s="420">
        <f>'Initial unit rates'!S197</f>
        <v>-9.1632572892447028E-2</v>
      </c>
      <c r="T70" s="420">
        <f>'Initial unit rates'!T197</f>
        <v>-9.612775571358595E-2</v>
      </c>
      <c r="U70" s="420">
        <f>'Initial unit rates'!U197</f>
        <v>-9.612775571358595E-2</v>
      </c>
      <c r="V70" s="420">
        <f>'Initial unit rates'!V197</f>
        <v>-9.1632572892447028E-2</v>
      </c>
      <c r="W70" s="420">
        <f>'Initial unit rates'!W197</f>
        <v>-9.1632572892447028E-2</v>
      </c>
      <c r="X70" s="420">
        <f>'Initial unit rates'!X197</f>
        <v>-8.9730764775811322E-2</v>
      </c>
      <c r="Y70" s="420">
        <f>'Initial unit rates'!Y197</f>
        <v>-8.9730764775811322E-2</v>
      </c>
      <c r="Z70" s="351"/>
      <c r="AA70" s="351"/>
    </row>
    <row r="71" spans="3:27" x14ac:dyDescent="0.25">
      <c r="D71" s="295"/>
      <c r="F71" s="295" t="s">
        <v>47</v>
      </c>
      <c r="G71" s="295" t="s">
        <v>183</v>
      </c>
      <c r="H71" s="351"/>
      <c r="I71" s="351"/>
      <c r="J71" s="420">
        <f>'Initial unit rates'!J198</f>
        <v>2.6939024419335118E-2</v>
      </c>
      <c r="K71" s="420">
        <f>'Initial unit rates'!K198</f>
        <v>2.6939024419335118E-2</v>
      </c>
      <c r="L71" s="420">
        <f>'Initial unit rates'!L198</f>
        <v>3.3459296876707498E-2</v>
      </c>
      <c r="M71" s="420">
        <f>'Initial unit rates'!M198</f>
        <v>3.3459296876707498E-2</v>
      </c>
      <c r="N71" s="420">
        <f>'Initial unit rates'!N198</f>
        <v>2.7183166854940564E-2</v>
      </c>
      <c r="O71" s="420">
        <f>'Initial unit rates'!O198</f>
        <v>2.5190151884225125E-2</v>
      </c>
      <c r="P71" s="420">
        <f>'Initial unit rates'!P198</f>
        <v>2.2461318261170437E-2</v>
      </c>
      <c r="Q71" s="420">
        <f>'Initial unit rates'!Q198</f>
        <v>2.708998217432158E-2</v>
      </c>
      <c r="R71" s="420">
        <f>'Initial unit rates'!R198</f>
        <v>-2.0417642448349382E-2</v>
      </c>
      <c r="S71" s="420">
        <f>'Initial unit rates'!S198</f>
        <v>-1.9462860607239518E-2</v>
      </c>
      <c r="T71" s="420">
        <f>'Initial unit rates'!T198</f>
        <v>-2.0417642448349382E-2</v>
      </c>
      <c r="U71" s="420">
        <f>'Initial unit rates'!U198</f>
        <v>-2.0417642448349382E-2</v>
      </c>
      <c r="V71" s="420">
        <f>'Initial unit rates'!V198</f>
        <v>-1.9462860607239518E-2</v>
      </c>
      <c r="W71" s="420">
        <f>'Initial unit rates'!W198</f>
        <v>-1.9462860607239518E-2</v>
      </c>
      <c r="X71" s="420">
        <f>'Initial unit rates'!X198</f>
        <v>-1.9058914443693037E-2</v>
      </c>
      <c r="Y71" s="420">
        <f>'Initial unit rates'!Y198</f>
        <v>-1.9058914443693037E-2</v>
      </c>
      <c r="Z71" s="351"/>
      <c r="AA71" s="351"/>
    </row>
    <row r="72" spans="3:27" x14ac:dyDescent="0.25">
      <c r="D72" s="295"/>
      <c r="F72" s="295" t="s">
        <v>51</v>
      </c>
      <c r="G72" s="295" t="s">
        <v>183</v>
      </c>
      <c r="H72" s="351"/>
      <c r="I72" s="351"/>
      <c r="J72" s="420">
        <f>'Initial unit rates'!J199</f>
        <v>0</v>
      </c>
      <c r="K72" s="420">
        <f>'Initial unit rates'!K199</f>
        <v>0</v>
      </c>
      <c r="L72" s="420">
        <f>'Initial unit rates'!L199</f>
        <v>0</v>
      </c>
      <c r="M72" s="420">
        <f>'Initial unit rates'!M199</f>
        <v>0</v>
      </c>
      <c r="N72" s="420">
        <f>'Initial unit rates'!N199</f>
        <v>0</v>
      </c>
      <c r="O72" s="420">
        <f>'Initial unit rates'!O199</f>
        <v>0</v>
      </c>
      <c r="P72" s="420">
        <f>'Initial unit rates'!P199</f>
        <v>0</v>
      </c>
      <c r="Q72" s="420">
        <f>'Initial unit rates'!Q199</f>
        <v>0</v>
      </c>
      <c r="R72" s="420">
        <f>'Initial unit rates'!R199</f>
        <v>0</v>
      </c>
      <c r="S72" s="420">
        <f>'Initial unit rates'!S199</f>
        <v>0</v>
      </c>
      <c r="T72" s="420">
        <f>'Initial unit rates'!T199</f>
        <v>0</v>
      </c>
      <c r="U72" s="420">
        <f>'Initial unit rates'!U199</f>
        <v>0</v>
      </c>
      <c r="V72" s="420">
        <f>'Initial unit rates'!V199</f>
        <v>0</v>
      </c>
      <c r="W72" s="420">
        <f>'Initial unit rates'!W199</f>
        <v>0</v>
      </c>
      <c r="X72" s="420">
        <f>'Initial unit rates'!X199</f>
        <v>0</v>
      </c>
      <c r="Y72" s="420">
        <f>'Initial unit rates'!Y199</f>
        <v>0</v>
      </c>
      <c r="Z72" s="351"/>
      <c r="AA72" s="351"/>
    </row>
    <row r="73" spans="3:27" x14ac:dyDescent="0.25">
      <c r="D73" s="295"/>
      <c r="F73" s="295" t="s">
        <v>48</v>
      </c>
      <c r="G73" s="295" t="s">
        <v>183</v>
      </c>
      <c r="H73" s="351"/>
      <c r="I73" s="351"/>
      <c r="J73" s="420">
        <f>'Initial unit rates'!J200</f>
        <v>0.22110119042092022</v>
      </c>
      <c r="K73" s="420">
        <f>'Initial unit rates'!K200</f>
        <v>0.22110119042092022</v>
      </c>
      <c r="L73" s="420">
        <f>'Initial unit rates'!L200</f>
        <v>0.27461612027706805</v>
      </c>
      <c r="M73" s="420">
        <f>'Initial unit rates'!M200</f>
        <v>0.27461612027706805</v>
      </c>
      <c r="N73" s="420">
        <f>'Initial unit rates'!N200</f>
        <v>0.2231049817351255</v>
      </c>
      <c r="O73" s="420">
        <f>'Initial unit rates'!O200</f>
        <v>0.20674737443307256</v>
      </c>
      <c r="P73" s="420">
        <f>'Initial unit rates'!P200</f>
        <v>0.18435055882734561</v>
      </c>
      <c r="Q73" s="420">
        <f>'Initial unit rates'!Q200</f>
        <v>0.22234017141782747</v>
      </c>
      <c r="R73" s="420">
        <f>'Initial unit rates'!R200</f>
        <v>-0.16757715426690198</v>
      </c>
      <c r="S73" s="420">
        <f>'Initial unit rates'!S200</f>
        <v>-0.15974081252060804</v>
      </c>
      <c r="T73" s="420">
        <f>'Initial unit rates'!T200</f>
        <v>-0.16757715426690198</v>
      </c>
      <c r="U73" s="420">
        <f>'Initial unit rates'!U200</f>
        <v>-0.16757715426690198</v>
      </c>
      <c r="V73" s="420">
        <f>'Initial unit rates'!V200</f>
        <v>-0.15974081252060804</v>
      </c>
      <c r="W73" s="420">
        <f>'Initial unit rates'!W200</f>
        <v>-0.15974081252060804</v>
      </c>
      <c r="X73" s="420">
        <f>'Initial unit rates'!X200</f>
        <v>0</v>
      </c>
      <c r="Y73" s="420">
        <f>'Initial unit rates'!Y200</f>
        <v>0</v>
      </c>
      <c r="Z73" s="351"/>
      <c r="AA73" s="351"/>
    </row>
    <row r="74" spans="3:27" x14ac:dyDescent="0.25">
      <c r="D74" s="295"/>
      <c r="F74" s="295" t="s">
        <v>49</v>
      </c>
      <c r="G74" s="295" t="s">
        <v>183</v>
      </c>
      <c r="H74" s="351"/>
      <c r="I74" s="351"/>
      <c r="J74" s="420">
        <f>'Initial unit rates'!J201</f>
        <v>8.6477678389156779E-2</v>
      </c>
      <c r="K74" s="420">
        <f>'Initial unit rates'!K201</f>
        <v>8.6477678389156779E-2</v>
      </c>
      <c r="L74" s="420">
        <f>'Initial unit rates'!L201</f>
        <v>0.10740857832826609</v>
      </c>
      <c r="M74" s="420">
        <f>'Initial unit rates'!M201</f>
        <v>0.10740857832826609</v>
      </c>
      <c r="N74" s="420">
        <f>'Initial unit rates'!N201</f>
        <v>8.7261406511556019E-2</v>
      </c>
      <c r="O74" s="420">
        <f>'Initial unit rates'!O201</f>
        <v>8.086357617518343E-2</v>
      </c>
      <c r="P74" s="420">
        <f>'Initial unit rates'!P201</f>
        <v>0</v>
      </c>
      <c r="Q74" s="420">
        <f>'Initial unit rates'!Q201</f>
        <v>8.6962271891239895E-2</v>
      </c>
      <c r="R74" s="420">
        <f>'Initial unit rates'!R201</f>
        <v>-6.5543216770903828E-2</v>
      </c>
      <c r="S74" s="420">
        <f>'Initial unit rates'!S201</f>
        <v>0</v>
      </c>
      <c r="T74" s="420">
        <f>'Initial unit rates'!T201</f>
        <v>-6.5543216770903828E-2</v>
      </c>
      <c r="U74" s="420">
        <f>'Initial unit rates'!U201</f>
        <v>-6.5543216770903828E-2</v>
      </c>
      <c r="V74" s="420">
        <f>'Initial unit rates'!V201</f>
        <v>0</v>
      </c>
      <c r="W74" s="420">
        <f>'Initial unit rates'!W201</f>
        <v>0</v>
      </c>
      <c r="X74" s="420">
        <f>'Initial unit rates'!X201</f>
        <v>0</v>
      </c>
      <c r="Y74" s="420">
        <f>'Initial unit rates'!Y201</f>
        <v>0</v>
      </c>
      <c r="Z74" s="351"/>
      <c r="AA74" s="351"/>
    </row>
    <row r="75" spans="3:27" x14ac:dyDescent="0.25">
      <c r="D75" s="295"/>
      <c r="F75" s="295" t="s">
        <v>50</v>
      </c>
      <c r="G75" s="295" t="s">
        <v>183</v>
      </c>
      <c r="H75" s="351"/>
      <c r="I75" s="351"/>
      <c r="J75" s="420">
        <f>'Initial unit rates'!J202</f>
        <v>5.2951970691518697E-2</v>
      </c>
      <c r="K75" s="420">
        <f>'Initial unit rates'!K202</f>
        <v>5.2951970691518697E-2</v>
      </c>
      <c r="L75" s="420">
        <f>'Initial unit rates'!L202</f>
        <v>6.5768369336441132E-2</v>
      </c>
      <c r="M75" s="420">
        <f>'Initial unit rates'!M202</f>
        <v>6.5768369336441132E-2</v>
      </c>
      <c r="N75" s="420">
        <f>'Initial unit rates'!N202</f>
        <v>5.3431862720773354E-2</v>
      </c>
      <c r="O75" s="420">
        <f>'Initial unit rates'!O202</f>
        <v>0</v>
      </c>
      <c r="P75" s="420">
        <f>'Initial unit rates'!P202</f>
        <v>0</v>
      </c>
      <c r="Q75" s="420">
        <f>'Initial unit rates'!Q202</f>
        <v>5.3248696753059495E-2</v>
      </c>
      <c r="R75" s="420">
        <f>'Initial unit rates'!R202</f>
        <v>0</v>
      </c>
      <c r="S75" s="420">
        <f>'Initial unit rates'!S202</f>
        <v>0</v>
      </c>
      <c r="T75" s="420">
        <f>'Initial unit rates'!T202</f>
        <v>0</v>
      </c>
      <c r="U75" s="420">
        <f>'Initial unit rates'!U202</f>
        <v>0</v>
      </c>
      <c r="V75" s="420">
        <f>'Initial unit rates'!V202</f>
        <v>0</v>
      </c>
      <c r="W75" s="420">
        <f>'Initial unit rates'!W202</f>
        <v>0</v>
      </c>
      <c r="X75" s="420">
        <f>'Initial unit rates'!X202</f>
        <v>0</v>
      </c>
      <c r="Y75" s="420">
        <f>'Initial unit rates'!Y202</f>
        <v>0</v>
      </c>
      <c r="Z75" s="351"/>
      <c r="AA75" s="351"/>
    </row>
    <row r="76" spans="3:27" x14ac:dyDescent="0.25">
      <c r="D76" s="295"/>
      <c r="F76" s="91" t="s">
        <v>124</v>
      </c>
      <c r="G76" s="91" t="s">
        <v>183</v>
      </c>
      <c r="H76" s="349"/>
      <c r="I76" s="349" t="s">
        <v>431</v>
      </c>
      <c r="J76" s="361"/>
      <c r="K76" s="361"/>
      <c r="L76" s="361"/>
      <c r="M76" s="361"/>
      <c r="N76" s="361"/>
      <c r="O76" s="361"/>
      <c r="P76" s="361"/>
      <c r="Q76" s="360">
        <f>'Service model charges'!$Q$44</f>
        <v>0.3075227288855088</v>
      </c>
      <c r="R76" s="361"/>
      <c r="S76" s="361"/>
      <c r="T76" s="361"/>
      <c r="U76" s="361"/>
      <c r="V76" s="361"/>
      <c r="W76" s="361"/>
      <c r="X76" s="361"/>
      <c r="Y76" s="361"/>
      <c r="Z76" s="351"/>
      <c r="AA76" s="351" t="s">
        <v>837</v>
      </c>
    </row>
    <row r="77" spans="3:27" x14ac:dyDescent="0.25">
      <c r="D77" s="295"/>
      <c r="F77" s="93" t="s">
        <v>123</v>
      </c>
      <c r="G77" s="93" t="s">
        <v>183</v>
      </c>
      <c r="H77" s="353"/>
      <c r="I77" s="353"/>
      <c r="J77" s="358"/>
      <c r="K77" s="358"/>
      <c r="L77" s="358"/>
      <c r="M77" s="358"/>
      <c r="N77" s="358"/>
      <c r="O77" s="358"/>
      <c r="P77" s="358"/>
      <c r="Q77" s="358"/>
      <c r="R77" s="358"/>
      <c r="S77" s="358"/>
      <c r="T77" s="358"/>
      <c r="U77" s="358"/>
      <c r="V77" s="358"/>
      <c r="W77" s="358"/>
      <c r="X77" s="358"/>
      <c r="Y77" s="358"/>
      <c r="Z77" s="351"/>
      <c r="AA77" s="351"/>
    </row>
    <row r="78" spans="3:27" x14ac:dyDescent="0.25"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27" x14ac:dyDescent="0.25">
      <c r="C79" s="7" t="str">
        <f ca="1">INDEX('Version control'!$H$34:$H$58,MATCH($A$1,'Version control'!$F$34:$F$58,0),1)&amp;"-C: Initial unit rate 3"</f>
        <v>Section 514-C: Initial unit rate 3</v>
      </c>
      <c r="D79" s="7"/>
      <c r="E79" s="7"/>
      <c r="F79" s="7"/>
      <c r="G79" s="7"/>
      <c r="H79" s="7"/>
      <c r="I79" s="7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7"/>
      <c r="AA79" s="7"/>
    </row>
    <row r="80" spans="3:27" x14ac:dyDescent="0.25">
      <c r="D80" s="96"/>
      <c r="E80" s="9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4:27" x14ac:dyDescent="0.25">
      <c r="D81" s="295"/>
      <c r="E81" s="96" t="s">
        <v>139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4:27" x14ac:dyDescent="0.25">
      <c r="D82" s="295"/>
      <c r="F82" s="91" t="s">
        <v>324</v>
      </c>
      <c r="G82" s="91" t="s">
        <v>183</v>
      </c>
      <c r="H82" s="349"/>
      <c r="I82" s="349"/>
      <c r="J82" s="360">
        <f>'Initial unit rates'!J210</f>
        <v>0</v>
      </c>
      <c r="K82" s="360">
        <f>'Initial unit rates'!K210</f>
        <v>0</v>
      </c>
      <c r="L82" s="360">
        <f>'Initial unit rates'!L210</f>
        <v>0</v>
      </c>
      <c r="M82" s="360">
        <f>'Initial unit rates'!M210</f>
        <v>0</v>
      </c>
      <c r="N82" s="360">
        <f>'Initial unit rates'!N210</f>
        <v>0</v>
      </c>
      <c r="O82" s="360">
        <f>'Initial unit rates'!O210</f>
        <v>0</v>
      </c>
      <c r="P82" s="360">
        <f>'Initial unit rates'!P210</f>
        <v>0</v>
      </c>
      <c r="Q82" s="360">
        <f>'Initial unit rates'!Q210</f>
        <v>0</v>
      </c>
      <c r="R82" s="360">
        <f>'Initial unit rates'!R210</f>
        <v>0</v>
      </c>
      <c r="S82" s="360">
        <f>'Initial unit rates'!S210</f>
        <v>0</v>
      </c>
      <c r="T82" s="360">
        <f>'Initial unit rates'!T210</f>
        <v>0</v>
      </c>
      <c r="U82" s="360">
        <f>'Initial unit rates'!U210</f>
        <v>0</v>
      </c>
      <c r="V82" s="360">
        <f>'Initial unit rates'!V210</f>
        <v>0</v>
      </c>
      <c r="W82" s="360">
        <f>'Initial unit rates'!W210</f>
        <v>0</v>
      </c>
      <c r="X82" s="360">
        <f>'Initial unit rates'!X210</f>
        <v>0</v>
      </c>
      <c r="Y82" s="360">
        <f>'Initial unit rates'!Y210</f>
        <v>0</v>
      </c>
      <c r="Z82" s="351"/>
      <c r="AA82" s="351"/>
    </row>
    <row r="83" spans="4:27" x14ac:dyDescent="0.25">
      <c r="D83" s="295"/>
      <c r="F83" s="295" t="s">
        <v>43</v>
      </c>
      <c r="G83" s="295" t="s">
        <v>183</v>
      </c>
      <c r="H83" s="351"/>
      <c r="I83" s="351"/>
      <c r="J83" s="420">
        <f>'Initial unit rates'!J211</f>
        <v>0</v>
      </c>
      <c r="K83" s="420">
        <f>'Initial unit rates'!K211</f>
        <v>0</v>
      </c>
      <c r="L83" s="420">
        <f>'Initial unit rates'!L211</f>
        <v>0</v>
      </c>
      <c r="M83" s="420">
        <f>'Initial unit rates'!M211</f>
        <v>0</v>
      </c>
      <c r="N83" s="420">
        <f>'Initial unit rates'!N211</f>
        <v>0</v>
      </c>
      <c r="O83" s="420">
        <f>'Initial unit rates'!O211</f>
        <v>0</v>
      </c>
      <c r="P83" s="420">
        <f>'Initial unit rates'!P211</f>
        <v>0</v>
      </c>
      <c r="Q83" s="420">
        <f>'Initial unit rates'!Q211</f>
        <v>0</v>
      </c>
      <c r="R83" s="420">
        <f>'Initial unit rates'!R211</f>
        <v>0</v>
      </c>
      <c r="S83" s="420">
        <f>'Initial unit rates'!S211</f>
        <v>0</v>
      </c>
      <c r="T83" s="420">
        <f>'Initial unit rates'!T211</f>
        <v>0</v>
      </c>
      <c r="U83" s="420">
        <f>'Initial unit rates'!U211</f>
        <v>0</v>
      </c>
      <c r="V83" s="420">
        <f>'Initial unit rates'!V211</f>
        <v>0</v>
      </c>
      <c r="W83" s="420">
        <f>'Initial unit rates'!W211</f>
        <v>0</v>
      </c>
      <c r="X83" s="420">
        <f>'Initial unit rates'!X211</f>
        <v>0</v>
      </c>
      <c r="Y83" s="420">
        <f>'Initial unit rates'!Y211</f>
        <v>0</v>
      </c>
      <c r="Z83" s="351"/>
      <c r="AA83" s="351"/>
    </row>
    <row r="84" spans="4:27" x14ac:dyDescent="0.25">
      <c r="D84" s="295"/>
      <c r="F84" s="295" t="s">
        <v>44</v>
      </c>
      <c r="G84" s="295" t="s">
        <v>183</v>
      </c>
      <c r="H84" s="351"/>
      <c r="I84" s="351"/>
      <c r="J84" s="420">
        <f>'Initial unit rates'!J212</f>
        <v>3.3960373144051308E-2</v>
      </c>
      <c r="K84" s="420">
        <f>'Initial unit rates'!K212</f>
        <v>3.3960373144051308E-2</v>
      </c>
      <c r="L84" s="420">
        <f>'Initial unit rates'!L212</f>
        <v>4.2180080072054149E-2</v>
      </c>
      <c r="M84" s="420">
        <f>'Initial unit rates'!M212</f>
        <v>4.2180080072054149E-2</v>
      </c>
      <c r="N84" s="420">
        <f>'Initial unit rates'!N212</f>
        <v>3.4268148514250231E-2</v>
      </c>
      <c r="O84" s="420">
        <f>'Initial unit rates'!O212</f>
        <v>3.1755676977285513E-2</v>
      </c>
      <c r="P84" s="420">
        <f>'Initial unit rates'!P212</f>
        <v>2.8315604068763389E-2</v>
      </c>
      <c r="Q84" s="420">
        <f>'Initial unit rates'!Q212</f>
        <v>2.9992275747656776E-2</v>
      </c>
      <c r="R84" s="420">
        <f>'Initial unit rates'!R212</f>
        <v>-2.5739267520396715E-2</v>
      </c>
      <c r="S84" s="420">
        <f>'Initial unit rates'!S212</f>
        <v>-2.4535632708291837E-2</v>
      </c>
      <c r="T84" s="420">
        <f>'Initial unit rates'!T212</f>
        <v>-2.5739267520396715E-2</v>
      </c>
      <c r="U84" s="420">
        <f>'Initial unit rates'!U212</f>
        <v>-2.5739267520396715E-2</v>
      </c>
      <c r="V84" s="420">
        <f>'Initial unit rates'!V212</f>
        <v>-2.4535632708291837E-2</v>
      </c>
      <c r="W84" s="420">
        <f>'Initial unit rates'!W212</f>
        <v>-2.4535632708291837E-2</v>
      </c>
      <c r="X84" s="420">
        <f>'Initial unit rates'!X212</f>
        <v>-2.4026402595478231E-2</v>
      </c>
      <c r="Y84" s="420">
        <f>'Initial unit rates'!Y212</f>
        <v>-2.4026402595478231E-2</v>
      </c>
      <c r="Z84" s="351"/>
      <c r="AA84" s="351"/>
    </row>
    <row r="85" spans="4:27" x14ac:dyDescent="0.25">
      <c r="D85" s="295"/>
      <c r="F85" s="295" t="s">
        <v>45</v>
      </c>
      <c r="G85" s="295" t="s">
        <v>183</v>
      </c>
      <c r="H85" s="351"/>
      <c r="I85" s="351"/>
      <c r="J85" s="420">
        <f>'Initial unit rates'!J213</f>
        <v>4.4340888681866277E-3</v>
      </c>
      <c r="K85" s="420">
        <f>'Initial unit rates'!K213</f>
        <v>4.4340888681866277E-3</v>
      </c>
      <c r="L85" s="420">
        <f>'Initial unit rates'!L213</f>
        <v>5.5073076704246155E-3</v>
      </c>
      <c r="M85" s="420">
        <f>'Initial unit rates'!M213</f>
        <v>5.5073076704246155E-3</v>
      </c>
      <c r="N85" s="420">
        <f>'Initial unit rates'!N213</f>
        <v>4.4742740374458783E-3</v>
      </c>
      <c r="O85" s="420">
        <f>'Initial unit rates'!O213</f>
        <v>4.1462292887490459E-3</v>
      </c>
      <c r="P85" s="420">
        <f>'Initial unit rates'!P213</f>
        <v>3.6970708261866219E-3</v>
      </c>
      <c r="Q85" s="420">
        <f>'Initial unit rates'!Q213</f>
        <v>3.9159880682160201E-3</v>
      </c>
      <c r="R85" s="420">
        <f>'Initial unit rates'!R213</f>
        <v>-3.3606874430783572E-3</v>
      </c>
      <c r="S85" s="420">
        <f>'Initial unit rates'!S213</f>
        <v>-3.2035329943013117E-3</v>
      </c>
      <c r="T85" s="420">
        <f>'Initial unit rates'!T213</f>
        <v>-3.3606874430783572E-3</v>
      </c>
      <c r="U85" s="420">
        <f>'Initial unit rates'!U213</f>
        <v>-3.3606874430783572E-3</v>
      </c>
      <c r="V85" s="420">
        <f>'Initial unit rates'!V213</f>
        <v>-3.2035329943013117E-3</v>
      </c>
      <c r="W85" s="420">
        <f>'Initial unit rates'!W213</f>
        <v>-3.2035329943013117E-3</v>
      </c>
      <c r="X85" s="420">
        <f>'Initial unit rates'!X213</f>
        <v>-3.1370445736648694E-3</v>
      </c>
      <c r="Y85" s="420">
        <f>'Initial unit rates'!Y213</f>
        <v>-3.1370445736648694E-3</v>
      </c>
      <c r="Z85" s="351"/>
      <c r="AA85" s="351"/>
    </row>
    <row r="86" spans="4:27" x14ac:dyDescent="0.25">
      <c r="D86" s="295"/>
      <c r="F86" s="295" t="s">
        <v>46</v>
      </c>
      <c r="G86" s="295" t="s">
        <v>183</v>
      </c>
      <c r="H86" s="351"/>
      <c r="I86" s="351"/>
      <c r="J86" s="420">
        <f>'Initial unit rates'!J214</f>
        <v>4.5266304331609789E-2</v>
      </c>
      <c r="K86" s="420">
        <f>'Initial unit rates'!K214</f>
        <v>4.5266304331609789E-2</v>
      </c>
      <c r="L86" s="420">
        <f>'Initial unit rates'!L214</f>
        <v>5.6222478274144713E-2</v>
      </c>
      <c r="M86" s="420">
        <f>'Initial unit rates'!M214</f>
        <v>5.6222478274144713E-2</v>
      </c>
      <c r="N86" s="420">
        <f>'Initial unit rates'!N214</f>
        <v>4.567654286209067E-2</v>
      </c>
      <c r="O86" s="420">
        <f>'Initial unit rates'!O214</f>
        <v>4.2327630860024702E-2</v>
      </c>
      <c r="P86" s="420">
        <f>'Initial unit rates'!P214</f>
        <v>2.6629830403995185E-2</v>
      </c>
      <c r="Q86" s="420">
        <f>'Initial unit rates'!Q214</f>
        <v>3.9977166205807817E-2</v>
      </c>
      <c r="R86" s="420">
        <f>'Initial unit rates'!R214</f>
        <v>-3.4308266046101633E-2</v>
      </c>
      <c r="S86" s="420">
        <f>'Initial unit rates'!S214</f>
        <v>-3.2703922669845072E-2</v>
      </c>
      <c r="T86" s="420">
        <f>'Initial unit rates'!T214</f>
        <v>-3.4308266046101633E-2</v>
      </c>
      <c r="U86" s="420">
        <f>'Initial unit rates'!U214</f>
        <v>-3.4308266046101633E-2</v>
      </c>
      <c r="V86" s="420">
        <f>'Initial unit rates'!V214</f>
        <v>-3.2703922669845072E-2</v>
      </c>
      <c r="W86" s="420">
        <f>'Initial unit rates'!W214</f>
        <v>-3.2703922669845072E-2</v>
      </c>
      <c r="X86" s="420">
        <f>'Initial unit rates'!X214</f>
        <v>-2.2595987173076662E-2</v>
      </c>
      <c r="Y86" s="420">
        <f>'Initial unit rates'!Y214</f>
        <v>-2.2595987173076662E-2</v>
      </c>
      <c r="Z86" s="351"/>
      <c r="AA86" s="351"/>
    </row>
    <row r="87" spans="4:27" x14ac:dyDescent="0.25">
      <c r="D87" s="295"/>
      <c r="F87" s="295" t="s">
        <v>47</v>
      </c>
      <c r="G87" s="295" t="s">
        <v>183</v>
      </c>
      <c r="H87" s="351"/>
      <c r="I87" s="351"/>
      <c r="J87" s="420">
        <f>'Initial unit rates'!J215</f>
        <v>3.5627525405006973E-3</v>
      </c>
      <c r="K87" s="420">
        <f>'Initial unit rates'!K215</f>
        <v>3.5627525405006973E-3</v>
      </c>
      <c r="L87" s="420">
        <f>'Initial unit rates'!L215</f>
        <v>4.4250746833020931E-3</v>
      </c>
      <c r="M87" s="420">
        <f>'Initial unit rates'!M215</f>
        <v>4.4250746833020931E-3</v>
      </c>
      <c r="N87" s="420">
        <f>'Initial unit rates'!N215</f>
        <v>3.5950409808375729E-3</v>
      </c>
      <c r="O87" s="420">
        <f>'Initial unit rates'!O215</f>
        <v>3.3314598266115129E-3</v>
      </c>
      <c r="P87" s="420">
        <f>'Initial unit rates'!P215</f>
        <v>2.545267322366949E-3</v>
      </c>
      <c r="Q87" s="420">
        <f>'Initial unit rates'!Q215</f>
        <v>3.1464629720677545E-3</v>
      </c>
      <c r="R87" s="420">
        <f>'Initial unit rates'!R215</f>
        <v>-2.7002836617825458E-3</v>
      </c>
      <c r="S87" s="420">
        <f>'Initial unit rates'!S215</f>
        <v>-2.5740114042171742E-3</v>
      </c>
      <c r="T87" s="420">
        <f>'Initial unit rates'!T215</f>
        <v>-2.7002836617825458E-3</v>
      </c>
      <c r="U87" s="420">
        <f>'Initial unit rates'!U215</f>
        <v>-2.7002836617825458E-3</v>
      </c>
      <c r="V87" s="420">
        <f>'Initial unit rates'!V215</f>
        <v>-2.5740114042171742E-3</v>
      </c>
      <c r="W87" s="420">
        <f>'Initial unit rates'!W215</f>
        <v>-2.5740114042171742E-3</v>
      </c>
      <c r="X87" s="420">
        <f>'Initial unit rates'!X215</f>
        <v>-2.1597143840475343E-3</v>
      </c>
      <c r="Y87" s="420">
        <f>'Initial unit rates'!Y215</f>
        <v>-2.1597143840475343E-3</v>
      </c>
      <c r="Z87" s="351"/>
      <c r="AA87" s="351"/>
    </row>
    <row r="88" spans="4:27" x14ac:dyDescent="0.25">
      <c r="D88" s="295"/>
      <c r="F88" s="295" t="s">
        <v>51</v>
      </c>
      <c r="G88" s="295" t="s">
        <v>183</v>
      </c>
      <c r="H88" s="351"/>
      <c r="I88" s="351"/>
      <c r="J88" s="420">
        <f>'Initial unit rates'!J216</f>
        <v>0</v>
      </c>
      <c r="K88" s="420">
        <f>'Initial unit rates'!K216</f>
        <v>0</v>
      </c>
      <c r="L88" s="420">
        <f>'Initial unit rates'!L216</f>
        <v>0</v>
      </c>
      <c r="M88" s="420">
        <f>'Initial unit rates'!M216</f>
        <v>0</v>
      </c>
      <c r="N88" s="420">
        <f>'Initial unit rates'!N216</f>
        <v>0</v>
      </c>
      <c r="O88" s="420">
        <f>'Initial unit rates'!O216</f>
        <v>0</v>
      </c>
      <c r="P88" s="420">
        <f>'Initial unit rates'!P216</f>
        <v>0</v>
      </c>
      <c r="Q88" s="420">
        <f>'Initial unit rates'!Q216</f>
        <v>0</v>
      </c>
      <c r="R88" s="420">
        <f>'Initial unit rates'!R216</f>
        <v>0</v>
      </c>
      <c r="S88" s="420">
        <f>'Initial unit rates'!S216</f>
        <v>0</v>
      </c>
      <c r="T88" s="420">
        <f>'Initial unit rates'!T216</f>
        <v>0</v>
      </c>
      <c r="U88" s="420">
        <f>'Initial unit rates'!U216</f>
        <v>0</v>
      </c>
      <c r="V88" s="420">
        <f>'Initial unit rates'!V216</f>
        <v>0</v>
      </c>
      <c r="W88" s="420">
        <f>'Initial unit rates'!W216</f>
        <v>0</v>
      </c>
      <c r="X88" s="420">
        <f>'Initial unit rates'!X216</f>
        <v>0</v>
      </c>
      <c r="Y88" s="420">
        <f>'Initial unit rates'!Y216</f>
        <v>0</v>
      </c>
      <c r="Z88" s="351"/>
      <c r="AA88" s="351"/>
    </row>
    <row r="89" spans="4:27" x14ac:dyDescent="0.25">
      <c r="D89" s="295"/>
      <c r="F89" s="295" t="s">
        <v>48</v>
      </c>
      <c r="G89" s="295" t="s">
        <v>183</v>
      </c>
      <c r="H89" s="351"/>
      <c r="I89" s="351"/>
      <c r="J89" s="420">
        <f>'Initial unit rates'!J217</f>
        <v>1.9698282325737788E-2</v>
      </c>
      <c r="K89" s="420">
        <f>'Initial unit rates'!K217</f>
        <v>1.9698282325737788E-2</v>
      </c>
      <c r="L89" s="420">
        <f>'Initial unit rates'!L217</f>
        <v>2.4466018740641832E-2</v>
      </c>
      <c r="M89" s="420">
        <f>'Initial unit rates'!M217</f>
        <v>2.4466018740641832E-2</v>
      </c>
      <c r="N89" s="420">
        <f>'Initial unit rates'!N217</f>
        <v>1.9876803513045438E-2</v>
      </c>
      <c r="O89" s="420">
        <f>'Initial unit rates'!O217</f>
        <v>1.8419476367063221E-2</v>
      </c>
      <c r="P89" s="420">
        <f>'Initial unit rates'!P217</f>
        <v>6.4782170352630855E-3</v>
      </c>
      <c r="Q89" s="420">
        <f>'Initial unit rates'!Q217</f>
        <v>1.7396637921577397E-2</v>
      </c>
      <c r="R89" s="420">
        <f>'Initial unit rates'!R217</f>
        <v>-1.492973461521814E-2</v>
      </c>
      <c r="S89" s="420">
        <f>'Initial unit rates'!S217</f>
        <v>-1.4231581557671969E-2</v>
      </c>
      <c r="T89" s="420">
        <f>'Initial unit rates'!T217</f>
        <v>-1.492973461521814E-2</v>
      </c>
      <c r="U89" s="420">
        <f>'Initial unit rates'!U217</f>
        <v>-1.492973461521814E-2</v>
      </c>
      <c r="V89" s="420">
        <f>'Initial unit rates'!V217</f>
        <v>-1.4231581557671969E-2</v>
      </c>
      <c r="W89" s="420">
        <f>'Initial unit rates'!W217</f>
        <v>-1.4231581557671969E-2</v>
      </c>
      <c r="X89" s="420">
        <f>'Initial unit rates'!X217</f>
        <v>0</v>
      </c>
      <c r="Y89" s="420">
        <f>'Initial unit rates'!Y217</f>
        <v>0</v>
      </c>
      <c r="Z89" s="351"/>
      <c r="AA89" s="351"/>
    </row>
    <row r="90" spans="4:27" x14ac:dyDescent="0.25">
      <c r="D90" s="295"/>
      <c r="F90" s="295" t="s">
        <v>49</v>
      </c>
      <c r="G90" s="295" t="s">
        <v>183</v>
      </c>
      <c r="H90" s="351"/>
      <c r="I90" s="351"/>
      <c r="J90" s="420">
        <f>'Initial unit rates'!J218</f>
        <v>3.3055707416122723E-3</v>
      </c>
      <c r="K90" s="420">
        <f>'Initial unit rates'!K218</f>
        <v>3.3055707416122723E-3</v>
      </c>
      <c r="L90" s="420">
        <f>'Initial unit rates'!L218</f>
        <v>4.1056450697294026E-3</v>
      </c>
      <c r="M90" s="420">
        <f>'Initial unit rates'!M218</f>
        <v>4.1056450697294026E-3</v>
      </c>
      <c r="N90" s="420">
        <f>'Initial unit rates'!N218</f>
        <v>3.3355284000397278E-3</v>
      </c>
      <c r="O90" s="420">
        <f>'Initial unit rates'!O218</f>
        <v>3.0909741848520488E-3</v>
      </c>
      <c r="P90" s="420">
        <f>'Initial unit rates'!P218</f>
        <v>0</v>
      </c>
      <c r="Q90" s="420">
        <f>'Initial unit rates'!Q218</f>
        <v>2.9193315622678241E-3</v>
      </c>
      <c r="R90" s="420">
        <f>'Initial unit rates'!R218</f>
        <v>-2.5053602698961526E-3</v>
      </c>
      <c r="S90" s="420">
        <f>'Initial unit rates'!S218</f>
        <v>0</v>
      </c>
      <c r="T90" s="420">
        <f>'Initial unit rates'!T218</f>
        <v>-2.5053602698961526E-3</v>
      </c>
      <c r="U90" s="420">
        <f>'Initial unit rates'!U218</f>
        <v>-2.5053602698961526E-3</v>
      </c>
      <c r="V90" s="420">
        <f>'Initial unit rates'!V218</f>
        <v>0</v>
      </c>
      <c r="W90" s="420">
        <f>'Initial unit rates'!W218</f>
        <v>0</v>
      </c>
      <c r="X90" s="420">
        <f>'Initial unit rates'!X218</f>
        <v>0</v>
      </c>
      <c r="Y90" s="420">
        <f>'Initial unit rates'!Y218</f>
        <v>0</v>
      </c>
      <c r="Z90" s="351"/>
      <c r="AA90" s="351"/>
    </row>
    <row r="91" spans="4:27" x14ac:dyDescent="0.25">
      <c r="D91" s="295"/>
      <c r="F91" s="295" t="s">
        <v>50</v>
      </c>
      <c r="G91" s="295" t="s">
        <v>183</v>
      </c>
      <c r="H91" s="351"/>
      <c r="I91" s="351"/>
      <c r="J91" s="420">
        <f>'Initial unit rates'!J219</f>
        <v>4.8356831820279845E-4</v>
      </c>
      <c r="K91" s="420">
        <f>'Initial unit rates'!K219</f>
        <v>4.8356831820279845E-4</v>
      </c>
      <c r="L91" s="420">
        <f>'Initial unit rates'!L219</f>
        <v>6.0061031413241237E-4</v>
      </c>
      <c r="M91" s="420">
        <f>'Initial unit rates'!M219</f>
        <v>6.0061031413241237E-4</v>
      </c>
      <c r="N91" s="420">
        <f>'Initial unit rates'!N219</f>
        <v>4.879507911962497E-4</v>
      </c>
      <c r="O91" s="420">
        <f>'Initial unit rates'!O219</f>
        <v>0</v>
      </c>
      <c r="P91" s="420">
        <f>'Initial unit rates'!P219</f>
        <v>0</v>
      </c>
      <c r="Q91" s="420">
        <f>'Initial unit rates'!Q219</f>
        <v>4.2706581228803275E-4</v>
      </c>
      <c r="R91" s="420">
        <f>'Initial unit rates'!R219</f>
        <v>0</v>
      </c>
      <c r="S91" s="420">
        <f>'Initial unit rates'!S219</f>
        <v>0</v>
      </c>
      <c r="T91" s="420">
        <f>'Initial unit rates'!T219</f>
        <v>0</v>
      </c>
      <c r="U91" s="420">
        <f>'Initial unit rates'!U219</f>
        <v>0</v>
      </c>
      <c r="V91" s="420">
        <f>'Initial unit rates'!V219</f>
        <v>0</v>
      </c>
      <c r="W91" s="420">
        <f>'Initial unit rates'!W219</f>
        <v>0</v>
      </c>
      <c r="X91" s="420">
        <f>'Initial unit rates'!X219</f>
        <v>0</v>
      </c>
      <c r="Y91" s="420">
        <f>'Initial unit rates'!Y219</f>
        <v>0</v>
      </c>
      <c r="Z91" s="351"/>
      <c r="AA91" s="351"/>
    </row>
    <row r="92" spans="4:27" x14ac:dyDescent="0.25">
      <c r="D92" s="295"/>
      <c r="F92" s="91" t="s">
        <v>124</v>
      </c>
      <c r="G92" s="91" t="s">
        <v>183</v>
      </c>
      <c r="H92" s="349"/>
      <c r="I92" s="349"/>
      <c r="J92" s="361"/>
      <c r="K92" s="361"/>
      <c r="L92" s="361"/>
      <c r="M92" s="361"/>
      <c r="N92" s="361"/>
      <c r="O92" s="361"/>
      <c r="P92" s="361"/>
      <c r="Q92" s="361"/>
      <c r="R92" s="361"/>
      <c r="S92" s="361"/>
      <c r="T92" s="361"/>
      <c r="U92" s="361"/>
      <c r="V92" s="361"/>
      <c r="W92" s="361"/>
      <c r="X92" s="361"/>
      <c r="Y92" s="361"/>
      <c r="Z92" s="351"/>
      <c r="AA92" s="351"/>
    </row>
    <row r="93" spans="4:27" x14ac:dyDescent="0.25">
      <c r="D93" s="295"/>
      <c r="F93" s="93" t="s">
        <v>123</v>
      </c>
      <c r="G93" s="93" t="s">
        <v>183</v>
      </c>
      <c r="H93" s="353"/>
      <c r="I93" s="353"/>
      <c r="J93" s="358"/>
      <c r="K93" s="358"/>
      <c r="L93" s="358"/>
      <c r="M93" s="358"/>
      <c r="N93" s="358"/>
      <c r="O93" s="358"/>
      <c r="P93" s="358"/>
      <c r="Q93" s="358"/>
      <c r="R93" s="358"/>
      <c r="S93" s="358"/>
      <c r="T93" s="358"/>
      <c r="U93" s="358"/>
      <c r="V93" s="358"/>
      <c r="W93" s="358"/>
      <c r="X93" s="358"/>
      <c r="Y93" s="358"/>
      <c r="Z93" s="351"/>
      <c r="AA93" s="351"/>
    </row>
    <row r="94" spans="4:27" x14ac:dyDescent="0.25">
      <c r="D94" s="295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</row>
    <row r="95" spans="4:27" x14ac:dyDescent="0.25">
      <c r="D95" s="295"/>
      <c r="E95" s="96" t="s">
        <v>116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</row>
    <row r="96" spans="4:27" x14ac:dyDescent="0.25">
      <c r="D96" s="295"/>
      <c r="F96" s="91" t="s">
        <v>324</v>
      </c>
      <c r="G96" s="91" t="s">
        <v>183</v>
      </c>
      <c r="H96" s="349"/>
      <c r="I96" s="349"/>
      <c r="J96" s="360">
        <f>'Initial unit rates'!J222</f>
        <v>2.1011197368417302E-2</v>
      </c>
      <c r="K96" s="360">
        <f>'Initial unit rates'!K222</f>
        <v>2.1011197368417302E-2</v>
      </c>
      <c r="L96" s="360">
        <f>'Initial unit rates'!L222</f>
        <v>2.6096709351523025E-2</v>
      </c>
      <c r="M96" s="360">
        <f>'Initial unit rates'!M222</f>
        <v>2.6096709351523025E-2</v>
      </c>
      <c r="N96" s="360">
        <f>'Initial unit rates'!N222</f>
        <v>2.1201617215129729E-2</v>
      </c>
      <c r="O96" s="360">
        <f>'Initial unit rates'!O222</f>
        <v>1.9647157400398768E-2</v>
      </c>
      <c r="P96" s="360">
        <f>'Initial unit rates'!P222</f>
        <v>1.7518792952337197E-2</v>
      </c>
      <c r="Q96" s="360">
        <f>'Initial unit rates'!Q222</f>
        <v>1.8556145499019551E-2</v>
      </c>
      <c r="R96" s="360">
        <f>'Initial unit rates'!R222</f>
        <v>-1.5924820015833081E-2</v>
      </c>
      <c r="S96" s="360">
        <f>'Initial unit rates'!S222</f>
        <v>-1.5180134187754549E-2</v>
      </c>
      <c r="T96" s="360">
        <f>'Initial unit rates'!T222</f>
        <v>-1.5924820015833081E-2</v>
      </c>
      <c r="U96" s="360">
        <f>'Initial unit rates'!U222</f>
        <v>-1.5924820015833081E-2</v>
      </c>
      <c r="V96" s="360">
        <f>'Initial unit rates'!V222</f>
        <v>-1.5180134187754549E-2</v>
      </c>
      <c r="W96" s="360">
        <f>'Initial unit rates'!W222</f>
        <v>-1.5180134187754549E-2</v>
      </c>
      <c r="X96" s="360">
        <f>'Initial unit rates'!X222</f>
        <v>-1.48650747989521E-2</v>
      </c>
      <c r="Y96" s="360">
        <f>'Initial unit rates'!Y222</f>
        <v>-1.48650747989521E-2</v>
      </c>
      <c r="Z96" s="351"/>
      <c r="AA96" s="351"/>
    </row>
    <row r="97" spans="3:42" x14ac:dyDescent="0.25">
      <c r="D97" s="295"/>
      <c r="F97" s="295" t="s">
        <v>43</v>
      </c>
      <c r="G97" s="295" t="s">
        <v>183</v>
      </c>
      <c r="H97" s="351"/>
      <c r="I97" s="351"/>
      <c r="J97" s="420">
        <f>'Initial unit rates'!J223</f>
        <v>0</v>
      </c>
      <c r="K97" s="420">
        <f>'Initial unit rates'!K223</f>
        <v>0</v>
      </c>
      <c r="L97" s="420">
        <f>'Initial unit rates'!L223</f>
        <v>0</v>
      </c>
      <c r="M97" s="420">
        <f>'Initial unit rates'!M223</f>
        <v>0</v>
      </c>
      <c r="N97" s="420">
        <f>'Initial unit rates'!N223</f>
        <v>0</v>
      </c>
      <c r="O97" s="420">
        <f>'Initial unit rates'!O223</f>
        <v>0</v>
      </c>
      <c r="P97" s="420">
        <f>'Initial unit rates'!P223</f>
        <v>0</v>
      </c>
      <c r="Q97" s="420">
        <f>'Initial unit rates'!Q223</f>
        <v>0</v>
      </c>
      <c r="R97" s="420">
        <f>'Initial unit rates'!R223</f>
        <v>0</v>
      </c>
      <c r="S97" s="420">
        <f>'Initial unit rates'!S223</f>
        <v>0</v>
      </c>
      <c r="T97" s="420">
        <f>'Initial unit rates'!T223</f>
        <v>0</v>
      </c>
      <c r="U97" s="420">
        <f>'Initial unit rates'!U223</f>
        <v>0</v>
      </c>
      <c r="V97" s="420">
        <f>'Initial unit rates'!V223</f>
        <v>0</v>
      </c>
      <c r="W97" s="420">
        <f>'Initial unit rates'!W223</f>
        <v>0</v>
      </c>
      <c r="X97" s="420">
        <f>'Initial unit rates'!X223</f>
        <v>0</v>
      </c>
      <c r="Y97" s="420">
        <f>'Initial unit rates'!Y223</f>
        <v>0</v>
      </c>
      <c r="Z97" s="351"/>
      <c r="AA97" s="351"/>
    </row>
    <row r="98" spans="3:42" x14ac:dyDescent="0.25">
      <c r="D98" s="295"/>
      <c r="F98" s="295" t="s">
        <v>44</v>
      </c>
      <c r="G98" s="295" t="s">
        <v>183</v>
      </c>
      <c r="H98" s="351"/>
      <c r="I98" s="351"/>
      <c r="J98" s="420">
        <f>'Initial unit rates'!J224</f>
        <v>1.7973318686642932E-2</v>
      </c>
      <c r="K98" s="420">
        <f>'Initial unit rates'!K224</f>
        <v>1.7973318686642932E-2</v>
      </c>
      <c r="L98" s="420">
        <f>'Initial unit rates'!L224</f>
        <v>2.2323548040753548E-2</v>
      </c>
      <c r="M98" s="420">
        <f>'Initial unit rates'!M224</f>
        <v>2.2323548040753548E-2</v>
      </c>
      <c r="N98" s="420">
        <f>'Initial unit rates'!N224</f>
        <v>1.8136206909013766E-2</v>
      </c>
      <c r="O98" s="420">
        <f>'Initial unit rates'!O224</f>
        <v>1.6806496795598931E-2</v>
      </c>
      <c r="P98" s="420">
        <f>'Initial unit rates'!P224</f>
        <v>1.4985859359493932E-2</v>
      </c>
      <c r="Q98" s="420">
        <f>'Initial unit rates'!Q224</f>
        <v>1.5873227536804379E-2</v>
      </c>
      <c r="R98" s="420">
        <f>'Initial unit rates'!R224</f>
        <v>-1.3622349081458282E-2</v>
      </c>
      <c r="S98" s="420">
        <f>'Initial unit rates'!S224</f>
        <v>-1.2985332757505193E-2</v>
      </c>
      <c r="T98" s="420">
        <f>'Initial unit rates'!T224</f>
        <v>-1.3622349081458282E-2</v>
      </c>
      <c r="U98" s="420">
        <f>'Initial unit rates'!U224</f>
        <v>-1.3622349081458282E-2</v>
      </c>
      <c r="V98" s="420">
        <f>'Initial unit rates'!V224</f>
        <v>-1.2985332757505193E-2</v>
      </c>
      <c r="W98" s="420">
        <f>'Initial unit rates'!W224</f>
        <v>-1.2985332757505193E-2</v>
      </c>
      <c r="X98" s="420">
        <f>'Initial unit rates'!X224</f>
        <v>-1.271582585121735E-2</v>
      </c>
      <c r="Y98" s="420">
        <f>'Initial unit rates'!Y224</f>
        <v>-1.271582585121735E-2</v>
      </c>
      <c r="Z98" s="351"/>
      <c r="AA98" s="351"/>
    </row>
    <row r="99" spans="3:42" x14ac:dyDescent="0.25">
      <c r="D99" s="295"/>
      <c r="F99" s="295" t="s">
        <v>45</v>
      </c>
      <c r="G99" s="295" t="s">
        <v>183</v>
      </c>
      <c r="H99" s="351"/>
      <c r="I99" s="351"/>
      <c r="J99" s="420">
        <f>'Initial unit rates'!J225</f>
        <v>2.3467142712115339E-3</v>
      </c>
      <c r="K99" s="420">
        <f>'Initial unit rates'!K225</f>
        <v>2.3467142712115339E-3</v>
      </c>
      <c r="L99" s="420">
        <f>'Initial unit rates'!L225</f>
        <v>2.9147087237842498E-3</v>
      </c>
      <c r="M99" s="420">
        <f>'Initial unit rates'!M225</f>
        <v>2.9147087237842498E-3</v>
      </c>
      <c r="N99" s="420">
        <f>'Initial unit rates'!N225</f>
        <v>2.3679820249699977E-3</v>
      </c>
      <c r="O99" s="420">
        <f>'Initial unit rates'!O225</f>
        <v>2.1943663586521298E-3</v>
      </c>
      <c r="P99" s="420">
        <f>'Initial unit rates'!P225</f>
        <v>1.9566520039189248E-3</v>
      </c>
      <c r="Q99" s="420">
        <f>'Initial unit rates'!Q225</f>
        <v>2.0725126082858274E-3</v>
      </c>
      <c r="R99" s="420">
        <f>'Initial unit rates'!R225</f>
        <v>-1.7786231666075489E-3</v>
      </c>
      <c r="S99" s="420">
        <f>'Initial unit rates'!S225</f>
        <v>-1.6954501408309364E-3</v>
      </c>
      <c r="T99" s="420">
        <f>'Initial unit rates'!T225</f>
        <v>-1.7786231666075489E-3</v>
      </c>
      <c r="U99" s="420">
        <f>'Initial unit rates'!U225</f>
        <v>-1.7786231666075489E-3</v>
      </c>
      <c r="V99" s="420">
        <f>'Initial unit rates'!V225</f>
        <v>-1.6954501408309364E-3</v>
      </c>
      <c r="W99" s="420">
        <f>'Initial unit rates'!W225</f>
        <v>-1.6954501408309364E-3</v>
      </c>
      <c r="X99" s="420">
        <f>'Initial unit rates'!X225</f>
        <v>-1.6602615530023701E-3</v>
      </c>
      <c r="Y99" s="420">
        <f>'Initial unit rates'!Y225</f>
        <v>-1.6602615530023701E-3</v>
      </c>
      <c r="Z99" s="351"/>
      <c r="AA99" s="351"/>
    </row>
    <row r="100" spans="3:42" x14ac:dyDescent="0.25">
      <c r="D100" s="295"/>
      <c r="F100" s="295" t="s">
        <v>46</v>
      </c>
      <c r="G100" s="295" t="s">
        <v>183</v>
      </c>
      <c r="H100" s="351"/>
      <c r="I100" s="351"/>
      <c r="J100" s="420">
        <f>'Initial unit rates'!J226</f>
        <v>2.3956913254974073E-2</v>
      </c>
      <c r="K100" s="420">
        <f>'Initial unit rates'!K226</f>
        <v>2.3956913254974073E-2</v>
      </c>
      <c r="L100" s="420">
        <f>'Initial unit rates'!L226</f>
        <v>2.975540095180219E-2</v>
      </c>
      <c r="M100" s="420">
        <f>'Initial unit rates'!M226</f>
        <v>2.975540095180219E-2</v>
      </c>
      <c r="N100" s="420">
        <f>'Initial unit rates'!N226</f>
        <v>2.4174029474946013E-2</v>
      </c>
      <c r="O100" s="420">
        <f>'Initial unit rates'!O226</f>
        <v>2.2401638388094877E-2</v>
      </c>
      <c r="P100" s="420">
        <f>'Initial unit rates'!P226</f>
        <v>1.9974882712865006E-2</v>
      </c>
      <c r="Q100" s="420">
        <f>'Initial unit rates'!Q226</f>
        <v>2.1157669421301296E-2</v>
      </c>
      <c r="R100" s="420">
        <f>'Initial unit rates'!R226</f>
        <v>-1.8157438866089982E-2</v>
      </c>
      <c r="S100" s="420">
        <f>'Initial unit rates'!S226</f>
        <v>-1.7308349998251243E-2</v>
      </c>
      <c r="T100" s="420">
        <f>'Initial unit rates'!T226</f>
        <v>-1.8157438866089982E-2</v>
      </c>
      <c r="U100" s="420">
        <f>'Initial unit rates'!U226</f>
        <v>-1.8157438866089982E-2</v>
      </c>
      <c r="V100" s="420">
        <f>'Initial unit rates'!V226</f>
        <v>-1.7308349998251243E-2</v>
      </c>
      <c r="W100" s="420">
        <f>'Initial unit rates'!W226</f>
        <v>-1.7308349998251243E-2</v>
      </c>
      <c r="X100" s="420">
        <f>'Initial unit rates'!X226</f>
        <v>-1.6949120092627161E-2</v>
      </c>
      <c r="Y100" s="420">
        <f>'Initial unit rates'!Y226</f>
        <v>-1.6949120092627161E-2</v>
      </c>
      <c r="Z100" s="351"/>
      <c r="AA100" s="351"/>
    </row>
    <row r="101" spans="3:42" x14ac:dyDescent="0.25">
      <c r="D101" s="295"/>
      <c r="F101" s="295" t="s">
        <v>47</v>
      </c>
      <c r="G101" s="295" t="s">
        <v>183</v>
      </c>
      <c r="H101" s="351"/>
      <c r="I101" s="351"/>
      <c r="J101" s="420">
        <f>'Initial unit rates'!J227</f>
        <v>1.8855648770538436E-3</v>
      </c>
      <c r="K101" s="420">
        <f>'Initial unit rates'!K227</f>
        <v>1.8855648770538436E-3</v>
      </c>
      <c r="L101" s="420">
        <f>'Initial unit rates'!L227</f>
        <v>2.341943569283648E-3</v>
      </c>
      <c r="M101" s="420">
        <f>'Initial unit rates'!M227</f>
        <v>2.341943569283648E-3</v>
      </c>
      <c r="N101" s="420">
        <f>'Initial unit rates'!N227</f>
        <v>1.9026533355818967E-3</v>
      </c>
      <c r="O101" s="420">
        <f>'Initial unit rates'!O227</f>
        <v>1.7631546302937307E-3</v>
      </c>
      <c r="P101" s="420">
        <f>'Initial unit rates'!P227</f>
        <v>1.5721531762372704E-3</v>
      </c>
      <c r="Q101" s="420">
        <f>'Initial unit rates'!Q227</f>
        <v>1.6652461824496019E-3</v>
      </c>
      <c r="R101" s="420">
        <f>'Initial unit rates'!R227</f>
        <v>-1.4291085257422782E-3</v>
      </c>
      <c r="S101" s="420">
        <f>'Initial unit rates'!S227</f>
        <v>-1.3622797097903013E-3</v>
      </c>
      <c r="T101" s="420">
        <f>'Initial unit rates'!T227</f>
        <v>-1.4291085257422782E-3</v>
      </c>
      <c r="U101" s="420">
        <f>'Initial unit rates'!U227</f>
        <v>-1.4291085257422782E-3</v>
      </c>
      <c r="V101" s="420">
        <f>'Initial unit rates'!V227</f>
        <v>-1.3622797097903013E-3</v>
      </c>
      <c r="W101" s="420">
        <f>'Initial unit rates'!W227</f>
        <v>-1.3622797097903013E-3</v>
      </c>
      <c r="X101" s="420">
        <f>'Initial unit rates'!X227</f>
        <v>-1.3340059799644647E-3</v>
      </c>
      <c r="Y101" s="420">
        <f>'Initial unit rates'!Y227</f>
        <v>-1.3340059799644647E-3</v>
      </c>
      <c r="Z101" s="351"/>
      <c r="AA101" s="351"/>
    </row>
    <row r="102" spans="3:42" x14ac:dyDescent="0.25">
      <c r="D102" s="295"/>
      <c r="F102" s="295" t="s">
        <v>51</v>
      </c>
      <c r="G102" s="295" t="s">
        <v>183</v>
      </c>
      <c r="H102" s="351"/>
      <c r="I102" s="351"/>
      <c r="J102" s="420">
        <f>'Initial unit rates'!J228</f>
        <v>0</v>
      </c>
      <c r="K102" s="420">
        <f>'Initial unit rates'!K228</f>
        <v>0</v>
      </c>
      <c r="L102" s="420">
        <f>'Initial unit rates'!L228</f>
        <v>0</v>
      </c>
      <c r="M102" s="420">
        <f>'Initial unit rates'!M228</f>
        <v>0</v>
      </c>
      <c r="N102" s="420">
        <f>'Initial unit rates'!N228</f>
        <v>0</v>
      </c>
      <c r="O102" s="420">
        <f>'Initial unit rates'!O228</f>
        <v>0</v>
      </c>
      <c r="P102" s="420">
        <f>'Initial unit rates'!P228</f>
        <v>0</v>
      </c>
      <c r="Q102" s="420">
        <f>'Initial unit rates'!Q228</f>
        <v>0</v>
      </c>
      <c r="R102" s="420">
        <f>'Initial unit rates'!R228</f>
        <v>0</v>
      </c>
      <c r="S102" s="420">
        <f>'Initial unit rates'!S228</f>
        <v>0</v>
      </c>
      <c r="T102" s="420">
        <f>'Initial unit rates'!T228</f>
        <v>0</v>
      </c>
      <c r="U102" s="420">
        <f>'Initial unit rates'!U228</f>
        <v>0</v>
      </c>
      <c r="V102" s="420">
        <f>'Initial unit rates'!V228</f>
        <v>0</v>
      </c>
      <c r="W102" s="420">
        <f>'Initial unit rates'!W228</f>
        <v>0</v>
      </c>
      <c r="X102" s="420">
        <f>'Initial unit rates'!X228</f>
        <v>0</v>
      </c>
      <c r="Y102" s="420">
        <f>'Initial unit rates'!Y228</f>
        <v>0</v>
      </c>
      <c r="Z102" s="351"/>
      <c r="AA102" s="351"/>
    </row>
    <row r="103" spans="3:42" x14ac:dyDescent="0.25">
      <c r="D103" s="295"/>
      <c r="F103" s="295" t="s">
        <v>48</v>
      </c>
      <c r="G103" s="295" t="s">
        <v>183</v>
      </c>
      <c r="H103" s="351"/>
      <c r="I103" s="351"/>
      <c r="J103" s="420">
        <f>'Initial unit rates'!J229</f>
        <v>1.5475714058644832E-2</v>
      </c>
      <c r="K103" s="420">
        <f>'Initial unit rates'!K229</f>
        <v>1.5475714058644832E-2</v>
      </c>
      <c r="L103" s="420">
        <f>'Initial unit rates'!L229</f>
        <v>1.9221427732757274E-2</v>
      </c>
      <c r="M103" s="420">
        <f>'Initial unit rates'!M229</f>
        <v>1.9221427732757274E-2</v>
      </c>
      <c r="N103" s="420">
        <f>'Initial unit rates'!N229</f>
        <v>1.5615967041239822E-2</v>
      </c>
      <c r="O103" s="420">
        <f>'Initial unit rates'!O229</f>
        <v>1.4471035832103194E-2</v>
      </c>
      <c r="P103" s="420">
        <f>'Initial unit rates'!P229</f>
        <v>1.2903397442284605E-2</v>
      </c>
      <c r="Q103" s="420">
        <f>'Initial unit rates'!Q229</f>
        <v>1.3667455344791107E-2</v>
      </c>
      <c r="R103" s="420">
        <f>'Initial unit rates'!R229</f>
        <v>-1.1729363000076404E-2</v>
      </c>
      <c r="S103" s="420">
        <f>'Initial unit rates'!S229</f>
        <v>-1.1180867607986502E-2</v>
      </c>
      <c r="T103" s="420">
        <f>'Initial unit rates'!T229</f>
        <v>-1.1729363000076404E-2</v>
      </c>
      <c r="U103" s="420">
        <f>'Initial unit rates'!U229</f>
        <v>-1.1729363000076404E-2</v>
      </c>
      <c r="V103" s="420">
        <f>'Initial unit rates'!V229</f>
        <v>-1.1180867607986502E-2</v>
      </c>
      <c r="W103" s="420">
        <f>'Initial unit rates'!W229</f>
        <v>-1.1180867607986502E-2</v>
      </c>
      <c r="X103" s="420">
        <f>'Initial unit rates'!X229</f>
        <v>0</v>
      </c>
      <c r="Y103" s="420">
        <f>'Initial unit rates'!Y229</f>
        <v>0</v>
      </c>
      <c r="Z103" s="351"/>
      <c r="AA103" s="351"/>
    </row>
    <row r="104" spans="3:42" x14ac:dyDescent="0.25">
      <c r="D104" s="295"/>
      <c r="F104" s="295" t="s">
        <v>49</v>
      </c>
      <c r="G104" s="295" t="s">
        <v>183</v>
      </c>
      <c r="H104" s="351"/>
      <c r="I104" s="351"/>
      <c r="J104" s="420">
        <f>'Initial unit rates'!J230</f>
        <v>6.0529019344411983E-3</v>
      </c>
      <c r="K104" s="420">
        <f>'Initial unit rates'!K230</f>
        <v>6.0529019344411983E-3</v>
      </c>
      <c r="L104" s="420">
        <f>'Initial unit rates'!L230</f>
        <v>7.5179353059535827E-3</v>
      </c>
      <c r="M104" s="420">
        <f>'Initial unit rates'!M230</f>
        <v>7.5179353059535827E-3</v>
      </c>
      <c r="N104" s="420">
        <f>'Initial unit rates'!N230</f>
        <v>6.1077580494122647E-3</v>
      </c>
      <c r="O104" s="420">
        <f>'Initial unit rates'!O230</f>
        <v>5.6599495473732926E-3</v>
      </c>
      <c r="P104" s="420">
        <f>'Initial unit rates'!P230</f>
        <v>0</v>
      </c>
      <c r="Q104" s="420">
        <f>'Initial unit rates'!Q230</f>
        <v>5.3456510363192279E-3</v>
      </c>
      <c r="R104" s="420">
        <f>'Initial unit rates'!R230</f>
        <v>-4.5876192674460985E-3</v>
      </c>
      <c r="S104" s="420">
        <f>'Initial unit rates'!S230</f>
        <v>0</v>
      </c>
      <c r="T104" s="420">
        <f>'Initial unit rates'!T230</f>
        <v>-4.5876192674460985E-3</v>
      </c>
      <c r="U104" s="420">
        <f>'Initial unit rates'!U230</f>
        <v>-4.5876192674460985E-3</v>
      </c>
      <c r="V104" s="420">
        <f>'Initial unit rates'!V230</f>
        <v>0</v>
      </c>
      <c r="W104" s="420">
        <f>'Initial unit rates'!W230</f>
        <v>0</v>
      </c>
      <c r="X104" s="420">
        <f>'Initial unit rates'!X230</f>
        <v>0</v>
      </c>
      <c r="Y104" s="420">
        <f>'Initial unit rates'!Y230</f>
        <v>0</v>
      </c>
      <c r="Z104" s="351"/>
      <c r="AA104" s="351"/>
    </row>
    <row r="105" spans="3:42" x14ac:dyDescent="0.25">
      <c r="D105" s="295"/>
      <c r="F105" s="295" t="s">
        <v>50</v>
      </c>
      <c r="G105" s="295" t="s">
        <v>183</v>
      </c>
      <c r="H105" s="351"/>
      <c r="I105" s="351"/>
      <c r="J105" s="420">
        <f>'Initial unit rates'!J231</f>
        <v>3.7063100189719655E-3</v>
      </c>
      <c r="K105" s="420">
        <f>'Initial unit rates'!K231</f>
        <v>3.7063100189719655E-3</v>
      </c>
      <c r="L105" s="420">
        <f>'Initial unit rates'!L231</f>
        <v>4.6033785526728857E-3</v>
      </c>
      <c r="M105" s="420">
        <f>'Initial unit rates'!M231</f>
        <v>4.6033785526728857E-3</v>
      </c>
      <c r="N105" s="420">
        <f>'Initial unit rates'!N231</f>
        <v>3.7398994890676693E-3</v>
      </c>
      <c r="O105" s="420">
        <f>'Initial unit rates'!O231</f>
        <v>0</v>
      </c>
      <c r="P105" s="420">
        <f>'Initial unit rates'!P231</f>
        <v>0</v>
      </c>
      <c r="Q105" s="420">
        <f>'Initial unit rates'!Q231</f>
        <v>3.2732464871276521E-3</v>
      </c>
      <c r="R105" s="420">
        <f>'Initial unit rates'!R231</f>
        <v>0</v>
      </c>
      <c r="S105" s="420">
        <f>'Initial unit rates'!S231</f>
        <v>0</v>
      </c>
      <c r="T105" s="420">
        <f>'Initial unit rates'!T231</f>
        <v>0</v>
      </c>
      <c r="U105" s="420">
        <f>'Initial unit rates'!U231</f>
        <v>0</v>
      </c>
      <c r="V105" s="420">
        <f>'Initial unit rates'!V231</f>
        <v>0</v>
      </c>
      <c r="W105" s="420">
        <f>'Initial unit rates'!W231</f>
        <v>0</v>
      </c>
      <c r="X105" s="420">
        <f>'Initial unit rates'!X231</f>
        <v>0</v>
      </c>
      <c r="Y105" s="420">
        <f>'Initial unit rates'!Y231</f>
        <v>0</v>
      </c>
      <c r="Z105" s="351"/>
      <c r="AA105" s="351"/>
    </row>
    <row r="106" spans="3:42" x14ac:dyDescent="0.25">
      <c r="D106" s="295"/>
      <c r="F106" s="91" t="s">
        <v>124</v>
      </c>
      <c r="G106" s="91" t="s">
        <v>183</v>
      </c>
      <c r="H106" s="349"/>
      <c r="I106" s="349" t="s">
        <v>431</v>
      </c>
      <c r="J106" s="361"/>
      <c r="K106" s="361"/>
      <c r="L106" s="361"/>
      <c r="M106" s="361"/>
      <c r="N106" s="361"/>
      <c r="O106" s="361"/>
      <c r="P106" s="361"/>
      <c r="Q106" s="360">
        <f>'Service model charges'!$Q$44</f>
        <v>0.3075227288855088</v>
      </c>
      <c r="R106" s="361"/>
      <c r="S106" s="361"/>
      <c r="T106" s="361"/>
      <c r="U106" s="361"/>
      <c r="V106" s="361"/>
      <c r="W106" s="361"/>
      <c r="X106" s="361"/>
      <c r="Y106" s="361"/>
      <c r="Z106" s="351"/>
      <c r="AA106" s="351" t="s">
        <v>837</v>
      </c>
    </row>
    <row r="107" spans="3:42" x14ac:dyDescent="0.25">
      <c r="D107" s="295"/>
      <c r="F107" s="93" t="s">
        <v>123</v>
      </c>
      <c r="G107" s="93" t="s">
        <v>183</v>
      </c>
      <c r="H107" s="353"/>
      <c r="I107" s="353"/>
      <c r="J107" s="358"/>
      <c r="K107" s="358"/>
      <c r="L107" s="358"/>
      <c r="M107" s="358"/>
      <c r="N107" s="358"/>
      <c r="O107" s="358"/>
      <c r="P107" s="358"/>
      <c r="Q107" s="358"/>
      <c r="R107" s="358"/>
      <c r="S107" s="358"/>
      <c r="T107" s="358"/>
      <c r="U107" s="358"/>
      <c r="V107" s="358"/>
      <c r="W107" s="358"/>
      <c r="X107" s="358"/>
      <c r="Y107" s="358"/>
      <c r="Z107" s="351"/>
      <c r="AA107" s="351"/>
    </row>
    <row r="109" spans="3:42" x14ac:dyDescent="0.25">
      <c r="C109" s="7" t="str">
        <f ca="1">INDEX('Version control'!$H$34:$H$58,MATCH($A$1,'Version control'!$F$34:$F$58,0),1)&amp;"-D: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5"/>
      <c r="E111" s="96" t="s">
        <v>320</v>
      </c>
      <c r="H111" s="111"/>
      <c r="I111" s="295" t="s">
        <v>431</v>
      </c>
      <c r="J111" s="90"/>
      <c r="L111" s="90"/>
      <c r="AA111" s="295" t="s">
        <v>811</v>
      </c>
      <c r="AP111" s="88"/>
    </row>
    <row r="112" spans="3:42" x14ac:dyDescent="0.25">
      <c r="C112" s="96"/>
      <c r="D112" s="295"/>
      <c r="E112" s="295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5"/>
      <c r="E113" s="295"/>
      <c r="F113" s="295" t="s">
        <v>44</v>
      </c>
      <c r="G113" s="295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5"/>
      <c r="E114" s="295"/>
      <c r="F114" s="295" t="s">
        <v>45</v>
      </c>
      <c r="G114" s="295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5"/>
      <c r="E115" s="295"/>
      <c r="F115" s="295" t="s">
        <v>46</v>
      </c>
      <c r="G115" s="295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5"/>
      <c r="E116" s="295"/>
      <c r="F116" s="295" t="s">
        <v>47</v>
      </c>
      <c r="G116" s="295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5"/>
      <c r="E117" s="295"/>
      <c r="F117" s="295" t="s">
        <v>51</v>
      </c>
      <c r="G117" s="295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5"/>
      <c r="E118" s="295"/>
      <c r="F118" s="295" t="s">
        <v>48</v>
      </c>
      <c r="G118" s="295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5"/>
      <c r="E119" s="295"/>
      <c r="F119" s="295" t="s">
        <v>49</v>
      </c>
      <c r="G119" s="295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5"/>
      <c r="E120" s="295"/>
      <c r="F120" s="93" t="s">
        <v>50</v>
      </c>
      <c r="G120" s="93" t="s">
        <v>94</v>
      </c>
      <c r="H120" s="187"/>
      <c r="I120" s="93"/>
      <c r="J120" s="394">
        <f>'Standing charge factors'!J52</f>
        <v>1</v>
      </c>
      <c r="K120" s="394">
        <f>'Standing charge factors'!K52</f>
        <v>1</v>
      </c>
      <c r="L120" s="394">
        <f>'Standing charge factors'!L52</f>
        <v>1</v>
      </c>
      <c r="M120" s="394">
        <f>'Standing charge factors'!M52</f>
        <v>1</v>
      </c>
      <c r="N120" s="394">
        <f>'Standing charge factors'!N52</f>
        <v>1</v>
      </c>
      <c r="O120" s="394">
        <f>'Standing charge factors'!O52</f>
        <v>0</v>
      </c>
      <c r="P120" s="394">
        <f>'Standing charge factors'!P52</f>
        <v>0</v>
      </c>
      <c r="Q120" s="394">
        <f>'Standing charge factors'!Q52</f>
        <v>0</v>
      </c>
      <c r="R120" s="394">
        <f>'Standing charge factors'!R52</f>
        <v>0</v>
      </c>
      <c r="S120" s="394">
        <f>'Standing charge factors'!S52</f>
        <v>0</v>
      </c>
      <c r="T120" s="394">
        <f>'Standing charge factors'!T52</f>
        <v>0</v>
      </c>
      <c r="U120" s="394">
        <f>'Standing charge factors'!U52</f>
        <v>0</v>
      </c>
      <c r="V120" s="394">
        <f>'Standing charge factors'!V52</f>
        <v>0</v>
      </c>
      <c r="W120" s="394">
        <f>'Standing charge factors'!W52</f>
        <v>0</v>
      </c>
      <c r="X120" s="394">
        <f>'Standing charge factors'!X52</f>
        <v>0</v>
      </c>
      <c r="Y120" s="394">
        <f>'Standing charge factors'!Y52</f>
        <v>0</v>
      </c>
      <c r="AP120" s="88"/>
    </row>
    <row r="122" spans="2:42" x14ac:dyDescent="0.25">
      <c r="B122" s="95" t="s">
        <v>519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control'!$H$34:$H$58,MATCH($A$1,'Version control'!$F$34:$F$58,0),1)&amp;"-E: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5"/>
      <c r="E125" s="96"/>
      <c r="I125" s="295" t="s">
        <v>431</v>
      </c>
      <c r="AA125" s="295" t="s">
        <v>838</v>
      </c>
    </row>
    <row r="126" spans="2:42" x14ac:dyDescent="0.25">
      <c r="E126" s="96" t="s">
        <v>139</v>
      </c>
    </row>
    <row r="127" spans="2:42" x14ac:dyDescent="0.25">
      <c r="F127" s="91" t="s">
        <v>324</v>
      </c>
      <c r="G127" s="91" t="s">
        <v>183</v>
      </c>
      <c r="H127" s="349"/>
      <c r="I127" s="349"/>
      <c r="J127" s="362">
        <f t="shared" ref="J127:Y128" si="0">J22 * (1 - J$112)</f>
        <v>0</v>
      </c>
      <c r="K127" s="362">
        <f t="shared" si="0"/>
        <v>0</v>
      </c>
      <c r="L127" s="362">
        <f t="shared" si="0"/>
        <v>0</v>
      </c>
      <c r="M127" s="362">
        <f t="shared" si="0"/>
        <v>0</v>
      </c>
      <c r="N127" s="362">
        <f t="shared" si="0"/>
        <v>0</v>
      </c>
      <c r="O127" s="362">
        <f t="shared" si="0"/>
        <v>0</v>
      </c>
      <c r="P127" s="362">
        <f t="shared" si="0"/>
        <v>0</v>
      </c>
      <c r="Q127" s="362">
        <f t="shared" si="0"/>
        <v>0</v>
      </c>
      <c r="R127" s="362">
        <f t="shared" si="0"/>
        <v>0</v>
      </c>
      <c r="S127" s="362">
        <f t="shared" si="0"/>
        <v>0</v>
      </c>
      <c r="T127" s="362">
        <f t="shared" si="0"/>
        <v>0</v>
      </c>
      <c r="U127" s="362">
        <f t="shared" si="0"/>
        <v>0</v>
      </c>
      <c r="V127" s="362">
        <f t="shared" si="0"/>
        <v>0</v>
      </c>
      <c r="W127" s="362">
        <f t="shared" si="0"/>
        <v>0</v>
      </c>
      <c r="X127" s="362">
        <f t="shared" si="0"/>
        <v>0</v>
      </c>
      <c r="Y127" s="362">
        <f t="shared" si="0"/>
        <v>0</v>
      </c>
      <c r="Z127" s="351"/>
      <c r="AA127" s="351"/>
    </row>
    <row r="128" spans="2:42" x14ac:dyDescent="0.25">
      <c r="F128" s="295" t="s">
        <v>43</v>
      </c>
      <c r="G128" s="295" t="s">
        <v>183</v>
      </c>
      <c r="H128" s="351"/>
      <c r="I128" s="351"/>
      <c r="J128" s="421">
        <f t="shared" si="0"/>
        <v>0</v>
      </c>
      <c r="K128" s="421">
        <f t="shared" si="0"/>
        <v>0</v>
      </c>
      <c r="L128" s="421">
        <f t="shared" si="0"/>
        <v>0</v>
      </c>
      <c r="M128" s="421">
        <f t="shared" si="0"/>
        <v>0</v>
      </c>
      <c r="N128" s="421">
        <f t="shared" si="0"/>
        <v>0</v>
      </c>
      <c r="O128" s="421">
        <f t="shared" si="0"/>
        <v>0</v>
      </c>
      <c r="P128" s="421">
        <f t="shared" si="0"/>
        <v>0</v>
      </c>
      <c r="Q128" s="421">
        <f t="shared" si="0"/>
        <v>0</v>
      </c>
      <c r="R128" s="421">
        <f t="shared" si="0"/>
        <v>0</v>
      </c>
      <c r="S128" s="421">
        <f t="shared" si="0"/>
        <v>0</v>
      </c>
      <c r="T128" s="421">
        <f t="shared" si="0"/>
        <v>0</v>
      </c>
      <c r="U128" s="421">
        <f t="shared" si="0"/>
        <v>0</v>
      </c>
      <c r="V128" s="421">
        <f t="shared" si="0"/>
        <v>0</v>
      </c>
      <c r="W128" s="421">
        <f t="shared" si="0"/>
        <v>0</v>
      </c>
      <c r="X128" s="421">
        <f t="shared" si="0"/>
        <v>0</v>
      </c>
      <c r="Y128" s="421">
        <f t="shared" si="0"/>
        <v>0</v>
      </c>
      <c r="Z128" s="351"/>
      <c r="AA128" s="351"/>
    </row>
    <row r="129" spans="4:27" x14ac:dyDescent="0.25">
      <c r="F129" s="295" t="s">
        <v>44</v>
      </c>
      <c r="G129" s="295" t="s">
        <v>183</v>
      </c>
      <c r="H129" s="351"/>
      <c r="I129" s="351"/>
      <c r="J129" s="421">
        <f t="shared" ref="J129:Y129" si="1">J24 * (1 - J$113)</f>
        <v>2.0950478416642442</v>
      </c>
      <c r="K129" s="421">
        <f t="shared" si="1"/>
        <v>2.0950478416642442</v>
      </c>
      <c r="L129" s="421">
        <f t="shared" si="1"/>
        <v>2.6021294095133136</v>
      </c>
      <c r="M129" s="421">
        <f t="shared" si="1"/>
        <v>2.6021294095133136</v>
      </c>
      <c r="N129" s="421">
        <f t="shared" si="1"/>
        <v>2.114034798088944</v>
      </c>
      <c r="O129" s="421">
        <f t="shared" si="1"/>
        <v>1.9590380302845005</v>
      </c>
      <c r="P129" s="421">
        <f t="shared" si="1"/>
        <v>1.7468166482756475</v>
      </c>
      <c r="Q129" s="421">
        <f t="shared" si="1"/>
        <v>3.8089491056686708</v>
      </c>
      <c r="R129" s="421">
        <f t="shared" si="1"/>
        <v>-1.5878799869450646</v>
      </c>
      <c r="S129" s="421">
        <f t="shared" si="1"/>
        <v>-1.513626606260583</v>
      </c>
      <c r="T129" s="421">
        <f t="shared" si="1"/>
        <v>-1.5878799869450646</v>
      </c>
      <c r="U129" s="421">
        <f t="shared" si="1"/>
        <v>-1.5878799869450646</v>
      </c>
      <c r="V129" s="421">
        <f t="shared" si="1"/>
        <v>-1.513626606260583</v>
      </c>
      <c r="W129" s="421">
        <f t="shared" si="1"/>
        <v>-1.513626606260583</v>
      </c>
      <c r="X129" s="421">
        <f t="shared" si="1"/>
        <v>-1.4822117144325335</v>
      </c>
      <c r="Y129" s="421">
        <f t="shared" si="1"/>
        <v>-1.4822117144325335</v>
      </c>
      <c r="Z129" s="351"/>
      <c r="AA129" s="351"/>
    </row>
    <row r="130" spans="4:27" x14ac:dyDescent="0.25">
      <c r="F130" s="295" t="s">
        <v>45</v>
      </c>
      <c r="G130" s="295" t="s">
        <v>183</v>
      </c>
      <c r="H130" s="351"/>
      <c r="I130" s="351"/>
      <c r="J130" s="421">
        <f t="shared" ref="J130:Y130" si="2">J25 * (1 - J$114)</f>
        <v>0.14592533640650826</v>
      </c>
      <c r="K130" s="421">
        <f t="shared" si="2"/>
        <v>0.14592533640650826</v>
      </c>
      <c r="L130" s="421">
        <f t="shared" si="2"/>
        <v>0.1812448393325774</v>
      </c>
      <c r="M130" s="421">
        <f t="shared" si="2"/>
        <v>0.1812448393325774</v>
      </c>
      <c r="N130" s="421">
        <f t="shared" si="2"/>
        <v>0.14724782553945764</v>
      </c>
      <c r="O130" s="421">
        <f t="shared" si="2"/>
        <v>0.13645191194074108</v>
      </c>
      <c r="P130" s="421">
        <f t="shared" si="2"/>
        <v>0.12167016044732623</v>
      </c>
      <c r="Q130" s="421">
        <f t="shared" si="2"/>
        <v>0.2030828831903955</v>
      </c>
      <c r="R130" s="421">
        <f t="shared" si="2"/>
        <v>-0.11059982338353448</v>
      </c>
      <c r="S130" s="421">
        <f t="shared" si="2"/>
        <v>-0.10542788919653467</v>
      </c>
      <c r="T130" s="421">
        <f t="shared" si="2"/>
        <v>-0.11059982338353448</v>
      </c>
      <c r="U130" s="421">
        <f t="shared" si="2"/>
        <v>-0.11059982338353448</v>
      </c>
      <c r="V130" s="421">
        <f t="shared" si="2"/>
        <v>-0.10542788919653467</v>
      </c>
      <c r="W130" s="421">
        <f t="shared" si="2"/>
        <v>-0.10542788919653467</v>
      </c>
      <c r="X130" s="421">
        <f t="shared" si="2"/>
        <v>-0.10323976319434244</v>
      </c>
      <c r="Y130" s="421">
        <f t="shared" si="2"/>
        <v>-0.10323976319434244</v>
      </c>
      <c r="Z130" s="351"/>
      <c r="AA130" s="351"/>
    </row>
    <row r="131" spans="4:27" x14ac:dyDescent="0.25">
      <c r="F131" s="295" t="s">
        <v>46</v>
      </c>
      <c r="G131" s="295" t="s">
        <v>183</v>
      </c>
      <c r="H131" s="351"/>
      <c r="I131" s="351"/>
      <c r="J131" s="421">
        <f t="shared" ref="J131:Y131" si="3">J26 * (1 - J$115)</f>
        <v>1.4897086828507651</v>
      </c>
      <c r="K131" s="421">
        <f t="shared" si="3"/>
        <v>1.4897086828507651</v>
      </c>
      <c r="L131" s="421">
        <f t="shared" si="3"/>
        <v>1.8502750620596846</v>
      </c>
      <c r="M131" s="421">
        <f t="shared" si="3"/>
        <v>1.8502750620596846</v>
      </c>
      <c r="N131" s="421">
        <f t="shared" si="3"/>
        <v>1.5032095840160173</v>
      </c>
      <c r="O131" s="421">
        <f t="shared" si="3"/>
        <v>1.3929972889933593</v>
      </c>
      <c r="P131" s="421">
        <f t="shared" si="3"/>
        <v>0.70110763688693878</v>
      </c>
      <c r="Q131" s="421">
        <f t="shared" si="3"/>
        <v>2.0732132053087859</v>
      </c>
      <c r="R131" s="421">
        <f t="shared" si="3"/>
        <v>-1.1290809483367006</v>
      </c>
      <c r="S131" s="421">
        <f t="shared" si="3"/>
        <v>-1.076282198954049</v>
      </c>
      <c r="T131" s="421">
        <f t="shared" si="3"/>
        <v>-1.1290809483367006</v>
      </c>
      <c r="U131" s="421">
        <f t="shared" si="3"/>
        <v>-1.1290809483367006</v>
      </c>
      <c r="V131" s="421">
        <f t="shared" si="3"/>
        <v>-1.076282198954049</v>
      </c>
      <c r="W131" s="421">
        <f t="shared" si="3"/>
        <v>-1.076282198954049</v>
      </c>
      <c r="X131" s="421">
        <f t="shared" si="3"/>
        <v>-0.74363124594226682</v>
      </c>
      <c r="Y131" s="421">
        <f t="shared" si="3"/>
        <v>-0.74363124594226682</v>
      </c>
      <c r="Z131" s="351"/>
      <c r="AA131" s="351"/>
    </row>
    <row r="132" spans="4:27" x14ac:dyDescent="0.25">
      <c r="F132" s="295" t="s">
        <v>47</v>
      </c>
      <c r="G132" s="295" t="s">
        <v>183</v>
      </c>
      <c r="H132" s="351"/>
      <c r="I132" s="351"/>
      <c r="J132" s="421">
        <f t="shared" ref="J132:Y132" si="4">J27 * (1 - J$116)</f>
        <v>0.2220181863169389</v>
      </c>
      <c r="K132" s="421">
        <f t="shared" si="4"/>
        <v>0.2220181863169389</v>
      </c>
      <c r="L132" s="421">
        <f t="shared" si="4"/>
        <v>0.27575506419136919</v>
      </c>
      <c r="M132" s="421">
        <f t="shared" si="4"/>
        <v>0.27575506419136919</v>
      </c>
      <c r="N132" s="421">
        <f t="shared" si="4"/>
        <v>0.22403028816266191</v>
      </c>
      <c r="O132" s="421">
        <f t="shared" si="4"/>
        <v>0.20760483925950263</v>
      </c>
      <c r="P132" s="421">
        <f t="shared" si="4"/>
        <v>0</v>
      </c>
      <c r="Q132" s="421">
        <f t="shared" si="4"/>
        <v>0.4083515533344621</v>
      </c>
      <c r="R132" s="421">
        <f t="shared" si="4"/>
        <v>-0.16827216437714468</v>
      </c>
      <c r="S132" s="421">
        <f t="shared" si="4"/>
        <v>-0.16040332215806957</v>
      </c>
      <c r="T132" s="421">
        <f t="shared" si="4"/>
        <v>-0.16827216437714468</v>
      </c>
      <c r="U132" s="421">
        <f t="shared" si="4"/>
        <v>-0.16827216437714468</v>
      </c>
      <c r="V132" s="421">
        <f t="shared" si="4"/>
        <v>-0.16040332215806957</v>
      </c>
      <c r="W132" s="421">
        <f t="shared" si="4"/>
        <v>-0.16040332215806957</v>
      </c>
      <c r="X132" s="421">
        <f t="shared" si="4"/>
        <v>-0.13458579147948671</v>
      </c>
      <c r="Y132" s="421">
        <f t="shared" si="4"/>
        <v>-0.13458579147948671</v>
      </c>
      <c r="Z132" s="351"/>
      <c r="AA132" s="351"/>
    </row>
    <row r="133" spans="4:27" x14ac:dyDescent="0.25">
      <c r="F133" s="295" t="s">
        <v>51</v>
      </c>
      <c r="G133" s="295" t="s">
        <v>183</v>
      </c>
      <c r="H133" s="351"/>
      <c r="I133" s="351"/>
      <c r="J133" s="421">
        <f t="shared" ref="J133:Y133" si="5">J28 * (1 - J$117)</f>
        <v>0</v>
      </c>
      <c r="K133" s="421">
        <f t="shared" si="5"/>
        <v>0</v>
      </c>
      <c r="L133" s="421">
        <f t="shared" si="5"/>
        <v>0</v>
      </c>
      <c r="M133" s="421">
        <f t="shared" si="5"/>
        <v>0</v>
      </c>
      <c r="N133" s="421">
        <f t="shared" si="5"/>
        <v>0</v>
      </c>
      <c r="O133" s="421">
        <f t="shared" si="5"/>
        <v>0</v>
      </c>
      <c r="P133" s="421">
        <f t="shared" si="5"/>
        <v>0</v>
      </c>
      <c r="Q133" s="421">
        <f t="shared" si="5"/>
        <v>0</v>
      </c>
      <c r="R133" s="421">
        <f t="shared" si="5"/>
        <v>0</v>
      </c>
      <c r="S133" s="421">
        <f t="shared" si="5"/>
        <v>0</v>
      </c>
      <c r="T133" s="421">
        <f t="shared" si="5"/>
        <v>0</v>
      </c>
      <c r="U133" s="421">
        <f t="shared" si="5"/>
        <v>0</v>
      </c>
      <c r="V133" s="421">
        <f t="shared" si="5"/>
        <v>0</v>
      </c>
      <c r="W133" s="421">
        <f t="shared" si="5"/>
        <v>0</v>
      </c>
      <c r="X133" s="421">
        <f t="shared" si="5"/>
        <v>0</v>
      </c>
      <c r="Y133" s="421">
        <f t="shared" si="5"/>
        <v>0</v>
      </c>
      <c r="Z133" s="351"/>
      <c r="AA133" s="351"/>
    </row>
    <row r="134" spans="4:27" x14ac:dyDescent="0.25">
      <c r="F134" s="295" t="s">
        <v>48</v>
      </c>
      <c r="G134" s="295" t="s">
        <v>183</v>
      </c>
      <c r="H134" s="351"/>
      <c r="I134" s="351"/>
      <c r="J134" s="421">
        <f t="shared" ref="J134:Y134" si="6">J29 * (1 - J$118)</f>
        <v>1.2275275551146465</v>
      </c>
      <c r="K134" s="421">
        <f t="shared" si="6"/>
        <v>1.2275275551146465</v>
      </c>
      <c r="L134" s="421">
        <f t="shared" si="6"/>
        <v>1.5246360911808252</v>
      </c>
      <c r="M134" s="421">
        <f t="shared" si="6"/>
        <v>1.5246360911808252</v>
      </c>
      <c r="N134" s="421">
        <f t="shared" si="6"/>
        <v>0.99092189324478142</v>
      </c>
      <c r="O134" s="421">
        <f t="shared" si="6"/>
        <v>0</v>
      </c>
      <c r="P134" s="421">
        <f t="shared" si="6"/>
        <v>0</v>
      </c>
      <c r="Q134" s="421">
        <f t="shared" si="6"/>
        <v>2.2577555118676171</v>
      </c>
      <c r="R134" s="421">
        <f t="shared" si="6"/>
        <v>-0.93036846196399614</v>
      </c>
      <c r="S134" s="421">
        <f t="shared" si="6"/>
        <v>-0.88686202309517614</v>
      </c>
      <c r="T134" s="421">
        <f t="shared" si="6"/>
        <v>-0.93036846196399614</v>
      </c>
      <c r="U134" s="421">
        <f t="shared" si="6"/>
        <v>-0.93036846196399614</v>
      </c>
      <c r="V134" s="421">
        <f t="shared" si="6"/>
        <v>-0.88686202309517614</v>
      </c>
      <c r="W134" s="421">
        <f t="shared" si="6"/>
        <v>-0.88686202309517614</v>
      </c>
      <c r="X134" s="421">
        <f t="shared" si="6"/>
        <v>0</v>
      </c>
      <c r="Y134" s="421">
        <f t="shared" si="6"/>
        <v>0</v>
      </c>
      <c r="Z134" s="351"/>
      <c r="AA134" s="351"/>
    </row>
    <row r="135" spans="4:27" x14ac:dyDescent="0.25">
      <c r="F135" s="295" t="s">
        <v>49</v>
      </c>
      <c r="G135" s="295" t="s">
        <v>183</v>
      </c>
      <c r="H135" s="351"/>
      <c r="I135" s="351"/>
      <c r="J135" s="421">
        <f t="shared" ref="J135:Y135" si="7">J30 * (1 - J$119)</f>
        <v>0.20599152269272</v>
      </c>
      <c r="K135" s="421">
        <f t="shared" si="7"/>
        <v>0.20599152269272</v>
      </c>
      <c r="L135" s="421">
        <f t="shared" si="7"/>
        <v>0.25584933606258858</v>
      </c>
      <c r="M135" s="421">
        <f t="shared" si="7"/>
        <v>0.25584933606258858</v>
      </c>
      <c r="N135" s="421">
        <f t="shared" si="7"/>
        <v>0</v>
      </c>
      <c r="O135" s="421">
        <f t="shared" si="7"/>
        <v>0</v>
      </c>
      <c r="P135" s="421">
        <f t="shared" si="7"/>
        <v>0</v>
      </c>
      <c r="Q135" s="421">
        <f t="shared" si="7"/>
        <v>0.37887417990715117</v>
      </c>
      <c r="R135" s="421">
        <f t="shared" si="7"/>
        <v>-0.15612522533341283</v>
      </c>
      <c r="S135" s="421">
        <f t="shared" si="7"/>
        <v>0</v>
      </c>
      <c r="T135" s="421">
        <f t="shared" si="7"/>
        <v>-0.15612522533341283</v>
      </c>
      <c r="U135" s="421">
        <f t="shared" si="7"/>
        <v>-0.15612522533341283</v>
      </c>
      <c r="V135" s="421">
        <f t="shared" si="7"/>
        <v>0</v>
      </c>
      <c r="W135" s="421">
        <f t="shared" si="7"/>
        <v>0</v>
      </c>
      <c r="X135" s="421">
        <f t="shared" si="7"/>
        <v>0</v>
      </c>
      <c r="Y135" s="421">
        <f t="shared" si="7"/>
        <v>0</v>
      </c>
      <c r="Z135" s="351"/>
      <c r="AA135" s="351"/>
    </row>
    <row r="136" spans="4:27" x14ac:dyDescent="0.25">
      <c r="F136" s="295" t="s">
        <v>50</v>
      </c>
      <c r="G136" s="295" t="s">
        <v>183</v>
      </c>
      <c r="H136" s="351"/>
      <c r="I136" s="351"/>
      <c r="J136" s="421">
        <f t="shared" ref="J136:Y136" si="8">J31 * (1 - J$120)</f>
        <v>0</v>
      </c>
      <c r="K136" s="421">
        <f t="shared" si="8"/>
        <v>0</v>
      </c>
      <c r="L136" s="421">
        <f t="shared" si="8"/>
        <v>0</v>
      </c>
      <c r="M136" s="421">
        <f t="shared" si="8"/>
        <v>0</v>
      </c>
      <c r="N136" s="421">
        <f t="shared" si="8"/>
        <v>0</v>
      </c>
      <c r="O136" s="421">
        <f t="shared" si="8"/>
        <v>0</v>
      </c>
      <c r="P136" s="421">
        <f t="shared" si="8"/>
        <v>0</v>
      </c>
      <c r="Q136" s="421">
        <f t="shared" si="8"/>
        <v>5.5425088225098826E-2</v>
      </c>
      <c r="R136" s="421">
        <f t="shared" si="8"/>
        <v>0</v>
      </c>
      <c r="S136" s="421">
        <f t="shared" si="8"/>
        <v>0</v>
      </c>
      <c r="T136" s="421">
        <f t="shared" si="8"/>
        <v>0</v>
      </c>
      <c r="U136" s="421">
        <f t="shared" si="8"/>
        <v>0</v>
      </c>
      <c r="V136" s="421">
        <f t="shared" si="8"/>
        <v>0</v>
      </c>
      <c r="W136" s="421">
        <f t="shared" si="8"/>
        <v>0</v>
      </c>
      <c r="X136" s="421">
        <f t="shared" si="8"/>
        <v>0</v>
      </c>
      <c r="Y136" s="421">
        <f t="shared" si="8"/>
        <v>0</v>
      </c>
      <c r="Z136" s="351"/>
      <c r="AA136" s="351"/>
    </row>
    <row r="137" spans="4:27" x14ac:dyDescent="0.25">
      <c r="D137" s="295"/>
      <c r="F137" s="91" t="s">
        <v>124</v>
      </c>
      <c r="G137" s="91" t="s">
        <v>183</v>
      </c>
      <c r="H137" s="349"/>
      <c r="I137" s="349"/>
      <c r="J137" s="361"/>
      <c r="K137" s="361"/>
      <c r="L137" s="361"/>
      <c r="M137" s="361"/>
      <c r="N137" s="361"/>
      <c r="O137" s="361"/>
      <c r="P137" s="361"/>
      <c r="Q137" s="361"/>
      <c r="R137" s="361"/>
      <c r="S137" s="361"/>
      <c r="T137" s="361"/>
      <c r="U137" s="361"/>
      <c r="V137" s="361"/>
      <c r="W137" s="361"/>
      <c r="X137" s="361"/>
      <c r="Y137" s="361"/>
      <c r="Z137" s="351"/>
      <c r="AA137" s="351"/>
    </row>
    <row r="138" spans="4:27" x14ac:dyDescent="0.25">
      <c r="D138" s="295"/>
      <c r="F138" s="93" t="s">
        <v>123</v>
      </c>
      <c r="G138" s="93" t="s">
        <v>183</v>
      </c>
      <c r="H138" s="353"/>
      <c r="I138" s="353"/>
      <c r="J138" s="358"/>
      <c r="K138" s="358"/>
      <c r="L138" s="358"/>
      <c r="M138" s="358"/>
      <c r="N138" s="358"/>
      <c r="O138" s="358"/>
      <c r="P138" s="358"/>
      <c r="Q138" s="358"/>
      <c r="R138" s="358"/>
      <c r="S138" s="358"/>
      <c r="T138" s="358"/>
      <c r="U138" s="358"/>
      <c r="V138" s="358"/>
      <c r="W138" s="358"/>
      <c r="X138" s="358"/>
      <c r="Y138" s="358"/>
      <c r="Z138" s="351"/>
      <c r="AA138" s="351"/>
    </row>
    <row r="139" spans="4:27" x14ac:dyDescent="0.25">
      <c r="E139" s="295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</row>
    <row r="140" spans="4:27" x14ac:dyDescent="0.25">
      <c r="E140" s="96" t="s">
        <v>116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  <c r="U140" s="253"/>
      <c r="V140" s="253"/>
      <c r="W140" s="253"/>
      <c r="X140" s="253"/>
      <c r="Y140" s="253"/>
    </row>
    <row r="141" spans="4:27" x14ac:dyDescent="0.25">
      <c r="F141" s="91" t="s">
        <v>324</v>
      </c>
      <c r="G141" s="91" t="s">
        <v>183</v>
      </c>
      <c r="H141" s="349"/>
      <c r="I141" s="349"/>
      <c r="J141" s="362">
        <f t="shared" ref="J141:Y142" si="9">J36 * (1 - J$112)</f>
        <v>1.2962008253196948</v>
      </c>
      <c r="K141" s="362">
        <f t="shared" si="9"/>
        <v>1.2962008253196948</v>
      </c>
      <c r="L141" s="362">
        <f t="shared" si="9"/>
        <v>1.6099309147615883</v>
      </c>
      <c r="M141" s="362">
        <f t="shared" si="9"/>
        <v>1.6099309147615883</v>
      </c>
      <c r="N141" s="362">
        <f t="shared" si="9"/>
        <v>1.3079480074596763</v>
      </c>
      <c r="O141" s="362">
        <f t="shared" si="9"/>
        <v>1.2120518974260219</v>
      </c>
      <c r="P141" s="362">
        <f t="shared" si="9"/>
        <v>1.0807510626480226</v>
      </c>
      <c r="Q141" s="362">
        <f t="shared" si="9"/>
        <v>2.3565872225841433</v>
      </c>
      <c r="R141" s="362">
        <f t="shared" si="9"/>
        <v>-0.98241735040849321</v>
      </c>
      <c r="S141" s="362">
        <f t="shared" si="9"/>
        <v>-0.93647697071313185</v>
      </c>
      <c r="T141" s="362">
        <f t="shared" si="9"/>
        <v>-0.98241735040849321</v>
      </c>
      <c r="U141" s="362">
        <f t="shared" si="9"/>
        <v>-0.98241735040849321</v>
      </c>
      <c r="V141" s="362">
        <f t="shared" si="9"/>
        <v>-0.93647697071313185</v>
      </c>
      <c r="W141" s="362">
        <f t="shared" si="9"/>
        <v>-0.93647697071313185</v>
      </c>
      <c r="X141" s="362">
        <f t="shared" si="9"/>
        <v>-0.91704065622663311</v>
      </c>
      <c r="Y141" s="362">
        <f t="shared" si="9"/>
        <v>-0.91704065622663311</v>
      </c>
      <c r="Z141" s="351"/>
      <c r="AA141" s="351"/>
    </row>
    <row r="142" spans="4:27" x14ac:dyDescent="0.25">
      <c r="F142" s="295" t="s">
        <v>43</v>
      </c>
      <c r="G142" s="295" t="s">
        <v>183</v>
      </c>
      <c r="H142" s="351"/>
      <c r="I142" s="351"/>
      <c r="J142" s="421">
        <f t="shared" si="9"/>
        <v>0</v>
      </c>
      <c r="K142" s="421">
        <f t="shared" si="9"/>
        <v>0</v>
      </c>
      <c r="L142" s="421">
        <f t="shared" si="9"/>
        <v>0</v>
      </c>
      <c r="M142" s="421">
        <f t="shared" si="9"/>
        <v>0</v>
      </c>
      <c r="N142" s="421">
        <f t="shared" si="9"/>
        <v>0</v>
      </c>
      <c r="O142" s="421">
        <f t="shared" si="9"/>
        <v>0</v>
      </c>
      <c r="P142" s="421">
        <f t="shared" si="9"/>
        <v>0</v>
      </c>
      <c r="Q142" s="421">
        <f t="shared" si="9"/>
        <v>0</v>
      </c>
      <c r="R142" s="421">
        <f t="shared" si="9"/>
        <v>0</v>
      </c>
      <c r="S142" s="421">
        <f t="shared" si="9"/>
        <v>0</v>
      </c>
      <c r="T142" s="421">
        <f t="shared" si="9"/>
        <v>0</v>
      </c>
      <c r="U142" s="421">
        <f t="shared" si="9"/>
        <v>0</v>
      </c>
      <c r="V142" s="421">
        <f t="shared" si="9"/>
        <v>0</v>
      </c>
      <c r="W142" s="421">
        <f t="shared" si="9"/>
        <v>0</v>
      </c>
      <c r="X142" s="421">
        <f t="shared" si="9"/>
        <v>0</v>
      </c>
      <c r="Y142" s="421">
        <f t="shared" si="9"/>
        <v>0</v>
      </c>
      <c r="Z142" s="351"/>
      <c r="AA142" s="351"/>
    </row>
    <row r="143" spans="4:27" x14ac:dyDescent="0.25">
      <c r="F143" s="295" t="s">
        <v>44</v>
      </c>
      <c r="G143" s="295" t="s">
        <v>183</v>
      </c>
      <c r="H143" s="351"/>
      <c r="I143" s="351"/>
      <c r="J143" s="421">
        <f t="shared" ref="J143:Y143" si="10">J38 * (1 - J$113)</f>
        <v>1.1087911891389439</v>
      </c>
      <c r="K143" s="421">
        <f t="shared" si="10"/>
        <v>1.1087911891389439</v>
      </c>
      <c r="L143" s="421">
        <f t="shared" si="10"/>
        <v>1.3771609912142877</v>
      </c>
      <c r="M143" s="421">
        <f t="shared" si="10"/>
        <v>1.3771609912142877</v>
      </c>
      <c r="N143" s="421">
        <f t="shared" si="10"/>
        <v>1.1188399190884941</v>
      </c>
      <c r="O143" s="421">
        <f t="shared" si="10"/>
        <v>1.0368088327004801</v>
      </c>
      <c r="P143" s="421">
        <f t="shared" si="10"/>
        <v>0.92449197108104175</v>
      </c>
      <c r="Q143" s="421">
        <f t="shared" si="10"/>
        <v>2.0158628954693434</v>
      </c>
      <c r="R143" s="421">
        <f t="shared" si="10"/>
        <v>-0.84037572026811491</v>
      </c>
      <c r="S143" s="421">
        <f t="shared" si="10"/>
        <v>-0.80107757507572097</v>
      </c>
      <c r="T143" s="421">
        <f t="shared" si="10"/>
        <v>-0.84037572026811491</v>
      </c>
      <c r="U143" s="421">
        <f t="shared" si="10"/>
        <v>-0.84037572026811491</v>
      </c>
      <c r="V143" s="421">
        <f t="shared" si="10"/>
        <v>-0.80107757507572097</v>
      </c>
      <c r="W143" s="421">
        <f t="shared" si="10"/>
        <v>-0.80107757507572097</v>
      </c>
      <c r="X143" s="421">
        <f t="shared" si="10"/>
        <v>-0.78445143672509277</v>
      </c>
      <c r="Y143" s="421">
        <f t="shared" si="10"/>
        <v>-0.78445143672509277</v>
      </c>
      <c r="Z143" s="351"/>
      <c r="AA143" s="351"/>
    </row>
    <row r="144" spans="4:27" x14ac:dyDescent="0.25">
      <c r="F144" s="295" t="s">
        <v>45</v>
      </c>
      <c r="G144" s="295" t="s">
        <v>183</v>
      </c>
      <c r="H144" s="351"/>
      <c r="I144" s="351"/>
      <c r="J144" s="421">
        <f t="shared" ref="J144:Y144" si="11">J39 * (1 - J$114)</f>
        <v>7.7230087094881314E-2</v>
      </c>
      <c r="K144" s="421">
        <f t="shared" si="11"/>
        <v>7.7230087094881314E-2</v>
      </c>
      <c r="L144" s="421">
        <f t="shared" si="11"/>
        <v>9.5922716862268165E-2</v>
      </c>
      <c r="M144" s="421">
        <f t="shared" si="11"/>
        <v>9.5922716862268165E-2</v>
      </c>
      <c r="N144" s="421">
        <f t="shared" si="11"/>
        <v>7.7930006337384838E-2</v>
      </c>
      <c r="O144" s="421">
        <f t="shared" si="11"/>
        <v>7.2216335442187848E-2</v>
      </c>
      <c r="P144" s="421">
        <f t="shared" si="11"/>
        <v>6.4393184347499646E-2</v>
      </c>
      <c r="Q144" s="421">
        <f t="shared" si="11"/>
        <v>0.10748036730634765</v>
      </c>
      <c r="R144" s="421">
        <f t="shared" si="11"/>
        <v>-5.8534276520659803E-2</v>
      </c>
      <c r="S144" s="421">
        <f t="shared" si="11"/>
        <v>-5.5797062150988654E-2</v>
      </c>
      <c r="T144" s="421">
        <f t="shared" si="11"/>
        <v>-5.8534276520659803E-2</v>
      </c>
      <c r="U144" s="421">
        <f t="shared" si="11"/>
        <v>-5.8534276520659803E-2</v>
      </c>
      <c r="V144" s="421">
        <f t="shared" si="11"/>
        <v>-5.5797062150988654E-2</v>
      </c>
      <c r="W144" s="421">
        <f t="shared" si="11"/>
        <v>-5.5797062150988654E-2</v>
      </c>
      <c r="X144" s="421">
        <f t="shared" si="11"/>
        <v>-5.4639009917666251E-2</v>
      </c>
      <c r="Y144" s="421">
        <f t="shared" si="11"/>
        <v>-5.4639009917666251E-2</v>
      </c>
      <c r="Z144" s="351"/>
      <c r="AA144" s="351"/>
    </row>
    <row r="145" spans="3:27" x14ac:dyDescent="0.25">
      <c r="F145" s="295" t="s">
        <v>46</v>
      </c>
      <c r="G145" s="295" t="s">
        <v>183</v>
      </c>
      <c r="H145" s="351"/>
      <c r="I145" s="351"/>
      <c r="J145" s="421">
        <f t="shared" ref="J145:Y145" si="12">J40 * (1 - J$115)</f>
        <v>0.78841916116654776</v>
      </c>
      <c r="K145" s="421">
        <f t="shared" si="12"/>
        <v>0.78841916116654776</v>
      </c>
      <c r="L145" s="421">
        <f t="shared" si="12"/>
        <v>0.97924670047896645</v>
      </c>
      <c r="M145" s="421">
        <f t="shared" si="12"/>
        <v>0.97924670047896645</v>
      </c>
      <c r="N145" s="421">
        <f t="shared" si="12"/>
        <v>0.79556443010015654</v>
      </c>
      <c r="O145" s="421">
        <f t="shared" si="12"/>
        <v>0.73723525058183526</v>
      </c>
      <c r="P145" s="421">
        <f t="shared" si="12"/>
        <v>0.52589680833301478</v>
      </c>
      <c r="Q145" s="421">
        <f t="shared" si="12"/>
        <v>1.097235342094538</v>
      </c>
      <c r="R145" s="421">
        <f t="shared" si="12"/>
        <v>-0.59755914993611436</v>
      </c>
      <c r="S145" s="421">
        <f t="shared" si="12"/>
        <v>-0.56961573644989316</v>
      </c>
      <c r="T145" s="421">
        <f t="shared" si="12"/>
        <v>-0.59755914993611436</v>
      </c>
      <c r="U145" s="421">
        <f t="shared" si="12"/>
        <v>-0.59755914993611436</v>
      </c>
      <c r="V145" s="421">
        <f t="shared" si="12"/>
        <v>-0.56961573644989316</v>
      </c>
      <c r="W145" s="421">
        <f t="shared" si="12"/>
        <v>-0.56961573644989316</v>
      </c>
      <c r="X145" s="421">
        <f t="shared" si="12"/>
        <v>-0.55779352305187646</v>
      </c>
      <c r="Y145" s="421">
        <f t="shared" si="12"/>
        <v>-0.55779352305187646</v>
      </c>
      <c r="Z145" s="351"/>
      <c r="AA145" s="351"/>
    </row>
    <row r="146" spans="3:27" x14ac:dyDescent="0.25">
      <c r="F146" s="295" t="s">
        <v>47</v>
      </c>
      <c r="G146" s="295" t="s">
        <v>183</v>
      </c>
      <c r="H146" s="351"/>
      <c r="I146" s="351"/>
      <c r="J146" s="421">
        <f t="shared" ref="J146:Y146" si="13">J41 * (1 - J$116)</f>
        <v>0.1175017600654306</v>
      </c>
      <c r="K146" s="421">
        <f t="shared" si="13"/>
        <v>0.1175017600654306</v>
      </c>
      <c r="L146" s="421">
        <f t="shared" si="13"/>
        <v>0.14594167228799484</v>
      </c>
      <c r="M146" s="421">
        <f t="shared" si="13"/>
        <v>0.14594167228799484</v>
      </c>
      <c r="N146" s="421">
        <f t="shared" si="13"/>
        <v>0.11856665259619766</v>
      </c>
      <c r="O146" s="421">
        <f t="shared" si="13"/>
        <v>0.10987358475340912</v>
      </c>
      <c r="P146" s="421">
        <f t="shared" si="13"/>
        <v>0</v>
      </c>
      <c r="Q146" s="421">
        <f t="shared" si="13"/>
        <v>0.21611754891896912</v>
      </c>
      <c r="R146" s="421">
        <f t="shared" si="13"/>
        <v>-8.905700840249331E-2</v>
      </c>
      <c r="S146" s="421">
        <f t="shared" si="13"/>
        <v>-8.4892472038347946E-2</v>
      </c>
      <c r="T146" s="421">
        <f t="shared" si="13"/>
        <v>-8.905700840249331E-2</v>
      </c>
      <c r="U146" s="421">
        <f t="shared" si="13"/>
        <v>-8.905700840249331E-2</v>
      </c>
      <c r="V146" s="421">
        <f t="shared" si="13"/>
        <v>-8.4892472038347946E-2</v>
      </c>
      <c r="W146" s="421">
        <f t="shared" si="13"/>
        <v>-8.4892472038347946E-2</v>
      </c>
      <c r="X146" s="421">
        <f t="shared" si="13"/>
        <v>-8.3130552807363353E-2</v>
      </c>
      <c r="Y146" s="421">
        <f t="shared" si="13"/>
        <v>-8.3130552807363353E-2</v>
      </c>
      <c r="Z146" s="351"/>
      <c r="AA146" s="351"/>
    </row>
    <row r="147" spans="3:27" x14ac:dyDescent="0.25">
      <c r="F147" s="295" t="s">
        <v>51</v>
      </c>
      <c r="G147" s="295" t="s">
        <v>183</v>
      </c>
      <c r="H147" s="351"/>
      <c r="I147" s="351"/>
      <c r="J147" s="421">
        <f t="shared" ref="J147:Y147" si="14">J42 * (1 - J$117)</f>
        <v>0</v>
      </c>
      <c r="K147" s="421">
        <f t="shared" si="14"/>
        <v>0</v>
      </c>
      <c r="L147" s="421">
        <f t="shared" si="14"/>
        <v>0</v>
      </c>
      <c r="M147" s="421">
        <f t="shared" si="14"/>
        <v>0</v>
      </c>
      <c r="N147" s="421">
        <f t="shared" si="14"/>
        <v>0</v>
      </c>
      <c r="O147" s="421">
        <f t="shared" si="14"/>
        <v>0</v>
      </c>
      <c r="P147" s="421">
        <f t="shared" si="14"/>
        <v>0</v>
      </c>
      <c r="Q147" s="421">
        <f t="shared" si="14"/>
        <v>0</v>
      </c>
      <c r="R147" s="421">
        <f t="shared" si="14"/>
        <v>0</v>
      </c>
      <c r="S147" s="421">
        <f t="shared" si="14"/>
        <v>0</v>
      </c>
      <c r="T147" s="421">
        <f t="shared" si="14"/>
        <v>0</v>
      </c>
      <c r="U147" s="421">
        <f t="shared" si="14"/>
        <v>0</v>
      </c>
      <c r="V147" s="421">
        <f t="shared" si="14"/>
        <v>0</v>
      </c>
      <c r="W147" s="421">
        <f t="shared" si="14"/>
        <v>0</v>
      </c>
      <c r="X147" s="421">
        <f t="shared" si="14"/>
        <v>0</v>
      </c>
      <c r="Y147" s="421">
        <f t="shared" si="14"/>
        <v>0</v>
      </c>
      <c r="Z147" s="351"/>
      <c r="AA147" s="351"/>
    </row>
    <row r="148" spans="3:27" x14ac:dyDescent="0.25">
      <c r="F148" s="295" t="s">
        <v>48</v>
      </c>
      <c r="G148" s="295" t="s">
        <v>183</v>
      </c>
      <c r="H148" s="351"/>
      <c r="I148" s="351"/>
      <c r="J148" s="421">
        <f t="shared" ref="J148:Y148" si="15">J43 * (1 - J$118)</f>
        <v>0.96439197732689286</v>
      </c>
      <c r="K148" s="421">
        <f t="shared" si="15"/>
        <v>0.96439197732689286</v>
      </c>
      <c r="L148" s="421">
        <f t="shared" si="15"/>
        <v>1.1978116568963668</v>
      </c>
      <c r="M148" s="421">
        <f t="shared" si="15"/>
        <v>1.1978116568963668</v>
      </c>
      <c r="N148" s="421">
        <f t="shared" si="15"/>
        <v>0.77850563925922645</v>
      </c>
      <c r="O148" s="421">
        <f t="shared" si="15"/>
        <v>0</v>
      </c>
      <c r="P148" s="421">
        <f t="shared" si="15"/>
        <v>0</v>
      </c>
      <c r="Q148" s="421">
        <f t="shared" si="15"/>
        <v>1.7737779435894987</v>
      </c>
      <c r="R148" s="421">
        <f t="shared" si="15"/>
        <v>-0.73093257820370439</v>
      </c>
      <c r="S148" s="421">
        <f t="shared" si="15"/>
        <v>-0.69675227778410687</v>
      </c>
      <c r="T148" s="421">
        <f t="shared" si="15"/>
        <v>-0.73093257820370439</v>
      </c>
      <c r="U148" s="421">
        <f t="shared" si="15"/>
        <v>-0.73093257820370439</v>
      </c>
      <c r="V148" s="421">
        <f t="shared" si="15"/>
        <v>-0.69675227778410687</v>
      </c>
      <c r="W148" s="421">
        <f t="shared" si="15"/>
        <v>-0.69675227778410687</v>
      </c>
      <c r="X148" s="421">
        <f t="shared" si="15"/>
        <v>0</v>
      </c>
      <c r="Y148" s="421">
        <f t="shared" si="15"/>
        <v>0</v>
      </c>
      <c r="Z148" s="351"/>
      <c r="AA148" s="351"/>
    </row>
    <row r="149" spans="3:27" x14ac:dyDescent="0.25">
      <c r="F149" s="295" t="s">
        <v>49</v>
      </c>
      <c r="G149" s="295" t="s">
        <v>183</v>
      </c>
      <c r="H149" s="351"/>
      <c r="I149" s="351"/>
      <c r="J149" s="421">
        <f t="shared" ref="J149:Y149" si="16">J44 * (1 - J$119)</f>
        <v>0.37719552345054674</v>
      </c>
      <c r="K149" s="421">
        <f t="shared" si="16"/>
        <v>0.37719552345054674</v>
      </c>
      <c r="L149" s="421">
        <f t="shared" si="16"/>
        <v>0.46849124167386696</v>
      </c>
      <c r="M149" s="421">
        <f t="shared" si="16"/>
        <v>0.46849124167386696</v>
      </c>
      <c r="N149" s="421">
        <f t="shared" si="16"/>
        <v>0</v>
      </c>
      <c r="O149" s="421">
        <f t="shared" si="16"/>
        <v>0</v>
      </c>
      <c r="P149" s="421">
        <f t="shared" si="16"/>
        <v>0</v>
      </c>
      <c r="Q149" s="421">
        <f t="shared" si="16"/>
        <v>0.69376468868165275</v>
      </c>
      <c r="R149" s="421">
        <f t="shared" si="16"/>
        <v>-0.28588427001104177</v>
      </c>
      <c r="S149" s="421">
        <f t="shared" si="16"/>
        <v>0</v>
      </c>
      <c r="T149" s="421">
        <f t="shared" si="16"/>
        <v>-0.28588427001104177</v>
      </c>
      <c r="U149" s="421">
        <f t="shared" si="16"/>
        <v>-0.28588427001104177</v>
      </c>
      <c r="V149" s="421">
        <f t="shared" si="16"/>
        <v>0</v>
      </c>
      <c r="W149" s="421">
        <f t="shared" si="16"/>
        <v>0</v>
      </c>
      <c r="X149" s="421">
        <f t="shared" si="16"/>
        <v>0</v>
      </c>
      <c r="Y149" s="421">
        <f t="shared" si="16"/>
        <v>0</v>
      </c>
      <c r="Z149" s="351"/>
      <c r="AA149" s="351"/>
    </row>
    <row r="150" spans="3:27" x14ac:dyDescent="0.25">
      <c r="F150" s="295" t="s">
        <v>50</v>
      </c>
      <c r="G150" s="295" t="s">
        <v>183</v>
      </c>
      <c r="H150" s="351"/>
      <c r="I150" s="351"/>
      <c r="J150" s="421">
        <f t="shared" ref="J150:Y150" si="17">J45 * (1 - J$120)</f>
        <v>0</v>
      </c>
      <c r="K150" s="421">
        <f t="shared" si="17"/>
        <v>0</v>
      </c>
      <c r="L150" s="421">
        <f t="shared" si="17"/>
        <v>0</v>
      </c>
      <c r="M150" s="421">
        <f t="shared" si="17"/>
        <v>0</v>
      </c>
      <c r="N150" s="421">
        <f t="shared" si="17"/>
        <v>0</v>
      </c>
      <c r="O150" s="421">
        <f t="shared" si="17"/>
        <v>0</v>
      </c>
      <c r="P150" s="421">
        <f t="shared" si="17"/>
        <v>0</v>
      </c>
      <c r="Q150" s="421">
        <f t="shared" si="17"/>
        <v>0.424805662526756</v>
      </c>
      <c r="R150" s="421">
        <f t="shared" si="17"/>
        <v>0</v>
      </c>
      <c r="S150" s="421">
        <f t="shared" si="17"/>
        <v>0</v>
      </c>
      <c r="T150" s="421">
        <f t="shared" si="17"/>
        <v>0</v>
      </c>
      <c r="U150" s="421">
        <f t="shared" si="17"/>
        <v>0</v>
      </c>
      <c r="V150" s="421">
        <f t="shared" si="17"/>
        <v>0</v>
      </c>
      <c r="W150" s="421">
        <f t="shared" si="17"/>
        <v>0</v>
      </c>
      <c r="X150" s="421">
        <f t="shared" si="17"/>
        <v>0</v>
      </c>
      <c r="Y150" s="421">
        <f t="shared" si="17"/>
        <v>0</v>
      </c>
      <c r="Z150" s="351"/>
      <c r="AA150" s="351"/>
    </row>
    <row r="151" spans="3:27" x14ac:dyDescent="0.25">
      <c r="D151" s="295"/>
      <c r="F151" s="91" t="s">
        <v>124</v>
      </c>
      <c r="G151" s="91" t="s">
        <v>183</v>
      </c>
      <c r="H151" s="349"/>
      <c r="I151" s="349" t="s">
        <v>431</v>
      </c>
      <c r="J151" s="361"/>
      <c r="K151" s="361"/>
      <c r="L151" s="361"/>
      <c r="M151" s="361"/>
      <c r="N151" s="361"/>
      <c r="O151" s="361"/>
      <c r="P151" s="361"/>
      <c r="Q151" s="362">
        <f t="shared" ref="Q151" si="18">Q46</f>
        <v>0.3075227288855088</v>
      </c>
      <c r="R151" s="361"/>
      <c r="S151" s="361"/>
      <c r="T151" s="361"/>
      <c r="U151" s="361"/>
      <c r="V151" s="361"/>
      <c r="W151" s="361"/>
      <c r="X151" s="361"/>
      <c r="Y151" s="361"/>
      <c r="Z151" s="351"/>
      <c r="AA151" s="351" t="s">
        <v>837</v>
      </c>
    </row>
    <row r="152" spans="3:27" x14ac:dyDescent="0.25">
      <c r="D152" s="295"/>
      <c r="F152" s="93" t="s">
        <v>123</v>
      </c>
      <c r="G152" s="93" t="s">
        <v>183</v>
      </c>
      <c r="H152" s="353"/>
      <c r="I152" s="353"/>
      <c r="J152" s="358"/>
      <c r="K152" s="358"/>
      <c r="L152" s="358"/>
      <c r="M152" s="358"/>
      <c r="N152" s="358"/>
      <c r="O152" s="358"/>
      <c r="P152" s="358"/>
      <c r="Q152" s="358"/>
      <c r="R152" s="358"/>
      <c r="S152" s="358"/>
      <c r="T152" s="358"/>
      <c r="U152" s="358"/>
      <c r="V152" s="358"/>
      <c r="W152" s="358"/>
      <c r="X152" s="358"/>
      <c r="Y152" s="358"/>
      <c r="Z152" s="351"/>
      <c r="AA152" s="351"/>
    </row>
    <row r="153" spans="3:27" x14ac:dyDescent="0.25"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3:27" x14ac:dyDescent="0.25">
      <c r="C154" s="7" t="str">
        <f ca="1">INDEX('Version control'!$H$34:$H$58,MATCH($A$1,'Version control'!$F$34:$F$58,0),1)&amp;"-F: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7"/>
      <c r="AA154" s="7"/>
    </row>
    <row r="155" spans="3:27" x14ac:dyDescent="0.25">
      <c r="C155" s="96"/>
      <c r="D155" s="96"/>
      <c r="E155" s="295"/>
      <c r="I155" s="295" t="s">
        <v>431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  <c r="U155" s="253"/>
      <c r="V155" s="253"/>
      <c r="W155" s="253"/>
      <c r="X155" s="253"/>
      <c r="Y155" s="253"/>
      <c r="AA155" s="295" t="s">
        <v>838</v>
      </c>
    </row>
    <row r="156" spans="3:27" x14ac:dyDescent="0.25">
      <c r="E156" s="96" t="s">
        <v>139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</row>
    <row r="157" spans="3:27" x14ac:dyDescent="0.25">
      <c r="F157" s="91" t="s">
        <v>324</v>
      </c>
      <c r="G157" s="91" t="s">
        <v>183</v>
      </c>
      <c r="H157" s="349"/>
      <c r="I157" s="349"/>
      <c r="J157" s="362">
        <f t="shared" ref="J157:Y158" si="19">J52 * (1 - J$112)</f>
        <v>0</v>
      </c>
      <c r="K157" s="362">
        <f t="shared" si="19"/>
        <v>0</v>
      </c>
      <c r="L157" s="362">
        <f t="shared" si="19"/>
        <v>0</v>
      </c>
      <c r="M157" s="362">
        <f t="shared" si="19"/>
        <v>0</v>
      </c>
      <c r="N157" s="362">
        <f t="shared" si="19"/>
        <v>0</v>
      </c>
      <c r="O157" s="362">
        <f t="shared" si="19"/>
        <v>0</v>
      </c>
      <c r="P157" s="362">
        <f t="shared" si="19"/>
        <v>0</v>
      </c>
      <c r="Q157" s="362">
        <f t="shared" si="19"/>
        <v>0</v>
      </c>
      <c r="R157" s="362">
        <f t="shared" si="19"/>
        <v>0</v>
      </c>
      <c r="S157" s="362">
        <f t="shared" si="19"/>
        <v>0</v>
      </c>
      <c r="T157" s="362">
        <f t="shared" si="19"/>
        <v>0</v>
      </c>
      <c r="U157" s="362">
        <f t="shared" si="19"/>
        <v>0</v>
      </c>
      <c r="V157" s="362">
        <f t="shared" si="19"/>
        <v>0</v>
      </c>
      <c r="W157" s="362">
        <f t="shared" si="19"/>
        <v>0</v>
      </c>
      <c r="X157" s="362">
        <f t="shared" si="19"/>
        <v>0</v>
      </c>
      <c r="Y157" s="362">
        <f t="shared" si="19"/>
        <v>0</v>
      </c>
      <c r="Z157" s="351"/>
      <c r="AA157" s="351"/>
    </row>
    <row r="158" spans="3:27" x14ac:dyDescent="0.25">
      <c r="F158" s="295" t="s">
        <v>43</v>
      </c>
      <c r="G158" s="295" t="s">
        <v>183</v>
      </c>
      <c r="H158" s="351"/>
      <c r="I158" s="351"/>
      <c r="J158" s="421">
        <f t="shared" si="19"/>
        <v>0</v>
      </c>
      <c r="K158" s="421">
        <f t="shared" si="19"/>
        <v>0</v>
      </c>
      <c r="L158" s="421">
        <f t="shared" si="19"/>
        <v>0</v>
      </c>
      <c r="M158" s="421">
        <f t="shared" si="19"/>
        <v>0</v>
      </c>
      <c r="N158" s="421">
        <f t="shared" si="19"/>
        <v>0</v>
      </c>
      <c r="O158" s="421">
        <f t="shared" si="19"/>
        <v>0</v>
      </c>
      <c r="P158" s="421">
        <f t="shared" si="19"/>
        <v>0</v>
      </c>
      <c r="Q158" s="421">
        <f t="shared" si="19"/>
        <v>0</v>
      </c>
      <c r="R158" s="421">
        <f t="shared" si="19"/>
        <v>0</v>
      </c>
      <c r="S158" s="421">
        <f t="shared" si="19"/>
        <v>0</v>
      </c>
      <c r="T158" s="421">
        <f t="shared" si="19"/>
        <v>0</v>
      </c>
      <c r="U158" s="421">
        <f t="shared" si="19"/>
        <v>0</v>
      </c>
      <c r="V158" s="421">
        <f t="shared" si="19"/>
        <v>0</v>
      </c>
      <c r="W158" s="421">
        <f t="shared" si="19"/>
        <v>0</v>
      </c>
      <c r="X158" s="421">
        <f t="shared" si="19"/>
        <v>0</v>
      </c>
      <c r="Y158" s="421">
        <f t="shared" si="19"/>
        <v>0</v>
      </c>
      <c r="Z158" s="351"/>
      <c r="AA158" s="351"/>
    </row>
    <row r="159" spans="3:27" x14ac:dyDescent="0.25">
      <c r="F159" s="295" t="s">
        <v>44</v>
      </c>
      <c r="G159" s="295" t="s">
        <v>183</v>
      </c>
      <c r="H159" s="351"/>
      <c r="I159" s="351"/>
      <c r="J159" s="421">
        <f t="shared" ref="J159:Y159" si="20">J54 * (1 - J$113)</f>
        <v>0.22399965859814833</v>
      </c>
      <c r="K159" s="421">
        <f t="shared" si="20"/>
        <v>0.22399965859814833</v>
      </c>
      <c r="L159" s="421">
        <f t="shared" si="20"/>
        <v>0.27821612841841553</v>
      </c>
      <c r="M159" s="421">
        <f t="shared" si="20"/>
        <v>0.27821612841841553</v>
      </c>
      <c r="N159" s="421">
        <f t="shared" si="20"/>
        <v>0.22602971809004629</v>
      </c>
      <c r="O159" s="421">
        <f t="shared" si="20"/>
        <v>0.20945767501706716</v>
      </c>
      <c r="P159" s="421">
        <f t="shared" si="20"/>
        <v>0.18676725422006624</v>
      </c>
      <c r="Q159" s="421">
        <f t="shared" si="20"/>
        <v>0.2896919172839878</v>
      </c>
      <c r="R159" s="421">
        <f t="shared" si="20"/>
        <v>-0.16977396310338261</v>
      </c>
      <c r="S159" s="421">
        <f t="shared" si="20"/>
        <v>-0.16183489288631797</v>
      </c>
      <c r="T159" s="421">
        <f t="shared" si="20"/>
        <v>-0.16977396310338261</v>
      </c>
      <c r="U159" s="421">
        <f t="shared" si="20"/>
        <v>-0.16977396310338261</v>
      </c>
      <c r="V159" s="421">
        <f t="shared" si="20"/>
        <v>-0.16183489288631797</v>
      </c>
      <c r="W159" s="421">
        <f t="shared" si="20"/>
        <v>-0.16183489288631797</v>
      </c>
      <c r="X159" s="421">
        <f t="shared" si="20"/>
        <v>-0.15847605548679061</v>
      </c>
      <c r="Y159" s="421">
        <f t="shared" si="20"/>
        <v>-0.15847605548679061</v>
      </c>
      <c r="Z159" s="351"/>
      <c r="AA159" s="351"/>
    </row>
    <row r="160" spans="3:27" x14ac:dyDescent="0.25">
      <c r="F160" s="295" t="s">
        <v>45</v>
      </c>
      <c r="G160" s="295" t="s">
        <v>183</v>
      </c>
      <c r="H160" s="351"/>
      <c r="I160" s="351"/>
      <c r="J160" s="421">
        <f t="shared" ref="J160:Y160" si="21">J55 * (1 - J$114)</f>
        <v>2.3474621871336695E-2</v>
      </c>
      <c r="K160" s="421">
        <f t="shared" si="21"/>
        <v>2.3474621871336695E-2</v>
      </c>
      <c r="L160" s="421">
        <f t="shared" si="21"/>
        <v>2.9156376639154144E-2</v>
      </c>
      <c r="M160" s="421">
        <f t="shared" si="21"/>
        <v>2.9156376639154144E-2</v>
      </c>
      <c r="N160" s="421">
        <f t="shared" si="21"/>
        <v>2.368736719089146E-2</v>
      </c>
      <c r="O160" s="421">
        <f t="shared" si="21"/>
        <v>2.1950657201205325E-2</v>
      </c>
      <c r="P160" s="421">
        <f t="shared" si="21"/>
        <v>1.9572756039906346E-2</v>
      </c>
      <c r="Q160" s="421">
        <f t="shared" si="21"/>
        <v>3.0276271076822025E-2</v>
      </c>
      <c r="R160" s="421">
        <f t="shared" si="21"/>
        <v>-1.7791900275169078E-2</v>
      </c>
      <c r="S160" s="421">
        <f t="shared" si="21"/>
        <v>-1.6959904938560453E-2</v>
      </c>
      <c r="T160" s="421">
        <f t="shared" si="21"/>
        <v>-1.7791900275169078E-2</v>
      </c>
      <c r="U160" s="421">
        <f t="shared" si="21"/>
        <v>-1.7791900275169078E-2</v>
      </c>
      <c r="V160" s="421">
        <f t="shared" si="21"/>
        <v>-1.6959904938560453E-2</v>
      </c>
      <c r="W160" s="421">
        <f t="shared" si="21"/>
        <v>-1.6959904938560453E-2</v>
      </c>
      <c r="X160" s="421">
        <f t="shared" si="21"/>
        <v>-1.6607906911533722E-2</v>
      </c>
      <c r="Y160" s="421">
        <f t="shared" si="21"/>
        <v>-1.6607906911533722E-2</v>
      </c>
      <c r="Z160" s="351"/>
      <c r="AA160" s="351"/>
    </row>
    <row r="161" spans="4:27" x14ac:dyDescent="0.25">
      <c r="F161" s="295" t="s">
        <v>46</v>
      </c>
      <c r="G161" s="295" t="s">
        <v>183</v>
      </c>
      <c r="H161" s="351"/>
      <c r="I161" s="351"/>
      <c r="J161" s="421">
        <f t="shared" ref="J161:Y161" si="22">J56 * (1 - J$115)</f>
        <v>0.23964548507841626</v>
      </c>
      <c r="K161" s="421">
        <f t="shared" si="22"/>
        <v>0.23964548507841626</v>
      </c>
      <c r="L161" s="421">
        <f t="shared" si="22"/>
        <v>0.29764884227382166</v>
      </c>
      <c r="M161" s="421">
        <f t="shared" si="22"/>
        <v>0.29764884227382166</v>
      </c>
      <c r="N161" s="421">
        <f t="shared" si="22"/>
        <v>0.2418173392442598</v>
      </c>
      <c r="O161" s="421">
        <f t="shared" si="22"/>
        <v>0.22408777962877338</v>
      </c>
      <c r="P161" s="421">
        <f t="shared" si="22"/>
        <v>0.11278532619708448</v>
      </c>
      <c r="Q161" s="421">
        <f t="shared" si="22"/>
        <v>0.30908151400001616</v>
      </c>
      <c r="R161" s="421">
        <f t="shared" si="22"/>
        <v>-0.18163225781778758</v>
      </c>
      <c r="S161" s="421">
        <f t="shared" si="22"/>
        <v>-0.17313866302774714</v>
      </c>
      <c r="T161" s="421">
        <f t="shared" si="22"/>
        <v>-0.18163225781778758</v>
      </c>
      <c r="U161" s="421">
        <f t="shared" si="22"/>
        <v>-0.18163225781778758</v>
      </c>
      <c r="V161" s="421">
        <f t="shared" si="22"/>
        <v>-0.17313866302774714</v>
      </c>
      <c r="W161" s="421">
        <f t="shared" si="22"/>
        <v>-0.17313866302774714</v>
      </c>
      <c r="X161" s="421">
        <f t="shared" si="22"/>
        <v>-0.11962598641250856</v>
      </c>
      <c r="Y161" s="421">
        <f t="shared" si="22"/>
        <v>-0.11962598641250856</v>
      </c>
      <c r="Z161" s="351"/>
      <c r="AA161" s="351"/>
    </row>
    <row r="162" spans="4:27" x14ac:dyDescent="0.25">
      <c r="F162" s="295" t="s">
        <v>47</v>
      </c>
      <c r="G162" s="295" t="s">
        <v>183</v>
      </c>
      <c r="H162" s="351"/>
      <c r="I162" s="351"/>
      <c r="J162" s="421">
        <f t="shared" ref="J162:Y162" si="23">J57 * (1 - J$116)</f>
        <v>5.0900968116545917E-2</v>
      </c>
      <c r="K162" s="421">
        <f t="shared" si="23"/>
        <v>5.0900968116545917E-2</v>
      </c>
      <c r="L162" s="421">
        <f t="shared" si="23"/>
        <v>6.3220945829832953E-2</v>
      </c>
      <c r="M162" s="421">
        <f t="shared" si="23"/>
        <v>6.3220945829832953E-2</v>
      </c>
      <c r="N162" s="421">
        <f t="shared" si="23"/>
        <v>5.1362272361911578E-2</v>
      </c>
      <c r="O162" s="421">
        <f t="shared" si="23"/>
        <v>4.7596494139914292E-2</v>
      </c>
      <c r="P162" s="421">
        <f t="shared" si="23"/>
        <v>0</v>
      </c>
      <c r="Q162" s="421">
        <f t="shared" si="23"/>
        <v>5.1186201009686481E-2</v>
      </c>
      <c r="R162" s="421">
        <f t="shared" si="23"/>
        <v>-3.8578893990405191E-2</v>
      </c>
      <c r="S162" s="421">
        <f t="shared" si="23"/>
        <v>-3.6774844990853872E-2</v>
      </c>
      <c r="T162" s="421">
        <f t="shared" si="23"/>
        <v>-3.8578893990405191E-2</v>
      </c>
      <c r="U162" s="421">
        <f t="shared" si="23"/>
        <v>-3.8578893990405191E-2</v>
      </c>
      <c r="V162" s="421">
        <f t="shared" si="23"/>
        <v>-3.6774844990853872E-2</v>
      </c>
      <c r="W162" s="421">
        <f t="shared" si="23"/>
        <v>-3.6774844990853872E-2</v>
      </c>
      <c r="X162" s="421">
        <f t="shared" si="23"/>
        <v>-3.0855792467640683E-2</v>
      </c>
      <c r="Y162" s="421">
        <f t="shared" si="23"/>
        <v>-3.0855792467640683E-2</v>
      </c>
      <c r="Z162" s="351"/>
      <c r="AA162" s="351"/>
    </row>
    <row r="163" spans="4:27" x14ac:dyDescent="0.25">
      <c r="F163" s="295" t="s">
        <v>51</v>
      </c>
      <c r="G163" s="295" t="s">
        <v>183</v>
      </c>
      <c r="H163" s="351"/>
      <c r="I163" s="351"/>
      <c r="J163" s="421">
        <f t="shared" ref="J163:Y163" si="24">J58 * (1 - J$117)</f>
        <v>0</v>
      </c>
      <c r="K163" s="421">
        <f t="shared" si="24"/>
        <v>0</v>
      </c>
      <c r="L163" s="421">
        <f t="shared" si="24"/>
        <v>0</v>
      </c>
      <c r="M163" s="421">
        <f t="shared" si="24"/>
        <v>0</v>
      </c>
      <c r="N163" s="421">
        <f t="shared" si="24"/>
        <v>0</v>
      </c>
      <c r="O163" s="421">
        <f t="shared" si="24"/>
        <v>0</v>
      </c>
      <c r="P163" s="421">
        <f t="shared" si="24"/>
        <v>0</v>
      </c>
      <c r="Q163" s="421">
        <f t="shared" si="24"/>
        <v>0</v>
      </c>
      <c r="R163" s="421">
        <f t="shared" si="24"/>
        <v>0</v>
      </c>
      <c r="S163" s="421">
        <f t="shared" si="24"/>
        <v>0</v>
      </c>
      <c r="T163" s="421">
        <f t="shared" si="24"/>
        <v>0</v>
      </c>
      <c r="U163" s="421">
        <f t="shared" si="24"/>
        <v>0</v>
      </c>
      <c r="V163" s="421">
        <f t="shared" si="24"/>
        <v>0</v>
      </c>
      <c r="W163" s="421">
        <f t="shared" si="24"/>
        <v>0</v>
      </c>
      <c r="X163" s="421">
        <f t="shared" si="24"/>
        <v>0</v>
      </c>
      <c r="Y163" s="421">
        <f t="shared" si="24"/>
        <v>0</v>
      </c>
      <c r="Z163" s="351"/>
      <c r="AA163" s="351"/>
    </row>
    <row r="164" spans="4:27" x14ac:dyDescent="0.25">
      <c r="F164" s="295" t="s">
        <v>48</v>
      </c>
      <c r="G164" s="295" t="s">
        <v>183</v>
      </c>
      <c r="H164" s="351"/>
      <c r="I164" s="351"/>
      <c r="J164" s="421">
        <f t="shared" ref="J164:Y164" si="25">J59 * (1 - J$118)</f>
        <v>0.28142893148346149</v>
      </c>
      <c r="K164" s="421">
        <f t="shared" si="25"/>
        <v>0.28142893148346149</v>
      </c>
      <c r="L164" s="421">
        <f t="shared" si="25"/>
        <v>0.34954547802559649</v>
      </c>
      <c r="M164" s="421">
        <f t="shared" si="25"/>
        <v>0.34954547802559649</v>
      </c>
      <c r="N164" s="421">
        <f t="shared" si="25"/>
        <v>0.22718356784536839</v>
      </c>
      <c r="O164" s="421">
        <f t="shared" si="25"/>
        <v>0</v>
      </c>
      <c r="P164" s="421">
        <f t="shared" si="25"/>
        <v>0</v>
      </c>
      <c r="Q164" s="421">
        <f t="shared" si="25"/>
        <v>0.28300597002144545</v>
      </c>
      <c r="R164" s="421">
        <f t="shared" si="25"/>
        <v>-0.21330079397849824</v>
      </c>
      <c r="S164" s="421">
        <f t="shared" si="25"/>
        <v>-0.20332629641835265</v>
      </c>
      <c r="T164" s="421">
        <f t="shared" si="25"/>
        <v>-0.21330079397849824</v>
      </c>
      <c r="U164" s="421">
        <f t="shared" si="25"/>
        <v>-0.21330079397849824</v>
      </c>
      <c r="V164" s="421">
        <f t="shared" si="25"/>
        <v>-0.20332629641835265</v>
      </c>
      <c r="W164" s="421">
        <f t="shared" si="25"/>
        <v>-0.20332629641835265</v>
      </c>
      <c r="X164" s="421">
        <f t="shared" si="25"/>
        <v>0</v>
      </c>
      <c r="Y164" s="421">
        <f t="shared" si="25"/>
        <v>0</v>
      </c>
      <c r="Z164" s="351"/>
      <c r="AA164" s="351"/>
    </row>
    <row r="165" spans="4:27" x14ac:dyDescent="0.25">
      <c r="F165" s="295" t="s">
        <v>49</v>
      </c>
      <c r="G165" s="295" t="s">
        <v>183</v>
      </c>
      <c r="H165" s="351"/>
      <c r="I165" s="351"/>
      <c r="J165" s="421">
        <f t="shared" ref="J165:Y165" si="26">J60 * (1 - J$119)</f>
        <v>4.7226617345179703E-2</v>
      </c>
      <c r="K165" s="421">
        <f t="shared" si="26"/>
        <v>4.7226617345179703E-2</v>
      </c>
      <c r="L165" s="421">
        <f t="shared" si="26"/>
        <v>5.8657261882909408E-2</v>
      </c>
      <c r="M165" s="421">
        <f t="shared" si="26"/>
        <v>5.8657261882909408E-2</v>
      </c>
      <c r="N165" s="421">
        <f t="shared" si="26"/>
        <v>0</v>
      </c>
      <c r="O165" s="421">
        <f t="shared" si="26"/>
        <v>0</v>
      </c>
      <c r="P165" s="421">
        <f t="shared" si="26"/>
        <v>0</v>
      </c>
      <c r="Q165" s="421">
        <f t="shared" si="26"/>
        <v>4.7491260341119682E-2</v>
      </c>
      <c r="R165" s="421">
        <f t="shared" si="26"/>
        <v>-3.5794027726810063E-2</v>
      </c>
      <c r="S165" s="421">
        <f t="shared" si="26"/>
        <v>0</v>
      </c>
      <c r="T165" s="421">
        <f t="shared" si="26"/>
        <v>-3.5794027726810063E-2</v>
      </c>
      <c r="U165" s="421">
        <f t="shared" si="26"/>
        <v>-3.5794027726810063E-2</v>
      </c>
      <c r="V165" s="421">
        <f t="shared" si="26"/>
        <v>0</v>
      </c>
      <c r="W165" s="421">
        <f t="shared" si="26"/>
        <v>0</v>
      </c>
      <c r="X165" s="421">
        <f t="shared" si="26"/>
        <v>0</v>
      </c>
      <c r="Y165" s="421">
        <f t="shared" si="26"/>
        <v>0</v>
      </c>
      <c r="Z165" s="351"/>
      <c r="AA165" s="351"/>
    </row>
    <row r="166" spans="4:27" x14ac:dyDescent="0.25">
      <c r="F166" s="295" t="s">
        <v>50</v>
      </c>
      <c r="G166" s="295" t="s">
        <v>183</v>
      </c>
      <c r="H166" s="351"/>
      <c r="I166" s="351"/>
      <c r="J166" s="421">
        <f t="shared" ref="J166:Y166" si="27">J61 * (1 - J$120)</f>
        <v>0</v>
      </c>
      <c r="K166" s="421">
        <f t="shared" si="27"/>
        <v>0</v>
      </c>
      <c r="L166" s="421">
        <f t="shared" si="27"/>
        <v>0</v>
      </c>
      <c r="M166" s="421">
        <f t="shared" si="27"/>
        <v>0</v>
      </c>
      <c r="N166" s="421">
        <f t="shared" si="27"/>
        <v>0</v>
      </c>
      <c r="O166" s="421">
        <f t="shared" si="27"/>
        <v>0</v>
      </c>
      <c r="P166" s="421">
        <f t="shared" si="27"/>
        <v>0</v>
      </c>
      <c r="Q166" s="421">
        <f t="shared" si="27"/>
        <v>6.9474443863468283E-3</v>
      </c>
      <c r="R166" s="421">
        <f t="shared" si="27"/>
        <v>0</v>
      </c>
      <c r="S166" s="421">
        <f t="shared" si="27"/>
        <v>0</v>
      </c>
      <c r="T166" s="421">
        <f t="shared" si="27"/>
        <v>0</v>
      </c>
      <c r="U166" s="421">
        <f t="shared" si="27"/>
        <v>0</v>
      </c>
      <c r="V166" s="421">
        <f t="shared" si="27"/>
        <v>0</v>
      </c>
      <c r="W166" s="421">
        <f t="shared" si="27"/>
        <v>0</v>
      </c>
      <c r="X166" s="421">
        <f t="shared" si="27"/>
        <v>0</v>
      </c>
      <c r="Y166" s="421">
        <f t="shared" si="27"/>
        <v>0</v>
      </c>
      <c r="Z166" s="351"/>
      <c r="AA166" s="351"/>
    </row>
    <row r="167" spans="4:27" x14ac:dyDescent="0.25">
      <c r="D167" s="295"/>
      <c r="F167" s="91" t="s">
        <v>124</v>
      </c>
      <c r="G167" s="91" t="s">
        <v>183</v>
      </c>
      <c r="H167" s="349"/>
      <c r="I167" s="349"/>
      <c r="J167" s="361"/>
      <c r="K167" s="361"/>
      <c r="L167" s="361"/>
      <c r="M167" s="361"/>
      <c r="N167" s="361"/>
      <c r="O167" s="361"/>
      <c r="P167" s="361"/>
      <c r="Q167" s="361"/>
      <c r="R167" s="361"/>
      <c r="S167" s="361"/>
      <c r="T167" s="361"/>
      <c r="U167" s="361"/>
      <c r="V167" s="361"/>
      <c r="W167" s="361"/>
      <c r="X167" s="361"/>
      <c r="Y167" s="361"/>
      <c r="Z167" s="351"/>
      <c r="AA167" s="351"/>
    </row>
    <row r="168" spans="4:27" x14ac:dyDescent="0.25">
      <c r="D168" s="295"/>
      <c r="F168" s="93" t="s">
        <v>123</v>
      </c>
      <c r="G168" s="93" t="s">
        <v>183</v>
      </c>
      <c r="H168" s="353"/>
      <c r="I168" s="353"/>
      <c r="J168" s="358"/>
      <c r="K168" s="358"/>
      <c r="L168" s="358"/>
      <c r="M168" s="358"/>
      <c r="N168" s="358"/>
      <c r="O168" s="358"/>
      <c r="P168" s="358"/>
      <c r="Q168" s="358"/>
      <c r="R168" s="358"/>
      <c r="S168" s="358"/>
      <c r="T168" s="358"/>
      <c r="U168" s="358"/>
      <c r="V168" s="358"/>
      <c r="W168" s="358"/>
      <c r="X168" s="358"/>
      <c r="Y168" s="358"/>
      <c r="Z168" s="351"/>
      <c r="AA168" s="351"/>
    </row>
    <row r="169" spans="4:27" x14ac:dyDescent="0.25">
      <c r="D169" s="295"/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  <c r="U169" s="253"/>
      <c r="V169" s="253"/>
      <c r="W169" s="253"/>
      <c r="X169" s="253"/>
      <c r="Y169" s="253"/>
    </row>
    <row r="170" spans="4:27" x14ac:dyDescent="0.25">
      <c r="E170" s="96" t="s">
        <v>116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4:27" x14ac:dyDescent="0.25">
      <c r="F171" s="91" t="s">
        <v>324</v>
      </c>
      <c r="G171" s="91" t="s">
        <v>183</v>
      </c>
      <c r="H171" s="349"/>
      <c r="I171" s="349"/>
      <c r="J171" s="362">
        <f t="shared" ref="J171:Y172" si="28">J66 * (1 - J$112)</f>
        <v>0.13858802485178834</v>
      </c>
      <c r="K171" s="362">
        <f t="shared" si="28"/>
        <v>0.13858802485178834</v>
      </c>
      <c r="L171" s="362">
        <f t="shared" si="28"/>
        <v>0.17213161823871834</v>
      </c>
      <c r="M171" s="362">
        <f t="shared" si="28"/>
        <v>0.17213161823871834</v>
      </c>
      <c r="N171" s="362">
        <f t="shared" si="28"/>
        <v>0.13984401754871686</v>
      </c>
      <c r="O171" s="362">
        <f t="shared" si="28"/>
        <v>0.12959093621986023</v>
      </c>
      <c r="P171" s="362">
        <f t="shared" si="28"/>
        <v>0.11555242999626951</v>
      </c>
      <c r="Q171" s="362">
        <f t="shared" si="28"/>
        <v>0.17923165991935752</v>
      </c>
      <c r="R171" s="362">
        <f t="shared" si="28"/>
        <v>-0.10503872356327192</v>
      </c>
      <c r="S171" s="362">
        <f t="shared" si="28"/>
        <v>-0.10012684080671602</v>
      </c>
      <c r="T171" s="362">
        <f t="shared" si="28"/>
        <v>-0.10503872356327192</v>
      </c>
      <c r="U171" s="362">
        <f t="shared" si="28"/>
        <v>-0.10503872356327192</v>
      </c>
      <c r="V171" s="362">
        <f t="shared" si="28"/>
        <v>-0.10012684080671602</v>
      </c>
      <c r="W171" s="362">
        <f t="shared" si="28"/>
        <v>-0.10012684080671602</v>
      </c>
      <c r="X171" s="362">
        <f t="shared" si="28"/>
        <v>-9.8048736563557767E-2</v>
      </c>
      <c r="Y171" s="362">
        <f t="shared" si="28"/>
        <v>-9.8048736563557767E-2</v>
      </c>
      <c r="Z171" s="351"/>
      <c r="AA171" s="351"/>
    </row>
    <row r="172" spans="4:27" x14ac:dyDescent="0.25">
      <c r="F172" s="295" t="s">
        <v>43</v>
      </c>
      <c r="G172" s="295" t="s">
        <v>183</v>
      </c>
      <c r="H172" s="351"/>
      <c r="I172" s="351"/>
      <c r="J172" s="421">
        <f t="shared" si="28"/>
        <v>0</v>
      </c>
      <c r="K172" s="421">
        <f t="shared" si="28"/>
        <v>0</v>
      </c>
      <c r="L172" s="421">
        <f t="shared" si="28"/>
        <v>0</v>
      </c>
      <c r="M172" s="421">
        <f t="shared" si="28"/>
        <v>0</v>
      </c>
      <c r="N172" s="421">
        <f t="shared" si="28"/>
        <v>0</v>
      </c>
      <c r="O172" s="421">
        <f t="shared" si="28"/>
        <v>0</v>
      </c>
      <c r="P172" s="421">
        <f t="shared" si="28"/>
        <v>0</v>
      </c>
      <c r="Q172" s="421">
        <f t="shared" si="28"/>
        <v>0</v>
      </c>
      <c r="R172" s="421">
        <f t="shared" si="28"/>
        <v>0</v>
      </c>
      <c r="S172" s="421">
        <f t="shared" si="28"/>
        <v>0</v>
      </c>
      <c r="T172" s="421">
        <f t="shared" si="28"/>
        <v>0</v>
      </c>
      <c r="U172" s="421">
        <f t="shared" si="28"/>
        <v>0</v>
      </c>
      <c r="V172" s="421">
        <f t="shared" si="28"/>
        <v>0</v>
      </c>
      <c r="W172" s="421">
        <f t="shared" si="28"/>
        <v>0</v>
      </c>
      <c r="X172" s="421">
        <f t="shared" si="28"/>
        <v>0</v>
      </c>
      <c r="Y172" s="421">
        <f t="shared" si="28"/>
        <v>0</v>
      </c>
      <c r="Z172" s="351"/>
      <c r="AA172" s="351"/>
    </row>
    <row r="173" spans="4:27" x14ac:dyDescent="0.25">
      <c r="F173" s="295" t="s">
        <v>44</v>
      </c>
      <c r="G173" s="295" t="s">
        <v>183</v>
      </c>
      <c r="H173" s="351"/>
      <c r="I173" s="351"/>
      <c r="J173" s="421">
        <f t="shared" ref="J173:Y173" si="29">J68 * (1 - J$113)</f>
        <v>0.11855044208749975</v>
      </c>
      <c r="K173" s="421">
        <f t="shared" si="29"/>
        <v>0.11855044208749975</v>
      </c>
      <c r="L173" s="421">
        <f t="shared" si="29"/>
        <v>0.14724417539870488</v>
      </c>
      <c r="M173" s="421">
        <f t="shared" si="29"/>
        <v>0.14724417539870488</v>
      </c>
      <c r="N173" s="421">
        <f t="shared" si="29"/>
        <v>0.11962483859209522</v>
      </c>
      <c r="O173" s="421">
        <f t="shared" si="29"/>
        <v>0.11085418668624</v>
      </c>
      <c r="P173" s="421">
        <f t="shared" si="29"/>
        <v>9.8845420987799346E-2</v>
      </c>
      <c r="Q173" s="421">
        <f t="shared" si="29"/>
        <v>0.15331766609878245</v>
      </c>
      <c r="R173" s="421">
        <f t="shared" si="29"/>
        <v>-8.9851826144788857E-2</v>
      </c>
      <c r="S173" s="421">
        <f t="shared" si="29"/>
        <v>-8.565012204449296E-2</v>
      </c>
      <c r="T173" s="421">
        <f t="shared" si="29"/>
        <v>-8.9851826144788857E-2</v>
      </c>
      <c r="U173" s="421">
        <f t="shared" si="29"/>
        <v>-8.9851826144788857E-2</v>
      </c>
      <c r="V173" s="421">
        <f t="shared" si="29"/>
        <v>-8.565012204449296E-2</v>
      </c>
      <c r="W173" s="421">
        <f t="shared" si="29"/>
        <v>-8.565012204449296E-2</v>
      </c>
      <c r="X173" s="421">
        <f t="shared" si="29"/>
        <v>-8.3872478002060089E-2</v>
      </c>
      <c r="Y173" s="421">
        <f t="shared" si="29"/>
        <v>-8.3872478002060089E-2</v>
      </c>
      <c r="Z173" s="351"/>
      <c r="AA173" s="351"/>
    </row>
    <row r="174" spans="4:27" x14ac:dyDescent="0.25">
      <c r="F174" s="295" t="s">
        <v>45</v>
      </c>
      <c r="G174" s="295" t="s">
        <v>183</v>
      </c>
      <c r="H174" s="351"/>
      <c r="I174" s="351"/>
      <c r="J174" s="421">
        <f t="shared" ref="J174:Y174" si="30">J69 * (1 - J$114)</f>
        <v>1.2423799295499733E-2</v>
      </c>
      <c r="K174" s="421">
        <f t="shared" si="30"/>
        <v>1.2423799295499733E-2</v>
      </c>
      <c r="L174" s="421">
        <f t="shared" si="30"/>
        <v>1.5430833073019457E-2</v>
      </c>
      <c r="M174" s="421">
        <f t="shared" si="30"/>
        <v>1.5430833073019457E-2</v>
      </c>
      <c r="N174" s="421">
        <f t="shared" si="30"/>
        <v>1.2536393447844001E-2</v>
      </c>
      <c r="O174" s="421">
        <f t="shared" si="30"/>
        <v>1.1617250363682304E-2</v>
      </c>
      <c r="P174" s="421">
        <f t="shared" si="30"/>
        <v>1.0358760794204438E-2</v>
      </c>
      <c r="Q174" s="421">
        <f t="shared" si="30"/>
        <v>1.6023530318665866E-2</v>
      </c>
      <c r="R174" s="421">
        <f t="shared" si="30"/>
        <v>-9.4162538300200712E-3</v>
      </c>
      <c r="S174" s="421">
        <f t="shared" si="30"/>
        <v>-8.9759254135083396E-3</v>
      </c>
      <c r="T174" s="421">
        <f t="shared" si="30"/>
        <v>-9.4162538300200712E-3</v>
      </c>
      <c r="U174" s="421">
        <f t="shared" si="30"/>
        <v>-9.4162538300200712E-3</v>
      </c>
      <c r="V174" s="421">
        <f t="shared" si="30"/>
        <v>-8.9759254135083396E-3</v>
      </c>
      <c r="W174" s="421">
        <f t="shared" si="30"/>
        <v>-8.9759254135083396E-3</v>
      </c>
      <c r="X174" s="421">
        <f t="shared" si="30"/>
        <v>-8.7896326219072257E-3</v>
      </c>
      <c r="Y174" s="421">
        <f t="shared" si="30"/>
        <v>-8.7896326219072257E-3</v>
      </c>
      <c r="Z174" s="351"/>
      <c r="AA174" s="351"/>
    </row>
    <row r="175" spans="4:27" x14ac:dyDescent="0.25">
      <c r="F175" s="295" t="s">
        <v>46</v>
      </c>
      <c r="G175" s="295" t="s">
        <v>183</v>
      </c>
      <c r="H175" s="351"/>
      <c r="I175" s="351"/>
      <c r="J175" s="421">
        <f t="shared" ref="J175:Y175" si="31">J70 * (1 - J$115)</f>
        <v>0.1268308995563551</v>
      </c>
      <c r="K175" s="421">
        <f t="shared" si="31"/>
        <v>0.1268308995563551</v>
      </c>
      <c r="L175" s="421">
        <f t="shared" si="31"/>
        <v>0.15752881972778926</v>
      </c>
      <c r="M175" s="421">
        <f t="shared" si="31"/>
        <v>0.15752881972778926</v>
      </c>
      <c r="N175" s="421">
        <f t="shared" si="31"/>
        <v>0.1279803400203347</v>
      </c>
      <c r="O175" s="421">
        <f t="shared" si="31"/>
        <v>0.11859707960116019</v>
      </c>
      <c r="P175" s="421">
        <f t="shared" si="31"/>
        <v>8.4599624869597059E-2</v>
      </c>
      <c r="Q175" s="421">
        <f t="shared" si="31"/>
        <v>0.16357949094694987</v>
      </c>
      <c r="R175" s="421">
        <f t="shared" si="31"/>
        <v>-9.612775571358595E-2</v>
      </c>
      <c r="S175" s="421">
        <f t="shared" si="31"/>
        <v>-9.1632572892447028E-2</v>
      </c>
      <c r="T175" s="421">
        <f t="shared" si="31"/>
        <v>-9.612775571358595E-2</v>
      </c>
      <c r="U175" s="421">
        <f t="shared" si="31"/>
        <v>-9.612775571358595E-2</v>
      </c>
      <c r="V175" s="421">
        <f t="shared" si="31"/>
        <v>-9.1632572892447028E-2</v>
      </c>
      <c r="W175" s="421">
        <f t="shared" si="31"/>
        <v>-9.1632572892447028E-2</v>
      </c>
      <c r="X175" s="421">
        <f t="shared" si="31"/>
        <v>-8.9730764775811322E-2</v>
      </c>
      <c r="Y175" s="421">
        <f t="shared" si="31"/>
        <v>-8.9730764775811322E-2</v>
      </c>
      <c r="Z175" s="351"/>
      <c r="AA175" s="351"/>
    </row>
    <row r="176" spans="4:27" x14ac:dyDescent="0.25">
      <c r="F176" s="295" t="s">
        <v>47</v>
      </c>
      <c r="G176" s="295" t="s">
        <v>183</v>
      </c>
      <c r="H176" s="351"/>
      <c r="I176" s="351"/>
      <c r="J176" s="421">
        <f t="shared" ref="J176:Y176" si="32">J71 * (1 - J$116)</f>
        <v>2.6939024419335118E-2</v>
      </c>
      <c r="K176" s="421">
        <f t="shared" si="32"/>
        <v>2.6939024419335118E-2</v>
      </c>
      <c r="L176" s="421">
        <f t="shared" si="32"/>
        <v>3.3459296876707498E-2</v>
      </c>
      <c r="M176" s="421">
        <f t="shared" si="32"/>
        <v>3.3459296876707498E-2</v>
      </c>
      <c r="N176" s="421">
        <f t="shared" si="32"/>
        <v>2.7183166854940564E-2</v>
      </c>
      <c r="O176" s="421">
        <f t="shared" si="32"/>
        <v>2.5190151884225125E-2</v>
      </c>
      <c r="P176" s="421">
        <f t="shared" si="32"/>
        <v>0</v>
      </c>
      <c r="Q176" s="421">
        <f t="shared" si="32"/>
        <v>2.708998217432158E-2</v>
      </c>
      <c r="R176" s="421">
        <f t="shared" si="32"/>
        <v>-2.0417642448349382E-2</v>
      </c>
      <c r="S176" s="421">
        <f t="shared" si="32"/>
        <v>-1.9462860607239518E-2</v>
      </c>
      <c r="T176" s="421">
        <f t="shared" si="32"/>
        <v>-2.0417642448349382E-2</v>
      </c>
      <c r="U176" s="421">
        <f t="shared" si="32"/>
        <v>-2.0417642448349382E-2</v>
      </c>
      <c r="V176" s="421">
        <f t="shared" si="32"/>
        <v>-1.9462860607239518E-2</v>
      </c>
      <c r="W176" s="421">
        <f t="shared" si="32"/>
        <v>-1.9462860607239518E-2</v>
      </c>
      <c r="X176" s="421">
        <f t="shared" si="32"/>
        <v>-1.9058914443693037E-2</v>
      </c>
      <c r="Y176" s="421">
        <f t="shared" si="32"/>
        <v>-1.9058914443693037E-2</v>
      </c>
      <c r="Z176" s="351"/>
      <c r="AA176" s="351"/>
    </row>
    <row r="177" spans="3:27" x14ac:dyDescent="0.25">
      <c r="F177" s="295" t="s">
        <v>51</v>
      </c>
      <c r="G177" s="295" t="s">
        <v>183</v>
      </c>
      <c r="H177" s="351"/>
      <c r="I177" s="351"/>
      <c r="J177" s="421">
        <f t="shared" ref="J177:Y177" si="33">J72 * (1 - J$117)</f>
        <v>0</v>
      </c>
      <c r="K177" s="421">
        <f t="shared" si="33"/>
        <v>0</v>
      </c>
      <c r="L177" s="421">
        <f t="shared" si="33"/>
        <v>0</v>
      </c>
      <c r="M177" s="421">
        <f t="shared" si="33"/>
        <v>0</v>
      </c>
      <c r="N177" s="421">
        <f t="shared" si="33"/>
        <v>0</v>
      </c>
      <c r="O177" s="421">
        <f t="shared" si="33"/>
        <v>0</v>
      </c>
      <c r="P177" s="421">
        <f t="shared" si="33"/>
        <v>0</v>
      </c>
      <c r="Q177" s="421">
        <f t="shared" si="33"/>
        <v>0</v>
      </c>
      <c r="R177" s="421">
        <f t="shared" si="33"/>
        <v>0</v>
      </c>
      <c r="S177" s="421">
        <f t="shared" si="33"/>
        <v>0</v>
      </c>
      <c r="T177" s="421">
        <f t="shared" si="33"/>
        <v>0</v>
      </c>
      <c r="U177" s="421">
        <f t="shared" si="33"/>
        <v>0</v>
      </c>
      <c r="V177" s="421">
        <f t="shared" si="33"/>
        <v>0</v>
      </c>
      <c r="W177" s="421">
        <f t="shared" si="33"/>
        <v>0</v>
      </c>
      <c r="X177" s="421">
        <f t="shared" si="33"/>
        <v>0</v>
      </c>
      <c r="Y177" s="421">
        <f t="shared" si="33"/>
        <v>0</v>
      </c>
      <c r="Z177" s="351"/>
      <c r="AA177" s="351"/>
    </row>
    <row r="178" spans="3:27" x14ac:dyDescent="0.25">
      <c r="F178" s="295" t="s">
        <v>48</v>
      </c>
      <c r="G178" s="295" t="s">
        <v>183</v>
      </c>
      <c r="H178" s="351"/>
      <c r="I178" s="351"/>
      <c r="J178" s="421">
        <f t="shared" ref="J178:Y178" si="34">J73 * (1 - J$118)</f>
        <v>0.22110119042092022</v>
      </c>
      <c r="K178" s="421">
        <f t="shared" si="34"/>
        <v>0.22110119042092022</v>
      </c>
      <c r="L178" s="421">
        <f t="shared" si="34"/>
        <v>0.27461612027706805</v>
      </c>
      <c r="M178" s="421">
        <f t="shared" si="34"/>
        <v>0.27461612027706805</v>
      </c>
      <c r="N178" s="421">
        <f t="shared" si="34"/>
        <v>0.1784839853881004</v>
      </c>
      <c r="O178" s="421">
        <f t="shared" si="34"/>
        <v>0</v>
      </c>
      <c r="P178" s="421">
        <f t="shared" si="34"/>
        <v>0</v>
      </c>
      <c r="Q178" s="421">
        <f t="shared" si="34"/>
        <v>0.22234017141782747</v>
      </c>
      <c r="R178" s="421">
        <f t="shared" si="34"/>
        <v>-0.16757715426690198</v>
      </c>
      <c r="S178" s="421">
        <f t="shared" si="34"/>
        <v>-0.15974081252060804</v>
      </c>
      <c r="T178" s="421">
        <f t="shared" si="34"/>
        <v>-0.16757715426690198</v>
      </c>
      <c r="U178" s="421">
        <f t="shared" si="34"/>
        <v>-0.16757715426690198</v>
      </c>
      <c r="V178" s="421">
        <f t="shared" si="34"/>
        <v>-0.15974081252060804</v>
      </c>
      <c r="W178" s="421">
        <f t="shared" si="34"/>
        <v>-0.15974081252060804</v>
      </c>
      <c r="X178" s="421">
        <f t="shared" si="34"/>
        <v>0</v>
      </c>
      <c r="Y178" s="421">
        <f t="shared" si="34"/>
        <v>0</v>
      </c>
      <c r="Z178" s="351"/>
      <c r="AA178" s="351"/>
    </row>
    <row r="179" spans="3:27" x14ac:dyDescent="0.25">
      <c r="F179" s="295" t="s">
        <v>49</v>
      </c>
      <c r="G179" s="295" t="s">
        <v>183</v>
      </c>
      <c r="H179" s="351"/>
      <c r="I179" s="351"/>
      <c r="J179" s="421">
        <f t="shared" ref="J179:Y179" si="35">J74 * (1 - J$119)</f>
        <v>8.6477678389156779E-2</v>
      </c>
      <c r="K179" s="421">
        <f t="shared" si="35"/>
        <v>8.6477678389156779E-2</v>
      </c>
      <c r="L179" s="421">
        <f t="shared" si="35"/>
        <v>0.10740857832826609</v>
      </c>
      <c r="M179" s="421">
        <f t="shared" si="35"/>
        <v>0.10740857832826609</v>
      </c>
      <c r="N179" s="421">
        <f t="shared" si="35"/>
        <v>0</v>
      </c>
      <c r="O179" s="421">
        <f t="shared" si="35"/>
        <v>0</v>
      </c>
      <c r="P179" s="421">
        <f t="shared" si="35"/>
        <v>0</v>
      </c>
      <c r="Q179" s="421">
        <f t="shared" si="35"/>
        <v>8.6962271891239895E-2</v>
      </c>
      <c r="R179" s="421">
        <f t="shared" si="35"/>
        <v>-6.5543216770903828E-2</v>
      </c>
      <c r="S179" s="421">
        <f t="shared" si="35"/>
        <v>0</v>
      </c>
      <c r="T179" s="421">
        <f t="shared" si="35"/>
        <v>-6.5543216770903828E-2</v>
      </c>
      <c r="U179" s="421">
        <f t="shared" si="35"/>
        <v>-6.5543216770903828E-2</v>
      </c>
      <c r="V179" s="421">
        <f t="shared" si="35"/>
        <v>0</v>
      </c>
      <c r="W179" s="421">
        <f t="shared" si="35"/>
        <v>0</v>
      </c>
      <c r="X179" s="421">
        <f t="shared" si="35"/>
        <v>0</v>
      </c>
      <c r="Y179" s="421">
        <f t="shared" si="35"/>
        <v>0</v>
      </c>
      <c r="Z179" s="351"/>
      <c r="AA179" s="351"/>
    </row>
    <row r="180" spans="3:27" x14ac:dyDescent="0.25">
      <c r="F180" s="295" t="s">
        <v>50</v>
      </c>
      <c r="G180" s="295" t="s">
        <v>183</v>
      </c>
      <c r="H180" s="351"/>
      <c r="I180" s="351"/>
      <c r="J180" s="421">
        <f t="shared" ref="J180:Y180" si="36">J75 * (1 - J$120)</f>
        <v>0</v>
      </c>
      <c r="K180" s="421">
        <f t="shared" si="36"/>
        <v>0</v>
      </c>
      <c r="L180" s="421">
        <f t="shared" si="36"/>
        <v>0</v>
      </c>
      <c r="M180" s="421">
        <f t="shared" si="36"/>
        <v>0</v>
      </c>
      <c r="N180" s="421">
        <f t="shared" si="36"/>
        <v>0</v>
      </c>
      <c r="O180" s="421">
        <f t="shared" si="36"/>
        <v>0</v>
      </c>
      <c r="P180" s="421">
        <f t="shared" si="36"/>
        <v>0</v>
      </c>
      <c r="Q180" s="421">
        <f t="shared" si="36"/>
        <v>5.3248696753059495E-2</v>
      </c>
      <c r="R180" s="421">
        <f t="shared" si="36"/>
        <v>0</v>
      </c>
      <c r="S180" s="421">
        <f t="shared" si="36"/>
        <v>0</v>
      </c>
      <c r="T180" s="421">
        <f t="shared" si="36"/>
        <v>0</v>
      </c>
      <c r="U180" s="421">
        <f t="shared" si="36"/>
        <v>0</v>
      </c>
      <c r="V180" s="421">
        <f t="shared" si="36"/>
        <v>0</v>
      </c>
      <c r="W180" s="421">
        <f t="shared" si="36"/>
        <v>0</v>
      </c>
      <c r="X180" s="421">
        <f t="shared" si="36"/>
        <v>0</v>
      </c>
      <c r="Y180" s="421">
        <f t="shared" si="36"/>
        <v>0</v>
      </c>
      <c r="Z180" s="351"/>
      <c r="AA180" s="351"/>
    </row>
    <row r="181" spans="3:27" x14ac:dyDescent="0.25">
      <c r="F181" s="91" t="s">
        <v>124</v>
      </c>
      <c r="G181" s="91" t="s">
        <v>183</v>
      </c>
      <c r="H181" s="349"/>
      <c r="I181" s="349" t="s">
        <v>431</v>
      </c>
      <c r="J181" s="361"/>
      <c r="K181" s="361"/>
      <c r="L181" s="361"/>
      <c r="M181" s="361"/>
      <c r="N181" s="361"/>
      <c r="O181" s="361"/>
      <c r="P181" s="361"/>
      <c r="Q181" s="362">
        <f>Q76</f>
        <v>0.3075227288855088</v>
      </c>
      <c r="R181" s="361"/>
      <c r="S181" s="361"/>
      <c r="T181" s="361"/>
      <c r="U181" s="361"/>
      <c r="V181" s="361"/>
      <c r="W181" s="361"/>
      <c r="X181" s="361"/>
      <c r="Y181" s="361"/>
      <c r="Z181" s="351"/>
      <c r="AA181" s="351" t="s">
        <v>837</v>
      </c>
    </row>
    <row r="182" spans="3:27" x14ac:dyDescent="0.25">
      <c r="F182" s="93" t="s">
        <v>123</v>
      </c>
      <c r="G182" s="93" t="s">
        <v>183</v>
      </c>
      <c r="H182" s="353"/>
      <c r="I182" s="353"/>
      <c r="J182" s="358"/>
      <c r="K182" s="358"/>
      <c r="L182" s="358"/>
      <c r="M182" s="358"/>
      <c r="N182" s="358"/>
      <c r="O182" s="358"/>
      <c r="P182" s="358"/>
      <c r="Q182" s="358"/>
      <c r="R182" s="358"/>
      <c r="S182" s="358"/>
      <c r="T182" s="358"/>
      <c r="U182" s="358"/>
      <c r="V182" s="358"/>
      <c r="W182" s="358"/>
      <c r="X182" s="358"/>
      <c r="Y182" s="358"/>
      <c r="Z182" s="351"/>
      <c r="AA182" s="351"/>
    </row>
    <row r="183" spans="3:27" x14ac:dyDescent="0.25">
      <c r="E183" s="295"/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  <c r="U183" s="253"/>
      <c r="V183" s="253"/>
      <c r="W183" s="253"/>
      <c r="X183" s="253"/>
      <c r="Y183" s="253"/>
    </row>
    <row r="184" spans="3:27" x14ac:dyDescent="0.25">
      <c r="C184" s="7" t="str">
        <f ca="1">INDEX('Version control'!$H$34:$H$58,MATCH($A$1,'Version control'!$F$34:$F$58,0),1)&amp;"-G: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7"/>
      <c r="AA184" s="7"/>
    </row>
    <row r="185" spans="3:27" x14ac:dyDescent="0.25">
      <c r="C185" s="96"/>
      <c r="D185" s="96"/>
      <c r="E185" s="295"/>
      <c r="I185" s="295" t="s">
        <v>431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AA185" s="295" t="s">
        <v>838</v>
      </c>
    </row>
    <row r="186" spans="3:27" x14ac:dyDescent="0.25">
      <c r="E186" s="96" t="s">
        <v>139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3:27" x14ac:dyDescent="0.25">
      <c r="F187" s="91" t="s">
        <v>324</v>
      </c>
      <c r="G187" s="91" t="s">
        <v>183</v>
      </c>
      <c r="H187" s="349"/>
      <c r="I187" s="349"/>
      <c r="J187" s="362">
        <f t="shared" ref="J187:Y188" si="37">J82 * (1 - J$112)</f>
        <v>0</v>
      </c>
      <c r="K187" s="362">
        <f t="shared" si="37"/>
        <v>0</v>
      </c>
      <c r="L187" s="362">
        <f t="shared" si="37"/>
        <v>0</v>
      </c>
      <c r="M187" s="362">
        <f t="shared" si="37"/>
        <v>0</v>
      </c>
      <c r="N187" s="362">
        <f t="shared" si="37"/>
        <v>0</v>
      </c>
      <c r="O187" s="362">
        <f t="shared" si="37"/>
        <v>0</v>
      </c>
      <c r="P187" s="362">
        <f t="shared" si="37"/>
        <v>0</v>
      </c>
      <c r="Q187" s="362">
        <f t="shared" si="37"/>
        <v>0</v>
      </c>
      <c r="R187" s="362">
        <f t="shared" si="37"/>
        <v>0</v>
      </c>
      <c r="S187" s="362">
        <f t="shared" si="37"/>
        <v>0</v>
      </c>
      <c r="T187" s="362">
        <f t="shared" si="37"/>
        <v>0</v>
      </c>
      <c r="U187" s="362">
        <f t="shared" si="37"/>
        <v>0</v>
      </c>
      <c r="V187" s="362">
        <f t="shared" si="37"/>
        <v>0</v>
      </c>
      <c r="W187" s="362">
        <f t="shared" si="37"/>
        <v>0</v>
      </c>
      <c r="X187" s="362">
        <f t="shared" si="37"/>
        <v>0</v>
      </c>
      <c r="Y187" s="362">
        <f t="shared" si="37"/>
        <v>0</v>
      </c>
      <c r="Z187" s="351"/>
      <c r="AA187" s="351"/>
    </row>
    <row r="188" spans="3:27" x14ac:dyDescent="0.25">
      <c r="F188" s="295" t="s">
        <v>43</v>
      </c>
      <c r="G188" s="295" t="s">
        <v>183</v>
      </c>
      <c r="H188" s="351"/>
      <c r="I188" s="351"/>
      <c r="J188" s="421">
        <f t="shared" si="37"/>
        <v>0</v>
      </c>
      <c r="K188" s="421">
        <f t="shared" si="37"/>
        <v>0</v>
      </c>
      <c r="L188" s="421">
        <f t="shared" si="37"/>
        <v>0</v>
      </c>
      <c r="M188" s="421">
        <f t="shared" si="37"/>
        <v>0</v>
      </c>
      <c r="N188" s="421">
        <f t="shared" si="37"/>
        <v>0</v>
      </c>
      <c r="O188" s="421">
        <f t="shared" si="37"/>
        <v>0</v>
      </c>
      <c r="P188" s="421">
        <f t="shared" si="37"/>
        <v>0</v>
      </c>
      <c r="Q188" s="421">
        <f t="shared" si="37"/>
        <v>0</v>
      </c>
      <c r="R188" s="421">
        <f t="shared" si="37"/>
        <v>0</v>
      </c>
      <c r="S188" s="421">
        <f t="shared" si="37"/>
        <v>0</v>
      </c>
      <c r="T188" s="421">
        <f t="shared" si="37"/>
        <v>0</v>
      </c>
      <c r="U188" s="421">
        <f t="shared" si="37"/>
        <v>0</v>
      </c>
      <c r="V188" s="421">
        <f t="shared" si="37"/>
        <v>0</v>
      </c>
      <c r="W188" s="421">
        <f t="shared" si="37"/>
        <v>0</v>
      </c>
      <c r="X188" s="421">
        <f t="shared" si="37"/>
        <v>0</v>
      </c>
      <c r="Y188" s="421">
        <f t="shared" si="37"/>
        <v>0</v>
      </c>
      <c r="Z188" s="351"/>
      <c r="AA188" s="351"/>
    </row>
    <row r="189" spans="3:27" x14ac:dyDescent="0.25">
      <c r="F189" s="295" t="s">
        <v>44</v>
      </c>
      <c r="G189" s="295" t="s">
        <v>183</v>
      </c>
      <c r="H189" s="351"/>
      <c r="I189" s="351"/>
      <c r="J189" s="421">
        <f t="shared" ref="J189:Y189" si="38">J84 * (1 - J$113)</f>
        <v>3.3960373144051308E-2</v>
      </c>
      <c r="K189" s="421">
        <f t="shared" si="38"/>
        <v>3.3960373144051308E-2</v>
      </c>
      <c r="L189" s="421">
        <f t="shared" si="38"/>
        <v>4.2180080072054149E-2</v>
      </c>
      <c r="M189" s="421">
        <f t="shared" si="38"/>
        <v>4.2180080072054149E-2</v>
      </c>
      <c r="N189" s="421">
        <f t="shared" si="38"/>
        <v>3.4268148514250231E-2</v>
      </c>
      <c r="O189" s="421">
        <f t="shared" si="38"/>
        <v>3.1755676977285513E-2</v>
      </c>
      <c r="P189" s="421">
        <f t="shared" si="38"/>
        <v>2.8315604068763389E-2</v>
      </c>
      <c r="Q189" s="421">
        <f t="shared" si="38"/>
        <v>2.9992275747656776E-2</v>
      </c>
      <c r="R189" s="421">
        <f t="shared" si="38"/>
        <v>-2.5739267520396715E-2</v>
      </c>
      <c r="S189" s="421">
        <f t="shared" si="38"/>
        <v>-2.4535632708291837E-2</v>
      </c>
      <c r="T189" s="421">
        <f t="shared" si="38"/>
        <v>-2.5739267520396715E-2</v>
      </c>
      <c r="U189" s="421">
        <f t="shared" si="38"/>
        <v>-2.5739267520396715E-2</v>
      </c>
      <c r="V189" s="421">
        <f t="shared" si="38"/>
        <v>-2.4535632708291837E-2</v>
      </c>
      <c r="W189" s="421">
        <f t="shared" si="38"/>
        <v>-2.4535632708291837E-2</v>
      </c>
      <c r="X189" s="421">
        <f t="shared" si="38"/>
        <v>-2.4026402595478231E-2</v>
      </c>
      <c r="Y189" s="421">
        <f t="shared" si="38"/>
        <v>-2.4026402595478231E-2</v>
      </c>
      <c r="Z189" s="351"/>
      <c r="AA189" s="351"/>
    </row>
    <row r="190" spans="3:27" x14ac:dyDescent="0.25">
      <c r="F190" s="295" t="s">
        <v>45</v>
      </c>
      <c r="G190" s="295" t="s">
        <v>183</v>
      </c>
      <c r="H190" s="351"/>
      <c r="I190" s="351"/>
      <c r="J190" s="421">
        <f t="shared" ref="J190:Y190" si="39">J85 * (1 - J$114)</f>
        <v>4.4340888681866277E-3</v>
      </c>
      <c r="K190" s="421">
        <f t="shared" si="39"/>
        <v>4.4340888681866277E-3</v>
      </c>
      <c r="L190" s="421">
        <f t="shared" si="39"/>
        <v>5.5073076704246155E-3</v>
      </c>
      <c r="M190" s="421">
        <f t="shared" si="39"/>
        <v>5.5073076704246155E-3</v>
      </c>
      <c r="N190" s="421">
        <f t="shared" si="39"/>
        <v>4.4742740374458783E-3</v>
      </c>
      <c r="O190" s="421">
        <f t="shared" si="39"/>
        <v>4.1462292887490459E-3</v>
      </c>
      <c r="P190" s="421">
        <f t="shared" si="39"/>
        <v>3.6970708261866219E-3</v>
      </c>
      <c r="Q190" s="421">
        <f t="shared" si="39"/>
        <v>3.9159880682160201E-3</v>
      </c>
      <c r="R190" s="421">
        <f t="shared" si="39"/>
        <v>-3.3606874430783572E-3</v>
      </c>
      <c r="S190" s="421">
        <f t="shared" si="39"/>
        <v>-3.2035329943013117E-3</v>
      </c>
      <c r="T190" s="421">
        <f t="shared" si="39"/>
        <v>-3.3606874430783572E-3</v>
      </c>
      <c r="U190" s="421">
        <f t="shared" si="39"/>
        <v>-3.3606874430783572E-3</v>
      </c>
      <c r="V190" s="421">
        <f t="shared" si="39"/>
        <v>-3.2035329943013117E-3</v>
      </c>
      <c r="W190" s="421">
        <f t="shared" si="39"/>
        <v>-3.2035329943013117E-3</v>
      </c>
      <c r="X190" s="421">
        <f t="shared" si="39"/>
        <v>-3.1370445736648694E-3</v>
      </c>
      <c r="Y190" s="421">
        <f t="shared" si="39"/>
        <v>-3.1370445736648694E-3</v>
      </c>
      <c r="Z190" s="351"/>
      <c r="AA190" s="351"/>
    </row>
    <row r="191" spans="3:27" x14ac:dyDescent="0.25">
      <c r="F191" s="295" t="s">
        <v>46</v>
      </c>
      <c r="G191" s="295" t="s">
        <v>183</v>
      </c>
      <c r="H191" s="351"/>
      <c r="I191" s="351"/>
      <c r="J191" s="421">
        <f t="shared" ref="J191:Y191" si="40">J86 * (1 - J$115)</f>
        <v>4.5266304331609789E-2</v>
      </c>
      <c r="K191" s="421">
        <f t="shared" si="40"/>
        <v>4.5266304331609789E-2</v>
      </c>
      <c r="L191" s="421">
        <f t="shared" si="40"/>
        <v>5.6222478274144713E-2</v>
      </c>
      <c r="M191" s="421">
        <f t="shared" si="40"/>
        <v>5.6222478274144713E-2</v>
      </c>
      <c r="N191" s="421">
        <f t="shared" si="40"/>
        <v>4.567654286209067E-2</v>
      </c>
      <c r="O191" s="421">
        <f t="shared" si="40"/>
        <v>4.2327630860024702E-2</v>
      </c>
      <c r="P191" s="421">
        <f t="shared" si="40"/>
        <v>2.1303864323196149E-2</v>
      </c>
      <c r="Q191" s="421">
        <f t="shared" si="40"/>
        <v>3.9977166205807817E-2</v>
      </c>
      <c r="R191" s="421">
        <f t="shared" si="40"/>
        <v>-3.4308266046101633E-2</v>
      </c>
      <c r="S191" s="421">
        <f t="shared" si="40"/>
        <v>-3.2703922669845072E-2</v>
      </c>
      <c r="T191" s="421">
        <f t="shared" si="40"/>
        <v>-3.4308266046101633E-2</v>
      </c>
      <c r="U191" s="421">
        <f t="shared" si="40"/>
        <v>-3.4308266046101633E-2</v>
      </c>
      <c r="V191" s="421">
        <f t="shared" si="40"/>
        <v>-3.2703922669845072E-2</v>
      </c>
      <c r="W191" s="421">
        <f t="shared" si="40"/>
        <v>-3.2703922669845072E-2</v>
      </c>
      <c r="X191" s="421">
        <f t="shared" si="40"/>
        <v>-2.2595987173076662E-2</v>
      </c>
      <c r="Y191" s="421">
        <f t="shared" si="40"/>
        <v>-2.2595987173076662E-2</v>
      </c>
      <c r="Z191" s="351"/>
      <c r="AA191" s="351"/>
    </row>
    <row r="192" spans="3:27" x14ac:dyDescent="0.25">
      <c r="F192" s="295" t="s">
        <v>47</v>
      </c>
      <c r="G192" s="295" t="s">
        <v>183</v>
      </c>
      <c r="H192" s="351"/>
      <c r="I192" s="351"/>
      <c r="J192" s="421">
        <f t="shared" ref="J192:Y192" si="41">J87 * (1 - J$116)</f>
        <v>3.5627525405006973E-3</v>
      </c>
      <c r="K192" s="421">
        <f t="shared" si="41"/>
        <v>3.5627525405006973E-3</v>
      </c>
      <c r="L192" s="421">
        <f t="shared" si="41"/>
        <v>4.4250746833020931E-3</v>
      </c>
      <c r="M192" s="421">
        <f t="shared" si="41"/>
        <v>4.4250746833020931E-3</v>
      </c>
      <c r="N192" s="421">
        <f t="shared" si="41"/>
        <v>3.5950409808375729E-3</v>
      </c>
      <c r="O192" s="421">
        <f t="shared" si="41"/>
        <v>3.3314598266115129E-3</v>
      </c>
      <c r="P192" s="421">
        <f t="shared" si="41"/>
        <v>0</v>
      </c>
      <c r="Q192" s="421">
        <f t="shared" si="41"/>
        <v>3.1464629720677545E-3</v>
      </c>
      <c r="R192" s="421">
        <f t="shared" si="41"/>
        <v>-2.7002836617825458E-3</v>
      </c>
      <c r="S192" s="421">
        <f t="shared" si="41"/>
        <v>-2.5740114042171742E-3</v>
      </c>
      <c r="T192" s="421">
        <f t="shared" si="41"/>
        <v>-2.7002836617825458E-3</v>
      </c>
      <c r="U192" s="421">
        <f t="shared" si="41"/>
        <v>-2.7002836617825458E-3</v>
      </c>
      <c r="V192" s="421">
        <f t="shared" si="41"/>
        <v>-2.5740114042171742E-3</v>
      </c>
      <c r="W192" s="421">
        <f t="shared" si="41"/>
        <v>-2.5740114042171742E-3</v>
      </c>
      <c r="X192" s="421">
        <f t="shared" si="41"/>
        <v>-2.1597143840475343E-3</v>
      </c>
      <c r="Y192" s="421">
        <f t="shared" si="41"/>
        <v>-2.1597143840475343E-3</v>
      </c>
      <c r="Z192" s="351"/>
      <c r="AA192" s="351"/>
    </row>
    <row r="193" spans="4:27" x14ac:dyDescent="0.25">
      <c r="F193" s="295" t="s">
        <v>51</v>
      </c>
      <c r="G193" s="295" t="s">
        <v>183</v>
      </c>
      <c r="H193" s="351"/>
      <c r="I193" s="351"/>
      <c r="J193" s="421">
        <f t="shared" ref="J193:Y193" si="42">J88 * (1 - J$117)</f>
        <v>0</v>
      </c>
      <c r="K193" s="421">
        <f t="shared" si="42"/>
        <v>0</v>
      </c>
      <c r="L193" s="421">
        <f t="shared" si="42"/>
        <v>0</v>
      </c>
      <c r="M193" s="421">
        <f t="shared" si="42"/>
        <v>0</v>
      </c>
      <c r="N193" s="421">
        <f t="shared" si="42"/>
        <v>0</v>
      </c>
      <c r="O193" s="421">
        <f t="shared" si="42"/>
        <v>0</v>
      </c>
      <c r="P193" s="421">
        <f t="shared" si="42"/>
        <v>0</v>
      </c>
      <c r="Q193" s="421">
        <f t="shared" si="42"/>
        <v>0</v>
      </c>
      <c r="R193" s="421">
        <f t="shared" si="42"/>
        <v>0</v>
      </c>
      <c r="S193" s="421">
        <f t="shared" si="42"/>
        <v>0</v>
      </c>
      <c r="T193" s="421">
        <f t="shared" si="42"/>
        <v>0</v>
      </c>
      <c r="U193" s="421">
        <f t="shared" si="42"/>
        <v>0</v>
      </c>
      <c r="V193" s="421">
        <f t="shared" si="42"/>
        <v>0</v>
      </c>
      <c r="W193" s="421">
        <f t="shared" si="42"/>
        <v>0</v>
      </c>
      <c r="X193" s="421">
        <f t="shared" si="42"/>
        <v>0</v>
      </c>
      <c r="Y193" s="421">
        <f t="shared" si="42"/>
        <v>0</v>
      </c>
      <c r="Z193" s="351"/>
      <c r="AA193" s="351"/>
    </row>
    <row r="194" spans="4:27" x14ac:dyDescent="0.25">
      <c r="F194" s="295" t="s">
        <v>48</v>
      </c>
      <c r="G194" s="295" t="s">
        <v>183</v>
      </c>
      <c r="H194" s="351"/>
      <c r="I194" s="351"/>
      <c r="J194" s="421">
        <f t="shared" ref="J194:Y194" si="43">J89 * (1 - J$118)</f>
        <v>1.9698282325737788E-2</v>
      </c>
      <c r="K194" s="421">
        <f t="shared" si="43"/>
        <v>1.9698282325737788E-2</v>
      </c>
      <c r="L194" s="421">
        <f t="shared" si="43"/>
        <v>2.4466018740641832E-2</v>
      </c>
      <c r="M194" s="421">
        <f t="shared" si="43"/>
        <v>2.4466018740641832E-2</v>
      </c>
      <c r="N194" s="421">
        <f t="shared" si="43"/>
        <v>1.5901442810436352E-2</v>
      </c>
      <c r="O194" s="421">
        <f t="shared" si="43"/>
        <v>0</v>
      </c>
      <c r="P194" s="421">
        <f t="shared" si="43"/>
        <v>0</v>
      </c>
      <c r="Q194" s="421">
        <f t="shared" si="43"/>
        <v>1.7396637921577397E-2</v>
      </c>
      <c r="R194" s="421">
        <f t="shared" si="43"/>
        <v>-1.492973461521814E-2</v>
      </c>
      <c r="S194" s="421">
        <f t="shared" si="43"/>
        <v>-1.4231581557671969E-2</v>
      </c>
      <c r="T194" s="421">
        <f t="shared" si="43"/>
        <v>-1.492973461521814E-2</v>
      </c>
      <c r="U194" s="421">
        <f t="shared" si="43"/>
        <v>-1.492973461521814E-2</v>
      </c>
      <c r="V194" s="421">
        <f t="shared" si="43"/>
        <v>-1.4231581557671969E-2</v>
      </c>
      <c r="W194" s="421">
        <f t="shared" si="43"/>
        <v>-1.4231581557671969E-2</v>
      </c>
      <c r="X194" s="421">
        <f t="shared" si="43"/>
        <v>0</v>
      </c>
      <c r="Y194" s="421">
        <f t="shared" si="43"/>
        <v>0</v>
      </c>
      <c r="Z194" s="351"/>
      <c r="AA194" s="351"/>
    </row>
    <row r="195" spans="4:27" x14ac:dyDescent="0.25">
      <c r="F195" s="295" t="s">
        <v>49</v>
      </c>
      <c r="G195" s="295" t="s">
        <v>183</v>
      </c>
      <c r="H195" s="351"/>
      <c r="I195" s="351"/>
      <c r="J195" s="421">
        <f t="shared" ref="J195:Y195" si="44">J90 * (1 - J$119)</f>
        <v>3.3055707416122723E-3</v>
      </c>
      <c r="K195" s="421">
        <f t="shared" si="44"/>
        <v>3.3055707416122723E-3</v>
      </c>
      <c r="L195" s="421">
        <f t="shared" si="44"/>
        <v>4.1056450697294026E-3</v>
      </c>
      <c r="M195" s="421">
        <f t="shared" si="44"/>
        <v>4.1056450697294026E-3</v>
      </c>
      <c r="N195" s="421">
        <f t="shared" si="44"/>
        <v>0</v>
      </c>
      <c r="O195" s="421">
        <f t="shared" si="44"/>
        <v>0</v>
      </c>
      <c r="P195" s="421">
        <f t="shared" si="44"/>
        <v>0</v>
      </c>
      <c r="Q195" s="421">
        <f t="shared" si="44"/>
        <v>2.9193315622678241E-3</v>
      </c>
      <c r="R195" s="421">
        <f t="shared" si="44"/>
        <v>-2.5053602698961526E-3</v>
      </c>
      <c r="S195" s="421">
        <f t="shared" si="44"/>
        <v>0</v>
      </c>
      <c r="T195" s="421">
        <f t="shared" si="44"/>
        <v>-2.5053602698961526E-3</v>
      </c>
      <c r="U195" s="421">
        <f t="shared" si="44"/>
        <v>-2.5053602698961526E-3</v>
      </c>
      <c r="V195" s="421">
        <f t="shared" si="44"/>
        <v>0</v>
      </c>
      <c r="W195" s="421">
        <f t="shared" si="44"/>
        <v>0</v>
      </c>
      <c r="X195" s="421">
        <f t="shared" si="44"/>
        <v>0</v>
      </c>
      <c r="Y195" s="421">
        <f t="shared" si="44"/>
        <v>0</v>
      </c>
      <c r="Z195" s="351"/>
      <c r="AA195" s="351"/>
    </row>
    <row r="196" spans="4:27" x14ac:dyDescent="0.25">
      <c r="F196" s="295" t="s">
        <v>50</v>
      </c>
      <c r="G196" s="295" t="s">
        <v>183</v>
      </c>
      <c r="H196" s="351"/>
      <c r="I196" s="351"/>
      <c r="J196" s="421">
        <f t="shared" ref="J196:Y196" si="45">J91 * (1 - J$120)</f>
        <v>0</v>
      </c>
      <c r="K196" s="421">
        <f t="shared" si="45"/>
        <v>0</v>
      </c>
      <c r="L196" s="421">
        <f t="shared" si="45"/>
        <v>0</v>
      </c>
      <c r="M196" s="421">
        <f t="shared" si="45"/>
        <v>0</v>
      </c>
      <c r="N196" s="421">
        <f t="shared" si="45"/>
        <v>0</v>
      </c>
      <c r="O196" s="421">
        <f t="shared" si="45"/>
        <v>0</v>
      </c>
      <c r="P196" s="421">
        <f t="shared" si="45"/>
        <v>0</v>
      </c>
      <c r="Q196" s="421">
        <f t="shared" si="45"/>
        <v>4.2706581228803275E-4</v>
      </c>
      <c r="R196" s="421">
        <f t="shared" si="45"/>
        <v>0</v>
      </c>
      <c r="S196" s="421">
        <f t="shared" si="45"/>
        <v>0</v>
      </c>
      <c r="T196" s="421">
        <f t="shared" si="45"/>
        <v>0</v>
      </c>
      <c r="U196" s="421">
        <f t="shared" si="45"/>
        <v>0</v>
      </c>
      <c r="V196" s="421">
        <f t="shared" si="45"/>
        <v>0</v>
      </c>
      <c r="W196" s="421">
        <f t="shared" si="45"/>
        <v>0</v>
      </c>
      <c r="X196" s="421">
        <f t="shared" si="45"/>
        <v>0</v>
      </c>
      <c r="Y196" s="421">
        <f t="shared" si="45"/>
        <v>0</v>
      </c>
      <c r="Z196" s="351"/>
      <c r="AA196" s="351"/>
    </row>
    <row r="197" spans="4:27" x14ac:dyDescent="0.25">
      <c r="D197" s="295"/>
      <c r="F197" s="91" t="s">
        <v>124</v>
      </c>
      <c r="G197" s="91" t="s">
        <v>183</v>
      </c>
      <c r="H197" s="349"/>
      <c r="I197" s="349"/>
      <c r="J197" s="361"/>
      <c r="K197" s="361"/>
      <c r="L197" s="361"/>
      <c r="M197" s="361"/>
      <c r="N197" s="361"/>
      <c r="O197" s="361"/>
      <c r="P197" s="361"/>
      <c r="Q197" s="361"/>
      <c r="R197" s="361"/>
      <c r="S197" s="361"/>
      <c r="T197" s="361"/>
      <c r="U197" s="361"/>
      <c r="V197" s="361"/>
      <c r="W197" s="361"/>
      <c r="X197" s="361"/>
      <c r="Y197" s="361"/>
      <c r="Z197" s="351"/>
      <c r="AA197" s="351"/>
    </row>
    <row r="198" spans="4:27" x14ac:dyDescent="0.25">
      <c r="D198" s="295"/>
      <c r="F198" s="93" t="s">
        <v>123</v>
      </c>
      <c r="G198" s="93" t="s">
        <v>183</v>
      </c>
      <c r="H198" s="353"/>
      <c r="I198" s="353"/>
      <c r="J198" s="358"/>
      <c r="K198" s="358"/>
      <c r="L198" s="358"/>
      <c r="M198" s="358"/>
      <c r="N198" s="358"/>
      <c r="O198" s="358"/>
      <c r="P198" s="358"/>
      <c r="Q198" s="358"/>
      <c r="R198" s="358"/>
      <c r="S198" s="358"/>
      <c r="T198" s="358"/>
      <c r="U198" s="358"/>
      <c r="V198" s="358"/>
      <c r="W198" s="358"/>
      <c r="X198" s="358"/>
      <c r="Y198" s="358"/>
      <c r="Z198" s="351"/>
      <c r="AA198" s="351"/>
    </row>
    <row r="199" spans="4:27" x14ac:dyDescent="0.25">
      <c r="D199" s="295"/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  <c r="U199" s="253"/>
      <c r="V199" s="253"/>
      <c r="W199" s="253"/>
      <c r="X199" s="253"/>
      <c r="Y199" s="253"/>
    </row>
    <row r="200" spans="4:27" x14ac:dyDescent="0.25">
      <c r="E200" s="96" t="s">
        <v>116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  <c r="U200" s="253"/>
      <c r="V200" s="253"/>
      <c r="W200" s="253"/>
      <c r="X200" s="253"/>
      <c r="Y200" s="253"/>
    </row>
    <row r="201" spans="4:27" x14ac:dyDescent="0.25">
      <c r="F201" s="91" t="s">
        <v>324</v>
      </c>
      <c r="G201" s="91" t="s">
        <v>183</v>
      </c>
      <c r="H201" s="349"/>
      <c r="I201" s="349"/>
      <c r="J201" s="362">
        <f t="shared" ref="J201:Y202" si="46">J96 * (1 - J$112)</f>
        <v>2.1011197368417302E-2</v>
      </c>
      <c r="K201" s="362">
        <f t="shared" si="46"/>
        <v>2.1011197368417302E-2</v>
      </c>
      <c r="L201" s="362">
        <f t="shared" si="46"/>
        <v>2.6096709351523025E-2</v>
      </c>
      <c r="M201" s="362">
        <f t="shared" si="46"/>
        <v>2.6096709351523025E-2</v>
      </c>
      <c r="N201" s="362">
        <f t="shared" si="46"/>
        <v>2.1201617215129729E-2</v>
      </c>
      <c r="O201" s="362">
        <f t="shared" si="46"/>
        <v>1.9647157400398768E-2</v>
      </c>
      <c r="P201" s="362">
        <f t="shared" si="46"/>
        <v>1.7518792952337197E-2</v>
      </c>
      <c r="Q201" s="362">
        <f t="shared" si="46"/>
        <v>1.8556145499019551E-2</v>
      </c>
      <c r="R201" s="362">
        <f t="shared" si="46"/>
        <v>-1.5924820015833081E-2</v>
      </c>
      <c r="S201" s="362">
        <f t="shared" si="46"/>
        <v>-1.5180134187754549E-2</v>
      </c>
      <c r="T201" s="362">
        <f t="shared" si="46"/>
        <v>-1.5924820015833081E-2</v>
      </c>
      <c r="U201" s="362">
        <f t="shared" si="46"/>
        <v>-1.5924820015833081E-2</v>
      </c>
      <c r="V201" s="362">
        <f t="shared" si="46"/>
        <v>-1.5180134187754549E-2</v>
      </c>
      <c r="W201" s="362">
        <f t="shared" si="46"/>
        <v>-1.5180134187754549E-2</v>
      </c>
      <c r="X201" s="362">
        <f t="shared" si="46"/>
        <v>-1.48650747989521E-2</v>
      </c>
      <c r="Y201" s="362">
        <f t="shared" si="46"/>
        <v>-1.48650747989521E-2</v>
      </c>
      <c r="Z201" s="351"/>
      <c r="AA201" s="351"/>
    </row>
    <row r="202" spans="4:27" x14ac:dyDescent="0.25">
      <c r="F202" s="295" t="s">
        <v>43</v>
      </c>
      <c r="G202" s="295" t="s">
        <v>183</v>
      </c>
      <c r="H202" s="351"/>
      <c r="I202" s="351"/>
      <c r="J202" s="421">
        <f t="shared" si="46"/>
        <v>0</v>
      </c>
      <c r="K202" s="421">
        <f t="shared" si="46"/>
        <v>0</v>
      </c>
      <c r="L202" s="421">
        <f t="shared" si="46"/>
        <v>0</v>
      </c>
      <c r="M202" s="421">
        <f t="shared" si="46"/>
        <v>0</v>
      </c>
      <c r="N202" s="421">
        <f t="shared" si="46"/>
        <v>0</v>
      </c>
      <c r="O202" s="421">
        <f t="shared" si="46"/>
        <v>0</v>
      </c>
      <c r="P202" s="421">
        <f t="shared" si="46"/>
        <v>0</v>
      </c>
      <c r="Q202" s="421">
        <f t="shared" si="46"/>
        <v>0</v>
      </c>
      <c r="R202" s="421">
        <f t="shared" si="46"/>
        <v>0</v>
      </c>
      <c r="S202" s="421">
        <f t="shared" si="46"/>
        <v>0</v>
      </c>
      <c r="T202" s="421">
        <f t="shared" si="46"/>
        <v>0</v>
      </c>
      <c r="U202" s="421">
        <f t="shared" si="46"/>
        <v>0</v>
      </c>
      <c r="V202" s="421">
        <f t="shared" si="46"/>
        <v>0</v>
      </c>
      <c r="W202" s="421">
        <f t="shared" si="46"/>
        <v>0</v>
      </c>
      <c r="X202" s="421">
        <f t="shared" si="46"/>
        <v>0</v>
      </c>
      <c r="Y202" s="421">
        <f t="shared" si="46"/>
        <v>0</v>
      </c>
      <c r="Z202" s="351"/>
      <c r="AA202" s="351"/>
    </row>
    <row r="203" spans="4:27" x14ac:dyDescent="0.25">
      <c r="F203" s="295" t="s">
        <v>44</v>
      </c>
      <c r="G203" s="295" t="s">
        <v>183</v>
      </c>
      <c r="H203" s="351"/>
      <c r="I203" s="351"/>
      <c r="J203" s="421">
        <f t="shared" ref="J203:Y203" si="47">J98 * (1 - J$113)</f>
        <v>1.7973318686642932E-2</v>
      </c>
      <c r="K203" s="421">
        <f t="shared" si="47"/>
        <v>1.7973318686642932E-2</v>
      </c>
      <c r="L203" s="421">
        <f t="shared" si="47"/>
        <v>2.2323548040753548E-2</v>
      </c>
      <c r="M203" s="421">
        <f t="shared" si="47"/>
        <v>2.2323548040753548E-2</v>
      </c>
      <c r="N203" s="421">
        <f t="shared" si="47"/>
        <v>1.8136206909013766E-2</v>
      </c>
      <c r="O203" s="421">
        <f t="shared" si="47"/>
        <v>1.6806496795598931E-2</v>
      </c>
      <c r="P203" s="421">
        <f t="shared" si="47"/>
        <v>1.4985859359493932E-2</v>
      </c>
      <c r="Q203" s="421">
        <f t="shared" si="47"/>
        <v>1.5873227536804379E-2</v>
      </c>
      <c r="R203" s="421">
        <f t="shared" si="47"/>
        <v>-1.3622349081458282E-2</v>
      </c>
      <c r="S203" s="421">
        <f t="shared" si="47"/>
        <v>-1.2985332757505193E-2</v>
      </c>
      <c r="T203" s="421">
        <f t="shared" si="47"/>
        <v>-1.3622349081458282E-2</v>
      </c>
      <c r="U203" s="421">
        <f t="shared" si="47"/>
        <v>-1.3622349081458282E-2</v>
      </c>
      <c r="V203" s="421">
        <f t="shared" si="47"/>
        <v>-1.2985332757505193E-2</v>
      </c>
      <c r="W203" s="421">
        <f t="shared" si="47"/>
        <v>-1.2985332757505193E-2</v>
      </c>
      <c r="X203" s="421">
        <f t="shared" si="47"/>
        <v>-1.271582585121735E-2</v>
      </c>
      <c r="Y203" s="421">
        <f t="shared" si="47"/>
        <v>-1.271582585121735E-2</v>
      </c>
      <c r="Z203" s="351"/>
      <c r="AA203" s="351"/>
    </row>
    <row r="204" spans="4:27" x14ac:dyDescent="0.25">
      <c r="F204" s="295" t="s">
        <v>45</v>
      </c>
      <c r="G204" s="295" t="s">
        <v>183</v>
      </c>
      <c r="H204" s="351"/>
      <c r="I204" s="351"/>
      <c r="J204" s="421">
        <f t="shared" ref="J204:Y204" si="48">J99 * (1 - J$114)</f>
        <v>2.3467142712115339E-3</v>
      </c>
      <c r="K204" s="421">
        <f t="shared" si="48"/>
        <v>2.3467142712115339E-3</v>
      </c>
      <c r="L204" s="421">
        <f t="shared" si="48"/>
        <v>2.9147087237842498E-3</v>
      </c>
      <c r="M204" s="421">
        <f t="shared" si="48"/>
        <v>2.9147087237842498E-3</v>
      </c>
      <c r="N204" s="421">
        <f t="shared" si="48"/>
        <v>2.3679820249699977E-3</v>
      </c>
      <c r="O204" s="421">
        <f t="shared" si="48"/>
        <v>2.1943663586521298E-3</v>
      </c>
      <c r="P204" s="421">
        <f t="shared" si="48"/>
        <v>1.9566520039189248E-3</v>
      </c>
      <c r="Q204" s="421">
        <f t="shared" si="48"/>
        <v>2.0725126082858274E-3</v>
      </c>
      <c r="R204" s="421">
        <f t="shared" si="48"/>
        <v>-1.7786231666075489E-3</v>
      </c>
      <c r="S204" s="421">
        <f t="shared" si="48"/>
        <v>-1.6954501408309364E-3</v>
      </c>
      <c r="T204" s="421">
        <f t="shared" si="48"/>
        <v>-1.7786231666075489E-3</v>
      </c>
      <c r="U204" s="421">
        <f t="shared" si="48"/>
        <v>-1.7786231666075489E-3</v>
      </c>
      <c r="V204" s="421">
        <f t="shared" si="48"/>
        <v>-1.6954501408309364E-3</v>
      </c>
      <c r="W204" s="421">
        <f t="shared" si="48"/>
        <v>-1.6954501408309364E-3</v>
      </c>
      <c r="X204" s="421">
        <f t="shared" si="48"/>
        <v>-1.6602615530023701E-3</v>
      </c>
      <c r="Y204" s="421">
        <f t="shared" si="48"/>
        <v>-1.6602615530023701E-3</v>
      </c>
      <c r="Z204" s="351"/>
      <c r="AA204" s="351"/>
    </row>
    <row r="205" spans="4:27" x14ac:dyDescent="0.25">
      <c r="F205" s="295" t="s">
        <v>46</v>
      </c>
      <c r="G205" s="295" t="s">
        <v>183</v>
      </c>
      <c r="H205" s="351"/>
      <c r="I205" s="351"/>
      <c r="J205" s="421">
        <f t="shared" ref="J205:Y205" si="49">J100 * (1 - J$115)</f>
        <v>2.3956913254974073E-2</v>
      </c>
      <c r="K205" s="421">
        <f t="shared" si="49"/>
        <v>2.3956913254974073E-2</v>
      </c>
      <c r="L205" s="421">
        <f t="shared" si="49"/>
        <v>2.975540095180219E-2</v>
      </c>
      <c r="M205" s="421">
        <f t="shared" si="49"/>
        <v>2.975540095180219E-2</v>
      </c>
      <c r="N205" s="421">
        <f t="shared" si="49"/>
        <v>2.4174029474946013E-2</v>
      </c>
      <c r="O205" s="421">
        <f t="shared" si="49"/>
        <v>2.2401638388094877E-2</v>
      </c>
      <c r="P205" s="421">
        <f t="shared" si="49"/>
        <v>1.5979906170292005E-2</v>
      </c>
      <c r="Q205" s="421">
        <f t="shared" si="49"/>
        <v>2.1157669421301296E-2</v>
      </c>
      <c r="R205" s="421">
        <f t="shared" si="49"/>
        <v>-1.8157438866089982E-2</v>
      </c>
      <c r="S205" s="421">
        <f t="shared" si="49"/>
        <v>-1.7308349998251243E-2</v>
      </c>
      <c r="T205" s="421">
        <f t="shared" si="49"/>
        <v>-1.8157438866089982E-2</v>
      </c>
      <c r="U205" s="421">
        <f t="shared" si="49"/>
        <v>-1.8157438866089982E-2</v>
      </c>
      <c r="V205" s="421">
        <f t="shared" si="49"/>
        <v>-1.7308349998251243E-2</v>
      </c>
      <c r="W205" s="421">
        <f t="shared" si="49"/>
        <v>-1.7308349998251243E-2</v>
      </c>
      <c r="X205" s="421">
        <f t="shared" si="49"/>
        <v>-1.6949120092627161E-2</v>
      </c>
      <c r="Y205" s="421">
        <f t="shared" si="49"/>
        <v>-1.6949120092627161E-2</v>
      </c>
      <c r="Z205" s="351"/>
      <c r="AA205" s="351"/>
    </row>
    <row r="206" spans="4:27" x14ac:dyDescent="0.25">
      <c r="F206" s="295" t="s">
        <v>47</v>
      </c>
      <c r="G206" s="295" t="s">
        <v>183</v>
      </c>
      <c r="H206" s="351"/>
      <c r="I206" s="351"/>
      <c r="J206" s="421">
        <f t="shared" ref="J206:Y206" si="50">J101 * (1 - J$116)</f>
        <v>1.8855648770538436E-3</v>
      </c>
      <c r="K206" s="421">
        <f t="shared" si="50"/>
        <v>1.8855648770538436E-3</v>
      </c>
      <c r="L206" s="421">
        <f t="shared" si="50"/>
        <v>2.341943569283648E-3</v>
      </c>
      <c r="M206" s="421">
        <f t="shared" si="50"/>
        <v>2.341943569283648E-3</v>
      </c>
      <c r="N206" s="421">
        <f t="shared" si="50"/>
        <v>1.9026533355818967E-3</v>
      </c>
      <c r="O206" s="421">
        <f t="shared" si="50"/>
        <v>1.7631546302937307E-3</v>
      </c>
      <c r="P206" s="421">
        <f t="shared" si="50"/>
        <v>0</v>
      </c>
      <c r="Q206" s="421">
        <f t="shared" si="50"/>
        <v>1.6652461824496019E-3</v>
      </c>
      <c r="R206" s="421">
        <f t="shared" si="50"/>
        <v>-1.4291085257422782E-3</v>
      </c>
      <c r="S206" s="421">
        <f t="shared" si="50"/>
        <v>-1.3622797097903013E-3</v>
      </c>
      <c r="T206" s="421">
        <f t="shared" si="50"/>
        <v>-1.4291085257422782E-3</v>
      </c>
      <c r="U206" s="421">
        <f t="shared" si="50"/>
        <v>-1.4291085257422782E-3</v>
      </c>
      <c r="V206" s="421">
        <f t="shared" si="50"/>
        <v>-1.3622797097903013E-3</v>
      </c>
      <c r="W206" s="421">
        <f t="shared" si="50"/>
        <v>-1.3622797097903013E-3</v>
      </c>
      <c r="X206" s="421">
        <f t="shared" si="50"/>
        <v>-1.3340059799644647E-3</v>
      </c>
      <c r="Y206" s="421">
        <f t="shared" si="50"/>
        <v>-1.3340059799644647E-3</v>
      </c>
      <c r="Z206" s="351"/>
      <c r="AA206" s="351"/>
    </row>
    <row r="207" spans="4:27" x14ac:dyDescent="0.25">
      <c r="F207" s="295" t="s">
        <v>51</v>
      </c>
      <c r="G207" s="295" t="s">
        <v>183</v>
      </c>
      <c r="H207" s="351"/>
      <c r="I207" s="351"/>
      <c r="J207" s="421">
        <f t="shared" ref="J207:Y207" si="51">J102 * (1 - J$117)</f>
        <v>0</v>
      </c>
      <c r="K207" s="421">
        <f t="shared" si="51"/>
        <v>0</v>
      </c>
      <c r="L207" s="421">
        <f t="shared" si="51"/>
        <v>0</v>
      </c>
      <c r="M207" s="421">
        <f t="shared" si="51"/>
        <v>0</v>
      </c>
      <c r="N207" s="421">
        <f t="shared" si="51"/>
        <v>0</v>
      </c>
      <c r="O207" s="421">
        <f t="shared" si="51"/>
        <v>0</v>
      </c>
      <c r="P207" s="421">
        <f t="shared" si="51"/>
        <v>0</v>
      </c>
      <c r="Q207" s="421">
        <f t="shared" si="51"/>
        <v>0</v>
      </c>
      <c r="R207" s="421">
        <f t="shared" si="51"/>
        <v>0</v>
      </c>
      <c r="S207" s="421">
        <f t="shared" si="51"/>
        <v>0</v>
      </c>
      <c r="T207" s="421">
        <f t="shared" si="51"/>
        <v>0</v>
      </c>
      <c r="U207" s="421">
        <f t="shared" si="51"/>
        <v>0</v>
      </c>
      <c r="V207" s="421">
        <f t="shared" si="51"/>
        <v>0</v>
      </c>
      <c r="W207" s="421">
        <f t="shared" si="51"/>
        <v>0</v>
      </c>
      <c r="X207" s="421">
        <f t="shared" si="51"/>
        <v>0</v>
      </c>
      <c r="Y207" s="421">
        <f t="shared" si="51"/>
        <v>0</v>
      </c>
      <c r="Z207" s="351"/>
      <c r="AA207" s="351"/>
    </row>
    <row r="208" spans="4:27" x14ac:dyDescent="0.25">
      <c r="F208" s="295" t="s">
        <v>48</v>
      </c>
      <c r="G208" s="295" t="s">
        <v>183</v>
      </c>
      <c r="H208" s="351"/>
      <c r="I208" s="351"/>
      <c r="J208" s="421">
        <f t="shared" ref="J208:Y208" si="52">J103 * (1 - J$118)</f>
        <v>1.5475714058644832E-2</v>
      </c>
      <c r="K208" s="421">
        <f t="shared" si="52"/>
        <v>1.5475714058644832E-2</v>
      </c>
      <c r="L208" s="421">
        <f t="shared" si="52"/>
        <v>1.9221427732757274E-2</v>
      </c>
      <c r="M208" s="421">
        <f t="shared" si="52"/>
        <v>1.9221427732757274E-2</v>
      </c>
      <c r="N208" s="421">
        <f t="shared" si="52"/>
        <v>1.2492773632991859E-2</v>
      </c>
      <c r="O208" s="421">
        <f t="shared" si="52"/>
        <v>0</v>
      </c>
      <c r="P208" s="421">
        <f t="shared" si="52"/>
        <v>0</v>
      </c>
      <c r="Q208" s="421">
        <f t="shared" si="52"/>
        <v>1.3667455344791107E-2</v>
      </c>
      <c r="R208" s="421">
        <f t="shared" si="52"/>
        <v>-1.1729363000076404E-2</v>
      </c>
      <c r="S208" s="421">
        <f t="shared" si="52"/>
        <v>-1.1180867607986502E-2</v>
      </c>
      <c r="T208" s="421">
        <f t="shared" si="52"/>
        <v>-1.1729363000076404E-2</v>
      </c>
      <c r="U208" s="421">
        <f t="shared" si="52"/>
        <v>-1.1729363000076404E-2</v>
      </c>
      <c r="V208" s="421">
        <f t="shared" si="52"/>
        <v>-1.1180867607986502E-2</v>
      </c>
      <c r="W208" s="421">
        <f t="shared" si="52"/>
        <v>-1.1180867607986502E-2</v>
      </c>
      <c r="X208" s="421">
        <f t="shared" si="52"/>
        <v>0</v>
      </c>
      <c r="Y208" s="421">
        <f t="shared" si="52"/>
        <v>0</v>
      </c>
      <c r="Z208" s="351"/>
      <c r="AA208" s="351"/>
    </row>
    <row r="209" spans="2:27" x14ac:dyDescent="0.25">
      <c r="F209" s="295" t="s">
        <v>49</v>
      </c>
      <c r="G209" s="295" t="s">
        <v>183</v>
      </c>
      <c r="H209" s="351"/>
      <c r="I209" s="351"/>
      <c r="J209" s="421">
        <f t="shared" ref="J209:Y209" si="53">J104 * (1 - J$119)</f>
        <v>6.0529019344411983E-3</v>
      </c>
      <c r="K209" s="421">
        <f t="shared" si="53"/>
        <v>6.0529019344411983E-3</v>
      </c>
      <c r="L209" s="421">
        <f t="shared" si="53"/>
        <v>7.5179353059535827E-3</v>
      </c>
      <c r="M209" s="421">
        <f t="shared" si="53"/>
        <v>7.5179353059535827E-3</v>
      </c>
      <c r="N209" s="421">
        <f t="shared" si="53"/>
        <v>0</v>
      </c>
      <c r="O209" s="421">
        <f t="shared" si="53"/>
        <v>0</v>
      </c>
      <c r="P209" s="421">
        <f t="shared" si="53"/>
        <v>0</v>
      </c>
      <c r="Q209" s="421">
        <f t="shared" si="53"/>
        <v>5.3456510363192279E-3</v>
      </c>
      <c r="R209" s="421">
        <f t="shared" si="53"/>
        <v>-4.5876192674460985E-3</v>
      </c>
      <c r="S209" s="421">
        <f t="shared" si="53"/>
        <v>0</v>
      </c>
      <c r="T209" s="421">
        <f t="shared" si="53"/>
        <v>-4.5876192674460985E-3</v>
      </c>
      <c r="U209" s="421">
        <f t="shared" si="53"/>
        <v>-4.5876192674460985E-3</v>
      </c>
      <c r="V209" s="421">
        <f t="shared" si="53"/>
        <v>0</v>
      </c>
      <c r="W209" s="421">
        <f t="shared" si="53"/>
        <v>0</v>
      </c>
      <c r="X209" s="421">
        <f t="shared" si="53"/>
        <v>0</v>
      </c>
      <c r="Y209" s="421">
        <f t="shared" si="53"/>
        <v>0</v>
      </c>
      <c r="Z209" s="351"/>
      <c r="AA209" s="351"/>
    </row>
    <row r="210" spans="2:27" x14ac:dyDescent="0.25">
      <c r="F210" s="295" t="s">
        <v>50</v>
      </c>
      <c r="G210" s="295" t="s">
        <v>183</v>
      </c>
      <c r="H210" s="351"/>
      <c r="I210" s="351"/>
      <c r="J210" s="421">
        <f t="shared" ref="J210:Y210" si="54">J105 * (1 - J$120)</f>
        <v>0</v>
      </c>
      <c r="K210" s="421">
        <f t="shared" si="54"/>
        <v>0</v>
      </c>
      <c r="L210" s="421">
        <f t="shared" si="54"/>
        <v>0</v>
      </c>
      <c r="M210" s="421">
        <f t="shared" si="54"/>
        <v>0</v>
      </c>
      <c r="N210" s="421">
        <f t="shared" si="54"/>
        <v>0</v>
      </c>
      <c r="O210" s="421">
        <f t="shared" si="54"/>
        <v>0</v>
      </c>
      <c r="P210" s="421">
        <f t="shared" si="54"/>
        <v>0</v>
      </c>
      <c r="Q210" s="421">
        <f t="shared" si="54"/>
        <v>3.2732464871276521E-3</v>
      </c>
      <c r="R210" s="421">
        <f t="shared" si="54"/>
        <v>0</v>
      </c>
      <c r="S210" s="421">
        <f t="shared" si="54"/>
        <v>0</v>
      </c>
      <c r="T210" s="421">
        <f t="shared" si="54"/>
        <v>0</v>
      </c>
      <c r="U210" s="421">
        <f t="shared" si="54"/>
        <v>0</v>
      </c>
      <c r="V210" s="421">
        <f t="shared" si="54"/>
        <v>0</v>
      </c>
      <c r="W210" s="421">
        <f t="shared" si="54"/>
        <v>0</v>
      </c>
      <c r="X210" s="421">
        <f t="shared" si="54"/>
        <v>0</v>
      </c>
      <c r="Y210" s="421">
        <f t="shared" si="54"/>
        <v>0</v>
      </c>
      <c r="Z210" s="351"/>
      <c r="AA210" s="351"/>
    </row>
    <row r="211" spans="2:27" x14ac:dyDescent="0.25">
      <c r="D211" s="295"/>
      <c r="F211" s="91" t="s">
        <v>124</v>
      </c>
      <c r="G211" s="91" t="s">
        <v>183</v>
      </c>
      <c r="H211" s="349"/>
      <c r="I211" s="349" t="s">
        <v>431</v>
      </c>
      <c r="J211" s="361"/>
      <c r="K211" s="361"/>
      <c r="L211" s="361"/>
      <c r="M211" s="361"/>
      <c r="N211" s="361"/>
      <c r="O211" s="361"/>
      <c r="P211" s="361"/>
      <c r="Q211" s="362">
        <f>Q106</f>
        <v>0.3075227288855088</v>
      </c>
      <c r="R211" s="361"/>
      <c r="S211" s="361"/>
      <c r="T211" s="361"/>
      <c r="U211" s="361"/>
      <c r="V211" s="361"/>
      <c r="W211" s="361"/>
      <c r="X211" s="361"/>
      <c r="Y211" s="361"/>
      <c r="Z211" s="351"/>
      <c r="AA211" s="351" t="s">
        <v>837</v>
      </c>
    </row>
    <row r="212" spans="2:27" x14ac:dyDescent="0.25">
      <c r="D212" s="295"/>
      <c r="F212" s="93" t="s">
        <v>123</v>
      </c>
      <c r="G212" s="93" t="s">
        <v>183</v>
      </c>
      <c r="H212" s="353"/>
      <c r="I212" s="353"/>
      <c r="J212" s="358"/>
      <c r="K212" s="358"/>
      <c r="L212" s="358"/>
      <c r="M212" s="358"/>
      <c r="N212" s="358"/>
      <c r="O212" s="358"/>
      <c r="P212" s="358"/>
      <c r="Q212" s="358"/>
      <c r="R212" s="358"/>
      <c r="S212" s="358"/>
      <c r="T212" s="358"/>
      <c r="U212" s="358"/>
      <c r="V212" s="358"/>
      <c r="W212" s="358"/>
      <c r="X212" s="358"/>
      <c r="Y212" s="358"/>
      <c r="Z212" s="351"/>
      <c r="AA212" s="351"/>
    </row>
    <row r="213" spans="2:27" x14ac:dyDescent="0.25"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  <c r="U213" s="253"/>
      <c r="V213" s="253"/>
      <c r="W213" s="253"/>
      <c r="X213" s="253"/>
      <c r="Y213" s="253"/>
    </row>
    <row r="214" spans="2:27" x14ac:dyDescent="0.25">
      <c r="C214" s="7" t="str">
        <f ca="1">INDEX('Version control'!$H$34:$H$58,MATCH($A$1,'Version control'!$F$34:$F$58,0),1)&amp;"-H: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7"/>
      <c r="AA214" s="7"/>
    </row>
    <row r="215" spans="2:27" x14ac:dyDescent="0.25"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  <c r="U215" s="253"/>
      <c r="V215" s="253"/>
      <c r="W215" s="253"/>
      <c r="X215" s="253"/>
      <c r="Y215" s="253"/>
      <c r="AA215" s="88"/>
    </row>
    <row r="216" spans="2:27" x14ac:dyDescent="0.25">
      <c r="D216" s="295"/>
      <c r="E216" s="96" t="s">
        <v>292</v>
      </c>
      <c r="F216" s="98"/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  <c r="U216" s="253"/>
      <c r="V216" s="253"/>
      <c r="W216" s="253"/>
      <c r="X216" s="253"/>
      <c r="Y216" s="253"/>
      <c r="AA216" s="88"/>
    </row>
    <row r="217" spans="2:27" x14ac:dyDescent="0.25">
      <c r="D217" s="295"/>
      <c r="F217" s="91" t="s">
        <v>369</v>
      </c>
      <c r="G217" s="91" t="s">
        <v>183</v>
      </c>
      <c r="H217" s="349"/>
      <c r="I217" s="349"/>
      <c r="J217" s="350">
        <f t="shared" ref="J217:Y217" si="55">SUM(J127:J138,J141:J152)</f>
        <v>10.11594964860876</v>
      </c>
      <c r="K217" s="350">
        <f t="shared" si="55"/>
        <v>10.11594964860876</v>
      </c>
      <c r="L217" s="350">
        <f t="shared" si="55"/>
        <v>12.564395696515698</v>
      </c>
      <c r="M217" s="350">
        <f t="shared" si="55"/>
        <v>12.564395696515698</v>
      </c>
      <c r="N217" s="350">
        <f t="shared" si="55"/>
        <v>9.1767990438929967</v>
      </c>
      <c r="O217" s="350">
        <f t="shared" si="55"/>
        <v>6.8642779713820374</v>
      </c>
      <c r="P217" s="350">
        <f t="shared" si="55"/>
        <v>5.165127472019492</v>
      </c>
      <c r="Q217" s="350">
        <f t="shared" si="55"/>
        <v>18.178805927558937</v>
      </c>
      <c r="R217" s="350">
        <f t="shared" si="55"/>
        <v>-7.6670869640904762</v>
      </c>
      <c r="S217" s="350">
        <f t="shared" si="55"/>
        <v>-6.8872141338766015</v>
      </c>
      <c r="T217" s="350">
        <f t="shared" si="55"/>
        <v>-7.6670869640904762</v>
      </c>
      <c r="U217" s="350">
        <f t="shared" si="55"/>
        <v>-7.6670869640904762</v>
      </c>
      <c r="V217" s="350">
        <f t="shared" si="55"/>
        <v>-6.8872141338766015</v>
      </c>
      <c r="W217" s="350">
        <f t="shared" si="55"/>
        <v>-6.8872141338766015</v>
      </c>
      <c r="X217" s="350">
        <f t="shared" si="55"/>
        <v>-4.8607236937772624</v>
      </c>
      <c r="Y217" s="350">
        <f t="shared" si="55"/>
        <v>-4.8607236937772624</v>
      </c>
      <c r="Z217" s="351"/>
      <c r="AA217" s="351"/>
    </row>
    <row r="218" spans="2:27" x14ac:dyDescent="0.25">
      <c r="D218" s="295"/>
      <c r="F218" s="295" t="s">
        <v>370</v>
      </c>
      <c r="G218" s="295" t="s">
        <v>183</v>
      </c>
      <c r="H218" s="351"/>
      <c r="I218" s="351"/>
      <c r="J218" s="352">
        <f t="shared" ref="J218:Y218" si="56">SUM(J157:J168,J171:J182)</f>
        <v>1.597587341513643</v>
      </c>
      <c r="K218" s="352">
        <f t="shared" si="56"/>
        <v>1.597587341513643</v>
      </c>
      <c r="L218" s="352">
        <f t="shared" si="56"/>
        <v>1.9842644749900038</v>
      </c>
      <c r="M218" s="352">
        <f t="shared" si="56"/>
        <v>1.9842644749900038</v>
      </c>
      <c r="N218" s="352">
        <f t="shared" si="56"/>
        <v>1.3757330065845093</v>
      </c>
      <c r="O218" s="352">
        <f t="shared" si="56"/>
        <v>0.8989422107421281</v>
      </c>
      <c r="P218" s="352">
        <f t="shared" si="56"/>
        <v>0.62848157310492736</v>
      </c>
      <c r="Q218" s="352">
        <f t="shared" si="56"/>
        <v>2.2269967765251373</v>
      </c>
      <c r="R218" s="352">
        <f t="shared" si="56"/>
        <v>-1.2108444096298747</v>
      </c>
      <c r="S218" s="352">
        <f t="shared" si="56"/>
        <v>-1.0576237365468442</v>
      </c>
      <c r="T218" s="352">
        <f t="shared" si="56"/>
        <v>-1.2108444096298747</v>
      </c>
      <c r="U218" s="352">
        <f t="shared" si="56"/>
        <v>-1.2108444096298747</v>
      </c>
      <c r="V218" s="352">
        <f t="shared" si="56"/>
        <v>-1.0576237365468442</v>
      </c>
      <c r="W218" s="352">
        <f t="shared" si="56"/>
        <v>-1.0576237365468442</v>
      </c>
      <c r="X218" s="352">
        <f t="shared" si="56"/>
        <v>-0.625066267685503</v>
      </c>
      <c r="Y218" s="352">
        <f t="shared" si="56"/>
        <v>-0.625066267685503</v>
      </c>
      <c r="Z218" s="351"/>
      <c r="AA218" s="351"/>
    </row>
    <row r="219" spans="2:27" x14ac:dyDescent="0.25">
      <c r="D219" s="295"/>
      <c r="F219" s="93" t="s">
        <v>371</v>
      </c>
      <c r="G219" s="93" t="s">
        <v>183</v>
      </c>
      <c r="H219" s="353"/>
      <c r="I219" s="353"/>
      <c r="J219" s="354">
        <f t="shared" ref="J219:Y219" si="57">SUM(J187:J198,J201:J212)</f>
        <v>0.19892969640308419</v>
      </c>
      <c r="K219" s="354">
        <f t="shared" si="57"/>
        <v>0.19892969640308419</v>
      </c>
      <c r="L219" s="354">
        <f t="shared" si="57"/>
        <v>0.24707827818615433</v>
      </c>
      <c r="M219" s="354">
        <f t="shared" si="57"/>
        <v>0.24707827818615433</v>
      </c>
      <c r="N219" s="354">
        <f t="shared" si="57"/>
        <v>0.18419071179769397</v>
      </c>
      <c r="O219" s="354">
        <f t="shared" si="57"/>
        <v>0.14437381052570919</v>
      </c>
      <c r="P219" s="354">
        <f t="shared" si="57"/>
        <v>0.1037577497041882</v>
      </c>
      <c r="Q219" s="354">
        <f t="shared" si="57"/>
        <v>0.486908811291489</v>
      </c>
      <c r="R219" s="354">
        <f t="shared" si="57"/>
        <v>-0.15077292147972721</v>
      </c>
      <c r="S219" s="354">
        <f t="shared" si="57"/>
        <v>-0.13696109573644608</v>
      </c>
      <c r="T219" s="354">
        <f t="shared" si="57"/>
        <v>-0.15077292147972721</v>
      </c>
      <c r="U219" s="354">
        <f t="shared" si="57"/>
        <v>-0.15077292147972721</v>
      </c>
      <c r="V219" s="354">
        <f t="shared" si="57"/>
        <v>-0.13696109573644608</v>
      </c>
      <c r="W219" s="354">
        <f t="shared" si="57"/>
        <v>-0.13696109573644608</v>
      </c>
      <c r="X219" s="354">
        <f t="shared" si="57"/>
        <v>-9.944343700203076E-2</v>
      </c>
      <c r="Y219" s="354">
        <f t="shared" si="57"/>
        <v>-9.944343700203076E-2</v>
      </c>
      <c r="Z219" s="351"/>
      <c r="AA219" s="351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5" t="s">
        <v>516</v>
      </c>
      <c r="G223" s="122" t="s">
        <v>692</v>
      </c>
      <c r="H223" s="152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2:27" x14ac:dyDescent="0.25">
      <c r="AA226" s="88"/>
    </row>
    <row r="228" spans="2:27" x14ac:dyDescent="0.25">
      <c r="AA228" s="88"/>
    </row>
    <row r="229" spans="2:27" x14ac:dyDescent="0.25">
      <c r="J229" s="90"/>
      <c r="L229" s="90"/>
    </row>
    <row r="230" spans="2:27" x14ac:dyDescent="0.25">
      <c r="J230" s="90"/>
      <c r="L230" s="90"/>
    </row>
    <row r="231" spans="2:27" x14ac:dyDescent="0.25">
      <c r="J231" s="90"/>
      <c r="L231" s="90"/>
    </row>
    <row r="232" spans="2:27" x14ac:dyDescent="0.25">
      <c r="J232" s="90"/>
      <c r="L232" s="90"/>
    </row>
    <row r="233" spans="2:27" x14ac:dyDescent="0.25">
      <c r="J233" s="90"/>
      <c r="L233" s="90"/>
    </row>
    <row r="234" spans="2:27" x14ac:dyDescent="0.25">
      <c r="J234" s="90"/>
      <c r="L234" s="90"/>
    </row>
    <row r="235" spans="2:27" x14ac:dyDescent="0.25">
      <c r="J235" s="90"/>
      <c r="L235" s="90"/>
    </row>
    <row r="236" spans="2:27" x14ac:dyDescent="0.25">
      <c r="J236" s="90"/>
      <c r="L236" s="90"/>
    </row>
    <row r="237" spans="2:27" x14ac:dyDescent="0.25">
      <c r="J237" s="90"/>
      <c r="L237" s="90"/>
    </row>
    <row r="238" spans="2:27" x14ac:dyDescent="0.25">
      <c r="J238" s="90"/>
      <c r="L238" s="90"/>
    </row>
    <row r="239" spans="2:27" x14ac:dyDescent="0.25">
      <c r="J239" s="90"/>
      <c r="L239" s="90"/>
    </row>
    <row r="240" spans="2:27" x14ac:dyDescent="0.25">
      <c r="J240" s="90"/>
      <c r="L240" s="90"/>
    </row>
    <row r="241" spans="10:12" x14ac:dyDescent="0.25">
      <c r="J241" s="90"/>
      <c r="L241" s="90"/>
    </row>
    <row r="242" spans="10:12" x14ac:dyDescent="0.25">
      <c r="J242" s="90"/>
      <c r="L242" s="90"/>
    </row>
    <row r="243" spans="10:12" x14ac:dyDescent="0.25">
      <c r="J243" s="90"/>
      <c r="L243" s="90"/>
    </row>
    <row r="244" spans="10:12" x14ac:dyDescent="0.25">
      <c r="J244" s="90"/>
      <c r="L244" s="90"/>
    </row>
    <row r="245" spans="10:12" x14ac:dyDescent="0.25">
      <c r="J245" s="90"/>
      <c r="L245" s="90"/>
    </row>
    <row r="246" spans="10:12" x14ac:dyDescent="0.25">
      <c r="J246" s="90"/>
      <c r="L246" s="90"/>
    </row>
    <row r="247" spans="10:12" x14ac:dyDescent="0.25">
      <c r="J247" s="90"/>
      <c r="L247" s="90"/>
    </row>
    <row r="248" spans="10:12" x14ac:dyDescent="0.25">
      <c r="J248" s="90"/>
      <c r="L248" s="90"/>
    </row>
    <row r="249" spans="10:12" x14ac:dyDescent="0.25">
      <c r="J249" s="90"/>
      <c r="L249" s="90"/>
    </row>
    <row r="250" spans="10:12" x14ac:dyDescent="0.25">
      <c r="J250" s="90"/>
      <c r="L250" s="90"/>
    </row>
    <row r="251" spans="10:12" x14ac:dyDescent="0.25">
      <c r="J251" s="90"/>
      <c r="L251" s="90"/>
    </row>
    <row r="252" spans="10:12" x14ac:dyDescent="0.25">
      <c r="J252" s="90"/>
      <c r="L252" s="90"/>
    </row>
    <row r="253" spans="10:12" x14ac:dyDescent="0.25">
      <c r="J253" s="90"/>
      <c r="L253" s="90"/>
    </row>
    <row r="254" spans="10:12" x14ac:dyDescent="0.25">
      <c r="J254" s="90"/>
      <c r="L254" s="90"/>
    </row>
    <row r="255" spans="10:12" x14ac:dyDescent="0.25">
      <c r="J255" s="90"/>
      <c r="L255" s="90"/>
    </row>
    <row r="256" spans="10:12" x14ac:dyDescent="0.25">
      <c r="J256" s="90"/>
      <c r="L256" s="90"/>
    </row>
    <row r="257" spans="10:12" x14ac:dyDescent="0.25">
      <c r="J257" s="90"/>
      <c r="L257" s="90"/>
    </row>
    <row r="258" spans="10:12" x14ac:dyDescent="0.25">
      <c r="J258" s="90"/>
      <c r="L258" s="90"/>
    </row>
    <row r="259" spans="10:12" x14ac:dyDescent="0.25">
      <c r="J259" s="90"/>
      <c r="L259" s="90"/>
    </row>
    <row r="260" spans="10:12" x14ac:dyDescent="0.25">
      <c r="J260" s="90"/>
      <c r="L260" s="90"/>
    </row>
    <row r="261" spans="10:12" x14ac:dyDescent="0.25">
      <c r="J261" s="90"/>
      <c r="L261" s="90"/>
    </row>
  </sheetData>
  <sheetProtection sheet="1" objects="1" formatCells="0" formatColumns="0" formatRows="0" sort="0" autoFilter="0"/>
  <conditionalFormatting sqref="H223">
    <cfRule type="cellIs" dxfId="90" priority="10" operator="greaterThan">
      <formula>0</formula>
    </cfRule>
  </conditionalFormatting>
  <conditionalFormatting sqref="A4:I4 Z4:XFD4">
    <cfRule type="expression" dxfId="89" priority="9">
      <formula>LEFT($A$4,1) &lt;&gt; "0"</formula>
    </cfRule>
  </conditionalFormatting>
  <conditionalFormatting sqref="N4:P4">
    <cfRule type="expression" dxfId="88" priority="8">
      <formula>LEFT($A$4,1) &lt;&gt; "0"</formula>
    </cfRule>
  </conditionalFormatting>
  <conditionalFormatting sqref="L4:M4">
    <cfRule type="expression" dxfId="87" priority="7">
      <formula>LEFT($A$4,1) &lt;&gt; "0"</formula>
    </cfRule>
  </conditionalFormatting>
  <conditionalFormatting sqref="J4:K4">
    <cfRule type="expression" dxfId="86" priority="6">
      <formula>LEFT($A$4,1) &lt;&gt; "0"</formula>
    </cfRule>
  </conditionalFormatting>
  <conditionalFormatting sqref="Q4">
    <cfRule type="expression" dxfId="85" priority="5">
      <formula>LEFT($A$4,1) &lt;&gt; "0"</formula>
    </cfRule>
  </conditionalFormatting>
  <conditionalFormatting sqref="R4:S4">
    <cfRule type="expression" dxfId="84" priority="4">
      <formula>LEFT($A$4,1) &lt;&gt; "0"</formula>
    </cfRule>
  </conditionalFormatting>
  <conditionalFormatting sqref="T4:U4">
    <cfRule type="expression" dxfId="83" priority="3">
      <formula>LEFT($A$4,1) &lt;&gt; "0"</formula>
    </cfRule>
  </conditionalFormatting>
  <conditionalFormatting sqref="V4:W4">
    <cfRule type="expression" dxfId="82" priority="2">
      <formula>LEFT($A$4,1) &lt;&gt; "0"</formula>
    </cfRule>
  </conditionalFormatting>
  <conditionalFormatting sqref="X4:Y4">
    <cfRule type="expression" dxfId="81" priority="1">
      <formula>LEFT($A$4,1) &lt;&gt; "0"</formula>
    </cfRule>
  </conditionalFormatting>
  <hyperlinks>
    <hyperlink ref="B5:F5" location="'Model map'!A1" display="Click here to return to model map" xr:uid="{00000000-0004-0000-1B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1">
    <tabColor theme="4" tint="0.59999389629810485"/>
    <pageSetUpPr fitToPage="1"/>
  </sheetPr>
  <dimension ref="A1:KY29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1" width="24.5703125" style="295" hidden="1" customWidth="1"/>
    <col min="312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869</v>
      </c>
      <c r="D9" s="295"/>
    </row>
    <row r="10" spans="1:27" x14ac:dyDescent="0.25">
      <c r="C10" s="82" t="s">
        <v>463</v>
      </c>
      <c r="D10" s="295"/>
      <c r="E10" s="295"/>
    </row>
    <row r="11" spans="1:27" x14ac:dyDescent="0.25">
      <c r="C11" s="301" t="s">
        <v>870</v>
      </c>
    </row>
    <row r="13" spans="1:27" x14ac:dyDescent="0.25">
      <c r="B13" s="95" t="s">
        <v>766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521</v>
      </c>
    </row>
    <row r="17" spans="3:27" x14ac:dyDescent="0.25">
      <c r="C17" s="7" t="str">
        <f ca="1">INDEX('Version control'!$H$34:$H$58,MATCH($A$1,'Version control'!$F$34:$F$58,0),1)&amp;"-A: Inputs to reactive power charge calculations"</f>
        <v>Section 515-A: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5"/>
      <c r="E18" s="96"/>
    </row>
    <row r="19" spans="3:27" x14ac:dyDescent="0.25">
      <c r="D19" s="96" t="s">
        <v>89</v>
      </c>
    </row>
    <row r="20" spans="3:27" x14ac:dyDescent="0.25">
      <c r="D20" s="82" t="s">
        <v>327</v>
      </c>
      <c r="E20" s="295"/>
    </row>
    <row r="21" spans="3:27" x14ac:dyDescent="0.25">
      <c r="C21" s="86"/>
      <c r="E21" s="91" t="s">
        <v>324</v>
      </c>
      <c r="F21" s="91"/>
      <c r="G21" s="91" t="s">
        <v>266</v>
      </c>
      <c r="H21" s="239"/>
    </row>
    <row r="22" spans="3:27" x14ac:dyDescent="0.25">
      <c r="C22" s="86"/>
      <c r="E22" s="295" t="s">
        <v>43</v>
      </c>
      <c r="G22" s="295" t="s">
        <v>266</v>
      </c>
      <c r="H22" s="274">
        <f t="array" ref="H22:H30">TRANSPOSE('Inputs by network level'!K24:S24)</f>
        <v>0.25056282783129963</v>
      </c>
    </row>
    <row r="23" spans="3:27" x14ac:dyDescent="0.25">
      <c r="C23" s="86"/>
      <c r="E23" s="295" t="s">
        <v>44</v>
      </c>
      <c r="G23" s="295" t="s">
        <v>266</v>
      </c>
      <c r="H23" s="274">
        <v>0.25056282783129963</v>
      </c>
    </row>
    <row r="24" spans="3:27" x14ac:dyDescent="0.25">
      <c r="C24" s="86"/>
      <c r="E24" s="295" t="s">
        <v>45</v>
      </c>
      <c r="G24" s="295" t="s">
        <v>266</v>
      </c>
      <c r="H24" s="274">
        <v>0.24151056811773014</v>
      </c>
    </row>
    <row r="25" spans="3:27" x14ac:dyDescent="0.25">
      <c r="C25" s="86"/>
      <c r="E25" s="295" t="s">
        <v>46</v>
      </c>
      <c r="G25" s="295" t="s">
        <v>266</v>
      </c>
      <c r="H25" s="274">
        <v>0.24151056811773014</v>
      </c>
    </row>
    <row r="26" spans="3:27" x14ac:dyDescent="0.25">
      <c r="C26" s="86"/>
      <c r="E26" s="295" t="s">
        <v>47</v>
      </c>
      <c r="G26" s="295" t="s">
        <v>266</v>
      </c>
      <c r="H26" s="274">
        <v>0.3175458874434306</v>
      </c>
    </row>
    <row r="27" spans="3:27" x14ac:dyDescent="0.25">
      <c r="C27" s="86"/>
      <c r="E27" s="295" t="s">
        <v>51</v>
      </c>
      <c r="G27" s="295" t="s">
        <v>266</v>
      </c>
      <c r="H27" s="274">
        <v>0.3175458874434306</v>
      </c>
    </row>
    <row r="28" spans="3:27" x14ac:dyDescent="0.25">
      <c r="C28" s="86"/>
      <c r="E28" s="295" t="s">
        <v>48</v>
      </c>
      <c r="G28" s="295" t="s">
        <v>266</v>
      </c>
      <c r="H28" s="274">
        <v>0.3175458874434306</v>
      </c>
    </row>
    <row r="29" spans="3:27" x14ac:dyDescent="0.25">
      <c r="C29" s="86"/>
      <c r="E29" s="295" t="s">
        <v>49</v>
      </c>
      <c r="G29" s="295" t="s">
        <v>266</v>
      </c>
      <c r="H29" s="274">
        <v>0.3175458874434306</v>
      </c>
    </row>
    <row r="30" spans="3:27" x14ac:dyDescent="0.25">
      <c r="C30" s="86"/>
      <c r="E30" s="295" t="s">
        <v>50</v>
      </c>
      <c r="G30" s="295" t="s">
        <v>266</v>
      </c>
      <c r="H30" s="274">
        <v>0.3175458874434306</v>
      </c>
    </row>
    <row r="31" spans="3:27" x14ac:dyDescent="0.25">
      <c r="C31" s="86"/>
      <c r="E31" s="295" t="s">
        <v>124</v>
      </c>
      <c r="G31" s="295" t="s">
        <v>266</v>
      </c>
      <c r="H31" s="280"/>
    </row>
    <row r="32" spans="3:27" x14ac:dyDescent="0.25">
      <c r="C32" s="86"/>
      <c r="E32" s="93" t="s">
        <v>123</v>
      </c>
      <c r="F32" s="93"/>
      <c r="G32" s="93" t="s">
        <v>266</v>
      </c>
      <c r="H32" s="241"/>
    </row>
    <row r="33" spans="3:8" x14ac:dyDescent="0.25">
      <c r="C33" s="86"/>
      <c r="H33" s="253"/>
    </row>
    <row r="34" spans="3:8" x14ac:dyDescent="0.25">
      <c r="D34" s="86" t="s">
        <v>100</v>
      </c>
      <c r="H34" s="253"/>
    </row>
    <row r="35" spans="3:8" x14ac:dyDescent="0.25">
      <c r="C35" s="86"/>
      <c r="E35" s="91" t="s">
        <v>324</v>
      </c>
      <c r="F35" s="91"/>
      <c r="G35" s="16" t="s">
        <v>528</v>
      </c>
      <c r="H35" s="273">
        <f t="array" ref="H35:H44">TRANSPOSE('Load &amp; loss characteristics'!J29:S29)</f>
        <v>1</v>
      </c>
    </row>
    <row r="36" spans="3:8" x14ac:dyDescent="0.25">
      <c r="C36" s="86"/>
      <c r="E36" s="295" t="s">
        <v>43</v>
      </c>
      <c r="G36" s="14" t="s">
        <v>528</v>
      </c>
      <c r="H36" s="274">
        <v>1</v>
      </c>
    </row>
    <row r="37" spans="3:8" x14ac:dyDescent="0.25">
      <c r="C37" s="86"/>
      <c r="E37" s="295" t="s">
        <v>44</v>
      </c>
      <c r="G37" s="14" t="s">
        <v>528</v>
      </c>
      <c r="H37" s="274">
        <v>1.0049999999999999</v>
      </c>
    </row>
    <row r="38" spans="3:8" x14ac:dyDescent="0.25">
      <c r="C38" s="86"/>
      <c r="E38" s="295" t="s">
        <v>45</v>
      </c>
      <c r="G38" s="14" t="s">
        <v>528</v>
      </c>
      <c r="H38" s="274">
        <v>1.012</v>
      </c>
    </row>
    <row r="39" spans="3:8" x14ac:dyDescent="0.25">
      <c r="C39" s="86"/>
      <c r="E39" s="295" t="s">
        <v>46</v>
      </c>
      <c r="G39" s="14" t="s">
        <v>528</v>
      </c>
      <c r="H39" s="274">
        <v>1.018</v>
      </c>
    </row>
    <row r="40" spans="3:8" x14ac:dyDescent="0.25">
      <c r="C40" s="86"/>
      <c r="E40" s="295" t="s">
        <v>47</v>
      </c>
      <c r="G40" s="14" t="s">
        <v>528</v>
      </c>
      <c r="H40" s="274">
        <v>1.0269999999999999</v>
      </c>
    </row>
    <row r="41" spans="3:8" x14ac:dyDescent="0.25">
      <c r="C41" s="86"/>
      <c r="E41" s="295" t="s">
        <v>51</v>
      </c>
      <c r="G41" s="14" t="s">
        <v>528</v>
      </c>
      <c r="H41" s="274">
        <v>1.0269999999999999</v>
      </c>
    </row>
    <row r="42" spans="3:8" x14ac:dyDescent="0.25">
      <c r="C42" s="86"/>
      <c r="E42" s="295" t="s">
        <v>48</v>
      </c>
      <c r="G42" s="14" t="s">
        <v>528</v>
      </c>
      <c r="H42" s="274">
        <v>1.038</v>
      </c>
    </row>
    <row r="43" spans="3:8" x14ac:dyDescent="0.25">
      <c r="C43" s="86"/>
      <c r="E43" s="295" t="s">
        <v>49</v>
      </c>
      <c r="G43" s="14" t="s">
        <v>528</v>
      </c>
      <c r="H43" s="274">
        <v>1.06</v>
      </c>
    </row>
    <row r="44" spans="3:8" x14ac:dyDescent="0.25">
      <c r="C44" s="86"/>
      <c r="E44" s="295" t="s">
        <v>50</v>
      </c>
      <c r="G44" s="14" t="s">
        <v>528</v>
      </c>
      <c r="H44" s="274">
        <v>1.1120000000000001</v>
      </c>
    </row>
    <row r="45" spans="3:8" x14ac:dyDescent="0.25">
      <c r="C45" s="86"/>
      <c r="E45" s="295" t="s">
        <v>124</v>
      </c>
      <c r="G45" s="14" t="s">
        <v>528</v>
      </c>
      <c r="H45" s="280"/>
    </row>
    <row r="46" spans="3:8" x14ac:dyDescent="0.25">
      <c r="C46" s="86"/>
      <c r="E46" s="93" t="s">
        <v>123</v>
      </c>
      <c r="F46" s="93"/>
      <c r="G46" s="15" t="s">
        <v>528</v>
      </c>
      <c r="H46" s="241"/>
    </row>
    <row r="47" spans="3:8" x14ac:dyDescent="0.25">
      <c r="C47" s="86"/>
      <c r="H47" s="253"/>
    </row>
    <row r="48" spans="3:8" x14ac:dyDescent="0.25">
      <c r="D48" s="96" t="s">
        <v>764</v>
      </c>
      <c r="H48" s="253"/>
    </row>
    <row r="49" spans="3:8" x14ac:dyDescent="0.25">
      <c r="C49" s="86"/>
      <c r="E49" s="91" t="s">
        <v>324</v>
      </c>
      <c r="F49" s="91"/>
      <c r="G49" s="91" t="s">
        <v>108</v>
      </c>
      <c r="H49" s="239"/>
    </row>
    <row r="50" spans="3:8" x14ac:dyDescent="0.25">
      <c r="C50" s="86"/>
      <c r="E50" s="295" t="s">
        <v>43</v>
      </c>
      <c r="G50" s="295" t="s">
        <v>108</v>
      </c>
      <c r="H50" s="280"/>
    </row>
    <row r="51" spans="3:8" x14ac:dyDescent="0.25">
      <c r="C51" s="86"/>
      <c r="E51" s="295" t="s">
        <v>44</v>
      </c>
      <c r="G51" s="295" t="s">
        <v>108</v>
      </c>
      <c r="H51" s="274">
        <f t="array" ref="H51:H58">TRANSPOSE('Unit costs'!L114:S114)</f>
        <v>17.541142919404308</v>
      </c>
    </row>
    <row r="52" spans="3:8" x14ac:dyDescent="0.25">
      <c r="C52" s="86"/>
      <c r="E52" s="295" t="s">
        <v>45</v>
      </c>
      <c r="G52" s="295" t="s">
        <v>108</v>
      </c>
      <c r="H52" s="274">
        <v>1.480928540647217</v>
      </c>
    </row>
    <row r="53" spans="3:8" x14ac:dyDescent="0.25">
      <c r="C53" s="86"/>
      <c r="E53" s="295" t="s">
        <v>46</v>
      </c>
      <c r="G53" s="295" t="s">
        <v>108</v>
      </c>
      <c r="H53" s="274">
        <v>15.207996866954261</v>
      </c>
    </row>
    <row r="54" spans="3:8" x14ac:dyDescent="0.25">
      <c r="C54" s="86"/>
      <c r="E54" s="295" t="s">
        <v>47</v>
      </c>
      <c r="G54" s="295" t="s">
        <v>108</v>
      </c>
      <c r="H54" s="274">
        <v>2.5482199061946726</v>
      </c>
    </row>
    <row r="55" spans="3:8" x14ac:dyDescent="0.25">
      <c r="C55" s="86"/>
      <c r="E55" s="295" t="s">
        <v>51</v>
      </c>
      <c r="G55" s="295" t="s">
        <v>108</v>
      </c>
      <c r="H55" s="274">
        <v>0</v>
      </c>
    </row>
    <row r="56" spans="3:8" x14ac:dyDescent="0.25">
      <c r="C56" s="86"/>
      <c r="E56" s="295" t="s">
        <v>48</v>
      </c>
      <c r="G56" s="295" t="s">
        <v>108</v>
      </c>
      <c r="H56" s="274">
        <v>21.138444733545068</v>
      </c>
    </row>
    <row r="57" spans="3:8" x14ac:dyDescent="0.25">
      <c r="C57" s="86"/>
      <c r="E57" s="295" t="s">
        <v>49</v>
      </c>
      <c r="G57" s="295" t="s">
        <v>108</v>
      </c>
      <c r="H57" s="274">
        <v>8.4429551761136299</v>
      </c>
    </row>
    <row r="58" spans="3:8" x14ac:dyDescent="0.25">
      <c r="C58" s="86"/>
      <c r="E58" s="295" t="s">
        <v>50</v>
      </c>
      <c r="G58" s="295" t="s">
        <v>108</v>
      </c>
      <c r="H58" s="274">
        <v>5.4233984343766499</v>
      </c>
    </row>
    <row r="59" spans="3:8" x14ac:dyDescent="0.25">
      <c r="C59" s="86"/>
      <c r="E59" s="295" t="s">
        <v>124</v>
      </c>
      <c r="G59" s="295" t="s">
        <v>108</v>
      </c>
      <c r="H59" s="280"/>
    </row>
    <row r="60" spans="3:8" x14ac:dyDescent="0.25">
      <c r="C60" s="86"/>
      <c r="E60" s="93" t="s">
        <v>123</v>
      </c>
      <c r="F60" s="93"/>
      <c r="G60" s="93" t="s">
        <v>108</v>
      </c>
      <c r="H60" s="241"/>
    </row>
    <row r="61" spans="3:8" x14ac:dyDescent="0.25">
      <c r="C61" s="86"/>
      <c r="H61" s="253"/>
    </row>
    <row r="62" spans="3:8" x14ac:dyDescent="0.25">
      <c r="C62" s="86"/>
      <c r="D62" s="96" t="s">
        <v>765</v>
      </c>
      <c r="E62" s="295"/>
      <c r="H62" s="253"/>
    </row>
    <row r="63" spans="3:8" x14ac:dyDescent="0.25">
      <c r="C63" s="86"/>
      <c r="E63" s="91" t="s">
        <v>324</v>
      </c>
      <c r="F63" s="91"/>
      <c r="G63" s="91" t="s">
        <v>108</v>
      </c>
      <c r="H63" s="273">
        <f t="array" ref="H63:H72">TRANSPOSE('Unit costs'!J115:S115)</f>
        <v>10.798667625984915</v>
      </c>
    </row>
    <row r="64" spans="3:8" x14ac:dyDescent="0.25">
      <c r="C64" s="86"/>
      <c r="E64" s="295" t="s">
        <v>43</v>
      </c>
      <c r="G64" s="295" t="s">
        <v>108</v>
      </c>
      <c r="H64" s="274">
        <v>0</v>
      </c>
    </row>
    <row r="65" spans="3:42" x14ac:dyDescent="0.25">
      <c r="C65" s="86"/>
      <c r="E65" s="295" t="s">
        <v>44</v>
      </c>
      <c r="G65" s="295" t="s">
        <v>108</v>
      </c>
      <c r="H65" s="274">
        <v>9.283542041222498</v>
      </c>
    </row>
    <row r="66" spans="3:42" x14ac:dyDescent="0.25">
      <c r="C66" s="86"/>
      <c r="E66" s="295" t="s">
        <v>45</v>
      </c>
      <c r="G66" s="295" t="s">
        <v>108</v>
      </c>
      <c r="H66" s="274">
        <v>0.78377232488860005</v>
      </c>
    </row>
    <row r="67" spans="3:42" x14ac:dyDescent="0.25">
      <c r="C67" s="86"/>
      <c r="E67" s="295" t="s">
        <v>46</v>
      </c>
      <c r="G67" s="295" t="s">
        <v>108</v>
      </c>
      <c r="H67" s="274">
        <v>8.0487388379334011</v>
      </c>
    </row>
    <row r="68" spans="3:42" x14ac:dyDescent="0.25">
      <c r="C68" s="86"/>
      <c r="E68" s="295" t="s">
        <v>47</v>
      </c>
      <c r="G68" s="295" t="s">
        <v>108</v>
      </c>
      <c r="H68" s="274">
        <v>1.3486297180367344</v>
      </c>
    </row>
    <row r="69" spans="3:42" x14ac:dyDescent="0.25">
      <c r="C69" s="86"/>
      <c r="E69" s="295" t="s">
        <v>51</v>
      </c>
      <c r="G69" s="295" t="s">
        <v>108</v>
      </c>
      <c r="H69" s="274">
        <v>0</v>
      </c>
    </row>
    <row r="70" spans="3:42" x14ac:dyDescent="0.25">
      <c r="C70" s="86"/>
      <c r="E70" s="295" t="s">
        <v>48</v>
      </c>
      <c r="G70" s="295" t="s">
        <v>108</v>
      </c>
      <c r="H70" s="274">
        <v>11.187391908929738</v>
      </c>
    </row>
    <row r="71" spans="3:42" x14ac:dyDescent="0.25">
      <c r="C71" s="86"/>
      <c r="E71" s="295" t="s">
        <v>49</v>
      </c>
      <c r="G71" s="295" t="s">
        <v>108</v>
      </c>
      <c r="H71" s="274">
        <v>4.4683821168176063</v>
      </c>
    </row>
    <row r="72" spans="3:42" x14ac:dyDescent="0.25">
      <c r="C72" s="86"/>
      <c r="E72" s="295" t="s">
        <v>50</v>
      </c>
      <c r="G72" s="295" t="s">
        <v>108</v>
      </c>
      <c r="H72" s="274">
        <v>2.8703002765081922</v>
      </c>
    </row>
    <row r="73" spans="3:42" x14ac:dyDescent="0.25">
      <c r="C73" s="86"/>
      <c r="E73" s="295" t="s">
        <v>124</v>
      </c>
      <c r="G73" s="295" t="s">
        <v>108</v>
      </c>
      <c r="H73" s="280"/>
    </row>
    <row r="74" spans="3:42" x14ac:dyDescent="0.25">
      <c r="C74" s="86"/>
      <c r="E74" s="93" t="s">
        <v>123</v>
      </c>
      <c r="F74" s="93"/>
      <c r="G74" s="93" t="s">
        <v>108</v>
      </c>
      <c r="H74" s="241"/>
    </row>
    <row r="75" spans="3:42" x14ac:dyDescent="0.25">
      <c r="C75" s="86"/>
      <c r="H75" s="90"/>
    </row>
    <row r="76" spans="3:42" x14ac:dyDescent="0.25">
      <c r="D76" s="86" t="s">
        <v>374</v>
      </c>
    </row>
    <row r="77" spans="3:42" x14ac:dyDescent="0.25">
      <c r="D77" s="82" t="s">
        <v>467</v>
      </c>
      <c r="E77" s="67"/>
    </row>
    <row r="78" spans="3:42" x14ac:dyDescent="0.25">
      <c r="C78" s="86"/>
      <c r="E78" s="295" t="s">
        <v>375</v>
      </c>
      <c r="G78" s="295" t="s">
        <v>155</v>
      </c>
      <c r="I78" s="295" t="s">
        <v>431</v>
      </c>
      <c r="J78" s="401">
        <f>'Fixed inputs'!J138</f>
        <v>0</v>
      </c>
      <c r="K78" s="401">
        <f>'Fixed inputs'!K138</f>
        <v>0</v>
      </c>
      <c r="L78" s="401">
        <f>'Fixed inputs'!L138</f>
        <v>0</v>
      </c>
      <c r="M78" s="401">
        <f>'Fixed inputs'!M138</f>
        <v>0</v>
      </c>
      <c r="N78" s="401">
        <f>'Fixed inputs'!N138</f>
        <v>1</v>
      </c>
      <c r="O78" s="401">
        <f>'Fixed inputs'!O138</f>
        <v>1</v>
      </c>
      <c r="P78" s="401">
        <f>'Fixed inputs'!P138</f>
        <v>1</v>
      </c>
      <c r="Q78" s="401">
        <f>'Fixed inputs'!Q138</f>
        <v>0</v>
      </c>
      <c r="R78" s="401">
        <f>'Fixed inputs'!R138</f>
        <v>0</v>
      </c>
      <c r="S78" s="401">
        <f>'Fixed inputs'!S138</f>
        <v>0</v>
      </c>
      <c r="T78" s="401">
        <f>'Fixed inputs'!T138</f>
        <v>1</v>
      </c>
      <c r="U78" s="401">
        <f>'Fixed inputs'!U138</f>
        <v>0</v>
      </c>
      <c r="V78" s="401">
        <f>'Fixed inputs'!V138</f>
        <v>1</v>
      </c>
      <c r="W78" s="401">
        <f>'Fixed inputs'!W138</f>
        <v>0</v>
      </c>
      <c r="X78" s="401">
        <f>'Fixed inputs'!X138</f>
        <v>1</v>
      </c>
      <c r="Y78" s="401">
        <f>'Fixed inputs'!Y138</f>
        <v>0</v>
      </c>
      <c r="AA78" s="295" t="s">
        <v>839</v>
      </c>
    </row>
    <row r="79" spans="3:42" x14ac:dyDescent="0.25">
      <c r="C79" s="86"/>
    </row>
    <row r="80" spans="3:42" x14ac:dyDescent="0.25">
      <c r="D80" s="96" t="s">
        <v>320</v>
      </c>
      <c r="E80" s="295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5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5"/>
      <c r="E82" s="295" t="s">
        <v>44</v>
      </c>
      <c r="G82" s="295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5"/>
      <c r="E83" s="295" t="s">
        <v>45</v>
      </c>
      <c r="G83" s="295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5"/>
      <c r="E84" s="295" t="s">
        <v>46</v>
      </c>
      <c r="G84" s="295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5"/>
      <c r="E85" s="295" t="s">
        <v>47</v>
      </c>
      <c r="G85" s="295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5"/>
      <c r="E86" s="295" t="s">
        <v>51</v>
      </c>
      <c r="G86" s="295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5"/>
      <c r="E87" s="295" t="s">
        <v>48</v>
      </c>
      <c r="G87" s="295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5"/>
      <c r="E88" s="295" t="s">
        <v>49</v>
      </c>
      <c r="G88" s="295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5"/>
      <c r="E89" s="93" t="s">
        <v>50</v>
      </c>
      <c r="F89" s="93"/>
      <c r="G89" s="93" t="s">
        <v>94</v>
      </c>
      <c r="H89" s="187"/>
      <c r="I89" s="93"/>
      <c r="J89" s="394">
        <f>'Standing charge factors'!J52</f>
        <v>1</v>
      </c>
      <c r="K89" s="394">
        <f>'Standing charge factors'!K52</f>
        <v>1</v>
      </c>
      <c r="L89" s="394">
        <f>'Standing charge factors'!L52</f>
        <v>1</v>
      </c>
      <c r="M89" s="394">
        <f>'Standing charge factors'!M52</f>
        <v>1</v>
      </c>
      <c r="N89" s="394">
        <f>'Standing charge factors'!N52</f>
        <v>1</v>
      </c>
      <c r="O89" s="394">
        <f>'Standing charge factors'!O52</f>
        <v>0</v>
      </c>
      <c r="P89" s="394">
        <f>'Standing charge factors'!P52</f>
        <v>0</v>
      </c>
      <c r="Q89" s="394">
        <f>'Standing charge factors'!Q52</f>
        <v>0</v>
      </c>
      <c r="R89" s="394">
        <f>'Standing charge factors'!R52</f>
        <v>0</v>
      </c>
      <c r="S89" s="394">
        <f>'Standing charge factors'!S52</f>
        <v>0</v>
      </c>
      <c r="T89" s="394">
        <f>'Standing charge factors'!T52</f>
        <v>0</v>
      </c>
      <c r="U89" s="394">
        <f>'Standing charge factors'!U52</f>
        <v>0</v>
      </c>
      <c r="V89" s="394">
        <f>'Standing charge factors'!V52</f>
        <v>0</v>
      </c>
      <c r="W89" s="394">
        <f>'Standing charge factors'!W52</f>
        <v>0</v>
      </c>
      <c r="X89" s="394">
        <f>'Standing charge factors'!X52</f>
        <v>0</v>
      </c>
      <c r="Y89" s="394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405</v>
      </c>
      <c r="E91" s="96"/>
      <c r="I91" s="295" t="s">
        <v>431</v>
      </c>
      <c r="AA91" s="295" t="s">
        <v>929</v>
      </c>
    </row>
    <row r="92" spans="3:42" x14ac:dyDescent="0.25">
      <c r="D92" s="82" t="s">
        <v>397</v>
      </c>
      <c r="E92" s="295"/>
      <c r="AA92" s="68"/>
    </row>
    <row r="93" spans="3:42" x14ac:dyDescent="0.25">
      <c r="D93" s="295"/>
      <c r="E93" s="91" t="s">
        <v>324</v>
      </c>
      <c r="F93" s="91"/>
      <c r="G93" s="16" t="s">
        <v>528</v>
      </c>
      <c r="H93" s="91"/>
      <c r="I93" s="91"/>
      <c r="J93" s="239"/>
      <c r="K93" s="239"/>
      <c r="L93" s="239"/>
      <c r="M93" s="239"/>
      <c r="N93" s="239"/>
      <c r="O93" s="239"/>
      <c r="P93" s="239"/>
      <c r="Q93" s="239"/>
      <c r="R93" s="273">
        <f t="array" ref="R93:Y102">TRANSPOSE('Load &amp; loss characteristics'!J172:S179)</f>
        <v>-1.1120000000000001</v>
      </c>
      <c r="S93" s="273">
        <v>-1.06</v>
      </c>
      <c r="T93" s="273">
        <v>-1.1120000000000001</v>
      </c>
      <c r="U93" s="273">
        <v>-1.1120000000000001</v>
      </c>
      <c r="V93" s="273">
        <v>-1.06</v>
      </c>
      <c r="W93" s="273">
        <v>-1.06</v>
      </c>
      <c r="X93" s="273">
        <v>-1.038</v>
      </c>
      <c r="Y93" s="273">
        <v>-1.038</v>
      </c>
    </row>
    <row r="94" spans="3:42" x14ac:dyDescent="0.25">
      <c r="D94" s="295"/>
      <c r="E94" s="295" t="s">
        <v>43</v>
      </c>
      <c r="G94" s="14" t="s">
        <v>528</v>
      </c>
      <c r="J94" s="280"/>
      <c r="K94" s="280"/>
      <c r="L94" s="280"/>
      <c r="M94" s="280"/>
      <c r="N94" s="280"/>
      <c r="O94" s="280"/>
      <c r="P94" s="280"/>
      <c r="Q94" s="280"/>
      <c r="R94" s="274">
        <v>-1.1120000000000001</v>
      </c>
      <c r="S94" s="274">
        <v>-1.06</v>
      </c>
      <c r="T94" s="274">
        <v>-1.1120000000000001</v>
      </c>
      <c r="U94" s="274">
        <v>-1.1120000000000001</v>
      </c>
      <c r="V94" s="274">
        <v>-1.06</v>
      </c>
      <c r="W94" s="274">
        <v>-1.06</v>
      </c>
      <c r="X94" s="274">
        <v>-1.038</v>
      </c>
      <c r="Y94" s="274">
        <v>-1.038</v>
      </c>
    </row>
    <row r="95" spans="3:42" x14ac:dyDescent="0.25">
      <c r="D95" s="295"/>
      <c r="E95" s="295" t="s">
        <v>44</v>
      </c>
      <c r="G95" s="14" t="s">
        <v>528</v>
      </c>
      <c r="J95" s="280"/>
      <c r="K95" s="280"/>
      <c r="L95" s="280"/>
      <c r="M95" s="280"/>
      <c r="N95" s="280"/>
      <c r="O95" s="280"/>
      <c r="P95" s="280"/>
      <c r="Q95" s="280"/>
      <c r="R95" s="274">
        <v>-1.1120000000000001</v>
      </c>
      <c r="S95" s="274">
        <v>-1.06</v>
      </c>
      <c r="T95" s="274">
        <v>-1.1120000000000001</v>
      </c>
      <c r="U95" s="274">
        <v>-1.1120000000000001</v>
      </c>
      <c r="V95" s="274">
        <v>-1.06</v>
      </c>
      <c r="W95" s="274">
        <v>-1.06</v>
      </c>
      <c r="X95" s="274">
        <v>-1.038</v>
      </c>
      <c r="Y95" s="274">
        <v>-1.038</v>
      </c>
    </row>
    <row r="96" spans="3:42" x14ac:dyDescent="0.25">
      <c r="D96" s="295"/>
      <c r="E96" s="295" t="s">
        <v>45</v>
      </c>
      <c r="G96" s="14" t="s">
        <v>528</v>
      </c>
      <c r="J96" s="280"/>
      <c r="K96" s="280"/>
      <c r="L96" s="280"/>
      <c r="M96" s="280"/>
      <c r="N96" s="280"/>
      <c r="O96" s="280"/>
      <c r="P96" s="280"/>
      <c r="Q96" s="280"/>
      <c r="R96" s="274">
        <v>-1.1120000000000001</v>
      </c>
      <c r="S96" s="274">
        <v>-1.06</v>
      </c>
      <c r="T96" s="274">
        <v>-1.1120000000000001</v>
      </c>
      <c r="U96" s="274">
        <v>-1.1120000000000001</v>
      </c>
      <c r="V96" s="274">
        <v>-1.06</v>
      </c>
      <c r="W96" s="274">
        <v>-1.06</v>
      </c>
      <c r="X96" s="274">
        <v>-1.038</v>
      </c>
      <c r="Y96" s="274">
        <v>-1.038</v>
      </c>
    </row>
    <row r="97" spans="3:25" x14ac:dyDescent="0.25">
      <c r="D97" s="295"/>
      <c r="E97" s="295" t="s">
        <v>46</v>
      </c>
      <c r="G97" s="14" t="s">
        <v>528</v>
      </c>
      <c r="J97" s="280"/>
      <c r="K97" s="280"/>
      <c r="L97" s="280"/>
      <c r="M97" s="280"/>
      <c r="N97" s="280"/>
      <c r="O97" s="280"/>
      <c r="P97" s="280"/>
      <c r="Q97" s="280"/>
      <c r="R97" s="274">
        <v>-1.1120000000000001</v>
      </c>
      <c r="S97" s="274">
        <v>-1.06</v>
      </c>
      <c r="T97" s="274">
        <v>-1.1120000000000001</v>
      </c>
      <c r="U97" s="274">
        <v>-1.1120000000000001</v>
      </c>
      <c r="V97" s="274">
        <v>-1.06</v>
      </c>
      <c r="W97" s="274">
        <v>-1.06</v>
      </c>
      <c r="X97" s="274">
        <v>-1.038</v>
      </c>
      <c r="Y97" s="274">
        <v>-1.038</v>
      </c>
    </row>
    <row r="98" spans="3:25" x14ac:dyDescent="0.25">
      <c r="D98" s="295"/>
      <c r="E98" s="295" t="s">
        <v>47</v>
      </c>
      <c r="G98" s="14" t="s">
        <v>528</v>
      </c>
      <c r="J98" s="280"/>
      <c r="K98" s="280"/>
      <c r="L98" s="280"/>
      <c r="M98" s="280"/>
      <c r="N98" s="280"/>
      <c r="O98" s="280"/>
      <c r="P98" s="280"/>
      <c r="Q98" s="280"/>
      <c r="R98" s="274">
        <v>-1.1120000000000001</v>
      </c>
      <c r="S98" s="274">
        <v>-1.06</v>
      </c>
      <c r="T98" s="274">
        <v>-1.1120000000000001</v>
      </c>
      <c r="U98" s="274">
        <v>-1.1120000000000001</v>
      </c>
      <c r="V98" s="274">
        <v>-1.06</v>
      </c>
      <c r="W98" s="274">
        <v>-1.06</v>
      </c>
      <c r="X98" s="274">
        <v>-1.038</v>
      </c>
      <c r="Y98" s="274">
        <v>-1.038</v>
      </c>
    </row>
    <row r="99" spans="3:25" x14ac:dyDescent="0.25">
      <c r="D99" s="295"/>
      <c r="E99" s="295" t="s">
        <v>51</v>
      </c>
      <c r="G99" s="14" t="s">
        <v>528</v>
      </c>
      <c r="J99" s="280"/>
      <c r="K99" s="280"/>
      <c r="L99" s="280"/>
      <c r="M99" s="280"/>
      <c r="N99" s="280"/>
      <c r="O99" s="280"/>
      <c r="P99" s="280"/>
      <c r="Q99" s="280"/>
      <c r="R99" s="274">
        <v>0</v>
      </c>
      <c r="S99" s="274">
        <v>0</v>
      </c>
      <c r="T99" s="274">
        <v>0</v>
      </c>
      <c r="U99" s="274">
        <v>0</v>
      </c>
      <c r="V99" s="274">
        <v>0</v>
      </c>
      <c r="W99" s="274">
        <v>0</v>
      </c>
      <c r="X99" s="274">
        <v>0</v>
      </c>
      <c r="Y99" s="274">
        <v>0</v>
      </c>
    </row>
    <row r="100" spans="3:25" x14ac:dyDescent="0.25">
      <c r="D100" s="295"/>
      <c r="E100" s="295" t="s">
        <v>48</v>
      </c>
      <c r="G100" s="14" t="s">
        <v>528</v>
      </c>
      <c r="J100" s="280"/>
      <c r="K100" s="280"/>
      <c r="L100" s="280"/>
      <c r="M100" s="280"/>
      <c r="N100" s="280"/>
      <c r="O100" s="280"/>
      <c r="P100" s="280"/>
      <c r="Q100" s="280"/>
      <c r="R100" s="274">
        <v>-1.1120000000000001</v>
      </c>
      <c r="S100" s="274">
        <v>-1.06</v>
      </c>
      <c r="T100" s="274">
        <v>-1.1120000000000001</v>
      </c>
      <c r="U100" s="274">
        <v>-1.1120000000000001</v>
      </c>
      <c r="V100" s="274">
        <v>-1.06</v>
      </c>
      <c r="W100" s="274">
        <v>-1.06</v>
      </c>
      <c r="X100" s="274">
        <v>-1.038</v>
      </c>
      <c r="Y100" s="274">
        <v>-1.038</v>
      </c>
    </row>
    <row r="101" spans="3:25" x14ac:dyDescent="0.25">
      <c r="D101" s="295"/>
      <c r="E101" s="295" t="s">
        <v>49</v>
      </c>
      <c r="G101" s="14" t="s">
        <v>528</v>
      </c>
      <c r="J101" s="280"/>
      <c r="K101" s="280"/>
      <c r="L101" s="280"/>
      <c r="M101" s="280"/>
      <c r="N101" s="280"/>
      <c r="O101" s="280"/>
      <c r="P101" s="280"/>
      <c r="Q101" s="280"/>
      <c r="R101" s="274">
        <v>-1.1120000000000001</v>
      </c>
      <c r="S101" s="274">
        <v>-1.06</v>
      </c>
      <c r="T101" s="274">
        <v>-1.1120000000000001</v>
      </c>
      <c r="U101" s="274">
        <v>-1.1120000000000001</v>
      </c>
      <c r="V101" s="274">
        <v>-1.06</v>
      </c>
      <c r="W101" s="274">
        <v>-1.06</v>
      </c>
      <c r="X101" s="274">
        <v>0</v>
      </c>
      <c r="Y101" s="274">
        <v>0</v>
      </c>
    </row>
    <row r="102" spans="3:25" x14ac:dyDescent="0.25">
      <c r="D102" s="295"/>
      <c r="E102" s="295" t="s">
        <v>50</v>
      </c>
      <c r="G102" s="14" t="s">
        <v>528</v>
      </c>
      <c r="J102" s="280"/>
      <c r="K102" s="280"/>
      <c r="L102" s="280"/>
      <c r="M102" s="280"/>
      <c r="N102" s="280"/>
      <c r="O102" s="280"/>
      <c r="P102" s="280"/>
      <c r="Q102" s="280"/>
      <c r="R102" s="274">
        <v>-1.1120000000000001</v>
      </c>
      <c r="S102" s="274">
        <v>0</v>
      </c>
      <c r="T102" s="274">
        <v>-1.1120000000000001</v>
      </c>
      <c r="U102" s="274">
        <v>-1.1120000000000001</v>
      </c>
      <c r="V102" s="274">
        <v>0</v>
      </c>
      <c r="W102" s="274">
        <v>0</v>
      </c>
      <c r="X102" s="274">
        <v>0</v>
      </c>
      <c r="Y102" s="274">
        <v>0</v>
      </c>
    </row>
    <row r="103" spans="3:25" x14ac:dyDescent="0.25">
      <c r="D103" s="295"/>
      <c r="E103" s="295" t="s">
        <v>124</v>
      </c>
      <c r="G103" s="14" t="s">
        <v>528</v>
      </c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</row>
    <row r="104" spans="3:25" x14ac:dyDescent="0.25">
      <c r="D104" s="295"/>
      <c r="E104" s="93" t="s">
        <v>123</v>
      </c>
      <c r="F104" s="93"/>
      <c r="G104" s="15" t="s">
        <v>528</v>
      </c>
      <c r="H104" s="93"/>
      <c r="I104" s="93"/>
      <c r="J104" s="241"/>
      <c r="K104" s="241"/>
      <c r="L104" s="241"/>
      <c r="M104" s="241"/>
      <c r="N104" s="241"/>
      <c r="O104" s="241"/>
      <c r="P104" s="241"/>
      <c r="Q104" s="241"/>
      <c r="R104" s="241"/>
      <c r="S104" s="241"/>
      <c r="T104" s="241"/>
      <c r="U104" s="241"/>
      <c r="V104" s="241"/>
      <c r="W104" s="241"/>
      <c r="X104" s="241"/>
      <c r="Y104" s="241"/>
    </row>
    <row r="105" spans="3:25" x14ac:dyDescent="0.25">
      <c r="C105" s="86"/>
    </row>
    <row r="106" spans="3:25" x14ac:dyDescent="0.25">
      <c r="D106" s="96" t="s">
        <v>622</v>
      </c>
      <c r="E106" s="295"/>
    </row>
    <row r="107" spans="3:25" x14ac:dyDescent="0.25">
      <c r="C107" s="86"/>
      <c r="E107" s="91" t="s">
        <v>324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5" t="s">
        <v>43</v>
      </c>
      <c r="G108" s="295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5" t="s">
        <v>44</v>
      </c>
      <c r="G109" s="295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5" t="s">
        <v>45</v>
      </c>
      <c r="G110" s="295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5" t="s">
        <v>46</v>
      </c>
      <c r="G111" s="295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0.29443019943019899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0.29443019943019899</v>
      </c>
      <c r="Y111" s="143">
        <v>0.29443019943019899</v>
      </c>
    </row>
    <row r="112" spans="3:25" x14ac:dyDescent="0.25">
      <c r="C112" s="86"/>
      <c r="E112" s="295" t="s">
        <v>47</v>
      </c>
      <c r="G112" s="295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0.14317058823529399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0.14317058823529399</v>
      </c>
      <c r="Y112" s="143">
        <v>0.14317058823529399</v>
      </c>
    </row>
    <row r="113" spans="3:27" x14ac:dyDescent="0.25">
      <c r="C113" s="86"/>
      <c r="E113" s="295" t="s">
        <v>51</v>
      </c>
      <c r="G113" s="295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5" t="s">
        <v>48</v>
      </c>
      <c r="G114" s="295" t="s">
        <v>94</v>
      </c>
      <c r="J114" s="143">
        <v>0.32635129017655001</v>
      </c>
      <c r="K114" s="143">
        <v>0.32635129017655001</v>
      </c>
      <c r="L114" s="143">
        <v>0.32635129017655001</v>
      </c>
      <c r="M114" s="143">
        <v>0.32635129017655001</v>
      </c>
      <c r="N114" s="143">
        <v>0.32635129017655001</v>
      </c>
      <c r="O114" s="143">
        <v>0.32635129017655001</v>
      </c>
      <c r="P114" s="143">
        <v>0.73429040289723801</v>
      </c>
      <c r="Q114" s="143">
        <v>0.32635129017655001</v>
      </c>
      <c r="R114" s="143">
        <v>0.32635129017655001</v>
      </c>
      <c r="S114" s="143">
        <v>0.32635129017655001</v>
      </c>
      <c r="T114" s="143">
        <v>0.32635129017655001</v>
      </c>
      <c r="U114" s="143">
        <v>0.32635129017655001</v>
      </c>
      <c r="V114" s="143">
        <v>0.32635129017655001</v>
      </c>
      <c r="W114" s="143">
        <v>0.32635129017655001</v>
      </c>
      <c r="X114" s="143">
        <v>0.73429040289723801</v>
      </c>
      <c r="Y114" s="143">
        <v>0.73429040289723801</v>
      </c>
    </row>
    <row r="115" spans="3:27" x14ac:dyDescent="0.25">
      <c r="C115" s="86"/>
      <c r="E115" s="295" t="s">
        <v>49</v>
      </c>
      <c r="G115" s="295" t="s">
        <v>94</v>
      </c>
      <c r="J115" s="143">
        <v>0.71097285067873295</v>
      </c>
      <c r="K115" s="143">
        <v>0.71097285067873295</v>
      </c>
      <c r="L115" s="143">
        <v>0.71097285067873295</v>
      </c>
      <c r="M115" s="143">
        <v>0.71097285067873295</v>
      </c>
      <c r="N115" s="143">
        <v>0.71097285067873295</v>
      </c>
      <c r="O115" s="143">
        <v>0.71097285067873295</v>
      </c>
      <c r="P115" s="143">
        <v>0</v>
      </c>
      <c r="Q115" s="143">
        <v>0.71097285067873295</v>
      </c>
      <c r="R115" s="143">
        <v>0.71097285067873295</v>
      </c>
      <c r="S115" s="143">
        <v>0.71097285067873295</v>
      </c>
      <c r="T115" s="143">
        <v>0.71097285067873295</v>
      </c>
      <c r="U115" s="143">
        <v>0.71097285067873295</v>
      </c>
      <c r="V115" s="143">
        <v>0.71097285067873295</v>
      </c>
      <c r="W115" s="143">
        <v>0.71097285067873295</v>
      </c>
      <c r="X115" s="143">
        <v>0</v>
      </c>
      <c r="Y115" s="143">
        <v>0</v>
      </c>
    </row>
    <row r="116" spans="3:27" x14ac:dyDescent="0.25">
      <c r="C116" s="86"/>
      <c r="E116" s="295" t="s">
        <v>50</v>
      </c>
      <c r="G116" s="295" t="s">
        <v>94</v>
      </c>
      <c r="J116" s="143">
        <v>0.93094869075781095</v>
      </c>
      <c r="K116" s="143">
        <v>0.93094869075781095</v>
      </c>
      <c r="L116" s="143">
        <v>0.93094869075781095</v>
      </c>
      <c r="M116" s="143">
        <v>0.93094869075781095</v>
      </c>
      <c r="N116" s="143">
        <v>0.93094869075781095</v>
      </c>
      <c r="O116" s="143">
        <v>0</v>
      </c>
      <c r="P116" s="143">
        <v>0</v>
      </c>
      <c r="Q116" s="143">
        <v>0.93094869075781095</v>
      </c>
      <c r="R116" s="143">
        <v>0.93094869075781095</v>
      </c>
      <c r="S116" s="143">
        <v>0</v>
      </c>
      <c r="T116" s="143">
        <v>0.93094869075781095</v>
      </c>
      <c r="U116" s="143">
        <v>0.93094869075781095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5" t="s">
        <v>124</v>
      </c>
      <c r="G117" s="295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control'!$H$34:$H$58,MATCH($A$1,'Version control'!$F$34:$F$58,0),1)&amp;"-B: Yardstick charge (demand)"</f>
        <v>Section 515-B: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5"/>
      <c r="E121" s="96"/>
    </row>
    <row r="122" spans="3:27" x14ac:dyDescent="0.25">
      <c r="D122" s="96" t="s">
        <v>139</v>
      </c>
      <c r="E122" s="295"/>
    </row>
    <row r="123" spans="3:27" x14ac:dyDescent="0.25">
      <c r="E123" s="91" t="s">
        <v>324</v>
      </c>
      <c r="F123" s="91"/>
      <c r="G123" s="91" t="s">
        <v>183</v>
      </c>
      <c r="H123" s="349"/>
      <c r="I123" s="349"/>
      <c r="J123" s="361"/>
      <c r="K123" s="361"/>
      <c r="L123" s="361"/>
      <c r="M123" s="361"/>
      <c r="N123" s="361"/>
      <c r="O123" s="361"/>
      <c r="P123" s="361"/>
      <c r="Q123" s="361"/>
      <c r="R123" s="361"/>
      <c r="S123" s="361"/>
      <c r="T123" s="361"/>
      <c r="U123" s="361"/>
      <c r="V123" s="361"/>
      <c r="W123" s="361"/>
      <c r="X123" s="361"/>
      <c r="Y123" s="361"/>
      <c r="Z123" s="351"/>
      <c r="AA123" s="351"/>
    </row>
    <row r="124" spans="3:27" x14ac:dyDescent="0.25">
      <c r="E124" s="295" t="s">
        <v>43</v>
      </c>
      <c r="G124" s="295" t="s">
        <v>183</v>
      </c>
      <c r="H124" s="351"/>
      <c r="I124" s="351"/>
      <c r="J124" s="422"/>
      <c r="K124" s="422"/>
      <c r="L124" s="422"/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351"/>
      <c r="AA124" s="351"/>
    </row>
    <row r="125" spans="3:27" x14ac:dyDescent="0.25">
      <c r="E125" s="295" t="s">
        <v>44</v>
      </c>
      <c r="G125" s="295" t="s">
        <v>183</v>
      </c>
      <c r="H125" s="351"/>
      <c r="I125" s="351"/>
      <c r="J125" s="420">
        <f>'Initial unit rates'!J125</f>
        <v>0.41516800965590722</v>
      </c>
      <c r="K125" s="420">
        <f>'Initial unit rates'!K125</f>
        <v>0</v>
      </c>
      <c r="L125" s="420">
        <f>'Initial unit rates'!L125</f>
        <v>0.35781619834463796</v>
      </c>
      <c r="M125" s="420">
        <f>'Initial unit rates'!M125</f>
        <v>0</v>
      </c>
      <c r="N125" s="420">
        <f>'Initial unit rates'!N125</f>
        <v>0.3241685632357712</v>
      </c>
      <c r="O125" s="420">
        <f>'Initial unit rates'!O125</f>
        <v>0.26873639492119128</v>
      </c>
      <c r="P125" s="420">
        <f>'Initial unit rates'!P125</f>
        <v>0.23503556709958073</v>
      </c>
      <c r="Q125" s="420">
        <f>'Initial unit rates'!Q125</f>
        <v>0.39969026282587211</v>
      </c>
      <c r="R125" s="422"/>
      <c r="S125" s="422"/>
      <c r="T125" s="422"/>
      <c r="U125" s="422"/>
      <c r="V125" s="422"/>
      <c r="W125" s="422"/>
      <c r="X125" s="422"/>
      <c r="Y125" s="422"/>
      <c r="Z125" s="351"/>
      <c r="AA125" s="351"/>
    </row>
    <row r="126" spans="3:27" x14ac:dyDescent="0.25">
      <c r="E126" s="295" t="s">
        <v>45</v>
      </c>
      <c r="G126" s="295" t="s">
        <v>183</v>
      </c>
      <c r="H126" s="351"/>
      <c r="I126" s="351"/>
      <c r="J126" s="420">
        <f>'Initial unit rates'!J126</f>
        <v>3.4808527132520341E-2</v>
      </c>
      <c r="K126" s="420">
        <f>'Initial unit rates'!K126</f>
        <v>0</v>
      </c>
      <c r="L126" s="420">
        <f>'Initial unit rates'!L126</f>
        <v>3.0000035067387309E-2</v>
      </c>
      <c r="M126" s="420">
        <f>'Initial unit rates'!M126</f>
        <v>0</v>
      </c>
      <c r="N126" s="420">
        <f>'Initial unit rates'!N126</f>
        <v>2.7178949163868763E-2</v>
      </c>
      <c r="O126" s="420">
        <f>'Initial unit rates'!O126</f>
        <v>2.2531403857110478E-2</v>
      </c>
      <c r="P126" s="420">
        <f>'Initial unit rates'!P126</f>
        <v>1.9705858168777755E-2</v>
      </c>
      <c r="Q126" s="420">
        <f>'Initial unit rates'!Q126</f>
        <v>3.3510841477669223E-2</v>
      </c>
      <c r="R126" s="422"/>
      <c r="S126" s="422"/>
      <c r="T126" s="422"/>
      <c r="U126" s="422"/>
      <c r="V126" s="422"/>
      <c r="W126" s="422"/>
      <c r="X126" s="422"/>
      <c r="Y126" s="422"/>
      <c r="Z126" s="351"/>
      <c r="AA126" s="351"/>
    </row>
    <row r="127" spans="3:27" x14ac:dyDescent="0.25">
      <c r="E127" s="295" t="s">
        <v>46</v>
      </c>
      <c r="G127" s="295" t="s">
        <v>183</v>
      </c>
      <c r="H127" s="351"/>
      <c r="I127" s="351"/>
      <c r="J127" s="420">
        <f>'Initial unit rates'!J127</f>
        <v>0.35534997817040692</v>
      </c>
      <c r="K127" s="420">
        <f>'Initial unit rates'!K127</f>
        <v>0</v>
      </c>
      <c r="L127" s="420">
        <f>'Initial unit rates'!L127</f>
        <v>0.30626150212336317</v>
      </c>
      <c r="M127" s="420">
        <f>'Initial unit rates'!M127</f>
        <v>0</v>
      </c>
      <c r="N127" s="420">
        <f>'Initial unit rates'!N127</f>
        <v>0.27746186890660507</v>
      </c>
      <c r="O127" s="420">
        <f>'Initial unit rates'!O127</f>
        <v>0.23001645080502753</v>
      </c>
      <c r="P127" s="420">
        <f>'Initial unit rates'!P127</f>
        <v>0.14194038623301333</v>
      </c>
      <c r="Q127" s="420">
        <f>'Initial unit rates'!Q127</f>
        <v>0.34210228839118112</v>
      </c>
      <c r="R127" s="422"/>
      <c r="S127" s="422"/>
      <c r="T127" s="422"/>
      <c r="U127" s="422"/>
      <c r="V127" s="422"/>
      <c r="W127" s="422"/>
      <c r="X127" s="422"/>
      <c r="Y127" s="422"/>
      <c r="Z127" s="351"/>
      <c r="AA127" s="351"/>
    </row>
    <row r="128" spans="3:27" x14ac:dyDescent="0.25">
      <c r="E128" s="295" t="s">
        <v>47</v>
      </c>
      <c r="G128" s="295" t="s">
        <v>183</v>
      </c>
      <c r="H128" s="351"/>
      <c r="I128" s="351"/>
      <c r="J128" s="420">
        <f>'Initial unit rates'!J128</f>
        <v>5.9019906496777928E-2</v>
      </c>
      <c r="K128" s="420">
        <f>'Initial unit rates'!K128</f>
        <v>0</v>
      </c>
      <c r="L128" s="420">
        <f>'Initial unit rates'!L128</f>
        <v>5.086682518442591E-2</v>
      </c>
      <c r="M128" s="420">
        <f>'Initial unit rates'!M128</f>
        <v>0</v>
      </c>
      <c r="N128" s="420">
        <f>'Initial unit rates'!N128</f>
        <v>4.6083507992889593E-2</v>
      </c>
      <c r="O128" s="420">
        <f>'Initial unit rates'!O128</f>
        <v>3.8203321382289025E-2</v>
      </c>
      <c r="P128" s="420">
        <f>'Initial unit rates'!P128</f>
        <v>2.862876333560431E-2</v>
      </c>
      <c r="Q128" s="420">
        <f>'Initial unit rates'!Q128</f>
        <v>5.6819604090418196E-2</v>
      </c>
      <c r="R128" s="422"/>
      <c r="S128" s="422"/>
      <c r="T128" s="422"/>
      <c r="U128" s="422"/>
      <c r="V128" s="422"/>
      <c r="W128" s="422"/>
      <c r="X128" s="422"/>
      <c r="Y128" s="422"/>
      <c r="Z128" s="351"/>
      <c r="AA128" s="351"/>
    </row>
    <row r="129" spans="4:27" x14ac:dyDescent="0.25">
      <c r="E129" s="295" t="s">
        <v>51</v>
      </c>
      <c r="G129" s="295" t="s">
        <v>183</v>
      </c>
      <c r="H129" s="351"/>
      <c r="I129" s="351"/>
      <c r="J129" s="420">
        <f>'Initial unit rates'!J129</f>
        <v>0</v>
      </c>
      <c r="K129" s="420">
        <f>'Initial unit rates'!K129</f>
        <v>0</v>
      </c>
      <c r="L129" s="420">
        <f>'Initial unit rates'!L129</f>
        <v>0</v>
      </c>
      <c r="M129" s="420">
        <f>'Initial unit rates'!M129</f>
        <v>0</v>
      </c>
      <c r="N129" s="420">
        <f>'Initial unit rates'!N129</f>
        <v>0</v>
      </c>
      <c r="O129" s="420">
        <f>'Initial unit rates'!O129</f>
        <v>0</v>
      </c>
      <c r="P129" s="420">
        <f>'Initial unit rates'!P129</f>
        <v>0</v>
      </c>
      <c r="Q129" s="420">
        <f>'Initial unit rates'!Q129</f>
        <v>0</v>
      </c>
      <c r="R129" s="422"/>
      <c r="S129" s="422"/>
      <c r="T129" s="422"/>
      <c r="U129" s="422"/>
      <c r="V129" s="422"/>
      <c r="W129" s="422"/>
      <c r="X129" s="422"/>
      <c r="Y129" s="422"/>
      <c r="Z129" s="351"/>
      <c r="AA129" s="351"/>
    </row>
    <row r="130" spans="4:27" x14ac:dyDescent="0.25">
      <c r="E130" s="295" t="s">
        <v>48</v>
      </c>
      <c r="G130" s="295" t="s">
        <v>183</v>
      </c>
      <c r="H130" s="351"/>
      <c r="I130" s="351"/>
      <c r="J130" s="420">
        <f>'Initial unit rates'!J130</f>
        <v>0.32631813963952466</v>
      </c>
      <c r="K130" s="420">
        <f>'Initial unit rates'!K130</f>
        <v>0</v>
      </c>
      <c r="L130" s="420">
        <f>'Initial unit rates'!L130</f>
        <v>0.28124015690294185</v>
      </c>
      <c r="M130" s="420">
        <f>'Initial unit rates'!M130</f>
        <v>0</v>
      </c>
      <c r="N130" s="420">
        <f>'Initial unit rates'!N130</f>
        <v>0.25479343307878427</v>
      </c>
      <c r="O130" s="420">
        <f>'Initial unit rates'!O130</f>
        <v>0.21122427163113194</v>
      </c>
      <c r="P130" s="420">
        <f>'Initial unit rates'!P130</f>
        <v>7.2865958207783493E-2</v>
      </c>
      <c r="Q130" s="420">
        <f>'Initial unit rates'!Q130</f>
        <v>0.31415277662040708</v>
      </c>
      <c r="R130" s="422"/>
      <c r="S130" s="422"/>
      <c r="T130" s="422"/>
      <c r="U130" s="422"/>
      <c r="V130" s="422"/>
      <c r="W130" s="422"/>
      <c r="X130" s="422"/>
      <c r="Y130" s="422"/>
      <c r="Z130" s="351"/>
      <c r="AA130" s="351"/>
    </row>
    <row r="131" spans="4:27" x14ac:dyDescent="0.25">
      <c r="E131" s="295" t="s">
        <v>49</v>
      </c>
      <c r="G131" s="295" t="s">
        <v>183</v>
      </c>
      <c r="H131" s="351"/>
      <c r="I131" s="351"/>
      <c r="J131" s="420">
        <f>'Initial unit rates'!J131</f>
        <v>5.475947988827292E-2</v>
      </c>
      <c r="K131" s="420">
        <f>'Initial unit rates'!K131</f>
        <v>0</v>
      </c>
      <c r="L131" s="420">
        <f>'Initial unit rates'!L131</f>
        <v>4.7194939063804349E-2</v>
      </c>
      <c r="M131" s="420">
        <f>'Initial unit rates'!M131</f>
        <v>0</v>
      </c>
      <c r="N131" s="420">
        <f>'Initial unit rates'!N131</f>
        <v>4.2756911674461349E-2</v>
      </c>
      <c r="O131" s="420">
        <f>'Initial unit rates'!O131</f>
        <v>3.5445566302496442E-2</v>
      </c>
      <c r="P131" s="420">
        <f>'Initial unit rates'!P131</f>
        <v>0</v>
      </c>
      <c r="Q131" s="420">
        <f>'Initial unit rates'!Q131</f>
        <v>5.2718009094418775E-2</v>
      </c>
      <c r="R131" s="422"/>
      <c r="S131" s="422"/>
      <c r="T131" s="422"/>
      <c r="U131" s="422"/>
      <c r="V131" s="422"/>
      <c r="W131" s="422"/>
      <c r="X131" s="422"/>
      <c r="Y131" s="422"/>
      <c r="Z131" s="351"/>
      <c r="AA131" s="351"/>
    </row>
    <row r="132" spans="4:27" x14ac:dyDescent="0.25">
      <c r="E132" s="295" t="s">
        <v>50</v>
      </c>
      <c r="G132" s="295" t="s">
        <v>183</v>
      </c>
      <c r="H132" s="351"/>
      <c r="I132" s="351"/>
      <c r="J132" s="420">
        <f>'Initial unit rates'!J132</f>
        <v>8.0107042520338456E-3</v>
      </c>
      <c r="K132" s="420">
        <f>'Initial unit rates'!K132</f>
        <v>0</v>
      </c>
      <c r="L132" s="420">
        <f>'Initial unit rates'!L132</f>
        <v>6.9040958716969228E-3</v>
      </c>
      <c r="M132" s="420">
        <f>'Initial unit rates'!M132</f>
        <v>0</v>
      </c>
      <c r="N132" s="420">
        <f>'Initial unit rates'!N132</f>
        <v>6.2548617125889527E-3</v>
      </c>
      <c r="O132" s="420">
        <f>'Initial unit rates'!O132</f>
        <v>0</v>
      </c>
      <c r="P132" s="420">
        <f>'Initial unit rates'!P132</f>
        <v>0</v>
      </c>
      <c r="Q132" s="420">
        <f>'Initial unit rates'!Q132</f>
        <v>7.7120597287093536E-3</v>
      </c>
      <c r="R132" s="422"/>
      <c r="S132" s="422"/>
      <c r="T132" s="422"/>
      <c r="U132" s="422"/>
      <c r="V132" s="422"/>
      <c r="W132" s="422"/>
      <c r="X132" s="422"/>
      <c r="Y132" s="422"/>
      <c r="Z132" s="351"/>
      <c r="AA132" s="351"/>
    </row>
    <row r="133" spans="4:27" x14ac:dyDescent="0.25">
      <c r="E133" s="295" t="s">
        <v>124</v>
      </c>
      <c r="G133" s="295" t="s">
        <v>183</v>
      </c>
      <c r="H133" s="351"/>
      <c r="I133" s="351"/>
      <c r="J133" s="422"/>
      <c r="K133" s="422"/>
      <c r="L133" s="422"/>
      <c r="M133" s="422"/>
      <c r="N133" s="422"/>
      <c r="O133" s="422"/>
      <c r="P133" s="422"/>
      <c r="Q133" s="422"/>
      <c r="R133" s="422"/>
      <c r="S133" s="422"/>
      <c r="T133" s="422"/>
      <c r="U133" s="422"/>
      <c r="V133" s="422"/>
      <c r="W133" s="422"/>
      <c r="X133" s="422"/>
      <c r="Y133" s="422"/>
      <c r="Z133" s="351"/>
      <c r="AA133" s="351"/>
    </row>
    <row r="134" spans="4:27" x14ac:dyDescent="0.25">
      <c r="E134" s="93" t="s">
        <v>123</v>
      </c>
      <c r="F134" s="93"/>
      <c r="G134" s="93" t="s">
        <v>183</v>
      </c>
      <c r="H134" s="353"/>
      <c r="I134" s="353"/>
      <c r="J134" s="358"/>
      <c r="K134" s="358"/>
      <c r="L134" s="358"/>
      <c r="M134" s="358"/>
      <c r="N134" s="358"/>
      <c r="O134" s="358"/>
      <c r="P134" s="358"/>
      <c r="Q134" s="358"/>
      <c r="R134" s="358"/>
      <c r="S134" s="358"/>
      <c r="T134" s="358"/>
      <c r="U134" s="358"/>
      <c r="V134" s="358"/>
      <c r="W134" s="358"/>
      <c r="X134" s="358"/>
      <c r="Y134" s="358"/>
      <c r="Z134" s="351"/>
      <c r="AA134" s="351"/>
    </row>
    <row r="135" spans="4:27" x14ac:dyDescent="0.25">
      <c r="E135" s="295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</row>
    <row r="136" spans="4:27" x14ac:dyDescent="0.25">
      <c r="D136" s="96" t="s">
        <v>116</v>
      </c>
      <c r="E136" s="295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</row>
    <row r="137" spans="4:27" x14ac:dyDescent="0.25">
      <c r="E137" s="91" t="s">
        <v>324</v>
      </c>
      <c r="F137" s="91"/>
      <c r="G137" s="91" t="s">
        <v>183</v>
      </c>
      <c r="H137" s="349"/>
      <c r="I137" s="349"/>
      <c r="J137" s="360">
        <f>'Initial unit rates'!J135</f>
        <v>0.25686340238170341</v>
      </c>
      <c r="K137" s="360">
        <f>'Initial unit rates'!K135</f>
        <v>0</v>
      </c>
      <c r="L137" s="360">
        <f>'Initial unit rates'!L135</f>
        <v>0.2213799811075651</v>
      </c>
      <c r="M137" s="360">
        <f>'Initial unit rates'!M135</f>
        <v>0</v>
      </c>
      <c r="N137" s="360">
        <f>'Initial unit rates'!N135</f>
        <v>0.20056227397419324</v>
      </c>
      <c r="O137" s="360">
        <f>'Initial unit rates'!O135</f>
        <v>0.16626653098937327</v>
      </c>
      <c r="P137" s="360">
        <f>'Initial unit rates'!P135</f>
        <v>0.14541591365854037</v>
      </c>
      <c r="Q137" s="360">
        <f>'Initial unit rates'!Q135</f>
        <v>0.24728735938344712</v>
      </c>
      <c r="R137" s="361"/>
      <c r="S137" s="361"/>
      <c r="T137" s="361"/>
      <c r="U137" s="361"/>
      <c r="V137" s="361"/>
      <c r="W137" s="361"/>
      <c r="X137" s="361"/>
      <c r="Y137" s="361"/>
      <c r="Z137" s="351"/>
      <c r="AA137" s="351"/>
    </row>
    <row r="138" spans="4:27" x14ac:dyDescent="0.25">
      <c r="E138" s="295" t="s">
        <v>43</v>
      </c>
      <c r="G138" s="295" t="s">
        <v>183</v>
      </c>
      <c r="H138" s="351"/>
      <c r="I138" s="351"/>
      <c r="J138" s="420">
        <f>'Initial unit rates'!J136</f>
        <v>0</v>
      </c>
      <c r="K138" s="420">
        <f>'Initial unit rates'!K136</f>
        <v>0</v>
      </c>
      <c r="L138" s="420">
        <f>'Initial unit rates'!L136</f>
        <v>0</v>
      </c>
      <c r="M138" s="420">
        <f>'Initial unit rates'!M136</f>
        <v>0</v>
      </c>
      <c r="N138" s="420">
        <f>'Initial unit rates'!N136</f>
        <v>0</v>
      </c>
      <c r="O138" s="420">
        <f>'Initial unit rates'!O136</f>
        <v>0</v>
      </c>
      <c r="P138" s="420">
        <f>'Initial unit rates'!P136</f>
        <v>0</v>
      </c>
      <c r="Q138" s="420">
        <f>'Initial unit rates'!Q136</f>
        <v>0</v>
      </c>
      <c r="R138" s="422"/>
      <c r="S138" s="422"/>
      <c r="T138" s="422"/>
      <c r="U138" s="422"/>
      <c r="V138" s="422"/>
      <c r="W138" s="422"/>
      <c r="X138" s="422"/>
      <c r="Y138" s="422"/>
      <c r="Z138" s="351"/>
      <c r="AA138" s="351"/>
    </row>
    <row r="139" spans="4:27" x14ac:dyDescent="0.25">
      <c r="E139" s="295" t="s">
        <v>44</v>
      </c>
      <c r="G139" s="295" t="s">
        <v>183</v>
      </c>
      <c r="H139" s="351"/>
      <c r="I139" s="351"/>
      <c r="J139" s="420">
        <f>'Initial unit rates'!J137</f>
        <v>0.21972511651721785</v>
      </c>
      <c r="K139" s="420">
        <f>'Initial unit rates'!K137</f>
        <v>0</v>
      </c>
      <c r="L139" s="420">
        <f>'Initial unit rates'!L137</f>
        <v>0.18937202299903852</v>
      </c>
      <c r="M139" s="420">
        <f>'Initial unit rates'!M137</f>
        <v>0</v>
      </c>
      <c r="N139" s="420">
        <f>'Initial unit rates'!N137</f>
        <v>0.17156421899469795</v>
      </c>
      <c r="O139" s="420">
        <f>'Initial unit rates'!O137</f>
        <v>0.14222708472990284</v>
      </c>
      <c r="P139" s="420">
        <f>'Initial unit rates'!P137</f>
        <v>0.12439112880938934</v>
      </c>
      <c r="Q139" s="420">
        <f>'Initial unit rates'!Q137</f>
        <v>0.21153361416983782</v>
      </c>
      <c r="R139" s="422"/>
      <c r="S139" s="422"/>
      <c r="T139" s="422"/>
      <c r="U139" s="422"/>
      <c r="V139" s="422"/>
      <c r="W139" s="422"/>
      <c r="X139" s="422"/>
      <c r="Y139" s="422"/>
      <c r="Z139" s="351"/>
      <c r="AA139" s="351"/>
    </row>
    <row r="140" spans="4:27" x14ac:dyDescent="0.25">
      <c r="E140" s="295" t="s">
        <v>45</v>
      </c>
      <c r="G140" s="295" t="s">
        <v>183</v>
      </c>
      <c r="H140" s="351"/>
      <c r="I140" s="351"/>
      <c r="J140" s="420">
        <f>'Initial unit rates'!J138</f>
        <v>1.8422198970302932E-2</v>
      </c>
      <c r="K140" s="420">
        <f>'Initial unit rates'!K138</f>
        <v>0</v>
      </c>
      <c r="L140" s="420">
        <f>'Initial unit rates'!L138</f>
        <v>1.5877334109064844E-2</v>
      </c>
      <c r="M140" s="420">
        <f>'Initial unit rates'!M138</f>
        <v>0</v>
      </c>
      <c r="N140" s="420">
        <f>'Initial unit rates'!N138</f>
        <v>1.4384291739616778E-2</v>
      </c>
      <c r="O140" s="420">
        <f>'Initial unit rates'!O138</f>
        <v>1.1924606960693487E-2</v>
      </c>
      <c r="P140" s="420">
        <f>'Initial unit rates'!P138</f>
        <v>1.042920427755278E-2</v>
      </c>
      <c r="Q140" s="420">
        <f>'Initial unit rates'!Q138</f>
        <v>1.7735406816082759E-2</v>
      </c>
      <c r="R140" s="422"/>
      <c r="S140" s="422"/>
      <c r="T140" s="422"/>
      <c r="U140" s="422"/>
      <c r="V140" s="422"/>
      <c r="W140" s="422"/>
      <c r="X140" s="422"/>
      <c r="Y140" s="422"/>
      <c r="Z140" s="351"/>
      <c r="AA140" s="351"/>
    </row>
    <row r="141" spans="4:27" x14ac:dyDescent="0.25">
      <c r="E141" s="295" t="s">
        <v>46</v>
      </c>
      <c r="G141" s="295" t="s">
        <v>183</v>
      </c>
      <c r="H141" s="351"/>
      <c r="I141" s="351"/>
      <c r="J141" s="420">
        <f>'Initial unit rates'!J139</f>
        <v>0.18806679113498154</v>
      </c>
      <c r="K141" s="420">
        <f>'Initial unit rates'!K139</f>
        <v>0</v>
      </c>
      <c r="L141" s="420">
        <f>'Initial unit rates'!L139</f>
        <v>0.16208701699961692</v>
      </c>
      <c r="M141" s="420">
        <f>'Initial unit rates'!M139</f>
        <v>0</v>
      </c>
      <c r="N141" s="420">
        <f>'Initial unit rates'!N139</f>
        <v>0.14684498818952149</v>
      </c>
      <c r="O141" s="420">
        <f>'Initial unit rates'!O139</f>
        <v>0.12173479236971955</v>
      </c>
      <c r="P141" s="420">
        <f>'Initial unit rates'!P139</f>
        <v>0.10646866781389029</v>
      </c>
      <c r="Q141" s="420">
        <f>'Initial unit rates'!Q139</f>
        <v>0.18105553277059824</v>
      </c>
      <c r="R141" s="422"/>
      <c r="S141" s="422"/>
      <c r="T141" s="422"/>
      <c r="U141" s="422"/>
      <c r="V141" s="422"/>
      <c r="W141" s="422"/>
      <c r="X141" s="422"/>
      <c r="Y141" s="422"/>
      <c r="Z141" s="351"/>
      <c r="AA141" s="351"/>
    </row>
    <row r="142" spans="4:27" x14ac:dyDescent="0.25">
      <c r="E142" s="295" t="s">
        <v>47</v>
      </c>
      <c r="G142" s="295" t="s">
        <v>183</v>
      </c>
      <c r="H142" s="351"/>
      <c r="I142" s="351"/>
      <c r="J142" s="420">
        <f>'Initial unit rates'!J140</f>
        <v>3.1235922639097097E-2</v>
      </c>
      <c r="K142" s="420">
        <f>'Initial unit rates'!K140</f>
        <v>0</v>
      </c>
      <c r="L142" s="420">
        <f>'Initial unit rates'!L140</f>
        <v>2.6920954482432886E-2</v>
      </c>
      <c r="M142" s="420">
        <f>'Initial unit rates'!M140</f>
        <v>0</v>
      </c>
      <c r="N142" s="420">
        <f>'Initial unit rates'!N140</f>
        <v>2.4389413268262231E-2</v>
      </c>
      <c r="O142" s="420">
        <f>'Initial unit rates'!O140</f>
        <v>2.0218872954651169E-2</v>
      </c>
      <c r="P142" s="420">
        <f>'Initial unit rates'!P140</f>
        <v>1.7683329689692433E-2</v>
      </c>
      <c r="Q142" s="420">
        <f>'Initial unit rates'!Q140</f>
        <v>3.0071426118733684E-2</v>
      </c>
      <c r="R142" s="422"/>
      <c r="S142" s="422"/>
      <c r="T142" s="422"/>
      <c r="U142" s="422"/>
      <c r="V142" s="422"/>
      <c r="W142" s="422"/>
      <c r="X142" s="422"/>
      <c r="Y142" s="422"/>
      <c r="Z142" s="351"/>
      <c r="AA142" s="351"/>
    </row>
    <row r="143" spans="4:27" x14ac:dyDescent="0.25">
      <c r="E143" s="295" t="s">
        <v>51</v>
      </c>
      <c r="G143" s="295" t="s">
        <v>183</v>
      </c>
      <c r="H143" s="351"/>
      <c r="I143" s="351"/>
      <c r="J143" s="420">
        <f>'Initial unit rates'!J141</f>
        <v>0</v>
      </c>
      <c r="K143" s="420">
        <f>'Initial unit rates'!K141</f>
        <v>0</v>
      </c>
      <c r="L143" s="420">
        <f>'Initial unit rates'!L141</f>
        <v>0</v>
      </c>
      <c r="M143" s="420">
        <f>'Initial unit rates'!M141</f>
        <v>0</v>
      </c>
      <c r="N143" s="420">
        <f>'Initial unit rates'!N141</f>
        <v>0</v>
      </c>
      <c r="O143" s="420">
        <f>'Initial unit rates'!O141</f>
        <v>0</v>
      </c>
      <c r="P143" s="420">
        <f>'Initial unit rates'!P141</f>
        <v>0</v>
      </c>
      <c r="Q143" s="420">
        <f>'Initial unit rates'!Q141</f>
        <v>0</v>
      </c>
      <c r="R143" s="422"/>
      <c r="S143" s="422"/>
      <c r="T143" s="422"/>
      <c r="U143" s="422"/>
      <c r="V143" s="422"/>
      <c r="W143" s="422"/>
      <c r="X143" s="422"/>
      <c r="Y143" s="422"/>
      <c r="Z143" s="351"/>
      <c r="AA143" s="351"/>
    </row>
    <row r="144" spans="4:27" x14ac:dyDescent="0.25">
      <c r="E144" s="295" t="s">
        <v>48</v>
      </c>
      <c r="G144" s="295" t="s">
        <v>183</v>
      </c>
      <c r="H144" s="351"/>
      <c r="I144" s="351"/>
      <c r="J144" s="420">
        <f>'Initial unit rates'!J142</f>
        <v>0.25636784658182493</v>
      </c>
      <c r="K144" s="420">
        <f>'Initial unit rates'!K142</f>
        <v>0</v>
      </c>
      <c r="L144" s="420">
        <f>'Initial unit rates'!L142</f>
        <v>0.22095288198562862</v>
      </c>
      <c r="M144" s="420">
        <f>'Initial unit rates'!M142</f>
        <v>0</v>
      </c>
      <c r="N144" s="420">
        <f>'Initial unit rates'!N142</f>
        <v>0.2001753375823867</v>
      </c>
      <c r="O144" s="420">
        <f>'Initial unit rates'!O142</f>
        <v>0.16594575993754779</v>
      </c>
      <c r="P144" s="420">
        <f>'Initial unit rates'!P142</f>
        <v>0.14513536882910988</v>
      </c>
      <c r="Q144" s="420">
        <f>'Initial unit rates'!Q142</f>
        <v>0.24681027824209792</v>
      </c>
      <c r="R144" s="422"/>
      <c r="S144" s="422"/>
      <c r="T144" s="422"/>
      <c r="U144" s="422"/>
      <c r="V144" s="422"/>
      <c r="W144" s="422"/>
      <c r="X144" s="422"/>
      <c r="Y144" s="422"/>
      <c r="Z144" s="351"/>
      <c r="AA144" s="351"/>
    </row>
    <row r="145" spans="2:27" x14ac:dyDescent="0.25">
      <c r="E145" s="295" t="s">
        <v>49</v>
      </c>
      <c r="G145" s="295" t="s">
        <v>183</v>
      </c>
      <c r="H145" s="351"/>
      <c r="I145" s="351"/>
      <c r="J145" s="420">
        <f>'Initial unit rates'!J143</f>
        <v>0.1002712655857598</v>
      </c>
      <c r="K145" s="420">
        <f>'Initial unit rates'!K143</f>
        <v>0</v>
      </c>
      <c r="L145" s="420">
        <f>'Initial unit rates'!L143</f>
        <v>8.6419671604366824E-2</v>
      </c>
      <c r="M145" s="420">
        <f>'Initial unit rates'!M143</f>
        <v>0</v>
      </c>
      <c r="N145" s="420">
        <f>'Initial unit rates'!N143</f>
        <v>7.8293103858624077E-2</v>
      </c>
      <c r="O145" s="420">
        <f>'Initial unit rates'!O143</f>
        <v>6.4905141535437166E-2</v>
      </c>
      <c r="P145" s="420">
        <f>'Initial unit rates'!P143</f>
        <v>0</v>
      </c>
      <c r="Q145" s="420">
        <f>'Initial unit rates'!Q143</f>
        <v>9.6533084350770404E-2</v>
      </c>
      <c r="R145" s="422"/>
      <c r="S145" s="422"/>
      <c r="T145" s="422"/>
      <c r="U145" s="422"/>
      <c r="V145" s="422"/>
      <c r="W145" s="422"/>
      <c r="X145" s="422"/>
      <c r="Y145" s="422"/>
      <c r="Z145" s="351"/>
      <c r="AA145" s="351"/>
    </row>
    <row r="146" spans="2:27" x14ac:dyDescent="0.25">
      <c r="E146" s="295" t="s">
        <v>50</v>
      </c>
      <c r="G146" s="295" t="s">
        <v>183</v>
      </c>
      <c r="H146" s="351"/>
      <c r="I146" s="351"/>
      <c r="J146" s="420">
        <f>'Initial unit rates'!J144</f>
        <v>6.1398053409865733E-2</v>
      </c>
      <c r="K146" s="420">
        <f>'Initial unit rates'!K144</f>
        <v>0</v>
      </c>
      <c r="L146" s="420">
        <f>'Initial unit rates'!L144</f>
        <v>5.291645200478564E-2</v>
      </c>
      <c r="M146" s="420">
        <f>'Initial unit rates'!M144</f>
        <v>0</v>
      </c>
      <c r="N146" s="420">
        <f>'Initial unit rates'!N144</f>
        <v>4.7940395927531278E-2</v>
      </c>
      <c r="O146" s="420">
        <f>'Initial unit rates'!O144</f>
        <v>0</v>
      </c>
      <c r="P146" s="420">
        <f>'Initial unit rates'!P144</f>
        <v>0</v>
      </c>
      <c r="Q146" s="420">
        <f>'Initial unit rates'!Q144</f>
        <v>5.9109092063054626E-2</v>
      </c>
      <c r="R146" s="422"/>
      <c r="S146" s="422"/>
      <c r="T146" s="422"/>
      <c r="U146" s="422"/>
      <c r="V146" s="422"/>
      <c r="W146" s="422"/>
      <c r="X146" s="422"/>
      <c r="Y146" s="422"/>
      <c r="Z146" s="351"/>
      <c r="AA146" s="351"/>
    </row>
    <row r="147" spans="2:27" x14ac:dyDescent="0.25">
      <c r="E147" s="295" t="s">
        <v>124</v>
      </c>
      <c r="G147" s="295" t="s">
        <v>183</v>
      </c>
      <c r="H147" s="351"/>
      <c r="I147" s="351"/>
      <c r="J147" s="422"/>
      <c r="K147" s="422"/>
      <c r="L147" s="422"/>
      <c r="M147" s="422"/>
      <c r="N147" s="422"/>
      <c r="O147" s="422"/>
      <c r="P147" s="422"/>
      <c r="Q147" s="422"/>
      <c r="R147" s="422"/>
      <c r="S147" s="422"/>
      <c r="T147" s="422"/>
      <c r="U147" s="422"/>
      <c r="V147" s="422"/>
      <c r="W147" s="422"/>
      <c r="X147" s="422"/>
      <c r="Y147" s="422"/>
      <c r="Z147" s="351"/>
      <c r="AA147" s="351"/>
    </row>
    <row r="148" spans="2:27" x14ac:dyDescent="0.25">
      <c r="E148" s="93" t="s">
        <v>123</v>
      </c>
      <c r="F148" s="93"/>
      <c r="G148" s="93" t="s">
        <v>183</v>
      </c>
      <c r="H148" s="353"/>
      <c r="I148" s="353"/>
      <c r="J148" s="358"/>
      <c r="K148" s="358"/>
      <c r="L148" s="358"/>
      <c r="M148" s="358"/>
      <c r="N148" s="358"/>
      <c r="O148" s="358"/>
      <c r="P148" s="358"/>
      <c r="Q148" s="358"/>
      <c r="R148" s="358"/>
      <c r="S148" s="358"/>
      <c r="T148" s="358"/>
      <c r="U148" s="358"/>
      <c r="V148" s="358"/>
      <c r="W148" s="358"/>
      <c r="X148" s="358"/>
      <c r="Y148" s="358"/>
      <c r="Z148" s="351"/>
      <c r="AA148" s="351"/>
    </row>
    <row r="149" spans="2:27" x14ac:dyDescent="0.25">
      <c r="D149" s="295"/>
      <c r="E149" s="295"/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</row>
    <row r="150" spans="2:27" x14ac:dyDescent="0.25">
      <c r="B150" s="95" t="s">
        <v>464</v>
      </c>
      <c r="C150" s="95"/>
      <c r="D150" s="95"/>
      <c r="E150" s="95"/>
      <c r="F150" s="95"/>
      <c r="G150" s="95"/>
      <c r="H150" s="95"/>
      <c r="I150" s="95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  <c r="W150" s="282"/>
      <c r="X150" s="282"/>
      <c r="Y150" s="282"/>
      <c r="Z150" s="95"/>
      <c r="AA150" s="95"/>
    </row>
    <row r="151" spans="2:27" x14ac:dyDescent="0.25">
      <c r="C151" s="69"/>
      <c r="D151" s="295"/>
      <c r="E151" s="295"/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  <c r="U151" s="253"/>
      <c r="V151" s="253"/>
      <c r="W151" s="253"/>
      <c r="X151" s="253"/>
      <c r="Y151" s="253"/>
    </row>
    <row r="152" spans="2:27" x14ac:dyDescent="0.25">
      <c r="C152" s="82" t="s">
        <v>648</v>
      </c>
      <c r="D152" s="295"/>
      <c r="E152" s="295"/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  <c r="U152" s="253"/>
      <c r="V152" s="253"/>
      <c r="W152" s="253"/>
      <c r="X152" s="253"/>
      <c r="Y152" s="253"/>
    </row>
    <row r="153" spans="2:27" x14ac:dyDescent="0.25">
      <c r="C153" s="82" t="s">
        <v>649</v>
      </c>
      <c r="D153" s="295"/>
      <c r="E153" s="295"/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  <c r="U153" s="253"/>
      <c r="V153" s="253"/>
      <c r="W153" s="253"/>
      <c r="X153" s="253"/>
      <c r="Y153" s="253"/>
    </row>
    <row r="154" spans="2:27" x14ac:dyDescent="0.25">
      <c r="C154" s="69"/>
      <c r="D154" s="295"/>
      <c r="E154" s="295"/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</row>
    <row r="155" spans="2:27" x14ac:dyDescent="0.25">
      <c r="C155" s="7" t="str">
        <f ca="1">INDEX('Version control'!$H$34:$H$58,MATCH($A$1,'Version control'!$F$34:$F$58,0),1)&amp;"-C: Yardstick charge used for generation"</f>
        <v>Section 515-C: Yardstick charge used for generation</v>
      </c>
      <c r="D155" s="7"/>
      <c r="E155" s="7"/>
      <c r="F155" s="7"/>
      <c r="G155" s="7"/>
      <c r="H155" s="7"/>
      <c r="I155" s="7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7"/>
      <c r="AA155" s="7"/>
    </row>
    <row r="156" spans="2:27" x14ac:dyDescent="0.25">
      <c r="D156" s="96"/>
      <c r="E156" s="96"/>
      <c r="I156" s="295" t="s">
        <v>431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  <c r="U156" s="253"/>
      <c r="V156" s="253"/>
      <c r="W156" s="253"/>
      <c r="X156" s="253"/>
      <c r="Y156" s="253"/>
      <c r="AA156" s="295" t="s">
        <v>840</v>
      </c>
    </row>
    <row r="157" spans="2:27" x14ac:dyDescent="0.25">
      <c r="D157" s="295"/>
      <c r="E157" s="96" t="s">
        <v>139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  <c r="U157" s="253"/>
      <c r="V157" s="253"/>
      <c r="W157" s="253"/>
      <c r="X157" s="253"/>
      <c r="Y157" s="253"/>
    </row>
    <row r="158" spans="2:27" x14ac:dyDescent="0.25">
      <c r="D158" s="295"/>
      <c r="F158" s="91" t="s">
        <v>324</v>
      </c>
      <c r="G158" s="91" t="s">
        <v>183</v>
      </c>
      <c r="H158" s="349"/>
      <c r="I158" s="349"/>
      <c r="J158" s="361"/>
      <c r="K158" s="361"/>
      <c r="L158" s="361"/>
      <c r="M158" s="361"/>
      <c r="N158" s="361"/>
      <c r="O158" s="361"/>
      <c r="P158" s="361"/>
      <c r="Q158" s="361"/>
      <c r="R158" s="361"/>
      <c r="S158" s="361"/>
      <c r="T158" s="361"/>
      <c r="U158" s="361"/>
      <c r="V158" s="361"/>
      <c r="W158" s="361"/>
      <c r="X158" s="361"/>
      <c r="Y158" s="361"/>
      <c r="Z158" s="351"/>
      <c r="AA158" s="351"/>
    </row>
    <row r="159" spans="2:27" x14ac:dyDescent="0.25">
      <c r="D159" s="295"/>
      <c r="F159" s="295" t="s">
        <v>43</v>
      </c>
      <c r="G159" s="295" t="s">
        <v>183</v>
      </c>
      <c r="H159" s="351"/>
      <c r="I159" s="351"/>
      <c r="J159" s="422"/>
      <c r="K159" s="422"/>
      <c r="L159" s="422"/>
      <c r="M159" s="422"/>
      <c r="N159" s="422"/>
      <c r="O159" s="422"/>
      <c r="P159" s="422"/>
      <c r="Q159" s="422"/>
      <c r="R159" s="422"/>
      <c r="S159" s="422"/>
      <c r="T159" s="422"/>
      <c r="U159" s="422"/>
      <c r="V159" s="422"/>
      <c r="W159" s="422"/>
      <c r="X159" s="422"/>
      <c r="Y159" s="422"/>
      <c r="Z159" s="351"/>
      <c r="AA159" s="351"/>
    </row>
    <row r="160" spans="2:27" x14ac:dyDescent="0.25">
      <c r="D160" s="295"/>
      <c r="F160" s="295" t="s">
        <v>44</v>
      </c>
      <c r="G160" s="295" t="s">
        <v>183</v>
      </c>
      <c r="H160" s="351"/>
      <c r="I160" s="351"/>
      <c r="J160" s="422"/>
      <c r="K160" s="422"/>
      <c r="L160" s="422"/>
      <c r="M160" s="422"/>
      <c r="N160" s="422"/>
      <c r="O160" s="422"/>
      <c r="P160" s="422"/>
      <c r="Q160" s="422"/>
      <c r="R160" s="421">
        <f t="shared" ref="R160:S160" si="0">hundred * $H51 * R95 / $H37 * (1 - R109) / hours_in_year</f>
        <v>-0.22156058663733383</v>
      </c>
      <c r="S160" s="421">
        <f t="shared" si="0"/>
        <v>-0.2111998397801923</v>
      </c>
      <c r="T160" s="421">
        <f t="shared" ref="T160:U160" si="1">hundred * $H51 * T95 / $H37 * (1 - T109) / hours_in_year</f>
        <v>-0.22156058663733383</v>
      </c>
      <c r="U160" s="421">
        <f t="shared" si="1"/>
        <v>-0.22156058663733383</v>
      </c>
      <c r="V160" s="421">
        <f t="shared" ref="V160:W160" si="2">hundred * $H51 * V95 / $H37 * (1 - V109) / hours_in_year</f>
        <v>-0.2111998397801923</v>
      </c>
      <c r="W160" s="421">
        <f t="shared" si="2"/>
        <v>-0.2111998397801923</v>
      </c>
      <c r="X160" s="421">
        <f t="shared" ref="X160:Y160" si="3">hundred * $H51 * X95 / $H37 * (1 - X109) / hours_in_year</f>
        <v>-0.20681644687909398</v>
      </c>
      <c r="Y160" s="421">
        <f t="shared" si="3"/>
        <v>-0.20681644687909398</v>
      </c>
      <c r="Z160" s="351"/>
      <c r="AA160" s="351"/>
    </row>
    <row r="161" spans="5:27" s="295" customFormat="1" x14ac:dyDescent="0.25">
      <c r="E161" s="98"/>
      <c r="F161" s="295" t="s">
        <v>45</v>
      </c>
      <c r="G161" s="295" t="s">
        <v>183</v>
      </c>
      <c r="H161" s="351"/>
      <c r="I161" s="351"/>
      <c r="J161" s="422"/>
      <c r="K161" s="422"/>
      <c r="L161" s="422"/>
      <c r="M161" s="422"/>
      <c r="N161" s="422"/>
      <c r="O161" s="422"/>
      <c r="P161" s="422"/>
      <c r="Q161" s="422"/>
      <c r="R161" s="421">
        <f t="shared" ref="R161:S161" si="4">hundred * $H52 * R96 / $H38 * (1 - R110) / hours_in_year</f>
        <v>-1.8576088504156801E-2</v>
      </c>
      <c r="S161" s="421">
        <f t="shared" si="4"/>
        <v>-1.7707422494969611E-2</v>
      </c>
      <c r="T161" s="421">
        <f t="shared" ref="T161:U161" si="5">hundred * $H52 * T96 / $H38 * (1 - T110) / hours_in_year</f>
        <v>-1.8576088504156801E-2</v>
      </c>
      <c r="U161" s="421">
        <f t="shared" si="5"/>
        <v>-1.8576088504156801E-2</v>
      </c>
      <c r="V161" s="421">
        <f t="shared" ref="V161:W161" si="6">hundred * $H52 * V96 / $H38 * (1 - V110) / hours_in_year</f>
        <v>-1.7707422494969611E-2</v>
      </c>
      <c r="W161" s="421">
        <f t="shared" si="6"/>
        <v>-1.7707422494969611E-2</v>
      </c>
      <c r="X161" s="421">
        <f t="shared" ref="X161:Y161" si="7">hundred * $H52 * X96 / $H38 * (1 - X110) / hours_in_year</f>
        <v>-1.7339909952621187E-2</v>
      </c>
      <c r="Y161" s="421">
        <f t="shared" si="7"/>
        <v>-1.7339909952621187E-2</v>
      </c>
      <c r="Z161" s="351"/>
      <c r="AA161" s="351"/>
    </row>
    <row r="162" spans="5:27" s="295" customFormat="1" x14ac:dyDescent="0.25">
      <c r="E162" s="98"/>
      <c r="F162" s="295" t="s">
        <v>46</v>
      </c>
      <c r="G162" s="295" t="s">
        <v>183</v>
      </c>
      <c r="H162" s="351"/>
      <c r="I162" s="351"/>
      <c r="J162" s="422"/>
      <c r="K162" s="422"/>
      <c r="L162" s="422"/>
      <c r="M162" s="422"/>
      <c r="N162" s="422"/>
      <c r="O162" s="422"/>
      <c r="P162" s="422"/>
      <c r="Q162" s="422"/>
      <c r="R162" s="421">
        <f t="shared" ref="R162:S162" si="8">hundred * $H53 * R97 / $H39 * (1 - R111) / hours_in_year</f>
        <v>-0.18963780395857599</v>
      </c>
      <c r="S162" s="421">
        <f t="shared" si="8"/>
        <v>-0.18076984909720373</v>
      </c>
      <c r="T162" s="421">
        <f t="shared" ref="T162:U162" si="9">hundred * $H53 * T97 / $H39 * (1 - T111) / hours_in_year</f>
        <v>-0.18963780395857599</v>
      </c>
      <c r="U162" s="421">
        <f t="shared" si="9"/>
        <v>-0.18963780395857599</v>
      </c>
      <c r="V162" s="421">
        <f t="shared" ref="V162:W162" si="10">hundred * $H53 * V97 / $H39 * (1 - V111) / hours_in_year</f>
        <v>-0.18076984909720373</v>
      </c>
      <c r="W162" s="421">
        <f t="shared" si="10"/>
        <v>-0.18076984909720373</v>
      </c>
      <c r="X162" s="421">
        <f t="shared" ref="X162:Y162" si="11">hundred * $H53 * X97 / $H39 * (1 - X111) / hours_in_year</f>
        <v>-0.12489857050835455</v>
      </c>
      <c r="Y162" s="421">
        <f t="shared" si="11"/>
        <v>-0.12489857050835455</v>
      </c>
      <c r="Z162" s="351"/>
      <c r="AA162" s="351"/>
    </row>
    <row r="163" spans="5:27" s="295" customFormat="1" x14ac:dyDescent="0.25">
      <c r="E163" s="98"/>
      <c r="F163" s="295" t="s">
        <v>47</v>
      </c>
      <c r="G163" s="295" t="s">
        <v>183</v>
      </c>
      <c r="H163" s="351"/>
      <c r="I163" s="351"/>
      <c r="J163" s="422"/>
      <c r="K163" s="422"/>
      <c r="L163" s="422"/>
      <c r="M163" s="422"/>
      <c r="N163" s="422"/>
      <c r="O163" s="422"/>
      <c r="P163" s="422"/>
      <c r="Q163" s="422"/>
      <c r="R163" s="421">
        <f t="shared" ref="R163:S163" si="12">hundred * $H54 * R98 / $H40 * (1 - R112) / hours_in_year</f>
        <v>-3.1496851401302685E-2</v>
      </c>
      <c r="S163" s="421">
        <f t="shared" si="12"/>
        <v>-3.0023977055198603E-2</v>
      </c>
      <c r="T163" s="421">
        <f t="shared" ref="T163:U163" si="13">hundred * $H54 * T98 / $H40 * (1 - T112) / hours_in_year</f>
        <v>-3.1496851401302685E-2</v>
      </c>
      <c r="U163" s="421">
        <f t="shared" si="13"/>
        <v>-3.1496851401302685E-2</v>
      </c>
      <c r="V163" s="421">
        <f t="shared" ref="V163:W163" si="14">hundred * $H54 * V98 / $H40 * (1 - V112) / hours_in_year</f>
        <v>-3.0023977055198603E-2</v>
      </c>
      <c r="W163" s="421">
        <f t="shared" si="14"/>
        <v>-3.0023977055198603E-2</v>
      </c>
      <c r="X163" s="421">
        <f t="shared" ref="X163:Y163" si="15">hundred * $H54 * X98 / $H40 * (1 - X112) / hours_in_year</f>
        <v>-2.5191502650760825E-2</v>
      </c>
      <c r="Y163" s="421">
        <f t="shared" si="15"/>
        <v>-2.5191502650760825E-2</v>
      </c>
      <c r="Z163" s="351"/>
      <c r="AA163" s="351"/>
    </row>
    <row r="164" spans="5:27" s="295" customFormat="1" x14ac:dyDescent="0.25">
      <c r="E164" s="98"/>
      <c r="F164" s="295" t="s">
        <v>51</v>
      </c>
      <c r="G164" s="295" t="s">
        <v>183</v>
      </c>
      <c r="H164" s="351"/>
      <c r="I164" s="351"/>
      <c r="J164" s="422"/>
      <c r="K164" s="422"/>
      <c r="L164" s="422"/>
      <c r="M164" s="422"/>
      <c r="N164" s="422"/>
      <c r="O164" s="422"/>
      <c r="P164" s="422"/>
      <c r="Q164" s="422"/>
      <c r="R164" s="421">
        <f t="shared" ref="R164:S164" si="16">hundred * $H55 * R99 / $H41 * (1 - R113) / hours_in_year</f>
        <v>0</v>
      </c>
      <c r="S164" s="421">
        <f t="shared" si="16"/>
        <v>0</v>
      </c>
      <c r="T164" s="421">
        <f t="shared" ref="T164:U164" si="17">hundred * $H55 * T99 / $H41 * (1 - T113) / hours_in_year</f>
        <v>0</v>
      </c>
      <c r="U164" s="421">
        <f t="shared" si="17"/>
        <v>0</v>
      </c>
      <c r="V164" s="421">
        <f t="shared" ref="V164:W164" si="18">hundred * $H55 * V99 / $H41 * (1 - V113) / hours_in_year</f>
        <v>0</v>
      </c>
      <c r="W164" s="421">
        <f t="shared" si="18"/>
        <v>0</v>
      </c>
      <c r="X164" s="421">
        <f t="shared" ref="X164:Y164" si="19">hundred * $H55 * X99 / $H41 * (1 - X113) / hours_in_year</f>
        <v>0</v>
      </c>
      <c r="Y164" s="421">
        <f t="shared" si="19"/>
        <v>0</v>
      </c>
      <c r="Z164" s="351"/>
      <c r="AA164" s="351"/>
    </row>
    <row r="165" spans="5:27" s="295" customFormat="1" x14ac:dyDescent="0.25">
      <c r="E165" s="98"/>
      <c r="F165" s="295" t="s">
        <v>48</v>
      </c>
      <c r="G165" s="295" t="s">
        <v>183</v>
      </c>
      <c r="H165" s="351"/>
      <c r="I165" s="351"/>
      <c r="J165" s="422"/>
      <c r="K165" s="422"/>
      <c r="L165" s="422"/>
      <c r="M165" s="422"/>
      <c r="N165" s="422"/>
      <c r="O165" s="422"/>
      <c r="P165" s="422"/>
      <c r="Q165" s="422"/>
      <c r="R165" s="421">
        <f t="shared" ref="R165:S165" si="20">hundred * $H56 * R100 / $H42 * (1 - R114) / hours_in_year</f>
        <v>-0.17414453129194221</v>
      </c>
      <c r="S165" s="421">
        <f t="shared" si="20"/>
        <v>-0.16600108198692332</v>
      </c>
      <c r="T165" s="421">
        <f t="shared" ref="T165:U165" si="21">hundred * $H56 * T100 / $H42 * (1 - T114) / hours_in_year</f>
        <v>-0.17414453129194221</v>
      </c>
      <c r="U165" s="421">
        <f t="shared" si="21"/>
        <v>-0.17414453129194221</v>
      </c>
      <c r="V165" s="421">
        <f t="shared" ref="V165:W165" si="22">hundred * $H56 * V100 / $H42 * (1 - V114) / hours_in_year</f>
        <v>-0.16600108198692332</v>
      </c>
      <c r="W165" s="421">
        <f t="shared" si="22"/>
        <v>-0.16600108198692332</v>
      </c>
      <c r="X165" s="421">
        <f t="shared" ref="X165:Y165" si="23">hundred * $H56 * X100 / $H42 * (1 - X114) / hours_in_year</f>
        <v>-6.4117438738918495E-2</v>
      </c>
      <c r="Y165" s="421">
        <f t="shared" si="23"/>
        <v>-6.4117438738918495E-2</v>
      </c>
      <c r="Z165" s="351"/>
      <c r="AA165" s="351"/>
    </row>
    <row r="166" spans="5:27" s="295" customFormat="1" x14ac:dyDescent="0.25">
      <c r="E166" s="98"/>
      <c r="F166" s="295" t="s">
        <v>49</v>
      </c>
      <c r="G166" s="295" t="s">
        <v>183</v>
      </c>
      <c r="H166" s="351"/>
      <c r="I166" s="351"/>
      <c r="J166" s="422"/>
      <c r="K166" s="422"/>
      <c r="L166" s="422"/>
      <c r="M166" s="422"/>
      <c r="N166" s="422"/>
      <c r="O166" s="422"/>
      <c r="P166" s="422"/>
      <c r="Q166" s="422"/>
      <c r="R166" s="421">
        <f t="shared" ref="R166:S166" si="24">hundred * $H57 * R101 / $H43 * (1 - R115) / hours_in_year</f>
        <v>-2.9223211340528205E-2</v>
      </c>
      <c r="S166" s="421">
        <f t="shared" si="24"/>
        <v>-2.7856658292230121E-2</v>
      </c>
      <c r="T166" s="421">
        <f t="shared" ref="T166:U166" si="25">hundred * $H57 * T101 / $H43 * (1 - T115) / hours_in_year</f>
        <v>-2.9223211340528205E-2</v>
      </c>
      <c r="U166" s="421">
        <f t="shared" si="25"/>
        <v>-2.9223211340528205E-2</v>
      </c>
      <c r="V166" s="421">
        <f t="shared" ref="V166:W166" si="26">hundred * $H57 * V101 / $H43 * (1 - V115) / hours_in_year</f>
        <v>-2.7856658292230121E-2</v>
      </c>
      <c r="W166" s="421">
        <f t="shared" si="26"/>
        <v>-2.7856658292230121E-2</v>
      </c>
      <c r="X166" s="421">
        <f t="shared" ref="X166:Y166" si="27">hundred * $H57 * X101 / $H43 * (1 - X115) / hours_in_year</f>
        <v>0</v>
      </c>
      <c r="Y166" s="421">
        <f t="shared" si="27"/>
        <v>0</v>
      </c>
      <c r="Z166" s="351"/>
      <c r="AA166" s="351"/>
    </row>
    <row r="167" spans="5:27" s="295" customFormat="1" x14ac:dyDescent="0.25">
      <c r="E167" s="98"/>
      <c r="F167" s="295" t="s">
        <v>50</v>
      </c>
      <c r="G167" s="295" t="s">
        <v>183</v>
      </c>
      <c r="H167" s="351"/>
      <c r="I167" s="351"/>
      <c r="J167" s="422"/>
      <c r="K167" s="422"/>
      <c r="L167" s="422"/>
      <c r="M167" s="422"/>
      <c r="N167" s="422"/>
      <c r="O167" s="422"/>
      <c r="P167" s="422"/>
      <c r="Q167" s="422"/>
      <c r="R167" s="421">
        <f t="shared" ref="R167:S167" si="28">hundred * $H58 * R102 / $H44 * (1 - R116) / hours_in_year</f>
        <v>-4.2750315346546351E-3</v>
      </c>
      <c r="S167" s="421">
        <f t="shared" si="28"/>
        <v>0</v>
      </c>
      <c r="T167" s="421">
        <f t="shared" ref="T167:U167" si="29">hundred * $H58 * T102 / $H44 * (1 - T116) / hours_in_year</f>
        <v>-4.2750315346546351E-3</v>
      </c>
      <c r="U167" s="421">
        <f t="shared" si="29"/>
        <v>-4.2750315346546351E-3</v>
      </c>
      <c r="V167" s="421">
        <f t="shared" ref="V167:W167" si="30">hundred * $H58 * V102 / $H44 * (1 - V116) / hours_in_year</f>
        <v>0</v>
      </c>
      <c r="W167" s="421">
        <f t="shared" si="30"/>
        <v>0</v>
      </c>
      <c r="X167" s="421">
        <f t="shared" ref="X167:Y167" si="31">hundred * $H58 * X102 / $H44 * (1 - X116) / hours_in_year</f>
        <v>0</v>
      </c>
      <c r="Y167" s="421">
        <f t="shared" si="31"/>
        <v>0</v>
      </c>
      <c r="Z167" s="351"/>
      <c r="AA167" s="351"/>
    </row>
    <row r="168" spans="5:27" s="295" customFormat="1" x14ac:dyDescent="0.25">
      <c r="E168" s="98"/>
      <c r="F168" s="295" t="s">
        <v>124</v>
      </c>
      <c r="G168" s="295" t="s">
        <v>183</v>
      </c>
      <c r="H168" s="351"/>
      <c r="I168" s="351"/>
      <c r="J168" s="422"/>
      <c r="K168" s="422"/>
      <c r="L168" s="422"/>
      <c r="M168" s="422"/>
      <c r="N168" s="422"/>
      <c r="O168" s="422"/>
      <c r="P168" s="422"/>
      <c r="Q168" s="422"/>
      <c r="R168" s="422"/>
      <c r="S168" s="422"/>
      <c r="T168" s="422"/>
      <c r="U168" s="422"/>
      <c r="V168" s="422"/>
      <c r="W168" s="422"/>
      <c r="X168" s="422"/>
      <c r="Y168" s="422"/>
      <c r="Z168" s="351"/>
      <c r="AA168" s="351"/>
    </row>
    <row r="169" spans="5:27" s="295" customFormat="1" x14ac:dyDescent="0.25">
      <c r="E169" s="98"/>
      <c r="F169" s="93" t="s">
        <v>123</v>
      </c>
      <c r="G169" s="93" t="s">
        <v>183</v>
      </c>
      <c r="H169" s="353"/>
      <c r="I169" s="353"/>
      <c r="J169" s="358"/>
      <c r="K169" s="358"/>
      <c r="L169" s="358"/>
      <c r="M169" s="358"/>
      <c r="N169" s="358"/>
      <c r="O169" s="358"/>
      <c r="P169" s="358"/>
      <c r="Q169" s="358"/>
      <c r="R169" s="358"/>
      <c r="S169" s="358"/>
      <c r="T169" s="358"/>
      <c r="U169" s="358"/>
      <c r="V169" s="358"/>
      <c r="W169" s="358"/>
      <c r="X169" s="358"/>
      <c r="Y169" s="358"/>
      <c r="Z169" s="351"/>
      <c r="AA169" s="351"/>
    </row>
    <row r="170" spans="5:27" s="295" customFormat="1" x14ac:dyDescent="0.25">
      <c r="E170" s="98"/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  <c r="U170" s="253"/>
      <c r="V170" s="253"/>
      <c r="W170" s="253"/>
      <c r="X170" s="253"/>
      <c r="Y170" s="253"/>
    </row>
    <row r="171" spans="5:27" s="295" customFormat="1" x14ac:dyDescent="0.25">
      <c r="E171" s="96" t="s">
        <v>116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  <c r="U171" s="253"/>
      <c r="V171" s="253"/>
      <c r="W171" s="253"/>
      <c r="X171" s="253"/>
      <c r="Y171" s="253"/>
    </row>
    <row r="172" spans="5:27" s="295" customFormat="1" x14ac:dyDescent="0.25">
      <c r="E172" s="98"/>
      <c r="F172" s="91" t="s">
        <v>324</v>
      </c>
      <c r="G172" s="91" t="s">
        <v>183</v>
      </c>
      <c r="H172" s="349"/>
      <c r="I172" s="349"/>
      <c r="J172" s="361"/>
      <c r="K172" s="361"/>
      <c r="L172" s="361"/>
      <c r="M172" s="361"/>
      <c r="N172" s="361"/>
      <c r="O172" s="361"/>
      <c r="P172" s="361"/>
      <c r="Q172" s="361"/>
      <c r="R172" s="362">
        <f t="shared" ref="R172:S172" si="32">hundred * $H63 * R93 / $H35 / hours_in_year</f>
        <v>-0.13707897717003684</v>
      </c>
      <c r="S172" s="362">
        <f t="shared" si="32"/>
        <v>-0.13066880917287682</v>
      </c>
      <c r="T172" s="362">
        <f t="shared" ref="T172:U172" si="33">hundred * $H63 * T93 / $H35 / hours_in_year</f>
        <v>-0.13707897717003684</v>
      </c>
      <c r="U172" s="362">
        <f t="shared" si="33"/>
        <v>-0.13707897717003684</v>
      </c>
      <c r="V172" s="362">
        <f t="shared" ref="V172:W172" si="34">hundred * $H63 * V93 / $H35 / hours_in_year</f>
        <v>-0.13066880917287682</v>
      </c>
      <c r="W172" s="362">
        <f t="shared" si="34"/>
        <v>-0.13066880917287682</v>
      </c>
      <c r="X172" s="362">
        <f t="shared" ref="X172:Y172" si="35">hundred * $H63 * X93 / $H35 / hours_in_year</f>
        <v>-0.12795681502023221</v>
      </c>
      <c r="Y172" s="362">
        <f t="shared" si="35"/>
        <v>-0.12795681502023221</v>
      </c>
      <c r="Z172" s="351"/>
      <c r="AA172" s="351"/>
    </row>
    <row r="173" spans="5:27" s="295" customFormat="1" x14ac:dyDescent="0.25">
      <c r="E173" s="98"/>
      <c r="F173" s="295" t="s">
        <v>43</v>
      </c>
      <c r="G173" s="295" t="s">
        <v>183</v>
      </c>
      <c r="H173" s="351"/>
      <c r="I173" s="351"/>
      <c r="J173" s="422"/>
      <c r="K173" s="422"/>
      <c r="L173" s="422"/>
      <c r="M173" s="422"/>
      <c r="N173" s="422"/>
      <c r="O173" s="422"/>
      <c r="P173" s="422"/>
      <c r="Q173" s="422"/>
      <c r="R173" s="421">
        <f t="shared" ref="R173:S173" si="36">hundred * $H64 * R94 / $H36 / hours_in_year</f>
        <v>0</v>
      </c>
      <c r="S173" s="421">
        <f t="shared" si="36"/>
        <v>0</v>
      </c>
      <c r="T173" s="421">
        <f t="shared" ref="T173:U173" si="37">hundred * $H64 * T94 / $H36 / hours_in_year</f>
        <v>0</v>
      </c>
      <c r="U173" s="421">
        <f t="shared" si="37"/>
        <v>0</v>
      </c>
      <c r="V173" s="421">
        <f t="shared" ref="V173:W173" si="38">hundred * $H64 * V94 / $H36 / hours_in_year</f>
        <v>0</v>
      </c>
      <c r="W173" s="421">
        <f t="shared" si="38"/>
        <v>0</v>
      </c>
      <c r="X173" s="421">
        <f t="shared" ref="X173:Y173" si="39">hundred * $H64 * X94 / $H36 / hours_in_year</f>
        <v>0</v>
      </c>
      <c r="Y173" s="421">
        <f t="shared" si="39"/>
        <v>0</v>
      </c>
      <c r="Z173" s="351"/>
      <c r="AA173" s="351"/>
    </row>
    <row r="174" spans="5:27" s="295" customFormat="1" x14ac:dyDescent="0.25">
      <c r="E174" s="98"/>
      <c r="F174" s="295" t="s">
        <v>44</v>
      </c>
      <c r="G174" s="295" t="s">
        <v>183</v>
      </c>
      <c r="H174" s="351"/>
      <c r="I174" s="351"/>
      <c r="J174" s="422"/>
      <c r="K174" s="422"/>
      <c r="L174" s="422"/>
      <c r="M174" s="422"/>
      <c r="N174" s="422"/>
      <c r="O174" s="422"/>
      <c r="P174" s="422"/>
      <c r="Q174" s="422"/>
      <c r="R174" s="421">
        <f t="shared" ref="R174:S174" si="40">hundred * $H65 * R95 / $H37 / hours_in_year</f>
        <v>-0.11725957824847702</v>
      </c>
      <c r="S174" s="421">
        <f t="shared" si="40"/>
        <v>-0.1117762166757065</v>
      </c>
      <c r="T174" s="421">
        <f t="shared" ref="T174:U174" si="41">hundred * $H65 * T95 / $H37 / hours_in_year</f>
        <v>-0.11725957824847702</v>
      </c>
      <c r="U174" s="421">
        <f t="shared" si="41"/>
        <v>-0.11725957824847702</v>
      </c>
      <c r="V174" s="421">
        <f t="shared" ref="V174:W174" si="42">hundred * $H65 * V95 / $H37 / hours_in_year</f>
        <v>-0.1117762166757065</v>
      </c>
      <c r="W174" s="421">
        <f t="shared" si="42"/>
        <v>-0.1117762166757065</v>
      </c>
      <c r="X174" s="421">
        <f t="shared" ref="X174:Y174" si="43">hundred * $H65 * X95 / $H37 / hours_in_year</f>
        <v>-0.10945633293338053</v>
      </c>
      <c r="Y174" s="421">
        <f t="shared" si="43"/>
        <v>-0.10945633293338053</v>
      </c>
      <c r="Z174" s="351"/>
      <c r="AA174" s="351"/>
    </row>
    <row r="175" spans="5:27" s="295" customFormat="1" x14ac:dyDescent="0.25">
      <c r="E175" s="98"/>
      <c r="F175" s="295" t="s">
        <v>45</v>
      </c>
      <c r="G175" s="295" t="s">
        <v>183</v>
      </c>
      <c r="H175" s="351"/>
      <c r="I175" s="351"/>
      <c r="J175" s="422"/>
      <c r="K175" s="422"/>
      <c r="L175" s="422"/>
      <c r="M175" s="422"/>
      <c r="N175" s="422"/>
      <c r="O175" s="422"/>
      <c r="P175" s="422"/>
      <c r="Q175" s="422"/>
      <c r="R175" s="421">
        <f t="shared" ref="R175:S175" si="44">hundred * $H66 * R96 / $H38 / hours_in_year</f>
        <v>-9.8312806287576861E-3</v>
      </c>
      <c r="S175" s="421">
        <f t="shared" si="44"/>
        <v>-9.3715444842474328E-3</v>
      </c>
      <c r="T175" s="421">
        <f t="shared" ref="T175:U175" si="45">hundred * $H66 * T96 / $H38 / hours_in_year</f>
        <v>-9.8312806287576861E-3</v>
      </c>
      <c r="U175" s="421">
        <f t="shared" si="45"/>
        <v>-9.8312806287576861E-3</v>
      </c>
      <c r="V175" s="421">
        <f t="shared" ref="V175:W175" si="46">hundred * $H66 * V96 / $H38 / hours_in_year</f>
        <v>-9.3715444842474328E-3</v>
      </c>
      <c r="W175" s="421">
        <f t="shared" si="46"/>
        <v>-9.3715444842474328E-3</v>
      </c>
      <c r="X175" s="421">
        <f t="shared" ref="X175:Y175" si="47">hundred * $H66 * X96 / $H38 / hours_in_year</f>
        <v>-9.1770407308007888E-3</v>
      </c>
      <c r="Y175" s="421">
        <f t="shared" si="47"/>
        <v>-9.1770407308007888E-3</v>
      </c>
      <c r="Z175" s="351"/>
      <c r="AA175" s="351"/>
    </row>
    <row r="176" spans="5:27" s="295" customFormat="1" x14ac:dyDescent="0.25">
      <c r="E176" s="98"/>
      <c r="F176" s="295" t="s">
        <v>46</v>
      </c>
      <c r="G176" s="295" t="s">
        <v>183</v>
      </c>
      <c r="H176" s="351"/>
      <c r="I176" s="351"/>
      <c r="J176" s="422"/>
      <c r="K176" s="422"/>
      <c r="L176" s="422"/>
      <c r="M176" s="422"/>
      <c r="N176" s="422"/>
      <c r="O176" s="422"/>
      <c r="P176" s="422"/>
      <c r="Q176" s="422"/>
      <c r="R176" s="421">
        <f t="shared" ref="R176:S176" si="48">hundred * $H67 * R97 / $H39 / hours_in_year</f>
        <v>-0.10036464178779621</v>
      </c>
      <c r="S176" s="421">
        <f t="shared" si="48"/>
        <v>-9.5671331200597079E-2</v>
      </c>
      <c r="T176" s="421">
        <f t="shared" ref="T176:U176" si="49">hundred * $H67 * T97 / $H39 / hours_in_year</f>
        <v>-0.10036464178779621</v>
      </c>
      <c r="U176" s="421">
        <f t="shared" si="49"/>
        <v>-0.10036464178779621</v>
      </c>
      <c r="V176" s="421">
        <f t="shared" ref="V176:W176" si="50">hundred * $H67 * V97 / $H39 / hours_in_year</f>
        <v>-9.5671331200597079E-2</v>
      </c>
      <c r="W176" s="421">
        <f t="shared" si="50"/>
        <v>-9.5671331200597079E-2</v>
      </c>
      <c r="X176" s="421">
        <f t="shared" ref="X176:Y176" si="51">hundred * $H67 * X97 / $H39 / hours_in_year</f>
        <v>-9.3685699798320532E-2</v>
      </c>
      <c r="Y176" s="421">
        <f t="shared" si="51"/>
        <v>-9.3685699798320532E-2</v>
      </c>
      <c r="Z176" s="351"/>
      <c r="AA176" s="351"/>
    </row>
    <row r="177" spans="2:27" x14ac:dyDescent="0.25">
      <c r="D177" s="295"/>
      <c r="F177" s="295" t="s">
        <v>47</v>
      </c>
      <c r="G177" s="295" t="s">
        <v>183</v>
      </c>
      <c r="H177" s="351"/>
      <c r="I177" s="351"/>
      <c r="J177" s="422"/>
      <c r="K177" s="422"/>
      <c r="L177" s="422"/>
      <c r="M177" s="422"/>
      <c r="N177" s="422"/>
      <c r="O177" s="422"/>
      <c r="P177" s="422"/>
      <c r="Q177" s="422"/>
      <c r="R177" s="421">
        <f t="shared" ref="R177:S177" si="52">hundred * $H68 * R98 / $H40 / hours_in_year</f>
        <v>-1.6669514950857098E-2</v>
      </c>
      <c r="S177" s="421">
        <f t="shared" si="52"/>
        <v>-1.5890005258910544E-2</v>
      </c>
      <c r="T177" s="421">
        <f t="shared" ref="T177:U177" si="53">hundred * $H68 * T98 / $H40 / hours_in_year</f>
        <v>-1.6669514950857098E-2</v>
      </c>
      <c r="U177" s="421">
        <f t="shared" si="53"/>
        <v>-1.6669514950857098E-2</v>
      </c>
      <c r="V177" s="421">
        <f t="shared" ref="V177:W177" si="54">hundred * $H68 * V98 / $H40 / hours_in_year</f>
        <v>-1.5890005258910544E-2</v>
      </c>
      <c r="W177" s="421">
        <f t="shared" si="54"/>
        <v>-1.5890005258910544E-2</v>
      </c>
      <c r="X177" s="421">
        <f t="shared" ref="X177:Y177" si="55">hundred * $H68 * X98 / $H40 / hours_in_year</f>
        <v>-1.5560212696933154E-2</v>
      </c>
      <c r="Y177" s="421">
        <f t="shared" si="55"/>
        <v>-1.5560212696933154E-2</v>
      </c>
      <c r="Z177" s="351"/>
      <c r="AA177" s="351"/>
    </row>
    <row r="178" spans="2:27" x14ac:dyDescent="0.25">
      <c r="D178" s="295"/>
      <c r="F178" s="295" t="s">
        <v>51</v>
      </c>
      <c r="G178" s="295" t="s">
        <v>183</v>
      </c>
      <c r="H178" s="351"/>
      <c r="I178" s="351"/>
      <c r="J178" s="422"/>
      <c r="K178" s="422"/>
      <c r="L178" s="422"/>
      <c r="M178" s="422"/>
      <c r="N178" s="422"/>
      <c r="O178" s="422"/>
      <c r="P178" s="422"/>
      <c r="Q178" s="422"/>
      <c r="R178" s="421">
        <f t="shared" ref="R178:S178" si="56">hundred * $H69 * R99 / $H41 / hours_in_year</f>
        <v>0</v>
      </c>
      <c r="S178" s="421">
        <f t="shared" si="56"/>
        <v>0</v>
      </c>
      <c r="T178" s="421">
        <f t="shared" ref="T178:U178" si="57">hundred * $H69 * T99 / $H41 / hours_in_year</f>
        <v>0</v>
      </c>
      <c r="U178" s="421">
        <f t="shared" si="57"/>
        <v>0</v>
      </c>
      <c r="V178" s="421">
        <f t="shared" ref="V178:W178" si="58">hundred * $H69 * V99 / $H41 / hours_in_year</f>
        <v>0</v>
      </c>
      <c r="W178" s="421">
        <f t="shared" si="58"/>
        <v>0</v>
      </c>
      <c r="X178" s="421">
        <f t="shared" ref="X178:Y178" si="59">hundred * $H69 * X99 / $H41 / hours_in_year</f>
        <v>0</v>
      </c>
      <c r="Y178" s="421">
        <f t="shared" si="59"/>
        <v>0</v>
      </c>
      <c r="Z178" s="351"/>
      <c r="AA178" s="351"/>
    </row>
    <row r="179" spans="2:27" x14ac:dyDescent="0.25">
      <c r="D179" s="295"/>
      <c r="F179" s="295" t="s">
        <v>48</v>
      </c>
      <c r="G179" s="295" t="s">
        <v>183</v>
      </c>
      <c r="H179" s="351"/>
      <c r="I179" s="351"/>
      <c r="J179" s="422"/>
      <c r="K179" s="422"/>
      <c r="L179" s="422"/>
      <c r="M179" s="422"/>
      <c r="N179" s="422"/>
      <c r="O179" s="422"/>
      <c r="P179" s="422"/>
      <c r="Q179" s="422"/>
      <c r="R179" s="421">
        <f t="shared" ref="R179:S179" si="60">hundred * $H70 * R100 / $H42 / hours_in_year</f>
        <v>-0.13681451644286374</v>
      </c>
      <c r="S179" s="421">
        <f t="shared" si="60"/>
        <v>-0.13041671531424062</v>
      </c>
      <c r="T179" s="421">
        <f t="shared" ref="T179:U179" si="61">hundred * $H70 * T100 / $H42 / hours_in_year</f>
        <v>-0.13681451644286374</v>
      </c>
      <c r="U179" s="421">
        <f t="shared" si="61"/>
        <v>-0.13681451644286374</v>
      </c>
      <c r="V179" s="421">
        <f t="shared" ref="V179:W179" si="62">hundred * $H70 * V100 / $H42 / hours_in_year</f>
        <v>-0.13041671531424062</v>
      </c>
      <c r="W179" s="421">
        <f t="shared" si="62"/>
        <v>-0.13041671531424062</v>
      </c>
      <c r="X179" s="421">
        <f t="shared" ref="X179:Y179" si="63">hundred * $H70 * X100 / $H42 / hours_in_year</f>
        <v>-0.12770995329828466</v>
      </c>
      <c r="Y179" s="421">
        <f t="shared" si="63"/>
        <v>-0.12770995329828466</v>
      </c>
      <c r="Z179" s="351"/>
      <c r="AA179" s="351"/>
    </row>
    <row r="180" spans="2:27" x14ac:dyDescent="0.25">
      <c r="D180" s="295"/>
      <c r="F180" s="295" t="s">
        <v>49</v>
      </c>
      <c r="G180" s="295" t="s">
        <v>183</v>
      </c>
      <c r="H180" s="351"/>
      <c r="I180" s="351"/>
      <c r="J180" s="422"/>
      <c r="K180" s="422"/>
      <c r="L180" s="422"/>
      <c r="M180" s="422"/>
      <c r="N180" s="422"/>
      <c r="O180" s="422"/>
      <c r="P180" s="422"/>
      <c r="Q180" s="422"/>
      <c r="R180" s="421">
        <f t="shared" ref="R180:S180" si="64">hundred * $H71 * R101 / $H43 / hours_in_year</f>
        <v>-5.3511253057434933E-2</v>
      </c>
      <c r="S180" s="421">
        <f t="shared" si="64"/>
        <v>-5.1008928274173589E-2</v>
      </c>
      <c r="T180" s="421">
        <f t="shared" ref="T180:U180" si="65">hundred * $H71 * T101 / $H43 / hours_in_year</f>
        <v>-5.3511253057434933E-2</v>
      </c>
      <c r="U180" s="421">
        <f t="shared" si="65"/>
        <v>-5.3511253057434933E-2</v>
      </c>
      <c r="V180" s="421">
        <f t="shared" ref="V180:W180" si="66">hundred * $H71 * V101 / $H43 / hours_in_year</f>
        <v>-5.1008928274173589E-2</v>
      </c>
      <c r="W180" s="421">
        <f t="shared" si="66"/>
        <v>-5.1008928274173589E-2</v>
      </c>
      <c r="X180" s="421">
        <f t="shared" ref="X180:Y180" si="67">hundred * $H71 * X101 / $H43 / hours_in_year</f>
        <v>0</v>
      </c>
      <c r="Y180" s="421">
        <f t="shared" si="67"/>
        <v>0</v>
      </c>
      <c r="Z180" s="351"/>
      <c r="AA180" s="351"/>
    </row>
    <row r="181" spans="2:27" x14ac:dyDescent="0.25">
      <c r="D181" s="295"/>
      <c r="F181" s="295" t="s">
        <v>50</v>
      </c>
      <c r="G181" s="295" t="s">
        <v>183</v>
      </c>
      <c r="H181" s="351"/>
      <c r="I181" s="351"/>
      <c r="J181" s="422"/>
      <c r="K181" s="422"/>
      <c r="L181" s="422"/>
      <c r="M181" s="422"/>
      <c r="N181" s="422"/>
      <c r="O181" s="422"/>
      <c r="P181" s="422"/>
      <c r="Q181" s="422"/>
      <c r="R181" s="421">
        <f t="shared" ref="R181:S181" si="68">hundred * $H72 * R102 / $H44 / hours_in_year</f>
        <v>-3.2765984891646026E-2</v>
      </c>
      <c r="S181" s="421">
        <f t="shared" si="68"/>
        <v>0</v>
      </c>
      <c r="T181" s="421">
        <f t="shared" ref="T181:U181" si="69">hundred * $H72 * T102 / $H44 / hours_in_year</f>
        <v>-3.2765984891646026E-2</v>
      </c>
      <c r="U181" s="421">
        <f t="shared" si="69"/>
        <v>-3.2765984891646026E-2</v>
      </c>
      <c r="V181" s="421">
        <f t="shared" ref="V181:W181" si="70">hundred * $H72 * V102 / $H44 / hours_in_year</f>
        <v>0</v>
      </c>
      <c r="W181" s="421">
        <f t="shared" si="70"/>
        <v>0</v>
      </c>
      <c r="X181" s="421">
        <f t="shared" ref="X181:Y181" si="71">hundred * $H72 * X102 / $H44 / hours_in_year</f>
        <v>0</v>
      </c>
      <c r="Y181" s="421">
        <f t="shared" si="71"/>
        <v>0</v>
      </c>
      <c r="Z181" s="351"/>
      <c r="AA181" s="351"/>
    </row>
    <row r="182" spans="2:27" x14ac:dyDescent="0.25">
      <c r="D182" s="295"/>
      <c r="F182" s="295" t="s">
        <v>124</v>
      </c>
      <c r="G182" s="295" t="s">
        <v>183</v>
      </c>
      <c r="H182" s="351"/>
      <c r="I182" s="351"/>
      <c r="J182" s="422"/>
      <c r="K182" s="422"/>
      <c r="L182" s="422"/>
      <c r="M182" s="422"/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351"/>
      <c r="AA182" s="351"/>
    </row>
    <row r="183" spans="2:27" x14ac:dyDescent="0.25">
      <c r="D183" s="295"/>
      <c r="F183" s="93" t="s">
        <v>123</v>
      </c>
      <c r="G183" s="93" t="s">
        <v>183</v>
      </c>
      <c r="H183" s="353"/>
      <c r="I183" s="353"/>
      <c r="J183" s="358"/>
      <c r="K183" s="358"/>
      <c r="L183" s="358"/>
      <c r="M183" s="358"/>
      <c r="N183" s="358"/>
      <c r="O183" s="358"/>
      <c r="P183" s="358"/>
      <c r="Q183" s="358"/>
      <c r="R183" s="358"/>
      <c r="S183" s="358"/>
      <c r="T183" s="358"/>
      <c r="U183" s="358"/>
      <c r="V183" s="358"/>
      <c r="W183" s="358"/>
      <c r="X183" s="358"/>
      <c r="Y183" s="358"/>
      <c r="Z183" s="351"/>
      <c r="AA183" s="351"/>
    </row>
    <row r="184" spans="2:27" x14ac:dyDescent="0.25">
      <c r="D184" s="295"/>
      <c r="E184" s="295"/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</row>
    <row r="185" spans="2:27" x14ac:dyDescent="0.25">
      <c r="B185" s="95" t="s">
        <v>465</v>
      </c>
      <c r="C185" s="95"/>
      <c r="D185" s="95"/>
      <c r="E185" s="95"/>
      <c r="F185" s="95"/>
      <c r="G185" s="95"/>
      <c r="H185" s="95"/>
      <c r="I185" s="95"/>
      <c r="J185" s="282"/>
      <c r="K185" s="282"/>
      <c r="L185" s="282"/>
      <c r="M185" s="282"/>
      <c r="N185" s="282"/>
      <c r="O185" s="282"/>
      <c r="P185" s="282"/>
      <c r="Q185" s="282"/>
      <c r="R185" s="282"/>
      <c r="S185" s="282"/>
      <c r="T185" s="282"/>
      <c r="U185" s="282"/>
      <c r="V185" s="282"/>
      <c r="W185" s="282"/>
      <c r="X185" s="282"/>
      <c r="Y185" s="282"/>
      <c r="Z185" s="95"/>
      <c r="AA185" s="95"/>
    </row>
    <row r="186" spans="2:27" x14ac:dyDescent="0.25">
      <c r="B186" s="423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</row>
    <row r="187" spans="2:27" x14ac:dyDescent="0.25">
      <c r="B187" s="423"/>
      <c r="C187" s="82" t="s">
        <v>636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</row>
    <row r="188" spans="2:27" x14ac:dyDescent="0.25">
      <c r="B188" s="423"/>
      <c r="C188" s="82" t="s">
        <v>841</v>
      </c>
      <c r="I188" s="295" t="s">
        <v>431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AA188" s="295" t="s">
        <v>842</v>
      </c>
    </row>
    <row r="189" spans="2:27" x14ac:dyDescent="0.25">
      <c r="B189" s="423"/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</row>
    <row r="190" spans="2:27" x14ac:dyDescent="0.25">
      <c r="C190" s="7" t="str">
        <f ca="1">INDEX('Version control'!$H$34:$H$58,MATCH($A$1,'Version control'!$F$34:$F$58,0),1)&amp;"-D: Reactive power charges, all customer categories"</f>
        <v>Section 515-D: Reactive power charges, all customer categories</v>
      </c>
      <c r="D190" s="7"/>
      <c r="E190" s="7"/>
      <c r="F190" s="7"/>
      <c r="G190" s="7"/>
      <c r="H190" s="7"/>
      <c r="I190" s="7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7"/>
      <c r="AA190" s="7"/>
    </row>
    <row r="191" spans="2:27" x14ac:dyDescent="0.25">
      <c r="C191" s="96"/>
      <c r="D191" s="295"/>
      <c r="E191" s="96"/>
      <c r="I191" s="295" t="s">
        <v>431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AA191" s="295" t="s">
        <v>915</v>
      </c>
    </row>
    <row r="192" spans="2:27" x14ac:dyDescent="0.25">
      <c r="E192" s="96" t="s">
        <v>139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</row>
    <row r="193" spans="4:27" x14ac:dyDescent="0.25">
      <c r="F193" s="91" t="s">
        <v>324</v>
      </c>
      <c r="G193" s="91" t="s">
        <v>315</v>
      </c>
      <c r="H193" s="349"/>
      <c r="I193" s="349"/>
      <c r="J193" s="361"/>
      <c r="K193" s="361"/>
      <c r="L193" s="361"/>
      <c r="M193" s="361"/>
      <c r="N193" s="361"/>
      <c r="O193" s="361"/>
      <c r="P193" s="361"/>
      <c r="Q193" s="361"/>
      <c r="R193" s="361"/>
      <c r="S193" s="361"/>
      <c r="T193" s="361"/>
      <c r="U193" s="361"/>
      <c r="V193" s="361"/>
      <c r="W193" s="361"/>
      <c r="X193" s="361"/>
      <c r="Y193" s="361"/>
      <c r="Z193" s="351"/>
      <c r="AA193" s="351"/>
    </row>
    <row r="194" spans="4:27" x14ac:dyDescent="0.25">
      <c r="F194" s="295" t="s">
        <v>43</v>
      </c>
      <c r="G194" s="295" t="s">
        <v>315</v>
      </c>
      <c r="H194" s="351"/>
      <c r="I194" s="351"/>
      <c r="J194" s="422"/>
      <c r="K194" s="422"/>
      <c r="L194" s="422"/>
      <c r="M194" s="422"/>
      <c r="N194" s="422"/>
      <c r="O194" s="422"/>
      <c r="P194" s="422"/>
      <c r="Q194" s="422"/>
      <c r="R194" s="422"/>
      <c r="S194" s="422"/>
      <c r="T194" s="422"/>
      <c r="U194" s="422"/>
      <c r="V194" s="422"/>
      <c r="W194" s="422"/>
      <c r="X194" s="422"/>
      <c r="Y194" s="422"/>
      <c r="Z194" s="351"/>
      <c r="AA194" s="351"/>
    </row>
    <row r="195" spans="4:27" x14ac:dyDescent="0.25">
      <c r="F195" s="295" t="s">
        <v>44</v>
      </c>
      <c r="G195" s="295" t="s">
        <v>315</v>
      </c>
      <c r="H195" s="351"/>
      <c r="I195" s="351"/>
      <c r="J195" s="421">
        <f t="shared" ref="J195:K195" si="72">ABS(J125 + J160)*(1-J82)*PowerFactor*$H23</f>
        <v>9.8824386998252606E-2</v>
      </c>
      <c r="K195" s="421">
        <f t="shared" si="72"/>
        <v>0</v>
      </c>
      <c r="L195" s="421">
        <f t="shared" ref="L195:M195" si="73">ABS(L125 + L160)*(1-L82)*PowerFactor*$H23</f>
        <v>8.5172666576023792E-2</v>
      </c>
      <c r="M195" s="421">
        <f t="shared" si="73"/>
        <v>0</v>
      </c>
      <c r="N195" s="421">
        <f t="shared" ref="N195:P195" si="74">ABS(N125 + N160)*(1-N82)*PowerFactor*$H23</f>
        <v>7.7163362303446087E-2</v>
      </c>
      <c r="O195" s="421">
        <f t="shared" si="74"/>
        <v>6.3968583500010459E-2</v>
      </c>
      <c r="P195" s="421">
        <f t="shared" si="74"/>
        <v>5.594661751673391E-2</v>
      </c>
      <c r="Q195" s="421">
        <f t="shared" ref="Q195:S195" si="75">ABS(Q125 + Q160)*(1-Q82)*PowerFactor*$H23</f>
        <v>9.5140146384771598E-2</v>
      </c>
      <c r="R195" s="421">
        <f t="shared" si="75"/>
        <v>5.273910476762142E-2</v>
      </c>
      <c r="S195" s="421">
        <f t="shared" si="75"/>
        <v>5.0272887638200273E-2</v>
      </c>
      <c r="T195" s="421">
        <f t="shared" ref="T195:U195" si="76">ABS(T125 + T160)*(1-T82)*PowerFactor*$H23</f>
        <v>5.273910476762142E-2</v>
      </c>
      <c r="U195" s="421">
        <f t="shared" si="76"/>
        <v>5.273910476762142E-2</v>
      </c>
      <c r="V195" s="421">
        <f t="shared" ref="V195:W195" si="77">ABS(V125 + V160)*(1-V82)*PowerFactor*$H23</f>
        <v>5.0272887638200273E-2</v>
      </c>
      <c r="W195" s="421">
        <f t="shared" si="77"/>
        <v>5.0272887638200273E-2</v>
      </c>
      <c r="X195" s="421">
        <f t="shared" ref="X195:Y195" si="78">ABS(X125 + X160)*(1-X82)*PowerFactor*$H23</f>
        <v>4.9229488083445176E-2</v>
      </c>
      <c r="Y195" s="421">
        <f t="shared" si="78"/>
        <v>4.9229488083445176E-2</v>
      </c>
      <c r="Z195" s="351"/>
      <c r="AA195" s="351"/>
    </row>
    <row r="196" spans="4:27" x14ac:dyDescent="0.25">
      <c r="F196" s="295" t="s">
        <v>45</v>
      </c>
      <c r="G196" s="295" t="s">
        <v>315</v>
      </c>
      <c r="H196" s="351"/>
      <c r="I196" s="351"/>
      <c r="J196" s="421">
        <f t="shared" ref="J196:K196" si="79">ABS(J126 + J161)*(1-J83)*PowerFactor*$H24</f>
        <v>7.9862958049605904E-3</v>
      </c>
      <c r="K196" s="421">
        <f t="shared" si="79"/>
        <v>0</v>
      </c>
      <c r="L196" s="421">
        <f t="shared" ref="L196:M196" si="80">ABS(L126 + L161)*(1-L83)*PowerFactor*$H24</f>
        <v>6.8830592370427079E-3</v>
      </c>
      <c r="M196" s="421">
        <f t="shared" si="80"/>
        <v>0</v>
      </c>
      <c r="N196" s="421">
        <f t="shared" ref="N196:P196" si="81">ABS(N126 + N161)*(1-N83)*PowerFactor*$H24</f>
        <v>6.235803280738408E-3</v>
      </c>
      <c r="O196" s="421">
        <f t="shared" si="81"/>
        <v>5.1694935387197292E-3</v>
      </c>
      <c r="P196" s="421">
        <f t="shared" si="81"/>
        <v>4.5212143515094821E-3</v>
      </c>
      <c r="Q196" s="421">
        <f t="shared" ref="Q196:S196" si="82">ABS(Q126 + Q161)*(1-Q83)*PowerFactor*$H24</f>
        <v>7.6885612452063344E-3</v>
      </c>
      <c r="R196" s="421">
        <f t="shared" si="82"/>
        <v>4.2620056036419378E-3</v>
      </c>
      <c r="S196" s="421">
        <f t="shared" si="82"/>
        <v>4.0627031833277453E-3</v>
      </c>
      <c r="T196" s="421">
        <f t="shared" ref="T196:U196" si="83">ABS(T126 + T161)*(1-T83)*PowerFactor*$H24</f>
        <v>4.2620056036419378E-3</v>
      </c>
      <c r="U196" s="421">
        <f t="shared" si="83"/>
        <v>4.2620056036419378E-3</v>
      </c>
      <c r="V196" s="421">
        <f t="shared" ref="V196:W196" si="84">ABS(V126 + V161)*(1-V83)*PowerFactor*$H24</f>
        <v>4.0627031833277453E-3</v>
      </c>
      <c r="W196" s="421">
        <f t="shared" si="84"/>
        <v>4.0627031833277453E-3</v>
      </c>
      <c r="X196" s="421">
        <f t="shared" ref="X196:Y196" si="85">ABS(X126 + X161)*(1-X83)*PowerFactor*$H24</f>
        <v>3.9783829285794346E-3</v>
      </c>
      <c r="Y196" s="421">
        <f t="shared" si="85"/>
        <v>3.9783829285794346E-3</v>
      </c>
      <c r="Z196" s="351"/>
      <c r="AA196" s="351"/>
    </row>
    <row r="197" spans="4:27" x14ac:dyDescent="0.25">
      <c r="F197" s="295" t="s">
        <v>46</v>
      </c>
      <c r="G197" s="295" t="s">
        <v>315</v>
      </c>
      <c r="H197" s="351"/>
      <c r="I197" s="351"/>
      <c r="J197" s="421">
        <f t="shared" ref="J197:K197" si="86">ABS(J127 + J162)*(1-J84)*PowerFactor*$H25</f>
        <v>8.1529736353130072E-2</v>
      </c>
      <c r="K197" s="421">
        <f t="shared" si="86"/>
        <v>0</v>
      </c>
      <c r="L197" s="421">
        <f t="shared" ref="L197:M197" si="87">ABS(L127 + L162)*(1-L84)*PowerFactor*$H25</f>
        <v>7.026711990188271E-2</v>
      </c>
      <c r="M197" s="421">
        <f t="shared" si="87"/>
        <v>0</v>
      </c>
      <c r="N197" s="421">
        <f t="shared" ref="N197:P197" si="88">ABS(N127 + N162)*(1-N84)*PowerFactor*$H25</f>
        <v>6.3659474911109279E-2</v>
      </c>
      <c r="O197" s="421">
        <f t="shared" si="88"/>
        <v>5.2773833524828812E-2</v>
      </c>
      <c r="P197" s="421">
        <f t="shared" si="88"/>
        <v>2.6052878521668668E-2</v>
      </c>
      <c r="Q197" s="421">
        <f t="shared" ref="Q197:S197" si="89">ABS(Q127 + Q162)*(1-Q84)*PowerFactor*$H25</f>
        <v>7.8490252122543222E-2</v>
      </c>
      <c r="R197" s="421">
        <f t="shared" si="89"/>
        <v>4.3509557082102697E-2</v>
      </c>
      <c r="S197" s="421">
        <f t="shared" si="89"/>
        <v>4.1474937506320919E-2</v>
      </c>
      <c r="T197" s="421">
        <f t="shared" ref="T197:U197" si="90">ABS(T127 + T162)*(1-T84)*PowerFactor*$H25</f>
        <v>4.3509557082102697E-2</v>
      </c>
      <c r="U197" s="421">
        <f t="shared" si="90"/>
        <v>4.3509557082102697E-2</v>
      </c>
      <c r="V197" s="421">
        <f t="shared" ref="V197:W197" si="91">ABS(V127 + V162)*(1-V84)*PowerFactor*$H25</f>
        <v>4.1474937506320919E-2</v>
      </c>
      <c r="W197" s="421">
        <f t="shared" si="91"/>
        <v>4.1474937506320919E-2</v>
      </c>
      <c r="X197" s="421">
        <f t="shared" ref="X197:Y197" si="92">ABS(X127 + X162)*(1-X84)*PowerFactor*$H25</f>
        <v>2.8656108484536827E-2</v>
      </c>
      <c r="Y197" s="421">
        <f t="shared" si="92"/>
        <v>2.8656108484536827E-2</v>
      </c>
      <c r="Z197" s="351"/>
      <c r="AA197" s="351"/>
    </row>
    <row r="198" spans="4:27" x14ac:dyDescent="0.25">
      <c r="F198" s="295" t="s">
        <v>47</v>
      </c>
      <c r="G198" s="295" t="s">
        <v>315</v>
      </c>
      <c r="H198" s="351"/>
      <c r="I198" s="351"/>
      <c r="J198" s="421">
        <f t="shared" ref="J198:K198" si="93">ABS(J128 + J163)*(1-J85)*PowerFactor*$H26</f>
        <v>1.7804452156080262E-2</v>
      </c>
      <c r="K198" s="421">
        <f t="shared" si="93"/>
        <v>0</v>
      </c>
      <c r="L198" s="421">
        <f t="shared" ref="L198:M198" si="94">ABS(L128 + L163)*(1-L85)*PowerFactor*$H26</f>
        <v>1.5344923587387453E-2</v>
      </c>
      <c r="M198" s="421">
        <f t="shared" si="94"/>
        <v>0</v>
      </c>
      <c r="N198" s="421">
        <f t="shared" ref="N198:P198" si="95">ABS(N128 + N163)*(1-N85)*PowerFactor*$H26</f>
        <v>1.3901947020003124E-2</v>
      </c>
      <c r="O198" s="421">
        <f t="shared" si="95"/>
        <v>1.1524742212044277E-2</v>
      </c>
      <c r="P198" s="421">
        <f t="shared" si="95"/>
        <v>0</v>
      </c>
      <c r="Q198" s="421">
        <f t="shared" ref="Q198:S198" si="96">ABS(Q128 + Q163)*(1-Q85)*PowerFactor*$H26</f>
        <v>1.7140690024822412E-2</v>
      </c>
      <c r="R198" s="421">
        <f t="shared" si="96"/>
        <v>9.501610848405494E-3</v>
      </c>
      <c r="S198" s="421">
        <f t="shared" si="96"/>
        <v>9.0572909166455259E-3</v>
      </c>
      <c r="T198" s="421">
        <f t="shared" ref="T198:U198" si="97">ABS(T128 + T163)*(1-T85)*PowerFactor*$H26</f>
        <v>9.501610848405494E-3</v>
      </c>
      <c r="U198" s="421">
        <f t="shared" si="97"/>
        <v>9.501610848405494E-3</v>
      </c>
      <c r="V198" s="421">
        <f t="shared" ref="V198:W198" si="98">ABS(V128 + V163)*(1-V85)*PowerFactor*$H26</f>
        <v>9.0572909166455259E-3</v>
      </c>
      <c r="W198" s="421">
        <f t="shared" si="98"/>
        <v>9.0572909166455259E-3</v>
      </c>
      <c r="X198" s="421">
        <f t="shared" ref="X198:Y198" si="99">ABS(X128 + X163)*(1-X85)*PowerFactor*$H26</f>
        <v>7.5994851620059109E-3</v>
      </c>
      <c r="Y198" s="421">
        <f t="shared" si="99"/>
        <v>7.5994851620059109E-3</v>
      </c>
      <c r="Z198" s="351"/>
      <c r="AA198" s="351"/>
    </row>
    <row r="199" spans="4:27" x14ac:dyDescent="0.25">
      <c r="F199" s="295" t="s">
        <v>51</v>
      </c>
      <c r="G199" s="295" t="s">
        <v>315</v>
      </c>
      <c r="H199" s="351"/>
      <c r="I199" s="351"/>
      <c r="J199" s="421">
        <f t="shared" ref="J199:K199" si="100">ABS(J129 + J164)*(1-J86)*PowerFactor*$H27</f>
        <v>0</v>
      </c>
      <c r="K199" s="421">
        <f t="shared" si="100"/>
        <v>0</v>
      </c>
      <c r="L199" s="421">
        <f t="shared" ref="L199:M199" si="101">ABS(L129 + L164)*(1-L86)*PowerFactor*$H27</f>
        <v>0</v>
      </c>
      <c r="M199" s="421">
        <f t="shared" si="101"/>
        <v>0</v>
      </c>
      <c r="N199" s="421">
        <f t="shared" ref="N199:P199" si="102">ABS(N129 + N164)*(1-N86)*PowerFactor*$H27</f>
        <v>0</v>
      </c>
      <c r="O199" s="421">
        <f t="shared" si="102"/>
        <v>0</v>
      </c>
      <c r="P199" s="421">
        <f t="shared" si="102"/>
        <v>0</v>
      </c>
      <c r="Q199" s="421">
        <f t="shared" ref="Q199:S199" si="103">ABS(Q129 + Q164)*(1-Q86)*PowerFactor*$H27</f>
        <v>0</v>
      </c>
      <c r="R199" s="421">
        <f t="shared" si="103"/>
        <v>0</v>
      </c>
      <c r="S199" s="421">
        <f t="shared" si="103"/>
        <v>0</v>
      </c>
      <c r="T199" s="421">
        <f t="shared" ref="T199:U199" si="104">ABS(T129 + T164)*(1-T86)*PowerFactor*$H27</f>
        <v>0</v>
      </c>
      <c r="U199" s="421">
        <f t="shared" si="104"/>
        <v>0</v>
      </c>
      <c r="V199" s="421">
        <f t="shared" ref="V199:W199" si="105">ABS(V129 + V164)*(1-V86)*PowerFactor*$H27</f>
        <v>0</v>
      </c>
      <c r="W199" s="421">
        <f t="shared" si="105"/>
        <v>0</v>
      </c>
      <c r="X199" s="421">
        <f t="shared" ref="X199:Y199" si="106">ABS(X129 + X164)*(1-X86)*PowerFactor*$H27</f>
        <v>0</v>
      </c>
      <c r="Y199" s="421">
        <f t="shared" si="106"/>
        <v>0</v>
      </c>
      <c r="Z199" s="351"/>
      <c r="AA199" s="351"/>
    </row>
    <row r="200" spans="4:27" x14ac:dyDescent="0.25">
      <c r="F200" s="295" t="s">
        <v>48</v>
      </c>
      <c r="G200" s="295" t="s">
        <v>315</v>
      </c>
      <c r="H200" s="351"/>
      <c r="I200" s="351"/>
      <c r="J200" s="421">
        <f t="shared" ref="J200:K200" si="107">ABS(J130 + J165)*(1-J87)*PowerFactor*$H28</f>
        <v>9.8439934078686051E-2</v>
      </c>
      <c r="K200" s="421">
        <f t="shared" si="107"/>
        <v>0</v>
      </c>
      <c r="L200" s="421">
        <f t="shared" ref="L200:M200" si="108">ABS(L130 + L165)*(1-L87)*PowerFactor*$H28</f>
        <v>8.4841322448050607E-2</v>
      </c>
      <c r="M200" s="421">
        <f t="shared" si="108"/>
        <v>0</v>
      </c>
      <c r="N200" s="421">
        <f t="shared" ref="N200:P200" si="109">ABS(N130 + N165)*(1-N87)*PowerFactor*$H28</f>
        <v>6.1490541184538283E-2</v>
      </c>
      <c r="O200" s="421">
        <f t="shared" si="109"/>
        <v>0</v>
      </c>
      <c r="P200" s="421">
        <f t="shared" si="109"/>
        <v>0</v>
      </c>
      <c r="Q200" s="421">
        <f t="shared" ref="Q200:S200" si="110">ABS(Q130 + Q165)*(1-Q87)*PowerFactor*$H28</f>
        <v>9.477002613250772E-2</v>
      </c>
      <c r="R200" s="421">
        <f t="shared" si="110"/>
        <v>5.2533935745894052E-2</v>
      </c>
      <c r="S200" s="421">
        <f t="shared" si="110"/>
        <v>5.0077312851301882E-2</v>
      </c>
      <c r="T200" s="421">
        <f t="shared" ref="T200:U200" si="111">ABS(T130 + T165)*(1-T87)*PowerFactor*$H28</f>
        <v>5.2533935745894052E-2</v>
      </c>
      <c r="U200" s="421">
        <f t="shared" si="111"/>
        <v>5.2533935745894052E-2</v>
      </c>
      <c r="V200" s="421">
        <f t="shared" ref="V200:W200" si="112">ABS(V130 + V165)*(1-V87)*PowerFactor*$H28</f>
        <v>5.0077312851301882E-2</v>
      </c>
      <c r="W200" s="421">
        <f t="shared" si="112"/>
        <v>5.0077312851301882E-2</v>
      </c>
      <c r="X200" s="421">
        <f t="shared" ref="X200:Y200" si="113">ABS(X130 + X165)*(1-X87)*PowerFactor*$H28</f>
        <v>1.9342217535702182E-2</v>
      </c>
      <c r="Y200" s="421">
        <f t="shared" si="113"/>
        <v>1.9342217535702182E-2</v>
      </c>
      <c r="Z200" s="351"/>
      <c r="AA200" s="351"/>
    </row>
    <row r="201" spans="4:27" x14ac:dyDescent="0.25">
      <c r="F201" s="295" t="s">
        <v>49</v>
      </c>
      <c r="G201" s="295" t="s">
        <v>315</v>
      </c>
      <c r="H201" s="351"/>
      <c r="I201" s="351"/>
      <c r="J201" s="421">
        <f t="shared" ref="J201:K201" si="114">ABS(J131 + J166)*(1-J88)*PowerFactor*$H29</f>
        <v>1.6519215255209198E-2</v>
      </c>
      <c r="K201" s="421">
        <f t="shared" si="114"/>
        <v>0</v>
      </c>
      <c r="L201" s="421">
        <f t="shared" ref="L201:M201" si="115">ABS(L131 + L166)*(1-L88)*PowerFactor*$H29</f>
        <v>1.4237230867461663E-2</v>
      </c>
      <c r="M201" s="421">
        <f t="shared" si="115"/>
        <v>0</v>
      </c>
      <c r="N201" s="421">
        <f t="shared" ref="N201:P201" si="116">ABS(N131 + N166)*(1-N88)*PowerFactor*$H29</f>
        <v>0</v>
      </c>
      <c r="O201" s="421">
        <f t="shared" si="116"/>
        <v>0</v>
      </c>
      <c r="P201" s="421">
        <f t="shared" si="116"/>
        <v>0</v>
      </c>
      <c r="Q201" s="421">
        <f t="shared" ref="Q201:S201" si="117">ABS(Q131 + Q166)*(1-Q88)*PowerFactor*$H29</f>
        <v>1.5903367633031153E-2</v>
      </c>
      <c r="R201" s="421">
        <f t="shared" si="117"/>
        <v>8.8157250501212057E-3</v>
      </c>
      <c r="S201" s="421">
        <f t="shared" si="117"/>
        <v>8.4034789146838831E-3</v>
      </c>
      <c r="T201" s="421">
        <f t="shared" ref="T201:U201" si="118">ABS(T131 + T166)*(1-T88)*PowerFactor*$H29</f>
        <v>8.8157250501212057E-3</v>
      </c>
      <c r="U201" s="421">
        <f t="shared" si="118"/>
        <v>8.8157250501212057E-3</v>
      </c>
      <c r="V201" s="421">
        <f t="shared" ref="V201:W201" si="119">ABS(V131 + V166)*(1-V88)*PowerFactor*$H29</f>
        <v>8.4034789146838831E-3</v>
      </c>
      <c r="W201" s="421">
        <f t="shared" si="119"/>
        <v>8.4034789146838831E-3</v>
      </c>
      <c r="X201" s="421">
        <f t="shared" ref="X201:Y201" si="120">ABS(X131 + X166)*(1-X88)*PowerFactor*$H29</f>
        <v>0</v>
      </c>
      <c r="Y201" s="421">
        <f t="shared" si="120"/>
        <v>0</v>
      </c>
      <c r="Z201" s="351"/>
      <c r="AA201" s="351"/>
    </row>
    <row r="202" spans="4:27" x14ac:dyDescent="0.25">
      <c r="F202" s="295" t="s">
        <v>50</v>
      </c>
      <c r="G202" s="295" t="s">
        <v>315</v>
      </c>
      <c r="H202" s="351"/>
      <c r="I202" s="351"/>
      <c r="J202" s="421">
        <f t="shared" ref="J202:K202" si="121">ABS(J132 + J167)*(1-J89)*PowerFactor*$H30</f>
        <v>0</v>
      </c>
      <c r="K202" s="421">
        <f t="shared" si="121"/>
        <v>0</v>
      </c>
      <c r="L202" s="421">
        <f t="shared" ref="L202:M202" si="122">ABS(L132 + L167)*(1-L89)*PowerFactor*$H30</f>
        <v>0</v>
      </c>
      <c r="M202" s="421">
        <f t="shared" si="122"/>
        <v>0</v>
      </c>
      <c r="N202" s="421">
        <f t="shared" ref="N202:P202" si="123">ABS(N132 + N167)*(1-N89)*PowerFactor*$H30</f>
        <v>0</v>
      </c>
      <c r="O202" s="421">
        <f t="shared" si="123"/>
        <v>0</v>
      </c>
      <c r="P202" s="421">
        <f t="shared" si="123"/>
        <v>0</v>
      </c>
      <c r="Q202" s="421">
        <f t="shared" ref="Q202:S202" si="124">ABS(Q132 + Q167)*(1-Q89)*PowerFactor*$H30</f>
        <v>2.3264862080412665E-3</v>
      </c>
      <c r="R202" s="421">
        <f t="shared" si="124"/>
        <v>1.2896427483945292E-3</v>
      </c>
      <c r="S202" s="421">
        <f t="shared" si="124"/>
        <v>0</v>
      </c>
      <c r="T202" s="421">
        <f t="shared" ref="T202:U202" si="125">ABS(T132 + T167)*(1-T89)*PowerFactor*$H30</f>
        <v>1.2896427483945292E-3</v>
      </c>
      <c r="U202" s="421">
        <f t="shared" si="125"/>
        <v>1.2896427483945292E-3</v>
      </c>
      <c r="V202" s="421">
        <f t="shared" ref="V202:W202" si="126">ABS(V132 + V167)*(1-V89)*PowerFactor*$H30</f>
        <v>0</v>
      </c>
      <c r="W202" s="421">
        <f t="shared" si="126"/>
        <v>0</v>
      </c>
      <c r="X202" s="421">
        <f t="shared" ref="X202:Y202" si="127">ABS(X132 + X167)*(1-X89)*PowerFactor*$H30</f>
        <v>0</v>
      </c>
      <c r="Y202" s="421">
        <f t="shared" si="127"/>
        <v>0</v>
      </c>
      <c r="Z202" s="351"/>
      <c r="AA202" s="351"/>
    </row>
    <row r="203" spans="4:27" x14ac:dyDescent="0.25">
      <c r="F203" s="295" t="s">
        <v>124</v>
      </c>
      <c r="G203" s="295" t="s">
        <v>315</v>
      </c>
      <c r="H203" s="351"/>
      <c r="I203" s="351"/>
      <c r="J203" s="422"/>
      <c r="K203" s="422"/>
      <c r="L203" s="422"/>
      <c r="M203" s="422"/>
      <c r="N203" s="422"/>
      <c r="O203" s="422"/>
      <c r="P203" s="422"/>
      <c r="Q203" s="422"/>
      <c r="R203" s="422"/>
      <c r="S203" s="422"/>
      <c r="T203" s="422"/>
      <c r="U203" s="422"/>
      <c r="V203" s="422"/>
      <c r="W203" s="422"/>
      <c r="X203" s="422"/>
      <c r="Y203" s="422"/>
      <c r="Z203" s="351"/>
      <c r="AA203" s="351"/>
    </row>
    <row r="204" spans="4:27" x14ac:dyDescent="0.25">
      <c r="F204" s="93" t="s">
        <v>123</v>
      </c>
      <c r="G204" s="93" t="s">
        <v>315</v>
      </c>
      <c r="H204" s="353"/>
      <c r="I204" s="353"/>
      <c r="J204" s="358"/>
      <c r="K204" s="358"/>
      <c r="L204" s="358"/>
      <c r="M204" s="358"/>
      <c r="N204" s="358"/>
      <c r="O204" s="358"/>
      <c r="P204" s="358"/>
      <c r="Q204" s="358"/>
      <c r="R204" s="358"/>
      <c r="S204" s="358"/>
      <c r="T204" s="358"/>
      <c r="U204" s="358"/>
      <c r="V204" s="358"/>
      <c r="W204" s="358"/>
      <c r="X204" s="358"/>
      <c r="Y204" s="358"/>
      <c r="Z204" s="351"/>
      <c r="AA204" s="351"/>
    </row>
    <row r="205" spans="4:27" x14ac:dyDescent="0.25">
      <c r="D205" s="295"/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4:27" x14ac:dyDescent="0.25">
      <c r="E206" s="96" t="s">
        <v>116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  <c r="U206" s="253"/>
      <c r="V206" s="253"/>
      <c r="W206" s="253"/>
      <c r="X206" s="253"/>
      <c r="Y206" s="253"/>
    </row>
    <row r="207" spans="4:27" x14ac:dyDescent="0.25">
      <c r="F207" s="91" t="s">
        <v>324</v>
      </c>
      <c r="G207" s="91" t="s">
        <v>315</v>
      </c>
      <c r="H207" s="349"/>
      <c r="I207" s="349"/>
      <c r="J207" s="362">
        <f t="shared" ref="J207:K207" si="128">ABS(J137 + J172)*(1-J81)*PowerFactor*$H22</f>
        <v>6.1142399443772158E-2</v>
      </c>
      <c r="K207" s="362">
        <f t="shared" si="128"/>
        <v>0</v>
      </c>
      <c r="L207" s="362">
        <f t="shared" ref="L207:M207" si="129">ABS(L137 + L172)*(1-L81)*PowerFactor*$H22</f>
        <v>5.2696114386973636E-2</v>
      </c>
      <c r="M207" s="362">
        <f t="shared" si="129"/>
        <v>0</v>
      </c>
      <c r="N207" s="362">
        <f t="shared" ref="N207:P207" si="130">ABS(N137 + N172)*(1-N81)*PowerFactor*$H22</f>
        <v>4.7740777997087237E-2</v>
      </c>
      <c r="O207" s="362">
        <f t="shared" si="130"/>
        <v>3.9577201569477888E-2</v>
      </c>
      <c r="P207" s="362">
        <f t="shared" si="130"/>
        <v>3.4614031411058184E-2</v>
      </c>
      <c r="Q207" s="362">
        <f t="shared" ref="Q207:S207" si="131">ABS(Q137 + Q172)*(1-Q81)*PowerFactor*$H22</f>
        <v>5.8862969051348808E-2</v>
      </c>
      <c r="R207" s="362">
        <f t="shared" si="131"/>
        <v>3.2629551348149259E-2</v>
      </c>
      <c r="S207" s="362">
        <f t="shared" si="131"/>
        <v>3.1103709018919255E-2</v>
      </c>
      <c r="T207" s="362">
        <f t="shared" ref="T207:U207" si="132">ABS(T137 + T172)*(1-T81)*PowerFactor*$H22</f>
        <v>3.2629551348149259E-2</v>
      </c>
      <c r="U207" s="362">
        <f t="shared" si="132"/>
        <v>3.2629551348149259E-2</v>
      </c>
      <c r="V207" s="362">
        <f t="shared" ref="V207:W207" si="133">ABS(V137 + V172)*(1-V81)*PowerFactor*$H22</f>
        <v>3.1103709018919255E-2</v>
      </c>
      <c r="W207" s="362">
        <f t="shared" si="133"/>
        <v>3.1103709018919255E-2</v>
      </c>
      <c r="X207" s="362">
        <f t="shared" ref="X207:Y207" si="134">ABS(X137 + X172)*(1-X81)*PowerFactor*$H22</f>
        <v>3.0458160341168099E-2</v>
      </c>
      <c r="Y207" s="362">
        <f t="shared" si="134"/>
        <v>3.0458160341168099E-2</v>
      </c>
      <c r="Z207" s="351"/>
      <c r="AA207" s="351"/>
    </row>
    <row r="208" spans="4:27" x14ac:dyDescent="0.25">
      <c r="F208" s="295" t="s">
        <v>43</v>
      </c>
      <c r="G208" s="295" t="s">
        <v>315</v>
      </c>
      <c r="H208" s="351"/>
      <c r="I208" s="351"/>
      <c r="J208" s="421">
        <f t="shared" ref="J208:K208" si="135">ABS(J138 + J173)*(1-J81)*PowerFactor*$H22</f>
        <v>0</v>
      </c>
      <c r="K208" s="421">
        <f t="shared" si="135"/>
        <v>0</v>
      </c>
      <c r="L208" s="421">
        <f t="shared" ref="L208:M208" si="136">ABS(L138 + L173)*(1-L81)*PowerFactor*$H22</f>
        <v>0</v>
      </c>
      <c r="M208" s="421">
        <f t="shared" si="136"/>
        <v>0</v>
      </c>
      <c r="N208" s="421">
        <f t="shared" ref="N208:P208" si="137">ABS(N138 + N173)*(1-N81)*PowerFactor*$H22</f>
        <v>0</v>
      </c>
      <c r="O208" s="421">
        <f t="shared" si="137"/>
        <v>0</v>
      </c>
      <c r="P208" s="421">
        <f t="shared" si="137"/>
        <v>0</v>
      </c>
      <c r="Q208" s="421">
        <f t="shared" ref="Q208:S208" si="138">ABS(Q138 + Q173)*(1-Q81)*PowerFactor*$H22</f>
        <v>0</v>
      </c>
      <c r="R208" s="421">
        <f t="shared" si="138"/>
        <v>0</v>
      </c>
      <c r="S208" s="421">
        <f t="shared" si="138"/>
        <v>0</v>
      </c>
      <c r="T208" s="421">
        <f t="shared" ref="T208:U208" si="139">ABS(T138 + T173)*(1-T81)*PowerFactor*$H22</f>
        <v>0</v>
      </c>
      <c r="U208" s="421">
        <f t="shared" si="139"/>
        <v>0</v>
      </c>
      <c r="V208" s="421">
        <f t="shared" ref="V208:W208" si="140">ABS(V138 + V173)*(1-V81)*PowerFactor*$H22</f>
        <v>0</v>
      </c>
      <c r="W208" s="421">
        <f t="shared" si="140"/>
        <v>0</v>
      </c>
      <c r="X208" s="421">
        <f t="shared" ref="X208:Y208" si="141">ABS(X138 + X173)*(1-X81)*PowerFactor*$H22</f>
        <v>0</v>
      </c>
      <c r="Y208" s="421">
        <f t="shared" si="141"/>
        <v>0</v>
      </c>
      <c r="Z208" s="351"/>
      <c r="AA208" s="351"/>
    </row>
    <row r="209" spans="3:27" x14ac:dyDescent="0.25">
      <c r="F209" s="295" t="s">
        <v>44</v>
      </c>
      <c r="G209" s="295" t="s">
        <v>315</v>
      </c>
      <c r="H209" s="351"/>
      <c r="I209" s="351"/>
      <c r="J209" s="421">
        <f t="shared" ref="J209:K209" si="142">ABS(J139 + J174)*(1-J82)*PowerFactor*$H23</f>
        <v>5.2302199213110107E-2</v>
      </c>
      <c r="K209" s="421">
        <f t="shared" si="142"/>
        <v>0</v>
      </c>
      <c r="L209" s="421">
        <f t="shared" ref="L209:M209" si="143">ABS(L139 + L174)*(1-L82)*PowerFactor*$H23</f>
        <v>4.5077110115034354E-2</v>
      </c>
      <c r="M209" s="421">
        <f t="shared" si="143"/>
        <v>0</v>
      </c>
      <c r="N209" s="421">
        <f t="shared" ref="N209:P209" si="144">ABS(N139 + N174)*(1-N82)*PowerFactor*$H23</f>
        <v>4.083823507268089E-2</v>
      </c>
      <c r="O209" s="421">
        <f t="shared" si="144"/>
        <v>3.3854979516919993E-2</v>
      </c>
      <c r="P209" s="421">
        <f t="shared" si="144"/>
        <v>2.9609403342027635E-2</v>
      </c>
      <c r="Q209" s="421">
        <f t="shared" ref="Q209:S209" si="145">ABS(Q139 + Q174)*(1-Q82)*PowerFactor*$H23</f>
        <v>5.0352337520381152E-2</v>
      </c>
      <c r="R209" s="421">
        <f t="shared" si="145"/>
        <v>2.7911846940431757E-2</v>
      </c>
      <c r="S209" s="421">
        <f t="shared" si="145"/>
        <v>2.6606616687821636E-2</v>
      </c>
      <c r="T209" s="421">
        <f t="shared" ref="T209:U209" si="146">ABS(T139 + T174)*(1-T82)*PowerFactor*$H23</f>
        <v>2.7911846940431757E-2</v>
      </c>
      <c r="U209" s="421">
        <f t="shared" si="146"/>
        <v>2.7911846940431757E-2</v>
      </c>
      <c r="V209" s="421">
        <f t="shared" ref="V209:W209" si="147">ABS(V139 + V174)*(1-V82)*PowerFactor*$H23</f>
        <v>2.6606616687821636E-2</v>
      </c>
      <c r="W209" s="421">
        <f t="shared" si="147"/>
        <v>2.6606616687821636E-2</v>
      </c>
      <c r="X209" s="421">
        <f t="shared" ref="X209:Y209" si="148">ABS(X139 + X174)*(1-X82)*PowerFactor*$H23</f>
        <v>2.6054403888640436E-2</v>
      </c>
      <c r="Y209" s="421">
        <f t="shared" si="148"/>
        <v>2.6054403888640436E-2</v>
      </c>
      <c r="Z209" s="351"/>
      <c r="AA209" s="351"/>
    </row>
    <row r="210" spans="3:27" x14ac:dyDescent="0.25">
      <c r="F210" s="295" t="s">
        <v>45</v>
      </c>
      <c r="G210" s="295" t="s">
        <v>315</v>
      </c>
      <c r="H210" s="351"/>
      <c r="I210" s="351"/>
      <c r="J210" s="421">
        <f t="shared" ref="J210:K210" si="149">ABS(J140 + J175)*(1-J83)*PowerFactor*$H24</f>
        <v>4.2266979523309378E-3</v>
      </c>
      <c r="K210" s="421">
        <f t="shared" si="149"/>
        <v>0</v>
      </c>
      <c r="L210" s="421">
        <f t="shared" ref="L210:M210" si="150">ABS(L140 + L175)*(1-L83)*PowerFactor*$H24</f>
        <v>3.6428167818315016E-3</v>
      </c>
      <c r="M210" s="421">
        <f t="shared" si="150"/>
        <v>0</v>
      </c>
      <c r="N210" s="421">
        <f t="shared" ref="N210:P210" si="151">ABS(N140 + N175)*(1-N83)*PowerFactor*$H24</f>
        <v>3.3002605465057193E-3</v>
      </c>
      <c r="O210" s="421">
        <f t="shared" si="151"/>
        <v>2.735922671574837E-3</v>
      </c>
      <c r="P210" s="421">
        <f t="shared" si="151"/>
        <v>2.3928248975832516E-3</v>
      </c>
      <c r="Q210" s="421">
        <f t="shared" ref="Q210:S210" si="152">ABS(Q140 + Q175)*(1-Q83)*PowerFactor*$H24</f>
        <v>4.0691237671536496E-3</v>
      </c>
      <c r="R210" s="421">
        <f t="shared" si="152"/>
        <v>2.2556402614772987E-3</v>
      </c>
      <c r="S210" s="421">
        <f t="shared" si="152"/>
        <v>2.1501606809046186E-3</v>
      </c>
      <c r="T210" s="421">
        <f t="shared" ref="T210:U210" si="153">ABS(T140 + T175)*(1-T83)*PowerFactor*$H24</f>
        <v>2.2556402614772987E-3</v>
      </c>
      <c r="U210" s="421">
        <f t="shared" si="153"/>
        <v>2.2556402614772987E-3</v>
      </c>
      <c r="V210" s="421">
        <f t="shared" ref="V210:W210" si="154">ABS(V140 + V175)*(1-V83)*PowerFactor*$H24</f>
        <v>2.1501606809046186E-3</v>
      </c>
      <c r="W210" s="421">
        <f t="shared" si="154"/>
        <v>2.1501606809046186E-3</v>
      </c>
      <c r="X210" s="421">
        <f t="shared" ref="X210:Y210" si="155">ABS(X140 + X175)*(1-X83)*PowerFactor*$H24</f>
        <v>2.1055347045084855E-3</v>
      </c>
      <c r="Y210" s="421">
        <f t="shared" si="155"/>
        <v>2.1055347045084855E-3</v>
      </c>
      <c r="Z210" s="351"/>
      <c r="AA210" s="351"/>
    </row>
    <row r="211" spans="3:27" x14ac:dyDescent="0.25">
      <c r="F211" s="295" t="s">
        <v>46</v>
      </c>
      <c r="G211" s="295" t="s">
        <v>315</v>
      </c>
      <c r="H211" s="351"/>
      <c r="I211" s="351"/>
      <c r="J211" s="421">
        <f t="shared" ref="J211:K211" si="156">ABS(J141 + J176)*(1-J84)*PowerFactor*$H25</f>
        <v>4.3149111692533493E-2</v>
      </c>
      <c r="K211" s="421">
        <f t="shared" si="156"/>
        <v>0</v>
      </c>
      <c r="L211" s="421">
        <f t="shared" ref="L211:M211" si="157">ABS(L141 + L176)*(1-L84)*PowerFactor*$H25</f>
        <v>3.718844118208138E-2</v>
      </c>
      <c r="M211" s="421">
        <f t="shared" si="157"/>
        <v>0</v>
      </c>
      <c r="N211" s="421">
        <f t="shared" ref="N211:P211" si="158">ABS(N141 + N176)*(1-N84)*PowerFactor*$H25</f>
        <v>3.3691385696748066E-2</v>
      </c>
      <c r="O211" s="421">
        <f t="shared" si="158"/>
        <v>2.7930226921659647E-2</v>
      </c>
      <c r="P211" s="421">
        <f t="shared" si="158"/>
        <v>1.9542114422357603E-2</v>
      </c>
      <c r="Q211" s="421">
        <f t="shared" ref="Q211:S211" si="159">ABS(Q141 + Q176)*(1-Q84)*PowerFactor*$H25</f>
        <v>4.1540483351271217E-2</v>
      </c>
      <c r="R211" s="421">
        <f t="shared" si="159"/>
        <v>2.3027165574247985E-2</v>
      </c>
      <c r="S211" s="421">
        <f t="shared" si="159"/>
        <v>2.1950355673293936E-2</v>
      </c>
      <c r="T211" s="421">
        <f t="shared" ref="T211:U211" si="160">ABS(T141 + T176)*(1-T84)*PowerFactor*$H25</f>
        <v>2.3027165574247985E-2</v>
      </c>
      <c r="U211" s="421">
        <f t="shared" si="160"/>
        <v>2.3027165574247985E-2</v>
      </c>
      <c r="V211" s="421">
        <f t="shared" ref="V211:W211" si="161">ABS(V141 + V176)*(1-V84)*PowerFactor*$H25</f>
        <v>2.1950355673293936E-2</v>
      </c>
      <c r="W211" s="421">
        <f t="shared" si="161"/>
        <v>2.1950355673293936E-2</v>
      </c>
      <c r="X211" s="421">
        <f t="shared" ref="X211:Y211" si="162">ABS(X141 + X176)*(1-X84)*PowerFactor*$H25</f>
        <v>2.1494782253659531E-2</v>
      </c>
      <c r="Y211" s="421">
        <f t="shared" si="162"/>
        <v>2.1494782253659531E-2</v>
      </c>
      <c r="Z211" s="351"/>
      <c r="AA211" s="351"/>
    </row>
    <row r="212" spans="3:27" x14ac:dyDescent="0.25">
      <c r="F212" s="295" t="s">
        <v>47</v>
      </c>
      <c r="G212" s="295" t="s">
        <v>315</v>
      </c>
      <c r="H212" s="351"/>
      <c r="I212" s="351"/>
      <c r="J212" s="421">
        <f t="shared" ref="J212:K212" si="163">ABS(J142 + J177)*(1-J85)*PowerFactor*$H26</f>
        <v>9.4228968358191102E-3</v>
      </c>
      <c r="K212" s="421">
        <f t="shared" si="163"/>
        <v>0</v>
      </c>
      <c r="L212" s="421">
        <f t="shared" ref="L212:M212" si="164">ABS(L142 + L177)*(1-L85)*PowerFactor*$H26</f>
        <v>8.1212064628509335E-3</v>
      </c>
      <c r="M212" s="421">
        <f t="shared" si="164"/>
        <v>0</v>
      </c>
      <c r="N212" s="421">
        <f t="shared" ref="N212:P212" si="165">ABS(N142 + N177)*(1-N85)*PowerFactor*$H26</f>
        <v>7.357519986470165E-3</v>
      </c>
      <c r="O212" s="421">
        <f t="shared" si="165"/>
        <v>6.0993989577161492E-3</v>
      </c>
      <c r="P212" s="421">
        <f t="shared" si="165"/>
        <v>0</v>
      </c>
      <c r="Q212" s="421">
        <f t="shared" ref="Q212:S212" si="166">ABS(Q142 + Q177)*(1-Q85)*PowerFactor*$H26</f>
        <v>9.0716048088847027E-3</v>
      </c>
      <c r="R212" s="421">
        <f t="shared" si="166"/>
        <v>5.0286691224053787E-3</v>
      </c>
      <c r="S212" s="421">
        <f t="shared" si="166"/>
        <v>4.793515530350451E-3</v>
      </c>
      <c r="T212" s="421">
        <f t="shared" ref="T212:U212" si="167">ABS(T142 + T177)*(1-T85)*PowerFactor*$H26</f>
        <v>5.0286691224053787E-3</v>
      </c>
      <c r="U212" s="421">
        <f t="shared" si="167"/>
        <v>5.0286691224053787E-3</v>
      </c>
      <c r="V212" s="421">
        <f t="shared" ref="V212:W212" si="168">ABS(V142 + V177)*(1-V85)*PowerFactor*$H26</f>
        <v>4.793515530350451E-3</v>
      </c>
      <c r="W212" s="421">
        <f t="shared" si="168"/>
        <v>4.793515530350451E-3</v>
      </c>
      <c r="X212" s="421">
        <f t="shared" ref="X212:Y212" si="169">ABS(X142 + X177)*(1-X85)*PowerFactor*$H26</f>
        <v>4.6940274721733654E-3</v>
      </c>
      <c r="Y212" s="421">
        <f t="shared" si="169"/>
        <v>4.6940274721733654E-3</v>
      </c>
      <c r="Z212" s="351"/>
      <c r="AA212" s="351"/>
    </row>
    <row r="213" spans="3:27" x14ac:dyDescent="0.25">
      <c r="F213" s="295" t="s">
        <v>51</v>
      </c>
      <c r="G213" s="295" t="s">
        <v>315</v>
      </c>
      <c r="H213" s="351"/>
      <c r="I213" s="351"/>
      <c r="J213" s="421">
        <f t="shared" ref="J213:K213" si="170">ABS(J143 + J178)*(1-J86)*PowerFactor*$H27</f>
        <v>0</v>
      </c>
      <c r="K213" s="421">
        <f t="shared" si="170"/>
        <v>0</v>
      </c>
      <c r="L213" s="421">
        <f t="shared" ref="L213:M213" si="171">ABS(L143 + L178)*(1-L86)*PowerFactor*$H27</f>
        <v>0</v>
      </c>
      <c r="M213" s="421">
        <f t="shared" si="171"/>
        <v>0</v>
      </c>
      <c r="N213" s="421">
        <f t="shared" ref="N213:P213" si="172">ABS(N143 + N178)*(1-N86)*PowerFactor*$H27</f>
        <v>0</v>
      </c>
      <c r="O213" s="421">
        <f t="shared" si="172"/>
        <v>0</v>
      </c>
      <c r="P213" s="421">
        <f t="shared" si="172"/>
        <v>0</v>
      </c>
      <c r="Q213" s="421">
        <f t="shared" ref="Q213:S213" si="173">ABS(Q143 + Q178)*(1-Q86)*PowerFactor*$H27</f>
        <v>0</v>
      </c>
      <c r="R213" s="421">
        <f t="shared" si="173"/>
        <v>0</v>
      </c>
      <c r="S213" s="421">
        <f t="shared" si="173"/>
        <v>0</v>
      </c>
      <c r="T213" s="421">
        <f t="shared" ref="T213:U213" si="174">ABS(T143 + T178)*(1-T86)*PowerFactor*$H27</f>
        <v>0</v>
      </c>
      <c r="U213" s="421">
        <f t="shared" si="174"/>
        <v>0</v>
      </c>
      <c r="V213" s="421">
        <f t="shared" ref="V213:W213" si="175">ABS(V143 + V178)*(1-V86)*PowerFactor*$H27</f>
        <v>0</v>
      </c>
      <c r="W213" s="421">
        <f t="shared" si="175"/>
        <v>0</v>
      </c>
      <c r="X213" s="421">
        <f t="shared" ref="X213:Y213" si="176">ABS(X143 + X178)*(1-X86)*PowerFactor*$H27</f>
        <v>0</v>
      </c>
      <c r="Y213" s="421">
        <f t="shared" si="176"/>
        <v>0</v>
      </c>
      <c r="Z213" s="351"/>
      <c r="AA213" s="351"/>
    </row>
    <row r="214" spans="3:27" x14ac:dyDescent="0.25">
      <c r="F214" s="295" t="s">
        <v>48</v>
      </c>
      <c r="G214" s="295" t="s">
        <v>315</v>
      </c>
      <c r="H214" s="351"/>
      <c r="I214" s="351"/>
      <c r="J214" s="421">
        <f t="shared" ref="J214:K214" si="177">ABS(J144 + J179)*(1-J87)*PowerFactor*$H28</f>
        <v>7.7338127587047514E-2</v>
      </c>
      <c r="K214" s="421">
        <f t="shared" si="177"/>
        <v>0</v>
      </c>
      <c r="L214" s="421">
        <f t="shared" ref="L214:M214" si="178">ABS(L144 + L179)*(1-L87)*PowerFactor*$H28</f>
        <v>6.6654545043644528E-2</v>
      </c>
      <c r="M214" s="421">
        <f t="shared" si="178"/>
        <v>0</v>
      </c>
      <c r="N214" s="421">
        <f t="shared" ref="N214:P214" si="179">ABS(N144 + N179)*(1-N87)*PowerFactor*$H28</f>
        <v>4.8309289964834343E-2</v>
      </c>
      <c r="O214" s="421">
        <f t="shared" si="179"/>
        <v>0</v>
      </c>
      <c r="P214" s="421">
        <f t="shared" si="179"/>
        <v>0</v>
      </c>
      <c r="Q214" s="421">
        <f t="shared" ref="Q214:S214" si="180">ABS(Q144 + Q179)*(1-Q87)*PowerFactor*$H28</f>
        <v>7.4454909392819651E-2</v>
      </c>
      <c r="R214" s="421">
        <f t="shared" si="180"/>
        <v>4.1272642687043337E-2</v>
      </c>
      <c r="S214" s="421">
        <f t="shared" si="180"/>
        <v>3.934262702182189E-2</v>
      </c>
      <c r="T214" s="421">
        <f t="shared" ref="T214:U214" si="181">ABS(T144 + T179)*(1-T87)*PowerFactor*$H28</f>
        <v>4.1272642687043337E-2</v>
      </c>
      <c r="U214" s="421">
        <f t="shared" si="181"/>
        <v>4.1272642687043337E-2</v>
      </c>
      <c r="V214" s="421">
        <f t="shared" ref="V214:W214" si="182">ABS(V144 + V179)*(1-V87)*PowerFactor*$H28</f>
        <v>3.934262702182189E-2</v>
      </c>
      <c r="W214" s="421">
        <f t="shared" si="182"/>
        <v>3.934262702182189E-2</v>
      </c>
      <c r="X214" s="421">
        <f t="shared" ref="X214:Y214" si="183">ABS(X144 + X179)*(1-X87)*PowerFactor*$H28</f>
        <v>3.8526081932689735E-2</v>
      </c>
      <c r="Y214" s="421">
        <f t="shared" si="183"/>
        <v>3.8526081932689735E-2</v>
      </c>
      <c r="Z214" s="351"/>
      <c r="AA214" s="351"/>
    </row>
    <row r="215" spans="3:27" x14ac:dyDescent="0.25">
      <c r="F215" s="295" t="s">
        <v>49</v>
      </c>
      <c r="G215" s="295" t="s">
        <v>315</v>
      </c>
      <c r="H215" s="351"/>
      <c r="I215" s="351"/>
      <c r="J215" s="421">
        <f t="shared" ref="J215:K215" si="184">ABS(J145 + J180)*(1-J88)*PowerFactor*$H29</f>
        <v>3.0248691614730715E-2</v>
      </c>
      <c r="K215" s="421">
        <f t="shared" si="184"/>
        <v>0</v>
      </c>
      <c r="L215" s="421">
        <f t="shared" ref="L215:M215" si="185">ABS(L145 + L180)*(1-L88)*PowerFactor*$H29</f>
        <v>2.6070100746569576E-2</v>
      </c>
      <c r="M215" s="421">
        <f t="shared" si="185"/>
        <v>0</v>
      </c>
      <c r="N215" s="421">
        <f t="shared" ref="N215:P215" si="186">ABS(N145 + N180)*(1-N88)*PowerFactor*$H29</f>
        <v>0</v>
      </c>
      <c r="O215" s="421">
        <f t="shared" si="186"/>
        <v>0</v>
      </c>
      <c r="P215" s="421">
        <f t="shared" si="186"/>
        <v>0</v>
      </c>
      <c r="Q215" s="421">
        <f t="shared" ref="Q215:S215" si="187">ABS(Q145 + Q180)*(1-Q88)*PowerFactor*$H29</f>
        <v>2.9120999740926082E-2</v>
      </c>
      <c r="R215" s="421">
        <f t="shared" si="187"/>
        <v>1.6142664423316504E-2</v>
      </c>
      <c r="S215" s="421">
        <f t="shared" si="187"/>
        <v>1.5387791626542711E-2</v>
      </c>
      <c r="T215" s="421">
        <f t="shared" ref="T215:U215" si="188">ABS(T145 + T180)*(1-T88)*PowerFactor*$H29</f>
        <v>1.6142664423316504E-2</v>
      </c>
      <c r="U215" s="421">
        <f t="shared" si="188"/>
        <v>1.6142664423316504E-2</v>
      </c>
      <c r="V215" s="421">
        <f t="shared" ref="V215:W215" si="189">ABS(V145 + V180)*(1-V88)*PowerFactor*$H29</f>
        <v>1.5387791626542711E-2</v>
      </c>
      <c r="W215" s="421">
        <f t="shared" si="189"/>
        <v>1.5387791626542711E-2</v>
      </c>
      <c r="X215" s="421">
        <f t="shared" ref="X215:Y215" si="190">ABS(X145 + X180)*(1-X88)*PowerFactor*$H29</f>
        <v>0</v>
      </c>
      <c r="Y215" s="421">
        <f t="shared" si="190"/>
        <v>0</v>
      </c>
      <c r="Z215" s="351"/>
      <c r="AA215" s="351"/>
    </row>
    <row r="216" spans="3:27" x14ac:dyDescent="0.25">
      <c r="F216" s="295" t="s">
        <v>50</v>
      </c>
      <c r="G216" s="295" t="s">
        <v>315</v>
      </c>
      <c r="H216" s="351"/>
      <c r="I216" s="351"/>
      <c r="J216" s="421">
        <f t="shared" ref="J216:K216" si="191">ABS(J146 + J181)*(1-J89)*PowerFactor*$H30</f>
        <v>0</v>
      </c>
      <c r="K216" s="421">
        <f t="shared" si="191"/>
        <v>0</v>
      </c>
      <c r="L216" s="421">
        <f t="shared" ref="L216:M216" si="192">ABS(L146 + L181)*(1-L89)*PowerFactor*$H30</f>
        <v>0</v>
      </c>
      <c r="M216" s="421">
        <f t="shared" si="192"/>
        <v>0</v>
      </c>
      <c r="N216" s="421">
        <f t="shared" ref="N216:P216" si="193">ABS(N146 + N181)*(1-N89)*PowerFactor*$H30</f>
        <v>0</v>
      </c>
      <c r="O216" s="421">
        <f t="shared" si="193"/>
        <v>0</v>
      </c>
      <c r="P216" s="421">
        <f t="shared" si="193"/>
        <v>0</v>
      </c>
      <c r="Q216" s="421">
        <f t="shared" ref="Q216:S216" si="194">ABS(Q146 + Q181)*(1-Q89)*PowerFactor*$H30</f>
        <v>1.7831356640381216E-2</v>
      </c>
      <c r="R216" s="421">
        <f t="shared" si="194"/>
        <v>9.8844685628569871E-3</v>
      </c>
      <c r="S216" s="421">
        <f t="shared" si="194"/>
        <v>0</v>
      </c>
      <c r="T216" s="421">
        <f t="shared" ref="T216:U216" si="195">ABS(T146 + T181)*(1-T89)*PowerFactor*$H30</f>
        <v>9.8844685628569871E-3</v>
      </c>
      <c r="U216" s="421">
        <f t="shared" si="195"/>
        <v>9.8844685628569871E-3</v>
      </c>
      <c r="V216" s="421">
        <f t="shared" ref="V216:W216" si="196">ABS(V146 + V181)*(1-V89)*PowerFactor*$H30</f>
        <v>0</v>
      </c>
      <c r="W216" s="421">
        <f t="shared" si="196"/>
        <v>0</v>
      </c>
      <c r="X216" s="421">
        <f t="shared" ref="X216:Y216" si="197">ABS(X146 + X181)*(1-X89)*PowerFactor*$H30</f>
        <v>0</v>
      </c>
      <c r="Y216" s="421">
        <f t="shared" si="197"/>
        <v>0</v>
      </c>
      <c r="Z216" s="351"/>
      <c r="AA216" s="351"/>
    </row>
    <row r="217" spans="3:27" x14ac:dyDescent="0.25">
      <c r="F217" s="295" t="s">
        <v>124</v>
      </c>
      <c r="G217" s="295" t="s">
        <v>315</v>
      </c>
      <c r="H217" s="351"/>
      <c r="I217" s="351"/>
      <c r="J217" s="422"/>
      <c r="K217" s="422"/>
      <c r="L217" s="422"/>
      <c r="M217" s="422"/>
      <c r="N217" s="422"/>
      <c r="O217" s="422"/>
      <c r="P217" s="422"/>
      <c r="Q217" s="422"/>
      <c r="R217" s="422"/>
      <c r="S217" s="422"/>
      <c r="T217" s="422"/>
      <c r="U217" s="422"/>
      <c r="V217" s="422"/>
      <c r="W217" s="422"/>
      <c r="X217" s="422"/>
      <c r="Y217" s="422"/>
      <c r="Z217" s="351"/>
      <c r="AA217" s="351"/>
    </row>
    <row r="218" spans="3:27" x14ac:dyDescent="0.25">
      <c r="F218" s="93" t="s">
        <v>123</v>
      </c>
      <c r="G218" s="93" t="s">
        <v>315</v>
      </c>
      <c r="H218" s="353"/>
      <c r="I218" s="353"/>
      <c r="J218" s="358"/>
      <c r="K218" s="358"/>
      <c r="L218" s="358"/>
      <c r="M218" s="358"/>
      <c r="N218" s="358"/>
      <c r="O218" s="358"/>
      <c r="P218" s="358"/>
      <c r="Q218" s="358"/>
      <c r="R218" s="358"/>
      <c r="S218" s="358"/>
      <c r="T218" s="358"/>
      <c r="U218" s="358"/>
      <c r="V218" s="358"/>
      <c r="W218" s="358"/>
      <c r="X218" s="358"/>
      <c r="Y218" s="358"/>
      <c r="Z218" s="351"/>
      <c r="AA218" s="351"/>
    </row>
    <row r="219" spans="3:27" x14ac:dyDescent="0.25"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  <c r="U219" s="253"/>
      <c r="V219" s="253"/>
      <c r="W219" s="253"/>
      <c r="X219" s="253"/>
      <c r="Y219" s="253"/>
    </row>
    <row r="220" spans="3:27" x14ac:dyDescent="0.25">
      <c r="C220" s="7" t="str">
        <f ca="1">INDEX('Version control'!$H$34:$H$58,MATCH($A$1,'Version control'!$F$34:$F$58,0),1)&amp;"-E: Reactive power charges for applicable customers"</f>
        <v>Section 515-E: Reactive power charges for applicable customers</v>
      </c>
      <c r="D220" s="7"/>
      <c r="E220" s="7"/>
      <c r="F220" s="7"/>
      <c r="G220" s="7"/>
      <c r="H220" s="7"/>
      <c r="I220" s="7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7"/>
      <c r="AA220" s="7"/>
    </row>
    <row r="221" spans="3:27" x14ac:dyDescent="0.25">
      <c r="D221" s="96"/>
      <c r="E221" s="96"/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25">
      <c r="D222" s="295"/>
      <c r="E222" s="96" t="s">
        <v>139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  <c r="U222" s="253"/>
      <c r="V222" s="253"/>
      <c r="W222" s="253"/>
      <c r="X222" s="253"/>
      <c r="Y222" s="253"/>
    </row>
    <row r="223" spans="3:27" x14ac:dyDescent="0.25">
      <c r="D223" s="295"/>
      <c r="F223" s="91" t="s">
        <v>324</v>
      </c>
      <c r="G223" s="91" t="s">
        <v>315</v>
      </c>
      <c r="H223" s="349"/>
      <c r="I223" s="349"/>
      <c r="J223" s="361"/>
      <c r="K223" s="361"/>
      <c r="L223" s="361"/>
      <c r="M223" s="361"/>
      <c r="N223" s="361"/>
      <c r="O223" s="361"/>
      <c r="P223" s="361"/>
      <c r="Q223" s="361"/>
      <c r="R223" s="361"/>
      <c r="S223" s="361"/>
      <c r="T223" s="361"/>
      <c r="U223" s="361"/>
      <c r="V223" s="361"/>
      <c r="W223" s="361"/>
      <c r="X223" s="361"/>
      <c r="Y223" s="361"/>
      <c r="Z223" s="351"/>
      <c r="AA223" s="351"/>
    </row>
    <row r="224" spans="3:27" x14ac:dyDescent="0.25">
      <c r="D224" s="295"/>
      <c r="F224" s="295" t="s">
        <v>43</v>
      </c>
      <c r="G224" s="295" t="s">
        <v>315</v>
      </c>
      <c r="H224" s="351"/>
      <c r="I224" s="351"/>
      <c r="J224" s="422"/>
      <c r="K224" s="422"/>
      <c r="L224" s="422"/>
      <c r="M224" s="422"/>
      <c r="N224" s="422"/>
      <c r="O224" s="422"/>
      <c r="P224" s="422"/>
      <c r="Q224" s="422"/>
      <c r="R224" s="422"/>
      <c r="S224" s="422"/>
      <c r="T224" s="422"/>
      <c r="U224" s="422"/>
      <c r="V224" s="422"/>
      <c r="W224" s="422"/>
      <c r="X224" s="422"/>
      <c r="Y224" s="422"/>
      <c r="Z224" s="351"/>
      <c r="AA224" s="351"/>
    </row>
    <row r="225" spans="5:27" s="295" customFormat="1" x14ac:dyDescent="0.25">
      <c r="E225" s="98"/>
      <c r="F225" s="295" t="s">
        <v>44</v>
      </c>
      <c r="G225" s="295" t="s">
        <v>315</v>
      </c>
      <c r="H225" s="351"/>
      <c r="I225" s="351"/>
      <c r="J225" s="421">
        <f t="shared" ref="J225:Y232" si="198">J$78 * J195</f>
        <v>0</v>
      </c>
      <c r="K225" s="421">
        <f t="shared" si="198"/>
        <v>0</v>
      </c>
      <c r="L225" s="421">
        <f t="shared" si="198"/>
        <v>0</v>
      </c>
      <c r="M225" s="421">
        <f t="shared" si="198"/>
        <v>0</v>
      </c>
      <c r="N225" s="421">
        <f t="shared" si="198"/>
        <v>7.7163362303446087E-2</v>
      </c>
      <c r="O225" s="421">
        <f t="shared" si="198"/>
        <v>6.3968583500010459E-2</v>
      </c>
      <c r="P225" s="421">
        <f t="shared" si="198"/>
        <v>5.594661751673391E-2</v>
      </c>
      <c r="Q225" s="421">
        <f t="shared" si="198"/>
        <v>0</v>
      </c>
      <c r="R225" s="421">
        <f t="shared" si="198"/>
        <v>0</v>
      </c>
      <c r="S225" s="421">
        <f t="shared" si="198"/>
        <v>0</v>
      </c>
      <c r="T225" s="421">
        <f t="shared" si="198"/>
        <v>5.273910476762142E-2</v>
      </c>
      <c r="U225" s="421">
        <f t="shared" si="198"/>
        <v>0</v>
      </c>
      <c r="V225" s="421">
        <f t="shared" si="198"/>
        <v>5.0272887638200273E-2</v>
      </c>
      <c r="W225" s="421">
        <f t="shared" si="198"/>
        <v>0</v>
      </c>
      <c r="X225" s="421">
        <f t="shared" si="198"/>
        <v>4.9229488083445176E-2</v>
      </c>
      <c r="Y225" s="421">
        <f t="shared" si="198"/>
        <v>0</v>
      </c>
      <c r="Z225" s="351"/>
      <c r="AA225" s="351"/>
    </row>
    <row r="226" spans="5:27" s="295" customFormat="1" x14ac:dyDescent="0.25">
      <c r="E226" s="98"/>
      <c r="F226" s="295" t="s">
        <v>45</v>
      </c>
      <c r="G226" s="295" t="s">
        <v>315</v>
      </c>
      <c r="H226" s="351"/>
      <c r="I226" s="351"/>
      <c r="J226" s="421">
        <f t="shared" si="198"/>
        <v>0</v>
      </c>
      <c r="K226" s="421">
        <f t="shared" si="198"/>
        <v>0</v>
      </c>
      <c r="L226" s="421">
        <f t="shared" si="198"/>
        <v>0</v>
      </c>
      <c r="M226" s="421">
        <f t="shared" si="198"/>
        <v>0</v>
      </c>
      <c r="N226" s="421">
        <f t="shared" si="198"/>
        <v>6.235803280738408E-3</v>
      </c>
      <c r="O226" s="421">
        <f t="shared" si="198"/>
        <v>5.1694935387197292E-3</v>
      </c>
      <c r="P226" s="421">
        <f t="shared" si="198"/>
        <v>4.5212143515094821E-3</v>
      </c>
      <c r="Q226" s="421">
        <f t="shared" si="198"/>
        <v>0</v>
      </c>
      <c r="R226" s="421">
        <f t="shared" si="198"/>
        <v>0</v>
      </c>
      <c r="S226" s="421">
        <f t="shared" si="198"/>
        <v>0</v>
      </c>
      <c r="T226" s="421">
        <f t="shared" si="198"/>
        <v>4.2620056036419378E-3</v>
      </c>
      <c r="U226" s="421">
        <f t="shared" si="198"/>
        <v>0</v>
      </c>
      <c r="V226" s="421">
        <f t="shared" si="198"/>
        <v>4.0627031833277453E-3</v>
      </c>
      <c r="W226" s="421">
        <f t="shared" si="198"/>
        <v>0</v>
      </c>
      <c r="X226" s="421">
        <f t="shared" si="198"/>
        <v>3.9783829285794346E-3</v>
      </c>
      <c r="Y226" s="421">
        <f t="shared" si="198"/>
        <v>0</v>
      </c>
      <c r="Z226" s="351"/>
      <c r="AA226" s="351"/>
    </row>
    <row r="227" spans="5:27" s="295" customFormat="1" x14ac:dyDescent="0.25">
      <c r="E227" s="98"/>
      <c r="F227" s="295" t="s">
        <v>46</v>
      </c>
      <c r="G227" s="295" t="s">
        <v>315</v>
      </c>
      <c r="H227" s="351"/>
      <c r="I227" s="351"/>
      <c r="J227" s="421">
        <f t="shared" si="198"/>
        <v>0</v>
      </c>
      <c r="K227" s="421">
        <f t="shared" si="198"/>
        <v>0</v>
      </c>
      <c r="L227" s="421">
        <f t="shared" si="198"/>
        <v>0</v>
      </c>
      <c r="M227" s="421">
        <f t="shared" si="198"/>
        <v>0</v>
      </c>
      <c r="N227" s="421">
        <f t="shared" si="198"/>
        <v>6.3659474911109279E-2</v>
      </c>
      <c r="O227" s="421">
        <f t="shared" si="198"/>
        <v>5.2773833524828812E-2</v>
      </c>
      <c r="P227" s="421">
        <f t="shared" si="198"/>
        <v>2.6052878521668668E-2</v>
      </c>
      <c r="Q227" s="421">
        <f t="shared" si="198"/>
        <v>0</v>
      </c>
      <c r="R227" s="421">
        <f t="shared" si="198"/>
        <v>0</v>
      </c>
      <c r="S227" s="421">
        <f t="shared" si="198"/>
        <v>0</v>
      </c>
      <c r="T227" s="421">
        <f t="shared" si="198"/>
        <v>4.3509557082102697E-2</v>
      </c>
      <c r="U227" s="421">
        <f t="shared" si="198"/>
        <v>0</v>
      </c>
      <c r="V227" s="421">
        <f t="shared" si="198"/>
        <v>4.1474937506320919E-2</v>
      </c>
      <c r="W227" s="421">
        <f t="shared" si="198"/>
        <v>0</v>
      </c>
      <c r="X227" s="421">
        <f t="shared" si="198"/>
        <v>2.8656108484536827E-2</v>
      </c>
      <c r="Y227" s="421">
        <f t="shared" si="198"/>
        <v>0</v>
      </c>
      <c r="Z227" s="351"/>
      <c r="AA227" s="351"/>
    </row>
    <row r="228" spans="5:27" s="295" customFormat="1" x14ac:dyDescent="0.25">
      <c r="E228" s="98"/>
      <c r="F228" s="295" t="s">
        <v>47</v>
      </c>
      <c r="G228" s="295" t="s">
        <v>315</v>
      </c>
      <c r="H228" s="351"/>
      <c r="I228" s="351"/>
      <c r="J228" s="421">
        <f t="shared" si="198"/>
        <v>0</v>
      </c>
      <c r="K228" s="421">
        <f t="shared" si="198"/>
        <v>0</v>
      </c>
      <c r="L228" s="421">
        <f t="shared" si="198"/>
        <v>0</v>
      </c>
      <c r="M228" s="421">
        <f t="shared" si="198"/>
        <v>0</v>
      </c>
      <c r="N228" s="421">
        <f t="shared" si="198"/>
        <v>1.3901947020003124E-2</v>
      </c>
      <c r="O228" s="421">
        <f t="shared" si="198"/>
        <v>1.1524742212044277E-2</v>
      </c>
      <c r="P228" s="421">
        <f t="shared" si="198"/>
        <v>0</v>
      </c>
      <c r="Q228" s="421">
        <f t="shared" si="198"/>
        <v>0</v>
      </c>
      <c r="R228" s="421">
        <f t="shared" si="198"/>
        <v>0</v>
      </c>
      <c r="S228" s="421">
        <f t="shared" si="198"/>
        <v>0</v>
      </c>
      <c r="T228" s="421">
        <f t="shared" si="198"/>
        <v>9.501610848405494E-3</v>
      </c>
      <c r="U228" s="421">
        <f t="shared" si="198"/>
        <v>0</v>
      </c>
      <c r="V228" s="421">
        <f t="shared" si="198"/>
        <v>9.0572909166455259E-3</v>
      </c>
      <c r="W228" s="421">
        <f t="shared" si="198"/>
        <v>0</v>
      </c>
      <c r="X228" s="421">
        <f t="shared" si="198"/>
        <v>7.5994851620059109E-3</v>
      </c>
      <c r="Y228" s="421">
        <f t="shared" si="198"/>
        <v>0</v>
      </c>
      <c r="Z228" s="351"/>
      <c r="AA228" s="351"/>
    </row>
    <row r="229" spans="5:27" s="295" customFormat="1" x14ac:dyDescent="0.25">
      <c r="E229" s="98"/>
      <c r="F229" s="295" t="s">
        <v>51</v>
      </c>
      <c r="G229" s="295" t="s">
        <v>315</v>
      </c>
      <c r="H229" s="351"/>
      <c r="I229" s="351"/>
      <c r="J229" s="421">
        <f t="shared" si="198"/>
        <v>0</v>
      </c>
      <c r="K229" s="421">
        <f t="shared" si="198"/>
        <v>0</v>
      </c>
      <c r="L229" s="421">
        <f t="shared" si="198"/>
        <v>0</v>
      </c>
      <c r="M229" s="421">
        <f t="shared" si="198"/>
        <v>0</v>
      </c>
      <c r="N229" s="421">
        <f t="shared" si="198"/>
        <v>0</v>
      </c>
      <c r="O229" s="421">
        <f t="shared" si="198"/>
        <v>0</v>
      </c>
      <c r="P229" s="421">
        <f t="shared" si="198"/>
        <v>0</v>
      </c>
      <c r="Q229" s="421">
        <f t="shared" si="198"/>
        <v>0</v>
      </c>
      <c r="R229" s="421">
        <f t="shared" si="198"/>
        <v>0</v>
      </c>
      <c r="S229" s="421">
        <f t="shared" si="198"/>
        <v>0</v>
      </c>
      <c r="T229" s="421">
        <f t="shared" si="198"/>
        <v>0</v>
      </c>
      <c r="U229" s="421">
        <f t="shared" si="198"/>
        <v>0</v>
      </c>
      <c r="V229" s="421">
        <f t="shared" si="198"/>
        <v>0</v>
      </c>
      <c r="W229" s="421">
        <f t="shared" si="198"/>
        <v>0</v>
      </c>
      <c r="X229" s="421">
        <f t="shared" si="198"/>
        <v>0</v>
      </c>
      <c r="Y229" s="421">
        <f t="shared" si="198"/>
        <v>0</v>
      </c>
      <c r="Z229" s="351"/>
      <c r="AA229" s="351"/>
    </row>
    <row r="230" spans="5:27" s="295" customFormat="1" x14ac:dyDescent="0.25">
      <c r="E230" s="98"/>
      <c r="F230" s="295" t="s">
        <v>48</v>
      </c>
      <c r="G230" s="295" t="s">
        <v>315</v>
      </c>
      <c r="H230" s="351"/>
      <c r="I230" s="351"/>
      <c r="J230" s="421">
        <f t="shared" si="198"/>
        <v>0</v>
      </c>
      <c r="K230" s="421">
        <f t="shared" si="198"/>
        <v>0</v>
      </c>
      <c r="L230" s="421">
        <f t="shared" si="198"/>
        <v>0</v>
      </c>
      <c r="M230" s="421">
        <f t="shared" si="198"/>
        <v>0</v>
      </c>
      <c r="N230" s="421">
        <f t="shared" si="198"/>
        <v>6.1490541184538283E-2</v>
      </c>
      <c r="O230" s="421">
        <f t="shared" si="198"/>
        <v>0</v>
      </c>
      <c r="P230" s="421">
        <f t="shared" si="198"/>
        <v>0</v>
      </c>
      <c r="Q230" s="421">
        <f t="shared" si="198"/>
        <v>0</v>
      </c>
      <c r="R230" s="421">
        <f t="shared" si="198"/>
        <v>0</v>
      </c>
      <c r="S230" s="421">
        <f t="shared" si="198"/>
        <v>0</v>
      </c>
      <c r="T230" s="421">
        <f t="shared" si="198"/>
        <v>5.2533935745894052E-2</v>
      </c>
      <c r="U230" s="421">
        <f t="shared" si="198"/>
        <v>0</v>
      </c>
      <c r="V230" s="421">
        <f t="shared" si="198"/>
        <v>5.0077312851301882E-2</v>
      </c>
      <c r="W230" s="421">
        <f t="shared" si="198"/>
        <v>0</v>
      </c>
      <c r="X230" s="421">
        <f t="shared" si="198"/>
        <v>1.9342217535702182E-2</v>
      </c>
      <c r="Y230" s="421">
        <f t="shared" si="198"/>
        <v>0</v>
      </c>
      <c r="Z230" s="351"/>
      <c r="AA230" s="351"/>
    </row>
    <row r="231" spans="5:27" s="295" customFormat="1" x14ac:dyDescent="0.25">
      <c r="E231" s="98"/>
      <c r="F231" s="295" t="s">
        <v>49</v>
      </c>
      <c r="G231" s="295" t="s">
        <v>315</v>
      </c>
      <c r="H231" s="351"/>
      <c r="I231" s="351"/>
      <c r="J231" s="421">
        <f t="shared" si="198"/>
        <v>0</v>
      </c>
      <c r="K231" s="421">
        <f t="shared" si="198"/>
        <v>0</v>
      </c>
      <c r="L231" s="421">
        <f t="shared" si="198"/>
        <v>0</v>
      </c>
      <c r="M231" s="421">
        <f t="shared" si="198"/>
        <v>0</v>
      </c>
      <c r="N231" s="421">
        <f t="shared" si="198"/>
        <v>0</v>
      </c>
      <c r="O231" s="421">
        <f t="shared" si="198"/>
        <v>0</v>
      </c>
      <c r="P231" s="421">
        <f t="shared" si="198"/>
        <v>0</v>
      </c>
      <c r="Q231" s="421">
        <f t="shared" si="198"/>
        <v>0</v>
      </c>
      <c r="R231" s="421">
        <f t="shared" si="198"/>
        <v>0</v>
      </c>
      <c r="S231" s="421">
        <f t="shared" si="198"/>
        <v>0</v>
      </c>
      <c r="T231" s="421">
        <f t="shared" si="198"/>
        <v>8.8157250501212057E-3</v>
      </c>
      <c r="U231" s="421">
        <f t="shared" si="198"/>
        <v>0</v>
      </c>
      <c r="V231" s="421">
        <f t="shared" si="198"/>
        <v>8.4034789146838831E-3</v>
      </c>
      <c r="W231" s="421">
        <f t="shared" si="198"/>
        <v>0</v>
      </c>
      <c r="X231" s="421">
        <f t="shared" si="198"/>
        <v>0</v>
      </c>
      <c r="Y231" s="421">
        <f t="shared" si="198"/>
        <v>0</v>
      </c>
      <c r="Z231" s="351"/>
      <c r="AA231" s="351"/>
    </row>
    <row r="232" spans="5:27" s="295" customFormat="1" x14ac:dyDescent="0.25">
      <c r="E232" s="98"/>
      <c r="F232" s="295" t="s">
        <v>50</v>
      </c>
      <c r="G232" s="295" t="s">
        <v>315</v>
      </c>
      <c r="H232" s="351"/>
      <c r="I232" s="351"/>
      <c r="J232" s="421">
        <f t="shared" si="198"/>
        <v>0</v>
      </c>
      <c r="K232" s="421">
        <f t="shared" si="198"/>
        <v>0</v>
      </c>
      <c r="L232" s="421">
        <f t="shared" si="198"/>
        <v>0</v>
      </c>
      <c r="M232" s="421">
        <f t="shared" si="198"/>
        <v>0</v>
      </c>
      <c r="N232" s="421">
        <f t="shared" si="198"/>
        <v>0</v>
      </c>
      <c r="O232" s="421">
        <f t="shared" si="198"/>
        <v>0</v>
      </c>
      <c r="P232" s="421">
        <f t="shared" si="198"/>
        <v>0</v>
      </c>
      <c r="Q232" s="421">
        <f t="shared" si="198"/>
        <v>0</v>
      </c>
      <c r="R232" s="421">
        <f t="shared" si="198"/>
        <v>0</v>
      </c>
      <c r="S232" s="421">
        <f t="shared" si="198"/>
        <v>0</v>
      </c>
      <c r="T232" s="421">
        <f t="shared" si="198"/>
        <v>1.2896427483945292E-3</v>
      </c>
      <c r="U232" s="421">
        <f t="shared" si="198"/>
        <v>0</v>
      </c>
      <c r="V232" s="421">
        <f t="shared" si="198"/>
        <v>0</v>
      </c>
      <c r="W232" s="421">
        <f t="shared" si="198"/>
        <v>0</v>
      </c>
      <c r="X232" s="421">
        <f t="shared" si="198"/>
        <v>0</v>
      </c>
      <c r="Y232" s="421">
        <f t="shared" si="198"/>
        <v>0</v>
      </c>
      <c r="Z232" s="351"/>
      <c r="AA232" s="351"/>
    </row>
    <row r="233" spans="5:27" s="295" customFormat="1" x14ac:dyDescent="0.25">
      <c r="E233" s="98"/>
      <c r="F233" s="295" t="s">
        <v>124</v>
      </c>
      <c r="G233" s="295" t="s">
        <v>315</v>
      </c>
      <c r="H233" s="351"/>
      <c r="I233" s="351"/>
      <c r="J233" s="422"/>
      <c r="K233" s="422"/>
      <c r="L233" s="422"/>
      <c r="M233" s="422"/>
      <c r="N233" s="422"/>
      <c r="O233" s="422"/>
      <c r="P233" s="422"/>
      <c r="Q233" s="422"/>
      <c r="R233" s="422"/>
      <c r="S233" s="422"/>
      <c r="T233" s="422"/>
      <c r="U233" s="422"/>
      <c r="V233" s="422"/>
      <c r="W233" s="422"/>
      <c r="X233" s="422"/>
      <c r="Y233" s="422"/>
      <c r="Z233" s="351"/>
      <c r="AA233" s="351"/>
    </row>
    <row r="234" spans="5:27" s="295" customFormat="1" x14ac:dyDescent="0.25">
      <c r="E234" s="98"/>
      <c r="F234" s="93" t="s">
        <v>123</v>
      </c>
      <c r="G234" s="93" t="s">
        <v>315</v>
      </c>
      <c r="H234" s="353"/>
      <c r="I234" s="353"/>
      <c r="J234" s="358"/>
      <c r="K234" s="358"/>
      <c r="L234" s="358"/>
      <c r="M234" s="358"/>
      <c r="N234" s="358"/>
      <c r="O234" s="358"/>
      <c r="P234" s="358"/>
      <c r="Q234" s="358"/>
      <c r="R234" s="358"/>
      <c r="S234" s="358"/>
      <c r="T234" s="358"/>
      <c r="U234" s="358"/>
      <c r="V234" s="358"/>
      <c r="W234" s="358"/>
      <c r="X234" s="358"/>
      <c r="Y234" s="358"/>
      <c r="Z234" s="351"/>
      <c r="AA234" s="351"/>
    </row>
    <row r="235" spans="5:27" s="295" customFormat="1" x14ac:dyDescent="0.25">
      <c r="E235" s="98"/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5:27" s="295" customFormat="1" x14ac:dyDescent="0.25">
      <c r="E236" s="96" t="s">
        <v>116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  <c r="U236" s="253"/>
      <c r="V236" s="253"/>
      <c r="W236" s="253"/>
      <c r="X236" s="253"/>
      <c r="Y236" s="253"/>
    </row>
    <row r="237" spans="5:27" s="295" customFormat="1" x14ac:dyDescent="0.25">
      <c r="E237" s="98"/>
      <c r="F237" s="91" t="s">
        <v>324</v>
      </c>
      <c r="G237" s="91" t="s">
        <v>315</v>
      </c>
      <c r="H237" s="349"/>
      <c r="I237" s="349"/>
      <c r="J237" s="362">
        <f t="shared" ref="J237:Y246" si="199">J$78 * J207</f>
        <v>0</v>
      </c>
      <c r="K237" s="362">
        <f t="shared" si="199"/>
        <v>0</v>
      </c>
      <c r="L237" s="362">
        <f t="shared" si="199"/>
        <v>0</v>
      </c>
      <c r="M237" s="362">
        <f t="shared" si="199"/>
        <v>0</v>
      </c>
      <c r="N237" s="362">
        <f t="shared" si="199"/>
        <v>4.7740777997087237E-2</v>
      </c>
      <c r="O237" s="362">
        <f t="shared" si="199"/>
        <v>3.9577201569477888E-2</v>
      </c>
      <c r="P237" s="362">
        <f t="shared" si="199"/>
        <v>3.4614031411058184E-2</v>
      </c>
      <c r="Q237" s="362">
        <f t="shared" si="199"/>
        <v>0</v>
      </c>
      <c r="R237" s="362">
        <f t="shared" si="199"/>
        <v>0</v>
      </c>
      <c r="S237" s="362">
        <f t="shared" si="199"/>
        <v>0</v>
      </c>
      <c r="T237" s="362">
        <f t="shared" si="199"/>
        <v>3.2629551348149259E-2</v>
      </c>
      <c r="U237" s="362">
        <f t="shared" si="199"/>
        <v>0</v>
      </c>
      <c r="V237" s="362">
        <f t="shared" si="199"/>
        <v>3.1103709018919255E-2</v>
      </c>
      <c r="W237" s="362">
        <f t="shared" si="199"/>
        <v>0</v>
      </c>
      <c r="X237" s="362">
        <f t="shared" si="199"/>
        <v>3.0458160341168099E-2</v>
      </c>
      <c r="Y237" s="362">
        <f t="shared" si="199"/>
        <v>0</v>
      </c>
      <c r="Z237" s="351"/>
      <c r="AA237" s="351"/>
    </row>
    <row r="238" spans="5:27" s="295" customFormat="1" x14ac:dyDescent="0.25">
      <c r="E238" s="98"/>
      <c r="F238" s="295" t="s">
        <v>43</v>
      </c>
      <c r="G238" s="295" t="s">
        <v>315</v>
      </c>
      <c r="H238" s="351"/>
      <c r="I238" s="351"/>
      <c r="J238" s="421">
        <f t="shared" si="199"/>
        <v>0</v>
      </c>
      <c r="K238" s="421">
        <f t="shared" si="199"/>
        <v>0</v>
      </c>
      <c r="L238" s="421">
        <f t="shared" si="199"/>
        <v>0</v>
      </c>
      <c r="M238" s="421">
        <f t="shared" si="199"/>
        <v>0</v>
      </c>
      <c r="N238" s="421">
        <f t="shared" si="199"/>
        <v>0</v>
      </c>
      <c r="O238" s="421">
        <f t="shared" si="199"/>
        <v>0</v>
      </c>
      <c r="P238" s="421">
        <f t="shared" si="199"/>
        <v>0</v>
      </c>
      <c r="Q238" s="421">
        <f t="shared" si="199"/>
        <v>0</v>
      </c>
      <c r="R238" s="421">
        <f t="shared" si="199"/>
        <v>0</v>
      </c>
      <c r="S238" s="421">
        <f t="shared" si="199"/>
        <v>0</v>
      </c>
      <c r="T238" s="421">
        <f t="shared" si="199"/>
        <v>0</v>
      </c>
      <c r="U238" s="421">
        <f t="shared" si="199"/>
        <v>0</v>
      </c>
      <c r="V238" s="421">
        <f t="shared" si="199"/>
        <v>0</v>
      </c>
      <c r="W238" s="421">
        <f t="shared" si="199"/>
        <v>0</v>
      </c>
      <c r="X238" s="421">
        <f t="shared" si="199"/>
        <v>0</v>
      </c>
      <c r="Y238" s="421">
        <f t="shared" si="199"/>
        <v>0</v>
      </c>
      <c r="Z238" s="351"/>
      <c r="AA238" s="351"/>
    </row>
    <row r="239" spans="5:27" s="295" customFormat="1" x14ac:dyDescent="0.25">
      <c r="E239" s="98"/>
      <c r="F239" s="295" t="s">
        <v>44</v>
      </c>
      <c r="G239" s="295" t="s">
        <v>315</v>
      </c>
      <c r="H239" s="351"/>
      <c r="I239" s="351"/>
      <c r="J239" s="421">
        <f t="shared" si="199"/>
        <v>0</v>
      </c>
      <c r="K239" s="421">
        <f t="shared" si="199"/>
        <v>0</v>
      </c>
      <c r="L239" s="421">
        <f t="shared" si="199"/>
        <v>0</v>
      </c>
      <c r="M239" s="421">
        <f t="shared" si="199"/>
        <v>0</v>
      </c>
      <c r="N239" s="421">
        <f t="shared" si="199"/>
        <v>4.083823507268089E-2</v>
      </c>
      <c r="O239" s="421">
        <f t="shared" si="199"/>
        <v>3.3854979516919993E-2</v>
      </c>
      <c r="P239" s="421">
        <f t="shared" si="199"/>
        <v>2.9609403342027635E-2</v>
      </c>
      <c r="Q239" s="421">
        <f t="shared" si="199"/>
        <v>0</v>
      </c>
      <c r="R239" s="421">
        <f t="shared" si="199"/>
        <v>0</v>
      </c>
      <c r="S239" s="421">
        <f t="shared" si="199"/>
        <v>0</v>
      </c>
      <c r="T239" s="421">
        <f t="shared" si="199"/>
        <v>2.7911846940431757E-2</v>
      </c>
      <c r="U239" s="421">
        <f t="shared" si="199"/>
        <v>0</v>
      </c>
      <c r="V239" s="421">
        <f t="shared" si="199"/>
        <v>2.6606616687821636E-2</v>
      </c>
      <c r="W239" s="421">
        <f t="shared" si="199"/>
        <v>0</v>
      </c>
      <c r="X239" s="421">
        <f t="shared" si="199"/>
        <v>2.6054403888640436E-2</v>
      </c>
      <c r="Y239" s="421">
        <f t="shared" si="199"/>
        <v>0</v>
      </c>
      <c r="Z239" s="351"/>
      <c r="AA239" s="351"/>
    </row>
    <row r="240" spans="5:27" s="295" customFormat="1" x14ac:dyDescent="0.25">
      <c r="E240" s="98"/>
      <c r="F240" s="295" t="s">
        <v>45</v>
      </c>
      <c r="G240" s="295" t="s">
        <v>315</v>
      </c>
      <c r="H240" s="351"/>
      <c r="I240" s="351"/>
      <c r="J240" s="421">
        <f t="shared" si="199"/>
        <v>0</v>
      </c>
      <c r="K240" s="421">
        <f t="shared" si="199"/>
        <v>0</v>
      </c>
      <c r="L240" s="421">
        <f t="shared" si="199"/>
        <v>0</v>
      </c>
      <c r="M240" s="421">
        <f t="shared" si="199"/>
        <v>0</v>
      </c>
      <c r="N240" s="421">
        <f t="shared" si="199"/>
        <v>3.3002605465057193E-3</v>
      </c>
      <c r="O240" s="421">
        <f t="shared" si="199"/>
        <v>2.735922671574837E-3</v>
      </c>
      <c r="P240" s="421">
        <f t="shared" si="199"/>
        <v>2.3928248975832516E-3</v>
      </c>
      <c r="Q240" s="421">
        <f t="shared" si="199"/>
        <v>0</v>
      </c>
      <c r="R240" s="421">
        <f t="shared" si="199"/>
        <v>0</v>
      </c>
      <c r="S240" s="421">
        <f t="shared" si="199"/>
        <v>0</v>
      </c>
      <c r="T240" s="421">
        <f t="shared" si="199"/>
        <v>2.2556402614772987E-3</v>
      </c>
      <c r="U240" s="421">
        <f t="shared" si="199"/>
        <v>0</v>
      </c>
      <c r="V240" s="421">
        <f t="shared" si="199"/>
        <v>2.1501606809046186E-3</v>
      </c>
      <c r="W240" s="421">
        <f t="shared" si="199"/>
        <v>0</v>
      </c>
      <c r="X240" s="421">
        <f t="shared" si="199"/>
        <v>2.1055347045084855E-3</v>
      </c>
      <c r="Y240" s="421">
        <f t="shared" si="199"/>
        <v>0</v>
      </c>
      <c r="Z240" s="351"/>
      <c r="AA240" s="351"/>
    </row>
    <row r="241" spans="2:27" x14ac:dyDescent="0.25">
      <c r="D241" s="295"/>
      <c r="F241" s="295" t="s">
        <v>46</v>
      </c>
      <c r="G241" s="295" t="s">
        <v>315</v>
      </c>
      <c r="H241" s="351"/>
      <c r="I241" s="351"/>
      <c r="J241" s="421">
        <f t="shared" si="199"/>
        <v>0</v>
      </c>
      <c r="K241" s="421">
        <f t="shared" si="199"/>
        <v>0</v>
      </c>
      <c r="L241" s="421">
        <f t="shared" si="199"/>
        <v>0</v>
      </c>
      <c r="M241" s="421">
        <f t="shared" si="199"/>
        <v>0</v>
      </c>
      <c r="N241" s="421">
        <f t="shared" si="199"/>
        <v>3.3691385696748066E-2</v>
      </c>
      <c r="O241" s="421">
        <f t="shared" si="199"/>
        <v>2.7930226921659647E-2</v>
      </c>
      <c r="P241" s="421">
        <f t="shared" si="199"/>
        <v>1.9542114422357603E-2</v>
      </c>
      <c r="Q241" s="421">
        <f t="shared" si="199"/>
        <v>0</v>
      </c>
      <c r="R241" s="421">
        <f t="shared" si="199"/>
        <v>0</v>
      </c>
      <c r="S241" s="421">
        <f t="shared" si="199"/>
        <v>0</v>
      </c>
      <c r="T241" s="421">
        <f t="shared" si="199"/>
        <v>2.3027165574247985E-2</v>
      </c>
      <c r="U241" s="421">
        <f t="shared" si="199"/>
        <v>0</v>
      </c>
      <c r="V241" s="421">
        <f t="shared" si="199"/>
        <v>2.1950355673293936E-2</v>
      </c>
      <c r="W241" s="421">
        <f t="shared" si="199"/>
        <v>0</v>
      </c>
      <c r="X241" s="421">
        <f t="shared" si="199"/>
        <v>2.1494782253659531E-2</v>
      </c>
      <c r="Y241" s="421">
        <f t="shared" si="199"/>
        <v>0</v>
      </c>
      <c r="Z241" s="351"/>
      <c r="AA241" s="351"/>
    </row>
    <row r="242" spans="2:27" x14ac:dyDescent="0.25">
      <c r="D242" s="295"/>
      <c r="F242" s="295" t="s">
        <v>47</v>
      </c>
      <c r="G242" s="295" t="s">
        <v>315</v>
      </c>
      <c r="H242" s="351"/>
      <c r="I242" s="351"/>
      <c r="J242" s="421">
        <f t="shared" si="199"/>
        <v>0</v>
      </c>
      <c r="K242" s="421">
        <f t="shared" si="199"/>
        <v>0</v>
      </c>
      <c r="L242" s="421">
        <f t="shared" si="199"/>
        <v>0</v>
      </c>
      <c r="M242" s="421">
        <f t="shared" si="199"/>
        <v>0</v>
      </c>
      <c r="N242" s="421">
        <f t="shared" si="199"/>
        <v>7.357519986470165E-3</v>
      </c>
      <c r="O242" s="421">
        <f t="shared" si="199"/>
        <v>6.0993989577161492E-3</v>
      </c>
      <c r="P242" s="421">
        <f t="shared" si="199"/>
        <v>0</v>
      </c>
      <c r="Q242" s="421">
        <f t="shared" si="199"/>
        <v>0</v>
      </c>
      <c r="R242" s="421">
        <f t="shared" si="199"/>
        <v>0</v>
      </c>
      <c r="S242" s="421">
        <f t="shared" si="199"/>
        <v>0</v>
      </c>
      <c r="T242" s="421">
        <f t="shared" si="199"/>
        <v>5.0286691224053787E-3</v>
      </c>
      <c r="U242" s="421">
        <f t="shared" si="199"/>
        <v>0</v>
      </c>
      <c r="V242" s="421">
        <f t="shared" si="199"/>
        <v>4.793515530350451E-3</v>
      </c>
      <c r="W242" s="421">
        <f t="shared" si="199"/>
        <v>0</v>
      </c>
      <c r="X242" s="421">
        <f t="shared" si="199"/>
        <v>4.6940274721733654E-3</v>
      </c>
      <c r="Y242" s="421">
        <f t="shared" si="199"/>
        <v>0</v>
      </c>
      <c r="Z242" s="351"/>
      <c r="AA242" s="351"/>
    </row>
    <row r="243" spans="2:27" x14ac:dyDescent="0.25">
      <c r="D243" s="295"/>
      <c r="F243" s="295" t="s">
        <v>51</v>
      </c>
      <c r="G243" s="295" t="s">
        <v>315</v>
      </c>
      <c r="H243" s="351"/>
      <c r="I243" s="351"/>
      <c r="J243" s="421">
        <f t="shared" si="199"/>
        <v>0</v>
      </c>
      <c r="K243" s="421">
        <f t="shared" si="199"/>
        <v>0</v>
      </c>
      <c r="L243" s="421">
        <f t="shared" si="199"/>
        <v>0</v>
      </c>
      <c r="M243" s="421">
        <f t="shared" si="199"/>
        <v>0</v>
      </c>
      <c r="N243" s="421">
        <f t="shared" si="199"/>
        <v>0</v>
      </c>
      <c r="O243" s="421">
        <f t="shared" si="199"/>
        <v>0</v>
      </c>
      <c r="P243" s="421">
        <f t="shared" si="199"/>
        <v>0</v>
      </c>
      <c r="Q243" s="421">
        <f t="shared" si="199"/>
        <v>0</v>
      </c>
      <c r="R243" s="421">
        <f t="shared" si="199"/>
        <v>0</v>
      </c>
      <c r="S243" s="421">
        <f t="shared" si="199"/>
        <v>0</v>
      </c>
      <c r="T243" s="421">
        <f t="shared" si="199"/>
        <v>0</v>
      </c>
      <c r="U243" s="421">
        <f t="shared" si="199"/>
        <v>0</v>
      </c>
      <c r="V243" s="421">
        <f t="shared" si="199"/>
        <v>0</v>
      </c>
      <c r="W243" s="421">
        <f t="shared" si="199"/>
        <v>0</v>
      </c>
      <c r="X243" s="421">
        <f t="shared" si="199"/>
        <v>0</v>
      </c>
      <c r="Y243" s="421">
        <f t="shared" si="199"/>
        <v>0</v>
      </c>
      <c r="Z243" s="351"/>
      <c r="AA243" s="351"/>
    </row>
    <row r="244" spans="2:27" x14ac:dyDescent="0.25">
      <c r="D244" s="295"/>
      <c r="F244" s="295" t="s">
        <v>48</v>
      </c>
      <c r="G244" s="295" t="s">
        <v>315</v>
      </c>
      <c r="H244" s="351"/>
      <c r="I244" s="351"/>
      <c r="J244" s="421">
        <f t="shared" si="199"/>
        <v>0</v>
      </c>
      <c r="K244" s="421">
        <f t="shared" si="199"/>
        <v>0</v>
      </c>
      <c r="L244" s="421">
        <f t="shared" si="199"/>
        <v>0</v>
      </c>
      <c r="M244" s="421">
        <f t="shared" si="199"/>
        <v>0</v>
      </c>
      <c r="N244" s="421">
        <f t="shared" si="199"/>
        <v>4.8309289964834343E-2</v>
      </c>
      <c r="O244" s="421">
        <f t="shared" si="199"/>
        <v>0</v>
      </c>
      <c r="P244" s="421">
        <f t="shared" si="199"/>
        <v>0</v>
      </c>
      <c r="Q244" s="421">
        <f t="shared" si="199"/>
        <v>0</v>
      </c>
      <c r="R244" s="421">
        <f t="shared" si="199"/>
        <v>0</v>
      </c>
      <c r="S244" s="421">
        <f t="shared" si="199"/>
        <v>0</v>
      </c>
      <c r="T244" s="421">
        <f t="shared" si="199"/>
        <v>4.1272642687043337E-2</v>
      </c>
      <c r="U244" s="421">
        <f t="shared" si="199"/>
        <v>0</v>
      </c>
      <c r="V244" s="421">
        <f t="shared" si="199"/>
        <v>3.934262702182189E-2</v>
      </c>
      <c r="W244" s="421">
        <f t="shared" si="199"/>
        <v>0</v>
      </c>
      <c r="X244" s="421">
        <f t="shared" si="199"/>
        <v>3.8526081932689735E-2</v>
      </c>
      <c r="Y244" s="421">
        <f t="shared" si="199"/>
        <v>0</v>
      </c>
      <c r="Z244" s="351"/>
      <c r="AA244" s="351"/>
    </row>
    <row r="245" spans="2:27" x14ac:dyDescent="0.25">
      <c r="D245" s="295"/>
      <c r="F245" s="295" t="s">
        <v>49</v>
      </c>
      <c r="G245" s="295" t="s">
        <v>315</v>
      </c>
      <c r="H245" s="351"/>
      <c r="I245" s="351"/>
      <c r="J245" s="421">
        <f t="shared" si="199"/>
        <v>0</v>
      </c>
      <c r="K245" s="421">
        <f t="shared" si="199"/>
        <v>0</v>
      </c>
      <c r="L245" s="421">
        <f t="shared" si="199"/>
        <v>0</v>
      </c>
      <c r="M245" s="421">
        <f t="shared" si="199"/>
        <v>0</v>
      </c>
      <c r="N245" s="421">
        <f t="shared" si="199"/>
        <v>0</v>
      </c>
      <c r="O245" s="421">
        <f t="shared" si="199"/>
        <v>0</v>
      </c>
      <c r="P245" s="421">
        <f t="shared" si="199"/>
        <v>0</v>
      </c>
      <c r="Q245" s="421">
        <f t="shared" si="199"/>
        <v>0</v>
      </c>
      <c r="R245" s="421">
        <f t="shared" si="199"/>
        <v>0</v>
      </c>
      <c r="S245" s="421">
        <f t="shared" si="199"/>
        <v>0</v>
      </c>
      <c r="T245" s="421">
        <f t="shared" si="199"/>
        <v>1.6142664423316504E-2</v>
      </c>
      <c r="U245" s="421">
        <f t="shared" si="199"/>
        <v>0</v>
      </c>
      <c r="V245" s="421">
        <f t="shared" si="199"/>
        <v>1.5387791626542711E-2</v>
      </c>
      <c r="W245" s="421">
        <f t="shared" si="199"/>
        <v>0</v>
      </c>
      <c r="X245" s="421">
        <f t="shared" si="199"/>
        <v>0</v>
      </c>
      <c r="Y245" s="421">
        <f t="shared" si="199"/>
        <v>0</v>
      </c>
      <c r="Z245" s="351"/>
      <c r="AA245" s="351"/>
    </row>
    <row r="246" spans="2:27" x14ac:dyDescent="0.25">
      <c r="D246" s="295"/>
      <c r="F246" s="295" t="s">
        <v>50</v>
      </c>
      <c r="G246" s="295" t="s">
        <v>315</v>
      </c>
      <c r="H246" s="351"/>
      <c r="I246" s="351"/>
      <c r="J246" s="421">
        <f t="shared" si="199"/>
        <v>0</v>
      </c>
      <c r="K246" s="421">
        <f t="shared" si="199"/>
        <v>0</v>
      </c>
      <c r="L246" s="421">
        <f t="shared" si="199"/>
        <v>0</v>
      </c>
      <c r="M246" s="421">
        <f t="shared" si="199"/>
        <v>0</v>
      </c>
      <c r="N246" s="421">
        <f t="shared" si="199"/>
        <v>0</v>
      </c>
      <c r="O246" s="421">
        <f t="shared" si="199"/>
        <v>0</v>
      </c>
      <c r="P246" s="421">
        <f t="shared" si="199"/>
        <v>0</v>
      </c>
      <c r="Q246" s="421">
        <f t="shared" si="199"/>
        <v>0</v>
      </c>
      <c r="R246" s="421">
        <f t="shared" si="199"/>
        <v>0</v>
      </c>
      <c r="S246" s="421">
        <f t="shared" si="199"/>
        <v>0</v>
      </c>
      <c r="T246" s="421">
        <f t="shared" si="199"/>
        <v>9.8844685628569871E-3</v>
      </c>
      <c r="U246" s="421">
        <f t="shared" si="199"/>
        <v>0</v>
      </c>
      <c r="V246" s="421">
        <f t="shared" si="199"/>
        <v>0</v>
      </c>
      <c r="W246" s="421">
        <f t="shared" si="199"/>
        <v>0</v>
      </c>
      <c r="X246" s="421">
        <f t="shared" si="199"/>
        <v>0</v>
      </c>
      <c r="Y246" s="421">
        <f t="shared" si="199"/>
        <v>0</v>
      </c>
      <c r="Z246" s="351"/>
      <c r="AA246" s="351"/>
    </row>
    <row r="247" spans="2:27" x14ac:dyDescent="0.25">
      <c r="D247" s="295"/>
      <c r="F247" s="295" t="s">
        <v>124</v>
      </c>
      <c r="G247" s="295" t="s">
        <v>315</v>
      </c>
      <c r="H247" s="351"/>
      <c r="I247" s="351"/>
      <c r="J247" s="422"/>
      <c r="K247" s="422"/>
      <c r="L247" s="422"/>
      <c r="M247" s="422"/>
      <c r="N247" s="422"/>
      <c r="O247" s="422"/>
      <c r="P247" s="422"/>
      <c r="Q247" s="422"/>
      <c r="R247" s="422"/>
      <c r="S247" s="422"/>
      <c r="T247" s="422"/>
      <c r="U247" s="422"/>
      <c r="V247" s="422"/>
      <c r="W247" s="422"/>
      <c r="X247" s="422"/>
      <c r="Y247" s="422"/>
      <c r="Z247" s="351"/>
      <c r="AA247" s="351"/>
    </row>
    <row r="248" spans="2:27" x14ac:dyDescent="0.25">
      <c r="D248" s="295"/>
      <c r="F248" s="93" t="s">
        <v>123</v>
      </c>
      <c r="G248" s="93" t="s">
        <v>315</v>
      </c>
      <c r="H248" s="353"/>
      <c r="I248" s="353"/>
      <c r="J248" s="358"/>
      <c r="K248" s="358"/>
      <c r="L248" s="358"/>
      <c r="M248" s="358"/>
      <c r="N248" s="358"/>
      <c r="O248" s="358"/>
      <c r="P248" s="358"/>
      <c r="Q248" s="358"/>
      <c r="R248" s="358"/>
      <c r="S248" s="358"/>
      <c r="T248" s="358"/>
      <c r="U248" s="358"/>
      <c r="V248" s="358"/>
      <c r="W248" s="358"/>
      <c r="X248" s="358"/>
      <c r="Y248" s="358"/>
      <c r="Z248" s="351"/>
      <c r="AA248" s="351"/>
    </row>
    <row r="249" spans="2:27" x14ac:dyDescent="0.25">
      <c r="C249" s="86"/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  <c r="U249" s="253"/>
      <c r="V249" s="253"/>
      <c r="W249" s="253"/>
      <c r="X249" s="253"/>
      <c r="Y249" s="253"/>
    </row>
    <row r="250" spans="2:27" x14ac:dyDescent="0.25">
      <c r="E250" s="295" t="s">
        <v>522</v>
      </c>
      <c r="G250" s="295" t="s">
        <v>315</v>
      </c>
      <c r="H250" s="351"/>
      <c r="I250" s="351" t="s">
        <v>431</v>
      </c>
      <c r="J250" s="352">
        <f t="shared" ref="J250:Y250" si="200">SUM(J223:J234,J237:J248)</f>
        <v>0</v>
      </c>
      <c r="K250" s="352">
        <f t="shared" si="200"/>
        <v>0</v>
      </c>
      <c r="L250" s="352">
        <f t="shared" si="200"/>
        <v>0</v>
      </c>
      <c r="M250" s="352">
        <f t="shared" si="200"/>
        <v>0</v>
      </c>
      <c r="N250" s="352">
        <f t="shared" si="200"/>
        <v>0.40368859796416162</v>
      </c>
      <c r="O250" s="352">
        <f t="shared" si="200"/>
        <v>0.24363438241295179</v>
      </c>
      <c r="P250" s="352">
        <f t="shared" si="200"/>
        <v>0.17267908446293873</v>
      </c>
      <c r="Q250" s="352">
        <f t="shared" si="200"/>
        <v>0</v>
      </c>
      <c r="R250" s="352">
        <f t="shared" si="200"/>
        <v>0</v>
      </c>
      <c r="S250" s="352">
        <f t="shared" si="200"/>
        <v>0</v>
      </c>
      <c r="T250" s="352">
        <f t="shared" si="200"/>
        <v>0.33080423076610987</v>
      </c>
      <c r="U250" s="352">
        <f t="shared" si="200"/>
        <v>0</v>
      </c>
      <c r="V250" s="352">
        <f t="shared" si="200"/>
        <v>0.30468338725013466</v>
      </c>
      <c r="W250" s="352">
        <f t="shared" si="200"/>
        <v>0</v>
      </c>
      <c r="X250" s="352">
        <f t="shared" si="200"/>
        <v>0.2321386727871092</v>
      </c>
      <c r="Y250" s="352">
        <f t="shared" si="200"/>
        <v>0</v>
      </c>
      <c r="Z250" s="351"/>
      <c r="AA250" s="351" t="s">
        <v>915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5" t="s">
        <v>516</v>
      </c>
      <c r="G254" s="122" t="s">
        <v>692</v>
      </c>
      <c r="H254" s="152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79" spans="18:23" x14ac:dyDescent="0.25">
      <c r="R279" s="90"/>
      <c r="S279" s="90"/>
      <c r="T279" s="90"/>
      <c r="U279" s="90"/>
      <c r="V279" s="90"/>
      <c r="W279" s="90"/>
    </row>
    <row r="280" spans="18:23" x14ac:dyDescent="0.25">
      <c r="R280" s="90"/>
      <c r="S280" s="90"/>
      <c r="T280" s="90"/>
      <c r="U280" s="90"/>
      <c r="V280" s="90"/>
      <c r="W280" s="90"/>
    </row>
    <row r="281" spans="18:23" x14ac:dyDescent="0.25">
      <c r="R281" s="90"/>
      <c r="S281" s="90"/>
      <c r="T281" s="90"/>
      <c r="U281" s="90"/>
      <c r="V281" s="90"/>
      <c r="W281" s="90"/>
    </row>
    <row r="282" spans="18:23" x14ac:dyDescent="0.25">
      <c r="R282" s="90"/>
      <c r="S282" s="90"/>
      <c r="T282" s="90"/>
      <c r="U282" s="90"/>
      <c r="V282" s="90"/>
      <c r="W282" s="90"/>
    </row>
    <row r="283" spans="18:23" x14ac:dyDescent="0.25">
      <c r="R283" s="90"/>
      <c r="S283" s="90"/>
      <c r="T283" s="90"/>
      <c r="U283" s="90"/>
      <c r="V283" s="90"/>
      <c r="W283" s="90"/>
    </row>
    <row r="284" spans="18:23" x14ac:dyDescent="0.25">
      <c r="R284" s="90"/>
      <c r="S284" s="90"/>
      <c r="T284" s="90"/>
      <c r="U284" s="90"/>
      <c r="V284" s="90"/>
      <c r="W284" s="90"/>
    </row>
    <row r="285" spans="18:23" x14ac:dyDescent="0.25">
      <c r="R285" s="90"/>
      <c r="S285" s="90"/>
      <c r="T285" s="90"/>
      <c r="U285" s="90"/>
      <c r="V285" s="90"/>
      <c r="W285" s="90"/>
    </row>
    <row r="286" spans="18:23" x14ac:dyDescent="0.25">
      <c r="R286" s="90"/>
      <c r="S286" s="90"/>
      <c r="T286" s="90"/>
      <c r="U286" s="90"/>
      <c r="V286" s="90"/>
      <c r="W286" s="90"/>
    </row>
    <row r="287" spans="18:23" x14ac:dyDescent="0.25">
      <c r="R287" s="90"/>
      <c r="S287" s="90"/>
      <c r="T287" s="90"/>
      <c r="U287" s="90"/>
      <c r="V287" s="90"/>
      <c r="W287" s="90"/>
    </row>
    <row r="288" spans="18:23" x14ac:dyDescent="0.25">
      <c r="R288" s="90"/>
      <c r="S288" s="90"/>
      <c r="T288" s="90"/>
      <c r="U288" s="90"/>
      <c r="V288" s="90"/>
      <c r="W288" s="90"/>
    </row>
    <row r="289" spans="18:23" x14ac:dyDescent="0.25">
      <c r="R289" s="90"/>
      <c r="S289" s="90"/>
      <c r="T289" s="90"/>
      <c r="U289" s="90"/>
      <c r="V289" s="90"/>
      <c r="W289" s="90"/>
    </row>
    <row r="290" spans="18:23" x14ac:dyDescent="0.25">
      <c r="R290" s="90"/>
      <c r="S290" s="90"/>
      <c r="T290" s="90"/>
      <c r="U290" s="90"/>
      <c r="V290" s="90"/>
      <c r="W290" s="90"/>
    </row>
    <row r="291" spans="18:23" x14ac:dyDescent="0.25">
      <c r="R291" s="90"/>
      <c r="S291" s="90"/>
      <c r="T291" s="90"/>
      <c r="U291" s="90"/>
      <c r="V291" s="90"/>
      <c r="W291" s="90"/>
    </row>
    <row r="292" spans="18:23" x14ac:dyDescent="0.25">
      <c r="R292" s="90"/>
      <c r="S292" s="90"/>
      <c r="T292" s="90"/>
      <c r="U292" s="90"/>
      <c r="V292" s="90"/>
      <c r="W292" s="90"/>
    </row>
  </sheetData>
  <sheetProtection sheet="1" objects="1" formatCells="0" formatColumns="0" formatRows="0" sort="0" autoFilter="0"/>
  <conditionalFormatting sqref="H254">
    <cfRule type="cellIs" dxfId="80" priority="10" operator="greaterThan">
      <formula>0</formula>
    </cfRule>
  </conditionalFormatting>
  <conditionalFormatting sqref="A4:I4 Z4:XFD4">
    <cfRule type="expression" dxfId="79" priority="9">
      <formula>LEFT($A$4,1) &lt;&gt; "0"</formula>
    </cfRule>
  </conditionalFormatting>
  <conditionalFormatting sqref="N4:P4">
    <cfRule type="expression" dxfId="78" priority="8">
      <formula>LEFT($A$4,1) &lt;&gt; "0"</formula>
    </cfRule>
  </conditionalFormatting>
  <conditionalFormatting sqref="L4:M4">
    <cfRule type="expression" dxfId="77" priority="7">
      <formula>LEFT($A$4,1) &lt;&gt; "0"</formula>
    </cfRule>
  </conditionalFormatting>
  <conditionalFormatting sqref="J4:K4">
    <cfRule type="expression" dxfId="76" priority="6">
      <formula>LEFT($A$4,1) &lt;&gt; "0"</formula>
    </cfRule>
  </conditionalFormatting>
  <conditionalFormatting sqref="Q4">
    <cfRule type="expression" dxfId="75" priority="5">
      <formula>LEFT($A$4,1) &lt;&gt; "0"</formula>
    </cfRule>
  </conditionalFormatting>
  <conditionalFormatting sqref="R4:S4">
    <cfRule type="expression" dxfId="74" priority="4">
      <formula>LEFT($A$4,1) &lt;&gt; "0"</formula>
    </cfRule>
  </conditionalFormatting>
  <conditionalFormatting sqref="T4:U4">
    <cfRule type="expression" dxfId="73" priority="3">
      <formula>LEFT($A$4,1) &lt;&gt; "0"</formula>
    </cfRule>
  </conditionalFormatting>
  <conditionalFormatting sqref="V4:W4">
    <cfRule type="expression" dxfId="72" priority="2">
      <formula>LEFT($A$4,1) &lt;&gt; "0"</formula>
    </cfRule>
  </conditionalFormatting>
  <conditionalFormatting sqref="X4:Y4">
    <cfRule type="expression" dxfId="71" priority="1">
      <formula>LEFT($A$4,1) &lt;&gt; "0"</formula>
    </cfRule>
  </conditionalFormatting>
  <hyperlinks>
    <hyperlink ref="B5:F5" location="'Model map'!A1" display="Click here to return to model map" xr:uid="{00000000-0004-0000-1C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2">
    <tabColor theme="4" tint="0.59999389629810485"/>
    <pageSetUpPr fitToPage="1"/>
  </sheetPr>
  <dimension ref="A1:KZ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M31" sqref="M31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24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468</v>
      </c>
      <c r="E9" s="295"/>
    </row>
    <row r="10" spans="1:27" x14ac:dyDescent="0.25">
      <c r="D10" s="82" t="s">
        <v>843</v>
      </c>
      <c r="E10" s="295"/>
    </row>
    <row r="11" spans="1:27" x14ac:dyDescent="0.25">
      <c r="D11" s="82" t="s">
        <v>930</v>
      </c>
      <c r="E11" s="295"/>
    </row>
    <row r="12" spans="1:27" x14ac:dyDescent="0.25">
      <c r="D12" s="82" t="s">
        <v>875</v>
      </c>
      <c r="E12" s="295"/>
    </row>
    <row r="13" spans="1:27" x14ac:dyDescent="0.25">
      <c r="D13" s="82" t="s">
        <v>637</v>
      </c>
      <c r="E13" s="295"/>
    </row>
    <row r="14" spans="1:27" x14ac:dyDescent="0.25">
      <c r="D14" s="82" t="s">
        <v>876</v>
      </c>
      <c r="E14" s="295"/>
    </row>
    <row r="15" spans="1:27" x14ac:dyDescent="0.25">
      <c r="D15" s="82" t="s">
        <v>844</v>
      </c>
    </row>
    <row r="17" spans="2:27" x14ac:dyDescent="0.25">
      <c r="B17" s="95" t="s">
        <v>763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5"/>
      <c r="E18" s="295"/>
    </row>
    <row r="19" spans="2:27" x14ac:dyDescent="0.25">
      <c r="C19" s="7" t="str">
        <f ca="1">INDEX('Version control'!$H$34:$H$58,MATCH($A$1,'Version control'!$F$34:$F$58,0),1)&amp;"-A: Inputs to capacity charge calculations"</f>
        <v>Section 516-A: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323</v>
      </c>
      <c r="F21" s="98"/>
    </row>
    <row r="22" spans="2:27" x14ac:dyDescent="0.25">
      <c r="D22" s="295"/>
      <c r="E22" s="82" t="s">
        <v>845</v>
      </c>
      <c r="F22" s="98"/>
    </row>
    <row r="23" spans="2:27" x14ac:dyDescent="0.25">
      <c r="C23" s="86"/>
      <c r="F23" s="73" t="s">
        <v>324</v>
      </c>
      <c r="G23" s="73" t="s">
        <v>94</v>
      </c>
      <c r="H23" s="425">
        <f>'System peak demand'!H226</f>
        <v>2.4999999999999911E-2</v>
      </c>
    </row>
    <row r="24" spans="2:27" x14ac:dyDescent="0.25">
      <c r="C24" s="86"/>
      <c r="F24" s="295" t="s">
        <v>43</v>
      </c>
      <c r="G24" s="295" t="s">
        <v>94</v>
      </c>
      <c r="H24" s="143">
        <f>'System peak demand'!H226</f>
        <v>2.4999999999999911E-2</v>
      </c>
    </row>
    <row r="25" spans="2:27" x14ac:dyDescent="0.25">
      <c r="C25" s="86"/>
      <c r="F25" s="295" t="s">
        <v>44</v>
      </c>
      <c r="G25" s="295" t="s">
        <v>94</v>
      </c>
      <c r="H25" s="143">
        <f>'System peak demand'!H227</f>
        <v>0.12749999999999995</v>
      </c>
    </row>
    <row r="26" spans="2:27" x14ac:dyDescent="0.25">
      <c r="C26" s="86"/>
      <c r="F26" s="295" t="s">
        <v>45</v>
      </c>
      <c r="G26" s="295" t="s">
        <v>94</v>
      </c>
      <c r="H26" s="143">
        <f>'System peak demand'!H228</f>
        <v>0.12749999999999995</v>
      </c>
    </row>
    <row r="27" spans="2:27" x14ac:dyDescent="0.25">
      <c r="C27" s="86"/>
      <c r="F27" s="295" t="s">
        <v>46</v>
      </c>
      <c r="G27" s="295" t="s">
        <v>94</v>
      </c>
      <c r="H27" s="143">
        <f>'System peak demand'!H229</f>
        <v>0.42064999999999997</v>
      </c>
    </row>
    <row r="28" spans="2:27" x14ac:dyDescent="0.25">
      <c r="C28" s="86"/>
      <c r="F28" s="295" t="s">
        <v>47</v>
      </c>
      <c r="G28" s="295" t="s">
        <v>94</v>
      </c>
      <c r="H28" s="143">
        <f>'System peak demand'!H230</f>
        <v>0.42064999999999997</v>
      </c>
    </row>
    <row r="29" spans="2:27" x14ac:dyDescent="0.25">
      <c r="C29" s="86"/>
      <c r="F29" s="295" t="s">
        <v>51</v>
      </c>
      <c r="G29" s="295" t="s">
        <v>94</v>
      </c>
      <c r="H29" s="143">
        <f>'System peak demand'!H231</f>
        <v>0.12749999999999995</v>
      </c>
    </row>
    <row r="30" spans="2:27" x14ac:dyDescent="0.25">
      <c r="C30" s="86"/>
      <c r="F30" s="295" t="s">
        <v>48</v>
      </c>
      <c r="G30" s="295" t="s">
        <v>94</v>
      </c>
      <c r="H30" s="143">
        <f>'System peak demand'!H232</f>
        <v>0.70477999999999996</v>
      </c>
    </row>
    <row r="31" spans="2:27" x14ac:dyDescent="0.25">
      <c r="C31" s="86"/>
      <c r="F31" s="295" t="s">
        <v>49</v>
      </c>
      <c r="G31" s="295" t="s">
        <v>94</v>
      </c>
      <c r="H31" s="143">
        <f>'System peak demand'!H233</f>
        <v>0.70477999999999996</v>
      </c>
    </row>
    <row r="32" spans="2:27" x14ac:dyDescent="0.25">
      <c r="C32" s="86"/>
      <c r="F32" s="295" t="s">
        <v>50</v>
      </c>
      <c r="G32" s="295" t="s">
        <v>94</v>
      </c>
      <c r="H32" s="143">
        <f>'System peak demand'!H234</f>
        <v>0.54916500473310204</v>
      </c>
    </row>
    <row r="33" spans="3:8" x14ac:dyDescent="0.25">
      <c r="C33" s="86"/>
      <c r="F33" s="295" t="s">
        <v>124</v>
      </c>
      <c r="G33" s="295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324</v>
      </c>
      <c r="G37" s="16" t="s">
        <v>528</v>
      </c>
      <c r="H37" s="273">
        <f t="array" ref="H37:H46">TRANSPOSE('Load &amp; loss characteristics'!J29:S29)</f>
        <v>1</v>
      </c>
    </row>
    <row r="38" spans="3:8" x14ac:dyDescent="0.25">
      <c r="C38" s="86"/>
      <c r="F38" s="295" t="s">
        <v>43</v>
      </c>
      <c r="G38" s="14" t="s">
        <v>528</v>
      </c>
      <c r="H38" s="274">
        <v>1</v>
      </c>
    </row>
    <row r="39" spans="3:8" x14ac:dyDescent="0.25">
      <c r="C39" s="86"/>
      <c r="F39" s="295" t="s">
        <v>44</v>
      </c>
      <c r="G39" s="14" t="s">
        <v>528</v>
      </c>
      <c r="H39" s="274">
        <v>1.0049999999999999</v>
      </c>
    </row>
    <row r="40" spans="3:8" x14ac:dyDescent="0.25">
      <c r="C40" s="86"/>
      <c r="F40" s="295" t="s">
        <v>45</v>
      </c>
      <c r="G40" s="14" t="s">
        <v>528</v>
      </c>
      <c r="H40" s="274">
        <v>1.012</v>
      </c>
    </row>
    <row r="41" spans="3:8" x14ac:dyDescent="0.25">
      <c r="C41" s="86"/>
      <c r="F41" s="295" t="s">
        <v>46</v>
      </c>
      <c r="G41" s="14" t="s">
        <v>528</v>
      </c>
      <c r="H41" s="274">
        <v>1.018</v>
      </c>
    </row>
    <row r="42" spans="3:8" x14ac:dyDescent="0.25">
      <c r="C42" s="86"/>
      <c r="F42" s="295" t="s">
        <v>47</v>
      </c>
      <c r="G42" s="14" t="s">
        <v>528</v>
      </c>
      <c r="H42" s="274">
        <v>1.0269999999999999</v>
      </c>
    </row>
    <row r="43" spans="3:8" x14ac:dyDescent="0.25">
      <c r="C43" s="86"/>
      <c r="F43" s="295" t="s">
        <v>51</v>
      </c>
      <c r="G43" s="14" t="s">
        <v>528</v>
      </c>
      <c r="H43" s="274">
        <v>1.0269999999999999</v>
      </c>
    </row>
    <row r="44" spans="3:8" x14ac:dyDescent="0.25">
      <c r="C44" s="86"/>
      <c r="F44" s="295" t="s">
        <v>48</v>
      </c>
      <c r="G44" s="14" t="s">
        <v>528</v>
      </c>
      <c r="H44" s="274">
        <v>1.038</v>
      </c>
    </row>
    <row r="45" spans="3:8" x14ac:dyDescent="0.25">
      <c r="C45" s="86"/>
      <c r="F45" s="295" t="s">
        <v>49</v>
      </c>
      <c r="G45" s="14" t="s">
        <v>528</v>
      </c>
      <c r="H45" s="274">
        <v>1.06</v>
      </c>
    </row>
    <row r="46" spans="3:8" x14ac:dyDescent="0.25">
      <c r="C46" s="86"/>
      <c r="F46" s="295" t="s">
        <v>50</v>
      </c>
      <c r="G46" s="14" t="s">
        <v>528</v>
      </c>
      <c r="H46" s="274">
        <v>1.1120000000000001</v>
      </c>
    </row>
    <row r="47" spans="3:8" x14ac:dyDescent="0.25">
      <c r="C47" s="86"/>
      <c r="F47" s="295" t="s">
        <v>124</v>
      </c>
      <c r="G47" s="14" t="s">
        <v>528</v>
      </c>
      <c r="H47" s="280"/>
    </row>
    <row r="48" spans="3:8" x14ac:dyDescent="0.25">
      <c r="C48" s="86"/>
      <c r="F48" s="93" t="s">
        <v>123</v>
      </c>
      <c r="G48" s="15" t="s">
        <v>528</v>
      </c>
      <c r="H48" s="241"/>
    </row>
    <row r="49" spans="3:8" x14ac:dyDescent="0.25">
      <c r="C49" s="86"/>
      <c r="F49" s="98"/>
      <c r="H49" s="253"/>
    </row>
    <row r="50" spans="3:8" x14ac:dyDescent="0.25">
      <c r="C50" s="86"/>
      <c r="E50" s="86" t="s">
        <v>126</v>
      </c>
      <c r="H50" s="253"/>
    </row>
    <row r="51" spans="3:8" x14ac:dyDescent="0.25">
      <c r="C51" s="86"/>
      <c r="E51" s="82"/>
      <c r="F51" s="91" t="s">
        <v>324</v>
      </c>
      <c r="G51" s="91" t="s">
        <v>108</v>
      </c>
      <c r="H51" s="239"/>
    </row>
    <row r="52" spans="3:8" x14ac:dyDescent="0.25">
      <c r="C52" s="86"/>
      <c r="E52" s="82"/>
      <c r="F52" s="295" t="s">
        <v>43</v>
      </c>
      <c r="G52" s="295" t="s">
        <v>108</v>
      </c>
      <c r="H52" s="280"/>
    </row>
    <row r="53" spans="3:8" x14ac:dyDescent="0.25">
      <c r="C53" s="86"/>
      <c r="E53" s="82"/>
      <c r="F53" s="295" t="s">
        <v>44</v>
      </c>
      <c r="G53" s="295" t="s">
        <v>108</v>
      </c>
      <c r="H53" s="274">
        <f t="array" ref="H53:H60">TRANSPOSE('Unit costs'!L114:S114)</f>
        <v>17.541142919404308</v>
      </c>
    </row>
    <row r="54" spans="3:8" x14ac:dyDescent="0.25">
      <c r="C54" s="86"/>
      <c r="E54" s="82"/>
      <c r="F54" s="295" t="s">
        <v>45</v>
      </c>
      <c r="G54" s="295" t="s">
        <v>108</v>
      </c>
      <c r="H54" s="274">
        <v>1.480928540647217</v>
      </c>
    </row>
    <row r="55" spans="3:8" x14ac:dyDescent="0.25">
      <c r="C55" s="86"/>
      <c r="E55" s="82"/>
      <c r="F55" s="295" t="s">
        <v>46</v>
      </c>
      <c r="G55" s="295" t="s">
        <v>108</v>
      </c>
      <c r="H55" s="274">
        <v>15.207996866954261</v>
      </c>
    </row>
    <row r="56" spans="3:8" x14ac:dyDescent="0.25">
      <c r="C56" s="86"/>
      <c r="E56" s="82"/>
      <c r="F56" s="295" t="s">
        <v>47</v>
      </c>
      <c r="G56" s="295" t="s">
        <v>108</v>
      </c>
      <c r="H56" s="274">
        <v>2.5482199061946726</v>
      </c>
    </row>
    <row r="57" spans="3:8" x14ac:dyDescent="0.25">
      <c r="C57" s="86"/>
      <c r="E57" s="82"/>
      <c r="F57" s="295" t="s">
        <v>51</v>
      </c>
      <c r="G57" s="295" t="s">
        <v>108</v>
      </c>
      <c r="H57" s="274">
        <v>0</v>
      </c>
    </row>
    <row r="58" spans="3:8" x14ac:dyDescent="0.25">
      <c r="C58" s="86"/>
      <c r="E58" s="82"/>
      <c r="F58" s="295" t="s">
        <v>48</v>
      </c>
      <c r="G58" s="295" t="s">
        <v>108</v>
      </c>
      <c r="H58" s="274">
        <v>21.138444733545068</v>
      </c>
    </row>
    <row r="59" spans="3:8" x14ac:dyDescent="0.25">
      <c r="C59" s="86"/>
      <c r="E59" s="82"/>
      <c r="F59" s="295" t="s">
        <v>49</v>
      </c>
      <c r="G59" s="295" t="s">
        <v>108</v>
      </c>
      <c r="H59" s="274">
        <v>8.4429551761136299</v>
      </c>
    </row>
    <row r="60" spans="3:8" x14ac:dyDescent="0.25">
      <c r="C60" s="86"/>
      <c r="E60" s="82"/>
      <c r="F60" s="295" t="s">
        <v>50</v>
      </c>
      <c r="G60" s="295" t="s">
        <v>108</v>
      </c>
      <c r="H60" s="274">
        <v>5.4233984343766499</v>
      </c>
    </row>
    <row r="61" spans="3:8" x14ac:dyDescent="0.25">
      <c r="C61" s="86"/>
      <c r="E61" s="82"/>
      <c r="F61" s="295" t="s">
        <v>124</v>
      </c>
      <c r="G61" s="295" t="s">
        <v>108</v>
      </c>
      <c r="H61" s="280"/>
    </row>
    <row r="62" spans="3:8" x14ac:dyDescent="0.25">
      <c r="C62" s="86"/>
      <c r="E62" s="82"/>
      <c r="F62" s="93" t="s">
        <v>123</v>
      </c>
      <c r="G62" s="93" t="s">
        <v>108</v>
      </c>
      <c r="H62" s="241"/>
    </row>
    <row r="63" spans="3:8" x14ac:dyDescent="0.25">
      <c r="C63" s="86"/>
      <c r="D63" s="295"/>
      <c r="E63" s="82"/>
      <c r="H63" s="253"/>
    </row>
    <row r="64" spans="3:8" x14ac:dyDescent="0.25">
      <c r="C64" s="86"/>
      <c r="E64" s="86" t="s">
        <v>127</v>
      </c>
      <c r="H64" s="253"/>
    </row>
    <row r="65" spans="3:25" x14ac:dyDescent="0.25">
      <c r="C65" s="86"/>
      <c r="F65" s="91" t="s">
        <v>324</v>
      </c>
      <c r="G65" s="91" t="s">
        <v>108</v>
      </c>
      <c r="H65" s="273">
        <f t="array" ref="H65:H74">TRANSPOSE('Unit costs'!J115:S115)</f>
        <v>10.798667625984915</v>
      </c>
    </row>
    <row r="66" spans="3:25" x14ac:dyDescent="0.25">
      <c r="C66" s="86"/>
      <c r="F66" s="295" t="s">
        <v>43</v>
      </c>
      <c r="G66" s="295" t="s">
        <v>108</v>
      </c>
      <c r="H66" s="274">
        <v>0</v>
      </c>
    </row>
    <row r="67" spans="3:25" x14ac:dyDescent="0.25">
      <c r="C67" s="86"/>
      <c r="F67" s="295" t="s">
        <v>44</v>
      </c>
      <c r="G67" s="295" t="s">
        <v>108</v>
      </c>
      <c r="H67" s="274">
        <v>9.283542041222498</v>
      </c>
    </row>
    <row r="68" spans="3:25" x14ac:dyDescent="0.25">
      <c r="C68" s="86"/>
      <c r="F68" s="295" t="s">
        <v>45</v>
      </c>
      <c r="G68" s="295" t="s">
        <v>108</v>
      </c>
      <c r="H68" s="274">
        <v>0.78377232488860005</v>
      </c>
    </row>
    <row r="69" spans="3:25" x14ac:dyDescent="0.25">
      <c r="C69" s="86"/>
      <c r="F69" s="295" t="s">
        <v>46</v>
      </c>
      <c r="G69" s="295" t="s">
        <v>108</v>
      </c>
      <c r="H69" s="274">
        <v>8.0487388379334011</v>
      </c>
    </row>
    <row r="70" spans="3:25" x14ac:dyDescent="0.25">
      <c r="C70" s="86"/>
      <c r="F70" s="295" t="s">
        <v>47</v>
      </c>
      <c r="G70" s="295" t="s">
        <v>108</v>
      </c>
      <c r="H70" s="274">
        <v>1.3486297180367344</v>
      </c>
    </row>
    <row r="71" spans="3:25" x14ac:dyDescent="0.25">
      <c r="C71" s="86"/>
      <c r="F71" s="295" t="s">
        <v>51</v>
      </c>
      <c r="G71" s="295" t="s">
        <v>108</v>
      </c>
      <c r="H71" s="274">
        <v>0</v>
      </c>
    </row>
    <row r="72" spans="3:25" x14ac:dyDescent="0.25">
      <c r="C72" s="86"/>
      <c r="F72" s="295" t="s">
        <v>48</v>
      </c>
      <c r="G72" s="295" t="s">
        <v>108</v>
      </c>
      <c r="H72" s="274">
        <v>11.187391908929738</v>
      </c>
    </row>
    <row r="73" spans="3:25" x14ac:dyDescent="0.25">
      <c r="C73" s="86"/>
      <c r="F73" s="295" t="s">
        <v>49</v>
      </c>
      <c r="G73" s="295" t="s">
        <v>108</v>
      </c>
      <c r="H73" s="274">
        <v>4.4683821168176063</v>
      </c>
    </row>
    <row r="74" spans="3:25" x14ac:dyDescent="0.25">
      <c r="C74" s="86"/>
      <c r="F74" s="295" t="s">
        <v>50</v>
      </c>
      <c r="G74" s="295" t="s">
        <v>108</v>
      </c>
      <c r="H74" s="274">
        <v>2.8703002765081922</v>
      </c>
    </row>
    <row r="75" spans="3:25" x14ac:dyDescent="0.25">
      <c r="C75" s="86"/>
      <c r="F75" s="295" t="s">
        <v>124</v>
      </c>
      <c r="G75" s="295" t="s">
        <v>108</v>
      </c>
      <c r="H75" s="280"/>
    </row>
    <row r="76" spans="3:25" x14ac:dyDescent="0.25">
      <c r="C76" s="86"/>
      <c r="F76" s="93" t="s">
        <v>123</v>
      </c>
      <c r="G76" s="93" t="s">
        <v>108</v>
      </c>
      <c r="H76" s="241"/>
    </row>
    <row r="77" spans="3:25" x14ac:dyDescent="0.25">
      <c r="C77" s="86"/>
      <c r="F77" s="98"/>
    </row>
    <row r="78" spans="3:25" x14ac:dyDescent="0.25">
      <c r="E78" s="96" t="s">
        <v>406</v>
      </c>
      <c r="F78" s="98"/>
    </row>
    <row r="79" spans="3:25" x14ac:dyDescent="0.25">
      <c r="E79" s="82" t="s">
        <v>397</v>
      </c>
    </row>
    <row r="80" spans="3:25" x14ac:dyDescent="0.25">
      <c r="C80" s="86"/>
      <c r="F80" s="91" t="s">
        <v>324</v>
      </c>
      <c r="G80" s="16" t="s">
        <v>528</v>
      </c>
      <c r="H80" s="33"/>
      <c r="I80" s="33"/>
      <c r="J80" s="273">
        <f t="array" ref="J80:Y89">TRANSPOSE('Load &amp; loss characteristics'!J145:S160)</f>
        <v>1.1120000000000001</v>
      </c>
      <c r="K80" s="273">
        <v>1.1120000000000001</v>
      </c>
      <c r="L80" s="273">
        <v>1.1120000000000001</v>
      </c>
      <c r="M80" s="273">
        <v>1.1120000000000001</v>
      </c>
      <c r="N80" s="273">
        <v>1.1120000000000001</v>
      </c>
      <c r="O80" s="273">
        <v>1.06</v>
      </c>
      <c r="P80" s="273">
        <v>1.038</v>
      </c>
      <c r="Q80" s="273">
        <v>1.1120000000000001</v>
      </c>
      <c r="R80" s="273">
        <v>-1.1120000000000001</v>
      </c>
      <c r="S80" s="273">
        <v>-1.06</v>
      </c>
      <c r="T80" s="273">
        <v>-1.1120000000000001</v>
      </c>
      <c r="U80" s="273">
        <v>-1.1120000000000001</v>
      </c>
      <c r="V80" s="273">
        <v>-1.06</v>
      </c>
      <c r="W80" s="273">
        <v>-1.06</v>
      </c>
      <c r="X80" s="273">
        <v>-1.038</v>
      </c>
      <c r="Y80" s="273">
        <v>-1.038</v>
      </c>
    </row>
    <row r="81" spans="3:42" x14ac:dyDescent="0.25">
      <c r="C81" s="86"/>
      <c r="F81" s="295" t="s">
        <v>43</v>
      </c>
      <c r="G81" s="14" t="s">
        <v>528</v>
      </c>
      <c r="H81" s="142"/>
      <c r="I81" s="142"/>
      <c r="J81" s="274">
        <v>1.1120000000000001</v>
      </c>
      <c r="K81" s="274">
        <v>1.1120000000000001</v>
      </c>
      <c r="L81" s="274">
        <v>1.1120000000000001</v>
      </c>
      <c r="M81" s="274">
        <v>1.1120000000000001</v>
      </c>
      <c r="N81" s="274">
        <v>1.1120000000000001</v>
      </c>
      <c r="O81" s="274">
        <v>1.06</v>
      </c>
      <c r="P81" s="274">
        <v>1.038</v>
      </c>
      <c r="Q81" s="274">
        <v>1.1120000000000001</v>
      </c>
      <c r="R81" s="274">
        <v>-1.1120000000000001</v>
      </c>
      <c r="S81" s="274">
        <v>-1.06</v>
      </c>
      <c r="T81" s="274">
        <v>-1.1120000000000001</v>
      </c>
      <c r="U81" s="274">
        <v>-1.1120000000000001</v>
      </c>
      <c r="V81" s="274">
        <v>-1.06</v>
      </c>
      <c r="W81" s="274">
        <v>-1.06</v>
      </c>
      <c r="X81" s="274">
        <v>-1.038</v>
      </c>
      <c r="Y81" s="274">
        <v>-1.038</v>
      </c>
    </row>
    <row r="82" spans="3:42" x14ac:dyDescent="0.25">
      <c r="C82" s="86"/>
      <c r="F82" s="295" t="s">
        <v>44</v>
      </c>
      <c r="G82" s="14" t="s">
        <v>528</v>
      </c>
      <c r="H82" s="142"/>
      <c r="I82" s="142"/>
      <c r="J82" s="274">
        <v>1.1120000000000001</v>
      </c>
      <c r="K82" s="274">
        <v>1.1120000000000001</v>
      </c>
      <c r="L82" s="274">
        <v>1.1120000000000001</v>
      </c>
      <c r="M82" s="274">
        <v>1.1120000000000001</v>
      </c>
      <c r="N82" s="274">
        <v>1.1120000000000001</v>
      </c>
      <c r="O82" s="274">
        <v>1.06</v>
      </c>
      <c r="P82" s="274">
        <v>1.038</v>
      </c>
      <c r="Q82" s="274">
        <v>1.1120000000000001</v>
      </c>
      <c r="R82" s="274">
        <v>-1.1120000000000001</v>
      </c>
      <c r="S82" s="274">
        <v>-1.06</v>
      </c>
      <c r="T82" s="274">
        <v>-1.1120000000000001</v>
      </c>
      <c r="U82" s="274">
        <v>-1.1120000000000001</v>
      </c>
      <c r="V82" s="274">
        <v>-1.06</v>
      </c>
      <c r="W82" s="274">
        <v>-1.06</v>
      </c>
      <c r="X82" s="274">
        <v>-1.038</v>
      </c>
      <c r="Y82" s="274">
        <v>-1.038</v>
      </c>
    </row>
    <row r="83" spans="3:42" x14ac:dyDescent="0.25">
      <c r="C83" s="86"/>
      <c r="F83" s="295" t="s">
        <v>45</v>
      </c>
      <c r="G83" s="14" t="s">
        <v>528</v>
      </c>
      <c r="H83" s="142"/>
      <c r="I83" s="142"/>
      <c r="J83" s="274">
        <v>1.1120000000000001</v>
      </c>
      <c r="K83" s="274">
        <v>1.1120000000000001</v>
      </c>
      <c r="L83" s="274">
        <v>1.1120000000000001</v>
      </c>
      <c r="M83" s="274">
        <v>1.1120000000000001</v>
      </c>
      <c r="N83" s="274">
        <v>1.1120000000000001</v>
      </c>
      <c r="O83" s="274">
        <v>1.06</v>
      </c>
      <c r="P83" s="274">
        <v>1.038</v>
      </c>
      <c r="Q83" s="274">
        <v>1.1120000000000001</v>
      </c>
      <c r="R83" s="274">
        <v>-1.1120000000000001</v>
      </c>
      <c r="S83" s="274">
        <v>-1.06</v>
      </c>
      <c r="T83" s="274">
        <v>-1.1120000000000001</v>
      </c>
      <c r="U83" s="274">
        <v>-1.1120000000000001</v>
      </c>
      <c r="V83" s="274">
        <v>-1.06</v>
      </c>
      <c r="W83" s="274">
        <v>-1.06</v>
      </c>
      <c r="X83" s="274">
        <v>-1.038</v>
      </c>
      <c r="Y83" s="274">
        <v>-1.038</v>
      </c>
    </row>
    <row r="84" spans="3:42" x14ac:dyDescent="0.25">
      <c r="C84" s="86"/>
      <c r="F84" s="295" t="s">
        <v>46</v>
      </c>
      <c r="G84" s="14" t="s">
        <v>528</v>
      </c>
      <c r="H84" s="142"/>
      <c r="I84" s="142"/>
      <c r="J84" s="274">
        <v>1.1120000000000001</v>
      </c>
      <c r="K84" s="274">
        <v>1.1120000000000001</v>
      </c>
      <c r="L84" s="274">
        <v>1.1120000000000001</v>
      </c>
      <c r="M84" s="274">
        <v>1.1120000000000001</v>
      </c>
      <c r="N84" s="274">
        <v>1.1120000000000001</v>
      </c>
      <c r="O84" s="274">
        <v>1.06</v>
      </c>
      <c r="P84" s="274">
        <v>1.038</v>
      </c>
      <c r="Q84" s="274">
        <v>1.1120000000000001</v>
      </c>
      <c r="R84" s="274">
        <v>-1.1120000000000001</v>
      </c>
      <c r="S84" s="274">
        <v>-1.06</v>
      </c>
      <c r="T84" s="274">
        <v>-1.1120000000000001</v>
      </c>
      <c r="U84" s="274">
        <v>-1.1120000000000001</v>
      </c>
      <c r="V84" s="274">
        <v>-1.06</v>
      </c>
      <c r="W84" s="274">
        <v>-1.06</v>
      </c>
      <c r="X84" s="274">
        <v>-1.038</v>
      </c>
      <c r="Y84" s="274">
        <v>-1.038</v>
      </c>
    </row>
    <row r="85" spans="3:42" x14ac:dyDescent="0.25">
      <c r="C85" s="86"/>
      <c r="F85" s="295" t="s">
        <v>47</v>
      </c>
      <c r="G85" s="14" t="s">
        <v>528</v>
      </c>
      <c r="H85" s="142"/>
      <c r="I85" s="142"/>
      <c r="J85" s="274">
        <v>1.1120000000000001</v>
      </c>
      <c r="K85" s="274">
        <v>1.1120000000000001</v>
      </c>
      <c r="L85" s="274">
        <v>1.1120000000000001</v>
      </c>
      <c r="M85" s="274">
        <v>1.1120000000000001</v>
      </c>
      <c r="N85" s="274">
        <v>1.1120000000000001</v>
      </c>
      <c r="O85" s="274">
        <v>1.06</v>
      </c>
      <c r="P85" s="274">
        <v>1.038</v>
      </c>
      <c r="Q85" s="274">
        <v>1.1120000000000001</v>
      </c>
      <c r="R85" s="274">
        <v>-1.1120000000000001</v>
      </c>
      <c r="S85" s="274">
        <v>-1.06</v>
      </c>
      <c r="T85" s="274">
        <v>-1.1120000000000001</v>
      </c>
      <c r="U85" s="274">
        <v>-1.1120000000000001</v>
      </c>
      <c r="V85" s="274">
        <v>-1.06</v>
      </c>
      <c r="W85" s="274">
        <v>-1.06</v>
      </c>
      <c r="X85" s="274">
        <v>-1.038</v>
      </c>
      <c r="Y85" s="274">
        <v>-1.038</v>
      </c>
    </row>
    <row r="86" spans="3:42" x14ac:dyDescent="0.25">
      <c r="C86" s="86"/>
      <c r="F86" s="295" t="s">
        <v>51</v>
      </c>
      <c r="G86" s="14" t="s">
        <v>528</v>
      </c>
      <c r="H86" s="142"/>
      <c r="I86" s="142"/>
      <c r="J86" s="274">
        <v>0</v>
      </c>
      <c r="K86" s="274">
        <v>0</v>
      </c>
      <c r="L86" s="274">
        <v>0</v>
      </c>
      <c r="M86" s="274">
        <v>0</v>
      </c>
      <c r="N86" s="274">
        <v>0</v>
      </c>
      <c r="O86" s="274">
        <v>0</v>
      </c>
      <c r="P86" s="274">
        <v>0</v>
      </c>
      <c r="Q86" s="274">
        <v>0</v>
      </c>
      <c r="R86" s="274">
        <v>0</v>
      </c>
      <c r="S86" s="274">
        <v>0</v>
      </c>
      <c r="T86" s="274">
        <v>0</v>
      </c>
      <c r="U86" s="274">
        <v>0</v>
      </c>
      <c r="V86" s="274">
        <v>0</v>
      </c>
      <c r="W86" s="274">
        <v>0</v>
      </c>
      <c r="X86" s="274">
        <v>0</v>
      </c>
      <c r="Y86" s="274">
        <v>0</v>
      </c>
    </row>
    <row r="87" spans="3:42" x14ac:dyDescent="0.25">
      <c r="C87" s="86"/>
      <c r="F87" s="295" t="s">
        <v>48</v>
      </c>
      <c r="G87" s="14" t="s">
        <v>528</v>
      </c>
      <c r="H87" s="142"/>
      <c r="I87" s="142"/>
      <c r="J87" s="274">
        <v>1.1120000000000001</v>
      </c>
      <c r="K87" s="274">
        <v>1.1120000000000001</v>
      </c>
      <c r="L87" s="274">
        <v>1.1120000000000001</v>
      </c>
      <c r="M87" s="274">
        <v>1.1120000000000001</v>
      </c>
      <c r="N87" s="274">
        <v>1.1120000000000001</v>
      </c>
      <c r="O87" s="274">
        <v>1.06</v>
      </c>
      <c r="P87" s="274">
        <v>1.038</v>
      </c>
      <c r="Q87" s="274">
        <v>1.1120000000000001</v>
      </c>
      <c r="R87" s="274">
        <v>-1.1120000000000001</v>
      </c>
      <c r="S87" s="274">
        <v>-1.06</v>
      </c>
      <c r="T87" s="274">
        <v>-1.1120000000000001</v>
      </c>
      <c r="U87" s="274">
        <v>-1.1120000000000001</v>
      </c>
      <c r="V87" s="274">
        <v>-1.06</v>
      </c>
      <c r="W87" s="274">
        <v>-1.06</v>
      </c>
      <c r="X87" s="274">
        <v>0</v>
      </c>
      <c r="Y87" s="274">
        <v>0</v>
      </c>
    </row>
    <row r="88" spans="3:42" x14ac:dyDescent="0.25">
      <c r="C88" s="86"/>
      <c r="F88" s="295" t="s">
        <v>49</v>
      </c>
      <c r="G88" s="14" t="s">
        <v>528</v>
      </c>
      <c r="H88" s="142"/>
      <c r="I88" s="142"/>
      <c r="J88" s="274">
        <v>1.1120000000000001</v>
      </c>
      <c r="K88" s="274">
        <v>1.1120000000000001</v>
      </c>
      <c r="L88" s="274">
        <v>1.1120000000000001</v>
      </c>
      <c r="M88" s="274">
        <v>1.1120000000000001</v>
      </c>
      <c r="N88" s="274">
        <v>1.1120000000000001</v>
      </c>
      <c r="O88" s="274">
        <v>1.06</v>
      </c>
      <c r="P88" s="274">
        <v>0</v>
      </c>
      <c r="Q88" s="274">
        <v>1.1120000000000001</v>
      </c>
      <c r="R88" s="274">
        <v>-1.1120000000000001</v>
      </c>
      <c r="S88" s="274">
        <v>0</v>
      </c>
      <c r="T88" s="274">
        <v>-1.1120000000000001</v>
      </c>
      <c r="U88" s="274">
        <v>-1.1120000000000001</v>
      </c>
      <c r="V88" s="274">
        <v>0</v>
      </c>
      <c r="W88" s="274">
        <v>0</v>
      </c>
      <c r="X88" s="274">
        <v>0</v>
      </c>
      <c r="Y88" s="274">
        <v>0</v>
      </c>
    </row>
    <row r="89" spans="3:42" x14ac:dyDescent="0.25">
      <c r="C89" s="86"/>
      <c r="F89" s="295" t="s">
        <v>50</v>
      </c>
      <c r="G89" s="14" t="s">
        <v>528</v>
      </c>
      <c r="H89" s="142"/>
      <c r="I89" s="142"/>
      <c r="J89" s="274">
        <v>1.1120000000000001</v>
      </c>
      <c r="K89" s="274">
        <v>1.1120000000000001</v>
      </c>
      <c r="L89" s="274">
        <v>1.1120000000000001</v>
      </c>
      <c r="M89" s="274">
        <v>1.1120000000000001</v>
      </c>
      <c r="N89" s="274">
        <v>1.1120000000000001</v>
      </c>
      <c r="O89" s="274">
        <v>0</v>
      </c>
      <c r="P89" s="274">
        <v>0</v>
      </c>
      <c r="Q89" s="274">
        <v>1.1120000000000001</v>
      </c>
      <c r="R89" s="274">
        <v>0</v>
      </c>
      <c r="S89" s="274">
        <v>0</v>
      </c>
      <c r="T89" s="274">
        <v>0</v>
      </c>
      <c r="U89" s="274">
        <v>0</v>
      </c>
      <c r="V89" s="274">
        <v>0</v>
      </c>
      <c r="W89" s="274">
        <v>0</v>
      </c>
      <c r="X89" s="274">
        <v>0</v>
      </c>
      <c r="Y89" s="274">
        <v>0</v>
      </c>
    </row>
    <row r="90" spans="3:42" x14ac:dyDescent="0.25">
      <c r="C90" s="86"/>
      <c r="F90" s="295" t="s">
        <v>124</v>
      </c>
      <c r="G90" s="14" t="s">
        <v>528</v>
      </c>
      <c r="J90" s="280"/>
      <c r="K90" s="280"/>
      <c r="L90" s="280"/>
      <c r="M90" s="280"/>
      <c r="N90" s="280"/>
      <c r="O90" s="280"/>
      <c r="P90" s="280"/>
      <c r="Q90" s="280"/>
      <c r="R90" s="280"/>
      <c r="S90" s="280"/>
      <c r="T90" s="280"/>
      <c r="U90" s="280"/>
      <c r="V90" s="280"/>
      <c r="W90" s="280"/>
      <c r="X90" s="280"/>
      <c r="Y90" s="280"/>
    </row>
    <row r="91" spans="3:42" x14ac:dyDescent="0.25">
      <c r="C91" s="86"/>
      <c r="F91" s="93" t="s">
        <v>123</v>
      </c>
      <c r="G91" s="15" t="s">
        <v>528</v>
      </c>
      <c r="H91" s="93"/>
      <c r="I91" s="93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1"/>
      <c r="U91" s="241"/>
      <c r="V91" s="241"/>
      <c r="W91" s="241"/>
      <c r="X91" s="241"/>
      <c r="Y91" s="241"/>
    </row>
    <row r="92" spans="3:42" x14ac:dyDescent="0.25">
      <c r="C92" s="86"/>
      <c r="F92" s="98"/>
    </row>
    <row r="93" spans="3:42" x14ac:dyDescent="0.25">
      <c r="D93" s="295"/>
      <c r="E93" s="96" t="s">
        <v>320</v>
      </c>
      <c r="H93" s="111"/>
      <c r="J93" s="90"/>
      <c r="L93" s="90"/>
      <c r="AP93" s="88"/>
    </row>
    <row r="94" spans="3:42" x14ac:dyDescent="0.25">
      <c r="C94" s="96"/>
      <c r="D94" s="295"/>
      <c r="E94" s="295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5"/>
      <c r="E95" s="295"/>
      <c r="F95" s="295" t="s">
        <v>44</v>
      </c>
      <c r="G95" s="295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5"/>
      <c r="E96" s="295"/>
      <c r="F96" s="295" t="s">
        <v>45</v>
      </c>
      <c r="G96" s="295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5"/>
      <c r="E97" s="295"/>
      <c r="F97" s="295" t="s">
        <v>46</v>
      </c>
      <c r="G97" s="295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5"/>
      <c r="E98" s="295"/>
      <c r="F98" s="295" t="s">
        <v>47</v>
      </c>
      <c r="G98" s="295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5"/>
      <c r="E99" s="295"/>
      <c r="F99" s="295" t="s">
        <v>51</v>
      </c>
      <c r="G99" s="295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5"/>
      <c r="E100" s="295"/>
      <c r="F100" s="295" t="s">
        <v>48</v>
      </c>
      <c r="G100" s="295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5"/>
      <c r="E101" s="295"/>
      <c r="F101" s="295" t="s">
        <v>49</v>
      </c>
      <c r="G101" s="295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5"/>
      <c r="E102" s="295"/>
      <c r="F102" s="93" t="s">
        <v>50</v>
      </c>
      <c r="G102" s="93" t="s">
        <v>94</v>
      </c>
      <c r="H102" s="187"/>
      <c r="I102" s="93"/>
      <c r="J102" s="394">
        <f>'Standing charge factors'!J52</f>
        <v>1</v>
      </c>
      <c r="K102" s="394">
        <f>'Standing charge factors'!K52</f>
        <v>1</v>
      </c>
      <c r="L102" s="394">
        <f>'Standing charge factors'!L52</f>
        <v>1</v>
      </c>
      <c r="M102" s="394">
        <f>'Standing charge factors'!M52</f>
        <v>1</v>
      </c>
      <c r="N102" s="394">
        <f>'Standing charge factors'!N52</f>
        <v>1</v>
      </c>
      <c r="O102" s="394">
        <f>'Standing charge factors'!O52</f>
        <v>0</v>
      </c>
      <c r="P102" s="394">
        <f>'Standing charge factors'!P52</f>
        <v>0</v>
      </c>
      <c r="Q102" s="394">
        <f>'Standing charge factors'!Q52</f>
        <v>0</v>
      </c>
      <c r="R102" s="394">
        <f>'Standing charge factors'!R52</f>
        <v>0</v>
      </c>
      <c r="S102" s="394">
        <f>'Standing charge factors'!S52</f>
        <v>0</v>
      </c>
      <c r="T102" s="394">
        <f>'Standing charge factors'!T52</f>
        <v>0</v>
      </c>
      <c r="U102" s="394">
        <f>'Standing charge factors'!U52</f>
        <v>0</v>
      </c>
      <c r="V102" s="394">
        <f>'Standing charge factors'!V52</f>
        <v>0</v>
      </c>
      <c r="W102" s="394">
        <f>'Standing charge factors'!W52</f>
        <v>0</v>
      </c>
      <c r="X102" s="394">
        <f>'Standing charge factors'!X52</f>
        <v>0</v>
      </c>
      <c r="Y102" s="394">
        <f>'Standing charge factors'!Y52</f>
        <v>0</v>
      </c>
      <c r="AP102" s="88"/>
    </row>
    <row r="103" spans="3:42" x14ac:dyDescent="0.25">
      <c r="C103" s="86"/>
      <c r="D103" s="295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324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5" t="s">
        <v>43</v>
      </c>
      <c r="G106" s="295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5" t="s">
        <v>44</v>
      </c>
      <c r="G107" s="295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5" t="s">
        <v>45</v>
      </c>
      <c r="G108" s="295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5" t="s">
        <v>46</v>
      </c>
      <c r="G109" s="295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0.29443019943019899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0.29443019943019899</v>
      </c>
      <c r="Y109" s="143">
        <v>0.29443019943019899</v>
      </c>
    </row>
    <row r="110" spans="3:42" x14ac:dyDescent="0.25">
      <c r="C110" s="86"/>
      <c r="F110" s="295" t="s">
        <v>47</v>
      </c>
      <c r="G110" s="295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0.14317058823529399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0.14317058823529399</v>
      </c>
      <c r="Y110" s="143">
        <v>0.14317058823529399</v>
      </c>
    </row>
    <row r="111" spans="3:42" x14ac:dyDescent="0.25">
      <c r="C111" s="86"/>
      <c r="F111" s="295" t="s">
        <v>51</v>
      </c>
      <c r="G111" s="295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5" t="s">
        <v>48</v>
      </c>
      <c r="G112" s="295" t="s">
        <v>94</v>
      </c>
      <c r="H112" s="142"/>
      <c r="I112" s="142"/>
      <c r="J112" s="143">
        <v>0.32635129017655001</v>
      </c>
      <c r="K112" s="143">
        <v>0.32635129017655001</v>
      </c>
      <c r="L112" s="143">
        <v>0.32635129017655001</v>
      </c>
      <c r="M112" s="143">
        <v>0.32635129017655001</v>
      </c>
      <c r="N112" s="143">
        <v>0.32635129017655001</v>
      </c>
      <c r="O112" s="143">
        <v>0.32635129017655001</v>
      </c>
      <c r="P112" s="143">
        <v>0.73429040289723801</v>
      </c>
      <c r="Q112" s="143">
        <v>0.32635129017655001</v>
      </c>
      <c r="R112" s="143">
        <v>0.32635129017655001</v>
      </c>
      <c r="S112" s="143">
        <v>0.32635129017655001</v>
      </c>
      <c r="T112" s="143">
        <v>0.32635129017655001</v>
      </c>
      <c r="U112" s="143">
        <v>0.32635129017655001</v>
      </c>
      <c r="V112" s="143">
        <v>0.32635129017655001</v>
      </c>
      <c r="W112" s="143">
        <v>0.32635129017655001</v>
      </c>
      <c r="X112" s="143">
        <v>0.73429040289723801</v>
      </c>
      <c r="Y112" s="143">
        <v>0.73429040289723801</v>
      </c>
    </row>
    <row r="113" spans="2:27" x14ac:dyDescent="0.25">
      <c r="C113" s="86"/>
      <c r="F113" s="295" t="s">
        <v>49</v>
      </c>
      <c r="G113" s="295" t="s">
        <v>94</v>
      </c>
      <c r="H113" s="142"/>
      <c r="I113" s="142"/>
      <c r="J113" s="143">
        <v>0.71097285067873295</v>
      </c>
      <c r="K113" s="143">
        <v>0.71097285067873295</v>
      </c>
      <c r="L113" s="143">
        <v>0.71097285067873295</v>
      </c>
      <c r="M113" s="143">
        <v>0.71097285067873295</v>
      </c>
      <c r="N113" s="143">
        <v>0.71097285067873295</v>
      </c>
      <c r="O113" s="143">
        <v>0.71097285067873295</v>
      </c>
      <c r="P113" s="143">
        <v>0</v>
      </c>
      <c r="Q113" s="143">
        <v>0.71097285067873295</v>
      </c>
      <c r="R113" s="143">
        <v>0.71097285067873295</v>
      </c>
      <c r="S113" s="143">
        <v>0.71097285067873295</v>
      </c>
      <c r="T113" s="143">
        <v>0.71097285067873295</v>
      </c>
      <c r="U113" s="143">
        <v>0.71097285067873295</v>
      </c>
      <c r="V113" s="143">
        <v>0.71097285067873295</v>
      </c>
      <c r="W113" s="143">
        <v>0.71097285067873295</v>
      </c>
      <c r="X113" s="143">
        <v>0</v>
      </c>
      <c r="Y113" s="143">
        <v>0</v>
      </c>
    </row>
    <row r="114" spans="2:27" x14ac:dyDescent="0.25">
      <c r="C114" s="86"/>
      <c r="F114" s="295" t="s">
        <v>50</v>
      </c>
      <c r="G114" s="295" t="s">
        <v>94</v>
      </c>
      <c r="H114" s="142"/>
      <c r="I114" s="142"/>
      <c r="J114" s="143">
        <v>0.93094869075781095</v>
      </c>
      <c r="K114" s="143">
        <v>0.93094869075781095</v>
      </c>
      <c r="L114" s="143">
        <v>0.93094869075781095</v>
      </c>
      <c r="M114" s="143">
        <v>0.93094869075781095</v>
      </c>
      <c r="N114" s="143">
        <v>0.93094869075781095</v>
      </c>
      <c r="O114" s="143">
        <v>0</v>
      </c>
      <c r="P114" s="143">
        <v>0</v>
      </c>
      <c r="Q114" s="143">
        <v>0.93094869075781095</v>
      </c>
      <c r="R114" s="143">
        <v>0.93094869075781095</v>
      </c>
      <c r="S114" s="143">
        <v>0</v>
      </c>
      <c r="T114" s="143">
        <v>0.93094869075781095</v>
      </c>
      <c r="U114" s="143">
        <v>0.93094869075781095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5" t="s">
        <v>124</v>
      </c>
      <c r="G115" s="295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5"/>
      <c r="F117" s="98"/>
    </row>
    <row r="118" spans="2:27" x14ac:dyDescent="0.25">
      <c r="D118" s="295"/>
      <c r="E118" s="96" t="s">
        <v>378</v>
      </c>
      <c r="F118" s="98"/>
      <c r="I118" s="295" t="s">
        <v>431</v>
      </c>
      <c r="AA118" s="295" t="s">
        <v>931</v>
      </c>
    </row>
    <row r="119" spans="2:27" x14ac:dyDescent="0.25">
      <c r="D119" s="295"/>
      <c r="E119" s="82" t="s">
        <v>469</v>
      </c>
      <c r="F119" s="98"/>
    </row>
    <row r="120" spans="2:27" x14ac:dyDescent="0.25">
      <c r="D120" s="295"/>
      <c r="E120" s="82" t="s">
        <v>470</v>
      </c>
      <c r="F120" s="98"/>
    </row>
    <row r="121" spans="2:27" x14ac:dyDescent="0.25">
      <c r="D121" s="295"/>
      <c r="F121" s="91" t="s">
        <v>379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5"/>
      <c r="F122" s="295" t="s">
        <v>380</v>
      </c>
      <c r="G122" s="295" t="s">
        <v>155</v>
      </c>
      <c r="J122" s="401">
        <f>'Fixed inputs'!J137</f>
        <v>0</v>
      </c>
      <c r="K122" s="401">
        <f>'Fixed inputs'!K137</f>
        <v>0</v>
      </c>
      <c r="L122" s="401">
        <f>'Fixed inputs'!L137</f>
        <v>0</v>
      </c>
      <c r="M122" s="401">
        <f>'Fixed inputs'!M137</f>
        <v>0</v>
      </c>
      <c r="N122" s="401">
        <f>'Fixed inputs'!N137</f>
        <v>1</v>
      </c>
      <c r="O122" s="401">
        <f>'Fixed inputs'!O137</f>
        <v>1</v>
      </c>
      <c r="P122" s="401">
        <f>'Fixed inputs'!P137</f>
        <v>1</v>
      </c>
      <c r="Q122" s="401">
        <f>'Fixed inputs'!Q137</f>
        <v>0</v>
      </c>
      <c r="R122" s="401">
        <f>'Fixed inputs'!R137</f>
        <v>0</v>
      </c>
      <c r="S122" s="401">
        <f>'Fixed inputs'!S137</f>
        <v>0</v>
      </c>
      <c r="T122" s="401">
        <f>'Fixed inputs'!T137</f>
        <v>0</v>
      </c>
      <c r="U122" s="401">
        <f>'Fixed inputs'!U137</f>
        <v>0</v>
      </c>
      <c r="V122" s="401">
        <f>'Fixed inputs'!V137</f>
        <v>0</v>
      </c>
      <c r="W122" s="401">
        <f>'Fixed inputs'!W137</f>
        <v>0</v>
      </c>
      <c r="X122" s="401">
        <f>'Fixed inputs'!X137</f>
        <v>0</v>
      </c>
      <c r="Y122" s="401">
        <f>'Fixed inputs'!Y137</f>
        <v>0</v>
      </c>
    </row>
    <row r="123" spans="2:27" x14ac:dyDescent="0.25">
      <c r="D123" s="295"/>
      <c r="F123" s="93" t="s">
        <v>381</v>
      </c>
      <c r="G123" s="93" t="s">
        <v>155</v>
      </c>
      <c r="H123" s="93"/>
      <c r="I123" s="93"/>
      <c r="J123" s="198">
        <f>'Fixed inputs'!J139</f>
        <v>1</v>
      </c>
      <c r="K123" s="198">
        <f>'Fixed inputs'!K139</f>
        <v>0</v>
      </c>
      <c r="L123" s="198">
        <f>'Fixed inputs'!L139</f>
        <v>1</v>
      </c>
      <c r="M123" s="198">
        <f>'Fixed inputs'!M139</f>
        <v>0</v>
      </c>
      <c r="N123" s="198">
        <f>'Fixed inputs'!N139</f>
        <v>0</v>
      </c>
      <c r="O123" s="198">
        <f>'Fixed inputs'!O139</f>
        <v>0</v>
      </c>
      <c r="P123" s="198">
        <f>'Fixed inputs'!P139</f>
        <v>0</v>
      </c>
      <c r="Q123" s="198">
        <f>'Fixed inputs'!Q139</f>
        <v>0</v>
      </c>
      <c r="R123" s="198">
        <f>'Fixed inputs'!R139</f>
        <v>0</v>
      </c>
      <c r="S123" s="198">
        <f>'Fixed inputs'!S139</f>
        <v>0</v>
      </c>
      <c r="T123" s="198">
        <f>'Fixed inputs'!T139</f>
        <v>0</v>
      </c>
      <c r="U123" s="198">
        <f>'Fixed inputs'!U139</f>
        <v>0</v>
      </c>
      <c r="V123" s="198">
        <f>'Fixed inputs'!V139</f>
        <v>0</v>
      </c>
      <c r="W123" s="198">
        <f>'Fixed inputs'!W139</f>
        <v>0</v>
      </c>
      <c r="X123" s="198">
        <f>'Fixed inputs'!X139</f>
        <v>0</v>
      </c>
      <c r="Y123" s="198">
        <f>'Fixed inputs'!Y139</f>
        <v>0</v>
      </c>
    </row>
    <row r="124" spans="2:27" x14ac:dyDescent="0.25">
      <c r="C124" s="86"/>
    </row>
    <row r="125" spans="2:27" x14ac:dyDescent="0.25">
      <c r="B125" s="95" t="s">
        <v>471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846</v>
      </c>
      <c r="D127" s="295"/>
      <c r="E127" s="295"/>
    </row>
    <row r="128" spans="2:27" x14ac:dyDescent="0.25">
      <c r="C128" s="86"/>
    </row>
    <row r="129" spans="3:27" x14ac:dyDescent="0.25">
      <c r="C129" s="7" t="str">
        <f ca="1">INDEX('Version control'!$H$34:$H$58,MATCH($A$1,'Version control'!$F$34:$F$58,0),1)&amp;"-B: Capacity-based charge elements (to be split between capacity &amp; fixed charges)"</f>
        <v>Section 516-B: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5" t="s">
        <v>431</v>
      </c>
      <c r="AA131" s="295" t="s">
        <v>847</v>
      </c>
    </row>
    <row r="132" spans="3:27" x14ac:dyDescent="0.25">
      <c r="C132" s="86"/>
      <c r="F132" s="91" t="s">
        <v>324</v>
      </c>
      <c r="G132" s="91" t="s">
        <v>308</v>
      </c>
      <c r="H132" s="91"/>
      <c r="I132" s="91"/>
      <c r="J132" s="239"/>
      <c r="K132" s="239"/>
      <c r="L132" s="239"/>
      <c r="M132" s="239"/>
      <c r="N132" s="239"/>
      <c r="O132" s="239"/>
      <c r="P132" s="239"/>
      <c r="Q132" s="239"/>
      <c r="R132" s="239"/>
      <c r="S132" s="239"/>
      <c r="T132" s="239"/>
      <c r="U132" s="239"/>
      <c r="V132" s="239"/>
      <c r="W132" s="239"/>
      <c r="X132" s="239"/>
      <c r="Y132" s="239"/>
    </row>
    <row r="133" spans="3:27" x14ac:dyDescent="0.25">
      <c r="C133" s="86"/>
      <c r="F133" s="295" t="s">
        <v>43</v>
      </c>
      <c r="G133" s="295" t="s">
        <v>308</v>
      </c>
      <c r="J133" s="280"/>
      <c r="K133" s="280"/>
      <c r="L133" s="280"/>
      <c r="M133" s="280"/>
      <c r="N133" s="280"/>
      <c r="O133" s="280"/>
      <c r="P133" s="280"/>
      <c r="Q133" s="280"/>
      <c r="R133" s="280"/>
      <c r="S133" s="280"/>
      <c r="T133" s="280"/>
      <c r="U133" s="280"/>
      <c r="V133" s="280"/>
      <c r="W133" s="280"/>
      <c r="X133" s="280"/>
      <c r="Y133" s="280"/>
    </row>
    <row r="134" spans="3:27" x14ac:dyDescent="0.25">
      <c r="C134" s="86"/>
      <c r="F134" s="295" t="s">
        <v>44</v>
      </c>
      <c r="G134" s="295" t="s">
        <v>308</v>
      </c>
      <c r="J134" s="276">
        <f t="shared" ref="J134:K134" si="0">hundred*J95*$H53*J82/$H39*(1-J107)/days_in_year/(1+$H25)*PowerFactor</f>
        <v>0</v>
      </c>
      <c r="K134" s="276">
        <f t="shared" si="0"/>
        <v>0</v>
      </c>
      <c r="L134" s="276">
        <f t="shared" ref="L134:M134" si="1">hundred*L95*$H53*L82/$H39*(1-L107)/days_in_year/(1+$H25)*PowerFactor</f>
        <v>0</v>
      </c>
      <c r="M134" s="276">
        <f t="shared" si="1"/>
        <v>0</v>
      </c>
      <c r="N134" s="276">
        <f t="shared" ref="N134:P134" si="2">hundred*N95*$H53*N82/$H39*(1-N107)/days_in_year/(1+$H25)*PowerFactor</f>
        <v>0</v>
      </c>
      <c r="O134" s="276">
        <f t="shared" si="2"/>
        <v>0</v>
      </c>
      <c r="P134" s="276">
        <f t="shared" si="2"/>
        <v>0</v>
      </c>
      <c r="Q134" s="276">
        <f t="shared" ref="Q134" si="3">hundred*Q95*$H53*Q82/$H39*(1-Q107)/days_in_year/(1+$H25)*PowerFactor</f>
        <v>0</v>
      </c>
      <c r="R134" s="280"/>
      <c r="S134" s="280"/>
      <c r="T134" s="280"/>
      <c r="U134" s="280"/>
      <c r="V134" s="280"/>
      <c r="W134" s="280"/>
      <c r="X134" s="280"/>
      <c r="Y134" s="280"/>
    </row>
    <row r="135" spans="3:27" x14ac:dyDescent="0.25">
      <c r="C135" s="86"/>
      <c r="F135" s="295" t="s">
        <v>45</v>
      </c>
      <c r="G135" s="295" t="s">
        <v>308</v>
      </c>
      <c r="J135" s="276">
        <f t="shared" ref="J135:K135" si="4">hundred*J96*$H54*J83/$H40*(1-J108)/days_in_year/(1+$H26)*PowerFactor</f>
        <v>0</v>
      </c>
      <c r="K135" s="276">
        <f t="shared" si="4"/>
        <v>0</v>
      </c>
      <c r="L135" s="276">
        <f t="shared" ref="L135:M135" si="5">hundred*L96*$H54*L83/$H40*(1-L108)/days_in_year/(1+$H26)*PowerFactor</f>
        <v>0</v>
      </c>
      <c r="M135" s="276">
        <f t="shared" si="5"/>
        <v>0</v>
      </c>
      <c r="N135" s="276">
        <f t="shared" ref="N135:P135" si="6">hundred*N96*$H54*N83/$H40*(1-N108)/days_in_year/(1+$H26)*PowerFactor</f>
        <v>0</v>
      </c>
      <c r="O135" s="276">
        <f t="shared" si="6"/>
        <v>0</v>
      </c>
      <c r="P135" s="276">
        <f t="shared" si="6"/>
        <v>0</v>
      </c>
      <c r="Q135" s="276">
        <f t="shared" ref="Q135" si="7">hundred*Q96*$H54*Q83/$H40*(1-Q108)/days_in_year/(1+$H26)*PowerFactor</f>
        <v>0</v>
      </c>
      <c r="R135" s="280"/>
      <c r="S135" s="280"/>
      <c r="T135" s="280"/>
      <c r="U135" s="280"/>
      <c r="V135" s="280"/>
      <c r="W135" s="280"/>
      <c r="X135" s="280"/>
      <c r="Y135" s="280"/>
    </row>
    <row r="136" spans="3:27" x14ac:dyDescent="0.25">
      <c r="C136" s="86"/>
      <c r="F136" s="295" t="s">
        <v>46</v>
      </c>
      <c r="G136" s="295" t="s">
        <v>308</v>
      </c>
      <c r="J136" s="276">
        <f t="shared" ref="J136:K136" si="8">hundred*J97*$H55*J84/$H41*(1-J109)/days_in_year/(1+$H27)*PowerFactor</f>
        <v>0</v>
      </c>
      <c r="K136" s="276">
        <f t="shared" si="8"/>
        <v>0</v>
      </c>
      <c r="L136" s="276">
        <f t="shared" ref="L136:M136" si="9">hundred*L97*$H55*L84/$H41*(1-L109)/days_in_year/(1+$H27)*PowerFactor</f>
        <v>0</v>
      </c>
      <c r="M136" s="276">
        <f t="shared" si="9"/>
        <v>0</v>
      </c>
      <c r="N136" s="276">
        <f t="shared" ref="N136:P136" si="10">hundred*N97*$H55*N84/$H41*(1-N109)/days_in_year/(1+$H27)*PowerFactor</f>
        <v>0</v>
      </c>
      <c r="O136" s="276">
        <f t="shared" si="10"/>
        <v>0</v>
      </c>
      <c r="P136" s="276">
        <f t="shared" si="10"/>
        <v>0.40089922325562016</v>
      </c>
      <c r="Q136" s="276">
        <f t="shared" ref="Q136" si="11">hundred*Q97*$H55*Q84/$H41*(1-Q109)/days_in_year/(1+$H27)*PowerFactor</f>
        <v>0</v>
      </c>
      <c r="R136" s="280"/>
      <c r="S136" s="280"/>
      <c r="T136" s="280"/>
      <c r="U136" s="280"/>
      <c r="V136" s="280"/>
      <c r="W136" s="280"/>
      <c r="X136" s="280"/>
      <c r="Y136" s="280"/>
    </row>
    <row r="137" spans="3:27" x14ac:dyDescent="0.25">
      <c r="C137" s="86"/>
      <c r="F137" s="295" t="s">
        <v>47</v>
      </c>
      <c r="G137" s="295" t="s">
        <v>308</v>
      </c>
      <c r="J137" s="276">
        <f t="shared" ref="J137:K137" si="12">hundred*J98*$H56*J85/$H42*(1-J110)/days_in_year/(1+$H28)*PowerFactor</f>
        <v>0</v>
      </c>
      <c r="K137" s="276">
        <f t="shared" si="12"/>
        <v>0</v>
      </c>
      <c r="L137" s="276">
        <f t="shared" ref="L137:M137" si="13">hundred*L98*$H56*L85/$H42*(1-L110)/days_in_year/(1+$H28)*PowerFactor</f>
        <v>0</v>
      </c>
      <c r="M137" s="276">
        <f t="shared" si="13"/>
        <v>0</v>
      </c>
      <c r="N137" s="276">
        <f t="shared" ref="N137:P137" si="14">hundred*N98*$H56*N85/$H42*(1-N110)/days_in_year/(1+$H28)*PowerFactor</f>
        <v>0</v>
      </c>
      <c r="O137" s="276">
        <f t="shared" si="14"/>
        <v>0</v>
      </c>
      <c r="P137" s="276">
        <f t="shared" si="14"/>
        <v>0.4042982159133825</v>
      </c>
      <c r="Q137" s="276">
        <f t="shared" ref="Q137" si="15">hundred*Q98*$H56*Q85/$H42*(1-Q110)/days_in_year/(1+$H28)*PowerFactor</f>
        <v>0</v>
      </c>
      <c r="R137" s="280"/>
      <c r="S137" s="280"/>
      <c r="T137" s="280"/>
      <c r="U137" s="280"/>
      <c r="V137" s="280"/>
      <c r="W137" s="280"/>
      <c r="X137" s="280"/>
      <c r="Y137" s="280"/>
    </row>
    <row r="138" spans="3:27" x14ac:dyDescent="0.25">
      <c r="C138" s="86"/>
      <c r="F138" s="295" t="s">
        <v>51</v>
      </c>
      <c r="G138" s="295" t="s">
        <v>308</v>
      </c>
      <c r="J138" s="276">
        <f t="shared" ref="J138:K138" si="16">hundred*J99*$H57*J86/$H43*(1-J111)/days_in_year/(1+$H29)*PowerFactor</f>
        <v>0</v>
      </c>
      <c r="K138" s="276">
        <f t="shared" si="16"/>
        <v>0</v>
      </c>
      <c r="L138" s="276">
        <f t="shared" ref="L138:M138" si="17">hundred*L99*$H57*L86/$H43*(1-L111)/days_in_year/(1+$H29)*PowerFactor</f>
        <v>0</v>
      </c>
      <c r="M138" s="276">
        <f t="shared" si="17"/>
        <v>0</v>
      </c>
      <c r="N138" s="276">
        <f t="shared" ref="N138:P138" si="18">hundred*N99*$H57*N86/$H43*(1-N111)/days_in_year/(1+$H29)*PowerFactor</f>
        <v>0</v>
      </c>
      <c r="O138" s="276">
        <f t="shared" si="18"/>
        <v>0</v>
      </c>
      <c r="P138" s="276">
        <f t="shared" si="18"/>
        <v>0</v>
      </c>
      <c r="Q138" s="276">
        <f t="shared" ref="Q138" si="19">hundred*Q99*$H57*Q86/$H43*(1-Q111)/days_in_year/(1+$H29)*PowerFactor</f>
        <v>0</v>
      </c>
      <c r="R138" s="280"/>
      <c r="S138" s="280"/>
      <c r="T138" s="280"/>
      <c r="U138" s="280"/>
      <c r="V138" s="280"/>
      <c r="W138" s="280"/>
      <c r="X138" s="280"/>
      <c r="Y138" s="280"/>
    </row>
    <row r="139" spans="3:27" x14ac:dyDescent="0.25">
      <c r="C139" s="86"/>
      <c r="F139" s="295" t="s">
        <v>48</v>
      </c>
      <c r="G139" s="295" t="s">
        <v>308</v>
      </c>
      <c r="J139" s="276">
        <f t="shared" ref="J139:K139" si="20">hundred*J100*$H58*J87/$H44*(1-J112)/days_in_year/(1+$H30)*PowerFactor</f>
        <v>0</v>
      </c>
      <c r="K139" s="276">
        <f t="shared" si="20"/>
        <v>0</v>
      </c>
      <c r="L139" s="276">
        <f t="shared" ref="L139:M139" si="21">hundred*L100*$H58*L87/$H44*(1-L112)/days_in_year/(1+$H30)*PowerFactor</f>
        <v>0</v>
      </c>
      <c r="M139" s="276">
        <f t="shared" si="21"/>
        <v>0</v>
      </c>
      <c r="N139" s="276">
        <f t="shared" ref="N139:P139" si="22">hundred*N100*$H58*N87/$H44*(1-N112)/days_in_year/(1+$H30)*PowerFactor</f>
        <v>0.46580735502015308</v>
      </c>
      <c r="O139" s="276">
        <f t="shared" si="22"/>
        <v>2.2201249834593622</v>
      </c>
      <c r="P139" s="276">
        <f t="shared" si="22"/>
        <v>0.85751686625097767</v>
      </c>
      <c r="Q139" s="276">
        <f t="shared" ref="Q139" si="23">hundred*Q100*$H58*Q87/$H44*(1-Q112)/days_in_year/(1+$H30)*PowerFactor</f>
        <v>0</v>
      </c>
      <c r="R139" s="280"/>
      <c r="S139" s="280"/>
      <c r="T139" s="280"/>
      <c r="U139" s="280"/>
      <c r="V139" s="280"/>
      <c r="W139" s="280"/>
      <c r="X139" s="280"/>
      <c r="Y139" s="280"/>
    </row>
    <row r="140" spans="3:27" x14ac:dyDescent="0.25">
      <c r="C140" s="86"/>
      <c r="F140" s="295" t="s">
        <v>49</v>
      </c>
      <c r="G140" s="295" t="s">
        <v>308</v>
      </c>
      <c r="J140" s="276">
        <f t="shared" ref="J140:K140" si="24">hundred*J101*$H59*J88/$H45*(1-J113)/days_in_year/(1+$H31)*PowerFactor</f>
        <v>0</v>
      </c>
      <c r="K140" s="276">
        <f t="shared" si="24"/>
        <v>0</v>
      </c>
      <c r="L140" s="276">
        <f t="shared" ref="L140:M140" si="25">hundred*L101*$H59*L88/$H45*(1-L113)/days_in_year/(1+$H31)*PowerFactor</f>
        <v>0</v>
      </c>
      <c r="M140" s="276">
        <f t="shared" si="25"/>
        <v>0</v>
      </c>
      <c r="N140" s="276">
        <f t="shared" ref="N140:P140" si="26">hundred*N101*$H59*N88/$H45*(1-N113)/days_in_year/(1+$H31)*PowerFactor</f>
        <v>0.39083589587163337</v>
      </c>
      <c r="O140" s="276">
        <f t="shared" si="26"/>
        <v>0.37255939714382313</v>
      </c>
      <c r="P140" s="276">
        <f t="shared" si="26"/>
        <v>0</v>
      </c>
      <c r="Q140" s="276">
        <f t="shared" ref="Q140" si="27">hundred*Q101*$H59*Q88/$H45*(1-Q113)/days_in_year/(1+$H31)*PowerFactor</f>
        <v>0</v>
      </c>
      <c r="R140" s="280"/>
      <c r="S140" s="280"/>
      <c r="T140" s="280"/>
      <c r="U140" s="280"/>
      <c r="V140" s="280"/>
      <c r="W140" s="280"/>
      <c r="X140" s="280"/>
      <c r="Y140" s="280"/>
    </row>
    <row r="141" spans="3:27" x14ac:dyDescent="0.25">
      <c r="C141" s="86"/>
      <c r="F141" s="295" t="s">
        <v>50</v>
      </c>
      <c r="G141" s="295" t="s">
        <v>308</v>
      </c>
      <c r="J141" s="276">
        <f t="shared" ref="J141:K141" si="28">hundred*J102*$H60*J89/$H46*(1-J114)/days_in_year/(1+$H32)*PowerFactor</f>
        <v>6.2918229299220738E-2</v>
      </c>
      <c r="K141" s="276">
        <f t="shared" si="28"/>
        <v>6.2918229299220738E-2</v>
      </c>
      <c r="L141" s="276">
        <f t="shared" ref="L141:M141" si="29">hundred*L102*$H60*L89/$H46*(1-L114)/days_in_year/(1+$H32)*PowerFactor</f>
        <v>6.2918229299220738E-2</v>
      </c>
      <c r="M141" s="276">
        <f t="shared" si="29"/>
        <v>6.2918229299220738E-2</v>
      </c>
      <c r="N141" s="276">
        <f t="shared" ref="N141:P141" si="30">hundred*N102*$H60*N89/$H46*(1-N114)/days_in_year/(1+$H32)*PowerFactor</f>
        <v>6.2918229299220738E-2</v>
      </c>
      <c r="O141" s="276">
        <f t="shared" si="30"/>
        <v>0</v>
      </c>
      <c r="P141" s="276">
        <f t="shared" si="30"/>
        <v>0</v>
      </c>
      <c r="Q141" s="276">
        <f t="shared" ref="Q141" si="31">hundred*Q102*$H60*Q89/$H46*(1-Q114)/days_in_year/(1+$H32)*PowerFactor</f>
        <v>0</v>
      </c>
      <c r="R141" s="280"/>
      <c r="S141" s="280"/>
      <c r="T141" s="280"/>
      <c r="U141" s="280"/>
      <c r="V141" s="280"/>
      <c r="W141" s="280"/>
      <c r="X141" s="280"/>
      <c r="Y141" s="280"/>
    </row>
    <row r="142" spans="3:27" x14ac:dyDescent="0.25">
      <c r="C142" s="86"/>
      <c r="D142" s="295"/>
      <c r="F142" s="295" t="s">
        <v>124</v>
      </c>
      <c r="G142" s="295" t="s">
        <v>308</v>
      </c>
      <c r="J142" s="280"/>
      <c r="K142" s="280"/>
      <c r="L142" s="280"/>
      <c r="M142" s="280"/>
      <c r="N142" s="280"/>
      <c r="O142" s="280"/>
      <c r="P142" s="280"/>
      <c r="Q142" s="280"/>
      <c r="R142" s="280"/>
      <c r="S142" s="280"/>
      <c r="T142" s="280"/>
      <c r="U142" s="280"/>
      <c r="V142" s="280"/>
      <c r="W142" s="280"/>
      <c r="X142" s="280"/>
      <c r="Y142" s="280"/>
    </row>
    <row r="143" spans="3:27" x14ac:dyDescent="0.25">
      <c r="C143" s="86"/>
      <c r="D143" s="295"/>
      <c r="F143" s="93" t="s">
        <v>123</v>
      </c>
      <c r="G143" s="93" t="s">
        <v>308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25">
      <c r="C144" s="86"/>
      <c r="D144" s="295"/>
      <c r="J144" s="276"/>
      <c r="K144" s="276"/>
      <c r="L144" s="276"/>
      <c r="M144" s="276"/>
      <c r="N144" s="276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</row>
    <row r="145" spans="3:27" x14ac:dyDescent="0.25">
      <c r="C145" s="86"/>
      <c r="E145" s="96" t="s">
        <v>116</v>
      </c>
      <c r="J145" s="276"/>
      <c r="K145" s="276"/>
      <c r="L145" s="276"/>
      <c r="M145" s="276"/>
      <c r="N145" s="276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</row>
    <row r="146" spans="3:27" x14ac:dyDescent="0.25">
      <c r="C146" s="86"/>
      <c r="F146" s="91" t="s">
        <v>324</v>
      </c>
      <c r="G146" s="91" t="s">
        <v>308</v>
      </c>
      <c r="H146" s="91"/>
      <c r="I146" s="91"/>
      <c r="J146" s="268">
        <f t="shared" ref="J146:K146" si="32">hundred*J94*$H65*J80/$H37/days_in_year/(1+$H23)*PowerFactor</f>
        <v>0</v>
      </c>
      <c r="K146" s="268">
        <f t="shared" si="32"/>
        <v>0</v>
      </c>
      <c r="L146" s="268">
        <f t="shared" ref="L146:M146" si="33">hundred*L94*$H65*L80/$H37/days_in_year/(1+$H23)*PowerFactor</f>
        <v>0</v>
      </c>
      <c r="M146" s="268">
        <f t="shared" si="33"/>
        <v>0</v>
      </c>
      <c r="N146" s="268">
        <f t="shared" ref="N146:P146" si="34">hundred*N94*$H65*N80/$H37/days_in_year/(1+$H23)*PowerFactor</f>
        <v>0</v>
      </c>
      <c r="O146" s="268">
        <f t="shared" si="34"/>
        <v>0</v>
      </c>
      <c r="P146" s="268">
        <f t="shared" si="34"/>
        <v>0</v>
      </c>
      <c r="Q146" s="268">
        <f t="shared" ref="Q146" si="35">hundred*Q94*$H65*Q80/$H37/days_in_year/(1+$H23)*PowerFactor</f>
        <v>0</v>
      </c>
      <c r="R146" s="239"/>
      <c r="S146" s="239"/>
      <c r="T146" s="239"/>
      <c r="U146" s="239"/>
      <c r="V146" s="239"/>
      <c r="W146" s="239"/>
      <c r="X146" s="239"/>
      <c r="Y146" s="239"/>
    </row>
    <row r="147" spans="3:27" x14ac:dyDescent="0.25">
      <c r="C147" s="86"/>
      <c r="F147" s="295" t="s">
        <v>43</v>
      </c>
      <c r="G147" s="295" t="s">
        <v>308</v>
      </c>
      <c r="J147" s="276">
        <f t="shared" ref="J147:K147" si="36">hundred*J94*$H66*J81/$H38/days_in_year/(1+$H24)*PowerFactor</f>
        <v>0</v>
      </c>
      <c r="K147" s="276">
        <f t="shared" si="36"/>
        <v>0</v>
      </c>
      <c r="L147" s="276">
        <f t="shared" ref="L147:M147" si="37">hundred*L94*$H66*L81/$H38/days_in_year/(1+$H24)*PowerFactor</f>
        <v>0</v>
      </c>
      <c r="M147" s="276">
        <f t="shared" si="37"/>
        <v>0</v>
      </c>
      <c r="N147" s="276">
        <f t="shared" ref="N147:P147" si="38">hundred*N94*$H66*N81/$H38/days_in_year/(1+$H24)*PowerFactor</f>
        <v>0</v>
      </c>
      <c r="O147" s="276">
        <f t="shared" si="38"/>
        <v>0</v>
      </c>
      <c r="P147" s="276">
        <f t="shared" si="38"/>
        <v>0</v>
      </c>
      <c r="Q147" s="276">
        <f t="shared" ref="Q147" si="39">hundred*Q94*$H66*Q81/$H38/days_in_year/(1+$H24)*PowerFactor</f>
        <v>0</v>
      </c>
      <c r="R147" s="280"/>
      <c r="S147" s="280"/>
      <c r="T147" s="280"/>
      <c r="U147" s="280"/>
      <c r="V147" s="280"/>
      <c r="W147" s="280"/>
      <c r="X147" s="280"/>
      <c r="Y147" s="280"/>
    </row>
    <row r="148" spans="3:27" x14ac:dyDescent="0.25">
      <c r="C148" s="86"/>
      <c r="F148" s="295" t="s">
        <v>44</v>
      </c>
      <c r="G148" s="295" t="s">
        <v>308</v>
      </c>
      <c r="J148" s="276">
        <f t="shared" ref="J148:K148" si="40">hundred*J95*$H67*J82/$H39/days_in_year/(1+$H25)*PowerFactor</f>
        <v>0</v>
      </c>
      <c r="K148" s="276">
        <f t="shared" si="40"/>
        <v>0</v>
      </c>
      <c r="L148" s="276">
        <f t="shared" ref="L148:M148" si="41">hundred*L95*$H67*L82/$H39/days_in_year/(1+$H25)*PowerFactor</f>
        <v>0</v>
      </c>
      <c r="M148" s="276">
        <f t="shared" si="41"/>
        <v>0</v>
      </c>
      <c r="N148" s="276">
        <f t="shared" ref="N148:P148" si="42">hundred*N95*$H67*N82/$H39/days_in_year/(1+$H25)*PowerFactor</f>
        <v>0</v>
      </c>
      <c r="O148" s="276">
        <f t="shared" si="42"/>
        <v>0</v>
      </c>
      <c r="P148" s="276">
        <f t="shared" si="42"/>
        <v>0</v>
      </c>
      <c r="Q148" s="276">
        <f t="shared" ref="Q148" si="43">hundred*Q95*$H67*Q82/$H39/days_in_year/(1+$H25)*PowerFactor</f>
        <v>0</v>
      </c>
      <c r="R148" s="280"/>
      <c r="S148" s="280"/>
      <c r="T148" s="280"/>
      <c r="U148" s="280"/>
      <c r="V148" s="280"/>
      <c r="W148" s="280"/>
      <c r="X148" s="280"/>
      <c r="Y148" s="280"/>
    </row>
    <row r="149" spans="3:27" x14ac:dyDescent="0.25">
      <c r="C149" s="86"/>
      <c r="F149" s="295" t="s">
        <v>45</v>
      </c>
      <c r="G149" s="295" t="s">
        <v>308</v>
      </c>
      <c r="J149" s="276">
        <f t="shared" ref="J149:K149" si="44">hundred*J96*$H68*J83/$H40/days_in_year/(1+$H26)*PowerFactor</f>
        <v>0</v>
      </c>
      <c r="K149" s="276">
        <f t="shared" si="44"/>
        <v>0</v>
      </c>
      <c r="L149" s="276">
        <f t="shared" ref="L149:M149" si="45">hundred*L96*$H68*L83/$H40/days_in_year/(1+$H26)*PowerFactor</f>
        <v>0</v>
      </c>
      <c r="M149" s="276">
        <f t="shared" si="45"/>
        <v>0</v>
      </c>
      <c r="N149" s="276">
        <f t="shared" ref="N149:P149" si="46">hundred*N96*$H68*N83/$H40/days_in_year/(1+$H26)*PowerFactor</f>
        <v>0</v>
      </c>
      <c r="O149" s="276">
        <f t="shared" si="46"/>
        <v>0</v>
      </c>
      <c r="P149" s="276">
        <f t="shared" si="46"/>
        <v>0</v>
      </c>
      <c r="Q149" s="276">
        <f t="shared" ref="Q149" si="47">hundred*Q96*$H68*Q83/$H40/days_in_year/(1+$H26)*PowerFactor</f>
        <v>0</v>
      </c>
      <c r="R149" s="280"/>
      <c r="S149" s="280"/>
      <c r="T149" s="280"/>
      <c r="U149" s="280"/>
      <c r="V149" s="280"/>
      <c r="W149" s="280"/>
      <c r="X149" s="280"/>
      <c r="Y149" s="280"/>
    </row>
    <row r="150" spans="3:27" x14ac:dyDescent="0.25">
      <c r="C150" s="86"/>
      <c r="F150" s="295" t="s">
        <v>46</v>
      </c>
      <c r="G150" s="295" t="s">
        <v>308</v>
      </c>
      <c r="J150" s="276">
        <f t="shared" ref="J150:K150" si="48">hundred*J97*$H69*J84/$H41/days_in_year/(1+$H27)*PowerFactor</f>
        <v>0</v>
      </c>
      <c r="K150" s="276">
        <f t="shared" si="48"/>
        <v>0</v>
      </c>
      <c r="L150" s="276">
        <f t="shared" ref="L150:M150" si="49">hundred*L97*$H69*L84/$H41/days_in_year/(1+$H27)*PowerFactor</f>
        <v>0</v>
      </c>
      <c r="M150" s="276">
        <f t="shared" si="49"/>
        <v>0</v>
      </c>
      <c r="N150" s="276">
        <f t="shared" ref="N150:P150" si="50">hundred*N97*$H69*N84/$H41/days_in_year/(1+$H27)*PowerFactor</f>
        <v>0</v>
      </c>
      <c r="O150" s="276">
        <f t="shared" si="50"/>
        <v>0</v>
      </c>
      <c r="P150" s="276">
        <f t="shared" si="50"/>
        <v>0.30071220292143852</v>
      </c>
      <c r="Q150" s="276">
        <f t="shared" ref="Q150" si="51">hundred*Q97*$H69*Q84/$H41/days_in_year/(1+$H27)*PowerFactor</f>
        <v>0</v>
      </c>
      <c r="R150" s="280"/>
      <c r="S150" s="280"/>
      <c r="T150" s="280"/>
      <c r="U150" s="280"/>
      <c r="V150" s="280"/>
      <c r="W150" s="280"/>
      <c r="X150" s="280"/>
      <c r="Y150" s="280"/>
    </row>
    <row r="151" spans="3:27" x14ac:dyDescent="0.25">
      <c r="C151" s="86"/>
      <c r="F151" s="295" t="s">
        <v>47</v>
      </c>
      <c r="G151" s="295" t="s">
        <v>308</v>
      </c>
      <c r="J151" s="276">
        <f t="shared" ref="J151:K151" si="52">hundred*J98*$H70*J85/$H42/days_in_year/(1+$H28)*PowerFactor</f>
        <v>0</v>
      </c>
      <c r="K151" s="276">
        <f t="shared" si="52"/>
        <v>0</v>
      </c>
      <c r="L151" s="276">
        <f t="shared" ref="L151:M151" si="53">hundred*L98*$H70*L85/$H42/days_in_year/(1+$H28)*PowerFactor</f>
        <v>0</v>
      </c>
      <c r="M151" s="276">
        <f t="shared" si="53"/>
        <v>0</v>
      </c>
      <c r="N151" s="276">
        <f t="shared" ref="N151:P151" si="54">hundred*N98*$H70*N85/$H42/days_in_year/(1+$H28)*PowerFactor</f>
        <v>0</v>
      </c>
      <c r="O151" s="276">
        <f t="shared" si="54"/>
        <v>0</v>
      </c>
      <c r="P151" s="276">
        <f t="shared" si="54"/>
        <v>0.24972572378142111</v>
      </c>
      <c r="Q151" s="276">
        <f t="shared" ref="Q151" si="55">hundred*Q98*$H70*Q85/$H42/days_in_year/(1+$H28)*PowerFactor</f>
        <v>0</v>
      </c>
      <c r="R151" s="280"/>
      <c r="S151" s="280"/>
      <c r="T151" s="280"/>
      <c r="U151" s="280"/>
      <c r="V151" s="280"/>
      <c r="W151" s="280"/>
      <c r="X151" s="280"/>
      <c r="Y151" s="280"/>
    </row>
    <row r="152" spans="3:27" x14ac:dyDescent="0.25">
      <c r="C152" s="86"/>
      <c r="F152" s="295" t="s">
        <v>51</v>
      </c>
      <c r="G152" s="295" t="s">
        <v>308</v>
      </c>
      <c r="J152" s="276">
        <f t="shared" ref="J152:K152" si="56">hundred*J99*$H71*J86/$H43/days_in_year/(1+$H29)*PowerFactor</f>
        <v>0</v>
      </c>
      <c r="K152" s="276">
        <f t="shared" si="56"/>
        <v>0</v>
      </c>
      <c r="L152" s="276">
        <f t="shared" ref="L152:M152" si="57">hundred*L99*$H71*L86/$H43/days_in_year/(1+$H29)*PowerFactor</f>
        <v>0</v>
      </c>
      <c r="M152" s="276">
        <f t="shared" si="57"/>
        <v>0</v>
      </c>
      <c r="N152" s="276">
        <f t="shared" ref="N152:P152" si="58">hundred*N99*$H71*N86/$H43/days_in_year/(1+$H29)*PowerFactor</f>
        <v>0</v>
      </c>
      <c r="O152" s="276">
        <f t="shared" si="58"/>
        <v>0</v>
      </c>
      <c r="P152" s="276">
        <f t="shared" si="58"/>
        <v>0</v>
      </c>
      <c r="Q152" s="276">
        <f t="shared" ref="Q152" si="59">hundred*Q99*$H71*Q86/$H43/days_in_year/(1+$H29)*PowerFactor</f>
        <v>0</v>
      </c>
      <c r="R152" s="280"/>
      <c r="S152" s="280"/>
      <c r="T152" s="280"/>
      <c r="U152" s="280"/>
      <c r="V152" s="280"/>
      <c r="W152" s="280"/>
      <c r="X152" s="280"/>
      <c r="Y152" s="280"/>
    </row>
    <row r="153" spans="3:27" x14ac:dyDescent="0.25">
      <c r="C153" s="86"/>
      <c r="F153" s="295" t="s">
        <v>48</v>
      </c>
      <c r="G153" s="295" t="s">
        <v>308</v>
      </c>
      <c r="J153" s="276">
        <f t="shared" ref="J153:K153" si="60">hundred*J100*$H72*J87/$H44/days_in_year/(1+$H30)*PowerFactor</f>
        <v>0</v>
      </c>
      <c r="K153" s="276">
        <f t="shared" si="60"/>
        <v>0</v>
      </c>
      <c r="L153" s="276">
        <f t="shared" ref="L153:M153" si="61">hundred*L100*$H72*L87/$H44/days_in_year/(1+$H30)*PowerFactor</f>
        <v>0</v>
      </c>
      <c r="M153" s="276">
        <f t="shared" si="61"/>
        <v>0</v>
      </c>
      <c r="N153" s="276">
        <f t="shared" ref="N153:P153" si="62">hundred*N100*$H72*N87/$H44/days_in_year/(1+$H30)*PowerFactor</f>
        <v>0.36595583886452138</v>
      </c>
      <c r="O153" s="276">
        <f t="shared" si="62"/>
        <v>1.7442139801996071</v>
      </c>
      <c r="P153" s="276">
        <f t="shared" si="62"/>
        <v>1.7080133126860302</v>
      </c>
      <c r="Q153" s="276">
        <f t="shared" ref="Q153" si="63">hundred*Q100*$H72*Q87/$H44/days_in_year/(1+$H30)*PowerFactor</f>
        <v>0</v>
      </c>
      <c r="R153" s="280"/>
      <c r="S153" s="280"/>
      <c r="T153" s="280"/>
      <c r="U153" s="280"/>
      <c r="V153" s="280"/>
      <c r="W153" s="280"/>
      <c r="X153" s="280"/>
      <c r="Y153" s="280"/>
    </row>
    <row r="154" spans="3:27" x14ac:dyDescent="0.25">
      <c r="C154" s="86"/>
      <c r="F154" s="295" t="s">
        <v>49</v>
      </c>
      <c r="G154" s="295" t="s">
        <v>308</v>
      </c>
      <c r="J154" s="276">
        <f t="shared" ref="J154:K154" si="64">hundred*J101*$H73*J88/$H45/days_in_year/(1+$H31)*PowerFactor</f>
        <v>0</v>
      </c>
      <c r="K154" s="276">
        <f t="shared" si="64"/>
        <v>0</v>
      </c>
      <c r="L154" s="276">
        <f t="shared" ref="L154:M154" si="65">hundred*L101*$H73*L88/$H45/days_in_year/(1+$H31)*PowerFactor</f>
        <v>0</v>
      </c>
      <c r="M154" s="276">
        <f t="shared" si="65"/>
        <v>0</v>
      </c>
      <c r="N154" s="276">
        <f t="shared" ref="N154:P154" si="66">hundred*N101*$H73*N88/$H45/days_in_year/(1+$H31)*PowerFactor</f>
        <v>0.71566804497326142</v>
      </c>
      <c r="O154" s="276">
        <f t="shared" si="66"/>
        <v>0.68220155366156221</v>
      </c>
      <c r="P154" s="276">
        <f t="shared" si="66"/>
        <v>0</v>
      </c>
      <c r="Q154" s="276">
        <f t="shared" ref="Q154" si="67">hundred*Q101*$H73*Q88/$H45/days_in_year/(1+$H31)*PowerFactor</f>
        <v>0</v>
      </c>
      <c r="R154" s="280"/>
      <c r="S154" s="280"/>
      <c r="T154" s="280"/>
      <c r="U154" s="280"/>
      <c r="V154" s="280"/>
      <c r="W154" s="280"/>
      <c r="X154" s="280"/>
      <c r="Y154" s="280"/>
    </row>
    <row r="155" spans="3:27" x14ac:dyDescent="0.25">
      <c r="C155" s="86"/>
      <c r="F155" s="295" t="s">
        <v>50</v>
      </c>
      <c r="G155" s="295" t="s">
        <v>308</v>
      </c>
      <c r="J155" s="276">
        <f t="shared" ref="J155:K155" si="68">hundred*J102*$H74*J89/$H46/days_in_year/(1+$H32)*PowerFactor</f>
        <v>0.48223685227012819</v>
      </c>
      <c r="K155" s="276">
        <f t="shared" si="68"/>
        <v>0.48223685227012819</v>
      </c>
      <c r="L155" s="276">
        <f t="shared" ref="L155:M155" si="69">hundred*L102*$H74*L89/$H46/days_in_year/(1+$H32)*PowerFactor</f>
        <v>0.48223685227012819</v>
      </c>
      <c r="M155" s="276">
        <f t="shared" si="69"/>
        <v>0.48223685227012819</v>
      </c>
      <c r="N155" s="276">
        <f t="shared" ref="N155:P155" si="70">hundred*N102*$H74*N89/$H46/days_in_year/(1+$H32)*PowerFactor</f>
        <v>0.48223685227012819</v>
      </c>
      <c r="O155" s="276">
        <f t="shared" si="70"/>
        <v>0</v>
      </c>
      <c r="P155" s="276">
        <f t="shared" si="70"/>
        <v>0</v>
      </c>
      <c r="Q155" s="276">
        <f t="shared" ref="Q155" si="71">hundred*Q102*$H74*Q89/$H46/days_in_year/(1+$H32)*PowerFactor</f>
        <v>0</v>
      </c>
      <c r="R155" s="280"/>
      <c r="S155" s="280"/>
      <c r="T155" s="280"/>
      <c r="U155" s="280"/>
      <c r="V155" s="280"/>
      <c r="W155" s="280"/>
      <c r="X155" s="280"/>
      <c r="Y155" s="280"/>
    </row>
    <row r="156" spans="3:27" x14ac:dyDescent="0.25">
      <c r="C156" s="86"/>
      <c r="D156" s="295"/>
      <c r="F156" s="295" t="s">
        <v>124</v>
      </c>
      <c r="G156" s="295" t="s">
        <v>308</v>
      </c>
      <c r="J156" s="280"/>
      <c r="K156" s="280"/>
      <c r="L156" s="280"/>
      <c r="M156" s="280"/>
      <c r="N156" s="280"/>
      <c r="O156" s="280"/>
      <c r="P156" s="280"/>
      <c r="Q156" s="280"/>
      <c r="R156" s="280"/>
      <c r="S156" s="280"/>
      <c r="T156" s="280"/>
      <c r="U156" s="280"/>
      <c r="V156" s="280"/>
      <c r="W156" s="280"/>
      <c r="X156" s="280"/>
      <c r="Y156" s="280"/>
    </row>
    <row r="157" spans="3:27" x14ac:dyDescent="0.25">
      <c r="C157" s="86"/>
      <c r="D157" s="295"/>
      <c r="F157" s="93" t="s">
        <v>123</v>
      </c>
      <c r="G157" s="93" t="s">
        <v>308</v>
      </c>
      <c r="H157" s="93"/>
      <c r="I157" s="93"/>
      <c r="J157" s="241"/>
      <c r="K157" s="241"/>
      <c r="L157" s="241"/>
      <c r="M157" s="241"/>
      <c r="N157" s="241"/>
      <c r="O157" s="241"/>
      <c r="P157" s="241"/>
      <c r="Q157" s="241"/>
      <c r="R157" s="241"/>
      <c r="S157" s="241"/>
      <c r="T157" s="241"/>
      <c r="U157" s="241"/>
      <c r="V157" s="241"/>
      <c r="W157" s="241"/>
      <c r="X157" s="241"/>
      <c r="Y157" s="241"/>
    </row>
    <row r="158" spans="3:27" x14ac:dyDescent="0.25">
      <c r="C158" s="86"/>
      <c r="J158" s="276"/>
      <c r="K158" s="276"/>
      <c r="L158" s="276"/>
      <c r="M158" s="276"/>
      <c r="N158" s="276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</row>
    <row r="159" spans="3:27" x14ac:dyDescent="0.25">
      <c r="C159" s="7" t="str">
        <f ca="1">INDEX('Version control'!$H$34:$H$58,MATCH($A$1,'Version control'!$F$34:$F$58,0),1)&amp;"-C: Exceeded capacity-based charge elements"</f>
        <v>Section 516-C: Exceeded capacity-based charge elements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25"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3:25" x14ac:dyDescent="0.25">
      <c r="C161" s="86"/>
      <c r="E161" s="96" t="s">
        <v>139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  <c r="U161" s="253"/>
      <c r="V161" s="253"/>
      <c r="W161" s="253"/>
      <c r="X161" s="253"/>
      <c r="Y161" s="253"/>
    </row>
    <row r="162" spans="3:25" x14ac:dyDescent="0.25">
      <c r="C162" s="86"/>
      <c r="F162" s="91" t="s">
        <v>324</v>
      </c>
      <c r="G162" s="91" t="s">
        <v>308</v>
      </c>
      <c r="H162" s="91"/>
      <c r="I162" s="91"/>
      <c r="J162" s="239"/>
      <c r="K162" s="239"/>
      <c r="L162" s="239"/>
      <c r="M162" s="239"/>
      <c r="N162" s="239"/>
      <c r="O162" s="239"/>
      <c r="P162" s="239"/>
      <c r="Q162" s="239"/>
      <c r="R162" s="239"/>
      <c r="S162" s="239"/>
      <c r="T162" s="239"/>
      <c r="U162" s="239"/>
      <c r="V162" s="239"/>
      <c r="W162" s="239"/>
      <c r="X162" s="239"/>
      <c r="Y162" s="239"/>
    </row>
    <row r="163" spans="3:25" x14ac:dyDescent="0.25">
      <c r="C163" s="86"/>
      <c r="F163" s="295" t="s">
        <v>43</v>
      </c>
      <c r="G163" s="295" t="s">
        <v>308</v>
      </c>
      <c r="J163" s="280"/>
      <c r="K163" s="280"/>
      <c r="L163" s="280"/>
      <c r="M163" s="280"/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</row>
    <row r="164" spans="3:25" x14ac:dyDescent="0.25">
      <c r="C164" s="86"/>
      <c r="F164" s="295" t="s">
        <v>44</v>
      </c>
      <c r="G164" s="295" t="s">
        <v>308</v>
      </c>
      <c r="J164" s="276">
        <f t="shared" ref="J164:K164" si="72">hundred*J95*$H53*J82/$H39/days_in_year/(1+$H25)*PowerFactor</f>
        <v>0</v>
      </c>
      <c r="K164" s="276">
        <f t="shared" si="72"/>
        <v>0</v>
      </c>
      <c r="L164" s="276">
        <f t="shared" ref="L164:M164" si="73">hundred*L95*$H53*L82/$H39/days_in_year/(1+$H25)*PowerFactor</f>
        <v>0</v>
      </c>
      <c r="M164" s="276">
        <f t="shared" si="73"/>
        <v>0</v>
      </c>
      <c r="N164" s="276">
        <f t="shared" ref="N164:P164" si="74">hundred*N95*$H53*N82/$H39/days_in_year/(1+$H25)*PowerFactor</f>
        <v>0</v>
      </c>
      <c r="O164" s="276">
        <f t="shared" si="74"/>
        <v>0</v>
      </c>
      <c r="P164" s="276">
        <f t="shared" si="74"/>
        <v>0</v>
      </c>
      <c r="Q164" s="276">
        <f t="shared" ref="Q164" si="75">hundred*Q95*$H53*Q82/$H39/days_in_year/(1+$H25)*PowerFactor</f>
        <v>0</v>
      </c>
      <c r="R164" s="280"/>
      <c r="S164" s="280"/>
      <c r="T164" s="280"/>
      <c r="U164" s="280"/>
      <c r="V164" s="280"/>
      <c r="W164" s="280"/>
      <c r="X164" s="280"/>
      <c r="Y164" s="280"/>
    </row>
    <row r="165" spans="3:25" x14ac:dyDescent="0.25">
      <c r="C165" s="86"/>
      <c r="F165" s="295" t="s">
        <v>45</v>
      </c>
      <c r="G165" s="295" t="s">
        <v>308</v>
      </c>
      <c r="J165" s="276">
        <f t="shared" ref="J165:K165" si="76">hundred*J96*$H54*J83/$H40/days_in_year/(1+$H26)*PowerFactor</f>
        <v>0</v>
      </c>
      <c r="K165" s="276">
        <f t="shared" si="76"/>
        <v>0</v>
      </c>
      <c r="L165" s="276">
        <f t="shared" ref="L165:M165" si="77">hundred*L96*$H54*L83/$H40/days_in_year/(1+$H26)*PowerFactor</f>
        <v>0</v>
      </c>
      <c r="M165" s="276">
        <f t="shared" si="77"/>
        <v>0</v>
      </c>
      <c r="N165" s="276">
        <f t="shared" ref="N165:P165" si="78">hundred*N96*$H54*N83/$H40/days_in_year/(1+$H26)*PowerFactor</f>
        <v>0</v>
      </c>
      <c r="O165" s="276">
        <f t="shared" si="78"/>
        <v>0</v>
      </c>
      <c r="P165" s="276">
        <f t="shared" si="78"/>
        <v>0</v>
      </c>
      <c r="Q165" s="276">
        <f t="shared" ref="Q165" si="79">hundred*Q96*$H54*Q83/$H40/days_in_year/(1+$H26)*PowerFactor</f>
        <v>0</v>
      </c>
      <c r="R165" s="280"/>
      <c r="S165" s="280"/>
      <c r="T165" s="280"/>
      <c r="U165" s="280"/>
      <c r="V165" s="280"/>
      <c r="W165" s="280"/>
      <c r="X165" s="280"/>
      <c r="Y165" s="280"/>
    </row>
    <row r="166" spans="3:25" x14ac:dyDescent="0.25">
      <c r="C166" s="86"/>
      <c r="F166" s="295" t="s">
        <v>46</v>
      </c>
      <c r="G166" s="295" t="s">
        <v>308</v>
      </c>
      <c r="J166" s="276">
        <f t="shared" ref="J166:K166" si="80">hundred*J97*$H55*J84/$H41/days_in_year/(1+$H27)*PowerFactor</f>
        <v>0</v>
      </c>
      <c r="K166" s="276">
        <f t="shared" si="80"/>
        <v>0</v>
      </c>
      <c r="L166" s="276">
        <f t="shared" ref="L166:M166" si="81">hundred*L97*$H55*L84/$H41/days_in_year/(1+$H27)*PowerFactor</f>
        <v>0</v>
      </c>
      <c r="M166" s="276">
        <f t="shared" si="81"/>
        <v>0</v>
      </c>
      <c r="N166" s="276">
        <f t="shared" ref="N166:P166" si="82">hundred*N97*$H55*N84/$H41/days_in_year/(1+$H27)*PowerFactor</f>
        <v>0</v>
      </c>
      <c r="O166" s="276">
        <f t="shared" si="82"/>
        <v>0</v>
      </c>
      <c r="P166" s="276">
        <f t="shared" si="82"/>
        <v>0.56819215183510363</v>
      </c>
      <c r="Q166" s="276">
        <f t="shared" ref="Q166" si="83">hundred*Q97*$H55*Q84/$H41/days_in_year/(1+$H27)*PowerFactor</f>
        <v>0</v>
      </c>
      <c r="R166" s="280"/>
      <c r="S166" s="280"/>
      <c r="T166" s="280"/>
      <c r="U166" s="280"/>
      <c r="V166" s="280"/>
      <c r="W166" s="280"/>
      <c r="X166" s="280"/>
      <c r="Y166" s="280"/>
    </row>
    <row r="167" spans="3:25" x14ac:dyDescent="0.25">
      <c r="C167" s="86"/>
      <c r="F167" s="295" t="s">
        <v>47</v>
      </c>
      <c r="G167" s="295" t="s">
        <v>308</v>
      </c>
      <c r="J167" s="276">
        <f t="shared" ref="J167:K167" si="84">hundred*J98*$H56*J85/$H42/days_in_year/(1+$H28)*PowerFactor</f>
        <v>0</v>
      </c>
      <c r="K167" s="276">
        <f t="shared" si="84"/>
        <v>0</v>
      </c>
      <c r="L167" s="276">
        <f t="shared" ref="L167:M167" si="85">hundred*L98*$H56*L85/$H42/days_in_year/(1+$H28)*PowerFactor</f>
        <v>0</v>
      </c>
      <c r="M167" s="276">
        <f t="shared" si="85"/>
        <v>0</v>
      </c>
      <c r="N167" s="276">
        <f t="shared" ref="N167:P167" si="86">hundred*N98*$H56*N85/$H42/days_in_year/(1+$H28)*PowerFactor</f>
        <v>0</v>
      </c>
      <c r="O167" s="276">
        <f t="shared" si="86"/>
        <v>0</v>
      </c>
      <c r="P167" s="276">
        <f t="shared" si="86"/>
        <v>0.47185380235804381</v>
      </c>
      <c r="Q167" s="276">
        <f t="shared" ref="Q167" si="87">hundred*Q98*$H56*Q85/$H42/days_in_year/(1+$H28)*PowerFactor</f>
        <v>0</v>
      </c>
      <c r="R167" s="280"/>
      <c r="S167" s="280"/>
      <c r="T167" s="280"/>
      <c r="U167" s="280"/>
      <c r="V167" s="280"/>
      <c r="W167" s="280"/>
      <c r="X167" s="280"/>
      <c r="Y167" s="280"/>
    </row>
    <row r="168" spans="3:25" x14ac:dyDescent="0.25">
      <c r="C168" s="86"/>
      <c r="F168" s="295" t="s">
        <v>51</v>
      </c>
      <c r="G168" s="295" t="s">
        <v>308</v>
      </c>
      <c r="J168" s="276">
        <f t="shared" ref="J168:K168" si="88">hundred*J99*$H57*J86/$H43/days_in_year/(1+$H29)*PowerFactor</f>
        <v>0</v>
      </c>
      <c r="K168" s="276">
        <f t="shared" si="88"/>
        <v>0</v>
      </c>
      <c r="L168" s="276">
        <f t="shared" ref="L168:M168" si="89">hundred*L99*$H57*L86/$H43/days_in_year/(1+$H29)*PowerFactor</f>
        <v>0</v>
      </c>
      <c r="M168" s="276">
        <f t="shared" si="89"/>
        <v>0</v>
      </c>
      <c r="N168" s="276">
        <f t="shared" ref="N168:P168" si="90">hundred*N99*$H57*N86/$H43/days_in_year/(1+$H29)*PowerFactor</f>
        <v>0</v>
      </c>
      <c r="O168" s="276">
        <f t="shared" si="90"/>
        <v>0</v>
      </c>
      <c r="P168" s="276">
        <f t="shared" si="90"/>
        <v>0</v>
      </c>
      <c r="Q168" s="276">
        <f t="shared" ref="Q168" si="91">hundred*Q99*$H57*Q86/$H43/days_in_year/(1+$H29)*PowerFactor</f>
        <v>0</v>
      </c>
      <c r="R168" s="280"/>
      <c r="S168" s="280"/>
      <c r="T168" s="280"/>
      <c r="U168" s="280"/>
      <c r="V168" s="280"/>
      <c r="W168" s="280"/>
      <c r="X168" s="280"/>
      <c r="Y168" s="280"/>
    </row>
    <row r="169" spans="3:25" x14ac:dyDescent="0.25">
      <c r="C169" s="86"/>
      <c r="F169" s="295" t="s">
        <v>48</v>
      </c>
      <c r="G169" s="295" t="s">
        <v>308</v>
      </c>
      <c r="J169" s="276">
        <f t="shared" ref="J169:K169" si="92">hundred*J100*$H58*J87/$H44/days_in_year/(1+$H30)*PowerFactor</f>
        <v>0</v>
      </c>
      <c r="K169" s="276">
        <f t="shared" si="92"/>
        <v>0</v>
      </c>
      <c r="L169" s="276">
        <f t="shared" ref="L169:M169" si="93">hundred*L100*$H58*L87/$H44/days_in_year/(1+$H30)*PowerFactor</f>
        <v>0</v>
      </c>
      <c r="M169" s="276">
        <f t="shared" si="93"/>
        <v>0</v>
      </c>
      <c r="N169" s="276">
        <f t="shared" ref="N169:P169" si="94">hundred*N100*$H58*N87/$H44/days_in_year/(1+$H30)*PowerFactor</f>
        <v>0.6914692305166471</v>
      </c>
      <c r="O169" s="276">
        <f t="shared" si="94"/>
        <v>3.2956716922106373</v>
      </c>
      <c r="P169" s="276">
        <f t="shared" si="94"/>
        <v>3.2272709589760771</v>
      </c>
      <c r="Q169" s="276">
        <f t="shared" ref="Q169" si="95">hundred*Q100*$H58*Q87/$H44/days_in_year/(1+$H30)*PowerFactor</f>
        <v>0</v>
      </c>
      <c r="R169" s="280"/>
      <c r="S169" s="280"/>
      <c r="T169" s="280"/>
      <c r="U169" s="280"/>
      <c r="V169" s="280"/>
      <c r="W169" s="280"/>
      <c r="X169" s="280"/>
      <c r="Y169" s="280"/>
    </row>
    <row r="170" spans="3:25" x14ac:dyDescent="0.25">
      <c r="C170" s="86"/>
      <c r="F170" s="295" t="s">
        <v>49</v>
      </c>
      <c r="G170" s="295" t="s">
        <v>308</v>
      </c>
      <c r="J170" s="276">
        <f t="shared" ref="J170:K170" si="96">hundred*J101*$H59*J88/$H45/days_in_year/(1+$H31)*PowerFactor</f>
        <v>0</v>
      </c>
      <c r="K170" s="276">
        <f t="shared" si="96"/>
        <v>0</v>
      </c>
      <c r="L170" s="276">
        <f t="shared" ref="L170:M170" si="97">hundred*L101*$H59*L88/$H45/days_in_year/(1+$H31)*PowerFactor</f>
        <v>0</v>
      </c>
      <c r="M170" s="276">
        <f t="shared" si="97"/>
        <v>0</v>
      </c>
      <c r="N170" s="276">
        <f t="shared" ref="N170:P170" si="98">hundred*N101*$H59*N88/$H45/days_in_year/(1+$H31)*PowerFactor</f>
        <v>1.3522463090040071</v>
      </c>
      <c r="O170" s="276">
        <f t="shared" si="98"/>
        <v>1.289011769374323</v>
      </c>
      <c r="P170" s="276">
        <f t="shared" si="98"/>
        <v>0</v>
      </c>
      <c r="Q170" s="276">
        <f t="shared" ref="Q170" si="99">hundred*Q101*$H59*Q88/$H45/days_in_year/(1+$H31)*PowerFactor</f>
        <v>0</v>
      </c>
      <c r="R170" s="280"/>
      <c r="S170" s="280"/>
      <c r="T170" s="280"/>
      <c r="U170" s="280"/>
      <c r="V170" s="280"/>
      <c r="W170" s="280"/>
      <c r="X170" s="280"/>
      <c r="Y170" s="280"/>
    </row>
    <row r="171" spans="3:25" x14ac:dyDescent="0.25">
      <c r="C171" s="86"/>
      <c r="F171" s="295" t="s">
        <v>50</v>
      </c>
      <c r="G171" s="295" t="s">
        <v>308</v>
      </c>
      <c r="J171" s="276">
        <f t="shared" ref="J171:K171" si="100">hundred*J102*$H60*J89/$H46/days_in_year/(1+$H32)*PowerFactor</f>
        <v>0.9111808304538106</v>
      </c>
      <c r="K171" s="276">
        <f t="shared" si="100"/>
        <v>0.9111808304538106</v>
      </c>
      <c r="L171" s="276">
        <f t="shared" ref="L171:M171" si="101">hundred*L102*$H60*L89/$H46/days_in_year/(1+$H32)*PowerFactor</f>
        <v>0.9111808304538106</v>
      </c>
      <c r="M171" s="276">
        <f t="shared" si="101"/>
        <v>0.9111808304538106</v>
      </c>
      <c r="N171" s="276">
        <f t="shared" ref="N171:P171" si="102">hundred*N102*$H60*N89/$H46/days_in_year/(1+$H32)*PowerFactor</f>
        <v>0.9111808304538106</v>
      </c>
      <c r="O171" s="276">
        <f t="shared" si="102"/>
        <v>0</v>
      </c>
      <c r="P171" s="276">
        <f t="shared" si="102"/>
        <v>0</v>
      </c>
      <c r="Q171" s="276">
        <f t="shared" ref="Q171" si="103">hundred*Q102*$H60*Q89/$H46/days_in_year/(1+$H32)*PowerFactor</f>
        <v>0</v>
      </c>
      <c r="R171" s="280"/>
      <c r="S171" s="280"/>
      <c r="T171" s="280"/>
      <c r="U171" s="280"/>
      <c r="V171" s="280"/>
      <c r="W171" s="280"/>
      <c r="X171" s="280"/>
      <c r="Y171" s="280"/>
    </row>
    <row r="172" spans="3:25" x14ac:dyDescent="0.25">
      <c r="C172" s="86"/>
      <c r="F172" s="295" t="s">
        <v>124</v>
      </c>
      <c r="G172" s="295" t="s">
        <v>308</v>
      </c>
      <c r="J172" s="280"/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</row>
    <row r="173" spans="3:25" x14ac:dyDescent="0.25">
      <c r="C173" s="86"/>
      <c r="F173" s="93" t="s">
        <v>123</v>
      </c>
      <c r="G173" s="93" t="s">
        <v>308</v>
      </c>
      <c r="H173" s="93"/>
      <c r="I173" s="93"/>
      <c r="J173" s="241"/>
      <c r="K173" s="241"/>
      <c r="L173" s="241"/>
      <c r="M173" s="241"/>
      <c r="N173" s="241"/>
      <c r="O173" s="241"/>
      <c r="P173" s="241"/>
      <c r="Q173" s="241"/>
      <c r="R173" s="241"/>
      <c r="S173" s="241"/>
      <c r="T173" s="241"/>
      <c r="U173" s="241"/>
      <c r="V173" s="241"/>
      <c r="W173" s="241"/>
      <c r="X173" s="241"/>
      <c r="Y173" s="241"/>
    </row>
    <row r="174" spans="3:25" x14ac:dyDescent="0.25">
      <c r="C174" s="86"/>
      <c r="D174" s="295"/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  <c r="U174" s="253"/>
      <c r="V174" s="253"/>
      <c r="W174" s="253"/>
      <c r="X174" s="253"/>
      <c r="Y174" s="253"/>
    </row>
    <row r="175" spans="3:25" x14ac:dyDescent="0.25">
      <c r="C175" s="86"/>
      <c r="E175" s="96" t="s">
        <v>116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  <c r="U175" s="253"/>
      <c r="V175" s="253"/>
      <c r="W175" s="253"/>
      <c r="X175" s="253"/>
      <c r="Y175" s="253"/>
    </row>
    <row r="176" spans="3:25" x14ac:dyDescent="0.25">
      <c r="C176" s="86"/>
      <c r="F176" s="91" t="s">
        <v>324</v>
      </c>
      <c r="G176" s="91" t="s">
        <v>308</v>
      </c>
      <c r="H176" s="91"/>
      <c r="I176" s="91"/>
      <c r="J176" s="268">
        <f t="shared" ref="J176:K176" si="104">hundred*J94*$H65*J80/$H37/days_in_year/(1+$H23)*PowerFactor</f>
        <v>0</v>
      </c>
      <c r="K176" s="268">
        <f t="shared" si="104"/>
        <v>0</v>
      </c>
      <c r="L176" s="268">
        <f t="shared" ref="L176:M176" si="105">hundred*L94*$H65*L80/$H37/days_in_year/(1+$H23)*PowerFactor</f>
        <v>0</v>
      </c>
      <c r="M176" s="268">
        <f t="shared" si="105"/>
        <v>0</v>
      </c>
      <c r="N176" s="268">
        <f t="shared" ref="N176:P176" si="106">hundred*N94*$H65*N80/$H37/days_in_year/(1+$H23)*PowerFactor</f>
        <v>0</v>
      </c>
      <c r="O176" s="268">
        <f t="shared" si="106"/>
        <v>0</v>
      </c>
      <c r="P176" s="268">
        <f t="shared" si="106"/>
        <v>0</v>
      </c>
      <c r="Q176" s="268">
        <f t="shared" ref="Q176" si="107">hundred*Q94*$H65*Q80/$H37/days_in_year/(1+$H23)*PowerFactor</f>
        <v>0</v>
      </c>
      <c r="R176" s="239"/>
      <c r="S176" s="239"/>
      <c r="T176" s="239"/>
      <c r="U176" s="239"/>
      <c r="V176" s="239"/>
      <c r="W176" s="239"/>
      <c r="X176" s="239"/>
      <c r="Y176" s="239"/>
    </row>
    <row r="177" spans="3:27" x14ac:dyDescent="0.25">
      <c r="C177" s="86"/>
      <c r="F177" s="295" t="s">
        <v>43</v>
      </c>
      <c r="G177" s="295" t="s">
        <v>308</v>
      </c>
      <c r="J177" s="276">
        <f t="shared" ref="J177:K177" si="108">hundred*J94*$H66*J81/$H38/days_in_year/(1+$H24)*PowerFactor</f>
        <v>0</v>
      </c>
      <c r="K177" s="276">
        <f t="shared" si="108"/>
        <v>0</v>
      </c>
      <c r="L177" s="276">
        <f t="shared" ref="L177:M177" si="109">hundred*L94*$H66*L81/$H38/days_in_year/(1+$H24)*PowerFactor</f>
        <v>0</v>
      </c>
      <c r="M177" s="276">
        <f t="shared" si="109"/>
        <v>0</v>
      </c>
      <c r="N177" s="276">
        <f t="shared" ref="N177:P177" si="110">hundred*N94*$H66*N81/$H38/days_in_year/(1+$H24)*PowerFactor</f>
        <v>0</v>
      </c>
      <c r="O177" s="276">
        <f t="shared" si="110"/>
        <v>0</v>
      </c>
      <c r="P177" s="276">
        <f t="shared" si="110"/>
        <v>0</v>
      </c>
      <c r="Q177" s="276">
        <f t="shared" ref="Q177" si="111">hundred*Q94*$H66*Q81/$H38/days_in_year/(1+$H24)*PowerFactor</f>
        <v>0</v>
      </c>
      <c r="R177" s="280"/>
      <c r="S177" s="280"/>
      <c r="T177" s="280"/>
      <c r="U177" s="280"/>
      <c r="V177" s="280"/>
      <c r="W177" s="280"/>
      <c r="X177" s="280"/>
      <c r="Y177" s="280"/>
    </row>
    <row r="178" spans="3:27" x14ac:dyDescent="0.25">
      <c r="C178" s="86"/>
      <c r="F178" s="295" t="s">
        <v>44</v>
      </c>
      <c r="G178" s="295" t="s">
        <v>308</v>
      </c>
      <c r="J178" s="276">
        <f t="shared" ref="J178:K178" si="112">hundred*J95*$H67*J82/$H39/days_in_year/(1+$H25)*PowerFactor</f>
        <v>0</v>
      </c>
      <c r="K178" s="276">
        <f t="shared" si="112"/>
        <v>0</v>
      </c>
      <c r="L178" s="276">
        <f t="shared" ref="L178:M178" si="113">hundred*L95*$H67*L82/$H39/days_in_year/(1+$H25)*PowerFactor</f>
        <v>0</v>
      </c>
      <c r="M178" s="276">
        <f t="shared" si="113"/>
        <v>0</v>
      </c>
      <c r="N178" s="276">
        <f t="shared" ref="N178:P178" si="114">hundred*N95*$H67*N82/$H39/days_in_year/(1+$H25)*PowerFactor</f>
        <v>0</v>
      </c>
      <c r="O178" s="276">
        <f t="shared" si="114"/>
        <v>0</v>
      </c>
      <c r="P178" s="276">
        <f t="shared" si="114"/>
        <v>0</v>
      </c>
      <c r="Q178" s="276">
        <f t="shared" ref="Q178" si="115">hundred*Q95*$H67*Q82/$H39/days_in_year/(1+$H25)*PowerFactor</f>
        <v>0</v>
      </c>
      <c r="R178" s="280"/>
      <c r="S178" s="280"/>
      <c r="T178" s="280"/>
      <c r="U178" s="280"/>
      <c r="V178" s="280"/>
      <c r="W178" s="280"/>
      <c r="X178" s="280"/>
      <c r="Y178" s="280"/>
    </row>
    <row r="179" spans="3:27" x14ac:dyDescent="0.25">
      <c r="C179" s="86"/>
      <c r="F179" s="295" t="s">
        <v>45</v>
      </c>
      <c r="G179" s="295" t="s">
        <v>308</v>
      </c>
      <c r="J179" s="276">
        <f t="shared" ref="J179:K179" si="116">hundred*J96*$H68*J83/$H40/days_in_year/(1+$H26)*PowerFactor</f>
        <v>0</v>
      </c>
      <c r="K179" s="276">
        <f t="shared" si="116"/>
        <v>0</v>
      </c>
      <c r="L179" s="276">
        <f t="shared" ref="L179:M179" si="117">hundred*L96*$H68*L83/$H40/days_in_year/(1+$H26)*PowerFactor</f>
        <v>0</v>
      </c>
      <c r="M179" s="276">
        <f t="shared" si="117"/>
        <v>0</v>
      </c>
      <c r="N179" s="276">
        <f t="shared" ref="N179:P179" si="118">hundred*N96*$H68*N83/$H40/days_in_year/(1+$H26)*PowerFactor</f>
        <v>0</v>
      </c>
      <c r="O179" s="276">
        <f t="shared" si="118"/>
        <v>0</v>
      </c>
      <c r="P179" s="276">
        <f t="shared" si="118"/>
        <v>0</v>
      </c>
      <c r="Q179" s="276">
        <f t="shared" ref="Q179" si="119">hundred*Q96*$H68*Q83/$H40/days_in_year/(1+$H26)*PowerFactor</f>
        <v>0</v>
      </c>
      <c r="R179" s="280"/>
      <c r="S179" s="280"/>
      <c r="T179" s="280"/>
      <c r="U179" s="280"/>
      <c r="V179" s="280"/>
      <c r="W179" s="280"/>
      <c r="X179" s="280"/>
      <c r="Y179" s="280"/>
    </row>
    <row r="180" spans="3:27" x14ac:dyDescent="0.25">
      <c r="C180" s="86"/>
      <c r="F180" s="295" t="s">
        <v>46</v>
      </c>
      <c r="G180" s="295" t="s">
        <v>308</v>
      </c>
      <c r="J180" s="276">
        <f t="shared" ref="J180:K180" si="120">hundred*J97*$H69*J84/$H41/days_in_year/(1+$H27)*PowerFactor</f>
        <v>0</v>
      </c>
      <c r="K180" s="276">
        <f t="shared" si="120"/>
        <v>0</v>
      </c>
      <c r="L180" s="276">
        <f t="shared" ref="L180:M180" si="121">hundred*L97*$H69*L84/$H41/days_in_year/(1+$H27)*PowerFactor</f>
        <v>0</v>
      </c>
      <c r="M180" s="276">
        <f t="shared" si="121"/>
        <v>0</v>
      </c>
      <c r="N180" s="276">
        <f t="shared" ref="N180:P180" si="122">hundred*N97*$H69*N84/$H41/days_in_year/(1+$H27)*PowerFactor</f>
        <v>0</v>
      </c>
      <c r="O180" s="276">
        <f t="shared" si="122"/>
        <v>0</v>
      </c>
      <c r="P180" s="276">
        <f t="shared" si="122"/>
        <v>0.30071220292143852</v>
      </c>
      <c r="Q180" s="276">
        <f t="shared" ref="Q180" si="123">hundred*Q97*$H69*Q84/$H41/days_in_year/(1+$H27)*PowerFactor</f>
        <v>0</v>
      </c>
      <c r="R180" s="280"/>
      <c r="S180" s="280"/>
      <c r="T180" s="280"/>
      <c r="U180" s="280"/>
      <c r="V180" s="280"/>
      <c r="W180" s="280"/>
      <c r="X180" s="280"/>
      <c r="Y180" s="280"/>
    </row>
    <row r="181" spans="3:27" x14ac:dyDescent="0.25">
      <c r="C181" s="86"/>
      <c r="F181" s="295" t="s">
        <v>47</v>
      </c>
      <c r="G181" s="295" t="s">
        <v>308</v>
      </c>
      <c r="J181" s="276">
        <f t="shared" ref="J181:K181" si="124">hundred*J98*$H70*J85/$H42/days_in_year/(1+$H28)*PowerFactor</f>
        <v>0</v>
      </c>
      <c r="K181" s="276">
        <f t="shared" si="124"/>
        <v>0</v>
      </c>
      <c r="L181" s="276">
        <f t="shared" ref="L181:M181" si="125">hundred*L98*$H70*L85/$H42/days_in_year/(1+$H28)*PowerFactor</f>
        <v>0</v>
      </c>
      <c r="M181" s="276">
        <f t="shared" si="125"/>
        <v>0</v>
      </c>
      <c r="N181" s="276">
        <f t="shared" ref="N181:P181" si="126">hundred*N98*$H70*N85/$H42/days_in_year/(1+$H28)*PowerFactor</f>
        <v>0</v>
      </c>
      <c r="O181" s="276">
        <f t="shared" si="126"/>
        <v>0</v>
      </c>
      <c r="P181" s="276">
        <f t="shared" si="126"/>
        <v>0.24972572378142111</v>
      </c>
      <c r="Q181" s="276">
        <f t="shared" ref="Q181" si="127">hundred*Q98*$H70*Q85/$H42/days_in_year/(1+$H28)*PowerFactor</f>
        <v>0</v>
      </c>
      <c r="R181" s="280"/>
      <c r="S181" s="280"/>
      <c r="T181" s="280"/>
      <c r="U181" s="280"/>
      <c r="V181" s="280"/>
      <c r="W181" s="280"/>
      <c r="X181" s="280"/>
      <c r="Y181" s="280"/>
    </row>
    <row r="182" spans="3:27" x14ac:dyDescent="0.25">
      <c r="C182" s="86"/>
      <c r="F182" s="295" t="s">
        <v>51</v>
      </c>
      <c r="G182" s="295" t="s">
        <v>308</v>
      </c>
      <c r="J182" s="276">
        <f t="shared" ref="J182:K182" si="128">hundred*J99*$H71*J86/$H43/days_in_year/(1+$H29)*PowerFactor</f>
        <v>0</v>
      </c>
      <c r="K182" s="276">
        <f t="shared" si="128"/>
        <v>0</v>
      </c>
      <c r="L182" s="276">
        <f t="shared" ref="L182:M182" si="129">hundred*L99*$H71*L86/$H43/days_in_year/(1+$H29)*PowerFactor</f>
        <v>0</v>
      </c>
      <c r="M182" s="276">
        <f t="shared" si="129"/>
        <v>0</v>
      </c>
      <c r="N182" s="276">
        <f t="shared" ref="N182:P182" si="130">hundred*N99*$H71*N86/$H43/days_in_year/(1+$H29)*PowerFactor</f>
        <v>0</v>
      </c>
      <c r="O182" s="276">
        <f t="shared" si="130"/>
        <v>0</v>
      </c>
      <c r="P182" s="276">
        <f t="shared" si="130"/>
        <v>0</v>
      </c>
      <c r="Q182" s="276">
        <f t="shared" ref="Q182" si="131">hundred*Q99*$H71*Q86/$H43/days_in_year/(1+$H29)*PowerFactor</f>
        <v>0</v>
      </c>
      <c r="R182" s="280"/>
      <c r="S182" s="280"/>
      <c r="T182" s="280"/>
      <c r="U182" s="280"/>
      <c r="V182" s="280"/>
      <c r="W182" s="280"/>
      <c r="X182" s="280"/>
      <c r="Y182" s="280"/>
    </row>
    <row r="183" spans="3:27" x14ac:dyDescent="0.25">
      <c r="C183" s="86"/>
      <c r="F183" s="295" t="s">
        <v>48</v>
      </c>
      <c r="G183" s="295" t="s">
        <v>308</v>
      </c>
      <c r="J183" s="276">
        <f t="shared" ref="J183:K183" si="132">hundred*J100*$H72*J87/$H44/days_in_year/(1+$H30)*PowerFactor</f>
        <v>0</v>
      </c>
      <c r="K183" s="276">
        <f t="shared" si="132"/>
        <v>0</v>
      </c>
      <c r="L183" s="276">
        <f t="shared" ref="L183:M183" si="133">hundred*L100*$H72*L87/$H44/days_in_year/(1+$H30)*PowerFactor</f>
        <v>0</v>
      </c>
      <c r="M183" s="276">
        <f t="shared" si="133"/>
        <v>0</v>
      </c>
      <c r="N183" s="276">
        <f t="shared" ref="N183:P183" si="134">hundred*N100*$H72*N87/$H44/days_in_year/(1+$H30)*PowerFactor</f>
        <v>0.36595583886452138</v>
      </c>
      <c r="O183" s="276">
        <f t="shared" si="134"/>
        <v>1.7442139801996071</v>
      </c>
      <c r="P183" s="276">
        <f t="shared" si="134"/>
        <v>1.7080133126860302</v>
      </c>
      <c r="Q183" s="276">
        <f t="shared" ref="Q183" si="135">hundred*Q100*$H72*Q87/$H44/days_in_year/(1+$H30)*PowerFactor</f>
        <v>0</v>
      </c>
      <c r="R183" s="280"/>
      <c r="S183" s="280"/>
      <c r="T183" s="280"/>
      <c r="U183" s="280"/>
      <c r="V183" s="280"/>
      <c r="W183" s="280"/>
      <c r="X183" s="280"/>
      <c r="Y183" s="280"/>
    </row>
    <row r="184" spans="3:27" x14ac:dyDescent="0.25">
      <c r="C184" s="86"/>
      <c r="F184" s="295" t="s">
        <v>49</v>
      </c>
      <c r="G184" s="295" t="s">
        <v>308</v>
      </c>
      <c r="J184" s="276">
        <f t="shared" ref="J184:K184" si="136">hundred*J101*$H73*J88/$H45/days_in_year/(1+$H31)*PowerFactor</f>
        <v>0</v>
      </c>
      <c r="K184" s="276">
        <f t="shared" si="136"/>
        <v>0</v>
      </c>
      <c r="L184" s="276">
        <f t="shared" ref="L184:M184" si="137">hundred*L101*$H73*L88/$H45/days_in_year/(1+$H31)*PowerFactor</f>
        <v>0</v>
      </c>
      <c r="M184" s="276">
        <f t="shared" si="137"/>
        <v>0</v>
      </c>
      <c r="N184" s="276">
        <f t="shared" ref="N184:P184" si="138">hundred*N101*$H73*N88/$H45/days_in_year/(1+$H31)*PowerFactor</f>
        <v>0.71566804497326142</v>
      </c>
      <c r="O184" s="276">
        <f t="shared" si="138"/>
        <v>0.68220155366156221</v>
      </c>
      <c r="P184" s="276">
        <f t="shared" si="138"/>
        <v>0</v>
      </c>
      <c r="Q184" s="276">
        <f t="shared" ref="Q184" si="139">hundred*Q101*$H73*Q88/$H45/days_in_year/(1+$H31)*PowerFactor</f>
        <v>0</v>
      </c>
      <c r="R184" s="280"/>
      <c r="S184" s="280"/>
      <c r="T184" s="280"/>
      <c r="U184" s="280"/>
      <c r="V184" s="280"/>
      <c r="W184" s="280"/>
      <c r="X184" s="280"/>
      <c r="Y184" s="280"/>
    </row>
    <row r="185" spans="3:27" x14ac:dyDescent="0.25">
      <c r="C185" s="86"/>
      <c r="F185" s="295" t="s">
        <v>50</v>
      </c>
      <c r="G185" s="295" t="s">
        <v>308</v>
      </c>
      <c r="J185" s="276">
        <f t="shared" ref="J185:K185" si="140">hundred*J102*$H74*J89/$H46/days_in_year/(1+$H32)*PowerFactor</f>
        <v>0.48223685227012819</v>
      </c>
      <c r="K185" s="276">
        <f t="shared" si="140"/>
        <v>0.48223685227012819</v>
      </c>
      <c r="L185" s="276">
        <f t="shared" ref="L185:M185" si="141">hundred*L102*$H74*L89/$H46/days_in_year/(1+$H32)*PowerFactor</f>
        <v>0.48223685227012819</v>
      </c>
      <c r="M185" s="276">
        <f t="shared" si="141"/>
        <v>0.48223685227012819</v>
      </c>
      <c r="N185" s="276">
        <f t="shared" ref="N185:P185" si="142">hundred*N102*$H74*N89/$H46/days_in_year/(1+$H32)*PowerFactor</f>
        <v>0.48223685227012819</v>
      </c>
      <c r="O185" s="276">
        <f t="shared" si="142"/>
        <v>0</v>
      </c>
      <c r="P185" s="276">
        <f t="shared" si="142"/>
        <v>0</v>
      </c>
      <c r="Q185" s="276">
        <f t="shared" ref="Q185" si="143">hundred*Q102*$H74*Q89/$H46/days_in_year/(1+$H32)*PowerFactor</f>
        <v>0</v>
      </c>
      <c r="R185" s="280"/>
      <c r="S185" s="280"/>
      <c r="T185" s="280"/>
      <c r="U185" s="280"/>
      <c r="V185" s="280"/>
      <c r="W185" s="280"/>
      <c r="X185" s="280"/>
      <c r="Y185" s="280"/>
    </row>
    <row r="186" spans="3:27" x14ac:dyDescent="0.25">
      <c r="C186" s="86"/>
      <c r="F186" s="295" t="s">
        <v>124</v>
      </c>
      <c r="G186" s="295" t="s">
        <v>308</v>
      </c>
      <c r="J186" s="280"/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</row>
    <row r="187" spans="3:27" x14ac:dyDescent="0.25">
      <c r="C187" s="86"/>
      <c r="F187" s="93" t="s">
        <v>123</v>
      </c>
      <c r="G187" s="93" t="s">
        <v>308</v>
      </c>
      <c r="H187" s="93"/>
      <c r="I187" s="93"/>
      <c r="J187" s="241"/>
      <c r="K187" s="241"/>
      <c r="L187" s="241"/>
      <c r="M187" s="241"/>
      <c r="N187" s="241"/>
      <c r="O187" s="241"/>
      <c r="P187" s="241"/>
      <c r="Q187" s="241"/>
      <c r="R187" s="241"/>
      <c r="S187" s="241"/>
      <c r="T187" s="241"/>
      <c r="U187" s="241"/>
      <c r="V187" s="241"/>
      <c r="W187" s="241"/>
      <c r="X187" s="241"/>
      <c r="Y187" s="241"/>
    </row>
    <row r="188" spans="3:27" x14ac:dyDescent="0.25">
      <c r="C188" s="86"/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</row>
    <row r="189" spans="3:27" x14ac:dyDescent="0.25">
      <c r="C189" s="7" t="str">
        <f ca="1">INDEX('Version control'!$H$34:$H$58,MATCH($A$1,'Version control'!$F$34:$F$58,0),1)&amp;"-D: Capacity charges for eligible customers, by network level"</f>
        <v>Section 516-D: Capacity charges for eligible customers, by network level</v>
      </c>
      <c r="D189" s="7"/>
      <c r="E189" s="7"/>
      <c r="F189" s="7"/>
      <c r="G189" s="7"/>
      <c r="H189" s="7"/>
      <c r="I189" s="7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7"/>
      <c r="AA189" s="7"/>
    </row>
    <row r="190" spans="3:27" x14ac:dyDescent="0.25">
      <c r="D190" s="96"/>
      <c r="E190" s="96"/>
      <c r="I190" s="295" t="s">
        <v>431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AA190" s="295" t="s">
        <v>848</v>
      </c>
    </row>
    <row r="191" spans="3:27" x14ac:dyDescent="0.25">
      <c r="C191" s="86"/>
      <c r="D191" s="295"/>
      <c r="E191" s="96" t="s">
        <v>139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</row>
    <row r="192" spans="3:27" x14ac:dyDescent="0.25">
      <c r="C192" s="86"/>
      <c r="D192" s="295"/>
      <c r="F192" s="91" t="s">
        <v>324</v>
      </c>
      <c r="G192" s="91" t="s">
        <v>308</v>
      </c>
      <c r="H192" s="91"/>
      <c r="I192" s="91"/>
      <c r="J192" s="239"/>
      <c r="K192" s="239"/>
      <c r="L192" s="239"/>
      <c r="M192" s="239"/>
      <c r="N192" s="239"/>
      <c r="O192" s="239"/>
      <c r="P192" s="239"/>
      <c r="Q192" s="239"/>
      <c r="R192" s="239"/>
      <c r="S192" s="239"/>
      <c r="T192" s="239"/>
      <c r="U192" s="239"/>
      <c r="V192" s="239"/>
      <c r="W192" s="239"/>
      <c r="X192" s="239"/>
      <c r="Y192" s="239"/>
    </row>
    <row r="193" spans="3:25" x14ac:dyDescent="0.25">
      <c r="C193" s="86"/>
      <c r="D193" s="295"/>
      <c r="F193" s="295" t="s">
        <v>43</v>
      </c>
      <c r="G193" s="295" t="s">
        <v>308</v>
      </c>
      <c r="J193" s="280"/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</row>
    <row r="194" spans="3:25" x14ac:dyDescent="0.25">
      <c r="C194" s="86"/>
      <c r="D194" s="295"/>
      <c r="F194" s="295" t="s">
        <v>44</v>
      </c>
      <c r="G194" s="295" t="s">
        <v>308</v>
      </c>
      <c r="J194" s="276">
        <f t="shared" ref="J194:Q201" si="144">J$121 * J134</f>
        <v>0</v>
      </c>
      <c r="K194" s="276">
        <f t="shared" si="144"/>
        <v>0</v>
      </c>
      <c r="L194" s="276">
        <f t="shared" si="144"/>
        <v>0</v>
      </c>
      <c r="M194" s="276">
        <f t="shared" si="144"/>
        <v>0</v>
      </c>
      <c r="N194" s="276">
        <f t="shared" si="144"/>
        <v>0</v>
      </c>
      <c r="O194" s="276">
        <f t="shared" si="144"/>
        <v>0</v>
      </c>
      <c r="P194" s="276">
        <f t="shared" si="144"/>
        <v>0</v>
      </c>
      <c r="Q194" s="276">
        <f t="shared" si="144"/>
        <v>0</v>
      </c>
      <c r="R194" s="280"/>
      <c r="S194" s="280"/>
      <c r="T194" s="280"/>
      <c r="U194" s="280"/>
      <c r="V194" s="280"/>
      <c r="W194" s="280"/>
      <c r="X194" s="280"/>
      <c r="Y194" s="280"/>
    </row>
    <row r="195" spans="3:25" x14ac:dyDescent="0.25">
      <c r="C195" s="86"/>
      <c r="D195" s="295"/>
      <c r="F195" s="295" t="s">
        <v>45</v>
      </c>
      <c r="G195" s="295" t="s">
        <v>308</v>
      </c>
      <c r="J195" s="276">
        <f t="shared" si="144"/>
        <v>0</v>
      </c>
      <c r="K195" s="276">
        <f t="shared" si="144"/>
        <v>0</v>
      </c>
      <c r="L195" s="276">
        <f t="shared" si="144"/>
        <v>0</v>
      </c>
      <c r="M195" s="276">
        <f t="shared" si="144"/>
        <v>0</v>
      </c>
      <c r="N195" s="276">
        <f t="shared" si="144"/>
        <v>0</v>
      </c>
      <c r="O195" s="276">
        <f t="shared" si="144"/>
        <v>0</v>
      </c>
      <c r="P195" s="276">
        <f t="shared" si="144"/>
        <v>0</v>
      </c>
      <c r="Q195" s="276">
        <f t="shared" si="144"/>
        <v>0</v>
      </c>
      <c r="R195" s="280"/>
      <c r="S195" s="280"/>
      <c r="T195" s="280"/>
      <c r="U195" s="280"/>
      <c r="V195" s="280"/>
      <c r="W195" s="280"/>
      <c r="X195" s="280"/>
      <c r="Y195" s="280"/>
    </row>
    <row r="196" spans="3:25" x14ac:dyDescent="0.25">
      <c r="C196" s="86"/>
      <c r="D196" s="295"/>
      <c r="F196" s="295" t="s">
        <v>46</v>
      </c>
      <c r="G196" s="295" t="s">
        <v>308</v>
      </c>
      <c r="J196" s="276">
        <f t="shared" si="144"/>
        <v>0</v>
      </c>
      <c r="K196" s="276">
        <f t="shared" si="144"/>
        <v>0</v>
      </c>
      <c r="L196" s="276">
        <f t="shared" si="144"/>
        <v>0</v>
      </c>
      <c r="M196" s="276">
        <f t="shared" si="144"/>
        <v>0</v>
      </c>
      <c r="N196" s="276">
        <f t="shared" si="144"/>
        <v>0</v>
      </c>
      <c r="O196" s="276">
        <f t="shared" si="144"/>
        <v>0</v>
      </c>
      <c r="P196" s="276">
        <f t="shared" si="144"/>
        <v>0.40089922325562016</v>
      </c>
      <c r="Q196" s="276">
        <f t="shared" si="144"/>
        <v>0</v>
      </c>
      <c r="R196" s="280"/>
      <c r="S196" s="280"/>
      <c r="T196" s="280"/>
      <c r="U196" s="280"/>
      <c r="V196" s="280"/>
      <c r="W196" s="280"/>
      <c r="X196" s="280"/>
      <c r="Y196" s="280"/>
    </row>
    <row r="197" spans="3:25" x14ac:dyDescent="0.25">
      <c r="C197" s="86"/>
      <c r="D197" s="295"/>
      <c r="F197" s="295" t="s">
        <v>47</v>
      </c>
      <c r="G197" s="295" t="s">
        <v>308</v>
      </c>
      <c r="J197" s="276">
        <f t="shared" si="144"/>
        <v>0</v>
      </c>
      <c r="K197" s="276">
        <f t="shared" si="144"/>
        <v>0</v>
      </c>
      <c r="L197" s="276">
        <f t="shared" si="144"/>
        <v>0</v>
      </c>
      <c r="M197" s="276">
        <f t="shared" si="144"/>
        <v>0</v>
      </c>
      <c r="N197" s="276">
        <f t="shared" si="144"/>
        <v>0</v>
      </c>
      <c r="O197" s="276">
        <f t="shared" si="144"/>
        <v>0</v>
      </c>
      <c r="P197" s="276">
        <f t="shared" si="144"/>
        <v>0.4042982159133825</v>
      </c>
      <c r="Q197" s="276">
        <f t="shared" si="144"/>
        <v>0</v>
      </c>
      <c r="R197" s="280"/>
      <c r="S197" s="280"/>
      <c r="T197" s="280"/>
      <c r="U197" s="280"/>
      <c r="V197" s="280"/>
      <c r="W197" s="280"/>
      <c r="X197" s="280"/>
      <c r="Y197" s="280"/>
    </row>
    <row r="198" spans="3:25" x14ac:dyDescent="0.25">
      <c r="C198" s="86"/>
      <c r="D198" s="295"/>
      <c r="F198" s="295" t="s">
        <v>51</v>
      </c>
      <c r="G198" s="295" t="s">
        <v>308</v>
      </c>
      <c r="J198" s="276">
        <f t="shared" si="144"/>
        <v>0</v>
      </c>
      <c r="K198" s="276">
        <f t="shared" si="144"/>
        <v>0</v>
      </c>
      <c r="L198" s="276">
        <f t="shared" si="144"/>
        <v>0</v>
      </c>
      <c r="M198" s="276">
        <f t="shared" si="144"/>
        <v>0</v>
      </c>
      <c r="N198" s="276">
        <f t="shared" si="144"/>
        <v>0</v>
      </c>
      <c r="O198" s="276">
        <f t="shared" si="144"/>
        <v>0</v>
      </c>
      <c r="P198" s="276">
        <f t="shared" si="144"/>
        <v>0</v>
      </c>
      <c r="Q198" s="276">
        <f t="shared" si="144"/>
        <v>0</v>
      </c>
      <c r="R198" s="280"/>
      <c r="S198" s="280"/>
      <c r="T198" s="280"/>
      <c r="U198" s="280"/>
      <c r="V198" s="280"/>
      <c r="W198" s="280"/>
      <c r="X198" s="280"/>
      <c r="Y198" s="280"/>
    </row>
    <row r="199" spans="3:25" x14ac:dyDescent="0.25">
      <c r="C199" s="86"/>
      <c r="D199" s="295"/>
      <c r="F199" s="295" t="s">
        <v>48</v>
      </c>
      <c r="G199" s="295" t="s">
        <v>308</v>
      </c>
      <c r="J199" s="276">
        <f t="shared" si="144"/>
        <v>0</v>
      </c>
      <c r="K199" s="276">
        <f t="shared" si="144"/>
        <v>0</v>
      </c>
      <c r="L199" s="276">
        <f t="shared" si="144"/>
        <v>0</v>
      </c>
      <c r="M199" s="276">
        <f t="shared" si="144"/>
        <v>0</v>
      </c>
      <c r="N199" s="276">
        <f t="shared" si="144"/>
        <v>0.46580735502015308</v>
      </c>
      <c r="O199" s="276">
        <f t="shared" si="144"/>
        <v>2.2201249834593622</v>
      </c>
      <c r="P199" s="276">
        <f t="shared" si="144"/>
        <v>0.85751686625097767</v>
      </c>
      <c r="Q199" s="276">
        <f t="shared" si="144"/>
        <v>0</v>
      </c>
      <c r="R199" s="280"/>
      <c r="S199" s="280"/>
      <c r="T199" s="280"/>
      <c r="U199" s="280"/>
      <c r="V199" s="280"/>
      <c r="W199" s="280"/>
      <c r="X199" s="280"/>
      <c r="Y199" s="280"/>
    </row>
    <row r="200" spans="3:25" x14ac:dyDescent="0.25">
      <c r="C200" s="86"/>
      <c r="D200" s="295"/>
      <c r="F200" s="295" t="s">
        <v>49</v>
      </c>
      <c r="G200" s="295" t="s">
        <v>308</v>
      </c>
      <c r="J200" s="276">
        <f t="shared" si="144"/>
        <v>0</v>
      </c>
      <c r="K200" s="276">
        <f t="shared" si="144"/>
        <v>0</v>
      </c>
      <c r="L200" s="276">
        <f t="shared" si="144"/>
        <v>0</v>
      </c>
      <c r="M200" s="276">
        <f t="shared" si="144"/>
        <v>0</v>
      </c>
      <c r="N200" s="276">
        <f t="shared" si="144"/>
        <v>0.39083589587163337</v>
      </c>
      <c r="O200" s="276">
        <f t="shared" si="144"/>
        <v>0.37255939714382313</v>
      </c>
      <c r="P200" s="276">
        <f t="shared" si="144"/>
        <v>0</v>
      </c>
      <c r="Q200" s="276">
        <f t="shared" si="144"/>
        <v>0</v>
      </c>
      <c r="R200" s="280"/>
      <c r="S200" s="280"/>
      <c r="T200" s="280"/>
      <c r="U200" s="280"/>
      <c r="V200" s="280"/>
      <c r="W200" s="280"/>
      <c r="X200" s="280"/>
      <c r="Y200" s="280"/>
    </row>
    <row r="201" spans="3:25" x14ac:dyDescent="0.25">
      <c r="C201" s="86"/>
      <c r="D201" s="295"/>
      <c r="F201" s="295" t="s">
        <v>50</v>
      </c>
      <c r="G201" s="295" t="s">
        <v>308</v>
      </c>
      <c r="J201" s="276">
        <f t="shared" si="144"/>
        <v>0</v>
      </c>
      <c r="K201" s="276">
        <f t="shared" si="144"/>
        <v>0</v>
      </c>
      <c r="L201" s="276">
        <f t="shared" si="144"/>
        <v>0</v>
      </c>
      <c r="M201" s="276">
        <f t="shared" si="144"/>
        <v>0</v>
      </c>
      <c r="N201" s="276">
        <f t="shared" si="144"/>
        <v>6.2918229299220738E-2</v>
      </c>
      <c r="O201" s="276">
        <f t="shared" si="144"/>
        <v>0</v>
      </c>
      <c r="P201" s="276">
        <f t="shared" si="144"/>
        <v>0</v>
      </c>
      <c r="Q201" s="276">
        <f t="shared" si="144"/>
        <v>0</v>
      </c>
      <c r="R201" s="280"/>
      <c r="S201" s="280"/>
      <c r="T201" s="280"/>
      <c r="U201" s="280"/>
      <c r="V201" s="280"/>
      <c r="W201" s="280"/>
      <c r="X201" s="280"/>
      <c r="Y201" s="280"/>
    </row>
    <row r="202" spans="3:25" x14ac:dyDescent="0.25">
      <c r="C202" s="86"/>
      <c r="D202" s="295"/>
      <c r="F202" s="295" t="s">
        <v>124</v>
      </c>
      <c r="G202" s="295" t="s">
        <v>308</v>
      </c>
      <c r="J202" s="280"/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</row>
    <row r="203" spans="3:25" x14ac:dyDescent="0.25">
      <c r="C203" s="86"/>
      <c r="D203" s="295"/>
      <c r="F203" s="93" t="s">
        <v>123</v>
      </c>
      <c r="G203" s="93" t="s">
        <v>308</v>
      </c>
      <c r="H203" s="93"/>
      <c r="I203" s="93"/>
      <c r="J203" s="241"/>
      <c r="K203" s="241"/>
      <c r="L203" s="241"/>
      <c r="M203" s="241"/>
      <c r="N203" s="241"/>
      <c r="O203" s="241"/>
      <c r="P203" s="241"/>
      <c r="Q203" s="241"/>
      <c r="R203" s="241"/>
      <c r="S203" s="241"/>
      <c r="T203" s="241"/>
      <c r="U203" s="241"/>
      <c r="V203" s="241"/>
      <c r="W203" s="241"/>
      <c r="X203" s="241"/>
      <c r="Y203" s="241"/>
    </row>
    <row r="204" spans="3:25" x14ac:dyDescent="0.25">
      <c r="C204" s="86"/>
      <c r="D204" s="295"/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  <c r="U204" s="253"/>
      <c r="V204" s="253"/>
      <c r="W204" s="253"/>
      <c r="X204" s="253"/>
      <c r="Y204" s="253"/>
    </row>
    <row r="205" spans="3:25" x14ac:dyDescent="0.25">
      <c r="C205" s="86"/>
      <c r="D205" s="295"/>
      <c r="E205" s="96" t="s">
        <v>116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  <c r="U205" s="253"/>
      <c r="V205" s="253"/>
      <c r="W205" s="253"/>
      <c r="X205" s="253"/>
      <c r="Y205" s="253"/>
    </row>
    <row r="206" spans="3:25" x14ac:dyDescent="0.25">
      <c r="C206" s="86"/>
      <c r="D206" s="295"/>
      <c r="F206" s="91" t="s">
        <v>324</v>
      </c>
      <c r="G206" s="91" t="s">
        <v>308</v>
      </c>
      <c r="H206" s="91"/>
      <c r="I206" s="91"/>
      <c r="J206" s="268">
        <f t="shared" ref="J206:Q215" si="145">J$121 * J146</f>
        <v>0</v>
      </c>
      <c r="K206" s="268">
        <f t="shared" si="145"/>
        <v>0</v>
      </c>
      <c r="L206" s="268">
        <f t="shared" si="145"/>
        <v>0</v>
      </c>
      <c r="M206" s="268">
        <f t="shared" si="145"/>
        <v>0</v>
      </c>
      <c r="N206" s="268">
        <f t="shared" si="145"/>
        <v>0</v>
      </c>
      <c r="O206" s="268">
        <f t="shared" si="145"/>
        <v>0</v>
      </c>
      <c r="P206" s="268">
        <f t="shared" si="145"/>
        <v>0</v>
      </c>
      <c r="Q206" s="268">
        <f t="shared" si="145"/>
        <v>0</v>
      </c>
      <c r="R206" s="239"/>
      <c r="S206" s="239"/>
      <c r="T206" s="239"/>
      <c r="U206" s="239"/>
      <c r="V206" s="239"/>
      <c r="W206" s="239"/>
      <c r="X206" s="239"/>
      <c r="Y206" s="239"/>
    </row>
    <row r="207" spans="3:25" x14ac:dyDescent="0.25">
      <c r="C207" s="86"/>
      <c r="D207" s="295"/>
      <c r="F207" s="295" t="s">
        <v>43</v>
      </c>
      <c r="G207" s="295" t="s">
        <v>308</v>
      </c>
      <c r="J207" s="276">
        <f t="shared" si="145"/>
        <v>0</v>
      </c>
      <c r="K207" s="276">
        <f t="shared" si="145"/>
        <v>0</v>
      </c>
      <c r="L207" s="276">
        <f t="shared" si="145"/>
        <v>0</v>
      </c>
      <c r="M207" s="276">
        <f t="shared" si="145"/>
        <v>0</v>
      </c>
      <c r="N207" s="276">
        <f t="shared" si="145"/>
        <v>0</v>
      </c>
      <c r="O207" s="276">
        <f t="shared" si="145"/>
        <v>0</v>
      </c>
      <c r="P207" s="276">
        <f t="shared" si="145"/>
        <v>0</v>
      </c>
      <c r="Q207" s="276">
        <f t="shared" si="145"/>
        <v>0</v>
      </c>
      <c r="R207" s="280"/>
      <c r="S207" s="280"/>
      <c r="T207" s="280"/>
      <c r="U207" s="280"/>
      <c r="V207" s="280"/>
      <c r="W207" s="280"/>
      <c r="X207" s="280"/>
      <c r="Y207" s="280"/>
    </row>
    <row r="208" spans="3:25" x14ac:dyDescent="0.25">
      <c r="C208" s="86"/>
      <c r="D208" s="295"/>
      <c r="F208" s="295" t="s">
        <v>44</v>
      </c>
      <c r="G208" s="295" t="s">
        <v>308</v>
      </c>
      <c r="J208" s="276">
        <f t="shared" si="145"/>
        <v>0</v>
      </c>
      <c r="K208" s="276">
        <f t="shared" si="145"/>
        <v>0</v>
      </c>
      <c r="L208" s="276">
        <f t="shared" si="145"/>
        <v>0</v>
      </c>
      <c r="M208" s="276">
        <f t="shared" si="145"/>
        <v>0</v>
      </c>
      <c r="N208" s="276">
        <f t="shared" si="145"/>
        <v>0</v>
      </c>
      <c r="O208" s="276">
        <f t="shared" si="145"/>
        <v>0</v>
      </c>
      <c r="P208" s="276">
        <f t="shared" si="145"/>
        <v>0</v>
      </c>
      <c r="Q208" s="276">
        <f t="shared" si="145"/>
        <v>0</v>
      </c>
      <c r="R208" s="280"/>
      <c r="S208" s="280"/>
      <c r="T208" s="280"/>
      <c r="U208" s="280"/>
      <c r="V208" s="280"/>
      <c r="W208" s="280"/>
      <c r="X208" s="280"/>
      <c r="Y208" s="280"/>
    </row>
    <row r="209" spans="3:27" x14ac:dyDescent="0.25">
      <c r="C209" s="86"/>
      <c r="D209" s="295"/>
      <c r="F209" s="295" t="s">
        <v>45</v>
      </c>
      <c r="G209" s="295" t="s">
        <v>308</v>
      </c>
      <c r="J209" s="276">
        <f t="shared" si="145"/>
        <v>0</v>
      </c>
      <c r="K209" s="276">
        <f t="shared" si="145"/>
        <v>0</v>
      </c>
      <c r="L209" s="276">
        <f t="shared" si="145"/>
        <v>0</v>
      </c>
      <c r="M209" s="276">
        <f t="shared" si="145"/>
        <v>0</v>
      </c>
      <c r="N209" s="276">
        <f t="shared" si="145"/>
        <v>0</v>
      </c>
      <c r="O209" s="276">
        <f t="shared" si="145"/>
        <v>0</v>
      </c>
      <c r="P209" s="276">
        <f t="shared" si="145"/>
        <v>0</v>
      </c>
      <c r="Q209" s="276">
        <f t="shared" si="145"/>
        <v>0</v>
      </c>
      <c r="R209" s="280"/>
      <c r="S209" s="280"/>
      <c r="T209" s="280"/>
      <c r="U209" s="280"/>
      <c r="V209" s="280"/>
      <c r="W209" s="280"/>
      <c r="X209" s="280"/>
      <c r="Y209" s="280"/>
    </row>
    <row r="210" spans="3:27" x14ac:dyDescent="0.25">
      <c r="C210" s="86"/>
      <c r="D210" s="295"/>
      <c r="F210" s="295" t="s">
        <v>46</v>
      </c>
      <c r="G210" s="295" t="s">
        <v>308</v>
      </c>
      <c r="J210" s="276">
        <f t="shared" si="145"/>
        <v>0</v>
      </c>
      <c r="K210" s="276">
        <f t="shared" si="145"/>
        <v>0</v>
      </c>
      <c r="L210" s="276">
        <f t="shared" si="145"/>
        <v>0</v>
      </c>
      <c r="M210" s="276">
        <f t="shared" si="145"/>
        <v>0</v>
      </c>
      <c r="N210" s="276">
        <f t="shared" si="145"/>
        <v>0</v>
      </c>
      <c r="O210" s="276">
        <f t="shared" si="145"/>
        <v>0</v>
      </c>
      <c r="P210" s="276">
        <f t="shared" si="145"/>
        <v>0.30071220292143852</v>
      </c>
      <c r="Q210" s="276">
        <f t="shared" si="145"/>
        <v>0</v>
      </c>
      <c r="R210" s="280"/>
      <c r="S210" s="280"/>
      <c r="T210" s="280"/>
      <c r="U210" s="280"/>
      <c r="V210" s="280"/>
      <c r="W210" s="280"/>
      <c r="X210" s="280"/>
      <c r="Y210" s="280"/>
    </row>
    <row r="211" spans="3:27" x14ac:dyDescent="0.25">
      <c r="C211" s="86"/>
      <c r="D211" s="295"/>
      <c r="F211" s="295" t="s">
        <v>47</v>
      </c>
      <c r="G211" s="295" t="s">
        <v>308</v>
      </c>
      <c r="J211" s="276">
        <f t="shared" si="145"/>
        <v>0</v>
      </c>
      <c r="K211" s="276">
        <f t="shared" si="145"/>
        <v>0</v>
      </c>
      <c r="L211" s="276">
        <f t="shared" si="145"/>
        <v>0</v>
      </c>
      <c r="M211" s="276">
        <f t="shared" si="145"/>
        <v>0</v>
      </c>
      <c r="N211" s="276">
        <f t="shared" si="145"/>
        <v>0</v>
      </c>
      <c r="O211" s="276">
        <f t="shared" si="145"/>
        <v>0</v>
      </c>
      <c r="P211" s="276">
        <f t="shared" si="145"/>
        <v>0.24972572378142111</v>
      </c>
      <c r="Q211" s="276">
        <f t="shared" si="145"/>
        <v>0</v>
      </c>
      <c r="R211" s="280"/>
      <c r="S211" s="280"/>
      <c r="T211" s="280"/>
      <c r="U211" s="280"/>
      <c r="V211" s="280"/>
      <c r="W211" s="280"/>
      <c r="X211" s="280"/>
      <c r="Y211" s="280"/>
    </row>
    <row r="212" spans="3:27" x14ac:dyDescent="0.25">
      <c r="C212" s="86"/>
      <c r="D212" s="295"/>
      <c r="F212" s="295" t="s">
        <v>51</v>
      </c>
      <c r="G212" s="295" t="s">
        <v>308</v>
      </c>
      <c r="J212" s="276">
        <f t="shared" si="145"/>
        <v>0</v>
      </c>
      <c r="K212" s="276">
        <f t="shared" si="145"/>
        <v>0</v>
      </c>
      <c r="L212" s="276">
        <f t="shared" si="145"/>
        <v>0</v>
      </c>
      <c r="M212" s="276">
        <f t="shared" si="145"/>
        <v>0</v>
      </c>
      <c r="N212" s="276">
        <f t="shared" si="145"/>
        <v>0</v>
      </c>
      <c r="O212" s="276">
        <f t="shared" si="145"/>
        <v>0</v>
      </c>
      <c r="P212" s="276">
        <f t="shared" si="145"/>
        <v>0</v>
      </c>
      <c r="Q212" s="276">
        <f t="shared" si="145"/>
        <v>0</v>
      </c>
      <c r="R212" s="280"/>
      <c r="S212" s="280"/>
      <c r="T212" s="280"/>
      <c r="U212" s="280"/>
      <c r="V212" s="280"/>
      <c r="W212" s="280"/>
      <c r="X212" s="280"/>
      <c r="Y212" s="280"/>
    </row>
    <row r="213" spans="3:27" x14ac:dyDescent="0.25">
      <c r="C213" s="86"/>
      <c r="D213" s="295"/>
      <c r="F213" s="295" t="s">
        <v>48</v>
      </c>
      <c r="G213" s="295" t="s">
        <v>308</v>
      </c>
      <c r="J213" s="276">
        <f t="shared" si="145"/>
        <v>0</v>
      </c>
      <c r="K213" s="276">
        <f t="shared" si="145"/>
        <v>0</v>
      </c>
      <c r="L213" s="276">
        <f t="shared" si="145"/>
        <v>0</v>
      </c>
      <c r="M213" s="276">
        <f t="shared" si="145"/>
        <v>0</v>
      </c>
      <c r="N213" s="276">
        <f t="shared" si="145"/>
        <v>0.36595583886452138</v>
      </c>
      <c r="O213" s="276">
        <f t="shared" si="145"/>
        <v>1.7442139801996071</v>
      </c>
      <c r="P213" s="276">
        <f t="shared" si="145"/>
        <v>1.7080133126860302</v>
      </c>
      <c r="Q213" s="276">
        <f t="shared" si="145"/>
        <v>0</v>
      </c>
      <c r="R213" s="280"/>
      <c r="S213" s="280"/>
      <c r="T213" s="280"/>
      <c r="U213" s="280"/>
      <c r="V213" s="280"/>
      <c r="W213" s="280"/>
      <c r="X213" s="280"/>
      <c r="Y213" s="280"/>
    </row>
    <row r="214" spans="3:27" x14ac:dyDescent="0.25">
      <c r="C214" s="86"/>
      <c r="D214" s="295"/>
      <c r="F214" s="295" t="s">
        <v>49</v>
      </c>
      <c r="G214" s="295" t="s">
        <v>308</v>
      </c>
      <c r="J214" s="276">
        <f t="shared" si="145"/>
        <v>0</v>
      </c>
      <c r="K214" s="276">
        <f t="shared" si="145"/>
        <v>0</v>
      </c>
      <c r="L214" s="276">
        <f t="shared" si="145"/>
        <v>0</v>
      </c>
      <c r="M214" s="276">
        <f t="shared" si="145"/>
        <v>0</v>
      </c>
      <c r="N214" s="276">
        <f t="shared" si="145"/>
        <v>0.71566804497326142</v>
      </c>
      <c r="O214" s="276">
        <f t="shared" si="145"/>
        <v>0.68220155366156221</v>
      </c>
      <c r="P214" s="276">
        <f t="shared" si="145"/>
        <v>0</v>
      </c>
      <c r="Q214" s="276">
        <f t="shared" si="145"/>
        <v>0</v>
      </c>
      <c r="R214" s="280"/>
      <c r="S214" s="280"/>
      <c r="T214" s="280"/>
      <c r="U214" s="280"/>
      <c r="V214" s="280"/>
      <c r="W214" s="280"/>
      <c r="X214" s="280"/>
      <c r="Y214" s="280"/>
    </row>
    <row r="215" spans="3:27" x14ac:dyDescent="0.25">
      <c r="C215" s="86"/>
      <c r="D215" s="295"/>
      <c r="F215" s="295" t="s">
        <v>50</v>
      </c>
      <c r="G215" s="295" t="s">
        <v>308</v>
      </c>
      <c r="J215" s="276">
        <f t="shared" si="145"/>
        <v>0</v>
      </c>
      <c r="K215" s="276">
        <f t="shared" si="145"/>
        <v>0</v>
      </c>
      <c r="L215" s="276">
        <f t="shared" si="145"/>
        <v>0</v>
      </c>
      <c r="M215" s="276">
        <f t="shared" si="145"/>
        <v>0</v>
      </c>
      <c r="N215" s="276">
        <f t="shared" si="145"/>
        <v>0.48223685227012819</v>
      </c>
      <c r="O215" s="276">
        <f t="shared" si="145"/>
        <v>0</v>
      </c>
      <c r="P215" s="276">
        <f t="shared" si="145"/>
        <v>0</v>
      </c>
      <c r="Q215" s="276">
        <f t="shared" si="145"/>
        <v>0</v>
      </c>
      <c r="R215" s="280"/>
      <c r="S215" s="280"/>
      <c r="T215" s="280"/>
      <c r="U215" s="280"/>
      <c r="V215" s="280"/>
      <c r="W215" s="280"/>
      <c r="X215" s="280"/>
      <c r="Y215" s="280"/>
    </row>
    <row r="216" spans="3:27" x14ac:dyDescent="0.25">
      <c r="C216" s="86"/>
      <c r="D216" s="295"/>
      <c r="F216" s="295" t="s">
        <v>124</v>
      </c>
      <c r="G216" s="295" t="s">
        <v>308</v>
      </c>
      <c r="J216" s="280"/>
      <c r="K216" s="280"/>
      <c r="L216" s="280"/>
      <c r="M216" s="280"/>
      <c r="N216" s="280"/>
      <c r="O216" s="280"/>
      <c r="P216" s="280"/>
      <c r="Q216" s="280"/>
      <c r="R216" s="280"/>
      <c r="S216" s="280"/>
      <c r="T216" s="280"/>
      <c r="U216" s="280"/>
      <c r="V216" s="280"/>
      <c r="W216" s="280"/>
      <c r="X216" s="280"/>
      <c r="Y216" s="280"/>
    </row>
    <row r="217" spans="3:27" x14ac:dyDescent="0.25">
      <c r="C217" s="86"/>
      <c r="D217" s="295"/>
      <c r="F217" s="93" t="s">
        <v>123</v>
      </c>
      <c r="G217" s="93" t="s">
        <v>308</v>
      </c>
      <c r="H217" s="93"/>
      <c r="I217" s="93"/>
      <c r="J217" s="241"/>
      <c r="K217" s="241"/>
      <c r="L217" s="241"/>
      <c r="M217" s="241"/>
      <c r="N217" s="241"/>
      <c r="O217" s="241"/>
      <c r="P217" s="241"/>
      <c r="Q217" s="241"/>
      <c r="R217" s="241"/>
      <c r="S217" s="241"/>
      <c r="T217" s="241"/>
      <c r="U217" s="241"/>
      <c r="V217" s="241"/>
      <c r="W217" s="241"/>
      <c r="X217" s="241"/>
      <c r="Y217" s="241"/>
    </row>
    <row r="218" spans="3:27" x14ac:dyDescent="0.25">
      <c r="C218" s="86"/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  <c r="U218" s="253"/>
      <c r="V218" s="253"/>
      <c r="W218" s="253"/>
      <c r="X218" s="253"/>
      <c r="Y218" s="253"/>
    </row>
    <row r="219" spans="3:27" x14ac:dyDescent="0.25">
      <c r="C219" s="7" t="str">
        <f ca="1">INDEX('Version control'!$H$34:$H$58,MATCH($A$1,'Version control'!$F$34:$F$58,0),1)&amp;"-E: Exceeded capacity charges for eligible customers, by network level"</f>
        <v>Section 516-E: Exceeded capacity charges for eligible customers, by network level</v>
      </c>
      <c r="D219" s="7"/>
      <c r="E219" s="7"/>
      <c r="F219" s="7"/>
      <c r="G219" s="7"/>
      <c r="H219" s="7"/>
      <c r="I219" s="7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7"/>
      <c r="AA219" s="7"/>
    </row>
    <row r="220" spans="3:27" x14ac:dyDescent="0.25">
      <c r="D220" s="96"/>
      <c r="E220" s="96"/>
      <c r="I220" s="295" t="s">
        <v>431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  <c r="U220" s="253"/>
      <c r="V220" s="253"/>
      <c r="W220" s="253"/>
      <c r="X220" s="253"/>
      <c r="Y220" s="253"/>
      <c r="AA220" s="295" t="s">
        <v>932</v>
      </c>
    </row>
    <row r="221" spans="3:27" x14ac:dyDescent="0.25">
      <c r="C221" s="86"/>
      <c r="D221" s="295"/>
      <c r="E221" s="96" t="s">
        <v>139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  <c r="U221" s="253"/>
      <c r="V221" s="253"/>
      <c r="W221" s="253"/>
      <c r="X221" s="253"/>
      <c r="Y221" s="253"/>
    </row>
    <row r="222" spans="3:27" x14ac:dyDescent="0.25">
      <c r="C222" s="86"/>
      <c r="D222" s="295"/>
      <c r="F222" s="91" t="s">
        <v>324</v>
      </c>
      <c r="G222" s="91" t="s">
        <v>308</v>
      </c>
      <c r="H222" s="91"/>
      <c r="I222" s="91"/>
      <c r="J222" s="239"/>
      <c r="K222" s="239"/>
      <c r="L222" s="239"/>
      <c r="M222" s="239"/>
      <c r="N222" s="239"/>
      <c r="O222" s="239"/>
      <c r="P222" s="239"/>
      <c r="Q222" s="239"/>
      <c r="R222" s="239"/>
      <c r="S222" s="239"/>
      <c r="T222" s="239"/>
      <c r="U222" s="239"/>
      <c r="V222" s="239"/>
      <c r="W222" s="239"/>
      <c r="X222" s="239"/>
      <c r="Y222" s="239"/>
    </row>
    <row r="223" spans="3:27" x14ac:dyDescent="0.25">
      <c r="C223" s="86"/>
      <c r="D223" s="295"/>
      <c r="F223" s="295" t="s">
        <v>43</v>
      </c>
      <c r="G223" s="295" t="s">
        <v>308</v>
      </c>
      <c r="J223" s="280"/>
      <c r="K223" s="280"/>
      <c r="L223" s="280"/>
      <c r="M223" s="280"/>
      <c r="N223" s="280"/>
      <c r="O223" s="280"/>
      <c r="P223" s="280"/>
      <c r="Q223" s="280"/>
      <c r="R223" s="280"/>
      <c r="S223" s="280"/>
      <c r="T223" s="280"/>
      <c r="U223" s="280"/>
      <c r="V223" s="280"/>
      <c r="W223" s="280"/>
      <c r="X223" s="280"/>
      <c r="Y223" s="280"/>
    </row>
    <row r="224" spans="3:27" x14ac:dyDescent="0.25">
      <c r="C224" s="86"/>
      <c r="D224" s="295"/>
      <c r="F224" s="295" t="s">
        <v>44</v>
      </c>
      <c r="G224" s="295" t="s">
        <v>308</v>
      </c>
      <c r="J224" s="276">
        <f t="shared" ref="J224:Q231" si="146">J$122 * J164</f>
        <v>0</v>
      </c>
      <c r="K224" s="276">
        <f t="shared" si="146"/>
        <v>0</v>
      </c>
      <c r="L224" s="276">
        <f t="shared" si="146"/>
        <v>0</v>
      </c>
      <c r="M224" s="276">
        <f t="shared" si="146"/>
        <v>0</v>
      </c>
      <c r="N224" s="276">
        <f t="shared" si="146"/>
        <v>0</v>
      </c>
      <c r="O224" s="276">
        <f t="shared" si="146"/>
        <v>0</v>
      </c>
      <c r="P224" s="276">
        <f t="shared" si="146"/>
        <v>0</v>
      </c>
      <c r="Q224" s="276">
        <f t="shared" si="146"/>
        <v>0</v>
      </c>
      <c r="R224" s="280"/>
      <c r="S224" s="280"/>
      <c r="T224" s="280"/>
      <c r="U224" s="280"/>
      <c r="V224" s="280"/>
      <c r="W224" s="280"/>
      <c r="X224" s="280"/>
      <c r="Y224" s="280"/>
    </row>
    <row r="225" spans="3:25" x14ac:dyDescent="0.25">
      <c r="C225" s="86"/>
      <c r="D225" s="295"/>
      <c r="F225" s="295" t="s">
        <v>45</v>
      </c>
      <c r="G225" s="295" t="s">
        <v>308</v>
      </c>
      <c r="J225" s="276">
        <f t="shared" si="146"/>
        <v>0</v>
      </c>
      <c r="K225" s="276">
        <f t="shared" si="146"/>
        <v>0</v>
      </c>
      <c r="L225" s="276">
        <f t="shared" si="146"/>
        <v>0</v>
      </c>
      <c r="M225" s="276">
        <f t="shared" si="146"/>
        <v>0</v>
      </c>
      <c r="N225" s="276">
        <f t="shared" si="146"/>
        <v>0</v>
      </c>
      <c r="O225" s="276">
        <f t="shared" si="146"/>
        <v>0</v>
      </c>
      <c r="P225" s="276">
        <f t="shared" si="146"/>
        <v>0</v>
      </c>
      <c r="Q225" s="276">
        <f t="shared" si="146"/>
        <v>0</v>
      </c>
      <c r="R225" s="280"/>
      <c r="S225" s="280"/>
      <c r="T225" s="280"/>
      <c r="U225" s="280"/>
      <c r="V225" s="280"/>
      <c r="W225" s="280"/>
      <c r="X225" s="280"/>
      <c r="Y225" s="280"/>
    </row>
    <row r="226" spans="3:25" x14ac:dyDescent="0.25">
      <c r="C226" s="86"/>
      <c r="D226" s="295"/>
      <c r="F226" s="295" t="s">
        <v>46</v>
      </c>
      <c r="G226" s="295" t="s">
        <v>308</v>
      </c>
      <c r="J226" s="276">
        <f t="shared" si="146"/>
        <v>0</v>
      </c>
      <c r="K226" s="276">
        <f t="shared" si="146"/>
        <v>0</v>
      </c>
      <c r="L226" s="276">
        <f t="shared" si="146"/>
        <v>0</v>
      </c>
      <c r="M226" s="276">
        <f t="shared" si="146"/>
        <v>0</v>
      </c>
      <c r="N226" s="276">
        <f t="shared" si="146"/>
        <v>0</v>
      </c>
      <c r="O226" s="276">
        <f t="shared" si="146"/>
        <v>0</v>
      </c>
      <c r="P226" s="276">
        <f t="shared" si="146"/>
        <v>0.56819215183510363</v>
      </c>
      <c r="Q226" s="276">
        <f t="shared" si="146"/>
        <v>0</v>
      </c>
      <c r="R226" s="280"/>
      <c r="S226" s="280"/>
      <c r="T226" s="280"/>
      <c r="U226" s="280"/>
      <c r="V226" s="280"/>
      <c r="W226" s="280"/>
      <c r="X226" s="280"/>
      <c r="Y226" s="280"/>
    </row>
    <row r="227" spans="3:25" x14ac:dyDescent="0.25">
      <c r="C227" s="86"/>
      <c r="D227" s="295"/>
      <c r="F227" s="295" t="s">
        <v>47</v>
      </c>
      <c r="G227" s="295" t="s">
        <v>308</v>
      </c>
      <c r="J227" s="276">
        <f t="shared" si="146"/>
        <v>0</v>
      </c>
      <c r="K227" s="276">
        <f t="shared" si="146"/>
        <v>0</v>
      </c>
      <c r="L227" s="276">
        <f t="shared" si="146"/>
        <v>0</v>
      </c>
      <c r="M227" s="276">
        <f t="shared" si="146"/>
        <v>0</v>
      </c>
      <c r="N227" s="276">
        <f t="shared" si="146"/>
        <v>0</v>
      </c>
      <c r="O227" s="276">
        <f t="shared" si="146"/>
        <v>0</v>
      </c>
      <c r="P227" s="276">
        <f t="shared" si="146"/>
        <v>0.47185380235804381</v>
      </c>
      <c r="Q227" s="276">
        <f t="shared" si="146"/>
        <v>0</v>
      </c>
      <c r="R227" s="280"/>
      <c r="S227" s="280"/>
      <c r="T227" s="280"/>
      <c r="U227" s="280"/>
      <c r="V227" s="280"/>
      <c r="W227" s="280"/>
      <c r="X227" s="280"/>
      <c r="Y227" s="280"/>
    </row>
    <row r="228" spans="3:25" x14ac:dyDescent="0.25">
      <c r="C228" s="86"/>
      <c r="D228" s="295"/>
      <c r="F228" s="295" t="s">
        <v>51</v>
      </c>
      <c r="G228" s="295" t="s">
        <v>308</v>
      </c>
      <c r="J228" s="276">
        <f t="shared" si="146"/>
        <v>0</v>
      </c>
      <c r="K228" s="276">
        <f t="shared" si="146"/>
        <v>0</v>
      </c>
      <c r="L228" s="276">
        <f t="shared" si="146"/>
        <v>0</v>
      </c>
      <c r="M228" s="276">
        <f t="shared" si="146"/>
        <v>0</v>
      </c>
      <c r="N228" s="276">
        <f t="shared" si="146"/>
        <v>0</v>
      </c>
      <c r="O228" s="276">
        <f t="shared" si="146"/>
        <v>0</v>
      </c>
      <c r="P228" s="276">
        <f t="shared" si="146"/>
        <v>0</v>
      </c>
      <c r="Q228" s="276">
        <f t="shared" si="146"/>
        <v>0</v>
      </c>
      <c r="R228" s="280"/>
      <c r="S228" s="280"/>
      <c r="T228" s="280"/>
      <c r="U228" s="280"/>
      <c r="V228" s="280"/>
      <c r="W228" s="280"/>
      <c r="X228" s="280"/>
      <c r="Y228" s="280"/>
    </row>
    <row r="229" spans="3:25" x14ac:dyDescent="0.25">
      <c r="C229" s="86"/>
      <c r="D229" s="295"/>
      <c r="F229" s="295" t="s">
        <v>48</v>
      </c>
      <c r="G229" s="295" t="s">
        <v>308</v>
      </c>
      <c r="J229" s="276">
        <f t="shared" si="146"/>
        <v>0</v>
      </c>
      <c r="K229" s="276">
        <f t="shared" si="146"/>
        <v>0</v>
      </c>
      <c r="L229" s="276">
        <f t="shared" si="146"/>
        <v>0</v>
      </c>
      <c r="M229" s="276">
        <f t="shared" si="146"/>
        <v>0</v>
      </c>
      <c r="N229" s="276">
        <f t="shared" si="146"/>
        <v>0.6914692305166471</v>
      </c>
      <c r="O229" s="276">
        <f t="shared" si="146"/>
        <v>3.2956716922106373</v>
      </c>
      <c r="P229" s="276">
        <f t="shared" si="146"/>
        <v>3.2272709589760771</v>
      </c>
      <c r="Q229" s="276">
        <f t="shared" si="146"/>
        <v>0</v>
      </c>
      <c r="R229" s="280"/>
      <c r="S229" s="280"/>
      <c r="T229" s="280"/>
      <c r="U229" s="280"/>
      <c r="V229" s="280"/>
      <c r="W229" s="280"/>
      <c r="X229" s="280"/>
      <c r="Y229" s="280"/>
    </row>
    <row r="230" spans="3:25" x14ac:dyDescent="0.25">
      <c r="C230" s="86"/>
      <c r="D230" s="295"/>
      <c r="F230" s="295" t="s">
        <v>49</v>
      </c>
      <c r="G230" s="295" t="s">
        <v>308</v>
      </c>
      <c r="J230" s="276">
        <f t="shared" si="146"/>
        <v>0</v>
      </c>
      <c r="K230" s="276">
        <f t="shared" si="146"/>
        <v>0</v>
      </c>
      <c r="L230" s="276">
        <f t="shared" si="146"/>
        <v>0</v>
      </c>
      <c r="M230" s="276">
        <f t="shared" si="146"/>
        <v>0</v>
      </c>
      <c r="N230" s="276">
        <f t="shared" si="146"/>
        <v>1.3522463090040071</v>
      </c>
      <c r="O230" s="276">
        <f t="shared" si="146"/>
        <v>1.289011769374323</v>
      </c>
      <c r="P230" s="276">
        <f t="shared" si="146"/>
        <v>0</v>
      </c>
      <c r="Q230" s="276">
        <f t="shared" si="146"/>
        <v>0</v>
      </c>
      <c r="R230" s="280"/>
      <c r="S230" s="280"/>
      <c r="T230" s="280"/>
      <c r="U230" s="280"/>
      <c r="V230" s="280"/>
      <c r="W230" s="280"/>
      <c r="X230" s="280"/>
      <c r="Y230" s="280"/>
    </row>
    <row r="231" spans="3:25" x14ac:dyDescent="0.25">
      <c r="C231" s="86"/>
      <c r="D231" s="295"/>
      <c r="F231" s="295" t="s">
        <v>50</v>
      </c>
      <c r="G231" s="295" t="s">
        <v>308</v>
      </c>
      <c r="J231" s="276">
        <f t="shared" si="146"/>
        <v>0</v>
      </c>
      <c r="K231" s="276">
        <f t="shared" si="146"/>
        <v>0</v>
      </c>
      <c r="L231" s="276">
        <f t="shared" si="146"/>
        <v>0</v>
      </c>
      <c r="M231" s="276">
        <f t="shared" si="146"/>
        <v>0</v>
      </c>
      <c r="N231" s="276">
        <f t="shared" si="146"/>
        <v>0.9111808304538106</v>
      </c>
      <c r="O231" s="276">
        <f t="shared" si="146"/>
        <v>0</v>
      </c>
      <c r="P231" s="276">
        <f t="shared" si="146"/>
        <v>0</v>
      </c>
      <c r="Q231" s="276">
        <f t="shared" si="146"/>
        <v>0</v>
      </c>
      <c r="R231" s="280"/>
      <c r="S231" s="280"/>
      <c r="T231" s="280"/>
      <c r="U231" s="280"/>
      <c r="V231" s="280"/>
      <c r="W231" s="280"/>
      <c r="X231" s="280"/>
      <c r="Y231" s="280"/>
    </row>
    <row r="232" spans="3:25" x14ac:dyDescent="0.25">
      <c r="C232" s="86"/>
      <c r="D232" s="295"/>
      <c r="F232" s="295" t="s">
        <v>124</v>
      </c>
      <c r="G232" s="295" t="s">
        <v>308</v>
      </c>
      <c r="J232" s="280"/>
      <c r="K232" s="280"/>
      <c r="L232" s="280"/>
      <c r="M232" s="280"/>
      <c r="N232" s="280"/>
      <c r="O232" s="280"/>
      <c r="P232" s="280"/>
      <c r="Q232" s="280"/>
      <c r="R232" s="280"/>
      <c r="S232" s="280"/>
      <c r="T232" s="280"/>
      <c r="U232" s="280"/>
      <c r="V232" s="280"/>
      <c r="W232" s="280"/>
      <c r="X232" s="280"/>
      <c r="Y232" s="280"/>
    </row>
    <row r="233" spans="3:25" x14ac:dyDescent="0.25">
      <c r="C233" s="86"/>
      <c r="D233" s="295"/>
      <c r="F233" s="93" t="s">
        <v>123</v>
      </c>
      <c r="G233" s="93" t="s">
        <v>308</v>
      </c>
      <c r="H233" s="93"/>
      <c r="I233" s="93"/>
      <c r="J233" s="241"/>
      <c r="K233" s="241"/>
      <c r="L233" s="241"/>
      <c r="M233" s="241"/>
      <c r="N233" s="241"/>
      <c r="O233" s="241"/>
      <c r="P233" s="241"/>
      <c r="Q233" s="241"/>
      <c r="R233" s="241"/>
      <c r="S233" s="241"/>
      <c r="T233" s="241"/>
      <c r="U233" s="241"/>
      <c r="V233" s="241"/>
      <c r="W233" s="241"/>
      <c r="X233" s="241"/>
      <c r="Y233" s="241"/>
    </row>
    <row r="234" spans="3:25" x14ac:dyDescent="0.25">
      <c r="C234" s="86"/>
      <c r="D234" s="295"/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  <c r="U234" s="253"/>
      <c r="V234" s="253"/>
      <c r="W234" s="253"/>
      <c r="X234" s="253"/>
      <c r="Y234" s="253"/>
    </row>
    <row r="235" spans="3:25" x14ac:dyDescent="0.25">
      <c r="C235" s="86"/>
      <c r="D235" s="295"/>
      <c r="E235" s="96" t="s">
        <v>116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  <c r="U235" s="253"/>
      <c r="V235" s="253"/>
      <c r="W235" s="253"/>
      <c r="X235" s="253"/>
      <c r="Y235" s="253"/>
    </row>
    <row r="236" spans="3:25" x14ac:dyDescent="0.25">
      <c r="C236" s="86"/>
      <c r="D236" s="295"/>
      <c r="F236" s="91" t="s">
        <v>324</v>
      </c>
      <c r="G236" s="91" t="s">
        <v>308</v>
      </c>
      <c r="H236" s="91"/>
      <c r="I236" s="91"/>
      <c r="J236" s="268">
        <f t="shared" ref="J236:Q245" si="147">J$122 * J176</f>
        <v>0</v>
      </c>
      <c r="K236" s="268">
        <f t="shared" si="147"/>
        <v>0</v>
      </c>
      <c r="L236" s="268">
        <f t="shared" si="147"/>
        <v>0</v>
      </c>
      <c r="M236" s="268">
        <f t="shared" si="147"/>
        <v>0</v>
      </c>
      <c r="N236" s="268">
        <f t="shared" si="147"/>
        <v>0</v>
      </c>
      <c r="O236" s="268">
        <f t="shared" si="147"/>
        <v>0</v>
      </c>
      <c r="P236" s="268">
        <f t="shared" si="147"/>
        <v>0</v>
      </c>
      <c r="Q236" s="268">
        <f t="shared" si="147"/>
        <v>0</v>
      </c>
      <c r="R236" s="239"/>
      <c r="S236" s="239"/>
      <c r="T236" s="239"/>
      <c r="U236" s="239"/>
      <c r="V236" s="239"/>
      <c r="W236" s="239"/>
      <c r="X236" s="239"/>
      <c r="Y236" s="239"/>
    </row>
    <row r="237" spans="3:25" x14ac:dyDescent="0.25">
      <c r="C237" s="86"/>
      <c r="D237" s="295"/>
      <c r="F237" s="295" t="s">
        <v>43</v>
      </c>
      <c r="G237" s="295" t="s">
        <v>308</v>
      </c>
      <c r="J237" s="276">
        <f t="shared" si="147"/>
        <v>0</v>
      </c>
      <c r="K237" s="276">
        <f t="shared" si="147"/>
        <v>0</v>
      </c>
      <c r="L237" s="276">
        <f t="shared" si="147"/>
        <v>0</v>
      </c>
      <c r="M237" s="276">
        <f t="shared" si="147"/>
        <v>0</v>
      </c>
      <c r="N237" s="276">
        <f t="shared" si="147"/>
        <v>0</v>
      </c>
      <c r="O237" s="276">
        <f t="shared" si="147"/>
        <v>0</v>
      </c>
      <c r="P237" s="276">
        <f t="shared" si="147"/>
        <v>0</v>
      </c>
      <c r="Q237" s="276">
        <f t="shared" si="147"/>
        <v>0</v>
      </c>
      <c r="R237" s="280"/>
      <c r="S237" s="280"/>
      <c r="T237" s="280"/>
      <c r="U237" s="280"/>
      <c r="V237" s="280"/>
      <c r="W237" s="280"/>
      <c r="X237" s="280"/>
      <c r="Y237" s="280"/>
    </row>
    <row r="238" spans="3:25" x14ac:dyDescent="0.25">
      <c r="C238" s="86"/>
      <c r="D238" s="295"/>
      <c r="F238" s="295" t="s">
        <v>44</v>
      </c>
      <c r="G238" s="295" t="s">
        <v>308</v>
      </c>
      <c r="J238" s="276">
        <f t="shared" si="147"/>
        <v>0</v>
      </c>
      <c r="K238" s="276">
        <f t="shared" si="147"/>
        <v>0</v>
      </c>
      <c r="L238" s="276">
        <f t="shared" si="147"/>
        <v>0</v>
      </c>
      <c r="M238" s="276">
        <f t="shared" si="147"/>
        <v>0</v>
      </c>
      <c r="N238" s="276">
        <f t="shared" si="147"/>
        <v>0</v>
      </c>
      <c r="O238" s="276">
        <f t="shared" si="147"/>
        <v>0</v>
      </c>
      <c r="P238" s="276">
        <f t="shared" si="147"/>
        <v>0</v>
      </c>
      <c r="Q238" s="276">
        <f t="shared" si="147"/>
        <v>0</v>
      </c>
      <c r="R238" s="280"/>
      <c r="S238" s="280"/>
      <c r="T238" s="280"/>
      <c r="U238" s="280"/>
      <c r="V238" s="280"/>
      <c r="W238" s="280"/>
      <c r="X238" s="280"/>
      <c r="Y238" s="280"/>
    </row>
    <row r="239" spans="3:25" x14ac:dyDescent="0.25">
      <c r="C239" s="86"/>
      <c r="D239" s="295"/>
      <c r="F239" s="295" t="s">
        <v>45</v>
      </c>
      <c r="G239" s="295" t="s">
        <v>308</v>
      </c>
      <c r="J239" s="276">
        <f t="shared" si="147"/>
        <v>0</v>
      </c>
      <c r="K239" s="276">
        <f t="shared" si="147"/>
        <v>0</v>
      </c>
      <c r="L239" s="276">
        <f t="shared" si="147"/>
        <v>0</v>
      </c>
      <c r="M239" s="276">
        <f t="shared" si="147"/>
        <v>0</v>
      </c>
      <c r="N239" s="276">
        <f t="shared" si="147"/>
        <v>0</v>
      </c>
      <c r="O239" s="276">
        <f t="shared" si="147"/>
        <v>0</v>
      </c>
      <c r="P239" s="276">
        <f t="shared" si="147"/>
        <v>0</v>
      </c>
      <c r="Q239" s="276">
        <f t="shared" si="147"/>
        <v>0</v>
      </c>
      <c r="R239" s="280"/>
      <c r="S239" s="280"/>
      <c r="T239" s="280"/>
      <c r="U239" s="280"/>
      <c r="V239" s="280"/>
      <c r="W239" s="280"/>
      <c r="X239" s="280"/>
      <c r="Y239" s="280"/>
    </row>
    <row r="240" spans="3:25" x14ac:dyDescent="0.25">
      <c r="C240" s="86"/>
      <c r="D240" s="295"/>
      <c r="F240" s="295" t="s">
        <v>46</v>
      </c>
      <c r="G240" s="295" t="s">
        <v>308</v>
      </c>
      <c r="J240" s="276">
        <f t="shared" si="147"/>
        <v>0</v>
      </c>
      <c r="K240" s="276">
        <f t="shared" si="147"/>
        <v>0</v>
      </c>
      <c r="L240" s="276">
        <f t="shared" si="147"/>
        <v>0</v>
      </c>
      <c r="M240" s="276">
        <f t="shared" si="147"/>
        <v>0</v>
      </c>
      <c r="N240" s="276">
        <f t="shared" si="147"/>
        <v>0</v>
      </c>
      <c r="O240" s="276">
        <f t="shared" si="147"/>
        <v>0</v>
      </c>
      <c r="P240" s="276">
        <f t="shared" si="147"/>
        <v>0.30071220292143852</v>
      </c>
      <c r="Q240" s="276">
        <f t="shared" si="147"/>
        <v>0</v>
      </c>
      <c r="R240" s="280"/>
      <c r="S240" s="280"/>
      <c r="T240" s="280"/>
      <c r="U240" s="280"/>
      <c r="V240" s="280"/>
      <c r="W240" s="280"/>
      <c r="X240" s="280"/>
      <c r="Y240" s="280"/>
    </row>
    <row r="241" spans="2:27" x14ac:dyDescent="0.25">
      <c r="C241" s="86"/>
      <c r="D241" s="295"/>
      <c r="F241" s="295" t="s">
        <v>47</v>
      </c>
      <c r="G241" s="295" t="s">
        <v>308</v>
      </c>
      <c r="J241" s="276">
        <f t="shared" si="147"/>
        <v>0</v>
      </c>
      <c r="K241" s="276">
        <f t="shared" si="147"/>
        <v>0</v>
      </c>
      <c r="L241" s="276">
        <f t="shared" si="147"/>
        <v>0</v>
      </c>
      <c r="M241" s="276">
        <f t="shared" si="147"/>
        <v>0</v>
      </c>
      <c r="N241" s="276">
        <f t="shared" si="147"/>
        <v>0</v>
      </c>
      <c r="O241" s="276">
        <f t="shared" si="147"/>
        <v>0</v>
      </c>
      <c r="P241" s="276">
        <f t="shared" si="147"/>
        <v>0.24972572378142111</v>
      </c>
      <c r="Q241" s="276">
        <f t="shared" si="147"/>
        <v>0</v>
      </c>
      <c r="R241" s="280"/>
      <c r="S241" s="280"/>
      <c r="T241" s="280"/>
      <c r="U241" s="280"/>
      <c r="V241" s="280"/>
      <c r="W241" s="280"/>
      <c r="X241" s="280"/>
      <c r="Y241" s="280"/>
    </row>
    <row r="242" spans="2:27" x14ac:dyDescent="0.25">
      <c r="C242" s="86"/>
      <c r="D242" s="295"/>
      <c r="F242" s="295" t="s">
        <v>51</v>
      </c>
      <c r="G242" s="295" t="s">
        <v>308</v>
      </c>
      <c r="J242" s="276">
        <f t="shared" si="147"/>
        <v>0</v>
      </c>
      <c r="K242" s="276">
        <f t="shared" si="147"/>
        <v>0</v>
      </c>
      <c r="L242" s="276">
        <f t="shared" si="147"/>
        <v>0</v>
      </c>
      <c r="M242" s="276">
        <f t="shared" si="147"/>
        <v>0</v>
      </c>
      <c r="N242" s="276">
        <f t="shared" si="147"/>
        <v>0</v>
      </c>
      <c r="O242" s="276">
        <f t="shared" si="147"/>
        <v>0</v>
      </c>
      <c r="P242" s="276">
        <f t="shared" si="147"/>
        <v>0</v>
      </c>
      <c r="Q242" s="276">
        <f t="shared" si="147"/>
        <v>0</v>
      </c>
      <c r="R242" s="280"/>
      <c r="S242" s="280"/>
      <c r="T242" s="280"/>
      <c r="U242" s="280"/>
      <c r="V242" s="280"/>
      <c r="W242" s="280"/>
      <c r="X242" s="280"/>
      <c r="Y242" s="280"/>
    </row>
    <row r="243" spans="2:27" x14ac:dyDescent="0.25">
      <c r="C243" s="86"/>
      <c r="D243" s="295"/>
      <c r="F243" s="295" t="s">
        <v>48</v>
      </c>
      <c r="G243" s="295" t="s">
        <v>308</v>
      </c>
      <c r="J243" s="276">
        <f t="shared" si="147"/>
        <v>0</v>
      </c>
      <c r="K243" s="276">
        <f t="shared" si="147"/>
        <v>0</v>
      </c>
      <c r="L243" s="276">
        <f t="shared" si="147"/>
        <v>0</v>
      </c>
      <c r="M243" s="276">
        <f t="shared" si="147"/>
        <v>0</v>
      </c>
      <c r="N243" s="276">
        <f t="shared" si="147"/>
        <v>0.36595583886452138</v>
      </c>
      <c r="O243" s="276">
        <f t="shared" si="147"/>
        <v>1.7442139801996071</v>
      </c>
      <c r="P243" s="276">
        <f t="shared" si="147"/>
        <v>1.7080133126860302</v>
      </c>
      <c r="Q243" s="276">
        <f t="shared" si="147"/>
        <v>0</v>
      </c>
      <c r="R243" s="280"/>
      <c r="S243" s="280"/>
      <c r="T243" s="280"/>
      <c r="U243" s="280"/>
      <c r="V243" s="280"/>
      <c r="W243" s="280"/>
      <c r="X243" s="280"/>
      <c r="Y243" s="280"/>
    </row>
    <row r="244" spans="2:27" x14ac:dyDescent="0.25">
      <c r="C244" s="86"/>
      <c r="D244" s="295"/>
      <c r="F244" s="295" t="s">
        <v>49</v>
      </c>
      <c r="G244" s="295" t="s">
        <v>308</v>
      </c>
      <c r="J244" s="276">
        <f t="shared" si="147"/>
        <v>0</v>
      </c>
      <c r="K244" s="276">
        <f t="shared" si="147"/>
        <v>0</v>
      </c>
      <c r="L244" s="276">
        <f t="shared" si="147"/>
        <v>0</v>
      </c>
      <c r="M244" s="276">
        <f t="shared" si="147"/>
        <v>0</v>
      </c>
      <c r="N244" s="276">
        <f t="shared" si="147"/>
        <v>0.71566804497326142</v>
      </c>
      <c r="O244" s="276">
        <f t="shared" si="147"/>
        <v>0.68220155366156221</v>
      </c>
      <c r="P244" s="276">
        <f t="shared" si="147"/>
        <v>0</v>
      </c>
      <c r="Q244" s="276">
        <f t="shared" si="147"/>
        <v>0</v>
      </c>
      <c r="R244" s="280"/>
      <c r="S244" s="280"/>
      <c r="T244" s="280"/>
      <c r="U244" s="280"/>
      <c r="V244" s="280"/>
      <c r="W244" s="280"/>
      <c r="X244" s="280"/>
      <c r="Y244" s="280"/>
    </row>
    <row r="245" spans="2:27" x14ac:dyDescent="0.25">
      <c r="C245" s="86"/>
      <c r="D245" s="295"/>
      <c r="F245" s="295" t="s">
        <v>50</v>
      </c>
      <c r="G245" s="295" t="s">
        <v>308</v>
      </c>
      <c r="J245" s="276">
        <f t="shared" si="147"/>
        <v>0</v>
      </c>
      <c r="K245" s="276">
        <f t="shared" si="147"/>
        <v>0</v>
      </c>
      <c r="L245" s="276">
        <f t="shared" si="147"/>
        <v>0</v>
      </c>
      <c r="M245" s="276">
        <f t="shared" si="147"/>
        <v>0</v>
      </c>
      <c r="N245" s="276">
        <f t="shared" si="147"/>
        <v>0.48223685227012819</v>
      </c>
      <c r="O245" s="276">
        <f t="shared" si="147"/>
        <v>0</v>
      </c>
      <c r="P245" s="276">
        <f t="shared" si="147"/>
        <v>0</v>
      </c>
      <c r="Q245" s="276">
        <f t="shared" si="147"/>
        <v>0</v>
      </c>
      <c r="R245" s="280"/>
      <c r="S245" s="280"/>
      <c r="T245" s="280"/>
      <c r="U245" s="280"/>
      <c r="V245" s="280"/>
      <c r="W245" s="280"/>
      <c r="X245" s="280"/>
      <c r="Y245" s="280"/>
    </row>
    <row r="246" spans="2:27" x14ac:dyDescent="0.25">
      <c r="C246" s="86"/>
      <c r="D246" s="295"/>
      <c r="F246" s="295" t="s">
        <v>124</v>
      </c>
      <c r="G246" s="295" t="s">
        <v>308</v>
      </c>
      <c r="J246" s="280"/>
      <c r="K246" s="280"/>
      <c r="L246" s="280"/>
      <c r="M246" s="280"/>
      <c r="N246" s="280"/>
      <c r="O246" s="280"/>
      <c r="P246" s="280"/>
      <c r="Q246" s="280"/>
      <c r="R246" s="280"/>
      <c r="S246" s="280"/>
      <c r="T246" s="280"/>
      <c r="U246" s="280"/>
      <c r="V246" s="280"/>
      <c r="W246" s="280"/>
      <c r="X246" s="280"/>
      <c r="Y246" s="280"/>
    </row>
    <row r="247" spans="2:27" x14ac:dyDescent="0.25">
      <c r="C247" s="86"/>
      <c r="D247" s="295"/>
      <c r="F247" s="93" t="s">
        <v>123</v>
      </c>
      <c r="G247" s="93" t="s">
        <v>308</v>
      </c>
      <c r="H247" s="93"/>
      <c r="I247" s="93"/>
      <c r="J247" s="241"/>
      <c r="K247" s="241"/>
      <c r="L247" s="241"/>
      <c r="M247" s="241"/>
      <c r="N247" s="241"/>
      <c r="O247" s="241"/>
      <c r="P247" s="241"/>
      <c r="Q247" s="241"/>
      <c r="R247" s="241"/>
      <c r="S247" s="241"/>
      <c r="T247" s="241"/>
      <c r="U247" s="241"/>
      <c r="V247" s="241"/>
      <c r="W247" s="241"/>
      <c r="X247" s="241"/>
      <c r="Y247" s="241"/>
    </row>
    <row r="248" spans="2:27" x14ac:dyDescent="0.25">
      <c r="C248" s="86"/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  <c r="U248" s="253"/>
      <c r="V248" s="253"/>
      <c r="W248" s="253"/>
      <c r="X248" s="253"/>
      <c r="Y248" s="253"/>
    </row>
    <row r="249" spans="2:27" x14ac:dyDescent="0.25">
      <c r="B249" s="95" t="s">
        <v>762</v>
      </c>
      <c r="C249" s="95"/>
      <c r="D249" s="95"/>
      <c r="E249" s="95"/>
      <c r="F249" s="95"/>
      <c r="G249" s="95"/>
      <c r="H249" s="95"/>
      <c r="I249" s="95"/>
      <c r="J249" s="282"/>
      <c r="K249" s="282"/>
      <c r="L249" s="282"/>
      <c r="M249" s="282"/>
      <c r="N249" s="282"/>
      <c r="O249" s="282"/>
      <c r="P249" s="282"/>
      <c r="Q249" s="282"/>
      <c r="R249" s="282"/>
      <c r="S249" s="282"/>
      <c r="T249" s="282"/>
      <c r="U249" s="282"/>
      <c r="V249" s="282"/>
      <c r="W249" s="282"/>
      <c r="X249" s="282"/>
      <c r="Y249" s="282"/>
      <c r="Z249" s="95"/>
      <c r="AA249" s="95"/>
    </row>
    <row r="250" spans="2:27" x14ac:dyDescent="0.25"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  <c r="U250" s="253"/>
      <c r="V250" s="253"/>
      <c r="W250" s="253"/>
      <c r="X250" s="253"/>
      <c r="Y250" s="253"/>
    </row>
    <row r="251" spans="2:27" x14ac:dyDescent="0.25">
      <c r="B251" s="67"/>
      <c r="C251" s="82" t="s">
        <v>472</v>
      </c>
      <c r="D251" s="295"/>
      <c r="E251" s="295"/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  <c r="U251" s="253"/>
      <c r="V251" s="253"/>
      <c r="W251" s="253"/>
      <c r="X251" s="253"/>
      <c r="Y251" s="253"/>
    </row>
    <row r="252" spans="2:27" x14ac:dyDescent="0.25">
      <c r="B252" s="67"/>
      <c r="C252" s="82" t="s">
        <v>473</v>
      </c>
      <c r="D252" s="295"/>
      <c r="E252" s="295"/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  <c r="U252" s="253"/>
      <c r="V252" s="253"/>
      <c r="W252" s="253"/>
      <c r="X252" s="253"/>
      <c r="Y252" s="253"/>
    </row>
    <row r="253" spans="2:27" x14ac:dyDescent="0.25"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  <c r="U253" s="253"/>
      <c r="V253" s="253"/>
      <c r="W253" s="253"/>
      <c r="X253" s="253"/>
      <c r="Y253" s="253"/>
    </row>
    <row r="254" spans="2:27" x14ac:dyDescent="0.25">
      <c r="C254" s="7" t="str">
        <f ca="1">INDEX('Version control'!$H$34:$H$58,MATCH($A$1,'Version control'!$F$34:$F$58,0),1)&amp;"-F: Capacity and exceeded capacity charges"</f>
        <v>Section 516-F: Capacity and exceeded capacity charges</v>
      </c>
      <c r="D254" s="7"/>
      <c r="E254" s="7"/>
      <c r="F254" s="7"/>
      <c r="G254" s="7"/>
      <c r="H254" s="7"/>
      <c r="I254" s="7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7"/>
      <c r="AA254" s="7"/>
    </row>
    <row r="255" spans="2:27" x14ac:dyDescent="0.25"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  <c r="U255" s="253"/>
      <c r="V255" s="253"/>
      <c r="W255" s="253"/>
      <c r="X255" s="253"/>
      <c r="Y255" s="253"/>
    </row>
    <row r="256" spans="2:27" x14ac:dyDescent="0.25">
      <c r="E256" s="295" t="s">
        <v>373</v>
      </c>
      <c r="G256" s="295" t="s">
        <v>308</v>
      </c>
      <c r="I256" s="295" t="s">
        <v>431</v>
      </c>
      <c r="J256" s="257">
        <f t="shared" ref="J256:Q256" si="148">SUM(J192:J203,J206:J217)</f>
        <v>0</v>
      </c>
      <c r="K256" s="257">
        <f t="shared" si="148"/>
        <v>0</v>
      </c>
      <c r="L256" s="257">
        <f t="shared" si="148"/>
        <v>0</v>
      </c>
      <c r="M256" s="257">
        <f t="shared" si="148"/>
        <v>0</v>
      </c>
      <c r="N256" s="257">
        <f t="shared" si="148"/>
        <v>2.4834222162989184</v>
      </c>
      <c r="O256" s="257">
        <f t="shared" si="148"/>
        <v>5.0190999144643538</v>
      </c>
      <c r="P256" s="257">
        <f t="shared" si="148"/>
        <v>3.9211655448088703</v>
      </c>
      <c r="Q256" s="257">
        <f t="shared" si="148"/>
        <v>0</v>
      </c>
      <c r="R256" s="280"/>
      <c r="S256" s="280"/>
      <c r="T256" s="280"/>
      <c r="U256" s="280"/>
      <c r="V256" s="280"/>
      <c r="W256" s="280"/>
      <c r="X256" s="280"/>
      <c r="Y256" s="280"/>
      <c r="AA256" s="295" t="s">
        <v>849</v>
      </c>
    </row>
    <row r="257" spans="3:27" x14ac:dyDescent="0.25">
      <c r="E257" s="295" t="s">
        <v>372</v>
      </c>
      <c r="G257" s="295" t="s">
        <v>308</v>
      </c>
      <c r="I257" s="295" t="s">
        <v>431</v>
      </c>
      <c r="J257" s="257">
        <f t="shared" ref="J257:Q257" si="149">SUM(J222:J233,J236:J247)</f>
        <v>0</v>
      </c>
      <c r="K257" s="257">
        <f t="shared" si="149"/>
        <v>0</v>
      </c>
      <c r="L257" s="257">
        <f t="shared" si="149"/>
        <v>0</v>
      </c>
      <c r="M257" s="257">
        <f t="shared" si="149"/>
        <v>0</v>
      </c>
      <c r="N257" s="257">
        <f t="shared" si="149"/>
        <v>4.5187571060823757</v>
      </c>
      <c r="O257" s="257">
        <f t="shared" si="149"/>
        <v>7.0110989954461296</v>
      </c>
      <c r="P257" s="257">
        <f t="shared" si="149"/>
        <v>6.5257681525581148</v>
      </c>
      <c r="Q257" s="257">
        <f t="shared" si="149"/>
        <v>0</v>
      </c>
      <c r="R257" s="280"/>
      <c r="S257" s="280"/>
      <c r="T257" s="280"/>
      <c r="U257" s="280"/>
      <c r="V257" s="280"/>
      <c r="W257" s="280"/>
      <c r="X257" s="280"/>
      <c r="Y257" s="280"/>
      <c r="AA257" s="295" t="s">
        <v>849</v>
      </c>
    </row>
    <row r="258" spans="3:27" x14ac:dyDescent="0.25">
      <c r="C258" s="86"/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  <c r="U258" s="253"/>
      <c r="V258" s="253"/>
      <c r="W258" s="253"/>
      <c r="X258" s="253"/>
      <c r="Y258" s="253"/>
    </row>
    <row r="259" spans="3:27" x14ac:dyDescent="0.25">
      <c r="C259" s="7" t="str">
        <f ca="1">INDEX('Version control'!$H$34:$H$58,MATCH($A$1,'Version control'!$F$34:$F$58,0),1)&amp;"-G: Capacity elements allocated to fixed charges"</f>
        <v>Section 516-G: Capacity elements allocated to fixed charges</v>
      </c>
      <c r="D259" s="7"/>
      <c r="E259" s="7"/>
      <c r="F259" s="7"/>
      <c r="G259" s="7"/>
      <c r="H259" s="7"/>
      <c r="I259" s="7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7"/>
      <c r="AA259" s="7"/>
    </row>
    <row r="260" spans="3:27" x14ac:dyDescent="0.25">
      <c r="D260" s="96"/>
      <c r="E260" s="96"/>
      <c r="I260" s="295" t="s">
        <v>431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  <c r="U260" s="253"/>
      <c r="V260" s="253"/>
      <c r="W260" s="253"/>
      <c r="X260" s="253"/>
      <c r="Y260" s="253"/>
      <c r="AA260" s="295" t="s">
        <v>933</v>
      </c>
    </row>
    <row r="261" spans="3:27" x14ac:dyDescent="0.25">
      <c r="C261" s="86"/>
      <c r="D261" s="295"/>
      <c r="E261" s="96" t="s">
        <v>139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  <c r="U261" s="253"/>
      <c r="V261" s="253"/>
      <c r="W261" s="253"/>
      <c r="X261" s="253"/>
      <c r="Y261" s="253"/>
    </row>
    <row r="262" spans="3:27" x14ac:dyDescent="0.25">
      <c r="C262" s="86"/>
      <c r="D262" s="295"/>
      <c r="F262" s="91" t="s">
        <v>324</v>
      </c>
      <c r="G262" s="91" t="s">
        <v>308</v>
      </c>
      <c r="H262" s="91"/>
      <c r="I262" s="91"/>
      <c r="J262" s="239"/>
      <c r="K262" s="239"/>
      <c r="L262" s="239"/>
      <c r="M262" s="239"/>
      <c r="N262" s="239"/>
      <c r="O262" s="239"/>
      <c r="P262" s="239"/>
      <c r="Q262" s="239"/>
      <c r="R262" s="239"/>
      <c r="S262" s="239"/>
      <c r="T262" s="239"/>
      <c r="U262" s="239"/>
      <c r="V262" s="239"/>
      <c r="W262" s="239"/>
      <c r="X262" s="239"/>
      <c r="Y262" s="239"/>
    </row>
    <row r="263" spans="3:27" x14ac:dyDescent="0.25">
      <c r="C263" s="86"/>
      <c r="D263" s="295"/>
      <c r="F263" s="295" t="s">
        <v>43</v>
      </c>
      <c r="G263" s="295" t="s">
        <v>308</v>
      </c>
      <c r="J263" s="280"/>
      <c r="K263" s="280"/>
      <c r="L263" s="280"/>
      <c r="M263" s="280"/>
      <c r="N263" s="280"/>
      <c r="O263" s="280"/>
      <c r="P263" s="280"/>
      <c r="Q263" s="280"/>
      <c r="R263" s="280"/>
      <c r="S263" s="280"/>
      <c r="T263" s="280"/>
      <c r="U263" s="280"/>
      <c r="V263" s="280"/>
      <c r="W263" s="280"/>
      <c r="X263" s="280"/>
      <c r="Y263" s="280"/>
    </row>
    <row r="264" spans="3:27" x14ac:dyDescent="0.25">
      <c r="C264" s="86"/>
      <c r="D264" s="295"/>
      <c r="F264" s="295" t="s">
        <v>44</v>
      </c>
      <c r="G264" s="295" t="s">
        <v>308</v>
      </c>
      <c r="J264" s="257">
        <f t="shared" ref="J264:Q271" si="150">J$123 * J134</f>
        <v>0</v>
      </c>
      <c r="K264" s="257">
        <f t="shared" si="150"/>
        <v>0</v>
      </c>
      <c r="L264" s="257">
        <f t="shared" si="150"/>
        <v>0</v>
      </c>
      <c r="M264" s="257">
        <f t="shared" si="150"/>
        <v>0</v>
      </c>
      <c r="N264" s="257">
        <f t="shared" si="150"/>
        <v>0</v>
      </c>
      <c r="O264" s="257">
        <f t="shared" si="150"/>
        <v>0</v>
      </c>
      <c r="P264" s="257">
        <f t="shared" si="150"/>
        <v>0</v>
      </c>
      <c r="Q264" s="257">
        <f t="shared" si="150"/>
        <v>0</v>
      </c>
      <c r="R264" s="280"/>
      <c r="S264" s="280"/>
      <c r="T264" s="280"/>
      <c r="U264" s="280"/>
      <c r="V264" s="280"/>
      <c r="W264" s="280"/>
      <c r="X264" s="280"/>
      <c r="Y264" s="280"/>
    </row>
    <row r="265" spans="3:27" x14ac:dyDescent="0.25">
      <c r="C265" s="86"/>
      <c r="D265" s="295"/>
      <c r="F265" s="295" t="s">
        <v>45</v>
      </c>
      <c r="G265" s="295" t="s">
        <v>308</v>
      </c>
      <c r="J265" s="257">
        <f t="shared" si="150"/>
        <v>0</v>
      </c>
      <c r="K265" s="257">
        <f t="shared" si="150"/>
        <v>0</v>
      </c>
      <c r="L265" s="257">
        <f t="shared" si="150"/>
        <v>0</v>
      </c>
      <c r="M265" s="257">
        <f t="shared" si="150"/>
        <v>0</v>
      </c>
      <c r="N265" s="257">
        <f t="shared" si="150"/>
        <v>0</v>
      </c>
      <c r="O265" s="257">
        <f t="shared" si="150"/>
        <v>0</v>
      </c>
      <c r="P265" s="257">
        <f t="shared" si="150"/>
        <v>0</v>
      </c>
      <c r="Q265" s="257">
        <f t="shared" si="150"/>
        <v>0</v>
      </c>
      <c r="R265" s="280"/>
      <c r="S265" s="280"/>
      <c r="T265" s="280"/>
      <c r="U265" s="280"/>
      <c r="V265" s="280"/>
      <c r="W265" s="280"/>
      <c r="X265" s="280"/>
      <c r="Y265" s="280"/>
    </row>
    <row r="266" spans="3:27" x14ac:dyDescent="0.25">
      <c r="C266" s="86"/>
      <c r="D266" s="295"/>
      <c r="F266" s="295" t="s">
        <v>46</v>
      </c>
      <c r="G266" s="295" t="s">
        <v>308</v>
      </c>
      <c r="J266" s="257">
        <f t="shared" si="150"/>
        <v>0</v>
      </c>
      <c r="K266" s="257">
        <f t="shared" si="150"/>
        <v>0</v>
      </c>
      <c r="L266" s="257">
        <f t="shared" si="150"/>
        <v>0</v>
      </c>
      <c r="M266" s="257">
        <f t="shared" si="150"/>
        <v>0</v>
      </c>
      <c r="N266" s="257">
        <f t="shared" si="150"/>
        <v>0</v>
      </c>
      <c r="O266" s="257">
        <f t="shared" si="150"/>
        <v>0</v>
      </c>
      <c r="P266" s="257">
        <f t="shared" si="150"/>
        <v>0</v>
      </c>
      <c r="Q266" s="257">
        <f t="shared" si="150"/>
        <v>0</v>
      </c>
      <c r="R266" s="280"/>
      <c r="S266" s="280"/>
      <c r="T266" s="280"/>
      <c r="U266" s="280"/>
      <c r="V266" s="280"/>
      <c r="W266" s="280"/>
      <c r="X266" s="280"/>
      <c r="Y266" s="280"/>
    </row>
    <row r="267" spans="3:27" x14ac:dyDescent="0.25">
      <c r="C267" s="86"/>
      <c r="D267" s="295"/>
      <c r="F267" s="295" t="s">
        <v>47</v>
      </c>
      <c r="G267" s="295" t="s">
        <v>308</v>
      </c>
      <c r="J267" s="257">
        <f t="shared" si="150"/>
        <v>0</v>
      </c>
      <c r="K267" s="257">
        <f t="shared" si="150"/>
        <v>0</v>
      </c>
      <c r="L267" s="257">
        <f t="shared" si="150"/>
        <v>0</v>
      </c>
      <c r="M267" s="257">
        <f t="shared" si="150"/>
        <v>0</v>
      </c>
      <c r="N267" s="257">
        <f t="shared" si="150"/>
        <v>0</v>
      </c>
      <c r="O267" s="257">
        <f t="shared" si="150"/>
        <v>0</v>
      </c>
      <c r="P267" s="257">
        <f t="shared" si="150"/>
        <v>0</v>
      </c>
      <c r="Q267" s="257">
        <f t="shared" si="150"/>
        <v>0</v>
      </c>
      <c r="R267" s="280"/>
      <c r="S267" s="280"/>
      <c r="T267" s="280"/>
      <c r="U267" s="280"/>
      <c r="V267" s="280"/>
      <c r="W267" s="280"/>
      <c r="X267" s="280"/>
      <c r="Y267" s="280"/>
    </row>
    <row r="268" spans="3:27" x14ac:dyDescent="0.25">
      <c r="C268" s="86"/>
      <c r="D268" s="295"/>
      <c r="F268" s="295" t="s">
        <v>51</v>
      </c>
      <c r="G268" s="295" t="s">
        <v>308</v>
      </c>
      <c r="J268" s="257">
        <f t="shared" si="150"/>
        <v>0</v>
      </c>
      <c r="K268" s="257">
        <f t="shared" si="150"/>
        <v>0</v>
      </c>
      <c r="L268" s="257">
        <f t="shared" si="150"/>
        <v>0</v>
      </c>
      <c r="M268" s="257">
        <f t="shared" si="150"/>
        <v>0</v>
      </c>
      <c r="N268" s="257">
        <f t="shared" si="150"/>
        <v>0</v>
      </c>
      <c r="O268" s="257">
        <f t="shared" si="150"/>
        <v>0</v>
      </c>
      <c r="P268" s="257">
        <f t="shared" si="150"/>
        <v>0</v>
      </c>
      <c r="Q268" s="257">
        <f t="shared" si="150"/>
        <v>0</v>
      </c>
      <c r="R268" s="280"/>
      <c r="S268" s="280"/>
      <c r="T268" s="280"/>
      <c r="U268" s="280"/>
      <c r="V268" s="280"/>
      <c r="W268" s="280"/>
      <c r="X268" s="280"/>
      <c r="Y268" s="280"/>
    </row>
    <row r="269" spans="3:27" x14ac:dyDescent="0.25">
      <c r="C269" s="86"/>
      <c r="D269" s="295"/>
      <c r="F269" s="295" t="s">
        <v>48</v>
      </c>
      <c r="G269" s="295" t="s">
        <v>308</v>
      </c>
      <c r="J269" s="257">
        <f t="shared" si="150"/>
        <v>0</v>
      </c>
      <c r="K269" s="257">
        <f t="shared" si="150"/>
        <v>0</v>
      </c>
      <c r="L269" s="257">
        <f t="shared" si="150"/>
        <v>0</v>
      </c>
      <c r="M269" s="257">
        <f t="shared" si="150"/>
        <v>0</v>
      </c>
      <c r="N269" s="257">
        <f t="shared" si="150"/>
        <v>0</v>
      </c>
      <c r="O269" s="257">
        <f t="shared" si="150"/>
        <v>0</v>
      </c>
      <c r="P269" s="257">
        <f t="shared" si="150"/>
        <v>0</v>
      </c>
      <c r="Q269" s="257">
        <f t="shared" si="150"/>
        <v>0</v>
      </c>
      <c r="R269" s="280"/>
      <c r="S269" s="280"/>
      <c r="T269" s="280"/>
      <c r="U269" s="280"/>
      <c r="V269" s="280"/>
      <c r="W269" s="280"/>
      <c r="X269" s="280"/>
      <c r="Y269" s="280"/>
    </row>
    <row r="270" spans="3:27" x14ac:dyDescent="0.25">
      <c r="C270" s="86"/>
      <c r="D270" s="295"/>
      <c r="F270" s="295" t="s">
        <v>49</v>
      </c>
      <c r="G270" s="295" t="s">
        <v>308</v>
      </c>
      <c r="J270" s="257">
        <f t="shared" si="150"/>
        <v>0</v>
      </c>
      <c r="K270" s="257">
        <f t="shared" si="150"/>
        <v>0</v>
      </c>
      <c r="L270" s="257">
        <f t="shared" si="150"/>
        <v>0</v>
      </c>
      <c r="M270" s="257">
        <f t="shared" si="150"/>
        <v>0</v>
      </c>
      <c r="N270" s="257">
        <f t="shared" si="150"/>
        <v>0</v>
      </c>
      <c r="O270" s="257">
        <f t="shared" si="150"/>
        <v>0</v>
      </c>
      <c r="P270" s="257">
        <f t="shared" si="150"/>
        <v>0</v>
      </c>
      <c r="Q270" s="257">
        <f t="shared" si="150"/>
        <v>0</v>
      </c>
      <c r="R270" s="280"/>
      <c r="S270" s="280"/>
      <c r="T270" s="280"/>
      <c r="U270" s="280"/>
      <c r="V270" s="280"/>
      <c r="W270" s="280"/>
      <c r="X270" s="280"/>
      <c r="Y270" s="280"/>
    </row>
    <row r="271" spans="3:27" x14ac:dyDescent="0.25">
      <c r="C271" s="86"/>
      <c r="D271" s="295"/>
      <c r="F271" s="295" t="s">
        <v>50</v>
      </c>
      <c r="G271" s="295" t="s">
        <v>308</v>
      </c>
      <c r="J271" s="257">
        <f t="shared" si="150"/>
        <v>6.2918229299220738E-2</v>
      </c>
      <c r="K271" s="257">
        <f t="shared" si="150"/>
        <v>0</v>
      </c>
      <c r="L271" s="257">
        <f t="shared" si="150"/>
        <v>6.2918229299220738E-2</v>
      </c>
      <c r="M271" s="257">
        <f t="shared" si="150"/>
        <v>0</v>
      </c>
      <c r="N271" s="257">
        <f t="shared" si="150"/>
        <v>0</v>
      </c>
      <c r="O271" s="257">
        <f t="shared" si="150"/>
        <v>0</v>
      </c>
      <c r="P271" s="257">
        <f t="shared" si="150"/>
        <v>0</v>
      </c>
      <c r="Q271" s="257">
        <f t="shared" si="150"/>
        <v>0</v>
      </c>
      <c r="R271" s="280"/>
      <c r="S271" s="280"/>
      <c r="T271" s="280"/>
      <c r="U271" s="280"/>
      <c r="V271" s="280"/>
      <c r="W271" s="280"/>
      <c r="X271" s="280"/>
      <c r="Y271" s="280"/>
    </row>
    <row r="272" spans="3:27" x14ac:dyDescent="0.25">
      <c r="C272" s="86"/>
      <c r="D272" s="295"/>
      <c r="F272" s="295" t="s">
        <v>124</v>
      </c>
      <c r="G272" s="295" t="s">
        <v>308</v>
      </c>
      <c r="J272" s="280"/>
      <c r="K272" s="280"/>
      <c r="L272" s="280"/>
      <c r="M272" s="280"/>
      <c r="N272" s="280"/>
      <c r="O272" s="280"/>
      <c r="P272" s="280"/>
      <c r="Q272" s="280"/>
      <c r="R272" s="280"/>
      <c r="S272" s="280"/>
      <c r="T272" s="280"/>
      <c r="U272" s="280"/>
      <c r="V272" s="280"/>
      <c r="W272" s="280"/>
      <c r="X272" s="280"/>
      <c r="Y272" s="280"/>
    </row>
    <row r="273" spans="3:25" x14ac:dyDescent="0.25">
      <c r="C273" s="86"/>
      <c r="D273" s="295"/>
      <c r="F273" s="93" t="s">
        <v>123</v>
      </c>
      <c r="G273" s="93" t="s">
        <v>308</v>
      </c>
      <c r="H273" s="93"/>
      <c r="I273" s="93"/>
      <c r="J273" s="241"/>
      <c r="K273" s="241"/>
      <c r="L273" s="241"/>
      <c r="M273" s="241"/>
      <c r="N273" s="241"/>
      <c r="O273" s="241"/>
      <c r="P273" s="241"/>
      <c r="Q273" s="241"/>
      <c r="R273" s="241"/>
      <c r="S273" s="241"/>
      <c r="T273" s="241"/>
      <c r="U273" s="241"/>
      <c r="V273" s="241"/>
      <c r="W273" s="241"/>
      <c r="X273" s="241"/>
      <c r="Y273" s="241"/>
    </row>
    <row r="274" spans="3:25" x14ac:dyDescent="0.25">
      <c r="C274" s="86"/>
      <c r="D274" s="295"/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  <c r="U274" s="253"/>
      <c r="V274" s="253"/>
      <c r="W274" s="253"/>
      <c r="X274" s="253"/>
      <c r="Y274" s="253"/>
    </row>
    <row r="275" spans="3:25" x14ac:dyDescent="0.25">
      <c r="C275" s="86"/>
      <c r="D275" s="295"/>
      <c r="E275" s="96" t="s">
        <v>140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  <c r="U275" s="253"/>
      <c r="V275" s="253"/>
      <c r="W275" s="253"/>
      <c r="X275" s="253"/>
      <c r="Y275" s="253"/>
    </row>
    <row r="276" spans="3:25" x14ac:dyDescent="0.25">
      <c r="C276" s="86"/>
      <c r="D276" s="295"/>
      <c r="F276" s="91" t="s">
        <v>324</v>
      </c>
      <c r="G276" s="91" t="s">
        <v>308</v>
      </c>
      <c r="H276" s="91"/>
      <c r="I276" s="91"/>
      <c r="J276" s="255">
        <f t="shared" ref="J276:Q285" si="151">J$123 * J146</f>
        <v>0</v>
      </c>
      <c r="K276" s="255">
        <f t="shared" si="151"/>
        <v>0</v>
      </c>
      <c r="L276" s="255">
        <f t="shared" si="151"/>
        <v>0</v>
      </c>
      <c r="M276" s="255">
        <f t="shared" si="151"/>
        <v>0</v>
      </c>
      <c r="N276" s="255">
        <f t="shared" si="151"/>
        <v>0</v>
      </c>
      <c r="O276" s="255">
        <f t="shared" si="151"/>
        <v>0</v>
      </c>
      <c r="P276" s="255">
        <f t="shared" si="151"/>
        <v>0</v>
      </c>
      <c r="Q276" s="255">
        <f t="shared" si="151"/>
        <v>0</v>
      </c>
      <c r="R276" s="239"/>
      <c r="S276" s="239"/>
      <c r="T276" s="239"/>
      <c r="U276" s="239"/>
      <c r="V276" s="239"/>
      <c r="W276" s="239"/>
      <c r="X276" s="239"/>
      <c r="Y276" s="239"/>
    </row>
    <row r="277" spans="3:25" x14ac:dyDescent="0.25">
      <c r="C277" s="86"/>
      <c r="D277" s="295"/>
      <c r="F277" s="295" t="s">
        <v>43</v>
      </c>
      <c r="G277" s="295" t="s">
        <v>308</v>
      </c>
      <c r="J277" s="257">
        <f t="shared" si="151"/>
        <v>0</v>
      </c>
      <c r="K277" s="257">
        <f t="shared" si="151"/>
        <v>0</v>
      </c>
      <c r="L277" s="257">
        <f t="shared" si="151"/>
        <v>0</v>
      </c>
      <c r="M277" s="257">
        <f t="shared" si="151"/>
        <v>0</v>
      </c>
      <c r="N277" s="257">
        <f t="shared" si="151"/>
        <v>0</v>
      </c>
      <c r="O277" s="257">
        <f t="shared" si="151"/>
        <v>0</v>
      </c>
      <c r="P277" s="257">
        <f t="shared" si="151"/>
        <v>0</v>
      </c>
      <c r="Q277" s="257">
        <f t="shared" si="151"/>
        <v>0</v>
      </c>
      <c r="R277" s="280"/>
      <c r="S277" s="280"/>
      <c r="T277" s="280"/>
      <c r="U277" s="280"/>
      <c r="V277" s="280"/>
      <c r="W277" s="280"/>
      <c r="X277" s="280"/>
      <c r="Y277" s="280"/>
    </row>
    <row r="278" spans="3:25" x14ac:dyDescent="0.25">
      <c r="C278" s="86"/>
      <c r="D278" s="295"/>
      <c r="F278" s="295" t="s">
        <v>44</v>
      </c>
      <c r="G278" s="295" t="s">
        <v>308</v>
      </c>
      <c r="J278" s="257">
        <f t="shared" si="151"/>
        <v>0</v>
      </c>
      <c r="K278" s="257">
        <f t="shared" si="151"/>
        <v>0</v>
      </c>
      <c r="L278" s="257">
        <f t="shared" si="151"/>
        <v>0</v>
      </c>
      <c r="M278" s="257">
        <f t="shared" si="151"/>
        <v>0</v>
      </c>
      <c r="N278" s="257">
        <f t="shared" si="151"/>
        <v>0</v>
      </c>
      <c r="O278" s="257">
        <f t="shared" si="151"/>
        <v>0</v>
      </c>
      <c r="P278" s="257">
        <f t="shared" si="151"/>
        <v>0</v>
      </c>
      <c r="Q278" s="257">
        <f t="shared" si="151"/>
        <v>0</v>
      </c>
      <c r="R278" s="280"/>
      <c r="S278" s="280"/>
      <c r="T278" s="280"/>
      <c r="U278" s="280"/>
      <c r="V278" s="280"/>
      <c r="W278" s="280"/>
      <c r="X278" s="280"/>
      <c r="Y278" s="280"/>
    </row>
    <row r="279" spans="3:25" x14ac:dyDescent="0.25">
      <c r="C279" s="86"/>
      <c r="D279" s="295"/>
      <c r="F279" s="295" t="s">
        <v>45</v>
      </c>
      <c r="G279" s="295" t="s">
        <v>308</v>
      </c>
      <c r="J279" s="257">
        <f t="shared" si="151"/>
        <v>0</v>
      </c>
      <c r="K279" s="257">
        <f t="shared" si="151"/>
        <v>0</v>
      </c>
      <c r="L279" s="257">
        <f t="shared" si="151"/>
        <v>0</v>
      </c>
      <c r="M279" s="257">
        <f t="shared" si="151"/>
        <v>0</v>
      </c>
      <c r="N279" s="257">
        <f t="shared" si="151"/>
        <v>0</v>
      </c>
      <c r="O279" s="257">
        <f t="shared" si="151"/>
        <v>0</v>
      </c>
      <c r="P279" s="257">
        <f t="shared" si="151"/>
        <v>0</v>
      </c>
      <c r="Q279" s="257">
        <f t="shared" si="151"/>
        <v>0</v>
      </c>
      <c r="R279" s="280"/>
      <c r="S279" s="280"/>
      <c r="T279" s="280"/>
      <c r="U279" s="280"/>
      <c r="V279" s="280"/>
      <c r="W279" s="280"/>
      <c r="X279" s="280"/>
      <c r="Y279" s="280"/>
    </row>
    <row r="280" spans="3:25" x14ac:dyDescent="0.25">
      <c r="C280" s="86"/>
      <c r="D280" s="295"/>
      <c r="F280" s="295" t="s">
        <v>46</v>
      </c>
      <c r="G280" s="295" t="s">
        <v>308</v>
      </c>
      <c r="J280" s="257">
        <f t="shared" si="151"/>
        <v>0</v>
      </c>
      <c r="K280" s="257">
        <f t="shared" si="151"/>
        <v>0</v>
      </c>
      <c r="L280" s="257">
        <f t="shared" si="151"/>
        <v>0</v>
      </c>
      <c r="M280" s="257">
        <f t="shared" si="151"/>
        <v>0</v>
      </c>
      <c r="N280" s="257">
        <f t="shared" si="151"/>
        <v>0</v>
      </c>
      <c r="O280" s="257">
        <f t="shared" si="151"/>
        <v>0</v>
      </c>
      <c r="P280" s="257">
        <f t="shared" si="151"/>
        <v>0</v>
      </c>
      <c r="Q280" s="257">
        <f t="shared" si="151"/>
        <v>0</v>
      </c>
      <c r="R280" s="280"/>
      <c r="S280" s="280"/>
      <c r="T280" s="280"/>
      <c r="U280" s="280"/>
      <c r="V280" s="280"/>
      <c r="W280" s="280"/>
      <c r="X280" s="280"/>
      <c r="Y280" s="280"/>
    </row>
    <row r="281" spans="3:25" x14ac:dyDescent="0.25">
      <c r="C281" s="86"/>
      <c r="D281" s="295"/>
      <c r="F281" s="295" t="s">
        <v>47</v>
      </c>
      <c r="G281" s="295" t="s">
        <v>308</v>
      </c>
      <c r="J281" s="257">
        <f t="shared" si="151"/>
        <v>0</v>
      </c>
      <c r="K281" s="257">
        <f t="shared" si="151"/>
        <v>0</v>
      </c>
      <c r="L281" s="257">
        <f t="shared" si="151"/>
        <v>0</v>
      </c>
      <c r="M281" s="257">
        <f t="shared" si="151"/>
        <v>0</v>
      </c>
      <c r="N281" s="257">
        <f t="shared" si="151"/>
        <v>0</v>
      </c>
      <c r="O281" s="257">
        <f t="shared" si="151"/>
        <v>0</v>
      </c>
      <c r="P281" s="257">
        <f t="shared" si="151"/>
        <v>0</v>
      </c>
      <c r="Q281" s="257">
        <f t="shared" si="151"/>
        <v>0</v>
      </c>
      <c r="R281" s="280"/>
      <c r="S281" s="280"/>
      <c r="T281" s="280"/>
      <c r="U281" s="280"/>
      <c r="V281" s="280"/>
      <c r="W281" s="280"/>
      <c r="X281" s="280"/>
      <c r="Y281" s="280"/>
    </row>
    <row r="282" spans="3:25" x14ac:dyDescent="0.25">
      <c r="C282" s="86"/>
      <c r="D282" s="295"/>
      <c r="F282" s="295" t="s">
        <v>51</v>
      </c>
      <c r="G282" s="295" t="s">
        <v>308</v>
      </c>
      <c r="J282" s="257">
        <f t="shared" si="151"/>
        <v>0</v>
      </c>
      <c r="K282" s="257">
        <f t="shared" si="151"/>
        <v>0</v>
      </c>
      <c r="L282" s="257">
        <f t="shared" si="151"/>
        <v>0</v>
      </c>
      <c r="M282" s="257">
        <f t="shared" si="151"/>
        <v>0</v>
      </c>
      <c r="N282" s="257">
        <f t="shared" si="151"/>
        <v>0</v>
      </c>
      <c r="O282" s="257">
        <f t="shared" si="151"/>
        <v>0</v>
      </c>
      <c r="P282" s="257">
        <f t="shared" si="151"/>
        <v>0</v>
      </c>
      <c r="Q282" s="257">
        <f t="shared" si="151"/>
        <v>0</v>
      </c>
      <c r="R282" s="280"/>
      <c r="S282" s="280"/>
      <c r="T282" s="280"/>
      <c r="U282" s="280"/>
      <c r="V282" s="280"/>
      <c r="W282" s="280"/>
      <c r="X282" s="280"/>
      <c r="Y282" s="280"/>
    </row>
    <row r="283" spans="3:25" x14ac:dyDescent="0.25">
      <c r="C283" s="86"/>
      <c r="D283" s="295"/>
      <c r="F283" s="295" t="s">
        <v>48</v>
      </c>
      <c r="G283" s="295" t="s">
        <v>308</v>
      </c>
      <c r="J283" s="257">
        <f t="shared" si="151"/>
        <v>0</v>
      </c>
      <c r="K283" s="257">
        <f t="shared" si="151"/>
        <v>0</v>
      </c>
      <c r="L283" s="257">
        <f t="shared" si="151"/>
        <v>0</v>
      </c>
      <c r="M283" s="257">
        <f t="shared" si="151"/>
        <v>0</v>
      </c>
      <c r="N283" s="257">
        <f t="shared" si="151"/>
        <v>0</v>
      </c>
      <c r="O283" s="257">
        <f t="shared" si="151"/>
        <v>0</v>
      </c>
      <c r="P283" s="257">
        <f t="shared" si="151"/>
        <v>0</v>
      </c>
      <c r="Q283" s="257">
        <f t="shared" si="151"/>
        <v>0</v>
      </c>
      <c r="R283" s="280"/>
      <c r="S283" s="280"/>
      <c r="T283" s="280"/>
      <c r="U283" s="280"/>
      <c r="V283" s="280"/>
      <c r="W283" s="280"/>
      <c r="X283" s="280"/>
      <c r="Y283" s="280"/>
    </row>
    <row r="284" spans="3:25" x14ac:dyDescent="0.25">
      <c r="C284" s="86"/>
      <c r="D284" s="295"/>
      <c r="F284" s="295" t="s">
        <v>49</v>
      </c>
      <c r="G284" s="295" t="s">
        <v>308</v>
      </c>
      <c r="J284" s="257">
        <f t="shared" si="151"/>
        <v>0</v>
      </c>
      <c r="K284" s="257">
        <f t="shared" si="151"/>
        <v>0</v>
      </c>
      <c r="L284" s="257">
        <f t="shared" si="151"/>
        <v>0</v>
      </c>
      <c r="M284" s="257">
        <f t="shared" si="151"/>
        <v>0</v>
      </c>
      <c r="N284" s="257">
        <f t="shared" si="151"/>
        <v>0</v>
      </c>
      <c r="O284" s="257">
        <f t="shared" si="151"/>
        <v>0</v>
      </c>
      <c r="P284" s="257">
        <f t="shared" si="151"/>
        <v>0</v>
      </c>
      <c r="Q284" s="257">
        <f t="shared" si="151"/>
        <v>0</v>
      </c>
      <c r="R284" s="280"/>
      <c r="S284" s="280"/>
      <c r="T284" s="280"/>
      <c r="U284" s="280"/>
      <c r="V284" s="280"/>
      <c r="W284" s="280"/>
      <c r="X284" s="280"/>
      <c r="Y284" s="280"/>
    </row>
    <row r="285" spans="3:25" x14ac:dyDescent="0.25">
      <c r="C285" s="86"/>
      <c r="D285" s="295"/>
      <c r="F285" s="295" t="s">
        <v>50</v>
      </c>
      <c r="G285" s="295" t="s">
        <v>308</v>
      </c>
      <c r="J285" s="257">
        <f t="shared" si="151"/>
        <v>0.48223685227012819</v>
      </c>
      <c r="K285" s="257">
        <f t="shared" si="151"/>
        <v>0</v>
      </c>
      <c r="L285" s="257">
        <f t="shared" si="151"/>
        <v>0.48223685227012819</v>
      </c>
      <c r="M285" s="257">
        <f t="shared" si="151"/>
        <v>0</v>
      </c>
      <c r="N285" s="257">
        <f t="shared" si="151"/>
        <v>0</v>
      </c>
      <c r="O285" s="257">
        <f t="shared" si="151"/>
        <v>0</v>
      </c>
      <c r="P285" s="257">
        <f t="shared" si="151"/>
        <v>0</v>
      </c>
      <c r="Q285" s="257">
        <f t="shared" si="151"/>
        <v>0</v>
      </c>
      <c r="R285" s="280"/>
      <c r="S285" s="280"/>
      <c r="T285" s="280"/>
      <c r="U285" s="280"/>
      <c r="V285" s="280"/>
      <c r="W285" s="280"/>
      <c r="X285" s="280"/>
      <c r="Y285" s="280"/>
    </row>
    <row r="286" spans="3:25" x14ac:dyDescent="0.25">
      <c r="C286" s="86"/>
      <c r="D286" s="295"/>
      <c r="F286" s="295" t="s">
        <v>124</v>
      </c>
      <c r="G286" s="295" t="s">
        <v>308</v>
      </c>
      <c r="J286" s="280"/>
      <c r="K286" s="280"/>
      <c r="L286" s="280"/>
      <c r="M286" s="280"/>
      <c r="N286" s="280"/>
      <c r="O286" s="280"/>
      <c r="P286" s="280"/>
      <c r="Q286" s="280"/>
      <c r="R286" s="280"/>
      <c r="S286" s="280"/>
      <c r="T286" s="280"/>
      <c r="U286" s="280"/>
      <c r="V286" s="280"/>
      <c r="W286" s="280"/>
      <c r="X286" s="280"/>
      <c r="Y286" s="280"/>
    </row>
    <row r="287" spans="3:25" x14ac:dyDescent="0.25">
      <c r="C287" s="86"/>
      <c r="D287" s="295"/>
      <c r="F287" s="93" t="s">
        <v>123</v>
      </c>
      <c r="G287" s="93" t="s">
        <v>308</v>
      </c>
      <c r="H287" s="93"/>
      <c r="I287" s="93"/>
      <c r="J287" s="241"/>
      <c r="K287" s="241"/>
      <c r="L287" s="241"/>
      <c r="M287" s="241"/>
      <c r="N287" s="241"/>
      <c r="O287" s="241"/>
      <c r="P287" s="241"/>
      <c r="Q287" s="241"/>
      <c r="R287" s="241"/>
      <c r="S287" s="241"/>
      <c r="T287" s="241"/>
      <c r="U287" s="241"/>
      <c r="V287" s="241"/>
      <c r="W287" s="241"/>
      <c r="X287" s="241"/>
      <c r="Y287" s="241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5" t="s">
        <v>516</v>
      </c>
      <c r="G291" s="122" t="s">
        <v>692</v>
      </c>
      <c r="H291" s="412">
        <f t="array" ref="H291">SUM(IF(ISERROR(H51:Y287), 1))</f>
        <v>0</v>
      </c>
    </row>
    <row r="293" spans="2:27" x14ac:dyDescent="0.25">
      <c r="E293" s="295" t="s">
        <v>643</v>
      </c>
      <c r="G293" s="122" t="s">
        <v>692</v>
      </c>
      <c r="H293" s="412">
        <f>SUM(J293:Y293)</f>
        <v>0</v>
      </c>
      <c r="J293" s="412">
        <f t="shared" ref="J293:Y293" si="152">IF(J121 + J123 &lt; 2, 0, 1)</f>
        <v>0</v>
      </c>
      <c r="K293" s="412">
        <f t="shared" si="152"/>
        <v>0</v>
      </c>
      <c r="L293" s="412">
        <f t="shared" si="152"/>
        <v>0</v>
      </c>
      <c r="M293" s="412">
        <f t="shared" si="152"/>
        <v>0</v>
      </c>
      <c r="N293" s="412">
        <f t="shared" si="152"/>
        <v>0</v>
      </c>
      <c r="O293" s="412">
        <f t="shared" si="152"/>
        <v>0</v>
      </c>
      <c r="P293" s="412">
        <f t="shared" si="152"/>
        <v>0</v>
      </c>
      <c r="Q293" s="412">
        <f t="shared" si="152"/>
        <v>0</v>
      </c>
      <c r="R293" s="412">
        <f t="shared" si="152"/>
        <v>0</v>
      </c>
      <c r="S293" s="412">
        <f t="shared" si="152"/>
        <v>0</v>
      </c>
      <c r="T293" s="412">
        <f t="shared" si="152"/>
        <v>0</v>
      </c>
      <c r="U293" s="412">
        <f t="shared" si="152"/>
        <v>0</v>
      </c>
      <c r="V293" s="412">
        <f t="shared" si="152"/>
        <v>0</v>
      </c>
      <c r="W293" s="412">
        <f t="shared" si="152"/>
        <v>0</v>
      </c>
      <c r="X293" s="412">
        <f t="shared" si="152"/>
        <v>0</v>
      </c>
      <c r="Y293" s="412">
        <f t="shared" si="152"/>
        <v>0</v>
      </c>
    </row>
    <row r="295" spans="2:27" x14ac:dyDescent="0.25">
      <c r="C295" s="86"/>
      <c r="E295" s="295" t="s">
        <v>446</v>
      </c>
      <c r="G295" s="122" t="s">
        <v>692</v>
      </c>
      <c r="H295" s="152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0" priority="20" operator="greaterThan">
      <formula>0</formula>
    </cfRule>
  </conditionalFormatting>
  <conditionalFormatting sqref="H293">
    <cfRule type="cellIs" dxfId="69" priority="19" operator="greaterThan">
      <formula>0</formula>
    </cfRule>
  </conditionalFormatting>
  <conditionalFormatting sqref="H295">
    <cfRule type="cellIs" dxfId="68" priority="18" operator="greaterThan">
      <formula>0</formula>
    </cfRule>
  </conditionalFormatting>
  <conditionalFormatting sqref="A4:I4 Z4:XFD4">
    <cfRule type="expression" dxfId="67" priority="17">
      <formula>LEFT($A$4,1) &lt;&gt; "0"</formula>
    </cfRule>
  </conditionalFormatting>
  <conditionalFormatting sqref="N293:P293">
    <cfRule type="cellIs" dxfId="66" priority="16" operator="greaterThan">
      <formula>0</formula>
    </cfRule>
  </conditionalFormatting>
  <conditionalFormatting sqref="N4:P4">
    <cfRule type="expression" dxfId="65" priority="15">
      <formula>LEFT($A$4,1) &lt;&gt; "0"</formula>
    </cfRule>
  </conditionalFormatting>
  <conditionalFormatting sqref="L293:M293">
    <cfRule type="cellIs" dxfId="64" priority="14" operator="greaterThan">
      <formula>0</formula>
    </cfRule>
  </conditionalFormatting>
  <conditionalFormatting sqref="L4:M4">
    <cfRule type="expression" dxfId="63" priority="13">
      <formula>LEFT($A$4,1) &lt;&gt; "0"</formula>
    </cfRule>
  </conditionalFormatting>
  <conditionalFormatting sqref="J293:K293">
    <cfRule type="cellIs" dxfId="62" priority="12" operator="greaterThan">
      <formula>0</formula>
    </cfRule>
  </conditionalFormatting>
  <conditionalFormatting sqref="J4:K4">
    <cfRule type="expression" dxfId="61" priority="11">
      <formula>LEFT($A$4,1) &lt;&gt; "0"</formula>
    </cfRule>
  </conditionalFormatting>
  <conditionalFormatting sqref="Q293">
    <cfRule type="cellIs" dxfId="60" priority="10" operator="greaterThan">
      <formula>0</formula>
    </cfRule>
  </conditionalFormatting>
  <conditionalFormatting sqref="Q4">
    <cfRule type="expression" dxfId="59" priority="9">
      <formula>LEFT($A$4,1) &lt;&gt; "0"</formula>
    </cfRule>
  </conditionalFormatting>
  <conditionalFormatting sqref="R293:S293">
    <cfRule type="cellIs" dxfId="58" priority="8" operator="greaterThan">
      <formula>0</formula>
    </cfRule>
  </conditionalFormatting>
  <conditionalFormatting sqref="R4:S4">
    <cfRule type="expression" dxfId="57" priority="7">
      <formula>LEFT($A$4,1) &lt;&gt; "0"</formula>
    </cfRule>
  </conditionalFormatting>
  <conditionalFormatting sqref="T293:U293">
    <cfRule type="cellIs" dxfId="56" priority="6" operator="greaterThan">
      <formula>0</formula>
    </cfRule>
  </conditionalFormatting>
  <conditionalFormatting sqref="T4:U4">
    <cfRule type="expression" dxfId="55" priority="5">
      <formula>LEFT($A$4,1) &lt;&gt; "0"</formula>
    </cfRule>
  </conditionalFormatting>
  <conditionalFormatting sqref="V293:W293">
    <cfRule type="cellIs" dxfId="54" priority="4" operator="greaterThan">
      <formula>0</formula>
    </cfRule>
  </conditionalFormatting>
  <conditionalFormatting sqref="V4:W4">
    <cfRule type="expression" dxfId="53" priority="3">
      <formula>LEFT($A$4,1) &lt;&gt; "0"</formula>
    </cfRule>
  </conditionalFormatting>
  <conditionalFormatting sqref="X293:Y293">
    <cfRule type="cellIs" dxfId="52" priority="2" operator="greaterThan">
      <formula>0</formula>
    </cfRule>
  </conditionalFormatting>
  <conditionalFormatting sqref="X4:Y4">
    <cfRule type="expression" dxfId="51" priority="1">
      <formula>LEFT($A$4,1) &lt;&gt; "0"</formula>
    </cfRule>
  </conditionalFormatting>
  <hyperlinks>
    <hyperlink ref="B5:F5" location="'Model map'!A1" display="Click here to return to model map" xr:uid="{00000000-0004-0000-1D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3">
    <tabColor theme="4" tint="0.59999389629810485"/>
    <pageSetUpPr fitToPage="1"/>
  </sheetPr>
  <dimension ref="A1:KZ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2" width="24.5703125" style="295" hidden="1" customWidth="1"/>
    <col min="313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476</v>
      </c>
      <c r="E9" s="295"/>
    </row>
    <row r="10" spans="1:27" x14ac:dyDescent="0.25">
      <c r="D10" s="301" t="s">
        <v>934</v>
      </c>
      <c r="E10" s="295"/>
    </row>
    <row r="11" spans="1:27" x14ac:dyDescent="0.25">
      <c r="D11" s="82" t="s">
        <v>477</v>
      </c>
      <c r="E11" s="295"/>
    </row>
    <row r="12" spans="1:27" x14ac:dyDescent="0.25">
      <c r="D12" s="301" t="s">
        <v>935</v>
      </c>
      <c r="E12" s="295"/>
    </row>
    <row r="14" spans="1:27" x14ac:dyDescent="0.25">
      <c r="B14" s="95" t="s">
        <v>767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control'!$H$34:$H$58,MATCH($A$1,'Version control'!$F$34:$F$58,0),1)&amp;"-A: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5"/>
      <c r="E17" s="96"/>
      <c r="I17" s="295" t="s">
        <v>431</v>
      </c>
      <c r="AA17" s="295" t="s">
        <v>936</v>
      </c>
    </row>
    <row r="18" spans="3:27" x14ac:dyDescent="0.25">
      <c r="C18" s="86"/>
      <c r="E18" s="295" t="s">
        <v>474</v>
      </c>
      <c r="G18" s="295" t="s">
        <v>74</v>
      </c>
      <c r="J18" s="274">
        <f>'Volume adjustments'!J103</f>
        <v>1415083.5554134548</v>
      </c>
      <c r="K18" s="274">
        <f>'Volume adjustments'!K103</f>
        <v>3359</v>
      </c>
      <c r="L18" s="274">
        <f>'Volume adjustments'!L103</f>
        <v>98405.398301340843</v>
      </c>
      <c r="M18" s="274">
        <f>'Volume adjustments'!M103</f>
        <v>996</v>
      </c>
      <c r="N18" s="274">
        <f>'Volume adjustments'!N103</f>
        <v>5405.7195277054234</v>
      </c>
      <c r="O18" s="274">
        <f>'Volume adjustments'!O103</f>
        <v>3075.3195705958001</v>
      </c>
      <c r="P18" s="274">
        <f>'Volume adjustments'!P103</f>
        <v>811.56243369202832</v>
      </c>
      <c r="Q18" s="274">
        <f>'Volume adjustments'!Q103</f>
        <v>609.10476413159176</v>
      </c>
      <c r="R18" s="274">
        <f>'Volume adjustments'!R103</f>
        <v>156</v>
      </c>
      <c r="S18" s="274">
        <f>'Volume adjustments'!S103</f>
        <v>24</v>
      </c>
      <c r="T18" s="274">
        <f>'Volume adjustments'!T103</f>
        <v>313</v>
      </c>
      <c r="U18" s="274">
        <f>'Volume adjustments'!U103</f>
        <v>0</v>
      </c>
      <c r="V18" s="274">
        <f>'Volume adjustments'!V103</f>
        <v>41</v>
      </c>
      <c r="W18" s="274">
        <f>'Volume adjustments'!W103</f>
        <v>0</v>
      </c>
      <c r="X18" s="274">
        <f>'Volume adjustments'!X103</f>
        <v>133</v>
      </c>
      <c r="Y18" s="274">
        <f>'Volume adjustments'!Y103</f>
        <v>0</v>
      </c>
    </row>
    <row r="19" spans="3:27" x14ac:dyDescent="0.25">
      <c r="C19" s="86"/>
      <c r="E19" s="295"/>
      <c r="J19" s="274"/>
      <c r="K19" s="274"/>
      <c r="L19" s="274"/>
      <c r="M19" s="274"/>
      <c r="N19" s="274"/>
      <c r="O19" s="274"/>
      <c r="P19" s="274"/>
      <c r="Q19" s="274"/>
      <c r="R19" s="274"/>
      <c r="S19" s="274"/>
      <c r="T19" s="274"/>
      <c r="U19" s="274"/>
      <c r="V19" s="274"/>
      <c r="W19" s="274"/>
      <c r="X19" s="274"/>
      <c r="Y19" s="274"/>
    </row>
    <row r="20" spans="3:27" x14ac:dyDescent="0.25">
      <c r="C20" s="86"/>
      <c r="E20" s="295" t="s">
        <v>304</v>
      </c>
      <c r="G20" s="295" t="s">
        <v>102</v>
      </c>
      <c r="H20" s="90"/>
      <c r="J20" s="274">
        <f>'System peak demand'!J200</f>
        <v>1109.7776200519793</v>
      </c>
      <c r="K20" s="274">
        <f>'System peak demand'!K200</f>
        <v>12.650259747998865</v>
      </c>
      <c r="L20" s="274">
        <f>'System peak demand'!L200</f>
        <v>433.30136880432048</v>
      </c>
      <c r="M20" s="274">
        <f>'System peak demand'!M200</f>
        <v>3.2982663555992024</v>
      </c>
      <c r="N20" s="274">
        <f>'System peak demand'!N200</f>
        <v>195.17631530657536</v>
      </c>
      <c r="O20" s="274">
        <f>'System peak demand'!O200</f>
        <v>228.79839612260383</v>
      </c>
      <c r="P20" s="274">
        <f>'System peak demand'!P200</f>
        <v>290.50229997110557</v>
      </c>
      <c r="Q20" s="274">
        <f>'System peak demand'!Q200</f>
        <v>37.755597839558355</v>
      </c>
      <c r="R20" s="274">
        <f>'System peak demand'!R200</f>
        <v>0</v>
      </c>
      <c r="S20" s="274">
        <f>'System peak demand'!S200</f>
        <v>0</v>
      </c>
      <c r="T20" s="274">
        <f>'System peak demand'!T200</f>
        <v>0</v>
      </c>
      <c r="U20" s="274">
        <f>'System peak demand'!U200</f>
        <v>0</v>
      </c>
      <c r="V20" s="274">
        <f>'System peak demand'!V200</f>
        <v>0</v>
      </c>
      <c r="W20" s="274">
        <f>'System peak demand'!W200</f>
        <v>0</v>
      </c>
      <c r="X20" s="274">
        <f>'System peak demand'!X200</f>
        <v>0</v>
      </c>
      <c r="Y20" s="274">
        <f>'System peak demand'!Y200</f>
        <v>0</v>
      </c>
    </row>
    <row r="21" spans="3:27" x14ac:dyDescent="0.25"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3"/>
      <c r="V21" s="253"/>
      <c r="W21" s="253"/>
      <c r="X21" s="253"/>
      <c r="Y21" s="253"/>
    </row>
    <row r="22" spans="3:27" x14ac:dyDescent="0.25">
      <c r="C22" s="7" t="str">
        <f ca="1">INDEX('Version control'!$H$34:$H$58,MATCH($A$1,'Version control'!$F$34:$F$58,0),1)&amp;"-B: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7"/>
      <c r="AA22" s="7"/>
    </row>
    <row r="23" spans="3:27" x14ac:dyDescent="0.25">
      <c r="D23" s="295"/>
      <c r="E23" s="96"/>
      <c r="I23" s="295" t="s">
        <v>431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3"/>
      <c r="V23" s="253"/>
      <c r="W23" s="253"/>
      <c r="X23" s="253"/>
      <c r="Y23" s="253"/>
      <c r="AA23" s="295" t="s">
        <v>936</v>
      </c>
    </row>
    <row r="24" spans="3:27" x14ac:dyDescent="0.25">
      <c r="C24" s="86"/>
      <c r="E24" s="96" t="s">
        <v>139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25">
      <c r="C25" s="86"/>
      <c r="E25" s="82"/>
      <c r="F25" s="91" t="s">
        <v>324</v>
      </c>
      <c r="G25" s="91" t="s">
        <v>308</v>
      </c>
      <c r="H25" s="91"/>
      <c r="I25" s="91"/>
      <c r="J25" s="239"/>
      <c r="K25" s="239"/>
      <c r="L25" s="239"/>
      <c r="M25" s="239"/>
      <c r="N25" s="239"/>
      <c r="O25" s="239"/>
      <c r="P25" s="239"/>
      <c r="Q25" s="239"/>
      <c r="R25" s="239"/>
      <c r="S25" s="239"/>
      <c r="T25" s="239"/>
      <c r="U25" s="239"/>
      <c r="V25" s="239"/>
      <c r="W25" s="239"/>
      <c r="X25" s="239"/>
      <c r="Y25" s="239"/>
    </row>
    <row r="26" spans="3:27" x14ac:dyDescent="0.25">
      <c r="C26" s="86"/>
      <c r="E26" s="82"/>
      <c r="F26" s="295" t="s">
        <v>43</v>
      </c>
      <c r="G26" s="295" t="s">
        <v>308</v>
      </c>
      <c r="J26" s="280"/>
      <c r="K26" s="280"/>
      <c r="L26" s="280"/>
      <c r="M26" s="280"/>
      <c r="N26" s="280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280"/>
    </row>
    <row r="27" spans="3:27" x14ac:dyDescent="0.25">
      <c r="C27" s="86"/>
      <c r="E27" s="82"/>
      <c r="F27" s="295" t="s">
        <v>44</v>
      </c>
      <c r="G27" s="295" t="s">
        <v>308</v>
      </c>
      <c r="J27" s="274">
        <f>'Capacity charges'!J264</f>
        <v>0</v>
      </c>
      <c r="K27" s="274">
        <f>'Capacity charges'!K264</f>
        <v>0</v>
      </c>
      <c r="L27" s="274">
        <f>'Capacity charges'!L264</f>
        <v>0</v>
      </c>
      <c r="M27" s="274">
        <f>'Capacity charges'!M264</f>
        <v>0</v>
      </c>
      <c r="N27" s="274">
        <f>'Capacity charges'!N264</f>
        <v>0</v>
      </c>
      <c r="O27" s="274">
        <f>'Capacity charges'!O264</f>
        <v>0</v>
      </c>
      <c r="P27" s="274">
        <f>'Capacity charges'!P264</f>
        <v>0</v>
      </c>
      <c r="Q27" s="274">
        <f>'Capacity charges'!Q264</f>
        <v>0</v>
      </c>
      <c r="R27" s="274">
        <f>'Capacity charges'!R264</f>
        <v>0</v>
      </c>
      <c r="S27" s="274">
        <f>'Capacity charges'!S264</f>
        <v>0</v>
      </c>
      <c r="T27" s="274">
        <f>'Capacity charges'!T264</f>
        <v>0</v>
      </c>
      <c r="U27" s="274">
        <f>'Capacity charges'!U264</f>
        <v>0</v>
      </c>
      <c r="V27" s="274">
        <f>'Capacity charges'!V264</f>
        <v>0</v>
      </c>
      <c r="W27" s="274">
        <f>'Capacity charges'!W264</f>
        <v>0</v>
      </c>
      <c r="X27" s="274">
        <f>'Capacity charges'!X264</f>
        <v>0</v>
      </c>
      <c r="Y27" s="274">
        <f>'Capacity charges'!Y264</f>
        <v>0</v>
      </c>
    </row>
    <row r="28" spans="3:27" x14ac:dyDescent="0.25">
      <c r="C28" s="86"/>
      <c r="E28" s="82"/>
      <c r="F28" s="295" t="s">
        <v>45</v>
      </c>
      <c r="G28" s="295" t="s">
        <v>308</v>
      </c>
      <c r="J28" s="274">
        <f>'Capacity charges'!J265</f>
        <v>0</v>
      </c>
      <c r="K28" s="274">
        <f>'Capacity charges'!K265</f>
        <v>0</v>
      </c>
      <c r="L28" s="274">
        <f>'Capacity charges'!L265</f>
        <v>0</v>
      </c>
      <c r="M28" s="274">
        <f>'Capacity charges'!M265</f>
        <v>0</v>
      </c>
      <c r="N28" s="274">
        <f>'Capacity charges'!N265</f>
        <v>0</v>
      </c>
      <c r="O28" s="274">
        <f>'Capacity charges'!O265</f>
        <v>0</v>
      </c>
      <c r="P28" s="274">
        <f>'Capacity charges'!P265</f>
        <v>0</v>
      </c>
      <c r="Q28" s="274">
        <f>'Capacity charges'!Q265</f>
        <v>0</v>
      </c>
      <c r="R28" s="274">
        <f>'Capacity charges'!R265</f>
        <v>0</v>
      </c>
      <c r="S28" s="274">
        <f>'Capacity charges'!S265</f>
        <v>0</v>
      </c>
      <c r="T28" s="274">
        <f>'Capacity charges'!T265</f>
        <v>0</v>
      </c>
      <c r="U28" s="274">
        <f>'Capacity charges'!U265</f>
        <v>0</v>
      </c>
      <c r="V28" s="274">
        <f>'Capacity charges'!V265</f>
        <v>0</v>
      </c>
      <c r="W28" s="274">
        <f>'Capacity charges'!W265</f>
        <v>0</v>
      </c>
      <c r="X28" s="274">
        <f>'Capacity charges'!X265</f>
        <v>0</v>
      </c>
      <c r="Y28" s="274">
        <f>'Capacity charges'!Y265</f>
        <v>0</v>
      </c>
    </row>
    <row r="29" spans="3:27" x14ac:dyDescent="0.25">
      <c r="C29" s="86"/>
      <c r="E29" s="82"/>
      <c r="F29" s="295" t="s">
        <v>46</v>
      </c>
      <c r="G29" s="295" t="s">
        <v>308</v>
      </c>
      <c r="J29" s="274">
        <f>'Capacity charges'!J266</f>
        <v>0</v>
      </c>
      <c r="K29" s="274">
        <f>'Capacity charges'!K266</f>
        <v>0</v>
      </c>
      <c r="L29" s="274">
        <f>'Capacity charges'!L266</f>
        <v>0</v>
      </c>
      <c r="M29" s="274">
        <f>'Capacity charges'!M266</f>
        <v>0</v>
      </c>
      <c r="N29" s="274">
        <f>'Capacity charges'!N266</f>
        <v>0</v>
      </c>
      <c r="O29" s="274">
        <f>'Capacity charges'!O266</f>
        <v>0</v>
      </c>
      <c r="P29" s="274">
        <f>'Capacity charges'!P266</f>
        <v>0</v>
      </c>
      <c r="Q29" s="274">
        <f>'Capacity charges'!Q266</f>
        <v>0</v>
      </c>
      <c r="R29" s="274">
        <f>'Capacity charges'!R266</f>
        <v>0</v>
      </c>
      <c r="S29" s="274">
        <f>'Capacity charges'!S266</f>
        <v>0</v>
      </c>
      <c r="T29" s="274">
        <f>'Capacity charges'!T266</f>
        <v>0</v>
      </c>
      <c r="U29" s="274">
        <f>'Capacity charges'!U266</f>
        <v>0</v>
      </c>
      <c r="V29" s="274">
        <f>'Capacity charges'!V266</f>
        <v>0</v>
      </c>
      <c r="W29" s="274">
        <f>'Capacity charges'!W266</f>
        <v>0</v>
      </c>
      <c r="X29" s="274">
        <f>'Capacity charges'!X266</f>
        <v>0</v>
      </c>
      <c r="Y29" s="274">
        <f>'Capacity charges'!Y266</f>
        <v>0</v>
      </c>
    </row>
    <row r="30" spans="3:27" x14ac:dyDescent="0.25">
      <c r="C30" s="86"/>
      <c r="E30" s="82"/>
      <c r="F30" s="295" t="s">
        <v>47</v>
      </c>
      <c r="G30" s="295" t="s">
        <v>308</v>
      </c>
      <c r="J30" s="274">
        <f>'Capacity charges'!J267</f>
        <v>0</v>
      </c>
      <c r="K30" s="274">
        <f>'Capacity charges'!K267</f>
        <v>0</v>
      </c>
      <c r="L30" s="274">
        <f>'Capacity charges'!L267</f>
        <v>0</v>
      </c>
      <c r="M30" s="274">
        <f>'Capacity charges'!M267</f>
        <v>0</v>
      </c>
      <c r="N30" s="274">
        <f>'Capacity charges'!N267</f>
        <v>0</v>
      </c>
      <c r="O30" s="274">
        <f>'Capacity charges'!O267</f>
        <v>0</v>
      </c>
      <c r="P30" s="274">
        <f>'Capacity charges'!P267</f>
        <v>0</v>
      </c>
      <c r="Q30" s="274">
        <f>'Capacity charges'!Q267</f>
        <v>0</v>
      </c>
      <c r="R30" s="274">
        <f>'Capacity charges'!R267</f>
        <v>0</v>
      </c>
      <c r="S30" s="274">
        <f>'Capacity charges'!S267</f>
        <v>0</v>
      </c>
      <c r="T30" s="274">
        <f>'Capacity charges'!T267</f>
        <v>0</v>
      </c>
      <c r="U30" s="274">
        <f>'Capacity charges'!U267</f>
        <v>0</v>
      </c>
      <c r="V30" s="274">
        <f>'Capacity charges'!V267</f>
        <v>0</v>
      </c>
      <c r="W30" s="274">
        <f>'Capacity charges'!W267</f>
        <v>0</v>
      </c>
      <c r="X30" s="274">
        <f>'Capacity charges'!X267</f>
        <v>0</v>
      </c>
      <c r="Y30" s="274">
        <f>'Capacity charges'!Y267</f>
        <v>0</v>
      </c>
    </row>
    <row r="31" spans="3:27" x14ac:dyDescent="0.25">
      <c r="C31" s="86"/>
      <c r="E31" s="82"/>
      <c r="F31" s="295" t="s">
        <v>51</v>
      </c>
      <c r="G31" s="295" t="s">
        <v>308</v>
      </c>
      <c r="J31" s="274">
        <f>'Capacity charges'!J268</f>
        <v>0</v>
      </c>
      <c r="K31" s="274">
        <f>'Capacity charges'!K268</f>
        <v>0</v>
      </c>
      <c r="L31" s="274">
        <f>'Capacity charges'!L268</f>
        <v>0</v>
      </c>
      <c r="M31" s="274">
        <f>'Capacity charges'!M268</f>
        <v>0</v>
      </c>
      <c r="N31" s="274">
        <f>'Capacity charges'!N268</f>
        <v>0</v>
      </c>
      <c r="O31" s="274">
        <f>'Capacity charges'!O268</f>
        <v>0</v>
      </c>
      <c r="P31" s="274">
        <f>'Capacity charges'!P268</f>
        <v>0</v>
      </c>
      <c r="Q31" s="274">
        <f>'Capacity charges'!Q268</f>
        <v>0</v>
      </c>
      <c r="R31" s="274">
        <f>'Capacity charges'!R268</f>
        <v>0</v>
      </c>
      <c r="S31" s="274">
        <f>'Capacity charges'!S268</f>
        <v>0</v>
      </c>
      <c r="T31" s="274">
        <f>'Capacity charges'!T268</f>
        <v>0</v>
      </c>
      <c r="U31" s="274">
        <f>'Capacity charges'!U268</f>
        <v>0</v>
      </c>
      <c r="V31" s="274">
        <f>'Capacity charges'!V268</f>
        <v>0</v>
      </c>
      <c r="W31" s="274">
        <f>'Capacity charges'!W268</f>
        <v>0</v>
      </c>
      <c r="X31" s="274">
        <f>'Capacity charges'!X268</f>
        <v>0</v>
      </c>
      <c r="Y31" s="274">
        <f>'Capacity charges'!Y268</f>
        <v>0</v>
      </c>
    </row>
    <row r="32" spans="3:27" x14ac:dyDescent="0.25">
      <c r="C32" s="86"/>
      <c r="E32" s="82"/>
      <c r="F32" s="295" t="s">
        <v>48</v>
      </c>
      <c r="G32" s="295" t="s">
        <v>308</v>
      </c>
      <c r="J32" s="274">
        <f>'Capacity charges'!J269</f>
        <v>0</v>
      </c>
      <c r="K32" s="274">
        <f>'Capacity charges'!K269</f>
        <v>0</v>
      </c>
      <c r="L32" s="274">
        <f>'Capacity charges'!L269</f>
        <v>0</v>
      </c>
      <c r="M32" s="274">
        <f>'Capacity charges'!M269</f>
        <v>0</v>
      </c>
      <c r="N32" s="274">
        <f>'Capacity charges'!N269</f>
        <v>0</v>
      </c>
      <c r="O32" s="274">
        <f>'Capacity charges'!O269</f>
        <v>0</v>
      </c>
      <c r="P32" s="274">
        <f>'Capacity charges'!P269</f>
        <v>0</v>
      </c>
      <c r="Q32" s="274">
        <f>'Capacity charges'!Q269</f>
        <v>0</v>
      </c>
      <c r="R32" s="274">
        <f>'Capacity charges'!R269</f>
        <v>0</v>
      </c>
      <c r="S32" s="274">
        <f>'Capacity charges'!S269</f>
        <v>0</v>
      </c>
      <c r="T32" s="274">
        <f>'Capacity charges'!T269</f>
        <v>0</v>
      </c>
      <c r="U32" s="274">
        <f>'Capacity charges'!U269</f>
        <v>0</v>
      </c>
      <c r="V32" s="274">
        <f>'Capacity charges'!V269</f>
        <v>0</v>
      </c>
      <c r="W32" s="274">
        <f>'Capacity charges'!W269</f>
        <v>0</v>
      </c>
      <c r="X32" s="274">
        <f>'Capacity charges'!X269</f>
        <v>0</v>
      </c>
      <c r="Y32" s="274">
        <f>'Capacity charges'!Y269</f>
        <v>0</v>
      </c>
    </row>
    <row r="33" spans="3:25" x14ac:dyDescent="0.25">
      <c r="C33" s="86"/>
      <c r="E33" s="82"/>
      <c r="F33" s="295" t="s">
        <v>49</v>
      </c>
      <c r="G33" s="295" t="s">
        <v>308</v>
      </c>
      <c r="J33" s="274">
        <f>'Capacity charges'!J270</f>
        <v>0</v>
      </c>
      <c r="K33" s="274">
        <f>'Capacity charges'!K270</f>
        <v>0</v>
      </c>
      <c r="L33" s="274">
        <f>'Capacity charges'!L270</f>
        <v>0</v>
      </c>
      <c r="M33" s="274">
        <f>'Capacity charges'!M270</f>
        <v>0</v>
      </c>
      <c r="N33" s="274">
        <f>'Capacity charges'!N270</f>
        <v>0</v>
      </c>
      <c r="O33" s="274">
        <f>'Capacity charges'!O270</f>
        <v>0</v>
      </c>
      <c r="P33" s="274">
        <f>'Capacity charges'!P270</f>
        <v>0</v>
      </c>
      <c r="Q33" s="274">
        <f>'Capacity charges'!Q270</f>
        <v>0</v>
      </c>
      <c r="R33" s="274">
        <f>'Capacity charges'!R270</f>
        <v>0</v>
      </c>
      <c r="S33" s="274">
        <f>'Capacity charges'!S270</f>
        <v>0</v>
      </c>
      <c r="T33" s="274">
        <f>'Capacity charges'!T270</f>
        <v>0</v>
      </c>
      <c r="U33" s="274">
        <f>'Capacity charges'!U270</f>
        <v>0</v>
      </c>
      <c r="V33" s="274">
        <f>'Capacity charges'!V270</f>
        <v>0</v>
      </c>
      <c r="W33" s="274">
        <f>'Capacity charges'!W270</f>
        <v>0</v>
      </c>
      <c r="X33" s="274">
        <f>'Capacity charges'!X270</f>
        <v>0</v>
      </c>
      <c r="Y33" s="274">
        <f>'Capacity charges'!Y270</f>
        <v>0</v>
      </c>
    </row>
    <row r="34" spans="3:25" x14ac:dyDescent="0.25">
      <c r="C34" s="86"/>
      <c r="E34" s="82"/>
      <c r="F34" s="295" t="s">
        <v>50</v>
      </c>
      <c r="G34" s="295" t="s">
        <v>308</v>
      </c>
      <c r="J34" s="274">
        <f>'Capacity charges'!J271</f>
        <v>6.2918229299220738E-2</v>
      </c>
      <c r="K34" s="274">
        <f>'Capacity charges'!K271</f>
        <v>0</v>
      </c>
      <c r="L34" s="274">
        <f>'Capacity charges'!L271</f>
        <v>6.2918229299220738E-2</v>
      </c>
      <c r="M34" s="274">
        <f>'Capacity charges'!M271</f>
        <v>0</v>
      </c>
      <c r="N34" s="274">
        <f>'Capacity charges'!N271</f>
        <v>0</v>
      </c>
      <c r="O34" s="274">
        <f>'Capacity charges'!O271</f>
        <v>0</v>
      </c>
      <c r="P34" s="274">
        <f>'Capacity charges'!P271</f>
        <v>0</v>
      </c>
      <c r="Q34" s="274">
        <f>'Capacity charges'!Q271</f>
        <v>0</v>
      </c>
      <c r="R34" s="274">
        <f>'Capacity charges'!R271</f>
        <v>0</v>
      </c>
      <c r="S34" s="274">
        <f>'Capacity charges'!S271</f>
        <v>0</v>
      </c>
      <c r="T34" s="274">
        <f>'Capacity charges'!T271</f>
        <v>0</v>
      </c>
      <c r="U34" s="274">
        <f>'Capacity charges'!U271</f>
        <v>0</v>
      </c>
      <c r="V34" s="274">
        <f>'Capacity charges'!V271</f>
        <v>0</v>
      </c>
      <c r="W34" s="274">
        <f>'Capacity charges'!W271</f>
        <v>0</v>
      </c>
      <c r="X34" s="274">
        <f>'Capacity charges'!X271</f>
        <v>0</v>
      </c>
      <c r="Y34" s="274">
        <f>'Capacity charges'!Y271</f>
        <v>0</v>
      </c>
    </row>
    <row r="35" spans="3:25" x14ac:dyDescent="0.25">
      <c r="C35" s="86"/>
      <c r="E35" s="82"/>
      <c r="F35" s="295" t="s">
        <v>124</v>
      </c>
      <c r="G35" s="295" t="s">
        <v>308</v>
      </c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5" x14ac:dyDescent="0.25">
      <c r="C36" s="86"/>
      <c r="E36" s="82"/>
      <c r="F36" s="93" t="s">
        <v>123</v>
      </c>
      <c r="G36" s="93" t="s">
        <v>308</v>
      </c>
      <c r="H36" s="93"/>
      <c r="I36" s="93"/>
      <c r="J36" s="241"/>
      <c r="K36" s="241"/>
      <c r="L36" s="241"/>
      <c r="M36" s="241"/>
      <c r="N36" s="241"/>
      <c r="O36" s="241"/>
      <c r="P36" s="241"/>
      <c r="Q36" s="241"/>
      <c r="R36" s="241"/>
      <c r="S36" s="241"/>
      <c r="T36" s="241"/>
      <c r="U36" s="241"/>
      <c r="V36" s="241"/>
      <c r="W36" s="241"/>
      <c r="X36" s="241"/>
      <c r="Y36" s="241"/>
    </row>
    <row r="37" spans="3:25" x14ac:dyDescent="0.25">
      <c r="C37" s="86"/>
      <c r="D37" s="295"/>
      <c r="E37" s="82"/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  <c r="U37" s="253"/>
      <c r="V37" s="253"/>
      <c r="W37" s="253"/>
      <c r="X37" s="253"/>
      <c r="Y37" s="253"/>
    </row>
    <row r="38" spans="3:25" x14ac:dyDescent="0.25">
      <c r="C38" s="86"/>
      <c r="E38" s="96" t="s">
        <v>116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5" x14ac:dyDescent="0.25">
      <c r="C39" s="86"/>
      <c r="F39" s="91" t="s">
        <v>324</v>
      </c>
      <c r="G39" s="91" t="s">
        <v>308</v>
      </c>
      <c r="H39" s="91"/>
      <c r="I39" s="91"/>
      <c r="J39" s="273">
        <f>'Capacity charges'!J276</f>
        <v>0</v>
      </c>
      <c r="K39" s="273">
        <f>'Capacity charges'!K276</f>
        <v>0</v>
      </c>
      <c r="L39" s="273">
        <f>'Capacity charges'!L276</f>
        <v>0</v>
      </c>
      <c r="M39" s="273">
        <f>'Capacity charges'!M276</f>
        <v>0</v>
      </c>
      <c r="N39" s="273">
        <f>'Capacity charges'!N276</f>
        <v>0</v>
      </c>
      <c r="O39" s="273">
        <f>'Capacity charges'!O276</f>
        <v>0</v>
      </c>
      <c r="P39" s="273">
        <f>'Capacity charges'!P276</f>
        <v>0</v>
      </c>
      <c r="Q39" s="273">
        <f>'Capacity charges'!Q276</f>
        <v>0</v>
      </c>
      <c r="R39" s="273">
        <f>'Capacity charges'!R276</f>
        <v>0</v>
      </c>
      <c r="S39" s="273">
        <f>'Capacity charges'!S276</f>
        <v>0</v>
      </c>
      <c r="T39" s="273">
        <f>'Capacity charges'!T276</f>
        <v>0</v>
      </c>
      <c r="U39" s="273">
        <f>'Capacity charges'!U276</f>
        <v>0</v>
      </c>
      <c r="V39" s="273">
        <f>'Capacity charges'!V276</f>
        <v>0</v>
      </c>
      <c r="W39" s="273">
        <f>'Capacity charges'!W276</f>
        <v>0</v>
      </c>
      <c r="X39" s="273">
        <f>'Capacity charges'!X276</f>
        <v>0</v>
      </c>
      <c r="Y39" s="273">
        <f>'Capacity charges'!Y276</f>
        <v>0</v>
      </c>
    </row>
    <row r="40" spans="3:25" x14ac:dyDescent="0.25">
      <c r="C40" s="86"/>
      <c r="F40" s="295" t="s">
        <v>43</v>
      </c>
      <c r="G40" s="295" t="s">
        <v>308</v>
      </c>
      <c r="J40" s="274">
        <f>'Capacity charges'!J277</f>
        <v>0</v>
      </c>
      <c r="K40" s="274">
        <f>'Capacity charges'!K277</f>
        <v>0</v>
      </c>
      <c r="L40" s="274">
        <f>'Capacity charges'!L277</f>
        <v>0</v>
      </c>
      <c r="M40" s="274">
        <f>'Capacity charges'!M277</f>
        <v>0</v>
      </c>
      <c r="N40" s="274">
        <f>'Capacity charges'!N277</f>
        <v>0</v>
      </c>
      <c r="O40" s="274">
        <f>'Capacity charges'!O277</f>
        <v>0</v>
      </c>
      <c r="P40" s="274">
        <f>'Capacity charges'!P277</f>
        <v>0</v>
      </c>
      <c r="Q40" s="274">
        <f>'Capacity charges'!Q277</f>
        <v>0</v>
      </c>
      <c r="R40" s="274">
        <f>'Capacity charges'!R277</f>
        <v>0</v>
      </c>
      <c r="S40" s="274">
        <f>'Capacity charges'!S277</f>
        <v>0</v>
      </c>
      <c r="T40" s="274">
        <f>'Capacity charges'!T277</f>
        <v>0</v>
      </c>
      <c r="U40" s="274">
        <f>'Capacity charges'!U277</f>
        <v>0</v>
      </c>
      <c r="V40" s="274">
        <f>'Capacity charges'!V277</f>
        <v>0</v>
      </c>
      <c r="W40" s="274">
        <f>'Capacity charges'!W277</f>
        <v>0</v>
      </c>
      <c r="X40" s="274">
        <f>'Capacity charges'!X277</f>
        <v>0</v>
      </c>
      <c r="Y40" s="274">
        <f>'Capacity charges'!Y277</f>
        <v>0</v>
      </c>
    </row>
    <row r="41" spans="3:25" x14ac:dyDescent="0.25">
      <c r="C41" s="86"/>
      <c r="F41" s="295" t="s">
        <v>44</v>
      </c>
      <c r="G41" s="295" t="s">
        <v>308</v>
      </c>
      <c r="J41" s="274">
        <f>'Capacity charges'!J278</f>
        <v>0</v>
      </c>
      <c r="K41" s="274">
        <f>'Capacity charges'!K278</f>
        <v>0</v>
      </c>
      <c r="L41" s="274">
        <f>'Capacity charges'!L278</f>
        <v>0</v>
      </c>
      <c r="M41" s="274">
        <f>'Capacity charges'!M278</f>
        <v>0</v>
      </c>
      <c r="N41" s="274">
        <f>'Capacity charges'!N278</f>
        <v>0</v>
      </c>
      <c r="O41" s="274">
        <f>'Capacity charges'!O278</f>
        <v>0</v>
      </c>
      <c r="P41" s="274">
        <f>'Capacity charges'!P278</f>
        <v>0</v>
      </c>
      <c r="Q41" s="274">
        <f>'Capacity charges'!Q278</f>
        <v>0</v>
      </c>
      <c r="R41" s="274">
        <f>'Capacity charges'!R278</f>
        <v>0</v>
      </c>
      <c r="S41" s="274">
        <f>'Capacity charges'!S278</f>
        <v>0</v>
      </c>
      <c r="T41" s="274">
        <f>'Capacity charges'!T278</f>
        <v>0</v>
      </c>
      <c r="U41" s="274">
        <f>'Capacity charges'!U278</f>
        <v>0</v>
      </c>
      <c r="V41" s="274">
        <f>'Capacity charges'!V278</f>
        <v>0</v>
      </c>
      <c r="W41" s="274">
        <f>'Capacity charges'!W278</f>
        <v>0</v>
      </c>
      <c r="X41" s="274">
        <f>'Capacity charges'!X278</f>
        <v>0</v>
      </c>
      <c r="Y41" s="274">
        <f>'Capacity charges'!Y278</f>
        <v>0</v>
      </c>
    </row>
    <row r="42" spans="3:25" x14ac:dyDescent="0.25">
      <c r="C42" s="86"/>
      <c r="F42" s="295" t="s">
        <v>45</v>
      </c>
      <c r="G42" s="295" t="s">
        <v>308</v>
      </c>
      <c r="J42" s="274">
        <f>'Capacity charges'!J279</f>
        <v>0</v>
      </c>
      <c r="K42" s="274">
        <f>'Capacity charges'!K279</f>
        <v>0</v>
      </c>
      <c r="L42" s="274">
        <f>'Capacity charges'!L279</f>
        <v>0</v>
      </c>
      <c r="M42" s="274">
        <f>'Capacity charges'!M279</f>
        <v>0</v>
      </c>
      <c r="N42" s="274">
        <f>'Capacity charges'!N279</f>
        <v>0</v>
      </c>
      <c r="O42" s="274">
        <f>'Capacity charges'!O279</f>
        <v>0</v>
      </c>
      <c r="P42" s="274">
        <f>'Capacity charges'!P279</f>
        <v>0</v>
      </c>
      <c r="Q42" s="274">
        <f>'Capacity charges'!Q279</f>
        <v>0</v>
      </c>
      <c r="R42" s="274">
        <f>'Capacity charges'!R279</f>
        <v>0</v>
      </c>
      <c r="S42" s="274">
        <f>'Capacity charges'!S279</f>
        <v>0</v>
      </c>
      <c r="T42" s="274">
        <f>'Capacity charges'!T279</f>
        <v>0</v>
      </c>
      <c r="U42" s="274">
        <f>'Capacity charges'!U279</f>
        <v>0</v>
      </c>
      <c r="V42" s="274">
        <f>'Capacity charges'!V279</f>
        <v>0</v>
      </c>
      <c r="W42" s="274">
        <f>'Capacity charges'!W279</f>
        <v>0</v>
      </c>
      <c r="X42" s="274">
        <f>'Capacity charges'!X279</f>
        <v>0</v>
      </c>
      <c r="Y42" s="274">
        <f>'Capacity charges'!Y279</f>
        <v>0</v>
      </c>
    </row>
    <row r="43" spans="3:25" x14ac:dyDescent="0.25">
      <c r="C43" s="86"/>
      <c r="F43" s="295" t="s">
        <v>46</v>
      </c>
      <c r="G43" s="295" t="s">
        <v>308</v>
      </c>
      <c r="J43" s="274">
        <f>'Capacity charges'!J280</f>
        <v>0</v>
      </c>
      <c r="K43" s="274">
        <f>'Capacity charges'!K280</f>
        <v>0</v>
      </c>
      <c r="L43" s="274">
        <f>'Capacity charges'!L280</f>
        <v>0</v>
      </c>
      <c r="M43" s="274">
        <f>'Capacity charges'!M280</f>
        <v>0</v>
      </c>
      <c r="N43" s="274">
        <f>'Capacity charges'!N280</f>
        <v>0</v>
      </c>
      <c r="O43" s="274">
        <f>'Capacity charges'!O280</f>
        <v>0</v>
      </c>
      <c r="P43" s="274">
        <f>'Capacity charges'!P280</f>
        <v>0</v>
      </c>
      <c r="Q43" s="274">
        <f>'Capacity charges'!Q280</f>
        <v>0</v>
      </c>
      <c r="R43" s="274">
        <f>'Capacity charges'!R280</f>
        <v>0</v>
      </c>
      <c r="S43" s="274">
        <f>'Capacity charges'!S280</f>
        <v>0</v>
      </c>
      <c r="T43" s="274">
        <f>'Capacity charges'!T280</f>
        <v>0</v>
      </c>
      <c r="U43" s="274">
        <f>'Capacity charges'!U280</f>
        <v>0</v>
      </c>
      <c r="V43" s="274">
        <f>'Capacity charges'!V280</f>
        <v>0</v>
      </c>
      <c r="W43" s="274">
        <f>'Capacity charges'!W280</f>
        <v>0</v>
      </c>
      <c r="X43" s="274">
        <f>'Capacity charges'!X280</f>
        <v>0</v>
      </c>
      <c r="Y43" s="274">
        <f>'Capacity charges'!Y280</f>
        <v>0</v>
      </c>
    </row>
    <row r="44" spans="3:25" x14ac:dyDescent="0.25">
      <c r="C44" s="86"/>
      <c r="F44" s="295" t="s">
        <v>47</v>
      </c>
      <c r="G44" s="295" t="s">
        <v>308</v>
      </c>
      <c r="J44" s="274">
        <f>'Capacity charges'!J281</f>
        <v>0</v>
      </c>
      <c r="K44" s="274">
        <f>'Capacity charges'!K281</f>
        <v>0</v>
      </c>
      <c r="L44" s="274">
        <f>'Capacity charges'!L281</f>
        <v>0</v>
      </c>
      <c r="M44" s="274">
        <f>'Capacity charges'!M281</f>
        <v>0</v>
      </c>
      <c r="N44" s="274">
        <f>'Capacity charges'!N281</f>
        <v>0</v>
      </c>
      <c r="O44" s="274">
        <f>'Capacity charges'!O281</f>
        <v>0</v>
      </c>
      <c r="P44" s="274">
        <f>'Capacity charges'!P281</f>
        <v>0</v>
      </c>
      <c r="Q44" s="274">
        <f>'Capacity charges'!Q281</f>
        <v>0</v>
      </c>
      <c r="R44" s="274">
        <f>'Capacity charges'!R281</f>
        <v>0</v>
      </c>
      <c r="S44" s="274">
        <f>'Capacity charges'!S281</f>
        <v>0</v>
      </c>
      <c r="T44" s="274">
        <f>'Capacity charges'!T281</f>
        <v>0</v>
      </c>
      <c r="U44" s="274">
        <f>'Capacity charges'!U281</f>
        <v>0</v>
      </c>
      <c r="V44" s="274">
        <f>'Capacity charges'!V281</f>
        <v>0</v>
      </c>
      <c r="W44" s="274">
        <f>'Capacity charges'!W281</f>
        <v>0</v>
      </c>
      <c r="X44" s="274">
        <f>'Capacity charges'!X281</f>
        <v>0</v>
      </c>
      <c r="Y44" s="274">
        <f>'Capacity charges'!Y281</f>
        <v>0</v>
      </c>
    </row>
    <row r="45" spans="3:25" x14ac:dyDescent="0.25">
      <c r="C45" s="86"/>
      <c r="F45" s="295" t="s">
        <v>51</v>
      </c>
      <c r="G45" s="295" t="s">
        <v>308</v>
      </c>
      <c r="J45" s="274">
        <f>'Capacity charges'!J282</f>
        <v>0</v>
      </c>
      <c r="K45" s="274">
        <f>'Capacity charges'!K282</f>
        <v>0</v>
      </c>
      <c r="L45" s="274">
        <f>'Capacity charges'!L282</f>
        <v>0</v>
      </c>
      <c r="M45" s="274">
        <f>'Capacity charges'!M282</f>
        <v>0</v>
      </c>
      <c r="N45" s="274">
        <f>'Capacity charges'!N282</f>
        <v>0</v>
      </c>
      <c r="O45" s="274">
        <f>'Capacity charges'!O282</f>
        <v>0</v>
      </c>
      <c r="P45" s="274">
        <f>'Capacity charges'!P282</f>
        <v>0</v>
      </c>
      <c r="Q45" s="274">
        <f>'Capacity charges'!Q282</f>
        <v>0</v>
      </c>
      <c r="R45" s="274">
        <f>'Capacity charges'!R282</f>
        <v>0</v>
      </c>
      <c r="S45" s="274">
        <f>'Capacity charges'!S282</f>
        <v>0</v>
      </c>
      <c r="T45" s="274">
        <f>'Capacity charges'!T282</f>
        <v>0</v>
      </c>
      <c r="U45" s="274">
        <f>'Capacity charges'!U282</f>
        <v>0</v>
      </c>
      <c r="V45" s="274">
        <f>'Capacity charges'!V282</f>
        <v>0</v>
      </c>
      <c r="W45" s="274">
        <f>'Capacity charges'!W282</f>
        <v>0</v>
      </c>
      <c r="X45" s="274">
        <f>'Capacity charges'!X282</f>
        <v>0</v>
      </c>
      <c r="Y45" s="274">
        <f>'Capacity charges'!Y282</f>
        <v>0</v>
      </c>
    </row>
    <row r="46" spans="3:25" x14ac:dyDescent="0.25">
      <c r="C46" s="86"/>
      <c r="F46" s="295" t="s">
        <v>48</v>
      </c>
      <c r="G46" s="295" t="s">
        <v>308</v>
      </c>
      <c r="J46" s="274">
        <f>'Capacity charges'!J283</f>
        <v>0</v>
      </c>
      <c r="K46" s="274">
        <f>'Capacity charges'!K283</f>
        <v>0</v>
      </c>
      <c r="L46" s="274">
        <f>'Capacity charges'!L283</f>
        <v>0</v>
      </c>
      <c r="M46" s="274">
        <f>'Capacity charges'!M283</f>
        <v>0</v>
      </c>
      <c r="N46" s="274">
        <f>'Capacity charges'!N283</f>
        <v>0</v>
      </c>
      <c r="O46" s="274">
        <f>'Capacity charges'!O283</f>
        <v>0</v>
      </c>
      <c r="P46" s="274">
        <f>'Capacity charges'!P283</f>
        <v>0</v>
      </c>
      <c r="Q46" s="274">
        <f>'Capacity charges'!Q283</f>
        <v>0</v>
      </c>
      <c r="R46" s="274">
        <f>'Capacity charges'!R283</f>
        <v>0</v>
      </c>
      <c r="S46" s="274">
        <f>'Capacity charges'!S283</f>
        <v>0</v>
      </c>
      <c r="T46" s="274">
        <f>'Capacity charges'!T283</f>
        <v>0</v>
      </c>
      <c r="U46" s="274">
        <f>'Capacity charges'!U283</f>
        <v>0</v>
      </c>
      <c r="V46" s="274">
        <f>'Capacity charges'!V283</f>
        <v>0</v>
      </c>
      <c r="W46" s="274">
        <f>'Capacity charges'!W283</f>
        <v>0</v>
      </c>
      <c r="X46" s="274">
        <f>'Capacity charges'!X283</f>
        <v>0</v>
      </c>
      <c r="Y46" s="274">
        <f>'Capacity charges'!Y283</f>
        <v>0</v>
      </c>
    </row>
    <row r="47" spans="3:25" x14ac:dyDescent="0.25">
      <c r="C47" s="86"/>
      <c r="F47" s="295" t="s">
        <v>49</v>
      </c>
      <c r="G47" s="295" t="s">
        <v>308</v>
      </c>
      <c r="J47" s="274">
        <f>'Capacity charges'!J284</f>
        <v>0</v>
      </c>
      <c r="K47" s="274">
        <f>'Capacity charges'!K284</f>
        <v>0</v>
      </c>
      <c r="L47" s="274">
        <f>'Capacity charges'!L284</f>
        <v>0</v>
      </c>
      <c r="M47" s="274">
        <f>'Capacity charges'!M284</f>
        <v>0</v>
      </c>
      <c r="N47" s="274">
        <f>'Capacity charges'!N284</f>
        <v>0</v>
      </c>
      <c r="O47" s="274">
        <f>'Capacity charges'!O284</f>
        <v>0</v>
      </c>
      <c r="P47" s="274">
        <f>'Capacity charges'!P284</f>
        <v>0</v>
      </c>
      <c r="Q47" s="274">
        <f>'Capacity charges'!Q284</f>
        <v>0</v>
      </c>
      <c r="R47" s="274">
        <f>'Capacity charges'!R284</f>
        <v>0</v>
      </c>
      <c r="S47" s="274">
        <f>'Capacity charges'!S284</f>
        <v>0</v>
      </c>
      <c r="T47" s="274">
        <f>'Capacity charges'!T284</f>
        <v>0</v>
      </c>
      <c r="U47" s="274">
        <f>'Capacity charges'!U284</f>
        <v>0</v>
      </c>
      <c r="V47" s="274">
        <f>'Capacity charges'!V284</f>
        <v>0</v>
      </c>
      <c r="W47" s="274">
        <f>'Capacity charges'!W284</f>
        <v>0</v>
      </c>
      <c r="X47" s="274">
        <f>'Capacity charges'!X284</f>
        <v>0</v>
      </c>
      <c r="Y47" s="274">
        <f>'Capacity charges'!Y284</f>
        <v>0</v>
      </c>
    </row>
    <row r="48" spans="3:25" x14ac:dyDescent="0.25">
      <c r="C48" s="86"/>
      <c r="F48" s="295" t="s">
        <v>50</v>
      </c>
      <c r="G48" s="295" t="s">
        <v>308</v>
      </c>
      <c r="J48" s="274">
        <f>'Capacity charges'!J285</f>
        <v>0.48223685227012819</v>
      </c>
      <c r="K48" s="274">
        <f>'Capacity charges'!K285</f>
        <v>0</v>
      </c>
      <c r="L48" s="274">
        <f>'Capacity charges'!L285</f>
        <v>0.48223685227012819</v>
      </c>
      <c r="M48" s="274">
        <f>'Capacity charges'!M285</f>
        <v>0</v>
      </c>
      <c r="N48" s="274">
        <f>'Capacity charges'!N285</f>
        <v>0</v>
      </c>
      <c r="O48" s="274">
        <f>'Capacity charges'!O285</f>
        <v>0</v>
      </c>
      <c r="P48" s="274">
        <f>'Capacity charges'!P285</f>
        <v>0</v>
      </c>
      <c r="Q48" s="274">
        <f>'Capacity charges'!Q285</f>
        <v>0</v>
      </c>
      <c r="R48" s="274">
        <f>'Capacity charges'!R285</f>
        <v>0</v>
      </c>
      <c r="S48" s="274">
        <f>'Capacity charges'!S285</f>
        <v>0</v>
      </c>
      <c r="T48" s="274">
        <f>'Capacity charges'!T285</f>
        <v>0</v>
      </c>
      <c r="U48" s="274">
        <f>'Capacity charges'!U285</f>
        <v>0</v>
      </c>
      <c r="V48" s="274">
        <f>'Capacity charges'!V285</f>
        <v>0</v>
      </c>
      <c r="W48" s="274">
        <f>'Capacity charges'!W285</f>
        <v>0</v>
      </c>
      <c r="X48" s="274">
        <f>'Capacity charges'!X285</f>
        <v>0</v>
      </c>
      <c r="Y48" s="274">
        <f>'Capacity charges'!Y285</f>
        <v>0</v>
      </c>
    </row>
    <row r="49" spans="3:27" x14ac:dyDescent="0.25">
      <c r="C49" s="86"/>
      <c r="F49" s="295" t="s">
        <v>124</v>
      </c>
      <c r="G49" s="295" t="s">
        <v>308</v>
      </c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25">
      <c r="C50" s="86"/>
      <c r="F50" s="93" t="s">
        <v>123</v>
      </c>
      <c r="G50" s="93" t="s">
        <v>308</v>
      </c>
      <c r="H50" s="93"/>
      <c r="I50" s="93"/>
      <c r="J50" s="241"/>
      <c r="K50" s="241"/>
      <c r="L50" s="241"/>
      <c r="M50" s="241"/>
      <c r="N50" s="241"/>
      <c r="O50" s="241"/>
      <c r="P50" s="241"/>
      <c r="Q50" s="241"/>
      <c r="R50" s="241"/>
      <c r="S50" s="241"/>
      <c r="T50" s="241"/>
      <c r="U50" s="241"/>
      <c r="V50" s="241"/>
      <c r="W50" s="241"/>
      <c r="X50" s="241"/>
      <c r="Y50" s="241"/>
    </row>
    <row r="51" spans="3:27" x14ac:dyDescent="0.25">
      <c r="C51" s="86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</row>
    <row r="52" spans="3:27" x14ac:dyDescent="0.25">
      <c r="C52" s="7" t="str">
        <f ca="1">INDEX('Version control'!$H$34:$H$58,MATCH($A$1,'Version control'!$F$34:$F$58,0),1)&amp;"-C: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7"/>
      <c r="AA52" s="7"/>
    </row>
    <row r="53" spans="3:27" x14ac:dyDescent="0.25">
      <c r="D53" s="295"/>
    </row>
    <row r="54" spans="3:27" x14ac:dyDescent="0.25">
      <c r="C54" s="96"/>
      <c r="D54" s="295"/>
      <c r="E54" s="96" t="s">
        <v>116</v>
      </c>
      <c r="I54" s="295" t="s">
        <v>431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  <c r="U54" s="253"/>
      <c r="V54" s="253"/>
      <c r="W54" s="253"/>
      <c r="X54" s="253"/>
      <c r="Y54" s="253"/>
      <c r="AA54" s="295" t="s">
        <v>937</v>
      </c>
    </row>
    <row r="55" spans="3:27" x14ac:dyDescent="0.25">
      <c r="C55" s="86"/>
      <c r="D55" s="295"/>
      <c r="F55" s="91" t="s">
        <v>124</v>
      </c>
      <c r="G55" s="91" t="s">
        <v>309</v>
      </c>
      <c r="H55" s="91"/>
      <c r="I55" s="91"/>
      <c r="J55" s="273">
        <f>'Service model charges'!J42</f>
        <v>2.6406342610129934</v>
      </c>
      <c r="K55" s="273">
        <f>'Service model charges'!K42</f>
        <v>0</v>
      </c>
      <c r="L55" s="273">
        <f>'Service model charges'!L42</f>
        <v>3.556851152476463</v>
      </c>
      <c r="M55" s="273">
        <f>'Service model charges'!M42</f>
        <v>0</v>
      </c>
      <c r="N55" s="273">
        <f>'Service model charges'!N42</f>
        <v>16.639421607654022</v>
      </c>
      <c r="O55" s="273">
        <f>'Service model charges'!O42</f>
        <v>5.8727370379955364</v>
      </c>
      <c r="P55" s="273">
        <f>'Service model charges'!P42</f>
        <v>0</v>
      </c>
      <c r="Q55" s="239"/>
      <c r="R55" s="273">
        <f>'Service model charges'!R42</f>
        <v>0</v>
      </c>
      <c r="S55" s="273">
        <f>'Service model charges'!S42</f>
        <v>0</v>
      </c>
      <c r="T55" s="273">
        <f>'Service model charges'!T42</f>
        <v>0</v>
      </c>
      <c r="U55" s="273">
        <f>'Service model charges'!U42</f>
        <v>0</v>
      </c>
      <c r="V55" s="273">
        <f>'Service model charges'!V42</f>
        <v>0</v>
      </c>
      <c r="W55" s="273">
        <f>'Service model charges'!W42</f>
        <v>0</v>
      </c>
      <c r="X55" s="273">
        <f>'Service model charges'!X42</f>
        <v>0</v>
      </c>
      <c r="Y55" s="273">
        <f>'Service model charges'!Y42</f>
        <v>0</v>
      </c>
    </row>
    <row r="56" spans="3:27" x14ac:dyDescent="0.25">
      <c r="C56" s="86"/>
      <c r="D56" s="295"/>
      <c r="F56" s="93" t="s">
        <v>123</v>
      </c>
      <c r="G56" s="93" t="s">
        <v>309</v>
      </c>
      <c r="H56" s="93"/>
      <c r="I56" s="93"/>
      <c r="J56" s="275">
        <f>'Service model charges'!J43</f>
        <v>0</v>
      </c>
      <c r="K56" s="275">
        <f>'Service model charges'!K43</f>
        <v>0</v>
      </c>
      <c r="L56" s="275">
        <f>'Service model charges'!L43</f>
        <v>0</v>
      </c>
      <c r="M56" s="275">
        <f>'Service model charges'!M43</f>
        <v>0</v>
      </c>
      <c r="N56" s="275">
        <f>'Service model charges'!N43</f>
        <v>0</v>
      </c>
      <c r="O56" s="275">
        <f>'Service model charges'!O43</f>
        <v>0</v>
      </c>
      <c r="P56" s="275">
        <f>'Service model charges'!P43</f>
        <v>88.916773164159807</v>
      </c>
      <c r="Q56" s="241"/>
      <c r="R56" s="275">
        <f>'Service model charges'!R43</f>
        <v>0</v>
      </c>
      <c r="S56" s="275">
        <f>'Service model charges'!S43</f>
        <v>0</v>
      </c>
      <c r="T56" s="275">
        <f>'Service model charges'!T43</f>
        <v>0</v>
      </c>
      <c r="U56" s="275">
        <f>'Service model charges'!U43</f>
        <v>0</v>
      </c>
      <c r="V56" s="275">
        <f>'Service model charges'!V43</f>
        <v>0</v>
      </c>
      <c r="W56" s="275">
        <f>'Service model charges'!W43</f>
        <v>0</v>
      </c>
      <c r="X56" s="275">
        <f>'Service model charges'!X43</f>
        <v>64.92870103793399</v>
      </c>
      <c r="Y56" s="275">
        <f>'Service model charges'!Y43</f>
        <v>64.92870103793399</v>
      </c>
    </row>
    <row r="57" spans="3:27" x14ac:dyDescent="0.25">
      <c r="C57" s="86"/>
      <c r="D57" s="295"/>
      <c r="F57" s="98"/>
    </row>
    <row r="58" spans="3:27" x14ac:dyDescent="0.25">
      <c r="C58" s="7" t="str">
        <f ca="1">INDEX('Version control'!$H$34:$H$58,MATCH($A$1,'Version control'!$F$34:$F$58,0),1)&amp;"-D: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5"/>
      <c r="E59" s="295"/>
    </row>
    <row r="60" spans="3:27" x14ac:dyDescent="0.25">
      <c r="D60" s="82" t="s">
        <v>475</v>
      </c>
      <c r="E60" s="295"/>
    </row>
    <row r="61" spans="3:27" x14ac:dyDescent="0.25">
      <c r="D61" s="82" t="s">
        <v>850</v>
      </c>
      <c r="E61" s="295"/>
    </row>
    <row r="62" spans="3:27" x14ac:dyDescent="0.25">
      <c r="D62" s="82"/>
      <c r="E62" s="295"/>
    </row>
    <row r="63" spans="3:27" x14ac:dyDescent="0.25">
      <c r="E63" s="295" t="s">
        <v>383</v>
      </c>
      <c r="G63" s="295" t="s">
        <v>527</v>
      </c>
      <c r="I63" s="295" t="s">
        <v>431</v>
      </c>
      <c r="J63" s="384">
        <f>'Fixed inputs'!J145</f>
        <v>1</v>
      </c>
      <c r="K63" s="384">
        <f>'Fixed inputs'!K145</f>
        <v>0</v>
      </c>
      <c r="L63" s="384">
        <f>'Fixed inputs'!L145</f>
        <v>1</v>
      </c>
      <c r="M63" s="384">
        <f>'Fixed inputs'!M145</f>
        <v>0</v>
      </c>
      <c r="N63" s="384">
        <f>'Fixed inputs'!N145</f>
        <v>0</v>
      </c>
      <c r="O63" s="384">
        <f>'Fixed inputs'!O145</f>
        <v>0</v>
      </c>
      <c r="P63" s="384">
        <f>'Fixed inputs'!P145</f>
        <v>0</v>
      </c>
      <c r="Q63" s="384">
        <f>'Fixed inputs'!Q145</f>
        <v>0</v>
      </c>
      <c r="R63" s="384">
        <f>'Fixed inputs'!R145</f>
        <v>0</v>
      </c>
      <c r="S63" s="384">
        <f>'Fixed inputs'!S145</f>
        <v>0</v>
      </c>
      <c r="T63" s="384">
        <f>'Fixed inputs'!T145</f>
        <v>0</v>
      </c>
      <c r="U63" s="384">
        <f>'Fixed inputs'!U145</f>
        <v>0</v>
      </c>
      <c r="V63" s="384">
        <f>'Fixed inputs'!V145</f>
        <v>0</v>
      </c>
      <c r="W63" s="384">
        <f>'Fixed inputs'!W145</f>
        <v>0</v>
      </c>
      <c r="X63" s="384">
        <f>'Fixed inputs'!X145</f>
        <v>0</v>
      </c>
      <c r="Y63" s="384">
        <f>'Fixed inputs'!Y145</f>
        <v>0</v>
      </c>
      <c r="AA63" s="295" t="s">
        <v>938</v>
      </c>
    </row>
    <row r="65" spans="2:27" x14ac:dyDescent="0.25">
      <c r="B65" s="95" t="s">
        <v>478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</row>
    <row r="67" spans="2:27" x14ac:dyDescent="0.25">
      <c r="C67" s="7" t="str">
        <f ca="1">INDEX('Version control'!$H$34:$H$58,MATCH($A$1,'Version control'!$F$34:$F$58,0),1)&amp;"-E: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7"/>
      <c r="AA67" s="7"/>
    </row>
    <row r="68" spans="2:27" x14ac:dyDescent="0.25">
      <c r="D68" s="295"/>
      <c r="E68" s="96"/>
      <c r="I68" s="295" t="s">
        <v>431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AA68" s="295" t="s">
        <v>938</v>
      </c>
    </row>
    <row r="69" spans="2:27" x14ac:dyDescent="0.25">
      <c r="C69" s="86"/>
      <c r="D69" s="295"/>
      <c r="E69" s="96" t="s">
        <v>139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</row>
    <row r="70" spans="2:27" x14ac:dyDescent="0.25">
      <c r="C70" s="86"/>
      <c r="D70" s="295"/>
      <c r="E70" s="82"/>
      <c r="F70" s="91" t="s">
        <v>324</v>
      </c>
      <c r="G70" s="91" t="s">
        <v>611</v>
      </c>
      <c r="H70" s="91"/>
      <c r="I70" s="91"/>
      <c r="J70" s="239"/>
      <c r="K70" s="239"/>
      <c r="L70" s="239"/>
      <c r="M70" s="239"/>
      <c r="N70" s="239"/>
      <c r="O70" s="239"/>
      <c r="P70" s="239"/>
      <c r="Q70" s="239"/>
      <c r="R70" s="239"/>
      <c r="S70" s="239"/>
      <c r="T70" s="239"/>
      <c r="U70" s="239"/>
      <c r="V70" s="239"/>
      <c r="W70" s="239"/>
      <c r="X70" s="239"/>
      <c r="Y70" s="239"/>
    </row>
    <row r="71" spans="2:27" x14ac:dyDescent="0.25">
      <c r="C71" s="86"/>
      <c r="D71" s="295"/>
      <c r="E71" s="82"/>
      <c r="F71" s="295" t="s">
        <v>43</v>
      </c>
      <c r="G71" s="295" t="s">
        <v>611</v>
      </c>
      <c r="J71" s="280"/>
      <c r="K71" s="280"/>
      <c r="L71" s="280"/>
      <c r="M71" s="280"/>
      <c r="N71" s="280"/>
      <c r="O71" s="280"/>
      <c r="P71" s="280"/>
      <c r="Q71" s="280"/>
      <c r="R71" s="280"/>
      <c r="S71" s="280"/>
      <c r="T71" s="280"/>
      <c r="U71" s="280"/>
      <c r="V71" s="280"/>
      <c r="W71" s="280"/>
      <c r="X71" s="280"/>
      <c r="Y71" s="280"/>
    </row>
    <row r="72" spans="2:27" x14ac:dyDescent="0.25">
      <c r="C72" s="86"/>
      <c r="D72" s="295"/>
      <c r="E72" s="82"/>
      <c r="F72" s="295" t="s">
        <v>44</v>
      </c>
      <c r="G72" s="295" t="s">
        <v>611</v>
      </c>
      <c r="J72" s="276">
        <f t="shared" ref="J72:K72" si="0">J$20 * J27 * thousand / PowerFactor</f>
        <v>0</v>
      </c>
      <c r="K72" s="276">
        <f t="shared" si="0"/>
        <v>0</v>
      </c>
      <c r="L72" s="276">
        <f t="shared" ref="L72:M72" si="1">L$20 * L27 * thousand / PowerFactor</f>
        <v>0</v>
      </c>
      <c r="M72" s="276">
        <f t="shared" si="1"/>
        <v>0</v>
      </c>
      <c r="N72" s="276">
        <f t="shared" ref="N72:P72" si="2">N$20 * N27 * thousand / PowerFactor</f>
        <v>0</v>
      </c>
      <c r="O72" s="276">
        <f t="shared" si="2"/>
        <v>0</v>
      </c>
      <c r="P72" s="276">
        <f t="shared" si="2"/>
        <v>0</v>
      </c>
      <c r="Q72" s="276">
        <f t="shared" ref="Q72:S72" si="3">Q$20 * Q27 * thousand / PowerFactor</f>
        <v>0</v>
      </c>
      <c r="R72" s="276">
        <f t="shared" si="3"/>
        <v>0</v>
      </c>
      <c r="S72" s="276">
        <f t="shared" si="3"/>
        <v>0</v>
      </c>
      <c r="T72" s="276">
        <f t="shared" ref="T72:U72" si="4">T$20 * T27 * thousand / PowerFactor</f>
        <v>0</v>
      </c>
      <c r="U72" s="276">
        <f t="shared" si="4"/>
        <v>0</v>
      </c>
      <c r="V72" s="276">
        <f t="shared" ref="V72:W72" si="5">V$20 * V27 * thousand / PowerFactor</f>
        <v>0</v>
      </c>
      <c r="W72" s="276">
        <f t="shared" si="5"/>
        <v>0</v>
      </c>
      <c r="X72" s="276">
        <f t="shared" ref="X72:Y72" si="6">X$20 * X27 * thousand / PowerFactor</f>
        <v>0</v>
      </c>
      <c r="Y72" s="276">
        <f t="shared" si="6"/>
        <v>0</v>
      </c>
    </row>
    <row r="73" spans="2:27" x14ac:dyDescent="0.25">
      <c r="C73" s="86"/>
      <c r="D73" s="295"/>
      <c r="E73" s="82"/>
      <c r="F73" s="295" t="s">
        <v>45</v>
      </c>
      <c r="G73" s="295" t="s">
        <v>611</v>
      </c>
      <c r="J73" s="276">
        <f t="shared" ref="J73:K73" si="7">J$20 * J28 * thousand / PowerFactor</f>
        <v>0</v>
      </c>
      <c r="K73" s="276">
        <f t="shared" si="7"/>
        <v>0</v>
      </c>
      <c r="L73" s="276">
        <f t="shared" ref="L73:M73" si="8">L$20 * L28 * thousand / PowerFactor</f>
        <v>0</v>
      </c>
      <c r="M73" s="276">
        <f t="shared" si="8"/>
        <v>0</v>
      </c>
      <c r="N73" s="276">
        <f t="shared" ref="N73:P73" si="9">N$20 * N28 * thousand / PowerFactor</f>
        <v>0</v>
      </c>
      <c r="O73" s="276">
        <f t="shared" si="9"/>
        <v>0</v>
      </c>
      <c r="P73" s="276">
        <f t="shared" si="9"/>
        <v>0</v>
      </c>
      <c r="Q73" s="276">
        <f t="shared" ref="Q73:S73" si="10">Q$20 * Q28 * thousand / PowerFactor</f>
        <v>0</v>
      </c>
      <c r="R73" s="276">
        <f t="shared" si="10"/>
        <v>0</v>
      </c>
      <c r="S73" s="276">
        <f t="shared" si="10"/>
        <v>0</v>
      </c>
      <c r="T73" s="276">
        <f t="shared" ref="T73:U73" si="11">T$20 * T28 * thousand / PowerFactor</f>
        <v>0</v>
      </c>
      <c r="U73" s="276">
        <f t="shared" si="11"/>
        <v>0</v>
      </c>
      <c r="V73" s="276">
        <f t="shared" ref="V73:W73" si="12">V$20 * V28 * thousand / PowerFactor</f>
        <v>0</v>
      </c>
      <c r="W73" s="276">
        <f t="shared" si="12"/>
        <v>0</v>
      </c>
      <c r="X73" s="276">
        <f t="shared" ref="X73:Y73" si="13">X$20 * X28 * thousand / PowerFactor</f>
        <v>0</v>
      </c>
      <c r="Y73" s="276">
        <f t="shared" si="13"/>
        <v>0</v>
      </c>
    </row>
    <row r="74" spans="2:27" x14ac:dyDescent="0.25">
      <c r="C74" s="86"/>
      <c r="D74" s="295"/>
      <c r="E74" s="82"/>
      <c r="F74" s="295" t="s">
        <v>46</v>
      </c>
      <c r="G74" s="295" t="s">
        <v>611</v>
      </c>
      <c r="J74" s="276">
        <f t="shared" ref="J74:K74" si="14">J$20 * J29 * thousand / PowerFactor</f>
        <v>0</v>
      </c>
      <c r="K74" s="276">
        <f t="shared" si="14"/>
        <v>0</v>
      </c>
      <c r="L74" s="276">
        <f t="shared" ref="L74:M74" si="15">L$20 * L29 * thousand / PowerFactor</f>
        <v>0</v>
      </c>
      <c r="M74" s="276">
        <f t="shared" si="15"/>
        <v>0</v>
      </c>
      <c r="N74" s="276">
        <f t="shared" ref="N74:P74" si="16">N$20 * N29 * thousand / PowerFactor</f>
        <v>0</v>
      </c>
      <c r="O74" s="276">
        <f t="shared" si="16"/>
        <v>0</v>
      </c>
      <c r="P74" s="276">
        <f t="shared" si="16"/>
        <v>0</v>
      </c>
      <c r="Q74" s="276">
        <f t="shared" ref="Q74:S74" si="17">Q$20 * Q29 * thousand / PowerFactor</f>
        <v>0</v>
      </c>
      <c r="R74" s="276">
        <f t="shared" si="17"/>
        <v>0</v>
      </c>
      <c r="S74" s="276">
        <f t="shared" si="17"/>
        <v>0</v>
      </c>
      <c r="T74" s="276">
        <f t="shared" ref="T74:U74" si="18">T$20 * T29 * thousand / PowerFactor</f>
        <v>0</v>
      </c>
      <c r="U74" s="276">
        <f t="shared" si="18"/>
        <v>0</v>
      </c>
      <c r="V74" s="276">
        <f t="shared" ref="V74:W74" si="19">V$20 * V29 * thousand / PowerFactor</f>
        <v>0</v>
      </c>
      <c r="W74" s="276">
        <f t="shared" si="19"/>
        <v>0</v>
      </c>
      <c r="X74" s="276">
        <f t="shared" ref="X74:Y74" si="20">X$20 * X29 * thousand / PowerFactor</f>
        <v>0</v>
      </c>
      <c r="Y74" s="276">
        <f t="shared" si="20"/>
        <v>0</v>
      </c>
    </row>
    <row r="75" spans="2:27" x14ac:dyDescent="0.25">
      <c r="C75" s="86"/>
      <c r="D75" s="295"/>
      <c r="E75" s="82"/>
      <c r="F75" s="295" t="s">
        <v>47</v>
      </c>
      <c r="G75" s="295" t="s">
        <v>611</v>
      </c>
      <c r="J75" s="276">
        <f t="shared" ref="J75:K75" si="21">J$20 * J30 * thousand / PowerFactor</f>
        <v>0</v>
      </c>
      <c r="K75" s="276">
        <f t="shared" si="21"/>
        <v>0</v>
      </c>
      <c r="L75" s="276">
        <f t="shared" ref="L75:M75" si="22">L$20 * L30 * thousand / PowerFactor</f>
        <v>0</v>
      </c>
      <c r="M75" s="276">
        <f t="shared" si="22"/>
        <v>0</v>
      </c>
      <c r="N75" s="276">
        <f t="shared" ref="N75:P75" si="23">N$20 * N30 * thousand / PowerFactor</f>
        <v>0</v>
      </c>
      <c r="O75" s="276">
        <f t="shared" si="23"/>
        <v>0</v>
      </c>
      <c r="P75" s="276">
        <f t="shared" si="23"/>
        <v>0</v>
      </c>
      <c r="Q75" s="276">
        <f t="shared" ref="Q75:S75" si="24">Q$20 * Q30 * thousand / PowerFactor</f>
        <v>0</v>
      </c>
      <c r="R75" s="276">
        <f t="shared" si="24"/>
        <v>0</v>
      </c>
      <c r="S75" s="276">
        <f t="shared" si="24"/>
        <v>0</v>
      </c>
      <c r="T75" s="276">
        <f t="shared" ref="T75:U75" si="25">T$20 * T30 * thousand / PowerFactor</f>
        <v>0</v>
      </c>
      <c r="U75" s="276">
        <f t="shared" si="25"/>
        <v>0</v>
      </c>
      <c r="V75" s="276">
        <f t="shared" ref="V75:W75" si="26">V$20 * V30 * thousand / PowerFactor</f>
        <v>0</v>
      </c>
      <c r="W75" s="276">
        <f t="shared" si="26"/>
        <v>0</v>
      </c>
      <c r="X75" s="276">
        <f t="shared" ref="X75:Y75" si="27">X$20 * X30 * thousand / PowerFactor</f>
        <v>0</v>
      </c>
      <c r="Y75" s="276">
        <f t="shared" si="27"/>
        <v>0</v>
      </c>
    </row>
    <row r="76" spans="2:27" x14ac:dyDescent="0.25">
      <c r="C76" s="86"/>
      <c r="D76" s="295"/>
      <c r="E76" s="82"/>
      <c r="F76" s="295" t="s">
        <v>51</v>
      </c>
      <c r="G76" s="295" t="s">
        <v>611</v>
      </c>
      <c r="J76" s="276">
        <f t="shared" ref="J76:K76" si="28">J$20 * J31 * thousand / PowerFactor</f>
        <v>0</v>
      </c>
      <c r="K76" s="276">
        <f t="shared" si="28"/>
        <v>0</v>
      </c>
      <c r="L76" s="276">
        <f t="shared" ref="L76:M76" si="29">L$20 * L31 * thousand / PowerFactor</f>
        <v>0</v>
      </c>
      <c r="M76" s="276">
        <f t="shared" si="29"/>
        <v>0</v>
      </c>
      <c r="N76" s="276">
        <f t="shared" ref="N76:P76" si="30">N$20 * N31 * thousand / PowerFactor</f>
        <v>0</v>
      </c>
      <c r="O76" s="276">
        <f t="shared" si="30"/>
        <v>0</v>
      </c>
      <c r="P76" s="276">
        <f t="shared" si="30"/>
        <v>0</v>
      </c>
      <c r="Q76" s="276">
        <f t="shared" ref="Q76:S76" si="31">Q$20 * Q31 * thousand / PowerFactor</f>
        <v>0</v>
      </c>
      <c r="R76" s="276">
        <f t="shared" si="31"/>
        <v>0</v>
      </c>
      <c r="S76" s="276">
        <f t="shared" si="31"/>
        <v>0</v>
      </c>
      <c r="T76" s="276">
        <f t="shared" ref="T76:U76" si="32">T$20 * T31 * thousand / PowerFactor</f>
        <v>0</v>
      </c>
      <c r="U76" s="276">
        <f t="shared" si="32"/>
        <v>0</v>
      </c>
      <c r="V76" s="276">
        <f t="shared" ref="V76:W76" si="33">V$20 * V31 * thousand / PowerFactor</f>
        <v>0</v>
      </c>
      <c r="W76" s="276">
        <f t="shared" si="33"/>
        <v>0</v>
      </c>
      <c r="X76" s="276">
        <f t="shared" ref="X76:Y76" si="34">X$20 * X31 * thousand / PowerFactor</f>
        <v>0</v>
      </c>
      <c r="Y76" s="276">
        <f t="shared" si="34"/>
        <v>0</v>
      </c>
    </row>
    <row r="77" spans="2:27" x14ac:dyDescent="0.25">
      <c r="C77" s="86"/>
      <c r="D77" s="295"/>
      <c r="E77" s="82"/>
      <c r="F77" s="295" t="s">
        <v>48</v>
      </c>
      <c r="G77" s="295" t="s">
        <v>611</v>
      </c>
      <c r="J77" s="276">
        <f t="shared" ref="J77:K77" si="35">J$20 * J32 * thousand / PowerFactor</f>
        <v>0</v>
      </c>
      <c r="K77" s="276">
        <f t="shared" si="35"/>
        <v>0</v>
      </c>
      <c r="L77" s="276">
        <f t="shared" ref="L77:M77" si="36">L$20 * L32 * thousand / PowerFactor</f>
        <v>0</v>
      </c>
      <c r="M77" s="276">
        <f t="shared" si="36"/>
        <v>0</v>
      </c>
      <c r="N77" s="276">
        <f t="shared" ref="N77:P77" si="37">N$20 * N32 * thousand / PowerFactor</f>
        <v>0</v>
      </c>
      <c r="O77" s="276">
        <f t="shared" si="37"/>
        <v>0</v>
      </c>
      <c r="P77" s="276">
        <f t="shared" si="37"/>
        <v>0</v>
      </c>
      <c r="Q77" s="276">
        <f t="shared" ref="Q77:S77" si="38">Q$20 * Q32 * thousand / PowerFactor</f>
        <v>0</v>
      </c>
      <c r="R77" s="276">
        <f t="shared" si="38"/>
        <v>0</v>
      </c>
      <c r="S77" s="276">
        <f t="shared" si="38"/>
        <v>0</v>
      </c>
      <c r="T77" s="276">
        <f t="shared" ref="T77:U77" si="39">T$20 * T32 * thousand / PowerFactor</f>
        <v>0</v>
      </c>
      <c r="U77" s="276">
        <f t="shared" si="39"/>
        <v>0</v>
      </c>
      <c r="V77" s="276">
        <f t="shared" ref="V77:W77" si="40">V$20 * V32 * thousand / PowerFactor</f>
        <v>0</v>
      </c>
      <c r="W77" s="276">
        <f t="shared" si="40"/>
        <v>0</v>
      </c>
      <c r="X77" s="276">
        <f t="shared" ref="X77:Y77" si="41">X$20 * X32 * thousand / PowerFactor</f>
        <v>0</v>
      </c>
      <c r="Y77" s="276">
        <f t="shared" si="41"/>
        <v>0</v>
      </c>
    </row>
    <row r="78" spans="2:27" x14ac:dyDescent="0.25">
      <c r="C78" s="86"/>
      <c r="D78" s="295"/>
      <c r="E78" s="82"/>
      <c r="F78" s="295" t="s">
        <v>49</v>
      </c>
      <c r="G78" s="295" t="s">
        <v>611</v>
      </c>
      <c r="J78" s="276">
        <f t="shared" ref="J78:K78" si="42">J$20 * J33 * thousand / PowerFactor</f>
        <v>0</v>
      </c>
      <c r="K78" s="276">
        <f t="shared" si="42"/>
        <v>0</v>
      </c>
      <c r="L78" s="276">
        <f t="shared" ref="L78:M78" si="43">L$20 * L33 * thousand / PowerFactor</f>
        <v>0</v>
      </c>
      <c r="M78" s="276">
        <f t="shared" si="43"/>
        <v>0</v>
      </c>
      <c r="N78" s="276">
        <f t="shared" ref="N78:P78" si="44">N$20 * N33 * thousand / PowerFactor</f>
        <v>0</v>
      </c>
      <c r="O78" s="276">
        <f t="shared" si="44"/>
        <v>0</v>
      </c>
      <c r="P78" s="276">
        <f t="shared" si="44"/>
        <v>0</v>
      </c>
      <c r="Q78" s="276">
        <f t="shared" ref="Q78:S78" si="45">Q$20 * Q33 * thousand / PowerFactor</f>
        <v>0</v>
      </c>
      <c r="R78" s="276">
        <f t="shared" si="45"/>
        <v>0</v>
      </c>
      <c r="S78" s="276">
        <f t="shared" si="45"/>
        <v>0</v>
      </c>
      <c r="T78" s="276">
        <f t="shared" ref="T78:U78" si="46">T$20 * T33 * thousand / PowerFactor</f>
        <v>0</v>
      </c>
      <c r="U78" s="276">
        <f t="shared" si="46"/>
        <v>0</v>
      </c>
      <c r="V78" s="276">
        <f t="shared" ref="V78:W78" si="47">V$20 * V33 * thousand / PowerFactor</f>
        <v>0</v>
      </c>
      <c r="W78" s="276">
        <f t="shared" si="47"/>
        <v>0</v>
      </c>
      <c r="X78" s="276">
        <f t="shared" ref="X78:Y78" si="48">X$20 * X33 * thousand / PowerFactor</f>
        <v>0</v>
      </c>
      <c r="Y78" s="276">
        <f t="shared" si="48"/>
        <v>0</v>
      </c>
    </row>
    <row r="79" spans="2:27" x14ac:dyDescent="0.25">
      <c r="C79" s="86"/>
      <c r="D79" s="295"/>
      <c r="E79" s="82"/>
      <c r="F79" s="295" t="s">
        <v>50</v>
      </c>
      <c r="G79" s="295" t="s">
        <v>611</v>
      </c>
      <c r="J79" s="276">
        <f t="shared" ref="J79:K79" si="49">J$20 * J34 * thousand / PowerFactor</f>
        <v>73500.2555469199</v>
      </c>
      <c r="K79" s="276">
        <f t="shared" si="49"/>
        <v>0</v>
      </c>
      <c r="L79" s="276">
        <f t="shared" ref="L79:M79" si="50">L$20 * L34 * thousand / PowerFactor</f>
        <v>28697.426187469948</v>
      </c>
      <c r="M79" s="276">
        <f t="shared" si="50"/>
        <v>0</v>
      </c>
      <c r="N79" s="276">
        <f t="shared" ref="N79:P79" si="51">N$20 * N34 * thousand / PowerFactor</f>
        <v>0</v>
      </c>
      <c r="O79" s="276">
        <f t="shared" si="51"/>
        <v>0</v>
      </c>
      <c r="P79" s="276">
        <f t="shared" si="51"/>
        <v>0</v>
      </c>
      <c r="Q79" s="276">
        <f t="shared" ref="Q79:S79" si="52">Q$20 * Q34 * thousand / PowerFactor</f>
        <v>0</v>
      </c>
      <c r="R79" s="276">
        <f t="shared" si="52"/>
        <v>0</v>
      </c>
      <c r="S79" s="276">
        <f t="shared" si="52"/>
        <v>0</v>
      </c>
      <c r="T79" s="276">
        <f t="shared" ref="T79:U79" si="53">T$20 * T34 * thousand / PowerFactor</f>
        <v>0</v>
      </c>
      <c r="U79" s="276">
        <f t="shared" si="53"/>
        <v>0</v>
      </c>
      <c r="V79" s="276">
        <f t="shared" ref="V79:W79" si="54">V$20 * V34 * thousand / PowerFactor</f>
        <v>0</v>
      </c>
      <c r="W79" s="276">
        <f t="shared" si="54"/>
        <v>0</v>
      </c>
      <c r="X79" s="276">
        <f t="shared" ref="X79:Y79" si="55">X$20 * X34 * thousand / PowerFactor</f>
        <v>0</v>
      </c>
      <c r="Y79" s="276">
        <f t="shared" si="55"/>
        <v>0</v>
      </c>
    </row>
    <row r="80" spans="2:27" x14ac:dyDescent="0.25">
      <c r="C80" s="86"/>
      <c r="D80" s="295"/>
      <c r="E80" s="82"/>
      <c r="F80" s="295" t="s">
        <v>124</v>
      </c>
      <c r="G80" s="295" t="s">
        <v>611</v>
      </c>
      <c r="J80" s="280"/>
      <c r="K80" s="280"/>
      <c r="L80" s="280"/>
      <c r="M80" s="280"/>
      <c r="N80" s="280"/>
      <c r="O80" s="280"/>
      <c r="P80" s="280"/>
      <c r="Q80" s="280"/>
      <c r="R80" s="280"/>
      <c r="S80" s="280"/>
      <c r="T80" s="280"/>
      <c r="U80" s="280"/>
      <c r="V80" s="280"/>
      <c r="W80" s="280"/>
      <c r="X80" s="280"/>
      <c r="Y80" s="280"/>
    </row>
    <row r="81" spans="3:25" x14ac:dyDescent="0.25">
      <c r="C81" s="86"/>
      <c r="D81" s="295"/>
      <c r="E81" s="82"/>
      <c r="F81" s="93" t="s">
        <v>123</v>
      </c>
      <c r="G81" s="93" t="s">
        <v>611</v>
      </c>
      <c r="H81" s="93"/>
      <c r="I81" s="93"/>
      <c r="J81" s="241"/>
      <c r="K81" s="241"/>
      <c r="L81" s="241"/>
      <c r="M81" s="241"/>
      <c r="N81" s="241"/>
      <c r="O81" s="241"/>
      <c r="P81" s="241"/>
      <c r="Q81" s="241"/>
      <c r="R81" s="241"/>
      <c r="S81" s="241"/>
      <c r="T81" s="241"/>
      <c r="U81" s="241"/>
      <c r="V81" s="241"/>
      <c r="W81" s="241"/>
      <c r="X81" s="241"/>
      <c r="Y81" s="241"/>
    </row>
    <row r="82" spans="3:25" x14ac:dyDescent="0.25">
      <c r="C82" s="86"/>
      <c r="D82" s="295"/>
      <c r="E82" s="82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5" x14ac:dyDescent="0.25">
      <c r="C83" s="86"/>
      <c r="D83" s="295"/>
      <c r="E83" s="96" t="s">
        <v>116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5" x14ac:dyDescent="0.25">
      <c r="C84" s="86"/>
      <c r="D84" s="295"/>
      <c r="F84" s="91" t="s">
        <v>324</v>
      </c>
      <c r="G84" s="91" t="s">
        <v>611</v>
      </c>
      <c r="H84" s="91"/>
      <c r="I84" s="91"/>
      <c r="J84" s="268">
        <f t="shared" ref="J84:K84" si="56">J$20 * J39 * thousand / PowerFactor</f>
        <v>0</v>
      </c>
      <c r="K84" s="268">
        <f t="shared" si="56"/>
        <v>0</v>
      </c>
      <c r="L84" s="268">
        <f t="shared" ref="L84:M84" si="57">L$20 * L39 * thousand / PowerFactor</f>
        <v>0</v>
      </c>
      <c r="M84" s="268">
        <f t="shared" si="57"/>
        <v>0</v>
      </c>
      <c r="N84" s="268">
        <f t="shared" ref="N84:P84" si="58">N$20 * N39 * thousand / PowerFactor</f>
        <v>0</v>
      </c>
      <c r="O84" s="268">
        <f t="shared" si="58"/>
        <v>0</v>
      </c>
      <c r="P84" s="268">
        <f t="shared" si="58"/>
        <v>0</v>
      </c>
      <c r="Q84" s="268">
        <f t="shared" ref="Q84:S84" si="59">Q$20 * Q39 * thousand / PowerFactor</f>
        <v>0</v>
      </c>
      <c r="R84" s="268">
        <f t="shared" si="59"/>
        <v>0</v>
      </c>
      <c r="S84" s="268">
        <f t="shared" si="59"/>
        <v>0</v>
      </c>
      <c r="T84" s="268">
        <f t="shared" ref="T84:U84" si="60">T$20 * T39 * thousand / PowerFactor</f>
        <v>0</v>
      </c>
      <c r="U84" s="268">
        <f t="shared" si="60"/>
        <v>0</v>
      </c>
      <c r="V84" s="268">
        <f t="shared" ref="V84:W84" si="61">V$20 * V39 * thousand / PowerFactor</f>
        <v>0</v>
      </c>
      <c r="W84" s="268">
        <f t="shared" si="61"/>
        <v>0</v>
      </c>
      <c r="X84" s="268">
        <f t="shared" ref="X84:Y84" si="62">X$20 * X39 * thousand / PowerFactor</f>
        <v>0</v>
      </c>
      <c r="Y84" s="268">
        <f t="shared" si="62"/>
        <v>0</v>
      </c>
    </row>
    <row r="85" spans="3:25" x14ac:dyDescent="0.25">
      <c r="C85" s="86"/>
      <c r="D85" s="295"/>
      <c r="F85" s="295" t="s">
        <v>43</v>
      </c>
      <c r="G85" s="295" t="s">
        <v>611</v>
      </c>
      <c r="J85" s="276">
        <f t="shared" ref="J85:K85" si="63">J$20 * J40 * thousand / PowerFactor</f>
        <v>0</v>
      </c>
      <c r="K85" s="276">
        <f t="shared" si="63"/>
        <v>0</v>
      </c>
      <c r="L85" s="276">
        <f t="shared" ref="L85:M85" si="64">L$20 * L40 * thousand / PowerFactor</f>
        <v>0</v>
      </c>
      <c r="M85" s="276">
        <f t="shared" si="64"/>
        <v>0</v>
      </c>
      <c r="N85" s="276">
        <f t="shared" ref="N85:P85" si="65">N$20 * N40 * thousand / PowerFactor</f>
        <v>0</v>
      </c>
      <c r="O85" s="276">
        <f t="shared" si="65"/>
        <v>0</v>
      </c>
      <c r="P85" s="276">
        <f t="shared" si="65"/>
        <v>0</v>
      </c>
      <c r="Q85" s="276">
        <f t="shared" ref="Q85:S85" si="66">Q$20 * Q40 * thousand / PowerFactor</f>
        <v>0</v>
      </c>
      <c r="R85" s="276">
        <f t="shared" si="66"/>
        <v>0</v>
      </c>
      <c r="S85" s="276">
        <f t="shared" si="66"/>
        <v>0</v>
      </c>
      <c r="T85" s="276">
        <f t="shared" ref="T85:U85" si="67">T$20 * T40 * thousand / PowerFactor</f>
        <v>0</v>
      </c>
      <c r="U85" s="276">
        <f t="shared" si="67"/>
        <v>0</v>
      </c>
      <c r="V85" s="276">
        <f t="shared" ref="V85:W85" si="68">V$20 * V40 * thousand / PowerFactor</f>
        <v>0</v>
      </c>
      <c r="W85" s="276">
        <f t="shared" si="68"/>
        <v>0</v>
      </c>
      <c r="X85" s="276">
        <f t="shared" ref="X85:Y85" si="69">X$20 * X40 * thousand / PowerFactor</f>
        <v>0</v>
      </c>
      <c r="Y85" s="276">
        <f t="shared" si="69"/>
        <v>0</v>
      </c>
    </row>
    <row r="86" spans="3:25" x14ac:dyDescent="0.25">
      <c r="C86" s="86"/>
      <c r="D86" s="295"/>
      <c r="F86" s="295" t="s">
        <v>44</v>
      </c>
      <c r="G86" s="295" t="s">
        <v>611</v>
      </c>
      <c r="J86" s="276">
        <f t="shared" ref="J86:K86" si="70">J$20 * J41 * thousand / PowerFactor</f>
        <v>0</v>
      </c>
      <c r="K86" s="276">
        <f t="shared" si="70"/>
        <v>0</v>
      </c>
      <c r="L86" s="276">
        <f t="shared" ref="L86:M86" si="71">L$20 * L41 * thousand / PowerFactor</f>
        <v>0</v>
      </c>
      <c r="M86" s="276">
        <f t="shared" si="71"/>
        <v>0</v>
      </c>
      <c r="N86" s="276">
        <f t="shared" ref="N86:P86" si="72">N$20 * N41 * thousand / PowerFactor</f>
        <v>0</v>
      </c>
      <c r="O86" s="276">
        <f t="shared" si="72"/>
        <v>0</v>
      </c>
      <c r="P86" s="276">
        <f t="shared" si="72"/>
        <v>0</v>
      </c>
      <c r="Q86" s="276">
        <f t="shared" ref="Q86:S86" si="73">Q$20 * Q41 * thousand / PowerFactor</f>
        <v>0</v>
      </c>
      <c r="R86" s="276">
        <f t="shared" si="73"/>
        <v>0</v>
      </c>
      <c r="S86" s="276">
        <f t="shared" si="73"/>
        <v>0</v>
      </c>
      <c r="T86" s="276">
        <f t="shared" ref="T86:U86" si="74">T$20 * T41 * thousand / PowerFactor</f>
        <v>0</v>
      </c>
      <c r="U86" s="276">
        <f t="shared" si="74"/>
        <v>0</v>
      </c>
      <c r="V86" s="276">
        <f t="shared" ref="V86:W86" si="75">V$20 * V41 * thousand / PowerFactor</f>
        <v>0</v>
      </c>
      <c r="W86" s="276">
        <f t="shared" si="75"/>
        <v>0</v>
      </c>
      <c r="X86" s="276">
        <f t="shared" ref="X86:Y86" si="76">X$20 * X41 * thousand / PowerFactor</f>
        <v>0</v>
      </c>
      <c r="Y86" s="276">
        <f t="shared" si="76"/>
        <v>0</v>
      </c>
    </row>
    <row r="87" spans="3:25" x14ac:dyDescent="0.25">
      <c r="C87" s="86"/>
      <c r="D87" s="295"/>
      <c r="F87" s="295" t="s">
        <v>45</v>
      </c>
      <c r="G87" s="295" t="s">
        <v>611</v>
      </c>
      <c r="J87" s="276">
        <f t="shared" ref="J87:K87" si="77">J$20 * J42 * thousand / PowerFactor</f>
        <v>0</v>
      </c>
      <c r="K87" s="276">
        <f t="shared" si="77"/>
        <v>0</v>
      </c>
      <c r="L87" s="276">
        <f t="shared" ref="L87:M87" si="78">L$20 * L42 * thousand / PowerFactor</f>
        <v>0</v>
      </c>
      <c r="M87" s="276">
        <f t="shared" si="78"/>
        <v>0</v>
      </c>
      <c r="N87" s="276">
        <f t="shared" ref="N87:P87" si="79">N$20 * N42 * thousand / PowerFactor</f>
        <v>0</v>
      </c>
      <c r="O87" s="276">
        <f t="shared" si="79"/>
        <v>0</v>
      </c>
      <c r="P87" s="276">
        <f t="shared" si="79"/>
        <v>0</v>
      </c>
      <c r="Q87" s="276">
        <f t="shared" ref="Q87:S87" si="80">Q$20 * Q42 * thousand / PowerFactor</f>
        <v>0</v>
      </c>
      <c r="R87" s="276">
        <f t="shared" si="80"/>
        <v>0</v>
      </c>
      <c r="S87" s="276">
        <f t="shared" si="80"/>
        <v>0</v>
      </c>
      <c r="T87" s="276">
        <f t="shared" ref="T87:U87" si="81">T$20 * T42 * thousand / PowerFactor</f>
        <v>0</v>
      </c>
      <c r="U87" s="276">
        <f t="shared" si="81"/>
        <v>0</v>
      </c>
      <c r="V87" s="276">
        <f t="shared" ref="V87:W87" si="82">V$20 * V42 * thousand / PowerFactor</f>
        <v>0</v>
      </c>
      <c r="W87" s="276">
        <f t="shared" si="82"/>
        <v>0</v>
      </c>
      <c r="X87" s="276">
        <f t="shared" ref="X87:Y87" si="83">X$20 * X42 * thousand / PowerFactor</f>
        <v>0</v>
      </c>
      <c r="Y87" s="276">
        <f t="shared" si="83"/>
        <v>0</v>
      </c>
    </row>
    <row r="88" spans="3:25" x14ac:dyDescent="0.25">
      <c r="C88" s="86"/>
      <c r="D88" s="295"/>
      <c r="F88" s="295" t="s">
        <v>46</v>
      </c>
      <c r="G88" s="295" t="s">
        <v>611</v>
      </c>
      <c r="J88" s="276">
        <f t="shared" ref="J88:K88" si="84">J$20 * J43 * thousand / PowerFactor</f>
        <v>0</v>
      </c>
      <c r="K88" s="276">
        <f t="shared" si="84"/>
        <v>0</v>
      </c>
      <c r="L88" s="276">
        <f t="shared" ref="L88:M88" si="85">L$20 * L43 * thousand / PowerFactor</f>
        <v>0</v>
      </c>
      <c r="M88" s="276">
        <f t="shared" si="85"/>
        <v>0</v>
      </c>
      <c r="N88" s="276">
        <f t="shared" ref="N88:P88" si="86">N$20 * N43 * thousand / PowerFactor</f>
        <v>0</v>
      </c>
      <c r="O88" s="276">
        <f t="shared" si="86"/>
        <v>0</v>
      </c>
      <c r="P88" s="276">
        <f t="shared" si="86"/>
        <v>0</v>
      </c>
      <c r="Q88" s="276">
        <f t="shared" ref="Q88:S88" si="87">Q$20 * Q43 * thousand / PowerFactor</f>
        <v>0</v>
      </c>
      <c r="R88" s="276">
        <f t="shared" si="87"/>
        <v>0</v>
      </c>
      <c r="S88" s="276">
        <f t="shared" si="87"/>
        <v>0</v>
      </c>
      <c r="T88" s="276">
        <f t="shared" ref="T88:U88" si="88">T$20 * T43 * thousand / PowerFactor</f>
        <v>0</v>
      </c>
      <c r="U88" s="276">
        <f t="shared" si="88"/>
        <v>0</v>
      </c>
      <c r="V88" s="276">
        <f t="shared" ref="V88:W88" si="89">V$20 * V43 * thousand / PowerFactor</f>
        <v>0</v>
      </c>
      <c r="W88" s="276">
        <f t="shared" si="89"/>
        <v>0</v>
      </c>
      <c r="X88" s="276">
        <f t="shared" ref="X88:Y88" si="90">X$20 * X43 * thousand / PowerFactor</f>
        <v>0</v>
      </c>
      <c r="Y88" s="276">
        <f t="shared" si="90"/>
        <v>0</v>
      </c>
    </row>
    <row r="89" spans="3:25" x14ac:dyDescent="0.25">
      <c r="C89" s="86"/>
      <c r="D89" s="295"/>
      <c r="F89" s="295" t="s">
        <v>47</v>
      </c>
      <c r="G89" s="295" t="s">
        <v>611</v>
      </c>
      <c r="J89" s="276">
        <f t="shared" ref="J89:K89" si="91">J$20 * J44 * thousand / PowerFactor</f>
        <v>0</v>
      </c>
      <c r="K89" s="276">
        <f t="shared" si="91"/>
        <v>0</v>
      </c>
      <c r="L89" s="276">
        <f t="shared" ref="L89:M89" si="92">L$20 * L44 * thousand / PowerFactor</f>
        <v>0</v>
      </c>
      <c r="M89" s="276">
        <f t="shared" si="92"/>
        <v>0</v>
      </c>
      <c r="N89" s="276">
        <f t="shared" ref="N89:P89" si="93">N$20 * N44 * thousand / PowerFactor</f>
        <v>0</v>
      </c>
      <c r="O89" s="276">
        <f t="shared" si="93"/>
        <v>0</v>
      </c>
      <c r="P89" s="276">
        <f t="shared" si="93"/>
        <v>0</v>
      </c>
      <c r="Q89" s="276">
        <f t="shared" ref="Q89:S89" si="94">Q$20 * Q44 * thousand / PowerFactor</f>
        <v>0</v>
      </c>
      <c r="R89" s="276">
        <f t="shared" si="94"/>
        <v>0</v>
      </c>
      <c r="S89" s="276">
        <f t="shared" si="94"/>
        <v>0</v>
      </c>
      <c r="T89" s="276">
        <f t="shared" ref="T89:U89" si="95">T$20 * T44 * thousand / PowerFactor</f>
        <v>0</v>
      </c>
      <c r="U89" s="276">
        <f t="shared" si="95"/>
        <v>0</v>
      </c>
      <c r="V89" s="276">
        <f t="shared" ref="V89:W89" si="96">V$20 * V44 * thousand / PowerFactor</f>
        <v>0</v>
      </c>
      <c r="W89" s="276">
        <f t="shared" si="96"/>
        <v>0</v>
      </c>
      <c r="X89" s="276">
        <f t="shared" ref="X89:Y89" si="97">X$20 * X44 * thousand / PowerFactor</f>
        <v>0</v>
      </c>
      <c r="Y89" s="276">
        <f t="shared" si="97"/>
        <v>0</v>
      </c>
    </row>
    <row r="90" spans="3:25" x14ac:dyDescent="0.25">
      <c r="C90" s="86"/>
      <c r="D90" s="295"/>
      <c r="F90" s="295" t="s">
        <v>51</v>
      </c>
      <c r="G90" s="295" t="s">
        <v>611</v>
      </c>
      <c r="J90" s="276">
        <f t="shared" ref="J90:K90" si="98">J$20 * J45 * thousand / PowerFactor</f>
        <v>0</v>
      </c>
      <c r="K90" s="276">
        <f t="shared" si="98"/>
        <v>0</v>
      </c>
      <c r="L90" s="276">
        <f t="shared" ref="L90:M90" si="99">L$20 * L45 * thousand / PowerFactor</f>
        <v>0</v>
      </c>
      <c r="M90" s="276">
        <f t="shared" si="99"/>
        <v>0</v>
      </c>
      <c r="N90" s="276">
        <f t="shared" ref="N90:P90" si="100">N$20 * N45 * thousand / PowerFactor</f>
        <v>0</v>
      </c>
      <c r="O90" s="276">
        <f t="shared" si="100"/>
        <v>0</v>
      </c>
      <c r="P90" s="276">
        <f t="shared" si="100"/>
        <v>0</v>
      </c>
      <c r="Q90" s="276">
        <f t="shared" ref="Q90:S90" si="101">Q$20 * Q45 * thousand / PowerFactor</f>
        <v>0</v>
      </c>
      <c r="R90" s="276">
        <f t="shared" si="101"/>
        <v>0</v>
      </c>
      <c r="S90" s="276">
        <f t="shared" si="101"/>
        <v>0</v>
      </c>
      <c r="T90" s="276">
        <f t="shared" ref="T90:U90" si="102">T$20 * T45 * thousand / PowerFactor</f>
        <v>0</v>
      </c>
      <c r="U90" s="276">
        <f t="shared" si="102"/>
        <v>0</v>
      </c>
      <c r="V90" s="276">
        <f t="shared" ref="V90:W90" si="103">V$20 * V45 * thousand / PowerFactor</f>
        <v>0</v>
      </c>
      <c r="W90" s="276">
        <f t="shared" si="103"/>
        <v>0</v>
      </c>
      <c r="X90" s="276">
        <f t="shared" ref="X90:Y90" si="104">X$20 * X45 * thousand / PowerFactor</f>
        <v>0</v>
      </c>
      <c r="Y90" s="276">
        <f t="shared" si="104"/>
        <v>0</v>
      </c>
    </row>
    <row r="91" spans="3:25" x14ac:dyDescent="0.25">
      <c r="C91" s="86"/>
      <c r="D91" s="295"/>
      <c r="F91" s="295" t="s">
        <v>48</v>
      </c>
      <c r="G91" s="295" t="s">
        <v>611</v>
      </c>
      <c r="J91" s="276">
        <f t="shared" ref="J91:K91" si="105">J$20 * J46 * thousand / PowerFactor</f>
        <v>0</v>
      </c>
      <c r="K91" s="276">
        <f t="shared" si="105"/>
        <v>0</v>
      </c>
      <c r="L91" s="276">
        <f t="shared" ref="L91:M91" si="106">L$20 * L46 * thousand / PowerFactor</f>
        <v>0</v>
      </c>
      <c r="M91" s="276">
        <f t="shared" si="106"/>
        <v>0</v>
      </c>
      <c r="N91" s="276">
        <f t="shared" ref="N91:P91" si="107">N$20 * N46 * thousand / PowerFactor</f>
        <v>0</v>
      </c>
      <c r="O91" s="276">
        <f t="shared" si="107"/>
        <v>0</v>
      </c>
      <c r="P91" s="276">
        <f t="shared" si="107"/>
        <v>0</v>
      </c>
      <c r="Q91" s="276">
        <f t="shared" ref="Q91:S91" si="108">Q$20 * Q46 * thousand / PowerFactor</f>
        <v>0</v>
      </c>
      <c r="R91" s="276">
        <f t="shared" si="108"/>
        <v>0</v>
      </c>
      <c r="S91" s="276">
        <f t="shared" si="108"/>
        <v>0</v>
      </c>
      <c r="T91" s="276">
        <f t="shared" ref="T91:U91" si="109">T$20 * T46 * thousand / PowerFactor</f>
        <v>0</v>
      </c>
      <c r="U91" s="276">
        <f t="shared" si="109"/>
        <v>0</v>
      </c>
      <c r="V91" s="276">
        <f t="shared" ref="V91:W91" si="110">V$20 * V46 * thousand / PowerFactor</f>
        <v>0</v>
      </c>
      <c r="W91" s="276">
        <f t="shared" si="110"/>
        <v>0</v>
      </c>
      <c r="X91" s="276">
        <f t="shared" ref="X91:Y91" si="111">X$20 * X46 * thousand / PowerFactor</f>
        <v>0</v>
      </c>
      <c r="Y91" s="276">
        <f t="shared" si="111"/>
        <v>0</v>
      </c>
    </row>
    <row r="92" spans="3:25" x14ac:dyDescent="0.25">
      <c r="C92" s="86"/>
      <c r="D92" s="295"/>
      <c r="F92" s="295" t="s">
        <v>49</v>
      </c>
      <c r="G92" s="295" t="s">
        <v>611</v>
      </c>
      <c r="J92" s="276">
        <f t="shared" ref="J92:K92" si="112">J$20 * J47 * thousand / PowerFactor</f>
        <v>0</v>
      </c>
      <c r="K92" s="276">
        <f t="shared" si="112"/>
        <v>0</v>
      </c>
      <c r="L92" s="276">
        <f t="shared" ref="L92:M92" si="113">L$20 * L47 * thousand / PowerFactor</f>
        <v>0</v>
      </c>
      <c r="M92" s="276">
        <f t="shared" si="113"/>
        <v>0</v>
      </c>
      <c r="N92" s="276">
        <f t="shared" ref="N92:P92" si="114">N$20 * N47 * thousand / PowerFactor</f>
        <v>0</v>
      </c>
      <c r="O92" s="276">
        <f t="shared" si="114"/>
        <v>0</v>
      </c>
      <c r="P92" s="276">
        <f t="shared" si="114"/>
        <v>0</v>
      </c>
      <c r="Q92" s="276">
        <f t="shared" ref="Q92:S92" si="115">Q$20 * Q47 * thousand / PowerFactor</f>
        <v>0</v>
      </c>
      <c r="R92" s="276">
        <f t="shared" si="115"/>
        <v>0</v>
      </c>
      <c r="S92" s="276">
        <f t="shared" si="115"/>
        <v>0</v>
      </c>
      <c r="T92" s="276">
        <f t="shared" ref="T92:U92" si="116">T$20 * T47 * thousand / PowerFactor</f>
        <v>0</v>
      </c>
      <c r="U92" s="276">
        <f t="shared" si="116"/>
        <v>0</v>
      </c>
      <c r="V92" s="276">
        <f t="shared" ref="V92:W92" si="117">V$20 * V47 * thousand / PowerFactor</f>
        <v>0</v>
      </c>
      <c r="W92" s="276">
        <f t="shared" si="117"/>
        <v>0</v>
      </c>
      <c r="X92" s="276">
        <f t="shared" ref="X92:Y92" si="118">X$20 * X47 * thousand / PowerFactor</f>
        <v>0</v>
      </c>
      <c r="Y92" s="276">
        <f t="shared" si="118"/>
        <v>0</v>
      </c>
    </row>
    <row r="93" spans="3:25" x14ac:dyDescent="0.25">
      <c r="C93" s="86"/>
      <c r="D93" s="295"/>
      <c r="F93" s="295" t="s">
        <v>50</v>
      </c>
      <c r="G93" s="295" t="s">
        <v>611</v>
      </c>
      <c r="J93" s="276">
        <f t="shared" ref="J93:K93" si="119">J$20 * J48 * thousand / PowerFactor</f>
        <v>563342.80654073774</v>
      </c>
      <c r="K93" s="276">
        <f t="shared" si="119"/>
        <v>0</v>
      </c>
      <c r="L93" s="276">
        <f t="shared" ref="L93:M93" si="120">L$20 * L48 * thousand / PowerFactor</f>
        <v>219951.46123845625</v>
      </c>
      <c r="M93" s="276">
        <f t="shared" si="120"/>
        <v>0</v>
      </c>
      <c r="N93" s="276">
        <f t="shared" ref="N93:P93" si="121">N$20 * N48 * thousand / PowerFactor</f>
        <v>0</v>
      </c>
      <c r="O93" s="276">
        <f t="shared" si="121"/>
        <v>0</v>
      </c>
      <c r="P93" s="276">
        <f t="shared" si="121"/>
        <v>0</v>
      </c>
      <c r="Q93" s="276">
        <f t="shared" ref="Q93:S93" si="122">Q$20 * Q48 * thousand / PowerFactor</f>
        <v>0</v>
      </c>
      <c r="R93" s="276">
        <f t="shared" si="122"/>
        <v>0</v>
      </c>
      <c r="S93" s="276">
        <f t="shared" si="122"/>
        <v>0</v>
      </c>
      <c r="T93" s="276">
        <f t="shared" ref="T93:U93" si="123">T$20 * T48 * thousand / PowerFactor</f>
        <v>0</v>
      </c>
      <c r="U93" s="276">
        <f t="shared" si="123"/>
        <v>0</v>
      </c>
      <c r="V93" s="276">
        <f t="shared" ref="V93:W93" si="124">V$20 * V48 * thousand / PowerFactor</f>
        <v>0</v>
      </c>
      <c r="W93" s="276">
        <f t="shared" si="124"/>
        <v>0</v>
      </c>
      <c r="X93" s="276">
        <f t="shared" ref="X93:Y93" si="125">X$20 * X48 * thousand / PowerFactor</f>
        <v>0</v>
      </c>
      <c r="Y93" s="276">
        <f t="shared" si="125"/>
        <v>0</v>
      </c>
    </row>
    <row r="94" spans="3:25" x14ac:dyDescent="0.25">
      <c r="C94" s="86"/>
      <c r="D94" s="295"/>
      <c r="F94" s="295" t="s">
        <v>124</v>
      </c>
      <c r="G94" s="295" t="s">
        <v>611</v>
      </c>
      <c r="J94" s="280"/>
      <c r="K94" s="280"/>
      <c r="L94" s="280"/>
      <c r="M94" s="280"/>
      <c r="N94" s="280"/>
      <c r="O94" s="280"/>
      <c r="P94" s="280"/>
      <c r="Q94" s="280"/>
      <c r="R94" s="280"/>
      <c r="S94" s="280"/>
      <c r="T94" s="280"/>
      <c r="U94" s="280"/>
      <c r="V94" s="280"/>
      <c r="W94" s="280"/>
      <c r="X94" s="280"/>
      <c r="Y94" s="280"/>
    </row>
    <row r="95" spans="3:25" x14ac:dyDescent="0.25">
      <c r="C95" s="86"/>
      <c r="D95" s="295"/>
      <c r="F95" s="93" t="s">
        <v>123</v>
      </c>
      <c r="G95" s="93" t="s">
        <v>611</v>
      </c>
      <c r="H95" s="93"/>
      <c r="I95" s="93"/>
      <c r="J95" s="241"/>
      <c r="K95" s="241"/>
      <c r="L95" s="241"/>
      <c r="M95" s="241"/>
      <c r="N95" s="241"/>
      <c r="O95" s="241"/>
      <c r="P95" s="241"/>
      <c r="Q95" s="241"/>
      <c r="R95" s="241"/>
      <c r="S95" s="241"/>
      <c r="T95" s="241"/>
      <c r="U95" s="241"/>
      <c r="V95" s="241"/>
      <c r="W95" s="241"/>
      <c r="X95" s="241"/>
      <c r="Y95" s="241"/>
    </row>
    <row r="96" spans="3:25" x14ac:dyDescent="0.25">
      <c r="C96" s="86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</row>
    <row r="97" spans="3:27" x14ac:dyDescent="0.25">
      <c r="C97" s="7" t="str">
        <f ca="1">INDEX('Version control'!$H$34:$H$58,MATCH($A$1,'Version control'!$F$34:$F$58,0),1)&amp;"-F: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7"/>
      <c r="AA97" s="7"/>
    </row>
    <row r="98" spans="3:27" x14ac:dyDescent="0.25">
      <c r="D98" s="295"/>
      <c r="E98" s="96"/>
      <c r="I98" s="295" t="s">
        <v>431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  <c r="U98" s="253"/>
      <c r="V98" s="253"/>
      <c r="W98" s="253"/>
      <c r="X98" s="253"/>
      <c r="Y98" s="253"/>
      <c r="AA98" s="295" t="s">
        <v>938</v>
      </c>
    </row>
    <row r="99" spans="3:27" x14ac:dyDescent="0.25">
      <c r="C99" s="86"/>
      <c r="D99" s="295"/>
      <c r="E99" s="96" t="s">
        <v>139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25">
      <c r="C100" s="86"/>
      <c r="D100" s="295"/>
      <c r="E100" s="82"/>
      <c r="F100" s="91" t="s">
        <v>324</v>
      </c>
      <c r="G100" s="91" t="s">
        <v>611</v>
      </c>
      <c r="H100" s="91"/>
      <c r="I100" s="91"/>
      <c r="J100" s="239"/>
      <c r="K100" s="239"/>
      <c r="L100" s="239"/>
      <c r="M100" s="239"/>
      <c r="N100" s="239"/>
      <c r="O100" s="239"/>
      <c r="P100" s="239"/>
      <c r="Q100" s="239"/>
      <c r="R100" s="239"/>
      <c r="S100" s="239"/>
      <c r="T100" s="239"/>
      <c r="U100" s="239"/>
      <c r="V100" s="239"/>
      <c r="W100" s="239"/>
      <c r="X100" s="239"/>
      <c r="Y100" s="239"/>
    </row>
    <row r="101" spans="3:27" x14ac:dyDescent="0.25">
      <c r="C101" s="86"/>
      <c r="D101" s="295"/>
      <c r="E101" s="82"/>
      <c r="F101" s="295" t="s">
        <v>43</v>
      </c>
      <c r="G101" s="295" t="s">
        <v>611</v>
      </c>
      <c r="J101" s="280"/>
      <c r="K101" s="280"/>
      <c r="L101" s="280"/>
      <c r="M101" s="280"/>
      <c r="N101" s="280"/>
      <c r="O101" s="280"/>
      <c r="P101" s="280"/>
      <c r="Q101" s="280"/>
      <c r="R101" s="280"/>
      <c r="S101" s="280"/>
      <c r="T101" s="280"/>
      <c r="U101" s="280"/>
      <c r="V101" s="280"/>
      <c r="W101" s="280"/>
      <c r="X101" s="280"/>
      <c r="Y101" s="280"/>
    </row>
    <row r="102" spans="3:27" x14ac:dyDescent="0.25">
      <c r="C102" s="86"/>
      <c r="D102" s="295"/>
      <c r="E102" s="82"/>
      <c r="F102" s="295" t="s">
        <v>44</v>
      </c>
      <c r="G102" s="295" t="s">
        <v>611</v>
      </c>
      <c r="J102" s="276">
        <f t="shared" ref="J102:Y109" si="126">SUMIFS($J72:$Y72,$J$63:$Y$63,J$63)</f>
        <v>0</v>
      </c>
      <c r="K102" s="276">
        <f t="shared" si="126"/>
        <v>0</v>
      </c>
      <c r="L102" s="276">
        <f t="shared" si="126"/>
        <v>0</v>
      </c>
      <c r="M102" s="276">
        <f t="shared" si="126"/>
        <v>0</v>
      </c>
      <c r="N102" s="276">
        <f t="shared" si="126"/>
        <v>0</v>
      </c>
      <c r="O102" s="276">
        <f t="shared" si="126"/>
        <v>0</v>
      </c>
      <c r="P102" s="276">
        <f t="shared" si="126"/>
        <v>0</v>
      </c>
      <c r="Q102" s="276">
        <f t="shared" si="126"/>
        <v>0</v>
      </c>
      <c r="R102" s="276">
        <f t="shared" si="126"/>
        <v>0</v>
      </c>
      <c r="S102" s="276">
        <f t="shared" si="126"/>
        <v>0</v>
      </c>
      <c r="T102" s="276">
        <f t="shared" si="126"/>
        <v>0</v>
      </c>
      <c r="U102" s="276">
        <f t="shared" si="126"/>
        <v>0</v>
      </c>
      <c r="V102" s="276">
        <f t="shared" si="126"/>
        <v>0</v>
      </c>
      <c r="W102" s="276">
        <f t="shared" si="126"/>
        <v>0</v>
      </c>
      <c r="X102" s="276">
        <f t="shared" si="126"/>
        <v>0</v>
      </c>
      <c r="Y102" s="276">
        <f t="shared" si="126"/>
        <v>0</v>
      </c>
    </row>
    <row r="103" spans="3:27" x14ac:dyDescent="0.25">
      <c r="C103" s="86"/>
      <c r="D103" s="295"/>
      <c r="E103" s="82"/>
      <c r="F103" s="295" t="s">
        <v>45</v>
      </c>
      <c r="G103" s="295" t="s">
        <v>611</v>
      </c>
      <c r="J103" s="276">
        <f t="shared" si="126"/>
        <v>0</v>
      </c>
      <c r="K103" s="276">
        <f t="shared" si="126"/>
        <v>0</v>
      </c>
      <c r="L103" s="276">
        <f t="shared" si="126"/>
        <v>0</v>
      </c>
      <c r="M103" s="276">
        <f t="shared" si="126"/>
        <v>0</v>
      </c>
      <c r="N103" s="276">
        <f t="shared" si="126"/>
        <v>0</v>
      </c>
      <c r="O103" s="276">
        <f t="shared" si="126"/>
        <v>0</v>
      </c>
      <c r="P103" s="276">
        <f t="shared" si="126"/>
        <v>0</v>
      </c>
      <c r="Q103" s="276">
        <f t="shared" si="126"/>
        <v>0</v>
      </c>
      <c r="R103" s="276">
        <f t="shared" si="126"/>
        <v>0</v>
      </c>
      <c r="S103" s="276">
        <f t="shared" si="126"/>
        <v>0</v>
      </c>
      <c r="T103" s="276">
        <f t="shared" si="126"/>
        <v>0</v>
      </c>
      <c r="U103" s="276">
        <f t="shared" si="126"/>
        <v>0</v>
      </c>
      <c r="V103" s="276">
        <f t="shared" si="126"/>
        <v>0</v>
      </c>
      <c r="W103" s="276">
        <f t="shared" si="126"/>
        <v>0</v>
      </c>
      <c r="X103" s="276">
        <f t="shared" si="126"/>
        <v>0</v>
      </c>
      <c r="Y103" s="276">
        <f t="shared" si="126"/>
        <v>0</v>
      </c>
    </row>
    <row r="104" spans="3:27" x14ac:dyDescent="0.25">
      <c r="C104" s="86"/>
      <c r="D104" s="295"/>
      <c r="E104" s="82"/>
      <c r="F104" s="295" t="s">
        <v>46</v>
      </c>
      <c r="G104" s="295" t="s">
        <v>611</v>
      </c>
      <c r="J104" s="276">
        <f t="shared" si="126"/>
        <v>0</v>
      </c>
      <c r="K104" s="276">
        <f t="shared" si="126"/>
        <v>0</v>
      </c>
      <c r="L104" s="276">
        <f t="shared" si="126"/>
        <v>0</v>
      </c>
      <c r="M104" s="276">
        <f t="shared" si="126"/>
        <v>0</v>
      </c>
      <c r="N104" s="276">
        <f t="shared" si="126"/>
        <v>0</v>
      </c>
      <c r="O104" s="276">
        <f t="shared" si="126"/>
        <v>0</v>
      </c>
      <c r="P104" s="276">
        <f t="shared" si="126"/>
        <v>0</v>
      </c>
      <c r="Q104" s="276">
        <f t="shared" si="126"/>
        <v>0</v>
      </c>
      <c r="R104" s="276">
        <f t="shared" si="126"/>
        <v>0</v>
      </c>
      <c r="S104" s="276">
        <f t="shared" si="126"/>
        <v>0</v>
      </c>
      <c r="T104" s="276">
        <f t="shared" si="126"/>
        <v>0</v>
      </c>
      <c r="U104" s="276">
        <f t="shared" si="126"/>
        <v>0</v>
      </c>
      <c r="V104" s="276">
        <f t="shared" si="126"/>
        <v>0</v>
      </c>
      <c r="W104" s="276">
        <f t="shared" si="126"/>
        <v>0</v>
      </c>
      <c r="X104" s="276">
        <f t="shared" si="126"/>
        <v>0</v>
      </c>
      <c r="Y104" s="276">
        <f t="shared" si="126"/>
        <v>0</v>
      </c>
    </row>
    <row r="105" spans="3:27" x14ac:dyDescent="0.25">
      <c r="C105" s="86"/>
      <c r="D105" s="295"/>
      <c r="E105" s="82"/>
      <c r="F105" s="295" t="s">
        <v>47</v>
      </c>
      <c r="G105" s="295" t="s">
        <v>611</v>
      </c>
      <c r="J105" s="276">
        <f t="shared" si="126"/>
        <v>0</v>
      </c>
      <c r="K105" s="276">
        <f t="shared" si="126"/>
        <v>0</v>
      </c>
      <c r="L105" s="276">
        <f t="shared" si="126"/>
        <v>0</v>
      </c>
      <c r="M105" s="276">
        <f t="shared" si="126"/>
        <v>0</v>
      </c>
      <c r="N105" s="276">
        <f t="shared" si="126"/>
        <v>0</v>
      </c>
      <c r="O105" s="276">
        <f t="shared" si="126"/>
        <v>0</v>
      </c>
      <c r="P105" s="276">
        <f t="shared" si="126"/>
        <v>0</v>
      </c>
      <c r="Q105" s="276">
        <f t="shared" si="126"/>
        <v>0</v>
      </c>
      <c r="R105" s="276">
        <f t="shared" si="126"/>
        <v>0</v>
      </c>
      <c r="S105" s="276">
        <f t="shared" si="126"/>
        <v>0</v>
      </c>
      <c r="T105" s="276">
        <f t="shared" si="126"/>
        <v>0</v>
      </c>
      <c r="U105" s="276">
        <f t="shared" si="126"/>
        <v>0</v>
      </c>
      <c r="V105" s="276">
        <f t="shared" si="126"/>
        <v>0</v>
      </c>
      <c r="W105" s="276">
        <f t="shared" si="126"/>
        <v>0</v>
      </c>
      <c r="X105" s="276">
        <f t="shared" si="126"/>
        <v>0</v>
      </c>
      <c r="Y105" s="276">
        <f t="shared" si="126"/>
        <v>0</v>
      </c>
    </row>
    <row r="106" spans="3:27" x14ac:dyDescent="0.25">
      <c r="C106" s="86"/>
      <c r="D106" s="295"/>
      <c r="E106" s="82"/>
      <c r="F106" s="295" t="s">
        <v>51</v>
      </c>
      <c r="G106" s="295" t="s">
        <v>611</v>
      </c>
      <c r="J106" s="276">
        <f t="shared" si="126"/>
        <v>0</v>
      </c>
      <c r="K106" s="276">
        <f t="shared" si="126"/>
        <v>0</v>
      </c>
      <c r="L106" s="276">
        <f t="shared" si="126"/>
        <v>0</v>
      </c>
      <c r="M106" s="276">
        <f t="shared" si="126"/>
        <v>0</v>
      </c>
      <c r="N106" s="276">
        <f t="shared" si="126"/>
        <v>0</v>
      </c>
      <c r="O106" s="276">
        <f t="shared" si="126"/>
        <v>0</v>
      </c>
      <c r="P106" s="276">
        <f t="shared" si="126"/>
        <v>0</v>
      </c>
      <c r="Q106" s="276">
        <f t="shared" si="126"/>
        <v>0</v>
      </c>
      <c r="R106" s="276">
        <f t="shared" si="126"/>
        <v>0</v>
      </c>
      <c r="S106" s="276">
        <f t="shared" si="126"/>
        <v>0</v>
      </c>
      <c r="T106" s="276">
        <f t="shared" si="126"/>
        <v>0</v>
      </c>
      <c r="U106" s="276">
        <f t="shared" si="126"/>
        <v>0</v>
      </c>
      <c r="V106" s="276">
        <f t="shared" si="126"/>
        <v>0</v>
      </c>
      <c r="W106" s="276">
        <f t="shared" si="126"/>
        <v>0</v>
      </c>
      <c r="X106" s="276">
        <f t="shared" si="126"/>
        <v>0</v>
      </c>
      <c r="Y106" s="276">
        <f t="shared" si="126"/>
        <v>0</v>
      </c>
    </row>
    <row r="107" spans="3:27" x14ac:dyDescent="0.25">
      <c r="C107" s="86"/>
      <c r="D107" s="295"/>
      <c r="E107" s="82"/>
      <c r="F107" s="295" t="s">
        <v>48</v>
      </c>
      <c r="G107" s="295" t="s">
        <v>611</v>
      </c>
      <c r="J107" s="276">
        <f t="shared" si="126"/>
        <v>0</v>
      </c>
      <c r="K107" s="276">
        <f t="shared" si="126"/>
        <v>0</v>
      </c>
      <c r="L107" s="276">
        <f t="shared" si="126"/>
        <v>0</v>
      </c>
      <c r="M107" s="276">
        <f t="shared" si="126"/>
        <v>0</v>
      </c>
      <c r="N107" s="276">
        <f t="shared" si="126"/>
        <v>0</v>
      </c>
      <c r="O107" s="276">
        <f t="shared" si="126"/>
        <v>0</v>
      </c>
      <c r="P107" s="276">
        <f t="shared" si="126"/>
        <v>0</v>
      </c>
      <c r="Q107" s="276">
        <f t="shared" si="126"/>
        <v>0</v>
      </c>
      <c r="R107" s="276">
        <f t="shared" si="126"/>
        <v>0</v>
      </c>
      <c r="S107" s="276">
        <f t="shared" si="126"/>
        <v>0</v>
      </c>
      <c r="T107" s="276">
        <f t="shared" si="126"/>
        <v>0</v>
      </c>
      <c r="U107" s="276">
        <f t="shared" si="126"/>
        <v>0</v>
      </c>
      <c r="V107" s="276">
        <f t="shared" si="126"/>
        <v>0</v>
      </c>
      <c r="W107" s="276">
        <f t="shared" si="126"/>
        <v>0</v>
      </c>
      <c r="X107" s="276">
        <f t="shared" si="126"/>
        <v>0</v>
      </c>
      <c r="Y107" s="276">
        <f t="shared" si="126"/>
        <v>0</v>
      </c>
    </row>
    <row r="108" spans="3:27" x14ac:dyDescent="0.25">
      <c r="C108" s="86"/>
      <c r="D108" s="295"/>
      <c r="E108" s="82"/>
      <c r="F108" s="295" t="s">
        <v>49</v>
      </c>
      <c r="G108" s="295" t="s">
        <v>611</v>
      </c>
      <c r="J108" s="276">
        <f t="shared" si="126"/>
        <v>0</v>
      </c>
      <c r="K108" s="276">
        <f t="shared" si="126"/>
        <v>0</v>
      </c>
      <c r="L108" s="276">
        <f t="shared" si="126"/>
        <v>0</v>
      </c>
      <c r="M108" s="276">
        <f t="shared" si="126"/>
        <v>0</v>
      </c>
      <c r="N108" s="276">
        <f t="shared" si="126"/>
        <v>0</v>
      </c>
      <c r="O108" s="276">
        <f t="shared" si="126"/>
        <v>0</v>
      </c>
      <c r="P108" s="276">
        <f t="shared" si="126"/>
        <v>0</v>
      </c>
      <c r="Q108" s="276">
        <f t="shared" si="126"/>
        <v>0</v>
      </c>
      <c r="R108" s="276">
        <f t="shared" si="126"/>
        <v>0</v>
      </c>
      <c r="S108" s="276">
        <f t="shared" si="126"/>
        <v>0</v>
      </c>
      <c r="T108" s="276">
        <f t="shared" si="126"/>
        <v>0</v>
      </c>
      <c r="U108" s="276">
        <f t="shared" si="126"/>
        <v>0</v>
      </c>
      <c r="V108" s="276">
        <f t="shared" si="126"/>
        <v>0</v>
      </c>
      <c r="W108" s="276">
        <f t="shared" si="126"/>
        <v>0</v>
      </c>
      <c r="X108" s="276">
        <f t="shared" si="126"/>
        <v>0</v>
      </c>
      <c r="Y108" s="276">
        <f t="shared" si="126"/>
        <v>0</v>
      </c>
    </row>
    <row r="109" spans="3:27" x14ac:dyDescent="0.25">
      <c r="C109" s="86"/>
      <c r="D109" s="295"/>
      <c r="E109" s="82"/>
      <c r="F109" s="295" t="s">
        <v>50</v>
      </c>
      <c r="G109" s="295" t="s">
        <v>611</v>
      </c>
      <c r="J109" s="276">
        <f t="shared" si="126"/>
        <v>102197.68173438984</v>
      </c>
      <c r="K109" s="276">
        <f t="shared" si="126"/>
        <v>0</v>
      </c>
      <c r="L109" s="276">
        <f t="shared" si="126"/>
        <v>102197.68173438984</v>
      </c>
      <c r="M109" s="276">
        <f t="shared" si="126"/>
        <v>0</v>
      </c>
      <c r="N109" s="276">
        <f t="shared" si="126"/>
        <v>0</v>
      </c>
      <c r="O109" s="276">
        <f t="shared" si="126"/>
        <v>0</v>
      </c>
      <c r="P109" s="276">
        <f t="shared" si="126"/>
        <v>0</v>
      </c>
      <c r="Q109" s="276">
        <f t="shared" si="126"/>
        <v>0</v>
      </c>
      <c r="R109" s="276">
        <f t="shared" si="126"/>
        <v>0</v>
      </c>
      <c r="S109" s="276">
        <f t="shared" si="126"/>
        <v>0</v>
      </c>
      <c r="T109" s="276">
        <f t="shared" si="126"/>
        <v>0</v>
      </c>
      <c r="U109" s="276">
        <f t="shared" si="126"/>
        <v>0</v>
      </c>
      <c r="V109" s="276">
        <f t="shared" si="126"/>
        <v>0</v>
      </c>
      <c r="W109" s="276">
        <f t="shared" si="126"/>
        <v>0</v>
      </c>
      <c r="X109" s="276">
        <f t="shared" si="126"/>
        <v>0</v>
      </c>
      <c r="Y109" s="276">
        <f t="shared" si="126"/>
        <v>0</v>
      </c>
    </row>
    <row r="110" spans="3:27" x14ac:dyDescent="0.25">
      <c r="C110" s="86"/>
      <c r="D110" s="295"/>
      <c r="E110" s="82"/>
      <c r="F110" s="295" t="s">
        <v>124</v>
      </c>
      <c r="G110" s="295" t="s">
        <v>611</v>
      </c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X110" s="280"/>
      <c r="Y110" s="280"/>
    </row>
    <row r="111" spans="3:27" x14ac:dyDescent="0.25">
      <c r="C111" s="86"/>
      <c r="D111" s="295"/>
      <c r="E111" s="82"/>
      <c r="F111" s="93" t="s">
        <v>123</v>
      </c>
      <c r="G111" s="93" t="s">
        <v>611</v>
      </c>
      <c r="H111" s="93"/>
      <c r="I111" s="93"/>
      <c r="J111" s="241"/>
      <c r="K111" s="241"/>
      <c r="L111" s="241"/>
      <c r="M111" s="241"/>
      <c r="N111" s="241"/>
      <c r="O111" s="241"/>
      <c r="P111" s="241"/>
      <c r="Q111" s="241"/>
      <c r="R111" s="241"/>
      <c r="S111" s="241"/>
      <c r="T111" s="241"/>
      <c r="U111" s="241"/>
      <c r="V111" s="241"/>
      <c r="W111" s="241"/>
      <c r="X111" s="241"/>
      <c r="Y111" s="241"/>
    </row>
    <row r="112" spans="3:27" x14ac:dyDescent="0.25">
      <c r="C112" s="86"/>
      <c r="D112" s="295"/>
      <c r="E112" s="82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25">
      <c r="C113" s="86"/>
      <c r="D113" s="295"/>
      <c r="E113" s="96" t="s">
        <v>116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</row>
    <row r="114" spans="3:27" x14ac:dyDescent="0.25">
      <c r="C114" s="86"/>
      <c r="D114" s="295"/>
      <c r="F114" s="91" t="s">
        <v>324</v>
      </c>
      <c r="G114" s="91" t="s">
        <v>611</v>
      </c>
      <c r="H114" s="91"/>
      <c r="I114" s="91"/>
      <c r="J114" s="268">
        <f t="shared" ref="J114:Y123" si="127">SUMIFS($J84:$Y84,$J$63:$Y$63,J$63)</f>
        <v>0</v>
      </c>
      <c r="K114" s="268">
        <f t="shared" si="127"/>
        <v>0</v>
      </c>
      <c r="L114" s="268">
        <f t="shared" si="127"/>
        <v>0</v>
      </c>
      <c r="M114" s="268">
        <f t="shared" si="127"/>
        <v>0</v>
      </c>
      <c r="N114" s="268">
        <f t="shared" si="127"/>
        <v>0</v>
      </c>
      <c r="O114" s="268">
        <f t="shared" si="127"/>
        <v>0</v>
      </c>
      <c r="P114" s="268">
        <f t="shared" si="127"/>
        <v>0</v>
      </c>
      <c r="Q114" s="268">
        <f t="shared" si="127"/>
        <v>0</v>
      </c>
      <c r="R114" s="268">
        <f t="shared" si="127"/>
        <v>0</v>
      </c>
      <c r="S114" s="268">
        <f t="shared" si="127"/>
        <v>0</v>
      </c>
      <c r="T114" s="268">
        <f t="shared" si="127"/>
        <v>0</v>
      </c>
      <c r="U114" s="268">
        <f t="shared" si="127"/>
        <v>0</v>
      </c>
      <c r="V114" s="268">
        <f t="shared" si="127"/>
        <v>0</v>
      </c>
      <c r="W114" s="268">
        <f t="shared" si="127"/>
        <v>0</v>
      </c>
      <c r="X114" s="268">
        <f t="shared" si="127"/>
        <v>0</v>
      </c>
      <c r="Y114" s="268">
        <f t="shared" si="127"/>
        <v>0</v>
      </c>
    </row>
    <row r="115" spans="3:27" x14ac:dyDescent="0.25">
      <c r="C115" s="86"/>
      <c r="D115" s="295"/>
      <c r="F115" s="295" t="s">
        <v>43</v>
      </c>
      <c r="G115" s="295" t="s">
        <v>611</v>
      </c>
      <c r="J115" s="276">
        <f t="shared" si="127"/>
        <v>0</v>
      </c>
      <c r="K115" s="276">
        <f t="shared" si="127"/>
        <v>0</v>
      </c>
      <c r="L115" s="276">
        <f t="shared" si="127"/>
        <v>0</v>
      </c>
      <c r="M115" s="276">
        <f t="shared" si="127"/>
        <v>0</v>
      </c>
      <c r="N115" s="276">
        <f t="shared" si="127"/>
        <v>0</v>
      </c>
      <c r="O115" s="276">
        <f t="shared" si="127"/>
        <v>0</v>
      </c>
      <c r="P115" s="276">
        <f t="shared" si="127"/>
        <v>0</v>
      </c>
      <c r="Q115" s="276">
        <f t="shared" si="127"/>
        <v>0</v>
      </c>
      <c r="R115" s="276">
        <f t="shared" si="127"/>
        <v>0</v>
      </c>
      <c r="S115" s="276">
        <f t="shared" si="127"/>
        <v>0</v>
      </c>
      <c r="T115" s="276">
        <f t="shared" si="127"/>
        <v>0</v>
      </c>
      <c r="U115" s="276">
        <f t="shared" si="127"/>
        <v>0</v>
      </c>
      <c r="V115" s="276">
        <f t="shared" si="127"/>
        <v>0</v>
      </c>
      <c r="W115" s="276">
        <f t="shared" si="127"/>
        <v>0</v>
      </c>
      <c r="X115" s="276">
        <f t="shared" si="127"/>
        <v>0</v>
      </c>
      <c r="Y115" s="276">
        <f t="shared" si="127"/>
        <v>0</v>
      </c>
    </row>
    <row r="116" spans="3:27" x14ac:dyDescent="0.25">
      <c r="C116" s="86"/>
      <c r="D116" s="295"/>
      <c r="F116" s="295" t="s">
        <v>44</v>
      </c>
      <c r="G116" s="295" t="s">
        <v>611</v>
      </c>
      <c r="J116" s="276">
        <f t="shared" si="127"/>
        <v>0</v>
      </c>
      <c r="K116" s="276">
        <f t="shared" si="127"/>
        <v>0</v>
      </c>
      <c r="L116" s="276">
        <f t="shared" si="127"/>
        <v>0</v>
      </c>
      <c r="M116" s="276">
        <f t="shared" si="127"/>
        <v>0</v>
      </c>
      <c r="N116" s="276">
        <f t="shared" si="127"/>
        <v>0</v>
      </c>
      <c r="O116" s="276">
        <f t="shared" si="127"/>
        <v>0</v>
      </c>
      <c r="P116" s="276">
        <f t="shared" si="127"/>
        <v>0</v>
      </c>
      <c r="Q116" s="276">
        <f t="shared" si="127"/>
        <v>0</v>
      </c>
      <c r="R116" s="276">
        <f t="shared" si="127"/>
        <v>0</v>
      </c>
      <c r="S116" s="276">
        <f t="shared" si="127"/>
        <v>0</v>
      </c>
      <c r="T116" s="276">
        <f t="shared" si="127"/>
        <v>0</v>
      </c>
      <c r="U116" s="276">
        <f t="shared" si="127"/>
        <v>0</v>
      </c>
      <c r="V116" s="276">
        <f t="shared" si="127"/>
        <v>0</v>
      </c>
      <c r="W116" s="276">
        <f t="shared" si="127"/>
        <v>0</v>
      </c>
      <c r="X116" s="276">
        <f t="shared" si="127"/>
        <v>0</v>
      </c>
      <c r="Y116" s="276">
        <f t="shared" si="127"/>
        <v>0</v>
      </c>
    </row>
    <row r="117" spans="3:27" x14ac:dyDescent="0.25">
      <c r="C117" s="86"/>
      <c r="D117" s="295"/>
      <c r="F117" s="295" t="s">
        <v>45</v>
      </c>
      <c r="G117" s="295" t="s">
        <v>611</v>
      </c>
      <c r="J117" s="276">
        <f t="shared" si="127"/>
        <v>0</v>
      </c>
      <c r="K117" s="276">
        <f t="shared" si="127"/>
        <v>0</v>
      </c>
      <c r="L117" s="276">
        <f t="shared" si="127"/>
        <v>0</v>
      </c>
      <c r="M117" s="276">
        <f t="shared" si="127"/>
        <v>0</v>
      </c>
      <c r="N117" s="276">
        <f t="shared" si="127"/>
        <v>0</v>
      </c>
      <c r="O117" s="276">
        <f t="shared" si="127"/>
        <v>0</v>
      </c>
      <c r="P117" s="276">
        <f t="shared" si="127"/>
        <v>0</v>
      </c>
      <c r="Q117" s="276">
        <f t="shared" si="127"/>
        <v>0</v>
      </c>
      <c r="R117" s="276">
        <f t="shared" si="127"/>
        <v>0</v>
      </c>
      <c r="S117" s="276">
        <f t="shared" si="127"/>
        <v>0</v>
      </c>
      <c r="T117" s="276">
        <f t="shared" si="127"/>
        <v>0</v>
      </c>
      <c r="U117" s="276">
        <f t="shared" si="127"/>
        <v>0</v>
      </c>
      <c r="V117" s="276">
        <f t="shared" si="127"/>
        <v>0</v>
      </c>
      <c r="W117" s="276">
        <f t="shared" si="127"/>
        <v>0</v>
      </c>
      <c r="X117" s="276">
        <f t="shared" si="127"/>
        <v>0</v>
      </c>
      <c r="Y117" s="276">
        <f t="shared" si="127"/>
        <v>0</v>
      </c>
    </row>
    <row r="118" spans="3:27" x14ac:dyDescent="0.25">
      <c r="C118" s="86"/>
      <c r="D118" s="295"/>
      <c r="F118" s="295" t="s">
        <v>46</v>
      </c>
      <c r="G118" s="295" t="s">
        <v>611</v>
      </c>
      <c r="J118" s="276">
        <f t="shared" si="127"/>
        <v>0</v>
      </c>
      <c r="K118" s="276">
        <f t="shared" si="127"/>
        <v>0</v>
      </c>
      <c r="L118" s="276">
        <f t="shared" si="127"/>
        <v>0</v>
      </c>
      <c r="M118" s="276">
        <f t="shared" si="127"/>
        <v>0</v>
      </c>
      <c r="N118" s="276">
        <f t="shared" si="127"/>
        <v>0</v>
      </c>
      <c r="O118" s="276">
        <f t="shared" si="127"/>
        <v>0</v>
      </c>
      <c r="P118" s="276">
        <f t="shared" si="127"/>
        <v>0</v>
      </c>
      <c r="Q118" s="276">
        <f t="shared" si="127"/>
        <v>0</v>
      </c>
      <c r="R118" s="276">
        <f t="shared" si="127"/>
        <v>0</v>
      </c>
      <c r="S118" s="276">
        <f t="shared" si="127"/>
        <v>0</v>
      </c>
      <c r="T118" s="276">
        <f t="shared" si="127"/>
        <v>0</v>
      </c>
      <c r="U118" s="276">
        <f t="shared" si="127"/>
        <v>0</v>
      </c>
      <c r="V118" s="276">
        <f t="shared" si="127"/>
        <v>0</v>
      </c>
      <c r="W118" s="276">
        <f t="shared" si="127"/>
        <v>0</v>
      </c>
      <c r="X118" s="276">
        <f t="shared" si="127"/>
        <v>0</v>
      </c>
      <c r="Y118" s="276">
        <f t="shared" si="127"/>
        <v>0</v>
      </c>
    </row>
    <row r="119" spans="3:27" x14ac:dyDescent="0.25">
      <c r="C119" s="86"/>
      <c r="D119" s="295"/>
      <c r="F119" s="295" t="s">
        <v>47</v>
      </c>
      <c r="G119" s="295" t="s">
        <v>611</v>
      </c>
      <c r="J119" s="276">
        <f t="shared" si="127"/>
        <v>0</v>
      </c>
      <c r="K119" s="276">
        <f t="shared" si="127"/>
        <v>0</v>
      </c>
      <c r="L119" s="276">
        <f t="shared" si="127"/>
        <v>0</v>
      </c>
      <c r="M119" s="276">
        <f t="shared" si="127"/>
        <v>0</v>
      </c>
      <c r="N119" s="276">
        <f t="shared" si="127"/>
        <v>0</v>
      </c>
      <c r="O119" s="276">
        <f t="shared" si="127"/>
        <v>0</v>
      </c>
      <c r="P119" s="276">
        <f t="shared" si="127"/>
        <v>0</v>
      </c>
      <c r="Q119" s="276">
        <f t="shared" si="127"/>
        <v>0</v>
      </c>
      <c r="R119" s="276">
        <f t="shared" si="127"/>
        <v>0</v>
      </c>
      <c r="S119" s="276">
        <f t="shared" si="127"/>
        <v>0</v>
      </c>
      <c r="T119" s="276">
        <f t="shared" si="127"/>
        <v>0</v>
      </c>
      <c r="U119" s="276">
        <f t="shared" si="127"/>
        <v>0</v>
      </c>
      <c r="V119" s="276">
        <f t="shared" si="127"/>
        <v>0</v>
      </c>
      <c r="W119" s="276">
        <f t="shared" si="127"/>
        <v>0</v>
      </c>
      <c r="X119" s="276">
        <f t="shared" si="127"/>
        <v>0</v>
      </c>
      <c r="Y119" s="276">
        <f t="shared" si="127"/>
        <v>0</v>
      </c>
    </row>
    <row r="120" spans="3:27" x14ac:dyDescent="0.25">
      <c r="C120" s="86"/>
      <c r="D120" s="295"/>
      <c r="F120" s="295" t="s">
        <v>51</v>
      </c>
      <c r="G120" s="295" t="s">
        <v>611</v>
      </c>
      <c r="J120" s="276">
        <f t="shared" si="127"/>
        <v>0</v>
      </c>
      <c r="K120" s="276">
        <f t="shared" si="127"/>
        <v>0</v>
      </c>
      <c r="L120" s="276">
        <f t="shared" si="127"/>
        <v>0</v>
      </c>
      <c r="M120" s="276">
        <f t="shared" si="127"/>
        <v>0</v>
      </c>
      <c r="N120" s="276">
        <f t="shared" si="127"/>
        <v>0</v>
      </c>
      <c r="O120" s="276">
        <f t="shared" si="127"/>
        <v>0</v>
      </c>
      <c r="P120" s="276">
        <f t="shared" si="127"/>
        <v>0</v>
      </c>
      <c r="Q120" s="276">
        <f t="shared" si="127"/>
        <v>0</v>
      </c>
      <c r="R120" s="276">
        <f t="shared" si="127"/>
        <v>0</v>
      </c>
      <c r="S120" s="276">
        <f t="shared" si="127"/>
        <v>0</v>
      </c>
      <c r="T120" s="276">
        <f t="shared" si="127"/>
        <v>0</v>
      </c>
      <c r="U120" s="276">
        <f t="shared" si="127"/>
        <v>0</v>
      </c>
      <c r="V120" s="276">
        <f t="shared" si="127"/>
        <v>0</v>
      </c>
      <c r="W120" s="276">
        <f t="shared" si="127"/>
        <v>0</v>
      </c>
      <c r="X120" s="276">
        <f t="shared" si="127"/>
        <v>0</v>
      </c>
      <c r="Y120" s="276">
        <f t="shared" si="127"/>
        <v>0</v>
      </c>
    </row>
    <row r="121" spans="3:27" x14ac:dyDescent="0.25">
      <c r="C121" s="86"/>
      <c r="D121" s="295"/>
      <c r="F121" s="295" t="s">
        <v>48</v>
      </c>
      <c r="G121" s="295" t="s">
        <v>611</v>
      </c>
      <c r="J121" s="276">
        <f t="shared" si="127"/>
        <v>0</v>
      </c>
      <c r="K121" s="276">
        <f t="shared" si="127"/>
        <v>0</v>
      </c>
      <c r="L121" s="276">
        <f t="shared" si="127"/>
        <v>0</v>
      </c>
      <c r="M121" s="276">
        <f t="shared" si="127"/>
        <v>0</v>
      </c>
      <c r="N121" s="276">
        <f t="shared" si="127"/>
        <v>0</v>
      </c>
      <c r="O121" s="276">
        <f t="shared" si="127"/>
        <v>0</v>
      </c>
      <c r="P121" s="276">
        <f t="shared" si="127"/>
        <v>0</v>
      </c>
      <c r="Q121" s="276">
        <f t="shared" si="127"/>
        <v>0</v>
      </c>
      <c r="R121" s="276">
        <f t="shared" si="127"/>
        <v>0</v>
      </c>
      <c r="S121" s="276">
        <f t="shared" si="127"/>
        <v>0</v>
      </c>
      <c r="T121" s="276">
        <f t="shared" si="127"/>
        <v>0</v>
      </c>
      <c r="U121" s="276">
        <f t="shared" si="127"/>
        <v>0</v>
      </c>
      <c r="V121" s="276">
        <f t="shared" si="127"/>
        <v>0</v>
      </c>
      <c r="W121" s="276">
        <f t="shared" si="127"/>
        <v>0</v>
      </c>
      <c r="X121" s="276">
        <f t="shared" si="127"/>
        <v>0</v>
      </c>
      <c r="Y121" s="276">
        <f t="shared" si="127"/>
        <v>0</v>
      </c>
    </row>
    <row r="122" spans="3:27" x14ac:dyDescent="0.25">
      <c r="C122" s="86"/>
      <c r="D122" s="295"/>
      <c r="F122" s="295" t="s">
        <v>49</v>
      </c>
      <c r="G122" s="295" t="s">
        <v>611</v>
      </c>
      <c r="J122" s="276">
        <f t="shared" si="127"/>
        <v>0</v>
      </c>
      <c r="K122" s="276">
        <f t="shared" si="127"/>
        <v>0</v>
      </c>
      <c r="L122" s="276">
        <f t="shared" si="127"/>
        <v>0</v>
      </c>
      <c r="M122" s="276">
        <f t="shared" si="127"/>
        <v>0</v>
      </c>
      <c r="N122" s="276">
        <f t="shared" si="127"/>
        <v>0</v>
      </c>
      <c r="O122" s="276">
        <f t="shared" si="127"/>
        <v>0</v>
      </c>
      <c r="P122" s="276">
        <f t="shared" si="127"/>
        <v>0</v>
      </c>
      <c r="Q122" s="276">
        <f t="shared" si="127"/>
        <v>0</v>
      </c>
      <c r="R122" s="276">
        <f t="shared" si="127"/>
        <v>0</v>
      </c>
      <c r="S122" s="276">
        <f t="shared" si="127"/>
        <v>0</v>
      </c>
      <c r="T122" s="276">
        <f t="shared" si="127"/>
        <v>0</v>
      </c>
      <c r="U122" s="276">
        <f t="shared" si="127"/>
        <v>0</v>
      </c>
      <c r="V122" s="276">
        <f t="shared" si="127"/>
        <v>0</v>
      </c>
      <c r="W122" s="276">
        <f t="shared" si="127"/>
        <v>0</v>
      </c>
      <c r="X122" s="276">
        <f t="shared" si="127"/>
        <v>0</v>
      </c>
      <c r="Y122" s="276">
        <f t="shared" si="127"/>
        <v>0</v>
      </c>
    </row>
    <row r="123" spans="3:27" x14ac:dyDescent="0.25">
      <c r="C123" s="86"/>
      <c r="D123" s="295"/>
      <c r="F123" s="295" t="s">
        <v>50</v>
      </c>
      <c r="G123" s="295" t="s">
        <v>611</v>
      </c>
      <c r="J123" s="276">
        <f t="shared" si="127"/>
        <v>783294.26777919405</v>
      </c>
      <c r="K123" s="276">
        <f t="shared" si="127"/>
        <v>0</v>
      </c>
      <c r="L123" s="276">
        <f t="shared" si="127"/>
        <v>783294.26777919405</v>
      </c>
      <c r="M123" s="276">
        <f t="shared" si="127"/>
        <v>0</v>
      </c>
      <c r="N123" s="276">
        <f t="shared" si="127"/>
        <v>0</v>
      </c>
      <c r="O123" s="276">
        <f t="shared" si="127"/>
        <v>0</v>
      </c>
      <c r="P123" s="276">
        <f t="shared" si="127"/>
        <v>0</v>
      </c>
      <c r="Q123" s="276">
        <f t="shared" si="127"/>
        <v>0</v>
      </c>
      <c r="R123" s="276">
        <f t="shared" si="127"/>
        <v>0</v>
      </c>
      <c r="S123" s="276">
        <f t="shared" si="127"/>
        <v>0</v>
      </c>
      <c r="T123" s="276">
        <f t="shared" si="127"/>
        <v>0</v>
      </c>
      <c r="U123" s="276">
        <f t="shared" si="127"/>
        <v>0</v>
      </c>
      <c r="V123" s="276">
        <f t="shared" si="127"/>
        <v>0</v>
      </c>
      <c r="W123" s="276">
        <f t="shared" si="127"/>
        <v>0</v>
      </c>
      <c r="X123" s="276">
        <f t="shared" si="127"/>
        <v>0</v>
      </c>
      <c r="Y123" s="276">
        <f t="shared" si="127"/>
        <v>0</v>
      </c>
    </row>
    <row r="124" spans="3:27" x14ac:dyDescent="0.25">
      <c r="C124" s="86"/>
      <c r="D124" s="295"/>
      <c r="F124" s="295" t="s">
        <v>124</v>
      </c>
      <c r="G124" s="295" t="s">
        <v>611</v>
      </c>
      <c r="J124" s="280"/>
      <c r="K124" s="280"/>
      <c r="L124" s="280"/>
      <c r="M124" s="280"/>
      <c r="N124" s="280"/>
      <c r="O124" s="280"/>
      <c r="P124" s="280"/>
      <c r="Q124" s="280"/>
      <c r="R124" s="280"/>
      <c r="S124" s="280"/>
      <c r="T124" s="280"/>
      <c r="U124" s="280"/>
      <c r="V124" s="280"/>
      <c r="W124" s="280"/>
      <c r="X124" s="280"/>
      <c r="Y124" s="280"/>
    </row>
    <row r="125" spans="3:27" x14ac:dyDescent="0.25">
      <c r="C125" s="86"/>
      <c r="D125" s="295"/>
      <c r="F125" s="93" t="s">
        <v>123</v>
      </c>
      <c r="G125" s="93" t="s">
        <v>611</v>
      </c>
      <c r="H125" s="93"/>
      <c r="I125" s="93"/>
      <c r="J125" s="241"/>
      <c r="K125" s="241"/>
      <c r="L125" s="241"/>
      <c r="M125" s="241"/>
      <c r="N125" s="241"/>
      <c r="O125" s="241"/>
      <c r="P125" s="241"/>
      <c r="Q125" s="241"/>
      <c r="R125" s="241"/>
      <c r="S125" s="241"/>
      <c r="T125" s="241"/>
      <c r="U125" s="241"/>
      <c r="V125" s="241"/>
      <c r="W125" s="241"/>
      <c r="X125" s="241"/>
      <c r="Y125" s="241"/>
    </row>
    <row r="126" spans="3:27" x14ac:dyDescent="0.25">
      <c r="C126" s="86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</row>
    <row r="127" spans="3:27" x14ac:dyDescent="0.25">
      <c r="C127" s="7" t="str">
        <f ca="1">INDEX('Version control'!$H$34:$H$58,MATCH($A$1,'Version control'!$F$34:$F$58,0),1)&amp;"-G: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3:27" x14ac:dyDescent="0.25">
      <c r="D128" s="295"/>
      <c r="E128" s="96"/>
    </row>
    <row r="129" spans="3:27" x14ac:dyDescent="0.25">
      <c r="D129" s="295"/>
      <c r="E129" s="295" t="s">
        <v>694</v>
      </c>
      <c r="G129" s="295" t="s">
        <v>74</v>
      </c>
      <c r="J129" s="253">
        <f t="shared" ref="J129:Y129" si="128">SUMIFS($J$18:$Y$18,$J$63:$Y$63,J63)</f>
        <v>1513488.9537147956</v>
      </c>
      <c r="K129" s="253">
        <f t="shared" si="128"/>
        <v>14923.706296124845</v>
      </c>
      <c r="L129" s="253">
        <f t="shared" si="128"/>
        <v>1513488.9537147956</v>
      </c>
      <c r="M129" s="253">
        <f t="shared" si="128"/>
        <v>14923.706296124845</v>
      </c>
      <c r="N129" s="253">
        <f t="shared" si="128"/>
        <v>14923.706296124845</v>
      </c>
      <c r="O129" s="253">
        <f t="shared" si="128"/>
        <v>14923.706296124845</v>
      </c>
      <c r="P129" s="253">
        <f t="shared" si="128"/>
        <v>14923.706296124845</v>
      </c>
      <c r="Q129" s="253">
        <f t="shared" si="128"/>
        <v>14923.706296124845</v>
      </c>
      <c r="R129" s="253">
        <f t="shared" si="128"/>
        <v>14923.706296124845</v>
      </c>
      <c r="S129" s="253">
        <f t="shared" si="128"/>
        <v>14923.706296124845</v>
      </c>
      <c r="T129" s="253">
        <f t="shared" si="128"/>
        <v>14923.706296124845</v>
      </c>
      <c r="U129" s="253">
        <f t="shared" si="128"/>
        <v>14923.706296124845</v>
      </c>
      <c r="V129" s="253">
        <f t="shared" si="128"/>
        <v>14923.706296124845</v>
      </c>
      <c r="W129" s="253">
        <f t="shared" si="128"/>
        <v>14923.706296124845</v>
      </c>
      <c r="X129" s="253">
        <f t="shared" si="128"/>
        <v>14923.706296124845</v>
      </c>
      <c r="Y129" s="253">
        <f t="shared" si="128"/>
        <v>14923.706296124845</v>
      </c>
    </row>
    <row r="130" spans="3:27" x14ac:dyDescent="0.25">
      <c r="D130" s="295"/>
      <c r="E130" s="295"/>
    </row>
    <row r="131" spans="3:27" x14ac:dyDescent="0.25">
      <c r="C131" s="86"/>
      <c r="E131" s="96" t="s">
        <v>139</v>
      </c>
      <c r="I131" s="295" t="s">
        <v>431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AA131" s="295" t="s">
        <v>938</v>
      </c>
    </row>
    <row r="132" spans="3:27" x14ac:dyDescent="0.25">
      <c r="C132" s="86"/>
      <c r="E132" s="82"/>
      <c r="F132" s="91" t="s">
        <v>324</v>
      </c>
      <c r="G132" s="91" t="s">
        <v>309</v>
      </c>
      <c r="H132" s="91"/>
      <c r="I132" s="91"/>
      <c r="J132" s="268">
        <f t="shared" ref="J132:Y141" si="129">IF(J$129 = 0, 0, J100 / J$129)</f>
        <v>0</v>
      </c>
      <c r="K132" s="268">
        <f t="shared" si="129"/>
        <v>0</v>
      </c>
      <c r="L132" s="268">
        <f t="shared" si="129"/>
        <v>0</v>
      </c>
      <c r="M132" s="268">
        <f t="shared" si="129"/>
        <v>0</v>
      </c>
      <c r="N132" s="268">
        <f t="shared" si="129"/>
        <v>0</v>
      </c>
      <c r="O132" s="268">
        <f t="shared" si="129"/>
        <v>0</v>
      </c>
      <c r="P132" s="268">
        <f t="shared" si="129"/>
        <v>0</v>
      </c>
      <c r="Q132" s="268">
        <f t="shared" si="129"/>
        <v>0</v>
      </c>
      <c r="R132" s="268">
        <f t="shared" si="129"/>
        <v>0</v>
      </c>
      <c r="S132" s="268">
        <f t="shared" si="129"/>
        <v>0</v>
      </c>
      <c r="T132" s="268">
        <f t="shared" si="129"/>
        <v>0</v>
      </c>
      <c r="U132" s="268">
        <f t="shared" si="129"/>
        <v>0</v>
      </c>
      <c r="V132" s="268">
        <f t="shared" si="129"/>
        <v>0</v>
      </c>
      <c r="W132" s="268">
        <f t="shared" si="129"/>
        <v>0</v>
      </c>
      <c r="X132" s="268">
        <f t="shared" si="129"/>
        <v>0</v>
      </c>
      <c r="Y132" s="268">
        <f t="shared" si="129"/>
        <v>0</v>
      </c>
    </row>
    <row r="133" spans="3:27" x14ac:dyDescent="0.25">
      <c r="C133" s="86"/>
      <c r="E133" s="82"/>
      <c r="F133" s="295" t="s">
        <v>43</v>
      </c>
      <c r="G133" s="295" t="s">
        <v>309</v>
      </c>
      <c r="J133" s="276">
        <f t="shared" si="129"/>
        <v>0</v>
      </c>
      <c r="K133" s="276">
        <f t="shared" si="129"/>
        <v>0</v>
      </c>
      <c r="L133" s="276">
        <f t="shared" si="129"/>
        <v>0</v>
      </c>
      <c r="M133" s="276">
        <f t="shared" si="129"/>
        <v>0</v>
      </c>
      <c r="N133" s="276">
        <f t="shared" si="129"/>
        <v>0</v>
      </c>
      <c r="O133" s="276">
        <f t="shared" si="129"/>
        <v>0</v>
      </c>
      <c r="P133" s="276">
        <f t="shared" si="129"/>
        <v>0</v>
      </c>
      <c r="Q133" s="276">
        <f t="shared" si="129"/>
        <v>0</v>
      </c>
      <c r="R133" s="276">
        <f t="shared" si="129"/>
        <v>0</v>
      </c>
      <c r="S133" s="276">
        <f t="shared" si="129"/>
        <v>0</v>
      </c>
      <c r="T133" s="276">
        <f t="shared" si="129"/>
        <v>0</v>
      </c>
      <c r="U133" s="276">
        <f t="shared" si="129"/>
        <v>0</v>
      </c>
      <c r="V133" s="276">
        <f t="shared" si="129"/>
        <v>0</v>
      </c>
      <c r="W133" s="276">
        <f t="shared" si="129"/>
        <v>0</v>
      </c>
      <c r="X133" s="276">
        <f t="shared" si="129"/>
        <v>0</v>
      </c>
      <c r="Y133" s="276">
        <f t="shared" si="129"/>
        <v>0</v>
      </c>
    </row>
    <row r="134" spans="3:27" x14ac:dyDescent="0.25">
      <c r="C134" s="86"/>
      <c r="E134" s="82"/>
      <c r="F134" s="295" t="s">
        <v>44</v>
      </c>
      <c r="G134" s="295" t="s">
        <v>309</v>
      </c>
      <c r="J134" s="276">
        <f t="shared" si="129"/>
        <v>0</v>
      </c>
      <c r="K134" s="276">
        <f t="shared" si="129"/>
        <v>0</v>
      </c>
      <c r="L134" s="276">
        <f t="shared" si="129"/>
        <v>0</v>
      </c>
      <c r="M134" s="276">
        <f t="shared" si="129"/>
        <v>0</v>
      </c>
      <c r="N134" s="276">
        <f t="shared" si="129"/>
        <v>0</v>
      </c>
      <c r="O134" s="276">
        <f t="shared" si="129"/>
        <v>0</v>
      </c>
      <c r="P134" s="276">
        <f t="shared" si="129"/>
        <v>0</v>
      </c>
      <c r="Q134" s="276">
        <f t="shared" si="129"/>
        <v>0</v>
      </c>
      <c r="R134" s="276">
        <f t="shared" si="129"/>
        <v>0</v>
      </c>
      <c r="S134" s="276">
        <f t="shared" si="129"/>
        <v>0</v>
      </c>
      <c r="T134" s="276">
        <f t="shared" si="129"/>
        <v>0</v>
      </c>
      <c r="U134" s="276">
        <f t="shared" si="129"/>
        <v>0</v>
      </c>
      <c r="V134" s="276">
        <f t="shared" si="129"/>
        <v>0</v>
      </c>
      <c r="W134" s="276">
        <f t="shared" si="129"/>
        <v>0</v>
      </c>
      <c r="X134" s="276">
        <f t="shared" si="129"/>
        <v>0</v>
      </c>
      <c r="Y134" s="276">
        <f t="shared" si="129"/>
        <v>0</v>
      </c>
    </row>
    <row r="135" spans="3:27" x14ac:dyDescent="0.25">
      <c r="C135" s="86"/>
      <c r="E135" s="82"/>
      <c r="F135" s="295" t="s">
        <v>45</v>
      </c>
      <c r="G135" s="295" t="s">
        <v>309</v>
      </c>
      <c r="J135" s="276">
        <f t="shared" si="129"/>
        <v>0</v>
      </c>
      <c r="K135" s="276">
        <f t="shared" si="129"/>
        <v>0</v>
      </c>
      <c r="L135" s="276">
        <f t="shared" si="129"/>
        <v>0</v>
      </c>
      <c r="M135" s="276">
        <f t="shared" si="129"/>
        <v>0</v>
      </c>
      <c r="N135" s="276">
        <f t="shared" si="129"/>
        <v>0</v>
      </c>
      <c r="O135" s="276">
        <f t="shared" si="129"/>
        <v>0</v>
      </c>
      <c r="P135" s="276">
        <f t="shared" si="129"/>
        <v>0</v>
      </c>
      <c r="Q135" s="276">
        <f t="shared" si="129"/>
        <v>0</v>
      </c>
      <c r="R135" s="276">
        <f t="shared" si="129"/>
        <v>0</v>
      </c>
      <c r="S135" s="276">
        <f t="shared" si="129"/>
        <v>0</v>
      </c>
      <c r="T135" s="276">
        <f t="shared" si="129"/>
        <v>0</v>
      </c>
      <c r="U135" s="276">
        <f t="shared" si="129"/>
        <v>0</v>
      </c>
      <c r="V135" s="276">
        <f t="shared" si="129"/>
        <v>0</v>
      </c>
      <c r="W135" s="276">
        <f t="shared" si="129"/>
        <v>0</v>
      </c>
      <c r="X135" s="276">
        <f t="shared" si="129"/>
        <v>0</v>
      </c>
      <c r="Y135" s="276">
        <f t="shared" si="129"/>
        <v>0</v>
      </c>
    </row>
    <row r="136" spans="3:27" x14ac:dyDescent="0.25">
      <c r="C136" s="86"/>
      <c r="E136" s="82"/>
      <c r="F136" s="295" t="s">
        <v>46</v>
      </c>
      <c r="G136" s="295" t="s">
        <v>309</v>
      </c>
      <c r="J136" s="276">
        <f t="shared" si="129"/>
        <v>0</v>
      </c>
      <c r="K136" s="276">
        <f t="shared" si="129"/>
        <v>0</v>
      </c>
      <c r="L136" s="276">
        <f t="shared" si="129"/>
        <v>0</v>
      </c>
      <c r="M136" s="276">
        <f t="shared" si="129"/>
        <v>0</v>
      </c>
      <c r="N136" s="276">
        <f t="shared" si="129"/>
        <v>0</v>
      </c>
      <c r="O136" s="276">
        <f t="shared" si="129"/>
        <v>0</v>
      </c>
      <c r="P136" s="276">
        <f t="shared" si="129"/>
        <v>0</v>
      </c>
      <c r="Q136" s="276">
        <f t="shared" si="129"/>
        <v>0</v>
      </c>
      <c r="R136" s="276">
        <f t="shared" si="129"/>
        <v>0</v>
      </c>
      <c r="S136" s="276">
        <f t="shared" si="129"/>
        <v>0</v>
      </c>
      <c r="T136" s="276">
        <f t="shared" si="129"/>
        <v>0</v>
      </c>
      <c r="U136" s="276">
        <f t="shared" si="129"/>
        <v>0</v>
      </c>
      <c r="V136" s="276">
        <f t="shared" si="129"/>
        <v>0</v>
      </c>
      <c r="W136" s="276">
        <f t="shared" si="129"/>
        <v>0</v>
      </c>
      <c r="X136" s="276">
        <f t="shared" si="129"/>
        <v>0</v>
      </c>
      <c r="Y136" s="276">
        <f t="shared" si="129"/>
        <v>0</v>
      </c>
    </row>
    <row r="137" spans="3:27" x14ac:dyDescent="0.25">
      <c r="C137" s="86"/>
      <c r="E137" s="82"/>
      <c r="F137" s="295" t="s">
        <v>47</v>
      </c>
      <c r="G137" s="295" t="s">
        <v>309</v>
      </c>
      <c r="J137" s="276">
        <f t="shared" si="129"/>
        <v>0</v>
      </c>
      <c r="K137" s="276">
        <f t="shared" si="129"/>
        <v>0</v>
      </c>
      <c r="L137" s="276">
        <f t="shared" si="129"/>
        <v>0</v>
      </c>
      <c r="M137" s="276">
        <f t="shared" si="129"/>
        <v>0</v>
      </c>
      <c r="N137" s="276">
        <f t="shared" si="129"/>
        <v>0</v>
      </c>
      <c r="O137" s="276">
        <f t="shared" si="129"/>
        <v>0</v>
      </c>
      <c r="P137" s="276">
        <f t="shared" si="129"/>
        <v>0</v>
      </c>
      <c r="Q137" s="276">
        <f t="shared" si="129"/>
        <v>0</v>
      </c>
      <c r="R137" s="276">
        <f t="shared" si="129"/>
        <v>0</v>
      </c>
      <c r="S137" s="276">
        <f t="shared" si="129"/>
        <v>0</v>
      </c>
      <c r="T137" s="276">
        <f t="shared" si="129"/>
        <v>0</v>
      </c>
      <c r="U137" s="276">
        <f t="shared" si="129"/>
        <v>0</v>
      </c>
      <c r="V137" s="276">
        <f t="shared" si="129"/>
        <v>0</v>
      </c>
      <c r="W137" s="276">
        <f t="shared" si="129"/>
        <v>0</v>
      </c>
      <c r="X137" s="276">
        <f t="shared" si="129"/>
        <v>0</v>
      </c>
      <c r="Y137" s="276">
        <f t="shared" si="129"/>
        <v>0</v>
      </c>
    </row>
    <row r="138" spans="3:27" x14ac:dyDescent="0.25">
      <c r="C138" s="86"/>
      <c r="E138" s="82"/>
      <c r="F138" s="295" t="s">
        <v>51</v>
      </c>
      <c r="G138" s="295" t="s">
        <v>309</v>
      </c>
      <c r="J138" s="276">
        <f t="shared" si="129"/>
        <v>0</v>
      </c>
      <c r="K138" s="276">
        <f t="shared" si="129"/>
        <v>0</v>
      </c>
      <c r="L138" s="276">
        <f t="shared" si="129"/>
        <v>0</v>
      </c>
      <c r="M138" s="276">
        <f t="shared" si="129"/>
        <v>0</v>
      </c>
      <c r="N138" s="276">
        <f t="shared" si="129"/>
        <v>0</v>
      </c>
      <c r="O138" s="276">
        <f t="shared" si="129"/>
        <v>0</v>
      </c>
      <c r="P138" s="276">
        <f t="shared" si="129"/>
        <v>0</v>
      </c>
      <c r="Q138" s="276">
        <f t="shared" si="129"/>
        <v>0</v>
      </c>
      <c r="R138" s="276">
        <f t="shared" si="129"/>
        <v>0</v>
      </c>
      <c r="S138" s="276">
        <f t="shared" si="129"/>
        <v>0</v>
      </c>
      <c r="T138" s="276">
        <f t="shared" si="129"/>
        <v>0</v>
      </c>
      <c r="U138" s="276">
        <f t="shared" si="129"/>
        <v>0</v>
      </c>
      <c r="V138" s="276">
        <f t="shared" si="129"/>
        <v>0</v>
      </c>
      <c r="W138" s="276">
        <f t="shared" si="129"/>
        <v>0</v>
      </c>
      <c r="X138" s="276">
        <f t="shared" si="129"/>
        <v>0</v>
      </c>
      <c r="Y138" s="276">
        <f t="shared" si="129"/>
        <v>0</v>
      </c>
    </row>
    <row r="139" spans="3:27" x14ac:dyDescent="0.25">
      <c r="C139" s="86"/>
      <c r="E139" s="82"/>
      <c r="F139" s="295" t="s">
        <v>48</v>
      </c>
      <c r="G139" s="295" t="s">
        <v>309</v>
      </c>
      <c r="J139" s="276">
        <f t="shared" si="129"/>
        <v>0</v>
      </c>
      <c r="K139" s="276">
        <f t="shared" si="129"/>
        <v>0</v>
      </c>
      <c r="L139" s="276">
        <f t="shared" si="129"/>
        <v>0</v>
      </c>
      <c r="M139" s="276">
        <f t="shared" si="129"/>
        <v>0</v>
      </c>
      <c r="N139" s="276">
        <f t="shared" si="129"/>
        <v>0</v>
      </c>
      <c r="O139" s="276">
        <f t="shared" si="129"/>
        <v>0</v>
      </c>
      <c r="P139" s="276">
        <f t="shared" si="129"/>
        <v>0</v>
      </c>
      <c r="Q139" s="276">
        <f t="shared" si="129"/>
        <v>0</v>
      </c>
      <c r="R139" s="276">
        <f t="shared" si="129"/>
        <v>0</v>
      </c>
      <c r="S139" s="276">
        <f t="shared" si="129"/>
        <v>0</v>
      </c>
      <c r="T139" s="276">
        <f t="shared" si="129"/>
        <v>0</v>
      </c>
      <c r="U139" s="276">
        <f t="shared" si="129"/>
        <v>0</v>
      </c>
      <c r="V139" s="276">
        <f t="shared" si="129"/>
        <v>0</v>
      </c>
      <c r="W139" s="276">
        <f t="shared" si="129"/>
        <v>0</v>
      </c>
      <c r="X139" s="276">
        <f t="shared" si="129"/>
        <v>0</v>
      </c>
      <c r="Y139" s="276">
        <f t="shared" si="129"/>
        <v>0</v>
      </c>
    </row>
    <row r="140" spans="3:27" x14ac:dyDescent="0.25">
      <c r="C140" s="86"/>
      <c r="E140" s="82"/>
      <c r="F140" s="295" t="s">
        <v>49</v>
      </c>
      <c r="G140" s="295" t="s">
        <v>309</v>
      </c>
      <c r="J140" s="276">
        <f t="shared" si="129"/>
        <v>0</v>
      </c>
      <c r="K140" s="276">
        <f t="shared" si="129"/>
        <v>0</v>
      </c>
      <c r="L140" s="276">
        <f t="shared" si="129"/>
        <v>0</v>
      </c>
      <c r="M140" s="276">
        <f t="shared" si="129"/>
        <v>0</v>
      </c>
      <c r="N140" s="276">
        <f t="shared" si="129"/>
        <v>0</v>
      </c>
      <c r="O140" s="276">
        <f t="shared" si="129"/>
        <v>0</v>
      </c>
      <c r="P140" s="276">
        <f t="shared" si="129"/>
        <v>0</v>
      </c>
      <c r="Q140" s="276">
        <f t="shared" si="129"/>
        <v>0</v>
      </c>
      <c r="R140" s="276">
        <f t="shared" si="129"/>
        <v>0</v>
      </c>
      <c r="S140" s="276">
        <f t="shared" si="129"/>
        <v>0</v>
      </c>
      <c r="T140" s="276">
        <f t="shared" si="129"/>
        <v>0</v>
      </c>
      <c r="U140" s="276">
        <f t="shared" si="129"/>
        <v>0</v>
      </c>
      <c r="V140" s="276">
        <f t="shared" si="129"/>
        <v>0</v>
      </c>
      <c r="W140" s="276">
        <f t="shared" si="129"/>
        <v>0</v>
      </c>
      <c r="X140" s="276">
        <f t="shared" si="129"/>
        <v>0</v>
      </c>
      <c r="Y140" s="276">
        <f t="shared" si="129"/>
        <v>0</v>
      </c>
    </row>
    <row r="141" spans="3:27" x14ac:dyDescent="0.25">
      <c r="C141" s="86"/>
      <c r="E141" s="82"/>
      <c r="F141" s="295" t="s">
        <v>50</v>
      </c>
      <c r="G141" s="295" t="s">
        <v>309</v>
      </c>
      <c r="J141" s="276">
        <f t="shared" si="129"/>
        <v>6.7524564010559771E-2</v>
      </c>
      <c r="K141" s="276">
        <f t="shared" si="129"/>
        <v>0</v>
      </c>
      <c r="L141" s="276">
        <f t="shared" si="129"/>
        <v>6.7524564010559771E-2</v>
      </c>
      <c r="M141" s="276">
        <f t="shared" si="129"/>
        <v>0</v>
      </c>
      <c r="N141" s="276">
        <f t="shared" si="129"/>
        <v>0</v>
      </c>
      <c r="O141" s="276">
        <f t="shared" si="129"/>
        <v>0</v>
      </c>
      <c r="P141" s="276">
        <f t="shared" si="129"/>
        <v>0</v>
      </c>
      <c r="Q141" s="276">
        <f t="shared" si="129"/>
        <v>0</v>
      </c>
      <c r="R141" s="276">
        <f t="shared" si="129"/>
        <v>0</v>
      </c>
      <c r="S141" s="276">
        <f t="shared" si="129"/>
        <v>0</v>
      </c>
      <c r="T141" s="276">
        <f t="shared" si="129"/>
        <v>0</v>
      </c>
      <c r="U141" s="276">
        <f t="shared" si="129"/>
        <v>0</v>
      </c>
      <c r="V141" s="276">
        <f t="shared" si="129"/>
        <v>0</v>
      </c>
      <c r="W141" s="276">
        <f t="shared" si="129"/>
        <v>0</v>
      </c>
      <c r="X141" s="276">
        <f t="shared" si="129"/>
        <v>0</v>
      </c>
      <c r="Y141" s="276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309</v>
      </c>
      <c r="H142" s="91"/>
      <c r="I142" s="91"/>
      <c r="J142" s="239"/>
      <c r="K142" s="239"/>
      <c r="L142" s="239"/>
      <c r="M142" s="239"/>
      <c r="N142" s="239"/>
      <c r="O142" s="239"/>
      <c r="P142" s="239"/>
      <c r="Q142" s="239"/>
      <c r="R142" s="239"/>
      <c r="S142" s="239"/>
      <c r="T142" s="239"/>
      <c r="U142" s="239"/>
      <c r="V142" s="239"/>
      <c r="W142" s="239"/>
      <c r="X142" s="239"/>
      <c r="Y142" s="239"/>
    </row>
    <row r="143" spans="3:27" x14ac:dyDescent="0.25">
      <c r="C143" s="86"/>
      <c r="E143" s="82"/>
      <c r="F143" s="93" t="s">
        <v>123</v>
      </c>
      <c r="G143" s="93" t="s">
        <v>309</v>
      </c>
      <c r="H143" s="93"/>
      <c r="I143" s="93"/>
      <c r="J143" s="241"/>
      <c r="K143" s="241"/>
      <c r="L143" s="241"/>
      <c r="M143" s="241"/>
      <c r="N143" s="241"/>
      <c r="O143" s="241"/>
      <c r="P143" s="241"/>
      <c r="Q143" s="241"/>
      <c r="R143" s="241"/>
      <c r="S143" s="241"/>
      <c r="T143" s="241"/>
      <c r="U143" s="241"/>
      <c r="V143" s="241"/>
      <c r="W143" s="241"/>
      <c r="X143" s="241"/>
      <c r="Y143" s="241"/>
    </row>
    <row r="144" spans="3:27" x14ac:dyDescent="0.25">
      <c r="C144" s="86"/>
      <c r="D144" s="295"/>
      <c r="E144" s="82"/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  <c r="U144" s="253"/>
      <c r="V144" s="253"/>
      <c r="W144" s="253"/>
      <c r="X144" s="253"/>
      <c r="Y144" s="253"/>
    </row>
    <row r="145" spans="3:27" x14ac:dyDescent="0.25">
      <c r="C145" s="86"/>
      <c r="E145" s="96" t="s">
        <v>116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</row>
    <row r="146" spans="3:27" x14ac:dyDescent="0.25">
      <c r="C146" s="86"/>
      <c r="F146" s="91" t="s">
        <v>324</v>
      </c>
      <c r="G146" s="91" t="s">
        <v>309</v>
      </c>
      <c r="H146" s="91"/>
      <c r="I146" s="91"/>
      <c r="J146" s="268">
        <f t="shared" ref="J146:Y155" si="130">IF(J$129 = 0, 0, J114 / J$129)</f>
        <v>0</v>
      </c>
      <c r="K146" s="268">
        <f t="shared" si="130"/>
        <v>0</v>
      </c>
      <c r="L146" s="268">
        <f t="shared" si="130"/>
        <v>0</v>
      </c>
      <c r="M146" s="268">
        <f t="shared" si="130"/>
        <v>0</v>
      </c>
      <c r="N146" s="268">
        <f t="shared" si="130"/>
        <v>0</v>
      </c>
      <c r="O146" s="268">
        <f t="shared" si="130"/>
        <v>0</v>
      </c>
      <c r="P146" s="268">
        <f t="shared" si="130"/>
        <v>0</v>
      </c>
      <c r="Q146" s="268">
        <f t="shared" si="130"/>
        <v>0</v>
      </c>
      <c r="R146" s="268">
        <f t="shared" si="130"/>
        <v>0</v>
      </c>
      <c r="S146" s="268">
        <f t="shared" si="130"/>
        <v>0</v>
      </c>
      <c r="T146" s="268">
        <f t="shared" si="130"/>
        <v>0</v>
      </c>
      <c r="U146" s="268">
        <f t="shared" si="130"/>
        <v>0</v>
      </c>
      <c r="V146" s="268">
        <f t="shared" si="130"/>
        <v>0</v>
      </c>
      <c r="W146" s="268">
        <f t="shared" si="130"/>
        <v>0</v>
      </c>
      <c r="X146" s="268">
        <f t="shared" si="130"/>
        <v>0</v>
      </c>
      <c r="Y146" s="268">
        <f t="shared" si="130"/>
        <v>0</v>
      </c>
    </row>
    <row r="147" spans="3:27" x14ac:dyDescent="0.25">
      <c r="C147" s="86"/>
      <c r="F147" s="295" t="s">
        <v>43</v>
      </c>
      <c r="G147" s="295" t="s">
        <v>309</v>
      </c>
      <c r="J147" s="276">
        <f t="shared" si="130"/>
        <v>0</v>
      </c>
      <c r="K147" s="276">
        <f t="shared" si="130"/>
        <v>0</v>
      </c>
      <c r="L147" s="276">
        <f t="shared" si="130"/>
        <v>0</v>
      </c>
      <c r="M147" s="276">
        <f t="shared" si="130"/>
        <v>0</v>
      </c>
      <c r="N147" s="276">
        <f t="shared" si="130"/>
        <v>0</v>
      </c>
      <c r="O147" s="276">
        <f t="shared" si="130"/>
        <v>0</v>
      </c>
      <c r="P147" s="276">
        <f t="shared" si="130"/>
        <v>0</v>
      </c>
      <c r="Q147" s="276">
        <f t="shared" si="130"/>
        <v>0</v>
      </c>
      <c r="R147" s="276">
        <f t="shared" si="130"/>
        <v>0</v>
      </c>
      <c r="S147" s="276">
        <f t="shared" si="130"/>
        <v>0</v>
      </c>
      <c r="T147" s="276">
        <f t="shared" si="130"/>
        <v>0</v>
      </c>
      <c r="U147" s="276">
        <f t="shared" si="130"/>
        <v>0</v>
      </c>
      <c r="V147" s="276">
        <f t="shared" si="130"/>
        <v>0</v>
      </c>
      <c r="W147" s="276">
        <f t="shared" si="130"/>
        <v>0</v>
      </c>
      <c r="X147" s="276">
        <f t="shared" si="130"/>
        <v>0</v>
      </c>
      <c r="Y147" s="276">
        <f t="shared" si="130"/>
        <v>0</v>
      </c>
    </row>
    <row r="148" spans="3:27" x14ac:dyDescent="0.25">
      <c r="C148" s="86"/>
      <c r="F148" s="295" t="s">
        <v>44</v>
      </c>
      <c r="G148" s="295" t="s">
        <v>309</v>
      </c>
      <c r="J148" s="276">
        <f t="shared" si="130"/>
        <v>0</v>
      </c>
      <c r="K148" s="276">
        <f t="shared" si="130"/>
        <v>0</v>
      </c>
      <c r="L148" s="276">
        <f t="shared" si="130"/>
        <v>0</v>
      </c>
      <c r="M148" s="276">
        <f t="shared" si="130"/>
        <v>0</v>
      </c>
      <c r="N148" s="276">
        <f t="shared" si="130"/>
        <v>0</v>
      </c>
      <c r="O148" s="276">
        <f t="shared" si="130"/>
        <v>0</v>
      </c>
      <c r="P148" s="276">
        <f t="shared" si="130"/>
        <v>0</v>
      </c>
      <c r="Q148" s="276">
        <f t="shared" si="130"/>
        <v>0</v>
      </c>
      <c r="R148" s="276">
        <f t="shared" si="130"/>
        <v>0</v>
      </c>
      <c r="S148" s="276">
        <f t="shared" si="130"/>
        <v>0</v>
      </c>
      <c r="T148" s="276">
        <f t="shared" si="130"/>
        <v>0</v>
      </c>
      <c r="U148" s="276">
        <f t="shared" si="130"/>
        <v>0</v>
      </c>
      <c r="V148" s="276">
        <f t="shared" si="130"/>
        <v>0</v>
      </c>
      <c r="W148" s="276">
        <f t="shared" si="130"/>
        <v>0</v>
      </c>
      <c r="X148" s="276">
        <f t="shared" si="130"/>
        <v>0</v>
      </c>
      <c r="Y148" s="276">
        <f t="shared" si="130"/>
        <v>0</v>
      </c>
    </row>
    <row r="149" spans="3:27" x14ac:dyDescent="0.25">
      <c r="C149" s="86"/>
      <c r="F149" s="295" t="s">
        <v>45</v>
      </c>
      <c r="G149" s="295" t="s">
        <v>309</v>
      </c>
      <c r="J149" s="276">
        <f t="shared" si="130"/>
        <v>0</v>
      </c>
      <c r="K149" s="276">
        <f t="shared" si="130"/>
        <v>0</v>
      </c>
      <c r="L149" s="276">
        <f t="shared" si="130"/>
        <v>0</v>
      </c>
      <c r="M149" s="276">
        <f t="shared" si="130"/>
        <v>0</v>
      </c>
      <c r="N149" s="276">
        <f t="shared" si="130"/>
        <v>0</v>
      </c>
      <c r="O149" s="276">
        <f t="shared" si="130"/>
        <v>0</v>
      </c>
      <c r="P149" s="276">
        <f t="shared" si="130"/>
        <v>0</v>
      </c>
      <c r="Q149" s="276">
        <f t="shared" si="130"/>
        <v>0</v>
      </c>
      <c r="R149" s="276">
        <f t="shared" si="130"/>
        <v>0</v>
      </c>
      <c r="S149" s="276">
        <f t="shared" si="130"/>
        <v>0</v>
      </c>
      <c r="T149" s="276">
        <f t="shared" si="130"/>
        <v>0</v>
      </c>
      <c r="U149" s="276">
        <f t="shared" si="130"/>
        <v>0</v>
      </c>
      <c r="V149" s="276">
        <f t="shared" si="130"/>
        <v>0</v>
      </c>
      <c r="W149" s="276">
        <f t="shared" si="130"/>
        <v>0</v>
      </c>
      <c r="X149" s="276">
        <f t="shared" si="130"/>
        <v>0</v>
      </c>
      <c r="Y149" s="276">
        <f t="shared" si="130"/>
        <v>0</v>
      </c>
    </row>
    <row r="150" spans="3:27" x14ac:dyDescent="0.25">
      <c r="C150" s="86"/>
      <c r="F150" s="295" t="s">
        <v>46</v>
      </c>
      <c r="G150" s="295" t="s">
        <v>309</v>
      </c>
      <c r="J150" s="276">
        <f t="shared" si="130"/>
        <v>0</v>
      </c>
      <c r="K150" s="276">
        <f t="shared" si="130"/>
        <v>0</v>
      </c>
      <c r="L150" s="276">
        <f t="shared" si="130"/>
        <v>0</v>
      </c>
      <c r="M150" s="276">
        <f t="shared" si="130"/>
        <v>0</v>
      </c>
      <c r="N150" s="276">
        <f t="shared" si="130"/>
        <v>0</v>
      </c>
      <c r="O150" s="276">
        <f t="shared" si="130"/>
        <v>0</v>
      </c>
      <c r="P150" s="276">
        <f t="shared" si="130"/>
        <v>0</v>
      </c>
      <c r="Q150" s="276">
        <f t="shared" si="130"/>
        <v>0</v>
      </c>
      <c r="R150" s="276">
        <f t="shared" si="130"/>
        <v>0</v>
      </c>
      <c r="S150" s="276">
        <f t="shared" si="130"/>
        <v>0</v>
      </c>
      <c r="T150" s="276">
        <f t="shared" si="130"/>
        <v>0</v>
      </c>
      <c r="U150" s="276">
        <f t="shared" si="130"/>
        <v>0</v>
      </c>
      <c r="V150" s="276">
        <f t="shared" si="130"/>
        <v>0</v>
      </c>
      <c r="W150" s="276">
        <f t="shared" si="130"/>
        <v>0</v>
      </c>
      <c r="X150" s="276">
        <f t="shared" si="130"/>
        <v>0</v>
      </c>
      <c r="Y150" s="276">
        <f t="shared" si="130"/>
        <v>0</v>
      </c>
    </row>
    <row r="151" spans="3:27" x14ac:dyDescent="0.25">
      <c r="C151" s="86"/>
      <c r="F151" s="295" t="s">
        <v>47</v>
      </c>
      <c r="G151" s="295" t="s">
        <v>309</v>
      </c>
      <c r="J151" s="276">
        <f t="shared" si="130"/>
        <v>0</v>
      </c>
      <c r="K151" s="276">
        <f t="shared" si="130"/>
        <v>0</v>
      </c>
      <c r="L151" s="276">
        <f t="shared" si="130"/>
        <v>0</v>
      </c>
      <c r="M151" s="276">
        <f t="shared" si="130"/>
        <v>0</v>
      </c>
      <c r="N151" s="276">
        <f t="shared" si="130"/>
        <v>0</v>
      </c>
      <c r="O151" s="276">
        <f t="shared" si="130"/>
        <v>0</v>
      </c>
      <c r="P151" s="276">
        <f t="shared" si="130"/>
        <v>0</v>
      </c>
      <c r="Q151" s="276">
        <f t="shared" si="130"/>
        <v>0</v>
      </c>
      <c r="R151" s="276">
        <f t="shared" si="130"/>
        <v>0</v>
      </c>
      <c r="S151" s="276">
        <f t="shared" si="130"/>
        <v>0</v>
      </c>
      <c r="T151" s="276">
        <f t="shared" si="130"/>
        <v>0</v>
      </c>
      <c r="U151" s="276">
        <f t="shared" si="130"/>
        <v>0</v>
      </c>
      <c r="V151" s="276">
        <f t="shared" si="130"/>
        <v>0</v>
      </c>
      <c r="W151" s="276">
        <f t="shared" si="130"/>
        <v>0</v>
      </c>
      <c r="X151" s="276">
        <f t="shared" si="130"/>
        <v>0</v>
      </c>
      <c r="Y151" s="276">
        <f t="shared" si="130"/>
        <v>0</v>
      </c>
    </row>
    <row r="152" spans="3:27" x14ac:dyDescent="0.25">
      <c r="C152" s="86"/>
      <c r="F152" s="295" t="s">
        <v>51</v>
      </c>
      <c r="G152" s="295" t="s">
        <v>309</v>
      </c>
      <c r="J152" s="276">
        <f t="shared" si="130"/>
        <v>0</v>
      </c>
      <c r="K152" s="276">
        <f t="shared" si="130"/>
        <v>0</v>
      </c>
      <c r="L152" s="276">
        <f t="shared" si="130"/>
        <v>0</v>
      </c>
      <c r="M152" s="276">
        <f t="shared" si="130"/>
        <v>0</v>
      </c>
      <c r="N152" s="276">
        <f t="shared" si="130"/>
        <v>0</v>
      </c>
      <c r="O152" s="276">
        <f t="shared" si="130"/>
        <v>0</v>
      </c>
      <c r="P152" s="276">
        <f t="shared" si="130"/>
        <v>0</v>
      </c>
      <c r="Q152" s="276">
        <f t="shared" si="130"/>
        <v>0</v>
      </c>
      <c r="R152" s="276">
        <f t="shared" si="130"/>
        <v>0</v>
      </c>
      <c r="S152" s="276">
        <f t="shared" si="130"/>
        <v>0</v>
      </c>
      <c r="T152" s="276">
        <f t="shared" si="130"/>
        <v>0</v>
      </c>
      <c r="U152" s="276">
        <f t="shared" si="130"/>
        <v>0</v>
      </c>
      <c r="V152" s="276">
        <f t="shared" si="130"/>
        <v>0</v>
      </c>
      <c r="W152" s="276">
        <f t="shared" si="130"/>
        <v>0</v>
      </c>
      <c r="X152" s="276">
        <f t="shared" si="130"/>
        <v>0</v>
      </c>
      <c r="Y152" s="276">
        <f t="shared" si="130"/>
        <v>0</v>
      </c>
    </row>
    <row r="153" spans="3:27" x14ac:dyDescent="0.25">
      <c r="C153" s="86"/>
      <c r="F153" s="295" t="s">
        <v>48</v>
      </c>
      <c r="G153" s="295" t="s">
        <v>309</v>
      </c>
      <c r="J153" s="276">
        <f t="shared" si="130"/>
        <v>0</v>
      </c>
      <c r="K153" s="276">
        <f t="shared" si="130"/>
        <v>0</v>
      </c>
      <c r="L153" s="276">
        <f t="shared" si="130"/>
        <v>0</v>
      </c>
      <c r="M153" s="276">
        <f t="shared" si="130"/>
        <v>0</v>
      </c>
      <c r="N153" s="276">
        <f t="shared" si="130"/>
        <v>0</v>
      </c>
      <c r="O153" s="276">
        <f t="shared" si="130"/>
        <v>0</v>
      </c>
      <c r="P153" s="276">
        <f t="shared" si="130"/>
        <v>0</v>
      </c>
      <c r="Q153" s="276">
        <f t="shared" si="130"/>
        <v>0</v>
      </c>
      <c r="R153" s="276">
        <f t="shared" si="130"/>
        <v>0</v>
      </c>
      <c r="S153" s="276">
        <f t="shared" si="130"/>
        <v>0</v>
      </c>
      <c r="T153" s="276">
        <f t="shared" si="130"/>
        <v>0</v>
      </c>
      <c r="U153" s="276">
        <f t="shared" si="130"/>
        <v>0</v>
      </c>
      <c r="V153" s="276">
        <f t="shared" si="130"/>
        <v>0</v>
      </c>
      <c r="W153" s="276">
        <f t="shared" si="130"/>
        <v>0</v>
      </c>
      <c r="X153" s="276">
        <f t="shared" si="130"/>
        <v>0</v>
      </c>
      <c r="Y153" s="276">
        <f t="shared" si="130"/>
        <v>0</v>
      </c>
    </row>
    <row r="154" spans="3:27" x14ac:dyDescent="0.25">
      <c r="C154" s="86"/>
      <c r="F154" s="295" t="s">
        <v>49</v>
      </c>
      <c r="G154" s="295" t="s">
        <v>309</v>
      </c>
      <c r="J154" s="276">
        <f t="shared" si="130"/>
        <v>0</v>
      </c>
      <c r="K154" s="276">
        <f t="shared" si="130"/>
        <v>0</v>
      </c>
      <c r="L154" s="276">
        <f t="shared" si="130"/>
        <v>0</v>
      </c>
      <c r="M154" s="276">
        <f t="shared" si="130"/>
        <v>0</v>
      </c>
      <c r="N154" s="276">
        <f t="shared" si="130"/>
        <v>0</v>
      </c>
      <c r="O154" s="276">
        <f t="shared" si="130"/>
        <v>0</v>
      </c>
      <c r="P154" s="276">
        <f t="shared" si="130"/>
        <v>0</v>
      </c>
      <c r="Q154" s="276">
        <f t="shared" si="130"/>
        <v>0</v>
      </c>
      <c r="R154" s="276">
        <f t="shared" si="130"/>
        <v>0</v>
      </c>
      <c r="S154" s="276">
        <f t="shared" si="130"/>
        <v>0</v>
      </c>
      <c r="T154" s="276">
        <f t="shared" si="130"/>
        <v>0</v>
      </c>
      <c r="U154" s="276">
        <f t="shared" si="130"/>
        <v>0</v>
      </c>
      <c r="V154" s="276">
        <f t="shared" si="130"/>
        <v>0</v>
      </c>
      <c r="W154" s="276">
        <f t="shared" si="130"/>
        <v>0</v>
      </c>
      <c r="X154" s="276">
        <f t="shared" si="130"/>
        <v>0</v>
      </c>
      <c r="Y154" s="276">
        <f t="shared" si="130"/>
        <v>0</v>
      </c>
    </row>
    <row r="155" spans="3:27" x14ac:dyDescent="0.25">
      <c r="C155" s="86"/>
      <c r="F155" s="295" t="s">
        <v>50</v>
      </c>
      <c r="G155" s="295" t="s">
        <v>309</v>
      </c>
      <c r="J155" s="276">
        <f t="shared" si="130"/>
        <v>0.51754211080076329</v>
      </c>
      <c r="K155" s="276">
        <f t="shared" si="130"/>
        <v>0</v>
      </c>
      <c r="L155" s="276">
        <f t="shared" si="130"/>
        <v>0.51754211080076329</v>
      </c>
      <c r="M155" s="276">
        <f t="shared" si="130"/>
        <v>0</v>
      </c>
      <c r="N155" s="276">
        <f t="shared" si="130"/>
        <v>0</v>
      </c>
      <c r="O155" s="276">
        <f t="shared" si="130"/>
        <v>0</v>
      </c>
      <c r="P155" s="276">
        <f t="shared" si="130"/>
        <v>0</v>
      </c>
      <c r="Q155" s="276">
        <f t="shared" si="130"/>
        <v>0</v>
      </c>
      <c r="R155" s="276">
        <f t="shared" si="130"/>
        <v>0</v>
      </c>
      <c r="S155" s="276">
        <f t="shared" si="130"/>
        <v>0</v>
      </c>
      <c r="T155" s="276">
        <f t="shared" si="130"/>
        <v>0</v>
      </c>
      <c r="U155" s="276">
        <f t="shared" si="130"/>
        <v>0</v>
      </c>
      <c r="V155" s="276">
        <f t="shared" si="130"/>
        <v>0</v>
      </c>
      <c r="W155" s="276">
        <f t="shared" si="130"/>
        <v>0</v>
      </c>
      <c r="X155" s="276">
        <f t="shared" si="130"/>
        <v>0</v>
      </c>
      <c r="Y155" s="276">
        <f t="shared" si="130"/>
        <v>0</v>
      </c>
    </row>
    <row r="156" spans="3:27" x14ac:dyDescent="0.25">
      <c r="C156" s="86"/>
      <c r="D156" s="295"/>
      <c r="F156" s="91" t="s">
        <v>124</v>
      </c>
      <c r="G156" s="91" t="s">
        <v>309</v>
      </c>
      <c r="H156" s="91"/>
      <c r="I156" s="91"/>
      <c r="J156" s="268">
        <f t="shared" ref="J156:Y157" si="131">J55</f>
        <v>2.6406342610129934</v>
      </c>
      <c r="K156" s="268">
        <f t="shared" si="131"/>
        <v>0</v>
      </c>
      <c r="L156" s="268">
        <f t="shared" si="131"/>
        <v>3.556851152476463</v>
      </c>
      <c r="M156" s="268">
        <f t="shared" si="131"/>
        <v>0</v>
      </c>
      <c r="N156" s="268">
        <f t="shared" si="131"/>
        <v>16.639421607654022</v>
      </c>
      <c r="O156" s="268">
        <f t="shared" si="131"/>
        <v>5.8727370379955364</v>
      </c>
      <c r="P156" s="268">
        <f t="shared" si="131"/>
        <v>0</v>
      </c>
      <c r="Q156" s="268">
        <f t="shared" si="131"/>
        <v>0</v>
      </c>
      <c r="R156" s="268">
        <f t="shared" si="131"/>
        <v>0</v>
      </c>
      <c r="S156" s="268">
        <f t="shared" si="131"/>
        <v>0</v>
      </c>
      <c r="T156" s="268">
        <f t="shared" si="131"/>
        <v>0</v>
      </c>
      <c r="U156" s="268">
        <f t="shared" si="131"/>
        <v>0</v>
      </c>
      <c r="V156" s="268">
        <f t="shared" si="131"/>
        <v>0</v>
      </c>
      <c r="W156" s="268">
        <f t="shared" si="131"/>
        <v>0</v>
      </c>
      <c r="X156" s="268">
        <f t="shared" si="131"/>
        <v>0</v>
      </c>
      <c r="Y156" s="268">
        <f t="shared" si="131"/>
        <v>0</v>
      </c>
    </row>
    <row r="157" spans="3:27" x14ac:dyDescent="0.25">
      <c r="C157" s="86"/>
      <c r="D157" s="295"/>
      <c r="F157" s="93" t="s">
        <v>123</v>
      </c>
      <c r="G157" s="93" t="s">
        <v>309</v>
      </c>
      <c r="H157" s="93"/>
      <c r="I157" s="93"/>
      <c r="J157" s="269">
        <f t="shared" si="131"/>
        <v>0</v>
      </c>
      <c r="K157" s="269">
        <f t="shared" si="131"/>
        <v>0</v>
      </c>
      <c r="L157" s="269">
        <f t="shared" si="131"/>
        <v>0</v>
      </c>
      <c r="M157" s="269">
        <f t="shared" si="131"/>
        <v>0</v>
      </c>
      <c r="N157" s="269">
        <f t="shared" si="131"/>
        <v>0</v>
      </c>
      <c r="O157" s="269">
        <f t="shared" si="131"/>
        <v>0</v>
      </c>
      <c r="P157" s="269">
        <f t="shared" si="131"/>
        <v>88.916773164159807</v>
      </c>
      <c r="Q157" s="269">
        <f t="shared" si="131"/>
        <v>0</v>
      </c>
      <c r="R157" s="269">
        <f t="shared" si="131"/>
        <v>0</v>
      </c>
      <c r="S157" s="269">
        <f t="shared" si="131"/>
        <v>0</v>
      </c>
      <c r="T157" s="269">
        <f t="shared" si="131"/>
        <v>0</v>
      </c>
      <c r="U157" s="269">
        <f t="shared" si="131"/>
        <v>0</v>
      </c>
      <c r="V157" s="269">
        <f t="shared" si="131"/>
        <v>0</v>
      </c>
      <c r="W157" s="269">
        <f t="shared" si="131"/>
        <v>0</v>
      </c>
      <c r="X157" s="269">
        <f t="shared" si="131"/>
        <v>64.92870103793399</v>
      </c>
      <c r="Y157" s="269">
        <f t="shared" si="131"/>
        <v>64.92870103793399</v>
      </c>
    </row>
    <row r="158" spans="3:27" x14ac:dyDescent="0.25">
      <c r="C158" s="86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  <c r="U158" s="253"/>
      <c r="V158" s="253"/>
      <c r="W158" s="253"/>
      <c r="X158" s="253"/>
      <c r="Y158" s="253"/>
    </row>
    <row r="159" spans="3:27" x14ac:dyDescent="0.25">
      <c r="C159" s="7" t="str">
        <f ca="1">INDEX('Version control'!$H$34:$H$58,MATCH($A$1,'Version control'!$F$34:$F$58,0),1)&amp;"-H: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7"/>
      <c r="AA159" s="7"/>
    </row>
    <row r="160" spans="3:27" x14ac:dyDescent="0.25">
      <c r="C160" s="86"/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  <c r="U160" s="253"/>
      <c r="V160" s="253"/>
      <c r="W160" s="253"/>
      <c r="X160" s="253"/>
      <c r="Y160" s="253"/>
    </row>
    <row r="161" spans="2:27" x14ac:dyDescent="0.25">
      <c r="E161" s="295" t="s">
        <v>311</v>
      </c>
      <c r="G161" s="295" t="s">
        <v>309</v>
      </c>
      <c r="J161" s="257">
        <f t="shared" ref="J161:X161" si="132">SUM(J132:J143,J146:J157)</f>
        <v>3.2257009358243165</v>
      </c>
      <c r="K161" s="257">
        <f t="shared" si="132"/>
        <v>0</v>
      </c>
      <c r="L161" s="257">
        <f t="shared" si="132"/>
        <v>4.1419178272877861</v>
      </c>
      <c r="M161" s="257">
        <f t="shared" si="132"/>
        <v>0</v>
      </c>
      <c r="N161" s="257">
        <f t="shared" si="132"/>
        <v>16.639421607654022</v>
      </c>
      <c r="O161" s="257">
        <f t="shared" si="132"/>
        <v>5.8727370379955364</v>
      </c>
      <c r="P161" s="257">
        <f t="shared" si="132"/>
        <v>88.916773164159807</v>
      </c>
      <c r="Q161" s="257">
        <f t="shared" si="132"/>
        <v>0</v>
      </c>
      <c r="R161" s="257">
        <f t="shared" si="132"/>
        <v>0</v>
      </c>
      <c r="S161" s="257">
        <f t="shared" si="132"/>
        <v>0</v>
      </c>
      <c r="T161" s="257">
        <f t="shared" si="132"/>
        <v>0</v>
      </c>
      <c r="U161" s="257">
        <f t="shared" si="132"/>
        <v>0</v>
      </c>
      <c r="V161" s="257">
        <f t="shared" si="132"/>
        <v>0</v>
      </c>
      <c r="W161" s="257">
        <f t="shared" si="132"/>
        <v>0</v>
      </c>
      <c r="X161" s="257">
        <f t="shared" si="132"/>
        <v>64.92870103793399</v>
      </c>
      <c r="Y161" s="257">
        <f>SUM(Y132:Y143,Y146:Y157)</f>
        <v>64.92870103793399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5" t="s">
        <v>516</v>
      </c>
      <c r="G165" s="122" t="s">
        <v>692</v>
      </c>
      <c r="H165" s="152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25">
      <c r="C169" s="86"/>
    </row>
  </sheetData>
  <sheetProtection sheet="1" objects="1" formatCells="0" formatColumns="0" formatRows="0" sort="0" autoFilter="0"/>
  <conditionalFormatting sqref="H165">
    <cfRule type="cellIs" dxfId="50" priority="10" operator="greaterThan">
      <formula>0</formula>
    </cfRule>
  </conditionalFormatting>
  <conditionalFormatting sqref="A4:I4 Z4:XFD4">
    <cfRule type="expression" dxfId="49" priority="9">
      <formula>LEFT($A$4,1) &lt;&gt; "0"</formula>
    </cfRule>
  </conditionalFormatting>
  <conditionalFormatting sqref="N4:P4">
    <cfRule type="expression" dxfId="48" priority="8">
      <formula>LEFT($A$4,1) &lt;&gt; "0"</formula>
    </cfRule>
  </conditionalFormatting>
  <conditionalFormatting sqref="L4:M4">
    <cfRule type="expression" dxfId="47" priority="7">
      <formula>LEFT($A$4,1) &lt;&gt; "0"</formula>
    </cfRule>
  </conditionalFormatting>
  <conditionalFormatting sqref="J4:K4">
    <cfRule type="expression" dxfId="46" priority="6">
      <formula>LEFT($A$4,1) &lt;&gt; "0"</formula>
    </cfRule>
  </conditionalFormatting>
  <conditionalFormatting sqref="Q4">
    <cfRule type="expression" dxfId="45" priority="5">
      <formula>LEFT($A$4,1) &lt;&gt; "0"</formula>
    </cfRule>
  </conditionalFormatting>
  <conditionalFormatting sqref="R4:S4">
    <cfRule type="expression" dxfId="44" priority="4">
      <formula>LEFT($A$4,1) &lt;&gt; "0"</formula>
    </cfRule>
  </conditionalFormatting>
  <conditionalFormatting sqref="T4:U4">
    <cfRule type="expression" dxfId="43" priority="3">
      <formula>LEFT($A$4,1) &lt;&gt; "0"</formula>
    </cfRule>
  </conditionalFormatting>
  <conditionalFormatting sqref="V4:W4">
    <cfRule type="expression" dxfId="42" priority="2">
      <formula>LEFT($A$4,1) &lt;&gt; "0"</formula>
    </cfRule>
  </conditionalFormatting>
  <conditionalFormatting sqref="X4:Y4">
    <cfRule type="expression" dxfId="41" priority="1">
      <formula>LEFT($A$4,1) &lt;&gt; "0"</formula>
    </cfRule>
  </conditionalFormatting>
  <hyperlinks>
    <hyperlink ref="B5:F5" location="'Model map'!A1" display="Click here to return to model map" xr:uid="{00000000-0004-0000-1E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4">
    <tabColor theme="4" tint="0.59999389629810485"/>
    <pageSetUpPr fitToPage="1"/>
  </sheetPr>
  <dimension ref="A1:ON16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outlineLevelRow="1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57" width="17" style="295" customWidth="1"/>
    <col min="58" max="58" width="2.42578125" style="295" customWidth="1"/>
    <col min="59" max="59" width="50.5703125" style="295" customWidth="1"/>
    <col min="60" max="60" width="2.42578125" style="295" customWidth="1"/>
    <col min="61" max="61" width="24.5703125" style="295" hidden="1" customWidth="1"/>
    <col min="62" max="62" width="3.5703125" style="295" hidden="1" customWidth="1"/>
    <col min="63" max="63" width="15.42578125" style="295" hidden="1" customWidth="1"/>
    <col min="64" max="404" width="24.5703125" style="295" hidden="1" customWidth="1"/>
    <col min="405" max="16384" width="8.5703125" style="295" hidden="1"/>
  </cols>
  <sheetData>
    <row r="1" spans="1:59" s="10" customFormat="1" x14ac:dyDescent="0.25">
      <c r="A1" s="10" t="str">
        <f ca="1">MID(CELL("filename",A1),FIND("]",CELL("filename",A1))+1,255)</f>
        <v>Revenue matching</v>
      </c>
    </row>
    <row r="2" spans="1:59" s="10" customFormat="1" x14ac:dyDescent="0.25">
      <c r="A2" s="10" t="str">
        <f>Cover!D21&amp;" - "&amp;Cover!D23</f>
        <v>SP Manweb - One</v>
      </c>
    </row>
    <row r="3" spans="1:59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59" x14ac:dyDescent="0.25">
      <c r="A4" s="370" t="str">
        <f>H162 &amp; IF(H162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59" ht="60" x14ac:dyDescent="0.25">
      <c r="B5" s="371" t="s">
        <v>552</v>
      </c>
      <c r="C5" s="372"/>
      <c r="D5" s="372"/>
      <c r="E5" s="372"/>
      <c r="F5" s="372"/>
      <c r="G5" s="372" t="s">
        <v>91</v>
      </c>
      <c r="H5" s="387" t="s">
        <v>92</v>
      </c>
      <c r="J5" s="387" t="s">
        <v>1038</v>
      </c>
      <c r="K5" s="387" t="s">
        <v>1039</v>
      </c>
      <c r="L5" s="387" t="s">
        <v>1040</v>
      </c>
      <c r="M5" s="387" t="s">
        <v>1041</v>
      </c>
      <c r="N5" s="387" t="s">
        <v>1042</v>
      </c>
      <c r="O5" s="387" t="s">
        <v>1043</v>
      </c>
      <c r="P5" s="387" t="s">
        <v>1044</v>
      </c>
      <c r="Q5" s="387" t="s">
        <v>1045</v>
      </c>
      <c r="R5" s="387" t="s">
        <v>1046</v>
      </c>
      <c r="S5" s="387" t="s">
        <v>1047</v>
      </c>
      <c r="T5" s="387" t="s">
        <v>1048</v>
      </c>
      <c r="U5" s="387" t="s">
        <v>1049</v>
      </c>
      <c r="V5" s="387" t="s">
        <v>1050</v>
      </c>
      <c r="W5" s="387" t="s">
        <v>1051</v>
      </c>
      <c r="X5" s="387" t="s">
        <v>1052</v>
      </c>
      <c r="Y5" s="387" t="s">
        <v>1053</v>
      </c>
      <c r="BG5" s="1" t="s">
        <v>93</v>
      </c>
    </row>
    <row r="6" spans="1:59" x14ac:dyDescent="0.25">
      <c r="C6" s="86"/>
    </row>
    <row r="7" spans="1:59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</row>
    <row r="9" spans="1:59" x14ac:dyDescent="0.25">
      <c r="D9" s="82" t="s">
        <v>481</v>
      </c>
    </row>
    <row r="10" spans="1:59" x14ac:dyDescent="0.25">
      <c r="D10" s="82" t="s">
        <v>482</v>
      </c>
      <c r="E10" s="295"/>
    </row>
    <row r="11" spans="1:59" x14ac:dyDescent="0.25">
      <c r="D11" s="82" t="s">
        <v>851</v>
      </c>
    </row>
    <row r="13" spans="1:59" x14ac:dyDescent="0.25">
      <c r="B13" s="95" t="s">
        <v>354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2"/>
      <c r="AY13" s="72"/>
      <c r="AZ13" s="72"/>
      <c r="BA13" s="72"/>
      <c r="BB13" s="72"/>
      <c r="BC13" s="72"/>
      <c r="BD13" s="72"/>
      <c r="BE13" s="72"/>
      <c r="BF13" s="72"/>
      <c r="BG13" s="72"/>
    </row>
    <row r="14" spans="1:59" x14ac:dyDescent="0.25">
      <c r="C14" s="86"/>
    </row>
    <row r="15" spans="1:59" x14ac:dyDescent="0.25">
      <c r="C15" s="7" t="str">
        <f ca="1">INDEX('Version control'!$H$34:$H$58,MATCH($A$1,'Version control'!$F$34:$F$58,0),1)&amp;"-A: Inputs to revenue matching"</f>
        <v>Section 518-A: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</row>
    <row r="16" spans="1:59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</row>
    <row r="17" spans="4:59" x14ac:dyDescent="0.25">
      <c r="D17" s="82" t="s">
        <v>483</v>
      </c>
      <c r="F17" s="98"/>
    </row>
    <row r="18" spans="4:59" x14ac:dyDescent="0.25">
      <c r="D18" s="86"/>
      <c r="F18" s="98"/>
    </row>
    <row r="19" spans="4:59" x14ac:dyDescent="0.25">
      <c r="D19" s="295"/>
      <c r="E19" s="96" t="s">
        <v>310</v>
      </c>
      <c r="F19" s="96"/>
    </row>
    <row r="20" spans="4:59" x14ac:dyDescent="0.25">
      <c r="D20" s="295"/>
      <c r="E20" s="86"/>
      <c r="F20" s="91" t="s">
        <v>134</v>
      </c>
      <c r="G20" s="91" t="s">
        <v>183</v>
      </c>
      <c r="H20" s="349"/>
      <c r="I20" s="349"/>
      <c r="J20" s="360">
        <f>'Unit rate charges'!J217</f>
        <v>10.11594964860876</v>
      </c>
      <c r="K20" s="360">
        <f>'Unit rate charges'!K217</f>
        <v>10.11594964860876</v>
      </c>
      <c r="L20" s="360">
        <f>'Unit rate charges'!L217</f>
        <v>12.564395696515698</v>
      </c>
      <c r="M20" s="360">
        <f>'Unit rate charges'!M217</f>
        <v>12.564395696515698</v>
      </c>
      <c r="N20" s="360">
        <f>'Unit rate charges'!N217</f>
        <v>9.1767990438929967</v>
      </c>
      <c r="O20" s="360">
        <f>'Unit rate charges'!O217</f>
        <v>6.8642779713820374</v>
      </c>
      <c r="P20" s="360">
        <f>'Unit rate charges'!P217</f>
        <v>5.165127472019492</v>
      </c>
      <c r="Q20" s="360">
        <f>'Unit rate charges'!Q217</f>
        <v>18.178805927558937</v>
      </c>
      <c r="R20" s="360">
        <f>'Unit rate charges'!R217</f>
        <v>-7.6670869640904762</v>
      </c>
      <c r="S20" s="360">
        <f>'Unit rate charges'!S217</f>
        <v>-6.8872141338766015</v>
      </c>
      <c r="T20" s="360">
        <f>'Unit rate charges'!T217</f>
        <v>-7.6670869640904762</v>
      </c>
      <c r="U20" s="360">
        <f>'Unit rate charges'!U217</f>
        <v>-7.6670869640904762</v>
      </c>
      <c r="V20" s="360">
        <f>'Unit rate charges'!V217</f>
        <v>-6.8872141338766015</v>
      </c>
      <c r="W20" s="360">
        <f>'Unit rate charges'!W217</f>
        <v>-6.8872141338766015</v>
      </c>
      <c r="X20" s="360">
        <f>'Unit rate charges'!X217</f>
        <v>-4.8607236937772624</v>
      </c>
      <c r="Y20" s="360">
        <f>'Unit rate charges'!Y217</f>
        <v>-4.8607236937772624</v>
      </c>
      <c r="Z20" s="351"/>
      <c r="AA20" s="351"/>
      <c r="AB20" s="351"/>
      <c r="AC20" s="351"/>
      <c r="AD20" s="351"/>
      <c r="AE20" s="351"/>
      <c r="AF20" s="351"/>
      <c r="AG20" s="351"/>
      <c r="AH20" s="351"/>
      <c r="AI20" s="351"/>
      <c r="AJ20" s="351"/>
      <c r="AK20" s="351"/>
      <c r="AL20" s="351"/>
      <c r="AM20" s="351"/>
      <c r="AN20" s="351"/>
      <c r="AO20" s="351"/>
      <c r="AP20" s="351"/>
      <c r="AQ20" s="351"/>
      <c r="AR20" s="351"/>
      <c r="AS20" s="351"/>
      <c r="AT20" s="351"/>
      <c r="AU20" s="351"/>
      <c r="AV20" s="351"/>
      <c r="AW20" s="351"/>
      <c r="AX20" s="351"/>
      <c r="AY20" s="351"/>
      <c r="AZ20" s="351"/>
      <c r="BA20" s="351"/>
      <c r="BB20" s="351"/>
      <c r="BC20" s="351"/>
      <c r="BD20" s="351"/>
      <c r="BE20" s="351"/>
      <c r="BF20" s="351"/>
      <c r="BG20" s="351"/>
    </row>
    <row r="21" spans="4:59" x14ac:dyDescent="0.25">
      <c r="D21" s="295"/>
      <c r="E21" s="86"/>
      <c r="F21" s="295" t="s">
        <v>135</v>
      </c>
      <c r="G21" s="295" t="s">
        <v>183</v>
      </c>
      <c r="H21" s="351"/>
      <c r="I21" s="351"/>
      <c r="J21" s="420">
        <f>'Unit rate charges'!J218</f>
        <v>1.597587341513643</v>
      </c>
      <c r="K21" s="420">
        <f>'Unit rate charges'!K218</f>
        <v>1.597587341513643</v>
      </c>
      <c r="L21" s="420">
        <f>'Unit rate charges'!L218</f>
        <v>1.9842644749900038</v>
      </c>
      <c r="M21" s="420">
        <f>'Unit rate charges'!M218</f>
        <v>1.9842644749900038</v>
      </c>
      <c r="N21" s="420">
        <f>'Unit rate charges'!N218</f>
        <v>1.3757330065845093</v>
      </c>
      <c r="O21" s="420">
        <f>'Unit rate charges'!O218</f>
        <v>0.8989422107421281</v>
      </c>
      <c r="P21" s="420">
        <f>'Unit rate charges'!P218</f>
        <v>0.62848157310492736</v>
      </c>
      <c r="Q21" s="420">
        <f>'Unit rate charges'!Q218</f>
        <v>2.2269967765251373</v>
      </c>
      <c r="R21" s="420">
        <f>'Unit rate charges'!R218</f>
        <v>-1.2108444096298747</v>
      </c>
      <c r="S21" s="420">
        <f>'Unit rate charges'!S218</f>
        <v>-1.0576237365468442</v>
      </c>
      <c r="T21" s="420">
        <f>'Unit rate charges'!T218</f>
        <v>-1.2108444096298747</v>
      </c>
      <c r="U21" s="420">
        <f>'Unit rate charges'!U218</f>
        <v>-1.2108444096298747</v>
      </c>
      <c r="V21" s="420">
        <f>'Unit rate charges'!V218</f>
        <v>-1.0576237365468442</v>
      </c>
      <c r="W21" s="420">
        <f>'Unit rate charges'!W218</f>
        <v>-1.0576237365468442</v>
      </c>
      <c r="X21" s="420">
        <f>'Unit rate charges'!X218</f>
        <v>-0.625066267685503</v>
      </c>
      <c r="Y21" s="420">
        <f>'Unit rate charges'!Y218</f>
        <v>-0.625066267685503</v>
      </c>
      <c r="Z21" s="351"/>
      <c r="AA21" s="351"/>
      <c r="AB21" s="351"/>
      <c r="AC21" s="351"/>
      <c r="AD21" s="351"/>
      <c r="AE21" s="351"/>
      <c r="AF21" s="351"/>
      <c r="AG21" s="351"/>
      <c r="AH21" s="351"/>
      <c r="AI21" s="351"/>
      <c r="AJ21" s="351"/>
      <c r="AK21" s="351"/>
      <c r="AL21" s="351"/>
      <c r="AM21" s="351"/>
      <c r="AN21" s="351"/>
      <c r="AO21" s="351"/>
      <c r="AP21" s="351"/>
      <c r="AQ21" s="351"/>
      <c r="AR21" s="351"/>
      <c r="AS21" s="351"/>
      <c r="AT21" s="351"/>
      <c r="AU21" s="351"/>
      <c r="AV21" s="351"/>
      <c r="AW21" s="351"/>
      <c r="AX21" s="351"/>
      <c r="AY21" s="351"/>
      <c r="AZ21" s="351"/>
      <c r="BA21" s="351"/>
      <c r="BB21" s="351"/>
      <c r="BC21" s="351"/>
      <c r="BD21" s="351"/>
      <c r="BE21" s="351"/>
      <c r="BF21" s="351"/>
      <c r="BG21" s="351"/>
    </row>
    <row r="22" spans="4:59" x14ac:dyDescent="0.25">
      <c r="D22" s="295"/>
      <c r="E22" s="86"/>
      <c r="F22" s="295" t="s">
        <v>136</v>
      </c>
      <c r="G22" s="295" t="s">
        <v>183</v>
      </c>
      <c r="H22" s="351"/>
      <c r="I22" s="351"/>
      <c r="J22" s="420">
        <f>'Unit rate charges'!J219</f>
        <v>0.19892969640308419</v>
      </c>
      <c r="K22" s="420">
        <f>'Unit rate charges'!K219</f>
        <v>0.19892969640308419</v>
      </c>
      <c r="L22" s="420">
        <f>'Unit rate charges'!L219</f>
        <v>0.24707827818615433</v>
      </c>
      <c r="M22" s="420">
        <f>'Unit rate charges'!M219</f>
        <v>0.24707827818615433</v>
      </c>
      <c r="N22" s="420">
        <f>'Unit rate charges'!N219</f>
        <v>0.18419071179769397</v>
      </c>
      <c r="O22" s="420">
        <f>'Unit rate charges'!O219</f>
        <v>0.14437381052570919</v>
      </c>
      <c r="P22" s="420">
        <f>'Unit rate charges'!P219</f>
        <v>0.1037577497041882</v>
      </c>
      <c r="Q22" s="420">
        <f>'Unit rate charges'!Q219</f>
        <v>0.486908811291489</v>
      </c>
      <c r="R22" s="420">
        <f>'Unit rate charges'!R219</f>
        <v>-0.15077292147972721</v>
      </c>
      <c r="S22" s="420">
        <f>'Unit rate charges'!S219</f>
        <v>-0.13696109573644608</v>
      </c>
      <c r="T22" s="420">
        <f>'Unit rate charges'!T219</f>
        <v>-0.15077292147972721</v>
      </c>
      <c r="U22" s="420">
        <f>'Unit rate charges'!U219</f>
        <v>-0.15077292147972721</v>
      </c>
      <c r="V22" s="420">
        <f>'Unit rate charges'!V219</f>
        <v>-0.13696109573644608</v>
      </c>
      <c r="W22" s="420">
        <f>'Unit rate charges'!W219</f>
        <v>-0.13696109573644608</v>
      </c>
      <c r="X22" s="420">
        <f>'Unit rate charges'!X219</f>
        <v>-9.944343700203076E-2</v>
      </c>
      <c r="Y22" s="420">
        <f>'Unit rate charges'!Y219</f>
        <v>-9.944343700203076E-2</v>
      </c>
      <c r="Z22" s="351"/>
      <c r="AA22" s="351"/>
      <c r="AB22" s="351"/>
      <c r="AC22" s="351"/>
      <c r="AD22" s="351"/>
      <c r="AE22" s="351"/>
      <c r="AF22" s="351"/>
      <c r="AG22" s="351"/>
      <c r="AH22" s="351"/>
      <c r="AI22" s="351"/>
      <c r="AJ22" s="351"/>
      <c r="AK22" s="351"/>
      <c r="AL22" s="351"/>
      <c r="AM22" s="351"/>
      <c r="AN22" s="351"/>
      <c r="AO22" s="351"/>
      <c r="AP22" s="351"/>
      <c r="AQ22" s="351"/>
      <c r="AR22" s="351"/>
      <c r="AS22" s="351"/>
      <c r="AT22" s="351"/>
      <c r="AU22" s="351"/>
      <c r="AV22" s="351"/>
      <c r="AW22" s="351"/>
      <c r="AX22" s="351"/>
      <c r="AY22" s="351"/>
      <c r="AZ22" s="351"/>
      <c r="BA22" s="351"/>
      <c r="BB22" s="351"/>
      <c r="BC22" s="351"/>
      <c r="BD22" s="351"/>
      <c r="BE22" s="351"/>
      <c r="BF22" s="351"/>
      <c r="BG22" s="351"/>
    </row>
    <row r="23" spans="4:59" x14ac:dyDescent="0.25">
      <c r="D23" s="295"/>
      <c r="E23" s="86"/>
      <c r="F23" s="295" t="s">
        <v>311</v>
      </c>
      <c r="G23" s="295" t="s">
        <v>309</v>
      </c>
      <c r="J23" s="274">
        <f>'Fixed charges'!J161</f>
        <v>3.2257009358243165</v>
      </c>
      <c r="K23" s="274">
        <f>'Fixed charges'!K161</f>
        <v>0</v>
      </c>
      <c r="L23" s="274">
        <f>'Fixed charges'!L161</f>
        <v>4.1419178272877861</v>
      </c>
      <c r="M23" s="274">
        <f>'Fixed charges'!M161</f>
        <v>0</v>
      </c>
      <c r="N23" s="274">
        <f>'Fixed charges'!N161</f>
        <v>16.639421607654022</v>
      </c>
      <c r="O23" s="274">
        <f>'Fixed charges'!O161</f>
        <v>5.8727370379955364</v>
      </c>
      <c r="P23" s="274">
        <f>'Fixed charges'!P161</f>
        <v>88.916773164159807</v>
      </c>
      <c r="Q23" s="274">
        <f>'Fixed charges'!Q161</f>
        <v>0</v>
      </c>
      <c r="R23" s="274">
        <f>'Fixed charges'!R161</f>
        <v>0</v>
      </c>
      <c r="S23" s="274">
        <f>'Fixed charges'!S161</f>
        <v>0</v>
      </c>
      <c r="T23" s="274">
        <f>'Fixed charges'!T161</f>
        <v>0</v>
      </c>
      <c r="U23" s="274">
        <f>'Fixed charges'!U161</f>
        <v>0</v>
      </c>
      <c r="V23" s="274">
        <f>'Fixed charges'!V161</f>
        <v>0</v>
      </c>
      <c r="W23" s="274">
        <f>'Fixed charges'!W161</f>
        <v>0</v>
      </c>
      <c r="X23" s="274">
        <f>'Fixed charges'!X161</f>
        <v>64.92870103793399</v>
      </c>
      <c r="Y23" s="274">
        <f>'Fixed charges'!Y161</f>
        <v>64.92870103793399</v>
      </c>
    </row>
    <row r="24" spans="4:59" x14ac:dyDescent="0.25">
      <c r="D24" s="295"/>
      <c r="E24" s="86"/>
      <c r="F24" s="295" t="s">
        <v>312</v>
      </c>
      <c r="G24" s="295" t="s">
        <v>308</v>
      </c>
      <c r="J24" s="274">
        <f>'Capacity charges'!J256</f>
        <v>0</v>
      </c>
      <c r="K24" s="274">
        <f>'Capacity charges'!K256</f>
        <v>0</v>
      </c>
      <c r="L24" s="274">
        <f>'Capacity charges'!L256</f>
        <v>0</v>
      </c>
      <c r="M24" s="274">
        <f>'Capacity charges'!M256</f>
        <v>0</v>
      </c>
      <c r="N24" s="274">
        <f>'Capacity charges'!N256</f>
        <v>2.4834222162989184</v>
      </c>
      <c r="O24" s="274">
        <f>'Capacity charges'!O256</f>
        <v>5.0190999144643538</v>
      </c>
      <c r="P24" s="274">
        <f>'Capacity charges'!P256</f>
        <v>3.9211655448088703</v>
      </c>
      <c r="Q24" s="274">
        <f>'Capacity charges'!Q256</f>
        <v>0</v>
      </c>
      <c r="R24" s="274">
        <f>'Capacity charges'!R256</f>
        <v>0</v>
      </c>
      <c r="S24" s="274">
        <f>'Capacity charges'!S256</f>
        <v>0</v>
      </c>
      <c r="T24" s="274">
        <f>'Capacity charges'!T256</f>
        <v>0</v>
      </c>
      <c r="U24" s="274">
        <f>'Capacity charges'!U256</f>
        <v>0</v>
      </c>
      <c r="V24" s="274">
        <f>'Capacity charges'!V256</f>
        <v>0</v>
      </c>
      <c r="W24" s="274">
        <f>'Capacity charges'!W256</f>
        <v>0</v>
      </c>
      <c r="X24" s="274">
        <f>'Capacity charges'!X256</f>
        <v>0</v>
      </c>
      <c r="Y24" s="274">
        <f>'Capacity charges'!Y256</f>
        <v>0</v>
      </c>
    </row>
    <row r="25" spans="4:59" x14ac:dyDescent="0.25">
      <c r="D25" s="295"/>
      <c r="E25" s="86"/>
      <c r="F25" s="295" t="s">
        <v>313</v>
      </c>
      <c r="G25" s="295" t="s">
        <v>308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4.5187571060823757</v>
      </c>
      <c r="O25" s="274">
        <f>'Capacity charges'!O257</f>
        <v>7.0110989954461296</v>
      </c>
      <c r="P25" s="274">
        <f>'Capacity charges'!P257</f>
        <v>6.5257681525581148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</row>
    <row r="26" spans="4:59" x14ac:dyDescent="0.25">
      <c r="D26" s="295"/>
      <c r="E26" s="86"/>
      <c r="F26" s="93" t="s">
        <v>314</v>
      </c>
      <c r="G26" s="93" t="s">
        <v>315</v>
      </c>
      <c r="H26" s="353"/>
      <c r="I26" s="353"/>
      <c r="J26" s="363">
        <f>'Reactive power charges'!J250</f>
        <v>0</v>
      </c>
      <c r="K26" s="363">
        <f>'Reactive power charges'!K250</f>
        <v>0</v>
      </c>
      <c r="L26" s="363">
        <f>'Reactive power charges'!L250</f>
        <v>0</v>
      </c>
      <c r="M26" s="363">
        <f>'Reactive power charges'!M250</f>
        <v>0</v>
      </c>
      <c r="N26" s="363">
        <f>'Reactive power charges'!N250</f>
        <v>0.40368859796416162</v>
      </c>
      <c r="O26" s="363">
        <f>'Reactive power charges'!O250</f>
        <v>0.24363438241295179</v>
      </c>
      <c r="P26" s="363">
        <f>'Reactive power charges'!P250</f>
        <v>0.17267908446293873</v>
      </c>
      <c r="Q26" s="363">
        <f>'Reactive power charges'!Q250</f>
        <v>0</v>
      </c>
      <c r="R26" s="363">
        <f>'Reactive power charges'!R250</f>
        <v>0</v>
      </c>
      <c r="S26" s="363">
        <f>'Reactive power charges'!S250</f>
        <v>0</v>
      </c>
      <c r="T26" s="363">
        <f>'Reactive power charges'!T250</f>
        <v>0.33080423076610987</v>
      </c>
      <c r="U26" s="363">
        <f>'Reactive power charges'!U250</f>
        <v>0</v>
      </c>
      <c r="V26" s="363">
        <f>'Reactive power charges'!V250</f>
        <v>0.30468338725013466</v>
      </c>
      <c r="W26" s="363">
        <f>'Reactive power charges'!W250</f>
        <v>0</v>
      </c>
      <c r="X26" s="363">
        <f>'Reactive power charges'!X250</f>
        <v>0.2321386727871092</v>
      </c>
      <c r="Y26" s="363">
        <f>'Reactive power charges'!Y250</f>
        <v>0</v>
      </c>
      <c r="Z26" s="351"/>
      <c r="AA26" s="351"/>
      <c r="AB26" s="351"/>
      <c r="AC26" s="351"/>
      <c r="AD26" s="351"/>
      <c r="AE26" s="351"/>
      <c r="AF26" s="351"/>
      <c r="AG26" s="351"/>
      <c r="AH26" s="351"/>
      <c r="AI26" s="351"/>
      <c r="AJ26" s="351"/>
      <c r="AK26" s="351"/>
      <c r="AL26" s="351"/>
      <c r="AM26" s="351"/>
      <c r="AN26" s="351"/>
      <c r="AO26" s="351"/>
      <c r="AP26" s="351"/>
      <c r="AQ26" s="351"/>
      <c r="AR26" s="351"/>
      <c r="AS26" s="351"/>
      <c r="AT26" s="351"/>
      <c r="AU26" s="351"/>
      <c r="AV26" s="351"/>
      <c r="AW26" s="351"/>
      <c r="AX26" s="351"/>
      <c r="AY26" s="351"/>
      <c r="AZ26" s="351"/>
      <c r="BA26" s="351"/>
      <c r="BB26" s="351"/>
      <c r="BC26" s="351"/>
      <c r="BD26" s="351"/>
      <c r="BE26" s="351"/>
      <c r="BF26" s="351"/>
      <c r="BG26" s="351"/>
    </row>
    <row r="27" spans="4:59" x14ac:dyDescent="0.25">
      <c r="D27" s="295"/>
      <c r="E27" s="86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4:59" x14ac:dyDescent="0.25">
      <c r="D28" s="295"/>
      <c r="E28" s="96" t="s">
        <v>329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4:59" x14ac:dyDescent="0.25">
      <c r="D29" s="86"/>
      <c r="F29" s="91" t="s">
        <v>134</v>
      </c>
      <c r="G29" s="91" t="s">
        <v>120</v>
      </c>
      <c r="H29" s="91"/>
      <c r="I29" s="91"/>
      <c r="J29" s="273">
        <f>'Volume adjustments'!J66</f>
        <v>573814.17421643168</v>
      </c>
      <c r="K29" s="273">
        <f>'Volume adjustments'!K66</f>
        <v>45.600324459247773</v>
      </c>
      <c r="L29" s="273">
        <f>'Volume adjustments'!L66</f>
        <v>148781.2098893536</v>
      </c>
      <c r="M29" s="273">
        <f>'Volume adjustments'!M66</f>
        <v>6.8595464743105259</v>
      </c>
      <c r="N29" s="273">
        <f>'Volume adjustments'!N66</f>
        <v>95617.94849470428</v>
      </c>
      <c r="O29" s="273">
        <f>'Volume adjustments'!O66</f>
        <v>106673.66070506461</v>
      </c>
      <c r="P29" s="273">
        <f>'Volume adjustments'!P66</f>
        <v>162898.35653630731</v>
      </c>
      <c r="Q29" s="273">
        <f>'Volume adjustments'!Q66</f>
        <v>7077.8325343149572</v>
      </c>
      <c r="R29" s="273">
        <f>'Volume adjustments'!R66</f>
        <v>104.47429331694744</v>
      </c>
      <c r="S29" s="273">
        <f>'Volume adjustments'!S66</f>
        <v>35.771932311779992</v>
      </c>
      <c r="T29" s="273">
        <f>'Volume adjustments'!T66</f>
        <v>4936.5787099056533</v>
      </c>
      <c r="U29" s="273">
        <f>'Volume adjustments'!U66</f>
        <v>0</v>
      </c>
      <c r="V29" s="273">
        <f>'Volume adjustments'!V66</f>
        <v>1421.8434887434785</v>
      </c>
      <c r="W29" s="273">
        <f>'Volume adjustments'!W66</f>
        <v>0</v>
      </c>
      <c r="X29" s="273">
        <f>'Volume adjustments'!X66</f>
        <v>42821.256435874217</v>
      </c>
      <c r="Y29" s="273">
        <f>'Volume adjustments'!Y66</f>
        <v>0</v>
      </c>
    </row>
    <row r="30" spans="4:59" x14ac:dyDescent="0.25">
      <c r="D30" s="86"/>
      <c r="F30" s="295" t="s">
        <v>135</v>
      </c>
      <c r="G30" s="295" t="s">
        <v>120</v>
      </c>
      <c r="J30" s="274">
        <f>'Volume adjustments'!J77</f>
        <v>2032897.465349766</v>
      </c>
      <c r="K30" s="274">
        <f>'Volume adjustments'!K77</f>
        <v>769.70150120030291</v>
      </c>
      <c r="L30" s="274">
        <f>'Volume adjustments'!L77</f>
        <v>782231.85870864138</v>
      </c>
      <c r="M30" s="274">
        <f>'Volume adjustments'!M77</f>
        <v>363.68083419264593</v>
      </c>
      <c r="N30" s="274">
        <f>'Volume adjustments'!N77</f>
        <v>440583.40936039714</v>
      </c>
      <c r="O30" s="274">
        <f>'Volume adjustments'!O77</f>
        <v>527517.78645919671</v>
      </c>
      <c r="P30" s="274">
        <f>'Volume adjustments'!P77</f>
        <v>771451.8848590561</v>
      </c>
      <c r="Q30" s="274">
        <f>'Volume adjustments'!Q77</f>
        <v>52057.195142690813</v>
      </c>
      <c r="R30" s="274">
        <f>'Volume adjustments'!R77</f>
        <v>509.89423910109542</v>
      </c>
      <c r="S30" s="274">
        <f>'Volume adjustments'!S77</f>
        <v>160.58959252319966</v>
      </c>
      <c r="T30" s="274">
        <f>'Volume adjustments'!T77</f>
        <v>23805.598357778857</v>
      </c>
      <c r="U30" s="274">
        <f>'Volume adjustments'!U77</f>
        <v>0</v>
      </c>
      <c r="V30" s="274">
        <f>'Volume adjustments'!V77</f>
        <v>6382.5471914560349</v>
      </c>
      <c r="W30" s="274">
        <f>'Volume adjustments'!W77</f>
        <v>0</v>
      </c>
      <c r="X30" s="274">
        <f>'Volume adjustments'!X77</f>
        <v>169444.19263568314</v>
      </c>
      <c r="Y30" s="274">
        <f>'Volume adjustments'!Y77</f>
        <v>0</v>
      </c>
    </row>
    <row r="31" spans="4:59" x14ac:dyDescent="0.25">
      <c r="D31" s="86"/>
      <c r="F31" s="295" t="s">
        <v>136</v>
      </c>
      <c r="G31" s="295" t="s">
        <v>120</v>
      </c>
      <c r="J31" s="274">
        <f>'Volume adjustments'!J88</f>
        <v>1913856.5179535351</v>
      </c>
      <c r="K31" s="274">
        <f>'Volume adjustments'!K88</f>
        <v>10340.203230515768</v>
      </c>
      <c r="L31" s="274">
        <f>'Volume adjustments'!L88</f>
        <v>758082.32727500715</v>
      </c>
      <c r="M31" s="274">
        <f>'Volume adjustments'!M88</f>
        <v>4425.6666229911798</v>
      </c>
      <c r="N31" s="274">
        <f>'Volume adjustments'!N88</f>
        <v>437213.19005230034</v>
      </c>
      <c r="O31" s="274">
        <f>'Volume adjustments'!O88</f>
        <v>579730.47523967049</v>
      </c>
      <c r="P31" s="274">
        <f>'Volume adjustments'!P88</f>
        <v>955588.00166465633</v>
      </c>
      <c r="Q31" s="274">
        <f>'Volume adjustments'!Q88</f>
        <v>96091.827056640832</v>
      </c>
      <c r="R31" s="274">
        <f>'Volume adjustments'!R88</f>
        <v>534.48350594468047</v>
      </c>
      <c r="S31" s="274">
        <f>'Volume adjustments'!S88</f>
        <v>201.06201955341325</v>
      </c>
      <c r="T31" s="274">
        <f>'Volume adjustments'!T88</f>
        <v>27627.12669629819</v>
      </c>
      <c r="U31" s="274">
        <f>'Volume adjustments'!U88</f>
        <v>0</v>
      </c>
      <c r="V31" s="274">
        <f>'Volume adjustments'!V88</f>
        <v>7999.8037931113131</v>
      </c>
      <c r="W31" s="274">
        <f>'Volume adjustments'!W88</f>
        <v>0</v>
      </c>
      <c r="X31" s="274">
        <f>'Volume adjustments'!X88</f>
        <v>178082.97709073228</v>
      </c>
      <c r="Y31" s="274">
        <f>'Volume adjustments'!Y88</f>
        <v>0</v>
      </c>
    </row>
    <row r="32" spans="4:59" x14ac:dyDescent="0.25">
      <c r="D32" s="86"/>
      <c r="F32" s="295" t="s">
        <v>74</v>
      </c>
      <c r="G32" s="295" t="s">
        <v>74</v>
      </c>
      <c r="J32" s="274">
        <f>'Volume adjustments'!J103</f>
        <v>1415083.5554134548</v>
      </c>
      <c r="K32" s="274">
        <f>'Volume adjustments'!K103</f>
        <v>3359</v>
      </c>
      <c r="L32" s="274">
        <f>'Volume adjustments'!L103</f>
        <v>98405.398301340843</v>
      </c>
      <c r="M32" s="274">
        <f>'Volume adjustments'!M103</f>
        <v>996</v>
      </c>
      <c r="N32" s="274">
        <f>'Volume adjustments'!N103</f>
        <v>5405.7195277054234</v>
      </c>
      <c r="O32" s="274">
        <f>'Volume adjustments'!O103</f>
        <v>3075.3195705958001</v>
      </c>
      <c r="P32" s="274">
        <f>'Volume adjustments'!P103</f>
        <v>811.56243369202832</v>
      </c>
      <c r="Q32" s="274">
        <f>'Volume adjustments'!Q103</f>
        <v>609.10476413159176</v>
      </c>
      <c r="R32" s="274">
        <f>'Volume adjustments'!R103</f>
        <v>156</v>
      </c>
      <c r="S32" s="274">
        <f>'Volume adjustments'!S103</f>
        <v>24</v>
      </c>
      <c r="T32" s="274">
        <f>'Volume adjustments'!T103</f>
        <v>313</v>
      </c>
      <c r="U32" s="274">
        <f>'Volume adjustments'!U103</f>
        <v>0</v>
      </c>
      <c r="V32" s="274">
        <f>'Volume adjustments'!V103</f>
        <v>41</v>
      </c>
      <c r="W32" s="274">
        <f>'Volume adjustments'!W103</f>
        <v>0</v>
      </c>
      <c r="X32" s="274">
        <f>'Volume adjustments'!X103</f>
        <v>133</v>
      </c>
      <c r="Y32" s="274">
        <f>'Volume adjustments'!Y103</f>
        <v>0</v>
      </c>
    </row>
    <row r="33" spans="2:59" x14ac:dyDescent="0.25">
      <c r="D33" s="86"/>
      <c r="F33" s="295" t="s">
        <v>330</v>
      </c>
      <c r="G33" s="295" t="s">
        <v>169</v>
      </c>
      <c r="J33" s="274">
        <f>'Volume adjustments'!J114</f>
        <v>0</v>
      </c>
      <c r="K33" s="274">
        <f>'Volume adjustments'!K114</f>
        <v>0</v>
      </c>
      <c r="L33" s="274">
        <f>'Volume adjustments'!L114</f>
        <v>0</v>
      </c>
      <c r="M33" s="274">
        <f>'Volume adjustments'!M114</f>
        <v>0</v>
      </c>
      <c r="N33" s="274">
        <f>'Volume adjustments'!N114</f>
        <v>567781.18374634022</v>
      </c>
      <c r="O33" s="274">
        <f>'Volume adjustments'!O114</f>
        <v>577821.03192570398</v>
      </c>
      <c r="P33" s="274">
        <f>'Volume adjustments'!P114</f>
        <v>673558.38668020221</v>
      </c>
      <c r="Q33" s="274">
        <f>'Volume adjustments'!Q114</f>
        <v>0</v>
      </c>
      <c r="R33" s="274">
        <f>'Volume adjustments'!R114</f>
        <v>0</v>
      </c>
      <c r="S33" s="274">
        <f>'Volume adjustments'!S114</f>
        <v>0</v>
      </c>
      <c r="T33" s="274">
        <f>'Volume adjustments'!T114</f>
        <v>0</v>
      </c>
      <c r="U33" s="274">
        <f>'Volume adjustments'!U114</f>
        <v>0</v>
      </c>
      <c r="V33" s="274">
        <f>'Volume adjustments'!V114</f>
        <v>0</v>
      </c>
      <c r="W33" s="274">
        <f>'Volume adjustments'!W114</f>
        <v>0</v>
      </c>
      <c r="X33" s="274">
        <f>'Volume adjustments'!X114</f>
        <v>0</v>
      </c>
      <c r="Y33" s="274">
        <f>'Volume adjustments'!Y114</f>
        <v>0</v>
      </c>
    </row>
    <row r="34" spans="2:59" x14ac:dyDescent="0.25">
      <c r="D34" s="86"/>
      <c r="F34" s="295" t="s">
        <v>260</v>
      </c>
      <c r="G34" s="295" t="s">
        <v>169</v>
      </c>
      <c r="J34" s="274">
        <f>'Volume adjustments'!J125</f>
        <v>0</v>
      </c>
      <c r="K34" s="274">
        <f>'Volume adjustments'!K125</f>
        <v>0</v>
      </c>
      <c r="L34" s="274">
        <f>'Volume adjustments'!L125</f>
        <v>0</v>
      </c>
      <c r="M34" s="274">
        <f>'Volume adjustments'!M125</f>
        <v>0</v>
      </c>
      <c r="N34" s="274">
        <f>'Volume adjustments'!N125</f>
        <v>32606.240584906936</v>
      </c>
      <c r="O34" s="274">
        <f>'Volume adjustments'!O125</f>
        <v>11444.7</v>
      </c>
      <c r="P34" s="274">
        <f>'Volume adjustments'!P125</f>
        <v>14202.12</v>
      </c>
      <c r="Q34" s="274">
        <f>'Volume adjustments'!Q125</f>
        <v>0</v>
      </c>
      <c r="R34" s="274">
        <f>'Volume adjustments'!R125</f>
        <v>0</v>
      </c>
      <c r="S34" s="274">
        <f>'Volume adjustments'!S125</f>
        <v>0</v>
      </c>
      <c r="T34" s="274">
        <f>'Volume adjustments'!T125</f>
        <v>0</v>
      </c>
      <c r="U34" s="274">
        <f>'Volume adjustments'!U125</f>
        <v>0</v>
      </c>
      <c r="V34" s="274">
        <f>'Volume adjustments'!V125</f>
        <v>0</v>
      </c>
      <c r="W34" s="274">
        <f>'Volume adjustments'!W125</f>
        <v>0</v>
      </c>
      <c r="X34" s="274">
        <f>'Volume adjustments'!X125</f>
        <v>0</v>
      </c>
      <c r="Y34" s="274">
        <f>'Volume adjustments'!Y125</f>
        <v>0</v>
      </c>
    </row>
    <row r="35" spans="2:59" x14ac:dyDescent="0.25">
      <c r="D35" s="86"/>
      <c r="F35" s="93" t="s">
        <v>77</v>
      </c>
      <c r="G35" s="15" t="s">
        <v>170</v>
      </c>
      <c r="H35" s="93"/>
      <c r="I35" s="93"/>
      <c r="J35" s="275">
        <f>'Volume adjustments'!J136</f>
        <v>0</v>
      </c>
      <c r="K35" s="275">
        <f>'Volume adjustments'!K136</f>
        <v>0</v>
      </c>
      <c r="L35" s="275">
        <f>'Volume adjustments'!L136</f>
        <v>0</v>
      </c>
      <c r="M35" s="275">
        <f>'Volume adjustments'!M136</f>
        <v>0</v>
      </c>
      <c r="N35" s="275">
        <f>'Volume adjustments'!N136</f>
        <v>77717.466956376549</v>
      </c>
      <c r="O35" s="275">
        <f>'Volume adjustments'!O136</f>
        <v>94760.038507324745</v>
      </c>
      <c r="P35" s="275">
        <f>'Volume adjustments'!P136</f>
        <v>113751.92085692298</v>
      </c>
      <c r="Q35" s="275">
        <f>'Volume adjustments'!Q136</f>
        <v>0</v>
      </c>
      <c r="R35" s="275">
        <f>'Volume adjustments'!R136</f>
        <v>0</v>
      </c>
      <c r="S35" s="275">
        <f>'Volume adjustments'!S136</f>
        <v>0</v>
      </c>
      <c r="T35" s="275">
        <f>'Volume adjustments'!T136</f>
        <v>4493.7803000000004</v>
      </c>
      <c r="U35" s="275">
        <f>'Volume adjustments'!U136</f>
        <v>0</v>
      </c>
      <c r="V35" s="275">
        <f>'Volume adjustments'!V136</f>
        <v>186</v>
      </c>
      <c r="W35" s="275">
        <f>'Volume adjustments'!W136</f>
        <v>0</v>
      </c>
      <c r="X35" s="275">
        <f>'Volume adjustments'!X136</f>
        <v>6792</v>
      </c>
      <c r="Y35" s="275">
        <f>'Volume adjustments'!Y136</f>
        <v>0</v>
      </c>
    </row>
    <row r="36" spans="2:59" x14ac:dyDescent="0.25">
      <c r="D36" s="86"/>
      <c r="F36" s="98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59" x14ac:dyDescent="0.25">
      <c r="D37" s="86"/>
      <c r="E37" s="295" t="s">
        <v>191</v>
      </c>
      <c r="G37" s="295" t="s">
        <v>107</v>
      </c>
      <c r="H37" s="274">
        <f>'General inputs'!$H$90</f>
        <v>362286149.98902923</v>
      </c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</row>
    <row r="38" spans="2:59" x14ac:dyDescent="0.25">
      <c r="D38" s="86"/>
      <c r="E38" s="295"/>
      <c r="H38" s="274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</row>
    <row r="39" spans="2:59" x14ac:dyDescent="0.25">
      <c r="D39" s="86"/>
      <c r="E39" s="96" t="s">
        <v>1124</v>
      </c>
      <c r="H39" s="274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59" x14ac:dyDescent="0.25">
      <c r="D40" s="86"/>
      <c r="F40" s="91" t="s">
        <v>1121</v>
      </c>
      <c r="G40" s="91" t="s">
        <v>107</v>
      </c>
      <c r="H40" s="273">
        <f>'General inputs'!$H$56</f>
        <v>35542.579269051414</v>
      </c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59" x14ac:dyDescent="0.25">
      <c r="C41" s="86"/>
      <c r="F41" s="93" t="s">
        <v>1122</v>
      </c>
      <c r="G41" s="93" t="s">
        <v>107</v>
      </c>
      <c r="H41" s="275">
        <f>'General inputs'!$H$57</f>
        <v>1428543.453235823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</row>
    <row r="42" spans="2:59" x14ac:dyDescent="0.25">
      <c r="C42" s="86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</row>
    <row r="43" spans="2:59" x14ac:dyDescent="0.25">
      <c r="C43" s="86"/>
      <c r="E43" s="295" t="s">
        <v>1125</v>
      </c>
      <c r="G43" s="295" t="s">
        <v>107</v>
      </c>
      <c r="H43" s="276">
        <f>H37 - H40 - H41</f>
        <v>360822063.95652437</v>
      </c>
      <c r="I43" s="295" t="s">
        <v>431</v>
      </c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BG43" s="295" t="s">
        <v>1126</v>
      </c>
    </row>
    <row r="44" spans="2:59" x14ac:dyDescent="0.25">
      <c r="C44" s="86"/>
      <c r="J44" s="90"/>
      <c r="K44" s="90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</row>
    <row r="45" spans="2:59" x14ac:dyDescent="0.25">
      <c r="C45" s="7" t="str">
        <f ca="1">INDEX('Version control'!$H$34:$H$58,MATCH($A$1,'Version control'!$F$34:$F$58,0),1)&amp;"-B: Net revenue before matching"</f>
        <v>Section 518-B: Net revenue before matching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</row>
    <row r="46" spans="2:59" x14ac:dyDescent="0.25">
      <c r="C46" s="82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</row>
    <row r="47" spans="2:59" x14ac:dyDescent="0.25">
      <c r="B47" s="82"/>
      <c r="D47" s="82" t="s">
        <v>484</v>
      </c>
      <c r="F47" s="98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</row>
    <row r="48" spans="2:59" x14ac:dyDescent="0.25">
      <c r="D48" s="82" t="s">
        <v>485</v>
      </c>
      <c r="F48" s="98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</row>
    <row r="49" spans="2:59" x14ac:dyDescent="0.25">
      <c r="D49" s="82"/>
      <c r="F49" s="98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</row>
    <row r="50" spans="2:59" x14ac:dyDescent="0.25">
      <c r="D50" s="295"/>
      <c r="E50" s="96" t="s">
        <v>695</v>
      </c>
      <c r="F50" s="96"/>
      <c r="H50" s="41" t="s">
        <v>272</v>
      </c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</row>
    <row r="51" spans="2:59" x14ac:dyDescent="0.25">
      <c r="D51" s="86"/>
      <c r="F51" s="91" t="s">
        <v>134</v>
      </c>
      <c r="G51" s="91" t="s">
        <v>107</v>
      </c>
      <c r="H51" s="278">
        <f t="shared" ref="H51:H58" si="0">SUM(J51:Y51)</f>
        <v>99974990.450301632</v>
      </c>
      <c r="I51" s="74"/>
      <c r="J51" s="268">
        <f t="shared" ref="J51:K51" si="1">J29 * thousand * J20 / hundred</f>
        <v>58046752.94031439</v>
      </c>
      <c r="K51" s="268">
        <f t="shared" si="1"/>
        <v>4612.9058618997296</v>
      </c>
      <c r="L51" s="268">
        <f t="shared" ref="L51:M51" si="2">L29 * thousand * L20 / hundred</f>
        <v>18693459.93256193</v>
      </c>
      <c r="M51" s="268">
        <f t="shared" si="2"/>
        <v>861.8605620187659</v>
      </c>
      <c r="N51" s="268">
        <f t="shared" ref="N51:P51" si="3">N29 * thousand * N20 / hundred</f>
        <v>8774666.9832521193</v>
      </c>
      <c r="O51" s="268">
        <f t="shared" si="3"/>
        <v>7322376.5930445669</v>
      </c>
      <c r="P51" s="268">
        <f t="shared" si="3"/>
        <v>8413907.7649250682</v>
      </c>
      <c r="Q51" s="268">
        <f t="shared" ref="Q51:S51" si="4">Q29 * thousand * Q20 / hundred</f>
        <v>1286665.4402907423</v>
      </c>
      <c r="R51" s="268">
        <f t="shared" si="4"/>
        <v>-8010.1349237293252</v>
      </c>
      <c r="S51" s="268">
        <f t="shared" si="4"/>
        <v>-2463.6895781376825</v>
      </c>
      <c r="T51" s="268">
        <f t="shared" ref="T51:U51" si="5">T29 * thousand * T20 / hundred</f>
        <v>-378491.78273924219</v>
      </c>
      <c r="U51" s="268">
        <f t="shared" si="5"/>
        <v>0</v>
      </c>
      <c r="V51" s="268">
        <f t="shared" ref="V51:W51" si="6">V29 * thousand * V20 / hundred</f>
        <v>-97925.405718345006</v>
      </c>
      <c r="W51" s="268">
        <f t="shared" si="6"/>
        <v>0</v>
      </c>
      <c r="X51" s="268">
        <f t="shared" ref="X51:Y51" si="7">X29 * thousand * X20 / hundred</f>
        <v>-2081422.9575516591</v>
      </c>
      <c r="Y51" s="268">
        <f t="shared" si="7"/>
        <v>0</v>
      </c>
    </row>
    <row r="52" spans="2:59" x14ac:dyDescent="0.25">
      <c r="D52" s="86"/>
      <c r="F52" s="295" t="s">
        <v>135</v>
      </c>
      <c r="G52" s="295" t="s">
        <v>107</v>
      </c>
      <c r="H52" s="253">
        <f t="shared" si="0"/>
        <v>63406687.894139402</v>
      </c>
      <c r="I52" s="90"/>
      <c r="J52" s="276">
        <f t="shared" ref="J52:K52" si="8">J30 * thousand * J21 / hundred</f>
        <v>32477312.572379559</v>
      </c>
      <c r="K52" s="276">
        <f t="shared" si="8"/>
        <v>12296.653750616522</v>
      </c>
      <c r="L52" s="276">
        <f t="shared" ref="L52:M52" si="9">L30 * thousand * L21 / hundred</f>
        <v>15521548.884409571</v>
      </c>
      <c r="M52" s="276">
        <f t="shared" si="9"/>
        <v>7216.3895952319717</v>
      </c>
      <c r="N52" s="276">
        <f t="shared" ref="N52:P52" si="10">N30 * thousand * N21 / hundred</f>
        <v>6061251.3841063287</v>
      </c>
      <c r="O52" s="276">
        <f t="shared" si="10"/>
        <v>4742080.051654241</v>
      </c>
      <c r="P52" s="276">
        <f t="shared" si="10"/>
        <v>4848432.941709809</v>
      </c>
      <c r="Q52" s="276">
        <f t="shared" ref="Q52:S52" si="11">Q30 * thousand * Q21 / hundred</f>
        <v>1159312.0577771247</v>
      </c>
      <c r="R52" s="276">
        <f t="shared" si="11"/>
        <v>-6174.0258891804006</v>
      </c>
      <c r="S52" s="276">
        <f t="shared" si="11"/>
        <v>-1698.4336489492157</v>
      </c>
      <c r="T52" s="276">
        <f t="shared" ref="T52:U52" si="12">T30 * thousand * T21 / hundred</f>
        <v>-288248.75689410657</v>
      </c>
      <c r="U52" s="276">
        <f t="shared" si="12"/>
        <v>0</v>
      </c>
      <c r="V52" s="276">
        <f t="shared" ref="V52:W52" si="13">V30 * thousand * V21 / hundred</f>
        <v>-67503.33409314297</v>
      </c>
      <c r="W52" s="276">
        <f t="shared" si="13"/>
        <v>0</v>
      </c>
      <c r="X52" s="276">
        <f t="shared" ref="X52:Y52" si="14">X30 * thousand * X21 / hundred</f>
        <v>-1059138.4907176986</v>
      </c>
      <c r="Y52" s="276">
        <f t="shared" si="14"/>
        <v>0</v>
      </c>
    </row>
    <row r="53" spans="2:59" x14ac:dyDescent="0.25">
      <c r="D53" s="86"/>
      <c r="F53" s="295" t="s">
        <v>136</v>
      </c>
      <c r="G53" s="295" t="s">
        <v>107</v>
      </c>
      <c r="H53" s="253">
        <f t="shared" si="0"/>
        <v>8582667.6513086557</v>
      </c>
      <c r="I53" s="90"/>
      <c r="J53" s="276">
        <f t="shared" ref="J53:K53" si="15">J31 * thousand * J22 / hundred</f>
        <v>3807228.9607556057</v>
      </c>
      <c r="K53" s="276">
        <f t="shared" si="15"/>
        <v>20569.734893926921</v>
      </c>
      <c r="L53" s="276">
        <f t="shared" ref="L53:M53" si="16">L31 * thousand * L22 / hundred</f>
        <v>1873056.7614646149</v>
      </c>
      <c r="M53" s="276">
        <f t="shared" si="16"/>
        <v>10934.86089034593</v>
      </c>
      <c r="N53" s="276">
        <f t="shared" ref="N53:P53" si="17">N31 * thousand * N22 / hundred</f>
        <v>805306.0868307366</v>
      </c>
      <c r="O53" s="276">
        <f t="shared" si="17"/>
        <v>836978.9778823154</v>
      </c>
      <c r="P53" s="276">
        <f t="shared" si="17"/>
        <v>991496.60697046784</v>
      </c>
      <c r="Q53" s="276">
        <f t="shared" ref="Q53:S53" si="18">Q31 * thousand * Q22 / hundred</f>
        <v>467879.5728697633</v>
      </c>
      <c r="R53" s="276">
        <f t="shared" si="18"/>
        <v>-805.85639674006609</v>
      </c>
      <c r="S53" s="276">
        <f t="shared" si="18"/>
        <v>-275.37674509018223</v>
      </c>
      <c r="T53" s="276">
        <f t="shared" ref="T53:U53" si="19">T31 * thousand * T22 / hundred</f>
        <v>-41654.226040914422</v>
      </c>
      <c r="U53" s="276">
        <f t="shared" si="19"/>
        <v>0</v>
      </c>
      <c r="V53" s="276">
        <f t="shared" ref="V53:W53" si="20">V31 * thousand * V22 / hundred</f>
        <v>-10956.61893181103</v>
      </c>
      <c r="W53" s="276">
        <f t="shared" si="20"/>
        <v>0</v>
      </c>
      <c r="X53" s="276">
        <f t="shared" ref="X53:Y53" si="21">X31 * thousand * X22 / hundred</f>
        <v>-177091.83313456323</v>
      </c>
      <c r="Y53" s="276">
        <f t="shared" si="21"/>
        <v>0</v>
      </c>
    </row>
    <row r="54" spans="2:59" x14ac:dyDescent="0.25">
      <c r="D54" s="86"/>
      <c r="F54" s="295" t="s">
        <v>311</v>
      </c>
      <c r="G54" s="295" t="s">
        <v>107</v>
      </c>
      <c r="H54" s="253">
        <f t="shared" si="0"/>
        <v>18837756.003357608</v>
      </c>
      <c r="I54" s="90"/>
      <c r="J54" s="276">
        <f t="shared" ref="J54:K54" si="22">J32 * J23 * days_in_year / hundred</f>
        <v>16660922.673728755</v>
      </c>
      <c r="K54" s="276">
        <f t="shared" si="22"/>
        <v>0</v>
      </c>
      <c r="L54" s="276">
        <f t="shared" ref="L54:M54" si="23">L32 * L23 * days_in_year / hundred</f>
        <v>1487692.8183687278</v>
      </c>
      <c r="M54" s="276">
        <f t="shared" si="23"/>
        <v>0</v>
      </c>
      <c r="N54" s="276">
        <f t="shared" ref="N54:P54" si="24">N32 * N23 * days_in_year / hundred</f>
        <v>328310.36904689902</v>
      </c>
      <c r="O54" s="276">
        <f t="shared" si="24"/>
        <v>65920.982482573265</v>
      </c>
      <c r="P54" s="276">
        <f t="shared" si="24"/>
        <v>263389.52181178867</v>
      </c>
      <c r="Q54" s="276">
        <f t="shared" ref="Q54:S54" si="25">Q32 * Q23 * days_in_year / hundred</f>
        <v>0</v>
      </c>
      <c r="R54" s="276">
        <f t="shared" si="25"/>
        <v>0</v>
      </c>
      <c r="S54" s="276">
        <f t="shared" si="25"/>
        <v>0</v>
      </c>
      <c r="T54" s="276">
        <f t="shared" ref="T54:U54" si="26">T32 * T23 * days_in_year / hundred</f>
        <v>0</v>
      </c>
      <c r="U54" s="276">
        <f t="shared" si="26"/>
        <v>0</v>
      </c>
      <c r="V54" s="276">
        <f t="shared" ref="V54:W54" si="27">V32 * V23 * days_in_year / hundred</f>
        <v>0</v>
      </c>
      <c r="W54" s="276">
        <f t="shared" si="27"/>
        <v>0</v>
      </c>
      <c r="X54" s="276">
        <f t="shared" ref="X54:Y54" si="28">X32 * X23 * days_in_year / hundred</f>
        <v>31519.637918865057</v>
      </c>
      <c r="Y54" s="276">
        <f t="shared" si="28"/>
        <v>0</v>
      </c>
    </row>
    <row r="55" spans="2:59" x14ac:dyDescent="0.25">
      <c r="D55" s="86"/>
      <c r="F55" s="295" t="s">
        <v>330</v>
      </c>
      <c r="G55" s="295" t="s">
        <v>107</v>
      </c>
      <c r="H55" s="253">
        <f t="shared" si="0"/>
        <v>25372302.801011726</v>
      </c>
      <c r="I55" s="90"/>
      <c r="J55" s="276">
        <f t="shared" ref="J55:K55" si="29">J33 * J24 * days_in_year / hundred</f>
        <v>0</v>
      </c>
      <c r="K55" s="276">
        <f t="shared" si="29"/>
        <v>0</v>
      </c>
      <c r="L55" s="276">
        <f t="shared" ref="L55:M55" si="30">L33 * L24 * days_in_year / hundred</f>
        <v>0</v>
      </c>
      <c r="M55" s="276">
        <f t="shared" si="30"/>
        <v>0</v>
      </c>
      <c r="N55" s="276">
        <f t="shared" ref="N55:P55" si="31">N33 * N24 * days_in_year / hundred</f>
        <v>5146647.4808493825</v>
      </c>
      <c r="O55" s="276">
        <f t="shared" si="31"/>
        <v>10585516.445486121</v>
      </c>
      <c r="P55" s="276">
        <f t="shared" si="31"/>
        <v>9640138.8746762238</v>
      </c>
      <c r="Q55" s="276">
        <f t="shared" ref="Q55:S55" si="32">Q33 * Q24 * days_in_year / hundred</f>
        <v>0</v>
      </c>
      <c r="R55" s="276">
        <f t="shared" si="32"/>
        <v>0</v>
      </c>
      <c r="S55" s="276">
        <f t="shared" si="32"/>
        <v>0</v>
      </c>
      <c r="T55" s="276">
        <f t="shared" ref="T55:U55" si="33">T33 * T24 * days_in_year / hundred</f>
        <v>0</v>
      </c>
      <c r="U55" s="276">
        <f t="shared" si="33"/>
        <v>0</v>
      </c>
      <c r="V55" s="276">
        <f t="shared" ref="V55:W55" si="34">V33 * V24 * days_in_year / hundred</f>
        <v>0</v>
      </c>
      <c r="W55" s="276">
        <f t="shared" si="34"/>
        <v>0</v>
      </c>
      <c r="X55" s="276">
        <f t="shared" ref="X55:Y55" si="35">X33 * X24 * days_in_year / hundred</f>
        <v>0</v>
      </c>
      <c r="Y55" s="276">
        <f t="shared" si="35"/>
        <v>0</v>
      </c>
    </row>
    <row r="56" spans="2:59" x14ac:dyDescent="0.25">
      <c r="D56" s="86"/>
      <c r="F56" s="295" t="s">
        <v>260</v>
      </c>
      <c r="G56" s="295" t="s">
        <v>107</v>
      </c>
      <c r="H56" s="253">
        <f t="shared" si="0"/>
        <v>1168946.6217098983</v>
      </c>
      <c r="I56" s="90"/>
      <c r="J56" s="276">
        <f t="shared" ref="J56:K56" si="36">J34 * J25 * days_in_year / hundred</f>
        <v>0</v>
      </c>
      <c r="K56" s="276">
        <f t="shared" si="36"/>
        <v>0</v>
      </c>
      <c r="L56" s="276">
        <f t="shared" ref="L56:M56" si="37">L34 * L25 * days_in_year / hundred</f>
        <v>0</v>
      </c>
      <c r="M56" s="276">
        <f t="shared" si="37"/>
        <v>0</v>
      </c>
      <c r="N56" s="276">
        <f t="shared" ref="N56:P56" si="38">N34 * N25 * days_in_year / hundred</f>
        <v>537789.83691173117</v>
      </c>
      <c r="O56" s="276">
        <f t="shared" si="38"/>
        <v>292875.72505711549</v>
      </c>
      <c r="P56" s="276">
        <f t="shared" si="38"/>
        <v>338281.05974105163</v>
      </c>
      <c r="Q56" s="276">
        <f t="shared" ref="Q56:S56" si="39">Q34 * Q25 * days_in_year / hundred</f>
        <v>0</v>
      </c>
      <c r="R56" s="276">
        <f t="shared" si="39"/>
        <v>0</v>
      </c>
      <c r="S56" s="276">
        <f t="shared" si="39"/>
        <v>0</v>
      </c>
      <c r="T56" s="276">
        <f t="shared" ref="T56:U56" si="40">T34 * T25 * days_in_year / hundred</f>
        <v>0</v>
      </c>
      <c r="U56" s="276">
        <f t="shared" si="40"/>
        <v>0</v>
      </c>
      <c r="V56" s="276">
        <f t="shared" ref="V56:W56" si="41">V34 * V25 * days_in_year / hundred</f>
        <v>0</v>
      </c>
      <c r="W56" s="276">
        <f t="shared" si="41"/>
        <v>0</v>
      </c>
      <c r="X56" s="276">
        <f t="shared" ref="X56:Y56" si="42">X34 * X25 * days_in_year / hundred</f>
        <v>0</v>
      </c>
      <c r="Y56" s="276">
        <f t="shared" si="42"/>
        <v>0</v>
      </c>
    </row>
    <row r="57" spans="2:59" x14ac:dyDescent="0.25">
      <c r="D57" s="86"/>
      <c r="F57" s="93" t="s">
        <v>77</v>
      </c>
      <c r="G57" s="15" t="s">
        <v>107</v>
      </c>
      <c r="H57" s="272">
        <f t="shared" si="0"/>
        <v>772229.54792551405</v>
      </c>
      <c r="I57" s="187"/>
      <c r="J57" s="269">
        <f t="shared" ref="J57:K57" si="43">J35 * thousand * J26 / hundred</f>
        <v>0</v>
      </c>
      <c r="K57" s="269">
        <f t="shared" si="43"/>
        <v>0</v>
      </c>
      <c r="L57" s="269">
        <f t="shared" ref="L57:M57" si="44">L35 * thousand * L26 / hundred</f>
        <v>0</v>
      </c>
      <c r="M57" s="269">
        <f t="shared" si="44"/>
        <v>0</v>
      </c>
      <c r="N57" s="269">
        <f t="shared" ref="N57:P57" si="45">N35 * thousand * N26 / hundred</f>
        <v>313736.55272945709</v>
      </c>
      <c r="O57" s="269">
        <f t="shared" si="45"/>
        <v>230868.03459159593</v>
      </c>
      <c r="P57" s="269">
        <f t="shared" si="45"/>
        <v>196425.77549474125</v>
      </c>
      <c r="Q57" s="269">
        <f t="shared" ref="Q57:S57" si="46">Q35 * thousand * Q26 / hundred</f>
        <v>0</v>
      </c>
      <c r="R57" s="269">
        <f t="shared" si="46"/>
        <v>0</v>
      </c>
      <c r="S57" s="269">
        <f t="shared" si="46"/>
        <v>0</v>
      </c>
      <c r="T57" s="269">
        <f t="shared" ref="T57:U57" si="47">T35 * thousand * T26 / hundred</f>
        <v>14865.615353733989</v>
      </c>
      <c r="U57" s="269">
        <f t="shared" si="47"/>
        <v>0</v>
      </c>
      <c r="V57" s="269">
        <f t="shared" ref="V57:W57" si="48">V35 * thousand * V26 / hundred</f>
        <v>566.7111002852505</v>
      </c>
      <c r="W57" s="269">
        <f t="shared" si="48"/>
        <v>0</v>
      </c>
      <c r="X57" s="269">
        <f t="shared" ref="X57:Y57" si="49">X35 * thousand * X26 / hundred</f>
        <v>15766.858655700458</v>
      </c>
      <c r="Y57" s="269">
        <f t="shared" si="49"/>
        <v>0</v>
      </c>
    </row>
    <row r="58" spans="2:59" x14ac:dyDescent="0.25">
      <c r="D58" s="295"/>
      <c r="E58" s="82"/>
      <c r="F58" s="73" t="s">
        <v>111</v>
      </c>
      <c r="G58" s="77" t="s">
        <v>107</v>
      </c>
      <c r="H58" s="281">
        <f t="shared" si="0"/>
        <v>218115580.96975446</v>
      </c>
      <c r="I58" s="70"/>
      <c r="J58" s="271">
        <f t="shared" ref="J58:K58" si="50">SUM(J51:J57)</f>
        <v>110992217.14717829</v>
      </c>
      <c r="K58" s="271">
        <f t="shared" si="50"/>
        <v>37479.29450644317</v>
      </c>
      <c r="L58" s="271">
        <f t="shared" ref="L58:Y58" si="51">SUM(L51:L57)</f>
        <v>37575758.396804847</v>
      </c>
      <c r="M58" s="271">
        <f t="shared" si="51"/>
        <v>19013.111047596667</v>
      </c>
      <c r="N58" s="271">
        <f t="shared" si="51"/>
        <v>21967708.693726655</v>
      </c>
      <c r="O58" s="271">
        <f t="shared" si="51"/>
        <v>24076616.810198531</v>
      </c>
      <c r="P58" s="271">
        <f t="shared" si="51"/>
        <v>24692072.545329146</v>
      </c>
      <c r="Q58" s="271">
        <f t="shared" si="51"/>
        <v>2913857.0709376303</v>
      </c>
      <c r="R58" s="271">
        <f t="shared" si="51"/>
        <v>-14990.017209649792</v>
      </c>
      <c r="S58" s="271">
        <f t="shared" si="51"/>
        <v>-4437.499972177081</v>
      </c>
      <c r="T58" s="271">
        <f t="shared" si="51"/>
        <v>-693529.15032052924</v>
      </c>
      <c r="U58" s="271">
        <f t="shared" si="51"/>
        <v>0</v>
      </c>
      <c r="V58" s="271">
        <f t="shared" si="51"/>
        <v>-175818.64764301374</v>
      </c>
      <c r="W58" s="271">
        <f t="shared" si="51"/>
        <v>0</v>
      </c>
      <c r="X58" s="271">
        <f t="shared" si="51"/>
        <v>-3270366.7848293558</v>
      </c>
      <c r="Y58" s="271">
        <f t="shared" si="51"/>
        <v>0</v>
      </c>
      <c r="Z58" s="426"/>
      <c r="AA58" s="426"/>
      <c r="AB58" s="426"/>
      <c r="AC58" s="426"/>
      <c r="AD58" s="426"/>
      <c r="AE58" s="426"/>
      <c r="AF58" s="426"/>
      <c r="AG58" s="426"/>
      <c r="AH58" s="426"/>
      <c r="AI58" s="426"/>
      <c r="AJ58" s="426"/>
      <c r="AK58" s="426"/>
      <c r="AL58" s="426"/>
      <c r="AM58" s="426"/>
      <c r="AN58" s="426"/>
      <c r="AO58" s="426"/>
      <c r="AP58" s="426"/>
      <c r="AQ58" s="426"/>
      <c r="AR58" s="426"/>
      <c r="AS58" s="426"/>
      <c r="AT58" s="426"/>
      <c r="AU58" s="426"/>
      <c r="AV58" s="426"/>
      <c r="AW58" s="426"/>
      <c r="AX58" s="426"/>
      <c r="AY58" s="426"/>
      <c r="AZ58" s="426"/>
      <c r="BA58" s="426"/>
      <c r="BB58" s="426"/>
      <c r="BC58" s="426"/>
      <c r="BD58" s="426"/>
      <c r="BE58" s="426"/>
      <c r="BF58" s="426"/>
      <c r="BG58" s="426"/>
    </row>
    <row r="59" spans="2:59" x14ac:dyDescent="0.25">
      <c r="D59" s="295"/>
      <c r="E59" s="96"/>
      <c r="F59" s="82"/>
      <c r="H59" s="253"/>
    </row>
    <row r="60" spans="2:59" x14ac:dyDescent="0.25">
      <c r="D60" s="86"/>
      <c r="E60" s="295" t="s">
        <v>246</v>
      </c>
      <c r="G60" s="295" t="s">
        <v>107</v>
      </c>
      <c r="H60" s="276">
        <f>H43 - H58</f>
        <v>142706482.98676991</v>
      </c>
      <c r="I60" s="426" t="s">
        <v>431</v>
      </c>
      <c r="J60" s="426"/>
      <c r="K60" s="426"/>
      <c r="L60" s="426"/>
      <c r="M60" s="426"/>
      <c r="N60" s="426"/>
      <c r="O60" s="426"/>
      <c r="P60" s="426"/>
      <c r="Q60" s="426"/>
      <c r="R60" s="426"/>
      <c r="S60" s="426"/>
      <c r="T60" s="426"/>
      <c r="U60" s="426"/>
      <c r="V60" s="426"/>
      <c r="W60" s="426"/>
      <c r="X60" s="426"/>
      <c r="Y60" s="426"/>
      <c r="Z60" s="426"/>
      <c r="AA60" s="426"/>
      <c r="AB60" s="426"/>
      <c r="AC60" s="426"/>
      <c r="AD60" s="426"/>
      <c r="AE60" s="426"/>
      <c r="AF60" s="426"/>
      <c r="AG60" s="426"/>
      <c r="AH60" s="426"/>
      <c r="AI60" s="426"/>
      <c r="AJ60" s="426"/>
      <c r="AK60" s="426"/>
      <c r="AL60" s="426"/>
      <c r="AM60" s="426"/>
      <c r="AN60" s="426"/>
      <c r="AO60" s="426"/>
      <c r="AP60" s="426"/>
      <c r="AQ60" s="426"/>
      <c r="AR60" s="426"/>
      <c r="AS60" s="426"/>
      <c r="AT60" s="426"/>
      <c r="AU60" s="426"/>
      <c r="AV60" s="426"/>
      <c r="AW60" s="426"/>
      <c r="AX60" s="426"/>
      <c r="AY60" s="426"/>
      <c r="AZ60" s="426"/>
      <c r="BA60" s="426"/>
      <c r="BB60" s="426"/>
      <c r="BC60" s="426"/>
      <c r="BD60" s="426"/>
      <c r="BE60" s="426"/>
      <c r="BF60" s="426"/>
      <c r="BG60" s="426" t="s">
        <v>852</v>
      </c>
    </row>
    <row r="61" spans="2:59" x14ac:dyDescent="0.25">
      <c r="C61" s="86"/>
      <c r="I61" s="426"/>
      <c r="J61" s="426"/>
      <c r="K61" s="426"/>
      <c r="L61" s="426"/>
      <c r="M61" s="426"/>
      <c r="N61" s="426"/>
      <c r="O61" s="426"/>
      <c r="P61" s="426"/>
      <c r="Q61" s="426"/>
      <c r="R61" s="426"/>
      <c r="S61" s="426"/>
      <c r="T61" s="426"/>
      <c r="U61" s="426"/>
      <c r="V61" s="426"/>
      <c r="W61" s="426"/>
      <c r="X61" s="426"/>
      <c r="Y61" s="426"/>
      <c r="Z61" s="426"/>
      <c r="AA61" s="426"/>
      <c r="AB61" s="426"/>
      <c r="AC61" s="426"/>
      <c r="AD61" s="426"/>
      <c r="AE61" s="426"/>
      <c r="AF61" s="426"/>
      <c r="AG61" s="426"/>
      <c r="AH61" s="426"/>
      <c r="AI61" s="426"/>
      <c r="AJ61" s="426"/>
      <c r="AK61" s="426"/>
      <c r="AL61" s="426"/>
      <c r="AM61" s="426"/>
      <c r="AN61" s="426"/>
      <c r="AO61" s="426"/>
      <c r="AP61" s="426"/>
      <c r="AQ61" s="426"/>
      <c r="AR61" s="426"/>
      <c r="AS61" s="426"/>
      <c r="AT61" s="426"/>
      <c r="AU61" s="426"/>
      <c r="AV61" s="426"/>
      <c r="AW61" s="426"/>
      <c r="AX61" s="426"/>
      <c r="AY61" s="426"/>
      <c r="AZ61" s="426"/>
      <c r="BA61" s="426"/>
      <c r="BB61" s="426"/>
      <c r="BC61" s="426"/>
      <c r="BD61" s="426"/>
      <c r="BE61" s="426"/>
      <c r="BF61" s="426"/>
      <c r="BG61" s="426"/>
    </row>
    <row r="62" spans="2:59" x14ac:dyDescent="0.25">
      <c r="B62" s="95" t="s">
        <v>331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</row>
    <row r="63" spans="2:59" x14ac:dyDescent="0.25">
      <c r="C63" s="82"/>
    </row>
    <row r="64" spans="2:59" x14ac:dyDescent="0.25">
      <c r="C64" s="82" t="s">
        <v>486</v>
      </c>
    </row>
    <row r="65" spans="3:59" x14ac:dyDescent="0.25">
      <c r="C65" s="82" t="s">
        <v>487</v>
      </c>
    </row>
    <row r="66" spans="3:59" x14ac:dyDescent="0.25">
      <c r="C66" s="82" t="s">
        <v>488</v>
      </c>
    </row>
    <row r="67" spans="3:59" x14ac:dyDescent="0.25">
      <c r="C67" s="82"/>
    </row>
    <row r="68" spans="3:59" x14ac:dyDescent="0.25">
      <c r="C68" s="7" t="str">
        <f ca="1">INDEX('Version control'!$H$34:$H$58,MATCH($A$1,'Version control'!$F$34:$F$58,0),1)&amp;"-C: Calculation of unconstrained adder solution"</f>
        <v>Section 518-C: Calculation of unconstrained adder solution</v>
      </c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</row>
    <row r="69" spans="3:59" x14ac:dyDescent="0.25">
      <c r="D69" s="86"/>
    </row>
    <row r="70" spans="3:59" x14ac:dyDescent="0.25">
      <c r="E70" s="96" t="s">
        <v>247</v>
      </c>
      <c r="H70" s="426"/>
      <c r="I70" s="426"/>
    </row>
    <row r="71" spans="3:59" x14ac:dyDescent="0.25">
      <c r="E71" s="82" t="s">
        <v>489</v>
      </c>
      <c r="H71" s="426"/>
      <c r="I71" s="426"/>
    </row>
    <row r="72" spans="3:59" x14ac:dyDescent="0.25">
      <c r="D72" s="295"/>
      <c r="E72" s="82" t="s">
        <v>490</v>
      </c>
      <c r="H72" s="426"/>
      <c r="I72" s="426"/>
    </row>
    <row r="73" spans="3:59" x14ac:dyDescent="0.25">
      <c r="D73" s="295"/>
      <c r="E73" s="82" t="s">
        <v>491</v>
      </c>
      <c r="H73" s="426"/>
      <c r="I73" s="426"/>
    </row>
    <row r="74" spans="3:59" x14ac:dyDescent="0.25">
      <c r="C74" s="86"/>
      <c r="F74" s="91" t="s">
        <v>340</v>
      </c>
      <c r="G74" s="91" t="s">
        <v>183</v>
      </c>
      <c r="H74" s="349"/>
      <c r="I74" s="349"/>
      <c r="J74" s="362">
        <f t="shared" ref="J74:Y76" si="52">-J20</f>
        <v>-10.11594964860876</v>
      </c>
      <c r="K74" s="362">
        <f t="shared" si="52"/>
        <v>-10.11594964860876</v>
      </c>
      <c r="L74" s="362">
        <f t="shared" si="52"/>
        <v>-12.564395696515698</v>
      </c>
      <c r="M74" s="362">
        <f t="shared" si="52"/>
        <v>-12.564395696515698</v>
      </c>
      <c r="N74" s="362">
        <f t="shared" si="52"/>
        <v>-9.1767990438929967</v>
      </c>
      <c r="O74" s="362">
        <f t="shared" si="52"/>
        <v>-6.8642779713820374</v>
      </c>
      <c r="P74" s="362">
        <f t="shared" si="52"/>
        <v>-5.165127472019492</v>
      </c>
      <c r="Q74" s="362">
        <f t="shared" si="52"/>
        <v>-18.178805927558937</v>
      </c>
      <c r="R74" s="362">
        <f t="shared" si="52"/>
        <v>7.6670869640904762</v>
      </c>
      <c r="S74" s="362">
        <f t="shared" si="52"/>
        <v>6.8872141338766015</v>
      </c>
      <c r="T74" s="362">
        <f t="shared" si="52"/>
        <v>7.6670869640904762</v>
      </c>
      <c r="U74" s="362">
        <f t="shared" si="52"/>
        <v>7.6670869640904762</v>
      </c>
      <c r="V74" s="362">
        <f t="shared" si="52"/>
        <v>6.8872141338766015</v>
      </c>
      <c r="W74" s="362">
        <f t="shared" si="52"/>
        <v>6.8872141338766015</v>
      </c>
      <c r="X74" s="362">
        <f t="shared" si="52"/>
        <v>4.8607236937772624</v>
      </c>
      <c r="Y74" s="362">
        <f t="shared" si="52"/>
        <v>4.8607236937772624</v>
      </c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  <c r="AP74" s="351"/>
      <c r="AQ74" s="351"/>
      <c r="AR74" s="351"/>
      <c r="AS74" s="351"/>
      <c r="AT74" s="351"/>
      <c r="AU74" s="351"/>
      <c r="AV74" s="351"/>
      <c r="AW74" s="351"/>
      <c r="AX74" s="351"/>
      <c r="AY74" s="351"/>
      <c r="AZ74" s="351"/>
      <c r="BA74" s="351"/>
      <c r="BB74" s="351"/>
      <c r="BC74" s="351"/>
      <c r="BD74" s="351"/>
      <c r="BE74" s="351"/>
      <c r="BF74" s="351"/>
      <c r="BG74" s="351"/>
    </row>
    <row r="75" spans="3:59" x14ac:dyDescent="0.25">
      <c r="C75" s="86"/>
      <c r="F75" s="295" t="s">
        <v>341</v>
      </c>
      <c r="G75" s="295" t="s">
        <v>183</v>
      </c>
      <c r="H75" s="351"/>
      <c r="I75" s="351"/>
      <c r="J75" s="421">
        <f t="shared" si="52"/>
        <v>-1.597587341513643</v>
      </c>
      <c r="K75" s="421">
        <f t="shared" si="52"/>
        <v>-1.597587341513643</v>
      </c>
      <c r="L75" s="421">
        <f t="shared" si="52"/>
        <v>-1.9842644749900038</v>
      </c>
      <c r="M75" s="421">
        <f t="shared" si="52"/>
        <v>-1.9842644749900038</v>
      </c>
      <c r="N75" s="421">
        <f t="shared" si="52"/>
        <v>-1.3757330065845093</v>
      </c>
      <c r="O75" s="421">
        <f t="shared" si="52"/>
        <v>-0.8989422107421281</v>
      </c>
      <c r="P75" s="421">
        <f t="shared" si="52"/>
        <v>-0.62848157310492736</v>
      </c>
      <c r="Q75" s="421">
        <f t="shared" si="52"/>
        <v>-2.2269967765251373</v>
      </c>
      <c r="R75" s="421">
        <f t="shared" si="52"/>
        <v>1.2108444096298747</v>
      </c>
      <c r="S75" s="421">
        <f t="shared" si="52"/>
        <v>1.0576237365468442</v>
      </c>
      <c r="T75" s="421">
        <f t="shared" si="52"/>
        <v>1.2108444096298747</v>
      </c>
      <c r="U75" s="421">
        <f t="shared" si="52"/>
        <v>1.2108444096298747</v>
      </c>
      <c r="V75" s="421">
        <f t="shared" si="52"/>
        <v>1.0576237365468442</v>
      </c>
      <c r="W75" s="421">
        <f t="shared" si="52"/>
        <v>1.0576237365468442</v>
      </c>
      <c r="X75" s="421">
        <f t="shared" si="52"/>
        <v>0.625066267685503</v>
      </c>
      <c r="Y75" s="421">
        <f t="shared" si="52"/>
        <v>0.625066267685503</v>
      </c>
      <c r="Z75" s="351"/>
      <c r="AA75" s="351"/>
      <c r="AB75" s="351"/>
      <c r="AC75" s="351"/>
      <c r="AD75" s="351"/>
      <c r="AE75" s="351"/>
      <c r="AF75" s="351"/>
      <c r="AG75" s="351"/>
      <c r="AH75" s="351"/>
      <c r="AI75" s="351"/>
      <c r="AJ75" s="351"/>
      <c r="AK75" s="351"/>
      <c r="AL75" s="351"/>
      <c r="AM75" s="351"/>
      <c r="AN75" s="351"/>
      <c r="AO75" s="351"/>
      <c r="AP75" s="351"/>
      <c r="AQ75" s="351"/>
      <c r="AR75" s="351"/>
      <c r="AS75" s="351"/>
      <c r="AT75" s="351"/>
      <c r="AU75" s="351"/>
      <c r="AV75" s="351"/>
      <c r="AW75" s="351"/>
      <c r="AX75" s="351"/>
      <c r="AY75" s="351"/>
      <c r="AZ75" s="351"/>
      <c r="BA75" s="351"/>
      <c r="BB75" s="351"/>
      <c r="BC75" s="351"/>
      <c r="BD75" s="351"/>
      <c r="BE75" s="351"/>
      <c r="BF75" s="351"/>
      <c r="BG75" s="351"/>
    </row>
    <row r="76" spans="3:59" x14ac:dyDescent="0.25">
      <c r="C76" s="86"/>
      <c r="F76" s="93" t="s">
        <v>342</v>
      </c>
      <c r="G76" s="93" t="s">
        <v>183</v>
      </c>
      <c r="H76" s="353"/>
      <c r="I76" s="353"/>
      <c r="J76" s="364">
        <f t="shared" si="52"/>
        <v>-0.19892969640308419</v>
      </c>
      <c r="K76" s="364">
        <f t="shared" si="52"/>
        <v>-0.19892969640308419</v>
      </c>
      <c r="L76" s="364">
        <f t="shared" si="52"/>
        <v>-0.24707827818615433</v>
      </c>
      <c r="M76" s="364">
        <f t="shared" si="52"/>
        <v>-0.24707827818615433</v>
      </c>
      <c r="N76" s="364">
        <f t="shared" si="52"/>
        <v>-0.18419071179769397</v>
      </c>
      <c r="O76" s="364">
        <f t="shared" si="52"/>
        <v>-0.14437381052570919</v>
      </c>
      <c r="P76" s="364">
        <f t="shared" si="52"/>
        <v>-0.1037577497041882</v>
      </c>
      <c r="Q76" s="364">
        <f t="shared" si="52"/>
        <v>-0.486908811291489</v>
      </c>
      <c r="R76" s="364">
        <f t="shared" si="52"/>
        <v>0.15077292147972721</v>
      </c>
      <c r="S76" s="364">
        <f t="shared" si="52"/>
        <v>0.13696109573644608</v>
      </c>
      <c r="T76" s="364">
        <f t="shared" si="52"/>
        <v>0.15077292147972721</v>
      </c>
      <c r="U76" s="364">
        <f t="shared" si="52"/>
        <v>0.15077292147972721</v>
      </c>
      <c r="V76" s="364">
        <f t="shared" si="52"/>
        <v>0.13696109573644608</v>
      </c>
      <c r="W76" s="364">
        <f t="shared" si="52"/>
        <v>0.13696109573644608</v>
      </c>
      <c r="X76" s="364">
        <f t="shared" si="52"/>
        <v>9.944343700203076E-2</v>
      </c>
      <c r="Y76" s="364">
        <f t="shared" si="52"/>
        <v>9.944343700203076E-2</v>
      </c>
      <c r="Z76" s="351"/>
      <c r="AA76" s="351"/>
      <c r="AB76" s="351"/>
      <c r="AC76" s="351"/>
      <c r="AD76" s="351"/>
      <c r="AE76" s="351"/>
      <c r="AF76" s="351"/>
      <c r="AG76" s="351"/>
      <c r="AH76" s="351"/>
      <c r="AI76" s="351"/>
      <c r="AJ76" s="351"/>
      <c r="AK76" s="351"/>
      <c r="AL76" s="351"/>
      <c r="AM76" s="351"/>
      <c r="AN76" s="351"/>
      <c r="AO76" s="351"/>
      <c r="AP76" s="351"/>
      <c r="AQ76" s="351"/>
      <c r="AR76" s="351"/>
      <c r="AS76" s="351"/>
      <c r="AT76" s="351"/>
      <c r="AU76" s="351"/>
      <c r="AV76" s="351"/>
      <c r="AW76" s="351"/>
      <c r="AX76" s="351"/>
      <c r="AY76" s="351"/>
      <c r="AZ76" s="351"/>
      <c r="BA76" s="351"/>
      <c r="BB76" s="351"/>
      <c r="BC76" s="351"/>
      <c r="BD76" s="351"/>
      <c r="BE76" s="351"/>
      <c r="BF76" s="351"/>
      <c r="BG76" s="351"/>
    </row>
    <row r="77" spans="3:59" x14ac:dyDescent="0.25">
      <c r="C77" s="86"/>
      <c r="F77" s="98"/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  <c r="U77" s="253"/>
      <c r="V77" s="253"/>
      <c r="W77" s="253"/>
      <c r="X77" s="253"/>
      <c r="Y77" s="253"/>
    </row>
    <row r="78" spans="3:59" x14ac:dyDescent="0.25">
      <c r="E78" s="96" t="s">
        <v>346</v>
      </c>
      <c r="H78" s="426"/>
      <c r="I78" s="426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3:59" x14ac:dyDescent="0.25">
      <c r="E79" s="82" t="s">
        <v>492</v>
      </c>
      <c r="H79" s="426"/>
      <c r="I79" s="426"/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  <c r="U79" s="253"/>
      <c r="V79" s="253"/>
      <c r="W79" s="253"/>
      <c r="X79" s="253"/>
      <c r="Y79" s="253"/>
    </row>
    <row r="80" spans="3:59" x14ac:dyDescent="0.25">
      <c r="D80" s="295"/>
      <c r="E80" s="82" t="s">
        <v>493</v>
      </c>
      <c r="H80" s="426"/>
      <c r="I80" s="426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59" x14ac:dyDescent="0.25">
      <c r="D81" s="295"/>
      <c r="E81" s="82" t="s">
        <v>494</v>
      </c>
      <c r="H81" s="426"/>
      <c r="I81" s="426"/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  <c r="U81" s="253"/>
      <c r="V81" s="253"/>
      <c r="W81" s="253"/>
      <c r="X81" s="253"/>
      <c r="Y81" s="253"/>
    </row>
    <row r="82" spans="3:59" x14ac:dyDescent="0.25">
      <c r="F82" s="91" t="s">
        <v>343</v>
      </c>
      <c r="G82" s="91" t="s">
        <v>120</v>
      </c>
      <c r="H82" s="91"/>
      <c r="I82" s="91"/>
      <c r="J82" s="268">
        <f t="shared" ref="J82:Q84" si="53">J29</f>
        <v>573814.17421643168</v>
      </c>
      <c r="K82" s="268">
        <f t="shared" si="53"/>
        <v>45.600324459247773</v>
      </c>
      <c r="L82" s="268">
        <f t="shared" si="53"/>
        <v>148781.2098893536</v>
      </c>
      <c r="M82" s="268">
        <f t="shared" si="53"/>
        <v>6.8595464743105259</v>
      </c>
      <c r="N82" s="268">
        <f t="shared" si="53"/>
        <v>95617.94849470428</v>
      </c>
      <c r="O82" s="268">
        <f t="shared" si="53"/>
        <v>106673.66070506461</v>
      </c>
      <c r="P82" s="268">
        <f t="shared" si="53"/>
        <v>162898.35653630731</v>
      </c>
      <c r="Q82" s="268">
        <f t="shared" si="53"/>
        <v>7077.8325343149572</v>
      </c>
      <c r="R82" s="239"/>
      <c r="S82" s="239"/>
      <c r="T82" s="239"/>
      <c r="U82" s="239"/>
      <c r="V82" s="239"/>
      <c r="W82" s="239"/>
      <c r="X82" s="239"/>
      <c r="Y82" s="239"/>
    </row>
    <row r="83" spans="3:59" x14ac:dyDescent="0.25">
      <c r="C83" s="86"/>
      <c r="F83" s="295" t="s">
        <v>344</v>
      </c>
      <c r="G83" s="295" t="s">
        <v>120</v>
      </c>
      <c r="J83" s="276">
        <f t="shared" si="53"/>
        <v>2032897.465349766</v>
      </c>
      <c r="K83" s="276">
        <f t="shared" si="53"/>
        <v>769.70150120030291</v>
      </c>
      <c r="L83" s="276">
        <f t="shared" si="53"/>
        <v>782231.85870864138</v>
      </c>
      <c r="M83" s="276">
        <f t="shared" si="53"/>
        <v>363.68083419264593</v>
      </c>
      <c r="N83" s="276">
        <f t="shared" si="53"/>
        <v>440583.40936039714</v>
      </c>
      <c r="O83" s="276">
        <f t="shared" si="53"/>
        <v>527517.78645919671</v>
      </c>
      <c r="P83" s="276">
        <f t="shared" si="53"/>
        <v>771451.8848590561</v>
      </c>
      <c r="Q83" s="276">
        <f t="shared" si="53"/>
        <v>52057.195142690813</v>
      </c>
      <c r="R83" s="280"/>
      <c r="S83" s="280"/>
      <c r="T83" s="280"/>
      <c r="U83" s="280"/>
      <c r="V83" s="280"/>
      <c r="W83" s="280"/>
      <c r="X83" s="280"/>
      <c r="Y83" s="280"/>
    </row>
    <row r="84" spans="3:59" x14ac:dyDescent="0.25">
      <c r="C84" s="86"/>
      <c r="F84" s="93" t="s">
        <v>345</v>
      </c>
      <c r="G84" s="93" t="s">
        <v>120</v>
      </c>
      <c r="H84" s="93"/>
      <c r="I84" s="93"/>
      <c r="J84" s="269">
        <f t="shared" si="53"/>
        <v>1913856.5179535351</v>
      </c>
      <c r="K84" s="269">
        <f t="shared" si="53"/>
        <v>10340.203230515768</v>
      </c>
      <c r="L84" s="269">
        <f t="shared" si="53"/>
        <v>758082.32727500715</v>
      </c>
      <c r="M84" s="269">
        <f t="shared" si="53"/>
        <v>4425.6666229911798</v>
      </c>
      <c r="N84" s="269">
        <f t="shared" si="53"/>
        <v>437213.19005230034</v>
      </c>
      <c r="O84" s="269">
        <f t="shared" si="53"/>
        <v>579730.47523967049</v>
      </c>
      <c r="P84" s="269">
        <f t="shared" si="53"/>
        <v>955588.00166465633</v>
      </c>
      <c r="Q84" s="269">
        <f t="shared" si="53"/>
        <v>96091.827056640832</v>
      </c>
      <c r="R84" s="241"/>
      <c r="S84" s="241"/>
      <c r="T84" s="241"/>
      <c r="U84" s="241"/>
      <c r="V84" s="241"/>
      <c r="W84" s="241"/>
      <c r="X84" s="241"/>
      <c r="Y84" s="241"/>
    </row>
    <row r="85" spans="3:59" x14ac:dyDescent="0.25">
      <c r="C85" s="86"/>
      <c r="F85" s="98"/>
    </row>
    <row r="86" spans="3:59" x14ac:dyDescent="0.25">
      <c r="E86" s="96" t="s">
        <v>355</v>
      </c>
      <c r="H86" s="426"/>
      <c r="I86" s="426" t="s">
        <v>431</v>
      </c>
      <c r="BG86" s="295" t="s">
        <v>853</v>
      </c>
    </row>
    <row r="87" spans="3:59" x14ac:dyDescent="0.25">
      <c r="E87" s="82" t="s">
        <v>495</v>
      </c>
      <c r="H87" s="426"/>
      <c r="I87" s="426"/>
    </row>
    <row r="88" spans="3:59" x14ac:dyDescent="0.25">
      <c r="D88" s="295"/>
      <c r="E88" s="82" t="s">
        <v>496</v>
      </c>
      <c r="H88" s="426"/>
      <c r="I88" s="426"/>
    </row>
    <row r="89" spans="3:59" x14ac:dyDescent="0.25">
      <c r="D89" s="295"/>
      <c r="E89" s="82" t="s">
        <v>497</v>
      </c>
      <c r="H89" s="426"/>
      <c r="I89" s="426"/>
    </row>
    <row r="90" spans="3:59" x14ac:dyDescent="0.25">
      <c r="E90" s="86"/>
      <c r="F90" s="295" t="s">
        <v>190</v>
      </c>
      <c r="G90" s="295" t="s">
        <v>183</v>
      </c>
      <c r="H90" s="421">
        <f>H60/SUM(J82:Y84)/ten</f>
        <v>1.3645523879486536</v>
      </c>
      <c r="I90" s="351"/>
      <c r="J90" s="351"/>
      <c r="K90" s="351"/>
      <c r="L90" s="351"/>
      <c r="M90" s="351"/>
      <c r="N90" s="351"/>
      <c r="O90" s="351"/>
      <c r="P90" s="351"/>
      <c r="Q90" s="351"/>
      <c r="R90" s="351"/>
      <c r="S90" s="351"/>
      <c r="T90" s="351"/>
      <c r="U90" s="351"/>
      <c r="V90" s="351"/>
      <c r="W90" s="351"/>
      <c r="X90" s="351"/>
      <c r="Y90" s="351"/>
      <c r="Z90" s="351"/>
      <c r="AA90" s="351"/>
      <c r="AB90" s="351"/>
      <c r="AC90" s="351"/>
      <c r="AD90" s="351"/>
      <c r="AE90" s="351"/>
      <c r="AF90" s="351"/>
      <c r="AG90" s="351"/>
      <c r="AH90" s="351"/>
      <c r="AI90" s="351"/>
      <c r="AJ90" s="351"/>
      <c r="AK90" s="351"/>
      <c r="AL90" s="351"/>
      <c r="AM90" s="351"/>
      <c r="AN90" s="351"/>
      <c r="AO90" s="351"/>
      <c r="AP90" s="351"/>
      <c r="AQ90" s="351"/>
      <c r="AR90" s="351"/>
      <c r="AS90" s="351"/>
      <c r="AT90" s="351"/>
      <c r="AU90" s="351"/>
      <c r="AV90" s="351"/>
      <c r="AW90" s="351"/>
      <c r="AX90" s="351"/>
      <c r="AY90" s="351"/>
      <c r="AZ90" s="351"/>
      <c r="BA90" s="351"/>
      <c r="BB90" s="351"/>
      <c r="BC90" s="351"/>
      <c r="BD90" s="351"/>
      <c r="BE90" s="351"/>
      <c r="BF90" s="351"/>
      <c r="BG90" s="351"/>
    </row>
    <row r="91" spans="3:59" x14ac:dyDescent="0.25">
      <c r="D91" s="86"/>
    </row>
    <row r="92" spans="3:59" x14ac:dyDescent="0.25">
      <c r="C92" s="7" t="str">
        <f ca="1">INDEX('Version control'!$H$34:$H$58,MATCH($A$1,'Version control'!$F$34:$F$58,0),1)&amp;"-D: Algorithm to find constrained adder solution"</f>
        <v>Section 518-D: Algorithm to find constrained adder solution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</row>
    <row r="93" spans="3:59" x14ac:dyDescent="0.25">
      <c r="D93" s="86"/>
    </row>
    <row r="94" spans="3:59" x14ac:dyDescent="0.25">
      <c r="D94" s="82" t="s">
        <v>498</v>
      </c>
      <c r="E94" s="295"/>
      <c r="I94" s="295" t="s">
        <v>431</v>
      </c>
      <c r="BG94" s="295" t="s">
        <v>853</v>
      </c>
    </row>
    <row r="95" spans="3:59" x14ac:dyDescent="0.25">
      <c r="D95" s="82" t="s">
        <v>499</v>
      </c>
      <c r="E95" s="295"/>
    </row>
    <row r="96" spans="3:59" x14ac:dyDescent="0.25">
      <c r="D96" s="82" t="s">
        <v>500</v>
      </c>
      <c r="E96" s="295"/>
    </row>
    <row r="97" spans="3:59" outlineLevel="1" x14ac:dyDescent="0.25"/>
    <row r="98" spans="3:59" outlineLevel="1" x14ac:dyDescent="0.25">
      <c r="D98" s="96" t="s">
        <v>501</v>
      </c>
      <c r="E98" s="295"/>
      <c r="H98" s="426"/>
      <c r="I98" s="426"/>
    </row>
    <row r="99" spans="3:59" outlineLevel="1" x14ac:dyDescent="0.25">
      <c r="D99" s="96" t="s">
        <v>502</v>
      </c>
      <c r="E99" s="295"/>
      <c r="H99" s="426"/>
      <c r="I99" s="426"/>
    </row>
    <row r="100" spans="3:59" outlineLevel="1" x14ac:dyDescent="0.25">
      <c r="D100" s="96"/>
      <c r="E100" s="295"/>
      <c r="H100" s="426"/>
      <c r="I100" s="426"/>
    </row>
    <row r="101" spans="3:59" ht="75" outlineLevel="1" x14ac:dyDescent="0.25">
      <c r="D101" s="295"/>
      <c r="E101" s="427" t="s">
        <v>349</v>
      </c>
      <c r="F101" s="427"/>
      <c r="G101" s="427"/>
      <c r="H101" s="428"/>
      <c r="I101" s="427"/>
      <c r="J101" s="1" t="s">
        <v>1067</v>
      </c>
      <c r="K101" s="1" t="s">
        <v>1068</v>
      </c>
      <c r="L101" s="1" t="s">
        <v>1069</v>
      </c>
      <c r="M101" s="1" t="s">
        <v>1070</v>
      </c>
      <c r="N101" s="1" t="s">
        <v>1071</v>
      </c>
      <c r="O101" s="1" t="s">
        <v>1072</v>
      </c>
      <c r="P101" s="1" t="s">
        <v>1073</v>
      </c>
      <c r="Q101" s="1" t="s">
        <v>1074</v>
      </c>
      <c r="R101" s="1" t="s">
        <v>1075</v>
      </c>
      <c r="S101" s="1" t="s">
        <v>1076</v>
      </c>
      <c r="T101" s="1" t="s">
        <v>1077</v>
      </c>
      <c r="U101" s="1" t="s">
        <v>1078</v>
      </c>
      <c r="V101" s="1" t="s">
        <v>1079</v>
      </c>
      <c r="W101" s="1" t="s">
        <v>1080</v>
      </c>
      <c r="X101" s="1" t="s">
        <v>1081</v>
      </c>
      <c r="Y101" s="1" t="s">
        <v>1082</v>
      </c>
      <c r="Z101" s="1" t="s">
        <v>1083</v>
      </c>
      <c r="AA101" s="1" t="s">
        <v>1084</v>
      </c>
      <c r="AB101" s="1" t="s">
        <v>1085</v>
      </c>
      <c r="AC101" s="1" t="s">
        <v>1086</v>
      </c>
      <c r="AD101" s="1" t="s">
        <v>1087</v>
      </c>
      <c r="AE101" s="1" t="s">
        <v>1088</v>
      </c>
      <c r="AF101" s="1" t="s">
        <v>1089</v>
      </c>
      <c r="AG101" s="1" t="s">
        <v>1090</v>
      </c>
      <c r="AH101" s="1" t="s">
        <v>1091</v>
      </c>
      <c r="AI101" s="1" t="s">
        <v>1092</v>
      </c>
      <c r="AJ101" s="1" t="s">
        <v>1093</v>
      </c>
      <c r="AK101" s="1" t="s">
        <v>1094</v>
      </c>
      <c r="AL101" s="1" t="s">
        <v>1095</v>
      </c>
      <c r="AM101" s="1" t="s">
        <v>1096</v>
      </c>
      <c r="AN101" s="1" t="s">
        <v>1097</v>
      </c>
      <c r="AO101" s="1" t="s">
        <v>1098</v>
      </c>
      <c r="AP101" s="1" t="s">
        <v>1099</v>
      </c>
      <c r="AQ101" s="1" t="s">
        <v>1100</v>
      </c>
      <c r="AR101" s="1" t="s">
        <v>1101</v>
      </c>
      <c r="AS101" s="1" t="s">
        <v>1102</v>
      </c>
      <c r="AT101" s="1" t="s">
        <v>1103</v>
      </c>
      <c r="AU101" s="1" t="s">
        <v>1104</v>
      </c>
      <c r="AV101" s="1" t="s">
        <v>1105</v>
      </c>
      <c r="AW101" s="1" t="s">
        <v>1106</v>
      </c>
      <c r="AX101" s="1" t="s">
        <v>1107</v>
      </c>
      <c r="AY101" s="1" t="s">
        <v>1108</v>
      </c>
      <c r="AZ101" s="1" t="s">
        <v>1109</v>
      </c>
      <c r="BA101" s="1" t="s">
        <v>1110</v>
      </c>
      <c r="BB101" s="1" t="s">
        <v>1111</v>
      </c>
      <c r="BC101" s="1" t="s">
        <v>1112</v>
      </c>
      <c r="BD101" s="1" t="s">
        <v>1113</v>
      </c>
      <c r="BE101" s="1" t="s">
        <v>1114</v>
      </c>
    </row>
    <row r="102" spans="3:59" outlineLevel="1" x14ac:dyDescent="0.25">
      <c r="C102" s="86"/>
      <c r="E102" s="295" t="s">
        <v>348</v>
      </c>
      <c r="G102" s="295" t="s">
        <v>183</v>
      </c>
      <c r="H102" s="351"/>
      <c r="I102" s="351"/>
      <c r="J102" s="351">
        <f t="shared" ref="J102:Y102" si="54">J74</f>
        <v>-10.11594964860876</v>
      </c>
      <c r="K102" s="351">
        <f t="shared" si="54"/>
        <v>-10.11594964860876</v>
      </c>
      <c r="L102" s="351">
        <f t="shared" si="54"/>
        <v>-12.564395696515698</v>
      </c>
      <c r="M102" s="351">
        <f t="shared" si="54"/>
        <v>-12.564395696515698</v>
      </c>
      <c r="N102" s="351">
        <f t="shared" si="54"/>
        <v>-9.1767990438929967</v>
      </c>
      <c r="O102" s="351">
        <f t="shared" si="54"/>
        <v>-6.8642779713820374</v>
      </c>
      <c r="P102" s="351">
        <f t="shared" si="54"/>
        <v>-5.165127472019492</v>
      </c>
      <c r="Q102" s="351">
        <f t="shared" si="54"/>
        <v>-18.178805927558937</v>
      </c>
      <c r="R102" s="351">
        <f t="shared" si="54"/>
        <v>7.6670869640904762</v>
      </c>
      <c r="S102" s="351">
        <f t="shared" si="54"/>
        <v>6.8872141338766015</v>
      </c>
      <c r="T102" s="351">
        <f t="shared" si="54"/>
        <v>7.6670869640904762</v>
      </c>
      <c r="U102" s="351">
        <f t="shared" si="54"/>
        <v>7.6670869640904762</v>
      </c>
      <c r="V102" s="351">
        <f t="shared" si="54"/>
        <v>6.8872141338766015</v>
      </c>
      <c r="W102" s="351">
        <f t="shared" si="54"/>
        <v>6.8872141338766015</v>
      </c>
      <c r="X102" s="351">
        <f t="shared" si="54"/>
        <v>4.8607236937772624</v>
      </c>
      <c r="Y102" s="365">
        <f t="shared" si="54"/>
        <v>4.8607236937772624</v>
      </c>
      <c r="Z102" s="351">
        <f>J75</f>
        <v>-1.597587341513643</v>
      </c>
      <c r="AA102" s="351">
        <f t="shared" ref="AA102:AO102" si="55">K75</f>
        <v>-1.597587341513643</v>
      </c>
      <c r="AB102" s="351">
        <f t="shared" si="55"/>
        <v>-1.9842644749900038</v>
      </c>
      <c r="AC102" s="351">
        <f t="shared" si="55"/>
        <v>-1.9842644749900038</v>
      </c>
      <c r="AD102" s="351">
        <f t="shared" si="55"/>
        <v>-1.3757330065845093</v>
      </c>
      <c r="AE102" s="351">
        <f t="shared" si="55"/>
        <v>-0.8989422107421281</v>
      </c>
      <c r="AF102" s="351">
        <f t="shared" si="55"/>
        <v>-0.62848157310492736</v>
      </c>
      <c r="AG102" s="351">
        <f t="shared" si="55"/>
        <v>-2.2269967765251373</v>
      </c>
      <c r="AH102" s="351">
        <f t="shared" si="55"/>
        <v>1.2108444096298747</v>
      </c>
      <c r="AI102" s="351">
        <f t="shared" si="55"/>
        <v>1.0576237365468442</v>
      </c>
      <c r="AJ102" s="351">
        <f t="shared" si="55"/>
        <v>1.2108444096298747</v>
      </c>
      <c r="AK102" s="351">
        <f t="shared" si="55"/>
        <v>1.2108444096298747</v>
      </c>
      <c r="AL102" s="351">
        <f t="shared" si="55"/>
        <v>1.0576237365468442</v>
      </c>
      <c r="AM102" s="351">
        <f t="shared" si="55"/>
        <v>1.0576237365468442</v>
      </c>
      <c r="AN102" s="351">
        <f t="shared" si="55"/>
        <v>0.625066267685503</v>
      </c>
      <c r="AO102" s="365">
        <f t="shared" si="55"/>
        <v>0.625066267685503</v>
      </c>
      <c r="AP102" s="351">
        <f>J76</f>
        <v>-0.19892969640308419</v>
      </c>
      <c r="AQ102" s="351">
        <f t="shared" ref="AQ102:BE102" si="56">K76</f>
        <v>-0.19892969640308419</v>
      </c>
      <c r="AR102" s="351">
        <f t="shared" si="56"/>
        <v>-0.24707827818615433</v>
      </c>
      <c r="AS102" s="351">
        <f t="shared" si="56"/>
        <v>-0.24707827818615433</v>
      </c>
      <c r="AT102" s="351">
        <f t="shared" si="56"/>
        <v>-0.18419071179769397</v>
      </c>
      <c r="AU102" s="351">
        <f t="shared" si="56"/>
        <v>-0.14437381052570919</v>
      </c>
      <c r="AV102" s="351">
        <f t="shared" si="56"/>
        <v>-0.1037577497041882</v>
      </c>
      <c r="AW102" s="351">
        <f t="shared" si="56"/>
        <v>-0.486908811291489</v>
      </c>
      <c r="AX102" s="351">
        <f t="shared" si="56"/>
        <v>0.15077292147972721</v>
      </c>
      <c r="AY102" s="351">
        <f t="shared" si="56"/>
        <v>0.13696109573644608</v>
      </c>
      <c r="AZ102" s="351">
        <f t="shared" si="56"/>
        <v>0.15077292147972721</v>
      </c>
      <c r="BA102" s="351">
        <f t="shared" si="56"/>
        <v>0.15077292147972721</v>
      </c>
      <c r="BB102" s="351">
        <f t="shared" si="56"/>
        <v>0.13696109573644608</v>
      </c>
      <c r="BC102" s="351">
        <f t="shared" si="56"/>
        <v>0.13696109573644608</v>
      </c>
      <c r="BD102" s="351">
        <f t="shared" si="56"/>
        <v>9.944343700203076E-2</v>
      </c>
      <c r="BE102" s="351">
        <f t="shared" si="56"/>
        <v>9.944343700203076E-2</v>
      </c>
      <c r="BF102" s="351"/>
      <c r="BG102" s="351"/>
    </row>
    <row r="103" spans="3:59" outlineLevel="1" x14ac:dyDescent="0.25">
      <c r="C103" s="86"/>
      <c r="E103" s="295" t="s">
        <v>347</v>
      </c>
      <c r="G103" s="295" t="s">
        <v>120</v>
      </c>
      <c r="J103" s="276">
        <f t="shared" ref="J103:Y103" si="57">J82</f>
        <v>573814.17421643168</v>
      </c>
      <c r="K103" s="276">
        <f t="shared" si="57"/>
        <v>45.600324459247773</v>
      </c>
      <c r="L103" s="276">
        <f t="shared" si="57"/>
        <v>148781.2098893536</v>
      </c>
      <c r="M103" s="276">
        <f t="shared" si="57"/>
        <v>6.8595464743105259</v>
      </c>
      <c r="N103" s="276">
        <f t="shared" si="57"/>
        <v>95617.94849470428</v>
      </c>
      <c r="O103" s="276">
        <f t="shared" si="57"/>
        <v>106673.66070506461</v>
      </c>
      <c r="P103" s="276">
        <f t="shared" si="57"/>
        <v>162898.35653630731</v>
      </c>
      <c r="Q103" s="276">
        <f t="shared" si="57"/>
        <v>7077.8325343149572</v>
      </c>
      <c r="R103" s="276">
        <f t="shared" si="57"/>
        <v>0</v>
      </c>
      <c r="S103" s="276">
        <f t="shared" si="57"/>
        <v>0</v>
      </c>
      <c r="T103" s="276">
        <f t="shared" si="57"/>
        <v>0</v>
      </c>
      <c r="U103" s="276">
        <f t="shared" si="57"/>
        <v>0</v>
      </c>
      <c r="V103" s="276">
        <f t="shared" si="57"/>
        <v>0</v>
      </c>
      <c r="W103" s="276">
        <f t="shared" si="57"/>
        <v>0</v>
      </c>
      <c r="X103" s="276">
        <f t="shared" si="57"/>
        <v>0</v>
      </c>
      <c r="Y103" s="286">
        <f t="shared" si="57"/>
        <v>0</v>
      </c>
      <c r="Z103" s="276">
        <f>J83</f>
        <v>2032897.465349766</v>
      </c>
      <c r="AA103" s="276">
        <f t="shared" ref="AA103:AO103" si="58">K83</f>
        <v>769.70150120030291</v>
      </c>
      <c r="AB103" s="276">
        <f t="shared" si="58"/>
        <v>782231.85870864138</v>
      </c>
      <c r="AC103" s="276">
        <f t="shared" si="58"/>
        <v>363.68083419264593</v>
      </c>
      <c r="AD103" s="276">
        <f t="shared" si="58"/>
        <v>440583.40936039714</v>
      </c>
      <c r="AE103" s="276">
        <f t="shared" si="58"/>
        <v>527517.78645919671</v>
      </c>
      <c r="AF103" s="276">
        <f t="shared" si="58"/>
        <v>771451.8848590561</v>
      </c>
      <c r="AG103" s="276">
        <f t="shared" si="58"/>
        <v>52057.195142690813</v>
      </c>
      <c r="AH103" s="276">
        <f t="shared" si="58"/>
        <v>0</v>
      </c>
      <c r="AI103" s="276">
        <f t="shared" si="58"/>
        <v>0</v>
      </c>
      <c r="AJ103" s="276">
        <f t="shared" si="58"/>
        <v>0</v>
      </c>
      <c r="AK103" s="276">
        <f t="shared" si="58"/>
        <v>0</v>
      </c>
      <c r="AL103" s="276">
        <f t="shared" si="58"/>
        <v>0</v>
      </c>
      <c r="AM103" s="276">
        <f t="shared" si="58"/>
        <v>0</v>
      </c>
      <c r="AN103" s="276">
        <f t="shared" si="58"/>
        <v>0</v>
      </c>
      <c r="AO103" s="286">
        <f t="shared" si="58"/>
        <v>0</v>
      </c>
      <c r="AP103" s="276">
        <f>J84</f>
        <v>1913856.5179535351</v>
      </c>
      <c r="AQ103" s="276">
        <f t="shared" ref="AQ103:BE103" si="59">K84</f>
        <v>10340.203230515768</v>
      </c>
      <c r="AR103" s="276">
        <f t="shared" si="59"/>
        <v>758082.32727500715</v>
      </c>
      <c r="AS103" s="276">
        <f t="shared" si="59"/>
        <v>4425.6666229911798</v>
      </c>
      <c r="AT103" s="276">
        <f t="shared" si="59"/>
        <v>437213.19005230034</v>
      </c>
      <c r="AU103" s="276">
        <f t="shared" si="59"/>
        <v>579730.47523967049</v>
      </c>
      <c r="AV103" s="276">
        <f t="shared" si="59"/>
        <v>955588.00166465633</v>
      </c>
      <c r="AW103" s="276">
        <f t="shared" si="59"/>
        <v>96091.827056640832</v>
      </c>
      <c r="AX103" s="276">
        <f t="shared" si="59"/>
        <v>0</v>
      </c>
      <c r="AY103" s="276">
        <f t="shared" si="59"/>
        <v>0</v>
      </c>
      <c r="AZ103" s="276">
        <f t="shared" si="59"/>
        <v>0</v>
      </c>
      <c r="BA103" s="276">
        <f t="shared" si="59"/>
        <v>0</v>
      </c>
      <c r="BB103" s="276">
        <f t="shared" si="59"/>
        <v>0</v>
      </c>
      <c r="BC103" s="276">
        <f t="shared" si="59"/>
        <v>0</v>
      </c>
      <c r="BD103" s="276">
        <f t="shared" si="59"/>
        <v>0</v>
      </c>
      <c r="BE103" s="276">
        <f t="shared" si="59"/>
        <v>0</v>
      </c>
    </row>
    <row r="104" spans="3:59" outlineLevel="1" x14ac:dyDescent="0.25">
      <c r="D104" s="82"/>
      <c r="E104" s="82"/>
      <c r="H104" s="426"/>
      <c r="I104" s="426"/>
    </row>
    <row r="105" spans="3:59" outlineLevel="1" x14ac:dyDescent="0.25">
      <c r="D105" s="96" t="s">
        <v>503</v>
      </c>
      <c r="E105" s="295"/>
      <c r="H105" s="426"/>
      <c r="I105" s="426"/>
    </row>
    <row r="106" spans="3:59" outlineLevel="1" x14ac:dyDescent="0.25">
      <c r="D106" s="96" t="s">
        <v>504</v>
      </c>
      <c r="E106" s="295"/>
      <c r="H106" s="426"/>
      <c r="I106" s="426"/>
    </row>
    <row r="107" spans="3:59" outlineLevel="1" x14ac:dyDescent="0.25">
      <c r="D107" s="96"/>
      <c r="E107" s="295"/>
      <c r="H107" s="426"/>
      <c r="I107" s="426"/>
    </row>
    <row r="108" spans="3:59" ht="75" outlineLevel="1" x14ac:dyDescent="0.25">
      <c r="D108" s="295"/>
      <c r="E108" s="427" t="s">
        <v>349</v>
      </c>
      <c r="F108" s="427"/>
      <c r="G108" s="427"/>
      <c r="H108" s="427"/>
      <c r="I108" s="427"/>
      <c r="J108" s="1" t="s">
        <v>237</v>
      </c>
      <c r="K108" s="1" t="s">
        <v>236</v>
      </c>
      <c r="L108" s="1" t="s">
        <v>237</v>
      </c>
      <c r="M108" s="1" t="s">
        <v>236</v>
      </c>
      <c r="N108" s="1" t="s">
        <v>235</v>
      </c>
      <c r="O108" s="1" t="s">
        <v>234</v>
      </c>
      <c r="P108" s="1" t="s">
        <v>233</v>
      </c>
      <c r="Q108" s="1" t="s">
        <v>232</v>
      </c>
      <c r="R108" s="1" t="s">
        <v>231</v>
      </c>
      <c r="S108" s="1" t="s">
        <v>230</v>
      </c>
      <c r="T108" s="1" t="s">
        <v>229</v>
      </c>
      <c r="U108" s="1" t="s">
        <v>228</v>
      </c>
      <c r="V108" s="1" t="s">
        <v>227</v>
      </c>
      <c r="W108" s="1" t="s">
        <v>226</v>
      </c>
      <c r="X108" s="1" t="s">
        <v>225</v>
      </c>
      <c r="Y108" s="1" t="s">
        <v>224</v>
      </c>
      <c r="Z108" s="1" t="s">
        <v>223</v>
      </c>
      <c r="AA108" s="1" t="s">
        <v>222</v>
      </c>
      <c r="AB108" s="1" t="s">
        <v>221</v>
      </c>
      <c r="AC108" s="1" t="s">
        <v>220</v>
      </c>
      <c r="AD108" s="1" t="s">
        <v>219</v>
      </c>
      <c r="AE108" s="1" t="s">
        <v>218</v>
      </c>
      <c r="AF108" s="1" t="s">
        <v>217</v>
      </c>
      <c r="AG108" s="1" t="s">
        <v>216</v>
      </c>
      <c r="AH108" s="1" t="s">
        <v>215</v>
      </c>
      <c r="AI108" s="1" t="s">
        <v>214</v>
      </c>
      <c r="AJ108" s="1" t="s">
        <v>213</v>
      </c>
      <c r="AK108" s="1" t="s">
        <v>212</v>
      </c>
      <c r="AL108" s="1" t="s">
        <v>211</v>
      </c>
      <c r="AM108" s="1" t="s">
        <v>210</v>
      </c>
      <c r="AN108" s="1" t="s">
        <v>209</v>
      </c>
      <c r="AO108" s="1" t="s">
        <v>208</v>
      </c>
      <c r="AP108" s="1" t="s">
        <v>207</v>
      </c>
      <c r="AQ108" s="1" t="s">
        <v>206</v>
      </c>
      <c r="AR108" s="1" t="s">
        <v>205</v>
      </c>
      <c r="AS108" s="1" t="s">
        <v>204</v>
      </c>
      <c r="AT108" s="1" t="s">
        <v>203</v>
      </c>
      <c r="AU108" s="1" t="s">
        <v>202</v>
      </c>
      <c r="AV108" s="1" t="s">
        <v>201</v>
      </c>
      <c r="AW108" s="1" t="s">
        <v>200</v>
      </c>
      <c r="AX108" s="1" t="s">
        <v>199</v>
      </c>
      <c r="AY108" s="1" t="s">
        <v>198</v>
      </c>
      <c r="AZ108" s="1" t="s">
        <v>197</v>
      </c>
      <c r="BA108" s="1" t="s">
        <v>196</v>
      </c>
      <c r="BB108" s="1" t="s">
        <v>195</v>
      </c>
      <c r="BC108" s="1" t="s">
        <v>194</v>
      </c>
      <c r="BD108" s="1" t="s">
        <v>193</v>
      </c>
      <c r="BE108" s="1" t="s">
        <v>192</v>
      </c>
    </row>
    <row r="109" spans="3:59" outlineLevel="1" x14ac:dyDescent="0.25">
      <c r="C109" s="86"/>
      <c r="E109" s="295" t="s">
        <v>189</v>
      </c>
      <c r="G109" s="295" t="s">
        <v>99</v>
      </c>
      <c r="J109" s="253">
        <f t="shared" ref="J109:BE109" si="60">RANK(J102, $J$102:$BE$102, 1)</f>
        <v>4</v>
      </c>
      <c r="K109" s="253">
        <f t="shared" si="60"/>
        <v>4</v>
      </c>
      <c r="L109" s="253">
        <f t="shared" si="60"/>
        <v>2</v>
      </c>
      <c r="M109" s="253">
        <f t="shared" si="60"/>
        <v>2</v>
      </c>
      <c r="N109" s="253">
        <f t="shared" si="60"/>
        <v>6</v>
      </c>
      <c r="O109" s="253">
        <f t="shared" si="60"/>
        <v>7</v>
      </c>
      <c r="P109" s="253">
        <f t="shared" si="60"/>
        <v>8</v>
      </c>
      <c r="Q109" s="253">
        <f t="shared" si="60"/>
        <v>1</v>
      </c>
      <c r="R109" s="253">
        <f t="shared" si="60"/>
        <v>46</v>
      </c>
      <c r="S109" s="253">
        <f t="shared" si="60"/>
        <v>43</v>
      </c>
      <c r="T109" s="253">
        <f t="shared" si="60"/>
        <v>46</v>
      </c>
      <c r="U109" s="253">
        <f t="shared" si="60"/>
        <v>46</v>
      </c>
      <c r="V109" s="253">
        <f t="shared" si="60"/>
        <v>43</v>
      </c>
      <c r="W109" s="253">
        <f t="shared" si="60"/>
        <v>43</v>
      </c>
      <c r="X109" s="253">
        <f t="shared" si="60"/>
        <v>41</v>
      </c>
      <c r="Y109" s="253">
        <f t="shared" si="60"/>
        <v>41</v>
      </c>
      <c r="Z109" s="253">
        <f t="shared" si="60"/>
        <v>12</v>
      </c>
      <c r="AA109" s="253">
        <f t="shared" si="60"/>
        <v>12</v>
      </c>
      <c r="AB109" s="253">
        <f t="shared" si="60"/>
        <v>10</v>
      </c>
      <c r="AC109" s="253">
        <f t="shared" si="60"/>
        <v>10</v>
      </c>
      <c r="AD109" s="253">
        <f t="shared" si="60"/>
        <v>14</v>
      </c>
      <c r="AE109" s="253">
        <f t="shared" si="60"/>
        <v>15</v>
      </c>
      <c r="AF109" s="253">
        <f t="shared" si="60"/>
        <v>16</v>
      </c>
      <c r="AG109" s="253">
        <f t="shared" si="60"/>
        <v>9</v>
      </c>
      <c r="AH109" s="253">
        <f t="shared" si="60"/>
        <v>38</v>
      </c>
      <c r="AI109" s="253">
        <f t="shared" si="60"/>
        <v>35</v>
      </c>
      <c r="AJ109" s="253">
        <f t="shared" si="60"/>
        <v>38</v>
      </c>
      <c r="AK109" s="253">
        <f t="shared" si="60"/>
        <v>38</v>
      </c>
      <c r="AL109" s="253">
        <f t="shared" si="60"/>
        <v>35</v>
      </c>
      <c r="AM109" s="253">
        <f t="shared" si="60"/>
        <v>35</v>
      </c>
      <c r="AN109" s="253">
        <f t="shared" si="60"/>
        <v>33</v>
      </c>
      <c r="AO109" s="253">
        <f t="shared" si="60"/>
        <v>33</v>
      </c>
      <c r="AP109" s="253">
        <f t="shared" si="60"/>
        <v>20</v>
      </c>
      <c r="AQ109" s="253">
        <f t="shared" si="60"/>
        <v>20</v>
      </c>
      <c r="AR109" s="253">
        <f t="shared" si="60"/>
        <v>18</v>
      </c>
      <c r="AS109" s="253">
        <f t="shared" si="60"/>
        <v>18</v>
      </c>
      <c r="AT109" s="253">
        <f t="shared" si="60"/>
        <v>22</v>
      </c>
      <c r="AU109" s="253">
        <f t="shared" si="60"/>
        <v>23</v>
      </c>
      <c r="AV109" s="253">
        <f t="shared" si="60"/>
        <v>24</v>
      </c>
      <c r="AW109" s="253">
        <f t="shared" si="60"/>
        <v>17</v>
      </c>
      <c r="AX109" s="253">
        <f t="shared" si="60"/>
        <v>30</v>
      </c>
      <c r="AY109" s="253">
        <f t="shared" si="60"/>
        <v>27</v>
      </c>
      <c r="AZ109" s="253">
        <f t="shared" si="60"/>
        <v>30</v>
      </c>
      <c r="BA109" s="253">
        <f t="shared" si="60"/>
        <v>30</v>
      </c>
      <c r="BB109" s="253">
        <f t="shared" si="60"/>
        <v>27</v>
      </c>
      <c r="BC109" s="253">
        <f t="shared" si="60"/>
        <v>27</v>
      </c>
      <c r="BD109" s="253">
        <f t="shared" si="60"/>
        <v>25</v>
      </c>
      <c r="BE109" s="253">
        <f t="shared" si="60"/>
        <v>25</v>
      </c>
    </row>
    <row r="110" spans="3:59" outlineLevel="1" x14ac:dyDescent="0.25">
      <c r="C110" s="86"/>
      <c r="E110" s="295" t="s">
        <v>188</v>
      </c>
      <c r="G110" s="295" t="s">
        <v>99</v>
      </c>
      <c r="J110" s="276">
        <f>J109 + (COUNT($J$109:J$109) / COUNT($J$109:$BE$109))</f>
        <v>4.020833333333333</v>
      </c>
      <c r="K110" s="276">
        <f>K109 + (COUNT($J$109:K$109) / COUNT($J$109:$BE$109))</f>
        <v>4.041666666666667</v>
      </c>
      <c r="L110" s="276">
        <f>L109 + (COUNT($J$109:L$109) / COUNT($J$109:$BE$109))</f>
        <v>2.0625</v>
      </c>
      <c r="M110" s="276">
        <f>M109 + (COUNT($J$109:M$109) / COUNT($J$109:$BE$109))</f>
        <v>2.0833333333333335</v>
      </c>
      <c r="N110" s="276">
        <f>N109 + (COUNT($J$109:N$109) / COUNT($J$109:$BE$109))</f>
        <v>6.104166666666667</v>
      </c>
      <c r="O110" s="276">
        <f>O109 + (COUNT($J$109:O$109) / COUNT($J$109:$BE$109))</f>
        <v>7.125</v>
      </c>
      <c r="P110" s="276">
        <f>P109 + (COUNT($J$109:P$109) / COUNT($J$109:$BE$109))</f>
        <v>8.1458333333333339</v>
      </c>
      <c r="Q110" s="276">
        <f>Q109 + (COUNT($J$109:Q$109) / COUNT($J$109:$BE$109))</f>
        <v>1.1666666666666667</v>
      </c>
      <c r="R110" s="276">
        <f>R109 + (COUNT($J$109:R$109) / COUNT($J$109:$BE$109))</f>
        <v>46.1875</v>
      </c>
      <c r="S110" s="276">
        <f>S109 + (COUNT($J$109:S$109) / COUNT($J$109:$BE$109))</f>
        <v>43.208333333333336</v>
      </c>
      <c r="T110" s="276">
        <f>T109 + (COUNT($J$109:T$109) / COUNT($J$109:$BE$109))</f>
        <v>46.229166666666664</v>
      </c>
      <c r="U110" s="276">
        <f>U109 + (COUNT($J$109:U$109) / COUNT($J$109:$BE$109))</f>
        <v>46.25</v>
      </c>
      <c r="V110" s="276">
        <f>V109 + (COUNT($J$109:V$109) / COUNT($J$109:$BE$109))</f>
        <v>43.270833333333336</v>
      </c>
      <c r="W110" s="276">
        <f>W109 + (COUNT($J$109:W$109) / COUNT($J$109:$BE$109))</f>
        <v>43.291666666666664</v>
      </c>
      <c r="X110" s="276">
        <f>X109 + (COUNT($J$109:X$109) / COUNT($J$109:$BE$109))</f>
        <v>41.3125</v>
      </c>
      <c r="Y110" s="276">
        <f>Y109 + (COUNT($J$109:Y$109) / COUNT($J$109:$BE$109))</f>
        <v>41.333333333333336</v>
      </c>
      <c r="Z110" s="276">
        <f>Z109 + (COUNT($J$109:Z$109) / COUNT($J$109:$BE$109))</f>
        <v>12.354166666666666</v>
      </c>
      <c r="AA110" s="276">
        <f>AA109 + (COUNT($J$109:AA$109) / COUNT($J$109:$BE$109))</f>
        <v>12.375</v>
      </c>
      <c r="AB110" s="276">
        <f>AB109 + (COUNT($J$109:AB$109) / COUNT($J$109:$BE$109))</f>
        <v>10.395833333333334</v>
      </c>
      <c r="AC110" s="276">
        <f>AC109 + (COUNT($J$109:AC$109) / COUNT($J$109:$BE$109))</f>
        <v>10.416666666666666</v>
      </c>
      <c r="AD110" s="276">
        <f>AD109 + (COUNT($J$109:AD$109) / COUNT($J$109:$BE$109))</f>
        <v>14.4375</v>
      </c>
      <c r="AE110" s="276">
        <f>AE109 + (COUNT($J$109:AE$109) / COUNT($J$109:$BE$109))</f>
        <v>15.458333333333334</v>
      </c>
      <c r="AF110" s="276">
        <f>AF109 + (COUNT($J$109:AF$109) / COUNT($J$109:$BE$109))</f>
        <v>16.479166666666668</v>
      </c>
      <c r="AG110" s="276">
        <f>AG109 + (COUNT($J$109:AG$109) / COUNT($J$109:$BE$109))</f>
        <v>9.5</v>
      </c>
      <c r="AH110" s="276">
        <f>AH109 + (COUNT($J$109:AH$109) / COUNT($J$109:$BE$109))</f>
        <v>38.520833333333336</v>
      </c>
      <c r="AI110" s="276">
        <f>AI109 + (COUNT($J$109:AI$109) / COUNT($J$109:$BE$109))</f>
        <v>35.541666666666664</v>
      </c>
      <c r="AJ110" s="276">
        <f>AJ109 + (COUNT($J$109:AJ$109) / COUNT($J$109:$BE$109))</f>
        <v>38.5625</v>
      </c>
      <c r="AK110" s="276">
        <f>AK109 + (COUNT($J$109:AK$109) / COUNT($J$109:$BE$109))</f>
        <v>38.583333333333336</v>
      </c>
      <c r="AL110" s="276">
        <f>AL109 + (COUNT($J$109:AL$109) / COUNT($J$109:$BE$109))</f>
        <v>35.604166666666664</v>
      </c>
      <c r="AM110" s="276">
        <f>AM109 + (COUNT($J$109:AM$109) / COUNT($J$109:$BE$109))</f>
        <v>35.625</v>
      </c>
      <c r="AN110" s="276">
        <f>AN109 + (COUNT($J$109:AN$109) / COUNT($J$109:$BE$109))</f>
        <v>33.645833333333336</v>
      </c>
      <c r="AO110" s="276">
        <f>AO109 + (COUNT($J$109:AO$109) / COUNT($J$109:$BE$109))</f>
        <v>33.666666666666664</v>
      </c>
      <c r="AP110" s="276">
        <f>AP109 + (COUNT($J$109:AP$109) / COUNT($J$109:$BE$109))</f>
        <v>20.6875</v>
      </c>
      <c r="AQ110" s="276">
        <f>AQ109 + (COUNT($J$109:AQ$109) / COUNT($J$109:$BE$109))</f>
        <v>20.708333333333332</v>
      </c>
      <c r="AR110" s="276">
        <f>AR109 + (COUNT($J$109:AR$109) / COUNT($J$109:$BE$109))</f>
        <v>18.729166666666668</v>
      </c>
      <c r="AS110" s="276">
        <f>AS109 + (COUNT($J$109:AS$109) / COUNT($J$109:$BE$109))</f>
        <v>18.75</v>
      </c>
      <c r="AT110" s="276">
        <f>AT109 + (COUNT($J$109:AT$109) / COUNT($J$109:$BE$109))</f>
        <v>22.770833333333332</v>
      </c>
      <c r="AU110" s="276">
        <f>AU109 + (COUNT($J$109:AU$109) / COUNT($J$109:$BE$109))</f>
        <v>23.791666666666668</v>
      </c>
      <c r="AV110" s="276">
        <f>AV109 + (COUNT($J$109:AV$109) / COUNT($J$109:$BE$109))</f>
        <v>24.8125</v>
      </c>
      <c r="AW110" s="276">
        <f>AW109 + (COUNT($J$109:AW$109) / COUNT($J$109:$BE$109))</f>
        <v>17.833333333333332</v>
      </c>
      <c r="AX110" s="276">
        <f>AX109 + (COUNT($J$109:AX$109) / COUNT($J$109:$BE$109))</f>
        <v>30.854166666666668</v>
      </c>
      <c r="AY110" s="276">
        <f>AY109 + (COUNT($J$109:AY$109) / COUNT($J$109:$BE$109))</f>
        <v>27.875</v>
      </c>
      <c r="AZ110" s="276">
        <f>AZ109 + (COUNT($J$109:AZ$109) / COUNT($J$109:$BE$109))</f>
        <v>30.895833333333332</v>
      </c>
      <c r="BA110" s="276">
        <f>BA109 + (COUNT($J$109:BA$109) / COUNT($J$109:$BE$109))</f>
        <v>30.916666666666668</v>
      </c>
      <c r="BB110" s="276">
        <f>BB109 + (COUNT($J$109:BB$109) / COUNT($J$109:$BE$109))</f>
        <v>27.9375</v>
      </c>
      <c r="BC110" s="276">
        <f>BC109 + (COUNT($J$109:BC$109) / COUNT($J$109:$BE$109))</f>
        <v>27.958333333333332</v>
      </c>
      <c r="BD110" s="276">
        <f>BD109 + (COUNT($J$109:BD$109) / COUNT($J$109:$BE$109))</f>
        <v>25.979166666666668</v>
      </c>
      <c r="BE110" s="276">
        <f>BE109 + (COUNT($J$109:BE$109) / COUNT($J$109:$BE$109))</f>
        <v>26</v>
      </c>
    </row>
    <row r="111" spans="3:59" outlineLevel="1" x14ac:dyDescent="0.25">
      <c r="C111" s="86"/>
      <c r="E111" s="295" t="s">
        <v>187</v>
      </c>
      <c r="G111" s="295" t="s">
        <v>99</v>
      </c>
      <c r="J111" s="253">
        <f t="shared" ref="J111:BE111" si="61">RANK(J110, $J$110:$BE$110, 1)</f>
        <v>4</v>
      </c>
      <c r="K111" s="253">
        <f t="shared" si="61"/>
        <v>5</v>
      </c>
      <c r="L111" s="253">
        <f t="shared" si="61"/>
        <v>2</v>
      </c>
      <c r="M111" s="253">
        <f t="shared" si="61"/>
        <v>3</v>
      </c>
      <c r="N111" s="253">
        <f t="shared" si="61"/>
        <v>6</v>
      </c>
      <c r="O111" s="253">
        <f t="shared" si="61"/>
        <v>7</v>
      </c>
      <c r="P111" s="253">
        <f t="shared" si="61"/>
        <v>8</v>
      </c>
      <c r="Q111" s="253">
        <f t="shared" si="61"/>
        <v>1</v>
      </c>
      <c r="R111" s="253">
        <f t="shared" si="61"/>
        <v>46</v>
      </c>
      <c r="S111" s="253">
        <f t="shared" si="61"/>
        <v>43</v>
      </c>
      <c r="T111" s="253">
        <f t="shared" si="61"/>
        <v>47</v>
      </c>
      <c r="U111" s="253">
        <f t="shared" si="61"/>
        <v>48</v>
      </c>
      <c r="V111" s="253">
        <f t="shared" si="61"/>
        <v>44</v>
      </c>
      <c r="W111" s="253">
        <f t="shared" si="61"/>
        <v>45</v>
      </c>
      <c r="X111" s="253">
        <f t="shared" si="61"/>
        <v>41</v>
      </c>
      <c r="Y111" s="253">
        <f t="shared" si="61"/>
        <v>42</v>
      </c>
      <c r="Z111" s="253">
        <f t="shared" si="61"/>
        <v>12</v>
      </c>
      <c r="AA111" s="253">
        <f t="shared" si="61"/>
        <v>13</v>
      </c>
      <c r="AB111" s="253">
        <f t="shared" si="61"/>
        <v>10</v>
      </c>
      <c r="AC111" s="253">
        <f t="shared" si="61"/>
        <v>11</v>
      </c>
      <c r="AD111" s="253">
        <f t="shared" si="61"/>
        <v>14</v>
      </c>
      <c r="AE111" s="253">
        <f t="shared" si="61"/>
        <v>15</v>
      </c>
      <c r="AF111" s="253">
        <f t="shared" si="61"/>
        <v>16</v>
      </c>
      <c r="AG111" s="253">
        <f t="shared" si="61"/>
        <v>9</v>
      </c>
      <c r="AH111" s="253">
        <f t="shared" si="61"/>
        <v>38</v>
      </c>
      <c r="AI111" s="253">
        <f t="shared" si="61"/>
        <v>35</v>
      </c>
      <c r="AJ111" s="253">
        <f t="shared" si="61"/>
        <v>39</v>
      </c>
      <c r="AK111" s="253">
        <f t="shared" si="61"/>
        <v>40</v>
      </c>
      <c r="AL111" s="253">
        <f t="shared" si="61"/>
        <v>36</v>
      </c>
      <c r="AM111" s="253">
        <f t="shared" si="61"/>
        <v>37</v>
      </c>
      <c r="AN111" s="253">
        <f t="shared" si="61"/>
        <v>33</v>
      </c>
      <c r="AO111" s="253">
        <f t="shared" si="61"/>
        <v>34</v>
      </c>
      <c r="AP111" s="253">
        <f t="shared" si="61"/>
        <v>20</v>
      </c>
      <c r="AQ111" s="253">
        <f t="shared" si="61"/>
        <v>21</v>
      </c>
      <c r="AR111" s="253">
        <f t="shared" si="61"/>
        <v>18</v>
      </c>
      <c r="AS111" s="253">
        <f t="shared" si="61"/>
        <v>19</v>
      </c>
      <c r="AT111" s="253">
        <f t="shared" si="61"/>
        <v>22</v>
      </c>
      <c r="AU111" s="253">
        <f t="shared" si="61"/>
        <v>23</v>
      </c>
      <c r="AV111" s="253">
        <f t="shared" si="61"/>
        <v>24</v>
      </c>
      <c r="AW111" s="253">
        <f t="shared" si="61"/>
        <v>17</v>
      </c>
      <c r="AX111" s="253">
        <f t="shared" si="61"/>
        <v>30</v>
      </c>
      <c r="AY111" s="253">
        <f t="shared" si="61"/>
        <v>27</v>
      </c>
      <c r="AZ111" s="253">
        <f t="shared" si="61"/>
        <v>31</v>
      </c>
      <c r="BA111" s="253">
        <f t="shared" si="61"/>
        <v>32</v>
      </c>
      <c r="BB111" s="253">
        <f t="shared" si="61"/>
        <v>28</v>
      </c>
      <c r="BC111" s="253">
        <f t="shared" si="61"/>
        <v>29</v>
      </c>
      <c r="BD111" s="253">
        <f t="shared" si="61"/>
        <v>25</v>
      </c>
      <c r="BE111" s="253">
        <f t="shared" si="61"/>
        <v>26</v>
      </c>
    </row>
    <row r="112" spans="3:59" outlineLevel="1" x14ac:dyDescent="0.25">
      <c r="D112" s="82"/>
      <c r="E112" s="82"/>
      <c r="H112" s="426"/>
      <c r="I112" s="426"/>
    </row>
    <row r="113" spans="3:59" outlineLevel="1" x14ac:dyDescent="0.25">
      <c r="D113" s="96" t="s">
        <v>505</v>
      </c>
      <c r="E113" s="295"/>
      <c r="H113" s="426"/>
      <c r="I113" s="426"/>
    </row>
    <row r="114" spans="3:59" outlineLevel="1" x14ac:dyDescent="0.25">
      <c r="D114" s="96" t="s">
        <v>506</v>
      </c>
      <c r="E114" s="295"/>
      <c r="H114" s="426"/>
      <c r="I114" s="426"/>
    </row>
    <row r="115" spans="3:59" outlineLevel="1" x14ac:dyDescent="0.25">
      <c r="D115" s="96"/>
      <c r="E115" s="295"/>
      <c r="H115" s="426"/>
      <c r="I115" s="426"/>
    </row>
    <row r="116" spans="3:59" outlineLevel="1" x14ac:dyDescent="0.25">
      <c r="D116" s="295"/>
      <c r="E116" s="427" t="s">
        <v>350</v>
      </c>
      <c r="F116" s="427"/>
      <c r="G116" s="427"/>
      <c r="H116" s="427" t="s">
        <v>185</v>
      </c>
      <c r="I116" s="427"/>
      <c r="J116" s="429">
        <v>1</v>
      </c>
      <c r="K116" s="429">
        <f>J116 + 1</f>
        <v>2</v>
      </c>
      <c r="L116" s="429">
        <f t="shared" ref="L116:BE116" si="62">K116 + 1</f>
        <v>3</v>
      </c>
      <c r="M116" s="429">
        <f t="shared" si="62"/>
        <v>4</v>
      </c>
      <c r="N116" s="429">
        <f t="shared" si="62"/>
        <v>5</v>
      </c>
      <c r="O116" s="429">
        <f t="shared" si="62"/>
        <v>6</v>
      </c>
      <c r="P116" s="429">
        <f t="shared" si="62"/>
        <v>7</v>
      </c>
      <c r="Q116" s="429">
        <f t="shared" si="62"/>
        <v>8</v>
      </c>
      <c r="R116" s="429">
        <f t="shared" si="62"/>
        <v>9</v>
      </c>
      <c r="S116" s="429">
        <f t="shared" si="62"/>
        <v>10</v>
      </c>
      <c r="T116" s="429">
        <f t="shared" si="62"/>
        <v>11</v>
      </c>
      <c r="U116" s="429">
        <f t="shared" si="62"/>
        <v>12</v>
      </c>
      <c r="V116" s="429">
        <f t="shared" si="62"/>
        <v>13</v>
      </c>
      <c r="W116" s="429">
        <f t="shared" si="62"/>
        <v>14</v>
      </c>
      <c r="X116" s="429">
        <f t="shared" si="62"/>
        <v>15</v>
      </c>
      <c r="Y116" s="429">
        <f t="shared" si="62"/>
        <v>16</v>
      </c>
      <c r="Z116" s="429">
        <f t="shared" si="62"/>
        <v>17</v>
      </c>
      <c r="AA116" s="429">
        <f t="shared" si="62"/>
        <v>18</v>
      </c>
      <c r="AB116" s="429">
        <f t="shared" si="62"/>
        <v>19</v>
      </c>
      <c r="AC116" s="429">
        <f t="shared" si="62"/>
        <v>20</v>
      </c>
      <c r="AD116" s="429">
        <f t="shared" si="62"/>
        <v>21</v>
      </c>
      <c r="AE116" s="429">
        <f t="shared" si="62"/>
        <v>22</v>
      </c>
      <c r="AF116" s="429">
        <f t="shared" si="62"/>
        <v>23</v>
      </c>
      <c r="AG116" s="429">
        <f t="shared" si="62"/>
        <v>24</v>
      </c>
      <c r="AH116" s="429">
        <f t="shared" si="62"/>
        <v>25</v>
      </c>
      <c r="AI116" s="429">
        <f t="shared" si="62"/>
        <v>26</v>
      </c>
      <c r="AJ116" s="429">
        <f t="shared" si="62"/>
        <v>27</v>
      </c>
      <c r="AK116" s="429">
        <f t="shared" si="62"/>
        <v>28</v>
      </c>
      <c r="AL116" s="429">
        <f t="shared" si="62"/>
        <v>29</v>
      </c>
      <c r="AM116" s="429">
        <f t="shared" si="62"/>
        <v>30</v>
      </c>
      <c r="AN116" s="429">
        <f t="shared" si="62"/>
        <v>31</v>
      </c>
      <c r="AO116" s="429">
        <f t="shared" si="62"/>
        <v>32</v>
      </c>
      <c r="AP116" s="429">
        <f t="shared" si="62"/>
        <v>33</v>
      </c>
      <c r="AQ116" s="429">
        <f t="shared" si="62"/>
        <v>34</v>
      </c>
      <c r="AR116" s="429">
        <f t="shared" si="62"/>
        <v>35</v>
      </c>
      <c r="AS116" s="429">
        <f t="shared" si="62"/>
        <v>36</v>
      </c>
      <c r="AT116" s="429">
        <f t="shared" si="62"/>
        <v>37</v>
      </c>
      <c r="AU116" s="429">
        <f t="shared" si="62"/>
        <v>38</v>
      </c>
      <c r="AV116" s="429">
        <f t="shared" si="62"/>
        <v>39</v>
      </c>
      <c r="AW116" s="429">
        <f t="shared" si="62"/>
        <v>40</v>
      </c>
      <c r="AX116" s="429">
        <f t="shared" si="62"/>
        <v>41</v>
      </c>
      <c r="AY116" s="429">
        <f t="shared" si="62"/>
        <v>42</v>
      </c>
      <c r="AZ116" s="429">
        <f t="shared" si="62"/>
        <v>43</v>
      </c>
      <c r="BA116" s="429">
        <f t="shared" si="62"/>
        <v>44</v>
      </c>
      <c r="BB116" s="429">
        <f t="shared" si="62"/>
        <v>45</v>
      </c>
      <c r="BC116" s="429">
        <f t="shared" si="62"/>
        <v>46</v>
      </c>
      <c r="BD116" s="429">
        <f t="shared" si="62"/>
        <v>47</v>
      </c>
      <c r="BE116" s="429">
        <f t="shared" si="62"/>
        <v>48</v>
      </c>
    </row>
    <row r="117" spans="3:59" outlineLevel="1" x14ac:dyDescent="0.25">
      <c r="C117" s="86"/>
      <c r="E117" s="295" t="s">
        <v>186</v>
      </c>
      <c r="G117" s="295" t="s">
        <v>183</v>
      </c>
      <c r="H117" s="421"/>
      <c r="I117" s="351"/>
      <c r="J117" s="421">
        <f>INDEX($J$102:$BE$102, 1, MATCH(J116, $J$111:$BE$111, 0))</f>
        <v>-18.178805927558937</v>
      </c>
      <c r="K117" s="421">
        <f t="shared" ref="K117:BE117" si="63">INDEX($J$102:$BE$102, 1, MATCH(K116, $J$111:$BE$111, 0))</f>
        <v>-12.564395696515698</v>
      </c>
      <c r="L117" s="421">
        <f t="shared" si="63"/>
        <v>-12.564395696515698</v>
      </c>
      <c r="M117" s="421">
        <f t="shared" si="63"/>
        <v>-10.11594964860876</v>
      </c>
      <c r="N117" s="421">
        <f t="shared" si="63"/>
        <v>-10.11594964860876</v>
      </c>
      <c r="O117" s="421">
        <f t="shared" si="63"/>
        <v>-9.1767990438929967</v>
      </c>
      <c r="P117" s="421">
        <f t="shared" si="63"/>
        <v>-6.8642779713820374</v>
      </c>
      <c r="Q117" s="421">
        <f t="shared" si="63"/>
        <v>-5.165127472019492</v>
      </c>
      <c r="R117" s="421">
        <f t="shared" si="63"/>
        <v>-2.2269967765251373</v>
      </c>
      <c r="S117" s="421">
        <f t="shared" si="63"/>
        <v>-1.9842644749900038</v>
      </c>
      <c r="T117" s="421">
        <f t="shared" si="63"/>
        <v>-1.9842644749900038</v>
      </c>
      <c r="U117" s="421">
        <f t="shared" si="63"/>
        <v>-1.597587341513643</v>
      </c>
      <c r="V117" s="421">
        <f t="shared" si="63"/>
        <v>-1.597587341513643</v>
      </c>
      <c r="W117" s="421">
        <f t="shared" si="63"/>
        <v>-1.3757330065845093</v>
      </c>
      <c r="X117" s="421">
        <f t="shared" si="63"/>
        <v>-0.8989422107421281</v>
      </c>
      <c r="Y117" s="421">
        <f t="shared" si="63"/>
        <v>-0.62848157310492736</v>
      </c>
      <c r="Z117" s="421">
        <f t="shared" si="63"/>
        <v>-0.486908811291489</v>
      </c>
      <c r="AA117" s="421">
        <f t="shared" si="63"/>
        <v>-0.24707827818615433</v>
      </c>
      <c r="AB117" s="421">
        <f t="shared" si="63"/>
        <v>-0.24707827818615433</v>
      </c>
      <c r="AC117" s="421">
        <f t="shared" si="63"/>
        <v>-0.19892969640308419</v>
      </c>
      <c r="AD117" s="421">
        <f t="shared" si="63"/>
        <v>-0.19892969640308419</v>
      </c>
      <c r="AE117" s="421">
        <f t="shared" si="63"/>
        <v>-0.18419071179769397</v>
      </c>
      <c r="AF117" s="421">
        <f t="shared" si="63"/>
        <v>-0.14437381052570919</v>
      </c>
      <c r="AG117" s="421">
        <f t="shared" si="63"/>
        <v>-0.1037577497041882</v>
      </c>
      <c r="AH117" s="421">
        <f t="shared" si="63"/>
        <v>9.944343700203076E-2</v>
      </c>
      <c r="AI117" s="421">
        <f t="shared" si="63"/>
        <v>9.944343700203076E-2</v>
      </c>
      <c r="AJ117" s="421">
        <f t="shared" si="63"/>
        <v>0.13696109573644608</v>
      </c>
      <c r="AK117" s="421">
        <f t="shared" si="63"/>
        <v>0.13696109573644608</v>
      </c>
      <c r="AL117" s="421">
        <f t="shared" si="63"/>
        <v>0.13696109573644608</v>
      </c>
      <c r="AM117" s="421">
        <f t="shared" si="63"/>
        <v>0.15077292147972721</v>
      </c>
      <c r="AN117" s="421">
        <f t="shared" si="63"/>
        <v>0.15077292147972721</v>
      </c>
      <c r="AO117" s="421">
        <f t="shared" si="63"/>
        <v>0.15077292147972721</v>
      </c>
      <c r="AP117" s="421">
        <f t="shared" si="63"/>
        <v>0.625066267685503</v>
      </c>
      <c r="AQ117" s="421">
        <f t="shared" si="63"/>
        <v>0.625066267685503</v>
      </c>
      <c r="AR117" s="421">
        <f t="shared" si="63"/>
        <v>1.0576237365468442</v>
      </c>
      <c r="AS117" s="421">
        <f t="shared" si="63"/>
        <v>1.0576237365468442</v>
      </c>
      <c r="AT117" s="421">
        <f t="shared" si="63"/>
        <v>1.0576237365468442</v>
      </c>
      <c r="AU117" s="421">
        <f t="shared" si="63"/>
        <v>1.2108444096298747</v>
      </c>
      <c r="AV117" s="421">
        <f t="shared" si="63"/>
        <v>1.2108444096298747</v>
      </c>
      <c r="AW117" s="421">
        <f t="shared" si="63"/>
        <v>1.2108444096298747</v>
      </c>
      <c r="AX117" s="421">
        <f t="shared" si="63"/>
        <v>4.8607236937772624</v>
      </c>
      <c r="AY117" s="421">
        <f t="shared" si="63"/>
        <v>4.8607236937772624</v>
      </c>
      <c r="AZ117" s="421">
        <f t="shared" si="63"/>
        <v>6.8872141338766015</v>
      </c>
      <c r="BA117" s="421">
        <f t="shared" si="63"/>
        <v>6.8872141338766015</v>
      </c>
      <c r="BB117" s="421">
        <f t="shared" si="63"/>
        <v>6.8872141338766015</v>
      </c>
      <c r="BC117" s="421">
        <f t="shared" si="63"/>
        <v>7.6670869640904762</v>
      </c>
      <c r="BD117" s="421">
        <f t="shared" si="63"/>
        <v>7.6670869640904762</v>
      </c>
      <c r="BE117" s="421">
        <f t="shared" si="63"/>
        <v>7.6670869640904762</v>
      </c>
      <c r="BF117" s="351"/>
      <c r="BG117" s="351"/>
    </row>
    <row r="118" spans="3:59" outlineLevel="1" x14ac:dyDescent="0.25">
      <c r="C118" s="86"/>
      <c r="E118" s="295" t="s">
        <v>745</v>
      </c>
      <c r="G118" s="295" t="s">
        <v>120</v>
      </c>
      <c r="H118" s="90"/>
      <c r="J118" s="276">
        <f t="shared" ref="J118:BE118" si="64">I118 + INDEX($J$103:$BE$103, 1, MATCH(J116, $J$111:$BE$111, 0))</f>
        <v>7077.8325343149572</v>
      </c>
      <c r="K118" s="276">
        <f t="shared" si="64"/>
        <v>155859.04242366855</v>
      </c>
      <c r="L118" s="276">
        <f t="shared" si="64"/>
        <v>155865.90197014285</v>
      </c>
      <c r="M118" s="276">
        <f t="shared" si="64"/>
        <v>729680.07618657453</v>
      </c>
      <c r="N118" s="276">
        <f t="shared" si="64"/>
        <v>729725.67651103379</v>
      </c>
      <c r="O118" s="276">
        <f t="shared" si="64"/>
        <v>825343.62500573811</v>
      </c>
      <c r="P118" s="276">
        <f t="shared" si="64"/>
        <v>932017.28571080277</v>
      </c>
      <c r="Q118" s="276">
        <f t="shared" si="64"/>
        <v>1094915.6422471101</v>
      </c>
      <c r="R118" s="276">
        <f t="shared" si="64"/>
        <v>1146972.8373898009</v>
      </c>
      <c r="S118" s="276">
        <f t="shared" si="64"/>
        <v>1929204.6960984422</v>
      </c>
      <c r="T118" s="276">
        <f t="shared" si="64"/>
        <v>1929568.3769326347</v>
      </c>
      <c r="U118" s="276">
        <f t="shared" si="64"/>
        <v>3962465.8422824005</v>
      </c>
      <c r="V118" s="276">
        <f t="shared" si="64"/>
        <v>3963235.5437836009</v>
      </c>
      <c r="W118" s="276">
        <f t="shared" si="64"/>
        <v>4403818.953143998</v>
      </c>
      <c r="X118" s="276">
        <f t="shared" si="64"/>
        <v>4931336.7396031944</v>
      </c>
      <c r="Y118" s="276">
        <f t="shared" si="64"/>
        <v>5702788.6244622506</v>
      </c>
      <c r="Z118" s="276">
        <f t="shared" si="64"/>
        <v>5798880.4515188914</v>
      </c>
      <c r="AA118" s="276">
        <f t="shared" si="64"/>
        <v>6556962.7787938984</v>
      </c>
      <c r="AB118" s="276">
        <f t="shared" si="64"/>
        <v>6561388.4454168892</v>
      </c>
      <c r="AC118" s="276">
        <f t="shared" si="64"/>
        <v>8475244.9633704238</v>
      </c>
      <c r="AD118" s="276">
        <f t="shared" si="64"/>
        <v>8485585.1666009389</v>
      </c>
      <c r="AE118" s="276">
        <f t="shared" si="64"/>
        <v>8922798.3566532396</v>
      </c>
      <c r="AF118" s="276">
        <f t="shared" si="64"/>
        <v>9502528.8318929095</v>
      </c>
      <c r="AG118" s="276">
        <f t="shared" si="64"/>
        <v>10458116.833557567</v>
      </c>
      <c r="AH118" s="276">
        <f t="shared" si="64"/>
        <v>10458116.833557567</v>
      </c>
      <c r="AI118" s="276">
        <f t="shared" si="64"/>
        <v>10458116.833557567</v>
      </c>
      <c r="AJ118" s="276">
        <f t="shared" si="64"/>
        <v>10458116.833557567</v>
      </c>
      <c r="AK118" s="276">
        <f t="shared" si="64"/>
        <v>10458116.833557567</v>
      </c>
      <c r="AL118" s="276">
        <f t="shared" si="64"/>
        <v>10458116.833557567</v>
      </c>
      <c r="AM118" s="276">
        <f t="shared" si="64"/>
        <v>10458116.833557567</v>
      </c>
      <c r="AN118" s="276">
        <f t="shared" si="64"/>
        <v>10458116.833557567</v>
      </c>
      <c r="AO118" s="276">
        <f t="shared" si="64"/>
        <v>10458116.833557567</v>
      </c>
      <c r="AP118" s="276">
        <f t="shared" si="64"/>
        <v>10458116.833557567</v>
      </c>
      <c r="AQ118" s="276">
        <f t="shared" si="64"/>
        <v>10458116.833557567</v>
      </c>
      <c r="AR118" s="276">
        <f t="shared" si="64"/>
        <v>10458116.833557567</v>
      </c>
      <c r="AS118" s="276">
        <f t="shared" si="64"/>
        <v>10458116.833557567</v>
      </c>
      <c r="AT118" s="276">
        <f t="shared" si="64"/>
        <v>10458116.833557567</v>
      </c>
      <c r="AU118" s="276">
        <f t="shared" si="64"/>
        <v>10458116.833557567</v>
      </c>
      <c r="AV118" s="276">
        <f t="shared" si="64"/>
        <v>10458116.833557567</v>
      </c>
      <c r="AW118" s="276">
        <f t="shared" si="64"/>
        <v>10458116.833557567</v>
      </c>
      <c r="AX118" s="276">
        <f t="shared" si="64"/>
        <v>10458116.833557567</v>
      </c>
      <c r="AY118" s="276">
        <f t="shared" si="64"/>
        <v>10458116.833557567</v>
      </c>
      <c r="AZ118" s="276">
        <f t="shared" si="64"/>
        <v>10458116.833557567</v>
      </c>
      <c r="BA118" s="276">
        <f t="shared" si="64"/>
        <v>10458116.833557567</v>
      </c>
      <c r="BB118" s="276">
        <f t="shared" si="64"/>
        <v>10458116.833557567</v>
      </c>
      <c r="BC118" s="276">
        <f t="shared" si="64"/>
        <v>10458116.833557567</v>
      </c>
      <c r="BD118" s="276">
        <f t="shared" si="64"/>
        <v>10458116.833557567</v>
      </c>
      <c r="BE118" s="276">
        <f t="shared" si="64"/>
        <v>10458116.833557567</v>
      </c>
    </row>
    <row r="119" spans="3:59" outlineLevel="1" x14ac:dyDescent="0.25">
      <c r="C119" s="86"/>
      <c r="E119" s="295" t="s">
        <v>351</v>
      </c>
      <c r="G119" s="295" t="s">
        <v>107</v>
      </c>
      <c r="H119" s="90"/>
      <c r="J119" s="276">
        <f>SUM($J$54:$Y$57,$R$51:$Y$53)</f>
        <v>41929374.05100143</v>
      </c>
      <c r="K119" s="276">
        <f t="shared" ref="K119:BE119" si="65">SUM($J$54:$Y$57,$R$51:$Y$53)</f>
        <v>41929374.05100143</v>
      </c>
      <c r="L119" s="276">
        <f>SUM($J$54:$Y$57,$R$51:$Y$53)</f>
        <v>41929374.05100143</v>
      </c>
      <c r="M119" s="276">
        <f t="shared" si="65"/>
        <v>41929374.05100143</v>
      </c>
      <c r="N119" s="276">
        <f t="shared" si="65"/>
        <v>41929374.05100143</v>
      </c>
      <c r="O119" s="276">
        <f t="shared" si="65"/>
        <v>41929374.05100143</v>
      </c>
      <c r="P119" s="276">
        <f t="shared" si="65"/>
        <v>41929374.05100143</v>
      </c>
      <c r="Q119" s="276">
        <f t="shared" si="65"/>
        <v>41929374.05100143</v>
      </c>
      <c r="R119" s="276">
        <f t="shared" si="65"/>
        <v>41929374.05100143</v>
      </c>
      <c r="S119" s="276">
        <f t="shared" si="65"/>
        <v>41929374.05100143</v>
      </c>
      <c r="T119" s="276">
        <f t="shared" si="65"/>
        <v>41929374.05100143</v>
      </c>
      <c r="U119" s="276">
        <f t="shared" si="65"/>
        <v>41929374.05100143</v>
      </c>
      <c r="V119" s="276">
        <f t="shared" si="65"/>
        <v>41929374.05100143</v>
      </c>
      <c r="W119" s="276">
        <f t="shared" si="65"/>
        <v>41929374.05100143</v>
      </c>
      <c r="X119" s="276">
        <f t="shared" si="65"/>
        <v>41929374.05100143</v>
      </c>
      <c r="Y119" s="276">
        <f t="shared" si="65"/>
        <v>41929374.05100143</v>
      </c>
      <c r="Z119" s="276">
        <f t="shared" si="65"/>
        <v>41929374.05100143</v>
      </c>
      <c r="AA119" s="276">
        <f t="shared" si="65"/>
        <v>41929374.05100143</v>
      </c>
      <c r="AB119" s="276">
        <f t="shared" si="65"/>
        <v>41929374.05100143</v>
      </c>
      <c r="AC119" s="276">
        <f t="shared" si="65"/>
        <v>41929374.05100143</v>
      </c>
      <c r="AD119" s="276">
        <f t="shared" si="65"/>
        <v>41929374.05100143</v>
      </c>
      <c r="AE119" s="276">
        <f t="shared" si="65"/>
        <v>41929374.05100143</v>
      </c>
      <c r="AF119" s="276">
        <f t="shared" si="65"/>
        <v>41929374.05100143</v>
      </c>
      <c r="AG119" s="276">
        <f t="shared" si="65"/>
        <v>41929374.05100143</v>
      </c>
      <c r="AH119" s="276">
        <f t="shared" si="65"/>
        <v>41929374.05100143</v>
      </c>
      <c r="AI119" s="276">
        <f t="shared" si="65"/>
        <v>41929374.05100143</v>
      </c>
      <c r="AJ119" s="276">
        <f t="shared" si="65"/>
        <v>41929374.05100143</v>
      </c>
      <c r="AK119" s="276">
        <f t="shared" si="65"/>
        <v>41929374.05100143</v>
      </c>
      <c r="AL119" s="276">
        <f t="shared" si="65"/>
        <v>41929374.05100143</v>
      </c>
      <c r="AM119" s="276">
        <f t="shared" si="65"/>
        <v>41929374.05100143</v>
      </c>
      <c r="AN119" s="276">
        <f t="shared" si="65"/>
        <v>41929374.05100143</v>
      </c>
      <c r="AO119" s="276">
        <f t="shared" si="65"/>
        <v>41929374.05100143</v>
      </c>
      <c r="AP119" s="276">
        <f t="shared" si="65"/>
        <v>41929374.05100143</v>
      </c>
      <c r="AQ119" s="276">
        <f t="shared" si="65"/>
        <v>41929374.05100143</v>
      </c>
      <c r="AR119" s="276">
        <f t="shared" si="65"/>
        <v>41929374.05100143</v>
      </c>
      <c r="AS119" s="276">
        <f t="shared" si="65"/>
        <v>41929374.05100143</v>
      </c>
      <c r="AT119" s="276">
        <f t="shared" si="65"/>
        <v>41929374.05100143</v>
      </c>
      <c r="AU119" s="276">
        <f t="shared" si="65"/>
        <v>41929374.05100143</v>
      </c>
      <c r="AV119" s="276">
        <f t="shared" si="65"/>
        <v>41929374.05100143</v>
      </c>
      <c r="AW119" s="276">
        <f t="shared" si="65"/>
        <v>41929374.05100143</v>
      </c>
      <c r="AX119" s="276">
        <f t="shared" si="65"/>
        <v>41929374.05100143</v>
      </c>
      <c r="AY119" s="276">
        <f t="shared" si="65"/>
        <v>41929374.05100143</v>
      </c>
      <c r="AZ119" s="276">
        <f t="shared" si="65"/>
        <v>41929374.05100143</v>
      </c>
      <c r="BA119" s="276">
        <f t="shared" si="65"/>
        <v>41929374.05100143</v>
      </c>
      <c r="BB119" s="276">
        <f t="shared" si="65"/>
        <v>41929374.05100143</v>
      </c>
      <c r="BC119" s="276">
        <f t="shared" si="65"/>
        <v>41929374.05100143</v>
      </c>
      <c r="BD119" s="276">
        <f t="shared" si="65"/>
        <v>41929374.05100143</v>
      </c>
      <c r="BE119" s="276">
        <f t="shared" si="65"/>
        <v>41929374.05100143</v>
      </c>
    </row>
    <row r="120" spans="3:59" outlineLevel="1" x14ac:dyDescent="0.25">
      <c r="C120" s="86"/>
      <c r="E120" s="295" t="s">
        <v>352</v>
      </c>
      <c r="G120" s="295" t="s">
        <v>107</v>
      </c>
      <c r="H120" s="90"/>
      <c r="J120" s="280"/>
      <c r="K120" s="276">
        <f t="shared" ref="K120:BE120" si="66">J120 + J118 * (K117 - J117) * ten</f>
        <v>397378.55394268589</v>
      </c>
      <c r="L120" s="276">
        <f t="shared" si="66"/>
        <v>397378.55394268589</v>
      </c>
      <c r="M120" s="276">
        <f t="shared" si="66"/>
        <v>4213671.0707651498</v>
      </c>
      <c r="N120" s="276">
        <f t="shared" si="66"/>
        <v>4213671.0707651498</v>
      </c>
      <c r="O120" s="276">
        <f t="shared" si="66"/>
        <v>11066894.174484719</v>
      </c>
      <c r="P120" s="276">
        <f t="shared" si="66"/>
        <v>30153139.423368242</v>
      </c>
      <c r="Q120" s="276">
        <f t="shared" si="66"/>
        <v>45989515.787668586</v>
      </c>
      <c r="R120" s="276">
        <f t="shared" si="66"/>
        <v>78159568.362300083</v>
      </c>
      <c r="S120" s="276">
        <f t="shared" si="66"/>
        <v>80943641.928479165</v>
      </c>
      <c r="T120" s="276">
        <f t="shared" si="66"/>
        <v>80943641.928479165</v>
      </c>
      <c r="U120" s="276">
        <f t="shared" si="66"/>
        <v>88404841.616868615</v>
      </c>
      <c r="V120" s="276">
        <f t="shared" si="66"/>
        <v>88404841.616868615</v>
      </c>
      <c r="W120" s="276">
        <f t="shared" si="66"/>
        <v>97197451.474204764</v>
      </c>
      <c r="X120" s="276">
        <f t="shared" si="66"/>
        <v>118194454.90835765</v>
      </c>
      <c r="Y120" s="276">
        <f t="shared" si="66"/>
        <v>131531779.69832599</v>
      </c>
      <c r="Z120" s="276">
        <f t="shared" si="66"/>
        <v>139605375.05435979</v>
      </c>
      <c r="AA120" s="276">
        <f t="shared" si="66"/>
        <v>153512860.95537859</v>
      </c>
      <c r="AB120" s="276">
        <f t="shared" si="66"/>
        <v>153512860.95537859</v>
      </c>
      <c r="AC120" s="276">
        <f t="shared" si="66"/>
        <v>156672076.43712506</v>
      </c>
      <c r="AD120" s="276">
        <f t="shared" si="66"/>
        <v>156672076.43712506</v>
      </c>
      <c r="AE120" s="276">
        <f t="shared" si="66"/>
        <v>157922765.52850765</v>
      </c>
      <c r="AF120" s="276">
        <f t="shared" si="66"/>
        <v>161475547.34087455</v>
      </c>
      <c r="AG120" s="276">
        <f t="shared" si="66"/>
        <v>165335100.23081875</v>
      </c>
      <c r="AH120" s="276">
        <f t="shared" si="66"/>
        <v>186586117.74373057</v>
      </c>
      <c r="AI120" s="276">
        <f t="shared" si="66"/>
        <v>186586117.74373057</v>
      </c>
      <c r="AJ120" s="276">
        <f t="shared" si="66"/>
        <v>190509758.32739115</v>
      </c>
      <c r="AK120" s="276">
        <f t="shared" si="66"/>
        <v>190509758.32739115</v>
      </c>
      <c r="AL120" s="276">
        <f t="shared" si="66"/>
        <v>190509758.32739115</v>
      </c>
      <c r="AM120" s="276">
        <f t="shared" si="66"/>
        <v>191954215.20047086</v>
      </c>
      <c r="AN120" s="276">
        <f t="shared" si="66"/>
        <v>191954215.20047086</v>
      </c>
      <c r="AO120" s="276">
        <f t="shared" si="66"/>
        <v>191954215.20047086</v>
      </c>
      <c r="AP120" s="276">
        <f t="shared" si="66"/>
        <v>241556367.48046058</v>
      </c>
      <c r="AQ120" s="276">
        <f t="shared" si="66"/>
        <v>241556367.48046058</v>
      </c>
      <c r="AR120" s="276">
        <f t="shared" si="66"/>
        <v>286793732.94625902</v>
      </c>
      <c r="AS120" s="276">
        <f t="shared" si="66"/>
        <v>286793732.94625902</v>
      </c>
      <c r="AT120" s="276">
        <f t="shared" si="66"/>
        <v>286793732.94625902</v>
      </c>
      <c r="AU120" s="276">
        <f t="shared" si="66"/>
        <v>302817729.95044565</v>
      </c>
      <c r="AV120" s="276">
        <f t="shared" si="66"/>
        <v>302817729.95044565</v>
      </c>
      <c r="AW120" s="276">
        <f t="shared" si="66"/>
        <v>302817729.95044565</v>
      </c>
      <c r="AX120" s="276">
        <f t="shared" si="66"/>
        <v>684526369.77039409</v>
      </c>
      <c r="AY120" s="276">
        <f t="shared" si="66"/>
        <v>684526369.77039409</v>
      </c>
      <c r="AZ120" s="276">
        <f t="shared" si="66"/>
        <v>896459107.61685789</v>
      </c>
      <c r="BA120" s="276">
        <f t="shared" si="66"/>
        <v>896459107.61685789</v>
      </c>
      <c r="BB120" s="276">
        <f t="shared" si="66"/>
        <v>896459107.61685789</v>
      </c>
      <c r="BC120" s="276">
        <f t="shared" si="66"/>
        <v>978019119.35379696</v>
      </c>
      <c r="BD120" s="276">
        <f t="shared" si="66"/>
        <v>978019119.35379696</v>
      </c>
      <c r="BE120" s="276">
        <f t="shared" si="66"/>
        <v>978019119.35379696</v>
      </c>
    </row>
    <row r="121" spans="3:59" outlineLevel="1" x14ac:dyDescent="0.25">
      <c r="C121" s="86"/>
      <c r="E121" s="295" t="s">
        <v>353</v>
      </c>
      <c r="G121" s="295" t="s">
        <v>107</v>
      </c>
      <c r="H121" s="90"/>
      <c r="J121" s="276">
        <f>J119 + J120</f>
        <v>41929374.05100143</v>
      </c>
      <c r="K121" s="276">
        <f t="shared" ref="K121:BE121" si="67">K119 + K120</f>
        <v>42326752.604944117</v>
      </c>
      <c r="L121" s="276">
        <f t="shared" si="67"/>
        <v>42326752.604944117</v>
      </c>
      <c r="M121" s="276">
        <f t="shared" si="67"/>
        <v>46143045.121766582</v>
      </c>
      <c r="N121" s="276">
        <f t="shared" si="67"/>
        <v>46143045.121766582</v>
      </c>
      <c r="O121" s="276">
        <f t="shared" si="67"/>
        <v>52996268.225486144</v>
      </c>
      <c r="P121" s="276">
        <f t="shared" si="67"/>
        <v>72082513.474369675</v>
      </c>
      <c r="Q121" s="276">
        <f t="shared" si="67"/>
        <v>87918889.838670015</v>
      </c>
      <c r="R121" s="276">
        <f t="shared" si="67"/>
        <v>120088942.41330151</v>
      </c>
      <c r="S121" s="276">
        <f t="shared" si="67"/>
        <v>122873015.97948059</v>
      </c>
      <c r="T121" s="276">
        <f t="shared" si="67"/>
        <v>122873015.97948059</v>
      </c>
      <c r="U121" s="276">
        <f t="shared" si="67"/>
        <v>130334215.66787004</v>
      </c>
      <c r="V121" s="276">
        <f t="shared" si="67"/>
        <v>130334215.66787004</v>
      </c>
      <c r="W121" s="276">
        <f t="shared" si="67"/>
        <v>139126825.52520621</v>
      </c>
      <c r="X121" s="276">
        <f t="shared" si="67"/>
        <v>160123828.95935908</v>
      </c>
      <c r="Y121" s="276">
        <f t="shared" si="67"/>
        <v>173461153.74932742</v>
      </c>
      <c r="Z121" s="276">
        <f t="shared" si="67"/>
        <v>181534749.10536122</v>
      </c>
      <c r="AA121" s="276">
        <f t="shared" si="67"/>
        <v>195442235.00638002</v>
      </c>
      <c r="AB121" s="276">
        <f t="shared" si="67"/>
        <v>195442235.00638002</v>
      </c>
      <c r="AC121" s="276">
        <f t="shared" si="67"/>
        <v>198601450.48812649</v>
      </c>
      <c r="AD121" s="276">
        <f t="shared" si="67"/>
        <v>198601450.48812649</v>
      </c>
      <c r="AE121" s="276">
        <f t="shared" si="67"/>
        <v>199852139.57950908</v>
      </c>
      <c r="AF121" s="276">
        <f t="shared" si="67"/>
        <v>203404921.39187598</v>
      </c>
      <c r="AG121" s="276">
        <f t="shared" si="67"/>
        <v>207264474.28182018</v>
      </c>
      <c r="AH121" s="276">
        <f t="shared" si="67"/>
        <v>228515491.794732</v>
      </c>
      <c r="AI121" s="276">
        <f t="shared" si="67"/>
        <v>228515491.794732</v>
      </c>
      <c r="AJ121" s="276">
        <f t="shared" si="67"/>
        <v>232439132.37839258</v>
      </c>
      <c r="AK121" s="276">
        <f t="shared" si="67"/>
        <v>232439132.37839258</v>
      </c>
      <c r="AL121" s="276">
        <f t="shared" si="67"/>
        <v>232439132.37839258</v>
      </c>
      <c r="AM121" s="276">
        <f t="shared" si="67"/>
        <v>233883589.25147229</v>
      </c>
      <c r="AN121" s="276">
        <f t="shared" si="67"/>
        <v>233883589.25147229</v>
      </c>
      <c r="AO121" s="276">
        <f t="shared" si="67"/>
        <v>233883589.25147229</v>
      </c>
      <c r="AP121" s="276">
        <f t="shared" si="67"/>
        <v>283485741.53146201</v>
      </c>
      <c r="AQ121" s="276">
        <f t="shared" si="67"/>
        <v>283485741.53146201</v>
      </c>
      <c r="AR121" s="276">
        <f t="shared" si="67"/>
        <v>328723106.99726045</v>
      </c>
      <c r="AS121" s="276">
        <f t="shared" si="67"/>
        <v>328723106.99726045</v>
      </c>
      <c r="AT121" s="276">
        <f t="shared" si="67"/>
        <v>328723106.99726045</v>
      </c>
      <c r="AU121" s="276">
        <f t="shared" si="67"/>
        <v>344747104.00144708</v>
      </c>
      <c r="AV121" s="276">
        <f t="shared" si="67"/>
        <v>344747104.00144708</v>
      </c>
      <c r="AW121" s="276">
        <f t="shared" si="67"/>
        <v>344747104.00144708</v>
      </c>
      <c r="AX121" s="276">
        <f t="shared" si="67"/>
        <v>726455743.82139552</v>
      </c>
      <c r="AY121" s="276">
        <f t="shared" si="67"/>
        <v>726455743.82139552</v>
      </c>
      <c r="AZ121" s="276">
        <f t="shared" si="67"/>
        <v>938388481.66785932</v>
      </c>
      <c r="BA121" s="276">
        <f t="shared" si="67"/>
        <v>938388481.66785932</v>
      </c>
      <c r="BB121" s="276">
        <f t="shared" si="67"/>
        <v>938388481.66785932</v>
      </c>
      <c r="BC121" s="276">
        <f t="shared" si="67"/>
        <v>1019948493.4047984</v>
      </c>
      <c r="BD121" s="276">
        <f t="shared" si="67"/>
        <v>1019948493.4047984</v>
      </c>
      <c r="BE121" s="276">
        <f t="shared" si="67"/>
        <v>1019948493.4047984</v>
      </c>
    </row>
    <row r="122" spans="3:59" outlineLevel="1" x14ac:dyDescent="0.25">
      <c r="C122" s="86"/>
      <c r="E122" s="295" t="s">
        <v>191</v>
      </c>
      <c r="G122" s="295" t="s">
        <v>107</v>
      </c>
      <c r="H122" s="90"/>
      <c r="J122" s="276">
        <f>$H$43</f>
        <v>360822063.95652437</v>
      </c>
      <c r="K122" s="276">
        <f t="shared" ref="K122:BE122" si="68">$H$43</f>
        <v>360822063.95652437</v>
      </c>
      <c r="L122" s="276">
        <f t="shared" si="68"/>
        <v>360822063.95652437</v>
      </c>
      <c r="M122" s="276">
        <f t="shared" si="68"/>
        <v>360822063.95652437</v>
      </c>
      <c r="N122" s="276">
        <f t="shared" si="68"/>
        <v>360822063.95652437</v>
      </c>
      <c r="O122" s="276">
        <f t="shared" si="68"/>
        <v>360822063.95652437</v>
      </c>
      <c r="P122" s="276">
        <f t="shared" si="68"/>
        <v>360822063.95652437</v>
      </c>
      <c r="Q122" s="276">
        <f t="shared" si="68"/>
        <v>360822063.95652437</v>
      </c>
      <c r="R122" s="276">
        <f t="shared" si="68"/>
        <v>360822063.95652437</v>
      </c>
      <c r="S122" s="276">
        <f t="shared" si="68"/>
        <v>360822063.95652437</v>
      </c>
      <c r="T122" s="276">
        <f t="shared" si="68"/>
        <v>360822063.95652437</v>
      </c>
      <c r="U122" s="276">
        <f t="shared" si="68"/>
        <v>360822063.95652437</v>
      </c>
      <c r="V122" s="276">
        <f t="shared" si="68"/>
        <v>360822063.95652437</v>
      </c>
      <c r="W122" s="276">
        <f t="shared" si="68"/>
        <v>360822063.95652437</v>
      </c>
      <c r="X122" s="276">
        <f t="shared" si="68"/>
        <v>360822063.95652437</v>
      </c>
      <c r="Y122" s="276">
        <f t="shared" si="68"/>
        <v>360822063.95652437</v>
      </c>
      <c r="Z122" s="276">
        <f t="shared" si="68"/>
        <v>360822063.95652437</v>
      </c>
      <c r="AA122" s="276">
        <f t="shared" si="68"/>
        <v>360822063.95652437</v>
      </c>
      <c r="AB122" s="276">
        <f t="shared" si="68"/>
        <v>360822063.95652437</v>
      </c>
      <c r="AC122" s="276">
        <f t="shared" si="68"/>
        <v>360822063.95652437</v>
      </c>
      <c r="AD122" s="276">
        <f t="shared" si="68"/>
        <v>360822063.95652437</v>
      </c>
      <c r="AE122" s="276">
        <f t="shared" si="68"/>
        <v>360822063.95652437</v>
      </c>
      <c r="AF122" s="276">
        <f t="shared" si="68"/>
        <v>360822063.95652437</v>
      </c>
      <c r="AG122" s="276">
        <f t="shared" si="68"/>
        <v>360822063.95652437</v>
      </c>
      <c r="AH122" s="276">
        <f t="shared" si="68"/>
        <v>360822063.95652437</v>
      </c>
      <c r="AI122" s="276">
        <f t="shared" si="68"/>
        <v>360822063.95652437</v>
      </c>
      <c r="AJ122" s="276">
        <f t="shared" si="68"/>
        <v>360822063.95652437</v>
      </c>
      <c r="AK122" s="276">
        <f t="shared" si="68"/>
        <v>360822063.95652437</v>
      </c>
      <c r="AL122" s="276">
        <f t="shared" si="68"/>
        <v>360822063.95652437</v>
      </c>
      <c r="AM122" s="276">
        <f t="shared" si="68"/>
        <v>360822063.95652437</v>
      </c>
      <c r="AN122" s="276">
        <f t="shared" si="68"/>
        <v>360822063.95652437</v>
      </c>
      <c r="AO122" s="276">
        <f t="shared" si="68"/>
        <v>360822063.95652437</v>
      </c>
      <c r="AP122" s="276">
        <f t="shared" si="68"/>
        <v>360822063.95652437</v>
      </c>
      <c r="AQ122" s="276">
        <f t="shared" si="68"/>
        <v>360822063.95652437</v>
      </c>
      <c r="AR122" s="276">
        <f t="shared" si="68"/>
        <v>360822063.95652437</v>
      </c>
      <c r="AS122" s="276">
        <f t="shared" si="68"/>
        <v>360822063.95652437</v>
      </c>
      <c r="AT122" s="276">
        <f t="shared" si="68"/>
        <v>360822063.95652437</v>
      </c>
      <c r="AU122" s="276">
        <f t="shared" si="68"/>
        <v>360822063.95652437</v>
      </c>
      <c r="AV122" s="276">
        <f t="shared" si="68"/>
        <v>360822063.95652437</v>
      </c>
      <c r="AW122" s="276">
        <f t="shared" si="68"/>
        <v>360822063.95652437</v>
      </c>
      <c r="AX122" s="276">
        <f t="shared" si="68"/>
        <v>360822063.95652437</v>
      </c>
      <c r="AY122" s="276">
        <f t="shared" si="68"/>
        <v>360822063.95652437</v>
      </c>
      <c r="AZ122" s="276">
        <f t="shared" si="68"/>
        <v>360822063.95652437</v>
      </c>
      <c r="BA122" s="276">
        <f t="shared" si="68"/>
        <v>360822063.95652437</v>
      </c>
      <c r="BB122" s="276">
        <f t="shared" si="68"/>
        <v>360822063.95652437</v>
      </c>
      <c r="BC122" s="276">
        <f t="shared" si="68"/>
        <v>360822063.95652437</v>
      </c>
      <c r="BD122" s="276">
        <f t="shared" si="68"/>
        <v>360822063.95652437</v>
      </c>
      <c r="BE122" s="276">
        <f t="shared" si="68"/>
        <v>360822063.95652437</v>
      </c>
    </row>
    <row r="123" spans="3:59" outlineLevel="1" x14ac:dyDescent="0.25">
      <c r="C123" s="86"/>
      <c r="E123" s="295" t="s">
        <v>746</v>
      </c>
      <c r="G123" s="295" t="s">
        <v>183</v>
      </c>
      <c r="H123" s="366" t="str">
        <f>IF(((SUMPRODUCT($J$102:$BE$102, $J$103:$BE$103) * ten) - $H$60) &gt; 0, $J$117, IF(BE121 &gt; BE122, "", $H$90))</f>
        <v/>
      </c>
      <c r="I123" s="351"/>
      <c r="J123" s="421" t="str">
        <f t="shared" ref="J123:BE123" si="69">IF((J121 &gt; J122) = (I122 &gt; J122), "", J117 - (J121 - J122) / (I118 * ten))</f>
        <v/>
      </c>
      <c r="K123" s="421" t="str">
        <f t="shared" si="69"/>
        <v/>
      </c>
      <c r="L123" s="421" t="str">
        <f t="shared" si="69"/>
        <v/>
      </c>
      <c r="M123" s="421" t="str">
        <f t="shared" si="69"/>
        <v/>
      </c>
      <c r="N123" s="421" t="str">
        <f t="shared" si="69"/>
        <v/>
      </c>
      <c r="O123" s="421" t="str">
        <f t="shared" si="69"/>
        <v/>
      </c>
      <c r="P123" s="421" t="str">
        <f t="shared" si="69"/>
        <v/>
      </c>
      <c r="Q123" s="421" t="str">
        <f t="shared" si="69"/>
        <v/>
      </c>
      <c r="R123" s="421" t="str">
        <f t="shared" si="69"/>
        <v/>
      </c>
      <c r="S123" s="421" t="str">
        <f t="shared" si="69"/>
        <v/>
      </c>
      <c r="T123" s="421" t="str">
        <f t="shared" si="69"/>
        <v/>
      </c>
      <c r="U123" s="421" t="str">
        <f t="shared" si="69"/>
        <v/>
      </c>
      <c r="V123" s="421" t="str">
        <f t="shared" si="69"/>
        <v/>
      </c>
      <c r="W123" s="421" t="str">
        <f t="shared" si="69"/>
        <v/>
      </c>
      <c r="X123" s="421" t="str">
        <f t="shared" si="69"/>
        <v/>
      </c>
      <c r="Y123" s="421" t="str">
        <f t="shared" si="69"/>
        <v/>
      </c>
      <c r="Z123" s="421" t="str">
        <f t="shared" si="69"/>
        <v/>
      </c>
      <c r="AA123" s="421" t="str">
        <f t="shared" si="69"/>
        <v/>
      </c>
      <c r="AB123" s="421" t="str">
        <f t="shared" si="69"/>
        <v/>
      </c>
      <c r="AC123" s="421" t="str">
        <f t="shared" si="69"/>
        <v/>
      </c>
      <c r="AD123" s="421" t="str">
        <f t="shared" si="69"/>
        <v/>
      </c>
      <c r="AE123" s="421" t="str">
        <f t="shared" si="69"/>
        <v/>
      </c>
      <c r="AF123" s="421" t="str">
        <f t="shared" si="69"/>
        <v/>
      </c>
      <c r="AG123" s="421" t="str">
        <f t="shared" si="69"/>
        <v/>
      </c>
      <c r="AH123" s="421" t="str">
        <f t="shared" si="69"/>
        <v/>
      </c>
      <c r="AI123" s="421" t="str">
        <f t="shared" si="69"/>
        <v/>
      </c>
      <c r="AJ123" s="421" t="str">
        <f t="shared" si="69"/>
        <v/>
      </c>
      <c r="AK123" s="421" t="str">
        <f t="shared" si="69"/>
        <v/>
      </c>
      <c r="AL123" s="421" t="str">
        <f t="shared" si="69"/>
        <v/>
      </c>
      <c r="AM123" s="421" t="str">
        <f t="shared" si="69"/>
        <v/>
      </c>
      <c r="AN123" s="421" t="str">
        <f t="shared" si="69"/>
        <v/>
      </c>
      <c r="AO123" s="421" t="str">
        <f t="shared" si="69"/>
        <v/>
      </c>
      <c r="AP123" s="421" t="str">
        <f t="shared" si="69"/>
        <v/>
      </c>
      <c r="AQ123" s="421" t="str">
        <f t="shared" si="69"/>
        <v/>
      </c>
      <c r="AR123" s="421" t="str">
        <f t="shared" si="69"/>
        <v/>
      </c>
      <c r="AS123" s="421" t="str">
        <f t="shared" si="69"/>
        <v/>
      </c>
      <c r="AT123" s="421" t="str">
        <f t="shared" si="69"/>
        <v/>
      </c>
      <c r="AU123" s="421" t="str">
        <f t="shared" si="69"/>
        <v/>
      </c>
      <c r="AV123" s="421" t="str">
        <f t="shared" si="69"/>
        <v/>
      </c>
      <c r="AW123" s="421" t="str">
        <f t="shared" si="69"/>
        <v/>
      </c>
      <c r="AX123" s="421">
        <f>IF((AX121 &gt; AX122) = (AW122 &gt; AX122), "", AX117 - (AX121 - AX122) / (AW118 * ten))</f>
        <v>1.3645523879486539</v>
      </c>
      <c r="AY123" s="421">
        <f t="shared" si="69"/>
        <v>1.3645523879486539</v>
      </c>
      <c r="AZ123" s="421">
        <f t="shared" si="69"/>
        <v>1.3645523879486534</v>
      </c>
      <c r="BA123" s="421">
        <f t="shared" si="69"/>
        <v>1.3645523879486534</v>
      </c>
      <c r="BB123" s="421">
        <f t="shared" si="69"/>
        <v>1.3645523879486534</v>
      </c>
      <c r="BC123" s="421">
        <f t="shared" si="69"/>
        <v>1.3645523879486534</v>
      </c>
      <c r="BD123" s="421">
        <f t="shared" si="69"/>
        <v>1.3645523879486534</v>
      </c>
      <c r="BE123" s="421">
        <f t="shared" si="69"/>
        <v>1.3645523879486534</v>
      </c>
      <c r="BF123" s="351"/>
      <c r="BG123" s="351"/>
    </row>
    <row r="124" spans="3:59" x14ac:dyDescent="0.25">
      <c r="C124" s="86"/>
    </row>
    <row r="125" spans="3:59" x14ac:dyDescent="0.25">
      <c r="D125" s="96" t="s">
        <v>184</v>
      </c>
      <c r="E125" s="295"/>
      <c r="H125" s="426"/>
      <c r="I125" s="426" t="s">
        <v>431</v>
      </c>
      <c r="BG125" s="295" t="s">
        <v>854</v>
      </c>
    </row>
    <row r="126" spans="3:59" x14ac:dyDescent="0.25">
      <c r="C126" s="96"/>
      <c r="D126" s="82" t="s">
        <v>508</v>
      </c>
      <c r="H126" s="426"/>
      <c r="I126" s="426"/>
    </row>
    <row r="127" spans="3:59" x14ac:dyDescent="0.25">
      <c r="C127" s="96"/>
      <c r="D127" s="82" t="s">
        <v>507</v>
      </c>
      <c r="H127" s="426"/>
      <c r="I127" s="426"/>
    </row>
    <row r="128" spans="3:59" x14ac:dyDescent="0.25">
      <c r="C128" s="96"/>
      <c r="D128" s="82"/>
      <c r="H128" s="426"/>
      <c r="I128" s="426"/>
    </row>
    <row r="129" spans="2:59" x14ac:dyDescent="0.25">
      <c r="C129" s="86"/>
      <c r="E129" s="295" t="s">
        <v>184</v>
      </c>
      <c r="G129" s="295" t="s">
        <v>183</v>
      </c>
      <c r="H129" s="421">
        <f>MIN(H123:BE123)</f>
        <v>1.3645523879486534</v>
      </c>
      <c r="I129" s="351"/>
      <c r="J129" s="351"/>
      <c r="K129" s="351"/>
      <c r="L129" s="351"/>
      <c r="M129" s="351"/>
      <c r="N129" s="351"/>
      <c r="O129" s="351"/>
      <c r="P129" s="351"/>
      <c r="Q129" s="351"/>
      <c r="R129" s="351"/>
      <c r="S129" s="351"/>
      <c r="T129" s="351"/>
      <c r="U129" s="351"/>
      <c r="V129" s="351"/>
      <c r="W129" s="351"/>
      <c r="X129" s="351"/>
      <c r="Y129" s="351"/>
      <c r="Z129" s="351"/>
      <c r="AA129" s="351"/>
      <c r="AB129" s="351"/>
      <c r="AC129" s="351"/>
      <c r="AD129" s="351"/>
      <c r="AE129" s="351"/>
      <c r="AF129" s="351"/>
      <c r="AG129" s="351"/>
      <c r="AH129" s="351"/>
      <c r="AI129" s="351"/>
      <c r="AJ129" s="351"/>
      <c r="AK129" s="351"/>
      <c r="AL129" s="351"/>
      <c r="AM129" s="351"/>
      <c r="AN129" s="351"/>
      <c r="AO129" s="351"/>
      <c r="AP129" s="351"/>
      <c r="AQ129" s="351"/>
      <c r="AR129" s="351"/>
      <c r="AS129" s="351"/>
      <c r="AT129" s="351"/>
      <c r="AU129" s="351"/>
      <c r="AV129" s="351"/>
      <c r="AW129" s="351"/>
      <c r="AX129" s="351"/>
      <c r="AY129" s="351"/>
      <c r="AZ129" s="351"/>
      <c r="BA129" s="351"/>
      <c r="BB129" s="351"/>
      <c r="BC129" s="351"/>
      <c r="BD129" s="351"/>
      <c r="BE129" s="351"/>
      <c r="BF129" s="351"/>
      <c r="BG129" s="351"/>
    </row>
    <row r="130" spans="2:59" x14ac:dyDescent="0.25">
      <c r="C130" s="86"/>
    </row>
    <row r="131" spans="2:59" x14ac:dyDescent="0.25">
      <c r="C131" s="7" t="str">
        <f ca="1">INDEX('Version control'!$H$34:$H$58,MATCH($A$1,'Version control'!$F$34:$F$58,0),1)&amp;"-E: Adder to be applied to unit rates"</f>
        <v>Section 518-E: Adder to be applied to unit rates</v>
      </c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</row>
    <row r="132" spans="2:59" x14ac:dyDescent="0.25">
      <c r="B132" s="82"/>
      <c r="C132" s="86"/>
    </row>
    <row r="133" spans="2:59" x14ac:dyDescent="0.25">
      <c r="C133" s="82" t="s">
        <v>509</v>
      </c>
    </row>
    <row r="134" spans="2:59" x14ac:dyDescent="0.25">
      <c r="B134" s="82"/>
      <c r="C134" s="82" t="s">
        <v>638</v>
      </c>
    </row>
    <row r="135" spans="2:59" x14ac:dyDescent="0.25">
      <c r="B135" s="82"/>
      <c r="C135" s="86"/>
    </row>
    <row r="136" spans="2:59" x14ac:dyDescent="0.25">
      <c r="B136" s="82"/>
      <c r="E136" s="86" t="s">
        <v>513</v>
      </c>
      <c r="F136" s="98"/>
      <c r="I136" s="295" t="s">
        <v>431</v>
      </c>
      <c r="BG136" s="295" t="s">
        <v>854</v>
      </c>
    </row>
    <row r="137" spans="2:59" x14ac:dyDescent="0.25">
      <c r="B137" s="82"/>
      <c r="E137" s="82" t="s">
        <v>511</v>
      </c>
    </row>
    <row r="138" spans="2:59" x14ac:dyDescent="0.25">
      <c r="B138" s="82"/>
      <c r="D138" s="295"/>
      <c r="E138" s="82" t="s">
        <v>510</v>
      </c>
      <c r="F138" s="98"/>
    </row>
    <row r="139" spans="2:59" x14ac:dyDescent="0.25">
      <c r="C139" s="86"/>
      <c r="F139" s="91" t="s">
        <v>242</v>
      </c>
      <c r="G139" s="91" t="s">
        <v>183</v>
      </c>
      <c r="H139" s="349"/>
      <c r="I139" s="349"/>
      <c r="J139" s="350">
        <f>MAX($H$129, J74)</f>
        <v>1.3645523879486534</v>
      </c>
      <c r="K139" s="350">
        <f t="shared" ref="K139:Q141" si="70">MAX($H$129, K74)</f>
        <v>1.3645523879486534</v>
      </c>
      <c r="L139" s="350">
        <f t="shared" si="70"/>
        <v>1.3645523879486534</v>
      </c>
      <c r="M139" s="350">
        <f t="shared" si="70"/>
        <v>1.3645523879486534</v>
      </c>
      <c r="N139" s="350">
        <f t="shared" si="70"/>
        <v>1.3645523879486534</v>
      </c>
      <c r="O139" s="350">
        <f t="shared" si="70"/>
        <v>1.3645523879486534</v>
      </c>
      <c r="P139" s="350">
        <f t="shared" si="70"/>
        <v>1.3645523879486534</v>
      </c>
      <c r="Q139" s="350">
        <f t="shared" si="70"/>
        <v>1.3645523879486534</v>
      </c>
      <c r="R139" s="361"/>
      <c r="S139" s="361"/>
      <c r="T139" s="361"/>
      <c r="U139" s="361"/>
      <c r="V139" s="361"/>
      <c r="W139" s="361"/>
      <c r="X139" s="361"/>
      <c r="Y139" s="361"/>
      <c r="Z139" s="351"/>
      <c r="AA139" s="351"/>
      <c r="AB139" s="351"/>
      <c r="AC139" s="351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  <c r="AS139" s="351"/>
      <c r="AT139" s="351"/>
      <c r="AU139" s="351"/>
      <c r="AV139" s="351"/>
      <c r="AW139" s="351"/>
      <c r="AX139" s="351"/>
      <c r="AY139" s="351"/>
      <c r="AZ139" s="351"/>
      <c r="BA139" s="351"/>
      <c r="BB139" s="351"/>
      <c r="BC139" s="351"/>
      <c r="BD139" s="351"/>
      <c r="BE139" s="351"/>
      <c r="BF139" s="351"/>
      <c r="BG139" s="351"/>
    </row>
    <row r="140" spans="2:59" x14ac:dyDescent="0.25">
      <c r="C140" s="86"/>
      <c r="F140" s="295" t="s">
        <v>243</v>
      </c>
      <c r="G140" s="295" t="s">
        <v>183</v>
      </c>
      <c r="H140" s="351"/>
      <c r="I140" s="351"/>
      <c r="J140" s="352">
        <f>MAX($H$129, J75)</f>
        <v>1.3645523879486534</v>
      </c>
      <c r="K140" s="352">
        <f t="shared" si="70"/>
        <v>1.3645523879486534</v>
      </c>
      <c r="L140" s="352">
        <f t="shared" si="70"/>
        <v>1.3645523879486534</v>
      </c>
      <c r="M140" s="352">
        <f t="shared" si="70"/>
        <v>1.3645523879486534</v>
      </c>
      <c r="N140" s="352">
        <f t="shared" si="70"/>
        <v>1.3645523879486534</v>
      </c>
      <c r="O140" s="352">
        <f t="shared" si="70"/>
        <v>1.3645523879486534</v>
      </c>
      <c r="P140" s="352">
        <f t="shared" si="70"/>
        <v>1.3645523879486534</v>
      </c>
      <c r="Q140" s="352">
        <f t="shared" si="70"/>
        <v>1.3645523879486534</v>
      </c>
      <c r="R140" s="422"/>
      <c r="S140" s="422"/>
      <c r="T140" s="422"/>
      <c r="U140" s="422"/>
      <c r="V140" s="422"/>
      <c r="W140" s="422"/>
      <c r="X140" s="422"/>
      <c r="Y140" s="422"/>
      <c r="Z140" s="351"/>
      <c r="AA140" s="351"/>
      <c r="AB140" s="351"/>
      <c r="AC140" s="351"/>
      <c r="AD140" s="351"/>
      <c r="AE140" s="351"/>
      <c r="AF140" s="351"/>
      <c r="AG140" s="351"/>
      <c r="AH140" s="351"/>
      <c r="AI140" s="351"/>
      <c r="AJ140" s="351"/>
      <c r="AK140" s="351"/>
      <c r="AL140" s="351"/>
      <c r="AM140" s="351"/>
      <c r="AN140" s="351"/>
      <c r="AO140" s="351"/>
      <c r="AP140" s="351"/>
      <c r="AQ140" s="351"/>
      <c r="AR140" s="351"/>
      <c r="AS140" s="351"/>
      <c r="AT140" s="351"/>
      <c r="AU140" s="351"/>
      <c r="AV140" s="351"/>
      <c r="AW140" s="351"/>
      <c r="AX140" s="351"/>
      <c r="AY140" s="351"/>
      <c r="AZ140" s="351"/>
      <c r="BA140" s="351"/>
      <c r="BB140" s="351"/>
      <c r="BC140" s="351"/>
      <c r="BD140" s="351"/>
      <c r="BE140" s="351"/>
      <c r="BF140" s="351"/>
      <c r="BG140" s="351"/>
    </row>
    <row r="141" spans="2:59" x14ac:dyDescent="0.25">
      <c r="C141" s="86"/>
      <c r="F141" s="93" t="s">
        <v>244</v>
      </c>
      <c r="G141" s="93" t="s">
        <v>183</v>
      </c>
      <c r="H141" s="353"/>
      <c r="I141" s="353"/>
      <c r="J141" s="354">
        <f>MAX($H$129, J76)</f>
        <v>1.3645523879486534</v>
      </c>
      <c r="K141" s="354">
        <f t="shared" si="70"/>
        <v>1.3645523879486534</v>
      </c>
      <c r="L141" s="354">
        <f t="shared" si="70"/>
        <v>1.3645523879486534</v>
      </c>
      <c r="M141" s="354">
        <f t="shared" si="70"/>
        <v>1.3645523879486534</v>
      </c>
      <c r="N141" s="354">
        <f t="shared" si="70"/>
        <v>1.3645523879486534</v>
      </c>
      <c r="O141" s="354">
        <f t="shared" si="70"/>
        <v>1.3645523879486534</v>
      </c>
      <c r="P141" s="354">
        <f t="shared" si="70"/>
        <v>1.3645523879486534</v>
      </c>
      <c r="Q141" s="354">
        <f t="shared" si="70"/>
        <v>1.3645523879486534</v>
      </c>
      <c r="R141" s="358"/>
      <c r="S141" s="358"/>
      <c r="T141" s="358"/>
      <c r="U141" s="358"/>
      <c r="V141" s="358"/>
      <c r="W141" s="358"/>
      <c r="X141" s="358"/>
      <c r="Y141" s="358"/>
      <c r="Z141" s="351"/>
      <c r="AA141" s="351"/>
      <c r="AB141" s="351"/>
      <c r="AC141" s="351"/>
      <c r="AD141" s="351"/>
      <c r="AE141" s="351"/>
      <c r="AF141" s="351"/>
      <c r="AG141" s="351"/>
      <c r="AH141" s="351"/>
      <c r="AI141" s="351"/>
      <c r="AJ141" s="351"/>
      <c r="AK141" s="351"/>
      <c r="AL141" s="351"/>
      <c r="AM141" s="351"/>
      <c r="AN141" s="351"/>
      <c r="AO141" s="351"/>
      <c r="AP141" s="351"/>
      <c r="AQ141" s="351"/>
      <c r="AR141" s="351"/>
      <c r="AS141" s="351"/>
      <c r="AT141" s="351"/>
      <c r="AU141" s="351"/>
      <c r="AV141" s="351"/>
      <c r="AW141" s="351"/>
      <c r="AX141" s="351"/>
      <c r="AY141" s="351"/>
      <c r="AZ141" s="351"/>
      <c r="BA141" s="351"/>
      <c r="BB141" s="351"/>
      <c r="BC141" s="351"/>
      <c r="BD141" s="351"/>
      <c r="BE141" s="351"/>
      <c r="BF141" s="351"/>
      <c r="BG141" s="351"/>
    </row>
    <row r="142" spans="2:59" x14ac:dyDescent="0.25">
      <c r="C142" s="86"/>
    </row>
    <row r="143" spans="2:59" x14ac:dyDescent="0.25">
      <c r="B143" s="95" t="s">
        <v>109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  <c r="BC143" s="72"/>
      <c r="BD143" s="72"/>
      <c r="BE143" s="72"/>
      <c r="BF143" s="72"/>
      <c r="BG143" s="72"/>
    </row>
    <row r="145" spans="4:25" x14ac:dyDescent="0.25">
      <c r="E145" s="295" t="s">
        <v>747</v>
      </c>
      <c r="G145" s="122" t="s">
        <v>692</v>
      </c>
      <c r="H145" s="412">
        <f>IF(IFERROR(J122, 1) &gt; IFERROR(J121, 0), 0, 1)</f>
        <v>0</v>
      </c>
    </row>
    <row r="147" spans="4:25" x14ac:dyDescent="0.25">
      <c r="E147" s="295" t="s">
        <v>516</v>
      </c>
      <c r="G147" s="122" t="s">
        <v>692</v>
      </c>
      <c r="H147" s="412">
        <f t="array" ref="H147">SUM(IF(ISERROR(H20:BE142), 1))</f>
        <v>0</v>
      </c>
    </row>
    <row r="149" spans="4:25" x14ac:dyDescent="0.25">
      <c r="D149" s="295"/>
      <c r="E149" s="96" t="s">
        <v>1127</v>
      </c>
      <c r="F149" s="98"/>
    </row>
    <row r="150" spans="4:25" x14ac:dyDescent="0.25">
      <c r="D150" s="295"/>
      <c r="E150" s="86"/>
      <c r="F150" s="91" t="s">
        <v>134</v>
      </c>
      <c r="G150" s="91" t="s">
        <v>107</v>
      </c>
      <c r="H150" s="91"/>
      <c r="I150" s="91"/>
      <c r="J150" s="268">
        <f t="shared" ref="J150:Y150" si="71">(J139) * J29 * ten</f>
        <v>7829995.0166581655</v>
      </c>
      <c r="K150" s="268">
        <f t="shared" si="71"/>
        <v>622.24031632099934</v>
      </c>
      <c r="L150" s="268">
        <f t="shared" si="71"/>
        <v>2030197.5523640728</v>
      </c>
      <c r="M150" s="268">
        <f t="shared" si="71"/>
        <v>93.602105217651953</v>
      </c>
      <c r="N150" s="268">
        <f t="shared" si="71"/>
        <v>1304756.9994920008</v>
      </c>
      <c r="O150" s="268">
        <f t="shared" si="71"/>
        <v>1455617.9844632035</v>
      </c>
      <c r="P150" s="268">
        <f t="shared" si="71"/>
        <v>2222833.4140452929</v>
      </c>
      <c r="Q150" s="268">
        <f t="shared" si="71"/>
        <v>96580.732862001445</v>
      </c>
      <c r="R150" s="268">
        <f t="shared" si="71"/>
        <v>0</v>
      </c>
      <c r="S150" s="268">
        <f t="shared" si="71"/>
        <v>0</v>
      </c>
      <c r="T150" s="268">
        <f t="shared" si="71"/>
        <v>0</v>
      </c>
      <c r="U150" s="268">
        <f t="shared" si="71"/>
        <v>0</v>
      </c>
      <c r="V150" s="268">
        <f t="shared" si="71"/>
        <v>0</v>
      </c>
      <c r="W150" s="268">
        <f t="shared" si="71"/>
        <v>0</v>
      </c>
      <c r="X150" s="268">
        <f t="shared" si="71"/>
        <v>0</v>
      </c>
      <c r="Y150" s="268">
        <f t="shared" si="71"/>
        <v>0</v>
      </c>
    </row>
    <row r="151" spans="4:25" x14ac:dyDescent="0.25">
      <c r="D151" s="295"/>
      <c r="E151" s="86"/>
      <c r="F151" s="295" t="s">
        <v>135</v>
      </c>
      <c r="G151" s="295" t="s">
        <v>107</v>
      </c>
      <c r="J151" s="276">
        <f t="shared" ref="J151:Y151" si="72">(J140) * J30 * ten</f>
        <v>27739950.907977879</v>
      </c>
      <c r="K151" s="276">
        <f t="shared" si="72"/>
        <v>10502.980214705367</v>
      </c>
      <c r="L151" s="276">
        <f t="shared" si="72"/>
        <v>10673963.507303903</v>
      </c>
      <c r="M151" s="276">
        <f t="shared" si="72"/>
        <v>4962.6155074873332</v>
      </c>
      <c r="N151" s="276">
        <f t="shared" si="72"/>
        <v>6011991.4333328903</v>
      </c>
      <c r="O151" s="276">
        <f t="shared" si="72"/>
        <v>7198256.5519828461</v>
      </c>
      <c r="P151" s="276">
        <f t="shared" si="72"/>
        <v>10526865.116719147</v>
      </c>
      <c r="Q151" s="276">
        <f t="shared" si="72"/>
        <v>710347.69941867795</v>
      </c>
      <c r="R151" s="276">
        <f t="shared" si="72"/>
        <v>0</v>
      </c>
      <c r="S151" s="276">
        <f t="shared" si="72"/>
        <v>0</v>
      </c>
      <c r="T151" s="276">
        <f t="shared" si="72"/>
        <v>0</v>
      </c>
      <c r="U151" s="276">
        <f t="shared" si="72"/>
        <v>0</v>
      </c>
      <c r="V151" s="276">
        <f t="shared" si="72"/>
        <v>0</v>
      </c>
      <c r="W151" s="276">
        <f t="shared" si="72"/>
        <v>0</v>
      </c>
      <c r="X151" s="276">
        <f t="shared" si="72"/>
        <v>0</v>
      </c>
      <c r="Y151" s="276">
        <f t="shared" si="72"/>
        <v>0</v>
      </c>
    </row>
    <row r="152" spans="4:25" x14ac:dyDescent="0.25">
      <c r="D152" s="295"/>
      <c r="E152" s="86"/>
      <c r="F152" s="295" t="s">
        <v>136</v>
      </c>
      <c r="G152" s="295" t="s">
        <v>107</v>
      </c>
      <c r="J152" s="276">
        <f t="shared" ref="J152:Y152" si="73">(J141) * J31 * ten</f>
        <v>26115574.817645915</v>
      </c>
      <c r="K152" s="276">
        <f t="shared" si="73"/>
        <v>141097.49010074671</v>
      </c>
      <c r="L152" s="276">
        <f t="shared" si="73"/>
        <v>10344430.499447836</v>
      </c>
      <c r="M152" s="276">
        <f t="shared" si="73"/>
        <v>60390.539586672676</v>
      </c>
      <c r="N152" s="276">
        <f t="shared" si="73"/>
        <v>5966003.025285149</v>
      </c>
      <c r="O152" s="276">
        <f t="shared" si="73"/>
        <v>7910726.0435490012</v>
      </c>
      <c r="P152" s="276">
        <f t="shared" si="73"/>
        <v>13039498.895665888</v>
      </c>
      <c r="Q152" s="276">
        <f t="shared" si="73"/>
        <v>1311223.3207248827</v>
      </c>
      <c r="R152" s="276">
        <f t="shared" si="73"/>
        <v>0</v>
      </c>
      <c r="S152" s="276">
        <f t="shared" si="73"/>
        <v>0</v>
      </c>
      <c r="T152" s="276">
        <f t="shared" si="73"/>
        <v>0</v>
      </c>
      <c r="U152" s="276">
        <f t="shared" si="73"/>
        <v>0</v>
      </c>
      <c r="V152" s="276">
        <f t="shared" si="73"/>
        <v>0</v>
      </c>
      <c r="W152" s="276">
        <f t="shared" si="73"/>
        <v>0</v>
      </c>
      <c r="X152" s="276">
        <f t="shared" si="73"/>
        <v>0</v>
      </c>
      <c r="Y152" s="276">
        <f t="shared" si="73"/>
        <v>0</v>
      </c>
    </row>
    <row r="153" spans="4:25" x14ac:dyDescent="0.25">
      <c r="D153" s="295"/>
      <c r="E153" s="86"/>
      <c r="F153" s="295" t="s">
        <v>311</v>
      </c>
      <c r="G153" s="295" t="s">
        <v>107</v>
      </c>
      <c r="J153" s="276">
        <f t="shared" ref="J153:Y153" si="74">(J142) * J32 * ten</f>
        <v>0</v>
      </c>
      <c r="K153" s="276">
        <f t="shared" si="74"/>
        <v>0</v>
      </c>
      <c r="L153" s="276">
        <f t="shared" si="74"/>
        <v>0</v>
      </c>
      <c r="M153" s="276">
        <f t="shared" si="74"/>
        <v>0</v>
      </c>
      <c r="N153" s="276">
        <f t="shared" si="74"/>
        <v>0</v>
      </c>
      <c r="O153" s="276">
        <f t="shared" si="74"/>
        <v>0</v>
      </c>
      <c r="P153" s="276">
        <f t="shared" si="74"/>
        <v>0</v>
      </c>
      <c r="Q153" s="276">
        <f t="shared" si="74"/>
        <v>0</v>
      </c>
      <c r="R153" s="276">
        <f t="shared" si="74"/>
        <v>0</v>
      </c>
      <c r="S153" s="276">
        <f t="shared" si="74"/>
        <v>0</v>
      </c>
      <c r="T153" s="276">
        <f t="shared" si="74"/>
        <v>0</v>
      </c>
      <c r="U153" s="276">
        <f t="shared" si="74"/>
        <v>0</v>
      </c>
      <c r="V153" s="276">
        <f t="shared" si="74"/>
        <v>0</v>
      </c>
      <c r="W153" s="276">
        <f t="shared" si="74"/>
        <v>0</v>
      </c>
      <c r="X153" s="276">
        <f t="shared" si="74"/>
        <v>0</v>
      </c>
      <c r="Y153" s="276">
        <f t="shared" si="74"/>
        <v>0</v>
      </c>
    </row>
    <row r="154" spans="4:25" x14ac:dyDescent="0.25">
      <c r="D154" s="295"/>
      <c r="E154" s="86"/>
      <c r="F154" s="295" t="s">
        <v>312</v>
      </c>
      <c r="G154" s="295" t="s">
        <v>107</v>
      </c>
      <c r="J154" s="276">
        <f t="shared" ref="J154:Y154" si="75">(J143) * J33 * ten</f>
        <v>0</v>
      </c>
      <c r="K154" s="276">
        <f t="shared" si="75"/>
        <v>0</v>
      </c>
      <c r="L154" s="276">
        <f t="shared" si="75"/>
        <v>0</v>
      </c>
      <c r="M154" s="276">
        <f t="shared" si="75"/>
        <v>0</v>
      </c>
      <c r="N154" s="276">
        <f t="shared" si="75"/>
        <v>0</v>
      </c>
      <c r="O154" s="276">
        <f t="shared" si="75"/>
        <v>0</v>
      </c>
      <c r="P154" s="276">
        <f t="shared" si="75"/>
        <v>0</v>
      </c>
      <c r="Q154" s="276">
        <f t="shared" si="75"/>
        <v>0</v>
      </c>
      <c r="R154" s="276">
        <f t="shared" si="75"/>
        <v>0</v>
      </c>
      <c r="S154" s="276">
        <f t="shared" si="75"/>
        <v>0</v>
      </c>
      <c r="T154" s="276">
        <f t="shared" si="75"/>
        <v>0</v>
      </c>
      <c r="U154" s="276">
        <f t="shared" si="75"/>
        <v>0</v>
      </c>
      <c r="V154" s="276">
        <f t="shared" si="75"/>
        <v>0</v>
      </c>
      <c r="W154" s="276">
        <f t="shared" si="75"/>
        <v>0</v>
      </c>
      <c r="X154" s="276">
        <f t="shared" si="75"/>
        <v>0</v>
      </c>
      <c r="Y154" s="276">
        <f t="shared" si="75"/>
        <v>0</v>
      </c>
    </row>
    <row r="155" spans="4:25" x14ac:dyDescent="0.25">
      <c r="D155" s="295"/>
      <c r="E155" s="86"/>
      <c r="F155" s="295" t="s">
        <v>313</v>
      </c>
      <c r="G155" s="295" t="s">
        <v>107</v>
      </c>
      <c r="J155" s="276">
        <f t="shared" ref="J155:Y155" si="76">(J144) * J34 * ten</f>
        <v>0</v>
      </c>
      <c r="K155" s="276">
        <f t="shared" si="76"/>
        <v>0</v>
      </c>
      <c r="L155" s="276">
        <f t="shared" si="76"/>
        <v>0</v>
      </c>
      <c r="M155" s="276">
        <f t="shared" si="76"/>
        <v>0</v>
      </c>
      <c r="N155" s="276">
        <f t="shared" si="76"/>
        <v>0</v>
      </c>
      <c r="O155" s="276">
        <f t="shared" si="76"/>
        <v>0</v>
      </c>
      <c r="P155" s="276">
        <f t="shared" si="76"/>
        <v>0</v>
      </c>
      <c r="Q155" s="276">
        <f t="shared" si="76"/>
        <v>0</v>
      </c>
      <c r="R155" s="276">
        <f t="shared" si="76"/>
        <v>0</v>
      </c>
      <c r="S155" s="276">
        <f t="shared" si="76"/>
        <v>0</v>
      </c>
      <c r="T155" s="276">
        <f t="shared" si="76"/>
        <v>0</v>
      </c>
      <c r="U155" s="276">
        <f t="shared" si="76"/>
        <v>0</v>
      </c>
      <c r="V155" s="276">
        <f t="shared" si="76"/>
        <v>0</v>
      </c>
      <c r="W155" s="276">
        <f t="shared" si="76"/>
        <v>0</v>
      </c>
      <c r="X155" s="276">
        <f t="shared" si="76"/>
        <v>0</v>
      </c>
      <c r="Y155" s="276">
        <f t="shared" si="76"/>
        <v>0</v>
      </c>
    </row>
    <row r="156" spans="4:25" x14ac:dyDescent="0.25">
      <c r="D156" s="295"/>
      <c r="E156" s="86"/>
      <c r="F156" s="93" t="s">
        <v>314</v>
      </c>
      <c r="G156" s="93" t="s">
        <v>107</v>
      </c>
      <c r="H156" s="93"/>
      <c r="I156" s="93"/>
      <c r="J156" s="269">
        <f t="shared" ref="J156:Y156" si="77">(J145) * J35 * ten</f>
        <v>0</v>
      </c>
      <c r="K156" s="269">
        <f t="shared" si="77"/>
        <v>0</v>
      </c>
      <c r="L156" s="269">
        <f t="shared" si="77"/>
        <v>0</v>
      </c>
      <c r="M156" s="269">
        <f t="shared" si="77"/>
        <v>0</v>
      </c>
      <c r="N156" s="269">
        <f t="shared" si="77"/>
        <v>0</v>
      </c>
      <c r="O156" s="269">
        <f t="shared" si="77"/>
        <v>0</v>
      </c>
      <c r="P156" s="269">
        <f t="shared" si="77"/>
        <v>0</v>
      </c>
      <c r="Q156" s="269">
        <f t="shared" si="77"/>
        <v>0</v>
      </c>
      <c r="R156" s="269">
        <f t="shared" si="77"/>
        <v>0</v>
      </c>
      <c r="S156" s="269">
        <f t="shared" si="77"/>
        <v>0</v>
      </c>
      <c r="T156" s="269">
        <f t="shared" si="77"/>
        <v>0</v>
      </c>
      <c r="U156" s="269">
        <f t="shared" si="77"/>
        <v>0</v>
      </c>
      <c r="V156" s="269">
        <f t="shared" si="77"/>
        <v>0</v>
      </c>
      <c r="W156" s="269">
        <f t="shared" si="77"/>
        <v>0</v>
      </c>
      <c r="X156" s="269">
        <f t="shared" si="77"/>
        <v>0</v>
      </c>
      <c r="Y156" s="269">
        <f t="shared" si="77"/>
        <v>0</v>
      </c>
    </row>
    <row r="158" spans="4:25" x14ac:dyDescent="0.25">
      <c r="E158" s="295" t="s">
        <v>1128</v>
      </c>
      <c r="G158" s="295" t="s">
        <v>107</v>
      </c>
      <c r="H158" s="253">
        <f>SUM(J150:Y156)</f>
        <v>142706482.98676988</v>
      </c>
    </row>
    <row r="160" spans="4:25" x14ac:dyDescent="0.25">
      <c r="E160" s="295" t="s">
        <v>639</v>
      </c>
      <c r="G160" s="295" t="s">
        <v>692</v>
      </c>
      <c r="H160" s="412">
        <f>IF(ABS(IFERROR(H158, 0) - H60) &lt; 10^-check_decimals, 0, 1)</f>
        <v>0</v>
      </c>
    </row>
    <row r="162" spans="2:59" x14ac:dyDescent="0.25">
      <c r="E162" s="295" t="s">
        <v>640</v>
      </c>
      <c r="G162" s="122" t="s">
        <v>692</v>
      </c>
      <c r="H162" s="312">
        <f>H145 + H147 + H160</f>
        <v>0</v>
      </c>
    </row>
    <row r="164" spans="2:59" x14ac:dyDescent="0.25">
      <c r="B164" s="95" t="s">
        <v>110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  <c r="BC164" s="72"/>
      <c r="BD164" s="72"/>
      <c r="BE164" s="72"/>
      <c r="BF164" s="72"/>
      <c r="BG164" s="72"/>
    </row>
  </sheetData>
  <sheetProtection sheet="1" objects="1" formatCells="0" formatColumns="0" formatRows="0" sort="0" autoFilter="0"/>
  <conditionalFormatting sqref="H147">
    <cfRule type="cellIs" dxfId="40" priority="13" operator="greaterThan">
      <formula>0</formula>
    </cfRule>
  </conditionalFormatting>
  <conditionalFormatting sqref="H160">
    <cfRule type="cellIs" dxfId="39" priority="12" operator="greaterThan">
      <formula>0</formula>
    </cfRule>
  </conditionalFormatting>
  <conditionalFormatting sqref="H162">
    <cfRule type="cellIs" dxfId="38" priority="11" operator="greaterThan">
      <formula>0</formula>
    </cfRule>
  </conditionalFormatting>
  <conditionalFormatting sqref="H145">
    <cfRule type="cellIs" dxfId="37" priority="10" operator="greaterThan">
      <formula>0</formula>
    </cfRule>
  </conditionalFormatting>
  <conditionalFormatting sqref="A4:I4 Z4:XFD4">
    <cfRule type="expression" dxfId="36" priority="9">
      <formula>LEFT($A$4,1) &lt;&gt; "0"</formula>
    </cfRule>
  </conditionalFormatting>
  <conditionalFormatting sqref="N4:P4">
    <cfRule type="expression" dxfId="35" priority="8">
      <formula>LEFT($A$4,1) &lt;&gt; "0"</formula>
    </cfRule>
  </conditionalFormatting>
  <conditionalFormatting sqref="L4:M4">
    <cfRule type="expression" dxfId="34" priority="7">
      <formula>LEFT($A$4,1) &lt;&gt; "0"</formula>
    </cfRule>
  </conditionalFormatting>
  <conditionalFormatting sqref="J4:K4">
    <cfRule type="expression" dxfId="33" priority="6">
      <formula>LEFT($A$4,1) &lt;&gt; "0"</formula>
    </cfRule>
  </conditionalFormatting>
  <conditionalFormatting sqref="Q4">
    <cfRule type="expression" dxfId="32" priority="5">
      <formula>LEFT($A$4,1) &lt;&gt; "0"</formula>
    </cfRule>
  </conditionalFormatting>
  <conditionalFormatting sqref="R4:S4">
    <cfRule type="expression" dxfId="31" priority="4">
      <formula>LEFT($A$4,1) &lt;&gt; "0"</formula>
    </cfRule>
  </conditionalFormatting>
  <conditionalFormatting sqref="T4:U4">
    <cfRule type="expression" dxfId="30" priority="3">
      <formula>LEFT($A$4,1) &lt;&gt; "0"</formula>
    </cfRule>
  </conditionalFormatting>
  <conditionalFormatting sqref="V4:W4">
    <cfRule type="expression" dxfId="29" priority="2">
      <formula>LEFT($A$4,1) &lt;&gt; "0"</formula>
    </cfRule>
  </conditionalFormatting>
  <conditionalFormatting sqref="X4:Y4">
    <cfRule type="expression" dxfId="28" priority="1">
      <formula>LEFT($A$4,1) &lt;&gt; "0"</formula>
    </cfRule>
  </conditionalFormatting>
  <hyperlinks>
    <hyperlink ref="B5:F5" location="'Model map'!A1" display="Click here to return to model map" xr:uid="{00000000-0004-0000-1F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6">
    <tabColor theme="4" tint="0.59999389629810485"/>
    <pageSetUpPr fitToPage="1"/>
  </sheetPr>
  <dimension ref="A1:KO7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01" width="24.5703125" style="295" hidden="1" customWidth="1"/>
    <col min="302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Fixed charge adder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H66 &amp; IF(H66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1129</v>
      </c>
      <c r="E9" s="295"/>
    </row>
    <row r="10" spans="1:27" x14ac:dyDescent="0.25">
      <c r="C10" s="82" t="s">
        <v>1130</v>
      </c>
      <c r="E10" s="295"/>
    </row>
    <row r="12" spans="1:27" x14ac:dyDescent="0.25">
      <c r="B12" s="95" t="s">
        <v>1131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1132</v>
      </c>
    </row>
    <row r="16" spans="1:27" x14ac:dyDescent="0.25">
      <c r="C16" s="7" t="str">
        <f ca="1">INDEX('Version control'!$H$34:$H$59,MATCH($A$1,'Version control'!$F$34:$F$59,0),1)&amp;"-A: Inputs for fixed tariff adjustments"</f>
        <v>Section 519-A: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86" t="s">
        <v>74</v>
      </c>
      <c r="F18" s="96"/>
    </row>
    <row r="19" spans="3:27" x14ac:dyDescent="0.25">
      <c r="E19" s="82" t="s">
        <v>1133</v>
      </c>
      <c r="F19" s="98"/>
    </row>
    <row r="20" spans="3:27" x14ac:dyDescent="0.25">
      <c r="C20" s="86"/>
      <c r="F20" s="91" t="s">
        <v>145</v>
      </c>
      <c r="G20" s="91" t="s">
        <v>74</v>
      </c>
      <c r="H20" s="360"/>
      <c r="I20" s="349"/>
      <c r="J20" s="360">
        <f>'Inputs by customer type'!J27</f>
        <v>1391172</v>
      </c>
      <c r="K20" s="360">
        <f>'Inputs by customer type'!K27</f>
        <v>3359</v>
      </c>
      <c r="L20" s="360">
        <f>'Inputs by customer type'!L27</f>
        <v>97941</v>
      </c>
      <c r="M20" s="360">
        <f>'Inputs by customer type'!M27</f>
        <v>996</v>
      </c>
      <c r="N20" s="360">
        <f>'Inputs by customer type'!N27</f>
        <v>5288</v>
      </c>
      <c r="O20" s="360">
        <f>'Inputs by customer type'!O27</f>
        <v>3061</v>
      </c>
      <c r="P20" s="360">
        <f>'Inputs by customer type'!P27</f>
        <v>797</v>
      </c>
      <c r="Q20" s="360">
        <f>'Inputs by customer type'!Q27</f>
        <v>582</v>
      </c>
      <c r="R20" s="360">
        <f>'Inputs by customer type'!R27</f>
        <v>156</v>
      </c>
      <c r="S20" s="360">
        <f>'Inputs by customer type'!S27</f>
        <v>24</v>
      </c>
      <c r="T20" s="360">
        <f>'Inputs by customer type'!T27</f>
        <v>313</v>
      </c>
      <c r="U20" s="360">
        <f>'Inputs by customer type'!U27</f>
        <v>0</v>
      </c>
      <c r="V20" s="360">
        <f>'Inputs by customer type'!V27</f>
        <v>41</v>
      </c>
      <c r="W20" s="360">
        <f>'Inputs by customer type'!W27</f>
        <v>0</v>
      </c>
      <c r="X20" s="360">
        <f>'Inputs by customer type'!X27</f>
        <v>133</v>
      </c>
      <c r="Y20" s="360">
        <f>'Inputs by customer type'!Y27</f>
        <v>0</v>
      </c>
      <c r="Z20" s="351"/>
      <c r="AA20" s="351"/>
    </row>
    <row r="21" spans="3:27" x14ac:dyDescent="0.25">
      <c r="C21" s="86"/>
      <c r="F21" s="295" t="s">
        <v>146</v>
      </c>
      <c r="G21" s="295" t="s">
        <v>74</v>
      </c>
      <c r="H21" s="420"/>
      <c r="I21" s="351"/>
      <c r="J21" s="420">
        <f>'Inputs by customer type'!J36</f>
        <v>19946</v>
      </c>
      <c r="K21" s="420">
        <f>'Inputs by customer type'!K36</f>
        <v>0</v>
      </c>
      <c r="L21" s="420">
        <f>'Inputs by customer type'!L36</f>
        <v>314</v>
      </c>
      <c r="M21" s="420">
        <f>'Inputs by customer type'!M36</f>
        <v>0</v>
      </c>
      <c r="N21" s="420">
        <f>'Inputs by customer type'!N36</f>
        <v>37</v>
      </c>
      <c r="O21" s="420">
        <f>'Inputs by customer type'!O36</f>
        <v>0</v>
      </c>
      <c r="P21" s="420">
        <f>'Inputs by customer type'!P36</f>
        <v>0</v>
      </c>
      <c r="Q21" s="420">
        <f>'Inputs by customer type'!Q36</f>
        <v>8</v>
      </c>
      <c r="R21" s="420">
        <f>'Inputs by customer type'!R36</f>
        <v>0</v>
      </c>
      <c r="S21" s="420">
        <f>'Inputs by customer type'!S36</f>
        <v>0</v>
      </c>
      <c r="T21" s="420">
        <f>'Inputs by customer type'!T36</f>
        <v>0</v>
      </c>
      <c r="U21" s="420">
        <f>'Inputs by customer type'!U36</f>
        <v>0</v>
      </c>
      <c r="V21" s="420">
        <f>'Inputs by customer type'!V36</f>
        <v>0</v>
      </c>
      <c r="W21" s="420">
        <f>'Inputs by customer type'!W36</f>
        <v>0</v>
      </c>
      <c r="X21" s="420">
        <f>'Inputs by customer type'!X36</f>
        <v>0</v>
      </c>
      <c r="Y21" s="420">
        <f>'Inputs by customer type'!Y36</f>
        <v>0</v>
      </c>
      <c r="Z21" s="351"/>
      <c r="AA21" s="351"/>
    </row>
    <row r="22" spans="3:27" x14ac:dyDescent="0.25">
      <c r="C22" s="86"/>
      <c r="F22" s="295" t="s">
        <v>147</v>
      </c>
      <c r="G22" s="295" t="s">
        <v>74</v>
      </c>
      <c r="H22" s="420"/>
      <c r="I22" s="351"/>
      <c r="J22" s="420">
        <f>'Inputs by customer type'!J45</f>
        <v>26068</v>
      </c>
      <c r="K22" s="420">
        <f>'Inputs by customer type'!K45</f>
        <v>0</v>
      </c>
      <c r="L22" s="420">
        <f>'Inputs by customer type'!L45</f>
        <v>609</v>
      </c>
      <c r="M22" s="420">
        <f>'Inputs by customer type'!M45</f>
        <v>0</v>
      </c>
      <c r="N22" s="420">
        <f>'Inputs by customer type'!N45</f>
        <v>214</v>
      </c>
      <c r="O22" s="420">
        <f>'Inputs by customer type'!O45</f>
        <v>20</v>
      </c>
      <c r="P22" s="420">
        <f>'Inputs by customer type'!P45</f>
        <v>18</v>
      </c>
      <c r="Q22" s="420">
        <f>'Inputs by customer type'!Q45</f>
        <v>50</v>
      </c>
      <c r="R22" s="420">
        <f>'Inputs by customer type'!R45</f>
        <v>0</v>
      </c>
      <c r="S22" s="420">
        <f>'Inputs by customer type'!S45</f>
        <v>0</v>
      </c>
      <c r="T22" s="420">
        <f>'Inputs by customer type'!T45</f>
        <v>0</v>
      </c>
      <c r="U22" s="420">
        <f>'Inputs by customer type'!U45</f>
        <v>0</v>
      </c>
      <c r="V22" s="420">
        <f>'Inputs by customer type'!V45</f>
        <v>0</v>
      </c>
      <c r="W22" s="420">
        <f>'Inputs by customer type'!W45</f>
        <v>0</v>
      </c>
      <c r="X22" s="420">
        <f>'Inputs by customer type'!X45</f>
        <v>0</v>
      </c>
      <c r="Y22" s="420">
        <f>'Inputs by customer type'!Y45</f>
        <v>0</v>
      </c>
      <c r="Z22" s="351"/>
      <c r="AA22" s="351"/>
    </row>
    <row r="23" spans="3:27" x14ac:dyDescent="0.25">
      <c r="C23" s="86"/>
      <c r="F23" s="93" t="s">
        <v>1134</v>
      </c>
      <c r="G23" s="93" t="s">
        <v>74</v>
      </c>
      <c r="H23" s="115"/>
      <c r="I23" s="93"/>
      <c r="J23" s="275">
        <f>'Inputs by customer type'!J50</f>
        <v>470</v>
      </c>
      <c r="K23" s="275">
        <f>'Inputs by customer type'!K50</f>
        <v>0</v>
      </c>
      <c r="L23" s="275">
        <f>'Inputs by customer type'!L50</f>
        <v>0</v>
      </c>
      <c r="M23" s="275">
        <f>'Inputs by customer type'!M50</f>
        <v>0</v>
      </c>
      <c r="N23" s="275">
        <f>'Inputs by customer type'!N50</f>
        <v>0</v>
      </c>
      <c r="O23" s="275">
        <f>'Inputs by customer type'!O50</f>
        <v>5</v>
      </c>
      <c r="P23" s="275">
        <f>'Inputs by customer type'!P50</f>
        <v>9</v>
      </c>
      <c r="Q23" s="275">
        <f>'Inputs by customer type'!Q50</f>
        <v>0</v>
      </c>
      <c r="R23" s="275">
        <f>'Inputs by customer type'!R50</f>
        <v>0</v>
      </c>
      <c r="S23" s="275">
        <f>'Inputs by customer type'!S50</f>
        <v>0</v>
      </c>
      <c r="T23" s="275">
        <f>'Inputs by customer type'!T50</f>
        <v>0</v>
      </c>
      <c r="U23" s="275">
        <f>'Inputs by customer type'!U50</f>
        <v>0</v>
      </c>
      <c r="V23" s="275">
        <f>'Inputs by customer type'!V50</f>
        <v>0</v>
      </c>
      <c r="W23" s="275">
        <f>'Inputs by customer type'!W50</f>
        <v>0</v>
      </c>
      <c r="X23" s="275">
        <f>'Inputs by customer type'!X50</f>
        <v>0</v>
      </c>
      <c r="Y23" s="275">
        <f>'Inputs by customer type'!Y50</f>
        <v>0</v>
      </c>
    </row>
    <row r="24" spans="3:27" x14ac:dyDescent="0.25">
      <c r="C24" s="86"/>
      <c r="E24" s="295"/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3"/>
      <c r="V24" s="253"/>
      <c r="W24" s="253"/>
      <c r="X24" s="253"/>
      <c r="Y24" s="253"/>
    </row>
    <row r="25" spans="3:27" x14ac:dyDescent="0.25">
      <c r="C25" s="86"/>
      <c r="E25" s="96" t="s">
        <v>1135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3"/>
      <c r="V25" s="253"/>
      <c r="W25" s="253"/>
      <c r="X25" s="253"/>
      <c r="Y25" s="253"/>
    </row>
    <row r="26" spans="3:27" x14ac:dyDescent="0.25">
      <c r="C26" s="86"/>
      <c r="E26" s="295"/>
      <c r="F26" s="91" t="s">
        <v>1121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25">
      <c r="C27" s="86"/>
      <c r="E27" s="295"/>
      <c r="F27" s="93" t="s">
        <v>1122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25">
      <c r="C28" s="86"/>
      <c r="E28" s="295"/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3"/>
      <c r="V28" s="253"/>
      <c r="W28" s="253"/>
      <c r="X28" s="253"/>
      <c r="Y28" s="253"/>
    </row>
    <row r="29" spans="3:27" x14ac:dyDescent="0.25">
      <c r="C29" s="86"/>
      <c r="E29" s="96" t="s">
        <v>1124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C30" s="86"/>
      <c r="E30" s="295"/>
      <c r="F30" s="91" t="s">
        <v>1121</v>
      </c>
      <c r="G30" s="91" t="s">
        <v>107</v>
      </c>
      <c r="H30" s="273">
        <f>'General inputs'!H56</f>
        <v>35542.579269051414</v>
      </c>
      <c r="J30" s="274"/>
      <c r="K30" s="274"/>
      <c r="L30" s="274"/>
      <c r="M30" s="274"/>
      <c r="N30" s="274"/>
      <c r="O30" s="274"/>
      <c r="P30" s="274"/>
      <c r="Q30" s="274"/>
      <c r="R30" s="274"/>
      <c r="S30" s="274"/>
      <c r="T30" s="274"/>
      <c r="U30" s="274"/>
      <c r="V30" s="274"/>
      <c r="W30" s="274"/>
      <c r="X30" s="274"/>
      <c r="Y30" s="274"/>
    </row>
    <row r="31" spans="3:27" x14ac:dyDescent="0.25">
      <c r="C31" s="86"/>
      <c r="E31" s="295"/>
      <c r="F31" s="93" t="s">
        <v>1122</v>
      </c>
      <c r="G31" s="93" t="s">
        <v>107</v>
      </c>
      <c r="H31" s="275">
        <f>'General inputs'!H57</f>
        <v>1428543.453235823</v>
      </c>
      <c r="J31" s="274"/>
      <c r="K31" s="274"/>
      <c r="L31" s="274"/>
      <c r="M31" s="274"/>
      <c r="N31" s="274"/>
      <c r="O31" s="274"/>
      <c r="P31" s="274"/>
      <c r="Q31" s="274"/>
      <c r="R31" s="274"/>
      <c r="S31" s="274"/>
      <c r="T31" s="274"/>
      <c r="U31" s="274"/>
      <c r="V31" s="274"/>
      <c r="W31" s="274"/>
      <c r="X31" s="274"/>
      <c r="Y31" s="274"/>
    </row>
    <row r="33" spans="3:27" x14ac:dyDescent="0.25">
      <c r="C33" s="7" t="str">
        <f ca="1">INDEX('Version control'!$H$34:$H$59,MATCH($A$1,'Version control'!$F$34:$F$59,0),1)&amp;"-B: Calculation of fixed tariff adjustments"</f>
        <v>Section 519-B: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25">
      <c r="C34" s="86"/>
      <c r="E34" s="295"/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3"/>
      <c r="V34" s="253"/>
      <c r="W34" s="253"/>
      <c r="X34" s="253"/>
      <c r="Y34" s="253"/>
    </row>
    <row r="35" spans="3:27" x14ac:dyDescent="0.25">
      <c r="C35" s="86"/>
      <c r="E35" s="96" t="s">
        <v>1136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3"/>
      <c r="V35" s="253"/>
      <c r="W35" s="253"/>
      <c r="X35" s="253"/>
      <c r="Y35" s="253"/>
    </row>
    <row r="36" spans="3:27" x14ac:dyDescent="0.25">
      <c r="F36" s="91" t="s">
        <v>1121</v>
      </c>
      <c r="G36" s="91" t="s">
        <v>74</v>
      </c>
      <c r="H36" s="91"/>
      <c r="I36" s="91"/>
      <c r="J36" s="278">
        <f>SUM( J$20:J$23 ) * J26</f>
        <v>1437656</v>
      </c>
      <c r="K36" s="278">
        <f t="shared" ref="K36:Y36" si="0">SUM( K$20:K$23 ) * K26</f>
        <v>0</v>
      </c>
      <c r="L36" s="278">
        <f t="shared" si="0"/>
        <v>0</v>
      </c>
      <c r="M36" s="278">
        <f t="shared" si="0"/>
        <v>0</v>
      </c>
      <c r="N36" s="278">
        <f t="shared" si="0"/>
        <v>0</v>
      </c>
      <c r="O36" s="278">
        <f t="shared" si="0"/>
        <v>0</v>
      </c>
      <c r="P36" s="278">
        <f t="shared" si="0"/>
        <v>0</v>
      </c>
      <c r="Q36" s="278">
        <f t="shared" si="0"/>
        <v>0</v>
      </c>
      <c r="R36" s="278">
        <f t="shared" si="0"/>
        <v>0</v>
      </c>
      <c r="S36" s="278">
        <f t="shared" si="0"/>
        <v>0</v>
      </c>
      <c r="T36" s="278">
        <f t="shared" si="0"/>
        <v>0</v>
      </c>
      <c r="U36" s="278">
        <f t="shared" si="0"/>
        <v>0</v>
      </c>
      <c r="V36" s="278">
        <f t="shared" si="0"/>
        <v>0</v>
      </c>
      <c r="W36" s="278">
        <f t="shared" si="0"/>
        <v>0</v>
      </c>
      <c r="X36" s="278">
        <f t="shared" si="0"/>
        <v>0</v>
      </c>
      <c r="Y36" s="278">
        <f t="shared" si="0"/>
        <v>0</v>
      </c>
    </row>
    <row r="37" spans="3:27" x14ac:dyDescent="0.25">
      <c r="F37" s="93" t="s">
        <v>1122</v>
      </c>
      <c r="G37" s="93" t="s">
        <v>74</v>
      </c>
      <c r="H37" s="93"/>
      <c r="I37" s="93"/>
      <c r="J37" s="272">
        <f t="shared" ref="J37:Y37" si="1">SUM( J$20:J$23 ) * J27</f>
        <v>1437656</v>
      </c>
      <c r="K37" s="272">
        <f t="shared" si="1"/>
        <v>0</v>
      </c>
      <c r="L37" s="272">
        <f t="shared" si="1"/>
        <v>98864</v>
      </c>
      <c r="M37" s="272">
        <f t="shared" si="1"/>
        <v>0</v>
      </c>
      <c r="N37" s="272">
        <f t="shared" si="1"/>
        <v>5539</v>
      </c>
      <c r="O37" s="272">
        <f t="shared" si="1"/>
        <v>3086</v>
      </c>
      <c r="P37" s="272">
        <f t="shared" si="1"/>
        <v>824</v>
      </c>
      <c r="Q37" s="272">
        <f t="shared" si="1"/>
        <v>0</v>
      </c>
      <c r="R37" s="272">
        <f t="shared" si="1"/>
        <v>0</v>
      </c>
      <c r="S37" s="272">
        <f t="shared" si="1"/>
        <v>0</v>
      </c>
      <c r="T37" s="272">
        <f t="shared" si="1"/>
        <v>0</v>
      </c>
      <c r="U37" s="272">
        <f t="shared" si="1"/>
        <v>0</v>
      </c>
      <c r="V37" s="272">
        <f t="shared" si="1"/>
        <v>0</v>
      </c>
      <c r="W37" s="272">
        <f t="shared" si="1"/>
        <v>0</v>
      </c>
      <c r="X37" s="272">
        <f t="shared" si="1"/>
        <v>0</v>
      </c>
      <c r="Y37" s="272">
        <f t="shared" si="1"/>
        <v>0</v>
      </c>
    </row>
    <row r="38" spans="3:27" x14ac:dyDescent="0.25">
      <c r="C38" s="86"/>
      <c r="E38" s="295"/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  <c r="U38" s="253"/>
      <c r="V38" s="253"/>
      <c r="W38" s="253"/>
      <c r="X38" s="253"/>
      <c r="Y38" s="253"/>
    </row>
    <row r="39" spans="3:27" x14ac:dyDescent="0.25">
      <c r="C39" s="86"/>
      <c r="E39" s="96" t="s">
        <v>1137</v>
      </c>
      <c r="I39" s="295" t="s">
        <v>431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  <c r="U39" s="253"/>
      <c r="V39" s="253"/>
      <c r="W39" s="253"/>
      <c r="X39" s="253"/>
      <c r="Y39" s="253"/>
      <c r="AA39" s="295" t="s">
        <v>1164</v>
      </c>
    </row>
    <row r="40" spans="3:27" x14ac:dyDescent="0.25">
      <c r="C40" s="86"/>
      <c r="E40" s="295"/>
      <c r="F40" s="91" t="s">
        <v>1121</v>
      </c>
      <c r="G40" s="91" t="s">
        <v>309</v>
      </c>
      <c r="H40" s="254">
        <f>H30 / SUM( J36:Y36 ) * hundred / days_in_year</f>
        <v>6.7733122182393043E-3</v>
      </c>
      <c r="I40" s="111"/>
      <c r="J40" s="416"/>
      <c r="K40" s="416"/>
      <c r="L40" s="416"/>
      <c r="M40" s="416"/>
      <c r="N40" s="416"/>
      <c r="O40" s="416"/>
      <c r="P40" s="416"/>
      <c r="Q40" s="416"/>
      <c r="R40" s="416"/>
      <c r="S40" s="416"/>
      <c r="T40" s="416"/>
      <c r="U40" s="416"/>
      <c r="V40" s="416"/>
      <c r="W40" s="416"/>
      <c r="X40" s="416"/>
      <c r="Y40" s="416"/>
    </row>
    <row r="41" spans="3:27" x14ac:dyDescent="0.25">
      <c r="C41" s="86"/>
      <c r="E41" s="295"/>
      <c r="F41" s="93" t="s">
        <v>1122</v>
      </c>
      <c r="G41" s="93" t="s">
        <v>309</v>
      </c>
      <c r="H41" s="249">
        <f>H31 / SUM( J37:Y37 ) * hundred / days_in_year</f>
        <v>0.25316275294641388</v>
      </c>
      <c r="I41" s="111"/>
      <c r="J41" s="416"/>
      <c r="K41" s="416"/>
      <c r="L41" s="416"/>
      <c r="M41" s="416"/>
      <c r="N41" s="416"/>
      <c r="O41" s="416"/>
      <c r="P41" s="416"/>
      <c r="Q41" s="416"/>
      <c r="R41" s="416"/>
      <c r="S41" s="416"/>
      <c r="T41" s="416"/>
      <c r="U41" s="416"/>
      <c r="V41" s="416"/>
      <c r="W41" s="416"/>
      <c r="X41" s="416"/>
      <c r="Y41" s="416"/>
    </row>
    <row r="42" spans="3:27" x14ac:dyDescent="0.25">
      <c r="C42" s="86"/>
      <c r="E42" s="295"/>
      <c r="H42" s="111"/>
      <c r="I42" s="111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</row>
    <row r="43" spans="3:27" x14ac:dyDescent="0.25">
      <c r="C43" s="86"/>
      <c r="E43" s="96" t="s">
        <v>1138</v>
      </c>
      <c r="H43" s="111"/>
      <c r="I43" s="111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</row>
    <row r="44" spans="3:27" x14ac:dyDescent="0.25">
      <c r="C44" s="86"/>
      <c r="E44" s="295"/>
      <c r="F44" s="91" t="s">
        <v>1121</v>
      </c>
      <c r="G44" s="91" t="s">
        <v>309</v>
      </c>
      <c r="H44" s="254"/>
      <c r="I44" s="254"/>
      <c r="J44" s="254">
        <f>IF( J26 = 1, $H40, 0)</f>
        <v>6.7733122182393043E-3</v>
      </c>
      <c r="K44" s="254">
        <f t="shared" ref="K44:Y44" si="2">IF( K26 = 1, $H40, 0)</f>
        <v>0</v>
      </c>
      <c r="L44" s="254">
        <f t="shared" si="2"/>
        <v>0</v>
      </c>
      <c r="M44" s="254">
        <f t="shared" si="2"/>
        <v>0</v>
      </c>
      <c r="N44" s="254">
        <f t="shared" si="2"/>
        <v>0</v>
      </c>
      <c r="O44" s="254">
        <f t="shared" si="2"/>
        <v>0</v>
      </c>
      <c r="P44" s="254">
        <f t="shared" si="2"/>
        <v>0</v>
      </c>
      <c r="Q44" s="254">
        <f t="shared" si="2"/>
        <v>0</v>
      </c>
      <c r="R44" s="254">
        <f t="shared" si="2"/>
        <v>0</v>
      </c>
      <c r="S44" s="254">
        <f t="shared" si="2"/>
        <v>0</v>
      </c>
      <c r="T44" s="254">
        <f t="shared" si="2"/>
        <v>0</v>
      </c>
      <c r="U44" s="254">
        <f t="shared" si="2"/>
        <v>0</v>
      </c>
      <c r="V44" s="254">
        <f t="shared" si="2"/>
        <v>0</v>
      </c>
      <c r="W44" s="254">
        <f t="shared" si="2"/>
        <v>0</v>
      </c>
      <c r="X44" s="254">
        <f t="shared" si="2"/>
        <v>0</v>
      </c>
      <c r="Y44" s="254">
        <f t="shared" si="2"/>
        <v>0</v>
      </c>
    </row>
    <row r="45" spans="3:27" x14ac:dyDescent="0.25">
      <c r="C45" s="86"/>
      <c r="E45" s="295"/>
      <c r="F45" s="93" t="s">
        <v>1122</v>
      </c>
      <c r="G45" s="93" t="s">
        <v>309</v>
      </c>
      <c r="H45" s="249"/>
      <c r="I45" s="249"/>
      <c r="J45" s="249">
        <f t="shared" ref="J45:Y45" si="3">IF( J27 = 1, $H41, 0)</f>
        <v>0.25316275294641388</v>
      </c>
      <c r="K45" s="249">
        <f t="shared" si="3"/>
        <v>0</v>
      </c>
      <c r="L45" s="249">
        <f t="shared" si="3"/>
        <v>0.25316275294641388</v>
      </c>
      <c r="M45" s="249">
        <f t="shared" si="3"/>
        <v>0</v>
      </c>
      <c r="N45" s="249">
        <f t="shared" si="3"/>
        <v>0.25316275294641388</v>
      </c>
      <c r="O45" s="249">
        <f t="shared" si="3"/>
        <v>0.25316275294641388</v>
      </c>
      <c r="P45" s="249">
        <f t="shared" si="3"/>
        <v>0.25316275294641388</v>
      </c>
      <c r="Q45" s="249">
        <f t="shared" si="3"/>
        <v>0</v>
      </c>
      <c r="R45" s="249">
        <f t="shared" si="3"/>
        <v>0</v>
      </c>
      <c r="S45" s="249">
        <f t="shared" si="3"/>
        <v>0</v>
      </c>
      <c r="T45" s="249">
        <f t="shared" si="3"/>
        <v>0</v>
      </c>
      <c r="U45" s="249">
        <f t="shared" si="3"/>
        <v>0</v>
      </c>
      <c r="V45" s="249">
        <f t="shared" si="3"/>
        <v>0</v>
      </c>
      <c r="W45" s="249">
        <f t="shared" si="3"/>
        <v>0</v>
      </c>
      <c r="X45" s="249">
        <f t="shared" si="3"/>
        <v>0</v>
      </c>
      <c r="Y45" s="249">
        <f t="shared" si="3"/>
        <v>0</v>
      </c>
    </row>
    <row r="46" spans="3:27" x14ac:dyDescent="0.25">
      <c r="C46" s="86"/>
      <c r="E46" s="295"/>
      <c r="F46" s="73" t="s">
        <v>272</v>
      </c>
      <c r="G46" s="73" t="s">
        <v>309</v>
      </c>
      <c r="H46" s="288"/>
      <c r="I46" s="288"/>
      <c r="J46" s="453">
        <f xml:space="preserve"> J44 + J45</f>
        <v>0.25993606516465317</v>
      </c>
      <c r="K46" s="453">
        <f t="shared" ref="K46:Y46" si="4" xml:space="preserve"> K44 + K45</f>
        <v>0</v>
      </c>
      <c r="L46" s="453">
        <f t="shared" si="4"/>
        <v>0.25316275294641388</v>
      </c>
      <c r="M46" s="453">
        <f t="shared" si="4"/>
        <v>0</v>
      </c>
      <c r="N46" s="453">
        <f t="shared" si="4"/>
        <v>0.25316275294641388</v>
      </c>
      <c r="O46" s="453">
        <f t="shared" si="4"/>
        <v>0.25316275294641388</v>
      </c>
      <c r="P46" s="453">
        <f t="shared" si="4"/>
        <v>0.25316275294641388</v>
      </c>
      <c r="Q46" s="453">
        <f t="shared" si="4"/>
        <v>0</v>
      </c>
      <c r="R46" s="453">
        <f t="shared" si="4"/>
        <v>0</v>
      </c>
      <c r="S46" s="453">
        <f t="shared" si="4"/>
        <v>0</v>
      </c>
      <c r="T46" s="453">
        <f t="shared" si="4"/>
        <v>0</v>
      </c>
      <c r="U46" s="453">
        <f t="shared" si="4"/>
        <v>0</v>
      </c>
      <c r="V46" s="453">
        <f t="shared" si="4"/>
        <v>0</v>
      </c>
      <c r="W46" s="453">
        <f t="shared" si="4"/>
        <v>0</v>
      </c>
      <c r="X46" s="453">
        <f t="shared" si="4"/>
        <v>0</v>
      </c>
      <c r="Y46" s="453">
        <f t="shared" si="4"/>
        <v>0</v>
      </c>
    </row>
    <row r="47" spans="3:27" x14ac:dyDescent="0.2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25">
      <c r="C48" s="7" t="str">
        <f ca="1">INDEX('Version control'!$H$34:$H$59,MATCH($A$1,'Version control'!$F$34:$F$59,0),1)&amp;"-C: Calculation of fixed charge adder revenue"</f>
        <v>Section 519-C: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C49" s="86"/>
      <c r="E49" s="295"/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  <c r="U49" s="253"/>
      <c r="V49" s="253"/>
      <c r="W49" s="253"/>
      <c r="X49" s="253"/>
      <c r="Y49" s="253"/>
    </row>
    <row r="50" spans="2:27" x14ac:dyDescent="0.25">
      <c r="E50" s="295" t="s">
        <v>1139</v>
      </c>
      <c r="G50" s="122" t="s">
        <v>107</v>
      </c>
      <c r="H50" s="432"/>
      <c r="I50" s="111"/>
      <c r="J50" s="432">
        <f t="shared" ref="J50:Y50" si="5">J46 / hundred * days_in_year * SUM( J20:J22 )</f>
        <v>1363554.1291865043</v>
      </c>
      <c r="K50" s="432">
        <f t="shared" si="5"/>
        <v>0</v>
      </c>
      <c r="L50" s="432">
        <f t="shared" si="5"/>
        <v>91354.690786624065</v>
      </c>
      <c r="M50" s="432">
        <f t="shared" si="5"/>
        <v>0</v>
      </c>
      <c r="N50" s="432">
        <f t="shared" si="5"/>
        <v>5118.2799832811816</v>
      </c>
      <c r="O50" s="432">
        <f t="shared" si="5"/>
        <v>2846.9797126718395</v>
      </c>
      <c r="P50" s="432">
        <f t="shared" si="5"/>
        <v>753.0958993273448</v>
      </c>
      <c r="Q50" s="432">
        <f t="shared" si="5"/>
        <v>0</v>
      </c>
      <c r="R50" s="432">
        <f t="shared" si="5"/>
        <v>0</v>
      </c>
      <c r="S50" s="432">
        <f t="shared" si="5"/>
        <v>0</v>
      </c>
      <c r="T50" s="432">
        <f t="shared" si="5"/>
        <v>0</v>
      </c>
      <c r="U50" s="432">
        <f t="shared" si="5"/>
        <v>0</v>
      </c>
      <c r="V50" s="432">
        <f t="shared" si="5"/>
        <v>0</v>
      </c>
      <c r="W50" s="432">
        <f t="shared" si="5"/>
        <v>0</v>
      </c>
      <c r="X50" s="432">
        <f t="shared" si="5"/>
        <v>0</v>
      </c>
      <c r="Y50" s="432">
        <f t="shared" si="5"/>
        <v>0</v>
      </c>
    </row>
    <row r="51" spans="2:27" x14ac:dyDescent="0.2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25">
      <c r="E52" s="295" t="s">
        <v>1140</v>
      </c>
      <c r="G52" s="122" t="s">
        <v>107</v>
      </c>
      <c r="H52" s="234">
        <f>SUM( J50:Y50 )</f>
        <v>1463627.1755684088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2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25">
      <c r="E54" s="295" t="s">
        <v>1141</v>
      </c>
      <c r="G54" s="122" t="s">
        <v>107</v>
      </c>
      <c r="H54" s="432"/>
      <c r="I54" s="111"/>
      <c r="J54" s="432">
        <f t="shared" ref="J54:Y54" si="6">J46 / hundred * days_in_year * J23</f>
        <v>445.92031978996249</v>
      </c>
      <c r="K54" s="432">
        <f t="shared" si="6"/>
        <v>0</v>
      </c>
      <c r="L54" s="432">
        <f t="shared" si="6"/>
        <v>0</v>
      </c>
      <c r="M54" s="432">
        <f t="shared" si="6"/>
        <v>0</v>
      </c>
      <c r="N54" s="432">
        <f t="shared" si="6"/>
        <v>0</v>
      </c>
      <c r="O54" s="432">
        <f t="shared" si="6"/>
        <v>4.6202202412720537</v>
      </c>
      <c r="P54" s="432">
        <f t="shared" si="6"/>
        <v>8.3163964342896968</v>
      </c>
      <c r="Q54" s="432">
        <f t="shared" si="6"/>
        <v>0</v>
      </c>
      <c r="R54" s="432">
        <f t="shared" si="6"/>
        <v>0</v>
      </c>
      <c r="S54" s="432">
        <f t="shared" si="6"/>
        <v>0</v>
      </c>
      <c r="T54" s="432">
        <f t="shared" si="6"/>
        <v>0</v>
      </c>
      <c r="U54" s="432">
        <f t="shared" si="6"/>
        <v>0</v>
      </c>
      <c r="V54" s="432">
        <f t="shared" si="6"/>
        <v>0</v>
      </c>
      <c r="W54" s="432">
        <f t="shared" si="6"/>
        <v>0</v>
      </c>
      <c r="X54" s="432">
        <f t="shared" si="6"/>
        <v>0</v>
      </c>
      <c r="Y54" s="432">
        <f t="shared" si="6"/>
        <v>0</v>
      </c>
    </row>
    <row r="55" spans="2:27" x14ac:dyDescent="0.2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25">
      <c r="E56" s="295" t="s">
        <v>1142</v>
      </c>
      <c r="G56" s="122" t="s">
        <v>107</v>
      </c>
      <c r="H56" s="234">
        <f>SUM( J54:Y54 )</f>
        <v>458.85693646552426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2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2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2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25">
      <c r="E60" s="295" t="s">
        <v>1143</v>
      </c>
      <c r="G60" s="122" t="s">
        <v>107</v>
      </c>
      <c r="H60" s="432"/>
      <c r="I60" s="111"/>
      <c r="J60" s="432">
        <f xml:space="preserve"> J50 + J54</f>
        <v>1364000.0495062943</v>
      </c>
      <c r="K60" s="432">
        <f t="shared" ref="K60:Y60" si="7" xml:space="preserve"> K50 + K54</f>
        <v>0</v>
      </c>
      <c r="L60" s="432">
        <f t="shared" si="7"/>
        <v>91354.690786624065</v>
      </c>
      <c r="M60" s="432">
        <f t="shared" si="7"/>
        <v>0</v>
      </c>
      <c r="N60" s="432">
        <f t="shared" si="7"/>
        <v>5118.2799832811816</v>
      </c>
      <c r="O60" s="432">
        <f t="shared" si="7"/>
        <v>2851.5999329131114</v>
      </c>
      <c r="P60" s="432">
        <f t="shared" si="7"/>
        <v>761.41229576163448</v>
      </c>
      <c r="Q60" s="432">
        <f t="shared" si="7"/>
        <v>0</v>
      </c>
      <c r="R60" s="432">
        <f t="shared" si="7"/>
        <v>0</v>
      </c>
      <c r="S60" s="432">
        <f t="shared" si="7"/>
        <v>0</v>
      </c>
      <c r="T60" s="432">
        <f t="shared" si="7"/>
        <v>0</v>
      </c>
      <c r="U60" s="432">
        <f t="shared" si="7"/>
        <v>0</v>
      </c>
      <c r="V60" s="432">
        <f t="shared" si="7"/>
        <v>0</v>
      </c>
      <c r="W60" s="432">
        <f t="shared" si="7"/>
        <v>0</v>
      </c>
      <c r="X60" s="432">
        <f t="shared" si="7"/>
        <v>0</v>
      </c>
      <c r="Y60" s="432">
        <f t="shared" si="7"/>
        <v>0</v>
      </c>
    </row>
    <row r="61" spans="2:27" x14ac:dyDescent="0.2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25">
      <c r="E62" s="295" t="s">
        <v>1144</v>
      </c>
      <c r="G62" s="122" t="s">
        <v>107</v>
      </c>
      <c r="H62" s="253">
        <f>SUM( J60:Y60 )</f>
        <v>1464086.0325048743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2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25">
      <c r="E64" s="295" t="s">
        <v>1145</v>
      </c>
      <c r="G64" s="122" t="s">
        <v>692</v>
      </c>
      <c r="H64" s="419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25">
      <c r="E66" s="295" t="s">
        <v>516</v>
      </c>
      <c r="G66" s="122" t="s">
        <v>692</v>
      </c>
      <c r="H66" s="148">
        <f t="array" ref="H66">SUM( IF( ISERROR( H20:Y57 ), 1 )) + H64</f>
        <v>0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  <row r="69" spans="2:27" x14ac:dyDescent="0.25"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</row>
    <row r="70" spans="2:27" x14ac:dyDescent="0.25"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</row>
    <row r="71" spans="2:27" x14ac:dyDescent="0.25"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</row>
    <row r="72" spans="2:27" x14ac:dyDescent="0.25"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</row>
    <row r="73" spans="2:27" x14ac:dyDescent="0.25"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</row>
    <row r="74" spans="2:27" x14ac:dyDescent="0.25"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</row>
    <row r="75" spans="2:27" x14ac:dyDescent="0.25"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</row>
    <row r="76" spans="2:27" x14ac:dyDescent="0.25"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</row>
  </sheetData>
  <sheetProtection sheet="1" objects="1" formatCells="0" formatColumns="0" formatRows="0" sort="0" autoFilter="0"/>
  <conditionalFormatting sqref="H66">
    <cfRule type="cellIs" dxfId="27" priority="3" operator="greaterThan">
      <formula>0</formula>
    </cfRule>
  </conditionalFormatting>
  <conditionalFormatting sqref="A4:XFD4">
    <cfRule type="expression" dxfId="26" priority="2">
      <formula>LEFT($A$4,1) &lt;&gt; "0"</formula>
    </cfRule>
  </conditionalFormatting>
  <conditionalFormatting sqref="H64">
    <cfRule type="cellIs" dxfId="25" priority="1" operator="greaterThan">
      <formula>0</formula>
    </cfRule>
  </conditionalFormatting>
  <hyperlinks>
    <hyperlink ref="B5:F5" location="'Model map'!A1" display="Click here to return to model map" xr:uid="{00000000-0004-0000-20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5">
    <tabColor theme="4" tint="0.59999389629810485"/>
    <pageSetUpPr fitToPage="1"/>
  </sheetPr>
  <dimension ref="A1:LE1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5" customWidth="1"/>
    <col min="4" max="5" width="2.5703125" style="98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29" width="24.5703125" style="295" hidden="1" customWidth="1"/>
    <col min="30" max="30" width="3.5703125" style="295" hidden="1" customWidth="1"/>
    <col min="31" max="31" width="15.42578125" style="295" hidden="1" customWidth="1"/>
    <col min="32" max="317" width="24.5703125" style="295" hidden="1" customWidth="1"/>
    <col min="318" max="16384" width="8.5703125" style="295" hidden="1"/>
  </cols>
  <sheetData>
    <row r="1" spans="1:27" s="10" customFormat="1" x14ac:dyDescent="0.25">
      <c r="A1" s="10" t="str">
        <f ca="1">MID(CELL("filename",A1),FIND("]",CELL("filename",A1))+1,255)</f>
        <v>Rounding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H158 &amp; IF(H158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855</v>
      </c>
      <c r="E9" s="295"/>
    </row>
    <row r="10" spans="1:27" x14ac:dyDescent="0.25">
      <c r="C10" s="82" t="s">
        <v>877</v>
      </c>
      <c r="E10" s="295"/>
    </row>
    <row r="12" spans="1:27" x14ac:dyDescent="0.25">
      <c r="B12" s="95" t="s">
        <v>326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878</v>
      </c>
    </row>
    <row r="16" spans="1:27" x14ac:dyDescent="0.25">
      <c r="C16" s="7" t="str">
        <f ca="1">INDEX('Version control'!$H$34:$H$58,MATCH($A$1,'Version control'!$F$34:$F$58,0),1)&amp;"-A: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96" t="s">
        <v>879</v>
      </c>
      <c r="F18" s="96"/>
    </row>
    <row r="19" spans="3:27" x14ac:dyDescent="0.25">
      <c r="E19" s="82" t="s">
        <v>916</v>
      </c>
      <c r="F19" s="98"/>
    </row>
    <row r="20" spans="3:27" x14ac:dyDescent="0.25">
      <c r="C20" s="86"/>
      <c r="F20" s="91" t="s">
        <v>134</v>
      </c>
      <c r="G20" s="91" t="s">
        <v>183</v>
      </c>
      <c r="H20" s="360"/>
      <c r="I20" s="349"/>
      <c r="J20" s="360">
        <f>'Revenue matching'!J20</f>
        <v>10.11594964860876</v>
      </c>
      <c r="K20" s="360">
        <f>'Revenue matching'!K20</f>
        <v>10.11594964860876</v>
      </c>
      <c r="L20" s="360">
        <f>'Revenue matching'!L20</f>
        <v>12.564395696515698</v>
      </c>
      <c r="M20" s="360">
        <f>'Revenue matching'!M20</f>
        <v>12.564395696515698</v>
      </c>
      <c r="N20" s="360">
        <f>'Revenue matching'!N20</f>
        <v>9.1767990438929967</v>
      </c>
      <c r="O20" s="360">
        <f>'Revenue matching'!O20</f>
        <v>6.8642779713820374</v>
      </c>
      <c r="P20" s="360">
        <f>'Revenue matching'!P20</f>
        <v>5.165127472019492</v>
      </c>
      <c r="Q20" s="360">
        <f>'Revenue matching'!Q20</f>
        <v>18.178805927558937</v>
      </c>
      <c r="R20" s="360">
        <f>'Revenue matching'!R20</f>
        <v>-7.6670869640904762</v>
      </c>
      <c r="S20" s="360">
        <f>'Revenue matching'!S20</f>
        <v>-6.8872141338766015</v>
      </c>
      <c r="T20" s="360">
        <f>'Revenue matching'!T20</f>
        <v>-7.6670869640904762</v>
      </c>
      <c r="U20" s="360">
        <f>'Revenue matching'!U20</f>
        <v>-7.6670869640904762</v>
      </c>
      <c r="V20" s="360">
        <f>'Revenue matching'!V20</f>
        <v>-6.8872141338766015</v>
      </c>
      <c r="W20" s="360">
        <f>'Revenue matching'!W20</f>
        <v>-6.8872141338766015</v>
      </c>
      <c r="X20" s="360">
        <f>'Revenue matching'!X20</f>
        <v>-4.8607236937772624</v>
      </c>
      <c r="Y20" s="360">
        <f>'Revenue matching'!Y20</f>
        <v>-4.8607236937772624</v>
      </c>
      <c r="Z20" s="351"/>
      <c r="AA20" s="351"/>
    </row>
    <row r="21" spans="3:27" x14ac:dyDescent="0.25">
      <c r="C21" s="86"/>
      <c r="F21" s="295" t="s">
        <v>135</v>
      </c>
      <c r="G21" s="295" t="s">
        <v>183</v>
      </c>
      <c r="H21" s="420"/>
      <c r="I21" s="351"/>
      <c r="J21" s="420">
        <f>'Revenue matching'!J21</f>
        <v>1.597587341513643</v>
      </c>
      <c r="K21" s="420">
        <f>'Revenue matching'!K21</f>
        <v>1.597587341513643</v>
      </c>
      <c r="L21" s="420">
        <f>'Revenue matching'!L21</f>
        <v>1.9842644749900038</v>
      </c>
      <c r="M21" s="420">
        <f>'Revenue matching'!M21</f>
        <v>1.9842644749900038</v>
      </c>
      <c r="N21" s="420">
        <f>'Revenue matching'!N21</f>
        <v>1.3757330065845093</v>
      </c>
      <c r="O21" s="420">
        <f>'Revenue matching'!O21</f>
        <v>0.8989422107421281</v>
      </c>
      <c r="P21" s="420">
        <f>'Revenue matching'!P21</f>
        <v>0.62848157310492736</v>
      </c>
      <c r="Q21" s="420">
        <f>'Revenue matching'!Q21</f>
        <v>2.2269967765251373</v>
      </c>
      <c r="R21" s="420">
        <f>'Revenue matching'!R21</f>
        <v>-1.2108444096298747</v>
      </c>
      <c r="S21" s="420">
        <f>'Revenue matching'!S21</f>
        <v>-1.0576237365468442</v>
      </c>
      <c r="T21" s="420">
        <f>'Revenue matching'!T21</f>
        <v>-1.2108444096298747</v>
      </c>
      <c r="U21" s="420">
        <f>'Revenue matching'!U21</f>
        <v>-1.2108444096298747</v>
      </c>
      <c r="V21" s="420">
        <f>'Revenue matching'!V21</f>
        <v>-1.0576237365468442</v>
      </c>
      <c r="W21" s="420">
        <f>'Revenue matching'!W21</f>
        <v>-1.0576237365468442</v>
      </c>
      <c r="X21" s="420">
        <f>'Revenue matching'!X21</f>
        <v>-0.625066267685503</v>
      </c>
      <c r="Y21" s="420">
        <f>'Revenue matching'!Y21</f>
        <v>-0.625066267685503</v>
      </c>
      <c r="Z21" s="351"/>
      <c r="AA21" s="351"/>
    </row>
    <row r="22" spans="3:27" x14ac:dyDescent="0.25">
      <c r="C22" s="86"/>
      <c r="F22" s="295" t="s">
        <v>136</v>
      </c>
      <c r="G22" s="295" t="s">
        <v>183</v>
      </c>
      <c r="H22" s="420"/>
      <c r="I22" s="351"/>
      <c r="J22" s="420">
        <f>'Revenue matching'!J22</f>
        <v>0.19892969640308419</v>
      </c>
      <c r="K22" s="420">
        <f>'Revenue matching'!K22</f>
        <v>0.19892969640308419</v>
      </c>
      <c r="L22" s="420">
        <f>'Revenue matching'!L22</f>
        <v>0.24707827818615433</v>
      </c>
      <c r="M22" s="420">
        <f>'Revenue matching'!M22</f>
        <v>0.24707827818615433</v>
      </c>
      <c r="N22" s="420">
        <f>'Revenue matching'!N22</f>
        <v>0.18419071179769397</v>
      </c>
      <c r="O22" s="420">
        <f>'Revenue matching'!O22</f>
        <v>0.14437381052570919</v>
      </c>
      <c r="P22" s="420">
        <f>'Revenue matching'!P22</f>
        <v>0.1037577497041882</v>
      </c>
      <c r="Q22" s="420">
        <f>'Revenue matching'!Q22</f>
        <v>0.486908811291489</v>
      </c>
      <c r="R22" s="420">
        <f>'Revenue matching'!R22</f>
        <v>-0.15077292147972721</v>
      </c>
      <c r="S22" s="420">
        <f>'Revenue matching'!S22</f>
        <v>-0.13696109573644608</v>
      </c>
      <c r="T22" s="420">
        <f>'Revenue matching'!T22</f>
        <v>-0.15077292147972721</v>
      </c>
      <c r="U22" s="420">
        <f>'Revenue matching'!U22</f>
        <v>-0.15077292147972721</v>
      </c>
      <c r="V22" s="420">
        <f>'Revenue matching'!V22</f>
        <v>-0.13696109573644608</v>
      </c>
      <c r="W22" s="420">
        <f>'Revenue matching'!W22</f>
        <v>-0.13696109573644608</v>
      </c>
      <c r="X22" s="420">
        <f>'Revenue matching'!X22</f>
        <v>-9.944343700203076E-2</v>
      </c>
      <c r="Y22" s="420">
        <f>'Revenue matching'!Y22</f>
        <v>-9.944343700203076E-2</v>
      </c>
      <c r="Z22" s="351"/>
      <c r="AA22" s="351"/>
    </row>
    <row r="23" spans="3:27" x14ac:dyDescent="0.25">
      <c r="C23" s="86"/>
      <c r="F23" s="295" t="s">
        <v>311</v>
      </c>
      <c r="G23" s="295" t="s">
        <v>309</v>
      </c>
      <c r="H23" s="384"/>
      <c r="J23" s="274">
        <f>'Revenue matching'!J23</f>
        <v>3.2257009358243165</v>
      </c>
      <c r="K23" s="274">
        <f>'Revenue matching'!K23</f>
        <v>0</v>
      </c>
      <c r="L23" s="274">
        <f>'Revenue matching'!L23</f>
        <v>4.1419178272877861</v>
      </c>
      <c r="M23" s="274">
        <f>'Revenue matching'!M23</f>
        <v>0</v>
      </c>
      <c r="N23" s="274">
        <f>'Revenue matching'!N23</f>
        <v>16.639421607654022</v>
      </c>
      <c r="O23" s="274">
        <f>'Revenue matching'!O23</f>
        <v>5.8727370379955364</v>
      </c>
      <c r="P23" s="274">
        <f>'Revenue matching'!P23</f>
        <v>88.916773164159807</v>
      </c>
      <c r="Q23" s="274">
        <f>'Revenue matching'!Q23</f>
        <v>0</v>
      </c>
      <c r="R23" s="274">
        <f>'Revenue matching'!R23</f>
        <v>0</v>
      </c>
      <c r="S23" s="274">
        <f>'Revenue matching'!S23</f>
        <v>0</v>
      </c>
      <c r="T23" s="274">
        <f>'Revenue matching'!T23</f>
        <v>0</v>
      </c>
      <c r="U23" s="274">
        <f>'Revenue matching'!U23</f>
        <v>0</v>
      </c>
      <c r="V23" s="274">
        <f>'Revenue matching'!V23</f>
        <v>0</v>
      </c>
      <c r="W23" s="274">
        <f>'Revenue matching'!W23</f>
        <v>0</v>
      </c>
      <c r="X23" s="274">
        <f>'Revenue matching'!X23</f>
        <v>64.92870103793399</v>
      </c>
      <c r="Y23" s="274">
        <f>'Revenue matching'!Y23</f>
        <v>64.92870103793399</v>
      </c>
    </row>
    <row r="24" spans="3:27" x14ac:dyDescent="0.25">
      <c r="C24" s="86"/>
      <c r="F24" s="295" t="s">
        <v>312</v>
      </c>
      <c r="G24" s="295" t="s">
        <v>308</v>
      </c>
      <c r="H24" s="384"/>
      <c r="J24" s="274">
        <f>'Revenue matching'!J24</f>
        <v>0</v>
      </c>
      <c r="K24" s="274">
        <f>'Revenue matching'!K24</f>
        <v>0</v>
      </c>
      <c r="L24" s="274">
        <f>'Revenue matching'!L24</f>
        <v>0</v>
      </c>
      <c r="M24" s="274">
        <f>'Revenue matching'!M24</f>
        <v>0</v>
      </c>
      <c r="N24" s="274">
        <f>'Revenue matching'!N24</f>
        <v>2.4834222162989184</v>
      </c>
      <c r="O24" s="274">
        <f>'Revenue matching'!O24</f>
        <v>5.0190999144643538</v>
      </c>
      <c r="P24" s="274">
        <f>'Revenue matching'!P24</f>
        <v>3.9211655448088703</v>
      </c>
      <c r="Q24" s="274">
        <f>'Revenue matching'!Q24</f>
        <v>0</v>
      </c>
      <c r="R24" s="274">
        <f>'Revenue matching'!R24</f>
        <v>0</v>
      </c>
      <c r="S24" s="274">
        <f>'Revenue matching'!S24</f>
        <v>0</v>
      </c>
      <c r="T24" s="274">
        <f>'Revenue matching'!T24</f>
        <v>0</v>
      </c>
      <c r="U24" s="274">
        <f>'Revenue matching'!U24</f>
        <v>0</v>
      </c>
      <c r="V24" s="274">
        <f>'Revenue matching'!V24</f>
        <v>0</v>
      </c>
      <c r="W24" s="274">
        <f>'Revenue matching'!W24</f>
        <v>0</v>
      </c>
      <c r="X24" s="274">
        <f>'Revenue matching'!X24</f>
        <v>0</v>
      </c>
      <c r="Y24" s="274">
        <f>'Revenue matching'!Y24</f>
        <v>0</v>
      </c>
    </row>
    <row r="25" spans="3:27" x14ac:dyDescent="0.25">
      <c r="C25" s="86"/>
      <c r="F25" s="295" t="s">
        <v>313</v>
      </c>
      <c r="G25" s="295" t="s">
        <v>308</v>
      </c>
      <c r="H25" s="384"/>
      <c r="J25" s="274">
        <f>'Revenue matching'!J25</f>
        <v>0</v>
      </c>
      <c r="K25" s="274">
        <f>'Revenue matching'!K25</f>
        <v>0</v>
      </c>
      <c r="L25" s="274">
        <f>'Revenue matching'!L25</f>
        <v>0</v>
      </c>
      <c r="M25" s="274">
        <f>'Revenue matching'!M25</f>
        <v>0</v>
      </c>
      <c r="N25" s="274">
        <f>'Revenue matching'!N25</f>
        <v>4.5187571060823757</v>
      </c>
      <c r="O25" s="274">
        <f>'Revenue matching'!O25</f>
        <v>7.0110989954461296</v>
      </c>
      <c r="P25" s="274">
        <f>'Revenue matching'!P25</f>
        <v>6.5257681525581148</v>
      </c>
      <c r="Q25" s="274">
        <f>'Revenue matching'!Q25</f>
        <v>0</v>
      </c>
      <c r="R25" s="274">
        <f>'Revenue matching'!R25</f>
        <v>0</v>
      </c>
      <c r="S25" s="274">
        <f>'Revenue matching'!S25</f>
        <v>0</v>
      </c>
      <c r="T25" s="274">
        <f>'Revenue matching'!T25</f>
        <v>0</v>
      </c>
      <c r="U25" s="274">
        <f>'Revenue matching'!U25</f>
        <v>0</v>
      </c>
      <c r="V25" s="274">
        <f>'Revenue matching'!V25</f>
        <v>0</v>
      </c>
      <c r="W25" s="274">
        <f>'Revenue matching'!W25</f>
        <v>0</v>
      </c>
      <c r="X25" s="274">
        <f>'Revenue matching'!X25</f>
        <v>0</v>
      </c>
      <c r="Y25" s="274">
        <f>'Revenue matching'!Y25</f>
        <v>0</v>
      </c>
    </row>
    <row r="26" spans="3:27" x14ac:dyDescent="0.25">
      <c r="C26" s="86"/>
      <c r="F26" s="93" t="s">
        <v>314</v>
      </c>
      <c r="G26" s="93" t="s">
        <v>315</v>
      </c>
      <c r="H26" s="363"/>
      <c r="I26" s="353"/>
      <c r="J26" s="363">
        <f>'Revenue matching'!J26</f>
        <v>0</v>
      </c>
      <c r="K26" s="363">
        <f>'Revenue matching'!K26</f>
        <v>0</v>
      </c>
      <c r="L26" s="363">
        <f>'Revenue matching'!L26</f>
        <v>0</v>
      </c>
      <c r="M26" s="363">
        <f>'Revenue matching'!M26</f>
        <v>0</v>
      </c>
      <c r="N26" s="363">
        <f>'Revenue matching'!N26</f>
        <v>0.40368859796416162</v>
      </c>
      <c r="O26" s="363">
        <f>'Revenue matching'!O26</f>
        <v>0.24363438241295179</v>
      </c>
      <c r="P26" s="363">
        <f>'Revenue matching'!P26</f>
        <v>0.17267908446293873</v>
      </c>
      <c r="Q26" s="363">
        <f>'Revenue matching'!Q26</f>
        <v>0</v>
      </c>
      <c r="R26" s="363">
        <f>'Revenue matching'!R26</f>
        <v>0</v>
      </c>
      <c r="S26" s="363">
        <f>'Revenue matching'!S26</f>
        <v>0</v>
      </c>
      <c r="T26" s="363">
        <f>'Revenue matching'!T26</f>
        <v>0.33080423076610987</v>
      </c>
      <c r="U26" s="363">
        <f>'Revenue matching'!U26</f>
        <v>0</v>
      </c>
      <c r="V26" s="363">
        <f>'Revenue matching'!V26</f>
        <v>0.30468338725013466</v>
      </c>
      <c r="W26" s="363">
        <f>'Revenue matching'!W26</f>
        <v>0</v>
      </c>
      <c r="X26" s="363">
        <f>'Revenue matching'!X26</f>
        <v>0.2321386727871092</v>
      </c>
      <c r="Y26" s="363">
        <f>'Revenue matching'!Y26</f>
        <v>0</v>
      </c>
      <c r="Z26" s="351"/>
      <c r="AA26" s="351"/>
    </row>
    <row r="27" spans="3:27" x14ac:dyDescent="0.25">
      <c r="C27" s="86"/>
      <c r="E27" s="295"/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</row>
    <row r="28" spans="3:27" x14ac:dyDescent="0.25">
      <c r="C28" s="7" t="str">
        <f ca="1">INDEX('Version control'!$H$34:$H$58,MATCH($A$1,'Version control'!$F$34:$F$58,0),1)&amp;"-B: Adder to be applied to unit rates"</f>
        <v>Section 520-B: Adder to be applied to unit rates</v>
      </c>
      <c r="D28" s="7"/>
      <c r="E28" s="7"/>
      <c r="F28" s="7"/>
      <c r="G28" s="7"/>
      <c r="H28" s="7"/>
      <c r="I28" s="7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7"/>
      <c r="AA28" s="7"/>
    </row>
    <row r="29" spans="3:27" x14ac:dyDescent="0.25"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3"/>
      <c r="V29" s="253"/>
      <c r="W29" s="253"/>
      <c r="X29" s="253"/>
      <c r="Y29" s="253"/>
    </row>
    <row r="30" spans="3:27" x14ac:dyDescent="0.25">
      <c r="E30" s="86" t="s">
        <v>513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3"/>
      <c r="V30" s="253"/>
      <c r="W30" s="253"/>
      <c r="X30" s="253"/>
      <c r="Y30" s="253"/>
    </row>
    <row r="31" spans="3:27" x14ac:dyDescent="0.25">
      <c r="E31" s="82" t="s">
        <v>512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</row>
    <row r="32" spans="3:27" x14ac:dyDescent="0.25">
      <c r="E32" s="86"/>
      <c r="F32" s="91" t="s">
        <v>134</v>
      </c>
      <c r="G32" s="91" t="s">
        <v>183</v>
      </c>
      <c r="H32" s="360"/>
      <c r="I32" s="349"/>
      <c r="J32" s="360">
        <f>'Revenue matching'!J139</f>
        <v>1.3645523879486534</v>
      </c>
      <c r="K32" s="360">
        <f>'Revenue matching'!K139</f>
        <v>1.3645523879486534</v>
      </c>
      <c r="L32" s="360">
        <f>'Revenue matching'!L139</f>
        <v>1.3645523879486534</v>
      </c>
      <c r="M32" s="360">
        <f>'Revenue matching'!M139</f>
        <v>1.3645523879486534</v>
      </c>
      <c r="N32" s="360">
        <f>'Revenue matching'!N139</f>
        <v>1.3645523879486534</v>
      </c>
      <c r="O32" s="360">
        <f>'Revenue matching'!O139</f>
        <v>1.3645523879486534</v>
      </c>
      <c r="P32" s="360">
        <f>'Revenue matching'!P139</f>
        <v>1.3645523879486534</v>
      </c>
      <c r="Q32" s="360">
        <f>'Revenue matching'!Q139</f>
        <v>1.3645523879486534</v>
      </c>
      <c r="R32" s="360">
        <f>'Revenue matching'!R139</f>
        <v>0</v>
      </c>
      <c r="S32" s="360">
        <f>'Revenue matching'!S139</f>
        <v>0</v>
      </c>
      <c r="T32" s="360">
        <f>'Revenue matching'!T139</f>
        <v>0</v>
      </c>
      <c r="U32" s="360">
        <f>'Revenue matching'!U139</f>
        <v>0</v>
      </c>
      <c r="V32" s="360">
        <f>'Revenue matching'!V139</f>
        <v>0</v>
      </c>
      <c r="W32" s="360">
        <f>'Revenue matching'!W139</f>
        <v>0</v>
      </c>
      <c r="X32" s="360">
        <f>'Revenue matching'!X139</f>
        <v>0</v>
      </c>
      <c r="Y32" s="360">
        <f>'Revenue matching'!Y139</f>
        <v>0</v>
      </c>
      <c r="Z32" s="351"/>
      <c r="AA32" s="351"/>
    </row>
    <row r="33" spans="3:27" x14ac:dyDescent="0.25">
      <c r="E33" s="86"/>
      <c r="F33" s="295" t="s">
        <v>135</v>
      </c>
      <c r="G33" s="295" t="s">
        <v>183</v>
      </c>
      <c r="H33" s="420"/>
      <c r="I33" s="351"/>
      <c r="J33" s="420">
        <f>'Revenue matching'!J140</f>
        <v>1.3645523879486534</v>
      </c>
      <c r="K33" s="420">
        <f>'Revenue matching'!K140</f>
        <v>1.3645523879486534</v>
      </c>
      <c r="L33" s="420">
        <f>'Revenue matching'!L140</f>
        <v>1.3645523879486534</v>
      </c>
      <c r="M33" s="420">
        <f>'Revenue matching'!M140</f>
        <v>1.3645523879486534</v>
      </c>
      <c r="N33" s="420">
        <f>'Revenue matching'!N140</f>
        <v>1.3645523879486534</v>
      </c>
      <c r="O33" s="420">
        <f>'Revenue matching'!O140</f>
        <v>1.3645523879486534</v>
      </c>
      <c r="P33" s="420">
        <f>'Revenue matching'!P140</f>
        <v>1.3645523879486534</v>
      </c>
      <c r="Q33" s="420">
        <f>'Revenue matching'!Q140</f>
        <v>1.3645523879486534</v>
      </c>
      <c r="R33" s="420">
        <f>'Revenue matching'!R140</f>
        <v>0</v>
      </c>
      <c r="S33" s="420">
        <f>'Revenue matching'!S140</f>
        <v>0</v>
      </c>
      <c r="T33" s="420">
        <f>'Revenue matching'!T140</f>
        <v>0</v>
      </c>
      <c r="U33" s="420">
        <f>'Revenue matching'!U140</f>
        <v>0</v>
      </c>
      <c r="V33" s="420">
        <f>'Revenue matching'!V140</f>
        <v>0</v>
      </c>
      <c r="W33" s="420">
        <f>'Revenue matching'!W140</f>
        <v>0</v>
      </c>
      <c r="X33" s="420">
        <f>'Revenue matching'!X140</f>
        <v>0</v>
      </c>
      <c r="Y33" s="420">
        <f>'Revenue matching'!Y140</f>
        <v>0</v>
      </c>
      <c r="Z33" s="351"/>
      <c r="AA33" s="351"/>
    </row>
    <row r="34" spans="3:27" x14ac:dyDescent="0.25">
      <c r="E34" s="86"/>
      <c r="F34" s="295" t="s">
        <v>136</v>
      </c>
      <c r="G34" s="295" t="s">
        <v>183</v>
      </c>
      <c r="H34" s="420"/>
      <c r="I34" s="351"/>
      <c r="J34" s="420">
        <f>'Revenue matching'!J141</f>
        <v>1.3645523879486534</v>
      </c>
      <c r="K34" s="420">
        <f>'Revenue matching'!K141</f>
        <v>1.3645523879486534</v>
      </c>
      <c r="L34" s="420">
        <f>'Revenue matching'!L141</f>
        <v>1.3645523879486534</v>
      </c>
      <c r="M34" s="420">
        <f>'Revenue matching'!M141</f>
        <v>1.3645523879486534</v>
      </c>
      <c r="N34" s="420">
        <f>'Revenue matching'!N141</f>
        <v>1.3645523879486534</v>
      </c>
      <c r="O34" s="420">
        <f>'Revenue matching'!O141</f>
        <v>1.3645523879486534</v>
      </c>
      <c r="P34" s="420">
        <f>'Revenue matching'!P141</f>
        <v>1.3645523879486534</v>
      </c>
      <c r="Q34" s="420">
        <f>'Revenue matching'!Q141</f>
        <v>1.3645523879486534</v>
      </c>
      <c r="R34" s="420">
        <f>'Revenue matching'!R141</f>
        <v>0</v>
      </c>
      <c r="S34" s="420">
        <f>'Revenue matching'!S141</f>
        <v>0</v>
      </c>
      <c r="T34" s="420">
        <f>'Revenue matching'!T141</f>
        <v>0</v>
      </c>
      <c r="U34" s="420">
        <f>'Revenue matching'!U141</f>
        <v>0</v>
      </c>
      <c r="V34" s="420">
        <f>'Revenue matching'!V141</f>
        <v>0</v>
      </c>
      <c r="W34" s="420">
        <f>'Revenue matching'!W141</f>
        <v>0</v>
      </c>
      <c r="X34" s="420">
        <f>'Revenue matching'!X141</f>
        <v>0</v>
      </c>
      <c r="Y34" s="420">
        <f>'Revenue matching'!Y141</f>
        <v>0</v>
      </c>
      <c r="Z34" s="351"/>
      <c r="AA34" s="351"/>
    </row>
    <row r="35" spans="3:27" x14ac:dyDescent="0.25">
      <c r="E35" s="86"/>
      <c r="F35" s="295" t="s">
        <v>311</v>
      </c>
      <c r="G35" s="295" t="s">
        <v>309</v>
      </c>
      <c r="H35" s="384"/>
      <c r="J35" s="280"/>
      <c r="K35" s="280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</row>
    <row r="36" spans="3:27" x14ac:dyDescent="0.25">
      <c r="E36" s="86"/>
      <c r="F36" s="295" t="s">
        <v>312</v>
      </c>
      <c r="G36" s="295" t="s">
        <v>308</v>
      </c>
      <c r="H36" s="384"/>
      <c r="J36" s="280"/>
      <c r="K36" s="280"/>
      <c r="L36" s="280"/>
      <c r="M36" s="280"/>
      <c r="N36" s="280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280"/>
    </row>
    <row r="37" spans="3:27" x14ac:dyDescent="0.25">
      <c r="E37" s="86"/>
      <c r="F37" s="295" t="s">
        <v>313</v>
      </c>
      <c r="G37" s="295" t="s">
        <v>308</v>
      </c>
      <c r="H37" s="384"/>
      <c r="J37" s="280"/>
      <c r="K37" s="280"/>
      <c r="L37" s="280"/>
      <c r="M37" s="280"/>
      <c r="N37" s="280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280"/>
    </row>
    <row r="38" spans="3:27" x14ac:dyDescent="0.25">
      <c r="E38" s="86"/>
      <c r="F38" s="93" t="s">
        <v>314</v>
      </c>
      <c r="G38" s="93" t="s">
        <v>315</v>
      </c>
      <c r="H38" s="363"/>
      <c r="I38" s="353"/>
      <c r="J38" s="358"/>
      <c r="K38" s="358"/>
      <c r="L38" s="358"/>
      <c r="M38" s="358"/>
      <c r="N38" s="358"/>
      <c r="O38" s="358"/>
      <c r="P38" s="358"/>
      <c r="Q38" s="358"/>
      <c r="R38" s="358"/>
      <c r="S38" s="358"/>
      <c r="T38" s="358"/>
      <c r="U38" s="358"/>
      <c r="V38" s="358"/>
      <c r="W38" s="358"/>
      <c r="X38" s="358"/>
      <c r="Y38" s="358"/>
      <c r="Z38" s="351"/>
      <c r="AA38" s="351"/>
    </row>
    <row r="39" spans="3:27" x14ac:dyDescent="0.25">
      <c r="D39" s="86"/>
      <c r="E39" s="295"/>
    </row>
    <row r="40" spans="3:27" x14ac:dyDescent="0.25">
      <c r="C40" s="7" t="str">
        <f ca="1">INDEX('Version control'!$H$34:$H$58,MATCH($A$1,'Version control'!$F$34:$F$58,0),1)&amp;"-C: Adder to be applied to fixed charge"</f>
        <v>Section 520-C: Adder to be applied to fixed charge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  <row r="42" spans="3:27" x14ac:dyDescent="0.25">
      <c r="E42" s="86" t="s">
        <v>1146</v>
      </c>
    </row>
    <row r="43" spans="3:27" x14ac:dyDescent="0.25">
      <c r="E43" s="82" t="s">
        <v>1147</v>
      </c>
    </row>
    <row r="44" spans="3:27" x14ac:dyDescent="0.25">
      <c r="E44" s="86"/>
      <c r="F44" s="91" t="s">
        <v>134</v>
      </c>
      <c r="G44" s="91" t="s">
        <v>183</v>
      </c>
      <c r="H44" s="360"/>
      <c r="I44" s="349"/>
      <c r="J44" s="239"/>
      <c r="K44" s="239"/>
      <c r="L44" s="239"/>
      <c r="M44" s="239"/>
      <c r="N44" s="239"/>
      <c r="O44" s="239"/>
      <c r="P44" s="239"/>
      <c r="Q44" s="239"/>
      <c r="R44" s="239"/>
      <c r="S44" s="239"/>
      <c r="T44" s="239"/>
      <c r="U44" s="239"/>
      <c r="V44" s="239"/>
      <c r="W44" s="239"/>
      <c r="X44" s="239"/>
      <c r="Y44" s="239"/>
    </row>
    <row r="45" spans="3:27" x14ac:dyDescent="0.25">
      <c r="E45" s="86"/>
      <c r="F45" s="295" t="s">
        <v>135</v>
      </c>
      <c r="G45" s="295" t="s">
        <v>183</v>
      </c>
      <c r="H45" s="420"/>
      <c r="I45" s="351"/>
      <c r="J45" s="280"/>
      <c r="K45" s="280"/>
      <c r="L45" s="280"/>
      <c r="M45" s="280"/>
      <c r="N45" s="280"/>
      <c r="O45" s="280"/>
      <c r="P45" s="280"/>
      <c r="Q45" s="280"/>
      <c r="R45" s="280"/>
      <c r="S45" s="280"/>
      <c r="T45" s="280"/>
      <c r="U45" s="280"/>
      <c r="V45" s="280"/>
      <c r="W45" s="280"/>
      <c r="X45" s="280"/>
      <c r="Y45" s="280"/>
    </row>
    <row r="46" spans="3:27" x14ac:dyDescent="0.25">
      <c r="E46" s="86"/>
      <c r="F46" s="295" t="s">
        <v>136</v>
      </c>
      <c r="G46" s="295" t="s">
        <v>183</v>
      </c>
      <c r="H46" s="420"/>
      <c r="I46" s="351"/>
      <c r="J46" s="280"/>
      <c r="K46" s="280"/>
      <c r="L46" s="280"/>
      <c r="M46" s="280"/>
      <c r="N46" s="280"/>
      <c r="O46" s="280"/>
      <c r="P46" s="280"/>
      <c r="Q46" s="280"/>
      <c r="R46" s="280"/>
      <c r="S46" s="280"/>
      <c r="T46" s="280"/>
      <c r="U46" s="280"/>
      <c r="V46" s="280"/>
      <c r="W46" s="280"/>
      <c r="X46" s="280"/>
      <c r="Y46" s="280"/>
    </row>
    <row r="47" spans="3:27" x14ac:dyDescent="0.25">
      <c r="E47" s="86"/>
      <c r="F47" s="295" t="s">
        <v>311</v>
      </c>
      <c r="G47" s="295" t="s">
        <v>309</v>
      </c>
      <c r="H47" s="384"/>
      <c r="J47" s="274">
        <f>'Fixed charge adder'!J46</f>
        <v>0.25993606516465317</v>
      </c>
      <c r="K47" s="274">
        <f>'Fixed charge adder'!K46</f>
        <v>0</v>
      </c>
      <c r="L47" s="274">
        <f>'Fixed charge adder'!L46</f>
        <v>0.25316275294641388</v>
      </c>
      <c r="M47" s="274">
        <f>'Fixed charge adder'!M46</f>
        <v>0</v>
      </c>
      <c r="N47" s="274">
        <f>'Fixed charge adder'!N46</f>
        <v>0.25316275294641388</v>
      </c>
      <c r="O47" s="274">
        <f>'Fixed charge adder'!O46</f>
        <v>0.25316275294641388</v>
      </c>
      <c r="P47" s="274">
        <f>'Fixed charge adder'!P46</f>
        <v>0.25316275294641388</v>
      </c>
      <c r="Q47" s="274">
        <f>'Fixed charge adder'!Q46</f>
        <v>0</v>
      </c>
      <c r="R47" s="274">
        <f>'Fixed charge adder'!R46</f>
        <v>0</v>
      </c>
      <c r="S47" s="274">
        <f>'Fixed charge adder'!S46</f>
        <v>0</v>
      </c>
      <c r="T47" s="274">
        <f>'Fixed charge adder'!T46</f>
        <v>0</v>
      </c>
      <c r="U47" s="274">
        <f>'Fixed charge adder'!U46</f>
        <v>0</v>
      </c>
      <c r="V47" s="274">
        <f>'Fixed charge adder'!V46</f>
        <v>0</v>
      </c>
      <c r="W47" s="274">
        <f>'Fixed charge adder'!W46</f>
        <v>0</v>
      </c>
      <c r="X47" s="274">
        <f>'Fixed charge adder'!X46</f>
        <v>0</v>
      </c>
      <c r="Y47" s="274">
        <f>'Fixed charge adder'!Y46</f>
        <v>0</v>
      </c>
    </row>
    <row r="48" spans="3:27" x14ac:dyDescent="0.25">
      <c r="E48" s="86"/>
      <c r="F48" s="295" t="s">
        <v>312</v>
      </c>
      <c r="G48" s="295" t="s">
        <v>308</v>
      </c>
      <c r="H48" s="384"/>
      <c r="J48" s="280"/>
      <c r="K48" s="280"/>
      <c r="L48" s="280"/>
      <c r="M48" s="280"/>
      <c r="N48" s="280"/>
      <c r="O48" s="280"/>
      <c r="P48" s="280"/>
      <c r="Q48" s="280"/>
      <c r="R48" s="280"/>
      <c r="S48" s="280"/>
      <c r="T48" s="280"/>
      <c r="U48" s="280"/>
      <c r="V48" s="280"/>
      <c r="W48" s="280"/>
      <c r="X48" s="280"/>
      <c r="Y48" s="280"/>
    </row>
    <row r="49" spans="3:27" x14ac:dyDescent="0.25">
      <c r="E49" s="86"/>
      <c r="F49" s="295" t="s">
        <v>313</v>
      </c>
      <c r="G49" s="295" t="s">
        <v>308</v>
      </c>
      <c r="H49" s="384"/>
      <c r="J49" s="280"/>
      <c r="K49" s="280"/>
      <c r="L49" s="280"/>
      <c r="M49" s="280"/>
      <c r="N49" s="280"/>
      <c r="O49" s="280"/>
      <c r="P49" s="280"/>
      <c r="Q49" s="280"/>
      <c r="R49" s="280"/>
      <c r="S49" s="280"/>
      <c r="T49" s="280"/>
      <c r="U49" s="280"/>
      <c r="V49" s="280"/>
      <c r="W49" s="280"/>
      <c r="X49" s="280"/>
      <c r="Y49" s="280"/>
    </row>
    <row r="50" spans="3:27" x14ac:dyDescent="0.25">
      <c r="E50" s="86"/>
      <c r="F50" s="93" t="s">
        <v>314</v>
      </c>
      <c r="G50" s="93" t="s">
        <v>315</v>
      </c>
      <c r="H50" s="363"/>
      <c r="I50" s="353"/>
      <c r="J50" s="358"/>
      <c r="K50" s="358"/>
      <c r="L50" s="358"/>
      <c r="M50" s="358"/>
      <c r="N50" s="358"/>
      <c r="O50" s="358"/>
      <c r="P50" s="358"/>
      <c r="Q50" s="358"/>
      <c r="R50" s="358"/>
      <c r="S50" s="358"/>
      <c r="T50" s="358"/>
      <c r="U50" s="358"/>
      <c r="V50" s="358"/>
      <c r="W50" s="358"/>
      <c r="X50" s="358"/>
      <c r="Y50" s="358"/>
    </row>
    <row r="51" spans="3:27" x14ac:dyDescent="0.25">
      <c r="D51" s="86"/>
      <c r="E51" s="295"/>
    </row>
    <row r="52" spans="3:27" x14ac:dyDescent="0.25">
      <c r="C52" s="7" t="str">
        <f ca="1">INDEX('Version control'!$H$34:$H$58,MATCH($A$1,'Version control'!$F$34:$F$58,0),1)&amp;"-D: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3:27" x14ac:dyDescent="0.25">
      <c r="D54" s="295"/>
      <c r="E54" s="86" t="s">
        <v>514</v>
      </c>
      <c r="I54" s="295" t="s">
        <v>431</v>
      </c>
      <c r="AA54" s="295" t="s">
        <v>1026</v>
      </c>
    </row>
    <row r="55" spans="3:27" x14ac:dyDescent="0.25">
      <c r="D55" s="295"/>
      <c r="E55" s="86"/>
      <c r="F55" s="91" t="s">
        <v>134</v>
      </c>
      <c r="G55" s="91" t="s">
        <v>94</v>
      </c>
      <c r="H55" s="141"/>
      <c r="I55" s="91"/>
      <c r="J55" s="137">
        <f>'Volume adjustments'!J$62</f>
        <v>0.38002274557606974</v>
      </c>
      <c r="K55" s="137">
        <f>'Volume adjustments'!K$62</f>
        <v>0.38002274557606974</v>
      </c>
      <c r="L55" s="137">
        <f>'Volume adjustments'!L$62</f>
        <v>0.38002274557606974</v>
      </c>
      <c r="M55" s="137">
        <f>'Volume adjustments'!M$62</f>
        <v>0.38002274557606974</v>
      </c>
      <c r="N55" s="137">
        <f>'Volume adjustments'!N$62</f>
        <v>0.38002274557606974</v>
      </c>
      <c r="O55" s="137">
        <f>'Volume adjustments'!O$62</f>
        <v>0</v>
      </c>
      <c r="P55" s="137">
        <f>'Volume adjustments'!P$62</f>
        <v>0</v>
      </c>
      <c r="Q55" s="137">
        <f>'Volume adjustments'!Q$62</f>
        <v>0.38002274557606974</v>
      </c>
      <c r="R55" s="137">
        <f>'Volume adjustments'!R$62</f>
        <v>0</v>
      </c>
      <c r="S55" s="137">
        <f>'Volume adjustments'!S$62</f>
        <v>0</v>
      </c>
      <c r="T55" s="137">
        <f>'Volume adjustments'!T$62</f>
        <v>0</v>
      </c>
      <c r="U55" s="137">
        <f>'Volume adjustments'!U$62</f>
        <v>0</v>
      </c>
      <c r="V55" s="137">
        <f>'Volume adjustments'!V$62</f>
        <v>0</v>
      </c>
      <c r="W55" s="137">
        <f>'Volume adjustments'!W$62</f>
        <v>0</v>
      </c>
      <c r="X55" s="137">
        <f>'Volume adjustments'!X$62</f>
        <v>0</v>
      </c>
      <c r="Y55" s="137">
        <f>'Volume adjustments'!Y$62</f>
        <v>0</v>
      </c>
    </row>
    <row r="56" spans="3:27" x14ac:dyDescent="0.25">
      <c r="D56" s="295"/>
      <c r="E56" s="86"/>
      <c r="F56" s="295" t="s">
        <v>135</v>
      </c>
      <c r="G56" s="295" t="s">
        <v>94</v>
      </c>
      <c r="H56" s="384"/>
      <c r="J56" s="143">
        <f>'Volume adjustments'!J$73</f>
        <v>0.38002274557606974</v>
      </c>
      <c r="K56" s="143">
        <f>'Volume adjustments'!K$73</f>
        <v>0.38002274557606974</v>
      </c>
      <c r="L56" s="143">
        <f>'Volume adjustments'!L$73</f>
        <v>0.38002274557606974</v>
      </c>
      <c r="M56" s="143">
        <f>'Volume adjustments'!M$73</f>
        <v>0.38002274557606974</v>
      </c>
      <c r="N56" s="143">
        <f>'Volume adjustments'!N$73</f>
        <v>0.38002274557606974</v>
      </c>
      <c r="O56" s="143">
        <f>'Volume adjustments'!O$73</f>
        <v>0</v>
      </c>
      <c r="P56" s="143">
        <f>'Volume adjustments'!P$73</f>
        <v>0</v>
      </c>
      <c r="Q56" s="143">
        <f>'Volume adjustments'!Q$73</f>
        <v>0.38002274557606974</v>
      </c>
      <c r="R56" s="143">
        <f>'Volume adjustments'!R$73</f>
        <v>0</v>
      </c>
      <c r="S56" s="143">
        <f>'Volume adjustments'!S$73</f>
        <v>0</v>
      </c>
      <c r="T56" s="143">
        <f>'Volume adjustments'!T$73</f>
        <v>0</v>
      </c>
      <c r="U56" s="143">
        <f>'Volume adjustments'!U$73</f>
        <v>0</v>
      </c>
      <c r="V56" s="143">
        <f>'Volume adjustments'!V$73</f>
        <v>0</v>
      </c>
      <c r="W56" s="143">
        <f>'Volume adjustments'!W$73</f>
        <v>0</v>
      </c>
      <c r="X56" s="143">
        <f>'Volume adjustments'!X$73</f>
        <v>0</v>
      </c>
      <c r="Y56" s="143">
        <f>'Volume adjustments'!Y$73</f>
        <v>0</v>
      </c>
    </row>
    <row r="57" spans="3:27" x14ac:dyDescent="0.25">
      <c r="D57" s="295"/>
      <c r="E57" s="86"/>
      <c r="F57" s="295" t="s">
        <v>136</v>
      </c>
      <c r="G57" s="295" t="s">
        <v>94</v>
      </c>
      <c r="H57" s="384"/>
      <c r="J57" s="143">
        <f>'Volume adjustments'!J$84</f>
        <v>0.38002274557606974</v>
      </c>
      <c r="K57" s="143">
        <f>'Volume adjustments'!K$84</f>
        <v>0.38002274557606974</v>
      </c>
      <c r="L57" s="143">
        <f>'Volume adjustments'!L$84</f>
        <v>0.38002274557606974</v>
      </c>
      <c r="M57" s="143">
        <f>'Volume adjustments'!M$84</f>
        <v>0.38002274557606974</v>
      </c>
      <c r="N57" s="143">
        <f>'Volume adjustments'!N$84</f>
        <v>0.38002274557606974</v>
      </c>
      <c r="O57" s="143">
        <f>'Volume adjustments'!O$84</f>
        <v>0</v>
      </c>
      <c r="P57" s="143">
        <f>'Volume adjustments'!P$84</f>
        <v>0</v>
      </c>
      <c r="Q57" s="143">
        <f>'Volume adjustments'!Q$84</f>
        <v>0.38002274557606974</v>
      </c>
      <c r="R57" s="143">
        <f>'Volume adjustments'!R$84</f>
        <v>0</v>
      </c>
      <c r="S57" s="143">
        <f>'Volume adjustments'!S$84</f>
        <v>0</v>
      </c>
      <c r="T57" s="143">
        <f>'Volume adjustments'!T$84</f>
        <v>0</v>
      </c>
      <c r="U57" s="143">
        <f>'Volume adjustments'!U$84</f>
        <v>0</v>
      </c>
      <c r="V57" s="143">
        <f>'Volume adjustments'!V$84</f>
        <v>0</v>
      </c>
      <c r="W57" s="143">
        <f>'Volume adjustments'!W$84</f>
        <v>0</v>
      </c>
      <c r="X57" s="143">
        <f>'Volume adjustments'!X$84</f>
        <v>0</v>
      </c>
      <c r="Y57" s="143">
        <f>'Volume adjustments'!Y$84</f>
        <v>0</v>
      </c>
    </row>
    <row r="58" spans="3:27" x14ac:dyDescent="0.25">
      <c r="D58" s="295"/>
      <c r="E58" s="86"/>
      <c r="F58" s="295" t="s">
        <v>311</v>
      </c>
      <c r="G58" s="295" t="s">
        <v>94</v>
      </c>
      <c r="H58" s="384"/>
      <c r="J58" s="143">
        <f>'Volume adjustments'!J$99</f>
        <v>0.38002274557606974</v>
      </c>
      <c r="K58" s="143">
        <f>'Volume adjustments'!K$99</f>
        <v>0.38002274557606974</v>
      </c>
      <c r="L58" s="143">
        <f>'Volume adjustments'!L$99</f>
        <v>0.38002274557606974</v>
      </c>
      <c r="M58" s="143">
        <f>'Volume adjustments'!M$99</f>
        <v>0.38002274557606974</v>
      </c>
      <c r="N58" s="143">
        <f>'Volume adjustments'!N$99</f>
        <v>0.38002274557606974</v>
      </c>
      <c r="O58" s="143">
        <f>'Volume adjustments'!O$99</f>
        <v>0</v>
      </c>
      <c r="P58" s="143">
        <f>'Volume adjustments'!P$99</f>
        <v>0</v>
      </c>
      <c r="Q58" s="143">
        <f>'Volume adjustments'!Q$99</f>
        <v>0.38002274557606974</v>
      </c>
      <c r="R58" s="143">
        <f>'Volume adjustments'!R$99</f>
        <v>1</v>
      </c>
      <c r="S58" s="143">
        <f>'Volume adjustments'!S$99</f>
        <v>1</v>
      </c>
      <c r="T58" s="143">
        <f>'Volume adjustments'!T$99</f>
        <v>1</v>
      </c>
      <c r="U58" s="143">
        <f>'Volume adjustments'!U$99</f>
        <v>1</v>
      </c>
      <c r="V58" s="143">
        <f>'Volume adjustments'!V$99</f>
        <v>1</v>
      </c>
      <c r="W58" s="143">
        <f>'Volume adjustments'!W$99</f>
        <v>1</v>
      </c>
      <c r="X58" s="143">
        <f>'Volume adjustments'!X$99</f>
        <v>1</v>
      </c>
      <c r="Y58" s="143">
        <f>'Volume adjustments'!Y$99</f>
        <v>1</v>
      </c>
    </row>
    <row r="59" spans="3:27" x14ac:dyDescent="0.25">
      <c r="D59" s="295"/>
      <c r="E59" s="86"/>
      <c r="F59" s="295" t="s">
        <v>312</v>
      </c>
      <c r="G59" s="295" t="s">
        <v>94</v>
      </c>
      <c r="H59" s="384"/>
      <c r="J59" s="143">
        <f>'Volume adjustments'!J$110</f>
        <v>0.38002274557606974</v>
      </c>
      <c r="K59" s="143">
        <f>'Volume adjustments'!K$110</f>
        <v>0.38002274557606974</v>
      </c>
      <c r="L59" s="143">
        <f>'Volume adjustments'!L$110</f>
        <v>0.38002274557606974</v>
      </c>
      <c r="M59" s="143">
        <f>'Volume adjustments'!M$110</f>
        <v>0.38002274557606974</v>
      </c>
      <c r="N59" s="143">
        <f>'Volume adjustments'!N$110</f>
        <v>0.38002274557606974</v>
      </c>
      <c r="O59" s="143">
        <f>'Volume adjustments'!O$110</f>
        <v>0</v>
      </c>
      <c r="P59" s="143">
        <f>'Volume adjustments'!P$110</f>
        <v>0</v>
      </c>
      <c r="Q59" s="143">
        <f>'Volume adjustments'!Q$110</f>
        <v>0.38002274557606974</v>
      </c>
      <c r="R59" s="143">
        <f>'Volume adjustments'!R$110</f>
        <v>0</v>
      </c>
      <c r="S59" s="143">
        <f>'Volume adjustments'!S$110</f>
        <v>0</v>
      </c>
      <c r="T59" s="143">
        <f>'Volume adjustments'!T$110</f>
        <v>0</v>
      </c>
      <c r="U59" s="143">
        <f>'Volume adjustments'!U$110</f>
        <v>0</v>
      </c>
      <c r="V59" s="143">
        <f>'Volume adjustments'!V$110</f>
        <v>0</v>
      </c>
      <c r="W59" s="143">
        <f>'Volume adjustments'!W$110</f>
        <v>0</v>
      </c>
      <c r="X59" s="143">
        <f>'Volume adjustments'!X$110</f>
        <v>0</v>
      </c>
      <c r="Y59" s="143">
        <f>'Volume adjustments'!Y$110</f>
        <v>0</v>
      </c>
    </row>
    <row r="60" spans="3:27" x14ac:dyDescent="0.25">
      <c r="D60" s="295"/>
      <c r="E60" s="86"/>
      <c r="F60" s="295" t="s">
        <v>313</v>
      </c>
      <c r="G60" s="295" t="s">
        <v>94</v>
      </c>
      <c r="H60" s="384"/>
      <c r="J60" s="143">
        <f>'Volume adjustments'!J$121</f>
        <v>0.38002274557606974</v>
      </c>
      <c r="K60" s="143">
        <f>'Volume adjustments'!K$121</f>
        <v>0.38002274557606974</v>
      </c>
      <c r="L60" s="143">
        <f>'Volume adjustments'!L$121</f>
        <v>0.38002274557606974</v>
      </c>
      <c r="M60" s="143">
        <f>'Volume adjustments'!M$121</f>
        <v>0.38002274557606974</v>
      </c>
      <c r="N60" s="143">
        <f>'Volume adjustments'!N$121</f>
        <v>0.38002274557606974</v>
      </c>
      <c r="O60" s="143">
        <f>'Volume adjustments'!O$121</f>
        <v>0</v>
      </c>
      <c r="P60" s="143">
        <f>'Volume adjustments'!P$121</f>
        <v>0</v>
      </c>
      <c r="Q60" s="143">
        <f>'Volume adjustments'!Q$121</f>
        <v>0.38002274557606974</v>
      </c>
      <c r="R60" s="143">
        <f>'Volume adjustments'!R$121</f>
        <v>0</v>
      </c>
      <c r="S60" s="143">
        <f>'Volume adjustments'!S$121</f>
        <v>0</v>
      </c>
      <c r="T60" s="143">
        <f>'Volume adjustments'!T$121</f>
        <v>0</v>
      </c>
      <c r="U60" s="143">
        <f>'Volume adjustments'!U$121</f>
        <v>0</v>
      </c>
      <c r="V60" s="143">
        <f>'Volume adjustments'!V$121</f>
        <v>0</v>
      </c>
      <c r="W60" s="143">
        <f>'Volume adjustments'!W$121</f>
        <v>0</v>
      </c>
      <c r="X60" s="143">
        <f>'Volume adjustments'!X$121</f>
        <v>0</v>
      </c>
      <c r="Y60" s="143">
        <f>'Volume adjustments'!Y$121</f>
        <v>0</v>
      </c>
    </row>
    <row r="61" spans="3:27" x14ac:dyDescent="0.25">
      <c r="D61" s="295"/>
      <c r="E61" s="86"/>
      <c r="F61" s="93" t="s">
        <v>314</v>
      </c>
      <c r="G61" s="93" t="s">
        <v>94</v>
      </c>
      <c r="H61" s="115"/>
      <c r="I61" s="93"/>
      <c r="J61" s="394">
        <f>'Volume adjustments'!J$132</f>
        <v>0.38002274557606974</v>
      </c>
      <c r="K61" s="394">
        <f>'Volume adjustments'!K$132</f>
        <v>0.38002274557606974</v>
      </c>
      <c r="L61" s="394">
        <f>'Volume adjustments'!L$132</f>
        <v>0.38002274557606974</v>
      </c>
      <c r="M61" s="394">
        <f>'Volume adjustments'!M$132</f>
        <v>0.38002274557606974</v>
      </c>
      <c r="N61" s="394">
        <f>'Volume adjustments'!N$132</f>
        <v>0.38002274557606974</v>
      </c>
      <c r="O61" s="394">
        <f>'Volume adjustments'!O$132</f>
        <v>0</v>
      </c>
      <c r="P61" s="394">
        <f>'Volume adjustments'!P$132</f>
        <v>0</v>
      </c>
      <c r="Q61" s="394">
        <f>'Volume adjustments'!Q$132</f>
        <v>0.38002274557606974</v>
      </c>
      <c r="R61" s="394">
        <f>'Volume adjustments'!R$132</f>
        <v>0</v>
      </c>
      <c r="S61" s="394">
        <f>'Volume adjustments'!S$132</f>
        <v>0</v>
      </c>
      <c r="T61" s="394">
        <f>'Volume adjustments'!T$132</f>
        <v>0</v>
      </c>
      <c r="U61" s="394">
        <f>'Volume adjustments'!U$132</f>
        <v>0</v>
      </c>
      <c r="V61" s="394">
        <f>'Volume adjustments'!V$132</f>
        <v>0</v>
      </c>
      <c r="W61" s="394">
        <f>'Volume adjustments'!W$132</f>
        <v>0</v>
      </c>
      <c r="X61" s="394">
        <f>'Volume adjustments'!X$132</f>
        <v>0</v>
      </c>
      <c r="Y61" s="394">
        <f>'Volume adjustments'!Y$132</f>
        <v>0</v>
      </c>
    </row>
    <row r="62" spans="3:27" x14ac:dyDescent="0.25">
      <c r="D62" s="86"/>
      <c r="E62" s="295"/>
    </row>
    <row r="63" spans="3:27" x14ac:dyDescent="0.25">
      <c r="D63" s="295"/>
      <c r="E63" s="86" t="s">
        <v>515</v>
      </c>
      <c r="I63" s="295" t="s">
        <v>431</v>
      </c>
      <c r="AA63" s="295" t="s">
        <v>1026</v>
      </c>
    </row>
    <row r="64" spans="3:27" x14ac:dyDescent="0.25">
      <c r="D64" s="295"/>
      <c r="E64" s="86"/>
      <c r="F64" s="91" t="s">
        <v>134</v>
      </c>
      <c r="G64" s="91" t="s">
        <v>94</v>
      </c>
      <c r="H64" s="141"/>
      <c r="I64" s="91"/>
      <c r="J64" s="137">
        <f>'Volume adjustments'!J$63</f>
        <v>0.55710107807599307</v>
      </c>
      <c r="K64" s="137">
        <f>'Volume adjustments'!K$63</f>
        <v>0.55710107807599307</v>
      </c>
      <c r="L64" s="137">
        <f>'Volume adjustments'!L$63</f>
        <v>0.55710107807599307</v>
      </c>
      <c r="M64" s="137">
        <f>'Volume adjustments'!M$63</f>
        <v>0.55710107807599307</v>
      </c>
      <c r="N64" s="137">
        <f>'Volume adjustments'!N$63</f>
        <v>0.55710107807599307</v>
      </c>
      <c r="O64" s="137">
        <f>'Volume adjustments'!O$63</f>
        <v>0.28402147020999663</v>
      </c>
      <c r="P64" s="137">
        <f>'Volume adjustments'!P$63</f>
        <v>0.19097590599842459</v>
      </c>
      <c r="Q64" s="137">
        <f>'Volume adjustments'!Q$63</f>
        <v>0.55710107807599307</v>
      </c>
      <c r="R64" s="137">
        <f>'Volume adjustments'!R$63</f>
        <v>0</v>
      </c>
      <c r="S64" s="137">
        <f>'Volume adjustments'!S$63</f>
        <v>0</v>
      </c>
      <c r="T64" s="137">
        <f>'Volume adjustments'!T$63</f>
        <v>0</v>
      </c>
      <c r="U64" s="137">
        <f>'Volume adjustments'!U$63</f>
        <v>0</v>
      </c>
      <c r="V64" s="137">
        <f>'Volume adjustments'!V$63</f>
        <v>0</v>
      </c>
      <c r="W64" s="137">
        <f>'Volume adjustments'!W$63</f>
        <v>0</v>
      </c>
      <c r="X64" s="137">
        <f>'Volume adjustments'!X$63</f>
        <v>0</v>
      </c>
      <c r="Y64" s="137">
        <f>'Volume adjustments'!Y$63</f>
        <v>0</v>
      </c>
    </row>
    <row r="65" spans="3:27" x14ac:dyDescent="0.25">
      <c r="D65" s="295"/>
      <c r="E65" s="86"/>
      <c r="F65" s="295" t="s">
        <v>135</v>
      </c>
      <c r="G65" s="295" t="s">
        <v>94</v>
      </c>
      <c r="H65" s="384"/>
      <c r="J65" s="143">
        <f>'Volume adjustments'!J$74</f>
        <v>0.55710107807599307</v>
      </c>
      <c r="K65" s="143">
        <f>'Volume adjustments'!K$74</f>
        <v>0.55710107807599307</v>
      </c>
      <c r="L65" s="143">
        <f>'Volume adjustments'!L$74</f>
        <v>0.55710107807599307</v>
      </c>
      <c r="M65" s="143">
        <f>'Volume adjustments'!M$74</f>
        <v>0.55710107807599307</v>
      </c>
      <c r="N65" s="143">
        <f>'Volume adjustments'!N$74</f>
        <v>0.55710107807599307</v>
      </c>
      <c r="O65" s="143">
        <f>'Volume adjustments'!O$74</f>
        <v>0.28402147020999663</v>
      </c>
      <c r="P65" s="143">
        <f>'Volume adjustments'!P$74</f>
        <v>0.19097590599842459</v>
      </c>
      <c r="Q65" s="143">
        <f>'Volume adjustments'!Q$74</f>
        <v>0.55710107807599307</v>
      </c>
      <c r="R65" s="143">
        <f>'Volume adjustments'!R$74</f>
        <v>0</v>
      </c>
      <c r="S65" s="143">
        <f>'Volume adjustments'!S$74</f>
        <v>0</v>
      </c>
      <c r="T65" s="143">
        <f>'Volume adjustments'!T$74</f>
        <v>0</v>
      </c>
      <c r="U65" s="143">
        <f>'Volume adjustments'!U$74</f>
        <v>0</v>
      </c>
      <c r="V65" s="143">
        <f>'Volume adjustments'!V$74</f>
        <v>0</v>
      </c>
      <c r="W65" s="143">
        <f>'Volume adjustments'!W$74</f>
        <v>0</v>
      </c>
      <c r="X65" s="143">
        <f>'Volume adjustments'!X$74</f>
        <v>0</v>
      </c>
      <c r="Y65" s="143">
        <f>'Volume adjustments'!Y$74</f>
        <v>0</v>
      </c>
    </row>
    <row r="66" spans="3:27" x14ac:dyDescent="0.25">
      <c r="D66" s="295"/>
      <c r="E66" s="86"/>
      <c r="F66" s="295" t="s">
        <v>136</v>
      </c>
      <c r="G66" s="295" t="s">
        <v>94</v>
      </c>
      <c r="H66" s="384"/>
      <c r="J66" s="143">
        <f>'Volume adjustments'!J$85</f>
        <v>0.55710107807599307</v>
      </c>
      <c r="K66" s="143">
        <f>'Volume adjustments'!K$85</f>
        <v>0.55710107807599307</v>
      </c>
      <c r="L66" s="143">
        <f>'Volume adjustments'!L$85</f>
        <v>0.55710107807599307</v>
      </c>
      <c r="M66" s="143">
        <f>'Volume adjustments'!M$85</f>
        <v>0.55710107807599307</v>
      </c>
      <c r="N66" s="143">
        <f>'Volume adjustments'!N$85</f>
        <v>0.55710107807599307</v>
      </c>
      <c r="O66" s="143">
        <f>'Volume adjustments'!O$85</f>
        <v>0.28402147020999663</v>
      </c>
      <c r="P66" s="143">
        <f>'Volume adjustments'!P$85</f>
        <v>0.19097590599842459</v>
      </c>
      <c r="Q66" s="143">
        <f>'Volume adjustments'!Q$85</f>
        <v>0.55710107807599307</v>
      </c>
      <c r="R66" s="143">
        <f>'Volume adjustments'!R$85</f>
        <v>0</v>
      </c>
      <c r="S66" s="143">
        <f>'Volume adjustments'!S$85</f>
        <v>0</v>
      </c>
      <c r="T66" s="143">
        <f>'Volume adjustments'!T$85</f>
        <v>0</v>
      </c>
      <c r="U66" s="143">
        <f>'Volume adjustments'!U$85</f>
        <v>0</v>
      </c>
      <c r="V66" s="143">
        <f>'Volume adjustments'!V$85</f>
        <v>0</v>
      </c>
      <c r="W66" s="143">
        <f>'Volume adjustments'!W$85</f>
        <v>0</v>
      </c>
      <c r="X66" s="143">
        <f>'Volume adjustments'!X$85</f>
        <v>0</v>
      </c>
      <c r="Y66" s="143">
        <f>'Volume adjustments'!Y$85</f>
        <v>0</v>
      </c>
    </row>
    <row r="67" spans="3:27" x14ac:dyDescent="0.25">
      <c r="D67" s="295"/>
      <c r="E67" s="86"/>
      <c r="F67" s="295" t="s">
        <v>311</v>
      </c>
      <c r="G67" s="295" t="s">
        <v>94</v>
      </c>
      <c r="H67" s="384"/>
      <c r="J67" s="143">
        <f>'Volume adjustments'!J$100</f>
        <v>0.55710107807599307</v>
      </c>
      <c r="K67" s="143">
        <f>'Volume adjustments'!K$100</f>
        <v>0.55710107807599307</v>
      </c>
      <c r="L67" s="143">
        <f>'Volume adjustments'!L$100</f>
        <v>0.55710107807599307</v>
      </c>
      <c r="M67" s="143">
        <f>'Volume adjustments'!M$100</f>
        <v>0.55710107807599307</v>
      </c>
      <c r="N67" s="143">
        <f>'Volume adjustments'!N$100</f>
        <v>0.55710107807599307</v>
      </c>
      <c r="O67" s="143">
        <f>'Volume adjustments'!O$100</f>
        <v>0.28402147020999663</v>
      </c>
      <c r="P67" s="143">
        <f>'Volume adjustments'!P$100</f>
        <v>0.19097590599842459</v>
      </c>
      <c r="Q67" s="143">
        <f>'Volume adjustments'!Q$100</f>
        <v>0.55710107807599307</v>
      </c>
      <c r="R67" s="143">
        <f>'Volume adjustments'!R$100</f>
        <v>1</v>
      </c>
      <c r="S67" s="143">
        <f>'Volume adjustments'!S$100</f>
        <v>1</v>
      </c>
      <c r="T67" s="143">
        <f>'Volume adjustments'!T$100</f>
        <v>1</v>
      </c>
      <c r="U67" s="143">
        <f>'Volume adjustments'!U$100</f>
        <v>1</v>
      </c>
      <c r="V67" s="143">
        <f>'Volume adjustments'!V$100</f>
        <v>1</v>
      </c>
      <c r="W67" s="143">
        <f>'Volume adjustments'!W$100</f>
        <v>1</v>
      </c>
      <c r="X67" s="143">
        <f>'Volume adjustments'!X$100</f>
        <v>1</v>
      </c>
      <c r="Y67" s="143">
        <f>'Volume adjustments'!Y$100</f>
        <v>1</v>
      </c>
    </row>
    <row r="68" spans="3:27" x14ac:dyDescent="0.25">
      <c r="D68" s="295"/>
      <c r="E68" s="86"/>
      <c r="F68" s="295" t="s">
        <v>312</v>
      </c>
      <c r="G68" s="295" t="s">
        <v>94</v>
      </c>
      <c r="H68" s="384"/>
      <c r="J68" s="143">
        <f>'Volume adjustments'!J$111</f>
        <v>0.55710107807599307</v>
      </c>
      <c r="K68" s="143">
        <f>'Volume adjustments'!K$111</f>
        <v>0.55710107807599307</v>
      </c>
      <c r="L68" s="143">
        <f>'Volume adjustments'!L$111</f>
        <v>0.55710107807599307</v>
      </c>
      <c r="M68" s="143">
        <f>'Volume adjustments'!M$111</f>
        <v>0.55710107807599307</v>
      </c>
      <c r="N68" s="143">
        <f>'Volume adjustments'!N$111</f>
        <v>0.55710107807599307</v>
      </c>
      <c r="O68" s="143">
        <f>'Volume adjustments'!O$111</f>
        <v>0.28402147020999663</v>
      </c>
      <c r="P68" s="143">
        <f>'Volume adjustments'!P$111</f>
        <v>0.19097590599842459</v>
      </c>
      <c r="Q68" s="143">
        <f>'Volume adjustments'!Q$111</f>
        <v>0.55710107807599307</v>
      </c>
      <c r="R68" s="143">
        <f>'Volume adjustments'!R$111</f>
        <v>0</v>
      </c>
      <c r="S68" s="143">
        <f>'Volume adjustments'!S$111</f>
        <v>0</v>
      </c>
      <c r="T68" s="143">
        <f>'Volume adjustments'!T$111</f>
        <v>0</v>
      </c>
      <c r="U68" s="143">
        <f>'Volume adjustments'!U$111</f>
        <v>0</v>
      </c>
      <c r="V68" s="143">
        <f>'Volume adjustments'!V$111</f>
        <v>0</v>
      </c>
      <c r="W68" s="143">
        <f>'Volume adjustments'!W$111</f>
        <v>0</v>
      </c>
      <c r="X68" s="143">
        <f>'Volume adjustments'!X$111</f>
        <v>0</v>
      </c>
      <c r="Y68" s="143">
        <f>'Volume adjustments'!Y$111</f>
        <v>0</v>
      </c>
    </row>
    <row r="69" spans="3:27" x14ac:dyDescent="0.25">
      <c r="D69" s="295"/>
      <c r="E69" s="86"/>
      <c r="F69" s="295" t="s">
        <v>313</v>
      </c>
      <c r="G69" s="295" t="s">
        <v>94</v>
      </c>
      <c r="H69" s="384"/>
      <c r="J69" s="143">
        <f>'Volume adjustments'!J$122</f>
        <v>0.55710107807599307</v>
      </c>
      <c r="K69" s="143">
        <f>'Volume adjustments'!K$122</f>
        <v>0.55710107807599307</v>
      </c>
      <c r="L69" s="143">
        <f>'Volume adjustments'!L$122</f>
        <v>0.55710107807599307</v>
      </c>
      <c r="M69" s="143">
        <f>'Volume adjustments'!M$122</f>
        <v>0.55710107807599307</v>
      </c>
      <c r="N69" s="143">
        <f>'Volume adjustments'!N$122</f>
        <v>0.55710107807599307</v>
      </c>
      <c r="O69" s="143">
        <f>'Volume adjustments'!O$122</f>
        <v>0.28402147020999663</v>
      </c>
      <c r="P69" s="143">
        <f>'Volume adjustments'!P$122</f>
        <v>0.19097590599842459</v>
      </c>
      <c r="Q69" s="143">
        <f>'Volume adjustments'!Q$122</f>
        <v>0.55710107807599307</v>
      </c>
      <c r="R69" s="143">
        <f>'Volume adjustments'!R$122</f>
        <v>0</v>
      </c>
      <c r="S69" s="143">
        <f>'Volume adjustments'!S$122</f>
        <v>0</v>
      </c>
      <c r="T69" s="143">
        <f>'Volume adjustments'!T$122</f>
        <v>0</v>
      </c>
      <c r="U69" s="143">
        <f>'Volume adjustments'!U$122</f>
        <v>0</v>
      </c>
      <c r="V69" s="143">
        <f>'Volume adjustments'!V$122</f>
        <v>0</v>
      </c>
      <c r="W69" s="143">
        <f>'Volume adjustments'!W$122</f>
        <v>0</v>
      </c>
      <c r="X69" s="143">
        <f>'Volume adjustments'!X$122</f>
        <v>0</v>
      </c>
      <c r="Y69" s="143">
        <f>'Volume adjustments'!Y$122</f>
        <v>0</v>
      </c>
    </row>
    <row r="70" spans="3:27" x14ac:dyDescent="0.25">
      <c r="D70" s="295"/>
      <c r="E70" s="86"/>
      <c r="F70" s="93" t="s">
        <v>314</v>
      </c>
      <c r="G70" s="93" t="s">
        <v>94</v>
      </c>
      <c r="H70" s="115"/>
      <c r="I70" s="93"/>
      <c r="J70" s="394">
        <f>'Volume adjustments'!J$133</f>
        <v>0.55710107807599307</v>
      </c>
      <c r="K70" s="394">
        <f>'Volume adjustments'!K$133</f>
        <v>0.55710107807599307</v>
      </c>
      <c r="L70" s="394">
        <f>'Volume adjustments'!L$133</f>
        <v>0.55710107807599307</v>
      </c>
      <c r="M70" s="394">
        <f>'Volume adjustments'!M$133</f>
        <v>0.55710107807599307</v>
      </c>
      <c r="N70" s="394">
        <f>'Volume adjustments'!N$133</f>
        <v>0.55710107807599307</v>
      </c>
      <c r="O70" s="394">
        <f>'Volume adjustments'!O$133</f>
        <v>0.28402147020999663</v>
      </c>
      <c r="P70" s="394">
        <f>'Volume adjustments'!P$133</f>
        <v>0.19097590599842459</v>
      </c>
      <c r="Q70" s="394">
        <f>'Volume adjustments'!Q$133</f>
        <v>0.55710107807599307</v>
      </c>
      <c r="R70" s="394">
        <f>'Volume adjustments'!R$133</f>
        <v>0</v>
      </c>
      <c r="S70" s="394">
        <f>'Volume adjustments'!S$133</f>
        <v>0</v>
      </c>
      <c r="T70" s="394">
        <f>'Volume adjustments'!T$133</f>
        <v>0</v>
      </c>
      <c r="U70" s="394">
        <f>'Volume adjustments'!U$133</f>
        <v>0</v>
      </c>
      <c r="V70" s="394">
        <f>'Volume adjustments'!V$133</f>
        <v>0</v>
      </c>
      <c r="W70" s="394">
        <f>'Volume adjustments'!W$133</f>
        <v>0</v>
      </c>
      <c r="X70" s="394">
        <f>'Volume adjustments'!X$133</f>
        <v>0</v>
      </c>
      <c r="Y70" s="394">
        <f>'Volume adjustments'!Y$133</f>
        <v>0</v>
      </c>
    </row>
    <row r="71" spans="3:27" x14ac:dyDescent="0.25">
      <c r="D71" s="86"/>
      <c r="E71" s="295"/>
    </row>
    <row r="72" spans="3:27" x14ac:dyDescent="0.25">
      <c r="C72" s="7" t="str">
        <f ca="1">INDEX('Version control'!$H$34:$H$58,MATCH($A$1,'Version control'!$F$34:$F$58,0),1)&amp;"-E: Decimal places for rounding"</f>
        <v>Section 520-E: Decimal places for rounding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4" spans="3:27" x14ac:dyDescent="0.25">
      <c r="E74" s="96" t="s">
        <v>317</v>
      </c>
      <c r="I74" s="295" t="s">
        <v>431</v>
      </c>
      <c r="AA74" s="295" t="s">
        <v>807</v>
      </c>
    </row>
    <row r="75" spans="3:27" x14ac:dyDescent="0.25">
      <c r="C75" s="86"/>
      <c r="F75" s="91" t="s">
        <v>134</v>
      </c>
      <c r="G75" s="91" t="s">
        <v>527</v>
      </c>
      <c r="H75" s="141">
        <f>'Fixed inputs'!H25</f>
        <v>3</v>
      </c>
    </row>
    <row r="76" spans="3:27" x14ac:dyDescent="0.25">
      <c r="C76" s="86"/>
      <c r="F76" s="295" t="s">
        <v>135</v>
      </c>
      <c r="G76" s="295" t="s">
        <v>527</v>
      </c>
      <c r="H76" s="384">
        <f>'Fixed inputs'!H26</f>
        <v>3</v>
      </c>
    </row>
    <row r="77" spans="3:27" x14ac:dyDescent="0.25">
      <c r="C77" s="86"/>
      <c r="F77" s="295" t="s">
        <v>136</v>
      </c>
      <c r="G77" s="295" t="s">
        <v>527</v>
      </c>
      <c r="H77" s="384">
        <f>'Fixed inputs'!H27</f>
        <v>3</v>
      </c>
    </row>
    <row r="78" spans="3:27" x14ac:dyDescent="0.25">
      <c r="C78" s="86"/>
      <c r="F78" s="295" t="s">
        <v>311</v>
      </c>
      <c r="G78" s="295" t="s">
        <v>527</v>
      </c>
      <c r="H78" s="384">
        <f>'Fixed inputs'!H28</f>
        <v>2</v>
      </c>
    </row>
    <row r="79" spans="3:27" x14ac:dyDescent="0.25">
      <c r="C79" s="86"/>
      <c r="F79" s="295" t="s">
        <v>312</v>
      </c>
      <c r="G79" s="295" t="s">
        <v>527</v>
      </c>
      <c r="H79" s="384">
        <f>'Fixed inputs'!H29</f>
        <v>2</v>
      </c>
    </row>
    <row r="80" spans="3:27" x14ac:dyDescent="0.25">
      <c r="C80" s="86"/>
      <c r="F80" s="295" t="s">
        <v>313</v>
      </c>
      <c r="G80" s="295" t="s">
        <v>527</v>
      </c>
      <c r="H80" s="384">
        <f>'Fixed inputs'!H30</f>
        <v>2</v>
      </c>
    </row>
    <row r="81" spans="2:27" x14ac:dyDescent="0.25">
      <c r="C81" s="86"/>
      <c r="F81" s="93" t="s">
        <v>314</v>
      </c>
      <c r="G81" s="93" t="s">
        <v>527</v>
      </c>
      <c r="H81" s="115">
        <f>'Fixed inputs'!H31</f>
        <v>3</v>
      </c>
    </row>
    <row r="82" spans="2:27" x14ac:dyDescent="0.25">
      <c r="C82" s="86"/>
    </row>
    <row r="83" spans="2:27" x14ac:dyDescent="0.25">
      <c r="B83" s="95" t="s">
        <v>880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5" spans="2:27" x14ac:dyDescent="0.25">
      <c r="C85" s="82" t="s">
        <v>881</v>
      </c>
    </row>
    <row r="87" spans="2:27" x14ac:dyDescent="0.25">
      <c r="C87" s="7" t="str">
        <f ca="1">INDEX('Version control'!$H$34:$H$58,MATCH($A$1,'Version control'!$F$34:$F$58,0),1)&amp;"-F: Tariff forecast, post-revenue matching"</f>
        <v>Section 520-F: Tariff forecast, post-revenue matching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D89" s="295"/>
      <c r="E89" s="96" t="s">
        <v>882</v>
      </c>
      <c r="F89" s="96"/>
    </row>
    <row r="90" spans="2:27" x14ac:dyDescent="0.25">
      <c r="D90" s="295"/>
      <c r="E90" s="86"/>
      <c r="F90" s="91" t="s">
        <v>134</v>
      </c>
      <c r="G90" s="91" t="s">
        <v>183</v>
      </c>
      <c r="H90" s="360"/>
      <c r="I90" s="349"/>
      <c r="J90" s="362">
        <f xml:space="preserve"> J20 + J32</f>
        <v>11.480502036557414</v>
      </c>
      <c r="K90" s="362">
        <f t="shared" ref="K90:Y90" si="0" xml:space="preserve"> K20 + K32</f>
        <v>11.480502036557414</v>
      </c>
      <c r="L90" s="362">
        <f t="shared" si="0"/>
        <v>13.928948084464352</v>
      </c>
      <c r="M90" s="362">
        <f t="shared" si="0"/>
        <v>13.928948084464352</v>
      </c>
      <c r="N90" s="362">
        <f t="shared" si="0"/>
        <v>10.541351431841651</v>
      </c>
      <c r="O90" s="362">
        <f t="shared" si="0"/>
        <v>8.22883035933069</v>
      </c>
      <c r="P90" s="362">
        <f t="shared" si="0"/>
        <v>6.5296798599681454</v>
      </c>
      <c r="Q90" s="362">
        <f t="shared" si="0"/>
        <v>19.543358315507589</v>
      </c>
      <c r="R90" s="362">
        <f t="shared" si="0"/>
        <v>-7.6670869640904762</v>
      </c>
      <c r="S90" s="362">
        <f t="shared" si="0"/>
        <v>-6.8872141338766015</v>
      </c>
      <c r="T90" s="362">
        <f t="shared" si="0"/>
        <v>-7.6670869640904762</v>
      </c>
      <c r="U90" s="362">
        <f t="shared" si="0"/>
        <v>-7.6670869640904762</v>
      </c>
      <c r="V90" s="362">
        <f t="shared" si="0"/>
        <v>-6.8872141338766015</v>
      </c>
      <c r="W90" s="362">
        <f t="shared" si="0"/>
        <v>-6.8872141338766015</v>
      </c>
      <c r="X90" s="362">
        <f t="shared" si="0"/>
        <v>-4.8607236937772624</v>
      </c>
      <c r="Y90" s="362">
        <f t="shared" si="0"/>
        <v>-4.8607236937772624</v>
      </c>
      <c r="Z90" s="351"/>
      <c r="AA90" s="351"/>
    </row>
    <row r="91" spans="2:27" x14ac:dyDescent="0.25">
      <c r="D91" s="295"/>
      <c r="E91" s="86"/>
      <c r="F91" s="295" t="s">
        <v>135</v>
      </c>
      <c r="G91" s="295" t="s">
        <v>183</v>
      </c>
      <c r="H91" s="420"/>
      <c r="I91" s="351"/>
      <c r="J91" s="421">
        <f t="shared" ref="J91:Y96" si="1" xml:space="preserve"> J21 + J33</f>
        <v>2.9621397294622964</v>
      </c>
      <c r="K91" s="421">
        <f t="shared" si="1"/>
        <v>2.9621397294622964</v>
      </c>
      <c r="L91" s="421">
        <f t="shared" si="1"/>
        <v>3.3488168629386572</v>
      </c>
      <c r="M91" s="421">
        <f t="shared" si="1"/>
        <v>3.3488168629386572</v>
      </c>
      <c r="N91" s="421">
        <f t="shared" si="1"/>
        <v>2.7402853945331627</v>
      </c>
      <c r="O91" s="421">
        <f t="shared" si="1"/>
        <v>2.2634945986907815</v>
      </c>
      <c r="P91" s="421">
        <f t="shared" si="1"/>
        <v>1.9930339610535808</v>
      </c>
      <c r="Q91" s="421">
        <f t="shared" si="1"/>
        <v>3.5915491644737907</v>
      </c>
      <c r="R91" s="421">
        <f t="shared" si="1"/>
        <v>-1.2108444096298747</v>
      </c>
      <c r="S91" s="421">
        <f t="shared" si="1"/>
        <v>-1.0576237365468442</v>
      </c>
      <c r="T91" s="421">
        <f t="shared" si="1"/>
        <v>-1.2108444096298747</v>
      </c>
      <c r="U91" s="421">
        <f t="shared" si="1"/>
        <v>-1.2108444096298747</v>
      </c>
      <c r="V91" s="421">
        <f t="shared" si="1"/>
        <v>-1.0576237365468442</v>
      </c>
      <c r="W91" s="421">
        <f t="shared" si="1"/>
        <v>-1.0576237365468442</v>
      </c>
      <c r="X91" s="421">
        <f t="shared" si="1"/>
        <v>-0.625066267685503</v>
      </c>
      <c r="Y91" s="421">
        <f t="shared" si="1"/>
        <v>-0.625066267685503</v>
      </c>
      <c r="Z91" s="351"/>
      <c r="AA91" s="351"/>
    </row>
    <row r="92" spans="2:27" x14ac:dyDescent="0.25">
      <c r="D92" s="295"/>
      <c r="E92" s="86"/>
      <c r="F92" s="295" t="s">
        <v>136</v>
      </c>
      <c r="G92" s="295" t="s">
        <v>183</v>
      </c>
      <c r="H92" s="420"/>
      <c r="I92" s="351"/>
      <c r="J92" s="421">
        <f t="shared" si="1"/>
        <v>1.5634820843517376</v>
      </c>
      <c r="K92" s="421">
        <f t="shared" si="1"/>
        <v>1.5634820843517376</v>
      </c>
      <c r="L92" s="421">
        <f t="shared" si="1"/>
        <v>1.6116306661348077</v>
      </c>
      <c r="M92" s="421">
        <f t="shared" si="1"/>
        <v>1.6116306661348077</v>
      </c>
      <c r="N92" s="421">
        <f t="shared" si="1"/>
        <v>1.5487430997463474</v>
      </c>
      <c r="O92" s="421">
        <f t="shared" si="1"/>
        <v>1.5089261984743625</v>
      </c>
      <c r="P92" s="421">
        <f t="shared" si="1"/>
        <v>1.4683101376528416</v>
      </c>
      <c r="Q92" s="421">
        <f t="shared" si="1"/>
        <v>1.8514611992401424</v>
      </c>
      <c r="R92" s="421">
        <f t="shared" si="1"/>
        <v>-0.15077292147972721</v>
      </c>
      <c r="S92" s="421">
        <f t="shared" si="1"/>
        <v>-0.13696109573644608</v>
      </c>
      <c r="T92" s="421">
        <f t="shared" si="1"/>
        <v>-0.15077292147972721</v>
      </c>
      <c r="U92" s="421">
        <f t="shared" si="1"/>
        <v>-0.15077292147972721</v>
      </c>
      <c r="V92" s="421">
        <f t="shared" si="1"/>
        <v>-0.13696109573644608</v>
      </c>
      <c r="W92" s="421">
        <f t="shared" si="1"/>
        <v>-0.13696109573644608</v>
      </c>
      <c r="X92" s="421">
        <f t="shared" si="1"/>
        <v>-9.944343700203076E-2</v>
      </c>
      <c r="Y92" s="421">
        <f t="shared" si="1"/>
        <v>-9.944343700203076E-2</v>
      </c>
      <c r="Z92" s="351"/>
      <c r="AA92" s="351"/>
    </row>
    <row r="93" spans="2:27" x14ac:dyDescent="0.25">
      <c r="D93" s="295"/>
      <c r="E93" s="86"/>
      <c r="F93" s="295" t="s">
        <v>311</v>
      </c>
      <c r="G93" s="295" t="s">
        <v>309</v>
      </c>
      <c r="H93" s="384"/>
      <c r="J93" s="276">
        <f t="shared" si="1"/>
        <v>3.2257009358243165</v>
      </c>
      <c r="K93" s="276">
        <f t="shared" si="1"/>
        <v>0</v>
      </c>
      <c r="L93" s="276">
        <f t="shared" si="1"/>
        <v>4.1419178272877861</v>
      </c>
      <c r="M93" s="276">
        <f t="shared" si="1"/>
        <v>0</v>
      </c>
      <c r="N93" s="276">
        <f t="shared" si="1"/>
        <v>16.639421607654022</v>
      </c>
      <c r="O93" s="276">
        <f t="shared" si="1"/>
        <v>5.8727370379955364</v>
      </c>
      <c r="P93" s="276">
        <f t="shared" si="1"/>
        <v>88.916773164159807</v>
      </c>
      <c r="Q93" s="276">
        <f t="shared" si="1"/>
        <v>0</v>
      </c>
      <c r="R93" s="276">
        <f t="shared" si="1"/>
        <v>0</v>
      </c>
      <c r="S93" s="276">
        <f t="shared" si="1"/>
        <v>0</v>
      </c>
      <c r="T93" s="276">
        <f t="shared" si="1"/>
        <v>0</v>
      </c>
      <c r="U93" s="276">
        <f t="shared" si="1"/>
        <v>0</v>
      </c>
      <c r="V93" s="276">
        <f t="shared" si="1"/>
        <v>0</v>
      </c>
      <c r="W93" s="276">
        <f t="shared" si="1"/>
        <v>0</v>
      </c>
      <c r="X93" s="276">
        <f t="shared" si="1"/>
        <v>64.92870103793399</v>
      </c>
      <c r="Y93" s="276">
        <f t="shared" si="1"/>
        <v>64.92870103793399</v>
      </c>
    </row>
    <row r="94" spans="2:27" x14ac:dyDescent="0.25">
      <c r="D94" s="295"/>
      <c r="E94" s="86"/>
      <c r="F94" s="295" t="s">
        <v>312</v>
      </c>
      <c r="G94" s="295" t="s">
        <v>308</v>
      </c>
      <c r="H94" s="384"/>
      <c r="J94" s="276">
        <f t="shared" si="1"/>
        <v>0</v>
      </c>
      <c r="K94" s="276">
        <f t="shared" si="1"/>
        <v>0</v>
      </c>
      <c r="L94" s="276">
        <f t="shared" si="1"/>
        <v>0</v>
      </c>
      <c r="M94" s="276">
        <f t="shared" si="1"/>
        <v>0</v>
      </c>
      <c r="N94" s="276">
        <f t="shared" si="1"/>
        <v>2.4834222162989184</v>
      </c>
      <c r="O94" s="276">
        <f t="shared" si="1"/>
        <v>5.0190999144643538</v>
      </c>
      <c r="P94" s="276">
        <f t="shared" si="1"/>
        <v>3.9211655448088703</v>
      </c>
      <c r="Q94" s="276">
        <f t="shared" si="1"/>
        <v>0</v>
      </c>
      <c r="R94" s="276">
        <f t="shared" si="1"/>
        <v>0</v>
      </c>
      <c r="S94" s="276">
        <f t="shared" si="1"/>
        <v>0</v>
      </c>
      <c r="T94" s="276">
        <f t="shared" si="1"/>
        <v>0</v>
      </c>
      <c r="U94" s="276">
        <f t="shared" si="1"/>
        <v>0</v>
      </c>
      <c r="V94" s="276">
        <f t="shared" si="1"/>
        <v>0</v>
      </c>
      <c r="W94" s="276">
        <f t="shared" si="1"/>
        <v>0</v>
      </c>
      <c r="X94" s="276">
        <f t="shared" si="1"/>
        <v>0</v>
      </c>
      <c r="Y94" s="276">
        <f t="shared" si="1"/>
        <v>0</v>
      </c>
    </row>
    <row r="95" spans="2:27" x14ac:dyDescent="0.25">
      <c r="D95" s="295"/>
      <c r="E95" s="86"/>
      <c r="F95" s="295" t="s">
        <v>313</v>
      </c>
      <c r="G95" s="295" t="s">
        <v>308</v>
      </c>
      <c r="H95" s="384"/>
      <c r="J95" s="276">
        <f t="shared" si="1"/>
        <v>0</v>
      </c>
      <c r="K95" s="276">
        <f t="shared" si="1"/>
        <v>0</v>
      </c>
      <c r="L95" s="276">
        <f t="shared" si="1"/>
        <v>0</v>
      </c>
      <c r="M95" s="276">
        <f t="shared" si="1"/>
        <v>0</v>
      </c>
      <c r="N95" s="276">
        <f t="shared" si="1"/>
        <v>4.5187571060823757</v>
      </c>
      <c r="O95" s="276">
        <f t="shared" si="1"/>
        <v>7.0110989954461296</v>
      </c>
      <c r="P95" s="276">
        <f t="shared" si="1"/>
        <v>6.5257681525581148</v>
      </c>
      <c r="Q95" s="276">
        <f t="shared" si="1"/>
        <v>0</v>
      </c>
      <c r="R95" s="276">
        <f t="shared" si="1"/>
        <v>0</v>
      </c>
      <c r="S95" s="276">
        <f t="shared" si="1"/>
        <v>0</v>
      </c>
      <c r="T95" s="276">
        <f t="shared" si="1"/>
        <v>0</v>
      </c>
      <c r="U95" s="276">
        <f t="shared" si="1"/>
        <v>0</v>
      </c>
      <c r="V95" s="276">
        <f t="shared" si="1"/>
        <v>0</v>
      </c>
      <c r="W95" s="276">
        <f t="shared" si="1"/>
        <v>0</v>
      </c>
      <c r="X95" s="276">
        <f t="shared" si="1"/>
        <v>0</v>
      </c>
      <c r="Y95" s="276">
        <f t="shared" si="1"/>
        <v>0</v>
      </c>
    </row>
    <row r="96" spans="2:27" x14ac:dyDescent="0.25">
      <c r="D96" s="295"/>
      <c r="E96" s="86"/>
      <c r="F96" s="93" t="s">
        <v>314</v>
      </c>
      <c r="G96" s="93" t="s">
        <v>315</v>
      </c>
      <c r="H96" s="363"/>
      <c r="I96" s="353"/>
      <c r="J96" s="364">
        <f t="shared" si="1"/>
        <v>0</v>
      </c>
      <c r="K96" s="364">
        <f t="shared" si="1"/>
        <v>0</v>
      </c>
      <c r="L96" s="364">
        <f t="shared" si="1"/>
        <v>0</v>
      </c>
      <c r="M96" s="364">
        <f t="shared" si="1"/>
        <v>0</v>
      </c>
      <c r="N96" s="364">
        <f t="shared" si="1"/>
        <v>0.40368859796416162</v>
      </c>
      <c r="O96" s="364">
        <f t="shared" si="1"/>
        <v>0.24363438241295179</v>
      </c>
      <c r="P96" s="364">
        <f t="shared" si="1"/>
        <v>0.17267908446293873</v>
      </c>
      <c r="Q96" s="364">
        <f t="shared" si="1"/>
        <v>0</v>
      </c>
      <c r="R96" s="364">
        <f t="shared" si="1"/>
        <v>0</v>
      </c>
      <c r="S96" s="364">
        <f t="shared" si="1"/>
        <v>0</v>
      </c>
      <c r="T96" s="364">
        <f t="shared" si="1"/>
        <v>0.33080423076610987</v>
      </c>
      <c r="U96" s="364">
        <f t="shared" si="1"/>
        <v>0</v>
      </c>
      <c r="V96" s="364">
        <f t="shared" si="1"/>
        <v>0.30468338725013466</v>
      </c>
      <c r="W96" s="364">
        <f t="shared" si="1"/>
        <v>0</v>
      </c>
      <c r="X96" s="364">
        <f t="shared" si="1"/>
        <v>0.2321386727871092</v>
      </c>
      <c r="Y96" s="364">
        <f t="shared" si="1"/>
        <v>0</v>
      </c>
      <c r="Z96" s="351"/>
      <c r="AA96" s="351"/>
    </row>
    <row r="97" spans="3:27" x14ac:dyDescent="0.25">
      <c r="D97" s="96"/>
      <c r="E97" s="295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</row>
    <row r="98" spans="3:27" x14ac:dyDescent="0.25">
      <c r="C98" s="7" t="str">
        <f ca="1">INDEX('Version control'!$H$34:$H$58,MATCH($A$1,'Version control'!$F$34:$F$58,0),1)&amp;"-G: Tariff forecast, post-adders &amp; discounting"</f>
        <v>Section 520-G: Tariff forecast, post-adders &amp; discounting</v>
      </c>
      <c r="D98" s="7"/>
      <c r="E98" s="7"/>
      <c r="F98" s="7"/>
      <c r="G98" s="7"/>
      <c r="H98" s="7"/>
      <c r="I98" s="7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7"/>
      <c r="AA98" s="7"/>
    </row>
    <row r="99" spans="3:27" x14ac:dyDescent="0.25"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  <c r="U99" s="253"/>
      <c r="V99" s="253"/>
      <c r="W99" s="253"/>
      <c r="X99" s="253"/>
      <c r="Y99" s="253"/>
    </row>
    <row r="100" spans="3:27" x14ac:dyDescent="0.25">
      <c r="E100" s="96" t="s">
        <v>1148</v>
      </c>
      <c r="F100" s="96"/>
      <c r="I100" s="295" t="s">
        <v>431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  <c r="U100" s="253"/>
      <c r="V100" s="253"/>
      <c r="W100" s="253"/>
      <c r="X100" s="253"/>
      <c r="Y100" s="253"/>
      <c r="AA100" s="295" t="s">
        <v>1149</v>
      </c>
    </row>
    <row r="101" spans="3:27" x14ac:dyDescent="0.25">
      <c r="E101" s="86"/>
      <c r="F101" s="91" t="s">
        <v>134</v>
      </c>
      <c r="G101" s="91" t="s">
        <v>183</v>
      </c>
      <c r="H101" s="360"/>
      <c r="I101" s="349"/>
      <c r="J101" s="454">
        <f xml:space="preserve"> J90 + J44</f>
        <v>11.480502036557414</v>
      </c>
      <c r="K101" s="454">
        <f t="shared" ref="K101:Y101" si="2" xml:space="preserve"> K90 + K44</f>
        <v>11.480502036557414</v>
      </c>
      <c r="L101" s="454">
        <f t="shared" si="2"/>
        <v>13.928948084464352</v>
      </c>
      <c r="M101" s="454">
        <f t="shared" si="2"/>
        <v>13.928948084464352</v>
      </c>
      <c r="N101" s="454">
        <f t="shared" si="2"/>
        <v>10.541351431841651</v>
      </c>
      <c r="O101" s="454">
        <f t="shared" si="2"/>
        <v>8.22883035933069</v>
      </c>
      <c r="P101" s="454">
        <f t="shared" si="2"/>
        <v>6.5296798599681454</v>
      </c>
      <c r="Q101" s="454">
        <f t="shared" si="2"/>
        <v>19.543358315507589</v>
      </c>
      <c r="R101" s="454">
        <f t="shared" si="2"/>
        <v>-7.6670869640904762</v>
      </c>
      <c r="S101" s="454">
        <f t="shared" si="2"/>
        <v>-6.8872141338766015</v>
      </c>
      <c r="T101" s="454">
        <f t="shared" si="2"/>
        <v>-7.6670869640904762</v>
      </c>
      <c r="U101" s="454">
        <f t="shared" si="2"/>
        <v>-7.6670869640904762</v>
      </c>
      <c r="V101" s="454">
        <f t="shared" si="2"/>
        <v>-6.8872141338766015</v>
      </c>
      <c r="W101" s="454">
        <f t="shared" si="2"/>
        <v>-6.8872141338766015</v>
      </c>
      <c r="X101" s="454">
        <f t="shared" si="2"/>
        <v>-4.8607236937772624</v>
      </c>
      <c r="Y101" s="454">
        <f t="shared" si="2"/>
        <v>-4.8607236937772624</v>
      </c>
      <c r="Z101" s="351"/>
      <c r="AA101" s="351"/>
    </row>
    <row r="102" spans="3:27" x14ac:dyDescent="0.25">
      <c r="E102" s="86"/>
      <c r="F102" s="295" t="s">
        <v>135</v>
      </c>
      <c r="G102" s="295" t="s">
        <v>183</v>
      </c>
      <c r="H102" s="420"/>
      <c r="I102" s="351"/>
      <c r="J102" s="421">
        <f t="shared" ref="J102:Y107" si="3" xml:space="preserve"> J91 + J45</f>
        <v>2.9621397294622964</v>
      </c>
      <c r="K102" s="421">
        <f t="shared" si="3"/>
        <v>2.9621397294622964</v>
      </c>
      <c r="L102" s="421">
        <f t="shared" si="3"/>
        <v>3.3488168629386572</v>
      </c>
      <c r="M102" s="421">
        <f t="shared" si="3"/>
        <v>3.3488168629386572</v>
      </c>
      <c r="N102" s="421">
        <f t="shared" si="3"/>
        <v>2.7402853945331627</v>
      </c>
      <c r="O102" s="421">
        <f t="shared" si="3"/>
        <v>2.2634945986907815</v>
      </c>
      <c r="P102" s="421">
        <f t="shared" si="3"/>
        <v>1.9930339610535808</v>
      </c>
      <c r="Q102" s="421">
        <f t="shared" si="3"/>
        <v>3.5915491644737907</v>
      </c>
      <c r="R102" s="421">
        <f t="shared" si="3"/>
        <v>-1.2108444096298747</v>
      </c>
      <c r="S102" s="421">
        <f t="shared" si="3"/>
        <v>-1.0576237365468442</v>
      </c>
      <c r="T102" s="421">
        <f t="shared" si="3"/>
        <v>-1.2108444096298747</v>
      </c>
      <c r="U102" s="421">
        <f t="shared" si="3"/>
        <v>-1.2108444096298747</v>
      </c>
      <c r="V102" s="421">
        <f t="shared" si="3"/>
        <v>-1.0576237365468442</v>
      </c>
      <c r="W102" s="421">
        <f t="shared" si="3"/>
        <v>-1.0576237365468442</v>
      </c>
      <c r="X102" s="421">
        <f t="shared" si="3"/>
        <v>-0.625066267685503</v>
      </c>
      <c r="Y102" s="421">
        <f t="shared" si="3"/>
        <v>-0.625066267685503</v>
      </c>
      <c r="Z102" s="351"/>
      <c r="AA102" s="351"/>
    </row>
    <row r="103" spans="3:27" x14ac:dyDescent="0.25">
      <c r="E103" s="86"/>
      <c r="F103" s="295" t="s">
        <v>136</v>
      </c>
      <c r="G103" s="295" t="s">
        <v>183</v>
      </c>
      <c r="H103" s="420"/>
      <c r="I103" s="351"/>
      <c r="J103" s="421">
        <f t="shared" si="3"/>
        <v>1.5634820843517376</v>
      </c>
      <c r="K103" s="421">
        <f t="shared" si="3"/>
        <v>1.5634820843517376</v>
      </c>
      <c r="L103" s="421">
        <f t="shared" si="3"/>
        <v>1.6116306661348077</v>
      </c>
      <c r="M103" s="421">
        <f t="shared" si="3"/>
        <v>1.6116306661348077</v>
      </c>
      <c r="N103" s="421">
        <f t="shared" si="3"/>
        <v>1.5487430997463474</v>
      </c>
      <c r="O103" s="421">
        <f t="shared" si="3"/>
        <v>1.5089261984743625</v>
      </c>
      <c r="P103" s="421">
        <f t="shared" si="3"/>
        <v>1.4683101376528416</v>
      </c>
      <c r="Q103" s="421">
        <f t="shared" si="3"/>
        <v>1.8514611992401424</v>
      </c>
      <c r="R103" s="421">
        <f t="shared" si="3"/>
        <v>-0.15077292147972721</v>
      </c>
      <c r="S103" s="421">
        <f t="shared" si="3"/>
        <v>-0.13696109573644608</v>
      </c>
      <c r="T103" s="421">
        <f t="shared" si="3"/>
        <v>-0.15077292147972721</v>
      </c>
      <c r="U103" s="421">
        <f t="shared" si="3"/>
        <v>-0.15077292147972721</v>
      </c>
      <c r="V103" s="421">
        <f t="shared" si="3"/>
        <v>-0.13696109573644608</v>
      </c>
      <c r="W103" s="421">
        <f t="shared" si="3"/>
        <v>-0.13696109573644608</v>
      </c>
      <c r="X103" s="421">
        <f t="shared" si="3"/>
        <v>-9.944343700203076E-2</v>
      </c>
      <c r="Y103" s="421">
        <f t="shared" si="3"/>
        <v>-9.944343700203076E-2</v>
      </c>
      <c r="Z103" s="351"/>
      <c r="AA103" s="351"/>
    </row>
    <row r="104" spans="3:27" x14ac:dyDescent="0.25">
      <c r="E104" s="86"/>
      <c r="F104" s="295" t="s">
        <v>311</v>
      </c>
      <c r="G104" s="295" t="s">
        <v>309</v>
      </c>
      <c r="H104" s="384"/>
      <c r="J104" s="276">
        <f t="shared" si="3"/>
        <v>3.4856370009889694</v>
      </c>
      <c r="K104" s="276">
        <f t="shared" si="3"/>
        <v>0</v>
      </c>
      <c r="L104" s="276">
        <f t="shared" si="3"/>
        <v>4.3950805802342003</v>
      </c>
      <c r="M104" s="276">
        <f t="shared" si="3"/>
        <v>0</v>
      </c>
      <c r="N104" s="276">
        <f t="shared" si="3"/>
        <v>16.892584360600434</v>
      </c>
      <c r="O104" s="276">
        <f t="shared" si="3"/>
        <v>6.1258997909419506</v>
      </c>
      <c r="P104" s="276">
        <f t="shared" si="3"/>
        <v>89.169935917106216</v>
      </c>
      <c r="Q104" s="276">
        <f t="shared" si="3"/>
        <v>0</v>
      </c>
      <c r="R104" s="276">
        <f t="shared" si="3"/>
        <v>0</v>
      </c>
      <c r="S104" s="276">
        <f t="shared" si="3"/>
        <v>0</v>
      </c>
      <c r="T104" s="276">
        <f t="shared" si="3"/>
        <v>0</v>
      </c>
      <c r="U104" s="276">
        <f t="shared" si="3"/>
        <v>0</v>
      </c>
      <c r="V104" s="276">
        <f t="shared" si="3"/>
        <v>0</v>
      </c>
      <c r="W104" s="276">
        <f t="shared" si="3"/>
        <v>0</v>
      </c>
      <c r="X104" s="276">
        <f t="shared" si="3"/>
        <v>64.92870103793399</v>
      </c>
      <c r="Y104" s="276">
        <f t="shared" si="3"/>
        <v>64.92870103793399</v>
      </c>
    </row>
    <row r="105" spans="3:27" x14ac:dyDescent="0.25">
      <c r="E105" s="86"/>
      <c r="F105" s="295" t="s">
        <v>312</v>
      </c>
      <c r="G105" s="295" t="s">
        <v>308</v>
      </c>
      <c r="H105" s="384"/>
      <c r="J105" s="276">
        <f t="shared" si="3"/>
        <v>0</v>
      </c>
      <c r="K105" s="276">
        <f t="shared" si="3"/>
        <v>0</v>
      </c>
      <c r="L105" s="276">
        <f t="shared" si="3"/>
        <v>0</v>
      </c>
      <c r="M105" s="276">
        <f t="shared" si="3"/>
        <v>0</v>
      </c>
      <c r="N105" s="276">
        <f t="shared" si="3"/>
        <v>2.4834222162989184</v>
      </c>
      <c r="O105" s="276">
        <f t="shared" si="3"/>
        <v>5.0190999144643538</v>
      </c>
      <c r="P105" s="276">
        <f t="shared" si="3"/>
        <v>3.9211655448088703</v>
      </c>
      <c r="Q105" s="276">
        <f t="shared" si="3"/>
        <v>0</v>
      </c>
      <c r="R105" s="276">
        <f t="shared" si="3"/>
        <v>0</v>
      </c>
      <c r="S105" s="276">
        <f t="shared" si="3"/>
        <v>0</v>
      </c>
      <c r="T105" s="276">
        <f t="shared" si="3"/>
        <v>0</v>
      </c>
      <c r="U105" s="276">
        <f t="shared" si="3"/>
        <v>0</v>
      </c>
      <c r="V105" s="276">
        <f t="shared" si="3"/>
        <v>0</v>
      </c>
      <c r="W105" s="276">
        <f t="shared" si="3"/>
        <v>0</v>
      </c>
      <c r="X105" s="276">
        <f t="shared" si="3"/>
        <v>0</v>
      </c>
      <c r="Y105" s="276">
        <f t="shared" si="3"/>
        <v>0</v>
      </c>
    </row>
    <row r="106" spans="3:27" x14ac:dyDescent="0.25">
      <c r="E106" s="86"/>
      <c r="F106" s="295" t="s">
        <v>313</v>
      </c>
      <c r="G106" s="295" t="s">
        <v>308</v>
      </c>
      <c r="H106" s="384"/>
      <c r="J106" s="276">
        <f t="shared" si="3"/>
        <v>0</v>
      </c>
      <c r="K106" s="276">
        <f t="shared" si="3"/>
        <v>0</v>
      </c>
      <c r="L106" s="276">
        <f t="shared" si="3"/>
        <v>0</v>
      </c>
      <c r="M106" s="276">
        <f t="shared" si="3"/>
        <v>0</v>
      </c>
      <c r="N106" s="276">
        <f t="shared" si="3"/>
        <v>4.5187571060823757</v>
      </c>
      <c r="O106" s="276">
        <f t="shared" si="3"/>
        <v>7.0110989954461296</v>
      </c>
      <c r="P106" s="276">
        <f t="shared" si="3"/>
        <v>6.5257681525581148</v>
      </c>
      <c r="Q106" s="276">
        <f t="shared" si="3"/>
        <v>0</v>
      </c>
      <c r="R106" s="276">
        <f t="shared" si="3"/>
        <v>0</v>
      </c>
      <c r="S106" s="276">
        <f t="shared" si="3"/>
        <v>0</v>
      </c>
      <c r="T106" s="276">
        <f t="shared" si="3"/>
        <v>0</v>
      </c>
      <c r="U106" s="276">
        <f t="shared" si="3"/>
        <v>0</v>
      </c>
      <c r="V106" s="276">
        <f t="shared" si="3"/>
        <v>0</v>
      </c>
      <c r="W106" s="276">
        <f t="shared" si="3"/>
        <v>0</v>
      </c>
      <c r="X106" s="276">
        <f t="shared" si="3"/>
        <v>0</v>
      </c>
      <c r="Y106" s="276">
        <f t="shared" si="3"/>
        <v>0</v>
      </c>
    </row>
    <row r="107" spans="3:27" x14ac:dyDescent="0.25">
      <c r="E107" s="86"/>
      <c r="F107" s="93" t="s">
        <v>314</v>
      </c>
      <c r="G107" s="93" t="s">
        <v>315</v>
      </c>
      <c r="H107" s="363"/>
      <c r="I107" s="353"/>
      <c r="J107" s="364">
        <f t="shared" si="3"/>
        <v>0</v>
      </c>
      <c r="K107" s="364">
        <f t="shared" si="3"/>
        <v>0</v>
      </c>
      <c r="L107" s="364">
        <f t="shared" si="3"/>
        <v>0</v>
      </c>
      <c r="M107" s="364">
        <f t="shared" si="3"/>
        <v>0</v>
      </c>
      <c r="N107" s="364">
        <f t="shared" si="3"/>
        <v>0.40368859796416162</v>
      </c>
      <c r="O107" s="364">
        <f t="shared" si="3"/>
        <v>0.24363438241295179</v>
      </c>
      <c r="P107" s="364">
        <f t="shared" si="3"/>
        <v>0.17267908446293873</v>
      </c>
      <c r="Q107" s="364">
        <f t="shared" si="3"/>
        <v>0</v>
      </c>
      <c r="R107" s="364">
        <f t="shared" si="3"/>
        <v>0</v>
      </c>
      <c r="S107" s="364">
        <f t="shared" si="3"/>
        <v>0</v>
      </c>
      <c r="T107" s="364">
        <f t="shared" si="3"/>
        <v>0.33080423076610987</v>
      </c>
      <c r="U107" s="364">
        <f t="shared" si="3"/>
        <v>0</v>
      </c>
      <c r="V107" s="364">
        <f t="shared" si="3"/>
        <v>0.30468338725013466</v>
      </c>
      <c r="W107" s="364">
        <f t="shared" si="3"/>
        <v>0</v>
      </c>
      <c r="X107" s="364">
        <f t="shared" si="3"/>
        <v>0.2321386727871092</v>
      </c>
      <c r="Y107" s="364">
        <f t="shared" si="3"/>
        <v>0</v>
      </c>
      <c r="Z107" s="351"/>
      <c r="AA107" s="351"/>
    </row>
    <row r="108" spans="3:27" x14ac:dyDescent="0.25">
      <c r="E108" s="96"/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  <c r="U108" s="253"/>
      <c r="V108" s="253"/>
      <c r="W108" s="253"/>
      <c r="X108" s="253"/>
      <c r="Y108" s="253"/>
    </row>
    <row r="109" spans="3:27" x14ac:dyDescent="0.25">
      <c r="E109" s="96" t="s">
        <v>1150</v>
      </c>
      <c r="I109" s="295" t="s">
        <v>431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AA109" s="295" t="s">
        <v>1149</v>
      </c>
    </row>
    <row r="110" spans="3:27" x14ac:dyDescent="0.25">
      <c r="E110" s="86"/>
      <c r="F110" s="91" t="s">
        <v>134</v>
      </c>
      <c r="G110" s="91" t="s">
        <v>183</v>
      </c>
      <c r="H110" s="360"/>
      <c r="I110" s="349"/>
      <c r="J110" s="362">
        <f xml:space="preserve"> J90 * (1 - J55) + J44</f>
        <v>7.117650132033206</v>
      </c>
      <c r="K110" s="362">
        <f t="shared" ref="K110:N110" si="4" xml:space="preserve"> K90 * (1 - K55) + K44</f>
        <v>7.117650132033206</v>
      </c>
      <c r="L110" s="362">
        <f t="shared" si="4"/>
        <v>8.6356309904196724</v>
      </c>
      <c r="M110" s="362">
        <f t="shared" si="4"/>
        <v>8.6356309904196724</v>
      </c>
      <c r="N110" s="362">
        <f t="shared" si="4"/>
        <v>6.5353981186309529</v>
      </c>
      <c r="O110" s="361"/>
      <c r="P110" s="361"/>
      <c r="Q110" s="362">
        <f t="shared" ref="Q110:R116" si="5" xml:space="preserve"> Q90 * (1 - Q55) + Q44</f>
        <v>12.116437630671482</v>
      </c>
      <c r="R110" s="362">
        <f t="shared" si="5"/>
        <v>-7.6670869640904762</v>
      </c>
      <c r="S110" s="361"/>
      <c r="T110" s="362">
        <f t="shared" ref="T110:T116" si="6" xml:space="preserve"> T90 * (1 - T55) + T44</f>
        <v>-7.6670869640904762</v>
      </c>
      <c r="U110" s="361"/>
      <c r="V110" s="361"/>
      <c r="W110" s="361"/>
      <c r="X110" s="361"/>
      <c r="Y110" s="361"/>
      <c r="Z110" s="351"/>
      <c r="AA110" s="351"/>
    </row>
    <row r="111" spans="3:27" x14ac:dyDescent="0.25">
      <c r="E111" s="86"/>
      <c r="F111" s="295" t="s">
        <v>135</v>
      </c>
      <c r="G111" s="295" t="s">
        <v>183</v>
      </c>
      <c r="H111" s="420"/>
      <c r="I111" s="351"/>
      <c r="J111" s="421">
        <f t="shared" ref="J111:N116" si="7" xml:space="preserve"> J91 * (1 - J56) + J45</f>
        <v>1.8364592566920781</v>
      </c>
      <c r="K111" s="421">
        <f t="shared" si="7"/>
        <v>1.8364592566920781</v>
      </c>
      <c r="L111" s="421">
        <f t="shared" si="7"/>
        <v>2.076190284253268</v>
      </c>
      <c r="M111" s="421">
        <f t="shared" si="7"/>
        <v>2.076190284253268</v>
      </c>
      <c r="N111" s="421">
        <f t="shared" si="7"/>
        <v>1.6989146152406667</v>
      </c>
      <c r="O111" s="422"/>
      <c r="P111" s="422"/>
      <c r="Q111" s="421">
        <f t="shared" si="5"/>
        <v>2.2266787901190215</v>
      </c>
      <c r="R111" s="421">
        <f t="shared" si="5"/>
        <v>-1.2108444096298747</v>
      </c>
      <c r="S111" s="422"/>
      <c r="T111" s="421">
        <f t="shared" si="6"/>
        <v>-1.2108444096298747</v>
      </c>
      <c r="U111" s="422"/>
      <c r="V111" s="422"/>
      <c r="W111" s="422"/>
      <c r="X111" s="422"/>
      <c r="Y111" s="422"/>
      <c r="Z111" s="351"/>
      <c r="AA111" s="351"/>
    </row>
    <row r="112" spans="3:27" x14ac:dyDescent="0.25">
      <c r="E112" s="86"/>
      <c r="F112" s="295" t="s">
        <v>136</v>
      </c>
      <c r="G112" s="295" t="s">
        <v>183</v>
      </c>
      <c r="H112" s="420"/>
      <c r="I112" s="351"/>
      <c r="J112" s="421">
        <f t="shared" si="7"/>
        <v>0.96932332999739401</v>
      </c>
      <c r="K112" s="421">
        <f t="shared" si="7"/>
        <v>0.96932332999739401</v>
      </c>
      <c r="L112" s="421">
        <f t="shared" si="7"/>
        <v>0.9991743555356678</v>
      </c>
      <c r="M112" s="421">
        <f t="shared" si="7"/>
        <v>0.9991743555356678</v>
      </c>
      <c r="N112" s="421">
        <f t="shared" si="7"/>
        <v>0.9601854947887476</v>
      </c>
      <c r="O112" s="422"/>
      <c r="P112" s="422"/>
      <c r="Q112" s="421">
        <f t="shared" si="5"/>
        <v>1.1478638309773408</v>
      </c>
      <c r="R112" s="421">
        <f t="shared" si="5"/>
        <v>-0.15077292147972721</v>
      </c>
      <c r="S112" s="422"/>
      <c r="T112" s="421">
        <f t="shared" si="6"/>
        <v>-0.15077292147972721</v>
      </c>
      <c r="U112" s="422"/>
      <c r="V112" s="422"/>
      <c r="W112" s="422"/>
      <c r="X112" s="422"/>
      <c r="Y112" s="422"/>
      <c r="Z112" s="351"/>
      <c r="AA112" s="351"/>
    </row>
    <row r="113" spans="1:27" x14ac:dyDescent="0.25">
      <c r="E113" s="86"/>
      <c r="F113" s="295" t="s">
        <v>311</v>
      </c>
      <c r="G113" s="295" t="s">
        <v>309</v>
      </c>
      <c r="H113" s="384"/>
      <c r="J113" s="276">
        <f t="shared" si="7"/>
        <v>2.2597972749497153</v>
      </c>
      <c r="K113" s="276">
        <f t="shared" si="7"/>
        <v>0</v>
      </c>
      <c r="L113" s="276">
        <f t="shared" si="7"/>
        <v>2.8210575955578259</v>
      </c>
      <c r="M113" s="276">
        <f t="shared" si="7"/>
        <v>0</v>
      </c>
      <c r="N113" s="276">
        <f t="shared" si="7"/>
        <v>10.569225676461974</v>
      </c>
      <c r="O113" s="280"/>
      <c r="P113" s="280"/>
      <c r="Q113" s="276">
        <f t="shared" si="5"/>
        <v>0</v>
      </c>
      <c r="R113" s="276">
        <f t="shared" si="5"/>
        <v>0</v>
      </c>
      <c r="S113" s="280"/>
      <c r="T113" s="276">
        <f t="shared" si="6"/>
        <v>0</v>
      </c>
      <c r="U113" s="280"/>
      <c r="V113" s="280"/>
      <c r="W113" s="280"/>
      <c r="X113" s="280"/>
      <c r="Y113" s="280"/>
    </row>
    <row r="114" spans="1:27" x14ac:dyDescent="0.25">
      <c r="E114" s="86"/>
      <c r="F114" s="295" t="s">
        <v>312</v>
      </c>
      <c r="G114" s="295" t="s">
        <v>308</v>
      </c>
      <c r="H114" s="384"/>
      <c r="J114" s="276">
        <f t="shared" si="7"/>
        <v>0</v>
      </c>
      <c r="K114" s="276">
        <f t="shared" si="7"/>
        <v>0</v>
      </c>
      <c r="L114" s="276">
        <f t="shared" si="7"/>
        <v>0</v>
      </c>
      <c r="M114" s="276">
        <f t="shared" si="7"/>
        <v>0</v>
      </c>
      <c r="N114" s="276">
        <f t="shared" si="7"/>
        <v>1.5396652872363952</v>
      </c>
      <c r="O114" s="280"/>
      <c r="P114" s="280"/>
      <c r="Q114" s="276">
        <f t="shared" si="5"/>
        <v>0</v>
      </c>
      <c r="R114" s="276">
        <f t="shared" si="5"/>
        <v>0</v>
      </c>
      <c r="S114" s="280"/>
      <c r="T114" s="276">
        <f t="shared" si="6"/>
        <v>0</v>
      </c>
      <c r="U114" s="280"/>
      <c r="V114" s="280"/>
      <c r="W114" s="280"/>
      <c r="X114" s="280"/>
      <c r="Y114" s="280"/>
    </row>
    <row r="115" spans="1:27" x14ac:dyDescent="0.25">
      <c r="E115" s="86"/>
      <c r="F115" s="295" t="s">
        <v>313</v>
      </c>
      <c r="G115" s="295" t="s">
        <v>308</v>
      </c>
      <c r="H115" s="384"/>
      <c r="J115" s="276">
        <f t="shared" si="7"/>
        <v>0</v>
      </c>
      <c r="K115" s="276">
        <f t="shared" si="7"/>
        <v>0</v>
      </c>
      <c r="L115" s="276">
        <f t="shared" si="7"/>
        <v>0</v>
      </c>
      <c r="M115" s="276">
        <f t="shared" si="7"/>
        <v>0</v>
      </c>
      <c r="N115" s="276">
        <f t="shared" si="7"/>
        <v>2.8015266240375758</v>
      </c>
      <c r="O115" s="280"/>
      <c r="P115" s="280"/>
      <c r="Q115" s="276">
        <f t="shared" si="5"/>
        <v>0</v>
      </c>
      <c r="R115" s="276">
        <f t="shared" si="5"/>
        <v>0</v>
      </c>
      <c r="S115" s="280"/>
      <c r="T115" s="276">
        <f t="shared" si="6"/>
        <v>0</v>
      </c>
      <c r="U115" s="280"/>
      <c r="V115" s="280"/>
      <c r="W115" s="280"/>
      <c r="X115" s="280"/>
      <c r="Y115" s="280"/>
    </row>
    <row r="116" spans="1:27" x14ac:dyDescent="0.25">
      <c r="E116" s="86"/>
      <c r="F116" s="93" t="s">
        <v>314</v>
      </c>
      <c r="G116" s="93" t="s">
        <v>315</v>
      </c>
      <c r="H116" s="363"/>
      <c r="I116" s="353"/>
      <c r="J116" s="364">
        <f t="shared" si="7"/>
        <v>0</v>
      </c>
      <c r="K116" s="364">
        <f t="shared" si="7"/>
        <v>0</v>
      </c>
      <c r="L116" s="364">
        <f t="shared" si="7"/>
        <v>0</v>
      </c>
      <c r="M116" s="364">
        <f t="shared" si="7"/>
        <v>0</v>
      </c>
      <c r="N116" s="364">
        <f t="shared" si="7"/>
        <v>0.25027774860806673</v>
      </c>
      <c r="O116" s="358"/>
      <c r="P116" s="358"/>
      <c r="Q116" s="364">
        <f t="shared" si="5"/>
        <v>0</v>
      </c>
      <c r="R116" s="364">
        <f t="shared" si="5"/>
        <v>0</v>
      </c>
      <c r="S116" s="358"/>
      <c r="T116" s="364">
        <f t="shared" si="6"/>
        <v>0.33080423076610987</v>
      </c>
      <c r="U116" s="358"/>
      <c r="V116" s="358"/>
      <c r="W116" s="358"/>
      <c r="X116" s="358"/>
      <c r="Y116" s="358"/>
      <c r="Z116" s="351"/>
      <c r="AA116" s="351"/>
    </row>
    <row r="117" spans="1:27" x14ac:dyDescent="0.25">
      <c r="E117" s="86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</row>
    <row r="118" spans="1:27" x14ac:dyDescent="0.25">
      <c r="E118" s="96" t="s">
        <v>1151</v>
      </c>
      <c r="I118" s="295" t="s">
        <v>431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AA118" s="295" t="s">
        <v>1149</v>
      </c>
    </row>
    <row r="119" spans="1:27" x14ac:dyDescent="0.25">
      <c r="C119" s="86"/>
      <c r="F119" s="91" t="s">
        <v>134</v>
      </c>
      <c r="G119" s="91" t="s">
        <v>183</v>
      </c>
      <c r="H119" s="360"/>
      <c r="I119" s="349"/>
      <c r="J119" s="362">
        <f>J90 * (1 - J64) + J44</f>
        <v>5.0847019751376452</v>
      </c>
      <c r="K119" s="362">
        <f t="shared" ref="K119:T119" si="8">K90 * (1 - K64) + K44</f>
        <v>5.0847019751376452</v>
      </c>
      <c r="L119" s="362">
        <f t="shared" si="8"/>
        <v>6.1691160901447226</v>
      </c>
      <c r="M119" s="362">
        <f t="shared" si="8"/>
        <v>6.1691160901447226</v>
      </c>
      <c r="N119" s="362">
        <f t="shared" si="8"/>
        <v>4.6687531847847543</v>
      </c>
      <c r="O119" s="362">
        <f t="shared" si="8"/>
        <v>5.891665862564933</v>
      </c>
      <c r="P119" s="362">
        <f t="shared" si="8"/>
        <v>5.2826683328310624</v>
      </c>
      <c r="Q119" s="362">
        <f t="shared" si="8"/>
        <v>8.6557323287128867</v>
      </c>
      <c r="R119" s="362">
        <f t="shared" si="8"/>
        <v>-7.6670869640904762</v>
      </c>
      <c r="S119" s="362">
        <f t="shared" si="8"/>
        <v>-6.8872141338766015</v>
      </c>
      <c r="T119" s="362">
        <f t="shared" si="8"/>
        <v>-7.6670869640904762</v>
      </c>
      <c r="U119" s="361"/>
      <c r="V119" s="362">
        <f t="shared" ref="V119:V125" si="9">V90 * (1 - V64) + V44</f>
        <v>-6.8872141338766015</v>
      </c>
      <c r="W119" s="361"/>
      <c r="X119" s="362">
        <f t="shared" ref="X119:X125" si="10">X90 * (1 - X64) + X44</f>
        <v>-4.8607236937772624</v>
      </c>
      <c r="Y119" s="361"/>
      <c r="Z119" s="351"/>
      <c r="AA119" s="351"/>
    </row>
    <row r="120" spans="1:27" x14ac:dyDescent="0.25">
      <c r="C120" s="86"/>
      <c r="F120" s="295" t="s">
        <v>135</v>
      </c>
      <c r="G120" s="295" t="s">
        <v>183</v>
      </c>
      <c r="H120" s="420"/>
      <c r="I120" s="351"/>
      <c r="J120" s="421">
        <f t="shared" ref="J120:T125" si="11">J91 * (1 - J65) + J45</f>
        <v>1.3119284927671206</v>
      </c>
      <c r="K120" s="421">
        <f t="shared" si="11"/>
        <v>1.3119284927671206</v>
      </c>
      <c r="L120" s="421">
        <f t="shared" si="11"/>
        <v>1.4831873783164662</v>
      </c>
      <c r="M120" s="421">
        <f t="shared" si="11"/>
        <v>1.4831873783164662</v>
      </c>
      <c r="N120" s="421">
        <f t="shared" si="11"/>
        <v>1.2136694470028397</v>
      </c>
      <c r="O120" s="421">
        <f t="shared" si="11"/>
        <v>1.6206135349582396</v>
      </c>
      <c r="P120" s="421">
        <f t="shared" si="11"/>
        <v>1.6124124946557443</v>
      </c>
      <c r="Q120" s="421">
        <f t="shared" si="11"/>
        <v>1.5906932529825097</v>
      </c>
      <c r="R120" s="421">
        <f t="shared" si="11"/>
        <v>-1.2108444096298747</v>
      </c>
      <c r="S120" s="421">
        <f t="shared" si="11"/>
        <v>-1.0576237365468442</v>
      </c>
      <c r="T120" s="421">
        <f t="shared" si="11"/>
        <v>-1.2108444096298747</v>
      </c>
      <c r="U120" s="422"/>
      <c r="V120" s="421">
        <f t="shared" si="9"/>
        <v>-1.0576237365468442</v>
      </c>
      <c r="W120" s="422"/>
      <c r="X120" s="421">
        <f t="shared" si="10"/>
        <v>-0.625066267685503</v>
      </c>
      <c r="Y120" s="422"/>
      <c r="Z120" s="351"/>
      <c r="AA120" s="351"/>
    </row>
    <row r="121" spans="1:27" x14ac:dyDescent="0.25">
      <c r="C121" s="86"/>
      <c r="F121" s="295" t="s">
        <v>136</v>
      </c>
      <c r="G121" s="295" t="s">
        <v>183</v>
      </c>
      <c r="H121" s="420"/>
      <c r="I121" s="351"/>
      <c r="J121" s="421">
        <f t="shared" si="11"/>
        <v>0.69246452960688387</v>
      </c>
      <c r="K121" s="421">
        <f t="shared" si="11"/>
        <v>0.69246452960688387</v>
      </c>
      <c r="L121" s="421">
        <f t="shared" si="11"/>
        <v>0.7137894845707754</v>
      </c>
      <c r="M121" s="421">
        <f t="shared" si="11"/>
        <v>0.7137894845707754</v>
      </c>
      <c r="N121" s="421">
        <f t="shared" si="11"/>
        <v>0.68593664921490194</v>
      </c>
      <c r="O121" s="421">
        <f t="shared" si="11"/>
        <v>1.0803587611452929</v>
      </c>
      <c r="P121" s="421">
        <f t="shared" si="11"/>
        <v>1.1878982788279187</v>
      </c>
      <c r="Q121" s="421">
        <f t="shared" si="11"/>
        <v>0.82001016912758806</v>
      </c>
      <c r="R121" s="421">
        <f t="shared" si="11"/>
        <v>-0.15077292147972721</v>
      </c>
      <c r="S121" s="421">
        <f t="shared" si="11"/>
        <v>-0.13696109573644608</v>
      </c>
      <c r="T121" s="421">
        <f t="shared" si="11"/>
        <v>-0.15077292147972721</v>
      </c>
      <c r="U121" s="422"/>
      <c r="V121" s="421">
        <f t="shared" si="9"/>
        <v>-0.13696109573644608</v>
      </c>
      <c r="W121" s="422"/>
      <c r="X121" s="421">
        <f t="shared" si="10"/>
        <v>-9.944343700203076E-2</v>
      </c>
      <c r="Y121" s="422"/>
      <c r="Z121" s="351"/>
      <c r="AA121" s="351"/>
    </row>
    <row r="122" spans="1:27" x14ac:dyDescent="0.25">
      <c r="C122" s="86"/>
      <c r="F122" s="295" t="s">
        <v>311</v>
      </c>
      <c r="G122" s="295" t="s">
        <v>309</v>
      </c>
      <c r="H122" s="384"/>
      <c r="J122" s="276">
        <f t="shared" si="11"/>
        <v>1.6885955320905033</v>
      </c>
      <c r="K122" s="276">
        <f t="shared" si="11"/>
        <v>0</v>
      </c>
      <c r="L122" s="276">
        <f t="shared" si="11"/>
        <v>2.0876136933499994</v>
      </c>
      <c r="M122" s="276">
        <f t="shared" si="11"/>
        <v>0</v>
      </c>
      <c r="N122" s="276">
        <f t="shared" si="11"/>
        <v>7.6227446444154063</v>
      </c>
      <c r="O122" s="276">
        <f t="shared" si="11"/>
        <v>4.4579163832537576</v>
      </c>
      <c r="P122" s="276">
        <f t="shared" si="11"/>
        <v>72.188974603624388</v>
      </c>
      <c r="Q122" s="276">
        <f t="shared" si="11"/>
        <v>0</v>
      </c>
      <c r="R122" s="276">
        <f t="shared" si="11"/>
        <v>0</v>
      </c>
      <c r="S122" s="276">
        <f t="shared" si="11"/>
        <v>0</v>
      </c>
      <c r="T122" s="276">
        <f t="shared" si="11"/>
        <v>0</v>
      </c>
      <c r="U122" s="280"/>
      <c r="V122" s="276">
        <f t="shared" si="9"/>
        <v>0</v>
      </c>
      <c r="W122" s="280"/>
      <c r="X122" s="276">
        <f t="shared" si="10"/>
        <v>0</v>
      </c>
      <c r="Y122" s="280"/>
    </row>
    <row r="123" spans="1:27" x14ac:dyDescent="0.25">
      <c r="C123" s="86"/>
      <c r="F123" s="295" t="s">
        <v>312</v>
      </c>
      <c r="G123" s="295" t="s">
        <v>308</v>
      </c>
      <c r="H123" s="384"/>
      <c r="J123" s="276">
        <f t="shared" si="11"/>
        <v>0</v>
      </c>
      <c r="K123" s="276">
        <f t="shared" si="11"/>
        <v>0</v>
      </c>
      <c r="L123" s="276">
        <f t="shared" si="11"/>
        <v>0</v>
      </c>
      <c r="M123" s="276">
        <f t="shared" si="11"/>
        <v>0</v>
      </c>
      <c r="N123" s="276">
        <f t="shared" si="11"/>
        <v>1.0999050222809188</v>
      </c>
      <c r="O123" s="276">
        <f t="shared" si="11"/>
        <v>3.59356777762732</v>
      </c>
      <c r="P123" s="276">
        <f t="shared" si="11"/>
        <v>3.17231740231919</v>
      </c>
      <c r="Q123" s="276">
        <f t="shared" si="11"/>
        <v>0</v>
      </c>
      <c r="R123" s="276">
        <f t="shared" si="11"/>
        <v>0</v>
      </c>
      <c r="S123" s="276">
        <f t="shared" si="11"/>
        <v>0</v>
      </c>
      <c r="T123" s="276">
        <f t="shared" si="11"/>
        <v>0</v>
      </c>
      <c r="U123" s="280"/>
      <c r="V123" s="276">
        <f t="shared" si="9"/>
        <v>0</v>
      </c>
      <c r="W123" s="280"/>
      <c r="X123" s="276">
        <f t="shared" si="10"/>
        <v>0</v>
      </c>
      <c r="Y123" s="280"/>
    </row>
    <row r="124" spans="1:27" x14ac:dyDescent="0.25">
      <c r="C124" s="86"/>
      <c r="F124" s="295" t="s">
        <v>313</v>
      </c>
      <c r="G124" s="295" t="s">
        <v>308</v>
      </c>
      <c r="H124" s="384"/>
      <c r="J124" s="276">
        <f t="shared" si="11"/>
        <v>0</v>
      </c>
      <c r="K124" s="276">
        <f t="shared" si="11"/>
        <v>0</v>
      </c>
      <c r="L124" s="276">
        <f t="shared" si="11"/>
        <v>0</v>
      </c>
      <c r="M124" s="276">
        <f t="shared" si="11"/>
        <v>0</v>
      </c>
      <c r="N124" s="276">
        <f t="shared" si="11"/>
        <v>2.0013526507203294</v>
      </c>
      <c r="O124" s="276">
        <f t="shared" si="11"/>
        <v>5.0197963509716894</v>
      </c>
      <c r="P124" s="276">
        <f t="shared" si="11"/>
        <v>5.2795036672876634</v>
      </c>
      <c r="Q124" s="276">
        <f t="shared" si="11"/>
        <v>0</v>
      </c>
      <c r="R124" s="276">
        <f t="shared" si="11"/>
        <v>0</v>
      </c>
      <c r="S124" s="276">
        <f t="shared" si="11"/>
        <v>0</v>
      </c>
      <c r="T124" s="276">
        <f t="shared" si="11"/>
        <v>0</v>
      </c>
      <c r="U124" s="280"/>
      <c r="V124" s="276">
        <f t="shared" si="9"/>
        <v>0</v>
      </c>
      <c r="W124" s="280"/>
      <c r="X124" s="276">
        <f t="shared" si="10"/>
        <v>0</v>
      </c>
      <c r="Y124" s="280"/>
    </row>
    <row r="125" spans="1:27" x14ac:dyDescent="0.25">
      <c r="C125" s="86"/>
      <c r="F125" s="93" t="s">
        <v>314</v>
      </c>
      <c r="G125" s="93" t="s">
        <v>315</v>
      </c>
      <c r="H125" s="363"/>
      <c r="I125" s="353"/>
      <c r="J125" s="364">
        <f t="shared" si="11"/>
        <v>0</v>
      </c>
      <c r="K125" s="364">
        <f t="shared" si="11"/>
        <v>0</v>
      </c>
      <c r="L125" s="364">
        <f t="shared" si="11"/>
        <v>0</v>
      </c>
      <c r="M125" s="364">
        <f t="shared" si="11"/>
        <v>0</v>
      </c>
      <c r="N125" s="364">
        <f t="shared" si="11"/>
        <v>0.17879324483134104</v>
      </c>
      <c r="O125" s="364">
        <f t="shared" si="11"/>
        <v>0.1744369869263207</v>
      </c>
      <c r="P125" s="364">
        <f t="shared" si="11"/>
        <v>0.13970153986065051</v>
      </c>
      <c r="Q125" s="364">
        <f t="shared" si="11"/>
        <v>0</v>
      </c>
      <c r="R125" s="364">
        <f t="shared" si="11"/>
        <v>0</v>
      </c>
      <c r="S125" s="364">
        <f t="shared" si="11"/>
        <v>0</v>
      </c>
      <c r="T125" s="364">
        <f t="shared" si="11"/>
        <v>0.33080423076610987</v>
      </c>
      <c r="U125" s="358"/>
      <c r="V125" s="364">
        <f t="shared" si="9"/>
        <v>0.30468338725013466</v>
      </c>
      <c r="W125" s="358"/>
      <c r="X125" s="364">
        <f t="shared" si="10"/>
        <v>0.2321386727871092</v>
      </c>
      <c r="Y125" s="358"/>
      <c r="Z125" s="351"/>
      <c r="AA125" s="351"/>
    </row>
    <row r="126" spans="1:27" x14ac:dyDescent="0.25">
      <c r="A126" s="351"/>
      <c r="B126" s="351"/>
      <c r="C126" s="351"/>
      <c r="D126" s="351"/>
      <c r="E126" s="351"/>
      <c r="F126" s="351"/>
      <c r="G126" s="351"/>
      <c r="H126" s="351"/>
      <c r="I126" s="351"/>
      <c r="J126" s="351"/>
      <c r="K126" s="351"/>
      <c r="L126" s="351"/>
      <c r="M126" s="351"/>
      <c r="N126" s="351"/>
      <c r="O126" s="351"/>
      <c r="P126" s="351"/>
      <c r="Q126" s="351"/>
      <c r="R126" s="351"/>
      <c r="S126" s="351"/>
      <c r="T126" s="351"/>
      <c r="U126" s="351"/>
      <c r="V126" s="351"/>
      <c r="W126" s="351"/>
      <c r="X126" s="351"/>
      <c r="Y126" s="351"/>
      <c r="Z126" s="351"/>
      <c r="AA126" s="351"/>
    </row>
    <row r="127" spans="1:27" x14ac:dyDescent="0.25">
      <c r="C127" s="7" t="str">
        <f ca="1">INDEX('Version control'!$H$34:$H$58,MATCH($A$1,'Version control'!$F$34:$F$58,0),1)&amp;"-H: Tariff forecast, post-rounding"</f>
        <v>Section 520-H: Tariff forecast, post-rounding</v>
      </c>
      <c r="D127" s="7"/>
      <c r="E127" s="7"/>
      <c r="F127" s="7"/>
      <c r="G127" s="7"/>
      <c r="H127" s="7"/>
      <c r="I127" s="7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7"/>
      <c r="AA127" s="7"/>
    </row>
    <row r="128" spans="1:27" x14ac:dyDescent="0.25"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</row>
    <row r="129" spans="5:27" x14ac:dyDescent="0.25">
      <c r="E129" s="96" t="s">
        <v>883</v>
      </c>
      <c r="F129" s="96"/>
      <c r="I129" s="295" t="s">
        <v>431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AA129" s="295" t="s">
        <v>807</v>
      </c>
    </row>
    <row r="130" spans="5:27" x14ac:dyDescent="0.25">
      <c r="E130" s="86"/>
      <c r="F130" s="91" t="s">
        <v>134</v>
      </c>
      <c r="G130" s="91" t="s">
        <v>183</v>
      </c>
      <c r="H130" s="360"/>
      <c r="I130" s="349"/>
      <c r="J130" s="350">
        <f t="shared" ref="J130:Y136" si="12">ROUND(J101, $H75)</f>
        <v>11.481</v>
      </c>
      <c r="K130" s="350">
        <f t="shared" si="12"/>
        <v>11.481</v>
      </c>
      <c r="L130" s="350">
        <f t="shared" si="12"/>
        <v>13.929</v>
      </c>
      <c r="M130" s="350">
        <f t="shared" si="12"/>
        <v>13.929</v>
      </c>
      <c r="N130" s="350">
        <f t="shared" si="12"/>
        <v>10.541</v>
      </c>
      <c r="O130" s="350">
        <f t="shared" si="12"/>
        <v>8.2289999999999992</v>
      </c>
      <c r="P130" s="350">
        <f t="shared" si="12"/>
        <v>6.53</v>
      </c>
      <c r="Q130" s="350">
        <f t="shared" si="12"/>
        <v>19.542999999999999</v>
      </c>
      <c r="R130" s="350">
        <f t="shared" si="12"/>
        <v>-7.6669999999999998</v>
      </c>
      <c r="S130" s="350">
        <f t="shared" si="12"/>
        <v>-6.8869999999999996</v>
      </c>
      <c r="T130" s="350">
        <f t="shared" si="12"/>
        <v>-7.6669999999999998</v>
      </c>
      <c r="U130" s="350">
        <f t="shared" si="12"/>
        <v>-7.6669999999999998</v>
      </c>
      <c r="V130" s="350">
        <f t="shared" si="12"/>
        <v>-6.8869999999999996</v>
      </c>
      <c r="W130" s="350">
        <f t="shared" si="12"/>
        <v>-6.8869999999999996</v>
      </c>
      <c r="X130" s="350">
        <f t="shared" si="12"/>
        <v>-4.8609999999999998</v>
      </c>
      <c r="Y130" s="350">
        <f t="shared" si="12"/>
        <v>-4.8609999999999998</v>
      </c>
      <c r="Z130" s="351"/>
      <c r="AA130" s="351"/>
    </row>
    <row r="131" spans="5:27" x14ac:dyDescent="0.25">
      <c r="E131" s="86"/>
      <c r="F131" s="295" t="s">
        <v>135</v>
      </c>
      <c r="G131" s="295" t="s">
        <v>183</v>
      </c>
      <c r="H131" s="420"/>
      <c r="I131" s="351"/>
      <c r="J131" s="352">
        <f t="shared" si="12"/>
        <v>2.9620000000000002</v>
      </c>
      <c r="K131" s="352">
        <f t="shared" si="12"/>
        <v>2.9620000000000002</v>
      </c>
      <c r="L131" s="352">
        <f t="shared" si="12"/>
        <v>3.3490000000000002</v>
      </c>
      <c r="M131" s="352">
        <f t="shared" si="12"/>
        <v>3.3490000000000002</v>
      </c>
      <c r="N131" s="352">
        <f t="shared" si="12"/>
        <v>2.74</v>
      </c>
      <c r="O131" s="352">
        <f t="shared" si="12"/>
        <v>2.2629999999999999</v>
      </c>
      <c r="P131" s="352">
        <f t="shared" si="12"/>
        <v>1.9930000000000001</v>
      </c>
      <c r="Q131" s="352">
        <f t="shared" si="12"/>
        <v>3.5920000000000001</v>
      </c>
      <c r="R131" s="352">
        <f t="shared" si="12"/>
        <v>-1.2110000000000001</v>
      </c>
      <c r="S131" s="352">
        <f t="shared" si="12"/>
        <v>-1.0580000000000001</v>
      </c>
      <c r="T131" s="352">
        <f t="shared" si="12"/>
        <v>-1.2110000000000001</v>
      </c>
      <c r="U131" s="352">
        <f t="shared" si="12"/>
        <v>-1.2110000000000001</v>
      </c>
      <c r="V131" s="352">
        <f t="shared" si="12"/>
        <v>-1.0580000000000001</v>
      </c>
      <c r="W131" s="352">
        <f t="shared" si="12"/>
        <v>-1.0580000000000001</v>
      </c>
      <c r="X131" s="352">
        <f t="shared" si="12"/>
        <v>-0.625</v>
      </c>
      <c r="Y131" s="352">
        <f t="shared" si="12"/>
        <v>-0.625</v>
      </c>
      <c r="Z131" s="351"/>
      <c r="AA131" s="351"/>
    </row>
    <row r="132" spans="5:27" x14ac:dyDescent="0.25">
      <c r="E132" s="86"/>
      <c r="F132" s="295" t="s">
        <v>136</v>
      </c>
      <c r="G132" s="295" t="s">
        <v>183</v>
      </c>
      <c r="H132" s="420"/>
      <c r="I132" s="351"/>
      <c r="J132" s="352">
        <f t="shared" si="12"/>
        <v>1.5629999999999999</v>
      </c>
      <c r="K132" s="352">
        <f t="shared" si="12"/>
        <v>1.5629999999999999</v>
      </c>
      <c r="L132" s="352">
        <f t="shared" si="12"/>
        <v>1.6120000000000001</v>
      </c>
      <c r="M132" s="352">
        <f t="shared" si="12"/>
        <v>1.6120000000000001</v>
      </c>
      <c r="N132" s="352">
        <f t="shared" si="12"/>
        <v>1.5489999999999999</v>
      </c>
      <c r="O132" s="352">
        <f t="shared" si="12"/>
        <v>1.5089999999999999</v>
      </c>
      <c r="P132" s="352">
        <f t="shared" si="12"/>
        <v>1.468</v>
      </c>
      <c r="Q132" s="352">
        <f t="shared" si="12"/>
        <v>1.851</v>
      </c>
      <c r="R132" s="352">
        <f t="shared" si="12"/>
        <v>-0.151</v>
      </c>
      <c r="S132" s="352">
        <f t="shared" si="12"/>
        <v>-0.13700000000000001</v>
      </c>
      <c r="T132" s="352">
        <f t="shared" si="12"/>
        <v>-0.151</v>
      </c>
      <c r="U132" s="352">
        <f t="shared" si="12"/>
        <v>-0.151</v>
      </c>
      <c r="V132" s="352">
        <f t="shared" si="12"/>
        <v>-0.13700000000000001</v>
      </c>
      <c r="W132" s="352">
        <f t="shared" si="12"/>
        <v>-0.13700000000000001</v>
      </c>
      <c r="X132" s="352">
        <f t="shared" si="12"/>
        <v>-9.9000000000000005E-2</v>
      </c>
      <c r="Y132" s="352">
        <f t="shared" si="12"/>
        <v>-9.9000000000000005E-2</v>
      </c>
      <c r="Z132" s="351"/>
      <c r="AA132" s="351"/>
    </row>
    <row r="133" spans="5:27" x14ac:dyDescent="0.25">
      <c r="E133" s="86"/>
      <c r="F133" s="295" t="s">
        <v>311</v>
      </c>
      <c r="G133" s="295" t="s">
        <v>309</v>
      </c>
      <c r="H133" s="384"/>
      <c r="J133" s="257">
        <f t="shared" si="12"/>
        <v>3.49</v>
      </c>
      <c r="K133" s="257">
        <f t="shared" si="12"/>
        <v>0</v>
      </c>
      <c r="L133" s="257">
        <f t="shared" si="12"/>
        <v>4.4000000000000004</v>
      </c>
      <c r="M133" s="257">
        <f t="shared" si="12"/>
        <v>0</v>
      </c>
      <c r="N133" s="257">
        <f t="shared" si="12"/>
        <v>16.89</v>
      </c>
      <c r="O133" s="257">
        <f t="shared" si="12"/>
        <v>6.13</v>
      </c>
      <c r="P133" s="257">
        <f t="shared" si="12"/>
        <v>89.17</v>
      </c>
      <c r="Q133" s="257">
        <f t="shared" si="12"/>
        <v>0</v>
      </c>
      <c r="R133" s="257">
        <f t="shared" si="12"/>
        <v>0</v>
      </c>
      <c r="S133" s="257">
        <f t="shared" si="12"/>
        <v>0</v>
      </c>
      <c r="T133" s="257">
        <f t="shared" si="12"/>
        <v>0</v>
      </c>
      <c r="U133" s="257">
        <f t="shared" si="12"/>
        <v>0</v>
      </c>
      <c r="V133" s="257">
        <f t="shared" si="12"/>
        <v>0</v>
      </c>
      <c r="W133" s="257">
        <f t="shared" si="12"/>
        <v>0</v>
      </c>
      <c r="X133" s="257">
        <f t="shared" si="12"/>
        <v>64.930000000000007</v>
      </c>
      <c r="Y133" s="257">
        <f t="shared" si="12"/>
        <v>64.930000000000007</v>
      </c>
    </row>
    <row r="134" spans="5:27" x14ac:dyDescent="0.25">
      <c r="E134" s="86"/>
      <c r="F134" s="295" t="s">
        <v>312</v>
      </c>
      <c r="G134" s="295" t="s">
        <v>308</v>
      </c>
      <c r="H134" s="384"/>
      <c r="J134" s="257">
        <f t="shared" si="12"/>
        <v>0</v>
      </c>
      <c r="K134" s="257">
        <f t="shared" si="12"/>
        <v>0</v>
      </c>
      <c r="L134" s="257">
        <f t="shared" si="12"/>
        <v>0</v>
      </c>
      <c r="M134" s="257">
        <f t="shared" si="12"/>
        <v>0</v>
      </c>
      <c r="N134" s="257">
        <f t="shared" si="12"/>
        <v>2.48</v>
      </c>
      <c r="O134" s="257">
        <f t="shared" si="12"/>
        <v>5.0199999999999996</v>
      </c>
      <c r="P134" s="257">
        <f t="shared" si="12"/>
        <v>3.92</v>
      </c>
      <c r="Q134" s="257">
        <f t="shared" si="12"/>
        <v>0</v>
      </c>
      <c r="R134" s="257">
        <f t="shared" si="12"/>
        <v>0</v>
      </c>
      <c r="S134" s="257">
        <f t="shared" si="12"/>
        <v>0</v>
      </c>
      <c r="T134" s="257">
        <f t="shared" si="12"/>
        <v>0</v>
      </c>
      <c r="U134" s="257">
        <f t="shared" si="12"/>
        <v>0</v>
      </c>
      <c r="V134" s="257">
        <f t="shared" si="12"/>
        <v>0</v>
      </c>
      <c r="W134" s="257">
        <f t="shared" si="12"/>
        <v>0</v>
      </c>
      <c r="X134" s="257">
        <f t="shared" si="12"/>
        <v>0</v>
      </c>
      <c r="Y134" s="257">
        <f t="shared" si="12"/>
        <v>0</v>
      </c>
    </row>
    <row r="135" spans="5:27" x14ac:dyDescent="0.25">
      <c r="E135" s="86"/>
      <c r="F135" s="295" t="s">
        <v>313</v>
      </c>
      <c r="G135" s="295" t="s">
        <v>308</v>
      </c>
      <c r="H135" s="384"/>
      <c r="J135" s="257">
        <f t="shared" si="12"/>
        <v>0</v>
      </c>
      <c r="K135" s="257">
        <f t="shared" si="12"/>
        <v>0</v>
      </c>
      <c r="L135" s="257">
        <f t="shared" si="12"/>
        <v>0</v>
      </c>
      <c r="M135" s="257">
        <f t="shared" si="12"/>
        <v>0</v>
      </c>
      <c r="N135" s="257">
        <f t="shared" si="12"/>
        <v>4.5199999999999996</v>
      </c>
      <c r="O135" s="257">
        <f t="shared" si="12"/>
        <v>7.01</v>
      </c>
      <c r="P135" s="257">
        <f t="shared" si="12"/>
        <v>6.53</v>
      </c>
      <c r="Q135" s="257">
        <f t="shared" si="12"/>
        <v>0</v>
      </c>
      <c r="R135" s="257">
        <f t="shared" si="12"/>
        <v>0</v>
      </c>
      <c r="S135" s="257">
        <f t="shared" si="12"/>
        <v>0</v>
      </c>
      <c r="T135" s="257">
        <f t="shared" si="12"/>
        <v>0</v>
      </c>
      <c r="U135" s="257">
        <f t="shared" si="12"/>
        <v>0</v>
      </c>
      <c r="V135" s="257">
        <f t="shared" si="12"/>
        <v>0</v>
      </c>
      <c r="W135" s="257">
        <f t="shared" si="12"/>
        <v>0</v>
      </c>
      <c r="X135" s="257">
        <f t="shared" si="12"/>
        <v>0</v>
      </c>
      <c r="Y135" s="257">
        <f t="shared" si="12"/>
        <v>0</v>
      </c>
    </row>
    <row r="136" spans="5:27" x14ac:dyDescent="0.25">
      <c r="E136" s="86"/>
      <c r="F136" s="93" t="s">
        <v>314</v>
      </c>
      <c r="G136" s="93" t="s">
        <v>315</v>
      </c>
      <c r="H136" s="363"/>
      <c r="I136" s="353"/>
      <c r="J136" s="354">
        <f t="shared" si="12"/>
        <v>0</v>
      </c>
      <c r="K136" s="354">
        <f t="shared" si="12"/>
        <v>0</v>
      </c>
      <c r="L136" s="354">
        <f t="shared" si="12"/>
        <v>0</v>
      </c>
      <c r="M136" s="354">
        <f t="shared" si="12"/>
        <v>0</v>
      </c>
      <c r="N136" s="354">
        <f t="shared" si="12"/>
        <v>0.40400000000000003</v>
      </c>
      <c r="O136" s="354">
        <f t="shared" si="12"/>
        <v>0.24399999999999999</v>
      </c>
      <c r="P136" s="354">
        <f t="shared" si="12"/>
        <v>0.17299999999999999</v>
      </c>
      <c r="Q136" s="354">
        <f t="shared" si="12"/>
        <v>0</v>
      </c>
      <c r="R136" s="354">
        <f t="shared" si="12"/>
        <v>0</v>
      </c>
      <c r="S136" s="354">
        <f t="shared" si="12"/>
        <v>0</v>
      </c>
      <c r="T136" s="354">
        <f t="shared" si="12"/>
        <v>0.33100000000000002</v>
      </c>
      <c r="U136" s="354">
        <f t="shared" si="12"/>
        <v>0</v>
      </c>
      <c r="V136" s="354">
        <f t="shared" si="12"/>
        <v>0.30499999999999999</v>
      </c>
      <c r="W136" s="354">
        <f t="shared" si="12"/>
        <v>0</v>
      </c>
      <c r="X136" s="354">
        <f t="shared" si="12"/>
        <v>0.23200000000000001</v>
      </c>
      <c r="Y136" s="354">
        <f t="shared" si="12"/>
        <v>0</v>
      </c>
      <c r="Z136" s="351"/>
      <c r="AA136" s="351"/>
    </row>
    <row r="137" spans="5:27" x14ac:dyDescent="0.25">
      <c r="E137" s="96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</row>
    <row r="138" spans="5:27" x14ac:dyDescent="0.25">
      <c r="E138" s="96" t="s">
        <v>884</v>
      </c>
      <c r="I138" s="295" t="s">
        <v>431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AA138" s="295" t="s">
        <v>807</v>
      </c>
    </row>
    <row r="139" spans="5:27" x14ac:dyDescent="0.25">
      <c r="E139" s="86"/>
      <c r="F139" s="91" t="s">
        <v>134</v>
      </c>
      <c r="G139" s="91" t="s">
        <v>183</v>
      </c>
      <c r="H139" s="360"/>
      <c r="I139" s="349"/>
      <c r="J139" s="350">
        <f>ROUND(J110, $H75)</f>
        <v>7.1180000000000003</v>
      </c>
      <c r="K139" s="350">
        <f>ROUND(K110, $H75)</f>
        <v>7.1180000000000003</v>
      </c>
      <c r="L139" s="350">
        <f>ROUND(L110, $H75)</f>
        <v>8.6359999999999992</v>
      </c>
      <c r="M139" s="350">
        <f>ROUND(M110, $H75)</f>
        <v>8.6359999999999992</v>
      </c>
      <c r="N139" s="350">
        <f>ROUND(N110, $H75)</f>
        <v>6.5350000000000001</v>
      </c>
      <c r="O139" s="361"/>
      <c r="P139" s="361"/>
      <c r="Q139" s="350">
        <f>ROUND(Q110, $H75)</f>
        <v>12.116</v>
      </c>
      <c r="R139" s="350">
        <f>ROUND(R110, $H75)</f>
        <v>-7.6669999999999998</v>
      </c>
      <c r="S139" s="361"/>
      <c r="T139" s="350">
        <f>ROUND(T110, $H75)</f>
        <v>-7.6669999999999998</v>
      </c>
      <c r="U139" s="361"/>
      <c r="V139" s="361"/>
      <c r="W139" s="361"/>
      <c r="X139" s="361"/>
      <c r="Y139" s="361"/>
      <c r="Z139" s="351"/>
      <c r="AA139" s="351"/>
    </row>
    <row r="140" spans="5:27" x14ac:dyDescent="0.25">
      <c r="E140" s="86"/>
      <c r="F140" s="295" t="s">
        <v>135</v>
      </c>
      <c r="G140" s="295" t="s">
        <v>183</v>
      </c>
      <c r="H140" s="420"/>
      <c r="I140" s="351"/>
      <c r="J140" s="352">
        <f t="shared" ref="J140:N145" si="13">ROUND(J111, $H76)</f>
        <v>1.8360000000000001</v>
      </c>
      <c r="K140" s="352">
        <f t="shared" si="13"/>
        <v>1.8360000000000001</v>
      </c>
      <c r="L140" s="352">
        <f t="shared" si="13"/>
        <v>2.0760000000000001</v>
      </c>
      <c r="M140" s="352">
        <f t="shared" si="13"/>
        <v>2.0760000000000001</v>
      </c>
      <c r="N140" s="352">
        <f t="shared" si="13"/>
        <v>1.6990000000000001</v>
      </c>
      <c r="O140" s="422"/>
      <c r="P140" s="422"/>
      <c r="Q140" s="352">
        <f t="shared" ref="Q140:R145" si="14">ROUND(Q111, $H76)</f>
        <v>2.2269999999999999</v>
      </c>
      <c r="R140" s="352">
        <f t="shared" si="14"/>
        <v>-1.2110000000000001</v>
      </c>
      <c r="S140" s="422"/>
      <c r="T140" s="352">
        <f t="shared" ref="T140:T145" si="15">ROUND(T111, $H76)</f>
        <v>-1.2110000000000001</v>
      </c>
      <c r="U140" s="422"/>
      <c r="V140" s="422"/>
      <c r="W140" s="422"/>
      <c r="X140" s="422"/>
      <c r="Y140" s="422"/>
      <c r="Z140" s="351"/>
      <c r="AA140" s="351"/>
    </row>
    <row r="141" spans="5:27" x14ac:dyDescent="0.25">
      <c r="E141" s="86"/>
      <c r="F141" s="295" t="s">
        <v>136</v>
      </c>
      <c r="G141" s="295" t="s">
        <v>183</v>
      </c>
      <c r="H141" s="420"/>
      <c r="I141" s="351"/>
      <c r="J141" s="352">
        <f t="shared" si="13"/>
        <v>0.96899999999999997</v>
      </c>
      <c r="K141" s="352">
        <f t="shared" si="13"/>
        <v>0.96899999999999997</v>
      </c>
      <c r="L141" s="352">
        <f t="shared" si="13"/>
        <v>0.999</v>
      </c>
      <c r="M141" s="352">
        <f t="shared" si="13"/>
        <v>0.999</v>
      </c>
      <c r="N141" s="352">
        <f t="shared" si="13"/>
        <v>0.96</v>
      </c>
      <c r="O141" s="422"/>
      <c r="P141" s="422"/>
      <c r="Q141" s="352">
        <f t="shared" si="14"/>
        <v>1.1479999999999999</v>
      </c>
      <c r="R141" s="352">
        <f t="shared" si="14"/>
        <v>-0.151</v>
      </c>
      <c r="S141" s="422"/>
      <c r="T141" s="352">
        <f t="shared" si="15"/>
        <v>-0.151</v>
      </c>
      <c r="U141" s="422"/>
      <c r="V141" s="422"/>
      <c r="W141" s="422"/>
      <c r="X141" s="422"/>
      <c r="Y141" s="422"/>
      <c r="Z141" s="351"/>
      <c r="AA141" s="351"/>
    </row>
    <row r="142" spans="5:27" x14ac:dyDescent="0.25">
      <c r="E142" s="86"/>
      <c r="F142" s="295" t="s">
        <v>311</v>
      </c>
      <c r="G142" s="295" t="s">
        <v>309</v>
      </c>
      <c r="H142" s="384"/>
      <c r="J142" s="257">
        <f t="shared" si="13"/>
        <v>2.2599999999999998</v>
      </c>
      <c r="K142" s="257">
        <f t="shared" si="13"/>
        <v>0</v>
      </c>
      <c r="L142" s="257">
        <f t="shared" si="13"/>
        <v>2.82</v>
      </c>
      <c r="M142" s="257">
        <f t="shared" si="13"/>
        <v>0</v>
      </c>
      <c r="N142" s="257">
        <f t="shared" si="13"/>
        <v>10.57</v>
      </c>
      <c r="O142" s="280"/>
      <c r="P142" s="280"/>
      <c r="Q142" s="257">
        <f t="shared" si="14"/>
        <v>0</v>
      </c>
      <c r="R142" s="257">
        <f t="shared" si="14"/>
        <v>0</v>
      </c>
      <c r="S142" s="280"/>
      <c r="T142" s="257">
        <f t="shared" si="15"/>
        <v>0</v>
      </c>
      <c r="U142" s="280"/>
      <c r="V142" s="280"/>
      <c r="W142" s="280"/>
      <c r="X142" s="280"/>
      <c r="Y142" s="280"/>
    </row>
    <row r="143" spans="5:27" x14ac:dyDescent="0.25">
      <c r="E143" s="86"/>
      <c r="F143" s="295" t="s">
        <v>312</v>
      </c>
      <c r="G143" s="295" t="s">
        <v>308</v>
      </c>
      <c r="H143" s="384"/>
      <c r="J143" s="257">
        <f t="shared" si="13"/>
        <v>0</v>
      </c>
      <c r="K143" s="257">
        <f t="shared" si="13"/>
        <v>0</v>
      </c>
      <c r="L143" s="257">
        <f t="shared" si="13"/>
        <v>0</v>
      </c>
      <c r="M143" s="257">
        <f t="shared" si="13"/>
        <v>0</v>
      </c>
      <c r="N143" s="257">
        <f t="shared" si="13"/>
        <v>1.54</v>
      </c>
      <c r="O143" s="280"/>
      <c r="P143" s="280"/>
      <c r="Q143" s="257">
        <f t="shared" si="14"/>
        <v>0</v>
      </c>
      <c r="R143" s="257">
        <f t="shared" si="14"/>
        <v>0</v>
      </c>
      <c r="S143" s="280"/>
      <c r="T143" s="257">
        <f t="shared" si="15"/>
        <v>0</v>
      </c>
      <c r="U143" s="280"/>
      <c r="V143" s="280"/>
      <c r="W143" s="280"/>
      <c r="X143" s="280"/>
      <c r="Y143" s="280"/>
    </row>
    <row r="144" spans="5:27" x14ac:dyDescent="0.25">
      <c r="E144" s="86"/>
      <c r="F144" s="295" t="s">
        <v>313</v>
      </c>
      <c r="G144" s="295" t="s">
        <v>308</v>
      </c>
      <c r="H144" s="384"/>
      <c r="J144" s="257">
        <f t="shared" si="13"/>
        <v>0</v>
      </c>
      <c r="K144" s="257">
        <f t="shared" si="13"/>
        <v>0</v>
      </c>
      <c r="L144" s="257">
        <f t="shared" si="13"/>
        <v>0</v>
      </c>
      <c r="M144" s="257">
        <f t="shared" si="13"/>
        <v>0</v>
      </c>
      <c r="N144" s="257">
        <f t="shared" si="13"/>
        <v>2.8</v>
      </c>
      <c r="O144" s="280"/>
      <c r="P144" s="280"/>
      <c r="Q144" s="257">
        <f t="shared" si="14"/>
        <v>0</v>
      </c>
      <c r="R144" s="257">
        <f t="shared" si="14"/>
        <v>0</v>
      </c>
      <c r="S144" s="280"/>
      <c r="T144" s="257">
        <f t="shared" si="15"/>
        <v>0</v>
      </c>
      <c r="U144" s="280"/>
      <c r="V144" s="280"/>
      <c r="W144" s="280"/>
      <c r="X144" s="280"/>
      <c r="Y144" s="280"/>
    </row>
    <row r="145" spans="2:27" x14ac:dyDescent="0.25">
      <c r="E145" s="86"/>
      <c r="F145" s="93" t="s">
        <v>314</v>
      </c>
      <c r="G145" s="93" t="s">
        <v>315</v>
      </c>
      <c r="H145" s="363"/>
      <c r="I145" s="353"/>
      <c r="J145" s="354">
        <f t="shared" si="13"/>
        <v>0</v>
      </c>
      <c r="K145" s="354">
        <f t="shared" si="13"/>
        <v>0</v>
      </c>
      <c r="L145" s="354">
        <f t="shared" si="13"/>
        <v>0</v>
      </c>
      <c r="M145" s="354">
        <f t="shared" si="13"/>
        <v>0</v>
      </c>
      <c r="N145" s="354">
        <f t="shared" si="13"/>
        <v>0.25</v>
      </c>
      <c r="O145" s="358"/>
      <c r="P145" s="358"/>
      <c r="Q145" s="354">
        <f t="shared" si="14"/>
        <v>0</v>
      </c>
      <c r="R145" s="354">
        <f t="shared" si="14"/>
        <v>0</v>
      </c>
      <c r="S145" s="358"/>
      <c r="T145" s="354">
        <f t="shared" si="15"/>
        <v>0.33100000000000002</v>
      </c>
      <c r="U145" s="358"/>
      <c r="V145" s="358"/>
      <c r="W145" s="358"/>
      <c r="X145" s="358"/>
      <c r="Y145" s="358"/>
      <c r="Z145" s="351"/>
      <c r="AA145" s="351"/>
    </row>
    <row r="146" spans="2:27" x14ac:dyDescent="0.25">
      <c r="E146" s="86"/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</row>
    <row r="147" spans="2:27" x14ac:dyDescent="0.25">
      <c r="E147" s="96" t="s">
        <v>885</v>
      </c>
      <c r="I147" s="295" t="s">
        <v>431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AA147" s="295" t="s">
        <v>807</v>
      </c>
    </row>
    <row r="148" spans="2:27" x14ac:dyDescent="0.25">
      <c r="C148" s="86"/>
      <c r="F148" s="91" t="s">
        <v>134</v>
      </c>
      <c r="G148" s="91" t="s">
        <v>183</v>
      </c>
      <c r="H148" s="360"/>
      <c r="I148" s="349"/>
      <c r="J148" s="350">
        <f t="shared" ref="J148:T154" si="16">ROUND( J119, $H75)</f>
        <v>5.085</v>
      </c>
      <c r="K148" s="350">
        <f t="shared" si="16"/>
        <v>5.085</v>
      </c>
      <c r="L148" s="350">
        <f t="shared" si="16"/>
        <v>6.1689999999999996</v>
      </c>
      <c r="M148" s="350">
        <f t="shared" si="16"/>
        <v>6.1689999999999996</v>
      </c>
      <c r="N148" s="350">
        <f t="shared" si="16"/>
        <v>4.6689999999999996</v>
      </c>
      <c r="O148" s="350">
        <f t="shared" si="16"/>
        <v>5.8920000000000003</v>
      </c>
      <c r="P148" s="350">
        <f t="shared" si="16"/>
        <v>5.2830000000000004</v>
      </c>
      <c r="Q148" s="350">
        <f t="shared" si="16"/>
        <v>8.6560000000000006</v>
      </c>
      <c r="R148" s="350">
        <f t="shared" si="16"/>
        <v>-7.6669999999999998</v>
      </c>
      <c r="S148" s="350">
        <f t="shared" si="16"/>
        <v>-6.8869999999999996</v>
      </c>
      <c r="T148" s="350">
        <f t="shared" si="16"/>
        <v>-7.6669999999999998</v>
      </c>
      <c r="U148" s="361"/>
      <c r="V148" s="350">
        <f>ROUND( V119, $H75)</f>
        <v>-6.8869999999999996</v>
      </c>
      <c r="W148" s="361"/>
      <c r="X148" s="350">
        <f>ROUND( X119, $H75)</f>
        <v>-4.8609999999999998</v>
      </c>
      <c r="Y148" s="361"/>
      <c r="Z148" s="351"/>
      <c r="AA148" s="351"/>
    </row>
    <row r="149" spans="2:27" x14ac:dyDescent="0.25">
      <c r="C149" s="86"/>
      <c r="F149" s="295" t="s">
        <v>135</v>
      </c>
      <c r="G149" s="295" t="s">
        <v>183</v>
      </c>
      <c r="H149" s="420"/>
      <c r="I149" s="351"/>
      <c r="J149" s="352">
        <f t="shared" si="16"/>
        <v>1.3120000000000001</v>
      </c>
      <c r="K149" s="352">
        <f t="shared" si="16"/>
        <v>1.3120000000000001</v>
      </c>
      <c r="L149" s="352">
        <f t="shared" si="16"/>
        <v>1.4830000000000001</v>
      </c>
      <c r="M149" s="352">
        <f t="shared" si="16"/>
        <v>1.4830000000000001</v>
      </c>
      <c r="N149" s="352">
        <f t="shared" si="16"/>
        <v>1.214</v>
      </c>
      <c r="O149" s="352">
        <f t="shared" si="16"/>
        <v>1.621</v>
      </c>
      <c r="P149" s="352">
        <f t="shared" si="16"/>
        <v>1.6120000000000001</v>
      </c>
      <c r="Q149" s="352">
        <f t="shared" si="16"/>
        <v>1.591</v>
      </c>
      <c r="R149" s="352">
        <f t="shared" si="16"/>
        <v>-1.2110000000000001</v>
      </c>
      <c r="S149" s="352">
        <f t="shared" si="16"/>
        <v>-1.0580000000000001</v>
      </c>
      <c r="T149" s="352">
        <f t="shared" si="16"/>
        <v>-1.2110000000000001</v>
      </c>
      <c r="U149" s="422"/>
      <c r="V149" s="352">
        <f t="shared" ref="V149:V154" si="17">ROUND( V120, $H76)</f>
        <v>-1.0580000000000001</v>
      </c>
      <c r="W149" s="422"/>
      <c r="X149" s="352">
        <f t="shared" ref="X149:X154" si="18">ROUND( X120, $H76)</f>
        <v>-0.625</v>
      </c>
      <c r="Y149" s="422"/>
      <c r="Z149" s="351"/>
      <c r="AA149" s="351"/>
    </row>
    <row r="150" spans="2:27" x14ac:dyDescent="0.25">
      <c r="C150" s="86"/>
      <c r="F150" s="295" t="s">
        <v>136</v>
      </c>
      <c r="G150" s="295" t="s">
        <v>183</v>
      </c>
      <c r="H150" s="420"/>
      <c r="I150" s="351"/>
      <c r="J150" s="352">
        <f t="shared" si="16"/>
        <v>0.69199999999999995</v>
      </c>
      <c r="K150" s="352">
        <f t="shared" si="16"/>
        <v>0.69199999999999995</v>
      </c>
      <c r="L150" s="352">
        <f t="shared" si="16"/>
        <v>0.71399999999999997</v>
      </c>
      <c r="M150" s="352">
        <f t="shared" si="16"/>
        <v>0.71399999999999997</v>
      </c>
      <c r="N150" s="352">
        <f t="shared" si="16"/>
        <v>0.68600000000000005</v>
      </c>
      <c r="O150" s="352">
        <f t="shared" si="16"/>
        <v>1.08</v>
      </c>
      <c r="P150" s="352">
        <f t="shared" si="16"/>
        <v>1.1879999999999999</v>
      </c>
      <c r="Q150" s="352">
        <f t="shared" si="16"/>
        <v>0.82</v>
      </c>
      <c r="R150" s="352">
        <f t="shared" si="16"/>
        <v>-0.151</v>
      </c>
      <c r="S150" s="352">
        <f t="shared" si="16"/>
        <v>-0.13700000000000001</v>
      </c>
      <c r="T150" s="352">
        <f t="shared" si="16"/>
        <v>-0.151</v>
      </c>
      <c r="U150" s="422"/>
      <c r="V150" s="352">
        <f t="shared" si="17"/>
        <v>-0.13700000000000001</v>
      </c>
      <c r="W150" s="422"/>
      <c r="X150" s="352">
        <f t="shared" si="18"/>
        <v>-9.9000000000000005E-2</v>
      </c>
      <c r="Y150" s="422"/>
      <c r="Z150" s="351"/>
      <c r="AA150" s="351"/>
    </row>
    <row r="151" spans="2:27" x14ac:dyDescent="0.25">
      <c r="C151" s="86"/>
      <c r="F151" s="295" t="s">
        <v>311</v>
      </c>
      <c r="G151" s="295" t="s">
        <v>309</v>
      </c>
      <c r="H151" s="384"/>
      <c r="J151" s="257">
        <f t="shared" si="16"/>
        <v>1.69</v>
      </c>
      <c r="K151" s="257">
        <f t="shared" si="16"/>
        <v>0</v>
      </c>
      <c r="L151" s="257">
        <f t="shared" si="16"/>
        <v>2.09</v>
      </c>
      <c r="M151" s="257">
        <f t="shared" si="16"/>
        <v>0</v>
      </c>
      <c r="N151" s="257">
        <f t="shared" si="16"/>
        <v>7.62</v>
      </c>
      <c r="O151" s="257">
        <f t="shared" si="16"/>
        <v>4.46</v>
      </c>
      <c r="P151" s="257">
        <f t="shared" si="16"/>
        <v>72.19</v>
      </c>
      <c r="Q151" s="257">
        <f t="shared" si="16"/>
        <v>0</v>
      </c>
      <c r="R151" s="257">
        <f t="shared" si="16"/>
        <v>0</v>
      </c>
      <c r="S151" s="257">
        <f t="shared" si="16"/>
        <v>0</v>
      </c>
      <c r="T151" s="257">
        <f t="shared" si="16"/>
        <v>0</v>
      </c>
      <c r="U151" s="280"/>
      <c r="V151" s="257">
        <f t="shared" si="17"/>
        <v>0</v>
      </c>
      <c r="W151" s="280"/>
      <c r="X151" s="257">
        <f t="shared" si="18"/>
        <v>0</v>
      </c>
      <c r="Y151" s="280"/>
    </row>
    <row r="152" spans="2:27" x14ac:dyDescent="0.25">
      <c r="C152" s="86"/>
      <c r="F152" s="295" t="s">
        <v>312</v>
      </c>
      <c r="G152" s="295" t="s">
        <v>308</v>
      </c>
      <c r="H152" s="384"/>
      <c r="J152" s="257">
        <f t="shared" si="16"/>
        <v>0</v>
      </c>
      <c r="K152" s="257">
        <f t="shared" si="16"/>
        <v>0</v>
      </c>
      <c r="L152" s="257">
        <f t="shared" si="16"/>
        <v>0</v>
      </c>
      <c r="M152" s="257">
        <f t="shared" si="16"/>
        <v>0</v>
      </c>
      <c r="N152" s="257">
        <f t="shared" si="16"/>
        <v>1.1000000000000001</v>
      </c>
      <c r="O152" s="257">
        <f t="shared" si="16"/>
        <v>3.59</v>
      </c>
      <c r="P152" s="257">
        <f t="shared" si="16"/>
        <v>3.17</v>
      </c>
      <c r="Q152" s="257">
        <f t="shared" si="16"/>
        <v>0</v>
      </c>
      <c r="R152" s="257">
        <f t="shared" si="16"/>
        <v>0</v>
      </c>
      <c r="S152" s="257">
        <f t="shared" si="16"/>
        <v>0</v>
      </c>
      <c r="T152" s="257">
        <f t="shared" si="16"/>
        <v>0</v>
      </c>
      <c r="U152" s="280"/>
      <c r="V152" s="257">
        <f t="shared" si="17"/>
        <v>0</v>
      </c>
      <c r="W152" s="280"/>
      <c r="X152" s="257">
        <f t="shared" si="18"/>
        <v>0</v>
      </c>
      <c r="Y152" s="280"/>
    </row>
    <row r="153" spans="2:27" x14ac:dyDescent="0.25">
      <c r="C153" s="86"/>
      <c r="F153" s="295" t="s">
        <v>313</v>
      </c>
      <c r="G153" s="295" t="s">
        <v>308</v>
      </c>
      <c r="H153" s="384"/>
      <c r="J153" s="257">
        <f t="shared" si="16"/>
        <v>0</v>
      </c>
      <c r="K153" s="257">
        <f t="shared" si="16"/>
        <v>0</v>
      </c>
      <c r="L153" s="257">
        <f t="shared" si="16"/>
        <v>0</v>
      </c>
      <c r="M153" s="257">
        <f t="shared" si="16"/>
        <v>0</v>
      </c>
      <c r="N153" s="257">
        <f t="shared" si="16"/>
        <v>2</v>
      </c>
      <c r="O153" s="257">
        <f t="shared" si="16"/>
        <v>5.0199999999999996</v>
      </c>
      <c r="P153" s="257">
        <f t="shared" si="16"/>
        <v>5.28</v>
      </c>
      <c r="Q153" s="257">
        <f t="shared" si="16"/>
        <v>0</v>
      </c>
      <c r="R153" s="257">
        <f t="shared" si="16"/>
        <v>0</v>
      </c>
      <c r="S153" s="257">
        <f t="shared" si="16"/>
        <v>0</v>
      </c>
      <c r="T153" s="257">
        <f t="shared" si="16"/>
        <v>0</v>
      </c>
      <c r="U153" s="280"/>
      <c r="V153" s="257">
        <f t="shared" si="17"/>
        <v>0</v>
      </c>
      <c r="W153" s="280"/>
      <c r="X153" s="257">
        <f t="shared" si="18"/>
        <v>0</v>
      </c>
      <c r="Y153" s="280"/>
    </row>
    <row r="154" spans="2:27" x14ac:dyDescent="0.25">
      <c r="C154" s="86"/>
      <c r="F154" s="93" t="s">
        <v>314</v>
      </c>
      <c r="G154" s="93" t="s">
        <v>315</v>
      </c>
      <c r="H154" s="363"/>
      <c r="I154" s="353"/>
      <c r="J154" s="354">
        <f t="shared" si="16"/>
        <v>0</v>
      </c>
      <c r="K154" s="354">
        <f t="shared" si="16"/>
        <v>0</v>
      </c>
      <c r="L154" s="354">
        <f t="shared" si="16"/>
        <v>0</v>
      </c>
      <c r="M154" s="354">
        <f t="shared" si="16"/>
        <v>0</v>
      </c>
      <c r="N154" s="354">
        <f t="shared" si="16"/>
        <v>0.17899999999999999</v>
      </c>
      <c r="O154" s="354">
        <f t="shared" si="16"/>
        <v>0.17399999999999999</v>
      </c>
      <c r="P154" s="354">
        <f t="shared" si="16"/>
        <v>0.14000000000000001</v>
      </c>
      <c r="Q154" s="354">
        <f t="shared" si="16"/>
        <v>0</v>
      </c>
      <c r="R154" s="354">
        <f t="shared" si="16"/>
        <v>0</v>
      </c>
      <c r="S154" s="354">
        <f t="shared" si="16"/>
        <v>0</v>
      </c>
      <c r="T154" s="354">
        <f t="shared" si="16"/>
        <v>0.33100000000000002</v>
      </c>
      <c r="U154" s="358"/>
      <c r="V154" s="354">
        <f t="shared" si="17"/>
        <v>0.30499999999999999</v>
      </c>
      <c r="W154" s="358"/>
      <c r="X154" s="354">
        <f t="shared" si="18"/>
        <v>0.23200000000000001</v>
      </c>
      <c r="Y154" s="358"/>
      <c r="Z154" s="351"/>
      <c r="AA154" s="351"/>
    </row>
    <row r="155" spans="2:27" x14ac:dyDescent="0.25">
      <c r="C155" s="86"/>
    </row>
    <row r="156" spans="2:27" x14ac:dyDescent="0.25">
      <c r="B156" s="95" t="s">
        <v>109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8" spans="2:27" x14ac:dyDescent="0.25">
      <c r="E158" s="295" t="s">
        <v>516</v>
      </c>
      <c r="G158" s="122" t="s">
        <v>692</v>
      </c>
      <c r="H158" s="152">
        <f t="array" ref="H158">SUM(IF(ISERROR(H20:Y154), 1))</f>
        <v>0</v>
      </c>
    </row>
    <row r="160" spans="2:27" x14ac:dyDescent="0.25">
      <c r="B160" s="95" t="s">
        <v>110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</sheetData>
  <sheetProtection sheet="1" objects="1" formatCells="0" formatColumns="0" formatRows="0" sort="0" autoFilter="0"/>
  <conditionalFormatting sqref="H158">
    <cfRule type="cellIs" dxfId="24" priority="10" operator="greaterThan">
      <formula>0</formula>
    </cfRule>
  </conditionalFormatting>
  <conditionalFormatting sqref="A4:I4 Z4:XFD4">
    <cfRule type="expression" dxfId="23" priority="9">
      <formula>LEFT($A$4,1) &lt;&gt; "0"</formula>
    </cfRule>
  </conditionalFormatting>
  <conditionalFormatting sqref="N4:P4">
    <cfRule type="expression" dxfId="22" priority="8">
      <formula>LEFT($A$4,1) &lt;&gt; "0"</formula>
    </cfRule>
  </conditionalFormatting>
  <conditionalFormatting sqref="L4:M4">
    <cfRule type="expression" dxfId="21" priority="7">
      <formula>LEFT($A$4,1) &lt;&gt; "0"</formula>
    </cfRule>
  </conditionalFormatting>
  <conditionalFormatting sqref="J4:K4">
    <cfRule type="expression" dxfId="20" priority="6">
      <formula>LEFT($A$4,1) &lt;&gt; "0"</formula>
    </cfRule>
  </conditionalFormatting>
  <conditionalFormatting sqref="Q4">
    <cfRule type="expression" dxfId="19" priority="5">
      <formula>LEFT($A$4,1) &lt;&gt; "0"</formula>
    </cfRule>
  </conditionalFormatting>
  <conditionalFormatting sqref="R4:S4">
    <cfRule type="expression" dxfId="18" priority="4">
      <formula>LEFT($A$4,1) &lt;&gt; "0"</formula>
    </cfRule>
  </conditionalFormatting>
  <conditionalFormatting sqref="T4:U4">
    <cfRule type="expression" dxfId="17" priority="3">
      <formula>LEFT($A$4,1) &lt;&gt; "0"</formula>
    </cfRule>
  </conditionalFormatting>
  <conditionalFormatting sqref="V4:W4">
    <cfRule type="expression" dxfId="16" priority="2">
      <formula>LEFT($A$4,1) &lt;&gt; "0"</formula>
    </cfRule>
  </conditionalFormatting>
  <conditionalFormatting sqref="X4:Y4">
    <cfRule type="expression" dxfId="15" priority="1">
      <formula>LEFT($A$4,1) &lt;&gt; "0"</formula>
    </cfRule>
  </conditionalFormatting>
  <hyperlinks>
    <hyperlink ref="B5:F5" location="'Model map'!A1" display="Click here to return to model map" xr:uid="{00000000-0004-0000-2100-000000000000}"/>
    <hyperlink ref="AA74" location="'Aggreg'!B314" display="x1 = 3308. Unit rate 1 p/kWh (total) (in Summary of charges before revenue matching)" xr:uid="{00000000-0004-0000-2100-000001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1">
    <tabColor theme="4" tint="0.59999389629810485"/>
  </sheetPr>
  <dimension ref="A1:BI13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5" customWidth="1"/>
    <col min="6" max="6" width="59.5703125" style="295" customWidth="1"/>
    <col min="7" max="8" width="20.5703125" style="295" customWidth="1"/>
    <col min="9" max="9" width="2.42578125" style="295" customWidth="1"/>
    <col min="10" max="25" width="17" style="295" customWidth="1"/>
    <col min="26" max="26" width="2.42578125" style="295" customWidth="1"/>
    <col min="27" max="27" width="50.5703125" style="295" customWidth="1"/>
    <col min="28" max="28" width="2.42578125" style="295" customWidth="1"/>
    <col min="29" max="61" width="0" style="295" hidden="1" customWidth="1"/>
    <col min="62" max="16384" width="9.140625" style="295" hidden="1"/>
  </cols>
  <sheetData>
    <row r="1" spans="1:27" s="10" customFormat="1" x14ac:dyDescent="0.25">
      <c r="A1" s="10" t="str">
        <f ca="1">MID(CELL("filename",A1),FIND("]",CELL("filename",A1))+1,255)</f>
        <v>Net revenue summary</v>
      </c>
    </row>
    <row r="2" spans="1:27" s="10" customFormat="1" x14ac:dyDescent="0.25">
      <c r="A2" s="10" t="str">
        <f>Cover!D21&amp;" - "&amp;Cover!D23</f>
        <v>SP Manweb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27" x14ac:dyDescent="0.25">
      <c r="A4" s="370" t="str">
        <f>H134 &amp; IF(H134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71" t="s">
        <v>552</v>
      </c>
      <c r="C5" s="372"/>
      <c r="D5" s="372"/>
      <c r="E5" s="372"/>
      <c r="F5" s="372"/>
      <c r="G5" s="1" t="s">
        <v>91</v>
      </c>
      <c r="H5" s="2" t="s">
        <v>92</v>
      </c>
      <c r="J5" s="2" t="s">
        <v>1038</v>
      </c>
      <c r="K5" s="2" t="s">
        <v>1039</v>
      </c>
      <c r="L5" s="2" t="s">
        <v>1040</v>
      </c>
      <c r="M5" s="2" t="s">
        <v>1041</v>
      </c>
      <c r="N5" s="2" t="s">
        <v>1042</v>
      </c>
      <c r="O5" s="2" t="s">
        <v>1043</v>
      </c>
      <c r="P5" s="2" t="s">
        <v>1044</v>
      </c>
      <c r="Q5" s="2" t="s">
        <v>1045</v>
      </c>
      <c r="R5" s="2" t="s">
        <v>1046</v>
      </c>
      <c r="S5" s="2" t="s">
        <v>1047</v>
      </c>
      <c r="T5" s="2" t="s">
        <v>1048</v>
      </c>
      <c r="U5" s="2" t="s">
        <v>1049</v>
      </c>
      <c r="V5" s="2" t="s">
        <v>1050</v>
      </c>
      <c r="W5" s="2" t="s">
        <v>1051</v>
      </c>
      <c r="X5" s="2" t="s">
        <v>1052</v>
      </c>
      <c r="Y5" s="2" t="s">
        <v>1053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749</v>
      </c>
    </row>
    <row r="10" spans="1:27" x14ac:dyDescent="0.25">
      <c r="C10" s="14"/>
    </row>
    <row r="11" spans="1:27" x14ac:dyDescent="0.25">
      <c r="B11" s="95" t="s">
        <v>789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x14ac:dyDescent="0.25">
      <c r="D12" s="98"/>
      <c r="E12" s="98"/>
    </row>
    <row r="13" spans="1:27" x14ac:dyDescent="0.25">
      <c r="C13" s="7" t="str">
        <f ca="1">INDEX('Version control'!$H$34:$H$58,MATCH($A$1,'Version control'!$F$34:$F$58,0),1)&amp;"-A: Volume forecasts"</f>
        <v>Input 505-A: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5">
      <c r="D14" s="96"/>
    </row>
    <row r="15" spans="1:27" x14ac:dyDescent="0.25">
      <c r="E15" s="96" t="s">
        <v>1010</v>
      </c>
      <c r="I15" s="295" t="s">
        <v>431</v>
      </c>
      <c r="AA15" s="295" t="s">
        <v>799</v>
      </c>
    </row>
    <row r="16" spans="1:27" x14ac:dyDescent="0.25">
      <c r="F16" s="40" t="s">
        <v>256</v>
      </c>
      <c r="G16" s="40" t="s">
        <v>120</v>
      </c>
      <c r="H16" s="91"/>
      <c r="I16" s="91"/>
      <c r="J16" s="273">
        <f>'Inputs by customer type'!J24</f>
        <v>565724.84769405378</v>
      </c>
      <c r="K16" s="273">
        <f>'Inputs by customer type'!K24</f>
        <v>45.600324459247773</v>
      </c>
      <c r="L16" s="273">
        <f>'Inputs by customer type'!L24</f>
        <v>148255.30521434694</v>
      </c>
      <c r="M16" s="273">
        <f>'Inputs by customer type'!M24</f>
        <v>6.8595464743105259</v>
      </c>
      <c r="N16" s="273">
        <f>'Inputs by customer type'!N24</f>
        <v>91792.359658494301</v>
      </c>
      <c r="O16" s="273">
        <f>'Inputs by customer type'!O24</f>
        <v>105860.63117892911</v>
      </c>
      <c r="P16" s="273">
        <f>'Inputs by customer type'!P24</f>
        <v>161221.11018721742</v>
      </c>
      <c r="Q16" s="273">
        <f>'Inputs by customer type'!Q24</f>
        <v>7070.8623594972905</v>
      </c>
      <c r="R16" s="273">
        <f>'Inputs by customer type'!R24</f>
        <v>104.47429331694744</v>
      </c>
      <c r="S16" s="273">
        <f>'Inputs by customer type'!S24</f>
        <v>35.771932311779992</v>
      </c>
      <c r="T16" s="273">
        <f>'Inputs by customer type'!T24</f>
        <v>4876.2857099056537</v>
      </c>
      <c r="U16" s="273">
        <f>'Inputs by customer type'!U24</f>
        <v>0</v>
      </c>
      <c r="V16" s="273">
        <f>'Inputs by customer type'!V24</f>
        <v>1421.8434887434785</v>
      </c>
      <c r="W16" s="273">
        <f>'Inputs by customer type'!W24</f>
        <v>0</v>
      </c>
      <c r="X16" s="273">
        <f>'Inputs by customer type'!X24</f>
        <v>42821.256435874217</v>
      </c>
      <c r="Y16" s="273">
        <f>'Inputs by customer type'!Y24</f>
        <v>0</v>
      </c>
    </row>
    <row r="17" spans="5:27" x14ac:dyDescent="0.25">
      <c r="E17" s="14"/>
      <c r="F17" s="109" t="s">
        <v>257</v>
      </c>
      <c r="G17" s="109" t="s">
        <v>120</v>
      </c>
      <c r="J17" s="274">
        <f>'Inputs by customer type'!J25</f>
        <v>2004244.7443350828</v>
      </c>
      <c r="K17" s="274">
        <f>'Inputs by customer type'!K25</f>
        <v>769.70150120030291</v>
      </c>
      <c r="L17" s="274">
        <f>'Inputs by customer type'!L25</f>
        <v>779468.22863586666</v>
      </c>
      <c r="M17" s="274">
        <f>'Inputs by customer type'!M25</f>
        <v>363.68083419264593</v>
      </c>
      <c r="N17" s="274">
        <f>'Inputs by customer type'!N25</f>
        <v>424005.57007851894</v>
      </c>
      <c r="O17" s="274">
        <f>'Inputs by customer type'!O25</f>
        <v>523823.73557284038</v>
      </c>
      <c r="P17" s="274">
        <f>'Inputs by customer type'!P25</f>
        <v>763633.0714178842</v>
      </c>
      <c r="Q17" s="274">
        <f>'Inputs by customer type'!Q25</f>
        <v>51992.039513992626</v>
      </c>
      <c r="R17" s="274">
        <f>'Inputs by customer type'!R25</f>
        <v>509.89423910109542</v>
      </c>
      <c r="S17" s="274">
        <f>'Inputs by customer type'!S25</f>
        <v>160.58959252319966</v>
      </c>
      <c r="T17" s="274">
        <f>'Inputs by customer type'!T25</f>
        <v>23805.598357778857</v>
      </c>
      <c r="U17" s="274">
        <f>'Inputs by customer type'!U25</f>
        <v>0</v>
      </c>
      <c r="V17" s="274">
        <f>'Inputs by customer type'!V25</f>
        <v>6382.5471914560349</v>
      </c>
      <c r="W17" s="274">
        <f>'Inputs by customer type'!W25</f>
        <v>0</v>
      </c>
      <c r="X17" s="274">
        <f>'Inputs by customer type'!X25</f>
        <v>169444.19263568314</v>
      </c>
      <c r="Y17" s="274">
        <f>'Inputs by customer type'!Y25</f>
        <v>0</v>
      </c>
    </row>
    <row r="18" spans="5:27" x14ac:dyDescent="0.25">
      <c r="E18" s="14"/>
      <c r="F18" s="109" t="s">
        <v>258</v>
      </c>
      <c r="G18" s="109" t="s">
        <v>120</v>
      </c>
      <c r="J18" s="274">
        <f>'Inputs by customer type'!J26</f>
        <v>1886875.9715677693</v>
      </c>
      <c r="K18" s="274">
        <f>'Inputs by customer type'!K26</f>
        <v>10340.203230515768</v>
      </c>
      <c r="L18" s="274">
        <f>'Inputs by customer type'!L26</f>
        <v>755406.33561361348</v>
      </c>
      <c r="M18" s="274">
        <f>'Inputs by customer type'!M26</f>
        <v>4425.6666229911798</v>
      </c>
      <c r="N18" s="274">
        <f>'Inputs by customer type'!N26</f>
        <v>422617.96593606938</v>
      </c>
      <c r="O18" s="274">
        <f>'Inputs by customer type'!O26</f>
        <v>576300.52899391274</v>
      </c>
      <c r="P18" s="274">
        <f>'Inputs by customer type'!P26</f>
        <v>948286.74499818834</v>
      </c>
      <c r="Q18" s="274">
        <f>'Inputs by customer type'!Q26</f>
        <v>96017.10841937708</v>
      </c>
      <c r="R18" s="274">
        <f>'Inputs by customer type'!R26</f>
        <v>534.48350594468047</v>
      </c>
      <c r="S18" s="274">
        <f>'Inputs by customer type'!S26</f>
        <v>201.06201955341325</v>
      </c>
      <c r="T18" s="274">
        <f>'Inputs by customer type'!T26</f>
        <v>27627.12669629819</v>
      </c>
      <c r="U18" s="274">
        <f>'Inputs by customer type'!U26</f>
        <v>0</v>
      </c>
      <c r="V18" s="274">
        <f>'Inputs by customer type'!V26</f>
        <v>7999.8037931113131</v>
      </c>
      <c r="W18" s="274">
        <f>'Inputs by customer type'!W26</f>
        <v>0</v>
      </c>
      <c r="X18" s="274">
        <f>'Inputs by customer type'!X26</f>
        <v>178082.97709073228</v>
      </c>
      <c r="Y18" s="274">
        <f>'Inputs by customer type'!Y26</f>
        <v>0</v>
      </c>
    </row>
    <row r="19" spans="5:27" x14ac:dyDescent="0.25">
      <c r="E19" s="14"/>
      <c r="F19" s="109" t="s">
        <v>74</v>
      </c>
      <c r="G19" s="109" t="s">
        <v>74</v>
      </c>
      <c r="J19" s="274">
        <f>'Inputs by customer type'!J27</f>
        <v>1391172</v>
      </c>
      <c r="K19" s="274">
        <f>'Inputs by customer type'!K27</f>
        <v>3359</v>
      </c>
      <c r="L19" s="274">
        <f>'Inputs by customer type'!L27</f>
        <v>97941</v>
      </c>
      <c r="M19" s="274">
        <f>'Inputs by customer type'!M27</f>
        <v>996</v>
      </c>
      <c r="N19" s="274">
        <f>'Inputs by customer type'!N27</f>
        <v>5288</v>
      </c>
      <c r="O19" s="274">
        <f>'Inputs by customer type'!O27</f>
        <v>3061</v>
      </c>
      <c r="P19" s="274">
        <f>'Inputs by customer type'!P27</f>
        <v>797</v>
      </c>
      <c r="Q19" s="274">
        <f>'Inputs by customer type'!Q27</f>
        <v>582</v>
      </c>
      <c r="R19" s="274">
        <f>'Inputs by customer type'!R27</f>
        <v>156</v>
      </c>
      <c r="S19" s="274">
        <f>'Inputs by customer type'!S27</f>
        <v>24</v>
      </c>
      <c r="T19" s="274">
        <f>'Inputs by customer type'!T27</f>
        <v>313</v>
      </c>
      <c r="U19" s="274">
        <f>'Inputs by customer type'!U27</f>
        <v>0</v>
      </c>
      <c r="V19" s="274">
        <f>'Inputs by customer type'!V27</f>
        <v>41</v>
      </c>
      <c r="W19" s="274">
        <f>'Inputs by customer type'!W27</f>
        <v>0</v>
      </c>
      <c r="X19" s="274">
        <f>'Inputs by customer type'!X27</f>
        <v>133</v>
      </c>
      <c r="Y19" s="274">
        <f>'Inputs by customer type'!Y27</f>
        <v>0</v>
      </c>
    </row>
    <row r="20" spans="5:27" x14ac:dyDescent="0.25">
      <c r="E20" s="14"/>
      <c r="F20" s="109" t="s">
        <v>259</v>
      </c>
      <c r="G20" s="109" t="s">
        <v>169</v>
      </c>
      <c r="J20" s="274">
        <f>'Inputs by customer type'!J28</f>
        <v>0</v>
      </c>
      <c r="K20" s="274">
        <f>'Inputs by customer type'!K28</f>
        <v>0</v>
      </c>
      <c r="L20" s="274">
        <f>'Inputs by customer type'!L28</f>
        <v>0</v>
      </c>
      <c r="M20" s="274">
        <f>'Inputs by customer type'!M28</f>
        <v>0</v>
      </c>
      <c r="N20" s="274">
        <f>'Inputs by customer type'!N28</f>
        <v>541813</v>
      </c>
      <c r="O20" s="274">
        <f>'Inputs by customer type'!O28</f>
        <v>569993</v>
      </c>
      <c r="P20" s="274">
        <f>'Inputs by customer type'!P28</f>
        <v>663160</v>
      </c>
      <c r="Q20" s="274">
        <f>'Inputs by customer type'!Q28</f>
        <v>0</v>
      </c>
      <c r="R20" s="274">
        <f>'Inputs by customer type'!R28</f>
        <v>0</v>
      </c>
      <c r="S20" s="274">
        <f>'Inputs by customer type'!S28</f>
        <v>0</v>
      </c>
      <c r="T20" s="274">
        <f>'Inputs by customer type'!T28</f>
        <v>0</v>
      </c>
      <c r="U20" s="274">
        <f>'Inputs by customer type'!U28</f>
        <v>0</v>
      </c>
      <c r="V20" s="274">
        <f>'Inputs by customer type'!V28</f>
        <v>0</v>
      </c>
      <c r="W20" s="274">
        <f>'Inputs by customer type'!W28</f>
        <v>0</v>
      </c>
      <c r="X20" s="274">
        <f>'Inputs by customer type'!X28</f>
        <v>0</v>
      </c>
      <c r="Y20" s="274">
        <f>'Inputs by customer type'!Y28</f>
        <v>0</v>
      </c>
    </row>
    <row r="21" spans="5:27" x14ac:dyDescent="0.25">
      <c r="E21" s="14"/>
      <c r="F21" s="109" t="s">
        <v>260</v>
      </c>
      <c r="G21" s="109" t="s">
        <v>169</v>
      </c>
      <c r="J21" s="274">
        <f>'Inputs by customer type'!J29</f>
        <v>0</v>
      </c>
      <c r="K21" s="274">
        <f>'Inputs by customer type'!K29</f>
        <v>0</v>
      </c>
      <c r="L21" s="274">
        <f>'Inputs by customer type'!L29</f>
        <v>0</v>
      </c>
      <c r="M21" s="274">
        <f>'Inputs by customer type'!M29</f>
        <v>0</v>
      </c>
      <c r="N21" s="274">
        <f>'Inputs by customer type'!N29</f>
        <v>32600.04</v>
      </c>
      <c r="O21" s="274">
        <f>'Inputs by customer type'!O29</f>
        <v>11444.7</v>
      </c>
      <c r="P21" s="274">
        <f>'Inputs by customer type'!P29</f>
        <v>14202.12</v>
      </c>
      <c r="Q21" s="274">
        <f>'Inputs by customer type'!Q29</f>
        <v>0</v>
      </c>
      <c r="R21" s="274">
        <f>'Inputs by customer type'!R29</f>
        <v>0</v>
      </c>
      <c r="S21" s="274">
        <f>'Inputs by customer type'!S29</f>
        <v>0</v>
      </c>
      <c r="T21" s="274">
        <f>'Inputs by customer type'!T29</f>
        <v>0</v>
      </c>
      <c r="U21" s="274">
        <f>'Inputs by customer type'!U29</f>
        <v>0</v>
      </c>
      <c r="V21" s="274">
        <f>'Inputs by customer type'!V29</f>
        <v>0</v>
      </c>
      <c r="W21" s="274">
        <f>'Inputs by customer type'!W29</f>
        <v>0</v>
      </c>
      <c r="X21" s="274">
        <f>'Inputs by customer type'!X29</f>
        <v>0</v>
      </c>
      <c r="Y21" s="274">
        <f>'Inputs by customer type'!Y29</f>
        <v>0</v>
      </c>
    </row>
    <row r="22" spans="5:27" x14ac:dyDescent="0.25">
      <c r="E22" s="14"/>
      <c r="F22" s="36" t="s">
        <v>261</v>
      </c>
      <c r="G22" s="36" t="s">
        <v>170</v>
      </c>
      <c r="H22" s="93"/>
      <c r="I22" s="93"/>
      <c r="J22" s="275">
        <f>'Inputs by customer type'!J30</f>
        <v>0</v>
      </c>
      <c r="K22" s="275">
        <f>'Inputs by customer type'!K30</f>
        <v>0</v>
      </c>
      <c r="L22" s="275">
        <f>'Inputs by customer type'!L30</f>
        <v>0</v>
      </c>
      <c r="M22" s="275">
        <f>'Inputs by customer type'!M30</f>
        <v>0</v>
      </c>
      <c r="N22" s="275">
        <f>'Inputs by customer type'!N30</f>
        <v>75780</v>
      </c>
      <c r="O22" s="275">
        <f>'Inputs by customer type'!O30</f>
        <v>92280</v>
      </c>
      <c r="P22" s="275">
        <f>'Inputs by customer type'!P30</f>
        <v>113496</v>
      </c>
      <c r="Q22" s="275">
        <f>'Inputs by customer type'!Q30</f>
        <v>0</v>
      </c>
      <c r="R22" s="275">
        <f>'Inputs by customer type'!R30</f>
        <v>0</v>
      </c>
      <c r="S22" s="275">
        <f>'Inputs by customer type'!S30</f>
        <v>0</v>
      </c>
      <c r="T22" s="275">
        <f>'Inputs by customer type'!T30</f>
        <v>4428</v>
      </c>
      <c r="U22" s="275">
        <f>'Inputs by customer type'!U30</f>
        <v>0</v>
      </c>
      <c r="V22" s="275">
        <f>'Inputs by customer type'!V30</f>
        <v>186</v>
      </c>
      <c r="W22" s="275">
        <f>'Inputs by customer type'!W30</f>
        <v>0</v>
      </c>
      <c r="X22" s="275">
        <f>'Inputs by customer type'!X30</f>
        <v>6792</v>
      </c>
      <c r="Y22" s="275">
        <f>'Inputs by customer type'!Y30</f>
        <v>0</v>
      </c>
    </row>
    <row r="23" spans="5:27" s="379" customFormat="1" x14ac:dyDescent="0.25">
      <c r="E23" s="430"/>
      <c r="F23" s="381"/>
      <c r="G23" s="38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</row>
    <row r="24" spans="5:27" x14ac:dyDescent="0.25">
      <c r="E24" s="96" t="s">
        <v>1011</v>
      </c>
      <c r="F24" s="36"/>
      <c r="G24" s="36"/>
      <c r="H24" s="93"/>
      <c r="I24" s="295" t="s">
        <v>431</v>
      </c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AA24" s="295" t="s">
        <v>799</v>
      </c>
    </row>
    <row r="25" spans="5:27" x14ac:dyDescent="0.25">
      <c r="F25" s="109" t="s">
        <v>256</v>
      </c>
      <c r="G25" s="109" t="s">
        <v>120</v>
      </c>
      <c r="I25" s="91"/>
      <c r="J25" s="273">
        <f>'Inputs by customer type'!J33</f>
        <v>6614.2642110959696</v>
      </c>
      <c r="K25" s="273">
        <f>'Inputs by customer type'!K33</f>
        <v>0</v>
      </c>
      <c r="L25" s="273">
        <f>'Inputs by customer type'!L33</f>
        <v>238.1771508003859</v>
      </c>
      <c r="M25" s="273">
        <f>'Inputs by customer type'!M33</f>
        <v>0</v>
      </c>
      <c r="N25" s="273">
        <f>'Inputs by customer type'!N33</f>
        <v>782.38165777500001</v>
      </c>
      <c r="O25" s="273">
        <f>'Inputs by customer type'!O33</f>
        <v>0</v>
      </c>
      <c r="P25" s="273">
        <f>'Inputs by customer type'!P33</f>
        <v>0</v>
      </c>
      <c r="Q25" s="273">
        <f>'Inputs by customer type'!Q33</f>
        <v>5.48725246628352</v>
      </c>
      <c r="R25" s="273">
        <f>'Inputs by customer type'!R33</f>
        <v>0</v>
      </c>
      <c r="S25" s="273">
        <f>'Inputs by customer type'!S33</f>
        <v>0</v>
      </c>
      <c r="T25" s="273">
        <f>'Inputs by customer type'!T33</f>
        <v>0</v>
      </c>
      <c r="U25" s="273">
        <f>'Inputs by customer type'!U33</f>
        <v>0</v>
      </c>
      <c r="V25" s="273">
        <f>'Inputs by customer type'!V33</f>
        <v>0</v>
      </c>
      <c r="W25" s="273">
        <f>'Inputs by customer type'!W33</f>
        <v>0</v>
      </c>
      <c r="X25" s="273">
        <f>'Inputs by customer type'!X33</f>
        <v>0</v>
      </c>
      <c r="Y25" s="273">
        <f>'Inputs by customer type'!Y33</f>
        <v>0</v>
      </c>
    </row>
    <row r="26" spans="5:27" x14ac:dyDescent="0.25">
      <c r="E26" s="14"/>
      <c r="F26" s="109" t="s">
        <v>257</v>
      </c>
      <c r="G26" s="109" t="s">
        <v>120</v>
      </c>
      <c r="J26" s="274">
        <f>'Inputs by customer type'!J34</f>
        <v>23444.485144935399</v>
      </c>
      <c r="K26" s="274">
        <f>'Inputs by customer type'!K34</f>
        <v>0</v>
      </c>
      <c r="L26" s="274">
        <f>'Inputs by customer type'!L34</f>
        <v>1251.285970528603</v>
      </c>
      <c r="M26" s="274">
        <f>'Inputs by customer type'!M34</f>
        <v>0</v>
      </c>
      <c r="N26" s="274">
        <f>'Inputs by customer type'!N34</f>
        <v>3509.5403745600001</v>
      </c>
      <c r="O26" s="274">
        <f>'Inputs by customer type'!O34</f>
        <v>0</v>
      </c>
      <c r="P26" s="274">
        <f>'Inputs by customer type'!P34</f>
        <v>0</v>
      </c>
      <c r="Q26" s="274">
        <f>'Inputs by customer type'!Q34</f>
        <v>35.440333955030702</v>
      </c>
      <c r="R26" s="274">
        <f>'Inputs by customer type'!R34</f>
        <v>0</v>
      </c>
      <c r="S26" s="274">
        <f>'Inputs by customer type'!S34</f>
        <v>0</v>
      </c>
      <c r="T26" s="274">
        <f>'Inputs by customer type'!T34</f>
        <v>0</v>
      </c>
      <c r="U26" s="274">
        <f>'Inputs by customer type'!U34</f>
        <v>0</v>
      </c>
      <c r="V26" s="274">
        <f>'Inputs by customer type'!V34</f>
        <v>0</v>
      </c>
      <c r="W26" s="274">
        <f>'Inputs by customer type'!W34</f>
        <v>0</v>
      </c>
      <c r="X26" s="274">
        <f>'Inputs by customer type'!X34</f>
        <v>0</v>
      </c>
      <c r="Y26" s="274">
        <f>'Inputs by customer type'!Y34</f>
        <v>0</v>
      </c>
    </row>
    <row r="27" spans="5:27" x14ac:dyDescent="0.25">
      <c r="E27" s="14"/>
      <c r="F27" s="109" t="s">
        <v>258</v>
      </c>
      <c r="G27" s="109" t="s">
        <v>120</v>
      </c>
      <c r="J27" s="274">
        <f>'Inputs by customer type'!J35</f>
        <v>22076.133431648639</v>
      </c>
      <c r="K27" s="274">
        <f>'Inputs by customer type'!K35</f>
        <v>0</v>
      </c>
      <c r="L27" s="274">
        <f>'Inputs by customer type'!L35</f>
        <v>1210.8886018597616</v>
      </c>
      <c r="M27" s="274">
        <f>'Inputs by customer type'!M35</f>
        <v>0</v>
      </c>
      <c r="N27" s="274">
        <f>'Inputs by customer type'!N35</f>
        <v>2920.7853130087501</v>
      </c>
      <c r="O27" s="274">
        <f>'Inputs by customer type'!O35</f>
        <v>0</v>
      </c>
      <c r="P27" s="274">
        <f>'Inputs by customer type'!P35</f>
        <v>0</v>
      </c>
      <c r="Q27" s="274">
        <f>'Inputs by customer type'!Q35</f>
        <v>41.235843049935781</v>
      </c>
      <c r="R27" s="274">
        <f>'Inputs by customer type'!R35</f>
        <v>0</v>
      </c>
      <c r="S27" s="274">
        <f>'Inputs by customer type'!S35</f>
        <v>0</v>
      </c>
      <c r="T27" s="274">
        <f>'Inputs by customer type'!T35</f>
        <v>0</v>
      </c>
      <c r="U27" s="274">
        <f>'Inputs by customer type'!U35</f>
        <v>0</v>
      </c>
      <c r="V27" s="274">
        <f>'Inputs by customer type'!V35</f>
        <v>0</v>
      </c>
      <c r="W27" s="274">
        <f>'Inputs by customer type'!W35</f>
        <v>0</v>
      </c>
      <c r="X27" s="274">
        <f>'Inputs by customer type'!X35</f>
        <v>0</v>
      </c>
      <c r="Y27" s="274">
        <f>'Inputs by customer type'!Y35</f>
        <v>0</v>
      </c>
    </row>
    <row r="28" spans="5:27" x14ac:dyDescent="0.25">
      <c r="E28" s="14"/>
      <c r="F28" s="109" t="s">
        <v>74</v>
      </c>
      <c r="G28" s="109" t="s">
        <v>74</v>
      </c>
      <c r="J28" s="274">
        <f>'Inputs by customer type'!J36</f>
        <v>19946</v>
      </c>
      <c r="K28" s="274">
        <f>'Inputs by customer type'!K36</f>
        <v>0</v>
      </c>
      <c r="L28" s="274">
        <f>'Inputs by customer type'!L36</f>
        <v>314</v>
      </c>
      <c r="M28" s="274">
        <f>'Inputs by customer type'!M36</f>
        <v>0</v>
      </c>
      <c r="N28" s="274">
        <f>'Inputs by customer type'!N36</f>
        <v>37</v>
      </c>
      <c r="O28" s="274">
        <f>'Inputs by customer type'!O36</f>
        <v>0</v>
      </c>
      <c r="P28" s="274">
        <f>'Inputs by customer type'!P36</f>
        <v>0</v>
      </c>
      <c r="Q28" s="274">
        <f>'Inputs by customer type'!Q36</f>
        <v>8</v>
      </c>
      <c r="R28" s="274">
        <f>'Inputs by customer type'!R36</f>
        <v>0</v>
      </c>
      <c r="S28" s="274">
        <f>'Inputs by customer type'!S36</f>
        <v>0</v>
      </c>
      <c r="T28" s="274">
        <f>'Inputs by customer type'!T36</f>
        <v>0</v>
      </c>
      <c r="U28" s="274">
        <f>'Inputs by customer type'!U36</f>
        <v>0</v>
      </c>
      <c r="V28" s="274">
        <f>'Inputs by customer type'!V36</f>
        <v>0</v>
      </c>
      <c r="W28" s="274">
        <f>'Inputs by customer type'!W36</f>
        <v>0</v>
      </c>
      <c r="X28" s="274">
        <f>'Inputs by customer type'!X36</f>
        <v>0</v>
      </c>
      <c r="Y28" s="274">
        <f>'Inputs by customer type'!Y36</f>
        <v>0</v>
      </c>
    </row>
    <row r="29" spans="5:27" x14ac:dyDescent="0.25">
      <c r="E29" s="14"/>
      <c r="F29" s="109" t="s">
        <v>259</v>
      </c>
      <c r="G29" s="109" t="s">
        <v>169</v>
      </c>
      <c r="J29" s="274">
        <f>'Inputs by customer type'!J37</f>
        <v>0</v>
      </c>
      <c r="K29" s="274">
        <f>'Inputs by customer type'!K37</f>
        <v>0</v>
      </c>
      <c r="L29" s="274">
        <f>'Inputs by customer type'!L37</f>
        <v>0</v>
      </c>
      <c r="M29" s="274">
        <f>'Inputs by customer type'!M37</f>
        <v>0</v>
      </c>
      <c r="N29" s="274">
        <f>'Inputs by customer type'!N37</f>
        <v>5254.416666666667</v>
      </c>
      <c r="O29" s="274">
        <f>'Inputs by customer type'!O37</f>
        <v>0</v>
      </c>
      <c r="P29" s="274">
        <f>'Inputs by customer type'!P37</f>
        <v>0</v>
      </c>
      <c r="Q29" s="274">
        <f>'Inputs by customer type'!Q37</f>
        <v>0</v>
      </c>
      <c r="R29" s="274">
        <f>'Inputs by customer type'!R37</f>
        <v>0</v>
      </c>
      <c r="S29" s="274">
        <f>'Inputs by customer type'!S37</f>
        <v>0</v>
      </c>
      <c r="T29" s="274">
        <f>'Inputs by customer type'!T37</f>
        <v>0</v>
      </c>
      <c r="U29" s="274">
        <f>'Inputs by customer type'!U37</f>
        <v>0</v>
      </c>
      <c r="V29" s="274">
        <f>'Inputs by customer type'!V37</f>
        <v>0</v>
      </c>
      <c r="W29" s="274">
        <f>'Inputs by customer type'!W37</f>
        <v>0</v>
      </c>
      <c r="X29" s="274">
        <f>'Inputs by customer type'!X37</f>
        <v>0</v>
      </c>
      <c r="Y29" s="274">
        <f>'Inputs by customer type'!Y37</f>
        <v>0</v>
      </c>
    </row>
    <row r="30" spans="5:27" x14ac:dyDescent="0.25">
      <c r="E30" s="14"/>
      <c r="F30" s="109" t="s">
        <v>260</v>
      </c>
      <c r="G30" s="109" t="s">
        <v>169</v>
      </c>
      <c r="J30" s="274">
        <f>'Inputs by customer type'!J38</f>
        <v>0</v>
      </c>
      <c r="K30" s="274">
        <f>'Inputs by customer type'!K38</f>
        <v>0</v>
      </c>
      <c r="L30" s="274">
        <f>'Inputs by customer type'!L38</f>
        <v>0</v>
      </c>
      <c r="M30" s="274">
        <f>'Inputs by customer type'!M38</f>
        <v>0</v>
      </c>
      <c r="N30" s="274">
        <f>'Inputs by customer type'!N38</f>
        <v>0</v>
      </c>
      <c r="O30" s="274">
        <f>'Inputs by customer type'!O38</f>
        <v>0</v>
      </c>
      <c r="P30" s="274">
        <f>'Inputs by customer type'!P38</f>
        <v>0</v>
      </c>
      <c r="Q30" s="274">
        <f>'Inputs by customer type'!Q38</f>
        <v>0</v>
      </c>
      <c r="R30" s="274">
        <f>'Inputs by customer type'!R38</f>
        <v>0</v>
      </c>
      <c r="S30" s="274">
        <f>'Inputs by customer type'!S38</f>
        <v>0</v>
      </c>
      <c r="T30" s="274">
        <f>'Inputs by customer type'!T38</f>
        <v>0</v>
      </c>
      <c r="U30" s="274">
        <f>'Inputs by customer type'!U38</f>
        <v>0</v>
      </c>
      <c r="V30" s="274">
        <f>'Inputs by customer type'!V38</f>
        <v>0</v>
      </c>
      <c r="W30" s="274">
        <f>'Inputs by customer type'!W38</f>
        <v>0</v>
      </c>
      <c r="X30" s="274">
        <f>'Inputs by customer type'!X38</f>
        <v>0</v>
      </c>
      <c r="Y30" s="274">
        <f>'Inputs by customer type'!Y38</f>
        <v>0</v>
      </c>
    </row>
    <row r="31" spans="5:27" x14ac:dyDescent="0.25">
      <c r="E31" s="14"/>
      <c r="F31" s="36" t="s">
        <v>261</v>
      </c>
      <c r="G31" s="36" t="s">
        <v>170</v>
      </c>
      <c r="H31" s="93"/>
      <c r="I31" s="93"/>
      <c r="J31" s="275">
        <f>'Inputs by customer type'!J39</f>
        <v>0</v>
      </c>
      <c r="K31" s="275">
        <f>'Inputs by customer type'!K39</f>
        <v>0</v>
      </c>
      <c r="L31" s="275">
        <f>'Inputs by customer type'!L39</f>
        <v>0</v>
      </c>
      <c r="M31" s="275">
        <f>'Inputs by customer type'!M39</f>
        <v>0</v>
      </c>
      <c r="N31" s="275">
        <f>'Inputs by customer type'!N39</f>
        <v>275.2457</v>
      </c>
      <c r="O31" s="275">
        <f>'Inputs by customer type'!O39</f>
        <v>0</v>
      </c>
      <c r="P31" s="275">
        <f>'Inputs by customer type'!P39</f>
        <v>0</v>
      </c>
      <c r="Q31" s="275">
        <f>'Inputs by customer type'!Q39</f>
        <v>0</v>
      </c>
      <c r="R31" s="275">
        <f>'Inputs by customer type'!R39</f>
        <v>0</v>
      </c>
      <c r="S31" s="275">
        <f>'Inputs by customer type'!S39</f>
        <v>0</v>
      </c>
      <c r="T31" s="275">
        <f>'Inputs by customer type'!T39</f>
        <v>0</v>
      </c>
      <c r="U31" s="275">
        <f>'Inputs by customer type'!U39</f>
        <v>0</v>
      </c>
      <c r="V31" s="275">
        <f>'Inputs by customer type'!V39</f>
        <v>0</v>
      </c>
      <c r="W31" s="275">
        <f>'Inputs by customer type'!W39</f>
        <v>0</v>
      </c>
      <c r="X31" s="275">
        <f>'Inputs by customer type'!X39</f>
        <v>0</v>
      </c>
      <c r="Y31" s="275">
        <f>'Inputs by customer type'!Y39</f>
        <v>0</v>
      </c>
    </row>
    <row r="32" spans="5:27" s="379" customFormat="1" x14ac:dyDescent="0.25">
      <c r="E32" s="430"/>
      <c r="F32" s="381"/>
      <c r="G32" s="381"/>
      <c r="J32" s="431"/>
      <c r="K32" s="431"/>
      <c r="L32" s="431"/>
      <c r="M32" s="431"/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</row>
    <row r="33" spans="3:27" x14ac:dyDescent="0.25">
      <c r="E33" s="96" t="s">
        <v>1012</v>
      </c>
      <c r="F33" s="36"/>
      <c r="G33" s="36"/>
      <c r="H33" s="93"/>
      <c r="I33" s="295" t="s">
        <v>431</v>
      </c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AA33" s="295" t="s">
        <v>799</v>
      </c>
    </row>
    <row r="34" spans="3:27" x14ac:dyDescent="0.25">
      <c r="E34" s="14"/>
      <c r="F34" s="109" t="s">
        <v>256</v>
      </c>
      <c r="G34" s="109" t="s">
        <v>120</v>
      </c>
      <c r="I34" s="91"/>
      <c r="J34" s="273">
        <f>'Inputs by customer type'!J42</f>
        <v>9005.7413990104942</v>
      </c>
      <c r="K34" s="273">
        <f>'Inputs by customer type'!K42</f>
        <v>0</v>
      </c>
      <c r="L34" s="273">
        <f>'Inputs by customer type'!L42</f>
        <v>854.01034020084694</v>
      </c>
      <c r="M34" s="273">
        <f>'Inputs by customer type'!M42</f>
        <v>0</v>
      </c>
      <c r="N34" s="273">
        <f>'Inputs by customer type'!N42</f>
        <v>7542.4207166712504</v>
      </c>
      <c r="O34" s="273">
        <f>'Inputs by customer type'!O42</f>
        <v>1135.5501489325</v>
      </c>
      <c r="P34" s="273">
        <f>'Inputs by customer type'!P42</f>
        <v>2073.1723091137501</v>
      </c>
      <c r="Q34" s="273">
        <f>'Inputs by customer type'!Q42</f>
        <v>8.0564727585887912</v>
      </c>
      <c r="R34" s="273">
        <f>'Inputs by customer type'!R42</f>
        <v>0</v>
      </c>
      <c r="S34" s="273">
        <f>'Inputs by customer type'!S42</f>
        <v>0</v>
      </c>
      <c r="T34" s="273">
        <f>'Inputs by customer type'!T42</f>
        <v>60.292999999999999</v>
      </c>
      <c r="U34" s="273">
        <f>'Inputs by customer type'!U42</f>
        <v>0</v>
      </c>
      <c r="V34" s="273">
        <f>'Inputs by customer type'!V42</f>
        <v>0</v>
      </c>
      <c r="W34" s="273">
        <f>'Inputs by customer type'!W42</f>
        <v>0</v>
      </c>
      <c r="X34" s="273">
        <f>'Inputs by customer type'!X42</f>
        <v>0</v>
      </c>
      <c r="Y34" s="273">
        <f>'Inputs by customer type'!Y42</f>
        <v>0</v>
      </c>
    </row>
    <row r="35" spans="3:27" x14ac:dyDescent="0.25">
      <c r="E35" s="14"/>
      <c r="F35" s="109" t="s">
        <v>257</v>
      </c>
      <c r="G35" s="109" t="s">
        <v>120</v>
      </c>
      <c r="J35" s="274">
        <f>'Inputs by customer type'!J43</f>
        <v>31875.610402966777</v>
      </c>
      <c r="K35" s="274">
        <f>'Inputs by customer type'!K43</f>
        <v>0</v>
      </c>
      <c r="L35" s="274">
        <f>'Inputs by customer type'!L43</f>
        <v>4488.2954865451193</v>
      </c>
      <c r="M35" s="274">
        <f>'Inputs by customer type'!M43</f>
        <v>0</v>
      </c>
      <c r="N35" s="274">
        <f>'Inputs by customer type'!N43</f>
        <v>32517.586661996247</v>
      </c>
      <c r="O35" s="274">
        <f>'Inputs by customer type'!O43</f>
        <v>5159.4436601887501</v>
      </c>
      <c r="P35" s="274">
        <f>'Inputs by customer type'!P43</f>
        <v>9664.500104686249</v>
      </c>
      <c r="Q35" s="274">
        <f>'Inputs by customer type'!Q43</f>
        <v>97.501767602595052</v>
      </c>
      <c r="R35" s="274">
        <f>'Inputs by customer type'!R43</f>
        <v>0</v>
      </c>
      <c r="S35" s="274">
        <f>'Inputs by customer type'!S43</f>
        <v>0</v>
      </c>
      <c r="T35" s="274">
        <f>'Inputs by customer type'!T43</f>
        <v>0</v>
      </c>
      <c r="U35" s="274">
        <f>'Inputs by customer type'!U43</f>
        <v>0</v>
      </c>
      <c r="V35" s="274">
        <f>'Inputs by customer type'!V43</f>
        <v>0</v>
      </c>
      <c r="W35" s="274">
        <f>'Inputs by customer type'!W43</f>
        <v>0</v>
      </c>
      <c r="X35" s="274">
        <f>'Inputs by customer type'!X43</f>
        <v>0</v>
      </c>
      <c r="Y35" s="274">
        <f>'Inputs by customer type'!Y43</f>
        <v>0</v>
      </c>
    </row>
    <row r="36" spans="3:27" x14ac:dyDescent="0.25">
      <c r="E36" s="14"/>
      <c r="F36" s="109" t="s">
        <v>258</v>
      </c>
      <c r="G36" s="109" t="s">
        <v>120</v>
      </c>
      <c r="J36" s="274">
        <f>'Inputs by customer type'!J44</f>
        <v>30015.529807040235</v>
      </c>
      <c r="K36" s="274">
        <f>'Inputs by customer type'!K44</f>
        <v>0</v>
      </c>
      <c r="L36" s="274">
        <f>'Inputs by customer type'!L44</f>
        <v>4346.9698734777849</v>
      </c>
      <c r="M36" s="274">
        <f>'Inputs by customer type'!M44</f>
        <v>0</v>
      </c>
      <c r="N36" s="274">
        <f>'Inputs by customer type'!N44</f>
        <v>28865.285111946254</v>
      </c>
      <c r="O36" s="274">
        <f>'Inputs by customer type'!O44</f>
        <v>4790.5713691774999</v>
      </c>
      <c r="P36" s="274">
        <f>'Inputs by customer type'!P44</f>
        <v>9024.7703629625012</v>
      </c>
      <c r="Q36" s="274">
        <f>'Inputs by customer type'!Q44</f>
        <v>110.98097121631618</v>
      </c>
      <c r="R36" s="274">
        <f>'Inputs by customer type'!R44</f>
        <v>0</v>
      </c>
      <c r="S36" s="274">
        <f>'Inputs by customer type'!S44</f>
        <v>0</v>
      </c>
      <c r="T36" s="274">
        <f>'Inputs by customer type'!T44</f>
        <v>0</v>
      </c>
      <c r="U36" s="274">
        <f>'Inputs by customer type'!U44</f>
        <v>0</v>
      </c>
      <c r="V36" s="274">
        <f>'Inputs by customer type'!V44</f>
        <v>0</v>
      </c>
      <c r="W36" s="274">
        <f>'Inputs by customer type'!W44</f>
        <v>0</v>
      </c>
      <c r="X36" s="274">
        <f>'Inputs by customer type'!X44</f>
        <v>0</v>
      </c>
      <c r="Y36" s="274">
        <f>'Inputs by customer type'!Y44</f>
        <v>0</v>
      </c>
    </row>
    <row r="37" spans="3:27" x14ac:dyDescent="0.25">
      <c r="E37" s="14"/>
      <c r="F37" s="109" t="s">
        <v>74</v>
      </c>
      <c r="G37" s="109" t="s">
        <v>74</v>
      </c>
      <c r="J37" s="274">
        <f>'Inputs by customer type'!J45</f>
        <v>26068</v>
      </c>
      <c r="K37" s="274">
        <f>'Inputs by customer type'!K45</f>
        <v>0</v>
      </c>
      <c r="L37" s="274">
        <f>'Inputs by customer type'!L45</f>
        <v>609</v>
      </c>
      <c r="M37" s="274">
        <f>'Inputs by customer type'!M45</f>
        <v>0</v>
      </c>
      <c r="N37" s="274">
        <f>'Inputs by customer type'!N45</f>
        <v>214</v>
      </c>
      <c r="O37" s="274">
        <f>'Inputs by customer type'!O45</f>
        <v>20</v>
      </c>
      <c r="P37" s="274">
        <f>'Inputs by customer type'!P45</f>
        <v>18</v>
      </c>
      <c r="Q37" s="274">
        <f>'Inputs by customer type'!Q45</f>
        <v>50</v>
      </c>
      <c r="R37" s="274">
        <f>'Inputs by customer type'!R45</f>
        <v>0</v>
      </c>
      <c r="S37" s="274">
        <f>'Inputs by customer type'!S45</f>
        <v>0</v>
      </c>
      <c r="T37" s="274">
        <f>'Inputs by customer type'!T45</f>
        <v>0</v>
      </c>
      <c r="U37" s="274">
        <f>'Inputs by customer type'!U45</f>
        <v>0</v>
      </c>
      <c r="V37" s="274">
        <f>'Inputs by customer type'!V45</f>
        <v>0</v>
      </c>
      <c r="W37" s="274">
        <f>'Inputs by customer type'!W45</f>
        <v>0</v>
      </c>
      <c r="X37" s="274">
        <f>'Inputs by customer type'!X45</f>
        <v>0</v>
      </c>
      <c r="Y37" s="274">
        <f>'Inputs by customer type'!Y45</f>
        <v>0</v>
      </c>
    </row>
    <row r="38" spans="3:27" x14ac:dyDescent="0.25">
      <c r="E38" s="14"/>
      <c r="F38" s="109" t="s">
        <v>259</v>
      </c>
      <c r="G38" s="109" t="s">
        <v>169</v>
      </c>
      <c r="J38" s="274">
        <f>'Inputs by customer type'!J46</f>
        <v>0</v>
      </c>
      <c r="K38" s="274">
        <f>'Inputs by customer type'!K46</f>
        <v>0</v>
      </c>
      <c r="L38" s="274">
        <f>'Inputs by customer type'!L46</f>
        <v>0</v>
      </c>
      <c r="M38" s="274">
        <f>'Inputs by customer type'!M46</f>
        <v>0</v>
      </c>
      <c r="N38" s="274">
        <f>'Inputs by customer type'!N46</f>
        <v>51277.083333333336</v>
      </c>
      <c r="O38" s="274">
        <f>'Inputs by customer type'!O46</f>
        <v>10933.333333333334</v>
      </c>
      <c r="P38" s="274">
        <f>'Inputs by customer type'!P46</f>
        <v>12853</v>
      </c>
      <c r="Q38" s="274">
        <f>'Inputs by customer type'!Q46</f>
        <v>0</v>
      </c>
      <c r="R38" s="274">
        <f>'Inputs by customer type'!R46</f>
        <v>0</v>
      </c>
      <c r="S38" s="274">
        <f>'Inputs by customer type'!S46</f>
        <v>0</v>
      </c>
      <c r="T38" s="274">
        <f>'Inputs by customer type'!T46</f>
        <v>0</v>
      </c>
      <c r="U38" s="274">
        <f>'Inputs by customer type'!U46</f>
        <v>0</v>
      </c>
      <c r="V38" s="274">
        <f>'Inputs by customer type'!V46</f>
        <v>0</v>
      </c>
      <c r="W38" s="274">
        <f>'Inputs by customer type'!W46</f>
        <v>0</v>
      </c>
      <c r="X38" s="274">
        <f>'Inputs by customer type'!X46</f>
        <v>0</v>
      </c>
      <c r="Y38" s="274">
        <f>'Inputs by customer type'!Y46</f>
        <v>0</v>
      </c>
    </row>
    <row r="39" spans="3:27" x14ac:dyDescent="0.25">
      <c r="E39" s="14"/>
      <c r="F39" s="109" t="s">
        <v>260</v>
      </c>
      <c r="G39" s="109" t="s">
        <v>169</v>
      </c>
      <c r="J39" s="274">
        <f>'Inputs by customer type'!J47</f>
        <v>0</v>
      </c>
      <c r="K39" s="274">
        <f>'Inputs by customer type'!K47</f>
        <v>0</v>
      </c>
      <c r="L39" s="274">
        <f>'Inputs by customer type'!L47</f>
        <v>0</v>
      </c>
      <c r="M39" s="274">
        <f>'Inputs by customer type'!M47</f>
        <v>0</v>
      </c>
      <c r="N39" s="274">
        <f>'Inputs by customer type'!N47</f>
        <v>14</v>
      </c>
      <c r="O39" s="274">
        <f>'Inputs by customer type'!O47</f>
        <v>0</v>
      </c>
      <c r="P39" s="274">
        <f>'Inputs by customer type'!P47</f>
        <v>0</v>
      </c>
      <c r="Q39" s="274">
        <f>'Inputs by customer type'!Q47</f>
        <v>0</v>
      </c>
      <c r="R39" s="274">
        <f>'Inputs by customer type'!R47</f>
        <v>0</v>
      </c>
      <c r="S39" s="274">
        <f>'Inputs by customer type'!S47</f>
        <v>0</v>
      </c>
      <c r="T39" s="274">
        <f>'Inputs by customer type'!T47</f>
        <v>0</v>
      </c>
      <c r="U39" s="274">
        <f>'Inputs by customer type'!U47</f>
        <v>0</v>
      </c>
      <c r="V39" s="274">
        <f>'Inputs by customer type'!V47</f>
        <v>0</v>
      </c>
      <c r="W39" s="274">
        <f>'Inputs by customer type'!W47</f>
        <v>0</v>
      </c>
      <c r="X39" s="274">
        <f>'Inputs by customer type'!X47</f>
        <v>0</v>
      </c>
      <c r="Y39" s="274">
        <f>'Inputs by customer type'!Y47</f>
        <v>0</v>
      </c>
    </row>
    <row r="40" spans="3:27" x14ac:dyDescent="0.25">
      <c r="E40" s="14"/>
      <c r="F40" s="36" t="s">
        <v>261</v>
      </c>
      <c r="G40" s="36" t="s">
        <v>170</v>
      </c>
      <c r="H40" s="93"/>
      <c r="I40" s="93"/>
      <c r="J40" s="275">
        <f>'Inputs by customer type'!J48</f>
        <v>0</v>
      </c>
      <c r="K40" s="275">
        <f>'Inputs by customer type'!K48</f>
        <v>0</v>
      </c>
      <c r="L40" s="275">
        <f>'Inputs by customer type'!L48</f>
        <v>0</v>
      </c>
      <c r="M40" s="275">
        <f>'Inputs by customer type'!M48</f>
        <v>0</v>
      </c>
      <c r="N40" s="275">
        <f>'Inputs by customer type'!N48</f>
        <v>3989.2191999999991</v>
      </c>
      <c r="O40" s="275">
        <f>'Inputs by customer type'!O48</f>
        <v>3463.8448000000003</v>
      </c>
      <c r="P40" s="275">
        <f>'Inputs by customer type'!P48</f>
        <v>316.33280000000002</v>
      </c>
      <c r="Q40" s="275">
        <f>'Inputs by customer type'!Q48</f>
        <v>0</v>
      </c>
      <c r="R40" s="275">
        <f>'Inputs by customer type'!R48</f>
        <v>0</v>
      </c>
      <c r="S40" s="275">
        <f>'Inputs by customer type'!S48</f>
        <v>0</v>
      </c>
      <c r="T40" s="275">
        <f>'Inputs by customer type'!T48</f>
        <v>65.780299999999997</v>
      </c>
      <c r="U40" s="275">
        <f>'Inputs by customer type'!U48</f>
        <v>0</v>
      </c>
      <c r="V40" s="275">
        <f>'Inputs by customer type'!V48</f>
        <v>0</v>
      </c>
      <c r="W40" s="275">
        <f>'Inputs by customer type'!W48</f>
        <v>0</v>
      </c>
      <c r="X40" s="275">
        <f>'Inputs by customer type'!X48</f>
        <v>0</v>
      </c>
      <c r="Y40" s="275">
        <f>'Inputs by customer type'!Y48</f>
        <v>0</v>
      </c>
    </row>
    <row r="41" spans="3:27" x14ac:dyDescent="0.25">
      <c r="E41" s="14"/>
      <c r="G41" s="108"/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  <c r="U41" s="253"/>
      <c r="V41" s="253"/>
      <c r="W41" s="253"/>
      <c r="X41" s="253"/>
      <c r="Y41" s="253"/>
    </row>
    <row r="42" spans="3:27" x14ac:dyDescent="0.25">
      <c r="C42" s="7" t="str">
        <f ca="1">INDEX('Version control'!$H$34:$H$58,MATCH($A$1,'Version control'!$F$34:$F$58,0),1)&amp;"-B: Tariff forecast"</f>
        <v>Input 505-B: Tariff forecast</v>
      </c>
      <c r="D42" s="7"/>
      <c r="E42" s="7"/>
      <c r="F42" s="7"/>
      <c r="G42" s="7"/>
      <c r="H42" s="7"/>
      <c r="I42" s="7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7"/>
      <c r="AA42" s="7"/>
    </row>
    <row r="43" spans="3:27" x14ac:dyDescent="0.25">
      <c r="D43" s="96"/>
      <c r="E43" s="14"/>
      <c r="G43" s="108"/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  <c r="U43" s="253"/>
      <c r="V43" s="253"/>
      <c r="W43" s="253"/>
      <c r="X43" s="253"/>
      <c r="Y43" s="253"/>
    </row>
    <row r="44" spans="3:27" x14ac:dyDescent="0.25">
      <c r="E44" s="96" t="s">
        <v>886</v>
      </c>
      <c r="G44" s="108"/>
      <c r="I44" s="295" t="s">
        <v>431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  <c r="U44" s="253"/>
      <c r="V44" s="253"/>
      <c r="W44" s="253"/>
      <c r="X44" s="253"/>
      <c r="Y44" s="253"/>
      <c r="AA44" s="295" t="s">
        <v>807</v>
      </c>
    </row>
    <row r="45" spans="3:27" x14ac:dyDescent="0.25">
      <c r="F45" s="91" t="s">
        <v>134</v>
      </c>
      <c r="G45" s="129" t="s">
        <v>183</v>
      </c>
      <c r="H45" s="360"/>
      <c r="I45" s="349"/>
      <c r="J45" s="360">
        <f>Rounding!J130</f>
        <v>11.481</v>
      </c>
      <c r="K45" s="360">
        <f>Rounding!K130</f>
        <v>11.481</v>
      </c>
      <c r="L45" s="360">
        <f>Rounding!L130</f>
        <v>13.929</v>
      </c>
      <c r="M45" s="360">
        <f>Rounding!M130</f>
        <v>13.929</v>
      </c>
      <c r="N45" s="360">
        <f>Rounding!N130</f>
        <v>10.541</v>
      </c>
      <c r="O45" s="360">
        <f>Rounding!O130</f>
        <v>8.2289999999999992</v>
      </c>
      <c r="P45" s="360">
        <f>Rounding!P130</f>
        <v>6.53</v>
      </c>
      <c r="Q45" s="360">
        <f>Rounding!Q130</f>
        <v>19.542999999999999</v>
      </c>
      <c r="R45" s="360">
        <f>Rounding!R130</f>
        <v>-7.6669999999999998</v>
      </c>
      <c r="S45" s="360">
        <f>Rounding!S130</f>
        <v>-6.8869999999999996</v>
      </c>
      <c r="T45" s="360">
        <f>Rounding!T130</f>
        <v>-7.6669999999999998</v>
      </c>
      <c r="U45" s="360">
        <f>Rounding!U130</f>
        <v>-7.6669999999999998</v>
      </c>
      <c r="V45" s="360">
        <f>Rounding!V130</f>
        <v>-6.8869999999999996</v>
      </c>
      <c r="W45" s="360">
        <f>Rounding!W130</f>
        <v>-6.8869999999999996</v>
      </c>
      <c r="X45" s="360">
        <f>Rounding!X130</f>
        <v>-4.8609999999999998</v>
      </c>
      <c r="Y45" s="360">
        <f>Rounding!Y130</f>
        <v>-4.8609999999999998</v>
      </c>
      <c r="Z45" s="351"/>
      <c r="AA45" s="351"/>
    </row>
    <row r="46" spans="3:27" x14ac:dyDescent="0.25">
      <c r="E46" s="14"/>
      <c r="F46" s="295" t="s">
        <v>135</v>
      </c>
      <c r="G46" s="108" t="s">
        <v>183</v>
      </c>
      <c r="H46" s="420"/>
      <c r="I46" s="351"/>
      <c r="J46" s="420">
        <f>Rounding!J131</f>
        <v>2.9620000000000002</v>
      </c>
      <c r="K46" s="420">
        <f>Rounding!K131</f>
        <v>2.9620000000000002</v>
      </c>
      <c r="L46" s="420">
        <f>Rounding!L131</f>
        <v>3.3490000000000002</v>
      </c>
      <c r="M46" s="420">
        <f>Rounding!M131</f>
        <v>3.3490000000000002</v>
      </c>
      <c r="N46" s="420">
        <f>Rounding!N131</f>
        <v>2.74</v>
      </c>
      <c r="O46" s="420">
        <f>Rounding!O131</f>
        <v>2.2629999999999999</v>
      </c>
      <c r="P46" s="420">
        <f>Rounding!P131</f>
        <v>1.9930000000000001</v>
      </c>
      <c r="Q46" s="420">
        <f>Rounding!Q131</f>
        <v>3.5920000000000001</v>
      </c>
      <c r="R46" s="420">
        <f>Rounding!R131</f>
        <v>-1.2110000000000001</v>
      </c>
      <c r="S46" s="420">
        <f>Rounding!S131</f>
        <v>-1.0580000000000001</v>
      </c>
      <c r="T46" s="420">
        <f>Rounding!T131</f>
        <v>-1.2110000000000001</v>
      </c>
      <c r="U46" s="420">
        <f>Rounding!U131</f>
        <v>-1.2110000000000001</v>
      </c>
      <c r="V46" s="420">
        <f>Rounding!V131</f>
        <v>-1.0580000000000001</v>
      </c>
      <c r="W46" s="420">
        <f>Rounding!W131</f>
        <v>-1.0580000000000001</v>
      </c>
      <c r="X46" s="420">
        <f>Rounding!X131</f>
        <v>-0.625</v>
      </c>
      <c r="Y46" s="420">
        <f>Rounding!Y131</f>
        <v>-0.625</v>
      </c>
      <c r="Z46" s="351"/>
      <c r="AA46" s="351"/>
    </row>
    <row r="47" spans="3:27" x14ac:dyDescent="0.25">
      <c r="E47" s="14"/>
      <c r="F47" s="295" t="s">
        <v>136</v>
      </c>
      <c r="G47" s="108" t="s">
        <v>183</v>
      </c>
      <c r="H47" s="420"/>
      <c r="I47" s="351"/>
      <c r="J47" s="420">
        <f>Rounding!J132</f>
        <v>1.5629999999999999</v>
      </c>
      <c r="K47" s="420">
        <f>Rounding!K132</f>
        <v>1.5629999999999999</v>
      </c>
      <c r="L47" s="420">
        <f>Rounding!L132</f>
        <v>1.6120000000000001</v>
      </c>
      <c r="M47" s="420">
        <f>Rounding!M132</f>
        <v>1.6120000000000001</v>
      </c>
      <c r="N47" s="420">
        <f>Rounding!N132</f>
        <v>1.5489999999999999</v>
      </c>
      <c r="O47" s="420">
        <f>Rounding!O132</f>
        <v>1.5089999999999999</v>
      </c>
      <c r="P47" s="420">
        <f>Rounding!P132</f>
        <v>1.468</v>
      </c>
      <c r="Q47" s="420">
        <f>Rounding!Q132</f>
        <v>1.851</v>
      </c>
      <c r="R47" s="420">
        <f>Rounding!R132</f>
        <v>-0.151</v>
      </c>
      <c r="S47" s="420">
        <f>Rounding!S132</f>
        <v>-0.13700000000000001</v>
      </c>
      <c r="T47" s="420">
        <f>Rounding!T132</f>
        <v>-0.151</v>
      </c>
      <c r="U47" s="420">
        <f>Rounding!U132</f>
        <v>-0.151</v>
      </c>
      <c r="V47" s="420">
        <f>Rounding!V132</f>
        <v>-0.13700000000000001</v>
      </c>
      <c r="W47" s="420">
        <f>Rounding!W132</f>
        <v>-0.13700000000000001</v>
      </c>
      <c r="X47" s="420">
        <f>Rounding!X132</f>
        <v>-9.9000000000000005E-2</v>
      </c>
      <c r="Y47" s="420">
        <f>Rounding!Y132</f>
        <v>-9.9000000000000005E-2</v>
      </c>
      <c r="Z47" s="351"/>
      <c r="AA47" s="351"/>
    </row>
    <row r="48" spans="3:27" x14ac:dyDescent="0.25">
      <c r="E48" s="14"/>
      <c r="F48" s="295" t="s">
        <v>311</v>
      </c>
      <c r="G48" s="108" t="s">
        <v>309</v>
      </c>
      <c r="H48" s="384"/>
      <c r="J48" s="274">
        <f>Rounding!J133</f>
        <v>3.49</v>
      </c>
      <c r="K48" s="274">
        <f>Rounding!K133</f>
        <v>0</v>
      </c>
      <c r="L48" s="274">
        <f>Rounding!L133</f>
        <v>4.4000000000000004</v>
      </c>
      <c r="M48" s="274">
        <f>Rounding!M133</f>
        <v>0</v>
      </c>
      <c r="N48" s="274">
        <f>Rounding!N133</f>
        <v>16.89</v>
      </c>
      <c r="O48" s="274">
        <f>Rounding!O133</f>
        <v>6.13</v>
      </c>
      <c r="P48" s="274">
        <f>Rounding!P133</f>
        <v>89.17</v>
      </c>
      <c r="Q48" s="274">
        <f>Rounding!Q133</f>
        <v>0</v>
      </c>
      <c r="R48" s="274">
        <f>Rounding!R133</f>
        <v>0</v>
      </c>
      <c r="S48" s="274">
        <f>Rounding!S133</f>
        <v>0</v>
      </c>
      <c r="T48" s="274">
        <f>Rounding!T133</f>
        <v>0</v>
      </c>
      <c r="U48" s="274">
        <f>Rounding!U133</f>
        <v>0</v>
      </c>
      <c r="V48" s="274">
        <f>Rounding!V133</f>
        <v>0</v>
      </c>
      <c r="W48" s="274">
        <f>Rounding!W133</f>
        <v>0</v>
      </c>
      <c r="X48" s="274">
        <f>Rounding!X133</f>
        <v>64.930000000000007</v>
      </c>
      <c r="Y48" s="274">
        <f>Rounding!Y133</f>
        <v>64.930000000000007</v>
      </c>
    </row>
    <row r="49" spans="3:27" x14ac:dyDescent="0.25">
      <c r="E49" s="14"/>
      <c r="F49" s="295" t="s">
        <v>312</v>
      </c>
      <c r="G49" s="108" t="s">
        <v>308</v>
      </c>
      <c r="H49" s="384"/>
      <c r="J49" s="274">
        <f>Rounding!J134</f>
        <v>0</v>
      </c>
      <c r="K49" s="274">
        <f>Rounding!K134</f>
        <v>0</v>
      </c>
      <c r="L49" s="274">
        <f>Rounding!L134</f>
        <v>0</v>
      </c>
      <c r="M49" s="274">
        <f>Rounding!M134</f>
        <v>0</v>
      </c>
      <c r="N49" s="274">
        <f>Rounding!N134</f>
        <v>2.48</v>
      </c>
      <c r="O49" s="274">
        <f>Rounding!O134</f>
        <v>5.0199999999999996</v>
      </c>
      <c r="P49" s="274">
        <f>Rounding!P134</f>
        <v>3.92</v>
      </c>
      <c r="Q49" s="274">
        <f>Rounding!Q134</f>
        <v>0</v>
      </c>
      <c r="R49" s="274">
        <f>Rounding!R134</f>
        <v>0</v>
      </c>
      <c r="S49" s="274">
        <f>Rounding!S134</f>
        <v>0</v>
      </c>
      <c r="T49" s="274">
        <f>Rounding!T134</f>
        <v>0</v>
      </c>
      <c r="U49" s="274">
        <f>Rounding!U134</f>
        <v>0</v>
      </c>
      <c r="V49" s="274">
        <f>Rounding!V134</f>
        <v>0</v>
      </c>
      <c r="W49" s="274">
        <f>Rounding!W134</f>
        <v>0</v>
      </c>
      <c r="X49" s="274">
        <f>Rounding!X134</f>
        <v>0</v>
      </c>
      <c r="Y49" s="274">
        <f>Rounding!Y134</f>
        <v>0</v>
      </c>
    </row>
    <row r="50" spans="3:27" x14ac:dyDescent="0.25">
      <c r="E50" s="14"/>
      <c r="F50" s="295" t="s">
        <v>313</v>
      </c>
      <c r="G50" s="108" t="s">
        <v>308</v>
      </c>
      <c r="H50" s="384"/>
      <c r="J50" s="274">
        <f>Rounding!J135</f>
        <v>0</v>
      </c>
      <c r="K50" s="274">
        <f>Rounding!K135</f>
        <v>0</v>
      </c>
      <c r="L50" s="274">
        <f>Rounding!L135</f>
        <v>0</v>
      </c>
      <c r="M50" s="274">
        <f>Rounding!M135</f>
        <v>0</v>
      </c>
      <c r="N50" s="274">
        <f>Rounding!N135</f>
        <v>4.5199999999999996</v>
      </c>
      <c r="O50" s="274">
        <f>Rounding!O135</f>
        <v>7.01</v>
      </c>
      <c r="P50" s="274">
        <f>Rounding!P135</f>
        <v>6.53</v>
      </c>
      <c r="Q50" s="274">
        <f>Rounding!Q135</f>
        <v>0</v>
      </c>
      <c r="R50" s="274">
        <f>Rounding!R135</f>
        <v>0</v>
      </c>
      <c r="S50" s="274">
        <f>Rounding!S135</f>
        <v>0</v>
      </c>
      <c r="T50" s="274">
        <f>Rounding!T135</f>
        <v>0</v>
      </c>
      <c r="U50" s="274">
        <f>Rounding!U135</f>
        <v>0</v>
      </c>
      <c r="V50" s="274">
        <f>Rounding!V135</f>
        <v>0</v>
      </c>
      <c r="W50" s="274">
        <f>Rounding!W135</f>
        <v>0</v>
      </c>
      <c r="X50" s="274">
        <f>Rounding!X135</f>
        <v>0</v>
      </c>
      <c r="Y50" s="274">
        <f>Rounding!Y135</f>
        <v>0</v>
      </c>
    </row>
    <row r="51" spans="3:27" x14ac:dyDescent="0.25">
      <c r="E51" s="14"/>
      <c r="F51" s="93" t="s">
        <v>314</v>
      </c>
      <c r="G51" s="131" t="s">
        <v>315</v>
      </c>
      <c r="H51" s="363"/>
      <c r="I51" s="353"/>
      <c r="J51" s="363">
        <f>Rounding!J136</f>
        <v>0</v>
      </c>
      <c r="K51" s="363">
        <f>Rounding!K136</f>
        <v>0</v>
      </c>
      <c r="L51" s="363">
        <f>Rounding!L136</f>
        <v>0</v>
      </c>
      <c r="M51" s="363">
        <f>Rounding!M136</f>
        <v>0</v>
      </c>
      <c r="N51" s="363">
        <f>Rounding!N136</f>
        <v>0.40400000000000003</v>
      </c>
      <c r="O51" s="363">
        <f>Rounding!O136</f>
        <v>0.24399999999999999</v>
      </c>
      <c r="P51" s="363">
        <f>Rounding!P136</f>
        <v>0.17299999999999999</v>
      </c>
      <c r="Q51" s="363">
        <f>Rounding!Q136</f>
        <v>0</v>
      </c>
      <c r="R51" s="363">
        <f>Rounding!R136</f>
        <v>0</v>
      </c>
      <c r="S51" s="363">
        <f>Rounding!S136</f>
        <v>0</v>
      </c>
      <c r="T51" s="363">
        <f>Rounding!T136</f>
        <v>0.33100000000000002</v>
      </c>
      <c r="U51" s="363">
        <f>Rounding!U136</f>
        <v>0</v>
      </c>
      <c r="V51" s="363">
        <f>Rounding!V136</f>
        <v>0.30499999999999999</v>
      </c>
      <c r="W51" s="363">
        <f>Rounding!W136</f>
        <v>0</v>
      </c>
      <c r="X51" s="363">
        <f>Rounding!X136</f>
        <v>0.23200000000000001</v>
      </c>
      <c r="Y51" s="363">
        <f>Rounding!Y136</f>
        <v>0</v>
      </c>
      <c r="Z51" s="351"/>
      <c r="AA51" s="351"/>
    </row>
    <row r="52" spans="3:27" x14ac:dyDescent="0.25">
      <c r="E52" s="14"/>
      <c r="G52" s="108"/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  <c r="U52" s="253"/>
      <c r="V52" s="253"/>
      <c r="W52" s="253"/>
      <c r="X52" s="253"/>
      <c r="Y52" s="253"/>
    </row>
    <row r="53" spans="3:27" x14ac:dyDescent="0.25">
      <c r="E53" s="96" t="s">
        <v>887</v>
      </c>
      <c r="G53" s="108"/>
      <c r="I53" s="295" t="s">
        <v>431</v>
      </c>
      <c r="J53" s="272"/>
      <c r="K53" s="272"/>
      <c r="L53" s="272"/>
      <c r="M53" s="272"/>
      <c r="N53" s="272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AA53" s="295" t="s">
        <v>807</v>
      </c>
    </row>
    <row r="54" spans="3:27" x14ac:dyDescent="0.25">
      <c r="F54" s="91" t="s">
        <v>134</v>
      </c>
      <c r="G54" s="129" t="s">
        <v>183</v>
      </c>
      <c r="H54" s="360"/>
      <c r="I54" s="349"/>
      <c r="J54" s="360">
        <f>Rounding!J139</f>
        <v>7.1180000000000003</v>
      </c>
      <c r="K54" s="360">
        <f>Rounding!K139</f>
        <v>7.1180000000000003</v>
      </c>
      <c r="L54" s="360">
        <f>Rounding!L139</f>
        <v>8.6359999999999992</v>
      </c>
      <c r="M54" s="360">
        <f>Rounding!M139</f>
        <v>8.6359999999999992</v>
      </c>
      <c r="N54" s="360">
        <f>Rounding!N139</f>
        <v>6.5350000000000001</v>
      </c>
      <c r="O54" s="360">
        <f>Rounding!O139</f>
        <v>0</v>
      </c>
      <c r="P54" s="360">
        <f>Rounding!P139</f>
        <v>0</v>
      </c>
      <c r="Q54" s="360">
        <f>Rounding!Q139</f>
        <v>12.116</v>
      </c>
      <c r="R54" s="360">
        <f>Rounding!R139</f>
        <v>-7.6669999999999998</v>
      </c>
      <c r="S54" s="360">
        <f>Rounding!S139</f>
        <v>0</v>
      </c>
      <c r="T54" s="360">
        <f>Rounding!T139</f>
        <v>-7.6669999999999998</v>
      </c>
      <c r="U54" s="360">
        <f>Rounding!U139</f>
        <v>0</v>
      </c>
      <c r="V54" s="360">
        <f>Rounding!V139</f>
        <v>0</v>
      </c>
      <c r="W54" s="360">
        <f>Rounding!W139</f>
        <v>0</v>
      </c>
      <c r="X54" s="360">
        <f>Rounding!X139</f>
        <v>0</v>
      </c>
      <c r="Y54" s="360">
        <f>Rounding!Y139</f>
        <v>0</v>
      </c>
      <c r="Z54" s="351"/>
      <c r="AA54" s="351"/>
    </row>
    <row r="55" spans="3:27" x14ac:dyDescent="0.25">
      <c r="E55" s="14"/>
      <c r="F55" s="295" t="s">
        <v>135</v>
      </c>
      <c r="G55" s="108" t="s">
        <v>183</v>
      </c>
      <c r="H55" s="420"/>
      <c r="I55" s="351"/>
      <c r="J55" s="420">
        <f>Rounding!J140</f>
        <v>1.8360000000000001</v>
      </c>
      <c r="K55" s="420">
        <f>Rounding!K140</f>
        <v>1.8360000000000001</v>
      </c>
      <c r="L55" s="420">
        <f>Rounding!L140</f>
        <v>2.0760000000000001</v>
      </c>
      <c r="M55" s="420">
        <f>Rounding!M140</f>
        <v>2.0760000000000001</v>
      </c>
      <c r="N55" s="420">
        <f>Rounding!N140</f>
        <v>1.6990000000000001</v>
      </c>
      <c r="O55" s="420">
        <f>Rounding!O140</f>
        <v>0</v>
      </c>
      <c r="P55" s="420">
        <f>Rounding!P140</f>
        <v>0</v>
      </c>
      <c r="Q55" s="420">
        <f>Rounding!Q140</f>
        <v>2.2269999999999999</v>
      </c>
      <c r="R55" s="420">
        <f>Rounding!R140</f>
        <v>-1.2110000000000001</v>
      </c>
      <c r="S55" s="420">
        <f>Rounding!S140</f>
        <v>0</v>
      </c>
      <c r="T55" s="420">
        <f>Rounding!T140</f>
        <v>-1.2110000000000001</v>
      </c>
      <c r="U55" s="420">
        <f>Rounding!U140</f>
        <v>0</v>
      </c>
      <c r="V55" s="420">
        <f>Rounding!V140</f>
        <v>0</v>
      </c>
      <c r="W55" s="420">
        <f>Rounding!W140</f>
        <v>0</v>
      </c>
      <c r="X55" s="420">
        <f>Rounding!X140</f>
        <v>0</v>
      </c>
      <c r="Y55" s="420">
        <f>Rounding!Y140</f>
        <v>0</v>
      </c>
      <c r="Z55" s="351"/>
      <c r="AA55" s="351"/>
    </row>
    <row r="56" spans="3:27" x14ac:dyDescent="0.25">
      <c r="E56" s="14"/>
      <c r="F56" s="295" t="s">
        <v>136</v>
      </c>
      <c r="G56" s="108" t="s">
        <v>183</v>
      </c>
      <c r="H56" s="420"/>
      <c r="I56" s="351"/>
      <c r="J56" s="420">
        <f>Rounding!J141</f>
        <v>0.96899999999999997</v>
      </c>
      <c r="K56" s="420">
        <f>Rounding!K141</f>
        <v>0.96899999999999997</v>
      </c>
      <c r="L56" s="420">
        <f>Rounding!L141</f>
        <v>0.999</v>
      </c>
      <c r="M56" s="420">
        <f>Rounding!M141</f>
        <v>0.999</v>
      </c>
      <c r="N56" s="420">
        <f>Rounding!N141</f>
        <v>0.96</v>
      </c>
      <c r="O56" s="420">
        <f>Rounding!O141</f>
        <v>0</v>
      </c>
      <c r="P56" s="420">
        <f>Rounding!P141</f>
        <v>0</v>
      </c>
      <c r="Q56" s="420">
        <f>Rounding!Q141</f>
        <v>1.1479999999999999</v>
      </c>
      <c r="R56" s="420">
        <f>Rounding!R141</f>
        <v>-0.151</v>
      </c>
      <c r="S56" s="420">
        <f>Rounding!S141</f>
        <v>0</v>
      </c>
      <c r="T56" s="420">
        <f>Rounding!T141</f>
        <v>-0.151</v>
      </c>
      <c r="U56" s="420">
        <f>Rounding!U141</f>
        <v>0</v>
      </c>
      <c r="V56" s="420">
        <f>Rounding!V141</f>
        <v>0</v>
      </c>
      <c r="W56" s="420">
        <f>Rounding!W141</f>
        <v>0</v>
      </c>
      <c r="X56" s="420">
        <f>Rounding!X141</f>
        <v>0</v>
      </c>
      <c r="Y56" s="420">
        <f>Rounding!Y141</f>
        <v>0</v>
      </c>
      <c r="Z56" s="351"/>
      <c r="AA56" s="351"/>
    </row>
    <row r="57" spans="3:27" x14ac:dyDescent="0.25">
      <c r="E57" s="14"/>
      <c r="F57" s="295" t="s">
        <v>311</v>
      </c>
      <c r="G57" s="108" t="s">
        <v>309</v>
      </c>
      <c r="H57" s="384"/>
      <c r="J57" s="274">
        <f>Rounding!J142</f>
        <v>2.2599999999999998</v>
      </c>
      <c r="K57" s="274">
        <f>Rounding!K142</f>
        <v>0</v>
      </c>
      <c r="L57" s="274">
        <f>Rounding!L142</f>
        <v>2.82</v>
      </c>
      <c r="M57" s="274">
        <f>Rounding!M142</f>
        <v>0</v>
      </c>
      <c r="N57" s="274">
        <f>Rounding!N142</f>
        <v>10.57</v>
      </c>
      <c r="O57" s="274">
        <f>Rounding!O142</f>
        <v>0</v>
      </c>
      <c r="P57" s="274">
        <f>Rounding!P142</f>
        <v>0</v>
      </c>
      <c r="Q57" s="274">
        <f>Rounding!Q142</f>
        <v>0</v>
      </c>
      <c r="R57" s="274">
        <f>Rounding!R142</f>
        <v>0</v>
      </c>
      <c r="S57" s="274">
        <f>Rounding!S142</f>
        <v>0</v>
      </c>
      <c r="T57" s="274">
        <f>Rounding!T142</f>
        <v>0</v>
      </c>
      <c r="U57" s="274">
        <f>Rounding!U142</f>
        <v>0</v>
      </c>
      <c r="V57" s="274">
        <f>Rounding!V142</f>
        <v>0</v>
      </c>
      <c r="W57" s="274">
        <f>Rounding!W142</f>
        <v>0</v>
      </c>
      <c r="X57" s="274">
        <f>Rounding!X142</f>
        <v>0</v>
      </c>
      <c r="Y57" s="274">
        <f>Rounding!Y142</f>
        <v>0</v>
      </c>
    </row>
    <row r="58" spans="3:27" x14ac:dyDescent="0.25">
      <c r="E58" s="14"/>
      <c r="F58" s="295" t="s">
        <v>312</v>
      </c>
      <c r="G58" s="108" t="s">
        <v>308</v>
      </c>
      <c r="H58" s="384"/>
      <c r="J58" s="274">
        <f>Rounding!J143</f>
        <v>0</v>
      </c>
      <c r="K58" s="274">
        <f>Rounding!K143</f>
        <v>0</v>
      </c>
      <c r="L58" s="274">
        <f>Rounding!L143</f>
        <v>0</v>
      </c>
      <c r="M58" s="274">
        <f>Rounding!M143</f>
        <v>0</v>
      </c>
      <c r="N58" s="274">
        <f>Rounding!N143</f>
        <v>1.54</v>
      </c>
      <c r="O58" s="274">
        <f>Rounding!O143</f>
        <v>0</v>
      </c>
      <c r="P58" s="274">
        <f>Rounding!P143</f>
        <v>0</v>
      </c>
      <c r="Q58" s="274">
        <f>Rounding!Q143</f>
        <v>0</v>
      </c>
      <c r="R58" s="274">
        <f>Rounding!R143</f>
        <v>0</v>
      </c>
      <c r="S58" s="274">
        <f>Rounding!S143</f>
        <v>0</v>
      </c>
      <c r="T58" s="274">
        <f>Rounding!T143</f>
        <v>0</v>
      </c>
      <c r="U58" s="274">
        <f>Rounding!U143</f>
        <v>0</v>
      </c>
      <c r="V58" s="274">
        <f>Rounding!V143</f>
        <v>0</v>
      </c>
      <c r="W58" s="274">
        <f>Rounding!W143</f>
        <v>0</v>
      </c>
      <c r="X58" s="274">
        <f>Rounding!X143</f>
        <v>0</v>
      </c>
      <c r="Y58" s="274">
        <f>Rounding!Y143</f>
        <v>0</v>
      </c>
    </row>
    <row r="59" spans="3:27" x14ac:dyDescent="0.25">
      <c r="E59" s="14"/>
      <c r="F59" s="295" t="s">
        <v>313</v>
      </c>
      <c r="G59" s="108" t="s">
        <v>308</v>
      </c>
      <c r="H59" s="384"/>
      <c r="J59" s="274">
        <f>Rounding!J144</f>
        <v>0</v>
      </c>
      <c r="K59" s="274">
        <f>Rounding!K144</f>
        <v>0</v>
      </c>
      <c r="L59" s="274">
        <f>Rounding!L144</f>
        <v>0</v>
      </c>
      <c r="M59" s="274">
        <f>Rounding!M144</f>
        <v>0</v>
      </c>
      <c r="N59" s="274">
        <f>Rounding!N144</f>
        <v>2.8</v>
      </c>
      <c r="O59" s="274">
        <f>Rounding!O144</f>
        <v>0</v>
      </c>
      <c r="P59" s="274">
        <f>Rounding!P144</f>
        <v>0</v>
      </c>
      <c r="Q59" s="274">
        <f>Rounding!Q144</f>
        <v>0</v>
      </c>
      <c r="R59" s="274">
        <f>Rounding!R144</f>
        <v>0</v>
      </c>
      <c r="S59" s="274">
        <f>Rounding!S144</f>
        <v>0</v>
      </c>
      <c r="T59" s="274">
        <f>Rounding!T144</f>
        <v>0</v>
      </c>
      <c r="U59" s="274">
        <f>Rounding!U144</f>
        <v>0</v>
      </c>
      <c r="V59" s="274">
        <f>Rounding!V144</f>
        <v>0</v>
      </c>
      <c r="W59" s="274">
        <f>Rounding!W144</f>
        <v>0</v>
      </c>
      <c r="X59" s="274">
        <f>Rounding!X144</f>
        <v>0</v>
      </c>
      <c r="Y59" s="274">
        <f>Rounding!Y144</f>
        <v>0</v>
      </c>
    </row>
    <row r="60" spans="3:27" x14ac:dyDescent="0.25">
      <c r="E60" s="14"/>
      <c r="F60" s="93" t="s">
        <v>314</v>
      </c>
      <c r="G60" s="131" t="s">
        <v>315</v>
      </c>
      <c r="H60" s="363"/>
      <c r="I60" s="353"/>
      <c r="J60" s="363">
        <f>Rounding!J145</f>
        <v>0</v>
      </c>
      <c r="K60" s="363">
        <f>Rounding!K145</f>
        <v>0</v>
      </c>
      <c r="L60" s="363">
        <f>Rounding!L145</f>
        <v>0</v>
      </c>
      <c r="M60" s="363">
        <f>Rounding!M145</f>
        <v>0</v>
      </c>
      <c r="N60" s="363">
        <f>Rounding!N145</f>
        <v>0.25</v>
      </c>
      <c r="O60" s="363">
        <f>Rounding!O145</f>
        <v>0</v>
      </c>
      <c r="P60" s="363">
        <f>Rounding!P145</f>
        <v>0</v>
      </c>
      <c r="Q60" s="363">
        <f>Rounding!Q145</f>
        <v>0</v>
      </c>
      <c r="R60" s="363">
        <f>Rounding!R145</f>
        <v>0</v>
      </c>
      <c r="S60" s="363">
        <f>Rounding!S145</f>
        <v>0</v>
      </c>
      <c r="T60" s="363">
        <f>Rounding!T145</f>
        <v>0.33100000000000002</v>
      </c>
      <c r="U60" s="363">
        <f>Rounding!U145</f>
        <v>0</v>
      </c>
      <c r="V60" s="363">
        <f>Rounding!V145</f>
        <v>0</v>
      </c>
      <c r="W60" s="363">
        <f>Rounding!W145</f>
        <v>0</v>
      </c>
      <c r="X60" s="363">
        <f>Rounding!X145</f>
        <v>0</v>
      </c>
      <c r="Y60" s="363">
        <f>Rounding!Y145</f>
        <v>0</v>
      </c>
      <c r="Z60" s="351"/>
      <c r="AA60" s="351"/>
    </row>
    <row r="61" spans="3:27" x14ac:dyDescent="0.25">
      <c r="E61" s="14"/>
      <c r="G61" s="108"/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  <c r="U61" s="253"/>
      <c r="V61" s="253"/>
      <c r="W61" s="253"/>
      <c r="X61" s="253"/>
      <c r="Y61" s="253"/>
    </row>
    <row r="62" spans="3:27" x14ac:dyDescent="0.25">
      <c r="E62" s="96" t="s">
        <v>888</v>
      </c>
      <c r="G62" s="108"/>
      <c r="I62" s="295" t="s">
        <v>431</v>
      </c>
      <c r="J62" s="272"/>
      <c r="K62" s="272"/>
      <c r="L62" s="272"/>
      <c r="M62" s="272"/>
      <c r="N62" s="272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AA62" s="295" t="s">
        <v>807</v>
      </c>
    </row>
    <row r="63" spans="3:27" x14ac:dyDescent="0.25">
      <c r="C63" s="86"/>
      <c r="F63" s="91" t="s">
        <v>134</v>
      </c>
      <c r="G63" s="129" t="s">
        <v>183</v>
      </c>
      <c r="H63" s="360"/>
      <c r="I63" s="349"/>
      <c r="J63" s="360">
        <f>Rounding!J148</f>
        <v>5.085</v>
      </c>
      <c r="K63" s="360">
        <f>Rounding!K148</f>
        <v>5.085</v>
      </c>
      <c r="L63" s="360">
        <f>Rounding!L148</f>
        <v>6.1689999999999996</v>
      </c>
      <c r="M63" s="360">
        <f>Rounding!M148</f>
        <v>6.1689999999999996</v>
      </c>
      <c r="N63" s="360">
        <f>Rounding!N148</f>
        <v>4.6689999999999996</v>
      </c>
      <c r="O63" s="360">
        <f>Rounding!O148</f>
        <v>5.8920000000000003</v>
      </c>
      <c r="P63" s="360">
        <f>Rounding!P148</f>
        <v>5.2830000000000004</v>
      </c>
      <c r="Q63" s="360">
        <f>Rounding!Q148</f>
        <v>8.6560000000000006</v>
      </c>
      <c r="R63" s="360">
        <f>Rounding!R148</f>
        <v>-7.6669999999999998</v>
      </c>
      <c r="S63" s="360">
        <f>Rounding!S148</f>
        <v>-6.8869999999999996</v>
      </c>
      <c r="T63" s="360">
        <f>Rounding!T148</f>
        <v>-7.6669999999999998</v>
      </c>
      <c r="U63" s="360">
        <f>Rounding!U148</f>
        <v>0</v>
      </c>
      <c r="V63" s="360">
        <f>Rounding!V148</f>
        <v>-6.8869999999999996</v>
      </c>
      <c r="W63" s="360">
        <f>Rounding!W148</f>
        <v>0</v>
      </c>
      <c r="X63" s="360">
        <f>Rounding!X148</f>
        <v>-4.8609999999999998</v>
      </c>
      <c r="Y63" s="360">
        <f>Rounding!Y148</f>
        <v>0</v>
      </c>
      <c r="Z63" s="351"/>
      <c r="AA63" s="351"/>
    </row>
    <row r="64" spans="3:27" x14ac:dyDescent="0.25">
      <c r="C64" s="86"/>
      <c r="F64" s="295" t="s">
        <v>135</v>
      </c>
      <c r="G64" s="108" t="s">
        <v>183</v>
      </c>
      <c r="H64" s="420"/>
      <c r="I64" s="351"/>
      <c r="J64" s="420">
        <f>Rounding!J149</f>
        <v>1.3120000000000001</v>
      </c>
      <c r="K64" s="420">
        <f>Rounding!K149</f>
        <v>1.3120000000000001</v>
      </c>
      <c r="L64" s="420">
        <f>Rounding!L149</f>
        <v>1.4830000000000001</v>
      </c>
      <c r="M64" s="420">
        <f>Rounding!M149</f>
        <v>1.4830000000000001</v>
      </c>
      <c r="N64" s="420">
        <f>Rounding!N149</f>
        <v>1.214</v>
      </c>
      <c r="O64" s="420">
        <f>Rounding!O149</f>
        <v>1.621</v>
      </c>
      <c r="P64" s="420">
        <f>Rounding!P149</f>
        <v>1.6120000000000001</v>
      </c>
      <c r="Q64" s="420">
        <f>Rounding!Q149</f>
        <v>1.591</v>
      </c>
      <c r="R64" s="420">
        <f>Rounding!R149</f>
        <v>-1.2110000000000001</v>
      </c>
      <c r="S64" s="420">
        <f>Rounding!S149</f>
        <v>-1.0580000000000001</v>
      </c>
      <c r="T64" s="420">
        <f>Rounding!T149</f>
        <v>-1.2110000000000001</v>
      </c>
      <c r="U64" s="420">
        <f>Rounding!U149</f>
        <v>0</v>
      </c>
      <c r="V64" s="420">
        <f>Rounding!V149</f>
        <v>-1.0580000000000001</v>
      </c>
      <c r="W64" s="420">
        <f>Rounding!W149</f>
        <v>0</v>
      </c>
      <c r="X64" s="420">
        <f>Rounding!X149</f>
        <v>-0.625</v>
      </c>
      <c r="Y64" s="420">
        <f>Rounding!Y149</f>
        <v>0</v>
      </c>
      <c r="Z64" s="351"/>
      <c r="AA64" s="351"/>
    </row>
    <row r="65" spans="2:27" x14ac:dyDescent="0.25">
      <c r="C65" s="86"/>
      <c r="F65" s="295" t="s">
        <v>136</v>
      </c>
      <c r="G65" s="108" t="s">
        <v>183</v>
      </c>
      <c r="H65" s="420"/>
      <c r="I65" s="351"/>
      <c r="J65" s="420">
        <f>Rounding!J150</f>
        <v>0.69199999999999995</v>
      </c>
      <c r="K65" s="420">
        <f>Rounding!K150</f>
        <v>0.69199999999999995</v>
      </c>
      <c r="L65" s="420">
        <f>Rounding!L150</f>
        <v>0.71399999999999997</v>
      </c>
      <c r="M65" s="420">
        <f>Rounding!M150</f>
        <v>0.71399999999999997</v>
      </c>
      <c r="N65" s="420">
        <f>Rounding!N150</f>
        <v>0.68600000000000005</v>
      </c>
      <c r="O65" s="420">
        <f>Rounding!O150</f>
        <v>1.08</v>
      </c>
      <c r="P65" s="420">
        <f>Rounding!P150</f>
        <v>1.1879999999999999</v>
      </c>
      <c r="Q65" s="420">
        <f>Rounding!Q150</f>
        <v>0.82</v>
      </c>
      <c r="R65" s="420">
        <f>Rounding!R150</f>
        <v>-0.151</v>
      </c>
      <c r="S65" s="420">
        <f>Rounding!S150</f>
        <v>-0.13700000000000001</v>
      </c>
      <c r="T65" s="420">
        <f>Rounding!T150</f>
        <v>-0.151</v>
      </c>
      <c r="U65" s="420">
        <f>Rounding!U150</f>
        <v>0</v>
      </c>
      <c r="V65" s="420">
        <f>Rounding!V150</f>
        <v>-0.13700000000000001</v>
      </c>
      <c r="W65" s="420">
        <f>Rounding!W150</f>
        <v>0</v>
      </c>
      <c r="X65" s="420">
        <f>Rounding!X150</f>
        <v>-9.9000000000000005E-2</v>
      </c>
      <c r="Y65" s="420">
        <f>Rounding!Y150</f>
        <v>0</v>
      </c>
      <c r="Z65" s="351"/>
      <c r="AA65" s="351"/>
    </row>
    <row r="66" spans="2:27" x14ac:dyDescent="0.25">
      <c r="C66" s="86"/>
      <c r="F66" s="295" t="s">
        <v>311</v>
      </c>
      <c r="G66" s="108" t="s">
        <v>309</v>
      </c>
      <c r="H66" s="384"/>
      <c r="J66" s="274">
        <f>Rounding!J151</f>
        <v>1.69</v>
      </c>
      <c r="K66" s="274">
        <f>Rounding!K151</f>
        <v>0</v>
      </c>
      <c r="L66" s="274">
        <f>Rounding!L151</f>
        <v>2.09</v>
      </c>
      <c r="M66" s="274">
        <f>Rounding!M151</f>
        <v>0</v>
      </c>
      <c r="N66" s="274">
        <f>Rounding!N151</f>
        <v>7.62</v>
      </c>
      <c r="O66" s="274">
        <f>Rounding!O151</f>
        <v>4.46</v>
      </c>
      <c r="P66" s="274">
        <f>Rounding!P151</f>
        <v>72.19</v>
      </c>
      <c r="Q66" s="274">
        <f>Rounding!Q151</f>
        <v>0</v>
      </c>
      <c r="R66" s="274">
        <f>Rounding!R151</f>
        <v>0</v>
      </c>
      <c r="S66" s="274">
        <f>Rounding!S151</f>
        <v>0</v>
      </c>
      <c r="T66" s="274">
        <f>Rounding!T151</f>
        <v>0</v>
      </c>
      <c r="U66" s="274">
        <f>Rounding!U151</f>
        <v>0</v>
      </c>
      <c r="V66" s="274">
        <f>Rounding!V151</f>
        <v>0</v>
      </c>
      <c r="W66" s="274">
        <f>Rounding!W151</f>
        <v>0</v>
      </c>
      <c r="X66" s="274">
        <f>Rounding!X151</f>
        <v>0</v>
      </c>
      <c r="Y66" s="274">
        <f>Rounding!Y151</f>
        <v>0</v>
      </c>
    </row>
    <row r="67" spans="2:27" x14ac:dyDescent="0.25">
      <c r="C67" s="86"/>
      <c r="F67" s="295" t="s">
        <v>312</v>
      </c>
      <c r="G67" s="108" t="s">
        <v>308</v>
      </c>
      <c r="H67" s="384"/>
      <c r="J67" s="274">
        <f>Rounding!J152</f>
        <v>0</v>
      </c>
      <c r="K67" s="274">
        <f>Rounding!K152</f>
        <v>0</v>
      </c>
      <c r="L67" s="274">
        <f>Rounding!L152</f>
        <v>0</v>
      </c>
      <c r="M67" s="274">
        <f>Rounding!M152</f>
        <v>0</v>
      </c>
      <c r="N67" s="274">
        <f>Rounding!N152</f>
        <v>1.1000000000000001</v>
      </c>
      <c r="O67" s="274">
        <f>Rounding!O152</f>
        <v>3.59</v>
      </c>
      <c r="P67" s="274">
        <f>Rounding!P152</f>
        <v>3.17</v>
      </c>
      <c r="Q67" s="274">
        <f>Rounding!Q152</f>
        <v>0</v>
      </c>
      <c r="R67" s="274">
        <f>Rounding!R152</f>
        <v>0</v>
      </c>
      <c r="S67" s="274">
        <f>Rounding!S152</f>
        <v>0</v>
      </c>
      <c r="T67" s="274">
        <f>Rounding!T152</f>
        <v>0</v>
      </c>
      <c r="U67" s="274">
        <f>Rounding!U152</f>
        <v>0</v>
      </c>
      <c r="V67" s="274">
        <f>Rounding!V152</f>
        <v>0</v>
      </c>
      <c r="W67" s="274">
        <f>Rounding!W152</f>
        <v>0</v>
      </c>
      <c r="X67" s="274">
        <f>Rounding!X152</f>
        <v>0</v>
      </c>
      <c r="Y67" s="274">
        <f>Rounding!Y152</f>
        <v>0</v>
      </c>
    </row>
    <row r="68" spans="2:27" x14ac:dyDescent="0.25">
      <c r="C68" s="86"/>
      <c r="F68" s="295" t="s">
        <v>313</v>
      </c>
      <c r="G68" s="108" t="s">
        <v>308</v>
      </c>
      <c r="H68" s="384"/>
      <c r="J68" s="274">
        <f>Rounding!J153</f>
        <v>0</v>
      </c>
      <c r="K68" s="274">
        <f>Rounding!K153</f>
        <v>0</v>
      </c>
      <c r="L68" s="274">
        <f>Rounding!L153</f>
        <v>0</v>
      </c>
      <c r="M68" s="274">
        <f>Rounding!M153</f>
        <v>0</v>
      </c>
      <c r="N68" s="274">
        <f>Rounding!N153</f>
        <v>2</v>
      </c>
      <c r="O68" s="274">
        <f>Rounding!O153</f>
        <v>5.0199999999999996</v>
      </c>
      <c r="P68" s="274">
        <f>Rounding!P153</f>
        <v>5.28</v>
      </c>
      <c r="Q68" s="274">
        <f>Rounding!Q153</f>
        <v>0</v>
      </c>
      <c r="R68" s="274">
        <f>Rounding!R153</f>
        <v>0</v>
      </c>
      <c r="S68" s="274">
        <f>Rounding!S153</f>
        <v>0</v>
      </c>
      <c r="T68" s="274">
        <f>Rounding!T153</f>
        <v>0</v>
      </c>
      <c r="U68" s="274">
        <f>Rounding!U153</f>
        <v>0</v>
      </c>
      <c r="V68" s="274">
        <f>Rounding!V153</f>
        <v>0</v>
      </c>
      <c r="W68" s="274">
        <f>Rounding!W153</f>
        <v>0</v>
      </c>
      <c r="X68" s="274">
        <f>Rounding!X153</f>
        <v>0</v>
      </c>
      <c r="Y68" s="274">
        <f>Rounding!Y153</f>
        <v>0</v>
      </c>
    </row>
    <row r="69" spans="2:27" x14ac:dyDescent="0.25">
      <c r="C69" s="86"/>
      <c r="F69" s="93" t="s">
        <v>314</v>
      </c>
      <c r="G69" s="131" t="s">
        <v>315</v>
      </c>
      <c r="H69" s="363"/>
      <c r="I69" s="353"/>
      <c r="J69" s="363">
        <f>Rounding!J154</f>
        <v>0</v>
      </c>
      <c r="K69" s="363">
        <f>Rounding!K154</f>
        <v>0</v>
      </c>
      <c r="L69" s="363">
        <f>Rounding!L154</f>
        <v>0</v>
      </c>
      <c r="M69" s="363">
        <f>Rounding!M154</f>
        <v>0</v>
      </c>
      <c r="N69" s="363">
        <f>Rounding!N154</f>
        <v>0.17899999999999999</v>
      </c>
      <c r="O69" s="363">
        <f>Rounding!O154</f>
        <v>0.17399999999999999</v>
      </c>
      <c r="P69" s="363">
        <f>Rounding!P154</f>
        <v>0.14000000000000001</v>
      </c>
      <c r="Q69" s="363">
        <f>Rounding!Q154</f>
        <v>0</v>
      </c>
      <c r="R69" s="363">
        <f>Rounding!R154</f>
        <v>0</v>
      </c>
      <c r="S69" s="363">
        <f>Rounding!S154</f>
        <v>0</v>
      </c>
      <c r="T69" s="363">
        <f>Rounding!T154</f>
        <v>0.33100000000000002</v>
      </c>
      <c r="U69" s="363">
        <f>Rounding!U154</f>
        <v>0</v>
      </c>
      <c r="V69" s="363">
        <f>Rounding!V154</f>
        <v>0.30499999999999999</v>
      </c>
      <c r="W69" s="363">
        <f>Rounding!W154</f>
        <v>0</v>
      </c>
      <c r="X69" s="363">
        <f>Rounding!X154</f>
        <v>0.23200000000000001</v>
      </c>
      <c r="Y69" s="363">
        <f>Rounding!Y154</f>
        <v>0</v>
      </c>
      <c r="Z69" s="351"/>
      <c r="AA69" s="351"/>
    </row>
    <row r="70" spans="2:27" x14ac:dyDescent="0.25">
      <c r="C70" s="86"/>
      <c r="D70" s="98"/>
      <c r="E70" s="98"/>
      <c r="G70" s="108"/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</row>
    <row r="71" spans="2:27" x14ac:dyDescent="0.25">
      <c r="C71" s="7" t="str">
        <f ca="1">INDEX('Version control'!$H$34:$H$58,MATCH($A$1,'Version control'!$F$34:$F$58,0),1)&amp;"-C: Net revenue components"</f>
        <v>Input 505-C: Net revenue components</v>
      </c>
      <c r="D71" s="7"/>
      <c r="E71" s="7"/>
      <c r="F71" s="7"/>
      <c r="G71" s="7"/>
      <c r="H71" s="7"/>
      <c r="I71" s="7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7"/>
      <c r="AA71" s="7"/>
    </row>
    <row r="72" spans="2:27" x14ac:dyDescent="0.25">
      <c r="D72" s="96"/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  <c r="U72" s="253"/>
      <c r="V72" s="253"/>
      <c r="W72" s="253"/>
      <c r="X72" s="253"/>
      <c r="Y72" s="253"/>
    </row>
    <row r="73" spans="2:27" x14ac:dyDescent="0.25">
      <c r="E73" s="295" t="s">
        <v>191</v>
      </c>
      <c r="G73" s="108" t="s">
        <v>107</v>
      </c>
      <c r="H73" s="274">
        <f>'General inputs'!$H$90</f>
        <v>362286149.98902923</v>
      </c>
      <c r="J73" s="234"/>
      <c r="K73" s="234"/>
      <c r="L73" s="234"/>
      <c r="M73" s="234"/>
      <c r="N73" s="234"/>
      <c r="O73" s="234"/>
      <c r="P73" s="234"/>
      <c r="Q73" s="234"/>
      <c r="R73" s="234"/>
      <c r="S73" s="234"/>
      <c r="T73" s="234"/>
      <c r="U73" s="234"/>
      <c r="V73" s="234"/>
      <c r="W73" s="234"/>
      <c r="X73" s="234"/>
      <c r="Y73" s="234"/>
    </row>
    <row r="74" spans="2:27" x14ac:dyDescent="0.25">
      <c r="E74" s="295" t="s">
        <v>717</v>
      </c>
      <c r="G74" s="108" t="s">
        <v>107</v>
      </c>
      <c r="H74" s="274">
        <f>'Revenue matching'!H58</f>
        <v>218115580.96975446</v>
      </c>
      <c r="J74" s="234"/>
      <c r="K74" s="234"/>
      <c r="L74" s="234"/>
      <c r="M74" s="234"/>
      <c r="N74" s="234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</row>
    <row r="75" spans="2:27" x14ac:dyDescent="0.25">
      <c r="E75" s="295" t="s">
        <v>1152</v>
      </c>
      <c r="G75" s="108" t="s">
        <v>107</v>
      </c>
      <c r="H75" s="274">
        <f>'Revenue matching'!H158</f>
        <v>142706482.98676988</v>
      </c>
      <c r="J75" s="234"/>
      <c r="K75" s="234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</row>
    <row r="76" spans="2:27" x14ac:dyDescent="0.25">
      <c r="E76" s="295" t="s">
        <v>1153</v>
      </c>
      <c r="G76" s="108" t="s">
        <v>107</v>
      </c>
      <c r="H76" s="274">
        <f>'Fixed charge adder'!H52</f>
        <v>1463627.1755684088</v>
      </c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</row>
    <row r="77" spans="2:27" x14ac:dyDescent="0.25">
      <c r="E77" s="295" t="s">
        <v>1154</v>
      </c>
      <c r="G77" s="108" t="s">
        <v>107</v>
      </c>
      <c r="H77" s="274">
        <f>'Fixed charge adder'!H56</f>
        <v>458.85693646552426</v>
      </c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</row>
    <row r="78" spans="2:27" x14ac:dyDescent="0.25">
      <c r="D78" s="96"/>
      <c r="H78" s="253"/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  <c r="U78" s="253"/>
      <c r="V78" s="253"/>
      <c r="W78" s="253"/>
      <c r="X78" s="253"/>
      <c r="Y78" s="253"/>
    </row>
    <row r="79" spans="2:27" x14ac:dyDescent="0.25">
      <c r="B79" s="95" t="s">
        <v>584</v>
      </c>
      <c r="C79" s="95"/>
      <c r="D79" s="95"/>
      <c r="E79" s="95"/>
      <c r="F79" s="95"/>
      <c r="G79" s="95"/>
      <c r="H79" s="282"/>
      <c r="I79" s="95"/>
      <c r="J79" s="282"/>
      <c r="K79" s="282"/>
      <c r="L79" s="282"/>
      <c r="M79" s="282"/>
      <c r="N79" s="282"/>
      <c r="O79" s="282"/>
      <c r="P79" s="282"/>
      <c r="Q79" s="282"/>
      <c r="R79" s="282"/>
      <c r="S79" s="282"/>
      <c r="T79" s="282"/>
      <c r="U79" s="282"/>
      <c r="V79" s="282"/>
      <c r="W79" s="282"/>
      <c r="X79" s="282"/>
      <c r="Y79" s="282"/>
      <c r="Z79" s="95"/>
      <c r="AA79" s="95"/>
    </row>
    <row r="80" spans="2:27" x14ac:dyDescent="0.25">
      <c r="D80" s="98"/>
      <c r="E80" s="98"/>
      <c r="H80" s="253"/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  <c r="U80" s="253"/>
      <c r="V80" s="253"/>
      <c r="W80" s="253"/>
      <c r="X80" s="253"/>
      <c r="Y80" s="253"/>
    </row>
    <row r="81" spans="3:27" x14ac:dyDescent="0.25">
      <c r="C81" s="7" t="str">
        <f ca="1">INDEX('Version control'!$H$34:$H$58,MATCH($A$1,'Version control'!$F$34:$F$58,0),1)&amp;"-D: Net revenue by tariff"</f>
        <v>Input 505-D: Net revenue by tariff</v>
      </c>
      <c r="D81" s="7"/>
      <c r="E81" s="7"/>
      <c r="F81" s="7"/>
      <c r="G81" s="7"/>
      <c r="H81" s="243"/>
      <c r="I81" s="7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7"/>
      <c r="AA81" s="7"/>
    </row>
    <row r="82" spans="3:27" x14ac:dyDescent="0.25">
      <c r="F82" s="88"/>
      <c r="G82" s="168"/>
      <c r="H82" s="277"/>
      <c r="I82" s="88"/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  <c r="U82" s="253"/>
      <c r="V82" s="253"/>
      <c r="W82" s="253"/>
      <c r="X82" s="253"/>
      <c r="Y82" s="253"/>
    </row>
    <row r="83" spans="3:27" x14ac:dyDescent="0.25">
      <c r="E83" s="96" t="s">
        <v>1014</v>
      </c>
      <c r="G83" s="108"/>
      <c r="H83" s="287" t="s">
        <v>272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  <c r="U83" s="253"/>
      <c r="V83" s="253"/>
      <c r="W83" s="253"/>
      <c r="X83" s="253"/>
      <c r="Y83" s="253"/>
    </row>
    <row r="84" spans="3:27" x14ac:dyDescent="0.25">
      <c r="E84" s="14"/>
      <c r="F84" s="91" t="s">
        <v>134</v>
      </c>
      <c r="G84" s="129" t="s">
        <v>107</v>
      </c>
      <c r="H84" s="268">
        <f t="shared" ref="H84:H90" si="0">SUM(J84:Y84)</f>
        <v>113340441.04515509</v>
      </c>
      <c r="I84" s="91"/>
      <c r="J84" s="268">
        <f t="shared" ref="J84:K84" si="1">J16 * thousand * J45 / hundred</f>
        <v>64950869.763754308</v>
      </c>
      <c r="K84" s="268">
        <f t="shared" si="1"/>
        <v>5235.3732511662365</v>
      </c>
      <c r="L84" s="268">
        <f t="shared" ref="L84:M84" si="2">L16 * thousand * L45 / hundred</f>
        <v>20650481.463306386</v>
      </c>
      <c r="M84" s="268">
        <f t="shared" si="2"/>
        <v>955.46622840671318</v>
      </c>
      <c r="N84" s="268">
        <f t="shared" ref="N84:P84" si="3">N16 * thousand * N45 / hundred</f>
        <v>9675832.631601885</v>
      </c>
      <c r="O84" s="268">
        <f t="shared" si="3"/>
        <v>8711271.3397140745</v>
      </c>
      <c r="P84" s="268">
        <f t="shared" si="3"/>
        <v>10527738.495225297</v>
      </c>
      <c r="Q84" s="268">
        <f t="shared" ref="Q84:S84" si="4">Q16 * thousand * Q45 / hundred</f>
        <v>1381858.6309165552</v>
      </c>
      <c r="R84" s="268">
        <f t="shared" si="4"/>
        <v>-8010.0440686103593</v>
      </c>
      <c r="S84" s="268">
        <f t="shared" si="4"/>
        <v>-2463.6129783122883</v>
      </c>
      <c r="T84" s="268">
        <f t="shared" ref="T84:U84" si="5">T16 * thousand * T45 / hundred</f>
        <v>-373864.8253784664</v>
      </c>
      <c r="U84" s="268">
        <f t="shared" si="5"/>
        <v>0</v>
      </c>
      <c r="V84" s="268">
        <f t="shared" ref="V84:W84" si="6">V16 * thousand * V45 / hundred</f>
        <v>-97922.361069763356</v>
      </c>
      <c r="W84" s="268">
        <f t="shared" si="6"/>
        <v>0</v>
      </c>
      <c r="X84" s="268">
        <f t="shared" ref="X84:Y84" si="7">X16 * thousand * X45 / hundred</f>
        <v>-2081541.2753478456</v>
      </c>
      <c r="Y84" s="268">
        <f t="shared" si="7"/>
        <v>0</v>
      </c>
    </row>
    <row r="85" spans="3:27" x14ac:dyDescent="0.25">
      <c r="E85" s="14"/>
      <c r="F85" s="295" t="s">
        <v>135</v>
      </c>
      <c r="G85" s="108" t="s">
        <v>107</v>
      </c>
      <c r="H85" s="276">
        <f t="shared" si="0"/>
        <v>124641030.25619309</v>
      </c>
      <c r="J85" s="276">
        <f t="shared" ref="J85:K85" si="8">J17 * thousand * J46 / hundred</f>
        <v>59365729.327205151</v>
      </c>
      <c r="K85" s="276">
        <f t="shared" si="8"/>
        <v>22798.558465552978</v>
      </c>
      <c r="L85" s="276">
        <f t="shared" ref="L85:M85" si="9">L17 * thousand * L46 / hundred</f>
        <v>26104390.977015175</v>
      </c>
      <c r="M85" s="276">
        <f t="shared" si="9"/>
        <v>12179.671137111713</v>
      </c>
      <c r="N85" s="276">
        <f t="shared" ref="N85:P85" si="10">N17 * thousand * N46 / hundred</f>
        <v>11617752.620151419</v>
      </c>
      <c r="O85" s="276">
        <f t="shared" si="10"/>
        <v>11854131.136013377</v>
      </c>
      <c r="P85" s="276">
        <f t="shared" si="10"/>
        <v>15219207.113358432</v>
      </c>
      <c r="Q85" s="276">
        <f t="shared" ref="Q85:S85" si="11">Q17 * thousand * Q46 / hundred</f>
        <v>1867554.0593426151</v>
      </c>
      <c r="R85" s="276">
        <f t="shared" si="11"/>
        <v>-6174.8192355142664</v>
      </c>
      <c r="S85" s="276">
        <f t="shared" si="11"/>
        <v>-1699.0378888954524</v>
      </c>
      <c r="T85" s="276">
        <f t="shared" ref="T85:U85" si="12">T17 * thousand * T46 / hundred</f>
        <v>-288285.796112702</v>
      </c>
      <c r="U85" s="276">
        <f t="shared" si="12"/>
        <v>0</v>
      </c>
      <c r="V85" s="276">
        <f t="shared" ref="V85:W85" si="13">V17 * thousand * V46 / hundred</f>
        <v>-67527.349285604854</v>
      </c>
      <c r="W85" s="276">
        <f t="shared" si="13"/>
        <v>0</v>
      </c>
      <c r="X85" s="276">
        <f t="shared" ref="X85:Y85" si="14">X17 * thousand * X46 / hundred</f>
        <v>-1059026.2039730197</v>
      </c>
      <c r="Y85" s="276">
        <f t="shared" si="14"/>
        <v>0</v>
      </c>
    </row>
    <row r="86" spans="3:27" x14ac:dyDescent="0.25">
      <c r="E86" s="14"/>
      <c r="F86" s="295" t="s">
        <v>136</v>
      </c>
      <c r="G86" s="108" t="s">
        <v>107</v>
      </c>
      <c r="H86" s="276">
        <f t="shared" si="0"/>
        <v>72612772.691546649</v>
      </c>
      <c r="J86" s="276">
        <f t="shared" ref="J86:K86" si="15">J18 * thousand * J47 / hundred</f>
        <v>29491871.435604233</v>
      </c>
      <c r="K86" s="276">
        <f t="shared" si="15"/>
        <v>161617.37649296146</v>
      </c>
      <c r="L86" s="276">
        <f t="shared" ref="L86:M86" si="16">L18 * thousand * L47 / hundred</f>
        <v>12177150.130091451</v>
      </c>
      <c r="M86" s="276">
        <f t="shared" si="16"/>
        <v>71341.745962617832</v>
      </c>
      <c r="N86" s="276">
        <f t="shared" ref="N86:P86" si="17">N18 * thousand * N47 / hundred</f>
        <v>6546352.2923497139</v>
      </c>
      <c r="O86" s="276">
        <f t="shared" si="17"/>
        <v>8696374.9825181421</v>
      </c>
      <c r="P86" s="276">
        <f t="shared" si="17"/>
        <v>13920849.416573405</v>
      </c>
      <c r="Q86" s="276">
        <f t="shared" ref="Q86:S86" si="18">Q18 * thousand * Q47 / hundred</f>
        <v>1777276.6768426695</v>
      </c>
      <c r="R86" s="276">
        <f t="shared" si="18"/>
        <v>-807.07009397646743</v>
      </c>
      <c r="S86" s="276">
        <f t="shared" si="18"/>
        <v>-275.45496678817619</v>
      </c>
      <c r="T86" s="276">
        <f t="shared" ref="T86:U86" si="19">T18 * thousand * T47 / hundred</f>
        <v>-41716.961311410269</v>
      </c>
      <c r="U86" s="276">
        <f t="shared" si="19"/>
        <v>0</v>
      </c>
      <c r="V86" s="276">
        <f t="shared" ref="V86:W86" si="20">V18 * thousand * V47 / hundred</f>
        <v>-10959.731196562499</v>
      </c>
      <c r="W86" s="276">
        <f t="shared" si="20"/>
        <v>0</v>
      </c>
      <c r="X86" s="276">
        <f t="shared" ref="X86:Y86" si="21">X18 * thousand * X47 / hundred</f>
        <v>-176302.14731982496</v>
      </c>
      <c r="Y86" s="276">
        <f t="shared" si="21"/>
        <v>0</v>
      </c>
    </row>
    <row r="87" spans="3:27" x14ac:dyDescent="0.25">
      <c r="E87" s="14"/>
      <c r="F87" s="91" t="s">
        <v>311</v>
      </c>
      <c r="G87" s="129" t="s">
        <v>107</v>
      </c>
      <c r="H87" s="268">
        <f t="shared" si="0"/>
        <v>19979782.851500001</v>
      </c>
      <c r="I87" s="91"/>
      <c r="J87" s="268">
        <f t="shared" ref="J87:K87" si="22" xml:space="preserve"> J19 * J48 * days_in_year / hundred</f>
        <v>17721444.522</v>
      </c>
      <c r="K87" s="268">
        <f t="shared" si="22"/>
        <v>0</v>
      </c>
      <c r="L87" s="268">
        <f t="shared" ref="L87:M87" si="23" xml:space="preserve"> L19 * L48 * days_in_year / hundred</f>
        <v>1572932.46</v>
      </c>
      <c r="M87" s="268">
        <f t="shared" si="23"/>
        <v>0</v>
      </c>
      <c r="N87" s="268">
        <f t="shared" ref="N87:P87" si="24" xml:space="preserve"> N19 * N48 * days_in_year / hundred</f>
        <v>325997.26799999998</v>
      </c>
      <c r="O87" s="268">
        <f t="shared" si="24"/>
        <v>68488.344500000007</v>
      </c>
      <c r="P87" s="268">
        <f t="shared" si="24"/>
        <v>259399.98850000001</v>
      </c>
      <c r="Q87" s="268">
        <f t="shared" ref="Q87:S87" si="25" xml:space="preserve"> Q19 * Q48 * days_in_year / hundred</f>
        <v>0</v>
      </c>
      <c r="R87" s="268">
        <f t="shared" si="25"/>
        <v>0</v>
      </c>
      <c r="S87" s="268">
        <f t="shared" si="25"/>
        <v>0</v>
      </c>
      <c r="T87" s="268">
        <f t="shared" ref="T87:U87" si="26" xml:space="preserve"> T19 * T48 * days_in_year / hundred</f>
        <v>0</v>
      </c>
      <c r="U87" s="268">
        <f t="shared" si="26"/>
        <v>0</v>
      </c>
      <c r="V87" s="268">
        <f t="shared" ref="V87:W87" si="27" xml:space="preserve"> V19 * V48 * days_in_year / hundred</f>
        <v>0</v>
      </c>
      <c r="W87" s="268">
        <f t="shared" si="27"/>
        <v>0</v>
      </c>
      <c r="X87" s="268">
        <f t="shared" ref="X87:Y87" si="28" xml:space="preserve"> X19 * X48 * days_in_year / hundred</f>
        <v>31520.268500000002</v>
      </c>
      <c r="Y87" s="268">
        <f t="shared" si="28"/>
        <v>0</v>
      </c>
    </row>
    <row r="88" spans="3:27" x14ac:dyDescent="0.25">
      <c r="E88" s="14"/>
      <c r="F88" s="295" t="s">
        <v>312</v>
      </c>
      <c r="G88" s="108" t="s">
        <v>107</v>
      </c>
      <c r="H88" s="276">
        <f t="shared" si="0"/>
        <v>24836966.295000002</v>
      </c>
      <c r="J88" s="276">
        <f t="shared" ref="J88:K88" si="29" xml:space="preserve"> J20 * J49 * days_in_year / hundred</f>
        <v>0</v>
      </c>
      <c r="K88" s="276">
        <f t="shared" si="29"/>
        <v>0</v>
      </c>
      <c r="L88" s="276">
        <f t="shared" ref="L88:M88" si="30" xml:space="preserve"> L20 * L49 * days_in_year / hundred</f>
        <v>0</v>
      </c>
      <c r="M88" s="276">
        <f t="shared" si="30"/>
        <v>0</v>
      </c>
      <c r="N88" s="276">
        <f t="shared" ref="N88:P88" si="31" xml:space="preserve"> N20 * N49 * days_in_year / hundred</f>
        <v>4904491.2760000005</v>
      </c>
      <c r="O88" s="276">
        <f t="shared" si="31"/>
        <v>10443981.739</v>
      </c>
      <c r="P88" s="276">
        <f t="shared" si="31"/>
        <v>9488493.2799999993</v>
      </c>
      <c r="Q88" s="276">
        <f t="shared" ref="Q88:S88" si="32" xml:space="preserve"> Q20 * Q49 * days_in_year / hundred</f>
        <v>0</v>
      </c>
      <c r="R88" s="276">
        <f t="shared" si="32"/>
        <v>0</v>
      </c>
      <c r="S88" s="276">
        <f t="shared" si="32"/>
        <v>0</v>
      </c>
      <c r="T88" s="276">
        <f t="shared" ref="T88:U88" si="33" xml:space="preserve"> T20 * T49 * days_in_year / hundred</f>
        <v>0</v>
      </c>
      <c r="U88" s="276">
        <f t="shared" si="33"/>
        <v>0</v>
      </c>
      <c r="V88" s="276">
        <f t="shared" ref="V88:W88" si="34" xml:space="preserve"> V20 * V49 * days_in_year / hundred</f>
        <v>0</v>
      </c>
      <c r="W88" s="276">
        <f t="shared" si="34"/>
        <v>0</v>
      </c>
      <c r="X88" s="276">
        <f t="shared" ref="X88:Y88" si="35" xml:space="preserve"> X20 * X49 * days_in_year / hundred</f>
        <v>0</v>
      </c>
      <c r="Y88" s="276">
        <f t="shared" si="35"/>
        <v>0</v>
      </c>
    </row>
    <row r="89" spans="3:27" x14ac:dyDescent="0.25">
      <c r="E89" s="14"/>
      <c r="F89" s="295" t="s">
        <v>313</v>
      </c>
      <c r="G89" s="108" t="s">
        <v>107</v>
      </c>
      <c r="H89" s="276">
        <f t="shared" si="0"/>
        <v>1169165.7056100001</v>
      </c>
      <c r="J89" s="276">
        <f t="shared" ref="J89:K89" si="36" xml:space="preserve"> J21 * J50 * days_in_year / hundred</f>
        <v>0</v>
      </c>
      <c r="K89" s="276">
        <f t="shared" si="36"/>
        <v>0</v>
      </c>
      <c r="L89" s="276">
        <f t="shared" ref="L89:M89" si="37" xml:space="preserve"> L21 * L50 * days_in_year / hundred</f>
        <v>0</v>
      </c>
      <c r="M89" s="276">
        <f t="shared" si="37"/>
        <v>0</v>
      </c>
      <c r="N89" s="276">
        <f t="shared" ref="N89:P89" si="38" xml:space="preserve"> N21 * N50 * days_in_year / hundred</f>
        <v>537835.45991999994</v>
      </c>
      <c r="O89" s="276">
        <f t="shared" si="38"/>
        <v>292829.81655000005</v>
      </c>
      <c r="P89" s="276">
        <f t="shared" si="38"/>
        <v>338500.42914000002</v>
      </c>
      <c r="Q89" s="276">
        <f t="shared" ref="Q89:S89" si="39" xml:space="preserve"> Q21 * Q50 * days_in_year / hundred</f>
        <v>0</v>
      </c>
      <c r="R89" s="276">
        <f t="shared" si="39"/>
        <v>0</v>
      </c>
      <c r="S89" s="276">
        <f t="shared" si="39"/>
        <v>0</v>
      </c>
      <c r="T89" s="276">
        <f t="shared" ref="T89:U89" si="40" xml:space="preserve"> T21 * T50 * days_in_year / hundred</f>
        <v>0</v>
      </c>
      <c r="U89" s="276">
        <f t="shared" si="40"/>
        <v>0</v>
      </c>
      <c r="V89" s="276">
        <f t="shared" ref="V89:W89" si="41" xml:space="preserve"> V21 * V50 * days_in_year / hundred</f>
        <v>0</v>
      </c>
      <c r="W89" s="276">
        <f t="shared" si="41"/>
        <v>0</v>
      </c>
      <c r="X89" s="276">
        <f t="shared" ref="X89:Y89" si="42" xml:space="preserve"> X21 * X50 * days_in_year / hundred</f>
        <v>0</v>
      </c>
      <c r="Y89" s="276">
        <f t="shared" si="42"/>
        <v>0</v>
      </c>
    </row>
    <row r="90" spans="3:27" x14ac:dyDescent="0.25">
      <c r="E90" s="14"/>
      <c r="F90" s="91" t="s">
        <v>314</v>
      </c>
      <c r="G90" s="129" t="s">
        <v>107</v>
      </c>
      <c r="H90" s="268">
        <f t="shared" si="0"/>
        <v>758643.9</v>
      </c>
      <c r="I90" s="91"/>
      <c r="J90" s="268">
        <f t="shared" ref="J90:K90" si="43">J22 * thousand * J51 / hundred</f>
        <v>0</v>
      </c>
      <c r="K90" s="268">
        <f t="shared" si="43"/>
        <v>0</v>
      </c>
      <c r="L90" s="268">
        <f t="shared" ref="L90:M90" si="44">L22 * thousand * L51 / hundred</f>
        <v>0</v>
      </c>
      <c r="M90" s="268">
        <f t="shared" si="44"/>
        <v>0</v>
      </c>
      <c r="N90" s="268">
        <f t="shared" ref="N90:P90" si="45">N22 * thousand * N51 / hundred</f>
        <v>306151.2</v>
      </c>
      <c r="O90" s="268">
        <f t="shared" si="45"/>
        <v>225163.2</v>
      </c>
      <c r="P90" s="268">
        <f t="shared" si="45"/>
        <v>196348.08</v>
      </c>
      <c r="Q90" s="268">
        <f t="shared" ref="Q90:S90" si="46">Q22 * thousand * Q51 / hundred</f>
        <v>0</v>
      </c>
      <c r="R90" s="268">
        <f t="shared" si="46"/>
        <v>0</v>
      </c>
      <c r="S90" s="268">
        <f t="shared" si="46"/>
        <v>0</v>
      </c>
      <c r="T90" s="268">
        <f t="shared" ref="T90:U90" si="47">T22 * thousand * T51 / hundred</f>
        <v>14656.68</v>
      </c>
      <c r="U90" s="268">
        <f t="shared" si="47"/>
        <v>0</v>
      </c>
      <c r="V90" s="268">
        <f t="shared" ref="V90:W90" si="48">V22 * thousand * V51 / hundred</f>
        <v>567.29999999999995</v>
      </c>
      <c r="W90" s="268">
        <f t="shared" si="48"/>
        <v>0</v>
      </c>
      <c r="X90" s="268">
        <f t="shared" ref="X90:Y90" si="49">X22 * thousand * X51 / hundred</f>
        <v>15757.44</v>
      </c>
      <c r="Y90" s="268">
        <f t="shared" si="49"/>
        <v>0</v>
      </c>
    </row>
    <row r="91" spans="3:27" x14ac:dyDescent="0.25">
      <c r="E91" s="14"/>
      <c r="F91" s="73" t="s">
        <v>111</v>
      </c>
      <c r="G91" s="169" t="s">
        <v>107</v>
      </c>
      <c r="H91" s="271">
        <f>SUM(H84:H90)</f>
        <v>357338802.74500477</v>
      </c>
      <c r="I91" s="183"/>
      <c r="J91" s="271">
        <f t="shared" ref="J91:Y91" si="50">SUM(J84:J90)</f>
        <v>171529915.04856372</v>
      </c>
      <c r="K91" s="271">
        <f t="shared" si="50"/>
        <v>189651.30820968066</v>
      </c>
      <c r="L91" s="271">
        <f t="shared" si="50"/>
        <v>60504955.030413017</v>
      </c>
      <c r="M91" s="271">
        <f t="shared" si="50"/>
        <v>84476.88332813626</v>
      </c>
      <c r="N91" s="271">
        <f t="shared" si="50"/>
        <v>33914412.748023018</v>
      </c>
      <c r="O91" s="271">
        <f t="shared" si="50"/>
        <v>40292240.558295608</v>
      </c>
      <c r="P91" s="271">
        <f t="shared" si="50"/>
        <v>49950536.802797139</v>
      </c>
      <c r="Q91" s="271">
        <f t="shared" si="50"/>
        <v>5026689.3671018397</v>
      </c>
      <c r="R91" s="271">
        <f t="shared" si="50"/>
        <v>-14991.933398101093</v>
      </c>
      <c r="S91" s="271">
        <f t="shared" si="50"/>
        <v>-4438.1058339959172</v>
      </c>
      <c r="T91" s="271">
        <f t="shared" si="50"/>
        <v>-689210.90280257864</v>
      </c>
      <c r="U91" s="271">
        <f t="shared" si="50"/>
        <v>0</v>
      </c>
      <c r="V91" s="271">
        <f t="shared" si="50"/>
        <v>-175842.14155193072</v>
      </c>
      <c r="W91" s="271">
        <f t="shared" si="50"/>
        <v>0</v>
      </c>
      <c r="X91" s="271">
        <f t="shared" si="50"/>
        <v>-3269591.9181406903</v>
      </c>
      <c r="Y91" s="271">
        <f t="shared" si="50"/>
        <v>0</v>
      </c>
    </row>
    <row r="92" spans="3:27" x14ac:dyDescent="0.25">
      <c r="E92" s="14"/>
      <c r="G92" s="108"/>
      <c r="H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</row>
    <row r="93" spans="3:27" x14ac:dyDescent="0.25">
      <c r="E93" s="96" t="s">
        <v>1015</v>
      </c>
      <c r="G93" s="108"/>
      <c r="H93" s="287" t="s">
        <v>272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</row>
    <row r="94" spans="3:27" x14ac:dyDescent="0.25">
      <c r="E94" s="14"/>
      <c r="F94" s="91" t="s">
        <v>134</v>
      </c>
      <c r="G94" s="129" t="s">
        <v>107</v>
      </c>
      <c r="H94" s="268">
        <f t="shared" ref="H94:H100" si="51">SUM(J94:Y94)</f>
        <v>543165.78213334351</v>
      </c>
      <c r="I94" s="91"/>
      <c r="J94" s="268">
        <f t="shared" ref="J94:K94" si="52">J25 * thousand * J54 / hundred</f>
        <v>470803.32654581108</v>
      </c>
      <c r="K94" s="268">
        <f t="shared" si="52"/>
        <v>0</v>
      </c>
      <c r="L94" s="268">
        <f t="shared" ref="L94:M94" si="53">L25 * thousand * L54 / hundred</f>
        <v>20568.978743121323</v>
      </c>
      <c r="M94" s="268">
        <f t="shared" si="53"/>
        <v>0</v>
      </c>
      <c r="N94" s="268">
        <f t="shared" ref="N94:P94" si="54">N25 * thousand * N54 / hundred</f>
        <v>51128.641335596243</v>
      </c>
      <c r="O94" s="268">
        <f t="shared" si="54"/>
        <v>0</v>
      </c>
      <c r="P94" s="268">
        <f t="shared" si="54"/>
        <v>0</v>
      </c>
      <c r="Q94" s="268">
        <f t="shared" ref="Q94:S94" si="55">Q25 * thousand * Q54 / hundred</f>
        <v>664.83550881491135</v>
      </c>
      <c r="R94" s="268">
        <f t="shared" si="55"/>
        <v>0</v>
      </c>
      <c r="S94" s="268">
        <f t="shared" si="55"/>
        <v>0</v>
      </c>
      <c r="T94" s="268">
        <f t="shared" ref="T94:U94" si="56">T25 * thousand * T54 / hundred</f>
        <v>0</v>
      </c>
      <c r="U94" s="268">
        <f t="shared" si="56"/>
        <v>0</v>
      </c>
      <c r="V94" s="268">
        <f t="shared" ref="V94:W94" si="57">V25 * thousand * V54 / hundred</f>
        <v>0</v>
      </c>
      <c r="W94" s="268">
        <f t="shared" si="57"/>
        <v>0</v>
      </c>
      <c r="X94" s="268">
        <f t="shared" ref="X94:Y94" si="58">X25 * thousand * X54 / hundred</f>
        <v>0</v>
      </c>
      <c r="Y94" s="268">
        <f t="shared" si="58"/>
        <v>0</v>
      </c>
    </row>
    <row r="95" spans="3:27" x14ac:dyDescent="0.25">
      <c r="E95" s="14"/>
      <c r="F95" s="295" t="s">
        <v>135</v>
      </c>
      <c r="G95" s="108" t="s">
        <v>107</v>
      </c>
      <c r="H95" s="276">
        <f t="shared" si="51"/>
        <v>516833.79121014074</v>
      </c>
      <c r="J95" s="276">
        <f t="shared" ref="J95:K95" si="59">J26 * thousand * J55 / hundred</f>
        <v>430440.74726101401</v>
      </c>
      <c r="K95" s="276">
        <f t="shared" si="59"/>
        <v>0</v>
      </c>
      <c r="L95" s="276">
        <f t="shared" ref="L95:M95" si="60">L26 * thousand * L55 / hundred</f>
        <v>25976.696748173799</v>
      </c>
      <c r="M95" s="276">
        <f t="shared" si="60"/>
        <v>0</v>
      </c>
      <c r="N95" s="276">
        <f t="shared" ref="N95:P95" si="61">N26 * thousand * N55 / hundred</f>
        <v>59627.090963774404</v>
      </c>
      <c r="O95" s="276">
        <f t="shared" si="61"/>
        <v>0</v>
      </c>
      <c r="P95" s="276">
        <f t="shared" si="61"/>
        <v>0</v>
      </c>
      <c r="Q95" s="276">
        <f t="shared" ref="Q95:S95" si="62">Q26 * thousand * Q55 / hundred</f>
        <v>789.25623717853364</v>
      </c>
      <c r="R95" s="276">
        <f t="shared" si="62"/>
        <v>0</v>
      </c>
      <c r="S95" s="276">
        <f t="shared" si="62"/>
        <v>0</v>
      </c>
      <c r="T95" s="276">
        <f t="shared" ref="T95:U95" si="63">T26 * thousand * T55 / hundred</f>
        <v>0</v>
      </c>
      <c r="U95" s="276">
        <f t="shared" si="63"/>
        <v>0</v>
      </c>
      <c r="V95" s="276">
        <f t="shared" ref="V95:W95" si="64">V26 * thousand * V55 / hundred</f>
        <v>0</v>
      </c>
      <c r="W95" s="276">
        <f t="shared" si="64"/>
        <v>0</v>
      </c>
      <c r="X95" s="276">
        <f t="shared" ref="X95:Y95" si="65">X26 * thousand * X55 / hundred</f>
        <v>0</v>
      </c>
      <c r="Y95" s="276">
        <f t="shared" si="65"/>
        <v>0</v>
      </c>
    </row>
    <row r="96" spans="3:27" x14ac:dyDescent="0.25">
      <c r="E96" s="14"/>
      <c r="F96" s="295" t="s">
        <v>136</v>
      </c>
      <c r="G96" s="108" t="s">
        <v>107</v>
      </c>
      <c r="H96" s="276">
        <f t="shared" si="51"/>
        <v>254527.43656835155</v>
      </c>
      <c r="J96" s="276">
        <f t="shared" ref="J96:K96" si="66">J27 * thousand * J56 / hundred</f>
        <v>213917.73295267529</v>
      </c>
      <c r="K96" s="276">
        <f t="shared" si="66"/>
        <v>0</v>
      </c>
      <c r="L96" s="276">
        <f t="shared" ref="L96:M96" si="67">L27 * thousand * L56 / hundred</f>
        <v>12096.777132579018</v>
      </c>
      <c r="M96" s="276">
        <f t="shared" si="67"/>
        <v>0</v>
      </c>
      <c r="N96" s="276">
        <f t="shared" ref="N96:P96" si="68">N27 * thousand * N56 / hundred</f>
        <v>28039.539004884005</v>
      </c>
      <c r="O96" s="276">
        <f t="shared" si="68"/>
        <v>0</v>
      </c>
      <c r="P96" s="276">
        <f t="shared" si="68"/>
        <v>0</v>
      </c>
      <c r="Q96" s="276">
        <f t="shared" ref="Q96:S96" si="69">Q27 * thousand * Q56 / hundred</f>
        <v>473.38747821326274</v>
      </c>
      <c r="R96" s="276">
        <f t="shared" si="69"/>
        <v>0</v>
      </c>
      <c r="S96" s="276">
        <f t="shared" si="69"/>
        <v>0</v>
      </c>
      <c r="T96" s="276">
        <f t="shared" ref="T96:U96" si="70">T27 * thousand * T56 / hundred</f>
        <v>0</v>
      </c>
      <c r="U96" s="276">
        <f t="shared" si="70"/>
        <v>0</v>
      </c>
      <c r="V96" s="276">
        <f t="shared" ref="V96:W96" si="71">V27 * thousand * V56 / hundred</f>
        <v>0</v>
      </c>
      <c r="W96" s="276">
        <f t="shared" si="71"/>
        <v>0</v>
      </c>
      <c r="X96" s="276">
        <f t="shared" ref="X96:Y96" si="72">X27 * thousand * X56 / hundred</f>
        <v>0</v>
      </c>
      <c r="Y96" s="276">
        <f t="shared" si="72"/>
        <v>0</v>
      </c>
    </row>
    <row r="97" spans="3:25" x14ac:dyDescent="0.25">
      <c r="E97" s="14"/>
      <c r="F97" s="91" t="s">
        <v>311</v>
      </c>
      <c r="G97" s="129" t="s">
        <v>107</v>
      </c>
      <c r="H97" s="268">
        <f t="shared" si="51"/>
        <v>169194.03450000001</v>
      </c>
      <c r="I97" s="91"/>
      <c r="J97" s="268">
        <f t="shared" ref="J97:K97" si="73" xml:space="preserve"> J28 * J57 * days_in_year / hundred</f>
        <v>164534.554</v>
      </c>
      <c r="K97" s="268">
        <f t="shared" si="73"/>
        <v>0</v>
      </c>
      <c r="L97" s="268">
        <f t="shared" ref="L97:M97" si="74" xml:space="preserve"> L28 * L57 * days_in_year / hundred</f>
        <v>3232.0019999999995</v>
      </c>
      <c r="M97" s="268">
        <f t="shared" si="74"/>
        <v>0</v>
      </c>
      <c r="N97" s="268">
        <f t="shared" ref="N97:P97" si="75" xml:space="preserve"> N28 * N57 * days_in_year / hundred</f>
        <v>1427.4785000000002</v>
      </c>
      <c r="O97" s="268">
        <f t="shared" si="75"/>
        <v>0</v>
      </c>
      <c r="P97" s="268">
        <f t="shared" si="75"/>
        <v>0</v>
      </c>
      <c r="Q97" s="268">
        <f t="shared" ref="Q97:S97" si="76" xml:space="preserve"> Q28 * Q57 * days_in_year / hundred</f>
        <v>0</v>
      </c>
      <c r="R97" s="268">
        <f t="shared" si="76"/>
        <v>0</v>
      </c>
      <c r="S97" s="268">
        <f t="shared" si="76"/>
        <v>0</v>
      </c>
      <c r="T97" s="268">
        <f t="shared" ref="T97:U97" si="77" xml:space="preserve"> T28 * T57 * days_in_year / hundred</f>
        <v>0</v>
      </c>
      <c r="U97" s="268">
        <f t="shared" si="77"/>
        <v>0</v>
      </c>
      <c r="V97" s="268">
        <f t="shared" ref="V97:W97" si="78" xml:space="preserve"> V28 * V57 * days_in_year / hundred</f>
        <v>0</v>
      </c>
      <c r="W97" s="268">
        <f t="shared" si="78"/>
        <v>0</v>
      </c>
      <c r="X97" s="268">
        <f t="shared" ref="X97:Y97" si="79" xml:space="preserve"> X28 * X57 * days_in_year / hundred</f>
        <v>0</v>
      </c>
      <c r="Y97" s="268">
        <f t="shared" si="79"/>
        <v>0</v>
      </c>
    </row>
    <row r="98" spans="3:25" x14ac:dyDescent="0.25">
      <c r="E98" s="14"/>
      <c r="F98" s="295" t="s">
        <v>312</v>
      </c>
      <c r="G98" s="108" t="s">
        <v>107</v>
      </c>
      <c r="H98" s="276">
        <f t="shared" si="51"/>
        <v>29535.076083333333</v>
      </c>
      <c r="J98" s="276">
        <f t="shared" ref="J98:K98" si="80" xml:space="preserve"> J29 * J58 * days_in_year / hundred</f>
        <v>0</v>
      </c>
      <c r="K98" s="276">
        <f t="shared" si="80"/>
        <v>0</v>
      </c>
      <c r="L98" s="276">
        <f t="shared" ref="L98:M98" si="81" xml:space="preserve"> L29 * L58 * days_in_year / hundred</f>
        <v>0</v>
      </c>
      <c r="M98" s="276">
        <f t="shared" si="81"/>
        <v>0</v>
      </c>
      <c r="N98" s="276">
        <f t="shared" ref="N98:P98" si="82" xml:space="preserve"> N29 * N58 * days_in_year / hundred</f>
        <v>29535.076083333333</v>
      </c>
      <c r="O98" s="276">
        <f t="shared" si="82"/>
        <v>0</v>
      </c>
      <c r="P98" s="276">
        <f t="shared" si="82"/>
        <v>0</v>
      </c>
      <c r="Q98" s="276">
        <f t="shared" ref="Q98:S98" si="83" xml:space="preserve"> Q29 * Q58 * days_in_year / hundred</f>
        <v>0</v>
      </c>
      <c r="R98" s="276">
        <f t="shared" si="83"/>
        <v>0</v>
      </c>
      <c r="S98" s="276">
        <f t="shared" si="83"/>
        <v>0</v>
      </c>
      <c r="T98" s="276">
        <f t="shared" ref="T98:U98" si="84" xml:space="preserve"> T29 * T58 * days_in_year / hundred</f>
        <v>0</v>
      </c>
      <c r="U98" s="276">
        <f t="shared" si="84"/>
        <v>0</v>
      </c>
      <c r="V98" s="276">
        <f t="shared" ref="V98:W98" si="85" xml:space="preserve"> V29 * V58 * days_in_year / hundred</f>
        <v>0</v>
      </c>
      <c r="W98" s="276">
        <f t="shared" si="85"/>
        <v>0</v>
      </c>
      <c r="X98" s="276">
        <f t="shared" ref="X98:Y98" si="86" xml:space="preserve"> X29 * X58 * days_in_year / hundred</f>
        <v>0</v>
      </c>
      <c r="Y98" s="276">
        <f t="shared" si="86"/>
        <v>0</v>
      </c>
    </row>
    <row r="99" spans="3:25" x14ac:dyDescent="0.25">
      <c r="E99" s="14"/>
      <c r="F99" s="295" t="s">
        <v>313</v>
      </c>
      <c r="G99" s="108" t="s">
        <v>107</v>
      </c>
      <c r="H99" s="276">
        <f t="shared" si="51"/>
        <v>0</v>
      </c>
      <c r="J99" s="276">
        <f t="shared" ref="J99:K99" si="87" xml:space="preserve"> J30 * J59 * days_in_year / hundred</f>
        <v>0</v>
      </c>
      <c r="K99" s="276">
        <f t="shared" si="87"/>
        <v>0</v>
      </c>
      <c r="L99" s="276">
        <f t="shared" ref="L99:M99" si="88" xml:space="preserve"> L30 * L59 * days_in_year / hundred</f>
        <v>0</v>
      </c>
      <c r="M99" s="276">
        <f t="shared" si="88"/>
        <v>0</v>
      </c>
      <c r="N99" s="276">
        <f t="shared" ref="N99:P99" si="89" xml:space="preserve"> N30 * N59 * days_in_year / hundred</f>
        <v>0</v>
      </c>
      <c r="O99" s="276">
        <f t="shared" si="89"/>
        <v>0</v>
      </c>
      <c r="P99" s="276">
        <f t="shared" si="89"/>
        <v>0</v>
      </c>
      <c r="Q99" s="276">
        <f t="shared" ref="Q99:S99" si="90" xml:space="preserve"> Q30 * Q59 * days_in_year / hundred</f>
        <v>0</v>
      </c>
      <c r="R99" s="276">
        <f t="shared" si="90"/>
        <v>0</v>
      </c>
      <c r="S99" s="276">
        <f t="shared" si="90"/>
        <v>0</v>
      </c>
      <c r="T99" s="276">
        <f t="shared" ref="T99:U99" si="91" xml:space="preserve"> T30 * T59 * days_in_year / hundred</f>
        <v>0</v>
      </c>
      <c r="U99" s="276">
        <f t="shared" si="91"/>
        <v>0</v>
      </c>
      <c r="V99" s="276">
        <f t="shared" ref="V99:W99" si="92" xml:space="preserve"> V30 * V59 * days_in_year / hundred</f>
        <v>0</v>
      </c>
      <c r="W99" s="276">
        <f t="shared" si="92"/>
        <v>0</v>
      </c>
      <c r="X99" s="276">
        <f t="shared" ref="X99:Y99" si="93" xml:space="preserve"> X30 * X59 * days_in_year / hundred</f>
        <v>0</v>
      </c>
      <c r="Y99" s="276">
        <f t="shared" si="93"/>
        <v>0</v>
      </c>
    </row>
    <row r="100" spans="3:25" x14ac:dyDescent="0.25">
      <c r="E100" s="14"/>
      <c r="F100" s="91" t="s">
        <v>314</v>
      </c>
      <c r="G100" s="129" t="s">
        <v>107</v>
      </c>
      <c r="H100" s="268">
        <f t="shared" si="51"/>
        <v>688.11425000000008</v>
      </c>
      <c r="I100" s="91"/>
      <c r="J100" s="268">
        <f t="shared" ref="J100:K100" si="94">J31 * thousand * J60 / hundred</f>
        <v>0</v>
      </c>
      <c r="K100" s="268">
        <f t="shared" si="94"/>
        <v>0</v>
      </c>
      <c r="L100" s="268">
        <f t="shared" ref="L100:M100" si="95">L31 * thousand * L60 / hundred</f>
        <v>0</v>
      </c>
      <c r="M100" s="268">
        <f t="shared" si="95"/>
        <v>0</v>
      </c>
      <c r="N100" s="268">
        <f t="shared" ref="N100:P100" si="96">N31 * thousand * N60 / hundred</f>
        <v>688.11425000000008</v>
      </c>
      <c r="O100" s="268">
        <f t="shared" si="96"/>
        <v>0</v>
      </c>
      <c r="P100" s="268">
        <f t="shared" si="96"/>
        <v>0</v>
      </c>
      <c r="Q100" s="268">
        <f t="shared" ref="Q100:S100" si="97">Q31 * thousand * Q60 / hundred</f>
        <v>0</v>
      </c>
      <c r="R100" s="268">
        <f t="shared" si="97"/>
        <v>0</v>
      </c>
      <c r="S100" s="268">
        <f t="shared" si="97"/>
        <v>0</v>
      </c>
      <c r="T100" s="268">
        <f t="shared" ref="T100:U100" si="98">T31 * thousand * T60 / hundred</f>
        <v>0</v>
      </c>
      <c r="U100" s="268">
        <f t="shared" si="98"/>
        <v>0</v>
      </c>
      <c r="V100" s="268">
        <f t="shared" ref="V100:W100" si="99">V31 * thousand * V60 / hundred</f>
        <v>0</v>
      </c>
      <c r="W100" s="268">
        <f t="shared" si="99"/>
        <v>0</v>
      </c>
      <c r="X100" s="268">
        <f t="shared" ref="X100:Y100" si="100">X31 * thousand * X60 / hundred</f>
        <v>0</v>
      </c>
      <c r="Y100" s="268">
        <f t="shared" si="100"/>
        <v>0</v>
      </c>
    </row>
    <row r="101" spans="3:25" x14ac:dyDescent="0.25">
      <c r="E101" s="14"/>
      <c r="F101" s="73" t="s">
        <v>111</v>
      </c>
      <c r="G101" s="169" t="s">
        <v>107</v>
      </c>
      <c r="H101" s="271">
        <f>SUM(H94:H100)</f>
        <v>1513944.2347451691</v>
      </c>
      <c r="I101" s="73"/>
      <c r="J101" s="271">
        <f t="shared" ref="J101:Y101" si="101">SUM(J94:J100)</f>
        <v>1279696.3607595004</v>
      </c>
      <c r="K101" s="271">
        <f t="shared" si="101"/>
        <v>0</v>
      </c>
      <c r="L101" s="271">
        <f t="shared" si="101"/>
        <v>61874.454623874139</v>
      </c>
      <c r="M101" s="271">
        <f t="shared" si="101"/>
        <v>0</v>
      </c>
      <c r="N101" s="271">
        <f t="shared" si="101"/>
        <v>170445.94013758798</v>
      </c>
      <c r="O101" s="271">
        <f t="shared" si="101"/>
        <v>0</v>
      </c>
      <c r="P101" s="271">
        <f t="shared" si="101"/>
        <v>0</v>
      </c>
      <c r="Q101" s="271">
        <f t="shared" si="101"/>
        <v>1927.4792242067076</v>
      </c>
      <c r="R101" s="271">
        <f t="shared" si="101"/>
        <v>0</v>
      </c>
      <c r="S101" s="271">
        <f t="shared" si="101"/>
        <v>0</v>
      </c>
      <c r="T101" s="271">
        <f t="shared" si="101"/>
        <v>0</v>
      </c>
      <c r="U101" s="271">
        <f t="shared" si="101"/>
        <v>0</v>
      </c>
      <c r="V101" s="271">
        <f t="shared" si="101"/>
        <v>0</v>
      </c>
      <c r="W101" s="271">
        <f t="shared" si="101"/>
        <v>0</v>
      </c>
      <c r="X101" s="271">
        <f t="shared" si="101"/>
        <v>0</v>
      </c>
      <c r="Y101" s="271">
        <f t="shared" si="101"/>
        <v>0</v>
      </c>
    </row>
    <row r="102" spans="3:25" x14ac:dyDescent="0.25">
      <c r="E102" s="14"/>
      <c r="G102" s="108"/>
      <c r="H102" s="253"/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  <c r="U102" s="253"/>
      <c r="V102" s="253"/>
      <c r="W102" s="253"/>
      <c r="X102" s="253"/>
      <c r="Y102" s="253"/>
    </row>
    <row r="103" spans="3:25" x14ac:dyDescent="0.25">
      <c r="E103" s="96" t="s">
        <v>1016</v>
      </c>
      <c r="G103" s="108"/>
      <c r="H103" s="287" t="s">
        <v>272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  <c r="U103" s="253"/>
      <c r="V103" s="253"/>
      <c r="W103" s="253"/>
      <c r="X103" s="253"/>
      <c r="Y103" s="253"/>
    </row>
    <row r="104" spans="3:25" x14ac:dyDescent="0.25">
      <c r="C104" s="86"/>
      <c r="F104" s="91" t="s">
        <v>134</v>
      </c>
      <c r="G104" s="129" t="s">
        <v>107</v>
      </c>
      <c r="H104" s="268">
        <f t="shared" ref="H104:H110" si="102">SUM(J104:Y104)</f>
        <v>1035288.4831256203</v>
      </c>
      <c r="I104" s="91"/>
      <c r="J104" s="268">
        <f t="shared" ref="J104:K104" si="103">J34 * thousand * J63 / hundred</f>
        <v>457941.95013968361</v>
      </c>
      <c r="K104" s="268">
        <f t="shared" si="103"/>
        <v>0</v>
      </c>
      <c r="L104" s="268">
        <f t="shared" ref="L104:M104" si="104">L34 * thousand * L63 / hundred</f>
        <v>52683.897886990242</v>
      </c>
      <c r="M104" s="268">
        <f t="shared" si="104"/>
        <v>0</v>
      </c>
      <c r="N104" s="268">
        <f t="shared" ref="N104:P104" si="105">N34 * thousand * N63 / hundred</f>
        <v>352155.62326138065</v>
      </c>
      <c r="O104" s="268">
        <f t="shared" si="105"/>
        <v>66906.614775102906</v>
      </c>
      <c r="P104" s="268">
        <f t="shared" si="105"/>
        <v>109525.69309047941</v>
      </c>
      <c r="Q104" s="268">
        <f t="shared" ref="Q104:S104" si="106">Q34 * thousand * Q63 / hundred</f>
        <v>697.36828198344574</v>
      </c>
      <c r="R104" s="268">
        <f t="shared" si="106"/>
        <v>0</v>
      </c>
      <c r="S104" s="268">
        <f t="shared" si="106"/>
        <v>0</v>
      </c>
      <c r="T104" s="268">
        <f t="shared" ref="T104:U104" si="107">T34 * thousand * T63 / hundred</f>
        <v>-4622.6643100000001</v>
      </c>
      <c r="U104" s="268">
        <f t="shared" si="107"/>
        <v>0</v>
      </c>
      <c r="V104" s="268">
        <f t="shared" ref="V104:W104" si="108">V34 * thousand * V63 / hundred</f>
        <v>0</v>
      </c>
      <c r="W104" s="268">
        <f t="shared" si="108"/>
        <v>0</v>
      </c>
      <c r="X104" s="268">
        <f t="shared" ref="X104:Y104" si="109">X34 * thousand * X63 / hundred</f>
        <v>0</v>
      </c>
      <c r="Y104" s="268">
        <f t="shared" si="109"/>
        <v>0</v>
      </c>
    </row>
    <row r="105" spans="3:25" x14ac:dyDescent="0.25">
      <c r="C105" s="86"/>
      <c r="F105" s="295" t="s">
        <v>135</v>
      </c>
      <c r="G105" s="108" t="s">
        <v>107</v>
      </c>
      <c r="H105" s="276">
        <f t="shared" si="102"/>
        <v>1120510.5091707818</v>
      </c>
      <c r="J105" s="276">
        <f t="shared" ref="J105:K105" si="110">J35 * thousand * J64 / hundred</f>
        <v>418208.00848692411</v>
      </c>
      <c r="K105" s="276">
        <f t="shared" si="110"/>
        <v>0</v>
      </c>
      <c r="L105" s="276">
        <f t="shared" ref="L105:M105" si="111">L35 * thousand * L64 / hundred</f>
        <v>66561.422065464125</v>
      </c>
      <c r="M105" s="276">
        <f t="shared" si="111"/>
        <v>0</v>
      </c>
      <c r="N105" s="276">
        <f t="shared" ref="N105:P105" si="112">N35 * thousand * N64 / hundred</f>
        <v>394763.50207663438</v>
      </c>
      <c r="O105" s="276">
        <f t="shared" si="112"/>
        <v>83634.581731659637</v>
      </c>
      <c r="P105" s="276">
        <f t="shared" si="112"/>
        <v>155791.74168754235</v>
      </c>
      <c r="Q105" s="276">
        <f t="shared" ref="Q105:S105" si="113">Q35 * thousand * Q64 / hundred</f>
        <v>1551.2531225572873</v>
      </c>
      <c r="R105" s="276">
        <f t="shared" si="113"/>
        <v>0</v>
      </c>
      <c r="S105" s="276">
        <f t="shared" si="113"/>
        <v>0</v>
      </c>
      <c r="T105" s="276">
        <f t="shared" ref="T105:U105" si="114">T35 * thousand * T64 / hundred</f>
        <v>0</v>
      </c>
      <c r="U105" s="276">
        <f t="shared" si="114"/>
        <v>0</v>
      </c>
      <c r="V105" s="276">
        <f t="shared" ref="V105:W105" si="115">V35 * thousand * V64 / hundred</f>
        <v>0</v>
      </c>
      <c r="W105" s="276">
        <f t="shared" si="115"/>
        <v>0</v>
      </c>
      <c r="X105" s="276">
        <f t="shared" ref="X105:Y105" si="116">X35 * thousand * X64 / hundred</f>
        <v>0</v>
      </c>
      <c r="Y105" s="276">
        <f t="shared" si="116"/>
        <v>0</v>
      </c>
    </row>
    <row r="106" spans="3:25" x14ac:dyDescent="0.25">
      <c r="C106" s="86"/>
      <c r="F106" s="295" t="s">
        <v>136</v>
      </c>
      <c r="G106" s="108" t="s">
        <v>107</v>
      </c>
      <c r="H106" s="276">
        <f t="shared" si="102"/>
        <v>596623.17369238648</v>
      </c>
      <c r="J106" s="276">
        <f t="shared" ref="J106:K106" si="117">J36 * thousand * J65 / hundred</f>
        <v>207707.46626471845</v>
      </c>
      <c r="K106" s="276">
        <f t="shared" si="117"/>
        <v>0</v>
      </c>
      <c r="L106" s="276">
        <f t="shared" ref="L106:M106" si="118">L36 * thousand * L65 / hundred</f>
        <v>31037.364896631385</v>
      </c>
      <c r="M106" s="276">
        <f t="shared" si="118"/>
        <v>0</v>
      </c>
      <c r="N106" s="276">
        <f t="shared" ref="N106:P106" si="119">N36 * thousand * N65 / hundred</f>
        <v>198015.85586795132</v>
      </c>
      <c r="O106" s="276">
        <f t="shared" si="119"/>
        <v>51738.170787117</v>
      </c>
      <c r="P106" s="276">
        <f t="shared" si="119"/>
        <v>107214.27191199451</v>
      </c>
      <c r="Q106" s="276">
        <f t="shared" ref="Q106:S106" si="120">Q36 * thousand * Q65 / hundred</f>
        <v>910.04396397379253</v>
      </c>
      <c r="R106" s="276">
        <f t="shared" si="120"/>
        <v>0</v>
      </c>
      <c r="S106" s="276">
        <f t="shared" si="120"/>
        <v>0</v>
      </c>
      <c r="T106" s="276">
        <f t="shared" ref="T106:U106" si="121">T36 * thousand * T65 / hundred</f>
        <v>0</v>
      </c>
      <c r="U106" s="276">
        <f t="shared" si="121"/>
        <v>0</v>
      </c>
      <c r="V106" s="276">
        <f t="shared" ref="V106:W106" si="122">V36 * thousand * V65 / hundred</f>
        <v>0</v>
      </c>
      <c r="W106" s="276">
        <f t="shared" si="122"/>
        <v>0</v>
      </c>
      <c r="X106" s="276">
        <f t="shared" ref="X106:Y106" si="123">X36 * thousand * X65 / hundred</f>
        <v>0</v>
      </c>
      <c r="Y106" s="276">
        <f t="shared" si="123"/>
        <v>0</v>
      </c>
    </row>
    <row r="107" spans="3:25" x14ac:dyDescent="0.25">
      <c r="C107" s="86"/>
      <c r="F107" s="91" t="s">
        <v>311</v>
      </c>
      <c r="G107" s="129" t="s">
        <v>107</v>
      </c>
      <c r="H107" s="268">
        <f t="shared" si="102"/>
        <v>176466.65949999995</v>
      </c>
      <c r="I107" s="91"/>
      <c r="J107" s="268">
        <f t="shared" ref="J107:K107" si="124" xml:space="preserve"> J37 * J66 * days_in_year / hundred</f>
        <v>160800.45799999998</v>
      </c>
      <c r="K107" s="268">
        <f t="shared" si="124"/>
        <v>0</v>
      </c>
      <c r="L107" s="268">
        <f t="shared" ref="L107:M107" si="125" xml:space="preserve"> L37 * L66 * days_in_year / hundred</f>
        <v>4645.7564999999995</v>
      </c>
      <c r="M107" s="268">
        <f t="shared" si="125"/>
        <v>0</v>
      </c>
      <c r="N107" s="268">
        <f t="shared" ref="N107:P107" si="126" xml:space="preserve"> N37 * N66 * days_in_year / hundred</f>
        <v>5951.9820000000009</v>
      </c>
      <c r="O107" s="268">
        <f t="shared" si="126"/>
        <v>325.58</v>
      </c>
      <c r="P107" s="268">
        <f t="shared" si="126"/>
        <v>4742.8830000000007</v>
      </c>
      <c r="Q107" s="268">
        <f t="shared" ref="Q107:S107" si="127" xml:space="preserve"> Q37 * Q66 * days_in_year / hundred</f>
        <v>0</v>
      </c>
      <c r="R107" s="268">
        <f t="shared" si="127"/>
        <v>0</v>
      </c>
      <c r="S107" s="268">
        <f t="shared" si="127"/>
        <v>0</v>
      </c>
      <c r="T107" s="268">
        <f t="shared" ref="T107:U107" si="128" xml:space="preserve"> T37 * T66 * days_in_year / hundred</f>
        <v>0</v>
      </c>
      <c r="U107" s="268">
        <f t="shared" si="128"/>
        <v>0</v>
      </c>
      <c r="V107" s="268">
        <f t="shared" ref="V107:W107" si="129" xml:space="preserve"> V37 * V66 * days_in_year / hundred</f>
        <v>0</v>
      </c>
      <c r="W107" s="268">
        <f t="shared" si="129"/>
        <v>0</v>
      </c>
      <c r="X107" s="268">
        <f t="shared" ref="X107:Y107" si="130" xml:space="preserve"> X37 * X66 * days_in_year / hundred</f>
        <v>0</v>
      </c>
      <c r="Y107" s="268">
        <f t="shared" si="130"/>
        <v>0</v>
      </c>
    </row>
    <row r="108" spans="3:25" x14ac:dyDescent="0.25">
      <c r="C108" s="86"/>
      <c r="F108" s="295" t="s">
        <v>312</v>
      </c>
      <c r="G108" s="108" t="s">
        <v>107</v>
      </c>
      <c r="H108" s="276">
        <f t="shared" si="102"/>
        <v>497858.05941666674</v>
      </c>
      <c r="J108" s="276">
        <f t="shared" ref="J108:K108" si="131" xml:space="preserve"> J38 * J67 * days_in_year / hundred</f>
        <v>0</v>
      </c>
      <c r="K108" s="276">
        <f t="shared" si="131"/>
        <v>0</v>
      </c>
      <c r="L108" s="276">
        <f t="shared" ref="L108:M108" si="132" xml:space="preserve"> L38 * L67 * days_in_year / hundred</f>
        <v>0</v>
      </c>
      <c r="M108" s="276">
        <f t="shared" si="132"/>
        <v>0</v>
      </c>
      <c r="N108" s="276">
        <f t="shared" ref="N108:P108" si="133" xml:space="preserve"> N38 * N67 * days_in_year / hundred</f>
        <v>205877.48958333337</v>
      </c>
      <c r="O108" s="276">
        <f t="shared" si="133"/>
        <v>143264.93333333332</v>
      </c>
      <c r="P108" s="276">
        <f t="shared" si="133"/>
        <v>148715.63649999999</v>
      </c>
      <c r="Q108" s="276">
        <f t="shared" ref="Q108:S108" si="134" xml:space="preserve"> Q38 * Q67 * days_in_year / hundred</f>
        <v>0</v>
      </c>
      <c r="R108" s="276">
        <f t="shared" si="134"/>
        <v>0</v>
      </c>
      <c r="S108" s="276">
        <f t="shared" si="134"/>
        <v>0</v>
      </c>
      <c r="T108" s="276">
        <f t="shared" ref="T108:U108" si="135" xml:space="preserve"> T38 * T67 * days_in_year / hundred</f>
        <v>0</v>
      </c>
      <c r="U108" s="276">
        <f t="shared" si="135"/>
        <v>0</v>
      </c>
      <c r="V108" s="276">
        <f t="shared" ref="V108:W108" si="136" xml:space="preserve"> V38 * V67 * days_in_year / hundred</f>
        <v>0</v>
      </c>
      <c r="W108" s="276">
        <f t="shared" si="136"/>
        <v>0</v>
      </c>
      <c r="X108" s="276">
        <f t="shared" ref="X108:Y108" si="137" xml:space="preserve"> X38 * X67 * days_in_year / hundred</f>
        <v>0</v>
      </c>
      <c r="Y108" s="276">
        <f t="shared" si="137"/>
        <v>0</v>
      </c>
    </row>
    <row r="109" spans="3:25" x14ac:dyDescent="0.25">
      <c r="C109" s="86"/>
      <c r="F109" s="295" t="s">
        <v>313</v>
      </c>
      <c r="G109" s="108" t="s">
        <v>107</v>
      </c>
      <c r="H109" s="276">
        <f t="shared" si="102"/>
        <v>102.2</v>
      </c>
      <c r="J109" s="276">
        <f t="shared" ref="J109:K109" si="138" xml:space="preserve"> J39 * J68 * days_in_year / hundred</f>
        <v>0</v>
      </c>
      <c r="K109" s="276">
        <f t="shared" si="138"/>
        <v>0</v>
      </c>
      <c r="L109" s="276">
        <f t="shared" ref="L109:M109" si="139" xml:space="preserve"> L39 * L68 * days_in_year / hundred</f>
        <v>0</v>
      </c>
      <c r="M109" s="276">
        <f t="shared" si="139"/>
        <v>0</v>
      </c>
      <c r="N109" s="276">
        <f t="shared" ref="N109:P109" si="140" xml:space="preserve"> N39 * N68 * days_in_year / hundred</f>
        <v>102.2</v>
      </c>
      <c r="O109" s="276">
        <f t="shared" si="140"/>
        <v>0</v>
      </c>
      <c r="P109" s="276">
        <f t="shared" si="140"/>
        <v>0</v>
      </c>
      <c r="Q109" s="276">
        <f t="shared" ref="Q109:S109" si="141" xml:space="preserve"> Q39 * Q68 * days_in_year / hundred</f>
        <v>0</v>
      </c>
      <c r="R109" s="276">
        <f t="shared" si="141"/>
        <v>0</v>
      </c>
      <c r="S109" s="276">
        <f t="shared" si="141"/>
        <v>0</v>
      </c>
      <c r="T109" s="276">
        <f t="shared" ref="T109:U109" si="142" xml:space="preserve"> T39 * T68 * days_in_year / hundred</f>
        <v>0</v>
      </c>
      <c r="U109" s="276">
        <f t="shared" si="142"/>
        <v>0</v>
      </c>
      <c r="V109" s="276">
        <f t="shared" ref="V109:W109" si="143" xml:space="preserve"> V39 * V68 * days_in_year / hundred</f>
        <v>0</v>
      </c>
      <c r="W109" s="276">
        <f t="shared" si="143"/>
        <v>0</v>
      </c>
      <c r="X109" s="276">
        <f t="shared" ref="X109:Y109" si="144" xml:space="preserve"> X39 * X68 * days_in_year / hundred</f>
        <v>0</v>
      </c>
      <c r="Y109" s="276">
        <f t="shared" si="144"/>
        <v>0</v>
      </c>
    </row>
    <row r="110" spans="3:25" x14ac:dyDescent="0.25">
      <c r="C110" s="86"/>
      <c r="F110" s="91" t="s">
        <v>314</v>
      </c>
      <c r="G110" s="129" t="s">
        <v>107</v>
      </c>
      <c r="H110" s="268">
        <f t="shared" si="102"/>
        <v>13828.391032999998</v>
      </c>
      <c r="I110" s="91"/>
      <c r="J110" s="268">
        <f t="shared" ref="J110:K110" si="145">J40 * thousand * J69 / hundred</f>
        <v>0</v>
      </c>
      <c r="K110" s="268">
        <f t="shared" si="145"/>
        <v>0</v>
      </c>
      <c r="L110" s="268">
        <f t="shared" ref="L110:M110" si="146">L40 * thousand * L69 / hundred</f>
        <v>0</v>
      </c>
      <c r="M110" s="268">
        <f t="shared" si="146"/>
        <v>0</v>
      </c>
      <c r="N110" s="268">
        <f t="shared" ref="N110:P110" si="147">N40 * thousand * N69 / hundred</f>
        <v>7140.7023679999984</v>
      </c>
      <c r="O110" s="268">
        <f t="shared" si="147"/>
        <v>6027.0899520000003</v>
      </c>
      <c r="P110" s="268">
        <f t="shared" si="147"/>
        <v>442.86592000000013</v>
      </c>
      <c r="Q110" s="268">
        <f t="shared" ref="Q110:S110" si="148">Q40 * thousand * Q69 / hundred</f>
        <v>0</v>
      </c>
      <c r="R110" s="268">
        <f t="shared" si="148"/>
        <v>0</v>
      </c>
      <c r="S110" s="268">
        <f t="shared" si="148"/>
        <v>0</v>
      </c>
      <c r="T110" s="268">
        <f t="shared" ref="T110:U110" si="149">T40 * thousand * T69 / hundred</f>
        <v>217.73279300000002</v>
      </c>
      <c r="U110" s="268">
        <f t="shared" si="149"/>
        <v>0</v>
      </c>
      <c r="V110" s="268">
        <f t="shared" ref="V110:W110" si="150">V40 * thousand * V69 / hundred</f>
        <v>0</v>
      </c>
      <c r="W110" s="268">
        <f t="shared" si="150"/>
        <v>0</v>
      </c>
      <c r="X110" s="268">
        <f t="shared" ref="X110:Y110" si="151">X40 * thousand * X69 / hundred</f>
        <v>0</v>
      </c>
      <c r="Y110" s="268">
        <f t="shared" si="151"/>
        <v>0</v>
      </c>
    </row>
    <row r="111" spans="3:25" x14ac:dyDescent="0.25">
      <c r="C111" s="86"/>
      <c r="F111" s="73" t="s">
        <v>111</v>
      </c>
      <c r="G111" s="169" t="s">
        <v>107</v>
      </c>
      <c r="H111" s="271">
        <f>SUM(H104:H110)</f>
        <v>3440677.4759384557</v>
      </c>
      <c r="I111" s="73"/>
      <c r="J111" s="271">
        <f t="shared" ref="J111:Y111" si="152">SUM(J104:J110)</f>
        <v>1244657.8828913262</v>
      </c>
      <c r="K111" s="271">
        <f t="shared" si="152"/>
        <v>0</v>
      </c>
      <c r="L111" s="271">
        <f t="shared" si="152"/>
        <v>154928.44134908574</v>
      </c>
      <c r="M111" s="271">
        <f t="shared" si="152"/>
        <v>0</v>
      </c>
      <c r="N111" s="271">
        <f t="shared" si="152"/>
        <v>1164007.3551572997</v>
      </c>
      <c r="O111" s="271">
        <f t="shared" si="152"/>
        <v>351896.97057921282</v>
      </c>
      <c r="P111" s="271">
        <f t="shared" si="152"/>
        <v>526433.09211001627</v>
      </c>
      <c r="Q111" s="271">
        <f t="shared" si="152"/>
        <v>3158.6653685145257</v>
      </c>
      <c r="R111" s="271">
        <f t="shared" si="152"/>
        <v>0</v>
      </c>
      <c r="S111" s="271">
        <f t="shared" si="152"/>
        <v>0</v>
      </c>
      <c r="T111" s="271">
        <f t="shared" si="152"/>
        <v>-4404.931517</v>
      </c>
      <c r="U111" s="271">
        <f t="shared" si="152"/>
        <v>0</v>
      </c>
      <c r="V111" s="271">
        <f t="shared" si="152"/>
        <v>0</v>
      </c>
      <c r="W111" s="271">
        <f t="shared" si="152"/>
        <v>0</v>
      </c>
      <c r="X111" s="271">
        <f t="shared" si="152"/>
        <v>0</v>
      </c>
      <c r="Y111" s="271">
        <f t="shared" si="152"/>
        <v>0</v>
      </c>
    </row>
    <row r="112" spans="3:25" x14ac:dyDescent="0.25">
      <c r="C112" s="86"/>
      <c r="D112" s="98"/>
      <c r="E112" s="98"/>
      <c r="G112" s="108"/>
      <c r="H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</row>
    <row r="113" spans="3:27" x14ac:dyDescent="0.25">
      <c r="C113" s="7" t="str">
        <f ca="1">INDEX('Version control'!$H$34:$H$58,MATCH($A$1,'Version control'!$F$34:$F$58,0),1)&amp;"-E: Net revenue summary (for information only)"</f>
        <v>Input 505-E: Net revenue summary (for information only)</v>
      </c>
      <c r="D113" s="7"/>
      <c r="E113" s="7"/>
      <c r="F113" s="7"/>
      <c r="G113" s="7"/>
      <c r="H113" s="243"/>
      <c r="I113" s="7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7"/>
      <c r="AA113" s="7"/>
    </row>
    <row r="114" spans="3:27" x14ac:dyDescent="0.25">
      <c r="F114" s="88"/>
      <c r="G114" s="168"/>
      <c r="H114" s="277"/>
      <c r="I114" s="88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</row>
    <row r="115" spans="3:27" x14ac:dyDescent="0.25">
      <c r="E115" s="295" t="s">
        <v>191</v>
      </c>
      <c r="G115" s="108" t="s">
        <v>107</v>
      </c>
      <c r="H115" s="432">
        <f>H73</f>
        <v>362286149.98902923</v>
      </c>
      <c r="J115" s="234"/>
      <c r="K115" s="234"/>
      <c r="L115" s="234"/>
      <c r="M115" s="234"/>
      <c r="N115" s="234"/>
      <c r="O115" s="234"/>
      <c r="P115" s="234"/>
      <c r="Q115" s="234"/>
      <c r="R115" s="234"/>
      <c r="S115" s="234"/>
      <c r="T115" s="234"/>
      <c r="U115" s="234"/>
      <c r="V115" s="234"/>
      <c r="W115" s="234"/>
      <c r="X115" s="234"/>
      <c r="Y115" s="234"/>
    </row>
    <row r="116" spans="3:27" x14ac:dyDescent="0.25">
      <c r="E116" s="295" t="s">
        <v>713</v>
      </c>
      <c r="G116" s="108" t="s">
        <v>107</v>
      </c>
      <c r="H116" s="432">
        <f t="shared" ref="H116:H119" si="153">H74</f>
        <v>218115580.96975446</v>
      </c>
      <c r="J116" s="234"/>
      <c r="K116" s="234"/>
      <c r="L116" s="234"/>
      <c r="M116" s="234"/>
      <c r="N116" s="234"/>
      <c r="O116" s="234"/>
      <c r="P116" s="234"/>
      <c r="Q116" s="234"/>
      <c r="R116" s="234"/>
      <c r="S116" s="234"/>
      <c r="T116" s="234"/>
      <c r="U116" s="234"/>
      <c r="V116" s="234"/>
      <c r="W116" s="234"/>
      <c r="X116" s="234"/>
      <c r="Y116" s="234"/>
    </row>
    <row r="117" spans="3:27" x14ac:dyDescent="0.25">
      <c r="E117" s="295" t="s">
        <v>1152</v>
      </c>
      <c r="G117" s="108" t="s">
        <v>107</v>
      </c>
      <c r="H117" s="432">
        <f t="shared" si="153"/>
        <v>142706482.98676988</v>
      </c>
      <c r="J117" s="234"/>
      <c r="K117" s="234"/>
      <c r="L117" s="234"/>
      <c r="M117" s="234"/>
      <c r="N117" s="234"/>
      <c r="O117" s="234"/>
      <c r="P117" s="234"/>
      <c r="Q117" s="234"/>
      <c r="R117" s="234"/>
      <c r="S117" s="234"/>
      <c r="T117" s="234"/>
      <c r="U117" s="234"/>
      <c r="V117" s="234"/>
      <c r="W117" s="234"/>
      <c r="X117" s="234"/>
      <c r="Y117" s="234"/>
    </row>
    <row r="118" spans="3:27" x14ac:dyDescent="0.25">
      <c r="E118" s="295" t="s">
        <v>1153</v>
      </c>
      <c r="G118" s="108" t="s">
        <v>107</v>
      </c>
      <c r="H118" s="432">
        <f t="shared" si="153"/>
        <v>1463627.1755684088</v>
      </c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</row>
    <row r="119" spans="3:27" x14ac:dyDescent="0.25">
      <c r="E119" s="295" t="s">
        <v>1154</v>
      </c>
      <c r="G119" s="108" t="s">
        <v>107</v>
      </c>
      <c r="H119" s="432">
        <f t="shared" si="153"/>
        <v>458.85693646552426</v>
      </c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</row>
    <row r="120" spans="3:27" x14ac:dyDescent="0.25">
      <c r="E120" s="295" t="s">
        <v>714</v>
      </c>
      <c r="G120" s="108" t="s">
        <v>107</v>
      </c>
      <c r="H120" s="432">
        <f>SUM(H91,H101,H111) - SUM(H116:H118)</f>
        <v>7733.3235955834389</v>
      </c>
      <c r="J120" s="234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</row>
    <row r="121" spans="3:27" x14ac:dyDescent="0.25">
      <c r="E121" s="73" t="s">
        <v>716</v>
      </c>
      <c r="F121" s="73"/>
      <c r="G121" s="169" t="s">
        <v>107</v>
      </c>
      <c r="H121" s="288">
        <f>SUM(H116:H120)</f>
        <v>362293883.31262481</v>
      </c>
      <c r="J121" s="234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</row>
    <row r="122" spans="3:27" x14ac:dyDescent="0.25">
      <c r="G122" s="108"/>
      <c r="H122" s="234"/>
      <c r="J122" s="234"/>
      <c r="K122" s="234"/>
      <c r="L122" s="234"/>
      <c r="M122" s="234"/>
      <c r="N122" s="234"/>
      <c r="O122" s="234"/>
      <c r="P122" s="234"/>
      <c r="Q122" s="234"/>
      <c r="R122" s="234"/>
      <c r="S122" s="234"/>
      <c r="T122" s="234"/>
      <c r="U122" s="234"/>
      <c r="V122" s="234"/>
      <c r="W122" s="234"/>
      <c r="X122" s="234"/>
      <c r="Y122" s="234"/>
    </row>
    <row r="123" spans="3:27" x14ac:dyDescent="0.25">
      <c r="E123" s="295" t="s">
        <v>715</v>
      </c>
      <c r="G123" s="108" t="s">
        <v>107</v>
      </c>
      <c r="H123" s="433">
        <f>H121 - H115</f>
        <v>7733.3235955834389</v>
      </c>
      <c r="J123" s="234"/>
      <c r="K123" s="234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</row>
    <row r="124" spans="3:27" x14ac:dyDescent="0.25">
      <c r="E124" s="295" t="s">
        <v>715</v>
      </c>
      <c r="G124" s="108" t="s">
        <v>94</v>
      </c>
      <c r="H124" s="434">
        <f>(H121 - H115) / H115</f>
        <v>2.1345899079546981E-5</v>
      </c>
      <c r="J124" s="234"/>
      <c r="K124" s="234"/>
      <c r="L124" s="234"/>
      <c r="M124" s="234"/>
      <c r="N124" s="234"/>
      <c r="O124" s="234"/>
      <c r="P124" s="234"/>
      <c r="Q124" s="234"/>
      <c r="R124" s="234"/>
      <c r="S124" s="234"/>
      <c r="T124" s="234"/>
      <c r="U124" s="234"/>
      <c r="V124" s="234"/>
      <c r="W124" s="234"/>
      <c r="X124" s="234"/>
      <c r="Y124" s="234"/>
    </row>
    <row r="125" spans="3:27" x14ac:dyDescent="0.25">
      <c r="C125" s="86"/>
      <c r="D125" s="98"/>
      <c r="E125" s="98"/>
      <c r="G125" s="108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</row>
    <row r="126" spans="3:27" x14ac:dyDescent="0.25">
      <c r="C126" s="7" t="str">
        <f ca="1">INDEX('Version control'!$H$34:$H$58,MATCH($A$1,'Version control'!$F$34:$F$58,0),1)&amp;"-F: Typical bills"</f>
        <v>Input 505-F: Typical bills</v>
      </c>
      <c r="D126" s="7"/>
      <c r="E126" s="7"/>
      <c r="F126" s="7"/>
      <c r="G126" s="7"/>
      <c r="H126" s="7"/>
      <c r="I126" s="7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7"/>
      <c r="AA126" s="7"/>
    </row>
    <row r="127" spans="3:27" x14ac:dyDescent="0.25">
      <c r="F127" s="88"/>
      <c r="G127" s="168"/>
      <c r="H127" s="88"/>
      <c r="I127" s="88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</row>
    <row r="128" spans="3:27" x14ac:dyDescent="0.25">
      <c r="E128" s="295" t="s">
        <v>585</v>
      </c>
      <c r="G128" s="108" t="s">
        <v>788</v>
      </c>
      <c r="H128" s="295" t="s">
        <v>318</v>
      </c>
      <c r="J128" s="234">
        <f t="shared" ref="J128:Y128" si="154" xml:space="preserve"> IF( J19 &lt;&gt; 0, J91 / J19, "")</f>
        <v>123.29885524476033</v>
      </c>
      <c r="K128" s="234">
        <f t="shared" si="154"/>
        <v>56.460645492611093</v>
      </c>
      <c r="L128" s="234">
        <f t="shared" si="154"/>
        <v>617.76942271789153</v>
      </c>
      <c r="M128" s="234">
        <f t="shared" si="154"/>
        <v>84.816147919815521</v>
      </c>
      <c r="N128" s="234">
        <f t="shared" si="154"/>
        <v>6413.4668585520076</v>
      </c>
      <c r="O128" s="234">
        <f t="shared" si="154"/>
        <v>13163.097209505262</v>
      </c>
      <c r="P128" s="234">
        <f t="shared" si="154"/>
        <v>62673.195486571065</v>
      </c>
      <c r="Q128" s="234">
        <f t="shared" si="154"/>
        <v>8636.9233111715457</v>
      </c>
      <c r="R128" s="234">
        <f t="shared" si="154"/>
        <v>-96.102137167314694</v>
      </c>
      <c r="S128" s="234">
        <f t="shared" si="154"/>
        <v>-184.92107641649656</v>
      </c>
      <c r="T128" s="234">
        <f t="shared" si="154"/>
        <v>-2201.9517661424238</v>
      </c>
      <c r="U128" s="234" t="str">
        <f t="shared" si="154"/>
        <v/>
      </c>
      <c r="V128" s="234">
        <f t="shared" si="154"/>
        <v>-4288.8327207787979</v>
      </c>
      <c r="W128" s="234" t="str">
        <f t="shared" si="154"/>
        <v/>
      </c>
      <c r="X128" s="234">
        <f t="shared" si="154"/>
        <v>-24583.397880757071</v>
      </c>
      <c r="Y128" s="234" t="str">
        <f t="shared" si="154"/>
        <v/>
      </c>
    </row>
    <row r="129" spans="2:27" x14ac:dyDescent="0.25">
      <c r="E129" s="295" t="s">
        <v>586</v>
      </c>
      <c r="G129" s="108" t="s">
        <v>788</v>
      </c>
      <c r="H129" s="295" t="s">
        <v>146</v>
      </c>
      <c r="J129" s="234">
        <f t="shared" ref="J129:Y129" si="155" xml:space="preserve"> IF( J28 &lt;&gt; 0, J101 / J28, "")</f>
        <v>64.158044758823848</v>
      </c>
      <c r="K129" s="234" t="str">
        <f t="shared" si="155"/>
        <v/>
      </c>
      <c r="L129" s="234">
        <f t="shared" si="155"/>
        <v>197.05240326074568</v>
      </c>
      <c r="M129" s="234" t="str">
        <f t="shared" si="155"/>
        <v/>
      </c>
      <c r="N129" s="234">
        <f t="shared" si="155"/>
        <v>4606.6470307456211</v>
      </c>
      <c r="O129" s="234" t="str">
        <f t="shared" si="155"/>
        <v/>
      </c>
      <c r="P129" s="234" t="str">
        <f t="shared" si="155"/>
        <v/>
      </c>
      <c r="Q129" s="234">
        <f t="shared" si="155"/>
        <v>240.93490302583845</v>
      </c>
      <c r="R129" s="234" t="str">
        <f t="shared" si="155"/>
        <v/>
      </c>
      <c r="S129" s="234" t="str">
        <f t="shared" si="155"/>
        <v/>
      </c>
      <c r="T129" s="234" t="str">
        <f t="shared" si="155"/>
        <v/>
      </c>
      <c r="U129" s="234" t="str">
        <f t="shared" si="155"/>
        <v/>
      </c>
      <c r="V129" s="234" t="str">
        <f t="shared" si="155"/>
        <v/>
      </c>
      <c r="W129" s="234" t="str">
        <f t="shared" si="155"/>
        <v/>
      </c>
      <c r="X129" s="234" t="str">
        <f t="shared" si="155"/>
        <v/>
      </c>
      <c r="Y129" s="234" t="str">
        <f t="shared" si="155"/>
        <v/>
      </c>
    </row>
    <row r="130" spans="2:27" x14ac:dyDescent="0.25">
      <c r="E130" s="295" t="s">
        <v>587</v>
      </c>
      <c r="G130" s="108" t="s">
        <v>788</v>
      </c>
      <c r="H130" s="295" t="s">
        <v>147</v>
      </c>
      <c r="J130" s="234">
        <f t="shared" ref="J130:Y130" si="156" xml:space="preserve"> IF( J37 &lt;&gt; 0, J111 / J37, "")</f>
        <v>47.746581359955741</v>
      </c>
      <c r="K130" s="234" t="str">
        <f t="shared" si="156"/>
        <v/>
      </c>
      <c r="L130" s="234">
        <f t="shared" si="156"/>
        <v>254.39809745334276</v>
      </c>
      <c r="M130" s="234" t="str">
        <f t="shared" si="156"/>
        <v/>
      </c>
      <c r="N130" s="234">
        <f t="shared" si="156"/>
        <v>5439.2867063425219</v>
      </c>
      <c r="O130" s="234">
        <f t="shared" si="156"/>
        <v>17594.84852896064</v>
      </c>
      <c r="P130" s="234">
        <f t="shared" si="156"/>
        <v>29246.282895000902</v>
      </c>
      <c r="Q130" s="234">
        <f t="shared" si="156"/>
        <v>63.173307370290516</v>
      </c>
      <c r="R130" s="234" t="str">
        <f t="shared" si="156"/>
        <v/>
      </c>
      <c r="S130" s="234" t="str">
        <f t="shared" si="156"/>
        <v/>
      </c>
      <c r="T130" s="234" t="str">
        <f t="shared" si="156"/>
        <v/>
      </c>
      <c r="U130" s="234" t="str">
        <f t="shared" si="156"/>
        <v/>
      </c>
      <c r="V130" s="234" t="str">
        <f t="shared" si="156"/>
        <v/>
      </c>
      <c r="W130" s="234" t="str">
        <f t="shared" si="156"/>
        <v/>
      </c>
      <c r="X130" s="234" t="str">
        <f t="shared" si="156"/>
        <v/>
      </c>
      <c r="Y130" s="234" t="str">
        <f t="shared" si="156"/>
        <v/>
      </c>
    </row>
    <row r="131" spans="2:27" x14ac:dyDescent="0.25">
      <c r="D131" s="98"/>
      <c r="E131" s="98"/>
      <c r="G131" s="108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</row>
    <row r="132" spans="2:27" x14ac:dyDescent="0.25">
      <c r="B132" s="95" t="s">
        <v>109</v>
      </c>
      <c r="C132" s="95"/>
      <c r="D132" s="95"/>
      <c r="E132" s="95"/>
      <c r="F132" s="95"/>
      <c r="G132" s="128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2:27" x14ac:dyDescent="0.25">
      <c r="F133" s="88"/>
      <c r="G133" s="168"/>
      <c r="H133" s="88"/>
      <c r="I133" s="88"/>
    </row>
    <row r="134" spans="2:27" x14ac:dyDescent="0.25">
      <c r="D134" s="295" t="s">
        <v>516</v>
      </c>
      <c r="G134" s="122" t="s">
        <v>692</v>
      </c>
      <c r="H134" s="152">
        <f t="array" ref="H134">SUM(IF(ISERROR($H$13:$Z$131), 1))</f>
        <v>0</v>
      </c>
      <c r="I134" s="88"/>
    </row>
    <row r="135" spans="2:27" x14ac:dyDescent="0.25">
      <c r="F135" s="88"/>
      <c r="G135" s="88"/>
      <c r="H135" s="88"/>
      <c r="I135" s="88"/>
    </row>
    <row r="136" spans="2:27" x14ac:dyDescent="0.25">
      <c r="B136" s="95" t="s">
        <v>110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</sheetData>
  <sheetProtection sheet="1" objects="1" formatCells="0" formatColumns="0" formatRows="0" sort="0" autoFilter="0"/>
  <conditionalFormatting sqref="H134">
    <cfRule type="cellIs" dxfId="14" priority="10" operator="greaterThan">
      <formula>0</formula>
    </cfRule>
  </conditionalFormatting>
  <conditionalFormatting sqref="A4:I4 Z4:XFD4">
    <cfRule type="expression" dxfId="13" priority="9">
      <formula>LEFT($A$4,1) &lt;&gt; "0"</formula>
    </cfRule>
  </conditionalFormatting>
  <conditionalFormatting sqref="N4:P4">
    <cfRule type="expression" dxfId="12" priority="8">
      <formula>LEFT($A$4,1) &lt;&gt; "0"</formula>
    </cfRule>
  </conditionalFormatting>
  <conditionalFormatting sqref="L4:M4">
    <cfRule type="expression" dxfId="11" priority="7">
      <formula>LEFT($A$4,1) &lt;&gt; "0"</formula>
    </cfRule>
  </conditionalFormatting>
  <conditionalFormatting sqref="J4:K4">
    <cfRule type="expression" dxfId="10" priority="6">
      <formula>LEFT($A$4,1) &lt;&gt; "0"</formula>
    </cfRule>
  </conditionalFormatting>
  <conditionalFormatting sqref="Q4">
    <cfRule type="expression" dxfId="9" priority="5">
      <formula>LEFT($A$4,1) &lt;&gt; "0"</formula>
    </cfRule>
  </conditionalFormatting>
  <conditionalFormatting sqref="R4:S4">
    <cfRule type="expression" dxfId="8" priority="4">
      <formula>LEFT($A$4,1) &lt;&gt; "0"</formula>
    </cfRule>
  </conditionalFormatting>
  <conditionalFormatting sqref="T4:U4">
    <cfRule type="expression" dxfId="7" priority="3">
      <formula>LEFT($A$4,1) &lt;&gt; "0"</formula>
    </cfRule>
  </conditionalFormatting>
  <conditionalFormatting sqref="V4:W4">
    <cfRule type="expression" dxfId="6" priority="2">
      <formula>LEFT($A$4,1) &lt;&gt; "0"</formula>
    </cfRule>
  </conditionalFormatting>
  <conditionalFormatting sqref="X4:Y4">
    <cfRule type="expression" dxfId="5" priority="1">
      <formula>LEFT($A$4,1) &lt;&gt; "0"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16:Y40 J45:Y69" xr:uid="{00000000-0002-0000-2200-000000000000}">
      <formula1>0</formula1>
    </dataValidation>
  </dataValidations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  <pageSetUpPr fitToPage="1"/>
  </sheetPr>
  <dimension ref="A1:S6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F5" sqref="F5"/>
    </sheetView>
  </sheetViews>
  <sheetFormatPr defaultColWidth="9.5703125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6" width="17" style="85" customWidth="1"/>
    <col min="17" max="17" width="2.28515625" style="85" customWidth="1"/>
    <col min="18" max="18" width="19.28515625" style="85" bestFit="1" customWidth="1"/>
    <col min="19" max="19" width="2.28515625" style="295" customWidth="1"/>
    <col min="20" max="16384" width="9.5703125" style="85"/>
  </cols>
  <sheetData>
    <row r="1" spans="1:19" s="10" customFormat="1" x14ac:dyDescent="0.25">
      <c r="A1" s="10" t="str">
        <f ca="1">MID(CELL("filename",A1),FIND("]",CELL("filename",A1))+1,255)</f>
        <v>Tariff summary</v>
      </c>
    </row>
    <row r="2" spans="1:19" s="10" customFormat="1" x14ac:dyDescent="0.25">
      <c r="A2" s="10" t="str">
        <f>Cover!D21&amp;" - "&amp;Cover!D23</f>
        <v>SP Manweb - One</v>
      </c>
    </row>
    <row r="3" spans="1:19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19" s="195" customFormat="1" x14ac:dyDescent="0.25">
      <c r="A4" s="229" t="str">
        <f>H353 &amp; IF(H353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</row>
    <row r="5" spans="1:19" ht="45" x14ac:dyDescent="0.25">
      <c r="B5" s="134" t="s">
        <v>552</v>
      </c>
      <c r="C5" s="9"/>
      <c r="D5" s="9"/>
      <c r="E5" s="9"/>
      <c r="F5" s="9"/>
      <c r="G5" s="1"/>
      <c r="H5" s="1" t="s">
        <v>635</v>
      </c>
      <c r="J5" s="2" t="s">
        <v>338</v>
      </c>
      <c r="K5" s="2" t="s">
        <v>337</v>
      </c>
      <c r="L5" s="2" t="s">
        <v>336</v>
      </c>
      <c r="M5" s="2" t="s">
        <v>335</v>
      </c>
      <c r="N5" s="2" t="s">
        <v>334</v>
      </c>
      <c r="O5" s="2" t="s">
        <v>333</v>
      </c>
      <c r="P5" s="2" t="s">
        <v>332</v>
      </c>
      <c r="R5" s="1" t="s">
        <v>93</v>
      </c>
    </row>
    <row r="7" spans="1:19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889</v>
      </c>
    </row>
    <row r="10" spans="1:19" x14ac:dyDescent="0.25">
      <c r="C10" s="82" t="s">
        <v>890</v>
      </c>
    </row>
    <row r="11" spans="1:19" x14ac:dyDescent="0.25">
      <c r="C11" s="82" t="s">
        <v>609</v>
      </c>
    </row>
    <row r="13" spans="1:19" s="195" customFormat="1" x14ac:dyDescent="0.25">
      <c r="B13" s="95" t="s">
        <v>537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  <c r="S13" s="295"/>
    </row>
    <row r="14" spans="1:19" s="195" customFormat="1" x14ac:dyDescent="0.25">
      <c r="S14" s="295"/>
    </row>
    <row r="15" spans="1:19" x14ac:dyDescent="0.25">
      <c r="C15" s="7" t="str">
        <f ca="1">INDEX('Version control'!$H$34:$H$60,MATCH($A$1,'Version control'!$F$34:$F$60,0),1)&amp;"-A: Live tariff results (" &amp; charging_year_selected &amp; ")"</f>
        <v>Input 506-A: Live tariff results (2021/22)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9" x14ac:dyDescent="0.25">
      <c r="D16" s="85"/>
      <c r="E16" s="85"/>
    </row>
    <row r="17" spans="4:16" x14ac:dyDescent="0.25">
      <c r="D17" s="96"/>
      <c r="E17" s="96" t="str">
        <f>"All the way tariff forecast (" &amp; charging_year_selected &amp; ")"</f>
        <v>All the way tariff forecast (2021/22)</v>
      </c>
      <c r="F17" s="195"/>
    </row>
    <row r="18" spans="4:16" x14ac:dyDescent="0.25">
      <c r="F18" s="103" t="s">
        <v>1038</v>
      </c>
      <c r="G18" s="91"/>
      <c r="H18" s="91" t="s">
        <v>318</v>
      </c>
      <c r="I18" s="91"/>
      <c r="J18" s="442">
        <f t="array" ref="J18:P33">TRANSPOSE(Rounding!J130:Y136)</f>
        <v>11.481</v>
      </c>
      <c r="K18" s="442">
        <v>2.9620000000000002</v>
      </c>
      <c r="L18" s="442">
        <v>1.5629999999999999</v>
      </c>
      <c r="M18" s="341">
        <v>3.49</v>
      </c>
      <c r="N18" s="341">
        <v>0</v>
      </c>
      <c r="O18" s="341">
        <v>0</v>
      </c>
      <c r="P18" s="442">
        <v>0</v>
      </c>
    </row>
    <row r="19" spans="4:16" x14ac:dyDescent="0.25">
      <c r="F19" s="99" t="s">
        <v>1039</v>
      </c>
      <c r="G19" s="196"/>
      <c r="H19" s="196" t="s">
        <v>318</v>
      </c>
      <c r="I19" s="196"/>
      <c r="J19" s="461">
        <v>11.481</v>
      </c>
      <c r="K19" s="461">
        <v>2.9620000000000002</v>
      </c>
      <c r="L19" s="461">
        <v>1.5629999999999999</v>
      </c>
      <c r="M19" s="462">
        <v>0</v>
      </c>
      <c r="N19" s="462">
        <v>0</v>
      </c>
      <c r="O19" s="462">
        <v>0</v>
      </c>
      <c r="P19" s="461">
        <v>0</v>
      </c>
    </row>
    <row r="20" spans="4:16" x14ac:dyDescent="0.25">
      <c r="F20" s="99" t="s">
        <v>1040</v>
      </c>
      <c r="G20" s="196"/>
      <c r="H20" s="196" t="s">
        <v>318</v>
      </c>
      <c r="I20" s="196"/>
      <c r="J20" s="461">
        <v>13.929</v>
      </c>
      <c r="K20" s="461">
        <v>3.3490000000000002</v>
      </c>
      <c r="L20" s="461">
        <v>1.6120000000000001</v>
      </c>
      <c r="M20" s="462">
        <v>4.4000000000000004</v>
      </c>
      <c r="N20" s="462">
        <v>0</v>
      </c>
      <c r="O20" s="462">
        <v>0</v>
      </c>
      <c r="P20" s="461">
        <v>0</v>
      </c>
    </row>
    <row r="21" spans="4:16" x14ac:dyDescent="0.25">
      <c r="F21" s="99" t="s">
        <v>1041</v>
      </c>
      <c r="G21" s="196"/>
      <c r="H21" s="196" t="s">
        <v>318</v>
      </c>
      <c r="I21" s="196"/>
      <c r="J21" s="461">
        <v>13.929</v>
      </c>
      <c r="K21" s="461">
        <v>3.3490000000000002</v>
      </c>
      <c r="L21" s="461">
        <v>1.6120000000000001</v>
      </c>
      <c r="M21" s="462">
        <v>0</v>
      </c>
      <c r="N21" s="462">
        <v>0</v>
      </c>
      <c r="O21" s="462">
        <v>0</v>
      </c>
      <c r="P21" s="461">
        <v>0</v>
      </c>
    </row>
    <row r="22" spans="4:16" x14ac:dyDescent="0.25">
      <c r="F22" s="99" t="s">
        <v>1042</v>
      </c>
      <c r="G22" s="196"/>
      <c r="H22" s="196" t="s">
        <v>318</v>
      </c>
      <c r="I22" s="196"/>
      <c r="J22" s="461">
        <v>10.541</v>
      </c>
      <c r="K22" s="461">
        <v>2.74</v>
      </c>
      <c r="L22" s="461">
        <v>1.5489999999999999</v>
      </c>
      <c r="M22" s="462">
        <v>16.89</v>
      </c>
      <c r="N22" s="462">
        <v>2.48</v>
      </c>
      <c r="O22" s="462">
        <v>4.5199999999999996</v>
      </c>
      <c r="P22" s="461">
        <v>0.40400000000000003</v>
      </c>
    </row>
    <row r="23" spans="4:16" x14ac:dyDescent="0.25">
      <c r="F23" s="99" t="s">
        <v>1043</v>
      </c>
      <c r="G23" s="196"/>
      <c r="H23" s="196" t="s">
        <v>318</v>
      </c>
      <c r="I23" s="196"/>
      <c r="J23" s="461">
        <v>8.2289999999999992</v>
      </c>
      <c r="K23" s="461">
        <v>2.2629999999999999</v>
      </c>
      <c r="L23" s="461">
        <v>1.5089999999999999</v>
      </c>
      <c r="M23" s="462">
        <v>6.13</v>
      </c>
      <c r="N23" s="462">
        <v>5.0199999999999996</v>
      </c>
      <c r="O23" s="462">
        <v>7.01</v>
      </c>
      <c r="P23" s="461">
        <v>0.24399999999999999</v>
      </c>
    </row>
    <row r="24" spans="4:16" x14ac:dyDescent="0.25">
      <c r="F24" s="99" t="s">
        <v>1044</v>
      </c>
      <c r="G24" s="196"/>
      <c r="H24" s="196" t="s">
        <v>318</v>
      </c>
      <c r="I24" s="196"/>
      <c r="J24" s="461">
        <v>6.53</v>
      </c>
      <c r="K24" s="461">
        <v>1.9930000000000001</v>
      </c>
      <c r="L24" s="461">
        <v>1.468</v>
      </c>
      <c r="M24" s="462">
        <v>89.17</v>
      </c>
      <c r="N24" s="462">
        <v>3.92</v>
      </c>
      <c r="O24" s="462">
        <v>6.53</v>
      </c>
      <c r="P24" s="461">
        <v>0.17299999999999999</v>
      </c>
    </row>
    <row r="25" spans="4:16" x14ac:dyDescent="0.25">
      <c r="F25" s="99" t="s">
        <v>1045</v>
      </c>
      <c r="G25" s="196"/>
      <c r="H25" s="196" t="s">
        <v>318</v>
      </c>
      <c r="I25" s="196"/>
      <c r="J25" s="461">
        <v>19.542999999999999</v>
      </c>
      <c r="K25" s="461">
        <v>3.5920000000000001</v>
      </c>
      <c r="L25" s="461">
        <v>1.851</v>
      </c>
      <c r="M25" s="462">
        <v>0</v>
      </c>
      <c r="N25" s="462">
        <v>0</v>
      </c>
      <c r="O25" s="462">
        <v>0</v>
      </c>
      <c r="P25" s="461">
        <v>0</v>
      </c>
    </row>
    <row r="26" spans="4:16" x14ac:dyDescent="0.25">
      <c r="F26" s="99" t="s">
        <v>1046</v>
      </c>
      <c r="G26" s="196"/>
      <c r="H26" s="196" t="s">
        <v>318</v>
      </c>
      <c r="I26" s="196"/>
      <c r="J26" s="461">
        <v>-7.6669999999999998</v>
      </c>
      <c r="K26" s="461">
        <v>-1.2110000000000001</v>
      </c>
      <c r="L26" s="461">
        <v>-0.151</v>
      </c>
      <c r="M26" s="462">
        <v>0</v>
      </c>
      <c r="N26" s="462">
        <v>0</v>
      </c>
      <c r="O26" s="462">
        <v>0</v>
      </c>
      <c r="P26" s="461">
        <v>0</v>
      </c>
    </row>
    <row r="27" spans="4:16" x14ac:dyDescent="0.25">
      <c r="F27" s="99" t="s">
        <v>1047</v>
      </c>
      <c r="G27" s="196"/>
      <c r="H27" s="196" t="s">
        <v>318</v>
      </c>
      <c r="I27" s="196"/>
      <c r="J27" s="461">
        <v>-6.8869999999999996</v>
      </c>
      <c r="K27" s="461">
        <v>-1.0580000000000001</v>
      </c>
      <c r="L27" s="461">
        <v>-0.13700000000000001</v>
      </c>
      <c r="M27" s="462">
        <v>0</v>
      </c>
      <c r="N27" s="462">
        <v>0</v>
      </c>
      <c r="O27" s="462">
        <v>0</v>
      </c>
      <c r="P27" s="461">
        <v>0</v>
      </c>
    </row>
    <row r="28" spans="4:16" x14ac:dyDescent="0.25">
      <c r="F28" s="99" t="s">
        <v>1048</v>
      </c>
      <c r="G28" s="196"/>
      <c r="H28" s="196" t="s">
        <v>318</v>
      </c>
      <c r="I28" s="196"/>
      <c r="J28" s="461">
        <v>-7.6669999999999998</v>
      </c>
      <c r="K28" s="461">
        <v>-1.2110000000000001</v>
      </c>
      <c r="L28" s="461">
        <v>-0.151</v>
      </c>
      <c r="M28" s="462">
        <v>0</v>
      </c>
      <c r="N28" s="462">
        <v>0</v>
      </c>
      <c r="O28" s="462">
        <v>0</v>
      </c>
      <c r="P28" s="461">
        <v>0.33100000000000002</v>
      </c>
    </row>
    <row r="29" spans="4:16" x14ac:dyDescent="0.25">
      <c r="F29" s="99" t="s">
        <v>1049</v>
      </c>
      <c r="G29" s="196"/>
      <c r="H29" s="196" t="s">
        <v>318</v>
      </c>
      <c r="I29" s="196"/>
      <c r="J29" s="461">
        <v>-7.6669999999999998</v>
      </c>
      <c r="K29" s="461">
        <v>-1.2110000000000001</v>
      </c>
      <c r="L29" s="461">
        <v>-0.151</v>
      </c>
      <c r="M29" s="462">
        <v>0</v>
      </c>
      <c r="N29" s="462">
        <v>0</v>
      </c>
      <c r="O29" s="462">
        <v>0</v>
      </c>
      <c r="P29" s="461">
        <v>0</v>
      </c>
    </row>
    <row r="30" spans="4:16" x14ac:dyDescent="0.25">
      <c r="F30" s="99" t="s">
        <v>1050</v>
      </c>
      <c r="G30" s="196"/>
      <c r="H30" s="196" t="s">
        <v>318</v>
      </c>
      <c r="I30" s="196"/>
      <c r="J30" s="461">
        <v>-6.8869999999999996</v>
      </c>
      <c r="K30" s="461">
        <v>-1.0580000000000001</v>
      </c>
      <c r="L30" s="461">
        <v>-0.13700000000000001</v>
      </c>
      <c r="M30" s="462">
        <v>0</v>
      </c>
      <c r="N30" s="462">
        <v>0</v>
      </c>
      <c r="O30" s="462">
        <v>0</v>
      </c>
      <c r="P30" s="461">
        <v>0.30499999999999999</v>
      </c>
    </row>
    <row r="31" spans="4:16" x14ac:dyDescent="0.25">
      <c r="F31" s="99" t="s">
        <v>1051</v>
      </c>
      <c r="G31" s="196"/>
      <c r="H31" s="196" t="s">
        <v>318</v>
      </c>
      <c r="I31" s="196"/>
      <c r="J31" s="461">
        <v>-6.8869999999999996</v>
      </c>
      <c r="K31" s="461">
        <v>-1.0580000000000001</v>
      </c>
      <c r="L31" s="461">
        <v>-0.13700000000000001</v>
      </c>
      <c r="M31" s="462">
        <v>0</v>
      </c>
      <c r="N31" s="462">
        <v>0</v>
      </c>
      <c r="O31" s="462">
        <v>0</v>
      </c>
      <c r="P31" s="461">
        <v>0</v>
      </c>
    </row>
    <row r="32" spans="4:16" x14ac:dyDescent="0.25">
      <c r="F32" s="99" t="s">
        <v>1052</v>
      </c>
      <c r="G32" s="196"/>
      <c r="H32" s="196" t="s">
        <v>318</v>
      </c>
      <c r="I32" s="196"/>
      <c r="J32" s="461">
        <v>-4.8609999999999998</v>
      </c>
      <c r="K32" s="461">
        <v>-0.625</v>
      </c>
      <c r="L32" s="461">
        <v>-9.9000000000000005E-2</v>
      </c>
      <c r="M32" s="462">
        <v>64.930000000000007</v>
      </c>
      <c r="N32" s="462">
        <v>0</v>
      </c>
      <c r="O32" s="462">
        <v>0</v>
      </c>
      <c r="P32" s="461">
        <v>0.23200000000000001</v>
      </c>
    </row>
    <row r="33" spans="4:16" x14ac:dyDescent="0.25">
      <c r="F33" s="100" t="s">
        <v>1053</v>
      </c>
      <c r="G33" s="93"/>
      <c r="H33" s="93" t="s">
        <v>318</v>
      </c>
      <c r="I33" s="93"/>
      <c r="J33" s="444">
        <v>-4.8609999999999998</v>
      </c>
      <c r="K33" s="444">
        <v>-0.625</v>
      </c>
      <c r="L33" s="444">
        <v>-9.9000000000000005E-2</v>
      </c>
      <c r="M33" s="343">
        <v>64.930000000000007</v>
      </c>
      <c r="N33" s="343">
        <v>0</v>
      </c>
      <c r="O33" s="343">
        <v>0</v>
      </c>
      <c r="P33" s="444">
        <v>0</v>
      </c>
    </row>
    <row r="34" spans="4:16" x14ac:dyDescent="0.25">
      <c r="F34" s="98"/>
      <c r="J34" s="344"/>
      <c r="K34" s="344"/>
      <c r="L34" s="344"/>
      <c r="M34" s="344"/>
      <c r="N34" s="344"/>
      <c r="O34" s="344"/>
      <c r="P34" s="445"/>
    </row>
    <row r="35" spans="4:16" x14ac:dyDescent="0.25">
      <c r="D35" s="96"/>
      <c r="E35" s="96" t="str">
        <f>"LDNO LV tariff forecast (" &amp; charging_year_selected &amp; ")"</f>
        <v>LDNO LV tariff forecast (2021/22)</v>
      </c>
      <c r="F35" s="98"/>
      <c r="J35" s="344"/>
      <c r="K35" s="344"/>
      <c r="L35" s="344"/>
      <c r="M35" s="344"/>
      <c r="N35" s="344"/>
      <c r="O35" s="344"/>
      <c r="P35" s="445"/>
    </row>
    <row r="36" spans="4:16" x14ac:dyDescent="0.25">
      <c r="F36" s="103" t="s">
        <v>1038</v>
      </c>
      <c r="G36" s="91"/>
      <c r="H36" s="91" t="s">
        <v>146</v>
      </c>
      <c r="I36" s="91"/>
      <c r="J36" s="442">
        <f t="array" ref="J36:P51">TRANSPOSE(Rounding!J139:Y145)</f>
        <v>7.1180000000000003</v>
      </c>
      <c r="K36" s="442">
        <v>1.8360000000000001</v>
      </c>
      <c r="L36" s="442">
        <v>0.96899999999999997</v>
      </c>
      <c r="M36" s="341">
        <v>2.2599999999999998</v>
      </c>
      <c r="N36" s="341">
        <v>0</v>
      </c>
      <c r="O36" s="341">
        <v>0</v>
      </c>
      <c r="P36" s="442">
        <v>0</v>
      </c>
    </row>
    <row r="37" spans="4:16" x14ac:dyDescent="0.25">
      <c r="F37" s="99" t="s">
        <v>1039</v>
      </c>
      <c r="G37" s="92"/>
      <c r="H37" s="92" t="s">
        <v>146</v>
      </c>
      <c r="I37" s="92"/>
      <c r="J37" s="461">
        <v>7.1180000000000003</v>
      </c>
      <c r="K37" s="461">
        <v>1.8360000000000001</v>
      </c>
      <c r="L37" s="461">
        <v>0.96899999999999997</v>
      </c>
      <c r="M37" s="462">
        <v>0</v>
      </c>
      <c r="N37" s="462">
        <v>0</v>
      </c>
      <c r="O37" s="462">
        <v>0</v>
      </c>
      <c r="P37" s="461">
        <v>0</v>
      </c>
    </row>
    <row r="38" spans="4:16" x14ac:dyDescent="0.25">
      <c r="F38" s="99" t="s">
        <v>1040</v>
      </c>
      <c r="G38" s="92"/>
      <c r="H38" s="92" t="s">
        <v>146</v>
      </c>
      <c r="I38" s="92"/>
      <c r="J38" s="461">
        <v>8.6359999999999992</v>
      </c>
      <c r="K38" s="461">
        <v>2.0760000000000001</v>
      </c>
      <c r="L38" s="461">
        <v>0.999</v>
      </c>
      <c r="M38" s="462">
        <v>2.82</v>
      </c>
      <c r="N38" s="462">
        <v>0</v>
      </c>
      <c r="O38" s="462">
        <v>0</v>
      </c>
      <c r="P38" s="461">
        <v>0</v>
      </c>
    </row>
    <row r="39" spans="4:16" x14ac:dyDescent="0.25">
      <c r="F39" s="99" t="s">
        <v>1041</v>
      </c>
      <c r="G39" s="92"/>
      <c r="H39" s="92" t="s">
        <v>146</v>
      </c>
      <c r="I39" s="92"/>
      <c r="J39" s="461">
        <v>8.6359999999999992</v>
      </c>
      <c r="K39" s="461">
        <v>2.0760000000000001</v>
      </c>
      <c r="L39" s="461">
        <v>0.999</v>
      </c>
      <c r="M39" s="462">
        <v>0</v>
      </c>
      <c r="N39" s="462">
        <v>0</v>
      </c>
      <c r="O39" s="462">
        <v>0</v>
      </c>
      <c r="P39" s="461">
        <v>0</v>
      </c>
    </row>
    <row r="40" spans="4:16" x14ac:dyDescent="0.25">
      <c r="F40" s="99" t="s">
        <v>1042</v>
      </c>
      <c r="G40" s="92"/>
      <c r="H40" s="92" t="s">
        <v>146</v>
      </c>
      <c r="I40" s="92"/>
      <c r="J40" s="461">
        <v>6.5350000000000001</v>
      </c>
      <c r="K40" s="461">
        <v>1.6990000000000001</v>
      </c>
      <c r="L40" s="461">
        <v>0.96</v>
      </c>
      <c r="M40" s="462">
        <v>10.57</v>
      </c>
      <c r="N40" s="462">
        <v>1.54</v>
      </c>
      <c r="O40" s="462">
        <v>2.8</v>
      </c>
      <c r="P40" s="461">
        <v>0.25</v>
      </c>
    </row>
    <row r="41" spans="4:16" x14ac:dyDescent="0.25">
      <c r="F41" s="99" t="s">
        <v>1043</v>
      </c>
      <c r="G41" s="92"/>
      <c r="H41" s="92" t="s">
        <v>146</v>
      </c>
      <c r="I41" s="92"/>
      <c r="J41" s="463">
        <v>0</v>
      </c>
      <c r="K41" s="463">
        <v>0</v>
      </c>
      <c r="L41" s="463">
        <v>0</v>
      </c>
      <c r="M41" s="464">
        <v>0</v>
      </c>
      <c r="N41" s="464">
        <v>0</v>
      </c>
      <c r="O41" s="464">
        <v>0</v>
      </c>
      <c r="P41" s="463">
        <v>0</v>
      </c>
    </row>
    <row r="42" spans="4:16" x14ac:dyDescent="0.25">
      <c r="F42" s="99" t="s">
        <v>1044</v>
      </c>
      <c r="G42" s="92"/>
      <c r="H42" s="92" t="s">
        <v>146</v>
      </c>
      <c r="I42" s="92"/>
      <c r="J42" s="463">
        <v>0</v>
      </c>
      <c r="K42" s="463">
        <v>0</v>
      </c>
      <c r="L42" s="463">
        <v>0</v>
      </c>
      <c r="M42" s="464">
        <v>0</v>
      </c>
      <c r="N42" s="464">
        <v>0</v>
      </c>
      <c r="O42" s="464">
        <v>0</v>
      </c>
      <c r="P42" s="463">
        <v>0</v>
      </c>
    </row>
    <row r="43" spans="4:16" x14ac:dyDescent="0.25">
      <c r="F43" s="99" t="s">
        <v>1045</v>
      </c>
      <c r="G43" s="92"/>
      <c r="H43" s="92" t="s">
        <v>146</v>
      </c>
      <c r="I43" s="92"/>
      <c r="J43" s="461">
        <v>12.116</v>
      </c>
      <c r="K43" s="461">
        <v>2.2269999999999999</v>
      </c>
      <c r="L43" s="461">
        <v>1.1479999999999999</v>
      </c>
      <c r="M43" s="462">
        <v>0</v>
      </c>
      <c r="N43" s="462">
        <v>0</v>
      </c>
      <c r="O43" s="462">
        <v>0</v>
      </c>
      <c r="P43" s="461">
        <v>0</v>
      </c>
    </row>
    <row r="44" spans="4:16" x14ac:dyDescent="0.25">
      <c r="F44" s="99" t="s">
        <v>1046</v>
      </c>
      <c r="G44" s="92"/>
      <c r="H44" s="92" t="s">
        <v>146</v>
      </c>
      <c r="I44" s="92"/>
      <c r="J44" s="461">
        <v>-7.6669999999999998</v>
      </c>
      <c r="K44" s="461">
        <v>-1.2110000000000001</v>
      </c>
      <c r="L44" s="461">
        <v>-0.151</v>
      </c>
      <c r="M44" s="462">
        <v>0</v>
      </c>
      <c r="N44" s="462">
        <v>0</v>
      </c>
      <c r="O44" s="462">
        <v>0</v>
      </c>
      <c r="P44" s="461">
        <v>0</v>
      </c>
    </row>
    <row r="45" spans="4:16" x14ac:dyDescent="0.25">
      <c r="F45" s="99" t="s">
        <v>1047</v>
      </c>
      <c r="G45" s="92"/>
      <c r="H45" s="92" t="s">
        <v>146</v>
      </c>
      <c r="I45" s="92"/>
      <c r="J45" s="463">
        <v>0</v>
      </c>
      <c r="K45" s="463">
        <v>0</v>
      </c>
      <c r="L45" s="463">
        <v>0</v>
      </c>
      <c r="M45" s="464">
        <v>0</v>
      </c>
      <c r="N45" s="464">
        <v>0</v>
      </c>
      <c r="O45" s="464">
        <v>0</v>
      </c>
      <c r="P45" s="463">
        <v>0</v>
      </c>
    </row>
    <row r="46" spans="4:16" x14ac:dyDescent="0.25">
      <c r="F46" s="99" t="s">
        <v>1048</v>
      </c>
      <c r="G46" s="92"/>
      <c r="H46" s="92" t="s">
        <v>146</v>
      </c>
      <c r="I46" s="92"/>
      <c r="J46" s="461">
        <v>-7.6669999999999998</v>
      </c>
      <c r="K46" s="461">
        <v>-1.2110000000000001</v>
      </c>
      <c r="L46" s="461">
        <v>-0.151</v>
      </c>
      <c r="M46" s="462">
        <v>0</v>
      </c>
      <c r="N46" s="462">
        <v>0</v>
      </c>
      <c r="O46" s="462">
        <v>0</v>
      </c>
      <c r="P46" s="461">
        <v>0.33100000000000002</v>
      </c>
    </row>
    <row r="47" spans="4:16" x14ac:dyDescent="0.25">
      <c r="F47" s="99" t="s">
        <v>1049</v>
      </c>
      <c r="G47" s="92"/>
      <c r="H47" s="92" t="s">
        <v>146</v>
      </c>
      <c r="I47" s="92"/>
      <c r="J47" s="463">
        <v>0</v>
      </c>
      <c r="K47" s="463">
        <v>0</v>
      </c>
      <c r="L47" s="463">
        <v>0</v>
      </c>
      <c r="M47" s="464">
        <v>0</v>
      </c>
      <c r="N47" s="464">
        <v>0</v>
      </c>
      <c r="O47" s="464">
        <v>0</v>
      </c>
      <c r="P47" s="463">
        <v>0</v>
      </c>
    </row>
    <row r="48" spans="4:16" x14ac:dyDescent="0.25">
      <c r="F48" s="99" t="s">
        <v>1050</v>
      </c>
      <c r="G48" s="92"/>
      <c r="H48" s="92" t="s">
        <v>146</v>
      </c>
      <c r="I48" s="92"/>
      <c r="J48" s="463">
        <v>0</v>
      </c>
      <c r="K48" s="463">
        <v>0</v>
      </c>
      <c r="L48" s="463">
        <v>0</v>
      </c>
      <c r="M48" s="464">
        <v>0</v>
      </c>
      <c r="N48" s="464">
        <v>0</v>
      </c>
      <c r="O48" s="464">
        <v>0</v>
      </c>
      <c r="P48" s="463">
        <v>0</v>
      </c>
    </row>
    <row r="49" spans="4:18" x14ac:dyDescent="0.25">
      <c r="F49" s="99" t="s">
        <v>1051</v>
      </c>
      <c r="G49" s="92"/>
      <c r="H49" s="92" t="s">
        <v>146</v>
      </c>
      <c r="I49" s="92"/>
      <c r="J49" s="463">
        <v>0</v>
      </c>
      <c r="K49" s="463">
        <v>0</v>
      </c>
      <c r="L49" s="463">
        <v>0</v>
      </c>
      <c r="M49" s="464">
        <v>0</v>
      </c>
      <c r="N49" s="464">
        <v>0</v>
      </c>
      <c r="O49" s="464">
        <v>0</v>
      </c>
      <c r="P49" s="463">
        <v>0</v>
      </c>
    </row>
    <row r="50" spans="4:18" x14ac:dyDescent="0.25">
      <c r="F50" s="99" t="s">
        <v>1052</v>
      </c>
      <c r="G50" s="92"/>
      <c r="H50" s="92" t="s">
        <v>146</v>
      </c>
      <c r="I50" s="92"/>
      <c r="J50" s="463">
        <v>0</v>
      </c>
      <c r="K50" s="463">
        <v>0</v>
      </c>
      <c r="L50" s="463">
        <v>0</v>
      </c>
      <c r="M50" s="464">
        <v>0</v>
      </c>
      <c r="N50" s="464">
        <v>0</v>
      </c>
      <c r="O50" s="464">
        <v>0</v>
      </c>
      <c r="P50" s="463">
        <v>0</v>
      </c>
    </row>
    <row r="51" spans="4:18" x14ac:dyDescent="0.25">
      <c r="F51" s="100" t="s">
        <v>1053</v>
      </c>
      <c r="G51" s="93"/>
      <c r="H51" s="93" t="s">
        <v>146</v>
      </c>
      <c r="I51" s="93"/>
      <c r="J51" s="447">
        <v>0</v>
      </c>
      <c r="K51" s="447">
        <v>0</v>
      </c>
      <c r="L51" s="447">
        <v>0</v>
      </c>
      <c r="M51" s="346">
        <v>0</v>
      </c>
      <c r="N51" s="346">
        <v>0</v>
      </c>
      <c r="O51" s="346">
        <v>0</v>
      </c>
      <c r="P51" s="447">
        <v>0</v>
      </c>
    </row>
    <row r="52" spans="4:18" x14ac:dyDescent="0.25">
      <c r="D52" s="195"/>
      <c r="E52" s="195"/>
      <c r="F52" s="195"/>
      <c r="G52" s="195"/>
      <c r="H52" s="195"/>
      <c r="I52" s="195"/>
      <c r="J52" s="445"/>
      <c r="K52" s="445"/>
      <c r="L52" s="445"/>
      <c r="M52" s="344"/>
      <c r="N52" s="344"/>
      <c r="O52" s="344"/>
      <c r="P52" s="445"/>
      <c r="Q52" s="195"/>
      <c r="R52" s="195"/>
    </row>
    <row r="53" spans="4:18" x14ac:dyDescent="0.25">
      <c r="D53" s="96"/>
      <c r="E53" s="96" t="str">
        <f>"LDNO HV tariff forecast (" &amp; charging_year_selected &amp; ")"</f>
        <v>LDNO HV tariff forecast (2021/22)</v>
      </c>
      <c r="F53" s="195"/>
      <c r="G53" s="195"/>
      <c r="H53" s="195"/>
      <c r="I53" s="195"/>
      <c r="J53" s="445"/>
      <c r="K53" s="445"/>
      <c r="L53" s="445"/>
      <c r="M53" s="344"/>
      <c r="N53" s="344"/>
      <c r="O53" s="344"/>
      <c r="P53" s="445"/>
      <c r="Q53" s="195"/>
      <c r="R53" s="195"/>
    </row>
    <row r="54" spans="4:18" x14ac:dyDescent="0.25">
      <c r="F54" s="103" t="s">
        <v>1038</v>
      </c>
      <c r="G54" s="91"/>
      <c r="H54" s="91" t="s">
        <v>147</v>
      </c>
      <c r="I54" s="91"/>
      <c r="J54" s="442">
        <f t="array" ref="J54:P69">TRANSPOSE(Rounding!J148:Y154)</f>
        <v>5.085</v>
      </c>
      <c r="K54" s="442">
        <v>1.3120000000000001</v>
      </c>
      <c r="L54" s="442">
        <v>0.69199999999999995</v>
      </c>
      <c r="M54" s="341">
        <v>1.69</v>
      </c>
      <c r="N54" s="341">
        <v>0</v>
      </c>
      <c r="O54" s="341">
        <v>0</v>
      </c>
      <c r="P54" s="442">
        <v>0</v>
      </c>
    </row>
    <row r="55" spans="4:18" x14ac:dyDescent="0.25">
      <c r="F55" s="99" t="s">
        <v>1039</v>
      </c>
      <c r="G55" s="92"/>
      <c r="H55" s="92" t="s">
        <v>147</v>
      </c>
      <c r="I55" s="92"/>
      <c r="J55" s="461">
        <v>5.085</v>
      </c>
      <c r="K55" s="461">
        <v>1.3120000000000001</v>
      </c>
      <c r="L55" s="461">
        <v>0.69199999999999995</v>
      </c>
      <c r="M55" s="462">
        <v>0</v>
      </c>
      <c r="N55" s="462">
        <v>0</v>
      </c>
      <c r="O55" s="462">
        <v>0</v>
      </c>
      <c r="P55" s="461">
        <v>0</v>
      </c>
    </row>
    <row r="56" spans="4:18" x14ac:dyDescent="0.25">
      <c r="F56" s="99" t="s">
        <v>1040</v>
      </c>
      <c r="G56" s="92"/>
      <c r="H56" s="92" t="s">
        <v>147</v>
      </c>
      <c r="I56" s="92"/>
      <c r="J56" s="461">
        <v>6.1689999999999996</v>
      </c>
      <c r="K56" s="461">
        <v>1.4830000000000001</v>
      </c>
      <c r="L56" s="461">
        <v>0.71399999999999997</v>
      </c>
      <c r="M56" s="462">
        <v>2.09</v>
      </c>
      <c r="N56" s="462">
        <v>0</v>
      </c>
      <c r="O56" s="462">
        <v>0</v>
      </c>
      <c r="P56" s="461">
        <v>0</v>
      </c>
    </row>
    <row r="57" spans="4:18" x14ac:dyDescent="0.25">
      <c r="F57" s="99" t="s">
        <v>1041</v>
      </c>
      <c r="G57" s="92"/>
      <c r="H57" s="92" t="s">
        <v>147</v>
      </c>
      <c r="I57" s="92"/>
      <c r="J57" s="461">
        <v>6.1689999999999996</v>
      </c>
      <c r="K57" s="461">
        <v>1.4830000000000001</v>
      </c>
      <c r="L57" s="461">
        <v>0.71399999999999997</v>
      </c>
      <c r="M57" s="462">
        <v>0</v>
      </c>
      <c r="N57" s="462">
        <v>0</v>
      </c>
      <c r="O57" s="462">
        <v>0</v>
      </c>
      <c r="P57" s="461">
        <v>0</v>
      </c>
    </row>
    <row r="58" spans="4:18" x14ac:dyDescent="0.25">
      <c r="F58" s="99" t="s">
        <v>1042</v>
      </c>
      <c r="G58" s="92"/>
      <c r="H58" s="92" t="s">
        <v>147</v>
      </c>
      <c r="I58" s="92"/>
      <c r="J58" s="461">
        <v>4.6689999999999996</v>
      </c>
      <c r="K58" s="461">
        <v>1.214</v>
      </c>
      <c r="L58" s="461">
        <v>0.68600000000000005</v>
      </c>
      <c r="M58" s="462">
        <v>7.62</v>
      </c>
      <c r="N58" s="462">
        <v>1.1000000000000001</v>
      </c>
      <c r="O58" s="462">
        <v>2</v>
      </c>
      <c r="P58" s="461">
        <v>0.17899999999999999</v>
      </c>
    </row>
    <row r="59" spans="4:18" x14ac:dyDescent="0.25">
      <c r="F59" s="99" t="s">
        <v>1043</v>
      </c>
      <c r="G59" s="92"/>
      <c r="H59" s="92" t="s">
        <v>147</v>
      </c>
      <c r="I59" s="92"/>
      <c r="J59" s="461">
        <v>5.8920000000000003</v>
      </c>
      <c r="K59" s="461">
        <v>1.621</v>
      </c>
      <c r="L59" s="461">
        <v>1.08</v>
      </c>
      <c r="M59" s="462">
        <v>4.46</v>
      </c>
      <c r="N59" s="462">
        <v>3.59</v>
      </c>
      <c r="O59" s="462">
        <v>5.0199999999999996</v>
      </c>
      <c r="P59" s="461">
        <v>0.17399999999999999</v>
      </c>
    </row>
    <row r="60" spans="4:18" x14ac:dyDescent="0.25">
      <c r="F60" s="99" t="s">
        <v>1044</v>
      </c>
      <c r="G60" s="92"/>
      <c r="H60" s="92" t="s">
        <v>147</v>
      </c>
      <c r="I60" s="92"/>
      <c r="J60" s="461">
        <v>5.2830000000000004</v>
      </c>
      <c r="K60" s="461">
        <v>1.6120000000000001</v>
      </c>
      <c r="L60" s="461">
        <v>1.1879999999999999</v>
      </c>
      <c r="M60" s="462">
        <v>72.19</v>
      </c>
      <c r="N60" s="462">
        <v>3.17</v>
      </c>
      <c r="O60" s="462">
        <v>5.28</v>
      </c>
      <c r="P60" s="461">
        <v>0.14000000000000001</v>
      </c>
    </row>
    <row r="61" spans="4:18" x14ac:dyDescent="0.25">
      <c r="F61" s="99" t="s">
        <v>1045</v>
      </c>
      <c r="G61" s="92"/>
      <c r="H61" s="92" t="s">
        <v>147</v>
      </c>
      <c r="I61" s="92"/>
      <c r="J61" s="461">
        <v>8.6560000000000006</v>
      </c>
      <c r="K61" s="461">
        <v>1.591</v>
      </c>
      <c r="L61" s="461">
        <v>0.82</v>
      </c>
      <c r="M61" s="462">
        <v>0</v>
      </c>
      <c r="N61" s="462">
        <v>0</v>
      </c>
      <c r="O61" s="462">
        <v>0</v>
      </c>
      <c r="P61" s="461">
        <v>0</v>
      </c>
    </row>
    <row r="62" spans="4:18" x14ac:dyDescent="0.25">
      <c r="F62" s="99" t="s">
        <v>1046</v>
      </c>
      <c r="G62" s="92"/>
      <c r="H62" s="92" t="s">
        <v>147</v>
      </c>
      <c r="I62" s="92"/>
      <c r="J62" s="461">
        <v>-7.6669999999999998</v>
      </c>
      <c r="K62" s="461">
        <v>-1.2110000000000001</v>
      </c>
      <c r="L62" s="461">
        <v>-0.151</v>
      </c>
      <c r="M62" s="462">
        <v>0</v>
      </c>
      <c r="N62" s="462">
        <v>0</v>
      </c>
      <c r="O62" s="462">
        <v>0</v>
      </c>
      <c r="P62" s="461">
        <v>0</v>
      </c>
    </row>
    <row r="63" spans="4:18" x14ac:dyDescent="0.25">
      <c r="F63" s="99" t="s">
        <v>1047</v>
      </c>
      <c r="G63" s="92"/>
      <c r="H63" s="92" t="s">
        <v>147</v>
      </c>
      <c r="I63" s="92"/>
      <c r="J63" s="461">
        <v>-6.8869999999999996</v>
      </c>
      <c r="K63" s="461">
        <v>-1.0580000000000001</v>
      </c>
      <c r="L63" s="461">
        <v>-0.13700000000000001</v>
      </c>
      <c r="M63" s="462">
        <v>0</v>
      </c>
      <c r="N63" s="462">
        <v>0</v>
      </c>
      <c r="O63" s="462">
        <v>0</v>
      </c>
      <c r="P63" s="461">
        <v>0</v>
      </c>
    </row>
    <row r="64" spans="4:18" x14ac:dyDescent="0.25">
      <c r="F64" s="99" t="s">
        <v>1048</v>
      </c>
      <c r="G64" s="92"/>
      <c r="H64" s="92" t="s">
        <v>147</v>
      </c>
      <c r="I64" s="92"/>
      <c r="J64" s="461">
        <v>-7.6669999999999998</v>
      </c>
      <c r="K64" s="461">
        <v>-1.2110000000000001</v>
      </c>
      <c r="L64" s="461">
        <v>-0.151</v>
      </c>
      <c r="M64" s="462">
        <v>0</v>
      </c>
      <c r="N64" s="462">
        <v>0</v>
      </c>
      <c r="O64" s="462">
        <v>0</v>
      </c>
      <c r="P64" s="461">
        <v>0.33100000000000002</v>
      </c>
    </row>
    <row r="65" spans="3:19" x14ac:dyDescent="0.25">
      <c r="F65" s="99" t="s">
        <v>1049</v>
      </c>
      <c r="G65" s="92"/>
      <c r="H65" s="92" t="s">
        <v>147</v>
      </c>
      <c r="I65" s="92"/>
      <c r="J65" s="463">
        <v>0</v>
      </c>
      <c r="K65" s="463">
        <v>0</v>
      </c>
      <c r="L65" s="463">
        <v>0</v>
      </c>
      <c r="M65" s="464">
        <v>0</v>
      </c>
      <c r="N65" s="464">
        <v>0</v>
      </c>
      <c r="O65" s="464">
        <v>0</v>
      </c>
      <c r="P65" s="463">
        <v>0</v>
      </c>
    </row>
    <row r="66" spans="3:19" x14ac:dyDescent="0.25">
      <c r="F66" s="99" t="s">
        <v>1050</v>
      </c>
      <c r="G66" s="92"/>
      <c r="H66" s="92" t="s">
        <v>147</v>
      </c>
      <c r="I66" s="92"/>
      <c r="J66" s="461">
        <v>-6.8869999999999996</v>
      </c>
      <c r="K66" s="461">
        <v>-1.0580000000000001</v>
      </c>
      <c r="L66" s="461">
        <v>-0.13700000000000001</v>
      </c>
      <c r="M66" s="462">
        <v>0</v>
      </c>
      <c r="N66" s="462">
        <v>0</v>
      </c>
      <c r="O66" s="462">
        <v>0</v>
      </c>
      <c r="P66" s="461">
        <v>0.30499999999999999</v>
      </c>
    </row>
    <row r="67" spans="3:19" x14ac:dyDescent="0.25">
      <c r="F67" s="99" t="s">
        <v>1051</v>
      </c>
      <c r="G67" s="92"/>
      <c r="H67" s="92" t="s">
        <v>147</v>
      </c>
      <c r="I67" s="92"/>
      <c r="J67" s="463">
        <v>0</v>
      </c>
      <c r="K67" s="463">
        <v>0</v>
      </c>
      <c r="L67" s="463">
        <v>0</v>
      </c>
      <c r="M67" s="464">
        <v>0</v>
      </c>
      <c r="N67" s="464">
        <v>0</v>
      </c>
      <c r="O67" s="464">
        <v>0</v>
      </c>
      <c r="P67" s="463">
        <v>0</v>
      </c>
    </row>
    <row r="68" spans="3:19" x14ac:dyDescent="0.25">
      <c r="F68" s="99" t="s">
        <v>1052</v>
      </c>
      <c r="G68" s="92"/>
      <c r="H68" s="92" t="s">
        <v>147</v>
      </c>
      <c r="I68" s="92"/>
      <c r="J68" s="461">
        <v>-4.8609999999999998</v>
      </c>
      <c r="K68" s="461">
        <v>-0.625</v>
      </c>
      <c r="L68" s="461">
        <v>-9.9000000000000005E-2</v>
      </c>
      <c r="M68" s="462">
        <v>0</v>
      </c>
      <c r="N68" s="462">
        <v>0</v>
      </c>
      <c r="O68" s="462">
        <v>0</v>
      </c>
      <c r="P68" s="461">
        <v>0.23200000000000001</v>
      </c>
    </row>
    <row r="69" spans="3:19" x14ac:dyDescent="0.25">
      <c r="F69" s="100" t="s">
        <v>1053</v>
      </c>
      <c r="G69" s="93"/>
      <c r="H69" s="93" t="s">
        <v>147</v>
      </c>
      <c r="I69" s="93"/>
      <c r="J69" s="447">
        <v>0</v>
      </c>
      <c r="K69" s="447">
        <v>0</v>
      </c>
      <c r="L69" s="447">
        <v>0</v>
      </c>
      <c r="M69" s="346">
        <v>0</v>
      </c>
      <c r="N69" s="346">
        <v>0</v>
      </c>
      <c r="O69" s="346">
        <v>0</v>
      </c>
      <c r="P69" s="447">
        <v>0</v>
      </c>
    </row>
    <row r="70" spans="3:19" x14ac:dyDescent="0.25">
      <c r="D70" s="96"/>
      <c r="E70" s="96"/>
      <c r="F70" s="96"/>
      <c r="G70" s="96"/>
      <c r="H70" s="96"/>
      <c r="I70" s="96"/>
      <c r="J70" s="448"/>
      <c r="K70" s="448"/>
      <c r="L70" s="448"/>
      <c r="M70" s="216"/>
      <c r="N70" s="216"/>
      <c r="O70" s="216"/>
      <c r="P70" s="448"/>
      <c r="Q70" s="96"/>
      <c r="R70" s="96"/>
    </row>
    <row r="71" spans="3:19" s="195" customFormat="1" x14ac:dyDescent="0.25">
      <c r="C71" s="7" t="str">
        <f ca="1">INDEX('Version control'!$H$34:$H$60,MATCH($A$1,'Version control'!$F$34:$F$60,0),1)&amp;"-B: tariff forecast results for charging year " &amp; charging_year</f>
        <v>Input 506-B: tariff forecast results for charging year 2021/22</v>
      </c>
      <c r="D71" s="7"/>
      <c r="E71" s="7"/>
      <c r="F71" s="7"/>
      <c r="G71" s="7"/>
      <c r="H71" s="7"/>
      <c r="I71" s="7"/>
      <c r="J71" s="449"/>
      <c r="K71" s="449"/>
      <c r="L71" s="449"/>
      <c r="M71" s="7"/>
      <c r="N71" s="7"/>
      <c r="O71" s="7"/>
      <c r="P71" s="449"/>
      <c r="Q71" s="7"/>
      <c r="R71" s="7"/>
      <c r="S71" s="295"/>
    </row>
    <row r="72" spans="3:19" x14ac:dyDescent="0.25">
      <c r="D72" s="85"/>
      <c r="E72" s="195"/>
      <c r="F72" s="195"/>
      <c r="J72" s="450"/>
      <c r="K72" s="450"/>
      <c r="L72" s="450"/>
      <c r="M72" s="214"/>
      <c r="N72" s="214"/>
      <c r="O72" s="214"/>
      <c r="P72" s="450"/>
    </row>
    <row r="73" spans="3:19" x14ac:dyDescent="0.25">
      <c r="D73" s="96"/>
      <c r="E73" s="96" t="str">
        <f>"All the way tariff forecast " &amp; charging_year</f>
        <v>All the way tariff forecast 2021/22</v>
      </c>
      <c r="F73" s="195"/>
      <c r="J73" s="450"/>
      <c r="K73" s="450"/>
      <c r="L73" s="450"/>
      <c r="M73" s="214"/>
      <c r="N73" s="214"/>
      <c r="O73" s="214"/>
      <c r="P73" s="450"/>
    </row>
    <row r="74" spans="3:19" x14ac:dyDescent="0.25">
      <c r="F74" s="103" t="s">
        <v>1038</v>
      </c>
      <c r="G74" s="91"/>
      <c r="H74" s="91" t="s">
        <v>318</v>
      </c>
      <c r="I74" s="91"/>
      <c r="J74" s="442">
        <v>11.481</v>
      </c>
      <c r="K74" s="442">
        <v>2.9620000000000002</v>
      </c>
      <c r="L74" s="442">
        <v>1.5629999999999999</v>
      </c>
      <c r="M74" s="341">
        <v>3.49</v>
      </c>
      <c r="N74" s="341">
        <v>0</v>
      </c>
      <c r="O74" s="341">
        <v>0</v>
      </c>
      <c r="P74" s="442">
        <v>0</v>
      </c>
    </row>
    <row r="75" spans="3:19" x14ac:dyDescent="0.25">
      <c r="F75" s="99" t="s">
        <v>1039</v>
      </c>
      <c r="G75" s="196"/>
      <c r="H75" s="196" t="s">
        <v>318</v>
      </c>
      <c r="I75" s="196"/>
      <c r="J75" s="443">
        <v>11.481</v>
      </c>
      <c r="K75" s="443">
        <v>2.9620000000000002</v>
      </c>
      <c r="L75" s="443">
        <v>1.5629999999999999</v>
      </c>
      <c r="M75" s="342">
        <v>0</v>
      </c>
      <c r="N75" s="342">
        <v>0</v>
      </c>
      <c r="O75" s="342">
        <v>0</v>
      </c>
      <c r="P75" s="443">
        <v>0</v>
      </c>
    </row>
    <row r="76" spans="3:19" x14ac:dyDescent="0.25">
      <c r="F76" s="99" t="s">
        <v>1040</v>
      </c>
      <c r="G76" s="196"/>
      <c r="H76" s="196" t="s">
        <v>318</v>
      </c>
      <c r="I76" s="196"/>
      <c r="J76" s="443">
        <v>13.929</v>
      </c>
      <c r="K76" s="443">
        <v>3.3490000000000002</v>
      </c>
      <c r="L76" s="443">
        <v>1.6120000000000001</v>
      </c>
      <c r="M76" s="342">
        <v>4.4000000000000004</v>
      </c>
      <c r="N76" s="342">
        <v>0</v>
      </c>
      <c r="O76" s="342">
        <v>0</v>
      </c>
      <c r="P76" s="443">
        <v>0</v>
      </c>
    </row>
    <row r="77" spans="3:19" x14ac:dyDescent="0.25">
      <c r="F77" s="99" t="s">
        <v>1041</v>
      </c>
      <c r="G77" s="196"/>
      <c r="H77" s="196" t="s">
        <v>318</v>
      </c>
      <c r="I77" s="196"/>
      <c r="J77" s="443">
        <v>13.929</v>
      </c>
      <c r="K77" s="443">
        <v>3.3490000000000002</v>
      </c>
      <c r="L77" s="443">
        <v>1.6120000000000001</v>
      </c>
      <c r="M77" s="342">
        <v>0</v>
      </c>
      <c r="N77" s="342">
        <v>0</v>
      </c>
      <c r="O77" s="342">
        <v>0</v>
      </c>
      <c r="P77" s="443">
        <v>0</v>
      </c>
    </row>
    <row r="78" spans="3:19" x14ac:dyDescent="0.25">
      <c r="F78" s="99" t="s">
        <v>1042</v>
      </c>
      <c r="G78" s="196"/>
      <c r="H78" s="196" t="s">
        <v>318</v>
      </c>
      <c r="I78" s="196"/>
      <c r="J78" s="443">
        <v>10.541</v>
      </c>
      <c r="K78" s="443">
        <v>2.74</v>
      </c>
      <c r="L78" s="443">
        <v>1.5489999999999999</v>
      </c>
      <c r="M78" s="342">
        <v>16.89</v>
      </c>
      <c r="N78" s="342">
        <v>2.48</v>
      </c>
      <c r="O78" s="342">
        <v>4.5199999999999996</v>
      </c>
      <c r="P78" s="443">
        <v>0.40400000000000003</v>
      </c>
    </row>
    <row r="79" spans="3:19" x14ac:dyDescent="0.25">
      <c r="F79" s="99" t="s">
        <v>1043</v>
      </c>
      <c r="G79" s="196"/>
      <c r="H79" s="196" t="s">
        <v>318</v>
      </c>
      <c r="I79" s="196"/>
      <c r="J79" s="443">
        <v>8.2289999999999992</v>
      </c>
      <c r="K79" s="443">
        <v>2.2629999999999999</v>
      </c>
      <c r="L79" s="443">
        <v>1.5089999999999999</v>
      </c>
      <c r="M79" s="342">
        <v>6.13</v>
      </c>
      <c r="N79" s="342">
        <v>5.0199999999999996</v>
      </c>
      <c r="O79" s="342">
        <v>7.01</v>
      </c>
      <c r="P79" s="443">
        <v>0.24399999999999999</v>
      </c>
    </row>
    <row r="80" spans="3:19" x14ac:dyDescent="0.25">
      <c r="F80" s="99" t="s">
        <v>1044</v>
      </c>
      <c r="G80" s="196"/>
      <c r="H80" s="196" t="s">
        <v>318</v>
      </c>
      <c r="I80" s="196"/>
      <c r="J80" s="443">
        <v>6.53</v>
      </c>
      <c r="K80" s="443">
        <v>1.9930000000000001</v>
      </c>
      <c r="L80" s="443">
        <v>1.468</v>
      </c>
      <c r="M80" s="342">
        <v>89.17</v>
      </c>
      <c r="N80" s="342">
        <v>3.92</v>
      </c>
      <c r="O80" s="342">
        <v>6.53</v>
      </c>
      <c r="P80" s="443">
        <v>0.17299999999999999</v>
      </c>
    </row>
    <row r="81" spans="4:16" x14ac:dyDescent="0.25">
      <c r="F81" s="99" t="s">
        <v>1045</v>
      </c>
      <c r="G81" s="196"/>
      <c r="H81" s="196" t="s">
        <v>318</v>
      </c>
      <c r="I81" s="196"/>
      <c r="J81" s="443">
        <v>19.542999999999999</v>
      </c>
      <c r="K81" s="443">
        <v>3.5920000000000001</v>
      </c>
      <c r="L81" s="443">
        <v>1.851</v>
      </c>
      <c r="M81" s="342">
        <v>0</v>
      </c>
      <c r="N81" s="342">
        <v>0</v>
      </c>
      <c r="O81" s="342">
        <v>0</v>
      </c>
      <c r="P81" s="443">
        <v>0</v>
      </c>
    </row>
    <row r="82" spans="4:16" x14ac:dyDescent="0.25">
      <c r="F82" s="99" t="s">
        <v>1046</v>
      </c>
      <c r="G82" s="196"/>
      <c r="H82" s="196" t="s">
        <v>318</v>
      </c>
      <c r="I82" s="196"/>
      <c r="J82" s="443">
        <v>-7.6669999999999998</v>
      </c>
      <c r="K82" s="443">
        <v>-1.2110000000000001</v>
      </c>
      <c r="L82" s="443">
        <v>-0.151</v>
      </c>
      <c r="M82" s="342">
        <v>0</v>
      </c>
      <c r="N82" s="342">
        <v>0</v>
      </c>
      <c r="O82" s="342">
        <v>0</v>
      </c>
      <c r="P82" s="443">
        <v>0</v>
      </c>
    </row>
    <row r="83" spans="4:16" x14ac:dyDescent="0.25">
      <c r="F83" s="99" t="s">
        <v>1047</v>
      </c>
      <c r="G83" s="196"/>
      <c r="H83" s="196" t="s">
        <v>318</v>
      </c>
      <c r="I83" s="196"/>
      <c r="J83" s="443">
        <v>-6.8869999999999996</v>
      </c>
      <c r="K83" s="443">
        <v>-1.0580000000000001</v>
      </c>
      <c r="L83" s="443">
        <v>-0.13700000000000001</v>
      </c>
      <c r="M83" s="342">
        <v>0</v>
      </c>
      <c r="N83" s="342">
        <v>0</v>
      </c>
      <c r="O83" s="342">
        <v>0</v>
      </c>
      <c r="P83" s="443">
        <v>0</v>
      </c>
    </row>
    <row r="84" spans="4:16" x14ac:dyDescent="0.25">
      <c r="F84" s="99" t="s">
        <v>1048</v>
      </c>
      <c r="G84" s="196"/>
      <c r="H84" s="196" t="s">
        <v>318</v>
      </c>
      <c r="I84" s="196"/>
      <c r="J84" s="443">
        <v>-7.6669999999999998</v>
      </c>
      <c r="K84" s="443">
        <v>-1.2110000000000001</v>
      </c>
      <c r="L84" s="443">
        <v>-0.151</v>
      </c>
      <c r="M84" s="342">
        <v>0</v>
      </c>
      <c r="N84" s="342">
        <v>0</v>
      </c>
      <c r="O84" s="342">
        <v>0</v>
      </c>
      <c r="P84" s="443">
        <v>0.33100000000000002</v>
      </c>
    </row>
    <row r="85" spans="4:16" x14ac:dyDescent="0.25">
      <c r="F85" s="99" t="s">
        <v>1049</v>
      </c>
      <c r="G85" s="196"/>
      <c r="H85" s="196" t="s">
        <v>318</v>
      </c>
      <c r="I85" s="196"/>
      <c r="J85" s="443">
        <v>-7.6669999999999998</v>
      </c>
      <c r="K85" s="443">
        <v>-1.2110000000000001</v>
      </c>
      <c r="L85" s="443">
        <v>-0.151</v>
      </c>
      <c r="M85" s="342">
        <v>0</v>
      </c>
      <c r="N85" s="342">
        <v>0</v>
      </c>
      <c r="O85" s="342">
        <v>0</v>
      </c>
      <c r="P85" s="443">
        <v>0</v>
      </c>
    </row>
    <row r="86" spans="4:16" x14ac:dyDescent="0.25">
      <c r="F86" s="99" t="s">
        <v>1050</v>
      </c>
      <c r="G86" s="196"/>
      <c r="H86" s="196" t="s">
        <v>318</v>
      </c>
      <c r="I86" s="196"/>
      <c r="J86" s="443">
        <v>-6.8869999999999996</v>
      </c>
      <c r="K86" s="443">
        <v>-1.0580000000000001</v>
      </c>
      <c r="L86" s="443">
        <v>-0.13700000000000001</v>
      </c>
      <c r="M86" s="342">
        <v>0</v>
      </c>
      <c r="N86" s="342">
        <v>0</v>
      </c>
      <c r="O86" s="342">
        <v>0</v>
      </c>
      <c r="P86" s="443">
        <v>0.30499999999999999</v>
      </c>
    </row>
    <row r="87" spans="4:16" x14ac:dyDescent="0.25">
      <c r="F87" s="99" t="s">
        <v>1051</v>
      </c>
      <c r="G87" s="196"/>
      <c r="H87" s="196" t="s">
        <v>318</v>
      </c>
      <c r="I87" s="196"/>
      <c r="J87" s="443">
        <v>-6.8869999999999996</v>
      </c>
      <c r="K87" s="443">
        <v>-1.0580000000000001</v>
      </c>
      <c r="L87" s="443">
        <v>-0.13700000000000001</v>
      </c>
      <c r="M87" s="342">
        <v>0</v>
      </c>
      <c r="N87" s="342">
        <v>0</v>
      </c>
      <c r="O87" s="342">
        <v>0</v>
      </c>
      <c r="P87" s="443">
        <v>0</v>
      </c>
    </row>
    <row r="88" spans="4:16" x14ac:dyDescent="0.25">
      <c r="F88" s="99" t="s">
        <v>1052</v>
      </c>
      <c r="G88" s="196"/>
      <c r="H88" s="196" t="s">
        <v>318</v>
      </c>
      <c r="I88" s="196"/>
      <c r="J88" s="443">
        <v>-4.8609999999999998</v>
      </c>
      <c r="K88" s="443">
        <v>-0.625</v>
      </c>
      <c r="L88" s="443">
        <v>-9.9000000000000005E-2</v>
      </c>
      <c r="M88" s="342">
        <v>64.930000000000007</v>
      </c>
      <c r="N88" s="342">
        <v>0</v>
      </c>
      <c r="O88" s="342">
        <v>0</v>
      </c>
      <c r="P88" s="443">
        <v>0.23200000000000001</v>
      </c>
    </row>
    <row r="89" spans="4:16" x14ac:dyDescent="0.25">
      <c r="F89" s="100" t="s">
        <v>1053</v>
      </c>
      <c r="G89" s="93"/>
      <c r="H89" s="93" t="s">
        <v>318</v>
      </c>
      <c r="I89" s="93"/>
      <c r="J89" s="444">
        <v>-4.8609999999999998</v>
      </c>
      <c r="K89" s="444">
        <v>-0.625</v>
      </c>
      <c r="L89" s="444">
        <v>-9.9000000000000005E-2</v>
      </c>
      <c r="M89" s="343">
        <v>64.930000000000007</v>
      </c>
      <c r="N89" s="343">
        <v>0</v>
      </c>
      <c r="O89" s="343">
        <v>0</v>
      </c>
      <c r="P89" s="444">
        <v>0</v>
      </c>
    </row>
    <row r="90" spans="4:16" x14ac:dyDescent="0.25">
      <c r="F90" s="98"/>
      <c r="G90" s="295"/>
      <c r="H90" s="295"/>
      <c r="I90" s="295"/>
      <c r="J90" s="445"/>
      <c r="K90" s="445"/>
      <c r="L90" s="445"/>
      <c r="M90" s="344"/>
      <c r="N90" s="344"/>
      <c r="O90" s="344"/>
      <c r="P90" s="445"/>
    </row>
    <row r="91" spans="4:16" x14ac:dyDescent="0.25">
      <c r="D91" s="96"/>
      <c r="E91" s="96" t="str">
        <f>"LDNO LV tariff forecast " &amp; charging_year</f>
        <v>LDNO LV tariff forecast 2021/22</v>
      </c>
      <c r="F91" s="98"/>
      <c r="G91" s="295"/>
      <c r="H91" s="295"/>
      <c r="I91" s="295"/>
      <c r="J91" s="445"/>
      <c r="K91" s="445"/>
      <c r="L91" s="445"/>
      <c r="M91" s="344"/>
      <c r="N91" s="344"/>
      <c r="O91" s="344"/>
      <c r="P91" s="445"/>
    </row>
    <row r="92" spans="4:16" x14ac:dyDescent="0.25">
      <c r="F92" s="103" t="s">
        <v>1038</v>
      </c>
      <c r="G92" s="91"/>
      <c r="H92" s="91" t="s">
        <v>146</v>
      </c>
      <c r="I92" s="91"/>
      <c r="J92" s="442">
        <v>7.1180000000000003</v>
      </c>
      <c r="K92" s="442">
        <v>1.8360000000000001</v>
      </c>
      <c r="L92" s="442">
        <v>0.96899999999999997</v>
      </c>
      <c r="M92" s="341">
        <v>2.2599999999999998</v>
      </c>
      <c r="N92" s="341">
        <v>0</v>
      </c>
      <c r="O92" s="341">
        <v>0</v>
      </c>
      <c r="P92" s="442">
        <v>0</v>
      </c>
    </row>
    <row r="93" spans="4:16" x14ac:dyDescent="0.25">
      <c r="F93" s="99" t="s">
        <v>1039</v>
      </c>
      <c r="G93" s="196"/>
      <c r="H93" s="196" t="s">
        <v>146</v>
      </c>
      <c r="I93" s="196"/>
      <c r="J93" s="443">
        <v>7.1180000000000003</v>
      </c>
      <c r="K93" s="443">
        <v>1.8360000000000001</v>
      </c>
      <c r="L93" s="443">
        <v>0.96899999999999997</v>
      </c>
      <c r="M93" s="342">
        <v>0</v>
      </c>
      <c r="N93" s="342">
        <v>0</v>
      </c>
      <c r="O93" s="342">
        <v>0</v>
      </c>
      <c r="P93" s="443">
        <v>0</v>
      </c>
    </row>
    <row r="94" spans="4:16" x14ac:dyDescent="0.25">
      <c r="F94" s="99" t="s">
        <v>1040</v>
      </c>
      <c r="G94" s="196"/>
      <c r="H94" s="196" t="s">
        <v>146</v>
      </c>
      <c r="I94" s="196"/>
      <c r="J94" s="443">
        <v>8.6359999999999992</v>
      </c>
      <c r="K94" s="443">
        <v>2.0760000000000001</v>
      </c>
      <c r="L94" s="443">
        <v>0.999</v>
      </c>
      <c r="M94" s="342">
        <v>2.82</v>
      </c>
      <c r="N94" s="342">
        <v>0</v>
      </c>
      <c r="O94" s="342">
        <v>0</v>
      </c>
      <c r="P94" s="443">
        <v>0</v>
      </c>
    </row>
    <row r="95" spans="4:16" x14ac:dyDescent="0.25">
      <c r="F95" s="99" t="s">
        <v>1041</v>
      </c>
      <c r="G95" s="196"/>
      <c r="H95" s="196" t="s">
        <v>146</v>
      </c>
      <c r="I95" s="196"/>
      <c r="J95" s="443">
        <v>8.6359999999999992</v>
      </c>
      <c r="K95" s="443">
        <v>2.0760000000000001</v>
      </c>
      <c r="L95" s="443">
        <v>0.999</v>
      </c>
      <c r="M95" s="342">
        <v>0</v>
      </c>
      <c r="N95" s="342">
        <v>0</v>
      </c>
      <c r="O95" s="342">
        <v>0</v>
      </c>
      <c r="P95" s="443">
        <v>0</v>
      </c>
    </row>
    <row r="96" spans="4:16" x14ac:dyDescent="0.25">
      <c r="F96" s="99" t="s">
        <v>1042</v>
      </c>
      <c r="G96" s="196"/>
      <c r="H96" s="196" t="s">
        <v>146</v>
      </c>
      <c r="I96" s="196"/>
      <c r="J96" s="443">
        <v>6.5350000000000001</v>
      </c>
      <c r="K96" s="443">
        <v>1.6990000000000001</v>
      </c>
      <c r="L96" s="443">
        <v>0.96</v>
      </c>
      <c r="M96" s="342">
        <v>10.57</v>
      </c>
      <c r="N96" s="342">
        <v>1.54</v>
      </c>
      <c r="O96" s="342">
        <v>2.8</v>
      </c>
      <c r="P96" s="443">
        <v>0.25</v>
      </c>
    </row>
    <row r="97" spans="4:18" x14ac:dyDescent="0.25">
      <c r="F97" s="99" t="s">
        <v>1043</v>
      </c>
      <c r="G97" s="196"/>
      <c r="H97" s="196" t="s">
        <v>146</v>
      </c>
      <c r="I97" s="196"/>
      <c r="J97" s="446">
        <v>0</v>
      </c>
      <c r="K97" s="446">
        <v>0</v>
      </c>
      <c r="L97" s="446">
        <v>0</v>
      </c>
      <c r="M97" s="345">
        <v>0</v>
      </c>
      <c r="N97" s="345">
        <v>0</v>
      </c>
      <c r="O97" s="345">
        <v>0</v>
      </c>
      <c r="P97" s="446">
        <v>0</v>
      </c>
    </row>
    <row r="98" spans="4:18" x14ac:dyDescent="0.25">
      <c r="F98" s="99" t="s">
        <v>1044</v>
      </c>
      <c r="G98" s="196"/>
      <c r="H98" s="196" t="s">
        <v>146</v>
      </c>
      <c r="I98" s="196"/>
      <c r="J98" s="446">
        <v>0</v>
      </c>
      <c r="K98" s="446">
        <v>0</v>
      </c>
      <c r="L98" s="446">
        <v>0</v>
      </c>
      <c r="M98" s="345">
        <v>0</v>
      </c>
      <c r="N98" s="345">
        <v>0</v>
      </c>
      <c r="O98" s="345">
        <v>0</v>
      </c>
      <c r="P98" s="446">
        <v>0</v>
      </c>
    </row>
    <row r="99" spans="4:18" x14ac:dyDescent="0.25">
      <c r="F99" s="99" t="s">
        <v>1045</v>
      </c>
      <c r="G99" s="196"/>
      <c r="H99" s="196" t="s">
        <v>146</v>
      </c>
      <c r="I99" s="196"/>
      <c r="J99" s="443">
        <v>12.116</v>
      </c>
      <c r="K99" s="443">
        <v>2.2269999999999999</v>
      </c>
      <c r="L99" s="443">
        <v>1.1479999999999999</v>
      </c>
      <c r="M99" s="342">
        <v>0</v>
      </c>
      <c r="N99" s="342">
        <v>0</v>
      </c>
      <c r="O99" s="342">
        <v>0</v>
      </c>
      <c r="P99" s="443">
        <v>0</v>
      </c>
    </row>
    <row r="100" spans="4:18" x14ac:dyDescent="0.25">
      <c r="F100" s="99" t="s">
        <v>1046</v>
      </c>
      <c r="G100" s="196"/>
      <c r="H100" s="196" t="s">
        <v>146</v>
      </c>
      <c r="I100" s="196"/>
      <c r="J100" s="443">
        <v>-7.6669999999999998</v>
      </c>
      <c r="K100" s="443">
        <v>-1.2110000000000001</v>
      </c>
      <c r="L100" s="443">
        <v>-0.151</v>
      </c>
      <c r="M100" s="342">
        <v>0</v>
      </c>
      <c r="N100" s="342">
        <v>0</v>
      </c>
      <c r="O100" s="342">
        <v>0</v>
      </c>
      <c r="P100" s="443">
        <v>0</v>
      </c>
    </row>
    <row r="101" spans="4:18" x14ac:dyDescent="0.25">
      <c r="F101" s="99" t="s">
        <v>1047</v>
      </c>
      <c r="G101" s="196"/>
      <c r="H101" s="196" t="s">
        <v>146</v>
      </c>
      <c r="I101" s="196"/>
      <c r="J101" s="446">
        <v>0</v>
      </c>
      <c r="K101" s="446">
        <v>0</v>
      </c>
      <c r="L101" s="446">
        <v>0</v>
      </c>
      <c r="M101" s="345">
        <v>0</v>
      </c>
      <c r="N101" s="345">
        <v>0</v>
      </c>
      <c r="O101" s="345">
        <v>0</v>
      </c>
      <c r="P101" s="446">
        <v>0</v>
      </c>
    </row>
    <row r="102" spans="4:18" x14ac:dyDescent="0.25">
      <c r="F102" s="99" t="s">
        <v>1048</v>
      </c>
      <c r="G102" s="196"/>
      <c r="H102" s="196" t="s">
        <v>146</v>
      </c>
      <c r="I102" s="196"/>
      <c r="J102" s="443">
        <v>-7.6669999999999998</v>
      </c>
      <c r="K102" s="443">
        <v>-1.2110000000000001</v>
      </c>
      <c r="L102" s="443">
        <v>-0.151</v>
      </c>
      <c r="M102" s="342">
        <v>0</v>
      </c>
      <c r="N102" s="342">
        <v>0</v>
      </c>
      <c r="O102" s="342">
        <v>0</v>
      </c>
      <c r="P102" s="443">
        <v>0.33100000000000002</v>
      </c>
    </row>
    <row r="103" spans="4:18" x14ac:dyDescent="0.25">
      <c r="F103" s="99" t="s">
        <v>1049</v>
      </c>
      <c r="G103" s="196"/>
      <c r="H103" s="196" t="s">
        <v>146</v>
      </c>
      <c r="I103" s="196"/>
      <c r="J103" s="446">
        <v>0</v>
      </c>
      <c r="K103" s="446">
        <v>0</v>
      </c>
      <c r="L103" s="446">
        <v>0</v>
      </c>
      <c r="M103" s="345">
        <v>0</v>
      </c>
      <c r="N103" s="345">
        <v>0</v>
      </c>
      <c r="O103" s="345">
        <v>0</v>
      </c>
      <c r="P103" s="446">
        <v>0</v>
      </c>
    </row>
    <row r="104" spans="4:18" x14ac:dyDescent="0.25">
      <c r="F104" s="99" t="s">
        <v>1050</v>
      </c>
      <c r="G104" s="196"/>
      <c r="H104" s="196" t="s">
        <v>146</v>
      </c>
      <c r="I104" s="196"/>
      <c r="J104" s="446">
        <v>0</v>
      </c>
      <c r="K104" s="446">
        <v>0</v>
      </c>
      <c r="L104" s="446">
        <v>0</v>
      </c>
      <c r="M104" s="345">
        <v>0</v>
      </c>
      <c r="N104" s="345">
        <v>0</v>
      </c>
      <c r="O104" s="345">
        <v>0</v>
      </c>
      <c r="P104" s="446">
        <v>0</v>
      </c>
    </row>
    <row r="105" spans="4:18" x14ac:dyDescent="0.25">
      <c r="F105" s="99" t="s">
        <v>1051</v>
      </c>
      <c r="G105" s="196"/>
      <c r="H105" s="196" t="s">
        <v>146</v>
      </c>
      <c r="I105" s="196"/>
      <c r="J105" s="446">
        <v>0</v>
      </c>
      <c r="K105" s="446">
        <v>0</v>
      </c>
      <c r="L105" s="446">
        <v>0</v>
      </c>
      <c r="M105" s="345">
        <v>0</v>
      </c>
      <c r="N105" s="345">
        <v>0</v>
      </c>
      <c r="O105" s="345">
        <v>0</v>
      </c>
      <c r="P105" s="446">
        <v>0</v>
      </c>
    </row>
    <row r="106" spans="4:18" x14ac:dyDescent="0.25">
      <c r="F106" s="99" t="s">
        <v>1052</v>
      </c>
      <c r="G106" s="196"/>
      <c r="H106" s="196" t="s">
        <v>146</v>
      </c>
      <c r="I106" s="196"/>
      <c r="J106" s="446">
        <v>0</v>
      </c>
      <c r="K106" s="446">
        <v>0</v>
      </c>
      <c r="L106" s="446">
        <v>0</v>
      </c>
      <c r="M106" s="345">
        <v>0</v>
      </c>
      <c r="N106" s="345">
        <v>0</v>
      </c>
      <c r="O106" s="345">
        <v>0</v>
      </c>
      <c r="P106" s="446">
        <v>0</v>
      </c>
    </row>
    <row r="107" spans="4:18" x14ac:dyDescent="0.25">
      <c r="F107" s="100" t="s">
        <v>1053</v>
      </c>
      <c r="G107" s="93"/>
      <c r="H107" s="93" t="s">
        <v>146</v>
      </c>
      <c r="I107" s="93"/>
      <c r="J107" s="447">
        <v>0</v>
      </c>
      <c r="K107" s="447">
        <v>0</v>
      </c>
      <c r="L107" s="447">
        <v>0</v>
      </c>
      <c r="M107" s="346">
        <v>0</v>
      </c>
      <c r="N107" s="346">
        <v>0</v>
      </c>
      <c r="O107" s="346">
        <v>0</v>
      </c>
      <c r="P107" s="447">
        <v>0</v>
      </c>
    </row>
    <row r="108" spans="4:18" x14ac:dyDescent="0.25">
      <c r="D108" s="195"/>
      <c r="E108" s="195"/>
      <c r="F108" s="295"/>
      <c r="G108" s="295"/>
      <c r="H108" s="295"/>
      <c r="I108" s="295"/>
      <c r="J108" s="445"/>
      <c r="K108" s="445"/>
      <c r="L108" s="445"/>
      <c r="M108" s="344"/>
      <c r="N108" s="344"/>
      <c r="O108" s="344"/>
      <c r="P108" s="445"/>
      <c r="Q108" s="195"/>
      <c r="R108" s="5"/>
    </row>
    <row r="109" spans="4:18" x14ac:dyDescent="0.25">
      <c r="D109" s="96"/>
      <c r="E109" s="96" t="str">
        <f>"LDNO HV tariff forecast " &amp; charging_year</f>
        <v>LDNO HV tariff forecast 2021/22</v>
      </c>
      <c r="F109" s="295"/>
      <c r="G109" s="295"/>
      <c r="H109" s="295"/>
      <c r="I109" s="295"/>
      <c r="J109" s="445"/>
      <c r="K109" s="445"/>
      <c r="L109" s="445"/>
      <c r="M109" s="344"/>
      <c r="N109" s="344"/>
      <c r="O109" s="344"/>
      <c r="P109" s="445"/>
      <c r="Q109" s="195"/>
      <c r="R109" s="195"/>
    </row>
    <row r="110" spans="4:18" x14ac:dyDescent="0.25">
      <c r="F110" s="103" t="s">
        <v>1038</v>
      </c>
      <c r="G110" s="91"/>
      <c r="H110" s="91" t="s">
        <v>147</v>
      </c>
      <c r="I110" s="91"/>
      <c r="J110" s="442">
        <v>5.085</v>
      </c>
      <c r="K110" s="442">
        <v>1.3120000000000001</v>
      </c>
      <c r="L110" s="442">
        <v>0.69199999999999995</v>
      </c>
      <c r="M110" s="341">
        <v>1.69</v>
      </c>
      <c r="N110" s="341">
        <v>0</v>
      </c>
      <c r="O110" s="341">
        <v>0</v>
      </c>
      <c r="P110" s="442">
        <v>0</v>
      </c>
    </row>
    <row r="111" spans="4:18" x14ac:dyDescent="0.25">
      <c r="F111" s="99" t="s">
        <v>1039</v>
      </c>
      <c r="G111" s="196"/>
      <c r="H111" s="196" t="s">
        <v>147</v>
      </c>
      <c r="I111" s="196"/>
      <c r="J111" s="443">
        <v>5.085</v>
      </c>
      <c r="K111" s="443">
        <v>1.3120000000000001</v>
      </c>
      <c r="L111" s="443">
        <v>0.69199999999999995</v>
      </c>
      <c r="M111" s="342">
        <v>0</v>
      </c>
      <c r="N111" s="342">
        <v>0</v>
      </c>
      <c r="O111" s="342">
        <v>0</v>
      </c>
      <c r="P111" s="443">
        <v>0</v>
      </c>
    </row>
    <row r="112" spans="4:18" x14ac:dyDescent="0.25">
      <c r="F112" s="99" t="s">
        <v>1040</v>
      </c>
      <c r="G112" s="196"/>
      <c r="H112" s="196" t="s">
        <v>147</v>
      </c>
      <c r="I112" s="196"/>
      <c r="J112" s="443">
        <v>6.1689999999999996</v>
      </c>
      <c r="K112" s="443">
        <v>1.4830000000000001</v>
      </c>
      <c r="L112" s="443">
        <v>0.71399999999999997</v>
      </c>
      <c r="M112" s="342">
        <v>2.09</v>
      </c>
      <c r="N112" s="342">
        <v>0</v>
      </c>
      <c r="O112" s="342">
        <v>0</v>
      </c>
      <c r="P112" s="443">
        <v>0</v>
      </c>
    </row>
    <row r="113" spans="3:19" x14ac:dyDescent="0.25">
      <c r="F113" s="99" t="s">
        <v>1041</v>
      </c>
      <c r="G113" s="196"/>
      <c r="H113" s="196" t="s">
        <v>147</v>
      </c>
      <c r="I113" s="196"/>
      <c r="J113" s="443">
        <v>6.1689999999999996</v>
      </c>
      <c r="K113" s="443">
        <v>1.4830000000000001</v>
      </c>
      <c r="L113" s="443">
        <v>0.71399999999999997</v>
      </c>
      <c r="M113" s="342">
        <v>0</v>
      </c>
      <c r="N113" s="342">
        <v>0</v>
      </c>
      <c r="O113" s="342">
        <v>0</v>
      </c>
      <c r="P113" s="443">
        <v>0</v>
      </c>
    </row>
    <row r="114" spans="3:19" x14ac:dyDescent="0.25">
      <c r="F114" s="99" t="s">
        <v>1042</v>
      </c>
      <c r="G114" s="196"/>
      <c r="H114" s="196" t="s">
        <v>147</v>
      </c>
      <c r="I114" s="196"/>
      <c r="J114" s="443">
        <v>4.6689999999999996</v>
      </c>
      <c r="K114" s="443">
        <v>1.214</v>
      </c>
      <c r="L114" s="443">
        <v>0.68600000000000005</v>
      </c>
      <c r="M114" s="342">
        <v>7.62</v>
      </c>
      <c r="N114" s="342">
        <v>1.1000000000000001</v>
      </c>
      <c r="O114" s="342">
        <v>2</v>
      </c>
      <c r="P114" s="443">
        <v>0.17899999999999999</v>
      </c>
    </row>
    <row r="115" spans="3:19" x14ac:dyDescent="0.25">
      <c r="F115" s="99" t="s">
        <v>1043</v>
      </c>
      <c r="G115" s="196"/>
      <c r="H115" s="196" t="s">
        <v>147</v>
      </c>
      <c r="I115" s="196"/>
      <c r="J115" s="443">
        <v>5.8920000000000003</v>
      </c>
      <c r="K115" s="443">
        <v>1.621</v>
      </c>
      <c r="L115" s="443">
        <v>1.08</v>
      </c>
      <c r="M115" s="342">
        <v>4.46</v>
      </c>
      <c r="N115" s="342">
        <v>3.59</v>
      </c>
      <c r="O115" s="342">
        <v>5.0199999999999996</v>
      </c>
      <c r="P115" s="443">
        <v>0.17399999999999999</v>
      </c>
    </row>
    <row r="116" spans="3:19" x14ac:dyDescent="0.25">
      <c r="F116" s="99" t="s">
        <v>1044</v>
      </c>
      <c r="G116" s="196"/>
      <c r="H116" s="196" t="s">
        <v>147</v>
      </c>
      <c r="I116" s="196"/>
      <c r="J116" s="443">
        <v>5.2830000000000004</v>
      </c>
      <c r="K116" s="443">
        <v>1.6120000000000001</v>
      </c>
      <c r="L116" s="443">
        <v>1.1879999999999999</v>
      </c>
      <c r="M116" s="342">
        <v>72.19</v>
      </c>
      <c r="N116" s="342">
        <v>3.17</v>
      </c>
      <c r="O116" s="342">
        <v>5.28</v>
      </c>
      <c r="P116" s="443">
        <v>0.14000000000000001</v>
      </c>
    </row>
    <row r="117" spans="3:19" x14ac:dyDescent="0.25">
      <c r="F117" s="99" t="s">
        <v>1045</v>
      </c>
      <c r="G117" s="196"/>
      <c r="H117" s="196" t="s">
        <v>147</v>
      </c>
      <c r="I117" s="196"/>
      <c r="J117" s="443">
        <v>8.6560000000000006</v>
      </c>
      <c r="K117" s="443">
        <v>1.591</v>
      </c>
      <c r="L117" s="443">
        <v>0.82</v>
      </c>
      <c r="M117" s="342">
        <v>0</v>
      </c>
      <c r="N117" s="342">
        <v>0</v>
      </c>
      <c r="O117" s="342">
        <v>0</v>
      </c>
      <c r="P117" s="443">
        <v>0</v>
      </c>
    </row>
    <row r="118" spans="3:19" x14ac:dyDescent="0.25">
      <c r="F118" s="99" t="s">
        <v>1046</v>
      </c>
      <c r="G118" s="196"/>
      <c r="H118" s="196" t="s">
        <v>147</v>
      </c>
      <c r="I118" s="196"/>
      <c r="J118" s="443">
        <v>-7.6669999999999998</v>
      </c>
      <c r="K118" s="443">
        <v>-1.2110000000000001</v>
      </c>
      <c r="L118" s="443">
        <v>-0.151</v>
      </c>
      <c r="M118" s="342">
        <v>0</v>
      </c>
      <c r="N118" s="342">
        <v>0</v>
      </c>
      <c r="O118" s="342">
        <v>0</v>
      </c>
      <c r="P118" s="443">
        <v>0</v>
      </c>
    </row>
    <row r="119" spans="3:19" x14ac:dyDescent="0.25">
      <c r="F119" s="99" t="s">
        <v>1047</v>
      </c>
      <c r="G119" s="196"/>
      <c r="H119" s="196" t="s">
        <v>147</v>
      </c>
      <c r="I119" s="196"/>
      <c r="J119" s="443">
        <v>-6.8869999999999996</v>
      </c>
      <c r="K119" s="443">
        <v>-1.0580000000000001</v>
      </c>
      <c r="L119" s="443">
        <v>-0.13700000000000001</v>
      </c>
      <c r="M119" s="342">
        <v>0</v>
      </c>
      <c r="N119" s="342">
        <v>0</v>
      </c>
      <c r="O119" s="342">
        <v>0</v>
      </c>
      <c r="P119" s="443">
        <v>0</v>
      </c>
    </row>
    <row r="120" spans="3:19" x14ac:dyDescent="0.25">
      <c r="F120" s="99" t="s">
        <v>1048</v>
      </c>
      <c r="G120" s="196"/>
      <c r="H120" s="196" t="s">
        <v>147</v>
      </c>
      <c r="I120" s="196"/>
      <c r="J120" s="443">
        <v>-7.6669999999999998</v>
      </c>
      <c r="K120" s="443">
        <v>-1.2110000000000001</v>
      </c>
      <c r="L120" s="443">
        <v>-0.151</v>
      </c>
      <c r="M120" s="342">
        <v>0</v>
      </c>
      <c r="N120" s="342">
        <v>0</v>
      </c>
      <c r="O120" s="342">
        <v>0</v>
      </c>
      <c r="P120" s="443">
        <v>0.33100000000000002</v>
      </c>
    </row>
    <row r="121" spans="3:19" x14ac:dyDescent="0.25">
      <c r="F121" s="99" t="s">
        <v>1049</v>
      </c>
      <c r="G121" s="196"/>
      <c r="H121" s="196" t="s">
        <v>147</v>
      </c>
      <c r="I121" s="196"/>
      <c r="J121" s="446">
        <v>0</v>
      </c>
      <c r="K121" s="446">
        <v>0</v>
      </c>
      <c r="L121" s="446">
        <v>0</v>
      </c>
      <c r="M121" s="345">
        <v>0</v>
      </c>
      <c r="N121" s="345">
        <v>0</v>
      </c>
      <c r="O121" s="345">
        <v>0</v>
      </c>
      <c r="P121" s="446">
        <v>0</v>
      </c>
      <c r="S121" s="96"/>
    </row>
    <row r="122" spans="3:19" x14ac:dyDescent="0.25">
      <c r="F122" s="99" t="s">
        <v>1050</v>
      </c>
      <c r="G122" s="196"/>
      <c r="H122" s="196" t="s">
        <v>147</v>
      </c>
      <c r="I122" s="196"/>
      <c r="J122" s="443">
        <v>-6.8869999999999996</v>
      </c>
      <c r="K122" s="443">
        <v>-1.0580000000000001</v>
      </c>
      <c r="L122" s="443">
        <v>-0.13700000000000001</v>
      </c>
      <c r="M122" s="342">
        <v>0</v>
      </c>
      <c r="N122" s="342">
        <v>0</v>
      </c>
      <c r="O122" s="342">
        <v>0</v>
      </c>
      <c r="P122" s="443">
        <v>0.30499999999999999</v>
      </c>
    </row>
    <row r="123" spans="3:19" x14ac:dyDescent="0.25">
      <c r="F123" s="99" t="s">
        <v>1051</v>
      </c>
      <c r="G123" s="196"/>
      <c r="H123" s="196" t="s">
        <v>147</v>
      </c>
      <c r="I123" s="196"/>
      <c r="J123" s="446">
        <v>0</v>
      </c>
      <c r="K123" s="446">
        <v>0</v>
      </c>
      <c r="L123" s="446">
        <v>0</v>
      </c>
      <c r="M123" s="345">
        <v>0</v>
      </c>
      <c r="N123" s="345">
        <v>0</v>
      </c>
      <c r="O123" s="345">
        <v>0</v>
      </c>
      <c r="P123" s="446">
        <v>0</v>
      </c>
    </row>
    <row r="124" spans="3:19" x14ac:dyDescent="0.25">
      <c r="F124" s="99" t="s">
        <v>1052</v>
      </c>
      <c r="G124" s="196"/>
      <c r="H124" s="196" t="s">
        <v>147</v>
      </c>
      <c r="I124" s="196"/>
      <c r="J124" s="443">
        <v>-4.8609999999999998</v>
      </c>
      <c r="K124" s="443">
        <v>-0.625</v>
      </c>
      <c r="L124" s="443">
        <v>-9.9000000000000005E-2</v>
      </c>
      <c r="M124" s="342">
        <v>0</v>
      </c>
      <c r="N124" s="342">
        <v>0</v>
      </c>
      <c r="O124" s="342">
        <v>0</v>
      </c>
      <c r="P124" s="443">
        <v>0.23200000000000001</v>
      </c>
    </row>
    <row r="125" spans="3:19" x14ac:dyDescent="0.25">
      <c r="F125" s="100" t="s">
        <v>1053</v>
      </c>
      <c r="G125" s="93"/>
      <c r="H125" s="93" t="s">
        <v>147</v>
      </c>
      <c r="I125" s="93"/>
      <c r="J125" s="447">
        <v>0</v>
      </c>
      <c r="K125" s="447">
        <v>0</v>
      </c>
      <c r="L125" s="447">
        <v>0</v>
      </c>
      <c r="M125" s="346">
        <v>0</v>
      </c>
      <c r="N125" s="346">
        <v>0</v>
      </c>
      <c r="O125" s="346">
        <v>0</v>
      </c>
      <c r="P125" s="447">
        <v>0</v>
      </c>
    </row>
    <row r="126" spans="3:19" x14ac:dyDescent="0.25">
      <c r="D126" s="195"/>
      <c r="E126" s="195"/>
      <c r="F126" s="195"/>
      <c r="G126" s="195"/>
      <c r="H126" s="195"/>
      <c r="I126" s="195"/>
      <c r="J126" s="351"/>
      <c r="K126" s="351"/>
      <c r="L126" s="351"/>
      <c r="M126" s="215"/>
      <c r="N126" s="215"/>
      <c r="O126" s="215"/>
      <c r="P126" s="351"/>
      <c r="Q126" s="5"/>
      <c r="R126" s="5"/>
    </row>
    <row r="127" spans="3:19" s="195" customFormat="1" x14ac:dyDescent="0.25">
      <c r="C127" s="7" t="str">
        <f ca="1">INDEX('Version control'!$H$34:$H$60,MATCH($A$1,'Version control'!$F$34:$F$60,0),1)&amp;"-C: Tariff results for charging year " &amp; 'ARP_User control'!G32</f>
        <v>Input 506-C: Tariff results for charging year 2022/23</v>
      </c>
      <c r="D127" s="7"/>
      <c r="E127" s="7"/>
      <c r="F127" s="7"/>
      <c r="G127" s="7"/>
      <c r="H127" s="7"/>
      <c r="I127" s="7"/>
      <c r="J127" s="449"/>
      <c r="K127" s="449"/>
      <c r="L127" s="449"/>
      <c r="M127" s="7"/>
      <c r="N127" s="7"/>
      <c r="O127" s="7"/>
      <c r="P127" s="449"/>
      <c r="Q127" s="7"/>
      <c r="R127" s="7"/>
      <c r="S127" s="295"/>
    </row>
    <row r="128" spans="3:19" x14ac:dyDescent="0.25">
      <c r="D128" s="85"/>
      <c r="E128" s="195"/>
      <c r="F128" s="195"/>
      <c r="J128" s="450"/>
      <c r="K128" s="450"/>
      <c r="L128" s="450"/>
      <c r="M128" s="214"/>
      <c r="N128" s="214"/>
      <c r="O128" s="214"/>
      <c r="P128" s="450"/>
    </row>
    <row r="129" spans="4:16" x14ac:dyDescent="0.25">
      <c r="D129" s="96"/>
      <c r="E129" s="96" t="str">
        <f>"All the way tariff forecast " &amp; 'ARP_User control'!G32</f>
        <v>All the way tariff forecast 2022/23</v>
      </c>
      <c r="F129" s="195"/>
      <c r="J129" s="450"/>
      <c r="K129" s="450"/>
      <c r="L129" s="450"/>
      <c r="M129" s="214"/>
      <c r="N129" s="214"/>
      <c r="O129" s="214"/>
      <c r="P129" s="450"/>
    </row>
    <row r="130" spans="4:16" x14ac:dyDescent="0.25">
      <c r="F130" s="103" t="s">
        <v>1038</v>
      </c>
      <c r="G130" s="91"/>
      <c r="H130" s="91" t="s">
        <v>318</v>
      </c>
      <c r="I130" s="91"/>
      <c r="J130" s="442">
        <v>11.997999999999999</v>
      </c>
      <c r="K130" s="442">
        <v>3.1930000000000001</v>
      </c>
      <c r="L130" s="442">
        <v>1.7470000000000001</v>
      </c>
      <c r="M130" s="341">
        <v>3.28</v>
      </c>
      <c r="N130" s="341">
        <v>0</v>
      </c>
      <c r="O130" s="341">
        <v>0</v>
      </c>
      <c r="P130" s="442">
        <v>0</v>
      </c>
    </row>
    <row r="131" spans="4:16" x14ac:dyDescent="0.25">
      <c r="F131" s="99" t="s">
        <v>1039</v>
      </c>
      <c r="G131" s="196"/>
      <c r="H131" s="196" t="s">
        <v>318</v>
      </c>
      <c r="I131" s="196"/>
      <c r="J131" s="443">
        <v>11.997999999999999</v>
      </c>
      <c r="K131" s="443">
        <v>3.1930000000000001</v>
      </c>
      <c r="L131" s="443">
        <v>1.7470000000000001</v>
      </c>
      <c r="M131" s="342">
        <v>0</v>
      </c>
      <c r="N131" s="342">
        <v>0</v>
      </c>
      <c r="O131" s="342">
        <v>0</v>
      </c>
      <c r="P131" s="443">
        <v>0</v>
      </c>
    </row>
    <row r="132" spans="4:16" x14ac:dyDescent="0.25">
      <c r="F132" s="99" t="s">
        <v>1040</v>
      </c>
      <c r="G132" s="196"/>
      <c r="H132" s="196" t="s">
        <v>318</v>
      </c>
      <c r="I132" s="196"/>
      <c r="J132" s="443">
        <v>14.528</v>
      </c>
      <c r="K132" s="443">
        <v>3.593</v>
      </c>
      <c r="L132" s="443">
        <v>1.7969999999999999</v>
      </c>
      <c r="M132" s="342">
        <v>4.18</v>
      </c>
      <c r="N132" s="342">
        <v>0</v>
      </c>
      <c r="O132" s="342">
        <v>0</v>
      </c>
      <c r="P132" s="443">
        <v>0</v>
      </c>
    </row>
    <row r="133" spans="4:16" x14ac:dyDescent="0.25">
      <c r="F133" s="99" t="s">
        <v>1041</v>
      </c>
      <c r="G133" s="196"/>
      <c r="H133" s="196" t="s">
        <v>318</v>
      </c>
      <c r="I133" s="196"/>
      <c r="J133" s="443">
        <v>14.528</v>
      </c>
      <c r="K133" s="443">
        <v>3.593</v>
      </c>
      <c r="L133" s="443">
        <v>1.7969999999999999</v>
      </c>
      <c r="M133" s="342">
        <v>0</v>
      </c>
      <c r="N133" s="342">
        <v>0</v>
      </c>
      <c r="O133" s="342">
        <v>0</v>
      </c>
      <c r="P133" s="443">
        <v>0</v>
      </c>
    </row>
    <row r="134" spans="4:16" x14ac:dyDescent="0.25">
      <c r="F134" s="99" t="s">
        <v>1042</v>
      </c>
      <c r="G134" s="196"/>
      <c r="H134" s="196" t="s">
        <v>318</v>
      </c>
      <c r="I134" s="196"/>
      <c r="J134" s="443">
        <v>11.026</v>
      </c>
      <c r="K134" s="443">
        <v>2.964</v>
      </c>
      <c r="L134" s="443">
        <v>1.732</v>
      </c>
      <c r="M134" s="342">
        <v>16.73</v>
      </c>
      <c r="N134" s="342">
        <v>2.57</v>
      </c>
      <c r="O134" s="342">
        <v>4.67</v>
      </c>
      <c r="P134" s="443">
        <v>0.41699999999999998</v>
      </c>
    </row>
    <row r="135" spans="4:16" x14ac:dyDescent="0.25">
      <c r="F135" s="99" t="s">
        <v>1043</v>
      </c>
      <c r="G135" s="196"/>
      <c r="H135" s="196" t="s">
        <v>318</v>
      </c>
      <c r="I135" s="196"/>
      <c r="J135" s="443">
        <v>8.6349999999999998</v>
      </c>
      <c r="K135" s="443">
        <v>2.4710000000000001</v>
      </c>
      <c r="L135" s="443">
        <v>1.6910000000000001</v>
      </c>
      <c r="M135" s="342">
        <v>5.9</v>
      </c>
      <c r="N135" s="342">
        <v>5.19</v>
      </c>
      <c r="O135" s="342">
        <v>7.25</v>
      </c>
      <c r="P135" s="443">
        <v>0.252</v>
      </c>
    </row>
    <row r="136" spans="4:16" x14ac:dyDescent="0.25">
      <c r="F136" s="99" t="s">
        <v>1044</v>
      </c>
      <c r="G136" s="196"/>
      <c r="H136" s="196" t="s">
        <v>318</v>
      </c>
      <c r="I136" s="196"/>
      <c r="J136" s="443">
        <v>6.8789999999999996</v>
      </c>
      <c r="K136" s="443">
        <v>2.1909999999999998</v>
      </c>
      <c r="L136" s="443">
        <v>1.649</v>
      </c>
      <c r="M136" s="342">
        <v>89.4</v>
      </c>
      <c r="N136" s="342">
        <v>4.0599999999999996</v>
      </c>
      <c r="O136" s="342">
        <v>6.75</v>
      </c>
      <c r="P136" s="443">
        <v>0.17799999999999999</v>
      </c>
    </row>
    <row r="137" spans="4:16" x14ac:dyDescent="0.25">
      <c r="F137" s="99" t="s">
        <v>1045</v>
      </c>
      <c r="G137" s="196"/>
      <c r="H137" s="196" t="s">
        <v>318</v>
      </c>
      <c r="I137" s="196"/>
      <c r="J137" s="443">
        <v>20.324000000000002</v>
      </c>
      <c r="K137" s="443">
        <v>3.835</v>
      </c>
      <c r="L137" s="443">
        <v>2.036</v>
      </c>
      <c r="M137" s="342">
        <v>0</v>
      </c>
      <c r="N137" s="342">
        <v>0</v>
      </c>
      <c r="O137" s="342">
        <v>0</v>
      </c>
      <c r="P137" s="443">
        <v>0</v>
      </c>
    </row>
    <row r="138" spans="4:16" x14ac:dyDescent="0.25">
      <c r="F138" s="99" t="s">
        <v>1046</v>
      </c>
      <c r="G138" s="196"/>
      <c r="H138" s="196" t="s">
        <v>318</v>
      </c>
      <c r="I138" s="196"/>
      <c r="J138" s="443">
        <v>-7.9249999999999998</v>
      </c>
      <c r="K138" s="443">
        <v>-1.252</v>
      </c>
      <c r="L138" s="443">
        <v>-0.156</v>
      </c>
      <c r="M138" s="342">
        <v>0</v>
      </c>
      <c r="N138" s="342">
        <v>0</v>
      </c>
      <c r="O138" s="342">
        <v>0</v>
      </c>
      <c r="P138" s="443">
        <v>0</v>
      </c>
    </row>
    <row r="139" spans="4:16" x14ac:dyDescent="0.25">
      <c r="F139" s="99" t="s">
        <v>1047</v>
      </c>
      <c r="G139" s="196"/>
      <c r="H139" s="196" t="s">
        <v>318</v>
      </c>
      <c r="I139" s="196"/>
      <c r="J139" s="443">
        <v>-7.1180000000000003</v>
      </c>
      <c r="K139" s="443">
        <v>-1.093</v>
      </c>
      <c r="L139" s="443">
        <v>-0.14199999999999999</v>
      </c>
      <c r="M139" s="342">
        <v>0</v>
      </c>
      <c r="N139" s="342">
        <v>0</v>
      </c>
      <c r="O139" s="342">
        <v>0</v>
      </c>
      <c r="P139" s="443">
        <v>0</v>
      </c>
    </row>
    <row r="140" spans="4:16" x14ac:dyDescent="0.25">
      <c r="F140" s="99" t="s">
        <v>1048</v>
      </c>
      <c r="G140" s="196"/>
      <c r="H140" s="196" t="s">
        <v>318</v>
      </c>
      <c r="I140" s="196"/>
      <c r="J140" s="443">
        <v>-7.9249999999999998</v>
      </c>
      <c r="K140" s="443">
        <v>-1.252</v>
      </c>
      <c r="L140" s="443">
        <v>-0.156</v>
      </c>
      <c r="M140" s="342">
        <v>0</v>
      </c>
      <c r="N140" s="342">
        <v>0</v>
      </c>
      <c r="O140" s="342">
        <v>0</v>
      </c>
      <c r="P140" s="443">
        <v>0.34200000000000003</v>
      </c>
    </row>
    <row r="141" spans="4:16" x14ac:dyDescent="0.25">
      <c r="F141" s="99" t="s">
        <v>1049</v>
      </c>
      <c r="G141" s="196"/>
      <c r="H141" s="196" t="s">
        <v>318</v>
      </c>
      <c r="I141" s="196"/>
      <c r="J141" s="443">
        <v>-7.9249999999999998</v>
      </c>
      <c r="K141" s="443">
        <v>-1.252</v>
      </c>
      <c r="L141" s="443">
        <v>-0.156</v>
      </c>
      <c r="M141" s="342">
        <v>0</v>
      </c>
      <c r="N141" s="342">
        <v>0</v>
      </c>
      <c r="O141" s="342">
        <v>0</v>
      </c>
      <c r="P141" s="443">
        <v>0</v>
      </c>
    </row>
    <row r="142" spans="4:16" x14ac:dyDescent="0.25">
      <c r="F142" s="99" t="s">
        <v>1050</v>
      </c>
      <c r="G142" s="196"/>
      <c r="H142" s="196" t="s">
        <v>318</v>
      </c>
      <c r="I142" s="196"/>
      <c r="J142" s="443">
        <v>-7.1180000000000003</v>
      </c>
      <c r="K142" s="443">
        <v>-1.093</v>
      </c>
      <c r="L142" s="443">
        <v>-0.14199999999999999</v>
      </c>
      <c r="M142" s="342">
        <v>0</v>
      </c>
      <c r="N142" s="342">
        <v>0</v>
      </c>
      <c r="O142" s="342">
        <v>0</v>
      </c>
      <c r="P142" s="443">
        <v>0.315</v>
      </c>
    </row>
    <row r="143" spans="4:16" x14ac:dyDescent="0.25">
      <c r="F143" s="99" t="s">
        <v>1051</v>
      </c>
      <c r="G143" s="196"/>
      <c r="H143" s="196" t="s">
        <v>318</v>
      </c>
      <c r="I143" s="196"/>
      <c r="J143" s="443">
        <v>-7.1180000000000003</v>
      </c>
      <c r="K143" s="443">
        <v>-1.093</v>
      </c>
      <c r="L143" s="443">
        <v>-0.14199999999999999</v>
      </c>
      <c r="M143" s="342">
        <v>0</v>
      </c>
      <c r="N143" s="342">
        <v>0</v>
      </c>
      <c r="O143" s="342">
        <v>0</v>
      </c>
      <c r="P143" s="443">
        <v>0</v>
      </c>
    </row>
    <row r="144" spans="4:16" x14ac:dyDescent="0.25">
      <c r="F144" s="99" t="s">
        <v>1052</v>
      </c>
      <c r="G144" s="196"/>
      <c r="H144" s="196" t="s">
        <v>318</v>
      </c>
      <c r="I144" s="196"/>
      <c r="J144" s="443">
        <v>-5.0229999999999997</v>
      </c>
      <c r="K144" s="443">
        <v>-0.64600000000000002</v>
      </c>
      <c r="L144" s="443">
        <v>-0.10299999999999999</v>
      </c>
      <c r="M144" s="342">
        <v>65.28</v>
      </c>
      <c r="N144" s="342">
        <v>0</v>
      </c>
      <c r="O144" s="342">
        <v>0</v>
      </c>
      <c r="P144" s="443">
        <v>0.24</v>
      </c>
    </row>
    <row r="145" spans="4:16" x14ac:dyDescent="0.25">
      <c r="F145" s="100" t="s">
        <v>1053</v>
      </c>
      <c r="G145" s="93"/>
      <c r="H145" s="93" t="s">
        <v>318</v>
      </c>
      <c r="I145" s="93"/>
      <c r="J145" s="444">
        <v>-5.0229999999999997</v>
      </c>
      <c r="K145" s="444">
        <v>-0.64600000000000002</v>
      </c>
      <c r="L145" s="444">
        <v>-0.10299999999999999</v>
      </c>
      <c r="M145" s="343">
        <v>65.28</v>
      </c>
      <c r="N145" s="343">
        <v>0</v>
      </c>
      <c r="O145" s="343">
        <v>0</v>
      </c>
      <c r="P145" s="444">
        <v>0</v>
      </c>
    </row>
    <row r="146" spans="4:16" x14ac:dyDescent="0.25">
      <c r="F146" s="98"/>
      <c r="G146" s="295"/>
      <c r="H146" s="295"/>
      <c r="I146" s="295"/>
      <c r="J146" s="445"/>
      <c r="K146" s="445"/>
      <c r="L146" s="445"/>
      <c r="M146" s="344"/>
      <c r="N146" s="344"/>
      <c r="O146" s="344"/>
      <c r="P146" s="445"/>
    </row>
    <row r="147" spans="4:16" x14ac:dyDescent="0.25">
      <c r="D147" s="96"/>
      <c r="E147" s="96" t="str">
        <f>"LDNO LV tariff forecast "&amp; 'ARP_User control'!G32</f>
        <v>LDNO LV tariff forecast 2022/23</v>
      </c>
      <c r="F147" s="98"/>
      <c r="G147" s="295"/>
      <c r="H147" s="295"/>
      <c r="I147" s="295"/>
      <c r="J147" s="445"/>
      <c r="K147" s="445"/>
      <c r="L147" s="445"/>
      <c r="M147" s="344"/>
      <c r="N147" s="344"/>
      <c r="O147" s="344"/>
      <c r="P147" s="445"/>
    </row>
    <row r="148" spans="4:16" x14ac:dyDescent="0.25">
      <c r="F148" s="103" t="s">
        <v>1038</v>
      </c>
      <c r="G148" s="91"/>
      <c r="H148" s="91" t="s">
        <v>146</v>
      </c>
      <c r="I148" s="91"/>
      <c r="J148" s="442">
        <v>7.4379999999999997</v>
      </c>
      <c r="K148" s="442">
        <v>1.98</v>
      </c>
      <c r="L148" s="442">
        <v>1.083</v>
      </c>
      <c r="M148" s="341">
        <v>2.04</v>
      </c>
      <c r="N148" s="341">
        <v>0</v>
      </c>
      <c r="O148" s="341">
        <v>0</v>
      </c>
      <c r="P148" s="442">
        <v>0</v>
      </c>
    </row>
    <row r="149" spans="4:16" x14ac:dyDescent="0.25">
      <c r="F149" s="99" t="s">
        <v>1039</v>
      </c>
      <c r="G149" s="196"/>
      <c r="H149" s="196" t="s">
        <v>146</v>
      </c>
      <c r="I149" s="196"/>
      <c r="J149" s="443">
        <v>7.4379999999999997</v>
      </c>
      <c r="K149" s="443">
        <v>1.98</v>
      </c>
      <c r="L149" s="443">
        <v>1.083</v>
      </c>
      <c r="M149" s="342">
        <v>0</v>
      </c>
      <c r="N149" s="342">
        <v>0</v>
      </c>
      <c r="O149" s="342">
        <v>0</v>
      </c>
      <c r="P149" s="443">
        <v>0</v>
      </c>
    </row>
    <row r="150" spans="4:16" x14ac:dyDescent="0.25">
      <c r="F150" s="99" t="s">
        <v>1040</v>
      </c>
      <c r="G150" s="196"/>
      <c r="H150" s="196" t="s">
        <v>146</v>
      </c>
      <c r="I150" s="196"/>
      <c r="J150" s="443">
        <v>9.0069999999999997</v>
      </c>
      <c r="K150" s="443">
        <v>2.2280000000000002</v>
      </c>
      <c r="L150" s="443">
        <v>1.1140000000000001</v>
      </c>
      <c r="M150" s="342">
        <v>2.59</v>
      </c>
      <c r="N150" s="342">
        <v>0</v>
      </c>
      <c r="O150" s="342">
        <v>0</v>
      </c>
      <c r="P150" s="443">
        <v>0</v>
      </c>
    </row>
    <row r="151" spans="4:16" x14ac:dyDescent="0.25">
      <c r="F151" s="99" t="s">
        <v>1041</v>
      </c>
      <c r="G151" s="196"/>
      <c r="H151" s="196" t="s">
        <v>146</v>
      </c>
      <c r="I151" s="196"/>
      <c r="J151" s="443">
        <v>9.0069999999999997</v>
      </c>
      <c r="K151" s="443">
        <v>2.2280000000000002</v>
      </c>
      <c r="L151" s="443">
        <v>1.1140000000000001</v>
      </c>
      <c r="M151" s="342">
        <v>0</v>
      </c>
      <c r="N151" s="342">
        <v>0</v>
      </c>
      <c r="O151" s="342">
        <v>0</v>
      </c>
      <c r="P151" s="443">
        <v>0</v>
      </c>
    </row>
    <row r="152" spans="4:16" x14ac:dyDescent="0.25">
      <c r="F152" s="99" t="s">
        <v>1042</v>
      </c>
      <c r="G152" s="196"/>
      <c r="H152" s="196" t="s">
        <v>146</v>
      </c>
      <c r="I152" s="196"/>
      <c r="J152" s="443">
        <v>6.8360000000000003</v>
      </c>
      <c r="K152" s="443">
        <v>1.837</v>
      </c>
      <c r="L152" s="443">
        <v>1.0740000000000001</v>
      </c>
      <c r="M152" s="342">
        <v>10.37</v>
      </c>
      <c r="N152" s="342">
        <v>1.59</v>
      </c>
      <c r="O152" s="342">
        <v>2.9</v>
      </c>
      <c r="P152" s="443">
        <v>0.25900000000000001</v>
      </c>
    </row>
    <row r="153" spans="4:16" x14ac:dyDescent="0.25">
      <c r="F153" s="99" t="s">
        <v>1043</v>
      </c>
      <c r="G153" s="196"/>
      <c r="H153" s="196" t="s">
        <v>146</v>
      </c>
      <c r="I153" s="196"/>
      <c r="J153" s="446">
        <v>0</v>
      </c>
      <c r="K153" s="446">
        <v>0</v>
      </c>
      <c r="L153" s="446">
        <v>0</v>
      </c>
      <c r="M153" s="345">
        <v>0</v>
      </c>
      <c r="N153" s="345">
        <v>0</v>
      </c>
      <c r="O153" s="345">
        <v>0</v>
      </c>
      <c r="P153" s="446">
        <v>0</v>
      </c>
    </row>
    <row r="154" spans="4:16" x14ac:dyDescent="0.25">
      <c r="F154" s="99" t="s">
        <v>1044</v>
      </c>
      <c r="G154" s="196"/>
      <c r="H154" s="196" t="s">
        <v>146</v>
      </c>
      <c r="I154" s="196"/>
      <c r="J154" s="446">
        <v>0</v>
      </c>
      <c r="K154" s="446">
        <v>0</v>
      </c>
      <c r="L154" s="446">
        <v>0</v>
      </c>
      <c r="M154" s="345">
        <v>0</v>
      </c>
      <c r="N154" s="345">
        <v>0</v>
      </c>
      <c r="O154" s="345">
        <v>0</v>
      </c>
      <c r="P154" s="446">
        <v>0</v>
      </c>
    </row>
    <row r="155" spans="4:16" x14ac:dyDescent="0.25">
      <c r="F155" s="99" t="s">
        <v>1045</v>
      </c>
      <c r="G155" s="196"/>
      <c r="H155" s="196" t="s">
        <v>146</v>
      </c>
      <c r="I155" s="196"/>
      <c r="J155" s="443">
        <v>12.601000000000001</v>
      </c>
      <c r="K155" s="443">
        <v>2.3780000000000001</v>
      </c>
      <c r="L155" s="443">
        <v>1.262</v>
      </c>
      <c r="M155" s="342">
        <v>0</v>
      </c>
      <c r="N155" s="342">
        <v>0</v>
      </c>
      <c r="O155" s="342">
        <v>0</v>
      </c>
      <c r="P155" s="443">
        <v>0</v>
      </c>
    </row>
    <row r="156" spans="4:16" x14ac:dyDescent="0.25">
      <c r="F156" s="99" t="s">
        <v>1046</v>
      </c>
      <c r="G156" s="196"/>
      <c r="H156" s="196" t="s">
        <v>146</v>
      </c>
      <c r="I156" s="196"/>
      <c r="J156" s="443">
        <v>-7.9249999999999998</v>
      </c>
      <c r="K156" s="443">
        <v>-1.252</v>
      </c>
      <c r="L156" s="443">
        <v>-0.156</v>
      </c>
      <c r="M156" s="342">
        <v>0</v>
      </c>
      <c r="N156" s="342">
        <v>0</v>
      </c>
      <c r="O156" s="342">
        <v>0</v>
      </c>
      <c r="P156" s="443">
        <v>0</v>
      </c>
    </row>
    <row r="157" spans="4:16" x14ac:dyDescent="0.25">
      <c r="F157" s="99" t="s">
        <v>1047</v>
      </c>
      <c r="G157" s="196"/>
      <c r="H157" s="196" t="s">
        <v>146</v>
      </c>
      <c r="I157" s="196"/>
      <c r="J157" s="446">
        <v>0</v>
      </c>
      <c r="K157" s="446">
        <v>0</v>
      </c>
      <c r="L157" s="446">
        <v>0</v>
      </c>
      <c r="M157" s="345">
        <v>0</v>
      </c>
      <c r="N157" s="345">
        <v>0</v>
      </c>
      <c r="O157" s="345">
        <v>0</v>
      </c>
      <c r="P157" s="446">
        <v>0</v>
      </c>
    </row>
    <row r="158" spans="4:16" x14ac:dyDescent="0.25">
      <c r="F158" s="99" t="s">
        <v>1048</v>
      </c>
      <c r="G158" s="196"/>
      <c r="H158" s="196" t="s">
        <v>146</v>
      </c>
      <c r="I158" s="196"/>
      <c r="J158" s="443">
        <v>-7.9249999999999998</v>
      </c>
      <c r="K158" s="443">
        <v>-1.252</v>
      </c>
      <c r="L158" s="443">
        <v>-0.156</v>
      </c>
      <c r="M158" s="342">
        <v>0</v>
      </c>
      <c r="N158" s="342">
        <v>0</v>
      </c>
      <c r="O158" s="342">
        <v>0</v>
      </c>
      <c r="P158" s="443">
        <v>0.34200000000000003</v>
      </c>
    </row>
    <row r="159" spans="4:16" x14ac:dyDescent="0.25">
      <c r="F159" s="99" t="s">
        <v>1049</v>
      </c>
      <c r="G159" s="196"/>
      <c r="H159" s="196" t="s">
        <v>146</v>
      </c>
      <c r="I159" s="196"/>
      <c r="J159" s="446">
        <v>0</v>
      </c>
      <c r="K159" s="446">
        <v>0</v>
      </c>
      <c r="L159" s="446">
        <v>0</v>
      </c>
      <c r="M159" s="345">
        <v>0</v>
      </c>
      <c r="N159" s="345">
        <v>0</v>
      </c>
      <c r="O159" s="345">
        <v>0</v>
      </c>
      <c r="P159" s="446">
        <v>0</v>
      </c>
    </row>
    <row r="160" spans="4:16" x14ac:dyDescent="0.25">
      <c r="F160" s="99" t="s">
        <v>1050</v>
      </c>
      <c r="G160" s="196"/>
      <c r="H160" s="196" t="s">
        <v>146</v>
      </c>
      <c r="I160" s="196"/>
      <c r="J160" s="446">
        <v>0</v>
      </c>
      <c r="K160" s="446">
        <v>0</v>
      </c>
      <c r="L160" s="446">
        <v>0</v>
      </c>
      <c r="M160" s="345">
        <v>0</v>
      </c>
      <c r="N160" s="345">
        <v>0</v>
      </c>
      <c r="O160" s="345">
        <v>0</v>
      </c>
      <c r="P160" s="446">
        <v>0</v>
      </c>
    </row>
    <row r="161" spans="4:18" x14ac:dyDescent="0.25">
      <c r="F161" s="99" t="s">
        <v>1051</v>
      </c>
      <c r="G161" s="196"/>
      <c r="H161" s="196" t="s">
        <v>146</v>
      </c>
      <c r="I161" s="196"/>
      <c r="J161" s="446">
        <v>0</v>
      </c>
      <c r="K161" s="446">
        <v>0</v>
      </c>
      <c r="L161" s="446">
        <v>0</v>
      </c>
      <c r="M161" s="345">
        <v>0</v>
      </c>
      <c r="N161" s="345">
        <v>0</v>
      </c>
      <c r="O161" s="345">
        <v>0</v>
      </c>
      <c r="P161" s="446">
        <v>0</v>
      </c>
    </row>
    <row r="162" spans="4:18" x14ac:dyDescent="0.25">
      <c r="F162" s="99" t="s">
        <v>1052</v>
      </c>
      <c r="G162" s="196"/>
      <c r="H162" s="196" t="s">
        <v>146</v>
      </c>
      <c r="I162" s="196"/>
      <c r="J162" s="446">
        <v>0</v>
      </c>
      <c r="K162" s="446">
        <v>0</v>
      </c>
      <c r="L162" s="446">
        <v>0</v>
      </c>
      <c r="M162" s="345">
        <v>0</v>
      </c>
      <c r="N162" s="345">
        <v>0</v>
      </c>
      <c r="O162" s="345">
        <v>0</v>
      </c>
      <c r="P162" s="446">
        <v>0</v>
      </c>
    </row>
    <row r="163" spans="4:18" x14ac:dyDescent="0.25">
      <c r="F163" s="100" t="s">
        <v>1053</v>
      </c>
      <c r="G163" s="93"/>
      <c r="H163" s="93" t="s">
        <v>146</v>
      </c>
      <c r="I163" s="93"/>
      <c r="J163" s="447">
        <v>0</v>
      </c>
      <c r="K163" s="447">
        <v>0</v>
      </c>
      <c r="L163" s="447">
        <v>0</v>
      </c>
      <c r="M163" s="346">
        <v>0</v>
      </c>
      <c r="N163" s="346">
        <v>0</v>
      </c>
      <c r="O163" s="346">
        <v>0</v>
      </c>
      <c r="P163" s="447">
        <v>0</v>
      </c>
    </row>
    <row r="164" spans="4:18" x14ac:dyDescent="0.25">
      <c r="D164" s="195"/>
      <c r="E164" s="195"/>
      <c r="F164" s="295"/>
      <c r="G164" s="295"/>
      <c r="H164" s="295"/>
      <c r="I164" s="295"/>
      <c r="J164" s="445"/>
      <c r="K164" s="445"/>
      <c r="L164" s="445"/>
      <c r="M164" s="344"/>
      <c r="N164" s="344"/>
      <c r="O164" s="344"/>
      <c r="P164" s="445"/>
      <c r="Q164" s="195"/>
      <c r="R164" s="195"/>
    </row>
    <row r="165" spans="4:18" x14ac:dyDescent="0.25">
      <c r="D165" s="96"/>
      <c r="E165" s="96" t="str">
        <f>"LDNO HV tariff forecast "&amp; 'ARP_User control'!G32</f>
        <v>LDNO HV tariff forecast 2022/23</v>
      </c>
      <c r="F165" s="295"/>
      <c r="G165" s="295"/>
      <c r="H165" s="295"/>
      <c r="I165" s="295"/>
      <c r="J165" s="445"/>
      <c r="K165" s="445"/>
      <c r="L165" s="445"/>
      <c r="M165" s="344"/>
      <c r="N165" s="344"/>
      <c r="O165" s="344"/>
      <c r="P165" s="445"/>
      <c r="Q165" s="195"/>
      <c r="R165" s="195"/>
    </row>
    <row r="166" spans="4:18" x14ac:dyDescent="0.25">
      <c r="F166" s="103" t="s">
        <v>1038</v>
      </c>
      <c r="G166" s="91"/>
      <c r="H166" s="91" t="s">
        <v>147</v>
      </c>
      <c r="I166" s="91"/>
      <c r="J166" s="442">
        <v>5.3140000000000001</v>
      </c>
      <c r="K166" s="442">
        <v>1.4139999999999999</v>
      </c>
      <c r="L166" s="442">
        <v>0.77400000000000002</v>
      </c>
      <c r="M166" s="341">
        <v>1.46</v>
      </c>
      <c r="N166" s="341">
        <v>0</v>
      </c>
      <c r="O166" s="341">
        <v>0</v>
      </c>
      <c r="P166" s="442">
        <v>0</v>
      </c>
    </row>
    <row r="167" spans="4:18" x14ac:dyDescent="0.25">
      <c r="F167" s="99" t="s">
        <v>1039</v>
      </c>
      <c r="G167" s="196"/>
      <c r="H167" s="196" t="s">
        <v>147</v>
      </c>
      <c r="I167" s="196"/>
      <c r="J167" s="443">
        <v>5.3140000000000001</v>
      </c>
      <c r="K167" s="443">
        <v>1.4139999999999999</v>
      </c>
      <c r="L167" s="443">
        <v>0.77400000000000002</v>
      </c>
      <c r="M167" s="342">
        <v>0</v>
      </c>
      <c r="N167" s="342">
        <v>0</v>
      </c>
      <c r="O167" s="342">
        <v>0</v>
      </c>
      <c r="P167" s="443">
        <v>0</v>
      </c>
    </row>
    <row r="168" spans="4:18" x14ac:dyDescent="0.25">
      <c r="F168" s="99" t="s">
        <v>1040</v>
      </c>
      <c r="G168" s="196"/>
      <c r="H168" s="196" t="s">
        <v>147</v>
      </c>
      <c r="I168" s="196"/>
      <c r="J168" s="443">
        <v>6.4349999999999996</v>
      </c>
      <c r="K168" s="443">
        <v>1.591</v>
      </c>
      <c r="L168" s="443">
        <v>0.79600000000000004</v>
      </c>
      <c r="M168" s="342">
        <v>1.85</v>
      </c>
      <c r="N168" s="342">
        <v>0</v>
      </c>
      <c r="O168" s="342">
        <v>0</v>
      </c>
      <c r="P168" s="443">
        <v>0</v>
      </c>
    </row>
    <row r="169" spans="4:18" x14ac:dyDescent="0.25">
      <c r="F169" s="99" t="s">
        <v>1041</v>
      </c>
      <c r="G169" s="196"/>
      <c r="H169" s="196" t="s">
        <v>147</v>
      </c>
      <c r="I169" s="196"/>
      <c r="J169" s="443">
        <v>6.4349999999999996</v>
      </c>
      <c r="K169" s="443">
        <v>1.591</v>
      </c>
      <c r="L169" s="443">
        <v>0.79600000000000004</v>
      </c>
      <c r="M169" s="342">
        <v>0</v>
      </c>
      <c r="N169" s="342">
        <v>0</v>
      </c>
      <c r="O169" s="342">
        <v>0</v>
      </c>
      <c r="P169" s="443">
        <v>0</v>
      </c>
    </row>
    <row r="170" spans="4:18" x14ac:dyDescent="0.25">
      <c r="F170" s="99" t="s">
        <v>1042</v>
      </c>
      <c r="G170" s="196"/>
      <c r="H170" s="196" t="s">
        <v>147</v>
      </c>
      <c r="I170" s="196"/>
      <c r="J170" s="443">
        <v>4.883</v>
      </c>
      <c r="K170" s="443">
        <v>1.3129999999999999</v>
      </c>
      <c r="L170" s="443">
        <v>0.76700000000000002</v>
      </c>
      <c r="M170" s="342">
        <v>7.41</v>
      </c>
      <c r="N170" s="342">
        <v>1.1399999999999999</v>
      </c>
      <c r="O170" s="342">
        <v>2.0699999999999998</v>
      </c>
      <c r="P170" s="443">
        <v>0.185</v>
      </c>
    </row>
    <row r="171" spans="4:18" x14ac:dyDescent="0.25">
      <c r="F171" s="99" t="s">
        <v>1043</v>
      </c>
      <c r="G171" s="196"/>
      <c r="H171" s="196" t="s">
        <v>147</v>
      </c>
      <c r="I171" s="196"/>
      <c r="J171" s="443">
        <v>6.1820000000000004</v>
      </c>
      <c r="K171" s="443">
        <v>1.7689999999999999</v>
      </c>
      <c r="L171" s="443">
        <v>1.2110000000000001</v>
      </c>
      <c r="M171" s="342">
        <v>4.2300000000000004</v>
      </c>
      <c r="N171" s="342">
        <v>3.72</v>
      </c>
      <c r="O171" s="342">
        <v>5.19</v>
      </c>
      <c r="P171" s="443">
        <v>0.18</v>
      </c>
    </row>
    <row r="172" spans="4:18" x14ac:dyDescent="0.25">
      <c r="F172" s="99" t="s">
        <v>1044</v>
      </c>
      <c r="G172" s="196"/>
      <c r="H172" s="196" t="s">
        <v>147</v>
      </c>
      <c r="I172" s="196"/>
      <c r="J172" s="443">
        <v>5.5650000000000004</v>
      </c>
      <c r="K172" s="443">
        <v>1.7729999999999999</v>
      </c>
      <c r="L172" s="443">
        <v>1.3340000000000001</v>
      </c>
      <c r="M172" s="342">
        <v>72.33</v>
      </c>
      <c r="N172" s="342">
        <v>3.28</v>
      </c>
      <c r="O172" s="342">
        <v>5.46</v>
      </c>
      <c r="P172" s="443">
        <v>0.14399999999999999</v>
      </c>
    </row>
    <row r="173" spans="4:18" x14ac:dyDescent="0.25">
      <c r="F173" s="99" t="s">
        <v>1045</v>
      </c>
      <c r="G173" s="196"/>
      <c r="H173" s="196" t="s">
        <v>147</v>
      </c>
      <c r="I173" s="196"/>
      <c r="J173" s="443">
        <v>9.0020000000000007</v>
      </c>
      <c r="K173" s="443">
        <v>1.6990000000000001</v>
      </c>
      <c r="L173" s="443">
        <v>0.90200000000000002</v>
      </c>
      <c r="M173" s="342">
        <v>0</v>
      </c>
      <c r="N173" s="342">
        <v>0</v>
      </c>
      <c r="O173" s="342">
        <v>0</v>
      </c>
      <c r="P173" s="443">
        <v>0</v>
      </c>
    </row>
    <row r="174" spans="4:18" x14ac:dyDescent="0.25">
      <c r="F174" s="99" t="s">
        <v>1046</v>
      </c>
      <c r="G174" s="196"/>
      <c r="H174" s="196" t="s">
        <v>147</v>
      </c>
      <c r="I174" s="196"/>
      <c r="J174" s="443">
        <v>-7.9249999999999998</v>
      </c>
      <c r="K174" s="443">
        <v>-1.252</v>
      </c>
      <c r="L174" s="443">
        <v>-0.156</v>
      </c>
      <c r="M174" s="342">
        <v>0</v>
      </c>
      <c r="N174" s="342">
        <v>0</v>
      </c>
      <c r="O174" s="342">
        <v>0</v>
      </c>
      <c r="P174" s="443">
        <v>0</v>
      </c>
    </row>
    <row r="175" spans="4:18" x14ac:dyDescent="0.25">
      <c r="F175" s="99" t="s">
        <v>1047</v>
      </c>
      <c r="G175" s="196"/>
      <c r="H175" s="196" t="s">
        <v>147</v>
      </c>
      <c r="I175" s="196"/>
      <c r="J175" s="443">
        <v>-7.1180000000000003</v>
      </c>
      <c r="K175" s="443">
        <v>-1.093</v>
      </c>
      <c r="L175" s="443">
        <v>-0.14199999999999999</v>
      </c>
      <c r="M175" s="342">
        <v>0</v>
      </c>
      <c r="N175" s="342">
        <v>0</v>
      </c>
      <c r="O175" s="342">
        <v>0</v>
      </c>
      <c r="P175" s="443">
        <v>0</v>
      </c>
    </row>
    <row r="176" spans="4:18" x14ac:dyDescent="0.25">
      <c r="F176" s="99" t="s">
        <v>1048</v>
      </c>
      <c r="G176" s="196"/>
      <c r="H176" s="196" t="s">
        <v>147</v>
      </c>
      <c r="I176" s="196"/>
      <c r="J176" s="443">
        <v>-7.9249999999999998</v>
      </c>
      <c r="K176" s="443">
        <v>-1.252</v>
      </c>
      <c r="L176" s="443">
        <v>-0.156</v>
      </c>
      <c r="M176" s="342">
        <v>0</v>
      </c>
      <c r="N176" s="342">
        <v>0</v>
      </c>
      <c r="O176" s="342">
        <v>0</v>
      </c>
      <c r="P176" s="443">
        <v>0.34200000000000003</v>
      </c>
    </row>
    <row r="177" spans="3:19" x14ac:dyDescent="0.25">
      <c r="F177" s="99" t="s">
        <v>1049</v>
      </c>
      <c r="G177" s="196"/>
      <c r="H177" s="196" t="s">
        <v>147</v>
      </c>
      <c r="I177" s="196"/>
      <c r="J177" s="446">
        <v>0</v>
      </c>
      <c r="K177" s="446">
        <v>0</v>
      </c>
      <c r="L177" s="446">
        <v>0</v>
      </c>
      <c r="M177" s="345">
        <v>0</v>
      </c>
      <c r="N177" s="345">
        <v>0</v>
      </c>
      <c r="O177" s="345">
        <v>0</v>
      </c>
      <c r="P177" s="446">
        <v>0</v>
      </c>
    </row>
    <row r="178" spans="3:19" x14ac:dyDescent="0.25">
      <c r="F178" s="99" t="s">
        <v>1050</v>
      </c>
      <c r="G178" s="196"/>
      <c r="H178" s="196" t="s">
        <v>147</v>
      </c>
      <c r="I178" s="196"/>
      <c r="J178" s="443">
        <v>-7.1180000000000003</v>
      </c>
      <c r="K178" s="443">
        <v>-1.093</v>
      </c>
      <c r="L178" s="443">
        <v>-0.14199999999999999</v>
      </c>
      <c r="M178" s="342">
        <v>0</v>
      </c>
      <c r="N178" s="342">
        <v>0</v>
      </c>
      <c r="O178" s="342">
        <v>0</v>
      </c>
      <c r="P178" s="443">
        <v>0.315</v>
      </c>
    </row>
    <row r="179" spans="3:19" x14ac:dyDescent="0.25">
      <c r="F179" s="99" t="s">
        <v>1051</v>
      </c>
      <c r="G179" s="196"/>
      <c r="H179" s="196" t="s">
        <v>147</v>
      </c>
      <c r="I179" s="196"/>
      <c r="J179" s="446">
        <v>0</v>
      </c>
      <c r="K179" s="446">
        <v>0</v>
      </c>
      <c r="L179" s="446">
        <v>0</v>
      </c>
      <c r="M179" s="345">
        <v>0</v>
      </c>
      <c r="N179" s="345">
        <v>0</v>
      </c>
      <c r="O179" s="345">
        <v>0</v>
      </c>
      <c r="P179" s="446">
        <v>0</v>
      </c>
    </row>
    <row r="180" spans="3:19" x14ac:dyDescent="0.25">
      <c r="F180" s="99" t="s">
        <v>1052</v>
      </c>
      <c r="G180" s="196"/>
      <c r="H180" s="196" t="s">
        <v>147</v>
      </c>
      <c r="I180" s="196"/>
      <c r="J180" s="443">
        <v>-5.0229999999999997</v>
      </c>
      <c r="K180" s="443">
        <v>-0.64600000000000002</v>
      </c>
      <c r="L180" s="443">
        <v>-0.10299999999999999</v>
      </c>
      <c r="M180" s="342">
        <v>0</v>
      </c>
      <c r="N180" s="342">
        <v>0</v>
      </c>
      <c r="O180" s="342">
        <v>0</v>
      </c>
      <c r="P180" s="443">
        <v>0.24</v>
      </c>
    </row>
    <row r="181" spans="3:19" x14ac:dyDescent="0.25">
      <c r="F181" s="100" t="s">
        <v>1053</v>
      </c>
      <c r="G181" s="93"/>
      <c r="H181" s="93" t="s">
        <v>147</v>
      </c>
      <c r="I181" s="93"/>
      <c r="J181" s="447">
        <v>0</v>
      </c>
      <c r="K181" s="447">
        <v>0</v>
      </c>
      <c r="L181" s="447">
        <v>0</v>
      </c>
      <c r="M181" s="346">
        <v>0</v>
      </c>
      <c r="N181" s="346">
        <v>0</v>
      </c>
      <c r="O181" s="346">
        <v>0</v>
      </c>
      <c r="P181" s="447">
        <v>0</v>
      </c>
    </row>
    <row r="182" spans="3:19" x14ac:dyDescent="0.25">
      <c r="D182" s="195"/>
      <c r="E182" s="195"/>
      <c r="F182" s="195"/>
      <c r="G182" s="195"/>
      <c r="H182" s="195"/>
      <c r="I182" s="195"/>
      <c r="J182" s="351"/>
      <c r="K182" s="351"/>
      <c r="L182" s="351"/>
      <c r="M182" s="215"/>
      <c r="N182" s="215"/>
      <c r="O182" s="215"/>
      <c r="P182" s="351"/>
      <c r="Q182" s="195"/>
      <c r="R182" s="195"/>
    </row>
    <row r="183" spans="3:19" s="195" customFormat="1" x14ac:dyDescent="0.25">
      <c r="C183" s="7" t="str">
        <f ca="1">INDEX('Version control'!$H$34:$H$60,MATCH($A$1,'Version control'!$F$34:$F$60,0),1)&amp;"-D: Tariff results for charging year " &amp; 'ARP_User control'!G33</f>
        <v>Input 506-D: Tariff results for charging year 2023/24</v>
      </c>
      <c r="D183" s="7"/>
      <c r="E183" s="7"/>
      <c r="F183" s="7"/>
      <c r="G183" s="7"/>
      <c r="H183" s="7"/>
      <c r="I183" s="7"/>
      <c r="J183" s="449"/>
      <c r="K183" s="449"/>
      <c r="L183" s="449"/>
      <c r="M183" s="7"/>
      <c r="N183" s="7"/>
      <c r="O183" s="7"/>
      <c r="P183" s="449"/>
      <c r="Q183" s="7"/>
      <c r="R183" s="7"/>
      <c r="S183" s="295"/>
    </row>
    <row r="184" spans="3:19" x14ac:dyDescent="0.25">
      <c r="D184" s="85"/>
      <c r="E184" s="195"/>
      <c r="F184" s="195"/>
      <c r="J184" s="450"/>
      <c r="K184" s="450"/>
      <c r="L184" s="450"/>
      <c r="M184" s="214"/>
      <c r="N184" s="214"/>
      <c r="O184" s="214"/>
      <c r="P184" s="450"/>
    </row>
    <row r="185" spans="3:19" x14ac:dyDescent="0.25">
      <c r="D185" s="96"/>
      <c r="E185" s="96" t="str">
        <f>"All the way tariff forecast "&amp; 'ARP_User control'!G33</f>
        <v>All the way tariff forecast 2023/24</v>
      </c>
      <c r="F185" s="195"/>
      <c r="J185" s="450"/>
      <c r="K185" s="450"/>
      <c r="L185" s="450"/>
      <c r="M185" s="214"/>
      <c r="N185" s="214"/>
      <c r="O185" s="214"/>
      <c r="P185" s="450"/>
    </row>
    <row r="186" spans="3:19" x14ac:dyDescent="0.25">
      <c r="F186" s="103" t="s">
        <v>1038</v>
      </c>
      <c r="G186" s="91"/>
      <c r="H186" s="91" t="s">
        <v>318</v>
      </c>
      <c r="I186" s="91"/>
      <c r="J186" s="442">
        <v>12.28</v>
      </c>
      <c r="K186" s="442">
        <v>3.2810000000000001</v>
      </c>
      <c r="L186" s="442">
        <v>1.806</v>
      </c>
      <c r="M186" s="341">
        <v>3.28</v>
      </c>
      <c r="N186" s="341">
        <v>0</v>
      </c>
      <c r="O186" s="341">
        <v>0</v>
      </c>
      <c r="P186" s="442">
        <v>0</v>
      </c>
    </row>
    <row r="187" spans="3:19" x14ac:dyDescent="0.25">
      <c r="F187" s="99" t="s">
        <v>1039</v>
      </c>
      <c r="G187" s="196"/>
      <c r="H187" s="196" t="s">
        <v>318</v>
      </c>
      <c r="I187" s="196"/>
      <c r="J187" s="443">
        <v>12.28</v>
      </c>
      <c r="K187" s="443">
        <v>3.2810000000000001</v>
      </c>
      <c r="L187" s="443">
        <v>1.806</v>
      </c>
      <c r="M187" s="342">
        <v>0</v>
      </c>
      <c r="N187" s="342">
        <v>0</v>
      </c>
      <c r="O187" s="342">
        <v>0</v>
      </c>
      <c r="P187" s="443">
        <v>0</v>
      </c>
    </row>
    <row r="188" spans="3:19" x14ac:dyDescent="0.25">
      <c r="F188" s="99" t="s">
        <v>1040</v>
      </c>
      <c r="G188" s="196"/>
      <c r="H188" s="196" t="s">
        <v>318</v>
      </c>
      <c r="I188" s="196"/>
      <c r="J188" s="443">
        <v>14.865</v>
      </c>
      <c r="K188" s="443">
        <v>3.6880000000000002</v>
      </c>
      <c r="L188" s="443">
        <v>1.857</v>
      </c>
      <c r="M188" s="342">
        <v>4.21</v>
      </c>
      <c r="N188" s="342">
        <v>0</v>
      </c>
      <c r="O188" s="342">
        <v>0</v>
      </c>
      <c r="P188" s="443">
        <v>0</v>
      </c>
    </row>
    <row r="189" spans="3:19" x14ac:dyDescent="0.25">
      <c r="F189" s="99" t="s">
        <v>1041</v>
      </c>
      <c r="G189" s="196"/>
      <c r="H189" s="196" t="s">
        <v>318</v>
      </c>
      <c r="I189" s="196"/>
      <c r="J189" s="443">
        <v>14.865</v>
      </c>
      <c r="K189" s="443">
        <v>3.6880000000000002</v>
      </c>
      <c r="L189" s="443">
        <v>1.857</v>
      </c>
      <c r="M189" s="342">
        <v>0</v>
      </c>
      <c r="N189" s="342">
        <v>0</v>
      </c>
      <c r="O189" s="342">
        <v>0</v>
      </c>
      <c r="P189" s="443">
        <v>0</v>
      </c>
    </row>
    <row r="190" spans="3:19" x14ac:dyDescent="0.25">
      <c r="F190" s="99" t="s">
        <v>1042</v>
      </c>
      <c r="G190" s="196"/>
      <c r="H190" s="196" t="s">
        <v>318</v>
      </c>
      <c r="I190" s="196"/>
      <c r="J190" s="443">
        <v>11.286</v>
      </c>
      <c r="K190" s="443">
        <v>3.0470000000000002</v>
      </c>
      <c r="L190" s="443">
        <v>1.7909999999999999</v>
      </c>
      <c r="M190" s="342">
        <v>16.79</v>
      </c>
      <c r="N190" s="342">
        <v>2.63</v>
      </c>
      <c r="O190" s="342">
        <v>4.7699999999999996</v>
      </c>
      <c r="P190" s="443">
        <v>0.42599999999999999</v>
      </c>
    </row>
    <row r="191" spans="3:19" x14ac:dyDescent="0.25">
      <c r="F191" s="99" t="s">
        <v>1043</v>
      </c>
      <c r="G191" s="196"/>
      <c r="H191" s="196" t="s">
        <v>318</v>
      </c>
      <c r="I191" s="196"/>
      <c r="J191" s="443">
        <v>8.843</v>
      </c>
      <c r="K191" s="443">
        <v>2.5449999999999999</v>
      </c>
      <c r="L191" s="443">
        <v>1.7490000000000001</v>
      </c>
      <c r="M191" s="342">
        <v>5.93</v>
      </c>
      <c r="N191" s="342">
        <v>5.31</v>
      </c>
      <c r="O191" s="342">
        <v>7.4</v>
      </c>
      <c r="P191" s="443">
        <v>0.25700000000000001</v>
      </c>
    </row>
    <row r="192" spans="3:19" x14ac:dyDescent="0.25">
      <c r="F192" s="99" t="s">
        <v>1044</v>
      </c>
      <c r="G192" s="196"/>
      <c r="H192" s="196" t="s">
        <v>318</v>
      </c>
      <c r="I192" s="196"/>
      <c r="J192" s="443">
        <v>7.0510000000000002</v>
      </c>
      <c r="K192" s="443">
        <v>2.2599999999999998</v>
      </c>
      <c r="L192" s="443">
        <v>1.7070000000000001</v>
      </c>
      <c r="M192" s="342">
        <v>89.74</v>
      </c>
      <c r="N192" s="342">
        <v>4.1500000000000004</v>
      </c>
      <c r="O192" s="342">
        <v>6.89</v>
      </c>
      <c r="P192" s="443">
        <v>0.182</v>
      </c>
    </row>
    <row r="193" spans="4:19" x14ac:dyDescent="0.25">
      <c r="F193" s="99" t="s">
        <v>1045</v>
      </c>
      <c r="G193" s="196"/>
      <c r="H193" s="196" t="s">
        <v>318</v>
      </c>
      <c r="I193" s="196"/>
      <c r="J193" s="443">
        <v>20.783000000000001</v>
      </c>
      <c r="K193" s="443">
        <v>3.9660000000000002</v>
      </c>
      <c r="L193" s="443">
        <v>2.1</v>
      </c>
      <c r="M193" s="342">
        <v>0</v>
      </c>
      <c r="N193" s="342">
        <v>0</v>
      </c>
      <c r="O193" s="342">
        <v>0</v>
      </c>
      <c r="P193" s="443">
        <v>0</v>
      </c>
      <c r="S193" s="5"/>
    </row>
    <row r="194" spans="4:19" x14ac:dyDescent="0.25">
      <c r="F194" s="99" t="s">
        <v>1046</v>
      </c>
      <c r="G194" s="196"/>
      <c r="H194" s="196" t="s">
        <v>318</v>
      </c>
      <c r="I194" s="196"/>
      <c r="J194" s="443">
        <v>-8.1489999999999991</v>
      </c>
      <c r="K194" s="443">
        <v>-1.284</v>
      </c>
      <c r="L194" s="443">
        <v>-0.159</v>
      </c>
      <c r="M194" s="342">
        <v>0</v>
      </c>
      <c r="N194" s="342">
        <v>0</v>
      </c>
      <c r="O194" s="342">
        <v>0</v>
      </c>
      <c r="P194" s="443">
        <v>0</v>
      </c>
    </row>
    <row r="195" spans="4:19" x14ac:dyDescent="0.25">
      <c r="F195" s="99" t="s">
        <v>1047</v>
      </c>
      <c r="G195" s="196"/>
      <c r="H195" s="196" t="s">
        <v>318</v>
      </c>
      <c r="I195" s="196"/>
      <c r="J195" s="443">
        <v>-7.319</v>
      </c>
      <c r="K195" s="443">
        <v>-1.121</v>
      </c>
      <c r="L195" s="443">
        <v>-0.14399999999999999</v>
      </c>
      <c r="M195" s="342">
        <v>0</v>
      </c>
      <c r="N195" s="342">
        <v>0</v>
      </c>
      <c r="O195" s="342">
        <v>0</v>
      </c>
      <c r="P195" s="443">
        <v>0</v>
      </c>
    </row>
    <row r="196" spans="4:19" x14ac:dyDescent="0.25">
      <c r="F196" s="99" t="s">
        <v>1048</v>
      </c>
      <c r="G196" s="196"/>
      <c r="H196" s="196" t="s">
        <v>318</v>
      </c>
      <c r="I196" s="196"/>
      <c r="J196" s="443">
        <v>-8.1489999999999991</v>
      </c>
      <c r="K196" s="443">
        <v>-1.284</v>
      </c>
      <c r="L196" s="443">
        <v>-0.159</v>
      </c>
      <c r="M196" s="342">
        <v>0</v>
      </c>
      <c r="N196" s="342">
        <v>0</v>
      </c>
      <c r="O196" s="342">
        <v>0</v>
      </c>
      <c r="P196" s="443">
        <v>0.34899999999999998</v>
      </c>
    </row>
    <row r="197" spans="4:19" x14ac:dyDescent="0.25">
      <c r="F197" s="99" t="s">
        <v>1049</v>
      </c>
      <c r="G197" s="196"/>
      <c r="H197" s="196" t="s">
        <v>318</v>
      </c>
      <c r="I197" s="196"/>
      <c r="J197" s="443">
        <v>-8.1489999999999991</v>
      </c>
      <c r="K197" s="443">
        <v>-1.284</v>
      </c>
      <c r="L197" s="443">
        <v>-0.159</v>
      </c>
      <c r="M197" s="342">
        <v>0</v>
      </c>
      <c r="N197" s="342">
        <v>0</v>
      </c>
      <c r="O197" s="342">
        <v>0</v>
      </c>
      <c r="P197" s="443">
        <v>0</v>
      </c>
    </row>
    <row r="198" spans="4:19" x14ac:dyDescent="0.25">
      <c r="F198" s="99" t="s">
        <v>1050</v>
      </c>
      <c r="G198" s="196"/>
      <c r="H198" s="196" t="s">
        <v>318</v>
      </c>
      <c r="I198" s="196"/>
      <c r="J198" s="443">
        <v>-7.319</v>
      </c>
      <c r="K198" s="443">
        <v>-1.121</v>
      </c>
      <c r="L198" s="443">
        <v>-0.14399999999999999</v>
      </c>
      <c r="M198" s="342">
        <v>0</v>
      </c>
      <c r="N198" s="342">
        <v>0</v>
      </c>
      <c r="O198" s="342">
        <v>0</v>
      </c>
      <c r="P198" s="443">
        <v>0.32200000000000001</v>
      </c>
    </row>
    <row r="199" spans="4:19" x14ac:dyDescent="0.25">
      <c r="F199" s="99" t="s">
        <v>1051</v>
      </c>
      <c r="G199" s="196"/>
      <c r="H199" s="196" t="s">
        <v>318</v>
      </c>
      <c r="I199" s="196"/>
      <c r="J199" s="443">
        <v>-7.319</v>
      </c>
      <c r="K199" s="443">
        <v>-1.121</v>
      </c>
      <c r="L199" s="443">
        <v>-0.14399999999999999</v>
      </c>
      <c r="M199" s="342">
        <v>0</v>
      </c>
      <c r="N199" s="342">
        <v>0</v>
      </c>
      <c r="O199" s="342">
        <v>0</v>
      </c>
      <c r="P199" s="443">
        <v>0</v>
      </c>
    </row>
    <row r="200" spans="4:19" x14ac:dyDescent="0.25">
      <c r="F200" s="99" t="s">
        <v>1052</v>
      </c>
      <c r="G200" s="196"/>
      <c r="H200" s="196" t="s">
        <v>318</v>
      </c>
      <c r="I200" s="196"/>
      <c r="J200" s="443">
        <v>-5.165</v>
      </c>
      <c r="K200" s="443">
        <v>-0.66200000000000003</v>
      </c>
      <c r="L200" s="443">
        <v>-0.105</v>
      </c>
      <c r="M200" s="342">
        <v>65.53</v>
      </c>
      <c r="N200" s="342">
        <v>0</v>
      </c>
      <c r="O200" s="342">
        <v>0</v>
      </c>
      <c r="P200" s="443">
        <v>0.245</v>
      </c>
    </row>
    <row r="201" spans="4:19" x14ac:dyDescent="0.25">
      <c r="F201" s="100" t="s">
        <v>1053</v>
      </c>
      <c r="G201" s="93"/>
      <c r="H201" s="93" t="s">
        <v>318</v>
      </c>
      <c r="I201" s="93"/>
      <c r="J201" s="444">
        <v>-5.165</v>
      </c>
      <c r="K201" s="444">
        <v>-0.66200000000000003</v>
      </c>
      <c r="L201" s="444">
        <v>-0.105</v>
      </c>
      <c r="M201" s="343">
        <v>65.53</v>
      </c>
      <c r="N201" s="343">
        <v>0</v>
      </c>
      <c r="O201" s="343">
        <v>0</v>
      </c>
      <c r="P201" s="444">
        <v>0</v>
      </c>
    </row>
    <row r="202" spans="4:19" x14ac:dyDescent="0.25">
      <c r="F202" s="98"/>
      <c r="G202" s="295"/>
      <c r="H202" s="295"/>
      <c r="I202" s="295"/>
      <c r="J202" s="445"/>
      <c r="K202" s="445"/>
      <c r="L202" s="445"/>
      <c r="M202" s="344"/>
      <c r="N202" s="344"/>
      <c r="O202" s="344"/>
      <c r="P202" s="445"/>
    </row>
    <row r="203" spans="4:19" x14ac:dyDescent="0.25">
      <c r="D203" s="96"/>
      <c r="E203" s="96" t="str">
        <f>"LDNO LV tariff forecast "&amp; 'ARP_User control'!G33</f>
        <v>LDNO LV tariff forecast 2023/24</v>
      </c>
      <c r="F203" s="98"/>
      <c r="G203" s="295"/>
      <c r="H203" s="295"/>
      <c r="I203" s="295"/>
      <c r="J203" s="445"/>
      <c r="K203" s="445"/>
      <c r="L203" s="445"/>
      <c r="M203" s="344"/>
      <c r="N203" s="344"/>
      <c r="O203" s="344"/>
      <c r="P203" s="445"/>
    </row>
    <row r="204" spans="4:19" x14ac:dyDescent="0.25">
      <c r="F204" s="103" t="s">
        <v>1038</v>
      </c>
      <c r="G204" s="91"/>
      <c r="H204" s="91" t="s">
        <v>146</v>
      </c>
      <c r="I204" s="91"/>
      <c r="J204" s="442">
        <v>7.6130000000000004</v>
      </c>
      <c r="K204" s="442">
        <v>2.0339999999999998</v>
      </c>
      <c r="L204" s="442">
        <v>1.1200000000000001</v>
      </c>
      <c r="M204" s="341">
        <v>2.04</v>
      </c>
      <c r="N204" s="341">
        <v>0</v>
      </c>
      <c r="O204" s="341">
        <v>0</v>
      </c>
      <c r="P204" s="442">
        <v>0</v>
      </c>
    </row>
    <row r="205" spans="4:19" x14ac:dyDescent="0.25">
      <c r="F205" s="99" t="s">
        <v>1039</v>
      </c>
      <c r="G205" s="196"/>
      <c r="H205" s="196" t="s">
        <v>146</v>
      </c>
      <c r="I205" s="196"/>
      <c r="J205" s="443">
        <v>7.6130000000000004</v>
      </c>
      <c r="K205" s="443">
        <v>2.0339999999999998</v>
      </c>
      <c r="L205" s="443">
        <v>1.1200000000000001</v>
      </c>
      <c r="M205" s="342">
        <v>0</v>
      </c>
      <c r="N205" s="342">
        <v>0</v>
      </c>
      <c r="O205" s="342">
        <v>0</v>
      </c>
      <c r="P205" s="443">
        <v>0</v>
      </c>
    </row>
    <row r="206" spans="4:19" x14ac:dyDescent="0.25">
      <c r="F206" s="99" t="s">
        <v>1040</v>
      </c>
      <c r="G206" s="196"/>
      <c r="H206" s="196" t="s">
        <v>146</v>
      </c>
      <c r="I206" s="196"/>
      <c r="J206" s="443">
        <v>9.2159999999999993</v>
      </c>
      <c r="K206" s="443">
        <v>2.2869999999999999</v>
      </c>
      <c r="L206" s="443">
        <v>1.151</v>
      </c>
      <c r="M206" s="342">
        <v>2.61</v>
      </c>
      <c r="N206" s="342">
        <v>0</v>
      </c>
      <c r="O206" s="342">
        <v>0</v>
      </c>
      <c r="P206" s="443">
        <v>0</v>
      </c>
    </row>
    <row r="207" spans="4:19" x14ac:dyDescent="0.25">
      <c r="F207" s="99" t="s">
        <v>1041</v>
      </c>
      <c r="G207" s="196"/>
      <c r="H207" s="196" t="s">
        <v>146</v>
      </c>
      <c r="I207" s="196"/>
      <c r="J207" s="443">
        <v>9.2159999999999993</v>
      </c>
      <c r="K207" s="443">
        <v>2.2869999999999999</v>
      </c>
      <c r="L207" s="443">
        <v>1.151</v>
      </c>
      <c r="M207" s="342">
        <v>0</v>
      </c>
      <c r="N207" s="342">
        <v>0</v>
      </c>
      <c r="O207" s="342">
        <v>0</v>
      </c>
      <c r="P207" s="443">
        <v>0</v>
      </c>
    </row>
    <row r="208" spans="4:19" x14ac:dyDescent="0.25">
      <c r="F208" s="99" t="s">
        <v>1042</v>
      </c>
      <c r="G208" s="196"/>
      <c r="H208" s="196" t="s">
        <v>146</v>
      </c>
      <c r="I208" s="196"/>
      <c r="J208" s="443">
        <v>6.9969999999999999</v>
      </c>
      <c r="K208" s="443">
        <v>1.889</v>
      </c>
      <c r="L208" s="443">
        <v>1.1100000000000001</v>
      </c>
      <c r="M208" s="342">
        <v>10.41</v>
      </c>
      <c r="N208" s="342">
        <v>1.63</v>
      </c>
      <c r="O208" s="342">
        <v>2.95</v>
      </c>
      <c r="P208" s="443">
        <v>0.26400000000000001</v>
      </c>
    </row>
    <row r="209" spans="4:18" x14ac:dyDescent="0.25">
      <c r="F209" s="99" t="s">
        <v>1043</v>
      </c>
      <c r="G209" s="196"/>
      <c r="H209" s="196" t="s">
        <v>146</v>
      </c>
      <c r="I209" s="196"/>
      <c r="J209" s="446">
        <v>0</v>
      </c>
      <c r="K209" s="446">
        <v>0</v>
      </c>
      <c r="L209" s="446">
        <v>0</v>
      </c>
      <c r="M209" s="345">
        <v>0</v>
      </c>
      <c r="N209" s="345">
        <v>0</v>
      </c>
      <c r="O209" s="345">
        <v>0</v>
      </c>
      <c r="P209" s="446">
        <v>0</v>
      </c>
    </row>
    <row r="210" spans="4:18" x14ac:dyDescent="0.25">
      <c r="F210" s="99" t="s">
        <v>1044</v>
      </c>
      <c r="G210" s="196"/>
      <c r="H210" s="196" t="s">
        <v>146</v>
      </c>
      <c r="I210" s="196"/>
      <c r="J210" s="446">
        <v>0</v>
      </c>
      <c r="K210" s="446">
        <v>0</v>
      </c>
      <c r="L210" s="446">
        <v>0</v>
      </c>
      <c r="M210" s="345">
        <v>0</v>
      </c>
      <c r="N210" s="345">
        <v>0</v>
      </c>
      <c r="O210" s="345">
        <v>0</v>
      </c>
      <c r="P210" s="446">
        <v>0</v>
      </c>
    </row>
    <row r="211" spans="4:18" x14ac:dyDescent="0.25">
      <c r="F211" s="99" t="s">
        <v>1045</v>
      </c>
      <c r="G211" s="196"/>
      <c r="H211" s="196" t="s">
        <v>146</v>
      </c>
      <c r="I211" s="196"/>
      <c r="J211" s="443">
        <v>12.885</v>
      </c>
      <c r="K211" s="443">
        <v>2.4590000000000001</v>
      </c>
      <c r="L211" s="443">
        <v>1.302</v>
      </c>
      <c r="M211" s="342">
        <v>0</v>
      </c>
      <c r="N211" s="342">
        <v>0</v>
      </c>
      <c r="O211" s="342">
        <v>0</v>
      </c>
      <c r="P211" s="443">
        <v>0</v>
      </c>
    </row>
    <row r="212" spans="4:18" x14ac:dyDescent="0.25">
      <c r="F212" s="99" t="s">
        <v>1046</v>
      </c>
      <c r="G212" s="196"/>
      <c r="H212" s="196" t="s">
        <v>146</v>
      </c>
      <c r="I212" s="196"/>
      <c r="J212" s="443">
        <v>-8.1489999999999991</v>
      </c>
      <c r="K212" s="443">
        <v>-1.284</v>
      </c>
      <c r="L212" s="443">
        <v>-0.159</v>
      </c>
      <c r="M212" s="342">
        <v>0</v>
      </c>
      <c r="N212" s="342">
        <v>0</v>
      </c>
      <c r="O212" s="342">
        <v>0</v>
      </c>
      <c r="P212" s="443">
        <v>0</v>
      </c>
    </row>
    <row r="213" spans="4:18" x14ac:dyDescent="0.25">
      <c r="F213" s="99" t="s">
        <v>1047</v>
      </c>
      <c r="G213" s="196"/>
      <c r="H213" s="196" t="s">
        <v>146</v>
      </c>
      <c r="I213" s="196"/>
      <c r="J213" s="446">
        <v>0</v>
      </c>
      <c r="K213" s="446">
        <v>0</v>
      </c>
      <c r="L213" s="446">
        <v>0</v>
      </c>
      <c r="M213" s="345">
        <v>0</v>
      </c>
      <c r="N213" s="345">
        <v>0</v>
      </c>
      <c r="O213" s="345">
        <v>0</v>
      </c>
      <c r="P213" s="446">
        <v>0</v>
      </c>
    </row>
    <row r="214" spans="4:18" x14ac:dyDescent="0.25">
      <c r="F214" s="99" t="s">
        <v>1048</v>
      </c>
      <c r="G214" s="196"/>
      <c r="H214" s="196" t="s">
        <v>146</v>
      </c>
      <c r="I214" s="196"/>
      <c r="J214" s="443">
        <v>-8.1489999999999991</v>
      </c>
      <c r="K214" s="443">
        <v>-1.284</v>
      </c>
      <c r="L214" s="443">
        <v>-0.159</v>
      </c>
      <c r="M214" s="342">
        <v>0</v>
      </c>
      <c r="N214" s="342">
        <v>0</v>
      </c>
      <c r="O214" s="342">
        <v>0</v>
      </c>
      <c r="P214" s="443">
        <v>0.34899999999999998</v>
      </c>
    </row>
    <row r="215" spans="4:18" x14ac:dyDescent="0.25">
      <c r="F215" s="99" t="s">
        <v>1049</v>
      </c>
      <c r="G215" s="196"/>
      <c r="H215" s="196" t="s">
        <v>146</v>
      </c>
      <c r="I215" s="196"/>
      <c r="J215" s="446">
        <v>0</v>
      </c>
      <c r="K215" s="446">
        <v>0</v>
      </c>
      <c r="L215" s="446">
        <v>0</v>
      </c>
      <c r="M215" s="345">
        <v>0</v>
      </c>
      <c r="N215" s="345">
        <v>0</v>
      </c>
      <c r="O215" s="345">
        <v>0</v>
      </c>
      <c r="P215" s="446">
        <v>0</v>
      </c>
    </row>
    <row r="216" spans="4:18" x14ac:dyDescent="0.25">
      <c r="F216" s="99" t="s">
        <v>1050</v>
      </c>
      <c r="G216" s="196"/>
      <c r="H216" s="196" t="s">
        <v>146</v>
      </c>
      <c r="I216" s="196"/>
      <c r="J216" s="446">
        <v>0</v>
      </c>
      <c r="K216" s="446">
        <v>0</v>
      </c>
      <c r="L216" s="446">
        <v>0</v>
      </c>
      <c r="M216" s="345">
        <v>0</v>
      </c>
      <c r="N216" s="345">
        <v>0</v>
      </c>
      <c r="O216" s="345">
        <v>0</v>
      </c>
      <c r="P216" s="446">
        <v>0</v>
      </c>
    </row>
    <row r="217" spans="4:18" x14ac:dyDescent="0.25">
      <c r="F217" s="99" t="s">
        <v>1051</v>
      </c>
      <c r="G217" s="196"/>
      <c r="H217" s="196" t="s">
        <v>146</v>
      </c>
      <c r="I217" s="196"/>
      <c r="J217" s="446">
        <v>0</v>
      </c>
      <c r="K217" s="446">
        <v>0</v>
      </c>
      <c r="L217" s="446">
        <v>0</v>
      </c>
      <c r="M217" s="345">
        <v>0</v>
      </c>
      <c r="N217" s="345">
        <v>0</v>
      </c>
      <c r="O217" s="345">
        <v>0</v>
      </c>
      <c r="P217" s="446">
        <v>0</v>
      </c>
    </row>
    <row r="218" spans="4:18" x14ac:dyDescent="0.25">
      <c r="F218" s="99" t="s">
        <v>1052</v>
      </c>
      <c r="G218" s="196"/>
      <c r="H218" s="196" t="s">
        <v>146</v>
      </c>
      <c r="I218" s="196"/>
      <c r="J218" s="446">
        <v>0</v>
      </c>
      <c r="K218" s="446">
        <v>0</v>
      </c>
      <c r="L218" s="446">
        <v>0</v>
      </c>
      <c r="M218" s="345">
        <v>0</v>
      </c>
      <c r="N218" s="345">
        <v>0</v>
      </c>
      <c r="O218" s="345">
        <v>0</v>
      </c>
      <c r="P218" s="446">
        <v>0</v>
      </c>
    </row>
    <row r="219" spans="4:18" x14ac:dyDescent="0.25">
      <c r="F219" s="100" t="s">
        <v>1053</v>
      </c>
      <c r="G219" s="93"/>
      <c r="H219" s="93" t="s">
        <v>146</v>
      </c>
      <c r="I219" s="93"/>
      <c r="J219" s="447">
        <v>0</v>
      </c>
      <c r="K219" s="447">
        <v>0</v>
      </c>
      <c r="L219" s="447">
        <v>0</v>
      </c>
      <c r="M219" s="346">
        <v>0</v>
      </c>
      <c r="N219" s="346">
        <v>0</v>
      </c>
      <c r="O219" s="346">
        <v>0</v>
      </c>
      <c r="P219" s="447">
        <v>0</v>
      </c>
    </row>
    <row r="220" spans="4:18" x14ac:dyDescent="0.25">
      <c r="D220" s="195"/>
      <c r="E220" s="195"/>
      <c r="F220" s="295"/>
      <c r="G220" s="295"/>
      <c r="H220" s="295"/>
      <c r="I220" s="295"/>
      <c r="J220" s="445"/>
      <c r="K220" s="445"/>
      <c r="L220" s="445"/>
      <c r="M220" s="344"/>
      <c r="N220" s="344"/>
      <c r="O220" s="344"/>
      <c r="P220" s="445"/>
      <c r="Q220" s="195"/>
      <c r="R220" s="195"/>
    </row>
    <row r="221" spans="4:18" x14ac:dyDescent="0.25">
      <c r="D221" s="96"/>
      <c r="E221" s="96" t="str">
        <f>"LDNO HV tariff forecast "&amp; 'ARP_User control'!G33</f>
        <v>LDNO HV tariff forecast 2023/24</v>
      </c>
      <c r="F221" s="295"/>
      <c r="G221" s="295"/>
      <c r="H221" s="295"/>
      <c r="I221" s="295"/>
      <c r="J221" s="445"/>
      <c r="K221" s="445"/>
      <c r="L221" s="445"/>
      <c r="M221" s="344"/>
      <c r="N221" s="344"/>
      <c r="O221" s="344"/>
      <c r="P221" s="445"/>
      <c r="Q221" s="195"/>
      <c r="R221" s="195"/>
    </row>
    <row r="222" spans="4:18" x14ac:dyDescent="0.25">
      <c r="F222" s="103" t="s">
        <v>1038</v>
      </c>
      <c r="G222" s="91"/>
      <c r="H222" s="91" t="s">
        <v>147</v>
      </c>
      <c r="I222" s="91"/>
      <c r="J222" s="442">
        <v>5.4390000000000001</v>
      </c>
      <c r="K222" s="442">
        <v>1.4530000000000001</v>
      </c>
      <c r="L222" s="442">
        <v>0.8</v>
      </c>
      <c r="M222" s="341">
        <v>1.45</v>
      </c>
      <c r="N222" s="341">
        <v>0</v>
      </c>
      <c r="O222" s="341">
        <v>0</v>
      </c>
      <c r="P222" s="442">
        <v>0</v>
      </c>
    </row>
    <row r="223" spans="4:18" x14ac:dyDescent="0.25">
      <c r="F223" s="99" t="s">
        <v>1039</v>
      </c>
      <c r="G223" s="196"/>
      <c r="H223" s="196" t="s">
        <v>147</v>
      </c>
      <c r="I223" s="196"/>
      <c r="J223" s="443">
        <v>5.4390000000000001</v>
      </c>
      <c r="K223" s="443">
        <v>1.4530000000000001</v>
      </c>
      <c r="L223" s="443">
        <v>0.8</v>
      </c>
      <c r="M223" s="342">
        <v>0</v>
      </c>
      <c r="N223" s="342">
        <v>0</v>
      </c>
      <c r="O223" s="342">
        <v>0</v>
      </c>
      <c r="P223" s="443">
        <v>0</v>
      </c>
    </row>
    <row r="224" spans="4:18" x14ac:dyDescent="0.25">
      <c r="F224" s="99" t="s">
        <v>1040</v>
      </c>
      <c r="G224" s="196"/>
      <c r="H224" s="196" t="s">
        <v>147</v>
      </c>
      <c r="I224" s="196"/>
      <c r="J224" s="443">
        <v>6.5839999999999996</v>
      </c>
      <c r="K224" s="443">
        <v>1.633</v>
      </c>
      <c r="L224" s="443">
        <v>0.82199999999999995</v>
      </c>
      <c r="M224" s="342">
        <v>1.86</v>
      </c>
      <c r="N224" s="342">
        <v>0</v>
      </c>
      <c r="O224" s="342">
        <v>0</v>
      </c>
      <c r="P224" s="443">
        <v>0</v>
      </c>
    </row>
    <row r="225" spans="3:19" x14ac:dyDescent="0.25">
      <c r="F225" s="99" t="s">
        <v>1041</v>
      </c>
      <c r="G225" s="196"/>
      <c r="H225" s="196" t="s">
        <v>147</v>
      </c>
      <c r="I225" s="196"/>
      <c r="J225" s="443">
        <v>6.5839999999999996</v>
      </c>
      <c r="K225" s="443">
        <v>1.633</v>
      </c>
      <c r="L225" s="443">
        <v>0.82199999999999995</v>
      </c>
      <c r="M225" s="342">
        <v>0</v>
      </c>
      <c r="N225" s="342">
        <v>0</v>
      </c>
      <c r="O225" s="342">
        <v>0</v>
      </c>
      <c r="P225" s="443">
        <v>0</v>
      </c>
    </row>
    <row r="226" spans="3:19" x14ac:dyDescent="0.25">
      <c r="F226" s="99" t="s">
        <v>1042</v>
      </c>
      <c r="G226" s="196"/>
      <c r="H226" s="196" t="s">
        <v>147</v>
      </c>
      <c r="I226" s="196"/>
      <c r="J226" s="443">
        <v>4.9980000000000002</v>
      </c>
      <c r="K226" s="443">
        <v>1.349</v>
      </c>
      <c r="L226" s="443">
        <v>0.79300000000000004</v>
      </c>
      <c r="M226" s="342">
        <v>7.44</v>
      </c>
      <c r="N226" s="342">
        <v>1.1599999999999999</v>
      </c>
      <c r="O226" s="342">
        <v>2.11</v>
      </c>
      <c r="P226" s="443">
        <v>0.189</v>
      </c>
    </row>
    <row r="227" spans="3:19" x14ac:dyDescent="0.25">
      <c r="F227" s="99" t="s">
        <v>1043</v>
      </c>
      <c r="G227" s="196"/>
      <c r="H227" s="196" t="s">
        <v>147</v>
      </c>
      <c r="I227" s="196"/>
      <c r="J227" s="443">
        <v>6.3310000000000004</v>
      </c>
      <c r="K227" s="443">
        <v>1.8220000000000001</v>
      </c>
      <c r="L227" s="443">
        <v>1.252</v>
      </c>
      <c r="M227" s="342">
        <v>4.24</v>
      </c>
      <c r="N227" s="342">
        <v>3.8</v>
      </c>
      <c r="O227" s="342">
        <v>5.3</v>
      </c>
      <c r="P227" s="443">
        <v>0.184</v>
      </c>
    </row>
    <row r="228" spans="3:19" x14ac:dyDescent="0.25">
      <c r="F228" s="99" t="s">
        <v>1044</v>
      </c>
      <c r="G228" s="196"/>
      <c r="H228" s="196" t="s">
        <v>147</v>
      </c>
      <c r="I228" s="196"/>
      <c r="J228" s="443">
        <v>5.7039999999999997</v>
      </c>
      <c r="K228" s="443">
        <v>1.8280000000000001</v>
      </c>
      <c r="L228" s="443">
        <v>1.381</v>
      </c>
      <c r="M228" s="342">
        <v>72.599999999999994</v>
      </c>
      <c r="N228" s="342">
        <v>3.36</v>
      </c>
      <c r="O228" s="342">
        <v>5.57</v>
      </c>
      <c r="P228" s="443">
        <v>0.14699999999999999</v>
      </c>
      <c r="S228" s="5"/>
    </row>
    <row r="229" spans="3:19" x14ac:dyDescent="0.25">
      <c r="F229" s="99" t="s">
        <v>1045</v>
      </c>
      <c r="G229" s="196"/>
      <c r="H229" s="196" t="s">
        <v>147</v>
      </c>
      <c r="I229" s="196"/>
      <c r="J229" s="443">
        <v>9.2050000000000001</v>
      </c>
      <c r="K229" s="443">
        <v>1.756</v>
      </c>
      <c r="L229" s="443">
        <v>0.93</v>
      </c>
      <c r="M229" s="342">
        <v>0</v>
      </c>
      <c r="N229" s="342">
        <v>0</v>
      </c>
      <c r="O229" s="342">
        <v>0</v>
      </c>
      <c r="P229" s="443">
        <v>0</v>
      </c>
    </row>
    <row r="230" spans="3:19" x14ac:dyDescent="0.25">
      <c r="F230" s="99" t="s">
        <v>1046</v>
      </c>
      <c r="G230" s="196"/>
      <c r="H230" s="196" t="s">
        <v>147</v>
      </c>
      <c r="I230" s="196"/>
      <c r="J230" s="443">
        <v>-8.1489999999999991</v>
      </c>
      <c r="K230" s="443">
        <v>-1.284</v>
      </c>
      <c r="L230" s="443">
        <v>-0.159</v>
      </c>
      <c r="M230" s="342">
        <v>0</v>
      </c>
      <c r="N230" s="342">
        <v>0</v>
      </c>
      <c r="O230" s="342">
        <v>0</v>
      </c>
      <c r="P230" s="443">
        <v>0</v>
      </c>
    </row>
    <row r="231" spans="3:19" x14ac:dyDescent="0.25">
      <c r="F231" s="99" t="s">
        <v>1047</v>
      </c>
      <c r="G231" s="196"/>
      <c r="H231" s="196" t="s">
        <v>147</v>
      </c>
      <c r="I231" s="196"/>
      <c r="J231" s="443">
        <v>-7.319</v>
      </c>
      <c r="K231" s="443">
        <v>-1.121</v>
      </c>
      <c r="L231" s="443">
        <v>-0.14399999999999999</v>
      </c>
      <c r="M231" s="342">
        <v>0</v>
      </c>
      <c r="N231" s="342">
        <v>0</v>
      </c>
      <c r="O231" s="342">
        <v>0</v>
      </c>
      <c r="P231" s="443">
        <v>0</v>
      </c>
    </row>
    <row r="232" spans="3:19" x14ac:dyDescent="0.25">
      <c r="F232" s="99" t="s">
        <v>1048</v>
      </c>
      <c r="G232" s="196"/>
      <c r="H232" s="196" t="s">
        <v>147</v>
      </c>
      <c r="I232" s="196"/>
      <c r="J232" s="443">
        <v>-8.1489999999999991</v>
      </c>
      <c r="K232" s="443">
        <v>-1.284</v>
      </c>
      <c r="L232" s="443">
        <v>-0.159</v>
      </c>
      <c r="M232" s="342">
        <v>0</v>
      </c>
      <c r="N232" s="342">
        <v>0</v>
      </c>
      <c r="O232" s="342">
        <v>0</v>
      </c>
      <c r="P232" s="443">
        <v>0.34899999999999998</v>
      </c>
    </row>
    <row r="233" spans="3:19" x14ac:dyDescent="0.25">
      <c r="F233" s="99" t="s">
        <v>1049</v>
      </c>
      <c r="G233" s="196"/>
      <c r="H233" s="196" t="s">
        <v>147</v>
      </c>
      <c r="I233" s="196"/>
      <c r="J233" s="446">
        <v>0</v>
      </c>
      <c r="K233" s="446">
        <v>0</v>
      </c>
      <c r="L233" s="446">
        <v>0</v>
      </c>
      <c r="M233" s="345">
        <v>0</v>
      </c>
      <c r="N233" s="345">
        <v>0</v>
      </c>
      <c r="O233" s="345">
        <v>0</v>
      </c>
      <c r="P233" s="446">
        <v>0</v>
      </c>
    </row>
    <row r="234" spans="3:19" x14ac:dyDescent="0.25">
      <c r="F234" s="99" t="s">
        <v>1050</v>
      </c>
      <c r="G234" s="196"/>
      <c r="H234" s="196" t="s">
        <v>147</v>
      </c>
      <c r="I234" s="196"/>
      <c r="J234" s="443">
        <v>-7.319</v>
      </c>
      <c r="K234" s="443">
        <v>-1.121</v>
      </c>
      <c r="L234" s="443">
        <v>-0.14399999999999999</v>
      </c>
      <c r="M234" s="342">
        <v>0</v>
      </c>
      <c r="N234" s="342">
        <v>0</v>
      </c>
      <c r="O234" s="342">
        <v>0</v>
      </c>
      <c r="P234" s="443">
        <v>0.32200000000000001</v>
      </c>
    </row>
    <row r="235" spans="3:19" x14ac:dyDescent="0.25">
      <c r="F235" s="99" t="s">
        <v>1051</v>
      </c>
      <c r="G235" s="196"/>
      <c r="H235" s="196" t="s">
        <v>147</v>
      </c>
      <c r="I235" s="196"/>
      <c r="J235" s="446">
        <v>0</v>
      </c>
      <c r="K235" s="446">
        <v>0</v>
      </c>
      <c r="L235" s="446">
        <v>0</v>
      </c>
      <c r="M235" s="345">
        <v>0</v>
      </c>
      <c r="N235" s="345">
        <v>0</v>
      </c>
      <c r="O235" s="345">
        <v>0</v>
      </c>
      <c r="P235" s="446">
        <v>0</v>
      </c>
    </row>
    <row r="236" spans="3:19" x14ac:dyDescent="0.25">
      <c r="F236" s="99" t="s">
        <v>1052</v>
      </c>
      <c r="G236" s="196"/>
      <c r="H236" s="196" t="s">
        <v>147</v>
      </c>
      <c r="I236" s="196"/>
      <c r="J236" s="443">
        <v>-5.165</v>
      </c>
      <c r="K236" s="443">
        <v>-0.66200000000000003</v>
      </c>
      <c r="L236" s="443">
        <v>-0.105</v>
      </c>
      <c r="M236" s="342">
        <v>0</v>
      </c>
      <c r="N236" s="342">
        <v>0</v>
      </c>
      <c r="O236" s="342">
        <v>0</v>
      </c>
      <c r="P236" s="443">
        <v>0.245</v>
      </c>
    </row>
    <row r="237" spans="3:19" x14ac:dyDescent="0.25">
      <c r="F237" s="100" t="s">
        <v>1053</v>
      </c>
      <c r="G237" s="93"/>
      <c r="H237" s="93" t="s">
        <v>147</v>
      </c>
      <c r="I237" s="93"/>
      <c r="J237" s="447">
        <v>0</v>
      </c>
      <c r="K237" s="447">
        <v>0</v>
      </c>
      <c r="L237" s="447">
        <v>0</v>
      </c>
      <c r="M237" s="346">
        <v>0</v>
      </c>
      <c r="N237" s="346">
        <v>0</v>
      </c>
      <c r="O237" s="346">
        <v>0</v>
      </c>
      <c r="P237" s="447">
        <v>0</v>
      </c>
    </row>
    <row r="238" spans="3:19" x14ac:dyDescent="0.25">
      <c r="D238" s="96"/>
      <c r="E238" s="96"/>
      <c r="F238" s="96"/>
      <c r="G238" s="96"/>
      <c r="H238" s="96"/>
      <c r="I238" s="96"/>
      <c r="J238" s="448"/>
      <c r="K238" s="448"/>
      <c r="L238" s="448"/>
      <c r="M238" s="216"/>
      <c r="N238" s="216"/>
      <c r="O238" s="216"/>
      <c r="P238" s="448"/>
      <c r="Q238" s="96"/>
      <c r="R238" s="96"/>
    </row>
    <row r="239" spans="3:19" s="195" customFormat="1" x14ac:dyDescent="0.25">
      <c r="C239" s="7" t="str">
        <f ca="1">INDEX('Version control'!$H$34:$H$60,MATCH($A$1,'Version control'!$F$34:$F$60,0),1)&amp;"-E: Tariff results for charging year " &amp; 'ARP_User control'!G34</f>
        <v>Input 506-E: Tariff results for charging year 2024/25</v>
      </c>
      <c r="D239" s="7"/>
      <c r="E239" s="7"/>
      <c r="F239" s="7"/>
      <c r="G239" s="7"/>
      <c r="H239" s="7"/>
      <c r="I239" s="7"/>
      <c r="J239" s="449"/>
      <c r="K239" s="449"/>
      <c r="L239" s="449"/>
      <c r="M239" s="7"/>
      <c r="N239" s="7"/>
      <c r="O239" s="7"/>
      <c r="P239" s="449"/>
      <c r="Q239" s="7"/>
      <c r="R239" s="7"/>
      <c r="S239" s="295"/>
    </row>
    <row r="240" spans="3:19" x14ac:dyDescent="0.25">
      <c r="D240" s="85"/>
      <c r="E240" s="195"/>
      <c r="F240" s="195"/>
      <c r="J240" s="450"/>
      <c r="K240" s="450"/>
      <c r="L240" s="450"/>
      <c r="M240" s="214"/>
      <c r="N240" s="214"/>
      <c r="O240" s="214"/>
      <c r="P240" s="450"/>
    </row>
    <row r="241" spans="4:16" x14ac:dyDescent="0.25">
      <c r="D241" s="96"/>
      <c r="E241" s="96" t="str">
        <f>"All the way tariff forecast "&amp; 'ARP_User control'!G34</f>
        <v>All the way tariff forecast 2024/25</v>
      </c>
      <c r="F241" s="195"/>
      <c r="J241" s="450"/>
      <c r="K241" s="450"/>
      <c r="L241" s="450"/>
      <c r="M241" s="214"/>
      <c r="N241" s="214"/>
      <c r="O241" s="214"/>
      <c r="P241" s="450"/>
    </row>
    <row r="242" spans="4:16" x14ac:dyDescent="0.25">
      <c r="F242" s="103" t="s">
        <v>1038</v>
      </c>
      <c r="G242" s="91"/>
      <c r="H242" s="91" t="s">
        <v>318</v>
      </c>
      <c r="I242" s="91"/>
      <c r="J242" s="442">
        <v>12.555</v>
      </c>
      <c r="K242" s="442">
        <v>3.36</v>
      </c>
      <c r="L242" s="442">
        <v>1.849</v>
      </c>
      <c r="M242" s="341">
        <v>3.31</v>
      </c>
      <c r="N242" s="341">
        <v>0</v>
      </c>
      <c r="O242" s="341">
        <v>0</v>
      </c>
      <c r="P242" s="442">
        <v>0</v>
      </c>
    </row>
    <row r="243" spans="4:16" x14ac:dyDescent="0.25">
      <c r="F243" s="99" t="s">
        <v>1039</v>
      </c>
      <c r="G243" s="196"/>
      <c r="H243" s="196" t="s">
        <v>318</v>
      </c>
      <c r="I243" s="196"/>
      <c r="J243" s="443">
        <v>12.555</v>
      </c>
      <c r="K243" s="443">
        <v>3.36</v>
      </c>
      <c r="L243" s="443">
        <v>1.849</v>
      </c>
      <c r="M243" s="342">
        <v>0</v>
      </c>
      <c r="N243" s="342">
        <v>0</v>
      </c>
      <c r="O243" s="342">
        <v>0</v>
      </c>
      <c r="P243" s="443">
        <v>0</v>
      </c>
    </row>
    <row r="244" spans="4:16" x14ac:dyDescent="0.25">
      <c r="F244" s="99" t="s">
        <v>1040</v>
      </c>
      <c r="G244" s="196"/>
      <c r="H244" s="196" t="s">
        <v>318</v>
      </c>
      <c r="I244" s="196"/>
      <c r="J244" s="443">
        <v>15.198</v>
      </c>
      <c r="K244" s="443">
        <v>3.7770000000000001</v>
      </c>
      <c r="L244" s="443">
        <v>1.901</v>
      </c>
      <c r="M244" s="342">
        <v>4.24</v>
      </c>
      <c r="N244" s="342">
        <v>0</v>
      </c>
      <c r="O244" s="342">
        <v>0</v>
      </c>
      <c r="P244" s="443">
        <v>0</v>
      </c>
    </row>
    <row r="245" spans="4:16" x14ac:dyDescent="0.25">
      <c r="F245" s="99" t="s">
        <v>1041</v>
      </c>
      <c r="G245" s="196"/>
      <c r="H245" s="196" t="s">
        <v>318</v>
      </c>
      <c r="I245" s="196"/>
      <c r="J245" s="443">
        <v>15.198</v>
      </c>
      <c r="K245" s="443">
        <v>3.7770000000000001</v>
      </c>
      <c r="L245" s="443">
        <v>1.901</v>
      </c>
      <c r="M245" s="342">
        <v>0</v>
      </c>
      <c r="N245" s="342">
        <v>0</v>
      </c>
      <c r="O245" s="342">
        <v>0</v>
      </c>
      <c r="P245" s="443">
        <v>0</v>
      </c>
    </row>
    <row r="246" spans="4:16" x14ac:dyDescent="0.25">
      <c r="F246" s="99" t="s">
        <v>1042</v>
      </c>
      <c r="G246" s="196"/>
      <c r="H246" s="196" t="s">
        <v>318</v>
      </c>
      <c r="I246" s="196"/>
      <c r="J246" s="443">
        <v>11.538</v>
      </c>
      <c r="K246" s="443">
        <v>3.12</v>
      </c>
      <c r="L246" s="443">
        <v>1.833</v>
      </c>
      <c r="M246" s="342">
        <v>16.850000000000001</v>
      </c>
      <c r="N246" s="342">
        <v>2.69</v>
      </c>
      <c r="O246" s="342">
        <v>4.88</v>
      </c>
      <c r="P246" s="443">
        <v>0.436</v>
      </c>
    </row>
    <row r="247" spans="4:16" x14ac:dyDescent="0.25">
      <c r="F247" s="99" t="s">
        <v>1043</v>
      </c>
      <c r="G247" s="196"/>
      <c r="H247" s="196" t="s">
        <v>318</v>
      </c>
      <c r="I247" s="196"/>
      <c r="J247" s="443">
        <v>9.0399999999999991</v>
      </c>
      <c r="K247" s="443">
        <v>2.6040000000000001</v>
      </c>
      <c r="L247" s="443">
        <v>1.79</v>
      </c>
      <c r="M247" s="342">
        <v>5.95</v>
      </c>
      <c r="N247" s="342">
        <v>5.43</v>
      </c>
      <c r="O247" s="342">
        <v>7.57</v>
      </c>
      <c r="P247" s="443">
        <v>0.26300000000000001</v>
      </c>
    </row>
    <row r="248" spans="4:16" x14ac:dyDescent="0.25">
      <c r="F248" s="99" t="s">
        <v>1044</v>
      </c>
      <c r="G248" s="196"/>
      <c r="H248" s="196" t="s">
        <v>318</v>
      </c>
      <c r="I248" s="196"/>
      <c r="J248" s="443">
        <v>7.2069999999999999</v>
      </c>
      <c r="K248" s="443">
        <v>2.3130000000000002</v>
      </c>
      <c r="L248" s="443">
        <v>1.746</v>
      </c>
      <c r="M248" s="342">
        <v>90.02</v>
      </c>
      <c r="N248" s="342">
        <v>4.25</v>
      </c>
      <c r="O248" s="342">
        <v>7.05</v>
      </c>
      <c r="P248" s="443">
        <v>0.186</v>
      </c>
    </row>
    <row r="249" spans="4:16" x14ac:dyDescent="0.25">
      <c r="F249" s="99" t="s">
        <v>1045</v>
      </c>
      <c r="G249" s="196"/>
      <c r="H249" s="196" t="s">
        <v>318</v>
      </c>
      <c r="I249" s="196"/>
      <c r="J249" s="443">
        <v>21.241</v>
      </c>
      <c r="K249" s="443">
        <v>4.0190000000000001</v>
      </c>
      <c r="L249" s="443">
        <v>2.14</v>
      </c>
      <c r="M249" s="342">
        <v>0</v>
      </c>
      <c r="N249" s="342">
        <v>0</v>
      </c>
      <c r="O249" s="342">
        <v>0</v>
      </c>
      <c r="P249" s="443">
        <v>0</v>
      </c>
    </row>
    <row r="250" spans="4:16" x14ac:dyDescent="0.25">
      <c r="F250" s="99" t="s">
        <v>1046</v>
      </c>
      <c r="G250" s="196"/>
      <c r="H250" s="196" t="s">
        <v>318</v>
      </c>
      <c r="I250" s="196"/>
      <c r="J250" s="443">
        <v>-8.2769999999999992</v>
      </c>
      <c r="K250" s="443">
        <v>-1.3080000000000001</v>
      </c>
      <c r="L250" s="443">
        <v>-0.16300000000000001</v>
      </c>
      <c r="M250" s="342">
        <v>0</v>
      </c>
      <c r="N250" s="342">
        <v>0</v>
      </c>
      <c r="O250" s="342">
        <v>0</v>
      </c>
      <c r="P250" s="443">
        <v>0</v>
      </c>
    </row>
    <row r="251" spans="4:16" x14ac:dyDescent="0.25">
      <c r="F251" s="99" t="s">
        <v>1047</v>
      </c>
      <c r="G251" s="196"/>
      <c r="H251" s="196" t="s">
        <v>318</v>
      </c>
      <c r="I251" s="196"/>
      <c r="J251" s="443">
        <v>-7.4329999999999998</v>
      </c>
      <c r="K251" s="443">
        <v>-1.1419999999999999</v>
      </c>
      <c r="L251" s="443">
        <v>-0.14799999999999999</v>
      </c>
      <c r="M251" s="342">
        <v>0</v>
      </c>
      <c r="N251" s="342">
        <v>0</v>
      </c>
      <c r="O251" s="342">
        <v>0</v>
      </c>
      <c r="P251" s="443">
        <v>0</v>
      </c>
    </row>
    <row r="252" spans="4:16" x14ac:dyDescent="0.25">
      <c r="F252" s="99" t="s">
        <v>1048</v>
      </c>
      <c r="G252" s="196"/>
      <c r="H252" s="196" t="s">
        <v>318</v>
      </c>
      <c r="I252" s="196"/>
      <c r="J252" s="443">
        <v>-8.2769999999999992</v>
      </c>
      <c r="K252" s="443">
        <v>-1.3080000000000001</v>
      </c>
      <c r="L252" s="443">
        <v>-0.16300000000000001</v>
      </c>
      <c r="M252" s="342">
        <v>0</v>
      </c>
      <c r="N252" s="342">
        <v>0</v>
      </c>
      <c r="O252" s="342">
        <v>0</v>
      </c>
      <c r="P252" s="443">
        <v>0.35699999999999998</v>
      </c>
    </row>
    <row r="253" spans="4:16" x14ac:dyDescent="0.25">
      <c r="F253" s="99" t="s">
        <v>1049</v>
      </c>
      <c r="G253" s="196"/>
      <c r="H253" s="196" t="s">
        <v>318</v>
      </c>
      <c r="I253" s="196"/>
      <c r="J253" s="443">
        <v>-8.2769999999999992</v>
      </c>
      <c r="K253" s="443">
        <v>-1.3080000000000001</v>
      </c>
      <c r="L253" s="443">
        <v>-0.16300000000000001</v>
      </c>
      <c r="M253" s="342">
        <v>0</v>
      </c>
      <c r="N253" s="342">
        <v>0</v>
      </c>
      <c r="O253" s="342">
        <v>0</v>
      </c>
      <c r="P253" s="443">
        <v>0</v>
      </c>
    </row>
    <row r="254" spans="4:16" x14ac:dyDescent="0.25">
      <c r="F254" s="99" t="s">
        <v>1050</v>
      </c>
      <c r="G254" s="196"/>
      <c r="H254" s="196" t="s">
        <v>318</v>
      </c>
      <c r="I254" s="196"/>
      <c r="J254" s="443">
        <v>-7.4329999999999998</v>
      </c>
      <c r="K254" s="443">
        <v>-1.1419999999999999</v>
      </c>
      <c r="L254" s="443">
        <v>-0.14799999999999999</v>
      </c>
      <c r="M254" s="342">
        <v>0</v>
      </c>
      <c r="N254" s="342">
        <v>0</v>
      </c>
      <c r="O254" s="342">
        <v>0</v>
      </c>
      <c r="P254" s="443">
        <v>0.32900000000000001</v>
      </c>
    </row>
    <row r="255" spans="4:16" x14ac:dyDescent="0.25">
      <c r="F255" s="99" t="s">
        <v>1051</v>
      </c>
      <c r="G255" s="196"/>
      <c r="H255" s="196" t="s">
        <v>318</v>
      </c>
      <c r="I255" s="196"/>
      <c r="J255" s="443">
        <v>-7.4329999999999998</v>
      </c>
      <c r="K255" s="443">
        <v>-1.1419999999999999</v>
      </c>
      <c r="L255" s="443">
        <v>-0.14799999999999999</v>
      </c>
      <c r="M255" s="342">
        <v>0</v>
      </c>
      <c r="N255" s="342">
        <v>0</v>
      </c>
      <c r="O255" s="342">
        <v>0</v>
      </c>
      <c r="P255" s="443">
        <v>0</v>
      </c>
    </row>
    <row r="256" spans="4:16" x14ac:dyDescent="0.25">
      <c r="F256" s="99" t="s">
        <v>1052</v>
      </c>
      <c r="G256" s="196"/>
      <c r="H256" s="196" t="s">
        <v>318</v>
      </c>
      <c r="I256" s="196"/>
      <c r="J256" s="443">
        <v>-5.2450000000000001</v>
      </c>
      <c r="K256" s="443">
        <v>-0.67500000000000004</v>
      </c>
      <c r="L256" s="443">
        <v>-0.107</v>
      </c>
      <c r="M256" s="342">
        <v>65.73</v>
      </c>
      <c r="N256" s="342">
        <v>0</v>
      </c>
      <c r="O256" s="342">
        <v>0</v>
      </c>
      <c r="P256" s="443">
        <v>0.251</v>
      </c>
    </row>
    <row r="257" spans="4:16" x14ac:dyDescent="0.25">
      <c r="F257" s="100" t="s">
        <v>1053</v>
      </c>
      <c r="G257" s="93"/>
      <c r="H257" s="93" t="s">
        <v>318</v>
      </c>
      <c r="I257" s="93"/>
      <c r="J257" s="444">
        <v>-5.2450000000000001</v>
      </c>
      <c r="K257" s="444">
        <v>-0.67500000000000004</v>
      </c>
      <c r="L257" s="444">
        <v>-0.107</v>
      </c>
      <c r="M257" s="343">
        <v>65.73</v>
      </c>
      <c r="N257" s="343">
        <v>0</v>
      </c>
      <c r="O257" s="343">
        <v>0</v>
      </c>
      <c r="P257" s="444">
        <v>0</v>
      </c>
    </row>
    <row r="258" spans="4:16" x14ac:dyDescent="0.25">
      <c r="F258" s="98"/>
      <c r="G258" s="295"/>
      <c r="H258" s="295"/>
      <c r="I258" s="295"/>
      <c r="J258" s="445"/>
      <c r="K258" s="445"/>
      <c r="L258" s="445"/>
      <c r="M258" s="344"/>
      <c r="N258" s="344"/>
      <c r="O258" s="344"/>
      <c r="P258" s="445"/>
    </row>
    <row r="259" spans="4:16" x14ac:dyDescent="0.25">
      <c r="D259" s="96"/>
      <c r="E259" s="96" t="str">
        <f>"LDNO LV tariff forecast "&amp; 'ARP_User control'!G34</f>
        <v>LDNO LV tariff forecast 2024/25</v>
      </c>
      <c r="F259" s="98"/>
      <c r="G259" s="295"/>
      <c r="H259" s="295"/>
      <c r="I259" s="295"/>
      <c r="J259" s="445"/>
      <c r="K259" s="445"/>
      <c r="L259" s="445"/>
      <c r="M259" s="344"/>
      <c r="N259" s="344"/>
      <c r="O259" s="344"/>
      <c r="P259" s="445"/>
    </row>
    <row r="260" spans="4:16" x14ac:dyDescent="0.25">
      <c r="F260" s="103" t="s">
        <v>1038</v>
      </c>
      <c r="G260" s="91"/>
      <c r="H260" s="91" t="s">
        <v>146</v>
      </c>
      <c r="I260" s="91"/>
      <c r="J260" s="442">
        <v>7.7839999999999998</v>
      </c>
      <c r="K260" s="442">
        <v>2.0830000000000002</v>
      </c>
      <c r="L260" s="442">
        <v>1.147</v>
      </c>
      <c r="M260" s="341">
        <v>2.0499999999999998</v>
      </c>
      <c r="N260" s="341">
        <v>0</v>
      </c>
      <c r="O260" s="341">
        <v>0</v>
      </c>
      <c r="P260" s="442">
        <v>0</v>
      </c>
    </row>
    <row r="261" spans="4:16" x14ac:dyDescent="0.25">
      <c r="F261" s="99" t="s">
        <v>1039</v>
      </c>
      <c r="G261" s="196"/>
      <c r="H261" s="196" t="s">
        <v>146</v>
      </c>
      <c r="I261" s="196"/>
      <c r="J261" s="443">
        <v>7.7839999999999998</v>
      </c>
      <c r="K261" s="443">
        <v>2.0830000000000002</v>
      </c>
      <c r="L261" s="443">
        <v>1.147</v>
      </c>
      <c r="M261" s="342">
        <v>0</v>
      </c>
      <c r="N261" s="342">
        <v>0</v>
      </c>
      <c r="O261" s="342">
        <v>0</v>
      </c>
      <c r="P261" s="443">
        <v>0</v>
      </c>
    </row>
    <row r="262" spans="4:16" x14ac:dyDescent="0.25">
      <c r="F262" s="99" t="s">
        <v>1040</v>
      </c>
      <c r="G262" s="196"/>
      <c r="H262" s="196" t="s">
        <v>146</v>
      </c>
      <c r="I262" s="196"/>
      <c r="J262" s="443">
        <v>9.4220000000000006</v>
      </c>
      <c r="K262" s="443">
        <v>2.3420000000000001</v>
      </c>
      <c r="L262" s="443">
        <v>1.179</v>
      </c>
      <c r="M262" s="342">
        <v>2.63</v>
      </c>
      <c r="N262" s="342">
        <v>0</v>
      </c>
      <c r="O262" s="342">
        <v>0</v>
      </c>
      <c r="P262" s="443">
        <v>0</v>
      </c>
    </row>
    <row r="263" spans="4:16" x14ac:dyDescent="0.25">
      <c r="F263" s="99" t="s">
        <v>1041</v>
      </c>
      <c r="G263" s="196"/>
      <c r="H263" s="196" t="s">
        <v>146</v>
      </c>
      <c r="I263" s="196"/>
      <c r="J263" s="443">
        <v>9.4220000000000006</v>
      </c>
      <c r="K263" s="443">
        <v>2.3420000000000001</v>
      </c>
      <c r="L263" s="443">
        <v>1.179</v>
      </c>
      <c r="M263" s="342">
        <v>0</v>
      </c>
      <c r="N263" s="342">
        <v>0</v>
      </c>
      <c r="O263" s="342">
        <v>0</v>
      </c>
      <c r="P263" s="443">
        <v>0</v>
      </c>
    </row>
    <row r="264" spans="4:16" x14ac:dyDescent="0.25">
      <c r="F264" s="99" t="s">
        <v>1042</v>
      </c>
      <c r="G264" s="196"/>
      <c r="H264" s="196" t="s">
        <v>146</v>
      </c>
      <c r="I264" s="196"/>
      <c r="J264" s="443">
        <v>7.1529999999999996</v>
      </c>
      <c r="K264" s="443">
        <v>1.9339999999999999</v>
      </c>
      <c r="L264" s="443">
        <v>1.137</v>
      </c>
      <c r="M264" s="342">
        <v>10.44</v>
      </c>
      <c r="N264" s="342">
        <v>1.67</v>
      </c>
      <c r="O264" s="342">
        <v>3.02</v>
      </c>
      <c r="P264" s="443">
        <v>0.27</v>
      </c>
    </row>
    <row r="265" spans="4:16" x14ac:dyDescent="0.25">
      <c r="F265" s="99" t="s">
        <v>1043</v>
      </c>
      <c r="G265" s="196"/>
      <c r="H265" s="196" t="s">
        <v>146</v>
      </c>
      <c r="I265" s="196"/>
      <c r="J265" s="446">
        <v>0</v>
      </c>
      <c r="K265" s="446">
        <v>0</v>
      </c>
      <c r="L265" s="446">
        <v>0</v>
      </c>
      <c r="M265" s="345">
        <v>0</v>
      </c>
      <c r="N265" s="345">
        <v>0</v>
      </c>
      <c r="O265" s="345">
        <v>0</v>
      </c>
      <c r="P265" s="446">
        <v>0</v>
      </c>
    </row>
    <row r="266" spans="4:16" x14ac:dyDescent="0.25">
      <c r="F266" s="99" t="s">
        <v>1044</v>
      </c>
      <c r="G266" s="196"/>
      <c r="H266" s="196" t="s">
        <v>146</v>
      </c>
      <c r="I266" s="196"/>
      <c r="J266" s="446">
        <v>0</v>
      </c>
      <c r="K266" s="446">
        <v>0</v>
      </c>
      <c r="L266" s="446">
        <v>0</v>
      </c>
      <c r="M266" s="345">
        <v>0</v>
      </c>
      <c r="N266" s="345">
        <v>0</v>
      </c>
      <c r="O266" s="345">
        <v>0</v>
      </c>
      <c r="P266" s="446">
        <v>0</v>
      </c>
    </row>
    <row r="267" spans="4:16" x14ac:dyDescent="0.25">
      <c r="F267" s="99" t="s">
        <v>1045</v>
      </c>
      <c r="G267" s="196"/>
      <c r="H267" s="196" t="s">
        <v>146</v>
      </c>
      <c r="I267" s="196"/>
      <c r="J267" s="443">
        <v>13.169</v>
      </c>
      <c r="K267" s="443">
        <v>2.492</v>
      </c>
      <c r="L267" s="443">
        <v>1.3260000000000001</v>
      </c>
      <c r="M267" s="342">
        <v>0</v>
      </c>
      <c r="N267" s="342">
        <v>0</v>
      </c>
      <c r="O267" s="342">
        <v>0</v>
      </c>
      <c r="P267" s="443">
        <v>0</v>
      </c>
    </row>
    <row r="268" spans="4:16" x14ac:dyDescent="0.25">
      <c r="F268" s="99" t="s">
        <v>1046</v>
      </c>
      <c r="G268" s="196"/>
      <c r="H268" s="196" t="s">
        <v>146</v>
      </c>
      <c r="I268" s="196"/>
      <c r="J268" s="443">
        <v>-8.2769999999999992</v>
      </c>
      <c r="K268" s="443">
        <v>-1.3080000000000001</v>
      </c>
      <c r="L268" s="443">
        <v>-0.16300000000000001</v>
      </c>
      <c r="M268" s="342">
        <v>0</v>
      </c>
      <c r="N268" s="342">
        <v>0</v>
      </c>
      <c r="O268" s="342">
        <v>0</v>
      </c>
      <c r="P268" s="443">
        <v>0</v>
      </c>
    </row>
    <row r="269" spans="4:16" x14ac:dyDescent="0.25">
      <c r="F269" s="99" t="s">
        <v>1047</v>
      </c>
      <c r="G269" s="196"/>
      <c r="H269" s="196" t="s">
        <v>146</v>
      </c>
      <c r="I269" s="196"/>
      <c r="J269" s="446">
        <v>0</v>
      </c>
      <c r="K269" s="446">
        <v>0</v>
      </c>
      <c r="L269" s="446">
        <v>0</v>
      </c>
      <c r="M269" s="345">
        <v>0</v>
      </c>
      <c r="N269" s="345">
        <v>0</v>
      </c>
      <c r="O269" s="345">
        <v>0</v>
      </c>
      <c r="P269" s="446">
        <v>0</v>
      </c>
    </row>
    <row r="270" spans="4:16" x14ac:dyDescent="0.25">
      <c r="F270" s="99" t="s">
        <v>1048</v>
      </c>
      <c r="G270" s="196"/>
      <c r="H270" s="196" t="s">
        <v>146</v>
      </c>
      <c r="I270" s="196"/>
      <c r="J270" s="443">
        <v>-8.2769999999999992</v>
      </c>
      <c r="K270" s="443">
        <v>-1.3080000000000001</v>
      </c>
      <c r="L270" s="443">
        <v>-0.16300000000000001</v>
      </c>
      <c r="M270" s="342">
        <v>0</v>
      </c>
      <c r="N270" s="342">
        <v>0</v>
      </c>
      <c r="O270" s="342">
        <v>0</v>
      </c>
      <c r="P270" s="443">
        <v>0.35699999999999998</v>
      </c>
    </row>
    <row r="271" spans="4:16" x14ac:dyDescent="0.25">
      <c r="F271" s="99" t="s">
        <v>1049</v>
      </c>
      <c r="G271" s="196"/>
      <c r="H271" s="196" t="s">
        <v>146</v>
      </c>
      <c r="I271" s="196"/>
      <c r="J271" s="446">
        <v>0</v>
      </c>
      <c r="K271" s="446">
        <v>0</v>
      </c>
      <c r="L271" s="446">
        <v>0</v>
      </c>
      <c r="M271" s="345">
        <v>0</v>
      </c>
      <c r="N271" s="345">
        <v>0</v>
      </c>
      <c r="O271" s="345">
        <v>0</v>
      </c>
      <c r="P271" s="446">
        <v>0</v>
      </c>
    </row>
    <row r="272" spans="4:16" x14ac:dyDescent="0.25">
      <c r="F272" s="99" t="s">
        <v>1050</v>
      </c>
      <c r="G272" s="196"/>
      <c r="H272" s="196" t="s">
        <v>146</v>
      </c>
      <c r="I272" s="196"/>
      <c r="J272" s="446">
        <v>0</v>
      </c>
      <c r="K272" s="446">
        <v>0</v>
      </c>
      <c r="L272" s="446">
        <v>0</v>
      </c>
      <c r="M272" s="345">
        <v>0</v>
      </c>
      <c r="N272" s="345">
        <v>0</v>
      </c>
      <c r="O272" s="345">
        <v>0</v>
      </c>
      <c r="P272" s="446">
        <v>0</v>
      </c>
    </row>
    <row r="273" spans="4:18" x14ac:dyDescent="0.25">
      <c r="F273" s="99" t="s">
        <v>1051</v>
      </c>
      <c r="G273" s="196"/>
      <c r="H273" s="196" t="s">
        <v>146</v>
      </c>
      <c r="I273" s="196"/>
      <c r="J273" s="446">
        <v>0</v>
      </c>
      <c r="K273" s="446">
        <v>0</v>
      </c>
      <c r="L273" s="446">
        <v>0</v>
      </c>
      <c r="M273" s="345">
        <v>0</v>
      </c>
      <c r="N273" s="345">
        <v>0</v>
      </c>
      <c r="O273" s="345">
        <v>0</v>
      </c>
      <c r="P273" s="446">
        <v>0</v>
      </c>
    </row>
    <row r="274" spans="4:18" x14ac:dyDescent="0.25">
      <c r="F274" s="99" t="s">
        <v>1052</v>
      </c>
      <c r="G274" s="196"/>
      <c r="H274" s="196" t="s">
        <v>146</v>
      </c>
      <c r="I274" s="196"/>
      <c r="J274" s="446">
        <v>0</v>
      </c>
      <c r="K274" s="446">
        <v>0</v>
      </c>
      <c r="L274" s="446">
        <v>0</v>
      </c>
      <c r="M274" s="345">
        <v>0</v>
      </c>
      <c r="N274" s="345">
        <v>0</v>
      </c>
      <c r="O274" s="345">
        <v>0</v>
      </c>
      <c r="P274" s="446">
        <v>0</v>
      </c>
    </row>
    <row r="275" spans="4:18" x14ac:dyDescent="0.25">
      <c r="F275" s="100" t="s">
        <v>1053</v>
      </c>
      <c r="G275" s="93"/>
      <c r="H275" s="93" t="s">
        <v>146</v>
      </c>
      <c r="I275" s="93"/>
      <c r="J275" s="447">
        <v>0</v>
      </c>
      <c r="K275" s="447">
        <v>0</v>
      </c>
      <c r="L275" s="447">
        <v>0</v>
      </c>
      <c r="M275" s="346">
        <v>0</v>
      </c>
      <c r="N275" s="346">
        <v>0</v>
      </c>
      <c r="O275" s="346">
        <v>0</v>
      </c>
      <c r="P275" s="447">
        <v>0</v>
      </c>
    </row>
    <row r="276" spans="4:18" x14ac:dyDescent="0.25">
      <c r="D276" s="96"/>
      <c r="E276" s="96"/>
      <c r="F276" s="295"/>
      <c r="G276" s="295"/>
      <c r="H276" s="295"/>
      <c r="I276" s="295"/>
      <c r="J276" s="445"/>
      <c r="K276" s="445"/>
      <c r="L276" s="445"/>
      <c r="M276" s="344"/>
      <c r="N276" s="344"/>
      <c r="O276" s="344"/>
      <c r="P276" s="445"/>
      <c r="Q276" s="96"/>
      <c r="R276" s="96"/>
    </row>
    <row r="277" spans="4:18" x14ac:dyDescent="0.25">
      <c r="D277" s="96"/>
      <c r="E277" s="96" t="str">
        <f>"LDNO HV tariff forecast "&amp; 'ARP_User control'!G34</f>
        <v>LDNO HV tariff forecast 2024/25</v>
      </c>
      <c r="F277" s="295"/>
      <c r="G277" s="295"/>
      <c r="H277" s="295"/>
      <c r="I277" s="295"/>
      <c r="J277" s="445"/>
      <c r="K277" s="445"/>
      <c r="L277" s="445"/>
      <c r="M277" s="344"/>
      <c r="N277" s="344"/>
      <c r="O277" s="344"/>
      <c r="P277" s="445"/>
      <c r="Q277" s="96"/>
      <c r="R277" s="96"/>
    </row>
    <row r="278" spans="4:18" x14ac:dyDescent="0.25">
      <c r="F278" s="103" t="s">
        <v>1038</v>
      </c>
      <c r="G278" s="91"/>
      <c r="H278" s="91" t="s">
        <v>147</v>
      </c>
      <c r="I278" s="91"/>
      <c r="J278" s="442">
        <v>5.56</v>
      </c>
      <c r="K278" s="442">
        <v>1.488</v>
      </c>
      <c r="L278" s="442">
        <v>0.81899999999999995</v>
      </c>
      <c r="M278" s="341">
        <v>1.47</v>
      </c>
      <c r="N278" s="341">
        <v>0</v>
      </c>
      <c r="O278" s="341">
        <v>0</v>
      </c>
      <c r="P278" s="442">
        <v>0</v>
      </c>
    </row>
    <row r="279" spans="4:18" x14ac:dyDescent="0.25">
      <c r="F279" s="99" t="s">
        <v>1039</v>
      </c>
      <c r="G279" s="196"/>
      <c r="H279" s="196" t="s">
        <v>147</v>
      </c>
      <c r="I279" s="196"/>
      <c r="J279" s="443">
        <v>5.56</v>
      </c>
      <c r="K279" s="443">
        <v>1.488</v>
      </c>
      <c r="L279" s="443">
        <v>0.81899999999999995</v>
      </c>
      <c r="M279" s="342">
        <v>0</v>
      </c>
      <c r="N279" s="342">
        <v>0</v>
      </c>
      <c r="O279" s="342">
        <v>0</v>
      </c>
      <c r="P279" s="443">
        <v>0</v>
      </c>
    </row>
    <row r="280" spans="4:18" x14ac:dyDescent="0.25">
      <c r="F280" s="99" t="s">
        <v>1040</v>
      </c>
      <c r="G280" s="196"/>
      <c r="H280" s="196" t="s">
        <v>147</v>
      </c>
      <c r="I280" s="196"/>
      <c r="J280" s="443">
        <v>6.7309999999999999</v>
      </c>
      <c r="K280" s="443">
        <v>1.673</v>
      </c>
      <c r="L280" s="443">
        <v>0.84199999999999997</v>
      </c>
      <c r="M280" s="342">
        <v>1.88</v>
      </c>
      <c r="N280" s="342">
        <v>0</v>
      </c>
      <c r="O280" s="342">
        <v>0</v>
      </c>
      <c r="P280" s="443">
        <v>0</v>
      </c>
    </row>
    <row r="281" spans="4:18" x14ac:dyDescent="0.25">
      <c r="F281" s="99" t="s">
        <v>1041</v>
      </c>
      <c r="G281" s="196"/>
      <c r="H281" s="196" t="s">
        <v>147</v>
      </c>
      <c r="I281" s="196"/>
      <c r="J281" s="443">
        <v>6.7309999999999999</v>
      </c>
      <c r="K281" s="443">
        <v>1.673</v>
      </c>
      <c r="L281" s="443">
        <v>0.84199999999999997</v>
      </c>
      <c r="M281" s="342">
        <v>0</v>
      </c>
      <c r="N281" s="342">
        <v>0</v>
      </c>
      <c r="O281" s="342">
        <v>0</v>
      </c>
      <c r="P281" s="443">
        <v>0</v>
      </c>
    </row>
    <row r="282" spans="4:18" x14ac:dyDescent="0.25">
      <c r="F282" s="99" t="s">
        <v>1042</v>
      </c>
      <c r="G282" s="196"/>
      <c r="H282" s="196" t="s">
        <v>147</v>
      </c>
      <c r="I282" s="196"/>
      <c r="J282" s="443">
        <v>5.1100000000000003</v>
      </c>
      <c r="K282" s="443">
        <v>1.3819999999999999</v>
      </c>
      <c r="L282" s="443">
        <v>0.81200000000000006</v>
      </c>
      <c r="M282" s="342">
        <v>7.46</v>
      </c>
      <c r="N282" s="342">
        <v>1.19</v>
      </c>
      <c r="O282" s="342">
        <v>2.16</v>
      </c>
      <c r="P282" s="443">
        <v>0.193</v>
      </c>
    </row>
    <row r="283" spans="4:18" x14ac:dyDescent="0.25">
      <c r="F283" s="99" t="s">
        <v>1043</v>
      </c>
      <c r="G283" s="196"/>
      <c r="H283" s="196" t="s">
        <v>147</v>
      </c>
      <c r="I283" s="196"/>
      <c r="J283" s="443">
        <v>6.4720000000000004</v>
      </c>
      <c r="K283" s="443">
        <v>1.865</v>
      </c>
      <c r="L283" s="443">
        <v>1.282</v>
      </c>
      <c r="M283" s="342">
        <v>4.26</v>
      </c>
      <c r="N283" s="342">
        <v>3.89</v>
      </c>
      <c r="O283" s="342">
        <v>5.42</v>
      </c>
      <c r="P283" s="443">
        <v>0.188</v>
      </c>
    </row>
    <row r="284" spans="4:18" x14ac:dyDescent="0.25">
      <c r="F284" s="99" t="s">
        <v>1044</v>
      </c>
      <c r="G284" s="196"/>
      <c r="H284" s="196" t="s">
        <v>147</v>
      </c>
      <c r="I284" s="196"/>
      <c r="J284" s="443">
        <v>5.8310000000000004</v>
      </c>
      <c r="K284" s="443">
        <v>1.871</v>
      </c>
      <c r="L284" s="443">
        <v>1.413</v>
      </c>
      <c r="M284" s="342">
        <v>72.83</v>
      </c>
      <c r="N284" s="342">
        <v>3.43</v>
      </c>
      <c r="O284" s="342">
        <v>5.7</v>
      </c>
      <c r="P284" s="443">
        <v>0.151</v>
      </c>
    </row>
    <row r="285" spans="4:18" x14ac:dyDescent="0.25">
      <c r="F285" s="99" t="s">
        <v>1045</v>
      </c>
      <c r="G285" s="196"/>
      <c r="H285" s="196" t="s">
        <v>147</v>
      </c>
      <c r="I285" s="196"/>
      <c r="J285" s="443">
        <v>9.4079999999999995</v>
      </c>
      <c r="K285" s="443">
        <v>1.78</v>
      </c>
      <c r="L285" s="443">
        <v>0.94799999999999995</v>
      </c>
      <c r="M285" s="342">
        <v>0</v>
      </c>
      <c r="N285" s="342">
        <v>0</v>
      </c>
      <c r="O285" s="342">
        <v>0</v>
      </c>
      <c r="P285" s="443">
        <v>0</v>
      </c>
    </row>
    <row r="286" spans="4:18" x14ac:dyDescent="0.25">
      <c r="F286" s="99" t="s">
        <v>1046</v>
      </c>
      <c r="G286" s="196"/>
      <c r="H286" s="196" t="s">
        <v>147</v>
      </c>
      <c r="I286" s="196"/>
      <c r="J286" s="443">
        <v>-8.2769999999999992</v>
      </c>
      <c r="K286" s="443">
        <v>-1.3080000000000001</v>
      </c>
      <c r="L286" s="443">
        <v>-0.16300000000000001</v>
      </c>
      <c r="M286" s="342">
        <v>0</v>
      </c>
      <c r="N286" s="342">
        <v>0</v>
      </c>
      <c r="O286" s="342">
        <v>0</v>
      </c>
      <c r="P286" s="443">
        <v>0</v>
      </c>
    </row>
    <row r="287" spans="4:18" x14ac:dyDescent="0.25">
      <c r="F287" s="99" t="s">
        <v>1047</v>
      </c>
      <c r="G287" s="196"/>
      <c r="H287" s="196" t="s">
        <v>147</v>
      </c>
      <c r="I287" s="196"/>
      <c r="J287" s="443">
        <v>-7.4329999999999998</v>
      </c>
      <c r="K287" s="443">
        <v>-1.1419999999999999</v>
      </c>
      <c r="L287" s="443">
        <v>-0.14799999999999999</v>
      </c>
      <c r="M287" s="342">
        <v>0</v>
      </c>
      <c r="N287" s="342">
        <v>0</v>
      </c>
      <c r="O287" s="342">
        <v>0</v>
      </c>
      <c r="P287" s="443">
        <v>0</v>
      </c>
    </row>
    <row r="288" spans="4:18" x14ac:dyDescent="0.25">
      <c r="F288" s="99" t="s">
        <v>1048</v>
      </c>
      <c r="G288" s="196"/>
      <c r="H288" s="196" t="s">
        <v>147</v>
      </c>
      <c r="I288" s="196"/>
      <c r="J288" s="443">
        <v>-8.2769999999999992</v>
      </c>
      <c r="K288" s="443">
        <v>-1.3080000000000001</v>
      </c>
      <c r="L288" s="443">
        <v>-0.16300000000000001</v>
      </c>
      <c r="M288" s="342">
        <v>0</v>
      </c>
      <c r="N288" s="342">
        <v>0</v>
      </c>
      <c r="O288" s="342">
        <v>0</v>
      </c>
      <c r="P288" s="443">
        <v>0.35699999999999998</v>
      </c>
    </row>
    <row r="289" spans="3:19" x14ac:dyDescent="0.25">
      <c r="F289" s="99" t="s">
        <v>1049</v>
      </c>
      <c r="G289" s="196"/>
      <c r="H289" s="196" t="s">
        <v>147</v>
      </c>
      <c r="I289" s="196"/>
      <c r="J289" s="446">
        <v>0</v>
      </c>
      <c r="K289" s="446">
        <v>0</v>
      </c>
      <c r="L289" s="446">
        <v>0</v>
      </c>
      <c r="M289" s="345">
        <v>0</v>
      </c>
      <c r="N289" s="345">
        <v>0</v>
      </c>
      <c r="O289" s="345">
        <v>0</v>
      </c>
      <c r="P289" s="446">
        <v>0</v>
      </c>
    </row>
    <row r="290" spans="3:19" x14ac:dyDescent="0.25">
      <c r="F290" s="99" t="s">
        <v>1050</v>
      </c>
      <c r="G290" s="196"/>
      <c r="H290" s="196" t="s">
        <v>147</v>
      </c>
      <c r="I290" s="196"/>
      <c r="J290" s="443">
        <v>-7.4329999999999998</v>
      </c>
      <c r="K290" s="443">
        <v>-1.1419999999999999</v>
      </c>
      <c r="L290" s="443">
        <v>-0.14799999999999999</v>
      </c>
      <c r="M290" s="342">
        <v>0</v>
      </c>
      <c r="N290" s="342">
        <v>0</v>
      </c>
      <c r="O290" s="342">
        <v>0</v>
      </c>
      <c r="P290" s="443">
        <v>0.32900000000000001</v>
      </c>
    </row>
    <row r="291" spans="3:19" x14ac:dyDescent="0.25">
      <c r="F291" s="99" t="s">
        <v>1051</v>
      </c>
      <c r="G291" s="196"/>
      <c r="H291" s="196" t="s">
        <v>147</v>
      </c>
      <c r="I291" s="196"/>
      <c r="J291" s="446">
        <v>0</v>
      </c>
      <c r="K291" s="446">
        <v>0</v>
      </c>
      <c r="L291" s="446">
        <v>0</v>
      </c>
      <c r="M291" s="345">
        <v>0</v>
      </c>
      <c r="N291" s="345">
        <v>0</v>
      </c>
      <c r="O291" s="345">
        <v>0</v>
      </c>
      <c r="P291" s="446">
        <v>0</v>
      </c>
    </row>
    <row r="292" spans="3:19" x14ac:dyDescent="0.25">
      <c r="F292" s="99" t="s">
        <v>1052</v>
      </c>
      <c r="G292" s="196"/>
      <c r="H292" s="196" t="s">
        <v>147</v>
      </c>
      <c r="I292" s="196"/>
      <c r="J292" s="443">
        <v>-5.2450000000000001</v>
      </c>
      <c r="K292" s="443">
        <v>-0.67500000000000004</v>
      </c>
      <c r="L292" s="443">
        <v>-0.107</v>
      </c>
      <c r="M292" s="342">
        <v>0</v>
      </c>
      <c r="N292" s="342">
        <v>0</v>
      </c>
      <c r="O292" s="342">
        <v>0</v>
      </c>
      <c r="P292" s="443">
        <v>0.251</v>
      </c>
    </row>
    <row r="293" spans="3:19" x14ac:dyDescent="0.25">
      <c r="F293" s="100" t="s">
        <v>1053</v>
      </c>
      <c r="G293" s="93"/>
      <c r="H293" s="93" t="s">
        <v>147</v>
      </c>
      <c r="I293" s="93"/>
      <c r="J293" s="447">
        <v>0</v>
      </c>
      <c r="K293" s="447">
        <v>0</v>
      </c>
      <c r="L293" s="447">
        <v>0</v>
      </c>
      <c r="M293" s="346">
        <v>0</v>
      </c>
      <c r="N293" s="346">
        <v>0</v>
      </c>
      <c r="O293" s="346">
        <v>0</v>
      </c>
      <c r="P293" s="447">
        <v>0</v>
      </c>
    </row>
    <row r="294" spans="3:19" x14ac:dyDescent="0.25">
      <c r="D294" s="96"/>
      <c r="E294" s="96"/>
      <c r="F294" s="96"/>
      <c r="G294" s="96"/>
      <c r="H294" s="96"/>
      <c r="I294" s="96"/>
      <c r="J294" s="448"/>
      <c r="K294" s="448"/>
      <c r="L294" s="448"/>
      <c r="M294" s="216"/>
      <c r="N294" s="216"/>
      <c r="O294" s="216"/>
      <c r="P294" s="448"/>
      <c r="Q294" s="96"/>
      <c r="R294" s="96"/>
    </row>
    <row r="295" spans="3:19" s="195" customFormat="1" x14ac:dyDescent="0.25">
      <c r="C295" s="7" t="str">
        <f ca="1">INDEX('Version control'!$H$34:$H$60,MATCH($A$1,'Version control'!$F$34:$F$60,0),1)&amp;"-F: Tariff results for charging year " &amp; 'ARP_User control'!G35</f>
        <v>Input 506-F: Tariff results for charging year 2025/26</v>
      </c>
      <c r="D295" s="7"/>
      <c r="E295" s="7"/>
      <c r="F295" s="7"/>
      <c r="G295" s="7"/>
      <c r="H295" s="7"/>
      <c r="I295" s="7"/>
      <c r="J295" s="449"/>
      <c r="K295" s="449"/>
      <c r="L295" s="449"/>
      <c r="M295" s="7"/>
      <c r="N295" s="7"/>
      <c r="O295" s="7"/>
      <c r="P295" s="449"/>
      <c r="Q295" s="7"/>
      <c r="R295" s="7"/>
      <c r="S295" s="295"/>
    </row>
    <row r="296" spans="3:19" x14ac:dyDescent="0.25">
      <c r="D296" s="85"/>
      <c r="E296" s="195"/>
      <c r="F296" s="195"/>
      <c r="J296" s="450"/>
      <c r="K296" s="450"/>
      <c r="L296" s="450"/>
      <c r="M296" s="214"/>
      <c r="N296" s="214"/>
      <c r="O296" s="214"/>
      <c r="P296" s="450"/>
    </row>
    <row r="297" spans="3:19" x14ac:dyDescent="0.25">
      <c r="D297" s="96"/>
      <c r="E297" s="96" t="str">
        <f>"All the way tariff forecast "&amp; 'ARP_User control'!G35</f>
        <v>All the way tariff forecast 2025/26</v>
      </c>
      <c r="F297" s="195"/>
      <c r="J297" s="450"/>
      <c r="K297" s="450"/>
      <c r="L297" s="450"/>
      <c r="M297" s="214"/>
      <c r="N297" s="214"/>
      <c r="O297" s="214"/>
      <c r="P297" s="450"/>
    </row>
    <row r="298" spans="3:19" x14ac:dyDescent="0.25">
      <c r="C298" s="86"/>
      <c r="F298" s="103" t="s">
        <v>1038</v>
      </c>
      <c r="G298" s="91"/>
      <c r="H298" s="91" t="s">
        <v>318</v>
      </c>
      <c r="I298" s="91"/>
      <c r="J298" s="442">
        <v>12.673999999999999</v>
      </c>
      <c r="K298" s="442">
        <v>3.2850000000000001</v>
      </c>
      <c r="L298" s="442">
        <v>1.742</v>
      </c>
      <c r="M298" s="341">
        <v>3.33</v>
      </c>
      <c r="N298" s="341">
        <v>0</v>
      </c>
      <c r="O298" s="341">
        <v>0</v>
      </c>
      <c r="P298" s="442">
        <v>0</v>
      </c>
    </row>
    <row r="299" spans="3:19" x14ac:dyDescent="0.25">
      <c r="C299" s="86"/>
      <c r="F299" s="99" t="s">
        <v>1039</v>
      </c>
      <c r="G299" s="196"/>
      <c r="H299" s="196" t="s">
        <v>318</v>
      </c>
      <c r="I299" s="196"/>
      <c r="J299" s="443">
        <v>12.673999999999999</v>
      </c>
      <c r="K299" s="443">
        <v>3.2850000000000001</v>
      </c>
      <c r="L299" s="443">
        <v>1.742</v>
      </c>
      <c r="M299" s="342">
        <v>0</v>
      </c>
      <c r="N299" s="342">
        <v>0</v>
      </c>
      <c r="O299" s="342">
        <v>0</v>
      </c>
      <c r="P299" s="443">
        <v>0</v>
      </c>
    </row>
    <row r="300" spans="3:19" x14ac:dyDescent="0.25">
      <c r="C300" s="86"/>
      <c r="F300" s="99" t="s">
        <v>1040</v>
      </c>
      <c r="G300" s="196"/>
      <c r="H300" s="196" t="s">
        <v>318</v>
      </c>
      <c r="I300" s="196"/>
      <c r="J300" s="443">
        <v>15.372999999999999</v>
      </c>
      <c r="K300" s="443">
        <v>3.7109999999999999</v>
      </c>
      <c r="L300" s="443">
        <v>1.7949999999999999</v>
      </c>
      <c r="M300" s="342">
        <v>4.26</v>
      </c>
      <c r="N300" s="342">
        <v>0</v>
      </c>
      <c r="O300" s="342">
        <v>0</v>
      </c>
      <c r="P300" s="443">
        <v>0</v>
      </c>
    </row>
    <row r="301" spans="3:19" x14ac:dyDescent="0.25">
      <c r="C301" s="86"/>
      <c r="F301" s="99" t="s">
        <v>1041</v>
      </c>
      <c r="G301" s="196"/>
      <c r="H301" s="196" t="s">
        <v>318</v>
      </c>
      <c r="I301" s="196"/>
      <c r="J301" s="443">
        <v>15.372999999999999</v>
      </c>
      <c r="K301" s="443">
        <v>3.7109999999999999</v>
      </c>
      <c r="L301" s="443">
        <v>1.7949999999999999</v>
      </c>
      <c r="M301" s="342">
        <v>0</v>
      </c>
      <c r="N301" s="342">
        <v>0</v>
      </c>
      <c r="O301" s="342">
        <v>0</v>
      </c>
      <c r="P301" s="443">
        <v>0</v>
      </c>
    </row>
    <row r="302" spans="3:19" x14ac:dyDescent="0.25">
      <c r="C302" s="86"/>
      <c r="F302" s="99" t="s">
        <v>1042</v>
      </c>
      <c r="G302" s="196"/>
      <c r="H302" s="196" t="s">
        <v>318</v>
      </c>
      <c r="I302" s="196"/>
      <c r="J302" s="443">
        <v>11.635</v>
      </c>
      <c r="K302" s="443">
        <v>3.0390000000000001</v>
      </c>
      <c r="L302" s="443">
        <v>1.726</v>
      </c>
      <c r="M302" s="342">
        <v>16.899999999999999</v>
      </c>
      <c r="N302" s="342">
        <v>2.75</v>
      </c>
      <c r="O302" s="342">
        <v>4.9800000000000004</v>
      </c>
      <c r="P302" s="443">
        <v>0.44500000000000001</v>
      </c>
    </row>
    <row r="303" spans="3:19" x14ac:dyDescent="0.25">
      <c r="C303" s="86"/>
      <c r="F303" s="99" t="s">
        <v>1043</v>
      </c>
      <c r="G303" s="196"/>
      <c r="H303" s="196" t="s">
        <v>318</v>
      </c>
      <c r="I303" s="196"/>
      <c r="J303" s="443">
        <v>9.0830000000000002</v>
      </c>
      <c r="K303" s="443">
        <v>2.5129999999999999</v>
      </c>
      <c r="L303" s="443">
        <v>1.6819999999999999</v>
      </c>
      <c r="M303" s="342">
        <v>5.97</v>
      </c>
      <c r="N303" s="342">
        <v>5.55</v>
      </c>
      <c r="O303" s="342">
        <v>7.73</v>
      </c>
      <c r="P303" s="443">
        <v>0.26800000000000002</v>
      </c>
    </row>
    <row r="304" spans="3:19" x14ac:dyDescent="0.25">
      <c r="C304" s="86"/>
      <c r="F304" s="99" t="s">
        <v>1044</v>
      </c>
      <c r="G304" s="196"/>
      <c r="H304" s="196" t="s">
        <v>318</v>
      </c>
      <c r="I304" s="196"/>
      <c r="J304" s="443">
        <v>7.2119999999999997</v>
      </c>
      <c r="K304" s="443">
        <v>2.2149999999999999</v>
      </c>
      <c r="L304" s="443">
        <v>1.637</v>
      </c>
      <c r="M304" s="342">
        <v>90.32</v>
      </c>
      <c r="N304" s="342">
        <v>4.34</v>
      </c>
      <c r="O304" s="342">
        <v>7.19</v>
      </c>
      <c r="P304" s="443">
        <v>0.19</v>
      </c>
    </row>
    <row r="305" spans="3:16" x14ac:dyDescent="0.25">
      <c r="C305" s="86"/>
      <c r="F305" s="99" t="s">
        <v>1045</v>
      </c>
      <c r="G305" s="196"/>
      <c r="H305" s="196" t="s">
        <v>318</v>
      </c>
      <c r="I305" s="196"/>
      <c r="J305" s="443">
        <v>21.54</v>
      </c>
      <c r="K305" s="443">
        <v>3.9260000000000002</v>
      </c>
      <c r="L305" s="443">
        <v>2.0310000000000001</v>
      </c>
      <c r="M305" s="342">
        <v>0</v>
      </c>
      <c r="N305" s="342">
        <v>0</v>
      </c>
      <c r="O305" s="342">
        <v>0</v>
      </c>
      <c r="P305" s="443">
        <v>0</v>
      </c>
    </row>
    <row r="306" spans="3:16" x14ac:dyDescent="0.25">
      <c r="C306" s="86"/>
      <c r="F306" s="99" t="s">
        <v>1046</v>
      </c>
      <c r="G306" s="196"/>
      <c r="H306" s="196" t="s">
        <v>318</v>
      </c>
      <c r="I306" s="196"/>
      <c r="J306" s="443">
        <v>-8.452</v>
      </c>
      <c r="K306" s="443">
        <v>-1.335</v>
      </c>
      <c r="L306" s="443">
        <v>-0.16600000000000001</v>
      </c>
      <c r="M306" s="342">
        <v>0</v>
      </c>
      <c r="N306" s="342">
        <v>0</v>
      </c>
      <c r="O306" s="342">
        <v>0</v>
      </c>
      <c r="P306" s="443">
        <v>0</v>
      </c>
    </row>
    <row r="307" spans="3:16" x14ac:dyDescent="0.25">
      <c r="C307" s="86"/>
      <c r="F307" s="99" t="s">
        <v>1047</v>
      </c>
      <c r="G307" s="196"/>
      <c r="H307" s="196" t="s">
        <v>318</v>
      </c>
      <c r="I307" s="196"/>
      <c r="J307" s="443">
        <v>-7.59</v>
      </c>
      <c r="K307" s="443">
        <v>-1.1659999999999999</v>
      </c>
      <c r="L307" s="443">
        <v>-0.151</v>
      </c>
      <c r="M307" s="342">
        <v>0</v>
      </c>
      <c r="N307" s="342">
        <v>0</v>
      </c>
      <c r="O307" s="342">
        <v>0</v>
      </c>
      <c r="P307" s="443">
        <v>0</v>
      </c>
    </row>
    <row r="308" spans="3:16" x14ac:dyDescent="0.25">
      <c r="C308" s="86"/>
      <c r="F308" s="99" t="s">
        <v>1048</v>
      </c>
      <c r="G308" s="196"/>
      <c r="H308" s="196" t="s">
        <v>318</v>
      </c>
      <c r="I308" s="196"/>
      <c r="J308" s="443">
        <v>-8.452</v>
      </c>
      <c r="K308" s="443">
        <v>-1.335</v>
      </c>
      <c r="L308" s="443">
        <v>-0.16600000000000001</v>
      </c>
      <c r="M308" s="342">
        <v>0</v>
      </c>
      <c r="N308" s="342">
        <v>0</v>
      </c>
      <c r="O308" s="342">
        <v>0</v>
      </c>
      <c r="P308" s="443">
        <v>0.36499999999999999</v>
      </c>
    </row>
    <row r="309" spans="3:16" x14ac:dyDescent="0.25">
      <c r="C309" s="86"/>
      <c r="F309" s="99" t="s">
        <v>1049</v>
      </c>
      <c r="G309" s="196"/>
      <c r="H309" s="196" t="s">
        <v>318</v>
      </c>
      <c r="I309" s="196"/>
      <c r="J309" s="443">
        <v>-8.452</v>
      </c>
      <c r="K309" s="443">
        <v>-1.335</v>
      </c>
      <c r="L309" s="443">
        <v>-0.16600000000000001</v>
      </c>
      <c r="M309" s="342">
        <v>0</v>
      </c>
      <c r="N309" s="342">
        <v>0</v>
      </c>
      <c r="O309" s="342">
        <v>0</v>
      </c>
      <c r="P309" s="443">
        <v>0</v>
      </c>
    </row>
    <row r="310" spans="3:16" x14ac:dyDescent="0.25">
      <c r="C310" s="86"/>
      <c r="F310" s="99" t="s">
        <v>1050</v>
      </c>
      <c r="G310" s="196"/>
      <c r="H310" s="196" t="s">
        <v>318</v>
      </c>
      <c r="I310" s="196"/>
      <c r="J310" s="443">
        <v>-7.59</v>
      </c>
      <c r="K310" s="443">
        <v>-1.1659999999999999</v>
      </c>
      <c r="L310" s="443">
        <v>-0.151</v>
      </c>
      <c r="M310" s="342">
        <v>0</v>
      </c>
      <c r="N310" s="342">
        <v>0</v>
      </c>
      <c r="O310" s="342">
        <v>0</v>
      </c>
      <c r="P310" s="443">
        <v>0.33600000000000002</v>
      </c>
    </row>
    <row r="311" spans="3:16" x14ac:dyDescent="0.25">
      <c r="C311" s="86"/>
      <c r="F311" s="99" t="s">
        <v>1051</v>
      </c>
      <c r="G311" s="196"/>
      <c r="H311" s="196" t="s">
        <v>318</v>
      </c>
      <c r="I311" s="196"/>
      <c r="J311" s="443">
        <v>-7.59</v>
      </c>
      <c r="K311" s="443">
        <v>-1.1659999999999999</v>
      </c>
      <c r="L311" s="443">
        <v>-0.151</v>
      </c>
      <c r="M311" s="342">
        <v>0</v>
      </c>
      <c r="N311" s="342">
        <v>0</v>
      </c>
      <c r="O311" s="342">
        <v>0</v>
      </c>
      <c r="P311" s="443">
        <v>0</v>
      </c>
    </row>
    <row r="312" spans="3:16" x14ac:dyDescent="0.25">
      <c r="C312" s="86"/>
      <c r="F312" s="99" t="s">
        <v>1052</v>
      </c>
      <c r="G312" s="196"/>
      <c r="H312" s="196" t="s">
        <v>318</v>
      </c>
      <c r="I312" s="196"/>
      <c r="J312" s="443">
        <v>-5.3550000000000004</v>
      </c>
      <c r="K312" s="443">
        <v>-0.68899999999999995</v>
      </c>
      <c r="L312" s="443">
        <v>-0.11</v>
      </c>
      <c r="M312" s="342">
        <v>65.95</v>
      </c>
      <c r="N312" s="342">
        <v>0</v>
      </c>
      <c r="O312" s="342">
        <v>0</v>
      </c>
      <c r="P312" s="443">
        <v>0.25600000000000001</v>
      </c>
    </row>
    <row r="313" spans="3:16" x14ac:dyDescent="0.25">
      <c r="C313" s="86"/>
      <c r="F313" s="100" t="s">
        <v>1053</v>
      </c>
      <c r="G313" s="93"/>
      <c r="H313" s="93" t="s">
        <v>318</v>
      </c>
      <c r="I313" s="93"/>
      <c r="J313" s="444">
        <v>-5.3550000000000004</v>
      </c>
      <c r="K313" s="444">
        <v>-0.68899999999999995</v>
      </c>
      <c r="L313" s="444">
        <v>-0.11</v>
      </c>
      <c r="M313" s="343">
        <v>65.95</v>
      </c>
      <c r="N313" s="343">
        <v>0</v>
      </c>
      <c r="O313" s="343">
        <v>0</v>
      </c>
      <c r="P313" s="444">
        <v>0</v>
      </c>
    </row>
    <row r="314" spans="3:16" x14ac:dyDescent="0.25">
      <c r="F314" s="98"/>
      <c r="G314" s="295"/>
      <c r="H314" s="295"/>
      <c r="I314" s="295"/>
      <c r="J314" s="445"/>
      <c r="K314" s="445"/>
      <c r="L314" s="445"/>
      <c r="M314" s="344"/>
      <c r="N314" s="344"/>
      <c r="O314" s="344"/>
      <c r="P314" s="445"/>
    </row>
    <row r="315" spans="3:16" x14ac:dyDescent="0.25">
      <c r="D315" s="96"/>
      <c r="E315" s="96" t="str">
        <f>"LDNO LV tariff forecast "&amp; 'ARP_User control'!G35</f>
        <v>LDNO LV tariff forecast 2025/26</v>
      </c>
      <c r="F315" s="98"/>
      <c r="G315" s="295"/>
      <c r="H315" s="295"/>
      <c r="I315" s="295"/>
      <c r="J315" s="445"/>
      <c r="K315" s="445"/>
      <c r="L315" s="445"/>
      <c r="M315" s="344"/>
      <c r="N315" s="344"/>
      <c r="O315" s="344"/>
      <c r="P315" s="445"/>
    </row>
    <row r="316" spans="3:16" x14ac:dyDescent="0.25">
      <c r="C316" s="86"/>
      <c r="F316" s="103" t="s">
        <v>1038</v>
      </c>
      <c r="G316" s="91"/>
      <c r="H316" s="91" t="s">
        <v>146</v>
      </c>
      <c r="I316" s="91"/>
      <c r="J316" s="442">
        <v>7.8579999999999997</v>
      </c>
      <c r="K316" s="442">
        <v>2.036</v>
      </c>
      <c r="L316" s="442">
        <v>1.08</v>
      </c>
      <c r="M316" s="341">
        <v>2.0699999999999998</v>
      </c>
      <c r="N316" s="341">
        <v>0</v>
      </c>
      <c r="O316" s="341">
        <v>0</v>
      </c>
      <c r="P316" s="442">
        <v>0</v>
      </c>
    </row>
    <row r="317" spans="3:16" x14ac:dyDescent="0.25">
      <c r="C317" s="86"/>
      <c r="F317" s="99" t="s">
        <v>1039</v>
      </c>
      <c r="G317" s="196"/>
      <c r="H317" s="196" t="s">
        <v>146</v>
      </c>
      <c r="I317" s="196"/>
      <c r="J317" s="443">
        <v>7.8579999999999997</v>
      </c>
      <c r="K317" s="443">
        <v>2.036</v>
      </c>
      <c r="L317" s="443">
        <v>1.08</v>
      </c>
      <c r="M317" s="342">
        <v>0</v>
      </c>
      <c r="N317" s="342">
        <v>0</v>
      </c>
      <c r="O317" s="342">
        <v>0</v>
      </c>
      <c r="P317" s="443">
        <v>0</v>
      </c>
    </row>
    <row r="318" spans="3:16" x14ac:dyDescent="0.25">
      <c r="C318" s="86"/>
      <c r="F318" s="99" t="s">
        <v>1040</v>
      </c>
      <c r="G318" s="196"/>
      <c r="H318" s="196" t="s">
        <v>146</v>
      </c>
      <c r="I318" s="196"/>
      <c r="J318" s="443">
        <v>9.5310000000000006</v>
      </c>
      <c r="K318" s="443">
        <v>2.3010000000000002</v>
      </c>
      <c r="L318" s="443">
        <v>1.113</v>
      </c>
      <c r="M318" s="342">
        <v>2.64</v>
      </c>
      <c r="N318" s="342">
        <v>0</v>
      </c>
      <c r="O318" s="342">
        <v>0</v>
      </c>
      <c r="P318" s="443">
        <v>0</v>
      </c>
    </row>
    <row r="319" spans="3:16" x14ac:dyDescent="0.25">
      <c r="C319" s="86"/>
      <c r="F319" s="99" t="s">
        <v>1041</v>
      </c>
      <c r="G319" s="196"/>
      <c r="H319" s="196" t="s">
        <v>146</v>
      </c>
      <c r="I319" s="196"/>
      <c r="J319" s="443">
        <v>9.5310000000000006</v>
      </c>
      <c r="K319" s="443">
        <v>2.3010000000000002</v>
      </c>
      <c r="L319" s="443">
        <v>1.113</v>
      </c>
      <c r="M319" s="342">
        <v>0</v>
      </c>
      <c r="N319" s="342">
        <v>0</v>
      </c>
      <c r="O319" s="342">
        <v>0</v>
      </c>
      <c r="P319" s="443">
        <v>0</v>
      </c>
    </row>
    <row r="320" spans="3:16" x14ac:dyDescent="0.25">
      <c r="C320" s="86"/>
      <c r="F320" s="99" t="s">
        <v>1042</v>
      </c>
      <c r="G320" s="196"/>
      <c r="H320" s="196" t="s">
        <v>146</v>
      </c>
      <c r="I320" s="196"/>
      <c r="J320" s="443">
        <v>7.2130000000000001</v>
      </c>
      <c r="K320" s="443">
        <v>1.8839999999999999</v>
      </c>
      <c r="L320" s="443">
        <v>1.07</v>
      </c>
      <c r="M320" s="342">
        <v>10.48</v>
      </c>
      <c r="N320" s="342">
        <v>1.7</v>
      </c>
      <c r="O320" s="342">
        <v>3.09</v>
      </c>
      <c r="P320" s="443">
        <v>0.27600000000000002</v>
      </c>
    </row>
    <row r="321" spans="3:18" x14ac:dyDescent="0.25">
      <c r="C321" s="86"/>
      <c r="F321" s="99" t="s">
        <v>1043</v>
      </c>
      <c r="G321" s="196"/>
      <c r="H321" s="196" t="s">
        <v>146</v>
      </c>
      <c r="I321" s="196"/>
      <c r="J321" s="446">
        <v>0</v>
      </c>
      <c r="K321" s="446">
        <v>0</v>
      </c>
      <c r="L321" s="446">
        <v>0</v>
      </c>
      <c r="M321" s="345">
        <v>0</v>
      </c>
      <c r="N321" s="345">
        <v>0</v>
      </c>
      <c r="O321" s="345">
        <v>0</v>
      </c>
      <c r="P321" s="446">
        <v>0</v>
      </c>
    </row>
    <row r="322" spans="3:18" x14ac:dyDescent="0.25">
      <c r="C322" s="86"/>
      <c r="F322" s="99" t="s">
        <v>1044</v>
      </c>
      <c r="G322" s="196"/>
      <c r="H322" s="196" t="s">
        <v>146</v>
      </c>
      <c r="I322" s="196"/>
      <c r="J322" s="446">
        <v>0</v>
      </c>
      <c r="K322" s="446">
        <v>0</v>
      </c>
      <c r="L322" s="446">
        <v>0</v>
      </c>
      <c r="M322" s="345">
        <v>0</v>
      </c>
      <c r="N322" s="345">
        <v>0</v>
      </c>
      <c r="O322" s="345">
        <v>0</v>
      </c>
      <c r="P322" s="446">
        <v>0</v>
      </c>
    </row>
    <row r="323" spans="3:18" x14ac:dyDescent="0.25">
      <c r="C323" s="86"/>
      <c r="F323" s="99" t="s">
        <v>1045</v>
      </c>
      <c r="G323" s="196"/>
      <c r="H323" s="196" t="s">
        <v>146</v>
      </c>
      <c r="I323" s="196"/>
      <c r="J323" s="443">
        <v>13.353999999999999</v>
      </c>
      <c r="K323" s="443">
        <v>2.4340000000000002</v>
      </c>
      <c r="L323" s="443">
        <v>1.2589999999999999</v>
      </c>
      <c r="M323" s="342">
        <v>0</v>
      </c>
      <c r="N323" s="342">
        <v>0</v>
      </c>
      <c r="O323" s="342">
        <v>0</v>
      </c>
      <c r="P323" s="443">
        <v>0</v>
      </c>
    </row>
    <row r="324" spans="3:18" x14ac:dyDescent="0.25">
      <c r="C324" s="86"/>
      <c r="F324" s="99" t="s">
        <v>1046</v>
      </c>
      <c r="G324" s="196"/>
      <c r="H324" s="196" t="s">
        <v>146</v>
      </c>
      <c r="I324" s="196"/>
      <c r="J324" s="443">
        <v>-8.452</v>
      </c>
      <c r="K324" s="443">
        <v>-1.335</v>
      </c>
      <c r="L324" s="443">
        <v>-0.16600000000000001</v>
      </c>
      <c r="M324" s="342">
        <v>0</v>
      </c>
      <c r="N324" s="342">
        <v>0</v>
      </c>
      <c r="O324" s="342">
        <v>0</v>
      </c>
      <c r="P324" s="443">
        <v>0</v>
      </c>
    </row>
    <row r="325" spans="3:18" x14ac:dyDescent="0.25">
      <c r="C325" s="86"/>
      <c r="F325" s="99" t="s">
        <v>1047</v>
      </c>
      <c r="G325" s="196"/>
      <c r="H325" s="196" t="s">
        <v>146</v>
      </c>
      <c r="I325" s="196"/>
      <c r="J325" s="446">
        <v>0</v>
      </c>
      <c r="K325" s="446">
        <v>0</v>
      </c>
      <c r="L325" s="446">
        <v>0</v>
      </c>
      <c r="M325" s="345">
        <v>0</v>
      </c>
      <c r="N325" s="345">
        <v>0</v>
      </c>
      <c r="O325" s="345">
        <v>0</v>
      </c>
      <c r="P325" s="446">
        <v>0</v>
      </c>
    </row>
    <row r="326" spans="3:18" x14ac:dyDescent="0.25">
      <c r="C326" s="86"/>
      <c r="F326" s="99" t="s">
        <v>1048</v>
      </c>
      <c r="G326" s="196"/>
      <c r="H326" s="196" t="s">
        <v>146</v>
      </c>
      <c r="I326" s="196"/>
      <c r="J326" s="443">
        <v>-8.452</v>
      </c>
      <c r="K326" s="443">
        <v>-1.335</v>
      </c>
      <c r="L326" s="443">
        <v>-0.16600000000000001</v>
      </c>
      <c r="M326" s="342">
        <v>0</v>
      </c>
      <c r="N326" s="342">
        <v>0</v>
      </c>
      <c r="O326" s="342">
        <v>0</v>
      </c>
      <c r="P326" s="443">
        <v>0.36499999999999999</v>
      </c>
    </row>
    <row r="327" spans="3:18" x14ac:dyDescent="0.25">
      <c r="C327" s="86"/>
      <c r="F327" s="99" t="s">
        <v>1049</v>
      </c>
      <c r="G327" s="196"/>
      <c r="H327" s="196" t="s">
        <v>146</v>
      </c>
      <c r="I327" s="196"/>
      <c r="J327" s="446">
        <v>0</v>
      </c>
      <c r="K327" s="446">
        <v>0</v>
      </c>
      <c r="L327" s="446">
        <v>0</v>
      </c>
      <c r="M327" s="345">
        <v>0</v>
      </c>
      <c r="N327" s="345">
        <v>0</v>
      </c>
      <c r="O327" s="345">
        <v>0</v>
      </c>
      <c r="P327" s="446">
        <v>0</v>
      </c>
    </row>
    <row r="328" spans="3:18" x14ac:dyDescent="0.25">
      <c r="C328" s="86"/>
      <c r="F328" s="99" t="s">
        <v>1050</v>
      </c>
      <c r="G328" s="196"/>
      <c r="H328" s="196" t="s">
        <v>146</v>
      </c>
      <c r="I328" s="196"/>
      <c r="J328" s="446">
        <v>0</v>
      </c>
      <c r="K328" s="446">
        <v>0</v>
      </c>
      <c r="L328" s="446">
        <v>0</v>
      </c>
      <c r="M328" s="345">
        <v>0</v>
      </c>
      <c r="N328" s="345">
        <v>0</v>
      </c>
      <c r="O328" s="345">
        <v>0</v>
      </c>
      <c r="P328" s="446">
        <v>0</v>
      </c>
    </row>
    <row r="329" spans="3:18" x14ac:dyDescent="0.25">
      <c r="C329" s="86"/>
      <c r="F329" s="99" t="s">
        <v>1051</v>
      </c>
      <c r="G329" s="196"/>
      <c r="H329" s="196" t="s">
        <v>146</v>
      </c>
      <c r="I329" s="196"/>
      <c r="J329" s="446">
        <v>0</v>
      </c>
      <c r="K329" s="446">
        <v>0</v>
      </c>
      <c r="L329" s="446">
        <v>0</v>
      </c>
      <c r="M329" s="345">
        <v>0</v>
      </c>
      <c r="N329" s="345">
        <v>0</v>
      </c>
      <c r="O329" s="345">
        <v>0</v>
      </c>
      <c r="P329" s="446">
        <v>0</v>
      </c>
    </row>
    <row r="330" spans="3:18" x14ac:dyDescent="0.25">
      <c r="C330" s="86"/>
      <c r="F330" s="99" t="s">
        <v>1052</v>
      </c>
      <c r="G330" s="196"/>
      <c r="H330" s="196" t="s">
        <v>146</v>
      </c>
      <c r="I330" s="196"/>
      <c r="J330" s="446">
        <v>0</v>
      </c>
      <c r="K330" s="446">
        <v>0</v>
      </c>
      <c r="L330" s="446">
        <v>0</v>
      </c>
      <c r="M330" s="345">
        <v>0</v>
      </c>
      <c r="N330" s="345">
        <v>0</v>
      </c>
      <c r="O330" s="345">
        <v>0</v>
      </c>
      <c r="P330" s="446">
        <v>0</v>
      </c>
    </row>
    <row r="331" spans="3:18" x14ac:dyDescent="0.25">
      <c r="C331" s="86"/>
      <c r="F331" s="100" t="s">
        <v>1053</v>
      </c>
      <c r="G331" s="93"/>
      <c r="H331" s="93" t="s">
        <v>146</v>
      </c>
      <c r="I331" s="93"/>
      <c r="J331" s="447">
        <v>0</v>
      </c>
      <c r="K331" s="447">
        <v>0</v>
      </c>
      <c r="L331" s="447">
        <v>0</v>
      </c>
      <c r="M331" s="346">
        <v>0</v>
      </c>
      <c r="N331" s="346">
        <v>0</v>
      </c>
      <c r="O331" s="346">
        <v>0</v>
      </c>
      <c r="P331" s="447">
        <v>0</v>
      </c>
    </row>
    <row r="332" spans="3:18" x14ac:dyDescent="0.25">
      <c r="C332" s="96"/>
      <c r="D332" s="96"/>
      <c r="E332" s="96"/>
      <c r="F332" s="295"/>
      <c r="G332" s="295"/>
      <c r="H332" s="295"/>
      <c r="I332" s="295"/>
      <c r="J332" s="445"/>
      <c r="K332" s="445"/>
      <c r="L332" s="445"/>
      <c r="M332" s="344"/>
      <c r="N332" s="344"/>
      <c r="O332" s="344"/>
      <c r="P332" s="445"/>
      <c r="Q332" s="96"/>
      <c r="R332" s="96"/>
    </row>
    <row r="333" spans="3:18" x14ac:dyDescent="0.25">
      <c r="C333" s="96"/>
      <c r="D333" s="96"/>
      <c r="E333" s="96" t="str">
        <f>"LDNO HV tariff forecast "&amp; 'ARP_User control'!G35</f>
        <v>LDNO HV tariff forecast 2025/26</v>
      </c>
      <c r="F333" s="295"/>
      <c r="G333" s="295"/>
      <c r="H333" s="295"/>
      <c r="I333" s="295"/>
      <c r="J333" s="445"/>
      <c r="K333" s="445"/>
      <c r="L333" s="445"/>
      <c r="M333" s="344"/>
      <c r="N333" s="344"/>
      <c r="O333" s="344"/>
      <c r="P333" s="445"/>
      <c r="Q333" s="96"/>
      <c r="R333" s="96"/>
    </row>
    <row r="334" spans="3:18" x14ac:dyDescent="0.25">
      <c r="C334" s="86"/>
      <c r="F334" s="103" t="s">
        <v>1038</v>
      </c>
      <c r="G334" s="91"/>
      <c r="H334" s="91" t="s">
        <v>147</v>
      </c>
      <c r="I334" s="91"/>
      <c r="J334" s="442">
        <v>5.6130000000000004</v>
      </c>
      <c r="K334" s="442">
        <v>1.4550000000000001</v>
      </c>
      <c r="L334" s="442">
        <v>0.77200000000000002</v>
      </c>
      <c r="M334" s="341">
        <v>1.48</v>
      </c>
      <c r="N334" s="341">
        <v>0</v>
      </c>
      <c r="O334" s="341">
        <v>0</v>
      </c>
      <c r="P334" s="442">
        <v>0</v>
      </c>
    </row>
    <row r="335" spans="3:18" x14ac:dyDescent="0.25">
      <c r="C335" s="86"/>
      <c r="F335" s="99" t="s">
        <v>1039</v>
      </c>
      <c r="G335" s="196"/>
      <c r="H335" s="196" t="s">
        <v>147</v>
      </c>
      <c r="I335" s="196"/>
      <c r="J335" s="443">
        <v>5.6130000000000004</v>
      </c>
      <c r="K335" s="443">
        <v>1.4550000000000001</v>
      </c>
      <c r="L335" s="443">
        <v>0.77200000000000002</v>
      </c>
      <c r="M335" s="342">
        <v>0</v>
      </c>
      <c r="N335" s="342">
        <v>0</v>
      </c>
      <c r="O335" s="342">
        <v>0</v>
      </c>
      <c r="P335" s="443">
        <v>0</v>
      </c>
    </row>
    <row r="336" spans="3:18" x14ac:dyDescent="0.25">
      <c r="C336" s="86"/>
      <c r="F336" s="99" t="s">
        <v>1040</v>
      </c>
      <c r="G336" s="196"/>
      <c r="H336" s="196" t="s">
        <v>147</v>
      </c>
      <c r="I336" s="196"/>
      <c r="J336" s="443">
        <v>6.8090000000000002</v>
      </c>
      <c r="K336" s="443">
        <v>1.6439999999999999</v>
      </c>
      <c r="L336" s="443">
        <v>0.79500000000000004</v>
      </c>
      <c r="M336" s="342">
        <v>1.89</v>
      </c>
      <c r="N336" s="342">
        <v>0</v>
      </c>
      <c r="O336" s="342">
        <v>0</v>
      </c>
      <c r="P336" s="443">
        <v>0</v>
      </c>
    </row>
    <row r="337" spans="2:18" x14ac:dyDescent="0.25">
      <c r="C337" s="86"/>
      <c r="F337" s="99" t="s">
        <v>1041</v>
      </c>
      <c r="G337" s="196"/>
      <c r="H337" s="196" t="s">
        <v>147</v>
      </c>
      <c r="I337" s="196"/>
      <c r="J337" s="443">
        <v>6.8090000000000002</v>
      </c>
      <c r="K337" s="443">
        <v>1.6439999999999999</v>
      </c>
      <c r="L337" s="443">
        <v>0.79500000000000004</v>
      </c>
      <c r="M337" s="342">
        <v>0</v>
      </c>
      <c r="N337" s="342">
        <v>0</v>
      </c>
      <c r="O337" s="342">
        <v>0</v>
      </c>
      <c r="P337" s="443">
        <v>0</v>
      </c>
    </row>
    <row r="338" spans="2:18" x14ac:dyDescent="0.25">
      <c r="C338" s="86"/>
      <c r="F338" s="99" t="s">
        <v>1042</v>
      </c>
      <c r="G338" s="196"/>
      <c r="H338" s="196" t="s">
        <v>147</v>
      </c>
      <c r="I338" s="196"/>
      <c r="J338" s="443">
        <v>5.1529999999999996</v>
      </c>
      <c r="K338" s="443">
        <v>1.3460000000000001</v>
      </c>
      <c r="L338" s="443">
        <v>0.76400000000000001</v>
      </c>
      <c r="M338" s="342">
        <v>7.49</v>
      </c>
      <c r="N338" s="342">
        <v>1.22</v>
      </c>
      <c r="O338" s="342">
        <v>2.21</v>
      </c>
      <c r="P338" s="443">
        <v>0.19700000000000001</v>
      </c>
    </row>
    <row r="339" spans="2:18" x14ac:dyDescent="0.25">
      <c r="C339" s="86"/>
      <c r="F339" s="99" t="s">
        <v>1043</v>
      </c>
      <c r="G339" s="196"/>
      <c r="H339" s="196" t="s">
        <v>147</v>
      </c>
      <c r="I339" s="196"/>
      <c r="J339" s="443">
        <v>6.5030000000000001</v>
      </c>
      <c r="K339" s="443">
        <v>1.7989999999999999</v>
      </c>
      <c r="L339" s="443">
        <v>1.204</v>
      </c>
      <c r="M339" s="342">
        <v>4.2699999999999996</v>
      </c>
      <c r="N339" s="342">
        <v>3.97</v>
      </c>
      <c r="O339" s="342">
        <v>5.53</v>
      </c>
      <c r="P339" s="443">
        <v>0.192</v>
      </c>
    </row>
    <row r="340" spans="2:18" x14ac:dyDescent="0.25">
      <c r="C340" s="86"/>
      <c r="F340" s="99" t="s">
        <v>1044</v>
      </c>
      <c r="G340" s="196"/>
      <c r="H340" s="196" t="s">
        <v>147</v>
      </c>
      <c r="I340" s="196"/>
      <c r="J340" s="443">
        <v>5.835</v>
      </c>
      <c r="K340" s="443">
        <v>1.792</v>
      </c>
      <c r="L340" s="443">
        <v>1.3240000000000001</v>
      </c>
      <c r="M340" s="342">
        <v>73.069999999999993</v>
      </c>
      <c r="N340" s="342">
        <v>3.51</v>
      </c>
      <c r="O340" s="342">
        <v>5.82</v>
      </c>
      <c r="P340" s="443">
        <v>0.154</v>
      </c>
    </row>
    <row r="341" spans="2:18" x14ac:dyDescent="0.25">
      <c r="C341" s="86"/>
      <c r="F341" s="99" t="s">
        <v>1045</v>
      </c>
      <c r="G341" s="196"/>
      <c r="H341" s="196" t="s">
        <v>147</v>
      </c>
      <c r="I341" s="196"/>
      <c r="J341" s="443">
        <v>9.5399999999999991</v>
      </c>
      <c r="K341" s="443">
        <v>1.7390000000000001</v>
      </c>
      <c r="L341" s="443">
        <v>0.89900000000000002</v>
      </c>
      <c r="M341" s="342">
        <v>0</v>
      </c>
      <c r="N341" s="342">
        <v>0</v>
      </c>
      <c r="O341" s="342">
        <v>0</v>
      </c>
      <c r="P341" s="443">
        <v>0</v>
      </c>
    </row>
    <row r="342" spans="2:18" x14ac:dyDescent="0.25">
      <c r="C342" s="86"/>
      <c r="F342" s="99" t="s">
        <v>1046</v>
      </c>
      <c r="G342" s="196"/>
      <c r="H342" s="196" t="s">
        <v>147</v>
      </c>
      <c r="I342" s="196"/>
      <c r="J342" s="443">
        <v>-8.452</v>
      </c>
      <c r="K342" s="443">
        <v>-1.335</v>
      </c>
      <c r="L342" s="443">
        <v>-0.16600000000000001</v>
      </c>
      <c r="M342" s="342">
        <v>0</v>
      </c>
      <c r="N342" s="342">
        <v>0</v>
      </c>
      <c r="O342" s="342">
        <v>0</v>
      </c>
      <c r="P342" s="443">
        <v>0</v>
      </c>
    </row>
    <row r="343" spans="2:18" x14ac:dyDescent="0.25">
      <c r="C343" s="86"/>
      <c r="F343" s="99" t="s">
        <v>1047</v>
      </c>
      <c r="G343" s="196"/>
      <c r="H343" s="196" t="s">
        <v>147</v>
      </c>
      <c r="I343" s="196"/>
      <c r="J343" s="443">
        <v>-7.59</v>
      </c>
      <c r="K343" s="443">
        <v>-1.1659999999999999</v>
      </c>
      <c r="L343" s="443">
        <v>-0.151</v>
      </c>
      <c r="M343" s="342">
        <v>0</v>
      </c>
      <c r="N343" s="342">
        <v>0</v>
      </c>
      <c r="O343" s="342">
        <v>0</v>
      </c>
      <c r="P343" s="443">
        <v>0</v>
      </c>
    </row>
    <row r="344" spans="2:18" x14ac:dyDescent="0.25">
      <c r="C344" s="86"/>
      <c r="F344" s="99" t="s">
        <v>1048</v>
      </c>
      <c r="G344" s="196"/>
      <c r="H344" s="196" t="s">
        <v>147</v>
      </c>
      <c r="I344" s="196"/>
      <c r="J344" s="443">
        <v>-8.452</v>
      </c>
      <c r="K344" s="443">
        <v>-1.335</v>
      </c>
      <c r="L344" s="443">
        <v>-0.16600000000000001</v>
      </c>
      <c r="M344" s="342">
        <v>0</v>
      </c>
      <c r="N344" s="342">
        <v>0</v>
      </c>
      <c r="O344" s="342">
        <v>0</v>
      </c>
      <c r="P344" s="443">
        <v>0.36499999999999999</v>
      </c>
    </row>
    <row r="345" spans="2:18" x14ac:dyDescent="0.25">
      <c r="C345" s="86"/>
      <c r="F345" s="99" t="s">
        <v>1049</v>
      </c>
      <c r="G345" s="196"/>
      <c r="H345" s="196" t="s">
        <v>147</v>
      </c>
      <c r="I345" s="196"/>
      <c r="J345" s="446">
        <v>0</v>
      </c>
      <c r="K345" s="446">
        <v>0</v>
      </c>
      <c r="L345" s="446">
        <v>0</v>
      </c>
      <c r="M345" s="345">
        <v>0</v>
      </c>
      <c r="N345" s="345">
        <v>0</v>
      </c>
      <c r="O345" s="345">
        <v>0</v>
      </c>
      <c r="P345" s="446">
        <v>0</v>
      </c>
    </row>
    <row r="346" spans="2:18" x14ac:dyDescent="0.25">
      <c r="C346" s="86"/>
      <c r="F346" s="99" t="s">
        <v>1050</v>
      </c>
      <c r="G346" s="196"/>
      <c r="H346" s="196" t="s">
        <v>147</v>
      </c>
      <c r="I346" s="196"/>
      <c r="J346" s="443">
        <v>-7.59</v>
      </c>
      <c r="K346" s="443">
        <v>-1.1659999999999999</v>
      </c>
      <c r="L346" s="443">
        <v>-0.151</v>
      </c>
      <c r="M346" s="342">
        <v>0</v>
      </c>
      <c r="N346" s="342">
        <v>0</v>
      </c>
      <c r="O346" s="342">
        <v>0</v>
      </c>
      <c r="P346" s="443">
        <v>0.33600000000000002</v>
      </c>
    </row>
    <row r="347" spans="2:18" x14ac:dyDescent="0.25">
      <c r="C347" s="86"/>
      <c r="F347" s="99" t="s">
        <v>1051</v>
      </c>
      <c r="G347" s="196"/>
      <c r="H347" s="196" t="s">
        <v>147</v>
      </c>
      <c r="I347" s="196"/>
      <c r="J347" s="446">
        <v>0</v>
      </c>
      <c r="K347" s="446">
        <v>0</v>
      </c>
      <c r="L347" s="446">
        <v>0</v>
      </c>
      <c r="M347" s="345">
        <v>0</v>
      </c>
      <c r="N347" s="345">
        <v>0</v>
      </c>
      <c r="O347" s="345">
        <v>0</v>
      </c>
      <c r="P347" s="446">
        <v>0</v>
      </c>
    </row>
    <row r="348" spans="2:18" x14ac:dyDescent="0.25">
      <c r="C348" s="86"/>
      <c r="F348" s="99" t="s">
        <v>1052</v>
      </c>
      <c r="G348" s="196"/>
      <c r="H348" s="196" t="s">
        <v>147</v>
      </c>
      <c r="I348" s="196"/>
      <c r="J348" s="443">
        <v>-5.3550000000000004</v>
      </c>
      <c r="K348" s="443">
        <v>-0.68899999999999995</v>
      </c>
      <c r="L348" s="443">
        <v>-0.11</v>
      </c>
      <c r="M348" s="342">
        <v>0</v>
      </c>
      <c r="N348" s="342">
        <v>0</v>
      </c>
      <c r="O348" s="342">
        <v>0</v>
      </c>
      <c r="P348" s="443">
        <v>0.25600000000000001</v>
      </c>
    </row>
    <row r="349" spans="2:18" x14ac:dyDescent="0.25">
      <c r="C349" s="86"/>
      <c r="F349" s="100" t="s">
        <v>1053</v>
      </c>
      <c r="G349" s="93"/>
      <c r="H349" s="93" t="s">
        <v>147</v>
      </c>
      <c r="I349" s="93"/>
      <c r="J349" s="447">
        <v>0</v>
      </c>
      <c r="K349" s="447">
        <v>0</v>
      </c>
      <c r="L349" s="447">
        <v>0</v>
      </c>
      <c r="M349" s="346">
        <v>0</v>
      </c>
      <c r="N349" s="346">
        <v>0</v>
      </c>
      <c r="O349" s="346">
        <v>0</v>
      </c>
      <c r="P349" s="447">
        <v>0</v>
      </c>
    </row>
    <row r="350" spans="2:18" x14ac:dyDescent="0.25">
      <c r="C350" s="96"/>
      <c r="D350" s="96"/>
      <c r="E350" s="96"/>
      <c r="F350" s="96"/>
      <c r="G350" s="96"/>
      <c r="H350" s="96"/>
      <c r="I350" s="96"/>
      <c r="J350" s="96"/>
      <c r="K350" s="96"/>
      <c r="L350" s="96"/>
      <c r="M350" s="216"/>
      <c r="N350" s="216"/>
      <c r="O350" s="216"/>
      <c r="P350" s="96"/>
      <c r="Q350" s="96"/>
      <c r="R350" s="96"/>
    </row>
    <row r="351" spans="2:18" x14ac:dyDescent="0.25">
      <c r="B351" s="95" t="s">
        <v>109</v>
      </c>
      <c r="C351" s="95"/>
      <c r="D351" s="95"/>
      <c r="E351" s="95"/>
      <c r="F351" s="95"/>
      <c r="G351" s="95"/>
      <c r="H351" s="95"/>
      <c r="I351" s="95"/>
      <c r="J351" s="95"/>
      <c r="K351" s="95"/>
      <c r="L351" s="71"/>
      <c r="M351" s="217"/>
      <c r="N351" s="217"/>
      <c r="O351" s="217"/>
      <c r="P351" s="71"/>
      <c r="Q351" s="71"/>
      <c r="R351" s="71"/>
    </row>
    <row r="352" spans="2:18" x14ac:dyDescent="0.25">
      <c r="M352" s="215"/>
      <c r="N352" s="215"/>
      <c r="O352" s="215"/>
    </row>
    <row r="353" spans="2:18" x14ac:dyDescent="0.25">
      <c r="D353" s="85"/>
      <c r="E353" s="85" t="s">
        <v>516</v>
      </c>
      <c r="G353" s="60" t="s">
        <v>692</v>
      </c>
      <c r="H353" s="212">
        <f t="array" ref="H353">SUM(IF(ISERROR(J18:P69), 1))</f>
        <v>0</v>
      </c>
      <c r="M353" s="215"/>
      <c r="N353" s="215"/>
      <c r="O353" s="215"/>
    </row>
    <row r="354" spans="2:18" x14ac:dyDescent="0.25">
      <c r="M354" s="215"/>
      <c r="N354" s="215"/>
      <c r="O354" s="215"/>
    </row>
    <row r="355" spans="2:18" x14ac:dyDescent="0.25">
      <c r="B355" s="95" t="s">
        <v>110</v>
      </c>
      <c r="C355" s="95"/>
      <c r="D355" s="95"/>
      <c r="E355" s="95"/>
      <c r="F355" s="95"/>
      <c r="G355" s="95"/>
      <c r="H355" s="95"/>
      <c r="I355" s="95"/>
      <c r="J355" s="95"/>
      <c r="K355" s="95"/>
      <c r="L355" s="71"/>
      <c r="M355" s="217"/>
      <c r="N355" s="217"/>
      <c r="O355" s="217"/>
      <c r="P355" s="71"/>
      <c r="Q355" s="71"/>
      <c r="R355" s="71"/>
    </row>
    <row r="356" spans="2:18" x14ac:dyDescent="0.25">
      <c r="M356" s="215"/>
      <c r="N356" s="215"/>
      <c r="O356" s="215"/>
    </row>
    <row r="357" spans="2:18" x14ac:dyDescent="0.25">
      <c r="D357" s="85"/>
    </row>
    <row r="442" spans="19:19" x14ac:dyDescent="0.25">
      <c r="S442" s="96"/>
    </row>
    <row r="514" spans="19:19" x14ac:dyDescent="0.25">
      <c r="S514" s="96"/>
    </row>
    <row r="515" spans="19:19" x14ac:dyDescent="0.25">
      <c r="S515" s="96"/>
    </row>
    <row r="549" spans="19:19" x14ac:dyDescent="0.25">
      <c r="S549" s="96"/>
    </row>
    <row r="621" spans="19:19" x14ac:dyDescent="0.25">
      <c r="S621" s="96"/>
    </row>
    <row r="622" spans="19:19" x14ac:dyDescent="0.25">
      <c r="S622" s="96"/>
    </row>
    <row r="656" spans="19:19" x14ac:dyDescent="0.25">
      <c r="S656" s="96"/>
    </row>
  </sheetData>
  <sheetProtection formatCells="0" formatColumns="0" formatRows="0" sort="0" autoFilter="0"/>
  <conditionalFormatting sqref="H353">
    <cfRule type="cellIs" dxfId="4" priority="13" operator="greaterThan">
      <formula>0</formula>
    </cfRule>
  </conditionalFormatting>
  <conditionalFormatting sqref="A4:R4 T4:XFD4">
    <cfRule type="expression" dxfId="3" priority="2">
      <formula>LEFT($A$4,1) &lt;&gt; "0"</formula>
    </cfRule>
  </conditionalFormatting>
  <conditionalFormatting sqref="S4">
    <cfRule type="expression" dxfId="2" priority="1">
      <formula>LEFT($A$4,1) &lt;&gt; "0"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2">
    <tabColor theme="9" tint="0.39997558519241921"/>
    <pageSetUpPr fitToPage="1"/>
  </sheetPr>
  <dimension ref="A1:XFD7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0" width="17" style="85" customWidth="1"/>
    <col min="11" max="11" width="2.42578125" style="85" customWidth="1"/>
    <col min="12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7109375" style="85" hidden="1"/>
  </cols>
  <sheetData>
    <row r="1" spans="1:16384" s="10" customFormat="1" x14ac:dyDescent="0.25">
      <c r="A1" s="10" t="str">
        <f ca="1">MID(CELL("filename",A1),FIND("]",CELL("filename",A1))+1,255)</f>
        <v>Typical bills</v>
      </c>
    </row>
    <row r="2" spans="1:16384" s="10" customFormat="1" x14ac:dyDescent="0.25">
      <c r="A2" s="10" t="str">
        <f>Cover!D21&amp;" - "&amp;Cover!D23</f>
        <v>SP Manweb - One</v>
      </c>
    </row>
    <row r="3" spans="1:16384" s="46" customFormat="1" x14ac:dyDescent="0.25">
      <c r="A3" s="46" t="str">
        <f>Cover!D2&amp;" - "&amp;Cover!D8&amp;" v"&amp;Cover!D10&amp;" - "&amp;Cover!D19</f>
        <v>ARP model - Release for charge setting v5 - 2021/22</v>
      </c>
    </row>
    <row r="4" spans="1:16384" s="195" customFormat="1" x14ac:dyDescent="0.25">
      <c r="A4" s="229" t="str">
        <f>H73 &amp; IF(H73 = 1, " issue", " issues") &amp;" identified in checks on this sheet"</f>
        <v>0 issues identified in checks on this sheet</v>
      </c>
      <c r="B4" s="230"/>
      <c r="C4" s="230"/>
      <c r="D4" s="230"/>
      <c r="E4" s="230"/>
      <c r="F4" s="230"/>
      <c r="G4" s="230"/>
      <c r="H4" s="231"/>
      <c r="I4" s="231"/>
      <c r="J4" s="230"/>
      <c r="K4" s="222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</row>
    <row r="5" spans="1:16384" ht="30" x14ac:dyDescent="0.25">
      <c r="B5" s="134" t="s">
        <v>552</v>
      </c>
      <c r="C5" s="9"/>
      <c r="D5" s="9"/>
      <c r="E5" s="9"/>
      <c r="F5" s="9"/>
      <c r="G5" s="1" t="s">
        <v>91</v>
      </c>
      <c r="H5" s="1" t="s">
        <v>635</v>
      </c>
      <c r="J5" s="154" t="str">
        <f>"Live results (" &amp; charging_year_selected &amp; ")"</f>
        <v>Live results (2021/22)</v>
      </c>
      <c r="L5" s="154" t="str">
        <f t="array" ref="L5:P5">TRANSPOSE('ARP_User control'!G31:G35)</f>
        <v>2021/22</v>
      </c>
      <c r="M5" s="154" t="str">
        <v>2022/23</v>
      </c>
      <c r="N5" s="154" t="str">
        <v>2023/24</v>
      </c>
      <c r="O5" s="154" t="str">
        <v>2024/25</v>
      </c>
      <c r="P5" s="154" t="str">
        <v>2025/26</v>
      </c>
      <c r="R5" s="1" t="s">
        <v>93</v>
      </c>
    </row>
    <row r="7" spans="1:1638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25">
      <c r="C9" s="82" t="s">
        <v>588</v>
      </c>
    </row>
    <row r="10" spans="1:16384" x14ac:dyDescent="0.25">
      <c r="C10" s="82" t="s">
        <v>589</v>
      </c>
    </row>
    <row r="11" spans="1:16384" x14ac:dyDescent="0.25">
      <c r="A11" s="75"/>
      <c r="B11" s="75"/>
      <c r="C11" s="82" t="s">
        <v>609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25">
      <c r="B13" s="95" t="s">
        <v>584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25">
      <c r="D14" s="98"/>
      <c r="E14" s="98"/>
    </row>
    <row r="15" spans="1:16384" x14ac:dyDescent="0.25">
      <c r="C15" s="7" t="str">
        <f ca="1">INDEX('Version control'!$H$34:$H$60,MATCH($A$1,'Version control'!$F$34:$F$60,0),1)&amp;"-A: Typical bill results"</f>
        <v>Input 507-A: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25">
      <c r="D16" s="85"/>
      <c r="E16" s="85"/>
    </row>
    <row r="17" spans="3:18" x14ac:dyDescent="0.25">
      <c r="E17" s="96" t="s">
        <v>585</v>
      </c>
      <c r="F17" s="96"/>
      <c r="I17" s="85" t="s">
        <v>431</v>
      </c>
      <c r="R17" s="85" t="s">
        <v>865</v>
      </c>
    </row>
    <row r="18" spans="3:18" x14ac:dyDescent="0.25">
      <c r="C18" s="86"/>
      <c r="F18" s="103" t="s">
        <v>1038</v>
      </c>
      <c r="G18" s="91" t="s">
        <v>107</v>
      </c>
      <c r="H18" s="91" t="s">
        <v>318</v>
      </c>
      <c r="I18" s="91"/>
      <c r="J18" s="289">
        <f t="array" ref="J18:J33">TRANSPOSE('Net revenue summary'!J128:Y128)</f>
        <v>123.29885524476033</v>
      </c>
      <c r="K18" s="290"/>
      <c r="L18" s="341">
        <v>123.29885524476033</v>
      </c>
      <c r="M18" s="341">
        <v>130.45837345794817</v>
      </c>
      <c r="N18" s="341">
        <v>133.70597095871523</v>
      </c>
      <c r="O18" s="341">
        <v>136.6223294243525</v>
      </c>
      <c r="P18" s="341">
        <v>134.64746742089577</v>
      </c>
    </row>
    <row r="19" spans="3:18" x14ac:dyDescent="0.25">
      <c r="C19" s="86"/>
      <c r="F19" s="99" t="s">
        <v>1039</v>
      </c>
      <c r="G19" s="92" t="s">
        <v>107</v>
      </c>
      <c r="H19" s="92" t="s">
        <v>318</v>
      </c>
      <c r="I19" s="92"/>
      <c r="J19" s="465">
        <v>56.460645492611093</v>
      </c>
      <c r="K19" s="291"/>
      <c r="L19" s="342">
        <v>56.460645492611093</v>
      </c>
      <c r="M19" s="342">
        <v>62.724336498677189</v>
      </c>
      <c r="N19" s="342">
        <v>64.780499089339784</v>
      </c>
      <c r="O19" s="342">
        <v>66.322551029599666</v>
      </c>
      <c r="P19" s="342">
        <v>62.873003784453623</v>
      </c>
    </row>
    <row r="20" spans="3:18" x14ac:dyDescent="0.25">
      <c r="C20" s="86"/>
      <c r="F20" s="99" t="s">
        <v>1040</v>
      </c>
      <c r="G20" s="92" t="s">
        <v>107</v>
      </c>
      <c r="H20" s="92" t="s">
        <v>318</v>
      </c>
      <c r="I20" s="92"/>
      <c r="J20" s="465">
        <v>617.76942271789153</v>
      </c>
      <c r="K20" s="291"/>
      <c r="L20" s="342">
        <v>617.76942271789153</v>
      </c>
      <c r="M20" s="342">
        <v>659.72127999922043</v>
      </c>
      <c r="N20" s="342">
        <v>677.16246247381821</v>
      </c>
      <c r="O20" s="342">
        <v>692.74732377725275</v>
      </c>
      <c r="P20" s="342">
        <v>682.04104888190761</v>
      </c>
    </row>
    <row r="21" spans="3:18" x14ac:dyDescent="0.25">
      <c r="C21" s="86"/>
      <c r="F21" s="99" t="s">
        <v>1041</v>
      </c>
      <c r="G21" s="92" t="s">
        <v>107</v>
      </c>
      <c r="H21" s="92" t="s">
        <v>318</v>
      </c>
      <c r="I21" s="92"/>
      <c r="J21" s="465">
        <v>84.816147919815521</v>
      </c>
      <c r="K21" s="291"/>
      <c r="L21" s="342">
        <v>84.816147919815521</v>
      </c>
      <c r="M21" s="342">
        <v>93.968711344860537</v>
      </c>
      <c r="N21" s="342">
        <v>97.004869415037405</v>
      </c>
      <c r="O21" s="342">
        <v>99.307893055907911</v>
      </c>
      <c r="P21" s="342">
        <v>94.368905340438275</v>
      </c>
    </row>
    <row r="22" spans="3:18" x14ac:dyDescent="0.25">
      <c r="C22" s="86"/>
      <c r="F22" s="99" t="s">
        <v>1042</v>
      </c>
      <c r="G22" s="92" t="s">
        <v>107</v>
      </c>
      <c r="H22" s="92" t="s">
        <v>318</v>
      </c>
      <c r="I22" s="92"/>
      <c r="J22" s="465">
        <v>6413.4668585520076</v>
      </c>
      <c r="K22" s="291"/>
      <c r="L22" s="342">
        <v>6413.4668585520076</v>
      </c>
      <c r="M22" s="342">
        <v>6861.831760099396</v>
      </c>
      <c r="N22" s="342">
        <v>7050.0231842271442</v>
      </c>
      <c r="O22" s="342">
        <v>7209.2761785996609</v>
      </c>
      <c r="P22" s="342">
        <v>7101.8128985606199</v>
      </c>
    </row>
    <row r="23" spans="3:18" x14ac:dyDescent="0.25">
      <c r="C23" s="86"/>
      <c r="F23" s="99" t="s">
        <v>1043</v>
      </c>
      <c r="G23" s="92" t="s">
        <v>107</v>
      </c>
      <c r="H23" s="92" t="s">
        <v>318</v>
      </c>
      <c r="I23" s="92"/>
      <c r="J23" s="465">
        <v>13163.097209505262</v>
      </c>
      <c r="K23" s="291"/>
      <c r="L23" s="342">
        <v>13163.097209505262</v>
      </c>
      <c r="M23" s="342">
        <v>14122.500476263471</v>
      </c>
      <c r="N23" s="342">
        <v>14525.715479250252</v>
      </c>
      <c r="O23" s="342">
        <v>14847.541102983661</v>
      </c>
      <c r="P23" s="342">
        <v>14588.676023768448</v>
      </c>
    </row>
    <row r="24" spans="3:18" x14ac:dyDescent="0.25">
      <c r="C24" s="86"/>
      <c r="F24" s="99" t="s">
        <v>1044</v>
      </c>
      <c r="G24" s="92" t="s">
        <v>107</v>
      </c>
      <c r="H24" s="92" t="s">
        <v>318</v>
      </c>
      <c r="I24" s="92"/>
      <c r="J24" s="465">
        <v>62673.195486571065</v>
      </c>
      <c r="K24" s="291"/>
      <c r="L24" s="342">
        <v>62673.195486571065</v>
      </c>
      <c r="M24" s="342">
        <v>67877.307291172721</v>
      </c>
      <c r="N24" s="342">
        <v>69902.479932436574</v>
      </c>
      <c r="O24" s="342">
        <v>71474.059867825345</v>
      </c>
      <c r="P24" s="342">
        <v>69537.530371955581</v>
      </c>
    </row>
    <row r="25" spans="3:18" x14ac:dyDescent="0.25">
      <c r="C25" s="86"/>
      <c r="F25" s="99" t="s">
        <v>1045</v>
      </c>
      <c r="G25" s="92" t="s">
        <v>107</v>
      </c>
      <c r="H25" s="92" t="s">
        <v>318</v>
      </c>
      <c r="I25" s="92"/>
      <c r="J25" s="465">
        <v>8636.9233111715457</v>
      </c>
      <c r="K25" s="291"/>
      <c r="L25" s="342">
        <v>8636.9233111715457</v>
      </c>
      <c r="M25" s="342">
        <v>9254.09812495595</v>
      </c>
      <c r="N25" s="342">
        <v>9532.475752759774</v>
      </c>
      <c r="O25" s="342">
        <v>9701.4571512420152</v>
      </c>
      <c r="P25" s="342">
        <v>9474.8774837673809</v>
      </c>
    </row>
    <row r="26" spans="3:18" x14ac:dyDescent="0.25">
      <c r="C26" s="86"/>
      <c r="F26" s="99" t="s">
        <v>1046</v>
      </c>
      <c r="G26" s="92" t="s">
        <v>107</v>
      </c>
      <c r="H26" s="92" t="s">
        <v>318</v>
      </c>
      <c r="I26" s="92"/>
      <c r="J26" s="465">
        <v>-96.102137167314694</v>
      </c>
      <c r="K26" s="291"/>
      <c r="L26" s="342">
        <v>-96.102137167314694</v>
      </c>
      <c r="M26" s="342">
        <v>-99.341396719150637</v>
      </c>
      <c r="N26" s="342">
        <v>-101.99026260838559</v>
      </c>
      <c r="O26" s="342">
        <v>-103.7689873075378</v>
      </c>
      <c r="P26" s="342">
        <v>-105.92626912189866</v>
      </c>
    </row>
    <row r="27" spans="3:18" x14ac:dyDescent="0.25">
      <c r="C27" s="86"/>
      <c r="F27" s="99" t="s">
        <v>1047</v>
      </c>
      <c r="G27" s="92" t="s">
        <v>107</v>
      </c>
      <c r="H27" s="92" t="s">
        <v>318</v>
      </c>
      <c r="I27" s="92"/>
      <c r="J27" s="465">
        <v>-184.92107641649656</v>
      </c>
      <c r="K27" s="291"/>
      <c r="L27" s="342">
        <v>-184.92107641649656</v>
      </c>
      <c r="M27" s="342">
        <v>-191.12493566653833</v>
      </c>
      <c r="N27" s="342">
        <v>-196.16193192671506</v>
      </c>
      <c r="O27" s="342">
        <v>-199.60136101202491</v>
      </c>
      <c r="P27" s="342">
        <v>-203.79866503376095</v>
      </c>
    </row>
    <row r="28" spans="3:18" x14ac:dyDescent="0.25">
      <c r="C28" s="86"/>
      <c r="F28" s="99" t="s">
        <v>1048</v>
      </c>
      <c r="G28" s="92" t="s">
        <v>107</v>
      </c>
      <c r="H28" s="92" t="s">
        <v>318</v>
      </c>
      <c r="I28" s="92"/>
      <c r="J28" s="465">
        <v>-2201.9517661424238</v>
      </c>
      <c r="K28" s="291"/>
      <c r="L28" s="342">
        <v>-2201.9517661424238</v>
      </c>
      <c r="M28" s="342">
        <v>-2276.1862351298387</v>
      </c>
      <c r="N28" s="342">
        <v>-2337.0792870965056</v>
      </c>
      <c r="O28" s="342">
        <v>-2377.6730071680649</v>
      </c>
      <c r="P28" s="342">
        <v>-2426.9879763368331</v>
      </c>
    </row>
    <row r="29" spans="3:18" x14ac:dyDescent="0.25">
      <c r="C29" s="86"/>
      <c r="F29" s="99" t="s">
        <v>1049</v>
      </c>
      <c r="G29" s="92" t="s">
        <v>107</v>
      </c>
      <c r="H29" s="92" t="s">
        <v>318</v>
      </c>
      <c r="I29" s="92"/>
      <c r="J29" s="465" t="str">
        <v/>
      </c>
      <c r="K29" s="291"/>
      <c r="L29" s="342"/>
      <c r="M29" s="342"/>
      <c r="N29" s="342"/>
      <c r="O29" s="342"/>
      <c r="P29" s="342"/>
    </row>
    <row r="30" spans="3:18" x14ac:dyDescent="0.25">
      <c r="C30" s="86"/>
      <c r="F30" s="99" t="s">
        <v>1050</v>
      </c>
      <c r="G30" s="92" t="s">
        <v>107</v>
      </c>
      <c r="H30" s="92" t="s">
        <v>318</v>
      </c>
      <c r="I30" s="92"/>
      <c r="J30" s="465">
        <v>-4288.8327207787979</v>
      </c>
      <c r="K30" s="291"/>
      <c r="L30" s="342">
        <v>-4288.8327207787979</v>
      </c>
      <c r="M30" s="342">
        <v>-4432.7288223803253</v>
      </c>
      <c r="N30" s="342">
        <v>-4549.6067419375031</v>
      </c>
      <c r="O30" s="342">
        <v>-4629.3191477691562</v>
      </c>
      <c r="P30" s="342">
        <v>-4726.6625555025721</v>
      </c>
    </row>
    <row r="31" spans="3:18" x14ac:dyDescent="0.25">
      <c r="C31" s="86"/>
      <c r="F31" s="99" t="s">
        <v>1051</v>
      </c>
      <c r="G31" s="92" t="s">
        <v>107</v>
      </c>
      <c r="H31" s="92" t="s">
        <v>318</v>
      </c>
      <c r="I31" s="92"/>
      <c r="J31" s="465" t="str">
        <v/>
      </c>
      <c r="K31" s="291"/>
      <c r="L31" s="342"/>
      <c r="M31" s="342"/>
      <c r="N31" s="342"/>
      <c r="O31" s="342"/>
      <c r="P31" s="342"/>
    </row>
    <row r="32" spans="3:18" x14ac:dyDescent="0.25">
      <c r="C32" s="86"/>
      <c r="F32" s="99" t="s">
        <v>1052</v>
      </c>
      <c r="G32" s="92" t="s">
        <v>107</v>
      </c>
      <c r="H32" s="92" t="s">
        <v>318</v>
      </c>
      <c r="I32" s="92"/>
      <c r="J32" s="465">
        <v>-24583.397880757071</v>
      </c>
      <c r="K32" s="291"/>
      <c r="L32" s="342">
        <v>-24583.397880757071</v>
      </c>
      <c r="M32" s="342">
        <v>-25420.719440631048</v>
      </c>
      <c r="N32" s="342">
        <v>-26104.409644408977</v>
      </c>
      <c r="O32" s="342">
        <v>-26551.243889771034</v>
      </c>
      <c r="P32" s="342">
        <v>-27120.579674441549</v>
      </c>
    </row>
    <row r="33" spans="3:18" x14ac:dyDescent="0.25">
      <c r="C33" s="86"/>
      <c r="F33" s="100" t="s">
        <v>1053</v>
      </c>
      <c r="G33" s="93" t="s">
        <v>107</v>
      </c>
      <c r="H33" s="93" t="s">
        <v>318</v>
      </c>
      <c r="I33" s="93"/>
      <c r="J33" s="292" t="str">
        <v/>
      </c>
      <c r="K33" s="293"/>
      <c r="L33" s="343"/>
      <c r="M33" s="343"/>
      <c r="N33" s="343"/>
      <c r="O33" s="343"/>
      <c r="P33" s="343"/>
    </row>
    <row r="34" spans="3:18" x14ac:dyDescent="0.25">
      <c r="D34" s="85"/>
      <c r="E34" s="85"/>
      <c r="J34" s="294"/>
      <c r="K34" s="294"/>
      <c r="L34" s="344"/>
      <c r="M34" s="344"/>
      <c r="N34" s="344"/>
      <c r="O34" s="344"/>
      <c r="P34" s="344"/>
    </row>
    <row r="35" spans="3:18" x14ac:dyDescent="0.25">
      <c r="E35" s="96" t="s">
        <v>586</v>
      </c>
      <c r="F35" s="96"/>
      <c r="I35" s="85" t="s">
        <v>431</v>
      </c>
      <c r="J35" s="294"/>
      <c r="K35" s="294"/>
      <c r="L35" s="344"/>
      <c r="M35" s="344"/>
      <c r="N35" s="344"/>
      <c r="O35" s="344"/>
      <c r="P35" s="344"/>
      <c r="R35" s="295" t="s">
        <v>865</v>
      </c>
    </row>
    <row r="36" spans="3:18" x14ac:dyDescent="0.25">
      <c r="C36" s="86"/>
      <c r="F36" s="103" t="s">
        <v>1038</v>
      </c>
      <c r="G36" s="91" t="s">
        <v>107</v>
      </c>
      <c r="H36" s="91" t="s">
        <v>146</v>
      </c>
      <c r="I36" s="91"/>
      <c r="J36" s="289">
        <f t="array" ref="J36:J51">TRANSPOSE('Net revenue summary'!J129:Y129)</f>
        <v>64.158044758823848</v>
      </c>
      <c r="K36" s="290"/>
      <c r="L36" s="341">
        <v>64.158044758823848</v>
      </c>
      <c r="M36" s="341">
        <v>67.370511328376296</v>
      </c>
      <c r="N36" s="341">
        <v>69.015455282923241</v>
      </c>
      <c r="O36" s="341">
        <v>70.473385501941465</v>
      </c>
      <c r="P36" s="341">
        <v>69.497786188740164</v>
      </c>
    </row>
    <row r="37" spans="3:18" x14ac:dyDescent="0.25">
      <c r="C37" s="86"/>
      <c r="F37" s="99" t="s">
        <v>1039</v>
      </c>
      <c r="G37" s="92" t="s">
        <v>107</v>
      </c>
      <c r="H37" s="92" t="s">
        <v>146</v>
      </c>
      <c r="I37" s="92"/>
      <c r="J37" s="465" t="str">
        <v/>
      </c>
      <c r="K37" s="291"/>
      <c r="L37" s="342"/>
      <c r="M37" s="342"/>
      <c r="N37" s="342"/>
      <c r="O37" s="342"/>
      <c r="P37" s="342"/>
    </row>
    <row r="38" spans="3:18" x14ac:dyDescent="0.25">
      <c r="C38" s="86"/>
      <c r="F38" s="99" t="s">
        <v>1040</v>
      </c>
      <c r="G38" s="92" t="s">
        <v>107</v>
      </c>
      <c r="H38" s="92" t="s">
        <v>146</v>
      </c>
      <c r="I38" s="92"/>
      <c r="J38" s="465">
        <v>197.05240326074568</v>
      </c>
      <c r="K38" s="291"/>
      <c r="L38" s="342">
        <v>197.05240326074568</v>
      </c>
      <c r="M38" s="342">
        <v>209.51899815505027</v>
      </c>
      <c r="N38" s="342">
        <v>214.98140309286168</v>
      </c>
      <c r="O38" s="342">
        <v>219.86238278381796</v>
      </c>
      <c r="P38" s="342">
        <v>216.54665147562767</v>
      </c>
    </row>
    <row r="39" spans="3:18" x14ac:dyDescent="0.25">
      <c r="C39" s="86"/>
      <c r="F39" s="99" t="s">
        <v>1041</v>
      </c>
      <c r="G39" s="92" t="s">
        <v>107</v>
      </c>
      <c r="H39" s="92" t="s">
        <v>146</v>
      </c>
      <c r="I39" s="92"/>
      <c r="J39" s="465" t="str">
        <v/>
      </c>
      <c r="K39" s="291"/>
      <c r="L39" s="342"/>
      <c r="M39" s="342"/>
      <c r="N39" s="342"/>
      <c r="O39" s="342"/>
      <c r="P39" s="342"/>
    </row>
    <row r="40" spans="3:18" x14ac:dyDescent="0.25">
      <c r="C40" s="86"/>
      <c r="F40" s="99" t="s">
        <v>1042</v>
      </c>
      <c r="G40" s="92" t="s">
        <v>107</v>
      </c>
      <c r="H40" s="92" t="s">
        <v>146</v>
      </c>
      <c r="I40" s="92"/>
      <c r="J40" s="465">
        <v>4606.6470307456211</v>
      </c>
      <c r="K40" s="291"/>
      <c r="L40" s="342">
        <v>4606.6470307456211</v>
      </c>
      <c r="M40" s="342">
        <v>4917.0395420508157</v>
      </c>
      <c r="N40" s="342">
        <v>5052.4959200635749</v>
      </c>
      <c r="O40" s="342">
        <v>5168.3508652760083</v>
      </c>
      <c r="P40" s="342">
        <v>5096.8645954022013</v>
      </c>
    </row>
    <row r="41" spans="3:18" x14ac:dyDescent="0.25">
      <c r="C41" s="86"/>
      <c r="F41" s="99" t="s">
        <v>1043</v>
      </c>
      <c r="G41" s="92" t="s">
        <v>107</v>
      </c>
      <c r="H41" s="92" t="s">
        <v>146</v>
      </c>
      <c r="I41" s="92"/>
      <c r="J41" s="280" t="str">
        <v/>
      </c>
      <c r="K41" s="291"/>
      <c r="L41" s="345"/>
      <c r="M41" s="345"/>
      <c r="N41" s="345"/>
      <c r="O41" s="345"/>
      <c r="P41" s="345"/>
    </row>
    <row r="42" spans="3:18" x14ac:dyDescent="0.25">
      <c r="C42" s="86"/>
      <c r="F42" s="99" t="s">
        <v>1044</v>
      </c>
      <c r="G42" s="92" t="s">
        <v>107</v>
      </c>
      <c r="H42" s="92" t="s">
        <v>146</v>
      </c>
      <c r="I42" s="92"/>
      <c r="J42" s="280" t="str">
        <v/>
      </c>
      <c r="K42" s="291"/>
      <c r="L42" s="345"/>
      <c r="M42" s="345"/>
      <c r="N42" s="345"/>
      <c r="O42" s="345"/>
      <c r="P42" s="345"/>
    </row>
    <row r="43" spans="3:18" x14ac:dyDescent="0.25">
      <c r="C43" s="86"/>
      <c r="F43" s="99" t="s">
        <v>1045</v>
      </c>
      <c r="G43" s="92" t="s">
        <v>107</v>
      </c>
      <c r="H43" s="92" t="s">
        <v>146</v>
      </c>
      <c r="I43" s="92"/>
      <c r="J43" s="465">
        <v>240.93490302583845</v>
      </c>
      <c r="K43" s="291"/>
      <c r="L43" s="342">
        <v>240.93490302583845</v>
      </c>
      <c r="M43" s="342">
        <v>256.82702050215079</v>
      </c>
      <c r="N43" s="342">
        <v>264.42512109312503</v>
      </c>
      <c r="O43" s="342">
        <v>269.07208478579878</v>
      </c>
      <c r="P43" s="342">
        <v>264.31808585145495</v>
      </c>
    </row>
    <row r="44" spans="3:18" x14ac:dyDescent="0.25">
      <c r="C44" s="86"/>
      <c r="F44" s="99" t="s">
        <v>1046</v>
      </c>
      <c r="G44" s="92" t="s">
        <v>107</v>
      </c>
      <c r="H44" s="92" t="s">
        <v>146</v>
      </c>
      <c r="I44" s="92"/>
      <c r="J44" s="465" t="str">
        <v/>
      </c>
      <c r="K44" s="291"/>
      <c r="L44" s="342"/>
      <c r="M44" s="342"/>
      <c r="N44" s="342"/>
      <c r="O44" s="342"/>
      <c r="P44" s="342"/>
    </row>
    <row r="45" spans="3:18" x14ac:dyDescent="0.25">
      <c r="C45" s="86"/>
      <c r="F45" s="99" t="s">
        <v>1047</v>
      </c>
      <c r="G45" s="92" t="s">
        <v>107</v>
      </c>
      <c r="H45" s="92" t="s">
        <v>146</v>
      </c>
      <c r="I45" s="92"/>
      <c r="J45" s="280" t="str">
        <v/>
      </c>
      <c r="K45" s="291"/>
      <c r="L45" s="345"/>
      <c r="M45" s="345"/>
      <c r="N45" s="345"/>
      <c r="O45" s="345"/>
      <c r="P45" s="345"/>
    </row>
    <row r="46" spans="3:18" x14ac:dyDescent="0.25">
      <c r="C46" s="86"/>
      <c r="F46" s="99" t="s">
        <v>1048</v>
      </c>
      <c r="G46" s="92" t="s">
        <v>107</v>
      </c>
      <c r="H46" s="92" t="s">
        <v>146</v>
      </c>
      <c r="I46" s="92"/>
      <c r="J46" s="465" t="str">
        <v/>
      </c>
      <c r="K46" s="291"/>
      <c r="L46" s="342"/>
      <c r="M46" s="342"/>
      <c r="N46" s="342"/>
      <c r="O46" s="342"/>
      <c r="P46" s="342"/>
    </row>
    <row r="47" spans="3:18" x14ac:dyDescent="0.25">
      <c r="C47" s="86"/>
      <c r="F47" s="99" t="s">
        <v>1049</v>
      </c>
      <c r="G47" s="92" t="s">
        <v>107</v>
      </c>
      <c r="H47" s="92" t="s">
        <v>146</v>
      </c>
      <c r="I47" s="92"/>
      <c r="J47" s="280" t="str">
        <v/>
      </c>
      <c r="K47" s="291"/>
      <c r="L47" s="345"/>
      <c r="M47" s="345"/>
      <c r="N47" s="345"/>
      <c r="O47" s="345"/>
      <c r="P47" s="345"/>
    </row>
    <row r="48" spans="3:18" x14ac:dyDescent="0.25">
      <c r="C48" s="86"/>
      <c r="F48" s="99" t="s">
        <v>1050</v>
      </c>
      <c r="G48" s="92" t="s">
        <v>107</v>
      </c>
      <c r="H48" s="92" t="s">
        <v>146</v>
      </c>
      <c r="I48" s="92"/>
      <c r="J48" s="280" t="str">
        <v/>
      </c>
      <c r="K48" s="291"/>
      <c r="L48" s="345"/>
      <c r="M48" s="345"/>
      <c r="N48" s="345"/>
      <c r="O48" s="345"/>
      <c r="P48" s="345"/>
    </row>
    <row r="49" spans="3:18" x14ac:dyDescent="0.25">
      <c r="C49" s="86"/>
      <c r="F49" s="99" t="s">
        <v>1051</v>
      </c>
      <c r="G49" s="92" t="s">
        <v>107</v>
      </c>
      <c r="H49" s="92" t="s">
        <v>146</v>
      </c>
      <c r="I49" s="92"/>
      <c r="J49" s="280" t="str">
        <v/>
      </c>
      <c r="K49" s="291"/>
      <c r="L49" s="345"/>
      <c r="M49" s="345"/>
      <c r="N49" s="345"/>
      <c r="O49" s="345"/>
      <c r="P49" s="345"/>
    </row>
    <row r="50" spans="3:18" x14ac:dyDescent="0.25">
      <c r="C50" s="86"/>
      <c r="F50" s="99" t="s">
        <v>1052</v>
      </c>
      <c r="G50" s="92" t="s">
        <v>107</v>
      </c>
      <c r="H50" s="92" t="s">
        <v>146</v>
      </c>
      <c r="I50" s="92"/>
      <c r="J50" s="280" t="str">
        <v/>
      </c>
      <c r="K50" s="291"/>
      <c r="L50" s="345"/>
      <c r="M50" s="345"/>
      <c r="N50" s="345"/>
      <c r="O50" s="345"/>
      <c r="P50" s="345"/>
    </row>
    <row r="51" spans="3:18" x14ac:dyDescent="0.25">
      <c r="C51" s="86"/>
      <c r="F51" s="100" t="s">
        <v>1053</v>
      </c>
      <c r="G51" s="93" t="s">
        <v>107</v>
      </c>
      <c r="H51" s="93" t="s">
        <v>146</v>
      </c>
      <c r="I51" s="93"/>
      <c r="J51" s="241" t="str">
        <v/>
      </c>
      <c r="K51" s="293"/>
      <c r="L51" s="346"/>
      <c r="M51" s="346"/>
      <c r="N51" s="346"/>
      <c r="O51" s="346"/>
      <c r="P51" s="346"/>
    </row>
    <row r="52" spans="3:18" x14ac:dyDescent="0.25">
      <c r="E52" s="85"/>
      <c r="H52" s="195"/>
      <c r="J52" s="294"/>
      <c r="K52" s="294"/>
      <c r="L52" s="344"/>
      <c r="M52" s="344"/>
      <c r="N52" s="344"/>
      <c r="O52" s="344"/>
      <c r="P52" s="344"/>
    </row>
    <row r="53" spans="3:18" x14ac:dyDescent="0.25">
      <c r="E53" s="96" t="s">
        <v>587</v>
      </c>
      <c r="F53" s="96"/>
      <c r="I53" s="85" t="s">
        <v>431</v>
      </c>
      <c r="J53" s="294"/>
      <c r="K53" s="294"/>
      <c r="L53" s="344"/>
      <c r="M53" s="344"/>
      <c r="N53" s="344"/>
      <c r="O53" s="344"/>
      <c r="P53" s="344"/>
      <c r="R53" s="295" t="s">
        <v>865</v>
      </c>
    </row>
    <row r="54" spans="3:18" x14ac:dyDescent="0.25">
      <c r="C54" s="86"/>
      <c r="F54" s="103" t="s">
        <v>1038</v>
      </c>
      <c r="G54" s="91" t="s">
        <v>107</v>
      </c>
      <c r="H54" s="91" t="s">
        <v>147</v>
      </c>
      <c r="I54" s="91"/>
      <c r="J54" s="289">
        <f t="array" ref="J54:J69">TRANSPOSE('Net revenue summary'!J130:Y130)</f>
        <v>47.746581359955741</v>
      </c>
      <c r="K54" s="290"/>
      <c r="L54" s="341">
        <v>47.746581359955741</v>
      </c>
      <c r="M54" s="341">
        <v>49.889627196097102</v>
      </c>
      <c r="N54" s="341">
        <v>51.075725345389365</v>
      </c>
      <c r="O54" s="341">
        <v>52.198992930059404</v>
      </c>
      <c r="P54" s="341">
        <v>51.473899884915468</v>
      </c>
    </row>
    <row r="55" spans="3:18" x14ac:dyDescent="0.25">
      <c r="C55" s="86"/>
      <c r="F55" s="99" t="s">
        <v>1039</v>
      </c>
      <c r="G55" s="92" t="s">
        <v>107</v>
      </c>
      <c r="H55" s="92" t="s">
        <v>147</v>
      </c>
      <c r="I55" s="92"/>
      <c r="J55" s="465" t="str">
        <v/>
      </c>
      <c r="K55" s="291"/>
      <c r="L55" s="342"/>
      <c r="M55" s="342"/>
      <c r="N55" s="342"/>
      <c r="O55" s="342"/>
      <c r="P55" s="342"/>
    </row>
    <row r="56" spans="3:18" x14ac:dyDescent="0.25">
      <c r="C56" s="86"/>
      <c r="F56" s="99" t="s">
        <v>1040</v>
      </c>
      <c r="G56" s="92" t="s">
        <v>107</v>
      </c>
      <c r="H56" s="92" t="s">
        <v>147</v>
      </c>
      <c r="I56" s="92"/>
      <c r="J56" s="465">
        <v>254.39809745334276</v>
      </c>
      <c r="K56" s="291"/>
      <c r="L56" s="342">
        <v>254.39809745334276</v>
      </c>
      <c r="M56" s="342">
        <v>271.06485923766911</v>
      </c>
      <c r="N56" s="342">
        <v>278.16063522839562</v>
      </c>
      <c r="O56" s="342">
        <v>284.65199314203915</v>
      </c>
      <c r="P56" s="342">
        <v>280.29021158821979</v>
      </c>
    </row>
    <row r="57" spans="3:18" x14ac:dyDescent="0.25">
      <c r="C57" s="86"/>
      <c r="F57" s="99" t="s">
        <v>1041</v>
      </c>
      <c r="G57" s="92" t="s">
        <v>107</v>
      </c>
      <c r="H57" s="92" t="s">
        <v>147</v>
      </c>
      <c r="I57" s="92"/>
      <c r="J57" s="465" t="str">
        <v/>
      </c>
      <c r="K57" s="291"/>
      <c r="L57" s="342"/>
      <c r="M57" s="342"/>
      <c r="N57" s="342"/>
      <c r="O57" s="342"/>
      <c r="P57" s="342"/>
    </row>
    <row r="58" spans="3:18" x14ac:dyDescent="0.25">
      <c r="C58" s="86"/>
      <c r="F58" s="99" t="s">
        <v>1042</v>
      </c>
      <c r="G58" s="92" t="s">
        <v>107</v>
      </c>
      <c r="H58" s="92" t="s">
        <v>147</v>
      </c>
      <c r="I58" s="92"/>
      <c r="J58" s="465">
        <v>5439.2867063425219</v>
      </c>
      <c r="K58" s="291"/>
      <c r="L58" s="342">
        <v>5439.2867063425219</v>
      </c>
      <c r="M58" s="342">
        <v>5809.7513109611946</v>
      </c>
      <c r="N58" s="342">
        <v>5961.2671668938883</v>
      </c>
      <c r="O58" s="342">
        <v>6100.7263921216154</v>
      </c>
      <c r="P58" s="342">
        <v>6023.5393372109429</v>
      </c>
    </row>
    <row r="59" spans="3:18" x14ac:dyDescent="0.25">
      <c r="C59" s="86"/>
      <c r="F59" s="99" t="s">
        <v>1043</v>
      </c>
      <c r="G59" s="92" t="s">
        <v>107</v>
      </c>
      <c r="H59" s="92" t="s">
        <v>147</v>
      </c>
      <c r="I59" s="92"/>
      <c r="J59" s="465">
        <v>17594.84852896064</v>
      </c>
      <c r="K59" s="291"/>
      <c r="L59" s="342">
        <v>17594.84852896064</v>
      </c>
      <c r="M59" s="342">
        <v>18724.029923824284</v>
      </c>
      <c r="N59" s="342">
        <v>19230.966969582896</v>
      </c>
      <c r="O59" s="342">
        <v>19659.574820581027</v>
      </c>
      <c r="P59" s="342">
        <v>19486.672779971992</v>
      </c>
    </row>
    <row r="60" spans="3:18" x14ac:dyDescent="0.25">
      <c r="C60" s="86"/>
      <c r="F60" s="99" t="s">
        <v>1044</v>
      </c>
      <c r="G60" s="92" t="s">
        <v>107</v>
      </c>
      <c r="H60" s="92" t="s">
        <v>147</v>
      </c>
      <c r="I60" s="92"/>
      <c r="J60" s="465">
        <v>29246.282895000902</v>
      </c>
      <c r="K60" s="291"/>
      <c r="L60" s="342">
        <v>29246.282895000902</v>
      </c>
      <c r="M60" s="342">
        <v>31455.432151788173</v>
      </c>
      <c r="N60" s="342">
        <v>32381.213286334725</v>
      </c>
      <c r="O60" s="342">
        <v>33078.067031097919</v>
      </c>
      <c r="P60" s="342">
        <v>32422.192596132685</v>
      </c>
    </row>
    <row r="61" spans="3:18" x14ac:dyDescent="0.25">
      <c r="C61" s="86"/>
      <c r="F61" s="99" t="s">
        <v>1045</v>
      </c>
      <c r="G61" s="92" t="s">
        <v>107</v>
      </c>
      <c r="H61" s="92" t="s">
        <v>147</v>
      </c>
      <c r="I61" s="92"/>
      <c r="J61" s="465">
        <v>63.173307370290516</v>
      </c>
      <c r="K61" s="291"/>
      <c r="L61" s="342">
        <v>63.173307370290516</v>
      </c>
      <c r="M61" s="342">
        <v>67.656941393348504</v>
      </c>
      <c r="N61" s="342">
        <v>69.717047776828153</v>
      </c>
      <c r="O61" s="342">
        <v>70.911680551698041</v>
      </c>
      <c r="P61" s="342">
        <v>69.23724342026361</v>
      </c>
    </row>
    <row r="62" spans="3:18" x14ac:dyDescent="0.25">
      <c r="C62" s="86"/>
      <c r="F62" s="99" t="s">
        <v>1046</v>
      </c>
      <c r="G62" s="92" t="s">
        <v>107</v>
      </c>
      <c r="H62" s="92" t="s">
        <v>147</v>
      </c>
      <c r="I62" s="92"/>
      <c r="J62" s="465" t="str">
        <v/>
      </c>
      <c r="K62" s="291"/>
      <c r="L62" s="342"/>
      <c r="M62" s="342"/>
      <c r="N62" s="342"/>
      <c r="O62" s="342"/>
      <c r="P62" s="342"/>
    </row>
    <row r="63" spans="3:18" x14ac:dyDescent="0.25">
      <c r="C63" s="86"/>
      <c r="F63" s="99" t="s">
        <v>1047</v>
      </c>
      <c r="G63" s="92" t="s">
        <v>107</v>
      </c>
      <c r="H63" s="92" t="s">
        <v>147</v>
      </c>
      <c r="I63" s="92"/>
      <c r="J63" s="465" t="str">
        <v/>
      </c>
      <c r="K63" s="291"/>
      <c r="L63" s="342"/>
      <c r="M63" s="342"/>
      <c r="N63" s="342"/>
      <c r="O63" s="342"/>
      <c r="P63" s="342"/>
    </row>
    <row r="64" spans="3:18" x14ac:dyDescent="0.25">
      <c r="C64" s="86"/>
      <c r="F64" s="99" t="s">
        <v>1048</v>
      </c>
      <c r="G64" s="92" t="s">
        <v>107</v>
      </c>
      <c r="H64" s="92" t="s">
        <v>147</v>
      </c>
      <c r="I64" s="92"/>
      <c r="J64" s="465" t="str">
        <v/>
      </c>
      <c r="K64" s="291"/>
      <c r="L64" s="342"/>
      <c r="M64" s="342"/>
      <c r="N64" s="342"/>
      <c r="O64" s="342"/>
      <c r="P64" s="342"/>
    </row>
    <row r="65" spans="2:18" x14ac:dyDescent="0.25">
      <c r="C65" s="86"/>
      <c r="F65" s="99" t="s">
        <v>1049</v>
      </c>
      <c r="G65" s="92" t="s">
        <v>107</v>
      </c>
      <c r="H65" s="92" t="s">
        <v>147</v>
      </c>
      <c r="I65" s="92"/>
      <c r="J65" s="280" t="str">
        <v/>
      </c>
      <c r="K65" s="291"/>
      <c r="L65" s="345"/>
      <c r="M65" s="345"/>
      <c r="N65" s="345"/>
      <c r="O65" s="345"/>
      <c r="P65" s="345"/>
    </row>
    <row r="66" spans="2:18" x14ac:dyDescent="0.25">
      <c r="C66" s="86"/>
      <c r="F66" s="99" t="s">
        <v>1050</v>
      </c>
      <c r="G66" s="92" t="s">
        <v>107</v>
      </c>
      <c r="H66" s="92" t="s">
        <v>147</v>
      </c>
      <c r="I66" s="92"/>
      <c r="J66" s="465" t="str">
        <v/>
      </c>
      <c r="K66" s="291"/>
      <c r="L66" s="342"/>
      <c r="M66" s="342"/>
      <c r="N66" s="342"/>
      <c r="O66" s="342"/>
      <c r="P66" s="342"/>
    </row>
    <row r="67" spans="2:18" x14ac:dyDescent="0.25">
      <c r="C67" s="86"/>
      <c r="F67" s="99" t="s">
        <v>1051</v>
      </c>
      <c r="G67" s="92" t="s">
        <v>107</v>
      </c>
      <c r="H67" s="92" t="s">
        <v>147</v>
      </c>
      <c r="I67" s="92"/>
      <c r="J67" s="280" t="str">
        <v/>
      </c>
      <c r="K67" s="291"/>
      <c r="L67" s="345"/>
      <c r="M67" s="345"/>
      <c r="N67" s="345"/>
      <c r="O67" s="345"/>
      <c r="P67" s="345"/>
    </row>
    <row r="68" spans="2:18" x14ac:dyDescent="0.25">
      <c r="C68" s="86"/>
      <c r="F68" s="99" t="s">
        <v>1052</v>
      </c>
      <c r="G68" s="92" t="s">
        <v>107</v>
      </c>
      <c r="H68" s="92" t="s">
        <v>147</v>
      </c>
      <c r="I68" s="92"/>
      <c r="J68" s="465" t="str">
        <v/>
      </c>
      <c r="K68" s="291"/>
      <c r="L68" s="342"/>
      <c r="M68" s="342"/>
      <c r="N68" s="342"/>
      <c r="O68" s="342"/>
      <c r="P68" s="342"/>
    </row>
    <row r="69" spans="2:18" x14ac:dyDescent="0.25">
      <c r="C69" s="86"/>
      <c r="F69" s="100" t="s">
        <v>1053</v>
      </c>
      <c r="G69" s="93" t="s">
        <v>107</v>
      </c>
      <c r="H69" s="93" t="s">
        <v>147</v>
      </c>
      <c r="I69" s="93"/>
      <c r="J69" s="241" t="str">
        <v/>
      </c>
      <c r="K69" s="293"/>
      <c r="L69" s="346"/>
      <c r="M69" s="346"/>
      <c r="N69" s="346"/>
      <c r="O69" s="346"/>
      <c r="P69" s="346"/>
    </row>
    <row r="70" spans="2:18" x14ac:dyDescent="0.25">
      <c r="D70" s="85"/>
      <c r="E70" s="85"/>
    </row>
    <row r="71" spans="2:18" x14ac:dyDescent="0.25">
      <c r="B71" s="95" t="s">
        <v>109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71"/>
      <c r="O71" s="71"/>
      <c r="P71" s="71"/>
      <c r="Q71" s="71"/>
      <c r="R71" s="71"/>
    </row>
    <row r="73" spans="2:18" x14ac:dyDescent="0.25">
      <c r="D73" s="85"/>
      <c r="E73" s="85" t="s">
        <v>516</v>
      </c>
      <c r="G73" s="60" t="s">
        <v>692</v>
      </c>
      <c r="H73" s="212">
        <f t="array" ref="H73">SUM(IF(ISERROR($I$17:$Q$70), 1))</f>
        <v>0</v>
      </c>
    </row>
    <row r="75" spans="2:18" x14ac:dyDescent="0.25">
      <c r="B75" s="95" t="s">
        <v>110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71"/>
      <c r="O75" s="71"/>
      <c r="P75" s="71"/>
      <c r="Q75" s="71"/>
      <c r="R75" s="71"/>
    </row>
  </sheetData>
  <sheetProtection sheet="1" objects="1" formatCells="0" formatColumns="0" formatRows="0" sort="0" autoFilter="0"/>
  <conditionalFormatting sqref="H73">
    <cfRule type="cellIs" dxfId="1" priority="2" operator="greaterThan">
      <formula>0</formula>
    </cfRule>
  </conditionalFormatting>
  <conditionalFormatting sqref="A4:XFD4">
    <cfRule type="expression" dxfId="0" priority="1">
      <formula>LEFT($A$4,1) &lt;&gt; "0"</formula>
    </cfRule>
  </conditionalFormatting>
  <hyperlinks>
    <hyperlink ref="B5:F5" location="'Model map'!A1" display="Click here to return to model map" xr:uid="{00000000-0004-0000-24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D33ECD-38AF-4436-90E5-FA3F4A75B1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433340-7BEC-4F3D-99D4-81DABA0ADC90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6525fcc-fd9b-4a18-b571-66fa38027e5b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Reactive power charges</vt:lpstr>
      <vt:lpstr>Capacity charges</vt:lpstr>
      <vt:lpstr>Fixed charges</vt:lpstr>
      <vt:lpstr>Revenue matching</vt:lpstr>
      <vt:lpstr>Fixed charge adder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McFadzean</dc:creator>
  <cp:lastModifiedBy>Iberdrola S.A.</cp:lastModifiedBy>
  <cp:revision/>
  <cp:lastPrinted>2018-05-04T14:21:24Z</cp:lastPrinted>
  <dcterms:created xsi:type="dcterms:W3CDTF">2017-07-12T09:37:31Z</dcterms:created>
  <dcterms:modified xsi:type="dcterms:W3CDTF">2019-12-18T16:10:00Z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_AdHocReviewCycleID">
    <vt:i4>-1487085450</vt:i4>
  </property>
  <property fmtid="{D5CDD505-2E9C-101B-9397-08002B2CF9AE}" pid="4" name="_NewReviewCycle">
    <vt:lpwstr/>
  </property>
  <property fmtid="{D5CDD505-2E9C-101B-9397-08002B2CF9AE}" pid="5" name="_EmailSubject">
    <vt:lpwstr>Web Development Task Submitted</vt:lpwstr>
  </property>
  <property fmtid="{D5CDD505-2E9C-101B-9397-08002B2CF9AE}" pid="6" name="_AuthorEmail">
    <vt:lpwstr>James.Rawson@ScottishPower.com</vt:lpwstr>
  </property>
  <property fmtid="{D5CDD505-2E9C-101B-9397-08002B2CF9AE}" pid="7" name="_AuthorEmailDisplayName">
    <vt:lpwstr>Rawson, James</vt:lpwstr>
  </property>
  <property fmtid="{D5CDD505-2E9C-101B-9397-08002B2CF9AE}" pid="8" name="_PreviousAdHocReviewCycleID">
    <vt:i4>-810127602</vt:i4>
  </property>
</Properties>
</file>