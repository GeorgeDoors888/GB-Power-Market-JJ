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Pricing\DUoS\April 2021\Published\"/>
    </mc:Choice>
  </mc:AlternateContent>
  <xr:revisionPtr revIDLastSave="0" documentId="10_ncr:100000_{923B7392-6CF1-4F0D-99CC-2A481F0ECDE2}" xr6:coauthVersionLast="31" xr6:coauthVersionMax="31" xr10:uidLastSave="{00000000-0000-0000-0000-000000000000}"/>
  <workbookProtection lockStructure="1"/>
  <bookViews>
    <workbookView xWindow="-105" yWindow="-105" windowWidth="19425" windowHeight="10425" tabRatio="933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12" r:id="rId14"/>
    <sheet name="Inputs by customer type" sheetId="134" r:id="rId15"/>
    <sheet name="Inputs by network level" sheetId="135" r:id="rId16"/>
    <sheet name="General inputs" sheetId="136" r:id="rId17"/>
    <sheet name="Standing charge factors" sheetId="137" r:id="rId18"/>
    <sheet name="Load &amp; loss characteristics" sheetId="138" r:id="rId19"/>
    <sheet name="Customer contributions" sheetId="139" r:id="rId20"/>
    <sheet name="Volume adjustments" sheetId="140" r:id="rId21"/>
    <sheet name="Pseudo-load coefficients" sheetId="141" r:id="rId22"/>
    <sheet name="System peak demand" sheetId="142" r:id="rId23"/>
    <sheet name="Service model assets" sheetId="143" r:id="rId24"/>
    <sheet name="Unit costs" sheetId="144" r:id="rId25"/>
    <sheet name="Initial unit rates" sheetId="145" r:id="rId26"/>
    <sheet name="Service model charges" sheetId="146" r:id="rId27"/>
    <sheet name="Unit rate charges" sheetId="147" r:id="rId28"/>
    <sheet name="Reactive power charges" sheetId="148" r:id="rId29"/>
    <sheet name="Capacity charges" sheetId="149" r:id="rId30"/>
    <sheet name="Fixed charges" sheetId="150" r:id="rId31"/>
    <sheet name="Revenue matching" sheetId="151" r:id="rId32"/>
    <sheet name="Fixed charge adder" sheetId="152" r:id="rId33"/>
    <sheet name="Rounding" sheetId="153" r:id="rId34"/>
    <sheet name="Net revenue summary" sheetId="154" r:id="rId35"/>
    <sheet name="Tariff summary" sheetId="106" r:id="rId36"/>
    <sheet name="Typical bills" sheetId="107" r:id="rId37"/>
  </sheets>
  <externalReferences>
    <externalReference r:id="rId38"/>
  </externalReferences>
  <definedNames>
    <definedName name="_xlnm._FilterDatabase" localSheetId="10" hidden="1">'ARP_Inputs by customer type'!$A$5:$JL$532</definedName>
    <definedName name="_xlnm._FilterDatabase" localSheetId="35" hidden="1">'Tariff summary'!$B$5:$R$349</definedName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inputs'!$H$153</definedName>
    <definedName name="days_in_year" comment="Days in the charging year">'General inputs'!$H$95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inputs'!$H$96</definedName>
    <definedName name="HTML_CodePage" hidden="1">1252</definedName>
    <definedName name="HTML_Control" localSheetId="9" hidden="1">{"'Sheet1'!$A$1:$G$85"}</definedName>
    <definedName name="HTML_Control" localSheetId="29" hidden="1">{"'Sheet1'!$A$1:$G$85"}</definedName>
    <definedName name="HTML_Control" localSheetId="0" hidden="1">{"'Sheet1'!$A$1:$G$85"}</definedName>
    <definedName name="HTML_Control" localSheetId="32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8" hidden="1">{"'Sheet1'!$A$1:$G$85"}</definedName>
    <definedName name="HTML_Control" localSheetId="31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bills'!$J$18:$J$69</definedName>
    <definedName name="live_results_tariffs" comment="Tariffs for selected charging year">'Tariff summary'!$J$18:$P$69</definedName>
    <definedName name="PowerFactor" comment="Power factor, equal to 0.95">'Fixed inputs'!$H$37</definedName>
    <definedName name="results_4_bills" comment="Typical bills for current charging year">'Typical bills'!$L$18:$L$69</definedName>
    <definedName name="results_4_tariffs" comment="Tariffs for current charging year">'Tariff summary'!$J$74:$P$125</definedName>
    <definedName name="results_5_bills" comment="Typical bills for current charging year + 1">'Typical bills'!$M$18:$M$69</definedName>
    <definedName name="results_5_tariffs" comment="Tariffs for current charging year + 1">'Tariff summary'!$J$130:$P$181</definedName>
    <definedName name="results_6_bills" comment="Typical bills for current charging year + 2">'Typical bills'!$N$18:$N$69</definedName>
    <definedName name="results_6_tariffs" comment="Tariffs for current charging year + 2">'Tariff summary'!$J$186:$P$237</definedName>
    <definedName name="results_7_bills" comment="Typical bills for current charging year + 3">'Typical bills'!$O$18:$O$69</definedName>
    <definedName name="results_7_tariffs" comment="Tariffs for current charging year + 3">'Tariff summary'!$J$242:$P$293</definedName>
    <definedName name="results_8_bills" comment="Typical bills for current charging year + 4">'Typical bills'!$P$18:$P$69</definedName>
    <definedName name="results_8_tariffs" comment="Tariffs for current charging year + 4">'Tariff summary'!$J$298:$P$349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5" i="98" l="1"/>
  <c r="O89" i="98" l="1"/>
  <c r="P89" i="98" l="1"/>
  <c r="Q89" i="98" l="1"/>
  <c r="R89" i="98" l="1"/>
  <c r="G89" i="85" l="1"/>
  <c r="G88" i="85"/>
  <c r="G87" i="85"/>
  <c r="G86" i="85"/>
  <c r="G79" i="85"/>
  <c r="G78" i="85"/>
  <c r="G77" i="85"/>
  <c r="G76" i="85"/>
  <c r="G75" i="85"/>
  <c r="G74" i="85"/>
  <c r="G73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Y49" i="140" l="1"/>
  <c r="X49" i="140"/>
  <c r="W49" i="140"/>
  <c r="V49" i="140"/>
  <c r="U49" i="140"/>
  <c r="T49" i="140"/>
  <c r="S49" i="140"/>
  <c r="R49" i="140"/>
  <c r="Q49" i="140"/>
  <c r="P49" i="140"/>
  <c r="O49" i="140"/>
  <c r="N49" i="140"/>
  <c r="M49" i="140"/>
  <c r="L49" i="140"/>
  <c r="K49" i="140"/>
  <c r="Y48" i="140"/>
  <c r="X48" i="140"/>
  <c r="W48" i="140"/>
  <c r="V48" i="140"/>
  <c r="U48" i="140"/>
  <c r="T48" i="140"/>
  <c r="S48" i="140"/>
  <c r="R48" i="140"/>
  <c r="Q48" i="140"/>
  <c r="P48" i="140"/>
  <c r="O48" i="140"/>
  <c r="N48" i="140"/>
  <c r="M48" i="140"/>
  <c r="L48" i="140"/>
  <c r="K48" i="140"/>
  <c r="Y47" i="140"/>
  <c r="X47" i="140"/>
  <c r="W47" i="140"/>
  <c r="V47" i="140"/>
  <c r="U47" i="140"/>
  <c r="T47" i="140"/>
  <c r="S47" i="140"/>
  <c r="R47" i="140"/>
  <c r="Q47" i="140"/>
  <c r="P47" i="140"/>
  <c r="O47" i="140"/>
  <c r="N47" i="140"/>
  <c r="M47" i="140"/>
  <c r="L47" i="140"/>
  <c r="K47" i="140"/>
  <c r="Y46" i="140"/>
  <c r="X46" i="140"/>
  <c r="W46" i="140"/>
  <c r="V46" i="140"/>
  <c r="U46" i="140"/>
  <c r="T46" i="140"/>
  <c r="S46" i="140"/>
  <c r="R46" i="140"/>
  <c r="Q46" i="140"/>
  <c r="P46" i="140"/>
  <c r="O46" i="140"/>
  <c r="N46" i="140"/>
  <c r="M46" i="140"/>
  <c r="L46" i="140"/>
  <c r="K46" i="140"/>
  <c r="Y45" i="140"/>
  <c r="X45" i="140"/>
  <c r="W45" i="140"/>
  <c r="V45" i="140"/>
  <c r="U45" i="140"/>
  <c r="T45" i="140"/>
  <c r="S45" i="140"/>
  <c r="R45" i="140"/>
  <c r="Q45" i="140"/>
  <c r="P45" i="140"/>
  <c r="O45" i="140"/>
  <c r="N45" i="140"/>
  <c r="M45" i="140"/>
  <c r="L45" i="140"/>
  <c r="K45" i="140"/>
  <c r="J49" i="140"/>
  <c r="J48" i="140"/>
  <c r="J47" i="140"/>
  <c r="J46" i="140"/>
  <c r="J45" i="140"/>
  <c r="Y43" i="140"/>
  <c r="X43" i="140"/>
  <c r="W43" i="140"/>
  <c r="V43" i="140"/>
  <c r="U43" i="140"/>
  <c r="T43" i="140"/>
  <c r="S43" i="140"/>
  <c r="R43" i="140"/>
  <c r="Q43" i="140"/>
  <c r="P43" i="140"/>
  <c r="O43" i="140"/>
  <c r="N43" i="140"/>
  <c r="M43" i="140"/>
  <c r="L43" i="140"/>
  <c r="K43" i="140"/>
  <c r="Y42" i="140"/>
  <c r="X42" i="140"/>
  <c r="W42" i="140"/>
  <c r="V42" i="140"/>
  <c r="U42" i="140"/>
  <c r="T42" i="140"/>
  <c r="S42" i="140"/>
  <c r="R42" i="140"/>
  <c r="Q42" i="140"/>
  <c r="P42" i="140"/>
  <c r="O42" i="140"/>
  <c r="N42" i="140"/>
  <c r="M42" i="140"/>
  <c r="L42" i="140"/>
  <c r="K42" i="140"/>
  <c r="Y41" i="140"/>
  <c r="X41" i="140"/>
  <c r="W41" i="140"/>
  <c r="V41" i="140"/>
  <c r="U41" i="140"/>
  <c r="T41" i="140"/>
  <c r="S41" i="140"/>
  <c r="R41" i="140"/>
  <c r="Q41" i="140"/>
  <c r="P41" i="140"/>
  <c r="O41" i="140"/>
  <c r="N41" i="140"/>
  <c r="M41" i="140"/>
  <c r="L41" i="140"/>
  <c r="K41" i="140"/>
  <c r="Y40" i="140"/>
  <c r="X40" i="140"/>
  <c r="W40" i="140"/>
  <c r="V40" i="140"/>
  <c r="U40" i="140"/>
  <c r="T40" i="140"/>
  <c r="S40" i="140"/>
  <c r="R40" i="140"/>
  <c r="Q40" i="140"/>
  <c r="P40" i="140"/>
  <c r="O40" i="140"/>
  <c r="N40" i="140"/>
  <c r="M40" i="140"/>
  <c r="L40" i="140"/>
  <c r="K40" i="140"/>
  <c r="Y39" i="140"/>
  <c r="X39" i="140"/>
  <c r="W39" i="140"/>
  <c r="V39" i="140"/>
  <c r="U39" i="140"/>
  <c r="T39" i="140"/>
  <c r="S39" i="140"/>
  <c r="R39" i="140"/>
  <c r="Q39" i="140"/>
  <c r="P39" i="140"/>
  <c r="O39" i="140"/>
  <c r="N39" i="140"/>
  <c r="M39" i="140"/>
  <c r="L39" i="140"/>
  <c r="K39" i="140"/>
  <c r="J43" i="140"/>
  <c r="J42" i="140"/>
  <c r="J41" i="140"/>
  <c r="J40" i="140"/>
  <c r="J39" i="140"/>
  <c r="Y78" i="148" l="1"/>
  <c r="X78" i="148"/>
  <c r="W78" i="148"/>
  <c r="V78" i="148"/>
  <c r="U78" i="148"/>
  <c r="T78" i="148"/>
  <c r="S78" i="148"/>
  <c r="R78" i="148"/>
  <c r="Q78" i="148"/>
  <c r="P78" i="148"/>
  <c r="O78" i="148"/>
  <c r="N78" i="148"/>
  <c r="M78" i="148"/>
  <c r="L78" i="148"/>
  <c r="K78" i="148"/>
  <c r="J78" i="148"/>
  <c r="Y123" i="149"/>
  <c r="X123" i="149"/>
  <c r="W123" i="149"/>
  <c r="V123" i="149"/>
  <c r="U123" i="149"/>
  <c r="T123" i="149"/>
  <c r="S123" i="149"/>
  <c r="R123" i="149"/>
  <c r="Q123" i="149"/>
  <c r="P123" i="149"/>
  <c r="O123" i="149"/>
  <c r="N123" i="149"/>
  <c r="M123" i="149"/>
  <c r="L123" i="149"/>
  <c r="K123" i="149"/>
  <c r="Y122" i="149"/>
  <c r="X122" i="149"/>
  <c r="W122" i="149"/>
  <c r="V122" i="149"/>
  <c r="U122" i="149"/>
  <c r="T122" i="149"/>
  <c r="S122" i="149"/>
  <c r="R122" i="149"/>
  <c r="Q122" i="149"/>
  <c r="P122" i="149"/>
  <c r="O122" i="149"/>
  <c r="N122" i="149"/>
  <c r="M122" i="149"/>
  <c r="L122" i="149"/>
  <c r="K122" i="149"/>
  <c r="Y121" i="149"/>
  <c r="X121" i="149"/>
  <c r="W121" i="149"/>
  <c r="V121" i="149"/>
  <c r="U121" i="149"/>
  <c r="T121" i="149"/>
  <c r="S121" i="149"/>
  <c r="R121" i="149"/>
  <c r="Q121" i="149"/>
  <c r="P121" i="149"/>
  <c r="O121" i="149"/>
  <c r="N121" i="149"/>
  <c r="M121" i="149"/>
  <c r="L121" i="149"/>
  <c r="K121" i="149"/>
  <c r="J123" i="149"/>
  <c r="J122" i="149"/>
  <c r="J121" i="149"/>
  <c r="Y63" i="150"/>
  <c r="X63" i="150"/>
  <c r="W63" i="150"/>
  <c r="V63" i="150"/>
  <c r="U63" i="150"/>
  <c r="T63" i="150"/>
  <c r="S63" i="150"/>
  <c r="R63" i="150"/>
  <c r="Q63" i="150"/>
  <c r="P63" i="150"/>
  <c r="O63" i="150"/>
  <c r="N63" i="150"/>
  <c r="M63" i="150"/>
  <c r="L63" i="150"/>
  <c r="K63" i="150"/>
  <c r="J63" i="150"/>
  <c r="Y198" i="142"/>
  <c r="X198" i="142"/>
  <c r="W198" i="142"/>
  <c r="V198" i="142"/>
  <c r="U198" i="142"/>
  <c r="T198" i="142"/>
  <c r="S198" i="142"/>
  <c r="R198" i="142"/>
  <c r="Q198" i="142"/>
  <c r="P198" i="142"/>
  <c r="O198" i="142"/>
  <c r="N198" i="142"/>
  <c r="M198" i="142"/>
  <c r="L198" i="142"/>
  <c r="K198" i="142"/>
  <c r="J198" i="142"/>
  <c r="M38" i="141"/>
  <c r="L38" i="141"/>
  <c r="K38" i="141"/>
  <c r="J38" i="141"/>
  <c r="Y20" i="141"/>
  <c r="X20" i="141"/>
  <c r="W20" i="141"/>
  <c r="V20" i="141"/>
  <c r="U20" i="141"/>
  <c r="T20" i="141"/>
  <c r="S20" i="141"/>
  <c r="R20" i="141"/>
  <c r="Q20" i="141"/>
  <c r="P20" i="141"/>
  <c r="O20" i="141"/>
  <c r="N20" i="141"/>
  <c r="M20" i="141"/>
  <c r="L20" i="141"/>
  <c r="K20" i="141"/>
  <c r="J20" i="141"/>
  <c r="Q34" i="137"/>
  <c r="P34" i="137"/>
  <c r="O34" i="137"/>
  <c r="N34" i="137"/>
  <c r="M34" i="137"/>
  <c r="L34" i="137"/>
  <c r="K34" i="137"/>
  <c r="Q33" i="137"/>
  <c r="P33" i="137"/>
  <c r="O33" i="137"/>
  <c r="N33" i="137"/>
  <c r="M33" i="137"/>
  <c r="L33" i="137"/>
  <c r="K33" i="137"/>
  <c r="J33" i="137"/>
  <c r="Q32" i="137"/>
  <c r="P32" i="137"/>
  <c r="O32" i="137"/>
  <c r="N32" i="137"/>
  <c r="M32" i="137"/>
  <c r="L32" i="137"/>
  <c r="K32" i="137"/>
  <c r="J32" i="137"/>
  <c r="Q31" i="137"/>
  <c r="P31" i="137"/>
  <c r="O31" i="137"/>
  <c r="N31" i="137"/>
  <c r="M31" i="137"/>
  <c r="L31" i="137"/>
  <c r="K31" i="137"/>
  <c r="J31" i="137"/>
  <c r="Q30" i="137"/>
  <c r="P30" i="137"/>
  <c r="O30" i="137"/>
  <c r="N30" i="137"/>
  <c r="M30" i="137"/>
  <c r="L30" i="137"/>
  <c r="K30" i="137"/>
  <c r="J30" i="137"/>
  <c r="Q29" i="137"/>
  <c r="P29" i="137"/>
  <c r="O29" i="137"/>
  <c r="N29" i="137"/>
  <c r="M29" i="137"/>
  <c r="L29" i="137"/>
  <c r="K29" i="137"/>
  <c r="J29" i="137"/>
  <c r="Q28" i="137"/>
  <c r="P28" i="137"/>
  <c r="O28" i="137"/>
  <c r="N28" i="137"/>
  <c r="M28" i="137"/>
  <c r="L28" i="137"/>
  <c r="K28" i="137"/>
  <c r="J28" i="137"/>
  <c r="Q27" i="137"/>
  <c r="P27" i="137"/>
  <c r="O27" i="137"/>
  <c r="N27" i="137"/>
  <c r="M27" i="137"/>
  <c r="L27" i="137"/>
  <c r="K27" i="137"/>
  <c r="J27" i="137"/>
  <c r="Q26" i="137"/>
  <c r="P26" i="137"/>
  <c r="O26" i="137"/>
  <c r="N26" i="137"/>
  <c r="M26" i="137"/>
  <c r="L26" i="137"/>
  <c r="K26" i="137"/>
  <c r="J26" i="137"/>
  <c r="Q25" i="137"/>
  <c r="P25" i="137"/>
  <c r="O25" i="137"/>
  <c r="N25" i="137"/>
  <c r="M25" i="137"/>
  <c r="L25" i="137"/>
  <c r="K25" i="137"/>
  <c r="J25" i="137"/>
  <c r="J34" i="137"/>
  <c r="Y27" i="152"/>
  <c r="X27" i="152"/>
  <c r="W27" i="152"/>
  <c r="V27" i="152"/>
  <c r="U27" i="152"/>
  <c r="T27" i="152"/>
  <c r="S27" i="152"/>
  <c r="R27" i="152"/>
  <c r="Q27" i="152"/>
  <c r="P27" i="152"/>
  <c r="O27" i="152"/>
  <c r="N27" i="152"/>
  <c r="M27" i="152"/>
  <c r="L27" i="152"/>
  <c r="K27" i="152"/>
  <c r="J27" i="152"/>
  <c r="Y26" i="152"/>
  <c r="X26" i="152"/>
  <c r="W26" i="152"/>
  <c r="V26" i="152"/>
  <c r="U26" i="152"/>
  <c r="T26" i="152"/>
  <c r="S26" i="152"/>
  <c r="R26" i="152"/>
  <c r="Q26" i="152"/>
  <c r="P26" i="152"/>
  <c r="O26" i="152"/>
  <c r="N26" i="152"/>
  <c r="M26" i="152"/>
  <c r="L26" i="152"/>
  <c r="K26" i="152"/>
  <c r="J26" i="152"/>
  <c r="A2" i="154"/>
  <c r="H81" i="153"/>
  <c r="H80" i="153"/>
  <c r="H79" i="153"/>
  <c r="H78" i="153"/>
  <c r="H77" i="153"/>
  <c r="H76" i="153"/>
  <c r="H75" i="153"/>
  <c r="A2" i="153"/>
  <c r="A2" i="152"/>
  <c r="A2" i="151"/>
  <c r="A2" i="150"/>
  <c r="A2" i="149"/>
  <c r="A2" i="148"/>
  <c r="A2" i="147"/>
  <c r="A2" i="146"/>
  <c r="A2" i="145"/>
  <c r="H84" i="144"/>
  <c r="H39" i="144"/>
  <c r="H24" i="144"/>
  <c r="A2" i="144"/>
  <c r="A2" i="143"/>
  <c r="A2" i="142"/>
  <c r="A2" i="141"/>
  <c r="Y33" i="140"/>
  <c r="X33" i="140"/>
  <c r="W33" i="140"/>
  <c r="V33" i="140"/>
  <c r="U33" i="140"/>
  <c r="T33" i="140"/>
  <c r="S33" i="140"/>
  <c r="R33" i="140"/>
  <c r="Q33" i="140"/>
  <c r="P33" i="140"/>
  <c r="O33" i="140"/>
  <c r="N33" i="140"/>
  <c r="M33" i="140"/>
  <c r="L33" i="140"/>
  <c r="K33" i="140"/>
  <c r="J33" i="140"/>
  <c r="Y32" i="140"/>
  <c r="X32" i="140"/>
  <c r="W32" i="140"/>
  <c r="V32" i="140"/>
  <c r="U32" i="140"/>
  <c r="T32" i="140"/>
  <c r="S32" i="140"/>
  <c r="R32" i="140"/>
  <c r="Q32" i="140"/>
  <c r="P32" i="140"/>
  <c r="O32" i="140"/>
  <c r="N32" i="140"/>
  <c r="M32" i="140"/>
  <c r="L32" i="140"/>
  <c r="K32" i="140"/>
  <c r="J32" i="140"/>
  <c r="Y31" i="140"/>
  <c r="X31" i="140"/>
  <c r="W31" i="140"/>
  <c r="V31" i="140"/>
  <c r="U31" i="140"/>
  <c r="T31" i="140"/>
  <c r="S31" i="140"/>
  <c r="R31" i="140"/>
  <c r="Q31" i="140"/>
  <c r="P31" i="140"/>
  <c r="O31" i="140"/>
  <c r="N31" i="140"/>
  <c r="M31" i="140"/>
  <c r="L31" i="140"/>
  <c r="K31" i="140"/>
  <c r="J31" i="140"/>
  <c r="Y30" i="140"/>
  <c r="X30" i="140"/>
  <c r="W30" i="140"/>
  <c r="V30" i="140"/>
  <c r="U30" i="140"/>
  <c r="T30" i="140"/>
  <c r="S30" i="140"/>
  <c r="R30" i="140"/>
  <c r="Q30" i="140"/>
  <c r="P30" i="140"/>
  <c r="O30" i="140"/>
  <c r="N30" i="140"/>
  <c r="M30" i="140"/>
  <c r="L30" i="140"/>
  <c r="K30" i="140"/>
  <c r="J30" i="140"/>
  <c r="A2" i="140"/>
  <c r="J21" i="139" a="1"/>
  <c r="L36" i="139" s="1"/>
  <c r="A2" i="139"/>
  <c r="J84" i="138" a="1"/>
  <c r="O99" i="138" s="1"/>
  <c r="J46" i="138" a="1"/>
  <c r="R61" i="138" s="1"/>
  <c r="A2" i="138"/>
  <c r="A2" i="137"/>
  <c r="A2" i="136"/>
  <c r="A2" i="135"/>
  <c r="A2" i="134"/>
  <c r="S89" i="98"/>
  <c r="S82" i="98"/>
  <c r="S72" i="98"/>
  <c r="S59" i="98"/>
  <c r="S47" i="98"/>
  <c r="S48" i="98" s="1"/>
  <c r="R82" i="98"/>
  <c r="R72" i="98"/>
  <c r="R59" i="98"/>
  <c r="R47" i="98"/>
  <c r="R48" i="98" s="1"/>
  <c r="Q82" i="98"/>
  <c r="Q72" i="98"/>
  <c r="Q59" i="98"/>
  <c r="Q47" i="98"/>
  <c r="Q48" i="98" s="1"/>
  <c r="P82" i="98"/>
  <c r="P72" i="98"/>
  <c r="P59" i="98"/>
  <c r="P47" i="98"/>
  <c r="P48" i="98" s="1"/>
  <c r="N96" i="98"/>
  <c r="N89" i="98"/>
  <c r="N82" i="98"/>
  <c r="N72" i="98"/>
  <c r="N59" i="98"/>
  <c r="N47" i="98"/>
  <c r="N48" i="98" s="1"/>
  <c r="M96" i="98"/>
  <c r="M89" i="98"/>
  <c r="M82" i="98"/>
  <c r="M72" i="98"/>
  <c r="M59" i="98"/>
  <c r="M47" i="98"/>
  <c r="M48" i="98" s="1"/>
  <c r="L96" i="98"/>
  <c r="L89" i="98"/>
  <c r="L82" i="98"/>
  <c r="L72" i="98"/>
  <c r="L59" i="98"/>
  <c r="L47" i="98"/>
  <c r="L48" i="98" s="1"/>
  <c r="O59" i="98"/>
  <c r="O47" i="98"/>
  <c r="O48" i="98" s="1"/>
  <c r="G31" i="96"/>
  <c r="Q75" i="98" l="1"/>
  <c r="P75" i="98"/>
  <c r="P83" i="98" s="1"/>
  <c r="M75" i="98"/>
  <c r="M83" i="98" s="1"/>
  <c r="M90" i="98" s="1"/>
  <c r="M91" i="98" s="1"/>
  <c r="J84" i="138"/>
  <c r="M98" i="138"/>
  <c r="N75" i="98"/>
  <c r="S75" i="98"/>
  <c r="R75" i="98"/>
  <c r="R83" i="98" s="1"/>
  <c r="K86" i="138"/>
  <c r="Q88" i="138"/>
  <c r="K95" i="138"/>
  <c r="S91" i="138"/>
  <c r="L28" i="139"/>
  <c r="N46" i="138"/>
  <c r="J48" i="138"/>
  <c r="O84" i="138"/>
  <c r="Q86" i="138"/>
  <c r="O89" i="138"/>
  <c r="Q92" i="138"/>
  <c r="S95" i="138"/>
  <c r="K99" i="138"/>
  <c r="M21" i="139"/>
  <c r="M25" i="139"/>
  <c r="M29" i="139"/>
  <c r="M33" i="139"/>
  <c r="J46" i="138"/>
  <c r="P47" i="138"/>
  <c r="L24" i="139"/>
  <c r="L32" i="139"/>
  <c r="R46" i="138"/>
  <c r="N48" i="138"/>
  <c r="K85" i="138"/>
  <c r="L87" i="138"/>
  <c r="M90" i="138"/>
  <c r="O93" i="138"/>
  <c r="Q96" i="138"/>
  <c r="S99" i="138"/>
  <c r="L22" i="139"/>
  <c r="L26" i="139"/>
  <c r="L30" i="139"/>
  <c r="L34" i="139"/>
  <c r="L47" i="138"/>
  <c r="P85" i="138"/>
  <c r="S87" i="138"/>
  <c r="K91" i="138"/>
  <c r="M94" i="138"/>
  <c r="O97" i="138"/>
  <c r="M23" i="139"/>
  <c r="M27" i="139"/>
  <c r="M31" i="139"/>
  <c r="L49" i="138"/>
  <c r="J50" i="138"/>
  <c r="R50" i="138"/>
  <c r="P51" i="138"/>
  <c r="N52" i="138"/>
  <c r="L53" i="138"/>
  <c r="J54" i="138"/>
  <c r="R54" i="138"/>
  <c r="P55" i="138"/>
  <c r="N56" i="138"/>
  <c r="L57" i="138"/>
  <c r="J58" i="138"/>
  <c r="R58" i="138"/>
  <c r="P59" i="138"/>
  <c r="O60" i="138"/>
  <c r="P61" i="138"/>
  <c r="K46" i="138"/>
  <c r="S46" i="138"/>
  <c r="Q47" i="138"/>
  <c r="O48" i="138"/>
  <c r="M49" i="138"/>
  <c r="O50" i="138"/>
  <c r="M51" i="138"/>
  <c r="K52" i="138"/>
  <c r="S52" i="138"/>
  <c r="Q53" i="138"/>
  <c r="O54" i="138"/>
  <c r="S54" i="138"/>
  <c r="Q55" i="138"/>
  <c r="K56" i="138"/>
  <c r="O56" i="138"/>
  <c r="S56" i="138"/>
  <c r="M57" i="138"/>
  <c r="Q57" i="138"/>
  <c r="K58" i="138"/>
  <c r="O58" i="138"/>
  <c r="S58" i="138"/>
  <c r="Q59" i="138"/>
  <c r="K60" i="138"/>
  <c r="P60" i="138"/>
  <c r="L61" i="138"/>
  <c r="Q61" i="138"/>
  <c r="K84" i="138"/>
  <c r="Q84" i="138"/>
  <c r="L85" i="138"/>
  <c r="Q85" i="138"/>
  <c r="M86" i="138"/>
  <c r="R86" i="138"/>
  <c r="M87" i="138"/>
  <c r="J88" i="138"/>
  <c r="R88" i="138"/>
  <c r="P89" i="138"/>
  <c r="N90" i="138"/>
  <c r="L91" i="138"/>
  <c r="J92" i="138"/>
  <c r="R92" i="138"/>
  <c r="P93" i="138"/>
  <c r="N94" i="138"/>
  <c r="L95" i="138"/>
  <c r="J96" i="138"/>
  <c r="R96" i="138"/>
  <c r="P97" i="138"/>
  <c r="N98" i="138"/>
  <c r="L99" i="138"/>
  <c r="K36" i="139"/>
  <c r="K35" i="139"/>
  <c r="K34" i="139"/>
  <c r="K33" i="139"/>
  <c r="K32" i="139"/>
  <c r="K31" i="139"/>
  <c r="K30" i="139"/>
  <c r="K29" i="139"/>
  <c r="K28" i="139"/>
  <c r="K27" i="139"/>
  <c r="K26" i="139"/>
  <c r="K25" i="139"/>
  <c r="K24" i="139"/>
  <c r="K23" i="139"/>
  <c r="K22" i="139"/>
  <c r="K21" i="139"/>
  <c r="J36" i="139"/>
  <c r="J35" i="139"/>
  <c r="J34" i="139"/>
  <c r="J33" i="139"/>
  <c r="J32" i="139"/>
  <c r="J31" i="139"/>
  <c r="J30" i="139"/>
  <c r="J29" i="139"/>
  <c r="J28" i="139"/>
  <c r="J27" i="139"/>
  <c r="J26" i="139"/>
  <c r="J25" i="139"/>
  <c r="J24" i="139"/>
  <c r="J23" i="139"/>
  <c r="J22" i="139"/>
  <c r="J21" i="139"/>
  <c r="M22" i="139"/>
  <c r="M24" i="139"/>
  <c r="M26" i="139"/>
  <c r="M28" i="139"/>
  <c r="M30" i="139"/>
  <c r="M32" i="139"/>
  <c r="M34" i="139"/>
  <c r="M36" i="139"/>
  <c r="R48" i="138"/>
  <c r="P49" i="138"/>
  <c r="N50" i="138"/>
  <c r="L51" i="138"/>
  <c r="J52" i="138"/>
  <c r="R52" i="138"/>
  <c r="P53" i="138"/>
  <c r="N54" i="138"/>
  <c r="L55" i="138"/>
  <c r="J56" i="138"/>
  <c r="R56" i="138"/>
  <c r="P57" i="138"/>
  <c r="N58" i="138"/>
  <c r="L59" i="138"/>
  <c r="J60" i="138"/>
  <c r="J61" i="138"/>
  <c r="O46" i="138"/>
  <c r="M47" i="138"/>
  <c r="K48" i="138"/>
  <c r="S48" i="138"/>
  <c r="Q49" i="138"/>
  <c r="K50" i="138"/>
  <c r="S50" i="138"/>
  <c r="Q51" i="138"/>
  <c r="O52" i="138"/>
  <c r="M53" i="138"/>
  <c r="K54" i="138"/>
  <c r="M55" i="138"/>
  <c r="M59" i="138"/>
  <c r="L46" i="138"/>
  <c r="P46" i="138"/>
  <c r="J47" i="138"/>
  <c r="N47" i="138"/>
  <c r="R47" i="138"/>
  <c r="L48" i="138"/>
  <c r="P48" i="138"/>
  <c r="J49" i="138"/>
  <c r="N49" i="138"/>
  <c r="R49" i="138"/>
  <c r="L50" i="138"/>
  <c r="P50" i="138"/>
  <c r="J51" i="138"/>
  <c r="N51" i="138"/>
  <c r="R51" i="138"/>
  <c r="L52" i="138"/>
  <c r="P52" i="138"/>
  <c r="J53" i="138"/>
  <c r="N53" i="138"/>
  <c r="R53" i="138"/>
  <c r="L54" i="138"/>
  <c r="P54" i="138"/>
  <c r="J55" i="138"/>
  <c r="N55" i="138"/>
  <c r="R55" i="138"/>
  <c r="L56" i="138"/>
  <c r="P56" i="138"/>
  <c r="J57" i="138"/>
  <c r="N57" i="138"/>
  <c r="R57" i="138"/>
  <c r="L58" i="138"/>
  <c r="P58" i="138"/>
  <c r="J59" i="138"/>
  <c r="N59" i="138"/>
  <c r="R59" i="138"/>
  <c r="L60" i="138"/>
  <c r="R60" i="138"/>
  <c r="M61" i="138"/>
  <c r="M84" i="138"/>
  <c r="R84" i="138"/>
  <c r="M85" i="138"/>
  <c r="S85" i="138"/>
  <c r="N86" i="138"/>
  <c r="S86" i="138"/>
  <c r="O87" i="138"/>
  <c r="M88" i="138"/>
  <c r="K89" i="138"/>
  <c r="S89" i="138"/>
  <c r="Q90" i="138"/>
  <c r="O91" i="138"/>
  <c r="M92" i="138"/>
  <c r="K93" i="138"/>
  <c r="S93" i="138"/>
  <c r="Q94" i="138"/>
  <c r="O95" i="138"/>
  <c r="M96" i="138"/>
  <c r="K97" i="138"/>
  <c r="S97" i="138"/>
  <c r="Q98" i="138"/>
  <c r="L21" i="139"/>
  <c r="L23" i="139"/>
  <c r="L25" i="139"/>
  <c r="L27" i="139"/>
  <c r="L29" i="139"/>
  <c r="L31" i="139"/>
  <c r="L33" i="139"/>
  <c r="L35" i="139"/>
  <c r="S61" i="138"/>
  <c r="O61" i="138"/>
  <c r="K61" i="138"/>
  <c r="Q60" i="138"/>
  <c r="M60" i="138"/>
  <c r="M46" i="138"/>
  <c r="Q46" i="138"/>
  <c r="K47" i="138"/>
  <c r="O47" i="138"/>
  <c r="S47" i="138"/>
  <c r="M48" i="138"/>
  <c r="Q48" i="138"/>
  <c r="K49" i="138"/>
  <c r="O49" i="138"/>
  <c r="S49" i="138"/>
  <c r="M50" i="138"/>
  <c r="Q50" i="138"/>
  <c r="K51" i="138"/>
  <c r="O51" i="138"/>
  <c r="S51" i="138"/>
  <c r="M52" i="138"/>
  <c r="Q52" i="138"/>
  <c r="K53" i="138"/>
  <c r="O53" i="138"/>
  <c r="S53" i="138"/>
  <c r="M54" i="138"/>
  <c r="Q54" i="138"/>
  <c r="K55" i="138"/>
  <c r="O55" i="138"/>
  <c r="S55" i="138"/>
  <c r="M56" i="138"/>
  <c r="Q56" i="138"/>
  <c r="K57" i="138"/>
  <c r="O57" i="138"/>
  <c r="S57" i="138"/>
  <c r="M58" i="138"/>
  <c r="Q58" i="138"/>
  <c r="K59" i="138"/>
  <c r="O59" i="138"/>
  <c r="S59" i="138"/>
  <c r="N60" i="138"/>
  <c r="S60" i="138"/>
  <c r="N61" i="138"/>
  <c r="R99" i="138"/>
  <c r="N99" i="138"/>
  <c r="J99" i="138"/>
  <c r="P98" i="138"/>
  <c r="L98" i="138"/>
  <c r="R97" i="138"/>
  <c r="N97" i="138"/>
  <c r="J97" i="138"/>
  <c r="P96" i="138"/>
  <c r="L96" i="138"/>
  <c r="R95" i="138"/>
  <c r="N95" i="138"/>
  <c r="J95" i="138"/>
  <c r="P94" i="138"/>
  <c r="L94" i="138"/>
  <c r="R93" i="138"/>
  <c r="N93" i="138"/>
  <c r="J93" i="138"/>
  <c r="P92" i="138"/>
  <c r="L92" i="138"/>
  <c r="R91" i="138"/>
  <c r="N91" i="138"/>
  <c r="J91" i="138"/>
  <c r="P90" i="138"/>
  <c r="L90" i="138"/>
  <c r="R89" i="138"/>
  <c r="N89" i="138"/>
  <c r="J89" i="138"/>
  <c r="P88" i="138"/>
  <c r="L88" i="138"/>
  <c r="R87" i="138"/>
  <c r="N87" i="138"/>
  <c r="J87" i="138"/>
  <c r="P86" i="138"/>
  <c r="L86" i="138"/>
  <c r="R85" i="138"/>
  <c r="N85" i="138"/>
  <c r="J85" i="138"/>
  <c r="P84" i="138"/>
  <c r="L84" i="138"/>
  <c r="Q99" i="138"/>
  <c r="M99" i="138"/>
  <c r="S98" i="138"/>
  <c r="O98" i="138"/>
  <c r="K98" i="138"/>
  <c r="Q97" i="138"/>
  <c r="M97" i="138"/>
  <c r="S96" i="138"/>
  <c r="O96" i="138"/>
  <c r="K96" i="138"/>
  <c r="Q95" i="138"/>
  <c r="M95" i="138"/>
  <c r="S94" i="138"/>
  <c r="O94" i="138"/>
  <c r="K94" i="138"/>
  <c r="Q93" i="138"/>
  <c r="M93" i="138"/>
  <c r="S92" i="138"/>
  <c r="O92" i="138"/>
  <c r="K92" i="138"/>
  <c r="Q91" i="138"/>
  <c r="M91" i="138"/>
  <c r="S90" i="138"/>
  <c r="O90" i="138"/>
  <c r="K90" i="138"/>
  <c r="Q89" i="138"/>
  <c r="M89" i="138"/>
  <c r="S88" i="138"/>
  <c r="O88" i="138"/>
  <c r="K88" i="138"/>
  <c r="Q87" i="138"/>
  <c r="N84" i="138"/>
  <c r="S84" i="138"/>
  <c r="O85" i="138"/>
  <c r="J86" i="138"/>
  <c r="O86" i="138"/>
  <c r="K87" i="138"/>
  <c r="P87" i="138"/>
  <c r="N88" i="138"/>
  <c r="L89" i="138"/>
  <c r="J90" i="138"/>
  <c r="R90" i="138"/>
  <c r="P91" i="138"/>
  <c r="N92" i="138"/>
  <c r="L93" i="138"/>
  <c r="J94" i="138"/>
  <c r="R94" i="138"/>
  <c r="P95" i="138"/>
  <c r="N96" i="138"/>
  <c r="L97" i="138"/>
  <c r="J98" i="138"/>
  <c r="R98" i="138"/>
  <c r="P99" i="138"/>
  <c r="M35" i="139"/>
  <c r="N83" i="98"/>
  <c r="N90" i="98" s="1"/>
  <c r="N91" i="98" s="1"/>
  <c r="L75" i="98"/>
  <c r="L83" i="98" s="1"/>
  <c r="L90" i="98" s="1"/>
  <c r="L91" i="98" s="1"/>
  <c r="P90" i="98" l="1"/>
  <c r="P91" i="98" s="1"/>
  <c r="R90" i="98"/>
  <c r="R91" i="98" s="1"/>
  <c r="N94" i="98"/>
  <c r="P94" i="98"/>
  <c r="R95" i="98"/>
  <c r="Q83" i="98"/>
  <c r="Q95" i="98"/>
  <c r="N95" i="98"/>
  <c r="S95" i="98"/>
  <c r="S83" i="98"/>
  <c r="M94" i="98"/>
  <c r="M95" i="98"/>
  <c r="L94" i="98"/>
  <c r="S90" i="98" l="1"/>
  <c r="S91" i="98" s="1"/>
  <c r="S94" i="98"/>
  <c r="Q90" i="98"/>
  <c r="Q91" i="98" s="1"/>
  <c r="Q96" i="98"/>
  <c r="R94" i="98"/>
  <c r="H11" i="135"/>
  <c r="H11" i="136"/>
  <c r="H11" i="134"/>
  <c r="Y69" i="154"/>
  <c r="W69" i="154"/>
  <c r="U69" i="154"/>
  <c r="Y68" i="154"/>
  <c r="W68" i="154"/>
  <c r="U68" i="154"/>
  <c r="Y67" i="154"/>
  <c r="W67" i="154"/>
  <c r="U67" i="154"/>
  <c r="Y66" i="154"/>
  <c r="W66" i="154"/>
  <c r="U66" i="154"/>
  <c r="Y65" i="154"/>
  <c r="W65" i="154"/>
  <c r="U65" i="154"/>
  <c r="Y64" i="154"/>
  <c r="W64" i="154"/>
  <c r="U64" i="154"/>
  <c r="Y63" i="154"/>
  <c r="W63" i="154"/>
  <c r="U63" i="154"/>
  <c r="Y60" i="154"/>
  <c r="X60" i="154"/>
  <c r="W60" i="154"/>
  <c r="V60" i="154"/>
  <c r="U60" i="154"/>
  <c r="S60" i="154"/>
  <c r="P60" i="154"/>
  <c r="O60" i="154"/>
  <c r="Y59" i="154"/>
  <c r="X59" i="154"/>
  <c r="W59" i="154"/>
  <c r="V59" i="154"/>
  <c r="U59" i="154"/>
  <c r="S59" i="154"/>
  <c r="P59" i="154"/>
  <c r="O59" i="154"/>
  <c r="Y58" i="154"/>
  <c r="X58" i="154"/>
  <c r="W58" i="154"/>
  <c r="V58" i="154"/>
  <c r="U58" i="154"/>
  <c r="S58" i="154"/>
  <c r="P58" i="154"/>
  <c r="O58" i="154"/>
  <c r="Y57" i="154"/>
  <c r="X57" i="154"/>
  <c r="W57" i="154"/>
  <c r="V57" i="154"/>
  <c r="U57" i="154"/>
  <c r="S57" i="154"/>
  <c r="P57" i="154"/>
  <c r="O57" i="154"/>
  <c r="Y56" i="154"/>
  <c r="X56" i="154"/>
  <c r="W56" i="154"/>
  <c r="V56" i="154"/>
  <c r="U56" i="154"/>
  <c r="S56" i="154"/>
  <c r="P56" i="154"/>
  <c r="O56" i="154"/>
  <c r="Y55" i="154"/>
  <c r="X55" i="154"/>
  <c r="W55" i="154"/>
  <c r="V55" i="154"/>
  <c r="U55" i="154"/>
  <c r="S55" i="154"/>
  <c r="P55" i="154"/>
  <c r="O55" i="154"/>
  <c r="Y54" i="154"/>
  <c r="X54" i="154"/>
  <c r="W54" i="154"/>
  <c r="V54" i="154"/>
  <c r="U54" i="154"/>
  <c r="S54" i="154"/>
  <c r="P54" i="154"/>
  <c r="O54" i="154"/>
  <c r="Y40" i="154"/>
  <c r="W40" i="154"/>
  <c r="U40" i="154"/>
  <c r="U110" i="154" s="1"/>
  <c r="S40" i="154"/>
  <c r="R40" i="154"/>
  <c r="Q40" i="154"/>
  <c r="M40" i="154"/>
  <c r="L40" i="154"/>
  <c r="K40" i="154"/>
  <c r="J40" i="154"/>
  <c r="Y39" i="154"/>
  <c r="X39" i="154"/>
  <c r="W39" i="154"/>
  <c r="V39" i="154"/>
  <c r="U39" i="154"/>
  <c r="T39" i="154"/>
  <c r="S39" i="154"/>
  <c r="R39" i="154"/>
  <c r="Q39" i="154"/>
  <c r="M39" i="154"/>
  <c r="L39" i="154"/>
  <c r="K39" i="154"/>
  <c r="J39" i="154"/>
  <c r="Y38" i="154"/>
  <c r="X38" i="154"/>
  <c r="W38" i="154"/>
  <c r="V38" i="154"/>
  <c r="U38" i="154"/>
  <c r="T38" i="154"/>
  <c r="S38" i="154"/>
  <c r="R38" i="154"/>
  <c r="Q38" i="154"/>
  <c r="M38" i="154"/>
  <c r="L38" i="154"/>
  <c r="K38" i="154"/>
  <c r="J38" i="154"/>
  <c r="Y37" i="154"/>
  <c r="Y130" i="154" s="1"/>
  <c r="W37" i="154"/>
  <c r="U37" i="154"/>
  <c r="U130" i="154" s="1"/>
  <c r="Y36" i="154"/>
  <c r="Y106" i="154" s="1"/>
  <c r="W36" i="154"/>
  <c r="U36" i="154"/>
  <c r="U106" i="154" s="1"/>
  <c r="Y35" i="154"/>
  <c r="Y105" i="154" s="1"/>
  <c r="W35" i="154"/>
  <c r="W105" i="154" s="1"/>
  <c r="U35" i="154"/>
  <c r="Y34" i="154"/>
  <c r="W34" i="154"/>
  <c r="U34" i="154"/>
  <c r="Y31" i="154"/>
  <c r="X31" i="154"/>
  <c r="X100" i="154" s="1"/>
  <c r="W31" i="154"/>
  <c r="W100" i="154" s="1"/>
  <c r="V31" i="154"/>
  <c r="V100" i="154" s="1"/>
  <c r="U31" i="154"/>
  <c r="S31" i="154"/>
  <c r="S100" i="154" s="1"/>
  <c r="R31" i="154"/>
  <c r="Q31" i="154"/>
  <c r="P31" i="154"/>
  <c r="O31" i="154"/>
  <c r="M31" i="154"/>
  <c r="L31" i="154"/>
  <c r="K31" i="154"/>
  <c r="J31" i="154"/>
  <c r="Y30" i="154"/>
  <c r="X30" i="154"/>
  <c r="W30" i="154"/>
  <c r="V30" i="154"/>
  <c r="U30" i="154"/>
  <c r="T30" i="154"/>
  <c r="S30" i="154"/>
  <c r="R30" i="154"/>
  <c r="Q30" i="154"/>
  <c r="P30" i="154"/>
  <c r="O30" i="154"/>
  <c r="M30" i="154"/>
  <c r="L30" i="154"/>
  <c r="K30" i="154"/>
  <c r="J30" i="154"/>
  <c r="Y29" i="154"/>
  <c r="X29" i="154"/>
  <c r="W29" i="154"/>
  <c r="V29" i="154"/>
  <c r="U29" i="154"/>
  <c r="T29" i="154"/>
  <c r="S29" i="154"/>
  <c r="R29" i="154"/>
  <c r="Q29" i="154"/>
  <c r="P29" i="154"/>
  <c r="O29" i="154"/>
  <c r="M29" i="154"/>
  <c r="L29" i="154"/>
  <c r="K29" i="154"/>
  <c r="J29" i="154"/>
  <c r="Y28" i="154"/>
  <c r="Y129" i="154" s="1"/>
  <c r="X28" i="154"/>
  <c r="W28" i="154"/>
  <c r="V28" i="154"/>
  <c r="V129" i="154" s="1"/>
  <c r="U28" i="154"/>
  <c r="U129" i="154" s="1"/>
  <c r="S28" i="154"/>
  <c r="S129" i="154" s="1"/>
  <c r="P28" i="154"/>
  <c r="O28" i="154"/>
  <c r="Y27" i="154"/>
  <c r="Y96" i="154" s="1"/>
  <c r="X27" i="154"/>
  <c r="W27" i="154"/>
  <c r="V27" i="154"/>
  <c r="U27" i="154"/>
  <c r="U96" i="154" s="1"/>
  <c r="S27" i="154"/>
  <c r="S96" i="154" s="1"/>
  <c r="P27" i="154"/>
  <c r="P96" i="154" s="1"/>
  <c r="O27" i="154"/>
  <c r="Y26" i="154"/>
  <c r="X26" i="154"/>
  <c r="W26" i="154"/>
  <c r="V26" i="154"/>
  <c r="U26" i="154"/>
  <c r="S26" i="154"/>
  <c r="S95" i="154" s="1"/>
  <c r="P26" i="154"/>
  <c r="P95" i="154" s="1"/>
  <c r="O26" i="154"/>
  <c r="Y25" i="154"/>
  <c r="X25" i="154"/>
  <c r="W25" i="154"/>
  <c r="V25" i="154"/>
  <c r="U25" i="154"/>
  <c r="S25" i="154"/>
  <c r="P25" i="154"/>
  <c r="O25" i="154"/>
  <c r="Y22" i="154"/>
  <c r="W22" i="154"/>
  <c r="U22" i="154"/>
  <c r="S22" i="154"/>
  <c r="R22" i="154"/>
  <c r="Q22" i="154"/>
  <c r="M22" i="154"/>
  <c r="L22" i="154"/>
  <c r="K22" i="154"/>
  <c r="J22" i="154"/>
  <c r="Y21" i="154"/>
  <c r="X21" i="154"/>
  <c r="W21" i="154"/>
  <c r="V21" i="154"/>
  <c r="U21" i="154"/>
  <c r="T21" i="154"/>
  <c r="S21" i="154"/>
  <c r="R21" i="154"/>
  <c r="Q21" i="154"/>
  <c r="M21" i="154"/>
  <c r="L21" i="154"/>
  <c r="K21" i="154"/>
  <c r="J21" i="154"/>
  <c r="Y20" i="154"/>
  <c r="X20" i="154"/>
  <c r="W20" i="154"/>
  <c r="V20" i="154"/>
  <c r="U20" i="154"/>
  <c r="T20" i="154"/>
  <c r="S20" i="154"/>
  <c r="R20" i="154"/>
  <c r="Q20" i="154"/>
  <c r="M20" i="154"/>
  <c r="L20" i="154"/>
  <c r="K20" i="154"/>
  <c r="J20" i="154"/>
  <c r="A1" i="154"/>
  <c r="Y34" i="153"/>
  <c r="X34" i="153"/>
  <c r="W34" i="153"/>
  <c r="V34" i="153"/>
  <c r="U34" i="153"/>
  <c r="T34" i="153"/>
  <c r="S34" i="153"/>
  <c r="R34" i="153"/>
  <c r="Y33" i="153"/>
  <c r="X33" i="153"/>
  <c r="W33" i="153"/>
  <c r="V33" i="153"/>
  <c r="U33" i="153"/>
  <c r="T33" i="153"/>
  <c r="S33" i="153"/>
  <c r="R33" i="153"/>
  <c r="Y32" i="153"/>
  <c r="X32" i="153"/>
  <c r="W32" i="153"/>
  <c r="V32" i="153"/>
  <c r="U32" i="153"/>
  <c r="T32" i="153"/>
  <c r="S32" i="153"/>
  <c r="R32" i="153"/>
  <c r="A1" i="153"/>
  <c r="Y45" i="152"/>
  <c r="V45" i="152"/>
  <c r="U45" i="152"/>
  <c r="S45" i="152"/>
  <c r="R45" i="152"/>
  <c r="Q45" i="152"/>
  <c r="M45" i="152"/>
  <c r="K45" i="152"/>
  <c r="Y44" i="152"/>
  <c r="Y46" i="152" s="1"/>
  <c r="Y47" i="153" s="1"/>
  <c r="V44" i="152"/>
  <c r="U44" i="152"/>
  <c r="U46" i="152" s="1"/>
  <c r="U47" i="153" s="1"/>
  <c r="S44" i="152"/>
  <c r="R44" i="152"/>
  <c r="Q44" i="152"/>
  <c r="O44" i="152"/>
  <c r="N44" i="152"/>
  <c r="M44" i="152"/>
  <c r="K44" i="152"/>
  <c r="X45" i="152"/>
  <c r="T45" i="152"/>
  <c r="X44" i="152"/>
  <c r="T44" i="152"/>
  <c r="P44" i="152"/>
  <c r="L44" i="152"/>
  <c r="Y22" i="152"/>
  <c r="W22" i="152"/>
  <c r="U22" i="152"/>
  <c r="Y21" i="152"/>
  <c r="X21" i="152"/>
  <c r="W21" i="152"/>
  <c r="V21" i="152"/>
  <c r="U21" i="152"/>
  <c r="S21" i="152"/>
  <c r="P21" i="152"/>
  <c r="O21" i="152"/>
  <c r="A1" i="152"/>
  <c r="K116" i="151"/>
  <c r="L116" i="151" s="1"/>
  <c r="BE103" i="151"/>
  <c r="BD103" i="151"/>
  <c r="BC103" i="151"/>
  <c r="BB103" i="151"/>
  <c r="BA103" i="151"/>
  <c r="AZ103" i="151"/>
  <c r="AY103" i="151"/>
  <c r="AX103" i="151"/>
  <c r="AO103" i="151"/>
  <c r="AN103" i="151"/>
  <c r="AM103" i="151"/>
  <c r="AL103" i="151"/>
  <c r="AK103" i="151"/>
  <c r="AJ103" i="151"/>
  <c r="AI103" i="151"/>
  <c r="AH103" i="151"/>
  <c r="Y103" i="151"/>
  <c r="X103" i="151"/>
  <c r="W103" i="151"/>
  <c r="V103" i="151"/>
  <c r="U103" i="151"/>
  <c r="T103" i="151"/>
  <c r="S103" i="151"/>
  <c r="R103" i="151"/>
  <c r="Y25" i="151"/>
  <c r="Y25" i="153" s="1"/>
  <c r="Y95" i="153" s="1"/>
  <c r="Y106" i="153" s="1"/>
  <c r="Y135" i="153" s="1"/>
  <c r="Y50" i="154" s="1"/>
  <c r="X25" i="151"/>
  <c r="X25" i="153" s="1"/>
  <c r="X95" i="153" s="1"/>
  <c r="W25" i="151"/>
  <c r="W25" i="153" s="1"/>
  <c r="W95" i="153" s="1"/>
  <c r="W106" i="153" s="1"/>
  <c r="W135" i="153" s="1"/>
  <c r="W50" i="154" s="1"/>
  <c r="V25" i="151"/>
  <c r="V25" i="153" s="1"/>
  <c r="V95" i="153" s="1"/>
  <c r="U25" i="151"/>
  <c r="U25" i="153" s="1"/>
  <c r="U95" i="153" s="1"/>
  <c r="U106" i="153" s="1"/>
  <c r="U135" i="153" s="1"/>
  <c r="U50" i="154" s="1"/>
  <c r="T25" i="151"/>
  <c r="T25" i="153" s="1"/>
  <c r="T95" i="153" s="1"/>
  <c r="S25" i="151"/>
  <c r="S25" i="153" s="1"/>
  <c r="S95" i="153" s="1"/>
  <c r="R25" i="151"/>
  <c r="R25" i="153" s="1"/>
  <c r="R95" i="153" s="1"/>
  <c r="Y24" i="151"/>
  <c r="Y24" i="153" s="1"/>
  <c r="Y94" i="153" s="1"/>
  <c r="Y105" i="153" s="1"/>
  <c r="Y134" i="153" s="1"/>
  <c r="Y49" i="154" s="1"/>
  <c r="X24" i="151"/>
  <c r="X24" i="153" s="1"/>
  <c r="X94" i="153" s="1"/>
  <c r="W24" i="151"/>
  <c r="W24" i="153" s="1"/>
  <c r="W94" i="153" s="1"/>
  <c r="W105" i="153" s="1"/>
  <c r="W134" i="153" s="1"/>
  <c r="W49" i="154" s="1"/>
  <c r="V24" i="151"/>
  <c r="V24" i="153" s="1"/>
  <c r="V94" i="153" s="1"/>
  <c r="U24" i="151"/>
  <c r="U24" i="153" s="1"/>
  <c r="U94" i="153" s="1"/>
  <c r="U105" i="153" s="1"/>
  <c r="U134" i="153" s="1"/>
  <c r="U49" i="154" s="1"/>
  <c r="T24" i="151"/>
  <c r="T24" i="153" s="1"/>
  <c r="T94" i="153" s="1"/>
  <c r="S24" i="151"/>
  <c r="S24" i="153" s="1"/>
  <c r="S94" i="153" s="1"/>
  <c r="R24" i="151"/>
  <c r="R24" i="153" s="1"/>
  <c r="R94" i="153" s="1"/>
  <c r="A1" i="151"/>
  <c r="Q157" i="150"/>
  <c r="Q156" i="150"/>
  <c r="Y48" i="150"/>
  <c r="X48" i="150"/>
  <c r="W48" i="150"/>
  <c r="V48" i="150"/>
  <c r="U48" i="150"/>
  <c r="T48" i="150"/>
  <c r="S48" i="150"/>
  <c r="R48" i="150"/>
  <c r="Y47" i="150"/>
  <c r="X47" i="150"/>
  <c r="W47" i="150"/>
  <c r="V47" i="150"/>
  <c r="U47" i="150"/>
  <c r="T47" i="150"/>
  <c r="S47" i="150"/>
  <c r="R47" i="150"/>
  <c r="Y46" i="150"/>
  <c r="X46" i="150"/>
  <c r="W46" i="150"/>
  <c r="V46" i="150"/>
  <c r="U46" i="150"/>
  <c r="T46" i="150"/>
  <c r="S46" i="150"/>
  <c r="R46" i="150"/>
  <c r="Y45" i="150"/>
  <c r="X45" i="150"/>
  <c r="W45" i="150"/>
  <c r="V45" i="150"/>
  <c r="U45" i="150"/>
  <c r="T45" i="150"/>
  <c r="S45" i="150"/>
  <c r="R45" i="150"/>
  <c r="Y44" i="150"/>
  <c r="X44" i="150"/>
  <c r="W44" i="150"/>
  <c r="V44" i="150"/>
  <c r="U44" i="150"/>
  <c r="T44" i="150"/>
  <c r="S44" i="150"/>
  <c r="R44" i="150"/>
  <c r="Y43" i="150"/>
  <c r="X43" i="150"/>
  <c r="W43" i="150"/>
  <c r="V43" i="150"/>
  <c r="U43" i="150"/>
  <c r="T43" i="150"/>
  <c r="S43" i="150"/>
  <c r="R43" i="150"/>
  <c r="Y42" i="150"/>
  <c r="X42" i="150"/>
  <c r="W42" i="150"/>
  <c r="V42" i="150"/>
  <c r="U42" i="150"/>
  <c r="T42" i="150"/>
  <c r="S42" i="150"/>
  <c r="R42" i="150"/>
  <c r="Y41" i="150"/>
  <c r="X41" i="150"/>
  <c r="W41" i="150"/>
  <c r="V41" i="150"/>
  <c r="U41" i="150"/>
  <c r="T41" i="150"/>
  <c r="S41" i="150"/>
  <c r="R41" i="150"/>
  <c r="Y40" i="150"/>
  <c r="X40" i="150"/>
  <c r="W40" i="150"/>
  <c r="V40" i="150"/>
  <c r="U40" i="150"/>
  <c r="T40" i="150"/>
  <c r="S40" i="150"/>
  <c r="R40" i="150"/>
  <c r="Y39" i="150"/>
  <c r="X39" i="150"/>
  <c r="W39" i="150"/>
  <c r="V39" i="150"/>
  <c r="U39" i="150"/>
  <c r="T39" i="150"/>
  <c r="S39" i="150"/>
  <c r="R39" i="150"/>
  <c r="Y34" i="150"/>
  <c r="X34" i="150"/>
  <c r="W34" i="150"/>
  <c r="V34" i="150"/>
  <c r="U34" i="150"/>
  <c r="T34" i="150"/>
  <c r="S34" i="150"/>
  <c r="R34" i="150"/>
  <c r="Y33" i="150"/>
  <c r="X33" i="150"/>
  <c r="W33" i="150"/>
  <c r="V33" i="150"/>
  <c r="U33" i="150"/>
  <c r="T33" i="150"/>
  <c r="S33" i="150"/>
  <c r="R33" i="150"/>
  <c r="Y32" i="150"/>
  <c r="X32" i="150"/>
  <c r="W32" i="150"/>
  <c r="V32" i="150"/>
  <c r="U32" i="150"/>
  <c r="T32" i="150"/>
  <c r="S32" i="150"/>
  <c r="R32" i="150"/>
  <c r="Y31" i="150"/>
  <c r="X31" i="150"/>
  <c r="W31" i="150"/>
  <c r="V31" i="150"/>
  <c r="U31" i="150"/>
  <c r="T31" i="150"/>
  <c r="S31" i="150"/>
  <c r="R31" i="150"/>
  <c r="Y30" i="150"/>
  <c r="X30" i="150"/>
  <c r="W30" i="150"/>
  <c r="V30" i="150"/>
  <c r="U30" i="150"/>
  <c r="T30" i="150"/>
  <c r="S30" i="150"/>
  <c r="R30" i="150"/>
  <c r="Y29" i="150"/>
  <c r="X29" i="150"/>
  <c r="W29" i="150"/>
  <c r="V29" i="150"/>
  <c r="U29" i="150"/>
  <c r="T29" i="150"/>
  <c r="S29" i="150"/>
  <c r="R29" i="150"/>
  <c r="Y28" i="150"/>
  <c r="X28" i="150"/>
  <c r="W28" i="150"/>
  <c r="V28" i="150"/>
  <c r="U28" i="150"/>
  <c r="T28" i="150"/>
  <c r="S28" i="150"/>
  <c r="R28" i="150"/>
  <c r="Y27" i="150"/>
  <c r="X27" i="150"/>
  <c r="W27" i="150"/>
  <c r="V27" i="150"/>
  <c r="U27" i="150"/>
  <c r="T27" i="150"/>
  <c r="S27" i="150"/>
  <c r="R27" i="150"/>
  <c r="Y20" i="150"/>
  <c r="Y90" i="150" s="1"/>
  <c r="X20" i="150"/>
  <c r="W20" i="150"/>
  <c r="V20" i="150"/>
  <c r="U20" i="150"/>
  <c r="U90" i="150" s="1"/>
  <c r="T20" i="150"/>
  <c r="S20" i="150"/>
  <c r="R20" i="150"/>
  <c r="A1" i="150"/>
  <c r="Y293" i="149"/>
  <c r="U293" i="149"/>
  <c r="Q293" i="149"/>
  <c r="M293" i="149"/>
  <c r="X293" i="149"/>
  <c r="W293" i="149"/>
  <c r="V293" i="149"/>
  <c r="T293" i="149"/>
  <c r="S293" i="149"/>
  <c r="R293" i="149"/>
  <c r="O293" i="149"/>
  <c r="K293" i="149"/>
  <c r="Y102" i="149"/>
  <c r="X102" i="149"/>
  <c r="W102" i="149"/>
  <c r="V102" i="149"/>
  <c r="U102" i="149"/>
  <c r="T102" i="149"/>
  <c r="S102" i="149"/>
  <c r="R102" i="149"/>
  <c r="Y101" i="149"/>
  <c r="X101" i="149"/>
  <c r="W101" i="149"/>
  <c r="V101" i="149"/>
  <c r="U101" i="149"/>
  <c r="T101" i="149"/>
  <c r="S101" i="149"/>
  <c r="R101" i="149"/>
  <c r="Y100" i="149"/>
  <c r="X100" i="149"/>
  <c r="W100" i="149"/>
  <c r="V100" i="149"/>
  <c r="U100" i="149"/>
  <c r="T100" i="149"/>
  <c r="S100" i="149"/>
  <c r="R100" i="149"/>
  <c r="Y99" i="149"/>
  <c r="X99" i="149"/>
  <c r="W99" i="149"/>
  <c r="V99" i="149"/>
  <c r="U99" i="149"/>
  <c r="T99" i="149"/>
  <c r="S99" i="149"/>
  <c r="R99" i="149"/>
  <c r="Y98" i="149"/>
  <c r="X98" i="149"/>
  <c r="W98" i="149"/>
  <c r="V98" i="149"/>
  <c r="U98" i="149"/>
  <c r="T98" i="149"/>
  <c r="S98" i="149"/>
  <c r="R98" i="149"/>
  <c r="Y97" i="149"/>
  <c r="X97" i="149"/>
  <c r="W97" i="149"/>
  <c r="V97" i="149"/>
  <c r="U97" i="149"/>
  <c r="T97" i="149"/>
  <c r="S97" i="149"/>
  <c r="R97" i="149"/>
  <c r="Y96" i="149"/>
  <c r="X96" i="149"/>
  <c r="W96" i="149"/>
  <c r="V96" i="149"/>
  <c r="U96" i="149"/>
  <c r="T96" i="149"/>
  <c r="S96" i="149"/>
  <c r="R96" i="149"/>
  <c r="Y95" i="149"/>
  <c r="X95" i="149"/>
  <c r="W95" i="149"/>
  <c r="V95" i="149"/>
  <c r="U95" i="149"/>
  <c r="T95" i="149"/>
  <c r="S95" i="149"/>
  <c r="R95" i="149"/>
  <c r="Y94" i="149"/>
  <c r="X94" i="149"/>
  <c r="W94" i="149"/>
  <c r="V94" i="149"/>
  <c r="U94" i="149"/>
  <c r="T94" i="149"/>
  <c r="S94" i="149"/>
  <c r="R94" i="149"/>
  <c r="Q94" i="149"/>
  <c r="P94" i="149"/>
  <c r="O94" i="149"/>
  <c r="N94" i="149"/>
  <c r="M94" i="149"/>
  <c r="L94" i="149"/>
  <c r="K94" i="149"/>
  <c r="J94" i="149"/>
  <c r="A1" i="149"/>
  <c r="Y89" i="148"/>
  <c r="X89" i="148"/>
  <c r="W89" i="148"/>
  <c r="V89" i="148"/>
  <c r="U89" i="148"/>
  <c r="T89" i="148"/>
  <c r="S89" i="148"/>
  <c r="R89" i="148"/>
  <c r="Y88" i="148"/>
  <c r="X88" i="148"/>
  <c r="W88" i="148"/>
  <c r="V88" i="148"/>
  <c r="U88" i="148"/>
  <c r="T88" i="148"/>
  <c r="S88" i="148"/>
  <c r="R88" i="148"/>
  <c r="Y87" i="148"/>
  <c r="X87" i="148"/>
  <c r="W87" i="148"/>
  <c r="V87" i="148"/>
  <c r="U87" i="148"/>
  <c r="T87" i="148"/>
  <c r="S87" i="148"/>
  <c r="R87" i="148"/>
  <c r="Y86" i="148"/>
  <c r="X86" i="148"/>
  <c r="W86" i="148"/>
  <c r="V86" i="148"/>
  <c r="U86" i="148"/>
  <c r="T86" i="148"/>
  <c r="S86" i="148"/>
  <c r="R86" i="148"/>
  <c r="Y85" i="148"/>
  <c r="X85" i="148"/>
  <c r="W85" i="148"/>
  <c r="V85" i="148"/>
  <c r="U85" i="148"/>
  <c r="T85" i="148"/>
  <c r="S85" i="148"/>
  <c r="R85" i="148"/>
  <c r="Y84" i="148"/>
  <c r="X84" i="148"/>
  <c r="W84" i="148"/>
  <c r="V84" i="148"/>
  <c r="U84" i="148"/>
  <c r="T84" i="148"/>
  <c r="S84" i="148"/>
  <c r="R84" i="148"/>
  <c r="Y83" i="148"/>
  <c r="X83" i="148"/>
  <c r="W83" i="148"/>
  <c r="V83" i="148"/>
  <c r="U83" i="148"/>
  <c r="T83" i="148"/>
  <c r="S83" i="148"/>
  <c r="R83" i="148"/>
  <c r="Y82" i="148"/>
  <c r="X82" i="148"/>
  <c r="W82" i="148"/>
  <c r="V82" i="148"/>
  <c r="U82" i="148"/>
  <c r="T82" i="148"/>
  <c r="S82" i="148"/>
  <c r="R82" i="148"/>
  <c r="Y81" i="148"/>
  <c r="X81" i="148"/>
  <c r="W81" i="148"/>
  <c r="V81" i="148"/>
  <c r="U81" i="148"/>
  <c r="T81" i="148"/>
  <c r="S81" i="148"/>
  <c r="R81" i="148"/>
  <c r="Q81" i="148"/>
  <c r="P81" i="148"/>
  <c r="O81" i="148"/>
  <c r="N81" i="148"/>
  <c r="M81" i="148"/>
  <c r="L81" i="148"/>
  <c r="K81" i="148"/>
  <c r="J81" i="148"/>
  <c r="A1" i="148"/>
  <c r="Y120" i="147"/>
  <c r="X120" i="147"/>
  <c r="W120" i="147"/>
  <c r="V120" i="147"/>
  <c r="U120" i="147"/>
  <c r="T120" i="147"/>
  <c r="S120" i="147"/>
  <c r="R120" i="147"/>
  <c r="Y119" i="147"/>
  <c r="X119" i="147"/>
  <c r="W119" i="147"/>
  <c r="V119" i="147"/>
  <c r="U119" i="147"/>
  <c r="T119" i="147"/>
  <c r="S119" i="147"/>
  <c r="R119" i="147"/>
  <c r="Y118" i="147"/>
  <c r="X118" i="147"/>
  <c r="W118" i="147"/>
  <c r="V118" i="147"/>
  <c r="U118" i="147"/>
  <c r="T118" i="147"/>
  <c r="S118" i="147"/>
  <c r="R118" i="147"/>
  <c r="Y117" i="147"/>
  <c r="X117" i="147"/>
  <c r="W117" i="147"/>
  <c r="V117" i="147"/>
  <c r="U117" i="147"/>
  <c r="T117" i="147"/>
  <c r="S117" i="147"/>
  <c r="R117" i="147"/>
  <c r="Y116" i="147"/>
  <c r="X116" i="147"/>
  <c r="W116" i="147"/>
  <c r="V116" i="147"/>
  <c r="U116" i="147"/>
  <c r="T116" i="147"/>
  <c r="S116" i="147"/>
  <c r="R116" i="147"/>
  <c r="Y115" i="147"/>
  <c r="X115" i="147"/>
  <c r="W115" i="147"/>
  <c r="V115" i="147"/>
  <c r="U115" i="147"/>
  <c r="T115" i="147"/>
  <c r="S115" i="147"/>
  <c r="R115" i="147"/>
  <c r="Y114" i="147"/>
  <c r="X114" i="147"/>
  <c r="W114" i="147"/>
  <c r="V114" i="147"/>
  <c r="U114" i="147"/>
  <c r="T114" i="147"/>
  <c r="S114" i="147"/>
  <c r="R114" i="147"/>
  <c r="Y113" i="147"/>
  <c r="X113" i="147"/>
  <c r="W113" i="147"/>
  <c r="V113" i="147"/>
  <c r="U113" i="147"/>
  <c r="T113" i="147"/>
  <c r="S113" i="147"/>
  <c r="R113" i="147"/>
  <c r="Y112" i="147"/>
  <c r="X112" i="147"/>
  <c r="W112" i="147"/>
  <c r="V112" i="147"/>
  <c r="U112" i="147"/>
  <c r="T112" i="147"/>
  <c r="S112" i="147"/>
  <c r="R112" i="147"/>
  <c r="Q112" i="147"/>
  <c r="P112" i="147"/>
  <c r="O112" i="147"/>
  <c r="N112" i="147"/>
  <c r="M112" i="147"/>
  <c r="L112" i="147"/>
  <c r="K112" i="147"/>
  <c r="J112" i="147"/>
  <c r="A1" i="147"/>
  <c r="W26" i="146"/>
  <c r="V26" i="146"/>
  <c r="U26" i="146"/>
  <c r="T26" i="146"/>
  <c r="S26" i="146"/>
  <c r="R26" i="146"/>
  <c r="O26" i="146"/>
  <c r="N26" i="146"/>
  <c r="M26" i="146"/>
  <c r="L26" i="146"/>
  <c r="K26" i="146"/>
  <c r="J26" i="146"/>
  <c r="Y25" i="146"/>
  <c r="X25" i="146"/>
  <c r="P25" i="146"/>
  <c r="M25" i="146"/>
  <c r="K25" i="146"/>
  <c r="A1" i="146"/>
  <c r="A1" i="145"/>
  <c r="U129" i="144"/>
  <c r="T129" i="144"/>
  <c r="K76" i="144"/>
  <c r="A1" i="144"/>
  <c r="W22" i="143"/>
  <c r="V22" i="143"/>
  <c r="U22" i="143"/>
  <c r="T22" i="143"/>
  <c r="S22" i="143"/>
  <c r="R22" i="143"/>
  <c r="O22" i="143"/>
  <c r="N22" i="143"/>
  <c r="M22" i="143"/>
  <c r="L22" i="143"/>
  <c r="K22" i="143"/>
  <c r="J22" i="143"/>
  <c r="Y21" i="143"/>
  <c r="X21" i="143"/>
  <c r="P21" i="143"/>
  <c r="M21" i="143"/>
  <c r="K21" i="143"/>
  <c r="A1" i="143"/>
  <c r="M204" i="142"/>
  <c r="K204" i="142"/>
  <c r="Y31" i="142"/>
  <c r="X31" i="142"/>
  <c r="W31" i="142"/>
  <c r="V31" i="142"/>
  <c r="U31" i="142"/>
  <c r="T31" i="142"/>
  <c r="S31" i="142"/>
  <c r="R31" i="142"/>
  <c r="Y30" i="142"/>
  <c r="X30" i="142"/>
  <c r="W30" i="142"/>
  <c r="V30" i="142"/>
  <c r="U30" i="142"/>
  <c r="T30" i="142"/>
  <c r="S30" i="142"/>
  <c r="R30" i="142"/>
  <c r="Y29" i="142"/>
  <c r="X29" i="142"/>
  <c r="W29" i="142"/>
  <c r="V29" i="142"/>
  <c r="U29" i="142"/>
  <c r="T29" i="142"/>
  <c r="S29" i="142"/>
  <c r="R29" i="142"/>
  <c r="Y28" i="142"/>
  <c r="X28" i="142"/>
  <c r="W28" i="142"/>
  <c r="V28" i="142"/>
  <c r="U28" i="142"/>
  <c r="T28" i="142"/>
  <c r="S28" i="142"/>
  <c r="R28" i="142"/>
  <c r="Y27" i="142"/>
  <c r="X27" i="142"/>
  <c r="W27" i="142"/>
  <c r="V27" i="142"/>
  <c r="U27" i="142"/>
  <c r="T27" i="142"/>
  <c r="S27" i="142"/>
  <c r="R27" i="142"/>
  <c r="Y26" i="142"/>
  <c r="X26" i="142"/>
  <c r="W26" i="142"/>
  <c r="V26" i="142"/>
  <c r="U26" i="142"/>
  <c r="T26" i="142"/>
  <c r="S26" i="142"/>
  <c r="R26" i="142"/>
  <c r="Y25" i="142"/>
  <c r="X25" i="142"/>
  <c r="W25" i="142"/>
  <c r="V25" i="142"/>
  <c r="U25" i="142"/>
  <c r="T25" i="142"/>
  <c r="S25" i="142"/>
  <c r="R25" i="142"/>
  <c r="Y24" i="142"/>
  <c r="X24" i="142"/>
  <c r="W24" i="142"/>
  <c r="V24" i="142"/>
  <c r="U24" i="142"/>
  <c r="T24" i="142"/>
  <c r="S24" i="142"/>
  <c r="R24" i="142"/>
  <c r="Y23" i="142"/>
  <c r="X23" i="142"/>
  <c r="W23" i="142"/>
  <c r="V23" i="142"/>
  <c r="U23" i="142"/>
  <c r="T23" i="142"/>
  <c r="S23" i="142"/>
  <c r="R23" i="142"/>
  <c r="Q23" i="142"/>
  <c r="P23" i="142"/>
  <c r="O23" i="142"/>
  <c r="N23" i="142"/>
  <c r="M23" i="142"/>
  <c r="L23" i="142"/>
  <c r="K23" i="142"/>
  <c r="J23" i="142"/>
  <c r="A1" i="142"/>
  <c r="Y63" i="141"/>
  <c r="Y85" i="141" s="1"/>
  <c r="X63" i="141"/>
  <c r="X85" i="141" s="1"/>
  <c r="W63" i="141"/>
  <c r="W85" i="141" s="1"/>
  <c r="V63" i="141"/>
  <c r="V85" i="141" s="1"/>
  <c r="U63" i="141"/>
  <c r="U85" i="141" s="1"/>
  <c r="T63" i="141"/>
  <c r="T85" i="141" s="1"/>
  <c r="S63" i="141"/>
  <c r="S85" i="141" s="1"/>
  <c r="R63" i="141"/>
  <c r="R85" i="141" s="1"/>
  <c r="M63" i="141"/>
  <c r="K63" i="141"/>
  <c r="Y62" i="141"/>
  <c r="X62" i="141"/>
  <c r="W62" i="141"/>
  <c r="W83" i="141" s="1"/>
  <c r="V62" i="141"/>
  <c r="V83" i="141" s="1"/>
  <c r="U62" i="141"/>
  <c r="T62" i="141"/>
  <c r="S62" i="141"/>
  <c r="S83" i="141" s="1"/>
  <c r="R62" i="141"/>
  <c r="R83" i="141" s="1"/>
  <c r="A1" i="141"/>
  <c r="Y131" i="140"/>
  <c r="W131" i="140"/>
  <c r="U131" i="140"/>
  <c r="S131" i="140"/>
  <c r="R131" i="140"/>
  <c r="Q131" i="140"/>
  <c r="M131" i="140"/>
  <c r="L131" i="140"/>
  <c r="K131" i="140"/>
  <c r="J131" i="140"/>
  <c r="Y130" i="140"/>
  <c r="X130" i="140"/>
  <c r="W130" i="140"/>
  <c r="V130" i="140"/>
  <c r="U130" i="140"/>
  <c r="S130" i="140"/>
  <c r="R130" i="140"/>
  <c r="Q130" i="140"/>
  <c r="P130" i="140"/>
  <c r="O130" i="140"/>
  <c r="M130" i="140"/>
  <c r="L130" i="140"/>
  <c r="K130" i="140"/>
  <c r="J130" i="140"/>
  <c r="Y129" i="140"/>
  <c r="W129" i="140"/>
  <c r="U129" i="140"/>
  <c r="S129" i="140"/>
  <c r="R129" i="140"/>
  <c r="Q129" i="140"/>
  <c r="M129" i="140"/>
  <c r="L129" i="140"/>
  <c r="K129" i="140"/>
  <c r="J129" i="140"/>
  <c r="Y120" i="140"/>
  <c r="X120" i="140"/>
  <c r="W120" i="140"/>
  <c r="V120" i="140"/>
  <c r="U120" i="140"/>
  <c r="T120" i="140"/>
  <c r="S120" i="140"/>
  <c r="R120" i="140"/>
  <c r="Q120" i="140"/>
  <c r="M120" i="140"/>
  <c r="L120" i="140"/>
  <c r="K120" i="140"/>
  <c r="J120" i="140"/>
  <c r="Y119" i="140"/>
  <c r="X119" i="140"/>
  <c r="W119" i="140"/>
  <c r="V119" i="140"/>
  <c r="U119" i="140"/>
  <c r="T119" i="140"/>
  <c r="S119" i="140"/>
  <c r="R119" i="140"/>
  <c r="Q119" i="140"/>
  <c r="P119" i="140"/>
  <c r="O119" i="140"/>
  <c r="M119" i="140"/>
  <c r="L119" i="140"/>
  <c r="K119" i="140"/>
  <c r="J119" i="140"/>
  <c r="Y118" i="140"/>
  <c r="X118" i="140"/>
  <c r="W118" i="140"/>
  <c r="V118" i="140"/>
  <c r="U118" i="140"/>
  <c r="T118" i="140"/>
  <c r="S118" i="140"/>
  <c r="R118" i="140"/>
  <c r="Q118" i="140"/>
  <c r="M118" i="140"/>
  <c r="L118" i="140"/>
  <c r="K118" i="140"/>
  <c r="J118" i="140"/>
  <c r="Y109" i="140"/>
  <c r="X109" i="140"/>
  <c r="W109" i="140"/>
  <c r="V109" i="140"/>
  <c r="U109" i="140"/>
  <c r="T109" i="140"/>
  <c r="S109" i="140"/>
  <c r="R109" i="140"/>
  <c r="Q109" i="140"/>
  <c r="M109" i="140"/>
  <c r="L109" i="140"/>
  <c r="K109" i="140"/>
  <c r="J109" i="140"/>
  <c r="Y108" i="140"/>
  <c r="X108" i="140"/>
  <c r="W108" i="140"/>
  <c r="V108" i="140"/>
  <c r="U108" i="140"/>
  <c r="T108" i="140"/>
  <c r="S108" i="140"/>
  <c r="R108" i="140"/>
  <c r="Q108" i="140"/>
  <c r="P108" i="140"/>
  <c r="O108" i="140"/>
  <c r="M108" i="140"/>
  <c r="L108" i="140"/>
  <c r="K108" i="140"/>
  <c r="J108" i="140"/>
  <c r="Y107" i="140"/>
  <c r="X107" i="140"/>
  <c r="W107" i="140"/>
  <c r="V107" i="140"/>
  <c r="U107" i="140"/>
  <c r="T107" i="140"/>
  <c r="S107" i="140"/>
  <c r="R107" i="140"/>
  <c r="Q107" i="140"/>
  <c r="M107" i="140"/>
  <c r="L107" i="140"/>
  <c r="K107" i="140"/>
  <c r="J107" i="140"/>
  <c r="Y98" i="140"/>
  <c r="W98" i="140"/>
  <c r="U98" i="140"/>
  <c r="Y97" i="140"/>
  <c r="X97" i="140"/>
  <c r="W97" i="140"/>
  <c r="V97" i="140"/>
  <c r="U97" i="140"/>
  <c r="S97" i="140"/>
  <c r="P97" i="140"/>
  <c r="O97" i="140"/>
  <c r="Y83" i="140"/>
  <c r="W83" i="140"/>
  <c r="U83" i="140"/>
  <c r="Y82" i="140"/>
  <c r="X82" i="140"/>
  <c r="W82" i="140"/>
  <c r="V82" i="140"/>
  <c r="U82" i="140"/>
  <c r="S82" i="140"/>
  <c r="P82" i="140"/>
  <c r="O82" i="140"/>
  <c r="Y72" i="140"/>
  <c r="W72" i="140"/>
  <c r="U72" i="140"/>
  <c r="Y71" i="140"/>
  <c r="X71" i="140"/>
  <c r="W71" i="140"/>
  <c r="V71" i="140"/>
  <c r="U71" i="140"/>
  <c r="S71" i="140"/>
  <c r="P71" i="140"/>
  <c r="O71" i="140"/>
  <c r="Y61" i="140"/>
  <c r="W61" i="140"/>
  <c r="U61" i="140"/>
  <c r="Y60" i="140"/>
  <c r="X60" i="140"/>
  <c r="W60" i="140"/>
  <c r="V60" i="140"/>
  <c r="U60" i="140"/>
  <c r="S60" i="140"/>
  <c r="P60" i="140"/>
  <c r="O60" i="140"/>
  <c r="A1" i="140"/>
  <c r="S46" i="139"/>
  <c r="R46" i="139"/>
  <c r="Q46" i="139"/>
  <c r="P46" i="139"/>
  <c r="S45" i="139"/>
  <c r="R45" i="139"/>
  <c r="S44" i="139"/>
  <c r="A1" i="139"/>
  <c r="Q119" i="138"/>
  <c r="S118" i="138"/>
  <c r="K118" i="138"/>
  <c r="Q117" i="138"/>
  <c r="S116" i="138"/>
  <c r="K116" i="138"/>
  <c r="Q115" i="138"/>
  <c r="S114" i="138"/>
  <c r="K114" i="138"/>
  <c r="Q113" i="138"/>
  <c r="S112" i="138"/>
  <c r="K112" i="138"/>
  <c r="Q111" i="138"/>
  <c r="S110" i="138"/>
  <c r="K110" i="138"/>
  <c r="Q109" i="138"/>
  <c r="S108" i="138"/>
  <c r="K108" i="138"/>
  <c r="Q107" i="138"/>
  <c r="S106" i="138"/>
  <c r="K106" i="138"/>
  <c r="Q105" i="138"/>
  <c r="S104" i="138"/>
  <c r="K104" i="138"/>
  <c r="R80" i="138"/>
  <c r="L80" i="138"/>
  <c r="J80" i="138"/>
  <c r="R79" i="138"/>
  <c r="L79" i="138"/>
  <c r="J79" i="138"/>
  <c r="R78" i="138"/>
  <c r="L78" i="138"/>
  <c r="J78" i="138"/>
  <c r="R77" i="138"/>
  <c r="L77" i="138"/>
  <c r="J77" i="138"/>
  <c r="R76" i="138"/>
  <c r="L76" i="138"/>
  <c r="J76" i="138"/>
  <c r="R75" i="138"/>
  <c r="L75" i="138"/>
  <c r="J75" i="138"/>
  <c r="R74" i="138"/>
  <c r="L74" i="138"/>
  <c r="J74" i="138"/>
  <c r="R73" i="138"/>
  <c r="L73" i="138"/>
  <c r="J73" i="138"/>
  <c r="R72" i="138"/>
  <c r="L72" i="138"/>
  <c r="J72" i="138"/>
  <c r="R71" i="138"/>
  <c r="L71" i="138"/>
  <c r="J71" i="138"/>
  <c r="R70" i="138"/>
  <c r="L70" i="138"/>
  <c r="J70" i="138"/>
  <c r="R69" i="138"/>
  <c r="L69" i="138"/>
  <c r="J69" i="138"/>
  <c r="R68" i="138"/>
  <c r="L68" i="138"/>
  <c r="J68" i="138"/>
  <c r="R67" i="138"/>
  <c r="L67" i="138"/>
  <c r="J67" i="138"/>
  <c r="R66" i="138"/>
  <c r="L66" i="138"/>
  <c r="J66" i="138"/>
  <c r="R65" i="138"/>
  <c r="L65" i="138"/>
  <c r="J65" i="138"/>
  <c r="S80" i="138"/>
  <c r="J20" i="138"/>
  <c r="A1" i="138"/>
  <c r="Q52" i="137"/>
  <c r="O52" i="137"/>
  <c r="M52" i="137"/>
  <c r="K52" i="137"/>
  <c r="Q51" i="137"/>
  <c r="O51" i="137"/>
  <c r="M51" i="137"/>
  <c r="K51" i="137"/>
  <c r="Q50" i="137"/>
  <c r="O50" i="137"/>
  <c r="M50" i="137"/>
  <c r="K50" i="137"/>
  <c r="Q49" i="137"/>
  <c r="O49" i="137"/>
  <c r="M49" i="137"/>
  <c r="K49" i="137"/>
  <c r="Q48" i="137"/>
  <c r="O48" i="137"/>
  <c r="M48" i="137"/>
  <c r="K48" i="137"/>
  <c r="Q47" i="137"/>
  <c r="O47" i="137"/>
  <c r="M47" i="137"/>
  <c r="K47" i="137"/>
  <c r="Q46" i="137"/>
  <c r="O46" i="137"/>
  <c r="M46" i="137"/>
  <c r="K46" i="137"/>
  <c r="P52" i="137"/>
  <c r="N52" i="137"/>
  <c r="L52" i="137"/>
  <c r="J52" i="137"/>
  <c r="P51" i="137"/>
  <c r="N51" i="137"/>
  <c r="L51" i="137"/>
  <c r="J51" i="137"/>
  <c r="P50" i="137"/>
  <c r="N50" i="137"/>
  <c r="L50" i="137"/>
  <c r="J50" i="137"/>
  <c r="P47" i="137"/>
  <c r="N47" i="137"/>
  <c r="L47" i="137"/>
  <c r="J47" i="137"/>
  <c r="P46" i="137"/>
  <c r="N46" i="137"/>
  <c r="L46" i="137"/>
  <c r="J46" i="137"/>
  <c r="A1" i="137"/>
  <c r="A1" i="136"/>
  <c r="A1" i="135"/>
  <c r="A1" i="134"/>
  <c r="S96" i="98" l="1"/>
  <c r="R96" i="98"/>
  <c r="Q94" i="98"/>
  <c r="U87" i="150"/>
  <c r="U73" i="150"/>
  <c r="U93" i="150"/>
  <c r="U75" i="150"/>
  <c r="U85" i="150"/>
  <c r="Y73" i="150"/>
  <c r="U89" i="150"/>
  <c r="Y89" i="150"/>
  <c r="X95" i="154"/>
  <c r="X96" i="154"/>
  <c r="U77" i="150"/>
  <c r="U91" i="150"/>
  <c r="Y77" i="150"/>
  <c r="O95" i="154"/>
  <c r="O96" i="154"/>
  <c r="U79" i="150"/>
  <c r="Y93" i="150"/>
  <c r="Y85" i="150"/>
  <c r="Q46" i="152"/>
  <c r="Q47" i="153" s="1"/>
  <c r="V46" i="152"/>
  <c r="V47" i="153" s="1"/>
  <c r="Y79" i="150"/>
  <c r="Y91" i="150"/>
  <c r="W95" i="154"/>
  <c r="R72" i="150"/>
  <c r="R73" i="150"/>
  <c r="R74" i="150"/>
  <c r="R75" i="150"/>
  <c r="R76" i="150"/>
  <c r="R77" i="150"/>
  <c r="R78" i="150"/>
  <c r="R79" i="150"/>
  <c r="R84" i="150"/>
  <c r="R85" i="150"/>
  <c r="R86" i="150"/>
  <c r="R87" i="150"/>
  <c r="R88" i="150"/>
  <c r="R89" i="150"/>
  <c r="R90" i="150"/>
  <c r="R91" i="150"/>
  <c r="R92" i="150"/>
  <c r="R93" i="150"/>
  <c r="U72" i="150"/>
  <c r="U76" i="150"/>
  <c r="U84" i="150"/>
  <c r="U88" i="150"/>
  <c r="U92" i="150"/>
  <c r="V95" i="154"/>
  <c r="V96" i="154"/>
  <c r="Y75" i="150"/>
  <c r="Y87" i="150"/>
  <c r="W96" i="154"/>
  <c r="Y89" i="141"/>
  <c r="Y267" i="141" s="1"/>
  <c r="Y78" i="145" s="1"/>
  <c r="Y72" i="150"/>
  <c r="Y76" i="150"/>
  <c r="Y84" i="150"/>
  <c r="Y88" i="150"/>
  <c r="Y92" i="150"/>
  <c r="V72" i="150"/>
  <c r="V73" i="150"/>
  <c r="V74" i="150"/>
  <c r="V75" i="150"/>
  <c r="V76" i="150"/>
  <c r="V77" i="150"/>
  <c r="V78" i="150"/>
  <c r="V79" i="150"/>
  <c r="V84" i="150"/>
  <c r="V85" i="150"/>
  <c r="V86" i="150"/>
  <c r="V87" i="150"/>
  <c r="V88" i="150"/>
  <c r="V89" i="150"/>
  <c r="V90" i="150"/>
  <c r="V91" i="150"/>
  <c r="V92" i="150"/>
  <c r="V93" i="150"/>
  <c r="U74" i="150"/>
  <c r="U78" i="150"/>
  <c r="U86" i="150"/>
  <c r="O100" i="154"/>
  <c r="U89" i="141"/>
  <c r="U267" i="141" s="1"/>
  <c r="U78" i="145" s="1"/>
  <c r="Y74" i="150"/>
  <c r="Y78" i="150"/>
  <c r="Y86" i="150"/>
  <c r="P100" i="154"/>
  <c r="Y110" i="154"/>
  <c r="R46" i="152"/>
  <c r="R47" i="153" s="1"/>
  <c r="T46" i="152"/>
  <c r="T47" i="153" s="1"/>
  <c r="X46" i="152"/>
  <c r="X47" i="153" s="1"/>
  <c r="S46" i="152"/>
  <c r="S47" i="153" s="1"/>
  <c r="U100" i="154"/>
  <c r="Y100" i="154"/>
  <c r="W106" i="154"/>
  <c r="W110" i="154"/>
  <c r="U95" i="154"/>
  <c r="Y95" i="154"/>
  <c r="U105" i="154"/>
  <c r="R91" i="141"/>
  <c r="V91" i="141"/>
  <c r="T89" i="141"/>
  <c r="T267" i="141" s="1"/>
  <c r="T78" i="145" s="1"/>
  <c r="X89" i="141"/>
  <c r="X267" i="141" s="1"/>
  <c r="X78" i="145" s="1"/>
  <c r="W89" i="141"/>
  <c r="W267" i="141" s="1"/>
  <c r="W78" i="145" s="1"/>
  <c r="S91" i="141"/>
  <c r="Y83" i="141"/>
  <c r="Y91" i="141" s="1"/>
  <c r="S89" i="141"/>
  <c r="S267" i="141" s="1"/>
  <c r="S78" i="145" s="1"/>
  <c r="W91" i="141"/>
  <c r="R89" i="141"/>
  <c r="R267" i="141" s="1"/>
  <c r="R78" i="145" s="1"/>
  <c r="V89" i="141"/>
  <c r="V267" i="141" s="1"/>
  <c r="V78" i="145" s="1"/>
  <c r="U83" i="141"/>
  <c r="U91" i="141" s="1"/>
  <c r="K46" i="152"/>
  <c r="K47" i="153" s="1"/>
  <c r="V94" i="154"/>
  <c r="M46" i="152"/>
  <c r="L83" i="148"/>
  <c r="L96" i="149"/>
  <c r="L114" i="147"/>
  <c r="L25" i="142"/>
  <c r="P83" i="148"/>
  <c r="P96" i="149"/>
  <c r="P114" i="147"/>
  <c r="P25" i="142"/>
  <c r="L97" i="149"/>
  <c r="L84" i="148"/>
  <c r="L115" i="147"/>
  <c r="L26" i="142"/>
  <c r="P97" i="149"/>
  <c r="P84" i="148"/>
  <c r="P115" i="147"/>
  <c r="P26" i="142"/>
  <c r="L49" i="137"/>
  <c r="L48" i="137"/>
  <c r="P49" i="137"/>
  <c r="P48" i="137"/>
  <c r="L100" i="149"/>
  <c r="L87" i="148"/>
  <c r="L118" i="147"/>
  <c r="L29" i="142"/>
  <c r="P87" i="148"/>
  <c r="P100" i="149"/>
  <c r="P118" i="147"/>
  <c r="P29" i="142"/>
  <c r="L101" i="149"/>
  <c r="L88" i="148"/>
  <c r="L119" i="147"/>
  <c r="L30" i="142"/>
  <c r="P101" i="149"/>
  <c r="P88" i="148"/>
  <c r="P119" i="147"/>
  <c r="P30" i="142"/>
  <c r="L89" i="148"/>
  <c r="L102" i="149"/>
  <c r="L120" i="147"/>
  <c r="L31" i="142"/>
  <c r="P102" i="149"/>
  <c r="P89" i="148"/>
  <c r="P120" i="147"/>
  <c r="P31" i="142"/>
  <c r="M96" i="149"/>
  <c r="M83" i="148"/>
  <c r="M114" i="147"/>
  <c r="M25" i="142"/>
  <c r="M97" i="149"/>
  <c r="M84" i="148"/>
  <c r="M115" i="147"/>
  <c r="M26" i="142"/>
  <c r="M98" i="149"/>
  <c r="M85" i="148"/>
  <c r="M116" i="147"/>
  <c r="M27" i="142"/>
  <c r="M99" i="149"/>
  <c r="M117" i="147"/>
  <c r="M86" i="148"/>
  <c r="M28" i="142"/>
  <c r="M100" i="149"/>
  <c r="M87" i="148"/>
  <c r="M118" i="147"/>
  <c r="M29" i="142"/>
  <c r="M101" i="149"/>
  <c r="M119" i="147"/>
  <c r="M88" i="148"/>
  <c r="M30" i="142"/>
  <c r="M102" i="149"/>
  <c r="M89" i="148"/>
  <c r="M120" i="147"/>
  <c r="M31" i="142"/>
  <c r="N96" i="149"/>
  <c r="N114" i="147"/>
  <c r="N83" i="148"/>
  <c r="N25" i="142"/>
  <c r="N97" i="149"/>
  <c r="N115" i="147"/>
  <c r="N84" i="148"/>
  <c r="N26" i="142"/>
  <c r="N49" i="137"/>
  <c r="N48" i="137"/>
  <c r="N100" i="149"/>
  <c r="N118" i="147"/>
  <c r="N87" i="148"/>
  <c r="N29" i="142"/>
  <c r="N101" i="149"/>
  <c r="N119" i="147"/>
  <c r="N88" i="148"/>
  <c r="N30" i="142"/>
  <c r="N102" i="149"/>
  <c r="N120" i="147"/>
  <c r="N89" i="148"/>
  <c r="N31" i="142"/>
  <c r="Q97" i="149"/>
  <c r="Q84" i="148"/>
  <c r="Q115" i="147"/>
  <c r="Q26" i="142"/>
  <c r="Q99" i="149"/>
  <c r="Q86" i="148"/>
  <c r="Q117" i="147"/>
  <c r="Q28" i="142"/>
  <c r="Q101" i="149"/>
  <c r="Q88" i="148"/>
  <c r="Q119" i="147"/>
  <c r="Q30" i="142"/>
  <c r="J96" i="149"/>
  <c r="J114" i="147"/>
  <c r="J83" i="148"/>
  <c r="J25" i="142"/>
  <c r="J97" i="149"/>
  <c r="J115" i="147"/>
  <c r="J84" i="148"/>
  <c r="J26" i="142"/>
  <c r="J49" i="137"/>
  <c r="J48" i="137"/>
  <c r="J100" i="149"/>
  <c r="J118" i="147"/>
  <c r="J87" i="148"/>
  <c r="J29" i="142"/>
  <c r="J101" i="149"/>
  <c r="J119" i="147"/>
  <c r="J88" i="148"/>
  <c r="J30" i="142"/>
  <c r="J102" i="149"/>
  <c r="J120" i="147"/>
  <c r="J89" i="148"/>
  <c r="J31" i="142"/>
  <c r="Q96" i="149"/>
  <c r="Q83" i="148"/>
  <c r="Q114" i="147"/>
  <c r="Q25" i="142"/>
  <c r="Q85" i="148"/>
  <c r="Q98" i="149"/>
  <c r="Q116" i="147"/>
  <c r="Q27" i="142"/>
  <c r="Q100" i="149"/>
  <c r="Q87" i="148"/>
  <c r="Q118" i="147"/>
  <c r="Q29" i="142"/>
  <c r="Q102" i="149"/>
  <c r="Q89" i="148"/>
  <c r="Q120" i="147"/>
  <c r="Q31" i="142"/>
  <c r="K96" i="149"/>
  <c r="K83" i="148"/>
  <c r="K114" i="147"/>
  <c r="K25" i="142"/>
  <c r="K97" i="149"/>
  <c r="K84" i="148"/>
  <c r="K115" i="147"/>
  <c r="K26" i="142"/>
  <c r="K85" i="148"/>
  <c r="K98" i="149"/>
  <c r="K116" i="147"/>
  <c r="K27" i="142"/>
  <c r="K99" i="149"/>
  <c r="K86" i="148"/>
  <c r="K117" i="147"/>
  <c r="K28" i="142"/>
  <c r="K100" i="149"/>
  <c r="K87" i="148"/>
  <c r="K118" i="147"/>
  <c r="K29" i="142"/>
  <c r="K101" i="149"/>
  <c r="K88" i="148"/>
  <c r="K119" i="147"/>
  <c r="K30" i="142"/>
  <c r="K89" i="148"/>
  <c r="K102" i="149"/>
  <c r="K120" i="147"/>
  <c r="K31" i="142"/>
  <c r="K105" i="138"/>
  <c r="S105" i="138"/>
  <c r="Q106" i="138"/>
  <c r="K109" i="138"/>
  <c r="S109" i="138"/>
  <c r="Q110" i="138"/>
  <c r="K113" i="138"/>
  <c r="S113" i="138"/>
  <c r="Q114" i="138"/>
  <c r="K117" i="138"/>
  <c r="S117" i="138"/>
  <c r="Q118" i="138"/>
  <c r="O96" i="149"/>
  <c r="O83" i="148"/>
  <c r="O114" i="147"/>
  <c r="O25" i="142"/>
  <c r="O84" i="148"/>
  <c r="O97" i="149"/>
  <c r="O115" i="147"/>
  <c r="O26" i="142"/>
  <c r="O98" i="149"/>
  <c r="O85" i="148"/>
  <c r="O116" i="147"/>
  <c r="O27" i="142"/>
  <c r="O99" i="149"/>
  <c r="O86" i="148"/>
  <c r="O117" i="147"/>
  <c r="O28" i="142"/>
  <c r="O100" i="149"/>
  <c r="O87" i="148"/>
  <c r="O118" i="147"/>
  <c r="O29" i="142"/>
  <c r="O101" i="149"/>
  <c r="O88" i="148"/>
  <c r="O119" i="147"/>
  <c r="O30" i="142"/>
  <c r="O102" i="149"/>
  <c r="O89" i="148"/>
  <c r="O120" i="147"/>
  <c r="O31" i="142"/>
  <c r="J21" i="138"/>
  <c r="J23" i="138" s="1"/>
  <c r="R119" i="138"/>
  <c r="J119" i="138"/>
  <c r="L118" i="138"/>
  <c r="R117" i="138"/>
  <c r="J117" i="138"/>
  <c r="L116" i="138"/>
  <c r="R115" i="138"/>
  <c r="J115" i="138"/>
  <c r="L114" i="138"/>
  <c r="R113" i="138"/>
  <c r="J113" i="138"/>
  <c r="L112" i="138"/>
  <c r="R111" i="138"/>
  <c r="J111" i="138"/>
  <c r="L110" i="138"/>
  <c r="R109" i="138"/>
  <c r="J109" i="138"/>
  <c r="L108" i="138"/>
  <c r="R107" i="138"/>
  <c r="J107" i="138"/>
  <c r="L106" i="138"/>
  <c r="R105" i="138"/>
  <c r="J105" i="138"/>
  <c r="L104" i="138"/>
  <c r="L119" i="138"/>
  <c r="R118" i="138"/>
  <c r="J118" i="138"/>
  <c r="L117" i="138"/>
  <c r="R116" i="138"/>
  <c r="J116" i="138"/>
  <c r="L115" i="138"/>
  <c r="R114" i="138"/>
  <c r="J114" i="138"/>
  <c r="L113" i="138"/>
  <c r="R112" i="138"/>
  <c r="J112" i="138"/>
  <c r="L111" i="138"/>
  <c r="R110" i="138"/>
  <c r="J110" i="138"/>
  <c r="L109" i="138"/>
  <c r="R108" i="138"/>
  <c r="J108" i="138"/>
  <c r="L107" i="138"/>
  <c r="R106" i="138"/>
  <c r="J106" i="138"/>
  <c r="L105" i="138"/>
  <c r="R104" i="138"/>
  <c r="J104" i="138"/>
  <c r="Q104" i="138"/>
  <c r="K107" i="138"/>
  <c r="S107" i="138"/>
  <c r="Q108" i="138"/>
  <c r="K111" i="138"/>
  <c r="S111" i="138"/>
  <c r="Q112" i="138"/>
  <c r="K115" i="138"/>
  <c r="S115" i="138"/>
  <c r="Q116" i="138"/>
  <c r="K119" i="138"/>
  <c r="S119" i="138"/>
  <c r="K65" i="138"/>
  <c r="S65" i="138"/>
  <c r="Q66" i="138"/>
  <c r="K67" i="138"/>
  <c r="S67" i="138"/>
  <c r="Q68" i="138"/>
  <c r="K69" i="138"/>
  <c r="S69" i="138"/>
  <c r="Q70" i="138"/>
  <c r="K71" i="138"/>
  <c r="S71" i="138"/>
  <c r="Q72" i="138"/>
  <c r="K73" i="138"/>
  <c r="S73" i="138"/>
  <c r="Q74" i="138"/>
  <c r="K75" i="138"/>
  <c r="S75" i="138"/>
  <c r="Q76" i="138"/>
  <c r="K77" i="138"/>
  <c r="S77" i="138"/>
  <c r="Q78" i="138"/>
  <c r="K79" i="138"/>
  <c r="S79" i="138"/>
  <c r="Q80" i="138"/>
  <c r="T83" i="141"/>
  <c r="T91" i="141" s="1"/>
  <c r="X83" i="141"/>
  <c r="X91" i="141" s="1"/>
  <c r="Q65" i="138"/>
  <c r="K66" i="138"/>
  <c r="S66" i="138"/>
  <c r="Q67" i="138"/>
  <c r="K68" i="138"/>
  <c r="S68" i="138"/>
  <c r="Q69" i="138"/>
  <c r="K70" i="138"/>
  <c r="S70" i="138"/>
  <c r="Q71" i="138"/>
  <c r="K72" i="138"/>
  <c r="S72" i="138"/>
  <c r="Q73" i="138"/>
  <c r="K74" i="138"/>
  <c r="S74" i="138"/>
  <c r="Q75" i="138"/>
  <c r="K76" i="138"/>
  <c r="S76" i="138"/>
  <c r="Q77" i="138"/>
  <c r="K78" i="138"/>
  <c r="S78" i="138"/>
  <c r="Q79" i="138"/>
  <c r="K80" i="138"/>
  <c r="K108" i="144"/>
  <c r="L293" i="149"/>
  <c r="P293" i="149"/>
  <c r="N293" i="149"/>
  <c r="S93" i="150"/>
  <c r="S92" i="150"/>
  <c r="S91" i="150"/>
  <c r="S90" i="150"/>
  <c r="S89" i="150"/>
  <c r="S88" i="150"/>
  <c r="S87" i="150"/>
  <c r="S86" i="150"/>
  <c r="S85" i="150"/>
  <c r="S84" i="150"/>
  <c r="S79" i="150"/>
  <c r="S78" i="150"/>
  <c r="S77" i="150"/>
  <c r="S76" i="150"/>
  <c r="S75" i="150"/>
  <c r="S74" i="150"/>
  <c r="S73" i="150"/>
  <c r="S72" i="150"/>
  <c r="W93" i="150"/>
  <c r="W92" i="150"/>
  <c r="W91" i="150"/>
  <c r="W90" i="150"/>
  <c r="W89" i="150"/>
  <c r="W88" i="150"/>
  <c r="W87" i="150"/>
  <c r="W86" i="150"/>
  <c r="W85" i="150"/>
  <c r="W84" i="150"/>
  <c r="W79" i="150"/>
  <c r="W78" i="150"/>
  <c r="W77" i="150"/>
  <c r="W76" i="150"/>
  <c r="W75" i="150"/>
  <c r="W74" i="150"/>
  <c r="W73" i="150"/>
  <c r="W72" i="150"/>
  <c r="T93" i="150"/>
  <c r="T92" i="150"/>
  <c r="T91" i="150"/>
  <c r="T90" i="150"/>
  <c r="T89" i="150"/>
  <c r="T88" i="150"/>
  <c r="T87" i="150"/>
  <c r="T86" i="150"/>
  <c r="T85" i="150"/>
  <c r="T84" i="150"/>
  <c r="T79" i="150"/>
  <c r="T78" i="150"/>
  <c r="T77" i="150"/>
  <c r="T76" i="150"/>
  <c r="T75" i="150"/>
  <c r="T74" i="150"/>
  <c r="T73" i="150"/>
  <c r="T72" i="150"/>
  <c r="X93" i="150"/>
  <c r="X92" i="150"/>
  <c r="X91" i="150"/>
  <c r="X90" i="150"/>
  <c r="X89" i="150"/>
  <c r="X88" i="150"/>
  <c r="X87" i="150"/>
  <c r="X86" i="150"/>
  <c r="X85" i="150"/>
  <c r="X84" i="150"/>
  <c r="X79" i="150"/>
  <c r="X78" i="150"/>
  <c r="X77" i="150"/>
  <c r="X76" i="150"/>
  <c r="X75" i="150"/>
  <c r="X74" i="150"/>
  <c r="X73" i="150"/>
  <c r="X72" i="150"/>
  <c r="J293" i="149"/>
  <c r="V105" i="153"/>
  <c r="V134" i="153" s="1"/>
  <c r="V49" i="154" s="1"/>
  <c r="T106" i="153"/>
  <c r="T135" i="153" s="1"/>
  <c r="T50" i="154" s="1"/>
  <c r="X106" i="153"/>
  <c r="X135" i="153" s="1"/>
  <c r="X50" i="154" s="1"/>
  <c r="S105" i="153"/>
  <c r="S134" i="153" s="1"/>
  <c r="S49" i="154" s="1"/>
  <c r="T105" i="153"/>
  <c r="T134" i="153" s="1"/>
  <c r="T49" i="154" s="1"/>
  <c r="X105" i="153"/>
  <c r="X134" i="153" s="1"/>
  <c r="X49" i="154" s="1"/>
  <c r="V106" i="153"/>
  <c r="V135" i="153" s="1"/>
  <c r="V50" i="154" s="1"/>
  <c r="S106" i="153"/>
  <c r="S135" i="153" s="1"/>
  <c r="S50" i="154" s="1"/>
  <c r="M116" i="151"/>
  <c r="R105" i="153"/>
  <c r="R134" i="153" s="1"/>
  <c r="R49" i="154" s="1"/>
  <c r="R106" i="153"/>
  <c r="R135" i="153" s="1"/>
  <c r="R50" i="154" s="1"/>
  <c r="W44" i="152"/>
  <c r="W45" i="152"/>
  <c r="O94" i="154"/>
  <c r="S94" i="154"/>
  <c r="O129" i="154"/>
  <c r="W129" i="154"/>
  <c r="W104" i="154"/>
  <c r="W130" i="154"/>
  <c r="W94" i="154"/>
  <c r="P94" i="154"/>
  <c r="X94" i="154"/>
  <c r="P129" i="154"/>
  <c r="X129" i="154"/>
  <c r="U104" i="154"/>
  <c r="Y104" i="154"/>
  <c r="U94" i="154"/>
  <c r="Y94" i="154"/>
  <c r="A2" i="112"/>
  <c r="M47" i="153" l="1"/>
  <c r="J99" i="149"/>
  <c r="J117" i="147"/>
  <c r="J86" i="148"/>
  <c r="J28" i="142"/>
  <c r="L99" i="149"/>
  <c r="L86" i="148"/>
  <c r="L117" i="147"/>
  <c r="L28" i="142"/>
  <c r="N98" i="149"/>
  <c r="N116" i="147"/>
  <c r="N85" i="148"/>
  <c r="N27" i="142"/>
  <c r="P98" i="149"/>
  <c r="P85" i="148"/>
  <c r="P116" i="147"/>
  <c r="P27" i="142"/>
  <c r="N116" i="151"/>
  <c r="W46" i="152"/>
  <c r="N99" i="149"/>
  <c r="N117" i="147"/>
  <c r="N86" i="148"/>
  <c r="N28" i="142"/>
  <c r="P99" i="149"/>
  <c r="P86" i="148"/>
  <c r="P117" i="147"/>
  <c r="P28" i="142"/>
  <c r="H293" i="149"/>
  <c r="J98" i="149"/>
  <c r="J116" i="147"/>
  <c r="J85" i="148"/>
  <c r="J27" i="142"/>
  <c r="L85" i="148"/>
  <c r="L98" i="149"/>
  <c r="L116" i="147"/>
  <c r="L27" i="142"/>
  <c r="O116" i="151" l="1"/>
  <c r="W47" i="153"/>
  <c r="P116" i="151" l="1"/>
  <c r="Y170" i="112"/>
  <c r="X170" i="112"/>
  <c r="W170" i="112"/>
  <c r="V170" i="112"/>
  <c r="U170" i="112"/>
  <c r="T170" i="112"/>
  <c r="S170" i="112"/>
  <c r="R170" i="112"/>
  <c r="Q170" i="112"/>
  <c r="P170" i="112"/>
  <c r="O170" i="112"/>
  <c r="N170" i="112"/>
  <c r="M170" i="112"/>
  <c r="L170" i="112"/>
  <c r="K170" i="112"/>
  <c r="J170" i="112"/>
  <c r="Y169" i="112"/>
  <c r="X169" i="112"/>
  <c r="W169" i="112"/>
  <c r="V169" i="112"/>
  <c r="U169" i="112"/>
  <c r="T169" i="112"/>
  <c r="S169" i="112"/>
  <c r="R169" i="112"/>
  <c r="Q169" i="112"/>
  <c r="P169" i="112"/>
  <c r="O169" i="112"/>
  <c r="N169" i="112"/>
  <c r="M169" i="112"/>
  <c r="L169" i="112"/>
  <c r="K169" i="112"/>
  <c r="J169" i="112"/>
  <c r="Y168" i="112"/>
  <c r="X168" i="112"/>
  <c r="W168" i="112"/>
  <c r="V168" i="112"/>
  <c r="U168" i="112"/>
  <c r="T168" i="112"/>
  <c r="S168" i="112"/>
  <c r="R168" i="112"/>
  <c r="Q168" i="112"/>
  <c r="P168" i="112"/>
  <c r="O168" i="112"/>
  <c r="N168" i="112"/>
  <c r="M168" i="112"/>
  <c r="L168" i="112"/>
  <c r="K168" i="112"/>
  <c r="J168" i="112"/>
  <c r="Y167" i="112"/>
  <c r="X167" i="112"/>
  <c r="W167" i="112"/>
  <c r="V167" i="112"/>
  <c r="U167" i="112"/>
  <c r="T167" i="112"/>
  <c r="S167" i="112"/>
  <c r="R167" i="112"/>
  <c r="Q167" i="112"/>
  <c r="P167" i="112"/>
  <c r="O167" i="112"/>
  <c r="N167" i="112"/>
  <c r="M167" i="112"/>
  <c r="L167" i="112"/>
  <c r="K167" i="112"/>
  <c r="J167" i="112"/>
  <c r="Y166" i="112"/>
  <c r="X166" i="112"/>
  <c r="W166" i="112"/>
  <c r="V166" i="112"/>
  <c r="U166" i="112"/>
  <c r="T166" i="112"/>
  <c r="S166" i="112"/>
  <c r="R166" i="112"/>
  <c r="Q166" i="112"/>
  <c r="P166" i="112"/>
  <c r="O166" i="112"/>
  <c r="N166" i="112"/>
  <c r="M166" i="112"/>
  <c r="L166" i="112"/>
  <c r="K166" i="112"/>
  <c r="J166" i="112"/>
  <c r="H163" i="112" a="1"/>
  <c r="H163" i="112" s="1"/>
  <c r="A1" i="112"/>
  <c r="H170" i="112" l="1"/>
  <c r="H168" i="112"/>
  <c r="H167" i="112"/>
  <c r="H166" i="112"/>
  <c r="H169" i="112"/>
  <c r="Q116" i="151"/>
  <c r="O32" i="94"/>
  <c r="N32" i="94"/>
  <c r="L32" i="94"/>
  <c r="K26" i="94"/>
  <c r="M26" i="94"/>
  <c r="H172" i="112" l="1"/>
  <c r="A4" i="112" s="1"/>
  <c r="R116" i="151"/>
  <c r="O72" i="98"/>
  <c r="J37" i="55" l="1"/>
  <c r="S116" i="151"/>
  <c r="E109" i="106"/>
  <c r="E91" i="106"/>
  <c r="E73" i="106"/>
  <c r="E53" i="106"/>
  <c r="E35" i="106"/>
  <c r="E17" i="106"/>
  <c r="T116" i="151" l="1"/>
  <c r="B12" i="27"/>
  <c r="U116" i="151" l="1"/>
  <c r="H15" i="55"/>
  <c r="V116" i="151" l="1"/>
  <c r="H13" i="55"/>
  <c r="D12" i="27" s="1"/>
  <c r="W116" i="151" l="1"/>
  <c r="S192" i="100"/>
  <c r="R192" i="100"/>
  <c r="Q192" i="100"/>
  <c r="P192" i="100"/>
  <c r="O192" i="100"/>
  <c r="X116" i="151" l="1"/>
  <c r="H192" i="100"/>
  <c r="Y116" i="151" l="1"/>
  <c r="Z116" i="151" l="1"/>
  <c r="F34" i="55"/>
  <c r="AA116" i="151" l="1"/>
  <c r="AB116" i="151" l="1"/>
  <c r="R209" i="100"/>
  <c r="O210" i="100"/>
  <c r="O209" i="100"/>
  <c r="P210" i="100"/>
  <c r="S209" i="100"/>
  <c r="Q213" i="100"/>
  <c r="Q209" i="100"/>
  <c r="S213" i="100"/>
  <c r="P213" i="100"/>
  <c r="P209" i="100"/>
  <c r="Q210" i="100"/>
  <c r="R213" i="100"/>
  <c r="O213" i="100"/>
  <c r="M121" i="98"/>
  <c r="M122" i="98"/>
  <c r="Q122" i="98"/>
  <c r="Q121" i="98"/>
  <c r="N121" i="98"/>
  <c r="N122" i="98"/>
  <c r="R121" i="98"/>
  <c r="R122" i="98"/>
  <c r="O122" i="98"/>
  <c r="O121" i="98"/>
  <c r="S122" i="98"/>
  <c r="S121" i="98"/>
  <c r="P122" i="98"/>
  <c r="P121" i="98"/>
  <c r="O82" i="98"/>
  <c r="AC116" i="151" l="1"/>
  <c r="H209" i="100"/>
  <c r="H213" i="100"/>
  <c r="O75" i="98"/>
  <c r="O95" i="98" s="1"/>
  <c r="R210" i="100"/>
  <c r="P95" i="98" l="1"/>
  <c r="AD116" i="151"/>
  <c r="O83" i="98"/>
  <c r="S210" i="100"/>
  <c r="H210" i="100" s="1"/>
  <c r="O90" i="98" l="1"/>
  <c r="O91" i="98" s="1"/>
  <c r="AE116" i="151"/>
  <c r="P96" i="98" l="1"/>
  <c r="O96" i="98"/>
  <c r="O94" i="98"/>
  <c r="AF116" i="151"/>
  <c r="F36" i="55"/>
  <c r="F35" i="55"/>
  <c r="S204" i="100"/>
  <c r="R204" i="100"/>
  <c r="Q204" i="100"/>
  <c r="P204" i="100"/>
  <c r="O204" i="100"/>
  <c r="S203" i="100"/>
  <c r="R203" i="100"/>
  <c r="Q203" i="100"/>
  <c r="P203" i="100"/>
  <c r="O203" i="100"/>
  <c r="S202" i="100"/>
  <c r="R202" i="100"/>
  <c r="Q202" i="100"/>
  <c r="P202" i="100"/>
  <c r="O202" i="100"/>
  <c r="S200" i="100"/>
  <c r="R200" i="100"/>
  <c r="Q200" i="100"/>
  <c r="P200" i="100"/>
  <c r="O200" i="100"/>
  <c r="S199" i="100"/>
  <c r="R199" i="100"/>
  <c r="Q199" i="100"/>
  <c r="P199" i="100"/>
  <c r="O199" i="100"/>
  <c r="S196" i="100"/>
  <c r="R196" i="100"/>
  <c r="Q196" i="100"/>
  <c r="P196" i="100"/>
  <c r="O196" i="100"/>
  <c r="C16" i="135" l="1"/>
  <c r="G124" i="85" s="1"/>
  <c r="C110" i="144"/>
  <c r="G176" i="85" s="1"/>
  <c r="C13" i="154"/>
  <c r="G230" i="85" s="1"/>
  <c r="C159" i="149"/>
  <c r="G201" i="85" s="1"/>
  <c r="C25" i="138"/>
  <c r="G136" i="85" s="1"/>
  <c r="C127" i="153"/>
  <c r="G229" i="85" s="1"/>
  <c r="C266" i="142"/>
  <c r="G164" i="85" s="1"/>
  <c r="C190" i="148"/>
  <c r="G197" i="85" s="1"/>
  <c r="C33" i="146"/>
  <c r="G184" i="85" s="1"/>
  <c r="C50" i="144"/>
  <c r="G170" i="85" s="1"/>
  <c r="C127" i="150"/>
  <c r="G212" i="85" s="1"/>
  <c r="C265" i="141"/>
  <c r="G154" i="85" s="1"/>
  <c r="C87" i="153"/>
  <c r="G227" i="85" s="1"/>
  <c r="C184" i="147"/>
  <c r="G192" i="85" s="1"/>
  <c r="C118" i="145"/>
  <c r="G179" i="85" s="1"/>
  <c r="C13" i="112"/>
  <c r="G112" i="85" s="1"/>
  <c r="C97" i="150"/>
  <c r="G211" i="85" s="1"/>
  <c r="C62" i="144"/>
  <c r="G171" i="85" s="1"/>
  <c r="C38" i="136"/>
  <c r="G130" i="85" s="1"/>
  <c r="C16" i="139"/>
  <c r="G140" i="85" s="1"/>
  <c r="C151" i="112"/>
  <c r="G119" i="85" s="1"/>
  <c r="C141" i="112"/>
  <c r="G118" i="85" s="1"/>
  <c r="C113" i="154"/>
  <c r="G234" i="85" s="1"/>
  <c r="C131" i="151"/>
  <c r="G218" i="85" s="1"/>
  <c r="C33" i="112"/>
  <c r="G114" i="85" s="1"/>
  <c r="C15" i="140"/>
  <c r="G142" i="85" s="1"/>
  <c r="C204" i="145"/>
  <c r="G182" i="85" s="1"/>
  <c r="C28" i="141"/>
  <c r="G145" i="85" s="1"/>
  <c r="C104" i="144"/>
  <c r="G175" i="85" s="1"/>
  <c r="C65" i="141"/>
  <c r="G149" i="85" s="1"/>
  <c r="C34" i="135"/>
  <c r="G126" i="85" s="1"/>
  <c r="C81" i="154"/>
  <c r="G233" i="85" s="1"/>
  <c r="C71" i="154"/>
  <c r="G232" i="85" s="1"/>
  <c r="C214" i="147"/>
  <c r="G193" i="85" s="1"/>
  <c r="C58" i="150"/>
  <c r="G209" i="85" s="1"/>
  <c r="C33" i="152"/>
  <c r="G220" i="85" s="1"/>
  <c r="C174" i="141"/>
  <c r="G152" i="85" s="1"/>
  <c r="C28" i="136"/>
  <c r="G129" i="85" s="1"/>
  <c r="C72" i="153"/>
  <c r="G226" i="85" s="1"/>
  <c r="C79" i="147"/>
  <c r="G188" i="85" s="1"/>
  <c r="C155" i="112"/>
  <c r="G120" i="85" s="1"/>
  <c r="C16" i="153"/>
  <c r="G222" i="85" s="1"/>
  <c r="C42" i="154"/>
  <c r="G231" i="85" s="1"/>
  <c r="C19" i="147"/>
  <c r="G186" i="85" s="1"/>
  <c r="C92" i="151"/>
  <c r="G217" i="85" s="1"/>
  <c r="C60" i="141"/>
  <c r="G148" i="85" s="1"/>
  <c r="C14" i="143"/>
  <c r="G165" i="85" s="1"/>
  <c r="C20" i="112"/>
  <c r="G113" i="85" s="1"/>
  <c r="C100" i="141"/>
  <c r="G151" i="85" s="1"/>
  <c r="C16" i="150"/>
  <c r="G206" i="85" s="1"/>
  <c r="C146" i="145"/>
  <c r="G180" i="85" s="1"/>
  <c r="C236" i="142"/>
  <c r="G162" i="85" s="1"/>
  <c r="C52" i="150"/>
  <c r="G208" i="85" s="1"/>
  <c r="C42" i="144"/>
  <c r="G169" i="85" s="1"/>
  <c r="C67" i="150"/>
  <c r="G210" i="85" s="1"/>
  <c r="C19" i="149"/>
  <c r="G199" i="85" s="1"/>
  <c r="C220" i="148"/>
  <c r="G198" i="85" s="1"/>
  <c r="C18" i="141"/>
  <c r="G144" i="85" s="1"/>
  <c r="C52" i="141"/>
  <c r="G147" i="85" s="1"/>
  <c r="C28" i="153"/>
  <c r="G223" i="85" s="1"/>
  <c r="C48" i="152"/>
  <c r="G221" i="85" s="1"/>
  <c r="C102" i="136"/>
  <c r="G133" i="85" s="1"/>
  <c r="C68" i="151"/>
  <c r="G216" i="85" s="1"/>
  <c r="C52" i="134"/>
  <c r="G123" i="85" s="1"/>
  <c r="C16" i="134"/>
  <c r="G121" i="85" s="1"/>
  <c r="C99" i="112"/>
  <c r="G117" i="85" s="1"/>
  <c r="C154" i="147"/>
  <c r="G191" i="85" s="1"/>
  <c r="C269" i="141"/>
  <c r="G155" i="85" s="1"/>
  <c r="C98" i="136"/>
  <c r="G132" i="85" s="1"/>
  <c r="C117" i="144"/>
  <c r="G177" i="85" s="1"/>
  <c r="C19" i="137"/>
  <c r="G134" i="85" s="1"/>
  <c r="C15" i="151"/>
  <c r="G214" i="85" s="1"/>
  <c r="C124" i="147"/>
  <c r="G190" i="85" s="1"/>
  <c r="C40" i="138"/>
  <c r="G138" i="85" s="1"/>
  <c r="C17" i="138"/>
  <c r="G135" i="85" s="1"/>
  <c r="C16" i="152"/>
  <c r="G219" i="85" s="1"/>
  <c r="C40" i="153"/>
  <c r="G224" i="85" s="1"/>
  <c r="C92" i="136"/>
  <c r="G131" i="85" s="1"/>
  <c r="C80" i="144"/>
  <c r="G173" i="85" s="1"/>
  <c r="C189" i="149"/>
  <c r="G202" i="85" s="1"/>
  <c r="C37" i="146"/>
  <c r="G185" i="85" s="1"/>
  <c r="C259" i="149"/>
  <c r="G205" i="85" s="1"/>
  <c r="C21" i="134"/>
  <c r="G122" i="85" s="1"/>
  <c r="C55" i="140"/>
  <c r="G143" i="85" s="1"/>
  <c r="C38" i="139"/>
  <c r="G141" i="85" s="1"/>
  <c r="C69" i="144"/>
  <c r="G172" i="85" s="1"/>
  <c r="C120" i="148"/>
  <c r="G195" i="85" s="1"/>
  <c r="C164" i="142"/>
  <c r="G159" i="85" s="1"/>
  <c r="C43" i="112"/>
  <c r="G115" i="85" s="1"/>
  <c r="C138" i="142"/>
  <c r="G158" i="85" s="1"/>
  <c r="C175" i="145"/>
  <c r="G181" i="85" s="1"/>
  <c r="C19" i="144"/>
  <c r="G166" i="85" s="1"/>
  <c r="C129" i="149"/>
  <c r="G200" i="85" s="1"/>
  <c r="C17" i="146"/>
  <c r="G183" i="85" s="1"/>
  <c r="C36" i="141"/>
  <c r="G146" i="85" s="1"/>
  <c r="C49" i="147"/>
  <c r="G187" i="85" s="1"/>
  <c r="C254" i="149"/>
  <c r="G204" i="85" s="1"/>
  <c r="C27" i="144"/>
  <c r="G167" i="85" s="1"/>
  <c r="C221" i="141"/>
  <c r="G153" i="85" s="1"/>
  <c r="C52" i="153"/>
  <c r="G225" i="85" s="1"/>
  <c r="C38" i="135"/>
  <c r="G127" i="85" s="1"/>
  <c r="C194" i="142"/>
  <c r="G161" i="85" s="1"/>
  <c r="C13" i="145"/>
  <c r="G178" i="85" s="1"/>
  <c r="C92" i="144"/>
  <c r="G174" i="85" s="1"/>
  <c r="C98" i="153"/>
  <c r="G228" i="85" s="1"/>
  <c r="C35" i="144"/>
  <c r="G168" i="85" s="1"/>
  <c r="C249" i="142"/>
  <c r="G163" i="85" s="1"/>
  <c r="C121" i="138"/>
  <c r="G139" i="85" s="1"/>
  <c r="C18" i="142"/>
  <c r="G156" i="85" s="1"/>
  <c r="C159" i="150"/>
  <c r="G213" i="85" s="1"/>
  <c r="C87" i="141"/>
  <c r="G150" i="85" s="1"/>
  <c r="C126" i="154"/>
  <c r="G235" i="85" s="1"/>
  <c r="C84" i="112"/>
  <c r="G116" i="85" s="1"/>
  <c r="C219" i="149"/>
  <c r="G203" i="85" s="1"/>
  <c r="C16" i="136"/>
  <c r="G128" i="85" s="1"/>
  <c r="C17" i="148"/>
  <c r="G194" i="85" s="1"/>
  <c r="C22" i="150"/>
  <c r="G207" i="85" s="1"/>
  <c r="C26" i="135"/>
  <c r="G125" i="85" s="1"/>
  <c r="C35" i="138"/>
  <c r="G137" i="85" s="1"/>
  <c r="C155" i="148"/>
  <c r="G196" i="85" s="1"/>
  <c r="C45" i="151"/>
  <c r="G215" i="85" s="1"/>
  <c r="C67" i="142"/>
  <c r="G157" i="85" s="1"/>
  <c r="C184" i="142"/>
  <c r="G160" i="85" s="1"/>
  <c r="C109" i="147"/>
  <c r="G189" i="85" s="1"/>
  <c r="AG116" i="151"/>
  <c r="H204" i="100"/>
  <c r="AH116" i="151" l="1"/>
  <c r="A2" i="106"/>
  <c r="A2" i="107"/>
  <c r="A2" i="92"/>
  <c r="A2" i="93"/>
  <c r="A2" i="94"/>
  <c r="A2" i="95"/>
  <c r="A2" i="96"/>
  <c r="A2" i="97"/>
  <c r="A2" i="100"/>
  <c r="A2" i="98"/>
  <c r="H11" i="55"/>
  <c r="H9" i="55"/>
  <c r="AI116" i="151" l="1"/>
  <c r="H7" i="55"/>
  <c r="J5" i="107"/>
  <c r="A1" i="107"/>
  <c r="C15" i="107" s="1"/>
  <c r="G242" i="85" s="1"/>
  <c r="A1" i="106"/>
  <c r="C71" i="106" s="1"/>
  <c r="G237" i="85" s="1"/>
  <c r="J5" i="100"/>
  <c r="A1" i="100"/>
  <c r="C134" i="100" s="1"/>
  <c r="G105" i="85" s="1"/>
  <c r="J5" i="98"/>
  <c r="A1" i="98"/>
  <c r="J5" i="97"/>
  <c r="A1" i="97"/>
  <c r="E31" i="96"/>
  <c r="A1" i="96"/>
  <c r="S45" i="95"/>
  <c r="R45" i="95"/>
  <c r="Q45" i="95"/>
  <c r="O45" i="95"/>
  <c r="N45" i="95"/>
  <c r="K45" i="95"/>
  <c r="S39" i="95"/>
  <c r="R39" i="95"/>
  <c r="Q39" i="95"/>
  <c r="O39" i="95"/>
  <c r="N39" i="95"/>
  <c r="K39" i="95"/>
  <c r="S33" i="95"/>
  <c r="R33" i="95"/>
  <c r="Q33" i="95"/>
  <c r="O33" i="95"/>
  <c r="N33" i="95"/>
  <c r="K33" i="95"/>
  <c r="S27" i="95"/>
  <c r="R27" i="95"/>
  <c r="Q27" i="95"/>
  <c r="O27" i="95"/>
  <c r="N27" i="95"/>
  <c r="K27" i="95"/>
  <c r="A1" i="95"/>
  <c r="Q32" i="94"/>
  <c r="P32" i="94"/>
  <c r="J32" i="94"/>
  <c r="Q26" i="94"/>
  <c r="P26" i="94"/>
  <c r="O26" i="94"/>
  <c r="N26" i="94"/>
  <c r="L26" i="94"/>
  <c r="J26" i="94"/>
  <c r="A1" i="94"/>
  <c r="A1" i="93"/>
  <c r="A1" i="92"/>
  <c r="G111" i="85" l="1"/>
  <c r="D107" i="98"/>
  <c r="C506" i="97"/>
  <c r="G98" i="85" s="1"/>
  <c r="C442" i="97"/>
  <c r="G95" i="85" s="1"/>
  <c r="C466" i="97"/>
  <c r="G96" i="85" s="1"/>
  <c r="C486" i="97"/>
  <c r="G97" i="85" s="1"/>
  <c r="AJ116" i="151"/>
  <c r="G32" i="96"/>
  <c r="E165" i="106" s="1"/>
  <c r="C314" i="97"/>
  <c r="G94" i="85" s="1"/>
  <c r="C58" i="97"/>
  <c r="G92" i="85" s="1"/>
  <c r="C186" i="97"/>
  <c r="G93" i="85" s="1"/>
  <c r="C16" i="97"/>
  <c r="G90" i="85" s="1"/>
  <c r="C36" i="97"/>
  <c r="G91" i="85" s="1"/>
  <c r="C72" i="100"/>
  <c r="G103" i="85" s="1"/>
  <c r="C120" i="100"/>
  <c r="G104" i="85" s="1"/>
  <c r="C44" i="100"/>
  <c r="G101" i="85" s="1"/>
  <c r="C58" i="100"/>
  <c r="G102" i="85" s="1"/>
  <c r="C16" i="100"/>
  <c r="G99" i="85" s="1"/>
  <c r="C30" i="100"/>
  <c r="G100" i="85" s="1"/>
  <c r="C98" i="98"/>
  <c r="G109" i="85" s="1"/>
  <c r="C103" i="98"/>
  <c r="G110" i="85" s="1"/>
  <c r="C28" i="98"/>
  <c r="G107" i="85" s="1"/>
  <c r="C38" i="98"/>
  <c r="G108" i="85" s="1"/>
  <c r="C16" i="98"/>
  <c r="G106" i="85" s="1"/>
  <c r="C15" i="106"/>
  <c r="G236" i="85" s="1"/>
  <c r="H203" i="100"/>
  <c r="H199" i="100"/>
  <c r="H202" i="100"/>
  <c r="G30" i="96"/>
  <c r="H196" i="100"/>
  <c r="H200" i="100"/>
  <c r="C127" i="106" l="1"/>
  <c r="G238" i="85" s="1"/>
  <c r="G33" i="96"/>
  <c r="G34" i="96" s="1"/>
  <c r="E129" i="106"/>
  <c r="E147" i="106"/>
  <c r="AK116" i="151"/>
  <c r="G29" i="96"/>
  <c r="G28" i="96" s="1"/>
  <c r="H18" i="94" s="1"/>
  <c r="H17" i="94" s="1"/>
  <c r="E203" i="106" l="1"/>
  <c r="E221" i="106"/>
  <c r="E185" i="106"/>
  <c r="C183" i="106"/>
  <c r="G239" i="85" s="1"/>
  <c r="AL116" i="151"/>
  <c r="C239" i="106"/>
  <c r="G240" i="85" s="1"/>
  <c r="E277" i="106"/>
  <c r="E259" i="106"/>
  <c r="E241" i="106"/>
  <c r="H19" i="95"/>
  <c r="F32" i="95" s="1"/>
  <c r="F25" i="94"/>
  <c r="F31" i="94"/>
  <c r="G35" i="96"/>
  <c r="F24" i="94"/>
  <c r="H16" i="94"/>
  <c r="F30" i="94"/>
  <c r="AM116" i="151" l="1"/>
  <c r="H18" i="95"/>
  <c r="H17" i="95" s="1"/>
  <c r="F30" i="95" s="1"/>
  <c r="C295" i="106"/>
  <c r="G241" i="85" s="1"/>
  <c r="E333" i="106"/>
  <c r="E315" i="106"/>
  <c r="E29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5" i="93" a="1"/>
  <c r="H12" i="134" l="1"/>
  <c r="H12" i="136"/>
  <c r="H12" i="135"/>
  <c r="J39" i="100"/>
  <c r="P20" i="135" s="1"/>
  <c r="J57" i="98"/>
  <c r="H57" i="136" s="1"/>
  <c r="H31" i="152" s="1"/>
  <c r="J458" i="97"/>
  <c r="J454" i="97"/>
  <c r="J450" i="97"/>
  <c r="J446" i="97"/>
  <c r="J56" i="98"/>
  <c r="H56" i="136" s="1"/>
  <c r="H30" i="152" s="1"/>
  <c r="J457" i="97"/>
  <c r="J453" i="97"/>
  <c r="J449" i="97"/>
  <c r="J445" i="97"/>
  <c r="J460" i="97"/>
  <c r="J456" i="97"/>
  <c r="J452" i="97"/>
  <c r="J448" i="97"/>
  <c r="J459" i="97"/>
  <c r="J455" i="97"/>
  <c r="J451" i="97"/>
  <c r="J447" i="97"/>
  <c r="AN116" i="151"/>
  <c r="F31" i="95"/>
  <c r="J516" i="97"/>
  <c r="Q59" i="134" s="1"/>
  <c r="J482" i="97"/>
  <c r="W56" i="134" s="1"/>
  <c r="J471" i="97"/>
  <c r="L56" i="134" s="1"/>
  <c r="J380" i="97"/>
  <c r="S45" i="134" s="1"/>
  <c r="J376" i="97"/>
  <c r="O45" i="134" s="1"/>
  <c r="J372" i="97"/>
  <c r="K45" i="134" s="1"/>
  <c r="J363" i="97"/>
  <c r="T44" i="134" s="1"/>
  <c r="J359" i="97"/>
  <c r="P44" i="134" s="1"/>
  <c r="J355" i="97"/>
  <c r="L44" i="134" s="1"/>
  <c r="J347" i="97"/>
  <c r="V43" i="134" s="1"/>
  <c r="J342" i="97"/>
  <c r="Q43" i="134" s="1"/>
  <c r="J338" i="97"/>
  <c r="M43" i="134" s="1"/>
  <c r="J439" i="97"/>
  <c r="X48" i="134" s="1"/>
  <c r="J430" i="97"/>
  <c r="O48" i="134" s="1"/>
  <c r="J411" i="97"/>
  <c r="N47" i="134" s="1"/>
  <c r="J331" i="97"/>
  <c r="X42" i="134" s="1"/>
  <c r="J325" i="97"/>
  <c r="R42" i="134" s="1"/>
  <c r="J321" i="97"/>
  <c r="N42" i="134" s="1"/>
  <c r="J317" i="97"/>
  <c r="J42" i="134" s="1"/>
  <c r="J247" i="97"/>
  <c r="N36" i="134" s="1"/>
  <c r="J243" i="97"/>
  <c r="J36" i="134" s="1"/>
  <c r="J229" i="97"/>
  <c r="N35" i="134" s="1"/>
  <c r="J225" i="97"/>
  <c r="J35" i="134" s="1"/>
  <c r="J211" i="97"/>
  <c r="N34" i="134" s="1"/>
  <c r="J207" i="97"/>
  <c r="J34" i="134" s="1"/>
  <c r="J265" i="97"/>
  <c r="N37" i="134" s="1"/>
  <c r="J193" i="97"/>
  <c r="N33" i="134" s="1"/>
  <c r="J189" i="97"/>
  <c r="J33" i="134" s="1"/>
  <c r="J175" i="97"/>
  <c r="P30" i="134" s="1"/>
  <c r="J156" i="97"/>
  <c r="O29" i="134" s="1"/>
  <c r="J137" i="97"/>
  <c r="N28" i="134" s="1"/>
  <c r="J127" i="97"/>
  <c r="V27" i="134" s="1"/>
  <c r="J123" i="97"/>
  <c r="R27" i="134" s="1"/>
  <c r="J119" i="97"/>
  <c r="N27" i="134" s="1"/>
  <c r="J115" i="97"/>
  <c r="J27" i="134" s="1"/>
  <c r="J109" i="97"/>
  <c r="V26" i="134" s="1"/>
  <c r="J105" i="97"/>
  <c r="R26" i="134" s="1"/>
  <c r="J101" i="97"/>
  <c r="N26" i="134" s="1"/>
  <c r="J97" i="97"/>
  <c r="J26" i="134" s="1"/>
  <c r="J91" i="97"/>
  <c r="V25" i="134" s="1"/>
  <c r="J87" i="97"/>
  <c r="R25" i="134" s="1"/>
  <c r="J83" i="97"/>
  <c r="N25" i="134" s="1"/>
  <c r="J79" i="97"/>
  <c r="J25" i="134" s="1"/>
  <c r="J437" i="97"/>
  <c r="V48" i="134" s="1"/>
  <c r="J395" i="97"/>
  <c r="P46" i="134" s="1"/>
  <c r="J329" i="97"/>
  <c r="V42" i="134" s="1"/>
  <c r="J320" i="97"/>
  <c r="M42" i="134" s="1"/>
  <c r="J253" i="97"/>
  <c r="T36" i="134" s="1"/>
  <c r="J246" i="97"/>
  <c r="M36" i="134" s="1"/>
  <c r="J235" i="97"/>
  <c r="T35" i="134" s="1"/>
  <c r="J228" i="97"/>
  <c r="M35" i="134" s="1"/>
  <c r="J217" i="97"/>
  <c r="T34" i="134" s="1"/>
  <c r="J210" i="97"/>
  <c r="M34" i="134" s="1"/>
  <c r="J307" i="97"/>
  <c r="T39" i="134" s="1"/>
  <c r="J192" i="97"/>
  <c r="M33" i="134" s="1"/>
  <c r="J179" i="97"/>
  <c r="T30" i="134" s="1"/>
  <c r="J174" i="97"/>
  <c r="O30" i="134" s="1"/>
  <c r="J130" i="97"/>
  <c r="Y27" i="134" s="1"/>
  <c r="J126" i="97"/>
  <c r="U27" i="134" s="1"/>
  <c r="J118" i="97"/>
  <c r="M27" i="134" s="1"/>
  <c r="J108" i="97"/>
  <c r="U26" i="134" s="1"/>
  <c r="J100" i="97"/>
  <c r="M26" i="134" s="1"/>
  <c r="J90" i="97"/>
  <c r="U25" i="134" s="1"/>
  <c r="J82" i="97"/>
  <c r="M25" i="134" s="1"/>
  <c r="J44" i="97"/>
  <c r="O19" i="134" s="1"/>
  <c r="O63" i="141" s="1"/>
  <c r="O85" i="141" s="1"/>
  <c r="J503" i="97"/>
  <c r="X57" i="134" s="1"/>
  <c r="J474" i="97"/>
  <c r="O56" i="134" s="1"/>
  <c r="J383" i="97"/>
  <c r="V45" i="134" s="1"/>
  <c r="J378" i="97"/>
  <c r="Q45" i="134" s="1"/>
  <c r="J367" i="97"/>
  <c r="X44" i="134" s="1"/>
  <c r="J353" i="97"/>
  <c r="J44" i="134" s="1"/>
  <c r="J435" i="97"/>
  <c r="T48" i="134" s="1"/>
  <c r="J394" i="97"/>
  <c r="O46" i="134" s="1"/>
  <c r="J323" i="97"/>
  <c r="P42" i="134" s="1"/>
  <c r="J245" i="97"/>
  <c r="L36" i="134" s="1"/>
  <c r="J227" i="97"/>
  <c r="L35" i="134" s="1"/>
  <c r="J209" i="97"/>
  <c r="L34" i="134" s="1"/>
  <c r="J197" i="97"/>
  <c r="R33" i="134" s="1"/>
  <c r="J504" i="97"/>
  <c r="Y57" i="134" s="1"/>
  <c r="J477" i="97"/>
  <c r="R56" i="134" s="1"/>
  <c r="J385" i="97"/>
  <c r="X45" i="134" s="1"/>
  <c r="J379" i="97"/>
  <c r="R45" i="134" s="1"/>
  <c r="J375" i="97"/>
  <c r="N45" i="134" s="1"/>
  <c r="J371" i="97"/>
  <c r="J45" i="134" s="1"/>
  <c r="J362" i="97"/>
  <c r="S44" i="134" s="1"/>
  <c r="J358" i="97"/>
  <c r="O44" i="134" s="1"/>
  <c r="J354" i="97"/>
  <c r="K44" i="134" s="1"/>
  <c r="J345" i="97"/>
  <c r="T43" i="134" s="1"/>
  <c r="J341" i="97"/>
  <c r="P43" i="134" s="1"/>
  <c r="J337" i="97"/>
  <c r="L43" i="134" s="1"/>
  <c r="J429" i="97"/>
  <c r="N48" i="134" s="1"/>
  <c r="J324" i="97"/>
  <c r="Q42" i="134" s="1"/>
  <c r="J199" i="97"/>
  <c r="T33" i="134" s="1"/>
  <c r="J155" i="97"/>
  <c r="N29" i="134" s="1"/>
  <c r="J122" i="97"/>
  <c r="Q27" i="134" s="1"/>
  <c r="J112" i="97"/>
  <c r="Y26" i="134" s="1"/>
  <c r="J104" i="97"/>
  <c r="Q26" i="134" s="1"/>
  <c r="J94" i="97"/>
  <c r="Y25" i="134" s="1"/>
  <c r="J86" i="97"/>
  <c r="Q25" i="134" s="1"/>
  <c r="J374" i="97"/>
  <c r="M45" i="134" s="1"/>
  <c r="J361" i="97"/>
  <c r="R44" i="134" s="1"/>
  <c r="J357" i="97"/>
  <c r="N44" i="134" s="1"/>
  <c r="J344" i="97"/>
  <c r="S43" i="134" s="1"/>
  <c r="J340" i="97"/>
  <c r="O43" i="134" s="1"/>
  <c r="J336" i="97"/>
  <c r="K43" i="134" s="1"/>
  <c r="J413" i="97"/>
  <c r="P47" i="134" s="1"/>
  <c r="J327" i="97"/>
  <c r="T42" i="134" s="1"/>
  <c r="J319" i="97"/>
  <c r="L42" i="134" s="1"/>
  <c r="J233" i="97"/>
  <c r="R35" i="134" s="1"/>
  <c r="J215" i="97"/>
  <c r="R34" i="134" s="1"/>
  <c r="J301" i="97"/>
  <c r="N39" i="134" s="1"/>
  <c r="J251" i="97"/>
  <c r="R36" i="134" s="1"/>
  <c r="J473" i="97"/>
  <c r="N56" i="134" s="1"/>
  <c r="J365" i="97"/>
  <c r="V44" i="134" s="1"/>
  <c r="J343" i="97"/>
  <c r="R43" i="134" s="1"/>
  <c r="J412" i="97"/>
  <c r="O47" i="134" s="1"/>
  <c r="J318" i="97"/>
  <c r="K42" i="134" s="1"/>
  <c r="J226" i="97"/>
  <c r="K35" i="134" s="1"/>
  <c r="J196" i="97"/>
  <c r="Q33" i="134" s="1"/>
  <c r="J183" i="97"/>
  <c r="X30" i="134" s="1"/>
  <c r="J138" i="97"/>
  <c r="O28" i="134" s="1"/>
  <c r="J124" i="97"/>
  <c r="S27" i="134" s="1"/>
  <c r="J116" i="97"/>
  <c r="K27" i="134" s="1"/>
  <c r="J106" i="97"/>
  <c r="S26" i="134" s="1"/>
  <c r="J98" i="97"/>
  <c r="K26" i="134" s="1"/>
  <c r="J88" i="97"/>
  <c r="S25" i="134" s="1"/>
  <c r="J80" i="97"/>
  <c r="K25" i="134" s="1"/>
  <c r="J381" i="97"/>
  <c r="T45" i="134" s="1"/>
  <c r="J360" i="97"/>
  <c r="Q44" i="134" s="1"/>
  <c r="J339" i="97"/>
  <c r="N43" i="134" s="1"/>
  <c r="J393" i="97"/>
  <c r="N46" i="134" s="1"/>
  <c r="J250" i="97"/>
  <c r="Q36" i="134" s="1"/>
  <c r="J214" i="97"/>
  <c r="Q34" i="134" s="1"/>
  <c r="J191" i="97"/>
  <c r="L33" i="134" s="1"/>
  <c r="J173" i="97"/>
  <c r="N30" i="134" s="1"/>
  <c r="J129" i="97"/>
  <c r="X27" i="134" s="1"/>
  <c r="J121" i="97"/>
  <c r="P27" i="134" s="1"/>
  <c r="J111" i="97"/>
  <c r="X26" i="134" s="1"/>
  <c r="J103" i="97"/>
  <c r="P26" i="134" s="1"/>
  <c r="J93" i="97"/>
  <c r="X25" i="134" s="1"/>
  <c r="J85" i="97"/>
  <c r="P25" i="134" s="1"/>
  <c r="J43" i="97"/>
  <c r="N19" i="134" s="1"/>
  <c r="N63" i="141" s="1"/>
  <c r="N85" i="141" s="1"/>
  <c r="J377" i="97"/>
  <c r="P45" i="134" s="1"/>
  <c r="J356" i="97"/>
  <c r="M44" i="134" s="1"/>
  <c r="J335" i="97"/>
  <c r="J43" i="134" s="1"/>
  <c r="J326" i="97"/>
  <c r="S42" i="134" s="1"/>
  <c r="J244" i="97"/>
  <c r="K36" i="134" s="1"/>
  <c r="J208" i="97"/>
  <c r="K34" i="134" s="1"/>
  <c r="J190" i="97"/>
  <c r="K33" i="134" s="1"/>
  <c r="J157" i="97"/>
  <c r="P29" i="134" s="1"/>
  <c r="J128" i="97"/>
  <c r="W27" i="134" s="1"/>
  <c r="J120" i="97"/>
  <c r="O27" i="134" s="1"/>
  <c r="J110" i="97"/>
  <c r="W26" i="134" s="1"/>
  <c r="J102" i="97"/>
  <c r="O26" i="134" s="1"/>
  <c r="J92" i="97"/>
  <c r="W25" i="134" s="1"/>
  <c r="J84" i="97"/>
  <c r="O25" i="134" s="1"/>
  <c r="J41" i="97"/>
  <c r="L19" i="134" s="1"/>
  <c r="L63" i="141" s="1"/>
  <c r="J495" i="97"/>
  <c r="P57" i="134" s="1"/>
  <c r="J373" i="97"/>
  <c r="L45" i="134" s="1"/>
  <c r="J349" i="97"/>
  <c r="X43" i="134" s="1"/>
  <c r="J431" i="97"/>
  <c r="P48" i="134" s="1"/>
  <c r="J322" i="97"/>
  <c r="O42" i="134" s="1"/>
  <c r="J232" i="97"/>
  <c r="Q35" i="134" s="1"/>
  <c r="J283" i="97"/>
  <c r="N38" i="134" s="1"/>
  <c r="J181" i="97"/>
  <c r="V30" i="134" s="1"/>
  <c r="J139" i="97"/>
  <c r="P28" i="134" s="1"/>
  <c r="J125" i="97"/>
  <c r="T27" i="134" s="1"/>
  <c r="J117" i="97"/>
  <c r="L27" i="134" s="1"/>
  <c r="J107" i="97"/>
  <c r="T26" i="134" s="1"/>
  <c r="J99" i="97"/>
  <c r="L26" i="134" s="1"/>
  <c r="J89" i="97"/>
  <c r="T25" i="134" s="1"/>
  <c r="J81" i="97"/>
  <c r="L25" i="134" s="1"/>
  <c r="F37" i="95"/>
  <c r="F43" i="95"/>
  <c r="F36" i="95"/>
  <c r="F42" i="95"/>
  <c r="F24" i="95"/>
  <c r="F25" i="95"/>
  <c r="J481" i="97"/>
  <c r="V56" i="134" s="1"/>
  <c r="J469" i="97"/>
  <c r="J56" i="134" s="1"/>
  <c r="J480" i="97"/>
  <c r="U56" i="134" s="1"/>
  <c r="J479" i="97"/>
  <c r="T56" i="134" s="1"/>
  <c r="J478" i="97"/>
  <c r="S56" i="134" s="1"/>
  <c r="J93" i="98"/>
  <c r="J96" i="98"/>
  <c r="J94" i="98"/>
  <c r="J95" i="98"/>
  <c r="J91" i="98"/>
  <c r="J100" i="98"/>
  <c r="H94" i="136" s="1"/>
  <c r="J59" i="98"/>
  <c r="J47" i="98"/>
  <c r="J46" i="98"/>
  <c r="H46" i="136" s="1"/>
  <c r="J45" i="98"/>
  <c r="H45" i="136" s="1"/>
  <c r="J44" i="98"/>
  <c r="H44" i="136" s="1"/>
  <c r="J43" i="98"/>
  <c r="H43" i="136" s="1"/>
  <c r="J36" i="98"/>
  <c r="H36" i="136" s="1"/>
  <c r="J35" i="98"/>
  <c r="H35" i="136" s="1"/>
  <c r="J34" i="98"/>
  <c r="H34" i="136" s="1"/>
  <c r="J33" i="98"/>
  <c r="H33" i="136" s="1"/>
  <c r="J26" i="98"/>
  <c r="H26" i="136" s="1"/>
  <c r="J25" i="98"/>
  <c r="H25" i="136" s="1"/>
  <c r="J24" i="98"/>
  <c r="H24" i="136" s="1"/>
  <c r="J21" i="98"/>
  <c r="H21" i="136" s="1"/>
  <c r="J20" i="98"/>
  <c r="H20" i="136" s="1"/>
  <c r="J19" i="98"/>
  <c r="H19" i="136" s="1"/>
  <c r="J184" i="100"/>
  <c r="S46" i="135" s="1"/>
  <c r="H170" i="141" s="1"/>
  <c r="J183" i="100"/>
  <c r="R46" i="135" s="1"/>
  <c r="H162" i="141" s="1"/>
  <c r="J182" i="100"/>
  <c r="Q46" i="135" s="1"/>
  <c r="H154" i="141" s="1"/>
  <c r="J181" i="100"/>
  <c r="P46" i="135" s="1"/>
  <c r="H146" i="141" s="1"/>
  <c r="J180" i="100"/>
  <c r="O46" i="135" s="1"/>
  <c r="H138" i="141" s="1"/>
  <c r="J179" i="100"/>
  <c r="N46" i="135" s="1"/>
  <c r="H130" i="141" s="1"/>
  <c r="J178" i="100"/>
  <c r="M46" i="135" s="1"/>
  <c r="H122" i="141" s="1"/>
  <c r="J177" i="100"/>
  <c r="L46" i="135" s="1"/>
  <c r="H114" i="141" s="1"/>
  <c r="J176" i="100"/>
  <c r="K46" i="135" s="1"/>
  <c r="H106" i="141" s="1"/>
  <c r="J172" i="100"/>
  <c r="S45" i="135" s="1"/>
  <c r="H169" i="141" s="1"/>
  <c r="J171" i="100"/>
  <c r="R45" i="135" s="1"/>
  <c r="H161" i="141" s="1"/>
  <c r="J170" i="100"/>
  <c r="Q45" i="135" s="1"/>
  <c r="H153" i="141" s="1"/>
  <c r="J169" i="100"/>
  <c r="P45" i="135" s="1"/>
  <c r="H145" i="141" s="1"/>
  <c r="J168" i="100"/>
  <c r="O45" i="135" s="1"/>
  <c r="H137" i="141" s="1"/>
  <c r="J167" i="100"/>
  <c r="N45" i="135" s="1"/>
  <c r="H129" i="141" s="1"/>
  <c r="J166" i="100"/>
  <c r="M45" i="135" s="1"/>
  <c r="H121" i="141" s="1"/>
  <c r="J165" i="100"/>
  <c r="L45" i="135" s="1"/>
  <c r="H113" i="141" s="1"/>
  <c r="J164" i="100"/>
  <c r="K45" i="135" s="1"/>
  <c r="H105" i="141" s="1"/>
  <c r="J160" i="100"/>
  <c r="S44" i="135" s="1"/>
  <c r="H168" i="141" s="1"/>
  <c r="J159" i="100"/>
  <c r="R44" i="135" s="1"/>
  <c r="H160" i="141" s="1"/>
  <c r="J158" i="100"/>
  <c r="Q44" i="135" s="1"/>
  <c r="H152" i="141" s="1"/>
  <c r="J157" i="100"/>
  <c r="P44" i="135" s="1"/>
  <c r="H144" i="141" s="1"/>
  <c r="J156" i="100"/>
  <c r="O44" i="135" s="1"/>
  <c r="H136" i="141" s="1"/>
  <c r="J155" i="100"/>
  <c r="N44" i="135" s="1"/>
  <c r="H128" i="141" s="1"/>
  <c r="J154" i="100"/>
  <c r="M44" i="135" s="1"/>
  <c r="H120" i="141" s="1"/>
  <c r="J153" i="100"/>
  <c r="L44" i="135" s="1"/>
  <c r="H112" i="141" s="1"/>
  <c r="J152" i="100"/>
  <c r="K44" i="135" s="1"/>
  <c r="H104" i="141" s="1"/>
  <c r="J148" i="100"/>
  <c r="S43" i="135" s="1"/>
  <c r="J147" i="100"/>
  <c r="R43" i="135" s="1"/>
  <c r="J146" i="100"/>
  <c r="Q43" i="135" s="1"/>
  <c r="J145" i="100"/>
  <c r="P43" i="135" s="1"/>
  <c r="J144" i="100"/>
  <c r="O43" i="135" s="1"/>
  <c r="J143" i="100"/>
  <c r="N43" i="135" s="1"/>
  <c r="J142" i="100"/>
  <c r="M43" i="135" s="1"/>
  <c r="J141" i="100"/>
  <c r="L43" i="135" s="1"/>
  <c r="J140" i="100"/>
  <c r="K43" i="135" s="1"/>
  <c r="J132" i="100"/>
  <c r="S36" i="135" s="1"/>
  <c r="S54" i="144" s="1"/>
  <c r="J131" i="100"/>
  <c r="R36" i="135" s="1"/>
  <c r="R54" i="144" s="1"/>
  <c r="J130" i="100"/>
  <c r="Q36" i="135" s="1"/>
  <c r="Q54" i="144" s="1"/>
  <c r="J129" i="100"/>
  <c r="P36" i="135" s="1"/>
  <c r="P54" i="144" s="1"/>
  <c r="J128" i="100"/>
  <c r="O36" i="135" s="1"/>
  <c r="O54" i="144" s="1"/>
  <c r="J127" i="100"/>
  <c r="N36" i="135" s="1"/>
  <c r="N54" i="144" s="1"/>
  <c r="J112" i="98"/>
  <c r="H107" i="136" s="1"/>
  <c r="J111" i="98"/>
  <c r="H106" i="136" s="1"/>
  <c r="J110" i="98"/>
  <c r="H105" i="136" s="1"/>
  <c r="J105" i="98"/>
  <c r="H100" i="136" s="1"/>
  <c r="J101" i="98"/>
  <c r="H95" i="136" s="1"/>
  <c r="J89" i="98"/>
  <c r="J88" i="98"/>
  <c r="H88" i="136" s="1"/>
  <c r="J87" i="98"/>
  <c r="H87" i="136" s="1"/>
  <c r="J86" i="98"/>
  <c r="H86" i="136" s="1"/>
  <c r="J85" i="98"/>
  <c r="H85" i="136" s="1"/>
  <c r="J48" i="100"/>
  <c r="K22" i="135" s="1"/>
  <c r="J74" i="98"/>
  <c r="H74" i="136" s="1"/>
  <c r="J72" i="98"/>
  <c r="J71" i="98"/>
  <c r="H71" i="136" s="1"/>
  <c r="J70" i="98"/>
  <c r="H70" i="136" s="1"/>
  <c r="J69" i="98"/>
  <c r="H69" i="136" s="1"/>
  <c r="J68" i="98"/>
  <c r="H68" i="136" s="1"/>
  <c r="J67" i="98"/>
  <c r="H67" i="136" s="1"/>
  <c r="J66" i="98"/>
  <c r="H66" i="136" s="1"/>
  <c r="J65" i="98"/>
  <c r="H65" i="136" s="1"/>
  <c r="J64" i="98"/>
  <c r="H64" i="136" s="1"/>
  <c r="J63" i="98"/>
  <c r="H63" i="136" s="1"/>
  <c r="J62" i="98"/>
  <c r="H62" i="136" s="1"/>
  <c r="J61" i="98"/>
  <c r="H61" i="136" s="1"/>
  <c r="J58" i="98"/>
  <c r="J55" i="98"/>
  <c r="H55" i="136" s="1"/>
  <c r="J54" i="98"/>
  <c r="H54" i="136" s="1"/>
  <c r="J53" i="98"/>
  <c r="H53" i="136" s="1"/>
  <c r="J52" i="98"/>
  <c r="H52" i="136" s="1"/>
  <c r="J51" i="98"/>
  <c r="H51" i="136" s="1"/>
  <c r="J50" i="98"/>
  <c r="H50" i="136" s="1"/>
  <c r="J126" i="100"/>
  <c r="M36" i="135" s="1"/>
  <c r="M54" i="144" s="1"/>
  <c r="J125" i="100"/>
  <c r="L36" i="135" s="1"/>
  <c r="L54" i="144" s="1"/>
  <c r="J114" i="100"/>
  <c r="O32" i="135" s="1"/>
  <c r="O46" i="139" s="1"/>
  <c r="J113" i="100"/>
  <c r="N32" i="135" s="1"/>
  <c r="N46" i="139" s="1"/>
  <c r="J112" i="100"/>
  <c r="M32" i="135" s="1"/>
  <c r="M46" i="139" s="1"/>
  <c r="J111" i="100"/>
  <c r="L32" i="135" s="1"/>
  <c r="L46" i="139" s="1"/>
  <c r="J105" i="100"/>
  <c r="Q31" i="135" s="1"/>
  <c r="Q45" i="139" s="1"/>
  <c r="J104" i="100"/>
  <c r="P31" i="135" s="1"/>
  <c r="P45" i="139" s="1"/>
  <c r="J103" i="100"/>
  <c r="O31" i="135" s="1"/>
  <c r="O45" i="139" s="1"/>
  <c r="J102" i="100"/>
  <c r="N31" i="135" s="1"/>
  <c r="N45" i="139" s="1"/>
  <c r="J101" i="100"/>
  <c r="M31" i="135" s="1"/>
  <c r="M45" i="139" s="1"/>
  <c r="J100" i="100"/>
  <c r="L31" i="135" s="1"/>
  <c r="L45" i="139" s="1"/>
  <c r="J95" i="100"/>
  <c r="R30" i="135" s="1"/>
  <c r="R44" i="139" s="1"/>
  <c r="J94" i="100"/>
  <c r="Q30" i="135" s="1"/>
  <c r="Q44" i="139" s="1"/>
  <c r="J93" i="100"/>
  <c r="P30" i="135" s="1"/>
  <c r="P44" i="139" s="1"/>
  <c r="J92" i="100"/>
  <c r="O30" i="135" s="1"/>
  <c r="O44" i="139" s="1"/>
  <c r="J91" i="100"/>
  <c r="N30" i="135" s="1"/>
  <c r="N44" i="139" s="1"/>
  <c r="J90" i="100"/>
  <c r="M30" i="135" s="1"/>
  <c r="M44" i="139" s="1"/>
  <c r="J89" i="100"/>
  <c r="L30" i="135" s="1"/>
  <c r="L44" i="139" s="1"/>
  <c r="J85" i="100"/>
  <c r="S29" i="135" s="1"/>
  <c r="S43" i="139" s="1"/>
  <c r="J84" i="100"/>
  <c r="R29" i="135" s="1"/>
  <c r="R43" i="139" s="1"/>
  <c r="J83" i="100"/>
  <c r="Q29" i="135" s="1"/>
  <c r="Q43" i="139" s="1"/>
  <c r="J82" i="100"/>
  <c r="P29" i="135" s="1"/>
  <c r="P43" i="139" s="1"/>
  <c r="J81" i="100"/>
  <c r="O29" i="135" s="1"/>
  <c r="O43" i="139" s="1"/>
  <c r="J80" i="100"/>
  <c r="N29" i="135" s="1"/>
  <c r="N43" i="139" s="1"/>
  <c r="J79" i="100"/>
  <c r="M29" i="135" s="1"/>
  <c r="M43" i="139" s="1"/>
  <c r="J78" i="100"/>
  <c r="L29" i="135" s="1"/>
  <c r="L43" i="139" s="1"/>
  <c r="J70" i="100"/>
  <c r="S24" i="135" s="1"/>
  <c r="J69" i="100"/>
  <c r="R24" i="135" s="1"/>
  <c r="J68" i="100"/>
  <c r="Q24" i="135" s="1"/>
  <c r="J67" i="100"/>
  <c r="P24" i="135" s="1"/>
  <c r="J66" i="100"/>
  <c r="O24" i="135" s="1"/>
  <c r="J65" i="100"/>
  <c r="N24" i="135" s="1"/>
  <c r="J64" i="100"/>
  <c r="M24" i="135" s="1"/>
  <c r="J63" i="100"/>
  <c r="L24" i="135" s="1"/>
  <c r="J62" i="100"/>
  <c r="K24" i="135" s="1"/>
  <c r="J56" i="100"/>
  <c r="S22" i="135" s="1"/>
  <c r="S27" i="138" s="1"/>
  <c r="S29" i="138" s="1"/>
  <c r="J55" i="100"/>
  <c r="R22" i="135" s="1"/>
  <c r="R27" i="138" s="1"/>
  <c r="R29" i="138" s="1"/>
  <c r="J54" i="100"/>
  <c r="Q22" i="135" s="1"/>
  <c r="Q27" i="138" s="1"/>
  <c r="Q29" i="138" s="1"/>
  <c r="J52" i="100"/>
  <c r="O22" i="135" s="1"/>
  <c r="O27" i="138" s="1"/>
  <c r="J51" i="100"/>
  <c r="N22" i="135" s="1"/>
  <c r="N27" i="138" s="1"/>
  <c r="N29" i="138" s="1"/>
  <c r="J50" i="100"/>
  <c r="M22" i="135" s="1"/>
  <c r="M27" i="138" s="1"/>
  <c r="M29" i="138" s="1"/>
  <c r="J49" i="100"/>
  <c r="L22" i="135" s="1"/>
  <c r="L27" i="138" s="1"/>
  <c r="L29" i="138" s="1"/>
  <c r="J82" i="98"/>
  <c r="J81" i="98"/>
  <c r="H81" i="136" s="1"/>
  <c r="J80" i="98"/>
  <c r="H80" i="136" s="1"/>
  <c r="J79" i="98"/>
  <c r="H79" i="136" s="1"/>
  <c r="J78" i="98"/>
  <c r="H78" i="136" s="1"/>
  <c r="J77" i="98"/>
  <c r="H77" i="136" s="1"/>
  <c r="J69" i="97"/>
  <c r="R24" i="134" s="1"/>
  <c r="J61" i="97"/>
  <c r="J24" i="134" s="1"/>
  <c r="J63" i="97"/>
  <c r="L24" i="134" s="1"/>
  <c r="J71" i="97"/>
  <c r="T24" i="134" s="1"/>
  <c r="J65" i="97"/>
  <c r="N24" i="134" s="1"/>
  <c r="J73" i="97"/>
  <c r="V24" i="134" s="1"/>
  <c r="J67" i="97"/>
  <c r="P24" i="134" s="1"/>
  <c r="J75" i="97"/>
  <c r="X24" i="134" s="1"/>
  <c r="J24" i="97"/>
  <c r="O18" i="134" s="1"/>
  <c r="J22" i="97"/>
  <c r="M18" i="134" s="1"/>
  <c r="J39" i="97"/>
  <c r="J19" i="134" s="1"/>
  <c r="J63" i="141" s="1"/>
  <c r="J20" i="97"/>
  <c r="K18" i="134" s="1"/>
  <c r="J21" i="97"/>
  <c r="L18" i="134" s="1"/>
  <c r="J74" i="97"/>
  <c r="W24" i="134" s="1"/>
  <c r="J72" i="97"/>
  <c r="U24" i="134" s="1"/>
  <c r="J26" i="97"/>
  <c r="Q18" i="134" s="1"/>
  <c r="J62" i="97"/>
  <c r="K24" i="134" s="1"/>
  <c r="J25" i="97"/>
  <c r="P18" i="134" s="1"/>
  <c r="J68" i="97"/>
  <c r="Q24" i="134" s="1"/>
  <c r="J19" i="97"/>
  <c r="J18" i="134" s="1"/>
  <c r="J23" i="100"/>
  <c r="N18" i="135" s="1"/>
  <c r="N19" i="138" s="1"/>
  <c r="J75" i="98"/>
  <c r="J64" i="97"/>
  <c r="M24" i="134" s="1"/>
  <c r="J76" i="97"/>
  <c r="Y24" i="134" s="1"/>
  <c r="J46" i="97"/>
  <c r="Q19" i="134" s="1"/>
  <c r="Q63" i="141" s="1"/>
  <c r="Q85" i="141" s="1"/>
  <c r="J23" i="97"/>
  <c r="N18" i="134" s="1"/>
  <c r="J26" i="100"/>
  <c r="Q18" i="135" s="1"/>
  <c r="Q19" i="138" s="1"/>
  <c r="J70" i="97"/>
  <c r="S24" i="134" s="1"/>
  <c r="J45" i="97"/>
  <c r="P19" i="134" s="1"/>
  <c r="P63" i="141" s="1"/>
  <c r="P85" i="141" s="1"/>
  <c r="J21" i="100"/>
  <c r="L18" i="135" s="1"/>
  <c r="L19" i="138" s="1"/>
  <c r="J66" i="97"/>
  <c r="O24" i="134" s="1"/>
  <c r="J20" i="100"/>
  <c r="K18" i="135" s="1"/>
  <c r="J48" i="98"/>
  <c r="J83" i="98"/>
  <c r="J90" i="98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P22" i="143" l="1"/>
  <c r="P26" i="146"/>
  <c r="X26" i="146"/>
  <c r="X22" i="143"/>
  <c r="W25" i="146"/>
  <c r="W21" i="143"/>
  <c r="V25" i="146"/>
  <c r="V21" i="143"/>
  <c r="Y26" i="146"/>
  <c r="Y22" i="143"/>
  <c r="Q23" i="143"/>
  <c r="Q27" i="146"/>
  <c r="H82" i="136"/>
  <c r="H72" i="136"/>
  <c r="H89" i="136"/>
  <c r="H58" i="136"/>
  <c r="H50" i="135" a="1"/>
  <c r="H50" i="135" s="1"/>
  <c r="K19" i="138"/>
  <c r="N31" i="144"/>
  <c r="H48" i="142"/>
  <c r="S141" i="138"/>
  <c r="H53" i="142"/>
  <c r="S139" i="138"/>
  <c r="S31" i="144"/>
  <c r="S132" i="138"/>
  <c r="S129" i="138"/>
  <c r="S130" i="138"/>
  <c r="S133" i="138"/>
  <c r="S140" i="138"/>
  <c r="S137" i="138"/>
  <c r="S128" i="138"/>
  <c r="S135" i="138"/>
  <c r="S134" i="138"/>
  <c r="S131" i="138"/>
  <c r="S127" i="138"/>
  <c r="S138" i="138"/>
  <c r="S136" i="138"/>
  <c r="S126" i="138"/>
  <c r="N66" i="139"/>
  <c r="N63" i="139"/>
  <c r="N59" i="139"/>
  <c r="N55" i="139"/>
  <c r="N51" i="139"/>
  <c r="N62" i="139"/>
  <c r="N58" i="139"/>
  <c r="N54" i="139"/>
  <c r="N64" i="139"/>
  <c r="N60" i="139"/>
  <c r="N56" i="139"/>
  <c r="N52" i="139"/>
  <c r="N65" i="139"/>
  <c r="N61" i="139"/>
  <c r="N57" i="139"/>
  <c r="N53" i="139"/>
  <c r="R66" i="139"/>
  <c r="R64" i="139"/>
  <c r="R60" i="139"/>
  <c r="R56" i="139"/>
  <c r="R52" i="139"/>
  <c r="R63" i="139"/>
  <c r="R59" i="139"/>
  <c r="R55" i="139"/>
  <c r="R51" i="139"/>
  <c r="R65" i="139"/>
  <c r="R61" i="139"/>
  <c r="R57" i="139"/>
  <c r="R53" i="139"/>
  <c r="R62" i="139"/>
  <c r="R58" i="139"/>
  <c r="R54" i="139"/>
  <c r="M57" i="135"/>
  <c r="H119" i="141"/>
  <c r="Q187" i="141" s="1"/>
  <c r="W183" i="141"/>
  <c r="V183" i="141"/>
  <c r="J183" i="141"/>
  <c r="N183" i="141"/>
  <c r="O183" i="141"/>
  <c r="P183" i="141"/>
  <c r="M183" i="141"/>
  <c r="R183" i="141"/>
  <c r="K183" i="141"/>
  <c r="T183" i="141"/>
  <c r="S183" i="141"/>
  <c r="X183" i="141"/>
  <c r="U183" i="141"/>
  <c r="Y183" i="141"/>
  <c r="L183" i="141"/>
  <c r="W179" i="141"/>
  <c r="J179" i="141"/>
  <c r="S179" i="141"/>
  <c r="R179" i="141"/>
  <c r="N179" i="141"/>
  <c r="O179" i="141"/>
  <c r="H108" i="141"/>
  <c r="Q179" i="141" s="1"/>
  <c r="V179" i="141"/>
  <c r="P179" i="141"/>
  <c r="M179" i="141"/>
  <c r="T179" i="141"/>
  <c r="K179" i="141"/>
  <c r="X179" i="141"/>
  <c r="U179" i="141"/>
  <c r="L179" i="141"/>
  <c r="Y179" i="141"/>
  <c r="W219" i="141"/>
  <c r="U219" i="141"/>
  <c r="P219" i="141"/>
  <c r="S219" i="141"/>
  <c r="N219" i="141"/>
  <c r="O219" i="141"/>
  <c r="Y219" i="141"/>
  <c r="T219" i="141"/>
  <c r="V219" i="141"/>
  <c r="X219" i="141"/>
  <c r="J219" i="141"/>
  <c r="R219" i="141"/>
  <c r="K219" i="141"/>
  <c r="M219" i="141"/>
  <c r="L219" i="141"/>
  <c r="H172" i="141"/>
  <c r="Q219" i="141" s="1"/>
  <c r="P28" i="138"/>
  <c r="P29" i="138" s="1"/>
  <c r="O29" i="138"/>
  <c r="O66" i="139"/>
  <c r="O62" i="139"/>
  <c r="O58" i="139"/>
  <c r="O54" i="139"/>
  <c r="O56" i="139"/>
  <c r="O52" i="139"/>
  <c r="O65" i="139"/>
  <c r="O61" i="139"/>
  <c r="O57" i="139"/>
  <c r="O53" i="139"/>
  <c r="O63" i="139"/>
  <c r="O59" i="139"/>
  <c r="O55" i="139"/>
  <c r="O51" i="139"/>
  <c r="O64" i="139"/>
  <c r="O60" i="139"/>
  <c r="K27" i="138"/>
  <c r="H52" i="135"/>
  <c r="R56" i="135"/>
  <c r="H159" i="141"/>
  <c r="Q212" i="141" s="1"/>
  <c r="W208" i="141"/>
  <c r="J208" i="141"/>
  <c r="S208" i="141"/>
  <c r="V208" i="141"/>
  <c r="R208" i="141"/>
  <c r="N208" i="141"/>
  <c r="K208" i="141"/>
  <c r="P208" i="141"/>
  <c r="Y208" i="141"/>
  <c r="O208" i="141"/>
  <c r="T208" i="141"/>
  <c r="X208" i="141"/>
  <c r="M208" i="141"/>
  <c r="L208" i="141"/>
  <c r="U208" i="141"/>
  <c r="W204" i="141"/>
  <c r="H148" i="141"/>
  <c r="Q204" i="141" s="1"/>
  <c r="R204" i="141"/>
  <c r="K204" i="141"/>
  <c r="N204" i="141"/>
  <c r="V204" i="141"/>
  <c r="J204" i="141"/>
  <c r="O204" i="141"/>
  <c r="P204" i="141"/>
  <c r="U204" i="141"/>
  <c r="S204" i="141"/>
  <c r="T204" i="141"/>
  <c r="Y204" i="141"/>
  <c r="X204" i="141"/>
  <c r="M204" i="141"/>
  <c r="L204" i="141"/>
  <c r="L31" i="144"/>
  <c r="H46" i="142"/>
  <c r="H51" i="142"/>
  <c r="Q128" i="138"/>
  <c r="Q31" i="144"/>
  <c r="Q136" i="138"/>
  <c r="Q133" i="138"/>
  <c r="Q135" i="138"/>
  <c r="Q129" i="138"/>
  <c r="Q126" i="138"/>
  <c r="Q132" i="138"/>
  <c r="Q130" i="138"/>
  <c r="Q141" i="138"/>
  <c r="Q131" i="138"/>
  <c r="Q137" i="138"/>
  <c r="Q134" i="138"/>
  <c r="Q140" i="138"/>
  <c r="Q138" i="138"/>
  <c r="Q139" i="138"/>
  <c r="Q127" i="138"/>
  <c r="L66" i="139"/>
  <c r="L63" i="139"/>
  <c r="L59" i="139"/>
  <c r="L55" i="139"/>
  <c r="L51" i="139"/>
  <c r="L65" i="139"/>
  <c r="L61" i="139"/>
  <c r="L57" i="139"/>
  <c r="L53" i="139"/>
  <c r="L62" i="139"/>
  <c r="L64" i="139"/>
  <c r="L60" i="139"/>
  <c r="L56" i="139"/>
  <c r="L52" i="139"/>
  <c r="L58" i="139"/>
  <c r="L54" i="139"/>
  <c r="P66" i="139"/>
  <c r="P64" i="139"/>
  <c r="P60" i="139"/>
  <c r="P56" i="139"/>
  <c r="P52" i="139"/>
  <c r="P65" i="139"/>
  <c r="P61" i="139"/>
  <c r="P57" i="139"/>
  <c r="P53" i="139"/>
  <c r="P62" i="139"/>
  <c r="P58" i="139"/>
  <c r="P54" i="139"/>
  <c r="P63" i="139"/>
  <c r="P59" i="139"/>
  <c r="P55" i="139"/>
  <c r="P51" i="139"/>
  <c r="K56" i="135"/>
  <c r="H103" i="141"/>
  <c r="Q177" i="141" s="1"/>
  <c r="H135" i="141"/>
  <c r="Q197" i="141" s="1"/>
  <c r="O56" i="135"/>
  <c r="S56" i="135"/>
  <c r="H167" i="141"/>
  <c r="Q217" i="141" s="1"/>
  <c r="W193" i="141"/>
  <c r="V193" i="141"/>
  <c r="J193" i="141"/>
  <c r="N193" i="141"/>
  <c r="O193" i="141"/>
  <c r="S193" i="141"/>
  <c r="P193" i="141"/>
  <c r="T193" i="141"/>
  <c r="U193" i="141"/>
  <c r="R193" i="141"/>
  <c r="X193" i="141"/>
  <c r="Y193" i="141"/>
  <c r="L193" i="141"/>
  <c r="M193" i="141"/>
  <c r="K193" i="141"/>
  <c r="W213" i="141"/>
  <c r="V213" i="141"/>
  <c r="J213" i="141"/>
  <c r="N213" i="141"/>
  <c r="R213" i="141"/>
  <c r="S213" i="141"/>
  <c r="L213" i="141"/>
  <c r="Y213" i="141"/>
  <c r="P213" i="141"/>
  <c r="K213" i="141"/>
  <c r="T213" i="141"/>
  <c r="M213" i="141"/>
  <c r="X213" i="141"/>
  <c r="U213" i="141"/>
  <c r="O213" i="141"/>
  <c r="W189" i="141"/>
  <c r="R189" i="141"/>
  <c r="V189" i="141"/>
  <c r="K189" i="141"/>
  <c r="S189" i="141"/>
  <c r="H124" i="141"/>
  <c r="Q189" i="141" s="1"/>
  <c r="O189" i="141"/>
  <c r="P189" i="141"/>
  <c r="T189" i="141"/>
  <c r="U189" i="141"/>
  <c r="N189" i="141"/>
  <c r="X189" i="141"/>
  <c r="Y189" i="141"/>
  <c r="J189" i="141"/>
  <c r="M189" i="141"/>
  <c r="L189" i="141"/>
  <c r="W209" i="141"/>
  <c r="H156" i="141"/>
  <c r="Q209" i="141" s="1"/>
  <c r="N209" i="141"/>
  <c r="Y209" i="141"/>
  <c r="X209" i="141"/>
  <c r="M209" i="141"/>
  <c r="O209" i="141"/>
  <c r="U209" i="141"/>
  <c r="S209" i="141"/>
  <c r="V209" i="141"/>
  <c r="T209" i="141"/>
  <c r="P209" i="141"/>
  <c r="J209" i="141"/>
  <c r="K209" i="141"/>
  <c r="R209" i="141"/>
  <c r="L209" i="141"/>
  <c r="H151" i="141"/>
  <c r="Q207" i="141" s="1"/>
  <c r="Q56" i="135"/>
  <c r="W203" i="141"/>
  <c r="V203" i="141"/>
  <c r="J203" i="141"/>
  <c r="N203" i="141"/>
  <c r="P203" i="141"/>
  <c r="U203" i="141"/>
  <c r="K203" i="141"/>
  <c r="T203" i="141"/>
  <c r="Y203" i="141"/>
  <c r="O203" i="141"/>
  <c r="X203" i="141"/>
  <c r="M203" i="141"/>
  <c r="S203" i="141"/>
  <c r="R203" i="141"/>
  <c r="L203" i="141"/>
  <c r="W199" i="141"/>
  <c r="H140" i="141"/>
  <c r="Q199" i="141" s="1"/>
  <c r="S199" i="141"/>
  <c r="K199" i="141"/>
  <c r="N199" i="141"/>
  <c r="O199" i="141"/>
  <c r="J199" i="141"/>
  <c r="V199" i="141"/>
  <c r="P199" i="141"/>
  <c r="U199" i="141"/>
  <c r="R199" i="141"/>
  <c r="T199" i="141"/>
  <c r="Y199" i="141"/>
  <c r="X199" i="141"/>
  <c r="M199" i="141"/>
  <c r="L199" i="141"/>
  <c r="H22" i="148" a="1"/>
  <c r="S66" i="139"/>
  <c r="S65" i="139"/>
  <c r="S61" i="139"/>
  <c r="S57" i="139"/>
  <c r="S53" i="139"/>
  <c r="S62" i="139"/>
  <c r="S58" i="139"/>
  <c r="S54" i="139"/>
  <c r="S63" i="139"/>
  <c r="S59" i="139"/>
  <c r="S55" i="139"/>
  <c r="S51" i="139"/>
  <c r="S64" i="139"/>
  <c r="S60" i="139"/>
  <c r="S56" i="139"/>
  <c r="S52" i="139"/>
  <c r="N56" i="135"/>
  <c r="H127" i="141"/>
  <c r="Q192" i="141" s="1"/>
  <c r="W188" i="141"/>
  <c r="S188" i="141"/>
  <c r="V188" i="141"/>
  <c r="N188" i="141"/>
  <c r="J188" i="141"/>
  <c r="R188" i="141"/>
  <c r="K188" i="141"/>
  <c r="P188" i="141"/>
  <c r="M188" i="141"/>
  <c r="T188" i="141"/>
  <c r="U188" i="141"/>
  <c r="O188" i="141"/>
  <c r="X188" i="141"/>
  <c r="Y188" i="141"/>
  <c r="L188" i="141"/>
  <c r="W184" i="141"/>
  <c r="V184" i="141"/>
  <c r="J184" i="141"/>
  <c r="R184" i="141"/>
  <c r="K184" i="141"/>
  <c r="N184" i="141"/>
  <c r="H116" i="141"/>
  <c r="Q184" i="141" s="1"/>
  <c r="S184" i="141"/>
  <c r="P184" i="141"/>
  <c r="M184" i="141"/>
  <c r="T184" i="141"/>
  <c r="X184" i="141"/>
  <c r="U184" i="141"/>
  <c r="L184" i="141"/>
  <c r="Y184" i="141"/>
  <c r="O184" i="141"/>
  <c r="H47" i="142"/>
  <c r="M31" i="144"/>
  <c r="R31" i="144"/>
  <c r="H52" i="142"/>
  <c r="R141" i="138"/>
  <c r="R133" i="138"/>
  <c r="R134" i="138"/>
  <c r="R127" i="138"/>
  <c r="R135" i="138"/>
  <c r="R131" i="138"/>
  <c r="R137" i="138"/>
  <c r="R136" i="138"/>
  <c r="R126" i="138"/>
  <c r="R138" i="138"/>
  <c r="R139" i="138"/>
  <c r="R129" i="138"/>
  <c r="R128" i="138"/>
  <c r="R132" i="138"/>
  <c r="R140" i="138"/>
  <c r="R130" i="138"/>
  <c r="M66" i="139"/>
  <c r="M65" i="139"/>
  <c r="M61" i="139"/>
  <c r="M57" i="139"/>
  <c r="M53" i="139"/>
  <c r="M62" i="139"/>
  <c r="M58" i="139"/>
  <c r="M54" i="139"/>
  <c r="M63" i="139"/>
  <c r="M59" i="139"/>
  <c r="M55" i="139"/>
  <c r="M51" i="139"/>
  <c r="M64" i="139"/>
  <c r="M60" i="139"/>
  <c r="M56" i="139"/>
  <c r="M52" i="139"/>
  <c r="Q66" i="139"/>
  <c r="Q62" i="139"/>
  <c r="Q58" i="139"/>
  <c r="Q54" i="139"/>
  <c r="Q65" i="139"/>
  <c r="Q61" i="139"/>
  <c r="Q57" i="139"/>
  <c r="Q53" i="139"/>
  <c r="Q63" i="139"/>
  <c r="Q59" i="139"/>
  <c r="Q55" i="139"/>
  <c r="Q51" i="139"/>
  <c r="Q64" i="139"/>
  <c r="Q60" i="139"/>
  <c r="Q56" i="139"/>
  <c r="Q52" i="139"/>
  <c r="H111" i="141"/>
  <c r="Q182" i="141" s="1"/>
  <c r="L57" i="135"/>
  <c r="H143" i="141"/>
  <c r="Q202" i="141" s="1"/>
  <c r="P57" i="135"/>
  <c r="W178" i="141"/>
  <c r="R178" i="141"/>
  <c r="S178" i="141"/>
  <c r="K178" i="141"/>
  <c r="N178" i="141"/>
  <c r="O178" i="141"/>
  <c r="P178" i="141"/>
  <c r="V178" i="141"/>
  <c r="J178" i="141"/>
  <c r="T178" i="141"/>
  <c r="M178" i="141"/>
  <c r="X178" i="141"/>
  <c r="U178" i="141"/>
  <c r="L178" i="141"/>
  <c r="Y178" i="141"/>
  <c r="W198" i="141"/>
  <c r="R198" i="141"/>
  <c r="S198" i="141"/>
  <c r="N198" i="141"/>
  <c r="J198" i="141"/>
  <c r="K198" i="141"/>
  <c r="O198" i="141"/>
  <c r="P198" i="141"/>
  <c r="U198" i="141"/>
  <c r="T198" i="141"/>
  <c r="Y198" i="141"/>
  <c r="V198" i="141"/>
  <c r="X198" i="141"/>
  <c r="L198" i="141"/>
  <c r="M198" i="141"/>
  <c r="W218" i="141"/>
  <c r="J218" i="141"/>
  <c r="O218" i="141"/>
  <c r="L218" i="141"/>
  <c r="Y218" i="141"/>
  <c r="S218" i="141"/>
  <c r="P218" i="141"/>
  <c r="M218" i="141"/>
  <c r="R218" i="141"/>
  <c r="T218" i="141"/>
  <c r="N218" i="141"/>
  <c r="V218" i="141"/>
  <c r="X218" i="141"/>
  <c r="U218" i="141"/>
  <c r="K218" i="141"/>
  <c r="W194" i="141"/>
  <c r="H132" i="141"/>
  <c r="Q194" i="141" s="1"/>
  <c r="K194" i="141"/>
  <c r="N194" i="141"/>
  <c r="V194" i="141"/>
  <c r="R194" i="141"/>
  <c r="S194" i="141"/>
  <c r="J194" i="141"/>
  <c r="P194" i="141"/>
  <c r="O194" i="141"/>
  <c r="T194" i="141"/>
  <c r="U194" i="141"/>
  <c r="X194" i="141"/>
  <c r="Y194" i="141"/>
  <c r="L194" i="141"/>
  <c r="M194" i="141"/>
  <c r="W214" i="141"/>
  <c r="N214" i="141"/>
  <c r="R214" i="141"/>
  <c r="V214" i="141"/>
  <c r="L214" i="141"/>
  <c r="Y214" i="141"/>
  <c r="K214" i="141"/>
  <c r="P214" i="141"/>
  <c r="M214" i="141"/>
  <c r="O214" i="141"/>
  <c r="T214" i="141"/>
  <c r="H164" i="141"/>
  <c r="Q214" i="141" s="1"/>
  <c r="S214" i="141"/>
  <c r="U214" i="141"/>
  <c r="J214" i="141"/>
  <c r="X214" i="141"/>
  <c r="P46" i="144"/>
  <c r="H37" i="138"/>
  <c r="H39" i="137"/>
  <c r="J61" i="142"/>
  <c r="J62" i="141"/>
  <c r="J89" i="141" s="1"/>
  <c r="J267" i="141" s="1"/>
  <c r="J78" i="145" s="1"/>
  <c r="K61" i="142"/>
  <c r="K62" i="141"/>
  <c r="K89" i="141" s="1"/>
  <c r="K267" i="141" s="1"/>
  <c r="K78" i="145" s="1"/>
  <c r="T59" i="140"/>
  <c r="T16" i="154"/>
  <c r="T19" i="154"/>
  <c r="T96" i="140"/>
  <c r="T20" i="152"/>
  <c r="L37" i="154"/>
  <c r="L22" i="152"/>
  <c r="L98" i="140"/>
  <c r="W96" i="140"/>
  <c r="W20" i="152"/>
  <c r="W19" i="154"/>
  <c r="W128" i="154" s="1"/>
  <c r="P37" i="154"/>
  <c r="P22" i="152"/>
  <c r="P98" i="140"/>
  <c r="N38" i="154"/>
  <c r="N109" i="140"/>
  <c r="K19" i="154"/>
  <c r="K20" i="152"/>
  <c r="K96" i="140"/>
  <c r="R35" i="154"/>
  <c r="R72" i="140"/>
  <c r="T61" i="140"/>
  <c r="T34" i="154"/>
  <c r="Q17" i="154"/>
  <c r="Q70" i="140"/>
  <c r="N131" i="140"/>
  <c r="N40" i="154"/>
  <c r="N98" i="140"/>
  <c r="N37" i="154"/>
  <c r="N22" i="152"/>
  <c r="L28" i="154"/>
  <c r="L97" i="140"/>
  <c r="L21" i="152"/>
  <c r="U20" i="152"/>
  <c r="U96" i="140"/>
  <c r="U19" i="154"/>
  <c r="U128" i="154" s="1"/>
  <c r="M27" i="154"/>
  <c r="M82" i="140"/>
  <c r="J70" i="140"/>
  <c r="J17" i="154"/>
  <c r="J20" i="152"/>
  <c r="J19" i="154"/>
  <c r="J96" i="140"/>
  <c r="N25" i="154"/>
  <c r="N60" i="140"/>
  <c r="J61" i="140"/>
  <c r="J34" i="154"/>
  <c r="T83" i="140"/>
  <c r="T36" i="154"/>
  <c r="T21" i="143"/>
  <c r="T25" i="146"/>
  <c r="R25" i="146"/>
  <c r="R21" i="143"/>
  <c r="O16" i="154"/>
  <c r="O59" i="140"/>
  <c r="M16" i="154"/>
  <c r="M59" i="140"/>
  <c r="U16" i="154"/>
  <c r="U59" i="140"/>
  <c r="P59" i="140"/>
  <c r="P16" i="154"/>
  <c r="P20" i="154"/>
  <c r="P107" i="140"/>
  <c r="P118" i="140"/>
  <c r="P21" i="154"/>
  <c r="S61" i="140"/>
  <c r="S34" i="154"/>
  <c r="X18" i="154"/>
  <c r="X81" i="140"/>
  <c r="N35" i="154"/>
  <c r="N72" i="140"/>
  <c r="S19" i="154"/>
  <c r="S96" i="140"/>
  <c r="S20" i="152"/>
  <c r="V83" i="140"/>
  <c r="V36" i="154"/>
  <c r="P120" i="140"/>
  <c r="P39" i="154"/>
  <c r="Y70" i="140"/>
  <c r="Y17" i="154"/>
  <c r="L35" i="154"/>
  <c r="L72" i="140"/>
  <c r="R25" i="154"/>
  <c r="R60" i="140"/>
  <c r="X83" i="140"/>
  <c r="X36" i="154"/>
  <c r="Y20" i="152"/>
  <c r="Y19" i="154"/>
  <c r="Y128" i="154" s="1"/>
  <c r="Y96" i="140"/>
  <c r="T27" i="154"/>
  <c r="T82" i="140"/>
  <c r="N18" i="154"/>
  <c r="N81" i="140"/>
  <c r="N19" i="154"/>
  <c r="N20" i="152"/>
  <c r="N96" i="140"/>
  <c r="N108" i="140"/>
  <c r="N29" i="154"/>
  <c r="N34" i="154"/>
  <c r="N61" i="140"/>
  <c r="V72" i="140"/>
  <c r="V35" i="154"/>
  <c r="P61" i="142"/>
  <c r="P62" i="141"/>
  <c r="W16" i="154"/>
  <c r="W59" i="140"/>
  <c r="M62" i="141"/>
  <c r="M89" i="141" s="1"/>
  <c r="M267" i="141" s="1"/>
  <c r="M78" i="145" s="1"/>
  <c r="M61" i="142"/>
  <c r="V59" i="140"/>
  <c r="V16" i="154"/>
  <c r="J59" i="140"/>
  <c r="J16" i="154"/>
  <c r="T81" i="140"/>
  <c r="T18" i="154"/>
  <c r="V129" i="140"/>
  <c r="V22" i="154"/>
  <c r="P131" i="140"/>
  <c r="P40" i="154"/>
  <c r="W81" i="140"/>
  <c r="W18" i="154"/>
  <c r="K25" i="154"/>
  <c r="K60" i="140"/>
  <c r="J72" i="140"/>
  <c r="J35" i="154"/>
  <c r="P70" i="140"/>
  <c r="P17" i="154"/>
  <c r="P19" i="154"/>
  <c r="P96" i="140"/>
  <c r="P20" i="152"/>
  <c r="Q26" i="154"/>
  <c r="Q71" i="140"/>
  <c r="Q36" i="154"/>
  <c r="Q83" i="140"/>
  <c r="K18" i="154"/>
  <c r="K81" i="140"/>
  <c r="O20" i="154"/>
  <c r="O107" i="140"/>
  <c r="K34" i="154"/>
  <c r="K61" i="140"/>
  <c r="R82" i="140"/>
  <c r="R27" i="154"/>
  <c r="K35" i="154"/>
  <c r="K72" i="140"/>
  <c r="R36" i="154"/>
  <c r="R83" i="140"/>
  <c r="Q18" i="154"/>
  <c r="Q81" i="140"/>
  <c r="T25" i="154"/>
  <c r="T60" i="140"/>
  <c r="P35" i="154"/>
  <c r="P72" i="140"/>
  <c r="S36" i="154"/>
  <c r="S83" i="140"/>
  <c r="X98" i="140"/>
  <c r="X37" i="154"/>
  <c r="X130" i="154" s="1"/>
  <c r="X22" i="152"/>
  <c r="L71" i="140"/>
  <c r="L26" i="154"/>
  <c r="O38" i="154"/>
  <c r="O109" i="140"/>
  <c r="Q22" i="152"/>
  <c r="Q98" i="140"/>
  <c r="Q37" i="154"/>
  <c r="U18" i="154"/>
  <c r="U81" i="140"/>
  <c r="O129" i="140"/>
  <c r="O22" i="154"/>
  <c r="M71" i="140"/>
  <c r="M26" i="154"/>
  <c r="M28" i="154"/>
  <c r="M129" i="154" s="1"/>
  <c r="M21" i="152"/>
  <c r="M97" i="140"/>
  <c r="P109" i="140"/>
  <c r="P38" i="154"/>
  <c r="R70" i="140"/>
  <c r="R17" i="154"/>
  <c r="R18" i="154"/>
  <c r="R81" i="140"/>
  <c r="R20" i="152"/>
  <c r="R96" i="140"/>
  <c r="R19" i="154"/>
  <c r="P22" i="154"/>
  <c r="P129" i="140"/>
  <c r="J71" i="140"/>
  <c r="J26" i="154"/>
  <c r="J28" i="154"/>
  <c r="J21" i="152"/>
  <c r="J97" i="140"/>
  <c r="R34" i="154"/>
  <c r="R61" i="140"/>
  <c r="X40" i="154"/>
  <c r="X131" i="140"/>
  <c r="L83" i="140"/>
  <c r="L36" i="154"/>
  <c r="O37" i="154"/>
  <c r="O98" i="140"/>
  <c r="O22" i="152"/>
  <c r="L25" i="146"/>
  <c r="L21" i="143"/>
  <c r="J21" i="143"/>
  <c r="J25" i="146"/>
  <c r="S59" i="140"/>
  <c r="S16" i="154"/>
  <c r="Y59" i="140"/>
  <c r="Y16" i="154"/>
  <c r="Q62" i="141"/>
  <c r="Q61" i="142"/>
  <c r="X59" i="140"/>
  <c r="X16" i="154"/>
  <c r="T70" i="140"/>
  <c r="T17" i="154"/>
  <c r="Q27" i="154"/>
  <c r="Q82" i="140"/>
  <c r="W17" i="154"/>
  <c r="W70" i="140"/>
  <c r="K21" i="152"/>
  <c r="K28" i="154"/>
  <c r="K97" i="140"/>
  <c r="P81" i="140"/>
  <c r="P18" i="154"/>
  <c r="N129" i="140"/>
  <c r="N22" i="154"/>
  <c r="K17" i="154"/>
  <c r="K70" i="140"/>
  <c r="Q60" i="140"/>
  <c r="Q25" i="154"/>
  <c r="N130" i="140"/>
  <c r="N31" i="154"/>
  <c r="S35" i="154"/>
  <c r="S72" i="140"/>
  <c r="Q19" i="154"/>
  <c r="Q96" i="140"/>
  <c r="Q20" i="152"/>
  <c r="K36" i="154"/>
  <c r="K83" i="140"/>
  <c r="J36" i="154"/>
  <c r="J83" i="140"/>
  <c r="U17" i="154"/>
  <c r="U70" i="140"/>
  <c r="M60" i="140"/>
  <c r="M25" i="154"/>
  <c r="M61" i="140"/>
  <c r="M34" i="154"/>
  <c r="J81" i="140"/>
  <c r="J18" i="154"/>
  <c r="N107" i="140"/>
  <c r="N20" i="154"/>
  <c r="J82" i="140"/>
  <c r="J27" i="154"/>
  <c r="N120" i="140"/>
  <c r="N39" i="154"/>
  <c r="Q72" i="140"/>
  <c r="Q35" i="154"/>
  <c r="U21" i="143"/>
  <c r="U25" i="146"/>
  <c r="O21" i="143"/>
  <c r="O25" i="146"/>
  <c r="Q16" i="154"/>
  <c r="Q59" i="140"/>
  <c r="L16" i="154"/>
  <c r="L59" i="140"/>
  <c r="L81" i="140"/>
  <c r="L18" i="154"/>
  <c r="O34" i="154"/>
  <c r="O61" i="140"/>
  <c r="O18" i="154"/>
  <c r="O81" i="140"/>
  <c r="L60" i="140"/>
  <c r="L25" i="154"/>
  <c r="S17" i="154"/>
  <c r="S70" i="140"/>
  <c r="K27" i="154"/>
  <c r="K82" i="140"/>
  <c r="R71" i="140"/>
  <c r="R26" i="154"/>
  <c r="N83" i="140"/>
  <c r="N36" i="154"/>
  <c r="N118" i="140"/>
  <c r="N21" i="154"/>
  <c r="O36" i="154"/>
  <c r="O83" i="140"/>
  <c r="R37" i="154"/>
  <c r="R98" i="140"/>
  <c r="R22" i="152"/>
  <c r="P61" i="140"/>
  <c r="P34" i="154"/>
  <c r="M18" i="154"/>
  <c r="M81" i="140"/>
  <c r="T130" i="140"/>
  <c r="T31" i="154"/>
  <c r="V34" i="154"/>
  <c r="V61" i="140"/>
  <c r="N17" i="154"/>
  <c r="N70" i="140"/>
  <c r="O21" i="154"/>
  <c r="O118" i="140"/>
  <c r="N27" i="154"/>
  <c r="N82" i="140"/>
  <c r="O40" i="154"/>
  <c r="O131" i="140"/>
  <c r="K37" i="154"/>
  <c r="K98" i="140"/>
  <c r="K22" i="152"/>
  <c r="S21" i="143"/>
  <c r="S25" i="146"/>
  <c r="N61" i="142"/>
  <c r="N62" i="141"/>
  <c r="K16" i="154"/>
  <c r="K59" i="140"/>
  <c r="L62" i="141"/>
  <c r="L89" i="141" s="1"/>
  <c r="L267" i="141" s="1"/>
  <c r="L78" i="145" s="1"/>
  <c r="L61" i="142"/>
  <c r="O61" i="142"/>
  <c r="O62" i="141"/>
  <c r="N16" i="154"/>
  <c r="N59" i="140"/>
  <c r="R59" i="140"/>
  <c r="R16" i="154"/>
  <c r="L70" i="140"/>
  <c r="L17" i="154"/>
  <c r="L19" i="154"/>
  <c r="L96" i="140"/>
  <c r="L20" i="152"/>
  <c r="N119" i="140"/>
  <c r="N30" i="154"/>
  <c r="X72" i="140"/>
  <c r="X35" i="154"/>
  <c r="O17" i="154"/>
  <c r="O70" i="140"/>
  <c r="O19" i="154"/>
  <c r="O20" i="152"/>
  <c r="O96" i="140"/>
  <c r="K26" i="154"/>
  <c r="K71" i="140"/>
  <c r="M36" i="154"/>
  <c r="M83" i="140"/>
  <c r="X70" i="140"/>
  <c r="X17" i="154"/>
  <c r="X19" i="154"/>
  <c r="X20" i="152"/>
  <c r="X96" i="140"/>
  <c r="Q21" i="152"/>
  <c r="Q28" i="154"/>
  <c r="Q97" i="140"/>
  <c r="T37" i="154"/>
  <c r="T130" i="154" s="1"/>
  <c r="T22" i="152"/>
  <c r="T98" i="140"/>
  <c r="S18" i="154"/>
  <c r="S81" i="140"/>
  <c r="X22" i="154"/>
  <c r="X129" i="140"/>
  <c r="O39" i="154"/>
  <c r="O120" i="140"/>
  <c r="R28" i="154"/>
  <c r="R21" i="152"/>
  <c r="R97" i="140"/>
  <c r="L61" i="140"/>
  <c r="L34" i="154"/>
  <c r="O72" i="140"/>
  <c r="O35" i="154"/>
  <c r="M37" i="154"/>
  <c r="M130" i="154" s="1"/>
  <c r="M22" i="152"/>
  <c r="M98" i="140"/>
  <c r="Y18" i="154"/>
  <c r="Y81" i="140"/>
  <c r="Q34" i="154"/>
  <c r="Q61" i="140"/>
  <c r="T35" i="154"/>
  <c r="T72" i="140"/>
  <c r="J37" i="154"/>
  <c r="J98" i="140"/>
  <c r="J22" i="152"/>
  <c r="L82" i="140"/>
  <c r="L27" i="154"/>
  <c r="T131" i="140"/>
  <c r="T40" i="154"/>
  <c r="V22" i="152"/>
  <c r="V98" i="140"/>
  <c r="V37" i="154"/>
  <c r="V130" i="154" s="1"/>
  <c r="M17" i="154"/>
  <c r="M70" i="140"/>
  <c r="M19" i="154"/>
  <c r="M96" i="140"/>
  <c r="M20" i="152"/>
  <c r="T129" i="140"/>
  <c r="T22" i="154"/>
  <c r="T26" i="154"/>
  <c r="T71" i="140"/>
  <c r="T28" i="154"/>
  <c r="T129" i="154" s="1"/>
  <c r="T97" i="140"/>
  <c r="T21" i="152"/>
  <c r="V40" i="154"/>
  <c r="V131" i="140"/>
  <c r="V17" i="154"/>
  <c r="V70" i="140"/>
  <c r="V18" i="154"/>
  <c r="V81" i="140"/>
  <c r="V96" i="140"/>
  <c r="V20" i="152"/>
  <c r="V19" i="154"/>
  <c r="J25" i="154"/>
  <c r="J60" i="140"/>
  <c r="N26" i="154"/>
  <c r="N71" i="140"/>
  <c r="N28" i="154"/>
  <c r="N21" i="152"/>
  <c r="N97" i="140"/>
  <c r="X61" i="140"/>
  <c r="X34" i="154"/>
  <c r="M72" i="140"/>
  <c r="M35" i="154"/>
  <c r="P83" i="140"/>
  <c r="P36" i="154"/>
  <c r="S37" i="154"/>
  <c r="S130" i="154" s="1"/>
  <c r="S98" i="140"/>
  <c r="S22" i="152"/>
  <c r="N21" i="143"/>
  <c r="N25" i="146"/>
  <c r="J50" i="134" a="1"/>
  <c r="AO116" i="151"/>
  <c r="H528" i="97" a="1"/>
  <c r="H528" i="97" s="1"/>
  <c r="H530" i="97" s="1"/>
  <c r="H118" i="98" a="1"/>
  <c r="H118" i="98" s="1"/>
  <c r="Q45" i="137" l="1"/>
  <c r="M45" i="137"/>
  <c r="N45" i="137"/>
  <c r="J45" i="137"/>
  <c r="P45" i="137"/>
  <c r="L45" i="137"/>
  <c r="K45" i="137"/>
  <c r="O45" i="137"/>
  <c r="H57" i="135"/>
  <c r="H70" i="139" a="1"/>
  <c r="H70" i="139" s="1"/>
  <c r="V182" i="141"/>
  <c r="O182" i="141"/>
  <c r="S182" i="141"/>
  <c r="W182" i="141"/>
  <c r="K182" i="141"/>
  <c r="H115" i="141"/>
  <c r="Q183" i="141" s="1"/>
  <c r="J182" i="141"/>
  <c r="P182" i="141"/>
  <c r="M182" i="141"/>
  <c r="N182" i="141"/>
  <c r="T182" i="141"/>
  <c r="R182" i="141"/>
  <c r="X182" i="141"/>
  <c r="U182" i="141"/>
  <c r="Y182" i="141"/>
  <c r="L182" i="141"/>
  <c r="H26" i="148"/>
  <c r="H30" i="148"/>
  <c r="H25" i="148"/>
  <c r="H22" i="148"/>
  <c r="H28" i="148"/>
  <c r="H29" i="148"/>
  <c r="H24" i="148"/>
  <c r="H27" i="148"/>
  <c r="H23" i="148"/>
  <c r="W197" i="141"/>
  <c r="J197" i="141"/>
  <c r="V197" i="141"/>
  <c r="O197" i="141"/>
  <c r="H139" i="141"/>
  <c r="Q198" i="141" s="1"/>
  <c r="P197" i="141"/>
  <c r="T197" i="141"/>
  <c r="U197" i="141"/>
  <c r="K197" i="141"/>
  <c r="X197" i="141"/>
  <c r="Y197" i="141"/>
  <c r="S197" i="141"/>
  <c r="M197" i="141"/>
  <c r="R197" i="141"/>
  <c r="N197" i="141"/>
  <c r="L197" i="141"/>
  <c r="J69" i="145" a="1"/>
  <c r="J109" i="148" a="1"/>
  <c r="J107" i="149" a="1"/>
  <c r="V212" i="141"/>
  <c r="K212" i="141"/>
  <c r="O212" i="141"/>
  <c r="N212" i="141"/>
  <c r="J212" i="141"/>
  <c r="S212" i="141"/>
  <c r="W212" i="141"/>
  <c r="R212" i="141"/>
  <c r="L212" i="141"/>
  <c r="U212" i="141"/>
  <c r="P212" i="141"/>
  <c r="Y212" i="141"/>
  <c r="H163" i="141"/>
  <c r="Q213" i="141" s="1"/>
  <c r="T212" i="141"/>
  <c r="M212" i="141"/>
  <c r="X212" i="141"/>
  <c r="K29" i="138"/>
  <c r="J28" i="138"/>
  <c r="J29" i="138" s="1"/>
  <c r="V192" i="141"/>
  <c r="H131" i="141"/>
  <c r="Q193" i="141" s="1"/>
  <c r="S192" i="141"/>
  <c r="K192" i="141"/>
  <c r="O192" i="141"/>
  <c r="J192" i="141"/>
  <c r="N192" i="141"/>
  <c r="W192" i="141"/>
  <c r="R192" i="141"/>
  <c r="P192" i="141"/>
  <c r="T192" i="141"/>
  <c r="U192" i="141"/>
  <c r="X192" i="141"/>
  <c r="Y192" i="141"/>
  <c r="L192" i="141"/>
  <c r="M192" i="141"/>
  <c r="W207" i="141"/>
  <c r="O207" i="141"/>
  <c r="H155" i="141"/>
  <c r="Q208" i="141" s="1"/>
  <c r="N207" i="141"/>
  <c r="R207" i="141"/>
  <c r="V207" i="141"/>
  <c r="P207" i="141"/>
  <c r="U207" i="141"/>
  <c r="T207" i="141"/>
  <c r="Y207" i="141"/>
  <c r="J207" i="141"/>
  <c r="K207" i="141"/>
  <c r="X207" i="141"/>
  <c r="M207" i="141"/>
  <c r="L207" i="141"/>
  <c r="S207" i="141"/>
  <c r="W217" i="141"/>
  <c r="J217" i="141"/>
  <c r="N217" i="141"/>
  <c r="H171" i="141"/>
  <c r="Q218" i="141" s="1"/>
  <c r="R217" i="141"/>
  <c r="K217" i="141"/>
  <c r="L217" i="141"/>
  <c r="Y217" i="141"/>
  <c r="V217" i="141"/>
  <c r="O217" i="141"/>
  <c r="P217" i="141"/>
  <c r="M217" i="141"/>
  <c r="S217" i="141"/>
  <c r="T217" i="141"/>
  <c r="U217" i="141"/>
  <c r="X217" i="141"/>
  <c r="W177" i="141"/>
  <c r="V177" i="141"/>
  <c r="O177" i="141"/>
  <c r="J177" i="141"/>
  <c r="N177" i="141"/>
  <c r="R177" i="141"/>
  <c r="P177" i="141"/>
  <c r="Y177" i="141"/>
  <c r="T177" i="141"/>
  <c r="M177" i="141"/>
  <c r="K177" i="141"/>
  <c r="X177" i="141"/>
  <c r="H107" i="141"/>
  <c r="Q178" i="141" s="1"/>
  <c r="S177" i="141"/>
  <c r="U177" i="141"/>
  <c r="L177" i="141"/>
  <c r="O31" i="144"/>
  <c r="H49" i="142"/>
  <c r="K20" i="138"/>
  <c r="P47" i="144"/>
  <c r="N47" i="144"/>
  <c r="M47" i="144"/>
  <c r="O47" i="144"/>
  <c r="P38" i="138"/>
  <c r="N38" i="138"/>
  <c r="M38" i="138"/>
  <c r="O38" i="138"/>
  <c r="V202" i="141"/>
  <c r="K202" i="141"/>
  <c r="W202" i="141"/>
  <c r="J202" i="141"/>
  <c r="H147" i="141"/>
  <c r="Q203" i="141" s="1"/>
  <c r="R202" i="141"/>
  <c r="N202" i="141"/>
  <c r="P202" i="141"/>
  <c r="U202" i="141"/>
  <c r="O202" i="141"/>
  <c r="T202" i="141"/>
  <c r="Y202" i="141"/>
  <c r="S202" i="141"/>
  <c r="X202" i="141"/>
  <c r="M202" i="141"/>
  <c r="L202" i="141"/>
  <c r="H56" i="135"/>
  <c r="P31" i="144"/>
  <c r="H50" i="142"/>
  <c r="W187" i="141"/>
  <c r="N187" i="141"/>
  <c r="O187" i="141"/>
  <c r="J187" i="141"/>
  <c r="R187" i="141"/>
  <c r="V187" i="141"/>
  <c r="H123" i="141"/>
  <c r="Q188" i="141" s="1"/>
  <c r="K187" i="141"/>
  <c r="P187" i="141"/>
  <c r="M187" i="141"/>
  <c r="S187" i="141"/>
  <c r="T187" i="141"/>
  <c r="X187" i="141"/>
  <c r="U187" i="141"/>
  <c r="L187" i="141"/>
  <c r="Y187" i="141"/>
  <c r="N83" i="141"/>
  <c r="N91" i="141" s="1"/>
  <c r="N89" i="141"/>
  <c r="N267" i="141" s="1"/>
  <c r="N78" i="145" s="1"/>
  <c r="Q89" i="141"/>
  <c r="Q267" i="141" s="1"/>
  <c r="Q78" i="145" s="1"/>
  <c r="Q83" i="141"/>
  <c r="Q91" i="141" s="1"/>
  <c r="P89" i="141"/>
  <c r="P267" i="141" s="1"/>
  <c r="P78" i="145" s="1"/>
  <c r="P83" i="141"/>
  <c r="P91" i="141" s="1"/>
  <c r="O89" i="141"/>
  <c r="O267" i="141" s="1"/>
  <c r="O78" i="145" s="1"/>
  <c r="O83" i="141"/>
  <c r="O91" i="141" s="1"/>
  <c r="J50" i="134"/>
  <c r="X50" i="134"/>
  <c r="X23" i="152" s="1"/>
  <c r="T50" i="134"/>
  <c r="T23" i="152" s="1"/>
  <c r="K50" i="134"/>
  <c r="K23" i="152" s="1"/>
  <c r="M50" i="134"/>
  <c r="M23" i="152" s="1"/>
  <c r="Q50" i="134"/>
  <c r="Q23" i="152" s="1"/>
  <c r="W50" i="134"/>
  <c r="W23" i="152" s="1"/>
  <c r="V50" i="134"/>
  <c r="V23" i="152" s="1"/>
  <c r="U50" i="134"/>
  <c r="U23" i="152" s="1"/>
  <c r="Y50" i="134"/>
  <c r="Y23" i="152" s="1"/>
  <c r="S50" i="134"/>
  <c r="S23" i="152" s="1"/>
  <c r="R50" i="134"/>
  <c r="R23" i="152" s="1"/>
  <c r="P50" i="134"/>
  <c r="P23" i="152" s="1"/>
  <c r="L50" i="134"/>
  <c r="L23" i="152" s="1"/>
  <c r="O50" i="134"/>
  <c r="O23" i="152" s="1"/>
  <c r="N50" i="134"/>
  <c r="N23" i="152" s="1"/>
  <c r="AP116" i="151"/>
  <c r="H59" i="135" l="1"/>
  <c r="A4" i="135" s="1"/>
  <c r="A4" i="139"/>
  <c r="J43" i="55"/>
  <c r="H58" i="137" a="1"/>
  <c r="H58" i="137" s="1"/>
  <c r="K76" i="145"/>
  <c r="K75" i="145"/>
  <c r="K74" i="145"/>
  <c r="K73" i="145"/>
  <c r="K72" i="145"/>
  <c r="K71" i="145"/>
  <c r="K70" i="145"/>
  <c r="K69" i="145"/>
  <c r="V75" i="145"/>
  <c r="Q74" i="145"/>
  <c r="L73" i="145"/>
  <c r="V71" i="145"/>
  <c r="Q70" i="145"/>
  <c r="L69" i="145"/>
  <c r="U75" i="145"/>
  <c r="P74" i="145"/>
  <c r="J73" i="145"/>
  <c r="U71" i="145"/>
  <c r="P70" i="145"/>
  <c r="J69" i="145"/>
  <c r="Y75" i="145"/>
  <c r="T74" i="145"/>
  <c r="N73" i="145"/>
  <c r="Y71" i="145"/>
  <c r="T70" i="145"/>
  <c r="N69" i="145"/>
  <c r="X75" i="145"/>
  <c r="R74" i="145"/>
  <c r="M73" i="145"/>
  <c r="X71" i="145"/>
  <c r="R70" i="145"/>
  <c r="M69" i="145"/>
  <c r="O76" i="145"/>
  <c r="O74" i="145"/>
  <c r="O72" i="145"/>
  <c r="O70" i="145"/>
  <c r="L76" i="145"/>
  <c r="Q73" i="145"/>
  <c r="Q69" i="145"/>
  <c r="U74" i="145"/>
  <c r="U70" i="145"/>
  <c r="N76" i="145"/>
  <c r="T73" i="145"/>
  <c r="Y70" i="145"/>
  <c r="M76" i="145"/>
  <c r="R73" i="145"/>
  <c r="X70" i="145"/>
  <c r="W76" i="145"/>
  <c r="W75" i="145"/>
  <c r="W74" i="145"/>
  <c r="W73" i="145"/>
  <c r="W72" i="145"/>
  <c r="W71" i="145"/>
  <c r="W70" i="145"/>
  <c r="W69" i="145"/>
  <c r="V76" i="145"/>
  <c r="Q75" i="145"/>
  <c r="L74" i="145"/>
  <c r="V72" i="145"/>
  <c r="Q71" i="145"/>
  <c r="L70" i="145"/>
  <c r="U76" i="145"/>
  <c r="P75" i="145"/>
  <c r="J74" i="145"/>
  <c r="U72" i="145"/>
  <c r="P71" i="145"/>
  <c r="J70" i="145"/>
  <c r="Y76" i="145"/>
  <c r="T75" i="145"/>
  <c r="N74" i="145"/>
  <c r="Y72" i="145"/>
  <c r="T71" i="145"/>
  <c r="N70" i="145"/>
  <c r="X76" i="145"/>
  <c r="R75" i="145"/>
  <c r="M74" i="145"/>
  <c r="X72" i="145"/>
  <c r="R71" i="145"/>
  <c r="M70" i="145"/>
  <c r="O75" i="145"/>
  <c r="O73" i="145"/>
  <c r="O71" i="145"/>
  <c r="O69" i="145"/>
  <c r="V74" i="145"/>
  <c r="L72" i="145"/>
  <c r="V70" i="145"/>
  <c r="J76" i="145"/>
  <c r="P73" i="145"/>
  <c r="J72" i="145"/>
  <c r="P69" i="145"/>
  <c r="Y74" i="145"/>
  <c r="N72" i="145"/>
  <c r="T69" i="145"/>
  <c r="X74" i="145"/>
  <c r="M72" i="145"/>
  <c r="R69" i="145"/>
  <c r="S76" i="145"/>
  <c r="S75" i="145"/>
  <c r="S74" i="145"/>
  <c r="S73" i="145"/>
  <c r="S72" i="145"/>
  <c r="S71" i="145"/>
  <c r="S70" i="145"/>
  <c r="S69" i="145"/>
  <c r="Q76" i="145"/>
  <c r="L75" i="145"/>
  <c r="V73" i="145"/>
  <c r="Q72" i="145"/>
  <c r="L71" i="145"/>
  <c r="V69" i="145"/>
  <c r="P76" i="145"/>
  <c r="J75" i="145"/>
  <c r="U73" i="145"/>
  <c r="P72" i="145"/>
  <c r="J71" i="145"/>
  <c r="U69" i="145"/>
  <c r="T76" i="145"/>
  <c r="N75" i="145"/>
  <c r="Y73" i="145"/>
  <c r="T72" i="145"/>
  <c r="N71" i="145"/>
  <c r="Y69" i="145"/>
  <c r="R76" i="145"/>
  <c r="M75" i="145"/>
  <c r="X73" i="145"/>
  <c r="R72" i="145"/>
  <c r="M71" i="145"/>
  <c r="X69" i="145"/>
  <c r="N113" i="147"/>
  <c r="N95" i="149"/>
  <c r="N82" i="148"/>
  <c r="N24" i="142"/>
  <c r="Q95" i="149"/>
  <c r="Q82" i="148"/>
  <c r="Q113" i="147"/>
  <c r="Q24" i="142"/>
  <c r="V116" i="148"/>
  <c r="V115" i="148"/>
  <c r="V114" i="148"/>
  <c r="V113" i="148"/>
  <c r="V112" i="148"/>
  <c r="V111" i="148"/>
  <c r="V110" i="148"/>
  <c r="V109" i="148"/>
  <c r="Y116" i="148"/>
  <c r="Y115" i="148"/>
  <c r="Y114" i="148"/>
  <c r="Y113" i="148"/>
  <c r="Y112" i="148"/>
  <c r="Y111" i="148"/>
  <c r="Y110" i="148"/>
  <c r="Y109" i="148"/>
  <c r="W116" i="148"/>
  <c r="W114" i="148"/>
  <c r="W112" i="148"/>
  <c r="W110" i="148"/>
  <c r="T116" i="148"/>
  <c r="T114" i="148"/>
  <c r="T112" i="148"/>
  <c r="T110" i="148"/>
  <c r="S116" i="148"/>
  <c r="S114" i="148"/>
  <c r="S112" i="148"/>
  <c r="S110" i="148"/>
  <c r="X116" i="148"/>
  <c r="X114" i="148"/>
  <c r="X112" i="148"/>
  <c r="X110" i="148"/>
  <c r="R116" i="148"/>
  <c r="R115" i="148"/>
  <c r="R114" i="148"/>
  <c r="R113" i="148"/>
  <c r="R112" i="148"/>
  <c r="R111" i="148"/>
  <c r="R110" i="148"/>
  <c r="R109" i="148"/>
  <c r="U116" i="148"/>
  <c r="U115" i="148"/>
  <c r="U114" i="148"/>
  <c r="U113" i="148"/>
  <c r="U112" i="148"/>
  <c r="U111" i="148"/>
  <c r="U110" i="148"/>
  <c r="U109" i="148"/>
  <c r="O116" i="148"/>
  <c r="O114" i="148"/>
  <c r="O112" i="148"/>
  <c r="O110" i="148"/>
  <c r="L116" i="148"/>
  <c r="L114" i="148"/>
  <c r="L112" i="148"/>
  <c r="L110" i="148"/>
  <c r="K116" i="148"/>
  <c r="K114" i="148"/>
  <c r="K112" i="148"/>
  <c r="K110" i="148"/>
  <c r="P116" i="148"/>
  <c r="P114" i="148"/>
  <c r="P112" i="148"/>
  <c r="P110" i="148"/>
  <c r="N116" i="148"/>
  <c r="N115" i="148"/>
  <c r="N114" i="148"/>
  <c r="N113" i="148"/>
  <c r="N112" i="148"/>
  <c r="N111" i="148"/>
  <c r="N110" i="148"/>
  <c r="N109" i="148"/>
  <c r="Q116" i="148"/>
  <c r="Q115" i="148"/>
  <c r="Q114" i="148"/>
  <c r="Q113" i="148"/>
  <c r="Q112" i="148"/>
  <c r="Q111" i="148"/>
  <c r="Q110" i="148"/>
  <c r="Q109" i="148"/>
  <c r="W115" i="148"/>
  <c r="W113" i="148"/>
  <c r="W111" i="148"/>
  <c r="W109" i="148"/>
  <c r="T115" i="148"/>
  <c r="T113" i="148"/>
  <c r="T111" i="148"/>
  <c r="T109" i="148"/>
  <c r="S115" i="148"/>
  <c r="S113" i="148"/>
  <c r="S111" i="148"/>
  <c r="S109" i="148"/>
  <c r="X115" i="148"/>
  <c r="X113" i="148"/>
  <c r="X111" i="148"/>
  <c r="X109" i="148"/>
  <c r="J115" i="148"/>
  <c r="J111" i="148"/>
  <c r="M115" i="148"/>
  <c r="M111" i="148"/>
  <c r="O113" i="148"/>
  <c r="L113" i="148"/>
  <c r="K113" i="148"/>
  <c r="P113" i="148"/>
  <c r="J116" i="148"/>
  <c r="J112" i="148"/>
  <c r="M116" i="148"/>
  <c r="M112" i="148"/>
  <c r="O115" i="148"/>
  <c r="L115" i="148"/>
  <c r="K115" i="148"/>
  <c r="P115" i="148"/>
  <c r="J114" i="148"/>
  <c r="J110" i="148"/>
  <c r="M114" i="148"/>
  <c r="M110" i="148"/>
  <c r="O111" i="148"/>
  <c r="L111" i="148"/>
  <c r="K111" i="148"/>
  <c r="P111" i="148"/>
  <c r="J113" i="148"/>
  <c r="J109" i="148"/>
  <c r="M113" i="148"/>
  <c r="M109" i="148"/>
  <c r="O109" i="148"/>
  <c r="L109" i="148"/>
  <c r="K109" i="148"/>
  <c r="P109" i="148"/>
  <c r="M105" i="138"/>
  <c r="M107" i="138"/>
  <c r="M117" i="138"/>
  <c r="M74" i="138"/>
  <c r="M112" i="138"/>
  <c r="M80" i="138"/>
  <c r="M113" i="138"/>
  <c r="M67" i="138"/>
  <c r="M118" i="138"/>
  <c r="M109" i="138"/>
  <c r="M65" i="138"/>
  <c r="M114" i="138"/>
  <c r="M66" i="138"/>
  <c r="M70" i="138"/>
  <c r="M77" i="138"/>
  <c r="M72" i="138"/>
  <c r="M71" i="138"/>
  <c r="M79" i="138"/>
  <c r="M106" i="138"/>
  <c r="M116" i="138"/>
  <c r="M69" i="138"/>
  <c r="M110" i="138"/>
  <c r="M115" i="138"/>
  <c r="M78" i="138"/>
  <c r="M108" i="138"/>
  <c r="M76" i="138"/>
  <c r="M119" i="138"/>
  <c r="M111" i="138"/>
  <c r="M75" i="138"/>
  <c r="M104" i="138"/>
  <c r="M73" i="138"/>
  <c r="M68" i="138"/>
  <c r="K21" i="138"/>
  <c r="K23" i="138" s="1"/>
  <c r="K32" i="144" s="1"/>
  <c r="K33" i="144" s="1"/>
  <c r="P40" i="144" s="1"/>
  <c r="P48" i="144" s="1"/>
  <c r="L20" i="138"/>
  <c r="P95" i="149"/>
  <c r="P82" i="148"/>
  <c r="P24" i="142"/>
  <c r="P113" i="147"/>
  <c r="K95" i="149"/>
  <c r="K82" i="148"/>
  <c r="K113" i="147"/>
  <c r="K24" i="142"/>
  <c r="H43" i="145" a="1"/>
  <c r="H37" i="149" a="1"/>
  <c r="H35" i="148" a="1"/>
  <c r="N67" i="138"/>
  <c r="N118" i="138"/>
  <c r="N107" i="138"/>
  <c r="N117" i="138"/>
  <c r="N112" i="138"/>
  <c r="N119" i="138"/>
  <c r="N78" i="138"/>
  <c r="N68" i="138"/>
  <c r="N71" i="138"/>
  <c r="N72" i="138"/>
  <c r="N110" i="138"/>
  <c r="N106" i="138"/>
  <c r="N80" i="138"/>
  <c r="N108" i="138"/>
  <c r="N65" i="138"/>
  <c r="N74" i="138"/>
  <c r="N73" i="138"/>
  <c r="N115" i="138"/>
  <c r="N114" i="138"/>
  <c r="N109" i="138"/>
  <c r="N105" i="138"/>
  <c r="N79" i="138"/>
  <c r="N77" i="138"/>
  <c r="N66" i="138"/>
  <c r="N75" i="138"/>
  <c r="N69" i="138"/>
  <c r="N116" i="138"/>
  <c r="N104" i="138"/>
  <c r="N111" i="138"/>
  <c r="N113" i="138"/>
  <c r="N70" i="138"/>
  <c r="N76" i="138"/>
  <c r="J95" i="149"/>
  <c r="J113" i="147"/>
  <c r="J82" i="148"/>
  <c r="J24" i="142"/>
  <c r="L24" i="142"/>
  <c r="L95" i="149"/>
  <c r="L82" i="148"/>
  <c r="L113" i="147"/>
  <c r="H45" i="142"/>
  <c r="K31" i="144"/>
  <c r="O116" i="138"/>
  <c r="O118" i="138"/>
  <c r="O107" i="138"/>
  <c r="O110" i="138"/>
  <c r="O119" i="138"/>
  <c r="O106" i="138"/>
  <c r="O113" i="138"/>
  <c r="O80" i="138"/>
  <c r="O78" i="138"/>
  <c r="O69" i="138"/>
  <c r="O105" i="138"/>
  <c r="O117" i="138"/>
  <c r="O112" i="138"/>
  <c r="O104" i="138"/>
  <c r="O79" i="138"/>
  <c r="O65" i="138"/>
  <c r="O72" i="138"/>
  <c r="O68" i="138"/>
  <c r="O66" i="138"/>
  <c r="O77" i="138"/>
  <c r="O67" i="138"/>
  <c r="O71" i="138"/>
  <c r="O111" i="138"/>
  <c r="O73" i="138"/>
  <c r="O115" i="138"/>
  <c r="O70" i="138"/>
  <c r="O76" i="138"/>
  <c r="O74" i="138"/>
  <c r="O75" i="138"/>
  <c r="O109" i="138"/>
  <c r="O114" i="138"/>
  <c r="O108" i="138"/>
  <c r="P65" i="138"/>
  <c r="P126" i="138" s="1"/>
  <c r="P70" i="138"/>
  <c r="P131" i="138" s="1"/>
  <c r="P75" i="138"/>
  <c r="P136" i="138" s="1"/>
  <c r="P108" i="138"/>
  <c r="P80" i="138"/>
  <c r="P141" i="138" s="1"/>
  <c r="P69" i="138"/>
  <c r="P130" i="138" s="1"/>
  <c r="P74" i="138"/>
  <c r="P135" i="138" s="1"/>
  <c r="P79" i="138"/>
  <c r="P140" i="138" s="1"/>
  <c r="P68" i="138"/>
  <c r="P129" i="138" s="1"/>
  <c r="P73" i="138"/>
  <c r="P134" i="138" s="1"/>
  <c r="P78" i="138"/>
  <c r="P139" i="138" s="1"/>
  <c r="P77" i="138"/>
  <c r="P138" i="138" s="1"/>
  <c r="P67" i="138"/>
  <c r="P128" i="138" s="1"/>
  <c r="P72" i="138"/>
  <c r="P133" i="138" s="1"/>
  <c r="P76" i="138"/>
  <c r="P137" i="138" s="1"/>
  <c r="P71" i="138"/>
  <c r="P132" i="138" s="1"/>
  <c r="P66" i="138"/>
  <c r="P127" i="138" s="1"/>
  <c r="P116" i="138"/>
  <c r="P111" i="138"/>
  <c r="P118" i="138"/>
  <c r="P104" i="138"/>
  <c r="P114" i="138"/>
  <c r="P119" i="138"/>
  <c r="P105" i="138"/>
  <c r="P112" i="138"/>
  <c r="P109" i="138"/>
  <c r="P113" i="138"/>
  <c r="P107" i="138"/>
  <c r="P117" i="138"/>
  <c r="P110" i="138"/>
  <c r="P115" i="138"/>
  <c r="P106" i="138"/>
  <c r="O82" i="148"/>
  <c r="O113" i="147"/>
  <c r="O24" i="142"/>
  <c r="O95" i="149"/>
  <c r="M82" i="148"/>
  <c r="M113" i="147"/>
  <c r="M24" i="142"/>
  <c r="M95" i="149"/>
  <c r="M114" i="149"/>
  <c r="M113" i="149"/>
  <c r="M112" i="149"/>
  <c r="M111" i="149"/>
  <c r="M110" i="149"/>
  <c r="M109" i="149"/>
  <c r="M108" i="149"/>
  <c r="M107" i="149"/>
  <c r="V113" i="149"/>
  <c r="P112" i="149"/>
  <c r="K111" i="149"/>
  <c r="V109" i="149"/>
  <c r="P108" i="149"/>
  <c r="K107" i="149"/>
  <c r="T113" i="149"/>
  <c r="O112" i="149"/>
  <c r="J111" i="149"/>
  <c r="T109" i="149"/>
  <c r="O108" i="149"/>
  <c r="J107" i="149"/>
  <c r="X112" i="149"/>
  <c r="N110" i="149"/>
  <c r="S107" i="149"/>
  <c r="W112" i="149"/>
  <c r="L110" i="149"/>
  <c r="R107" i="149"/>
  <c r="S112" i="149"/>
  <c r="X109" i="149"/>
  <c r="N107" i="149"/>
  <c r="R112" i="149"/>
  <c r="W109" i="149"/>
  <c r="L107" i="149"/>
  <c r="Y114" i="149"/>
  <c r="Y113" i="149"/>
  <c r="Y112" i="149"/>
  <c r="Y111" i="149"/>
  <c r="Y110" i="149"/>
  <c r="Y109" i="149"/>
  <c r="Y108" i="149"/>
  <c r="Y107" i="149"/>
  <c r="V114" i="149"/>
  <c r="P113" i="149"/>
  <c r="K112" i="149"/>
  <c r="V110" i="149"/>
  <c r="P109" i="149"/>
  <c r="K108" i="149"/>
  <c r="T114" i="149"/>
  <c r="O113" i="149"/>
  <c r="J112" i="149"/>
  <c r="T110" i="149"/>
  <c r="O109" i="149"/>
  <c r="J108" i="149"/>
  <c r="X114" i="149"/>
  <c r="N112" i="149"/>
  <c r="S109" i="149"/>
  <c r="U114" i="149"/>
  <c r="U113" i="149"/>
  <c r="U112" i="149"/>
  <c r="U111" i="149"/>
  <c r="U110" i="149"/>
  <c r="U109" i="149"/>
  <c r="U108" i="149"/>
  <c r="U107" i="149"/>
  <c r="P114" i="149"/>
  <c r="K113" i="149"/>
  <c r="V111" i="149"/>
  <c r="P110" i="149"/>
  <c r="K109" i="149"/>
  <c r="V107" i="149"/>
  <c r="O114" i="149"/>
  <c r="J113" i="149"/>
  <c r="T111" i="149"/>
  <c r="O110" i="149"/>
  <c r="J109" i="149"/>
  <c r="T107" i="149"/>
  <c r="N114" i="149"/>
  <c r="S111" i="149"/>
  <c r="X108" i="149"/>
  <c r="L114" i="149"/>
  <c r="R111" i="149"/>
  <c r="W108" i="149"/>
  <c r="X113" i="149"/>
  <c r="N111" i="149"/>
  <c r="S108" i="149"/>
  <c r="W113" i="149"/>
  <c r="L111" i="149"/>
  <c r="R108" i="149"/>
  <c r="Q111" i="149"/>
  <c r="Q107" i="149"/>
  <c r="K110" i="149"/>
  <c r="T112" i="149"/>
  <c r="O107" i="149"/>
  <c r="W114" i="149"/>
  <c r="R109" i="149"/>
  <c r="X111" i="149"/>
  <c r="R114" i="149"/>
  <c r="L109" i="149"/>
  <c r="Q112" i="149"/>
  <c r="Q108" i="149"/>
  <c r="P111" i="149"/>
  <c r="J114" i="149"/>
  <c r="N108" i="149"/>
  <c r="W110" i="149"/>
  <c r="N113" i="149"/>
  <c r="X107" i="149"/>
  <c r="R110" i="149"/>
  <c r="Q114" i="149"/>
  <c r="Q110" i="149"/>
  <c r="K114" i="149"/>
  <c r="V108" i="149"/>
  <c r="O111" i="149"/>
  <c r="S113" i="149"/>
  <c r="R113" i="149"/>
  <c r="L108" i="149"/>
  <c r="S110" i="149"/>
  <c r="L113" i="149"/>
  <c r="W107" i="149"/>
  <c r="T108" i="149"/>
  <c r="Q113" i="149"/>
  <c r="Q109" i="149"/>
  <c r="V112" i="149"/>
  <c r="P107" i="149"/>
  <c r="J110" i="149"/>
  <c r="X110" i="149"/>
  <c r="L112" i="149"/>
  <c r="S114" i="149"/>
  <c r="N109" i="149"/>
  <c r="W111" i="149"/>
  <c r="P36" i="152"/>
  <c r="P37" i="152"/>
  <c r="U36" i="152"/>
  <c r="U37" i="152"/>
  <c r="M36" i="152"/>
  <c r="M37" i="152"/>
  <c r="J23" i="152"/>
  <c r="H63" i="134" a="1"/>
  <c r="H63" i="134" s="1"/>
  <c r="H65" i="134" s="1"/>
  <c r="N37" i="152"/>
  <c r="N36" i="152"/>
  <c r="R37" i="152"/>
  <c r="R36" i="152"/>
  <c r="V37" i="152"/>
  <c r="V36" i="152"/>
  <c r="K37" i="152"/>
  <c r="K36" i="152"/>
  <c r="O36" i="152"/>
  <c r="O37" i="152"/>
  <c r="S36" i="152"/>
  <c r="S37" i="152"/>
  <c r="W37" i="152"/>
  <c r="W36" i="152"/>
  <c r="T37" i="152"/>
  <c r="T36" i="152"/>
  <c r="L36" i="152"/>
  <c r="L37" i="152"/>
  <c r="Y36" i="152"/>
  <c r="Y37" i="152"/>
  <c r="Q36" i="152"/>
  <c r="Q37" i="152"/>
  <c r="X37" i="152"/>
  <c r="X36" i="152"/>
  <c r="AQ116" i="151"/>
  <c r="J39" i="55" l="1"/>
  <c r="O134" i="138"/>
  <c r="O126" i="138"/>
  <c r="A4" i="134"/>
  <c r="J38" i="55"/>
  <c r="A4" i="137"/>
  <c r="J41" i="55"/>
  <c r="O135" i="138"/>
  <c r="O141" i="138"/>
  <c r="N130" i="138"/>
  <c r="N133" i="138"/>
  <c r="O127" i="138"/>
  <c r="N128" i="138"/>
  <c r="O129" i="138"/>
  <c r="O137" i="138"/>
  <c r="O140" i="138"/>
  <c r="N134" i="138"/>
  <c r="H51" i="145"/>
  <c r="H45" i="145"/>
  <c r="H52" i="145"/>
  <c r="H47" i="145"/>
  <c r="H50" i="145"/>
  <c r="H48" i="145"/>
  <c r="H43" i="145"/>
  <c r="H49" i="145"/>
  <c r="H44" i="145"/>
  <c r="H46" i="145"/>
  <c r="K134" i="138"/>
  <c r="M134" i="138"/>
  <c r="J134" i="138"/>
  <c r="L134" i="138"/>
  <c r="K138" i="138"/>
  <c r="J138" i="138"/>
  <c r="L138" i="138"/>
  <c r="M138" i="138"/>
  <c r="K126" i="138"/>
  <c r="J126" i="138"/>
  <c r="L126" i="138"/>
  <c r="H44" i="149"/>
  <c r="H42" i="149"/>
  <c r="H45" i="149"/>
  <c r="H40" i="149"/>
  <c r="H37" i="149"/>
  <c r="H39" i="149"/>
  <c r="H43" i="149"/>
  <c r="H46" i="149"/>
  <c r="H38" i="149"/>
  <c r="H41" i="149"/>
  <c r="M139" i="138"/>
  <c r="L139" i="138"/>
  <c r="K139" i="138"/>
  <c r="J139" i="138"/>
  <c r="L133" i="138"/>
  <c r="J133" i="138"/>
  <c r="M133" i="138"/>
  <c r="K133" i="138"/>
  <c r="J128" i="138"/>
  <c r="K128" i="138"/>
  <c r="M128" i="138"/>
  <c r="L128" i="138"/>
  <c r="N136" i="138"/>
  <c r="N141" i="138"/>
  <c r="N132" i="138"/>
  <c r="O131" i="138"/>
  <c r="O132" i="138"/>
  <c r="O130" i="138"/>
  <c r="L137" i="138"/>
  <c r="N137" i="138"/>
  <c r="K127" i="138"/>
  <c r="N127" i="138"/>
  <c r="K135" i="138"/>
  <c r="N135" i="138"/>
  <c r="N129" i="138"/>
  <c r="P55" i="144"/>
  <c r="P129" i="144"/>
  <c r="L21" i="138"/>
  <c r="L23" i="138" s="1"/>
  <c r="M20" i="138"/>
  <c r="M137" i="138"/>
  <c r="J137" i="138"/>
  <c r="K137" i="138"/>
  <c r="J140" i="138"/>
  <c r="M140" i="138"/>
  <c r="K140" i="138"/>
  <c r="L140" i="138"/>
  <c r="J131" i="138"/>
  <c r="L131" i="138"/>
  <c r="M131" i="138"/>
  <c r="J141" i="138"/>
  <c r="L141" i="138"/>
  <c r="M141" i="138"/>
  <c r="K141" i="138"/>
  <c r="O138" i="138"/>
  <c r="N140" i="138"/>
  <c r="J129" i="138"/>
  <c r="M129" i="138"/>
  <c r="L129" i="138"/>
  <c r="K129" i="138"/>
  <c r="J135" i="138"/>
  <c r="L135" i="138"/>
  <c r="M135" i="138"/>
  <c r="O136" i="138"/>
  <c r="O128" i="138"/>
  <c r="O133" i="138"/>
  <c r="O139" i="138"/>
  <c r="K131" i="138"/>
  <c r="N131" i="138"/>
  <c r="N138" i="138"/>
  <c r="M126" i="138"/>
  <c r="N126" i="138"/>
  <c r="N139" i="138"/>
  <c r="H43" i="148"/>
  <c r="H38" i="148"/>
  <c r="H36" i="148"/>
  <c r="H39" i="148"/>
  <c r="H40" i="148"/>
  <c r="H41" i="148"/>
  <c r="H35" i="148"/>
  <c r="H37" i="148"/>
  <c r="H42" i="148"/>
  <c r="H44" i="148"/>
  <c r="Q40" i="144"/>
  <c r="Q48" i="144" s="1"/>
  <c r="M40" i="144"/>
  <c r="M48" i="144" s="1"/>
  <c r="M55" i="144" s="1"/>
  <c r="N40" i="144"/>
  <c r="N48" i="144" s="1"/>
  <c r="L40" i="144"/>
  <c r="L48" i="144" s="1"/>
  <c r="L55" i="144" s="1"/>
  <c r="K40" i="144"/>
  <c r="K48" i="144" s="1"/>
  <c r="R40" i="144"/>
  <c r="R48" i="144" s="1"/>
  <c r="O40" i="144"/>
  <c r="O48" i="144" s="1"/>
  <c r="S40" i="144"/>
  <c r="S48" i="144" s="1"/>
  <c r="M136" i="138"/>
  <c r="J136" i="138"/>
  <c r="L136" i="138"/>
  <c r="K136" i="138"/>
  <c r="K130" i="138"/>
  <c r="J130" i="138"/>
  <c r="L130" i="138"/>
  <c r="M130" i="138"/>
  <c r="M132" i="138"/>
  <c r="J132" i="138"/>
  <c r="K132" i="138"/>
  <c r="L132" i="138"/>
  <c r="J127" i="138"/>
  <c r="M127" i="138"/>
  <c r="L127" i="138"/>
  <c r="J36" i="152"/>
  <c r="J37" i="152"/>
  <c r="AR116" i="151"/>
  <c r="H121" i="98"/>
  <c r="H122" i="98"/>
  <c r="H134" i="138" l="1"/>
  <c r="M172" i="138" s="1"/>
  <c r="H136" i="138"/>
  <c r="N174" i="138" s="1"/>
  <c r="S55" i="144"/>
  <c r="S129" i="144"/>
  <c r="H141" i="138"/>
  <c r="N20" i="138"/>
  <c r="M21" i="138"/>
  <c r="H128" i="138"/>
  <c r="H126" i="138"/>
  <c r="H138" i="138"/>
  <c r="H131" i="138"/>
  <c r="O55" i="144"/>
  <c r="O129" i="144"/>
  <c r="N55" i="144"/>
  <c r="N129" i="144"/>
  <c r="H137" i="138"/>
  <c r="H139" i="138"/>
  <c r="Q55" i="144"/>
  <c r="Q129" i="144"/>
  <c r="H140" i="138"/>
  <c r="H127" i="138"/>
  <c r="H130" i="138"/>
  <c r="R55" i="144"/>
  <c r="R129" i="144"/>
  <c r="H135" i="138"/>
  <c r="H129" i="138"/>
  <c r="H132" i="138"/>
  <c r="H133" i="138"/>
  <c r="AS116" i="151"/>
  <c r="H124" i="98"/>
  <c r="A2" i="85"/>
  <c r="A1" i="85"/>
  <c r="A2" i="84"/>
  <c r="A1" i="84"/>
  <c r="Q155" i="138" l="1"/>
  <c r="R155" i="138"/>
  <c r="P155" i="138"/>
  <c r="J155" i="138"/>
  <c r="Q174" i="138"/>
  <c r="J174" i="138"/>
  <c r="N155" i="138"/>
  <c r="K174" i="138"/>
  <c r="P174" i="138"/>
  <c r="S155" i="138"/>
  <c r="O172" i="138"/>
  <c r="K172" i="138"/>
  <c r="O153" i="138"/>
  <c r="R153" i="138"/>
  <c r="L172" i="138"/>
  <c r="J153" i="138"/>
  <c r="J172" i="138"/>
  <c r="S172" i="138"/>
  <c r="M153" i="138"/>
  <c r="L153" i="138"/>
  <c r="N153" i="138"/>
  <c r="P153" i="138"/>
  <c r="K153" i="138"/>
  <c r="Q172" i="138"/>
  <c r="Q153" i="138"/>
  <c r="R172" i="138"/>
  <c r="N172" i="138"/>
  <c r="S153" i="138"/>
  <c r="P172" i="138"/>
  <c r="K155" i="138"/>
  <c r="R174" i="138"/>
  <c r="S174" i="138"/>
  <c r="M174" i="138"/>
  <c r="L174" i="138"/>
  <c r="M155" i="138"/>
  <c r="O174" i="138"/>
  <c r="O155" i="138"/>
  <c r="L155" i="138"/>
  <c r="H129" i="144"/>
  <c r="M146" i="138"/>
  <c r="N146" i="138"/>
  <c r="P146" i="138"/>
  <c r="S146" i="138"/>
  <c r="L146" i="138"/>
  <c r="O146" i="138"/>
  <c r="R146" i="138"/>
  <c r="J146" i="138"/>
  <c r="K146" i="138"/>
  <c r="Q146" i="138"/>
  <c r="M145" i="138"/>
  <c r="S145" i="138"/>
  <c r="J145" i="138"/>
  <c r="K145" i="138"/>
  <c r="L145" i="138"/>
  <c r="P145" i="138"/>
  <c r="Q145" i="138"/>
  <c r="N145" i="138"/>
  <c r="O145" i="138"/>
  <c r="R145" i="138"/>
  <c r="M160" i="138"/>
  <c r="S160" i="138"/>
  <c r="J179" i="138"/>
  <c r="N160" i="138"/>
  <c r="P160" i="138"/>
  <c r="S179" i="138"/>
  <c r="R160" i="138"/>
  <c r="Q160" i="138"/>
  <c r="R179" i="138"/>
  <c r="P179" i="138"/>
  <c r="Q179" i="138"/>
  <c r="O160" i="138"/>
  <c r="L179" i="138"/>
  <c r="K179" i="138"/>
  <c r="N179" i="138"/>
  <c r="M179" i="138"/>
  <c r="O179" i="138"/>
  <c r="K160" i="138"/>
  <c r="J160" i="138"/>
  <c r="L160" i="138"/>
  <c r="S148" i="138"/>
  <c r="M148" i="138"/>
  <c r="R148" i="138"/>
  <c r="P148" i="138"/>
  <c r="L148" i="138"/>
  <c r="Q148" i="138"/>
  <c r="O148" i="138"/>
  <c r="K148" i="138"/>
  <c r="N148" i="138"/>
  <c r="J148" i="138"/>
  <c r="Q149" i="138"/>
  <c r="L149" i="138"/>
  <c r="S149" i="138"/>
  <c r="M149" i="138"/>
  <c r="R149" i="138"/>
  <c r="O149" i="138"/>
  <c r="P149" i="138"/>
  <c r="J149" i="138"/>
  <c r="K149" i="138"/>
  <c r="N149" i="138"/>
  <c r="L176" i="138"/>
  <c r="O176" i="138"/>
  <c r="K176" i="138"/>
  <c r="S157" i="138"/>
  <c r="O157" i="138"/>
  <c r="K157" i="138"/>
  <c r="Q176" i="138"/>
  <c r="P157" i="138"/>
  <c r="Q157" i="138"/>
  <c r="M157" i="138"/>
  <c r="L157" i="138"/>
  <c r="R176" i="138"/>
  <c r="N157" i="138"/>
  <c r="N176" i="138"/>
  <c r="J157" i="138"/>
  <c r="R157" i="138"/>
  <c r="S176" i="138"/>
  <c r="P176" i="138"/>
  <c r="J176" i="138"/>
  <c r="M176" i="138"/>
  <c r="N21" i="138"/>
  <c r="N23" i="138" s="1"/>
  <c r="O20" i="138"/>
  <c r="M154" i="138"/>
  <c r="S154" i="138"/>
  <c r="N154" i="138"/>
  <c r="J154" i="138"/>
  <c r="L154" i="138"/>
  <c r="K173" i="138"/>
  <c r="L173" i="138"/>
  <c r="Q173" i="138"/>
  <c r="S173" i="138"/>
  <c r="O154" i="138"/>
  <c r="R173" i="138"/>
  <c r="P173" i="138"/>
  <c r="Q154" i="138"/>
  <c r="N173" i="138"/>
  <c r="R154" i="138"/>
  <c r="M173" i="138"/>
  <c r="O173" i="138"/>
  <c r="K154" i="138"/>
  <c r="J173" i="138"/>
  <c r="P154" i="138"/>
  <c r="M177" i="138"/>
  <c r="O177" i="138"/>
  <c r="K158" i="138"/>
  <c r="R177" i="138"/>
  <c r="P177" i="138"/>
  <c r="Q158" i="138"/>
  <c r="K177" i="138"/>
  <c r="N177" i="138"/>
  <c r="J177" i="138"/>
  <c r="P158" i="138"/>
  <c r="M158" i="138"/>
  <c r="S158" i="138"/>
  <c r="N158" i="138"/>
  <c r="R158" i="138"/>
  <c r="L158" i="138"/>
  <c r="O158" i="138"/>
  <c r="S177" i="138"/>
  <c r="L177" i="138"/>
  <c r="Q177" i="138"/>
  <c r="J158" i="138"/>
  <c r="O152" i="138"/>
  <c r="N152" i="138"/>
  <c r="Q152" i="138"/>
  <c r="K152" i="138"/>
  <c r="L152" i="138"/>
  <c r="M152" i="138"/>
  <c r="R152" i="138"/>
  <c r="P152" i="138"/>
  <c r="S152" i="138"/>
  <c r="J152" i="138"/>
  <c r="M159" i="138"/>
  <c r="K178" i="138"/>
  <c r="Q178" i="138"/>
  <c r="N159" i="138"/>
  <c r="K159" i="138"/>
  <c r="Q159" i="138"/>
  <c r="L159" i="138"/>
  <c r="S178" i="138"/>
  <c r="J159" i="138"/>
  <c r="J178" i="138"/>
  <c r="N178" i="138"/>
  <c r="L178" i="138"/>
  <c r="O159" i="138"/>
  <c r="R178" i="138"/>
  <c r="P159" i="138"/>
  <c r="P178" i="138"/>
  <c r="R159" i="138"/>
  <c r="M178" i="138"/>
  <c r="S159" i="138"/>
  <c r="O178" i="138"/>
  <c r="M156" i="138"/>
  <c r="S156" i="138"/>
  <c r="J175" i="138"/>
  <c r="N156" i="138"/>
  <c r="P156" i="138"/>
  <c r="K175" i="138"/>
  <c r="N175" i="138"/>
  <c r="Q175" i="138"/>
  <c r="S175" i="138"/>
  <c r="O156" i="138"/>
  <c r="R156" i="138"/>
  <c r="L175" i="138"/>
  <c r="Q156" i="138"/>
  <c r="R175" i="138"/>
  <c r="P175" i="138"/>
  <c r="M175" i="138"/>
  <c r="O175" i="138"/>
  <c r="K156" i="138"/>
  <c r="J156" i="138"/>
  <c r="L156" i="138"/>
  <c r="S147" i="138"/>
  <c r="Q147" i="138"/>
  <c r="N147" i="138"/>
  <c r="J147" i="138"/>
  <c r="M147" i="138"/>
  <c r="P147" i="138"/>
  <c r="R147" i="138"/>
  <c r="L147" i="138"/>
  <c r="K147" i="138"/>
  <c r="O147" i="138"/>
  <c r="K151" i="138"/>
  <c r="R151" i="138"/>
  <c r="S151" i="138"/>
  <c r="M151" i="138"/>
  <c r="N151" i="138"/>
  <c r="Q151" i="138"/>
  <c r="O151" i="138"/>
  <c r="L151" i="138"/>
  <c r="J151" i="138"/>
  <c r="P151" i="138"/>
  <c r="Q150" i="138"/>
  <c r="M150" i="138"/>
  <c r="N150" i="138"/>
  <c r="L150" i="138"/>
  <c r="K150" i="138"/>
  <c r="S150" i="138"/>
  <c r="R150" i="138"/>
  <c r="P150" i="138"/>
  <c r="O150" i="138"/>
  <c r="J150" i="138"/>
  <c r="P22" i="138"/>
  <c r="P23" i="138" s="1"/>
  <c r="M23" i="138"/>
  <c r="AT116" i="151"/>
  <c r="J36" i="55"/>
  <c r="A4" i="98"/>
  <c r="R93" i="148" l="1" a="1"/>
  <c r="W101" i="148" s="1"/>
  <c r="J55" i="145" a="1"/>
  <c r="O21" i="138"/>
  <c r="O23" i="138" s="1"/>
  <c r="P20" i="138"/>
  <c r="J34" i="142" a="1"/>
  <c r="J80" i="149" a="1"/>
  <c r="AU116" i="151"/>
  <c r="A1" i="55"/>
  <c r="R96" i="148" l="1"/>
  <c r="W94" i="148"/>
  <c r="Y99" i="148"/>
  <c r="Y93" i="148"/>
  <c r="W95" i="148"/>
  <c r="T97" i="148"/>
  <c r="R100" i="148"/>
  <c r="Y100" i="148"/>
  <c r="X102" i="148"/>
  <c r="W98" i="148"/>
  <c r="U100" i="148"/>
  <c r="V102" i="148"/>
  <c r="X101" i="148"/>
  <c r="U99" i="148"/>
  <c r="R102" i="148"/>
  <c r="Y97" i="148"/>
  <c r="U93" i="148"/>
  <c r="X99" i="148"/>
  <c r="R99" i="148"/>
  <c r="S97" i="148"/>
  <c r="Y98" i="148"/>
  <c r="U94" i="148"/>
  <c r="X100" i="148"/>
  <c r="V99" i="148"/>
  <c r="W97" i="148"/>
  <c r="T102" i="148"/>
  <c r="S102" i="148"/>
  <c r="X94" i="148"/>
  <c r="T94" i="148"/>
  <c r="V98" i="148"/>
  <c r="T101" i="148"/>
  <c r="R98" i="148"/>
  <c r="T99" i="148"/>
  <c r="X95" i="148"/>
  <c r="R97" i="148"/>
  <c r="S95" i="148"/>
  <c r="Y94" i="148"/>
  <c r="T100" i="148"/>
  <c r="X96" i="148"/>
  <c r="V97" i="148"/>
  <c r="U95" i="148"/>
  <c r="S94" i="148"/>
  <c r="T98" i="148"/>
  <c r="V96" i="148"/>
  <c r="W102" i="148"/>
  <c r="X98" i="148"/>
  <c r="W96" i="148"/>
  <c r="Y95" i="148"/>
  <c r="X97" i="148"/>
  <c r="S96" i="148"/>
  <c r="Y101" i="148"/>
  <c r="U97" i="148"/>
  <c r="R93" i="148"/>
  <c r="R101" i="148"/>
  <c r="S99" i="148"/>
  <c r="Y102" i="148"/>
  <c r="U98" i="148"/>
  <c r="V93" i="148"/>
  <c r="V101" i="148"/>
  <c r="W99" i="148"/>
  <c r="X93" i="148"/>
  <c r="S98" i="148"/>
  <c r="U96" i="148"/>
  <c r="V100" i="148"/>
  <c r="Y96" i="148"/>
  <c r="V94" i="148"/>
  <c r="W100" i="148"/>
  <c r="T93" i="148"/>
  <c r="R94" i="148"/>
  <c r="S100" i="148"/>
  <c r="T95" i="148"/>
  <c r="U101" i="148"/>
  <c r="R95" i="148"/>
  <c r="S93" i="148"/>
  <c r="S101" i="148"/>
  <c r="T96" i="148"/>
  <c r="U102" i="148"/>
  <c r="V95" i="148"/>
  <c r="W93" i="148"/>
  <c r="V42" i="142"/>
  <c r="L40" i="142"/>
  <c r="K38" i="142"/>
  <c r="Y35" i="142"/>
  <c r="T40" i="142"/>
  <c r="K39" i="142"/>
  <c r="Y37" i="142"/>
  <c r="R35" i="142"/>
  <c r="L34" i="142"/>
  <c r="Q35" i="142"/>
  <c r="R37" i="142"/>
  <c r="L36" i="142"/>
  <c r="K34" i="142"/>
  <c r="J34" i="142"/>
  <c r="M38" i="142"/>
  <c r="S38" i="142"/>
  <c r="T37" i="142"/>
  <c r="R36" i="142"/>
  <c r="U39" i="142"/>
  <c r="M37" i="142"/>
  <c r="O34" i="142"/>
  <c r="O38" i="142"/>
  <c r="O42" i="142"/>
  <c r="P37" i="142"/>
  <c r="P41" i="142"/>
  <c r="N36" i="142"/>
  <c r="N40" i="142"/>
  <c r="Y40" i="142"/>
  <c r="Q38" i="142"/>
  <c r="W36" i="142"/>
  <c r="W40" i="142"/>
  <c r="X35" i="142"/>
  <c r="X39" i="142"/>
  <c r="V34" i="142"/>
  <c r="V38" i="142"/>
  <c r="T34" i="142"/>
  <c r="J40" i="142"/>
  <c r="Q41" i="142"/>
  <c r="L39" i="142"/>
  <c r="U42" i="142"/>
  <c r="S39" i="142"/>
  <c r="U40" i="142"/>
  <c r="S42" i="142"/>
  <c r="R40" i="142"/>
  <c r="R41" i="142"/>
  <c r="Q36" i="142"/>
  <c r="P35" i="142"/>
  <c r="N34" i="142"/>
  <c r="N42" i="142"/>
  <c r="J39" i="142"/>
  <c r="L37" i="142"/>
  <c r="S35" i="142"/>
  <c r="U34" i="142"/>
  <c r="L38" i="142"/>
  <c r="K36" i="142"/>
  <c r="U36" i="142"/>
  <c r="L42" i="142"/>
  <c r="K40" i="142"/>
  <c r="M34" i="142"/>
  <c r="J35" i="142"/>
  <c r="K42" i="142"/>
  <c r="M42" i="142"/>
  <c r="Q37" i="142"/>
  <c r="S40" i="142"/>
  <c r="T39" i="142"/>
  <c r="R38" i="142"/>
  <c r="R39" i="142"/>
  <c r="Y34" i="142"/>
  <c r="M41" i="142"/>
  <c r="O35" i="142"/>
  <c r="O39" i="142"/>
  <c r="P34" i="142"/>
  <c r="P38" i="142"/>
  <c r="P42" i="142"/>
  <c r="N37" i="142"/>
  <c r="N41" i="142"/>
  <c r="U37" i="142"/>
  <c r="M35" i="142"/>
  <c r="Q42" i="142"/>
  <c r="W37" i="142"/>
  <c r="W41" i="142"/>
  <c r="X36" i="142"/>
  <c r="X40" i="142"/>
  <c r="V35" i="142"/>
  <c r="V39" i="142"/>
  <c r="J36" i="142"/>
  <c r="Q39" i="142"/>
  <c r="L35" i="142"/>
  <c r="J42" i="142"/>
  <c r="S37" i="142"/>
  <c r="L41" i="142"/>
  <c r="Y41" i="142"/>
  <c r="S34" i="142"/>
  <c r="T41" i="142"/>
  <c r="Y38" i="142"/>
  <c r="O36" i="142"/>
  <c r="O40" i="142"/>
  <c r="P39" i="142"/>
  <c r="N38" i="142"/>
  <c r="M36" i="142"/>
  <c r="J38" i="142"/>
  <c r="T38" i="142"/>
  <c r="T35" i="142"/>
  <c r="O37" i="142"/>
  <c r="N35" i="142"/>
  <c r="Q34" i="142"/>
  <c r="W39" i="142"/>
  <c r="X38" i="142"/>
  <c r="V37" i="142"/>
  <c r="U38" i="142"/>
  <c r="Y39" i="142"/>
  <c r="R42" i="142"/>
  <c r="Y42" i="142"/>
  <c r="P36" i="142"/>
  <c r="Y36" i="142"/>
  <c r="X34" i="142"/>
  <c r="V41" i="142"/>
  <c r="K41" i="142"/>
  <c r="M40" i="142"/>
  <c r="J41" i="142"/>
  <c r="S36" i="142"/>
  <c r="Q40" i="142"/>
  <c r="P40" i="142"/>
  <c r="W38" i="142"/>
  <c r="V36" i="142"/>
  <c r="J37" i="142"/>
  <c r="T36" i="142"/>
  <c r="K37" i="142"/>
  <c r="R34" i="142"/>
  <c r="U35" i="142"/>
  <c r="O41" i="142"/>
  <c r="N39" i="142"/>
  <c r="U41" i="142"/>
  <c r="W34" i="142"/>
  <c r="W42" i="142"/>
  <c r="X41" i="142"/>
  <c r="V40" i="142"/>
  <c r="T42" i="142"/>
  <c r="S41" i="142"/>
  <c r="K35" i="142"/>
  <c r="W35" i="142"/>
  <c r="X42" i="142"/>
  <c r="M39" i="142"/>
  <c r="X37" i="142"/>
  <c r="Q20" i="138"/>
  <c r="P21" i="138"/>
  <c r="J89" i="149"/>
  <c r="N82" i="149"/>
  <c r="W81" i="149"/>
  <c r="N80" i="149"/>
  <c r="Q86" i="149"/>
  <c r="N84" i="149"/>
  <c r="M88" i="149"/>
  <c r="W88" i="149"/>
  <c r="W82" i="149"/>
  <c r="P85" i="149"/>
  <c r="R84" i="149"/>
  <c r="O83" i="149"/>
  <c r="K80" i="149"/>
  <c r="L84" i="149"/>
  <c r="P86" i="149"/>
  <c r="N85" i="149"/>
  <c r="Q83" i="149"/>
  <c r="S87" i="149"/>
  <c r="P81" i="149"/>
  <c r="R81" i="149"/>
  <c r="R89" i="149"/>
  <c r="X82" i="149"/>
  <c r="O80" i="149"/>
  <c r="Q87" i="149"/>
  <c r="Q84" i="149"/>
  <c r="Q81" i="149"/>
  <c r="S88" i="149"/>
  <c r="P84" i="149"/>
  <c r="U89" i="149"/>
  <c r="V83" i="149"/>
  <c r="V87" i="149"/>
  <c r="T80" i="149"/>
  <c r="T88" i="149"/>
  <c r="O84" i="149"/>
  <c r="O81" i="149"/>
  <c r="Q88" i="149"/>
  <c r="Q85" i="149"/>
  <c r="K82" i="149"/>
  <c r="P87" i="149"/>
  <c r="J82" i="149"/>
  <c r="J86" i="149"/>
  <c r="Q82" i="149"/>
  <c r="P82" i="149"/>
  <c r="W85" i="149"/>
  <c r="R88" i="149"/>
  <c r="L87" i="149"/>
  <c r="U87" i="149"/>
  <c r="M80" i="149"/>
  <c r="W84" i="149"/>
  <c r="M81" i="149"/>
  <c r="N88" i="149"/>
  <c r="O88" i="149"/>
  <c r="Y81" i="149"/>
  <c r="M82" i="149"/>
  <c r="O86" i="149"/>
  <c r="K88" i="149"/>
  <c r="R86" i="149"/>
  <c r="O87" i="149"/>
  <c r="S83" i="149"/>
  <c r="T87" i="149"/>
  <c r="K89" i="149"/>
  <c r="N87" i="149"/>
  <c r="L81" i="149"/>
  <c r="Y86" i="149"/>
  <c r="Y80" i="149"/>
  <c r="K84" i="149"/>
  <c r="R83" i="149"/>
  <c r="Y89" i="149"/>
  <c r="L82" i="149"/>
  <c r="M89" i="149"/>
  <c r="M86" i="149"/>
  <c r="M83" i="149"/>
  <c r="P80" i="149"/>
  <c r="U85" i="149"/>
  <c r="V80" i="149"/>
  <c r="V84" i="149"/>
  <c r="V88" i="149"/>
  <c r="W87" i="149"/>
  <c r="S85" i="149"/>
  <c r="L86" i="149"/>
  <c r="L83" i="149"/>
  <c r="L80" i="149"/>
  <c r="M87" i="149"/>
  <c r="P83" i="149"/>
  <c r="U88" i="149"/>
  <c r="J83" i="149"/>
  <c r="J87" i="149"/>
  <c r="X85" i="149"/>
  <c r="O85" i="149"/>
  <c r="O82" i="149"/>
  <c r="T81" i="149"/>
  <c r="X89" i="149"/>
  <c r="R80" i="149"/>
  <c r="Y82" i="149"/>
  <c r="N86" i="149"/>
  <c r="M84" i="149"/>
  <c r="R82" i="149"/>
  <c r="S80" i="149"/>
  <c r="N83" i="149"/>
  <c r="L89" i="149"/>
  <c r="L88" i="149"/>
  <c r="R87" i="149"/>
  <c r="W83" i="149"/>
  <c r="T82" i="149"/>
  <c r="W86" i="149"/>
  <c r="P88" i="149"/>
  <c r="V86" i="149"/>
  <c r="S81" i="149"/>
  <c r="T89" i="149"/>
  <c r="T83" i="149"/>
  <c r="K86" i="149"/>
  <c r="J85" i="149"/>
  <c r="U83" i="149"/>
  <c r="Y83" i="149"/>
  <c r="T85" i="149"/>
  <c r="K83" i="149"/>
  <c r="T86" i="149"/>
  <c r="X88" i="149"/>
  <c r="K85" i="149"/>
  <c r="N81" i="149"/>
  <c r="S84" i="149"/>
  <c r="R85" i="149"/>
  <c r="X86" i="149"/>
  <c r="Y84" i="149"/>
  <c r="V85" i="149"/>
  <c r="X87" i="149"/>
  <c r="U84" i="149"/>
  <c r="J84" i="149"/>
  <c r="Q89" i="149"/>
  <c r="M85" i="149"/>
  <c r="K81" i="149"/>
  <c r="N89" i="149"/>
  <c r="Q80" i="149"/>
  <c r="U86" i="149"/>
  <c r="X83" i="149"/>
  <c r="Y87" i="149"/>
  <c r="U81" i="149"/>
  <c r="V81" i="149"/>
  <c r="V89" i="149"/>
  <c r="W80" i="149"/>
  <c r="X84" i="149"/>
  <c r="Y88" i="149"/>
  <c r="J80" i="149"/>
  <c r="J88" i="149"/>
  <c r="O89" i="149"/>
  <c r="S89" i="149"/>
  <c r="P89" i="149"/>
  <c r="Y85" i="149"/>
  <c r="W89" i="149"/>
  <c r="V82" i="149"/>
  <c r="S82" i="149"/>
  <c r="U80" i="149"/>
  <c r="J81" i="149"/>
  <c r="U82" i="149"/>
  <c r="S86" i="149"/>
  <c r="L85" i="149"/>
  <c r="X80" i="149"/>
  <c r="K87" i="149"/>
  <c r="T84" i="149"/>
  <c r="X81" i="149"/>
  <c r="L64" i="145"/>
  <c r="K62" i="145"/>
  <c r="Y57" i="145"/>
  <c r="M59" i="145"/>
  <c r="M58" i="145"/>
  <c r="V60" i="145"/>
  <c r="Q56" i="145"/>
  <c r="M60" i="145"/>
  <c r="Y58" i="145"/>
  <c r="R64" i="145"/>
  <c r="U59" i="145"/>
  <c r="U64" i="145"/>
  <c r="V64" i="145"/>
  <c r="P64" i="145"/>
  <c r="O62" i="145"/>
  <c r="J56" i="145"/>
  <c r="O56" i="145"/>
  <c r="X58" i="145"/>
  <c r="T64" i="145"/>
  <c r="M55" i="145"/>
  <c r="J60" i="145"/>
  <c r="R57" i="145"/>
  <c r="S64" i="145"/>
  <c r="V63" i="145"/>
  <c r="M63" i="145"/>
  <c r="U58" i="145"/>
  <c r="J64" i="145"/>
  <c r="R56" i="145"/>
  <c r="Y60" i="145"/>
  <c r="W55" i="145"/>
  <c r="K60" i="145"/>
  <c r="P55" i="145"/>
  <c r="R59" i="145"/>
  <c r="W64" i="145"/>
  <c r="X62" i="145"/>
  <c r="S62" i="145"/>
  <c r="K57" i="145"/>
  <c r="V61" i="145"/>
  <c r="T56" i="145"/>
  <c r="M61" i="145"/>
  <c r="L60" i="145"/>
  <c r="S60" i="145"/>
  <c r="S55" i="145"/>
  <c r="W62" i="145"/>
  <c r="T62" i="145"/>
  <c r="O57" i="145"/>
  <c r="N57" i="145"/>
  <c r="Q63" i="145"/>
  <c r="P61" i="145"/>
  <c r="O55" i="145"/>
  <c r="V55" i="145"/>
  <c r="L55" i="145"/>
  <c r="J63" i="145"/>
  <c r="S57" i="145"/>
  <c r="N58" i="145"/>
  <c r="S61" i="145"/>
  <c r="X57" i="145"/>
  <c r="V57" i="145"/>
  <c r="U60" i="145"/>
  <c r="Q59" i="145"/>
  <c r="W61" i="145"/>
  <c r="M57" i="145"/>
  <c r="Y55" i="145"/>
  <c r="J62" i="145"/>
  <c r="S56" i="145"/>
  <c r="L56" i="145"/>
  <c r="T59" i="145"/>
  <c r="U63" i="145"/>
  <c r="Y56" i="145"/>
  <c r="R58" i="145"/>
  <c r="N62" i="145"/>
  <c r="W56" i="145"/>
  <c r="Q61" i="145"/>
  <c r="P56" i="145"/>
  <c r="W60" i="145"/>
  <c r="X59" i="145"/>
  <c r="X63" i="145"/>
  <c r="Y63" i="145"/>
  <c r="K58" i="145"/>
  <c r="K63" i="145"/>
  <c r="T57" i="145"/>
  <c r="R62" i="145"/>
  <c r="L61" i="145"/>
  <c r="M64" i="145"/>
  <c r="U57" i="145"/>
  <c r="Y62" i="145"/>
  <c r="R61" i="145"/>
  <c r="N59" i="145"/>
  <c r="M56" i="145"/>
  <c r="O58" i="145"/>
  <c r="U62" i="145"/>
  <c r="O59" i="145"/>
  <c r="Q57" i="145"/>
  <c r="L57" i="145"/>
  <c r="X56" i="145"/>
  <c r="N55" i="145"/>
  <c r="T60" i="145"/>
  <c r="O60" i="145"/>
  <c r="X55" i="145"/>
  <c r="N56" i="145"/>
  <c r="Y61" i="145"/>
  <c r="R60" i="145"/>
  <c r="V58" i="145"/>
  <c r="S59" i="145"/>
  <c r="W58" i="145"/>
  <c r="P58" i="145"/>
  <c r="X61" i="145"/>
  <c r="K56" i="145"/>
  <c r="T55" i="145"/>
  <c r="L59" i="145"/>
  <c r="P63" i="145"/>
  <c r="N63" i="145"/>
  <c r="K61" i="145"/>
  <c r="Y64" i="145"/>
  <c r="R63" i="145"/>
  <c r="N61" i="145"/>
  <c r="W59" i="145"/>
  <c r="U61" i="145"/>
  <c r="V59" i="145"/>
  <c r="Q62" i="145"/>
  <c r="Y59" i="145"/>
  <c r="L58" i="145"/>
  <c r="O63" i="145"/>
  <c r="P57" i="145"/>
  <c r="Q64" i="145"/>
  <c r="W63" i="145"/>
  <c r="J58" i="145"/>
  <c r="J57" i="145"/>
  <c r="O61" i="145"/>
  <c r="U55" i="145"/>
  <c r="N60" i="145"/>
  <c r="P59" i="145"/>
  <c r="Q58" i="145"/>
  <c r="S58" i="145"/>
  <c r="T61" i="145"/>
  <c r="J59" i="145"/>
  <c r="S63" i="145"/>
  <c r="V62" i="145"/>
  <c r="M62" i="145"/>
  <c r="X64" i="145"/>
  <c r="K59" i="145"/>
  <c r="T58" i="145"/>
  <c r="L62" i="145"/>
  <c r="P60" i="145"/>
  <c r="R55" i="145"/>
  <c r="U56" i="145"/>
  <c r="P62" i="145"/>
  <c r="J55" i="145"/>
  <c r="T63" i="145"/>
  <c r="O64" i="145"/>
  <c r="K64" i="145"/>
  <c r="Q60" i="145"/>
  <c r="L63" i="145"/>
  <c r="N64" i="145"/>
  <c r="Q55" i="145"/>
  <c r="J61" i="145"/>
  <c r="V56" i="145"/>
  <c r="W57" i="145"/>
  <c r="X60" i="145"/>
  <c r="K55" i="145"/>
  <c r="AV116" i="151"/>
  <c r="R204" i="142" l="1"/>
  <c r="U204" i="142"/>
  <c r="W204" i="142"/>
  <c r="S204" i="142"/>
  <c r="X204" i="142"/>
  <c r="T204" i="142"/>
  <c r="R20" i="138"/>
  <c r="Q21" i="138"/>
  <c r="Q23" i="138" s="1"/>
  <c r="Y204" i="142"/>
  <c r="V204" i="142"/>
  <c r="AW116" i="151"/>
  <c r="S20" i="138" l="1"/>
  <c r="S21" i="138" s="1"/>
  <c r="S23" i="138" s="1"/>
  <c r="R21" i="138"/>
  <c r="R23" i="138" s="1"/>
  <c r="AX116" i="151"/>
  <c r="H183" i="138" l="1" a="1"/>
  <c r="H183" i="138" s="1"/>
  <c r="H214" i="142" a="1"/>
  <c r="H221" i="142" s="1"/>
  <c r="H233" i="142" s="1"/>
  <c r="AY116" i="151"/>
  <c r="B14" i="27"/>
  <c r="B10" i="27"/>
  <c r="B6" i="27"/>
  <c r="B8" i="27"/>
  <c r="A4" i="138" l="1"/>
  <c r="J42" i="55"/>
  <c r="H215" i="142"/>
  <c r="H227" i="142" s="1"/>
  <c r="H25" i="149" s="1"/>
  <c r="H217" i="142"/>
  <c r="H229" i="142" s="1"/>
  <c r="H27" i="149" s="1"/>
  <c r="H214" i="142"/>
  <c r="H226" i="142" s="1"/>
  <c r="H24" i="149" s="1"/>
  <c r="H216" i="142"/>
  <c r="H228" i="142" s="1"/>
  <c r="H219" i="142"/>
  <c r="H231" i="142" s="1"/>
  <c r="H29" i="149" s="1"/>
  <c r="H222" i="142"/>
  <c r="H220" i="142"/>
  <c r="H232" i="142" s="1"/>
  <c r="H218" i="142"/>
  <c r="H230" i="142" s="1"/>
  <c r="H31" i="149"/>
  <c r="AZ116" i="151"/>
  <c r="A2" i="28"/>
  <c r="A2" i="55"/>
  <c r="D14" i="27"/>
  <c r="D10" i="27"/>
  <c r="D8" i="27"/>
  <c r="D6" i="27"/>
  <c r="H23" i="149" l="1"/>
  <c r="A3" i="152"/>
  <c r="A3" i="150"/>
  <c r="A3" i="148"/>
  <c r="A3" i="146"/>
  <c r="A3" i="137"/>
  <c r="A3" i="134"/>
  <c r="A3" i="140"/>
  <c r="A3" i="154"/>
  <c r="A3" i="143"/>
  <c r="A3" i="141"/>
  <c r="A3" i="139"/>
  <c r="A3" i="135"/>
  <c r="A3" i="144"/>
  <c r="A3" i="136"/>
  <c r="A3" i="153"/>
  <c r="A3" i="151"/>
  <c r="A3" i="149"/>
  <c r="A3" i="147"/>
  <c r="A3" i="145"/>
  <c r="A3" i="142"/>
  <c r="A3" i="138"/>
  <c r="A3" i="112"/>
  <c r="H28" i="149"/>
  <c r="H30" i="149"/>
  <c r="H26" i="149"/>
  <c r="BA116" i="15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BB116" i="151" l="1"/>
  <c r="A1" i="28"/>
  <c r="BC116" i="151" l="1"/>
  <c r="BD116" i="151" l="1"/>
  <c r="BE116" i="151" l="1"/>
  <c r="A4" i="97" l="1"/>
  <c r="J34" i="55" l="1"/>
  <c r="H86" i="144" l="1"/>
  <c r="H23" i="140"/>
  <c r="H41" i="151"/>
  <c r="H87" i="144"/>
  <c r="H24" i="140"/>
  <c r="H23" i="144"/>
  <c r="H88" i="144"/>
  <c r="Q25" i="141"/>
  <c r="Q225" i="141" s="1"/>
  <c r="H25" i="140"/>
  <c r="J98" i="144"/>
  <c r="Q26" i="141"/>
  <c r="Q226" i="141" s="1"/>
  <c r="H22" i="140"/>
  <c r="H47" i="136"/>
  <c r="H48" i="136" s="1"/>
  <c r="T25" i="141" l="1"/>
  <c r="T225" i="141" s="1"/>
  <c r="Y25" i="141"/>
  <c r="Y225" i="141" s="1"/>
  <c r="N25" i="141"/>
  <c r="N225" i="141" s="1"/>
  <c r="O25" i="141"/>
  <c r="O225" i="141" s="1"/>
  <c r="X25" i="141"/>
  <c r="X225" i="141" s="1"/>
  <c r="M25" i="141"/>
  <c r="M225" i="141" s="1"/>
  <c r="R25" i="141"/>
  <c r="R225" i="141" s="1"/>
  <c r="S25" i="141"/>
  <c r="S225" i="141" s="1"/>
  <c r="P25" i="141"/>
  <c r="P225" i="141" s="1"/>
  <c r="J25" i="141"/>
  <c r="J225" i="141" s="1"/>
  <c r="W25" i="141"/>
  <c r="W225" i="141" s="1"/>
  <c r="U25" i="141"/>
  <c r="U225" i="141" s="1"/>
  <c r="V25" i="141"/>
  <c r="V225" i="141" s="1"/>
  <c r="L25" i="141"/>
  <c r="L225" i="141" s="1"/>
  <c r="K25" i="141"/>
  <c r="K225" i="141" s="1"/>
  <c r="T24" i="141"/>
  <c r="T224" i="141" s="1"/>
  <c r="Y24" i="141"/>
  <c r="Y224" i="141" s="1"/>
  <c r="N24" i="141"/>
  <c r="N224" i="141" s="1"/>
  <c r="O24" i="141"/>
  <c r="O224" i="141" s="1"/>
  <c r="X24" i="141"/>
  <c r="X224" i="141" s="1"/>
  <c r="M24" i="141"/>
  <c r="M224" i="141" s="1"/>
  <c r="R24" i="141"/>
  <c r="R224" i="141" s="1"/>
  <c r="S24" i="141"/>
  <c r="S224" i="141" s="1"/>
  <c r="W24" i="141"/>
  <c r="W224" i="141" s="1"/>
  <c r="U24" i="141"/>
  <c r="U224" i="141" s="1"/>
  <c r="V24" i="141"/>
  <c r="V224" i="141" s="1"/>
  <c r="L24" i="141"/>
  <c r="L224" i="141" s="1"/>
  <c r="K24" i="141"/>
  <c r="K224" i="141" s="1"/>
  <c r="P24" i="141"/>
  <c r="P224" i="141" s="1"/>
  <c r="J24" i="141"/>
  <c r="K26" i="141"/>
  <c r="K226" i="141" s="1"/>
  <c r="W26" i="141"/>
  <c r="W226" i="141" s="1"/>
  <c r="T26" i="141"/>
  <c r="T226" i="141" s="1"/>
  <c r="Y26" i="141"/>
  <c r="Y226" i="141" s="1"/>
  <c r="S26" i="141"/>
  <c r="S226" i="141" s="1"/>
  <c r="N26" i="141"/>
  <c r="N226" i="141" s="1"/>
  <c r="X26" i="141"/>
  <c r="X226" i="141" s="1"/>
  <c r="M26" i="141"/>
  <c r="M226" i="141" s="1"/>
  <c r="P26" i="141"/>
  <c r="P226" i="141" s="1"/>
  <c r="J26" i="141"/>
  <c r="J226" i="141" s="1"/>
  <c r="U26" i="141"/>
  <c r="U226" i="141" s="1"/>
  <c r="O26" i="141"/>
  <c r="O226" i="141" s="1"/>
  <c r="L26" i="141"/>
  <c r="L226" i="141" s="1"/>
  <c r="R26" i="141"/>
  <c r="R226" i="141" s="1"/>
  <c r="V26" i="141"/>
  <c r="V226" i="141" s="1"/>
  <c r="H40" i="151"/>
  <c r="H25" i="144"/>
  <c r="Q24" i="141"/>
  <c r="Q224" i="141" s="1"/>
  <c r="P35" i="140"/>
  <c r="J35" i="140"/>
  <c r="M35" i="140"/>
  <c r="W35" i="140"/>
  <c r="N35" i="140"/>
  <c r="Q35" i="140"/>
  <c r="K35" i="140"/>
  <c r="X35" i="140"/>
  <c r="V35" i="140"/>
  <c r="Y35" i="140"/>
  <c r="S35" i="140"/>
  <c r="R35" i="140"/>
  <c r="U35" i="140"/>
  <c r="O35" i="140"/>
  <c r="L35" i="140"/>
  <c r="T35" i="140"/>
  <c r="H90" i="144"/>
  <c r="H122" i="144" s="1"/>
  <c r="H20" i="146" s="1"/>
  <c r="H59" i="136"/>
  <c r="L34" i="140"/>
  <c r="K34" i="140"/>
  <c r="Y34" i="140"/>
  <c r="J34" i="140"/>
  <c r="P34" i="140"/>
  <c r="O34" i="140"/>
  <c r="M34" i="140"/>
  <c r="N34" i="140"/>
  <c r="X34" i="140"/>
  <c r="Q34" i="140"/>
  <c r="S34" i="140"/>
  <c r="U34" i="140"/>
  <c r="R34" i="140"/>
  <c r="W34" i="140"/>
  <c r="V34" i="140"/>
  <c r="T34" i="140"/>
  <c r="H96" i="136"/>
  <c r="Q258" i="141" s="1"/>
  <c r="P99" i="154"/>
  <c r="P98" i="154"/>
  <c r="S99" i="154"/>
  <c r="U99" i="154"/>
  <c r="U109" i="154"/>
  <c r="R50" i="152"/>
  <c r="S97" i="154"/>
  <c r="W88" i="154"/>
  <c r="X88" i="154"/>
  <c r="U88" i="154"/>
  <c r="X99" i="154"/>
  <c r="X98" i="154"/>
  <c r="O98" i="154"/>
  <c r="W99" i="154"/>
  <c r="Y99" i="154"/>
  <c r="U98" i="154"/>
  <c r="S89" i="154"/>
  <c r="W97" i="154"/>
  <c r="T89" i="154"/>
  <c r="X97" i="154"/>
  <c r="S98" i="154"/>
  <c r="W108" i="154"/>
  <c r="U108" i="154"/>
  <c r="Q50" i="152"/>
  <c r="V50" i="152"/>
  <c r="Y50" i="152"/>
  <c r="O97" i="154"/>
  <c r="X89" i="154"/>
  <c r="P97" i="154"/>
  <c r="V98" i="154"/>
  <c r="V97" i="154"/>
  <c r="Y109" i="154"/>
  <c r="S88" i="154"/>
  <c r="Y89" i="154"/>
  <c r="U107" i="154"/>
  <c r="W98" i="154"/>
  <c r="Y108" i="154"/>
  <c r="Y88" i="154"/>
  <c r="V99" i="154"/>
  <c r="W109" i="154"/>
  <c r="Y98" i="154"/>
  <c r="U89" i="154"/>
  <c r="W107" i="154"/>
  <c r="Y107" i="154"/>
  <c r="O99" i="154"/>
  <c r="Y97" i="154"/>
  <c r="W89" i="154"/>
  <c r="U97" i="154"/>
  <c r="U50" i="152"/>
  <c r="M50" i="152"/>
  <c r="V88" i="154"/>
  <c r="R89" i="154"/>
  <c r="S50" i="152"/>
  <c r="K50" i="152"/>
  <c r="T50" i="152"/>
  <c r="X50" i="152"/>
  <c r="T88" i="154"/>
  <c r="V89" i="154"/>
  <c r="R88" i="154"/>
  <c r="W50" i="152"/>
  <c r="V54" i="152"/>
  <c r="W54" i="152"/>
  <c r="X54" i="152"/>
  <c r="S54" i="152"/>
  <c r="R54" i="152"/>
  <c r="U54" i="152"/>
  <c r="K54" i="152"/>
  <c r="T54" i="152"/>
  <c r="Q54" i="152"/>
  <c r="M54" i="152"/>
  <c r="Y54" i="152"/>
  <c r="H41" i="152"/>
  <c r="T60" i="152" l="1"/>
  <c r="M60" i="152"/>
  <c r="S60" i="152"/>
  <c r="R99" i="140"/>
  <c r="R121" i="140"/>
  <c r="R62" i="140"/>
  <c r="R73" i="140"/>
  <c r="R84" i="140"/>
  <c r="R110" i="140"/>
  <c r="R132" i="140"/>
  <c r="X84" i="140"/>
  <c r="X62" i="140"/>
  <c r="X110" i="140"/>
  <c r="X132" i="140"/>
  <c r="X73" i="140"/>
  <c r="X99" i="140"/>
  <c r="X121" i="140"/>
  <c r="S122" i="140"/>
  <c r="S74" i="140"/>
  <c r="S111" i="140"/>
  <c r="S85" i="140"/>
  <c r="S133" i="140"/>
  <c r="S100" i="140"/>
  <c r="S63" i="140"/>
  <c r="T84" i="140"/>
  <c r="T62" i="140"/>
  <c r="T110" i="140"/>
  <c r="T132" i="140"/>
  <c r="T73" i="140"/>
  <c r="T99" i="140"/>
  <c r="T121" i="140"/>
  <c r="U110" i="140"/>
  <c r="U84" i="140"/>
  <c r="U132" i="140"/>
  <c r="U99" i="140"/>
  <c r="U62" i="140"/>
  <c r="U121" i="140"/>
  <c r="U73" i="140"/>
  <c r="Y63" i="140"/>
  <c r="Y122" i="140"/>
  <c r="Y74" i="140"/>
  <c r="Y111" i="140"/>
  <c r="Y85" i="140"/>
  <c r="Y133" i="140"/>
  <c r="Y100" i="140"/>
  <c r="V99" i="140"/>
  <c r="V121" i="140"/>
  <c r="V62" i="140"/>
  <c r="V73" i="140"/>
  <c r="V84" i="140"/>
  <c r="V110" i="140"/>
  <c r="V132" i="140"/>
  <c r="S121" i="140"/>
  <c r="S73" i="140"/>
  <c r="S110" i="140"/>
  <c r="S84" i="140"/>
  <c r="S132" i="140"/>
  <c r="S99" i="140"/>
  <c r="S62" i="140"/>
  <c r="Y62" i="140"/>
  <c r="Y121" i="140"/>
  <c r="Y73" i="140"/>
  <c r="Y110" i="140"/>
  <c r="Y84" i="140"/>
  <c r="Y132" i="140"/>
  <c r="Y99" i="140"/>
  <c r="U111" i="140"/>
  <c r="U85" i="140"/>
  <c r="U133" i="140"/>
  <c r="U100" i="140"/>
  <c r="U63" i="140"/>
  <c r="U122" i="140"/>
  <c r="U74" i="140"/>
  <c r="V122" i="140"/>
  <c r="V100" i="140"/>
  <c r="V133" i="140"/>
  <c r="V111" i="140"/>
  <c r="V85" i="140"/>
  <c r="V63" i="140"/>
  <c r="V74" i="140"/>
  <c r="W132" i="140"/>
  <c r="W99" i="140"/>
  <c r="W62" i="140"/>
  <c r="W121" i="140"/>
  <c r="W73" i="140"/>
  <c r="W110" i="140"/>
  <c r="W84" i="140"/>
  <c r="T85" i="140"/>
  <c r="T63" i="140"/>
  <c r="T111" i="140"/>
  <c r="T133" i="140"/>
  <c r="T74" i="140"/>
  <c r="T100" i="140"/>
  <c r="T122" i="140"/>
  <c r="R133" i="140"/>
  <c r="R111" i="140"/>
  <c r="R85" i="140"/>
  <c r="R122" i="140"/>
  <c r="R100" i="140"/>
  <c r="R63" i="140"/>
  <c r="R74" i="140"/>
  <c r="X85" i="140"/>
  <c r="X63" i="140"/>
  <c r="X111" i="140"/>
  <c r="X133" i="140"/>
  <c r="X74" i="140"/>
  <c r="X100" i="140"/>
  <c r="X122" i="140"/>
  <c r="W133" i="140"/>
  <c r="W100" i="140"/>
  <c r="W63" i="140"/>
  <c r="W122" i="140"/>
  <c r="W74" i="140"/>
  <c r="W111" i="140"/>
  <c r="W85" i="140"/>
  <c r="W101" i="154"/>
  <c r="Q246" i="141"/>
  <c r="Q248" i="141"/>
  <c r="W60" i="152"/>
  <c r="U111" i="154"/>
  <c r="X101" i="154"/>
  <c r="Y60" i="152"/>
  <c r="K60" i="152"/>
  <c r="X60" i="152"/>
  <c r="U101" i="154"/>
  <c r="Y111" i="154"/>
  <c r="P101" i="154"/>
  <c r="Q244" i="141"/>
  <c r="Q247" i="141"/>
  <c r="N62" i="140"/>
  <c r="N73" i="140"/>
  <c r="N84" i="140"/>
  <c r="N99" i="140"/>
  <c r="N110" i="140"/>
  <c r="N121" i="140"/>
  <c r="N132" i="140"/>
  <c r="J73" i="140"/>
  <c r="J110" i="140"/>
  <c r="J62" i="140"/>
  <c r="J84" i="140"/>
  <c r="J132" i="140"/>
  <c r="J99" i="140"/>
  <c r="J121" i="140"/>
  <c r="O122" i="140"/>
  <c r="O74" i="140"/>
  <c r="O85" i="140"/>
  <c r="O111" i="140"/>
  <c r="O133" i="140"/>
  <c r="O63" i="140"/>
  <c r="O100" i="140"/>
  <c r="Q122" i="140"/>
  <c r="Q74" i="140"/>
  <c r="Q111" i="140"/>
  <c r="Q100" i="140"/>
  <c r="Q85" i="140"/>
  <c r="Q133" i="140"/>
  <c r="Q63" i="140"/>
  <c r="J122" i="140"/>
  <c r="J111" i="140"/>
  <c r="J85" i="140"/>
  <c r="J74" i="140"/>
  <c r="J63" i="140"/>
  <c r="J133" i="140"/>
  <c r="J100" i="140"/>
  <c r="H114" i="136"/>
  <c r="O257" i="141"/>
  <c r="O251" i="141"/>
  <c r="O252" i="141"/>
  <c r="O259" i="141"/>
  <c r="O258" i="141"/>
  <c r="O253" i="141"/>
  <c r="O254" i="141"/>
  <c r="O255" i="141"/>
  <c r="O256" i="141"/>
  <c r="M259" i="141"/>
  <c r="M252" i="141"/>
  <c r="M253" i="141"/>
  <c r="M255" i="141"/>
  <c r="M257" i="141"/>
  <c r="M258" i="141"/>
  <c r="M254" i="141"/>
  <c r="M251" i="141"/>
  <c r="M256" i="141"/>
  <c r="Y255" i="141"/>
  <c r="Y251" i="141"/>
  <c r="Y259" i="141"/>
  <c r="Y257" i="141"/>
  <c r="Y253" i="141"/>
  <c r="Y258" i="141"/>
  <c r="Y256" i="141"/>
  <c r="Y254" i="141"/>
  <c r="Y252" i="141"/>
  <c r="H75" i="136"/>
  <c r="H83" i="136" s="1"/>
  <c r="H90" i="136" s="1"/>
  <c r="Q256" i="141"/>
  <c r="K236" i="141"/>
  <c r="K233" i="141"/>
  <c r="K232" i="141"/>
  <c r="K234" i="141"/>
  <c r="K237" i="141"/>
  <c r="K231" i="141"/>
  <c r="K235" i="141"/>
  <c r="K229" i="141"/>
  <c r="K230" i="141"/>
  <c r="W235" i="141"/>
  <c r="W230" i="141"/>
  <c r="W237" i="141"/>
  <c r="W234" i="141"/>
  <c r="W229" i="141"/>
  <c r="W232" i="141"/>
  <c r="W236" i="141"/>
  <c r="W233" i="141"/>
  <c r="W231" i="141"/>
  <c r="X236" i="141"/>
  <c r="X232" i="141"/>
  <c r="X237" i="141"/>
  <c r="X230" i="141"/>
  <c r="X229" i="141"/>
  <c r="X235" i="141"/>
  <c r="X233" i="141"/>
  <c r="X231" i="141"/>
  <c r="X234" i="141"/>
  <c r="T236" i="141"/>
  <c r="T232" i="141"/>
  <c r="T234" i="141"/>
  <c r="T235" i="141"/>
  <c r="T237" i="141"/>
  <c r="T230" i="141"/>
  <c r="T233" i="141"/>
  <c r="T231" i="141"/>
  <c r="T229" i="141"/>
  <c r="U241" i="141"/>
  <c r="U247" i="141"/>
  <c r="U242" i="141"/>
  <c r="U244" i="141"/>
  <c r="U243" i="141"/>
  <c r="U245" i="141"/>
  <c r="U240" i="141"/>
  <c r="U246" i="141"/>
  <c r="U248" i="141"/>
  <c r="S245" i="141"/>
  <c r="S241" i="141"/>
  <c r="S246" i="141"/>
  <c r="S242" i="141"/>
  <c r="S248" i="141"/>
  <c r="S243" i="141"/>
  <c r="S247" i="141"/>
  <c r="S240" i="141"/>
  <c r="S244" i="141"/>
  <c r="O245" i="141"/>
  <c r="O242" i="141"/>
  <c r="O243" i="141"/>
  <c r="O246" i="141"/>
  <c r="O241" i="141"/>
  <c r="O244" i="141"/>
  <c r="O240" i="141"/>
  <c r="O247" i="141"/>
  <c r="O248" i="141"/>
  <c r="U60" i="152"/>
  <c r="W111" i="154"/>
  <c r="V101" i="154"/>
  <c r="H115" i="136"/>
  <c r="W124" i="145"/>
  <c r="P123" i="145"/>
  <c r="J124" i="145"/>
  <c r="S123" i="145"/>
  <c r="S124" i="145"/>
  <c r="R124" i="145"/>
  <c r="W123" i="145"/>
  <c r="L123" i="145"/>
  <c r="Q124" i="145"/>
  <c r="K124" i="145"/>
  <c r="L124" i="145"/>
  <c r="U124" i="145"/>
  <c r="M124" i="145"/>
  <c r="N123" i="145"/>
  <c r="T124" i="145"/>
  <c r="R123" i="145"/>
  <c r="X123" i="145"/>
  <c r="X124" i="145"/>
  <c r="U123" i="145"/>
  <c r="Y123" i="145"/>
  <c r="O123" i="145"/>
  <c r="V123" i="145"/>
  <c r="O124" i="145"/>
  <c r="K123" i="145"/>
  <c r="J123" i="145"/>
  <c r="Y124" i="145"/>
  <c r="N124" i="145"/>
  <c r="P124" i="145"/>
  <c r="M123" i="145"/>
  <c r="T123" i="145"/>
  <c r="V124" i="145"/>
  <c r="Q123" i="145"/>
  <c r="Q240" i="141"/>
  <c r="Q245" i="141"/>
  <c r="M110" i="140"/>
  <c r="M73" i="140"/>
  <c r="M84" i="140"/>
  <c r="M132" i="140"/>
  <c r="M62" i="140"/>
  <c r="M121" i="140"/>
  <c r="M99" i="140"/>
  <c r="N100" i="140"/>
  <c r="N122" i="140"/>
  <c r="N63" i="140"/>
  <c r="N74" i="140"/>
  <c r="N85" i="140"/>
  <c r="N133" i="140"/>
  <c r="N111" i="140"/>
  <c r="P100" i="140"/>
  <c r="P74" i="140"/>
  <c r="P122" i="140"/>
  <c r="P63" i="140"/>
  <c r="P85" i="140"/>
  <c r="P133" i="140"/>
  <c r="P111" i="140"/>
  <c r="V255" i="141"/>
  <c r="V254" i="141"/>
  <c r="V251" i="141"/>
  <c r="V257" i="141"/>
  <c r="V256" i="141"/>
  <c r="V253" i="141"/>
  <c r="V258" i="141"/>
  <c r="V259" i="141"/>
  <c r="V252" i="141"/>
  <c r="U259" i="141"/>
  <c r="U253" i="141"/>
  <c r="U257" i="141"/>
  <c r="U254" i="141"/>
  <c r="U252" i="141"/>
  <c r="U251" i="141"/>
  <c r="U255" i="141"/>
  <c r="U258" i="141"/>
  <c r="U256" i="141"/>
  <c r="X259" i="141"/>
  <c r="X256" i="141"/>
  <c r="X252" i="141"/>
  <c r="X255" i="141"/>
  <c r="X253" i="141"/>
  <c r="X254" i="141"/>
  <c r="X258" i="141"/>
  <c r="X251" i="141"/>
  <c r="X257" i="141"/>
  <c r="T256" i="141"/>
  <c r="T252" i="141"/>
  <c r="T257" i="141"/>
  <c r="T255" i="141"/>
  <c r="T253" i="141"/>
  <c r="T258" i="141"/>
  <c r="T251" i="141"/>
  <c r="T254" i="141"/>
  <c r="T259" i="141"/>
  <c r="Q257" i="141"/>
  <c r="Q253" i="141"/>
  <c r="Q254" i="141"/>
  <c r="L237" i="141"/>
  <c r="L233" i="141"/>
  <c r="L229" i="141"/>
  <c r="L232" i="141"/>
  <c r="L230" i="141"/>
  <c r="L231" i="141"/>
  <c r="L235" i="141"/>
  <c r="L236" i="141"/>
  <c r="L234" i="141"/>
  <c r="S236" i="141"/>
  <c r="S233" i="141"/>
  <c r="S235" i="141"/>
  <c r="S232" i="141"/>
  <c r="S229" i="141"/>
  <c r="S234" i="141"/>
  <c r="S231" i="141"/>
  <c r="S230" i="141"/>
  <c r="S237" i="141"/>
  <c r="O236" i="141"/>
  <c r="O230" i="141"/>
  <c r="O233" i="141"/>
  <c r="O235" i="141"/>
  <c r="O237" i="141"/>
  <c r="O231" i="141"/>
  <c r="O234" i="141"/>
  <c r="O229" i="141"/>
  <c r="O232" i="141"/>
  <c r="K246" i="141"/>
  <c r="K245" i="141"/>
  <c r="K240" i="141"/>
  <c r="K247" i="141"/>
  <c r="K244" i="141"/>
  <c r="K248" i="141"/>
  <c r="K243" i="141"/>
  <c r="K241" i="141"/>
  <c r="K242" i="141"/>
  <c r="W246" i="141"/>
  <c r="W241" i="141"/>
  <c r="W248" i="141"/>
  <c r="W247" i="141"/>
  <c r="W244" i="141"/>
  <c r="W243" i="141"/>
  <c r="W242" i="141"/>
  <c r="W240" i="141"/>
  <c r="W245" i="141"/>
  <c r="R244" i="141"/>
  <c r="R243" i="141"/>
  <c r="R245" i="141"/>
  <c r="R241" i="141"/>
  <c r="R242" i="141"/>
  <c r="R246" i="141"/>
  <c r="R247" i="141"/>
  <c r="R240" i="141"/>
  <c r="R248" i="141"/>
  <c r="N240" i="141"/>
  <c r="N246" i="141"/>
  <c r="N247" i="141"/>
  <c r="N245" i="141"/>
  <c r="N244" i="141"/>
  <c r="N243" i="141"/>
  <c r="N248" i="141"/>
  <c r="N241" i="141"/>
  <c r="N242" i="141"/>
  <c r="Q60" i="152"/>
  <c r="R60" i="152"/>
  <c r="V60" i="152"/>
  <c r="Y101" i="154"/>
  <c r="O101" i="154"/>
  <c r="S101" i="154"/>
  <c r="Q241" i="141"/>
  <c r="Q243" i="141"/>
  <c r="Q242" i="141"/>
  <c r="Q110" i="140"/>
  <c r="Q62" i="140"/>
  <c r="Q132" i="140"/>
  <c r="Q73" i="140"/>
  <c r="Q99" i="140"/>
  <c r="Q121" i="140"/>
  <c r="Q84" i="140"/>
  <c r="O73" i="140"/>
  <c r="O110" i="140"/>
  <c r="O62" i="140"/>
  <c r="O121" i="140"/>
  <c r="O132" i="140"/>
  <c r="O99" i="140"/>
  <c r="O84" i="140"/>
  <c r="K121" i="140"/>
  <c r="K110" i="140"/>
  <c r="K62" i="140"/>
  <c r="K99" i="140"/>
  <c r="K132" i="140"/>
  <c r="K84" i="140"/>
  <c r="K73" i="140"/>
  <c r="H121" i="144"/>
  <c r="H19" i="146" s="1"/>
  <c r="S56" i="144"/>
  <c r="S114" i="144" s="1"/>
  <c r="L56" i="144"/>
  <c r="L114" i="144" s="1"/>
  <c r="Q56" i="144"/>
  <c r="Q114" i="144" s="1"/>
  <c r="M56" i="144"/>
  <c r="M114" i="144" s="1"/>
  <c r="P56" i="144"/>
  <c r="P114" i="144" s="1"/>
  <c r="R56" i="144"/>
  <c r="R114" i="144" s="1"/>
  <c r="N56" i="144"/>
  <c r="N114" i="144" s="1"/>
  <c r="O56" i="144"/>
  <c r="O114" i="144" s="1"/>
  <c r="R253" i="141"/>
  <c r="R254" i="141"/>
  <c r="R252" i="141"/>
  <c r="R257" i="141"/>
  <c r="R255" i="141"/>
  <c r="R251" i="141"/>
  <c r="R256" i="141"/>
  <c r="R258" i="141"/>
  <c r="R259" i="141"/>
  <c r="J253" i="141"/>
  <c r="J255" i="141"/>
  <c r="J257" i="141"/>
  <c r="J251" i="141"/>
  <c r="J256" i="141"/>
  <c r="J254" i="141"/>
  <c r="J252" i="141"/>
  <c r="J259" i="141"/>
  <c r="J258" i="141"/>
  <c r="N256" i="141"/>
  <c r="N259" i="141"/>
  <c r="N252" i="141"/>
  <c r="N255" i="141"/>
  <c r="N251" i="141"/>
  <c r="N257" i="141"/>
  <c r="N258" i="141"/>
  <c r="N253" i="141"/>
  <c r="N254" i="141"/>
  <c r="W256" i="141"/>
  <c r="W255" i="141"/>
  <c r="W258" i="141"/>
  <c r="W253" i="141"/>
  <c r="W254" i="141"/>
  <c r="W257" i="141"/>
  <c r="W251" i="141"/>
  <c r="W259" i="141"/>
  <c r="W252" i="141"/>
  <c r="Q255" i="141"/>
  <c r="Q251" i="141"/>
  <c r="J224" i="141"/>
  <c r="V234" i="141"/>
  <c r="V236" i="141"/>
  <c r="V230" i="141"/>
  <c r="V232" i="141"/>
  <c r="V235" i="141"/>
  <c r="V237" i="141"/>
  <c r="V229" i="141"/>
  <c r="V231" i="141"/>
  <c r="V233" i="141"/>
  <c r="R233" i="141"/>
  <c r="R236" i="141"/>
  <c r="R230" i="141"/>
  <c r="R229" i="141"/>
  <c r="R234" i="141"/>
  <c r="R232" i="141"/>
  <c r="R235" i="141"/>
  <c r="R237" i="141"/>
  <c r="R231" i="141"/>
  <c r="N235" i="141"/>
  <c r="N236" i="141"/>
  <c r="N230" i="141"/>
  <c r="N229" i="141"/>
  <c r="N233" i="141"/>
  <c r="N231" i="141"/>
  <c r="N234" i="141"/>
  <c r="N237" i="141"/>
  <c r="N232" i="141"/>
  <c r="L245" i="141"/>
  <c r="L241" i="141"/>
  <c r="L248" i="141"/>
  <c r="L246" i="141"/>
  <c r="L247" i="141"/>
  <c r="L244" i="141"/>
  <c r="L242" i="141"/>
  <c r="L240" i="141"/>
  <c r="L243" i="141"/>
  <c r="J243" i="141"/>
  <c r="J246" i="141"/>
  <c r="J248" i="141"/>
  <c r="J247" i="141"/>
  <c r="J244" i="141"/>
  <c r="J241" i="141"/>
  <c r="J240" i="141"/>
  <c r="J245" i="141"/>
  <c r="J242" i="141"/>
  <c r="M244" i="141"/>
  <c r="M240" i="141"/>
  <c r="M245" i="141"/>
  <c r="M247" i="141"/>
  <c r="M248" i="141"/>
  <c r="M241" i="141"/>
  <c r="M246" i="141"/>
  <c r="M242" i="141"/>
  <c r="M243" i="141"/>
  <c r="Y247" i="141"/>
  <c r="Y243" i="141"/>
  <c r="Y248" i="141"/>
  <c r="Y241" i="141"/>
  <c r="Y240" i="141"/>
  <c r="Y246" i="141"/>
  <c r="Y244" i="141"/>
  <c r="Y242" i="141"/>
  <c r="Y245" i="141"/>
  <c r="N45" i="152"/>
  <c r="N46" i="152" s="1"/>
  <c r="O45" i="152"/>
  <c r="O46" i="152" s="1"/>
  <c r="P45" i="152"/>
  <c r="P46" i="152" s="1"/>
  <c r="L45" i="152"/>
  <c r="L46" i="152" s="1"/>
  <c r="J45" i="152"/>
  <c r="P73" i="140"/>
  <c r="P99" i="140"/>
  <c r="P62" i="140"/>
  <c r="P132" i="140"/>
  <c r="P110" i="140"/>
  <c r="P84" i="140"/>
  <c r="P121" i="140"/>
  <c r="L73" i="140"/>
  <c r="L99" i="140"/>
  <c r="L62" i="140"/>
  <c r="L132" i="140"/>
  <c r="L84" i="140"/>
  <c r="L121" i="140"/>
  <c r="L110" i="140"/>
  <c r="L63" i="140"/>
  <c r="L133" i="140"/>
  <c r="L85" i="140"/>
  <c r="L74" i="140"/>
  <c r="L100" i="140"/>
  <c r="L111" i="140"/>
  <c r="L122" i="140"/>
  <c r="K133" i="140"/>
  <c r="K85" i="140"/>
  <c r="K100" i="140"/>
  <c r="K63" i="140"/>
  <c r="K74" i="140"/>
  <c r="K122" i="140"/>
  <c r="K111" i="140"/>
  <c r="M111" i="140"/>
  <c r="M63" i="140"/>
  <c r="M133" i="140"/>
  <c r="M74" i="140"/>
  <c r="M100" i="140"/>
  <c r="M122" i="140"/>
  <c r="M85" i="140"/>
  <c r="Q230" i="141"/>
  <c r="Q231" i="141"/>
  <c r="Q232" i="141"/>
  <c r="Q235" i="141"/>
  <c r="Q234" i="141"/>
  <c r="Q229" i="141"/>
  <c r="Q237" i="141"/>
  <c r="Q236" i="141"/>
  <c r="Q233" i="141"/>
  <c r="H40" i="152"/>
  <c r="J44" i="152" s="1"/>
  <c r="L259" i="141"/>
  <c r="L257" i="141"/>
  <c r="L253" i="141"/>
  <c r="L255" i="141"/>
  <c r="L254" i="141"/>
  <c r="L258" i="141"/>
  <c r="L251" i="141"/>
  <c r="L256" i="141"/>
  <c r="L252" i="141"/>
  <c r="P259" i="141"/>
  <c r="P257" i="141"/>
  <c r="P253" i="141"/>
  <c r="P255" i="141"/>
  <c r="P254" i="141"/>
  <c r="P258" i="141"/>
  <c r="P251" i="141"/>
  <c r="P256" i="141"/>
  <c r="P252" i="141"/>
  <c r="S253" i="141"/>
  <c r="S251" i="141"/>
  <c r="S257" i="141"/>
  <c r="S259" i="141"/>
  <c r="S255" i="141"/>
  <c r="S258" i="141"/>
  <c r="S256" i="141"/>
  <c r="S252" i="141"/>
  <c r="S254" i="141"/>
  <c r="K259" i="141"/>
  <c r="K255" i="141"/>
  <c r="K257" i="141"/>
  <c r="K256" i="141"/>
  <c r="K253" i="141"/>
  <c r="K254" i="141"/>
  <c r="K258" i="141"/>
  <c r="K251" i="141"/>
  <c r="K252" i="141"/>
  <c r="Q252" i="141"/>
  <c r="Q259" i="141"/>
  <c r="P237" i="141"/>
  <c r="P233" i="141"/>
  <c r="P229" i="141"/>
  <c r="P232" i="141"/>
  <c r="P230" i="141"/>
  <c r="P231" i="141"/>
  <c r="P235" i="141"/>
  <c r="P234" i="141"/>
  <c r="P236" i="141"/>
  <c r="U233" i="141"/>
  <c r="U229" i="141"/>
  <c r="U234" i="141"/>
  <c r="U230" i="141"/>
  <c r="U235" i="141"/>
  <c r="U237" i="141"/>
  <c r="U236" i="141"/>
  <c r="U232" i="141"/>
  <c r="U231" i="141"/>
  <c r="M232" i="141"/>
  <c r="M233" i="141"/>
  <c r="M229" i="141"/>
  <c r="M234" i="141"/>
  <c r="M237" i="141"/>
  <c r="M231" i="141"/>
  <c r="M230" i="141"/>
  <c r="M235" i="141"/>
  <c r="M236" i="141"/>
  <c r="Y235" i="141"/>
  <c r="Y231" i="141"/>
  <c r="Y234" i="141"/>
  <c r="Y232" i="141"/>
  <c r="Y233" i="141"/>
  <c r="Y237" i="141"/>
  <c r="Y230" i="141"/>
  <c r="Y236" i="141"/>
  <c r="Y229" i="141"/>
  <c r="V242" i="141"/>
  <c r="V241" i="141"/>
  <c r="V244" i="141"/>
  <c r="V240" i="141"/>
  <c r="V245" i="141"/>
  <c r="V243" i="141"/>
  <c r="V248" i="141"/>
  <c r="V246" i="141"/>
  <c r="V247" i="141"/>
  <c r="P245" i="141"/>
  <c r="P241" i="141"/>
  <c r="P248" i="141"/>
  <c r="P246" i="141"/>
  <c r="P247" i="141"/>
  <c r="P244" i="141"/>
  <c r="P242" i="141"/>
  <c r="P240" i="141"/>
  <c r="P243" i="141"/>
  <c r="X248" i="141"/>
  <c r="X244" i="141"/>
  <c r="X240" i="141"/>
  <c r="X246" i="141"/>
  <c r="X247" i="141"/>
  <c r="X245" i="141"/>
  <c r="X242" i="141"/>
  <c r="X241" i="141"/>
  <c r="X243" i="141"/>
  <c r="T248" i="141"/>
  <c r="T244" i="141"/>
  <c r="T240" i="141"/>
  <c r="T243" i="141"/>
  <c r="T241" i="141"/>
  <c r="T242" i="141"/>
  <c r="T246" i="141"/>
  <c r="T245" i="141"/>
  <c r="T247" i="141"/>
  <c r="W66" i="153" l="1"/>
  <c r="W87" i="140"/>
  <c r="W64" i="153"/>
  <c r="W65" i="140"/>
  <c r="X67" i="153"/>
  <c r="X102" i="140"/>
  <c r="X64" i="153"/>
  <c r="X65" i="140"/>
  <c r="R67" i="153"/>
  <c r="R102" i="140"/>
  <c r="R70" i="153"/>
  <c r="R135" i="140"/>
  <c r="T70" i="153"/>
  <c r="T135" i="140"/>
  <c r="W57" i="153"/>
  <c r="W86" i="140"/>
  <c r="W55" i="153"/>
  <c r="W64" i="140"/>
  <c r="V64" i="153"/>
  <c r="V65" i="140"/>
  <c r="V67" i="153"/>
  <c r="V102" i="140"/>
  <c r="U64" i="153"/>
  <c r="U65" i="140"/>
  <c r="U68" i="153"/>
  <c r="U113" i="140"/>
  <c r="Y59" i="153"/>
  <c r="Y112" i="140"/>
  <c r="S55" i="153"/>
  <c r="S64" i="140"/>
  <c r="S59" i="153"/>
  <c r="S112" i="140"/>
  <c r="V59" i="153"/>
  <c r="V112" i="140"/>
  <c r="V60" i="153"/>
  <c r="V123" i="140"/>
  <c r="Y66" i="153"/>
  <c r="Y87" i="140"/>
  <c r="Y64" i="153"/>
  <c r="Y65" i="140"/>
  <c r="U58" i="153"/>
  <c r="U101" i="140"/>
  <c r="T60" i="153"/>
  <c r="T115" i="153" s="1"/>
  <c r="T144" i="153" s="1"/>
  <c r="T59" i="154" s="1"/>
  <c r="T99" i="154" s="1"/>
  <c r="T123" i="140"/>
  <c r="T59" i="153"/>
  <c r="T114" i="153" s="1"/>
  <c r="T143" i="153" s="1"/>
  <c r="T58" i="154" s="1"/>
  <c r="T98" i="154" s="1"/>
  <c r="T112" i="140"/>
  <c r="S67" i="153"/>
  <c r="S102" i="140"/>
  <c r="S65" i="153"/>
  <c r="S76" i="140"/>
  <c r="X56" i="153"/>
  <c r="X75" i="140"/>
  <c r="X57" i="153"/>
  <c r="X86" i="140"/>
  <c r="R56" i="153"/>
  <c r="R75" i="140"/>
  <c r="W68" i="153"/>
  <c r="W113" i="140"/>
  <c r="W67" i="153"/>
  <c r="W102" i="140"/>
  <c r="X65" i="153"/>
  <c r="X76" i="140"/>
  <c r="X66" i="153"/>
  <c r="X87" i="140"/>
  <c r="R69" i="153"/>
  <c r="R124" i="153" s="1"/>
  <c r="R153" i="153" s="1"/>
  <c r="R68" i="154" s="1"/>
  <c r="R109" i="154" s="1"/>
  <c r="R124" i="140"/>
  <c r="T69" i="153"/>
  <c r="T124" i="153" s="1"/>
  <c r="T153" i="153" s="1"/>
  <c r="T68" i="154" s="1"/>
  <c r="T109" i="154" s="1"/>
  <c r="T124" i="140"/>
  <c r="T68" i="153"/>
  <c r="T123" i="153" s="1"/>
  <c r="T152" i="153" s="1"/>
  <c r="T67" i="154" s="1"/>
  <c r="T108" i="154" s="1"/>
  <c r="T113" i="140"/>
  <c r="W59" i="153"/>
  <c r="W112" i="140"/>
  <c r="W58" i="153"/>
  <c r="W101" i="140"/>
  <c r="V66" i="153"/>
  <c r="V87" i="140"/>
  <c r="V69" i="153"/>
  <c r="V124" i="153" s="1"/>
  <c r="V153" i="153" s="1"/>
  <c r="V68" i="154" s="1"/>
  <c r="V109" i="154" s="1"/>
  <c r="V124" i="140"/>
  <c r="U67" i="153"/>
  <c r="U102" i="140"/>
  <c r="Y58" i="153"/>
  <c r="Y101" i="140"/>
  <c r="Y56" i="153"/>
  <c r="Y75" i="140"/>
  <c r="S58" i="153"/>
  <c r="S101" i="140"/>
  <c r="S56" i="153"/>
  <c r="S75" i="140"/>
  <c r="V57" i="153"/>
  <c r="V86" i="140"/>
  <c r="V58" i="153"/>
  <c r="V101" i="140"/>
  <c r="Y68" i="153"/>
  <c r="Y113" i="140"/>
  <c r="U56" i="153"/>
  <c r="U75" i="140"/>
  <c r="U61" i="153"/>
  <c r="U134" i="140"/>
  <c r="T58" i="153"/>
  <c r="T101" i="140"/>
  <c r="T55" i="153"/>
  <c r="T64" i="140"/>
  <c r="S70" i="153"/>
  <c r="S135" i="140"/>
  <c r="S69" i="153"/>
  <c r="S124" i="153" s="1"/>
  <c r="S153" i="153" s="1"/>
  <c r="S68" i="154" s="1"/>
  <c r="S109" i="154" s="1"/>
  <c r="S124" i="140"/>
  <c r="X61" i="153"/>
  <c r="X134" i="140"/>
  <c r="R61" i="153"/>
  <c r="R134" i="140"/>
  <c r="R55" i="153"/>
  <c r="R64" i="140"/>
  <c r="W65" i="153"/>
  <c r="W76" i="140"/>
  <c r="W70" i="153"/>
  <c r="W135" i="140"/>
  <c r="X70" i="153"/>
  <c r="X135" i="140"/>
  <c r="R65" i="153"/>
  <c r="R76" i="140"/>
  <c r="R66" i="153"/>
  <c r="R87" i="140"/>
  <c r="T67" i="153"/>
  <c r="T102" i="140"/>
  <c r="T64" i="153"/>
  <c r="T65" i="140"/>
  <c r="W56" i="153"/>
  <c r="W75" i="140"/>
  <c r="W61" i="153"/>
  <c r="W134" i="140"/>
  <c r="V68" i="153"/>
  <c r="V123" i="153" s="1"/>
  <c r="V152" i="153" s="1"/>
  <c r="V67" i="154" s="1"/>
  <c r="V108" i="154" s="1"/>
  <c r="V113" i="140"/>
  <c r="U65" i="153"/>
  <c r="U76" i="140"/>
  <c r="U70" i="153"/>
  <c r="U135" i="140"/>
  <c r="Y61" i="153"/>
  <c r="Y134" i="140"/>
  <c r="Y60" i="153"/>
  <c r="Y123" i="140"/>
  <c r="S61" i="153"/>
  <c r="S134" i="140"/>
  <c r="S60" i="153"/>
  <c r="S123" i="140"/>
  <c r="V56" i="153"/>
  <c r="V75" i="140"/>
  <c r="Y67" i="153"/>
  <c r="Y102" i="140"/>
  <c r="Y65" i="153"/>
  <c r="Y76" i="140"/>
  <c r="U60" i="153"/>
  <c r="U123" i="140"/>
  <c r="U57" i="153"/>
  <c r="U86" i="140"/>
  <c r="T56" i="153"/>
  <c r="T75" i="140"/>
  <c r="T57" i="153"/>
  <c r="T86" i="140"/>
  <c r="S66" i="153"/>
  <c r="S87" i="140"/>
  <c r="X60" i="153"/>
  <c r="X123" i="140"/>
  <c r="X59" i="153"/>
  <c r="X112" i="140"/>
  <c r="R59" i="153"/>
  <c r="R114" i="153" s="1"/>
  <c r="R143" i="153" s="1"/>
  <c r="R58" i="154" s="1"/>
  <c r="R98" i="154" s="1"/>
  <c r="R112" i="140"/>
  <c r="R60" i="153"/>
  <c r="R115" i="153" s="1"/>
  <c r="R144" i="153" s="1"/>
  <c r="R59" i="154" s="1"/>
  <c r="R99" i="154" s="1"/>
  <c r="R123" i="140"/>
  <c r="W69" i="153"/>
  <c r="W124" i="140"/>
  <c r="X69" i="153"/>
  <c r="X124" i="153" s="1"/>
  <c r="X153" i="153" s="1"/>
  <c r="X68" i="154" s="1"/>
  <c r="X109" i="154" s="1"/>
  <c r="X124" i="140"/>
  <c r="X68" i="153"/>
  <c r="X123" i="153" s="1"/>
  <c r="X152" i="153" s="1"/>
  <c r="X67" i="154" s="1"/>
  <c r="X108" i="154" s="1"/>
  <c r="X113" i="140"/>
  <c r="R64" i="153"/>
  <c r="R65" i="140"/>
  <c r="R68" i="153"/>
  <c r="R123" i="153" s="1"/>
  <c r="R152" i="153" s="1"/>
  <c r="R67" i="154" s="1"/>
  <c r="R108" i="154" s="1"/>
  <c r="R113" i="140"/>
  <c r="T65" i="153"/>
  <c r="T76" i="140"/>
  <c r="T66" i="153"/>
  <c r="T87" i="140"/>
  <c r="W60" i="153"/>
  <c r="W123" i="140"/>
  <c r="V65" i="153"/>
  <c r="V76" i="140"/>
  <c r="V70" i="153"/>
  <c r="V135" i="140"/>
  <c r="U69" i="153"/>
  <c r="U124" i="140"/>
  <c r="U66" i="153"/>
  <c r="U87" i="140"/>
  <c r="Y57" i="153"/>
  <c r="Y86" i="140"/>
  <c r="Y88" i="140" s="1"/>
  <c r="Y55" i="153"/>
  <c r="Y64" i="140"/>
  <c r="S57" i="153"/>
  <c r="S86" i="140"/>
  <c r="V61" i="153"/>
  <c r="V134" i="140"/>
  <c r="V55" i="153"/>
  <c r="V64" i="140"/>
  <c r="Y70" i="153"/>
  <c r="Y135" i="140"/>
  <c r="Y69" i="153"/>
  <c r="Y124" i="140"/>
  <c r="U55" i="153"/>
  <c r="U64" i="140"/>
  <c r="U66" i="140" s="1"/>
  <c r="U59" i="153"/>
  <c r="U112" i="140"/>
  <c r="U114" i="140" s="1"/>
  <c r="T61" i="153"/>
  <c r="T134" i="140"/>
  <c r="S64" i="153"/>
  <c r="S65" i="140"/>
  <c r="S68" i="153"/>
  <c r="S123" i="153" s="1"/>
  <c r="S152" i="153" s="1"/>
  <c r="S67" i="154" s="1"/>
  <c r="S108" i="154" s="1"/>
  <c r="S113" i="140"/>
  <c r="X58" i="153"/>
  <c r="X101" i="140"/>
  <c r="X103" i="140" s="1"/>
  <c r="X55" i="153"/>
  <c r="X64" i="140"/>
  <c r="R57" i="153"/>
  <c r="R86" i="140"/>
  <c r="R88" i="140" s="1"/>
  <c r="R58" i="153"/>
  <c r="R101" i="140"/>
  <c r="J46" i="152"/>
  <c r="J50" i="152" s="1"/>
  <c r="H51" i="148" a="1"/>
  <c r="H54" i="148" s="1"/>
  <c r="P59" i="153"/>
  <c r="P112" i="140"/>
  <c r="M69" i="153"/>
  <c r="M124" i="140"/>
  <c r="M65" i="140"/>
  <c r="M64" i="153"/>
  <c r="K76" i="140"/>
  <c r="K65" i="153"/>
  <c r="K135" i="140"/>
  <c r="K70" i="153"/>
  <c r="L65" i="153"/>
  <c r="L76" i="140"/>
  <c r="L59" i="153"/>
  <c r="L112" i="140"/>
  <c r="L55" i="153"/>
  <c r="L64" i="140"/>
  <c r="P57" i="153"/>
  <c r="P86" i="140"/>
  <c r="P58" i="153"/>
  <c r="P101" i="140"/>
  <c r="O47" i="153"/>
  <c r="O50" i="152"/>
  <c r="O54" i="152"/>
  <c r="K61" i="153"/>
  <c r="K134" i="140"/>
  <c r="K60" i="153"/>
  <c r="K123" i="140"/>
  <c r="O60" i="153"/>
  <c r="O123" i="140"/>
  <c r="Q57" i="153"/>
  <c r="Q86" i="140"/>
  <c r="Q61" i="153"/>
  <c r="Q134" i="140"/>
  <c r="P66" i="153"/>
  <c r="P87" i="140"/>
  <c r="P67" i="153"/>
  <c r="P102" i="140"/>
  <c r="N65" i="153"/>
  <c r="N76" i="140"/>
  <c r="M58" i="153"/>
  <c r="M101" i="140"/>
  <c r="M57" i="153"/>
  <c r="M86" i="140"/>
  <c r="J64" i="153"/>
  <c r="J65" i="140"/>
  <c r="J69" i="153"/>
  <c r="J124" i="140"/>
  <c r="Q102" i="140"/>
  <c r="Q67" i="153"/>
  <c r="O102" i="140"/>
  <c r="O67" i="153"/>
  <c r="O66" i="153"/>
  <c r="O87" i="140"/>
  <c r="J58" i="153"/>
  <c r="J101" i="140"/>
  <c r="J59" i="153"/>
  <c r="J112" i="140"/>
  <c r="N59" i="153"/>
  <c r="N112" i="140"/>
  <c r="N55" i="153"/>
  <c r="N64" i="140"/>
  <c r="K58" i="153"/>
  <c r="K101" i="140"/>
  <c r="O57" i="153"/>
  <c r="O86" i="140"/>
  <c r="O55" i="153"/>
  <c r="O64" i="140"/>
  <c r="Q60" i="153"/>
  <c r="Q123" i="140"/>
  <c r="Q55" i="153"/>
  <c r="Q64" i="140"/>
  <c r="P64" i="153"/>
  <c r="P65" i="140"/>
  <c r="N68" i="153"/>
  <c r="N113" i="140"/>
  <c r="N64" i="153"/>
  <c r="N65" i="140"/>
  <c r="M123" i="140"/>
  <c r="M60" i="153"/>
  <c r="M56" i="153"/>
  <c r="M75" i="140"/>
  <c r="H73" i="154"/>
  <c r="H115" i="154" s="1"/>
  <c r="H37" i="151"/>
  <c r="H43" i="151" s="1"/>
  <c r="J65" i="153"/>
  <c r="J76" i="140"/>
  <c r="Q64" i="153"/>
  <c r="Q65" i="140"/>
  <c r="Q113" i="140"/>
  <c r="Q68" i="153"/>
  <c r="O64" i="153"/>
  <c r="O65" i="140"/>
  <c r="O76" i="140"/>
  <c r="O65" i="153"/>
  <c r="J61" i="153"/>
  <c r="J134" i="140"/>
  <c r="J56" i="153"/>
  <c r="J75" i="140"/>
  <c r="N58" i="153"/>
  <c r="N101" i="140"/>
  <c r="L54" i="152"/>
  <c r="L50" i="152"/>
  <c r="L47" i="153"/>
  <c r="J234" i="141"/>
  <c r="J232" i="141"/>
  <c r="J233" i="141"/>
  <c r="J235" i="141"/>
  <c r="J230" i="141"/>
  <c r="J231" i="141"/>
  <c r="J237" i="141"/>
  <c r="J236" i="141"/>
  <c r="J229" i="141"/>
  <c r="K56" i="153"/>
  <c r="K75" i="140"/>
  <c r="K55" i="153"/>
  <c r="K64" i="140"/>
  <c r="O58" i="153"/>
  <c r="O101" i="140"/>
  <c r="O59" i="153"/>
  <c r="O112" i="140"/>
  <c r="Q58" i="153"/>
  <c r="Q101" i="140"/>
  <c r="Q59" i="153"/>
  <c r="Q112" i="140"/>
  <c r="P68" i="153"/>
  <c r="P113" i="140"/>
  <c r="P69" i="153"/>
  <c r="P124" i="140"/>
  <c r="N70" i="153"/>
  <c r="N135" i="140"/>
  <c r="N69" i="153"/>
  <c r="N124" i="140"/>
  <c r="M55" i="153"/>
  <c r="M64" i="140"/>
  <c r="M112" i="140"/>
  <c r="M59" i="153"/>
  <c r="J67" i="153"/>
  <c r="J102" i="140"/>
  <c r="J66" i="153"/>
  <c r="J87" i="140"/>
  <c r="Q70" i="153"/>
  <c r="Q135" i="140"/>
  <c r="Q136" i="140" s="1"/>
  <c r="Q35" i="151" s="1"/>
  <c r="Q65" i="153"/>
  <c r="Q76" i="140"/>
  <c r="O135" i="140"/>
  <c r="O70" i="153"/>
  <c r="O69" i="153"/>
  <c r="O124" i="140"/>
  <c r="J57" i="153"/>
  <c r="J86" i="140"/>
  <c r="N61" i="153"/>
  <c r="N134" i="140"/>
  <c r="N57" i="153"/>
  <c r="N86" i="140"/>
  <c r="M102" i="140"/>
  <c r="M67" i="153"/>
  <c r="M113" i="140"/>
  <c r="M68" i="153"/>
  <c r="K64" i="153"/>
  <c r="K65" i="140"/>
  <c r="L69" i="153"/>
  <c r="L124" i="140"/>
  <c r="L66" i="153"/>
  <c r="L87" i="140"/>
  <c r="L60" i="153"/>
  <c r="L123" i="140"/>
  <c r="L58" i="153"/>
  <c r="L101" i="140"/>
  <c r="P56" i="153"/>
  <c r="P75" i="140"/>
  <c r="N50" i="152"/>
  <c r="N54" i="152"/>
  <c r="N47" i="153"/>
  <c r="M65" i="153"/>
  <c r="M76" i="140"/>
  <c r="K113" i="140"/>
  <c r="K68" i="153"/>
  <c r="K67" i="153"/>
  <c r="K102" i="140"/>
  <c r="L68" i="153"/>
  <c r="L113" i="140"/>
  <c r="L70" i="153"/>
  <c r="L135" i="140"/>
  <c r="L57" i="153"/>
  <c r="L86" i="140"/>
  <c r="L56" i="153"/>
  <c r="L75" i="140"/>
  <c r="P61" i="153"/>
  <c r="P134" i="140"/>
  <c r="M66" i="153"/>
  <c r="M87" i="140"/>
  <c r="M70" i="153"/>
  <c r="M135" i="140"/>
  <c r="K69" i="153"/>
  <c r="K124" i="140"/>
  <c r="K66" i="153"/>
  <c r="K87" i="140"/>
  <c r="L102" i="140"/>
  <c r="L67" i="153"/>
  <c r="L65" i="140"/>
  <c r="L64" i="153"/>
  <c r="L61" i="153"/>
  <c r="L134" i="140"/>
  <c r="P60" i="153"/>
  <c r="P123" i="140"/>
  <c r="P55" i="153"/>
  <c r="P64" i="140"/>
  <c r="P54" i="152"/>
  <c r="P50" i="152"/>
  <c r="P47" i="153"/>
  <c r="H20" i="145" a="1"/>
  <c r="H53" i="149" a="1"/>
  <c r="K57" i="153"/>
  <c r="K86" i="140"/>
  <c r="K59" i="153"/>
  <c r="K112" i="140"/>
  <c r="O61" i="153"/>
  <c r="O134" i="140"/>
  <c r="O56" i="153"/>
  <c r="O75" i="140"/>
  <c r="Q56" i="153"/>
  <c r="Q75" i="140"/>
  <c r="P70" i="153"/>
  <c r="P135" i="140"/>
  <c r="P65" i="153"/>
  <c r="P76" i="140"/>
  <c r="N66" i="153"/>
  <c r="N87" i="140"/>
  <c r="N67" i="153"/>
  <c r="N102" i="140"/>
  <c r="M61" i="153"/>
  <c r="M134" i="140"/>
  <c r="J135" i="140"/>
  <c r="J70" i="153"/>
  <c r="J68" i="153"/>
  <c r="J113" i="140"/>
  <c r="Q66" i="153"/>
  <c r="Q87" i="140"/>
  <c r="Q124" i="140"/>
  <c r="Q69" i="153"/>
  <c r="O68" i="153"/>
  <c r="O113" i="140"/>
  <c r="J60" i="153"/>
  <c r="J123" i="140"/>
  <c r="J55" i="153"/>
  <c r="J64" i="140"/>
  <c r="N60" i="153"/>
  <c r="N123" i="140"/>
  <c r="N56" i="153"/>
  <c r="N75" i="140"/>
  <c r="H111" i="136" a="1"/>
  <c r="H111" i="136" s="1"/>
  <c r="H117" i="136" s="1"/>
  <c r="R103" i="140" l="1"/>
  <c r="R32" i="151" s="1"/>
  <c r="R153" i="151" s="1"/>
  <c r="W125" i="140"/>
  <c r="W189" i="142" s="1"/>
  <c r="R125" i="140"/>
  <c r="R189" i="142" s="1"/>
  <c r="S125" i="140"/>
  <c r="S189" i="142" s="1"/>
  <c r="U136" i="140"/>
  <c r="U35" i="151" s="1"/>
  <c r="U156" i="151" s="1"/>
  <c r="V103" i="140"/>
  <c r="V32" i="151" s="1"/>
  <c r="V153" i="151" s="1"/>
  <c r="W114" i="140"/>
  <c r="W33" i="151" s="1"/>
  <c r="W88" i="140"/>
  <c r="W58" i="142" s="1"/>
  <c r="S77" i="140"/>
  <c r="S30" i="151" s="1"/>
  <c r="S151" i="151" s="1"/>
  <c r="T136" i="140"/>
  <c r="T35" i="151" s="1"/>
  <c r="T156" i="151" s="1"/>
  <c r="V136" i="140"/>
  <c r="V35" i="151" s="1"/>
  <c r="V156" i="151" s="1"/>
  <c r="K125" i="140"/>
  <c r="K189" i="142" s="1"/>
  <c r="X66" i="140"/>
  <c r="X29" i="151" s="1"/>
  <c r="X150" i="151" s="1"/>
  <c r="Y66" i="140"/>
  <c r="Y29" i="151" s="1"/>
  <c r="Y150" i="151" s="1"/>
  <c r="J125" i="140"/>
  <c r="J34" i="151" s="1"/>
  <c r="J136" i="140"/>
  <c r="J35" i="151" s="1"/>
  <c r="J156" i="151" s="1"/>
  <c r="A4" i="136"/>
  <c r="J40" i="55"/>
  <c r="J77" i="140"/>
  <c r="J30" i="151" s="1"/>
  <c r="N136" i="140"/>
  <c r="N35" i="151" s="1"/>
  <c r="N156" i="151" s="1"/>
  <c r="P114" i="140"/>
  <c r="P33" i="151" s="1"/>
  <c r="L114" i="140"/>
  <c r="L33" i="151" s="1"/>
  <c r="V66" i="140"/>
  <c r="V31" i="141" s="1"/>
  <c r="S88" i="140"/>
  <c r="S33" i="141" s="1"/>
  <c r="R114" i="140"/>
  <c r="R188" i="142" s="1"/>
  <c r="T88" i="140"/>
  <c r="T58" i="142" s="1"/>
  <c r="V77" i="140"/>
  <c r="V57" i="142" s="1"/>
  <c r="S136" i="140"/>
  <c r="S35" i="151" s="1"/>
  <c r="S156" i="151" s="1"/>
  <c r="W136" i="140"/>
  <c r="W35" i="151" s="1"/>
  <c r="W156" i="151" s="1"/>
  <c r="R136" i="140"/>
  <c r="R35" i="151" s="1"/>
  <c r="R156" i="151" s="1"/>
  <c r="V88" i="140"/>
  <c r="S103" i="140"/>
  <c r="S18" i="150" s="1"/>
  <c r="W103" i="140"/>
  <c r="W18" i="150" s="1"/>
  <c r="W66" i="140"/>
  <c r="W56" i="142" s="1"/>
  <c r="R16" i="143"/>
  <c r="U56" i="142"/>
  <c r="U31" i="141"/>
  <c r="U29" i="151"/>
  <c r="U150" i="151" s="1"/>
  <c r="W34" i="151"/>
  <c r="X125" i="140"/>
  <c r="U88" i="140"/>
  <c r="Y136" i="140"/>
  <c r="Y35" i="151" s="1"/>
  <c r="Y156" i="151" s="1"/>
  <c r="R66" i="140"/>
  <c r="X136" i="140"/>
  <c r="X35" i="151" s="1"/>
  <c r="X156" i="151" s="1"/>
  <c r="T103" i="140"/>
  <c r="U77" i="140"/>
  <c r="V16" i="143"/>
  <c r="Y77" i="140"/>
  <c r="W188" i="142"/>
  <c r="X88" i="140"/>
  <c r="T114" i="140"/>
  <c r="U103" i="140"/>
  <c r="V114" i="140"/>
  <c r="S66" i="140"/>
  <c r="R33" i="141"/>
  <c r="R58" i="142"/>
  <c r="R31" i="151"/>
  <c r="R152" i="151" s="1"/>
  <c r="X32" i="151"/>
  <c r="X153" i="151" s="1"/>
  <c r="X16" i="143"/>
  <c r="X18" i="150"/>
  <c r="U33" i="151"/>
  <c r="U188" i="142"/>
  <c r="Y58" i="142"/>
  <c r="Y33" i="141"/>
  <c r="Y31" i="151"/>
  <c r="Y152" i="151" s="1"/>
  <c r="R34" i="151"/>
  <c r="X114" i="140"/>
  <c r="T77" i="140"/>
  <c r="U125" i="140"/>
  <c r="Y125" i="140"/>
  <c r="W77" i="140"/>
  <c r="T66" i="140"/>
  <c r="Y103" i="140"/>
  <c r="R77" i="140"/>
  <c r="X77" i="140"/>
  <c r="T125" i="140"/>
  <c r="V125" i="140"/>
  <c r="S114" i="140"/>
  <c r="Y114" i="140"/>
  <c r="H56" i="148"/>
  <c r="S165" i="148" s="1"/>
  <c r="S200" i="148" s="1"/>
  <c r="S230" i="148" s="1"/>
  <c r="Q125" i="140"/>
  <c r="Q189" i="142" s="1"/>
  <c r="H51" i="148"/>
  <c r="U160" i="148" s="1"/>
  <c r="U195" i="148" s="1"/>
  <c r="U225" i="148" s="1"/>
  <c r="J54" i="152"/>
  <c r="J60" i="152" s="1"/>
  <c r="J66" i="140"/>
  <c r="J31" i="141" s="1"/>
  <c r="P136" i="140"/>
  <c r="P35" i="151" s="1"/>
  <c r="P156" i="151" s="1"/>
  <c r="M114" i="140"/>
  <c r="M188" i="142" s="1"/>
  <c r="O125" i="140"/>
  <c r="O189" i="142" s="1"/>
  <c r="N66" i="140"/>
  <c r="N56" i="142" s="1"/>
  <c r="N125" i="140"/>
  <c r="N189" i="142" s="1"/>
  <c r="J47" i="153"/>
  <c r="H57" i="148"/>
  <c r="V166" i="148" s="1"/>
  <c r="V201" i="148" s="1"/>
  <c r="V231" i="148" s="1"/>
  <c r="H55" i="148"/>
  <c r="T164" i="148" s="1"/>
  <c r="T199" i="148" s="1"/>
  <c r="T229" i="148" s="1"/>
  <c r="H58" i="148"/>
  <c r="R167" i="148" s="1"/>
  <c r="R202" i="148" s="1"/>
  <c r="R232" i="148" s="1"/>
  <c r="H52" i="148"/>
  <c r="W161" i="148" s="1"/>
  <c r="W196" i="148" s="1"/>
  <c r="W226" i="148" s="1"/>
  <c r="P88" i="140"/>
  <c r="P31" i="151" s="1"/>
  <c r="Q103" i="140"/>
  <c r="Q32" i="151" s="1"/>
  <c r="O114" i="140"/>
  <c r="O33" i="151" s="1"/>
  <c r="H53" i="148"/>
  <c r="Y162" i="148" s="1"/>
  <c r="Y197" i="148" s="1"/>
  <c r="Y227" i="148" s="1"/>
  <c r="L66" i="140"/>
  <c r="L56" i="142" s="1"/>
  <c r="K66" i="140"/>
  <c r="K29" i="151" s="1"/>
  <c r="K103" i="140"/>
  <c r="K18" i="150" s="1"/>
  <c r="L103" i="140"/>
  <c r="L18" i="150" s="1"/>
  <c r="M77" i="140"/>
  <c r="M57" i="142" s="1"/>
  <c r="O60" i="152"/>
  <c r="Q88" i="140"/>
  <c r="Q33" i="141" s="1"/>
  <c r="P60" i="152"/>
  <c r="K88" i="140"/>
  <c r="K33" i="141" s="1"/>
  <c r="L88" i="140"/>
  <c r="L33" i="141" s="1"/>
  <c r="Q66" i="140"/>
  <c r="Q31" i="141" s="1"/>
  <c r="K114" i="140"/>
  <c r="K33" i="151" s="1"/>
  <c r="K136" i="140"/>
  <c r="K35" i="151" s="1"/>
  <c r="K156" i="151" s="1"/>
  <c r="N114" i="140"/>
  <c r="H59" i="149"/>
  <c r="H55" i="149"/>
  <c r="H54" i="149"/>
  <c r="H60" i="149"/>
  <c r="H53" i="149"/>
  <c r="H58" i="149"/>
  <c r="H56" i="149"/>
  <c r="H57" i="149"/>
  <c r="M136" i="140"/>
  <c r="M35" i="151" s="1"/>
  <c r="L136" i="140"/>
  <c r="L35" i="151" s="1"/>
  <c r="N60" i="152"/>
  <c r="O77" i="140"/>
  <c r="Q114" i="140"/>
  <c r="O103" i="140"/>
  <c r="L77" i="140"/>
  <c r="M125" i="140"/>
  <c r="N77" i="140"/>
  <c r="H20" i="145"/>
  <c r="H22" i="145"/>
  <c r="H25" i="145"/>
  <c r="H27" i="145"/>
  <c r="H21" i="145"/>
  <c r="H26" i="145"/>
  <c r="H24" i="145"/>
  <c r="H23" i="145"/>
  <c r="P77" i="140"/>
  <c r="L125" i="140"/>
  <c r="H52" i="152"/>
  <c r="H76" i="154" s="1"/>
  <c r="H118" i="154" s="1"/>
  <c r="N88" i="140"/>
  <c r="J88" i="140"/>
  <c r="Q156" i="151"/>
  <c r="J103" i="140"/>
  <c r="P125" i="140"/>
  <c r="L60" i="152"/>
  <c r="N103" i="140"/>
  <c r="O66" i="140"/>
  <c r="P66" i="140"/>
  <c r="R163" i="148"/>
  <c r="R198" i="148" s="1"/>
  <c r="R228" i="148" s="1"/>
  <c r="Y163" i="148"/>
  <c r="Y198" i="148" s="1"/>
  <c r="Y228" i="148" s="1"/>
  <c r="S163" i="148"/>
  <c r="S198" i="148" s="1"/>
  <c r="S228" i="148" s="1"/>
  <c r="U163" i="148"/>
  <c r="U198" i="148" s="1"/>
  <c r="U228" i="148" s="1"/>
  <c r="V163" i="148"/>
  <c r="V198" i="148" s="1"/>
  <c r="V228" i="148" s="1"/>
  <c r="W163" i="148"/>
  <c r="W198" i="148" s="1"/>
  <c r="W228" i="148" s="1"/>
  <c r="T163" i="148"/>
  <c r="T198" i="148" s="1"/>
  <c r="T228" i="148" s="1"/>
  <c r="X163" i="148"/>
  <c r="X198" i="148" s="1"/>
  <c r="X228" i="148" s="1"/>
  <c r="J114" i="140"/>
  <c r="O88" i="140"/>
  <c r="M103" i="140"/>
  <c r="P103" i="140"/>
  <c r="K77" i="140"/>
  <c r="P188" i="142"/>
  <c r="M66" i="140"/>
  <c r="Q77" i="140"/>
  <c r="M88" i="140"/>
  <c r="O136" i="140"/>
  <c r="O35" i="151" s="1"/>
  <c r="AV122" i="151"/>
  <c r="AF122" i="151"/>
  <c r="P122" i="151"/>
  <c r="AU122" i="151"/>
  <c r="AE122" i="151"/>
  <c r="O122" i="151"/>
  <c r="AK122" i="151"/>
  <c r="AX122" i="151"/>
  <c r="R122" i="151"/>
  <c r="AO122" i="151"/>
  <c r="AL122" i="151"/>
  <c r="AT122" i="151"/>
  <c r="AN122" i="151"/>
  <c r="T122" i="151"/>
  <c r="AQ122" i="151"/>
  <c r="W122" i="151"/>
  <c r="AS122" i="151"/>
  <c r="AP122" i="151"/>
  <c r="BE122" i="151"/>
  <c r="Q122" i="151"/>
  <c r="N122" i="151"/>
  <c r="AZ122" i="151"/>
  <c r="BC122" i="151"/>
  <c r="K122" i="151"/>
  <c r="U122" i="151"/>
  <c r="AG122" i="151"/>
  <c r="BD122" i="151"/>
  <c r="AJ122" i="151"/>
  <c r="L122" i="151"/>
  <c r="AM122" i="151"/>
  <c r="S122" i="151"/>
  <c r="AC122" i="151"/>
  <c r="AH122" i="151"/>
  <c r="AW122" i="151"/>
  <c r="AD122" i="151"/>
  <c r="AB122" i="151"/>
  <c r="AI122" i="151"/>
  <c r="Z122" i="151"/>
  <c r="BB122" i="151"/>
  <c r="AA122" i="151"/>
  <c r="Y122" i="151"/>
  <c r="AR122" i="151"/>
  <c r="BA122" i="151"/>
  <c r="V122" i="151"/>
  <c r="X122" i="151"/>
  <c r="M122" i="151"/>
  <c r="AY122" i="151"/>
  <c r="J122" i="151"/>
  <c r="S32" i="141" l="1"/>
  <c r="J189" i="142"/>
  <c r="W31" i="151"/>
  <c r="W152" i="151" s="1"/>
  <c r="W33" i="141"/>
  <c r="S34" i="151"/>
  <c r="S56" i="151" s="1"/>
  <c r="V18" i="150"/>
  <c r="R18" i="150"/>
  <c r="K34" i="151"/>
  <c r="K155" i="151" s="1"/>
  <c r="W16" i="143"/>
  <c r="W27" i="143" s="1"/>
  <c r="W33" i="143" s="1"/>
  <c r="S57" i="142"/>
  <c r="Y56" i="142"/>
  <c r="Y92" i="140"/>
  <c r="Y17" i="143" s="1"/>
  <c r="Y31" i="141"/>
  <c r="V160" i="148"/>
  <c r="V195" i="148" s="1"/>
  <c r="V225" i="148" s="1"/>
  <c r="R33" i="151"/>
  <c r="R154" i="151" s="1"/>
  <c r="X56" i="142"/>
  <c r="X31" i="141"/>
  <c r="V92" i="140"/>
  <c r="V17" i="143" s="1"/>
  <c r="L188" i="142"/>
  <c r="N34" i="151"/>
  <c r="N155" i="151" s="1"/>
  <c r="W31" i="141"/>
  <c r="T33" i="141"/>
  <c r="S162" i="148"/>
  <c r="S197" i="148" s="1"/>
  <c r="S227" i="148" s="1"/>
  <c r="J32" i="141"/>
  <c r="V29" i="151"/>
  <c r="V150" i="151" s="1"/>
  <c r="W162" i="148"/>
  <c r="W197" i="148" s="1"/>
  <c r="W227" i="148" s="1"/>
  <c r="V31" i="151"/>
  <c r="V152" i="151" s="1"/>
  <c r="V32" i="141"/>
  <c r="S160" i="148"/>
  <c r="S195" i="148" s="1"/>
  <c r="S225" i="148" s="1"/>
  <c r="V58" i="142"/>
  <c r="O34" i="151"/>
  <c r="O155" i="151" s="1"/>
  <c r="U166" i="148"/>
  <c r="U201" i="148" s="1"/>
  <c r="U231" i="148" s="1"/>
  <c r="L58" i="142"/>
  <c r="T165" i="148"/>
  <c r="T200" i="148" s="1"/>
  <c r="T230" i="148" s="1"/>
  <c r="P58" i="142"/>
  <c r="W32" i="151"/>
  <c r="W153" i="151" s="1"/>
  <c r="V30" i="151"/>
  <c r="V151" i="151" s="1"/>
  <c r="Y165" i="148"/>
  <c r="Y200" i="148" s="1"/>
  <c r="Y230" i="148" s="1"/>
  <c r="U164" i="148"/>
  <c r="U199" i="148" s="1"/>
  <c r="U229" i="148" s="1"/>
  <c r="H56" i="152"/>
  <c r="H77" i="154" s="1"/>
  <c r="H119" i="154" s="1"/>
  <c r="R160" i="148"/>
  <c r="R195" i="148" s="1"/>
  <c r="R225" i="148" s="1"/>
  <c r="Y160" i="148"/>
  <c r="Y195" i="148" s="1"/>
  <c r="Y225" i="148" s="1"/>
  <c r="R162" i="148"/>
  <c r="R197" i="148" s="1"/>
  <c r="R227" i="148" s="1"/>
  <c r="T162" i="148"/>
  <c r="T197" i="148" s="1"/>
  <c r="T227" i="148" s="1"/>
  <c r="X160" i="148"/>
  <c r="X195" i="148" s="1"/>
  <c r="X225" i="148" s="1"/>
  <c r="W160" i="148"/>
  <c r="W195" i="148" s="1"/>
  <c r="W225" i="148" s="1"/>
  <c r="U162" i="148"/>
  <c r="U197" i="148" s="1"/>
  <c r="U227" i="148" s="1"/>
  <c r="X162" i="148"/>
  <c r="X197" i="148" s="1"/>
  <c r="X227" i="148" s="1"/>
  <c r="T160" i="148"/>
  <c r="T195" i="148" s="1"/>
  <c r="T225" i="148" s="1"/>
  <c r="K188" i="142"/>
  <c r="K191" i="142" s="1"/>
  <c r="K192" i="142" s="1"/>
  <c r="V162" i="148"/>
  <c r="V197" i="148" s="1"/>
  <c r="V227" i="148" s="1"/>
  <c r="S58" i="142"/>
  <c r="X165" i="148"/>
  <c r="X200" i="148" s="1"/>
  <c r="X230" i="148" s="1"/>
  <c r="L31" i="151"/>
  <c r="L84" i="151" s="1"/>
  <c r="AR103" i="151" s="1"/>
  <c r="W165" i="148"/>
  <c r="W200" i="148" s="1"/>
  <c r="W230" i="148" s="1"/>
  <c r="V165" i="148"/>
  <c r="V200" i="148" s="1"/>
  <c r="V230" i="148" s="1"/>
  <c r="R165" i="148"/>
  <c r="R200" i="148" s="1"/>
  <c r="R230" i="148" s="1"/>
  <c r="J57" i="142"/>
  <c r="K56" i="142"/>
  <c r="S16" i="143"/>
  <c r="S28" i="143" s="1"/>
  <c r="S34" i="143" s="1"/>
  <c r="V33" i="141"/>
  <c r="V56" i="142"/>
  <c r="V59" i="142" s="1"/>
  <c r="W191" i="142"/>
  <c r="W192" i="142" s="1"/>
  <c r="W202" i="142" s="1"/>
  <c r="W206" i="142" s="1"/>
  <c r="K31" i="141"/>
  <c r="U165" i="148"/>
  <c r="U200" i="148" s="1"/>
  <c r="U230" i="148" s="1"/>
  <c r="N29" i="151"/>
  <c r="N82" i="151" s="1"/>
  <c r="N103" i="151" s="1"/>
  <c r="J29" i="151"/>
  <c r="J82" i="151" s="1"/>
  <c r="J103" i="151" s="1"/>
  <c r="S164" i="148"/>
  <c r="S199" i="148" s="1"/>
  <c r="S229" i="148" s="1"/>
  <c r="S166" i="148"/>
  <c r="S201" i="148" s="1"/>
  <c r="S231" i="148" s="1"/>
  <c r="M30" i="151"/>
  <c r="M83" i="151" s="1"/>
  <c r="AC103" i="151" s="1"/>
  <c r="W92" i="140"/>
  <c r="W17" i="143" s="1"/>
  <c r="T31" i="151"/>
  <c r="T152" i="151" s="1"/>
  <c r="W29" i="151"/>
  <c r="W150" i="151" s="1"/>
  <c r="T167" i="148"/>
  <c r="T202" i="148" s="1"/>
  <c r="T232" i="148" s="1"/>
  <c r="S32" i="151"/>
  <c r="S153" i="151" s="1"/>
  <c r="S92" i="140"/>
  <c r="S17" i="143" s="1"/>
  <c r="U167" i="148"/>
  <c r="U202" i="148" s="1"/>
  <c r="U232" i="148" s="1"/>
  <c r="Q34" i="151"/>
  <c r="Q155" i="151" s="1"/>
  <c r="S31" i="151"/>
  <c r="S152" i="151" s="1"/>
  <c r="V34" i="151"/>
  <c r="V189" i="142"/>
  <c r="W32" i="141"/>
  <c r="W57" i="142"/>
  <c r="W59" i="142" s="1"/>
  <c r="W30" i="151"/>
  <c r="W151" i="151" s="1"/>
  <c r="U34" i="151"/>
  <c r="U189" i="142"/>
  <c r="U191" i="142" s="1"/>
  <c r="U192" i="142" s="1"/>
  <c r="R155" i="151"/>
  <c r="R56" i="151"/>
  <c r="S29" i="151"/>
  <c r="S150" i="151" s="1"/>
  <c r="S56" i="142"/>
  <c r="S31" i="141"/>
  <c r="S34" i="141" s="1"/>
  <c r="X92" i="140"/>
  <c r="X17" i="143" s="1"/>
  <c r="X31" i="151"/>
  <c r="X152" i="151" s="1"/>
  <c r="X33" i="141"/>
  <c r="X58" i="142"/>
  <c r="R191" i="142"/>
  <c r="R192" i="142" s="1"/>
  <c r="T189" i="142"/>
  <c r="T34" i="151"/>
  <c r="Y189" i="142"/>
  <c r="Y34" i="151"/>
  <c r="T30" i="151"/>
  <c r="T151" i="151" s="1"/>
  <c r="T32" i="141"/>
  <c r="T57" i="142"/>
  <c r="U154" i="151"/>
  <c r="U55" i="151"/>
  <c r="V33" i="151"/>
  <c r="V188" i="142"/>
  <c r="V27" i="143"/>
  <c r="V33" i="143" s="1"/>
  <c r="V28" i="143"/>
  <c r="V34" i="143" s="1"/>
  <c r="R29" i="151"/>
  <c r="R150" i="151" s="1"/>
  <c r="R56" i="142"/>
  <c r="R31" i="141"/>
  <c r="T92" i="140"/>
  <c r="T17" i="143" s="1"/>
  <c r="R27" i="143"/>
  <c r="R33" i="143" s="1"/>
  <c r="R28" i="143"/>
  <c r="R34" i="143" s="1"/>
  <c r="Y33" i="151"/>
  <c r="Y188" i="142"/>
  <c r="X30" i="151"/>
  <c r="X151" i="151" s="1"/>
  <c r="X57" i="142"/>
  <c r="X32" i="141"/>
  <c r="X188" i="142"/>
  <c r="X33" i="151"/>
  <c r="U18" i="150"/>
  <c r="U16" i="143"/>
  <c r="U32" i="151"/>
  <c r="U153" i="151" s="1"/>
  <c r="W154" i="151"/>
  <c r="W55" i="151"/>
  <c r="U30" i="151"/>
  <c r="U151" i="151" s="1"/>
  <c r="U57" i="142"/>
  <c r="U32" i="141"/>
  <c r="U33" i="141"/>
  <c r="U58" i="142"/>
  <c r="U92" i="140"/>
  <c r="U17" i="143" s="1"/>
  <c r="U31" i="151"/>
  <c r="U152" i="151" s="1"/>
  <c r="W155" i="151"/>
  <c r="W56" i="151"/>
  <c r="S33" i="151"/>
  <c r="S188" i="142"/>
  <c r="S191" i="142" s="1"/>
  <c r="S192" i="142" s="1"/>
  <c r="R30" i="151"/>
  <c r="R151" i="151" s="1"/>
  <c r="R57" i="142"/>
  <c r="R32" i="141"/>
  <c r="Y16" i="143"/>
  <c r="Y32" i="151"/>
  <c r="Y153" i="151" s="1"/>
  <c r="Y18" i="150"/>
  <c r="T56" i="142"/>
  <c r="T31" i="141"/>
  <c r="T29" i="151"/>
  <c r="T150" i="151" s="1"/>
  <c r="X27" i="143"/>
  <c r="X33" i="143" s="1"/>
  <c r="X28" i="143"/>
  <c r="X34" i="143" s="1"/>
  <c r="R92" i="140"/>
  <c r="R17" i="143" s="1"/>
  <c r="T188" i="142"/>
  <c r="T33" i="151"/>
  <c r="Y57" i="142"/>
  <c r="Y30" i="151"/>
  <c r="Y151" i="151" s="1"/>
  <c r="Y32" i="141"/>
  <c r="T18" i="150"/>
  <c r="T16" i="143"/>
  <c r="T32" i="151"/>
  <c r="T153" i="151" s="1"/>
  <c r="X189" i="142"/>
  <c r="X34" i="151"/>
  <c r="N31" i="141"/>
  <c r="O188" i="142"/>
  <c r="O191" i="142" s="1"/>
  <c r="O192" i="142" s="1"/>
  <c r="J56" i="142"/>
  <c r="P33" i="141"/>
  <c r="Y164" i="148"/>
  <c r="Y199" i="148" s="1"/>
  <c r="Y229" i="148" s="1"/>
  <c r="W164" i="148"/>
  <c r="W199" i="148" s="1"/>
  <c r="W229" i="148" s="1"/>
  <c r="R164" i="148"/>
  <c r="R199" i="148" s="1"/>
  <c r="R229" i="148" s="1"/>
  <c r="X164" i="148"/>
  <c r="X199" i="148" s="1"/>
  <c r="X229" i="148" s="1"/>
  <c r="K31" i="151"/>
  <c r="V164" i="148"/>
  <c r="V199" i="148" s="1"/>
  <c r="V229" i="148" s="1"/>
  <c r="L32" i="151"/>
  <c r="L153" i="151" s="1"/>
  <c r="Q16" i="143"/>
  <c r="Q27" i="143" s="1"/>
  <c r="M33" i="151"/>
  <c r="M154" i="151" s="1"/>
  <c r="L31" i="141"/>
  <c r="W167" i="148"/>
  <c r="W202" i="148" s="1"/>
  <c r="W232" i="148" s="1"/>
  <c r="S167" i="148"/>
  <c r="S202" i="148" s="1"/>
  <c r="S232" i="148" s="1"/>
  <c r="L16" i="143"/>
  <c r="L27" i="143" s="1"/>
  <c r="L33" i="143" s="1"/>
  <c r="Q18" i="150"/>
  <c r="L29" i="151"/>
  <c r="L82" i="151" s="1"/>
  <c r="L103" i="151" s="1"/>
  <c r="Q31" i="151"/>
  <c r="Q84" i="151" s="1"/>
  <c r="AW103" i="151" s="1"/>
  <c r="L92" i="140"/>
  <c r="L17" i="143" s="1"/>
  <c r="V167" i="148"/>
  <c r="V202" i="148" s="1"/>
  <c r="V232" i="148" s="1"/>
  <c r="Y167" i="148"/>
  <c r="Y202" i="148" s="1"/>
  <c r="Y232" i="148" s="1"/>
  <c r="X167" i="148"/>
  <c r="X202" i="148" s="1"/>
  <c r="X232" i="148" s="1"/>
  <c r="R166" i="148"/>
  <c r="R201" i="148" s="1"/>
  <c r="R231" i="148" s="1"/>
  <c r="S161" i="148"/>
  <c r="S196" i="148" s="1"/>
  <c r="S226" i="148" s="1"/>
  <c r="U161" i="148"/>
  <c r="U196" i="148" s="1"/>
  <c r="U226" i="148" s="1"/>
  <c r="K32" i="151"/>
  <c r="K153" i="151" s="1"/>
  <c r="T161" i="148"/>
  <c r="T196" i="148" s="1"/>
  <c r="T226" i="148" s="1"/>
  <c r="Y166" i="148"/>
  <c r="Y201" i="148" s="1"/>
  <c r="Y231" i="148" s="1"/>
  <c r="X166" i="148"/>
  <c r="X201" i="148" s="1"/>
  <c r="X231" i="148" s="1"/>
  <c r="T166" i="148"/>
  <c r="T201" i="148" s="1"/>
  <c r="T231" i="148" s="1"/>
  <c r="X161" i="148"/>
  <c r="X196" i="148" s="1"/>
  <c r="X226" i="148" s="1"/>
  <c r="Y161" i="148"/>
  <c r="Y196" i="148" s="1"/>
  <c r="Y226" i="148" s="1"/>
  <c r="M32" i="141"/>
  <c r="K16" i="143"/>
  <c r="K28" i="143" s="1"/>
  <c r="K34" i="143" s="1"/>
  <c r="V161" i="148"/>
  <c r="V196" i="148" s="1"/>
  <c r="V226" i="148" s="1"/>
  <c r="W166" i="148"/>
  <c r="W201" i="148" s="1"/>
  <c r="W231" i="148" s="1"/>
  <c r="R161" i="148"/>
  <c r="R196" i="148" s="1"/>
  <c r="R226" i="148" s="1"/>
  <c r="K58" i="142"/>
  <c r="Q58" i="142"/>
  <c r="Q29" i="151"/>
  <c r="Q82" i="151" s="1"/>
  <c r="Q103" i="151" s="1"/>
  <c r="H62" i="152"/>
  <c r="H64" i="152" s="1"/>
  <c r="Q56" i="142"/>
  <c r="K57" i="142"/>
  <c r="K30" i="151"/>
  <c r="K32" i="141"/>
  <c r="P31" i="141"/>
  <c r="P56" i="142"/>
  <c r="P29" i="151"/>
  <c r="P32" i="141"/>
  <c r="P57" i="142"/>
  <c r="P30" i="151"/>
  <c r="Q188" i="142"/>
  <c r="Q191" i="142" s="1"/>
  <c r="Q192" i="142" s="1"/>
  <c r="Q33" i="151"/>
  <c r="M156" i="151"/>
  <c r="K84" i="151"/>
  <c r="AQ103" i="151" s="1"/>
  <c r="L134" i="149"/>
  <c r="K134" i="149"/>
  <c r="N164" i="149"/>
  <c r="N224" i="149" s="1"/>
  <c r="O134" i="149"/>
  <c r="L164" i="149"/>
  <c r="L224" i="149" s="1"/>
  <c r="O164" i="149"/>
  <c r="O224" i="149" s="1"/>
  <c r="J164" i="149"/>
  <c r="J224" i="149" s="1"/>
  <c r="P134" i="149"/>
  <c r="J134" i="149"/>
  <c r="N134" i="149"/>
  <c r="M164" i="149"/>
  <c r="M224" i="149" s="1"/>
  <c r="Q164" i="149"/>
  <c r="Q224" i="149" s="1"/>
  <c r="M134" i="149"/>
  <c r="Q134" i="149"/>
  <c r="P164" i="149"/>
  <c r="P224" i="149" s="1"/>
  <c r="K164" i="149"/>
  <c r="K224" i="149" s="1"/>
  <c r="P140" i="149"/>
  <c r="L140" i="149"/>
  <c r="N170" i="149"/>
  <c r="N230" i="149" s="1"/>
  <c r="M170" i="149"/>
  <c r="M230" i="149" s="1"/>
  <c r="M140" i="149"/>
  <c r="K170" i="149"/>
  <c r="K230" i="149" s="1"/>
  <c r="J170" i="149"/>
  <c r="J230" i="149" s="1"/>
  <c r="Q170" i="149"/>
  <c r="Q230" i="149" s="1"/>
  <c r="P170" i="149"/>
  <c r="P230" i="149" s="1"/>
  <c r="L170" i="149"/>
  <c r="L230" i="149" s="1"/>
  <c r="O140" i="149"/>
  <c r="N140" i="149"/>
  <c r="J140" i="149"/>
  <c r="Q140" i="149"/>
  <c r="K140" i="149"/>
  <c r="O170" i="149"/>
  <c r="O230" i="149" s="1"/>
  <c r="N33" i="151"/>
  <c r="N188" i="142"/>
  <c r="N191" i="142" s="1"/>
  <c r="N192" i="142" s="1"/>
  <c r="O156" i="151"/>
  <c r="Q30" i="151"/>
  <c r="Q32" i="141"/>
  <c r="Q34" i="141" s="1"/>
  <c r="Q57" i="142"/>
  <c r="J155" i="151"/>
  <c r="J33" i="151"/>
  <c r="J188" i="142"/>
  <c r="J191" i="142" s="1"/>
  <c r="J192" i="142" s="1"/>
  <c r="J33" i="141"/>
  <c r="J58" i="142"/>
  <c r="J92" i="140"/>
  <c r="J17" i="143" s="1"/>
  <c r="J31" i="151"/>
  <c r="N131" i="145"/>
  <c r="N131" i="148" s="1"/>
  <c r="N201" i="148" s="1"/>
  <c r="N231" i="148" s="1"/>
  <c r="U131" i="145"/>
  <c r="O131" i="145"/>
  <c r="O131" i="148" s="1"/>
  <c r="O201" i="148" s="1"/>
  <c r="O231" i="148" s="1"/>
  <c r="X131" i="145"/>
  <c r="V131" i="145"/>
  <c r="K131" i="145"/>
  <c r="K131" i="148" s="1"/>
  <c r="K201" i="148" s="1"/>
  <c r="K231" i="148" s="1"/>
  <c r="Y131" i="145"/>
  <c r="M131" i="145"/>
  <c r="M131" i="148" s="1"/>
  <c r="M201" i="148" s="1"/>
  <c r="M231" i="148" s="1"/>
  <c r="Q131" i="145"/>
  <c r="Q131" i="148" s="1"/>
  <c r="Q201" i="148" s="1"/>
  <c r="Q231" i="148" s="1"/>
  <c r="R131" i="145"/>
  <c r="L131" i="145"/>
  <c r="L131" i="148" s="1"/>
  <c r="L201" i="148" s="1"/>
  <c r="L231" i="148" s="1"/>
  <c r="P131" i="145"/>
  <c r="P131" i="148" s="1"/>
  <c r="P201" i="148" s="1"/>
  <c r="P231" i="148" s="1"/>
  <c r="J131" i="145"/>
  <c r="J131" i="148" s="1"/>
  <c r="J201" i="148" s="1"/>
  <c r="J231" i="148" s="1"/>
  <c r="S131" i="145"/>
  <c r="T131" i="145"/>
  <c r="W131" i="145"/>
  <c r="V127" i="145"/>
  <c r="T127" i="145"/>
  <c r="Q127" i="145"/>
  <c r="Q127" i="148" s="1"/>
  <c r="Q197" i="148" s="1"/>
  <c r="Q227" i="148" s="1"/>
  <c r="N127" i="145"/>
  <c r="N127" i="148" s="1"/>
  <c r="N197" i="148" s="1"/>
  <c r="N227" i="148" s="1"/>
  <c r="P127" i="145"/>
  <c r="P127" i="148" s="1"/>
  <c r="P197" i="148" s="1"/>
  <c r="P227" i="148" s="1"/>
  <c r="S127" i="145"/>
  <c r="R127" i="145"/>
  <c r="X127" i="145"/>
  <c r="L127" i="145"/>
  <c r="L127" i="148" s="1"/>
  <c r="L197" i="148" s="1"/>
  <c r="L227" i="148" s="1"/>
  <c r="O127" i="145"/>
  <c r="O127" i="148" s="1"/>
  <c r="O197" i="148" s="1"/>
  <c r="O227" i="148" s="1"/>
  <c r="J127" i="145"/>
  <c r="J127" i="148" s="1"/>
  <c r="J197" i="148" s="1"/>
  <c r="J227" i="148" s="1"/>
  <c r="Y127" i="145"/>
  <c r="M127" i="145"/>
  <c r="M127" i="148" s="1"/>
  <c r="M197" i="148" s="1"/>
  <c r="M227" i="148" s="1"/>
  <c r="U127" i="145"/>
  <c r="K127" i="145"/>
  <c r="K127" i="148" s="1"/>
  <c r="K197" i="148" s="1"/>
  <c r="K227" i="148" s="1"/>
  <c r="W127" i="145"/>
  <c r="M189" i="142"/>
  <c r="M191" i="142" s="1"/>
  <c r="M192" i="142" s="1"/>
  <c r="M34" i="151"/>
  <c r="M155" i="151" s="1"/>
  <c r="O32" i="151"/>
  <c r="O16" i="143"/>
  <c r="O18" i="150"/>
  <c r="O32" i="141"/>
  <c r="O57" i="142"/>
  <c r="O30" i="151"/>
  <c r="M138" i="149"/>
  <c r="K168" i="149"/>
  <c r="K228" i="149" s="1"/>
  <c r="K138" i="149"/>
  <c r="L168" i="149"/>
  <c r="L228" i="149" s="1"/>
  <c r="N168" i="149"/>
  <c r="N228" i="149" s="1"/>
  <c r="Q168" i="149"/>
  <c r="Q228" i="149" s="1"/>
  <c r="J138" i="149"/>
  <c r="M168" i="149"/>
  <c r="M228" i="149" s="1"/>
  <c r="J168" i="149"/>
  <c r="J228" i="149" s="1"/>
  <c r="O138" i="149"/>
  <c r="P168" i="149"/>
  <c r="P228" i="149" s="1"/>
  <c r="N138" i="149"/>
  <c r="O168" i="149"/>
  <c r="O228" i="149" s="1"/>
  <c r="Q138" i="149"/>
  <c r="L138" i="149"/>
  <c r="P138" i="149"/>
  <c r="P92" i="140"/>
  <c r="P17" i="143" s="1"/>
  <c r="K82" i="151"/>
  <c r="K103" i="151" s="1"/>
  <c r="M56" i="142"/>
  <c r="M29" i="151"/>
  <c r="M31" i="141"/>
  <c r="P154" i="151"/>
  <c r="K154" i="151"/>
  <c r="P18" i="150"/>
  <c r="P32" i="151"/>
  <c r="P153" i="151" s="1"/>
  <c r="P16" i="143"/>
  <c r="J32" i="151"/>
  <c r="J16" i="143"/>
  <c r="J18" i="150"/>
  <c r="N31" i="151"/>
  <c r="N58" i="142"/>
  <c r="N33" i="141"/>
  <c r="N92" i="140"/>
  <c r="N17" i="143" s="1"/>
  <c r="N126" i="145"/>
  <c r="N126" i="148" s="1"/>
  <c r="N196" i="148" s="1"/>
  <c r="N226" i="148" s="1"/>
  <c r="P126" i="145"/>
  <c r="P126" i="148" s="1"/>
  <c r="P196" i="148" s="1"/>
  <c r="P226" i="148" s="1"/>
  <c r="S126" i="145"/>
  <c r="V126" i="145"/>
  <c r="T126" i="145"/>
  <c r="R126" i="145"/>
  <c r="X126" i="145"/>
  <c r="Q126" i="145"/>
  <c r="Q126" i="148" s="1"/>
  <c r="Q196" i="148" s="1"/>
  <c r="Q226" i="148" s="1"/>
  <c r="U126" i="145"/>
  <c r="W126" i="145"/>
  <c r="J126" i="145"/>
  <c r="J126" i="148" s="1"/>
  <c r="J196" i="148" s="1"/>
  <c r="J226" i="148" s="1"/>
  <c r="Y126" i="145"/>
  <c r="M126" i="145"/>
  <c r="M126" i="148" s="1"/>
  <c r="M196" i="148" s="1"/>
  <c r="M226" i="148" s="1"/>
  <c r="L126" i="145"/>
  <c r="L126" i="148" s="1"/>
  <c r="L196" i="148" s="1"/>
  <c r="L226" i="148" s="1"/>
  <c r="O126" i="145"/>
  <c r="O126" i="148" s="1"/>
  <c r="O196" i="148" s="1"/>
  <c r="O226" i="148" s="1"/>
  <c r="K126" i="145"/>
  <c r="K126" i="148" s="1"/>
  <c r="K196" i="148" s="1"/>
  <c r="K226" i="148" s="1"/>
  <c r="V125" i="145"/>
  <c r="T125" i="145"/>
  <c r="Q125" i="145"/>
  <c r="Q125" i="148" s="1"/>
  <c r="Q195" i="148" s="1"/>
  <c r="Q225" i="148" s="1"/>
  <c r="N125" i="145"/>
  <c r="N125" i="148" s="1"/>
  <c r="N195" i="148" s="1"/>
  <c r="N225" i="148" s="1"/>
  <c r="P125" i="145"/>
  <c r="P125" i="148" s="1"/>
  <c r="P195" i="148" s="1"/>
  <c r="P225" i="148" s="1"/>
  <c r="S125" i="145"/>
  <c r="R125" i="145"/>
  <c r="X125" i="145"/>
  <c r="L125" i="145"/>
  <c r="L125" i="148" s="1"/>
  <c r="L195" i="148" s="1"/>
  <c r="L225" i="148" s="1"/>
  <c r="U125" i="145"/>
  <c r="J125" i="145"/>
  <c r="J125" i="148" s="1"/>
  <c r="J195" i="148" s="1"/>
  <c r="J225" i="148" s="1"/>
  <c r="Y125" i="145"/>
  <c r="M125" i="145"/>
  <c r="M125" i="148" s="1"/>
  <c r="M195" i="148" s="1"/>
  <c r="M225" i="148" s="1"/>
  <c r="O125" i="145"/>
  <c r="O125" i="148" s="1"/>
  <c r="O195" i="148" s="1"/>
  <c r="O225" i="148" s="1"/>
  <c r="K125" i="145"/>
  <c r="K125" i="148" s="1"/>
  <c r="K195" i="148" s="1"/>
  <c r="K225" i="148" s="1"/>
  <c r="W125" i="145"/>
  <c r="O154" i="151"/>
  <c r="N30" i="151"/>
  <c r="N32" i="141"/>
  <c r="N57" i="142"/>
  <c r="L30" i="151"/>
  <c r="L32" i="141"/>
  <c r="L57" i="142"/>
  <c r="N137" i="149"/>
  <c r="L137" i="149"/>
  <c r="P167" i="149"/>
  <c r="P227" i="149" s="1"/>
  <c r="J167" i="149"/>
  <c r="J227" i="149" s="1"/>
  <c r="L167" i="149"/>
  <c r="L227" i="149" s="1"/>
  <c r="P137" i="149"/>
  <c r="J137" i="149"/>
  <c r="Q137" i="149"/>
  <c r="K137" i="149"/>
  <c r="N167" i="149"/>
  <c r="N227" i="149" s="1"/>
  <c r="O137" i="149"/>
  <c r="O167" i="149"/>
  <c r="O227" i="149" s="1"/>
  <c r="M167" i="149"/>
  <c r="M227" i="149" s="1"/>
  <c r="K167" i="149"/>
  <c r="K227" i="149" s="1"/>
  <c r="Q167" i="149"/>
  <c r="Q227" i="149" s="1"/>
  <c r="M137" i="149"/>
  <c r="M165" i="149"/>
  <c r="M225" i="149" s="1"/>
  <c r="P165" i="149"/>
  <c r="P225" i="149" s="1"/>
  <c r="L165" i="149"/>
  <c r="L225" i="149" s="1"/>
  <c r="J165" i="149"/>
  <c r="J225" i="149" s="1"/>
  <c r="L135" i="149"/>
  <c r="P135" i="149"/>
  <c r="N135" i="149"/>
  <c r="N165" i="149"/>
  <c r="N225" i="149" s="1"/>
  <c r="O165" i="149"/>
  <c r="O225" i="149" s="1"/>
  <c r="Q135" i="149"/>
  <c r="O135" i="149"/>
  <c r="M135" i="149"/>
  <c r="K165" i="149"/>
  <c r="K225" i="149" s="1"/>
  <c r="Q165" i="149"/>
  <c r="Q225" i="149" s="1"/>
  <c r="J135" i="149"/>
  <c r="K135" i="149"/>
  <c r="J83" i="151"/>
  <c r="Z103" i="151" s="1"/>
  <c r="Q153" i="151"/>
  <c r="M33" i="141"/>
  <c r="M92" i="140"/>
  <c r="M17" i="143" s="1"/>
  <c r="M58" i="142"/>
  <c r="M31" i="151"/>
  <c r="O58" i="142"/>
  <c r="O31" i="151"/>
  <c r="O33" i="141"/>
  <c r="O92" i="140"/>
  <c r="O17" i="143" s="1"/>
  <c r="N32" i="151"/>
  <c r="N18" i="150"/>
  <c r="N16" i="143"/>
  <c r="P34" i="151"/>
  <c r="P189" i="142"/>
  <c r="P191" i="142" s="1"/>
  <c r="P192" i="142" s="1"/>
  <c r="V129" i="145"/>
  <c r="T129" i="145"/>
  <c r="Q129" i="145"/>
  <c r="Q129" i="148" s="1"/>
  <c r="Q199" i="148" s="1"/>
  <c r="Q229" i="148" s="1"/>
  <c r="N129" i="145"/>
  <c r="N129" i="148" s="1"/>
  <c r="N199" i="148" s="1"/>
  <c r="N229" i="148" s="1"/>
  <c r="P129" i="145"/>
  <c r="P129" i="148" s="1"/>
  <c r="P199" i="148" s="1"/>
  <c r="P229" i="148" s="1"/>
  <c r="S129" i="145"/>
  <c r="R129" i="145"/>
  <c r="X129" i="145"/>
  <c r="L129" i="145"/>
  <c r="L129" i="148" s="1"/>
  <c r="L199" i="148" s="1"/>
  <c r="L229" i="148" s="1"/>
  <c r="O129" i="145"/>
  <c r="O129" i="148" s="1"/>
  <c r="O199" i="148" s="1"/>
  <c r="O229" i="148" s="1"/>
  <c r="J129" i="145"/>
  <c r="J129" i="148" s="1"/>
  <c r="J199" i="148" s="1"/>
  <c r="J229" i="148" s="1"/>
  <c r="Y129" i="145"/>
  <c r="M129" i="145"/>
  <c r="M129" i="148" s="1"/>
  <c r="M199" i="148" s="1"/>
  <c r="M229" i="148" s="1"/>
  <c r="W129" i="145"/>
  <c r="U129" i="145"/>
  <c r="K129" i="145"/>
  <c r="K129" i="148" s="1"/>
  <c r="K199" i="148" s="1"/>
  <c r="K229" i="148" s="1"/>
  <c r="N130" i="145"/>
  <c r="N130" i="148" s="1"/>
  <c r="N200" i="148" s="1"/>
  <c r="N230" i="148" s="1"/>
  <c r="P130" i="145"/>
  <c r="P130" i="148" s="1"/>
  <c r="P200" i="148" s="1"/>
  <c r="P230" i="148" s="1"/>
  <c r="S130" i="145"/>
  <c r="V130" i="145"/>
  <c r="T130" i="145"/>
  <c r="Q130" i="145"/>
  <c r="Q130" i="148" s="1"/>
  <c r="Q200" i="148" s="1"/>
  <c r="Q230" i="148" s="1"/>
  <c r="J130" i="145"/>
  <c r="J130" i="148" s="1"/>
  <c r="J200" i="148" s="1"/>
  <c r="J230" i="148" s="1"/>
  <c r="Y130" i="145"/>
  <c r="M130" i="145"/>
  <c r="M130" i="148" s="1"/>
  <c r="M200" i="148" s="1"/>
  <c r="M230" i="148" s="1"/>
  <c r="U130" i="145"/>
  <c r="O130" i="145"/>
  <c r="O130" i="148" s="1"/>
  <c r="O200" i="148" s="1"/>
  <c r="O230" i="148" s="1"/>
  <c r="K130" i="145"/>
  <c r="K130" i="148" s="1"/>
  <c r="K200" i="148" s="1"/>
  <c r="K230" i="148" s="1"/>
  <c r="W130" i="145"/>
  <c r="R130" i="145"/>
  <c r="X130" i="145"/>
  <c r="L130" i="145"/>
  <c r="L130" i="148" s="1"/>
  <c r="L200" i="148" s="1"/>
  <c r="L230" i="148" s="1"/>
  <c r="L154" i="151"/>
  <c r="M32" i="151"/>
  <c r="M16" i="143"/>
  <c r="M18" i="150"/>
  <c r="O56" i="142"/>
  <c r="O31" i="141"/>
  <c r="O29" i="151"/>
  <c r="L189" i="142"/>
  <c r="L34" i="151"/>
  <c r="L155" i="151" s="1"/>
  <c r="V128" i="145"/>
  <c r="T128" i="145"/>
  <c r="Q128" i="145"/>
  <c r="Q128" i="148" s="1"/>
  <c r="Q198" i="148" s="1"/>
  <c r="Q228" i="148" s="1"/>
  <c r="N128" i="145"/>
  <c r="N128" i="148" s="1"/>
  <c r="N198" i="148" s="1"/>
  <c r="N228" i="148" s="1"/>
  <c r="P128" i="145"/>
  <c r="P128" i="148" s="1"/>
  <c r="P198" i="148" s="1"/>
  <c r="P228" i="148" s="1"/>
  <c r="S128" i="145"/>
  <c r="R128" i="145"/>
  <c r="X128" i="145"/>
  <c r="L128" i="145"/>
  <c r="L128" i="148" s="1"/>
  <c r="L198" i="148" s="1"/>
  <c r="L228" i="148" s="1"/>
  <c r="O128" i="145"/>
  <c r="O128" i="148" s="1"/>
  <c r="O198" i="148" s="1"/>
  <c r="O228" i="148" s="1"/>
  <c r="J128" i="145"/>
  <c r="J128" i="148" s="1"/>
  <c r="J198" i="148" s="1"/>
  <c r="J228" i="148" s="1"/>
  <c r="Y128" i="145"/>
  <c r="M128" i="145"/>
  <c r="M128" i="148" s="1"/>
  <c r="M198" i="148" s="1"/>
  <c r="M228" i="148" s="1"/>
  <c r="W128" i="145"/>
  <c r="U128" i="145"/>
  <c r="K128" i="145"/>
  <c r="K128" i="148" s="1"/>
  <c r="K198" i="148" s="1"/>
  <c r="K228" i="148" s="1"/>
  <c r="N132" i="145"/>
  <c r="N132" i="148" s="1"/>
  <c r="N202" i="148" s="1"/>
  <c r="N232" i="148" s="1"/>
  <c r="U132" i="145"/>
  <c r="O132" i="145"/>
  <c r="O132" i="148" s="1"/>
  <c r="O202" i="148" s="1"/>
  <c r="O232" i="148" s="1"/>
  <c r="X132" i="145"/>
  <c r="V132" i="145"/>
  <c r="K132" i="145"/>
  <c r="K132" i="148" s="1"/>
  <c r="K202" i="148" s="1"/>
  <c r="K232" i="148" s="1"/>
  <c r="Y132" i="145"/>
  <c r="M132" i="145"/>
  <c r="M132" i="148" s="1"/>
  <c r="M202" i="148" s="1"/>
  <c r="M232" i="148" s="1"/>
  <c r="Q132" i="145"/>
  <c r="Q132" i="148" s="1"/>
  <c r="Q202" i="148" s="1"/>
  <c r="Q232" i="148" s="1"/>
  <c r="J132" i="145"/>
  <c r="J132" i="148" s="1"/>
  <c r="J202" i="148" s="1"/>
  <c r="J232" i="148" s="1"/>
  <c r="S132" i="145"/>
  <c r="T132" i="145"/>
  <c r="W132" i="145"/>
  <c r="P132" i="145"/>
  <c r="P132" i="148" s="1"/>
  <c r="P202" i="148" s="1"/>
  <c r="P232" i="148" s="1"/>
  <c r="R132" i="145"/>
  <c r="L132" i="145"/>
  <c r="L132" i="148" s="1"/>
  <c r="L202" i="148" s="1"/>
  <c r="L232" i="148" s="1"/>
  <c r="Q92" i="140"/>
  <c r="Q17" i="143" s="1"/>
  <c r="Q29" i="143" s="1"/>
  <c r="L156" i="151"/>
  <c r="K92" i="140"/>
  <c r="K17" i="143" s="1"/>
  <c r="O139" i="149"/>
  <c r="N169" i="149"/>
  <c r="N229" i="149" s="1"/>
  <c r="P139" i="149"/>
  <c r="N139" i="149"/>
  <c r="K139" i="149"/>
  <c r="M139" i="149"/>
  <c r="P169" i="149"/>
  <c r="P229" i="149" s="1"/>
  <c r="Q139" i="149"/>
  <c r="K169" i="149"/>
  <c r="K229" i="149" s="1"/>
  <c r="M169" i="149"/>
  <c r="M229" i="149" s="1"/>
  <c r="L139" i="149"/>
  <c r="Q169" i="149"/>
  <c r="Q229" i="149" s="1"/>
  <c r="L169" i="149"/>
  <c r="L229" i="149" s="1"/>
  <c r="O169" i="149"/>
  <c r="O229" i="149" s="1"/>
  <c r="J169" i="149"/>
  <c r="J229" i="149" s="1"/>
  <c r="J139" i="149"/>
  <c r="N166" i="149"/>
  <c r="N226" i="149" s="1"/>
  <c r="O136" i="149"/>
  <c r="J136" i="149"/>
  <c r="K136" i="149"/>
  <c r="P136" i="149"/>
  <c r="Q136" i="149"/>
  <c r="K166" i="149"/>
  <c r="K226" i="149" s="1"/>
  <c r="L166" i="149"/>
  <c r="L226" i="149" s="1"/>
  <c r="M166" i="149"/>
  <c r="M226" i="149" s="1"/>
  <c r="O166" i="149"/>
  <c r="O226" i="149" s="1"/>
  <c r="M136" i="149"/>
  <c r="J166" i="149"/>
  <c r="J226" i="149" s="1"/>
  <c r="Q166" i="149"/>
  <c r="Q226" i="149" s="1"/>
  <c r="L136" i="149"/>
  <c r="N136" i="149"/>
  <c r="P166" i="149"/>
  <c r="P226" i="149" s="1"/>
  <c r="P84" i="151"/>
  <c r="AV103" i="151" s="1"/>
  <c r="S155" i="151" l="1"/>
  <c r="W28" i="143"/>
  <c r="W34" i="143" s="1"/>
  <c r="Y34" i="141"/>
  <c r="Y50" i="141" s="1"/>
  <c r="W241" i="142"/>
  <c r="R55" i="151"/>
  <c r="V34" i="141"/>
  <c r="V49" i="141" s="1"/>
  <c r="W255" i="142"/>
  <c r="Y59" i="142"/>
  <c r="X59" i="142"/>
  <c r="L191" i="142"/>
  <c r="L192" i="142" s="1"/>
  <c r="L244" i="142" s="1"/>
  <c r="L59" i="142"/>
  <c r="L200" i="142" s="1"/>
  <c r="L204" i="142" s="1"/>
  <c r="W245" i="142"/>
  <c r="W244" i="142"/>
  <c r="W34" i="141"/>
  <c r="W50" i="141" s="1"/>
  <c r="W243" i="142"/>
  <c r="W239" i="142"/>
  <c r="W254" i="142"/>
  <c r="W259" i="142"/>
  <c r="Q28" i="143"/>
  <c r="Q34" i="143" s="1"/>
  <c r="J59" i="142"/>
  <c r="J200" i="142" s="1"/>
  <c r="J20" i="150" s="1"/>
  <c r="L28" i="143"/>
  <c r="L34" i="143" s="1"/>
  <c r="K34" i="141"/>
  <c r="K71" i="141" s="1"/>
  <c r="K73" i="141" s="1"/>
  <c r="H66" i="152" a="1"/>
  <c r="H66" i="152" s="1"/>
  <c r="A4" i="152" s="1"/>
  <c r="W258" i="142"/>
  <c r="W252" i="142"/>
  <c r="W242" i="142"/>
  <c r="W253" i="142"/>
  <c r="W256" i="142"/>
  <c r="W257" i="142"/>
  <c r="W246" i="142"/>
  <c r="W240" i="142"/>
  <c r="T34" i="141"/>
  <c r="T50" i="141" s="1"/>
  <c r="S59" i="142"/>
  <c r="S27" i="143"/>
  <c r="S33" i="143" s="1"/>
  <c r="K27" i="143"/>
  <c r="K33" i="143" s="1"/>
  <c r="T191" i="142"/>
  <c r="T192" i="142" s="1"/>
  <c r="T202" i="142" s="1"/>
  <c r="T206" i="142" s="1"/>
  <c r="T59" i="142"/>
  <c r="Y191" i="142"/>
  <c r="Y192" i="142" s="1"/>
  <c r="Y246" i="142" s="1"/>
  <c r="X34" i="141"/>
  <c r="X48" i="141" s="1"/>
  <c r="X54" i="141" s="1"/>
  <c r="X93" i="141" s="1"/>
  <c r="O202" i="142"/>
  <c r="O244" i="142"/>
  <c r="O246" i="142"/>
  <c r="U34" i="141"/>
  <c r="U48" i="141" s="1"/>
  <c r="U54" i="141" s="1"/>
  <c r="U93" i="141" s="1"/>
  <c r="V191" i="142"/>
  <c r="V192" i="142" s="1"/>
  <c r="V253" i="142" s="1"/>
  <c r="R59" i="142"/>
  <c r="U59" i="142"/>
  <c r="Y48" i="141"/>
  <c r="Y54" i="141" s="1"/>
  <c r="Y93" i="141" s="1"/>
  <c r="Y49" i="141"/>
  <c r="T28" i="143"/>
  <c r="T34" i="143" s="1"/>
  <c r="T27" i="143"/>
  <c r="T33" i="143" s="1"/>
  <c r="S154" i="151"/>
  <c r="S55" i="151"/>
  <c r="X154" i="151"/>
  <c r="X55" i="151"/>
  <c r="R34" i="141"/>
  <c r="S50" i="141"/>
  <c r="S49" i="141"/>
  <c r="S48" i="141"/>
  <c r="S54" i="141" s="1"/>
  <c r="S93" i="141" s="1"/>
  <c r="X155" i="151"/>
  <c r="X56" i="151"/>
  <c r="T154" i="151"/>
  <c r="T55" i="151"/>
  <c r="X191" i="142"/>
  <c r="X192" i="142" s="1"/>
  <c r="Y155" i="151"/>
  <c r="Y56" i="151"/>
  <c r="T155" i="151"/>
  <c r="T56" i="151"/>
  <c r="Y154" i="151"/>
  <c r="Y55" i="151"/>
  <c r="V155" i="151"/>
  <c r="V56" i="151"/>
  <c r="V50" i="141"/>
  <c r="Y28" i="143"/>
  <c r="Y34" i="143" s="1"/>
  <c r="Y27" i="143"/>
  <c r="Y33" i="143" s="1"/>
  <c r="S202" i="142"/>
  <c r="S206" i="142" s="1"/>
  <c r="S255" i="142"/>
  <c r="S242" i="142"/>
  <c r="S258" i="142"/>
  <c r="S253" i="142"/>
  <c r="S245" i="142"/>
  <c r="S259" i="142"/>
  <c r="S257" i="142"/>
  <c r="S246" i="142"/>
  <c r="S256" i="142"/>
  <c r="S252" i="142"/>
  <c r="S254" i="142"/>
  <c r="S241" i="142"/>
  <c r="S244" i="142"/>
  <c r="S243" i="142"/>
  <c r="S240" i="142"/>
  <c r="S239" i="142"/>
  <c r="U27" i="143"/>
  <c r="U33" i="143" s="1"/>
  <c r="U28" i="143"/>
  <c r="U34" i="143" s="1"/>
  <c r="V154" i="151"/>
  <c r="V55" i="151"/>
  <c r="R202" i="142"/>
  <c r="R206" i="142" s="1"/>
  <c r="R244" i="142"/>
  <c r="R255" i="142"/>
  <c r="R257" i="142"/>
  <c r="R258" i="142"/>
  <c r="R240" i="142"/>
  <c r="R245" i="142"/>
  <c r="R246" i="142"/>
  <c r="R259" i="142"/>
  <c r="R253" i="142"/>
  <c r="R242" i="142"/>
  <c r="R243" i="142"/>
  <c r="R239" i="142"/>
  <c r="R256" i="142"/>
  <c r="R252" i="142"/>
  <c r="R254" i="142"/>
  <c r="R241" i="142"/>
  <c r="U202" i="142"/>
  <c r="U206" i="142" s="1"/>
  <c r="U240" i="142"/>
  <c r="U255" i="142"/>
  <c r="U258" i="142"/>
  <c r="U257" i="142"/>
  <c r="U239" i="142"/>
  <c r="U259" i="142"/>
  <c r="U246" i="142"/>
  <c r="U242" i="142"/>
  <c r="U252" i="142"/>
  <c r="U253" i="142"/>
  <c r="U256" i="142"/>
  <c r="U241" i="142"/>
  <c r="U244" i="142"/>
  <c r="U245" i="142"/>
  <c r="U243" i="142"/>
  <c r="U254" i="142"/>
  <c r="U155" i="151"/>
  <c r="U56" i="151"/>
  <c r="O239" i="142"/>
  <c r="O243" i="142"/>
  <c r="O241" i="142"/>
  <c r="O242" i="142"/>
  <c r="O245" i="142"/>
  <c r="O240" i="142"/>
  <c r="K59" i="142"/>
  <c r="K200" i="142" s="1"/>
  <c r="K20" i="150" s="1"/>
  <c r="Q59" i="142"/>
  <c r="Q200" i="142" s="1"/>
  <c r="Q20" i="150" s="1"/>
  <c r="N34" i="141"/>
  <c r="N49" i="141" s="1"/>
  <c r="W129" i="150"/>
  <c r="W132" i="150" s="1"/>
  <c r="U129" i="150"/>
  <c r="U133" i="150" s="1"/>
  <c r="P129" i="150"/>
  <c r="P133" i="150" s="1"/>
  <c r="T129" i="150"/>
  <c r="T133" i="150" s="1"/>
  <c r="O34" i="141"/>
  <c r="O49" i="141" s="1"/>
  <c r="Q129" i="150"/>
  <c r="Q132" i="150" s="1"/>
  <c r="K129" i="150"/>
  <c r="K132" i="150" s="1"/>
  <c r="M260" i="142"/>
  <c r="M257" i="142"/>
  <c r="M253" i="142"/>
  <c r="M259" i="142"/>
  <c r="M255" i="142"/>
  <c r="M202" i="142"/>
  <c r="M206" i="142" s="1"/>
  <c r="M258" i="142"/>
  <c r="M256" i="142"/>
  <c r="M254" i="142"/>
  <c r="M252" i="142"/>
  <c r="M239" i="142"/>
  <c r="M244" i="142"/>
  <c r="M241" i="142"/>
  <c r="M246" i="142"/>
  <c r="M243" i="142"/>
  <c r="M242" i="142"/>
  <c r="M245" i="142"/>
  <c r="M240" i="142"/>
  <c r="P202" i="142"/>
  <c r="P241" i="142"/>
  <c r="P245" i="142"/>
  <c r="P246" i="142"/>
  <c r="P240" i="142"/>
  <c r="P242" i="142"/>
  <c r="P239" i="142"/>
  <c r="P244" i="142"/>
  <c r="P243" i="142"/>
  <c r="P196" i="149"/>
  <c r="P266" i="149"/>
  <c r="P29" i="150" s="1"/>
  <c r="K199" i="149"/>
  <c r="K269" i="149"/>
  <c r="K32" i="150" s="1"/>
  <c r="L265" i="149"/>
  <c r="L28" i="150" s="1"/>
  <c r="L195" i="149"/>
  <c r="N198" i="149"/>
  <c r="N268" i="149"/>
  <c r="N31" i="150" s="1"/>
  <c r="J84" i="151"/>
  <c r="AP103" i="151" s="1"/>
  <c r="K196" i="149"/>
  <c r="K266" i="149"/>
  <c r="K29" i="150" s="1"/>
  <c r="J199" i="149"/>
  <c r="J269" i="149"/>
  <c r="J32" i="150" s="1"/>
  <c r="Q269" i="149"/>
  <c r="Q32" i="150" s="1"/>
  <c r="Q199" i="149"/>
  <c r="N269" i="149"/>
  <c r="N32" i="150" s="1"/>
  <c r="N199" i="149"/>
  <c r="O59" i="142"/>
  <c r="O200" i="142" s="1"/>
  <c r="N27" i="143"/>
  <c r="N33" i="143" s="1"/>
  <c r="N28" i="143"/>
  <c r="N34" i="143" s="1"/>
  <c r="K265" i="149"/>
  <c r="K28" i="150" s="1"/>
  <c r="K195" i="149"/>
  <c r="M265" i="149"/>
  <c r="M28" i="150" s="1"/>
  <c r="M195" i="149"/>
  <c r="M267" i="149"/>
  <c r="M30" i="150" s="1"/>
  <c r="M197" i="149"/>
  <c r="Q197" i="149"/>
  <c r="Q267" i="149"/>
  <c r="Q30" i="150" s="1"/>
  <c r="N129" i="150"/>
  <c r="X129" i="150"/>
  <c r="Y129" i="150"/>
  <c r="L83" i="151"/>
  <c r="AB103" i="151" s="1"/>
  <c r="N59" i="142"/>
  <c r="N200" i="142" s="1"/>
  <c r="N256" i="142" s="1"/>
  <c r="J27" i="143"/>
  <c r="J33" i="143" s="1"/>
  <c r="J28" i="143"/>
  <c r="J34" i="143" s="1"/>
  <c r="M34" i="141"/>
  <c r="M71" i="141" s="1"/>
  <c r="M73" i="141" s="1"/>
  <c r="L268" i="149"/>
  <c r="L31" i="150" s="1"/>
  <c r="L198" i="149"/>
  <c r="J268" i="149"/>
  <c r="J31" i="150" s="1"/>
  <c r="J198" i="149"/>
  <c r="K198" i="149"/>
  <c r="K268" i="149"/>
  <c r="K31" i="150" s="1"/>
  <c r="Q83" i="151"/>
  <c r="AG103" i="151" s="1"/>
  <c r="J200" i="149"/>
  <c r="J270" i="149"/>
  <c r="J33" i="150" s="1"/>
  <c r="M200" i="149"/>
  <c r="M270" i="149"/>
  <c r="M33" i="150" s="1"/>
  <c r="P270" i="149"/>
  <c r="P33" i="150" s="1"/>
  <c r="P200" i="149"/>
  <c r="Q264" i="149"/>
  <c r="Q27" i="150" s="1"/>
  <c r="Q194" i="149"/>
  <c r="N194" i="149"/>
  <c r="N264" i="149"/>
  <c r="N27" i="150" s="1"/>
  <c r="K264" i="149"/>
  <c r="K27" i="150" s="1"/>
  <c r="K194" i="149"/>
  <c r="P83" i="151"/>
  <c r="AF103" i="151" s="1"/>
  <c r="P82" i="151"/>
  <c r="P103" i="151" s="1"/>
  <c r="K83" i="151"/>
  <c r="AA103" i="151" s="1"/>
  <c r="O199" i="149"/>
  <c r="O269" i="149"/>
  <c r="O32" i="150" s="1"/>
  <c r="P155" i="151"/>
  <c r="N267" i="149"/>
  <c r="N30" i="150" s="1"/>
  <c r="N197" i="149"/>
  <c r="L129" i="150"/>
  <c r="J129" i="150"/>
  <c r="P268" i="149"/>
  <c r="P31" i="150" s="1"/>
  <c r="P198" i="149"/>
  <c r="N196" i="149"/>
  <c r="N266" i="149"/>
  <c r="N29" i="150" s="1"/>
  <c r="M196" i="149"/>
  <c r="M266" i="149"/>
  <c r="M29" i="150" s="1"/>
  <c r="J196" i="149"/>
  <c r="J266" i="149"/>
  <c r="J29" i="150" s="1"/>
  <c r="L199" i="149"/>
  <c r="L269" i="149"/>
  <c r="L32" i="150" s="1"/>
  <c r="P269" i="149"/>
  <c r="P32" i="150" s="1"/>
  <c r="P199" i="149"/>
  <c r="M27" i="143"/>
  <c r="M33" i="143" s="1"/>
  <c r="M28" i="143"/>
  <c r="M34" i="143" s="1"/>
  <c r="K202" i="142"/>
  <c r="K206" i="142" s="1"/>
  <c r="K257" i="142"/>
  <c r="K253" i="142"/>
  <c r="K260" i="142"/>
  <c r="K256" i="142"/>
  <c r="K252" i="142"/>
  <c r="K254" i="142"/>
  <c r="K259" i="142"/>
  <c r="K258" i="142"/>
  <c r="K255" i="142"/>
  <c r="K244" i="142"/>
  <c r="K246" i="142"/>
  <c r="K239" i="142"/>
  <c r="K242" i="142"/>
  <c r="K243" i="142"/>
  <c r="K245" i="142"/>
  <c r="K240" i="142"/>
  <c r="K241" i="142"/>
  <c r="O84" i="151"/>
  <c r="AU103" i="151" s="1"/>
  <c r="J195" i="149"/>
  <c r="J265" i="149"/>
  <c r="J28" i="150" s="1"/>
  <c r="O195" i="149"/>
  <c r="O265" i="149"/>
  <c r="O28" i="150" s="1"/>
  <c r="N265" i="149"/>
  <c r="N28" i="150" s="1"/>
  <c r="N195" i="149"/>
  <c r="O267" i="149"/>
  <c r="O30" i="150" s="1"/>
  <c r="O197" i="149"/>
  <c r="J267" i="149"/>
  <c r="J30" i="150" s="1"/>
  <c r="J197" i="149"/>
  <c r="R129" i="150"/>
  <c r="S129" i="150"/>
  <c r="M129" i="150"/>
  <c r="J153" i="151"/>
  <c r="P27" i="143"/>
  <c r="P33" i="143" s="1"/>
  <c r="P28" i="143"/>
  <c r="P34" i="143" s="1"/>
  <c r="M82" i="151"/>
  <c r="M103" i="151" s="1"/>
  <c r="Q33" i="143"/>
  <c r="H140" i="140" a="1"/>
  <c r="H140" i="140" s="1"/>
  <c r="Q198" i="149"/>
  <c r="Q268" i="149"/>
  <c r="Q31" i="150" s="1"/>
  <c r="O198" i="149"/>
  <c r="O268" i="149"/>
  <c r="O31" i="150" s="1"/>
  <c r="O83" i="151"/>
  <c r="AE103" i="151" s="1"/>
  <c r="O28" i="143"/>
  <c r="O34" i="143" s="1"/>
  <c r="O27" i="143"/>
  <c r="O33" i="143" s="1"/>
  <c r="J202" i="142"/>
  <c r="J242" i="142"/>
  <c r="J244" i="142"/>
  <c r="J246" i="142"/>
  <c r="J243" i="142"/>
  <c r="J240" i="142"/>
  <c r="J239" i="142"/>
  <c r="J245" i="142"/>
  <c r="J241" i="142"/>
  <c r="N202" i="142"/>
  <c r="N241" i="142"/>
  <c r="N245" i="142"/>
  <c r="N246" i="142"/>
  <c r="N243" i="142"/>
  <c r="N242" i="142"/>
  <c r="N239" i="142"/>
  <c r="N240" i="142"/>
  <c r="N244" i="142"/>
  <c r="N200" i="149"/>
  <c r="N270" i="149"/>
  <c r="N33" i="150" s="1"/>
  <c r="M194" i="149"/>
  <c r="M264" i="149"/>
  <c r="M27" i="150" s="1"/>
  <c r="J264" i="149"/>
  <c r="J27" i="150" s="1"/>
  <c r="J194" i="149"/>
  <c r="L194" i="149"/>
  <c r="L264" i="149"/>
  <c r="L27" i="150" s="1"/>
  <c r="Q154" i="151"/>
  <c r="P59" i="142"/>
  <c r="P200" i="142" s="1"/>
  <c r="P258" i="142" s="1"/>
  <c r="Q50" i="141"/>
  <c r="Q48" i="141"/>
  <c r="Q54" i="141" s="1"/>
  <c r="Q93" i="141" s="1"/>
  <c r="Q49" i="141"/>
  <c r="K197" i="149"/>
  <c r="K267" i="149"/>
  <c r="K30" i="150" s="1"/>
  <c r="Q200" i="149"/>
  <c r="Q270" i="149"/>
  <c r="Q33" i="150" s="1"/>
  <c r="L200" i="149"/>
  <c r="L270" i="149"/>
  <c r="L33" i="150" s="1"/>
  <c r="L196" i="149"/>
  <c r="L266" i="149"/>
  <c r="L29" i="150" s="1"/>
  <c r="Q266" i="149"/>
  <c r="Q29" i="150" s="1"/>
  <c r="Q196" i="149"/>
  <c r="O196" i="149"/>
  <c r="O266" i="149"/>
  <c r="O29" i="150" s="1"/>
  <c r="M269" i="149"/>
  <c r="M32" i="150" s="1"/>
  <c r="M199" i="149"/>
  <c r="L34" i="141"/>
  <c r="L71" i="141" s="1"/>
  <c r="L73" i="141" s="1"/>
  <c r="O82" i="151"/>
  <c r="O103" i="151" s="1"/>
  <c r="M153" i="151"/>
  <c r="N153" i="151"/>
  <c r="M84" i="151"/>
  <c r="AS103" i="151" s="1"/>
  <c r="Q195" i="149"/>
  <c r="Q265" i="149"/>
  <c r="Q28" i="150" s="1"/>
  <c r="P265" i="149"/>
  <c r="P28" i="150" s="1"/>
  <c r="P195" i="149"/>
  <c r="P197" i="149"/>
  <c r="P267" i="149"/>
  <c r="P30" i="150" s="1"/>
  <c r="L267" i="149"/>
  <c r="L30" i="150" s="1"/>
  <c r="L197" i="149"/>
  <c r="V129" i="150"/>
  <c r="O129" i="150"/>
  <c r="N83" i="151"/>
  <c r="AD103" i="151" s="1"/>
  <c r="N84" i="151"/>
  <c r="AT103" i="151" s="1"/>
  <c r="M59" i="142"/>
  <c r="M200" i="142" s="1"/>
  <c r="M20" i="150" s="1"/>
  <c r="L241" i="142"/>
  <c r="M268" i="149"/>
  <c r="M31" i="150" s="1"/>
  <c r="M198" i="149"/>
  <c r="O153" i="151"/>
  <c r="J34" i="141"/>
  <c r="J71" i="141" s="1"/>
  <c r="J73" i="141" s="1"/>
  <c r="J154" i="151"/>
  <c r="N154" i="151"/>
  <c r="K200" i="149"/>
  <c r="K270" i="149"/>
  <c r="K33" i="150" s="1"/>
  <c r="O270" i="149"/>
  <c r="O33" i="150" s="1"/>
  <c r="O200" i="149"/>
  <c r="P194" i="149"/>
  <c r="P264" i="149"/>
  <c r="P27" i="150" s="1"/>
  <c r="O194" i="149"/>
  <c r="O264" i="149"/>
  <c r="O27" i="150" s="1"/>
  <c r="Q202" i="142"/>
  <c r="Q241" i="142"/>
  <c r="Q245" i="142"/>
  <c r="Q240" i="142"/>
  <c r="Q244" i="142"/>
  <c r="Q246" i="142"/>
  <c r="Q242" i="142"/>
  <c r="Q239" i="142"/>
  <c r="Q243" i="142"/>
  <c r="P34" i="141"/>
  <c r="J256" i="142" l="1"/>
  <c r="J257" i="142"/>
  <c r="J255" i="142"/>
  <c r="V245" i="142"/>
  <c r="T252" i="142"/>
  <c r="T241" i="142"/>
  <c r="T259" i="142"/>
  <c r="J259" i="142"/>
  <c r="J252" i="142"/>
  <c r="T253" i="142"/>
  <c r="J254" i="142"/>
  <c r="J258" i="142"/>
  <c r="J253" i="142"/>
  <c r="J204" i="142"/>
  <c r="J206" i="142" s="1"/>
  <c r="T239" i="142"/>
  <c r="V48" i="141"/>
  <c r="V54" i="141" s="1"/>
  <c r="V93" i="141" s="1"/>
  <c r="V299" i="141" s="1"/>
  <c r="T243" i="142"/>
  <c r="T246" i="142"/>
  <c r="L20" i="150"/>
  <c r="L74" i="150" s="1"/>
  <c r="L254" i="142"/>
  <c r="L243" i="142"/>
  <c r="L256" i="142"/>
  <c r="L257" i="142"/>
  <c r="L255" i="142"/>
  <c r="L252" i="142"/>
  <c r="L258" i="142"/>
  <c r="L245" i="142"/>
  <c r="L239" i="142"/>
  <c r="L246" i="142"/>
  <c r="L240" i="142"/>
  <c r="L202" i="142"/>
  <c r="L206" i="142" s="1"/>
  <c r="W49" i="141"/>
  <c r="L259" i="142"/>
  <c r="L242" i="142"/>
  <c r="L253" i="142"/>
  <c r="N258" i="142"/>
  <c r="N254" i="142"/>
  <c r="N259" i="142"/>
  <c r="N253" i="142"/>
  <c r="N252" i="142"/>
  <c r="N255" i="142"/>
  <c r="N257" i="142"/>
  <c r="W48" i="141"/>
  <c r="W54" i="141" s="1"/>
  <c r="W93" i="141" s="1"/>
  <c r="W296" i="141" s="1"/>
  <c r="Q256" i="142"/>
  <c r="Q252" i="142"/>
  <c r="Q253" i="142"/>
  <c r="Q204" i="142"/>
  <c r="Q206" i="142" s="1"/>
  <c r="Q257" i="142"/>
  <c r="Q258" i="142"/>
  <c r="T48" i="141"/>
  <c r="T54" i="141" s="1"/>
  <c r="T93" i="141" s="1"/>
  <c r="T277" i="141" s="1"/>
  <c r="K75" i="150"/>
  <c r="T258" i="142"/>
  <c r="T49" i="141"/>
  <c r="T254" i="142"/>
  <c r="T256" i="142"/>
  <c r="T242" i="142"/>
  <c r="T240" i="142"/>
  <c r="T245" i="142"/>
  <c r="T257" i="142"/>
  <c r="T255" i="142"/>
  <c r="T244" i="142"/>
  <c r="N48" i="141"/>
  <c r="N54" i="141" s="1"/>
  <c r="N93" i="141" s="1"/>
  <c r="N300" i="141" s="1"/>
  <c r="Q259" i="142"/>
  <c r="Q255" i="142"/>
  <c r="Q254" i="142"/>
  <c r="K69" i="141"/>
  <c r="K133" i="150"/>
  <c r="Y244" i="142"/>
  <c r="X50" i="141"/>
  <c r="J56" i="55"/>
  <c r="U50" i="141"/>
  <c r="U49" i="141"/>
  <c r="T132" i="150"/>
  <c r="Y242" i="142"/>
  <c r="Y259" i="142"/>
  <c r="Y257" i="142"/>
  <c r="N50" i="141"/>
  <c r="Y241" i="142"/>
  <c r="Y256" i="142"/>
  <c r="Y253" i="142"/>
  <c r="Y252" i="142"/>
  <c r="Y239" i="142"/>
  <c r="Y258" i="142"/>
  <c r="Y245" i="142"/>
  <c r="Y202" i="142"/>
  <c r="Y206" i="142" s="1"/>
  <c r="Y243" i="142"/>
  <c r="Y254" i="142"/>
  <c r="Y255" i="142"/>
  <c r="Y240" i="142"/>
  <c r="A4" i="140"/>
  <c r="J44" i="55"/>
  <c r="V239" i="142"/>
  <c r="V243" i="142"/>
  <c r="X49" i="141"/>
  <c r="V246" i="142"/>
  <c r="V254" i="142"/>
  <c r="V256" i="142"/>
  <c r="V244" i="142"/>
  <c r="V255" i="142"/>
  <c r="V202" i="142"/>
  <c r="V206" i="142" s="1"/>
  <c r="K78" i="150"/>
  <c r="Q74" i="150"/>
  <c r="K74" i="150"/>
  <c r="K77" i="150"/>
  <c r="V258" i="142"/>
  <c r="V241" i="142"/>
  <c r="V240" i="142"/>
  <c r="V242" i="142"/>
  <c r="V257" i="142"/>
  <c r="V252" i="142"/>
  <c r="V259" i="142"/>
  <c r="V283" i="141"/>
  <c r="X202" i="142"/>
  <c r="X206" i="142" s="1"/>
  <c r="X239" i="142"/>
  <c r="X253" i="142"/>
  <c r="X255" i="142"/>
  <c r="X242" i="142"/>
  <c r="X259" i="142"/>
  <c r="X246" i="142"/>
  <c r="X240" i="142"/>
  <c r="X244" i="142"/>
  <c r="X254" i="142"/>
  <c r="X258" i="142"/>
  <c r="X257" i="142"/>
  <c r="X243" i="142"/>
  <c r="X241" i="142"/>
  <c r="X256" i="142"/>
  <c r="X245" i="142"/>
  <c r="X252" i="142"/>
  <c r="R49" i="141"/>
  <c r="R48" i="141"/>
  <c r="R54" i="141" s="1"/>
  <c r="R93" i="141" s="1"/>
  <c r="R50" i="141"/>
  <c r="U279" i="141"/>
  <c r="U296" i="141"/>
  <c r="U280" i="141"/>
  <c r="U299" i="141"/>
  <c r="U278" i="141"/>
  <c r="U273" i="141"/>
  <c r="U284" i="141"/>
  <c r="U277" i="141"/>
  <c r="U272" i="141"/>
  <c r="U295" i="141"/>
  <c r="U276" i="141"/>
  <c r="U301" i="141"/>
  <c r="U283" i="141"/>
  <c r="U302" i="141"/>
  <c r="U297" i="141"/>
  <c r="U298" i="141"/>
  <c r="U285" i="141"/>
  <c r="U291" i="141"/>
  <c r="U289" i="141"/>
  <c r="U294" i="141"/>
  <c r="U274" i="141"/>
  <c r="U275" i="141"/>
  <c r="U300" i="141"/>
  <c r="U286" i="141"/>
  <c r="U287" i="141"/>
  <c r="U288" i="141"/>
  <c r="U290" i="141"/>
  <c r="S280" i="141"/>
  <c r="S278" i="141"/>
  <c r="S290" i="141"/>
  <c r="S272" i="141"/>
  <c r="S297" i="141"/>
  <c r="S277" i="141"/>
  <c r="S289" i="141"/>
  <c r="S295" i="141"/>
  <c r="S301" i="141"/>
  <c r="S279" i="141"/>
  <c r="S298" i="141"/>
  <c r="S273" i="141"/>
  <c r="S276" i="141"/>
  <c r="S286" i="141"/>
  <c r="S302" i="141"/>
  <c r="S294" i="141"/>
  <c r="S296" i="141"/>
  <c r="S275" i="141"/>
  <c r="S288" i="141"/>
  <c r="S285" i="141"/>
  <c r="S274" i="141"/>
  <c r="S284" i="141"/>
  <c r="S287" i="141"/>
  <c r="S299" i="141"/>
  <c r="S291" i="141"/>
  <c r="S300" i="141"/>
  <c r="S283" i="141"/>
  <c r="X284" i="141"/>
  <c r="X295" i="141"/>
  <c r="X297" i="141"/>
  <c r="X300" i="141"/>
  <c r="X272" i="141"/>
  <c r="X275" i="141"/>
  <c r="X286" i="141"/>
  <c r="X289" i="141"/>
  <c r="X285" i="141"/>
  <c r="X299" i="141"/>
  <c r="X296" i="141"/>
  <c r="X279" i="141"/>
  <c r="X276" i="141"/>
  <c r="X290" i="141"/>
  <c r="X294" i="141"/>
  <c r="X283" i="141"/>
  <c r="X288" i="141"/>
  <c r="X302" i="141"/>
  <c r="X280" i="141"/>
  <c r="X291" i="141"/>
  <c r="X298" i="141"/>
  <c r="X301" i="141"/>
  <c r="X287" i="141"/>
  <c r="X277" i="141"/>
  <c r="X278" i="141"/>
  <c r="X274" i="141"/>
  <c r="X273" i="141"/>
  <c r="Y288" i="141"/>
  <c r="Y279" i="141"/>
  <c r="Y287" i="141"/>
  <c r="Y286" i="141"/>
  <c r="Y301" i="141"/>
  <c r="Y302" i="141"/>
  <c r="Y272" i="141"/>
  <c r="Y283" i="141"/>
  <c r="Y275" i="141"/>
  <c r="Y291" i="141"/>
  <c r="Y280" i="141"/>
  <c r="Y294" i="141"/>
  <c r="Y276" i="141"/>
  <c r="Y290" i="141"/>
  <c r="Y285" i="141"/>
  <c r="Y274" i="141"/>
  <c r="Y278" i="141"/>
  <c r="Y284" i="141"/>
  <c r="Y277" i="141"/>
  <c r="Y289" i="141"/>
  <c r="Y299" i="141"/>
  <c r="Y295" i="141"/>
  <c r="Y297" i="141"/>
  <c r="Y296" i="141"/>
  <c r="Y273" i="141"/>
  <c r="Y300" i="141"/>
  <c r="Y298" i="141"/>
  <c r="K72" i="150"/>
  <c r="K76" i="150"/>
  <c r="K73" i="150"/>
  <c r="W133" i="150"/>
  <c r="O50" i="141"/>
  <c r="O48" i="141"/>
  <c r="O54" i="141" s="1"/>
  <c r="O93" i="141" s="1"/>
  <c r="O298" i="141" s="1"/>
  <c r="P132" i="150"/>
  <c r="J77" i="150"/>
  <c r="J75" i="150"/>
  <c r="Q133" i="150"/>
  <c r="J74" i="150"/>
  <c r="J76" i="150"/>
  <c r="J73" i="150"/>
  <c r="Q78" i="150"/>
  <c r="M76" i="150"/>
  <c r="K44" i="141"/>
  <c r="K50" i="141" s="1"/>
  <c r="U132" i="150"/>
  <c r="K79" i="141"/>
  <c r="K85" i="141" s="1"/>
  <c r="J79" i="141"/>
  <c r="J85" i="141" s="1"/>
  <c r="L79" i="141"/>
  <c r="L85" i="141" s="1"/>
  <c r="M79" i="141"/>
  <c r="M85" i="141" s="1"/>
  <c r="J44" i="141"/>
  <c r="J50" i="141" s="1"/>
  <c r="M43" i="141"/>
  <c r="M49" i="141" s="1"/>
  <c r="J78" i="150"/>
  <c r="M133" i="150"/>
  <c r="M132" i="150"/>
  <c r="J133" i="150"/>
  <c r="J132" i="150"/>
  <c r="Q72" i="150"/>
  <c r="N20" i="150"/>
  <c r="N75" i="150" s="1"/>
  <c r="N204" i="142"/>
  <c r="N206" i="142" s="1"/>
  <c r="X133" i="150"/>
  <c r="X132" i="150"/>
  <c r="O20" i="150"/>
  <c r="O72" i="150" s="1"/>
  <c r="O204" i="142"/>
  <c r="O206" i="142" s="1"/>
  <c r="O255" i="142"/>
  <c r="O253" i="142"/>
  <c r="O256" i="142"/>
  <c r="O258" i="142"/>
  <c r="O257" i="142"/>
  <c r="O254" i="142"/>
  <c r="O259" i="142"/>
  <c r="O252" i="142"/>
  <c r="P253" i="142"/>
  <c r="P259" i="142"/>
  <c r="Q77" i="150"/>
  <c r="J72" i="150"/>
  <c r="P256" i="142"/>
  <c r="P254" i="142"/>
  <c r="O74" i="150"/>
  <c r="M72" i="150"/>
  <c r="J69" i="141"/>
  <c r="J43" i="141"/>
  <c r="J49" i="141" s="1"/>
  <c r="J42" i="141"/>
  <c r="J48" i="141" s="1"/>
  <c r="J54" i="141" s="1"/>
  <c r="O133" i="150"/>
  <c r="O132" i="150"/>
  <c r="Q73" i="150"/>
  <c r="L69" i="141"/>
  <c r="L42" i="141"/>
  <c r="L48" i="141" s="1"/>
  <c r="L54" i="141" s="1"/>
  <c r="M44" i="141"/>
  <c r="M50" i="141" s="1"/>
  <c r="L43" i="141"/>
  <c r="L49" i="141" s="1"/>
  <c r="Q289" i="141"/>
  <c r="Q301" i="141"/>
  <c r="Q291" i="141"/>
  <c r="Q275" i="141"/>
  <c r="Q283" i="141"/>
  <c r="Q299" i="141"/>
  <c r="Q272" i="141"/>
  <c r="Q273" i="141"/>
  <c r="Q280" i="141"/>
  <c r="Q286" i="141"/>
  <c r="Q277" i="141"/>
  <c r="Q295" i="141"/>
  <c r="Q288" i="141"/>
  <c r="Q300" i="141"/>
  <c r="Q274" i="141"/>
  <c r="Q279" i="141"/>
  <c r="Q294" i="141"/>
  <c r="Q285" i="141"/>
  <c r="Q297" i="141"/>
  <c r="Q298" i="141"/>
  <c r="Q296" i="141"/>
  <c r="Q290" i="141"/>
  <c r="Q287" i="141"/>
  <c r="Q302" i="141"/>
  <c r="Q276" i="141"/>
  <c r="Q278" i="141"/>
  <c r="Q284" i="141"/>
  <c r="S133" i="150"/>
  <c r="S132" i="150"/>
  <c r="M74" i="150"/>
  <c r="L133" i="150"/>
  <c r="L132" i="150"/>
  <c r="K42" i="141"/>
  <c r="K48" i="141" s="1"/>
  <c r="K54" i="141" s="1"/>
  <c r="H34" i="143"/>
  <c r="U74" i="144" s="1"/>
  <c r="U76" i="144" s="1"/>
  <c r="N133" i="150"/>
  <c r="N132" i="150"/>
  <c r="M75" i="150"/>
  <c r="V133" i="150"/>
  <c r="V132" i="150"/>
  <c r="Q76" i="150"/>
  <c r="R133" i="150"/>
  <c r="R132" i="150"/>
  <c r="H33" i="143"/>
  <c r="T74" i="144" s="1"/>
  <c r="T76" i="144" s="1"/>
  <c r="Q75" i="150"/>
  <c r="K43" i="141"/>
  <c r="K49" i="141" s="1"/>
  <c r="P252" i="142"/>
  <c r="P50" i="141"/>
  <c r="P48" i="141"/>
  <c r="P54" i="141" s="1"/>
  <c r="P93" i="141" s="1"/>
  <c r="P49" i="141"/>
  <c r="M77" i="150"/>
  <c r="P20" i="150"/>
  <c r="P74" i="150" s="1"/>
  <c r="P204" i="142"/>
  <c r="P206" i="142" s="1"/>
  <c r="M78" i="150"/>
  <c r="M42" i="141"/>
  <c r="M48" i="141" s="1"/>
  <c r="M54" i="141" s="1"/>
  <c r="M69" i="141"/>
  <c r="Y132" i="150"/>
  <c r="Y133" i="150"/>
  <c r="M73" i="150"/>
  <c r="L44" i="141"/>
  <c r="L50" i="141" s="1"/>
  <c r="P257" i="142"/>
  <c r="P255" i="142"/>
  <c r="V277" i="141" l="1"/>
  <c r="V297" i="141"/>
  <c r="V279" i="141"/>
  <c r="V89" i="145" s="1"/>
  <c r="V160" i="145" s="1"/>
  <c r="V30" i="147" s="1"/>
  <c r="V135" i="147" s="1"/>
  <c r="V298" i="141"/>
  <c r="V120" i="142" s="1"/>
  <c r="V132" i="142" s="1"/>
  <c r="V287" i="141"/>
  <c r="V98" i="145" s="1"/>
  <c r="V186" i="145" s="1"/>
  <c r="V57" i="147" s="1"/>
  <c r="V162" i="147" s="1"/>
  <c r="V276" i="141"/>
  <c r="V301" i="141"/>
  <c r="V302" i="141"/>
  <c r="V114" i="145" s="1"/>
  <c r="V219" i="145" s="1"/>
  <c r="V91" i="147" s="1"/>
  <c r="V196" i="147" s="1"/>
  <c r="V285" i="141"/>
  <c r="V95" i="142" s="1"/>
  <c r="V107" i="142" s="1"/>
  <c r="V278" i="141"/>
  <c r="V76" i="142" s="1"/>
  <c r="V88" i="142" s="1"/>
  <c r="V286" i="141"/>
  <c r="V96" i="142" s="1"/>
  <c r="V108" i="142" s="1"/>
  <c r="V274" i="141"/>
  <c r="V72" i="142" s="1"/>
  <c r="V84" i="142" s="1"/>
  <c r="V291" i="141"/>
  <c r="V102" i="145" s="1"/>
  <c r="V190" i="145" s="1"/>
  <c r="V61" i="147" s="1"/>
  <c r="V166" i="147" s="1"/>
  <c r="V280" i="141"/>
  <c r="V90" i="145" s="1"/>
  <c r="V161" i="145" s="1"/>
  <c r="V31" i="147" s="1"/>
  <c r="V136" i="147" s="1"/>
  <c r="V295" i="141"/>
  <c r="V107" i="145" s="1"/>
  <c r="V212" i="145" s="1"/>
  <c r="V84" i="147" s="1"/>
  <c r="V189" i="147" s="1"/>
  <c r="V284" i="141"/>
  <c r="V95" i="145" s="1"/>
  <c r="V183" i="145" s="1"/>
  <c r="V54" i="147" s="1"/>
  <c r="V159" i="147" s="1"/>
  <c r="V275" i="141"/>
  <c r="V85" i="145" s="1"/>
  <c r="V156" i="145" s="1"/>
  <c r="V26" i="147" s="1"/>
  <c r="V131" i="147" s="1"/>
  <c r="V272" i="141"/>
  <c r="V81" i="145" s="1"/>
  <c r="V152" i="145" s="1"/>
  <c r="V22" i="147" s="1"/>
  <c r="V127" i="147" s="1"/>
  <c r="V290" i="141"/>
  <c r="V294" i="141"/>
  <c r="V116" i="142" s="1"/>
  <c r="V128" i="142" s="1"/>
  <c r="V300" i="141"/>
  <c r="V122" i="142" s="1"/>
  <c r="V134" i="142" s="1"/>
  <c r="V289" i="141"/>
  <c r="V100" i="145" s="1"/>
  <c r="V188" i="145" s="1"/>
  <c r="V59" i="147" s="1"/>
  <c r="V164" i="147" s="1"/>
  <c r="V273" i="141"/>
  <c r="V288" i="141"/>
  <c r="V98" i="142" s="1"/>
  <c r="V110" i="142" s="1"/>
  <c r="V296" i="141"/>
  <c r="V118" i="142" s="1"/>
  <c r="V130" i="142" s="1"/>
  <c r="L77" i="150"/>
  <c r="L73" i="150"/>
  <c r="L76" i="150"/>
  <c r="L72" i="150"/>
  <c r="L78" i="150"/>
  <c r="L75" i="150"/>
  <c r="N297" i="141"/>
  <c r="N109" i="145" s="1"/>
  <c r="N214" i="145" s="1"/>
  <c r="N86" i="147" s="1"/>
  <c r="N191" i="147" s="1"/>
  <c r="N294" i="141"/>
  <c r="N106" i="145" s="1"/>
  <c r="N211" i="145" s="1"/>
  <c r="N83" i="147" s="1"/>
  <c r="N188" i="147" s="1"/>
  <c r="N290" i="141"/>
  <c r="N101" i="145" s="1"/>
  <c r="N189" i="145" s="1"/>
  <c r="N60" i="147" s="1"/>
  <c r="N165" i="147" s="1"/>
  <c r="N291" i="141"/>
  <c r="N101" i="142" s="1"/>
  <c r="N113" i="142" s="1"/>
  <c r="W274" i="141"/>
  <c r="W72" i="142" s="1"/>
  <c r="W84" i="142" s="1"/>
  <c r="W290" i="141"/>
  <c r="W101" i="145" s="1"/>
  <c r="W189" i="145" s="1"/>
  <c r="W60" i="147" s="1"/>
  <c r="W165" i="147" s="1"/>
  <c r="W298" i="141"/>
  <c r="W120" i="142" s="1"/>
  <c r="W132" i="142" s="1"/>
  <c r="W287" i="141"/>
  <c r="W97" i="142" s="1"/>
  <c r="W109" i="142" s="1"/>
  <c r="W279" i="141"/>
  <c r="W77" i="142" s="1"/>
  <c r="W89" i="142" s="1"/>
  <c r="W291" i="141"/>
  <c r="W101" i="142" s="1"/>
  <c r="W113" i="142" s="1"/>
  <c r="W299" i="141"/>
  <c r="W111" i="145" s="1"/>
  <c r="W216" i="145" s="1"/>
  <c r="W88" i="147" s="1"/>
  <c r="W193" i="147" s="1"/>
  <c r="T275" i="141"/>
  <c r="T73" i="142" s="1"/>
  <c r="T85" i="142" s="1"/>
  <c r="W280" i="141"/>
  <c r="W90" i="145" s="1"/>
  <c r="W161" i="145" s="1"/>
  <c r="W31" i="147" s="1"/>
  <c r="W136" i="147" s="1"/>
  <c r="W301" i="141"/>
  <c r="W113" i="145" s="1"/>
  <c r="W218" i="145" s="1"/>
  <c r="W90" i="147" s="1"/>
  <c r="W195" i="147" s="1"/>
  <c r="N275" i="141"/>
  <c r="N73" i="142" s="1"/>
  <c r="N85" i="142" s="1"/>
  <c r="N285" i="141"/>
  <c r="N96" i="145" s="1"/>
  <c r="N184" i="145" s="1"/>
  <c r="N55" i="147" s="1"/>
  <c r="N160" i="147" s="1"/>
  <c r="W276" i="141"/>
  <c r="W74" i="142" s="1"/>
  <c r="W86" i="142" s="1"/>
  <c r="W302" i="141"/>
  <c r="W114" i="145" s="1"/>
  <c r="W219" i="145" s="1"/>
  <c r="W91" i="147" s="1"/>
  <c r="W196" i="147" s="1"/>
  <c r="W275" i="141"/>
  <c r="W85" i="145" s="1"/>
  <c r="W156" i="145" s="1"/>
  <c r="W26" i="147" s="1"/>
  <c r="W131" i="147" s="1"/>
  <c r="W295" i="141"/>
  <c r="W117" i="142" s="1"/>
  <c r="W129" i="142" s="1"/>
  <c r="W288" i="141"/>
  <c r="W99" i="145" s="1"/>
  <c r="W187" i="145" s="1"/>
  <c r="W58" i="147" s="1"/>
  <c r="W163" i="147" s="1"/>
  <c r="W294" i="141"/>
  <c r="W116" i="142" s="1"/>
  <c r="W128" i="142" s="1"/>
  <c r="T291" i="141"/>
  <c r="T101" i="142" s="1"/>
  <c r="T113" i="142" s="1"/>
  <c r="W278" i="141"/>
  <c r="W76" i="142" s="1"/>
  <c r="W88" i="142" s="1"/>
  <c r="W289" i="141"/>
  <c r="W100" i="145" s="1"/>
  <c r="W188" i="145" s="1"/>
  <c r="W59" i="147" s="1"/>
  <c r="W164" i="147" s="1"/>
  <c r="W284" i="141"/>
  <c r="W95" i="145" s="1"/>
  <c r="W183" i="145" s="1"/>
  <c r="W54" i="147" s="1"/>
  <c r="W159" i="147" s="1"/>
  <c r="W277" i="141"/>
  <c r="W87" i="145" s="1"/>
  <c r="W158" i="145" s="1"/>
  <c r="W28" i="147" s="1"/>
  <c r="W133" i="147" s="1"/>
  <c r="W285" i="141"/>
  <c r="W95" i="142" s="1"/>
  <c r="W107" i="142" s="1"/>
  <c r="N273" i="141"/>
  <c r="N83" i="145" s="1"/>
  <c r="N154" i="145" s="1"/>
  <c r="N24" i="147" s="1"/>
  <c r="N129" i="147" s="1"/>
  <c r="W272" i="141"/>
  <c r="W82" i="145" s="1"/>
  <c r="W153" i="145" s="1"/>
  <c r="W23" i="147" s="1"/>
  <c r="W128" i="147" s="1"/>
  <c r="W273" i="141"/>
  <c r="W83" i="145" s="1"/>
  <c r="W154" i="145" s="1"/>
  <c r="W24" i="147" s="1"/>
  <c r="W129" i="147" s="1"/>
  <c r="W297" i="141"/>
  <c r="W109" i="145" s="1"/>
  <c r="W214" i="145" s="1"/>
  <c r="W86" i="147" s="1"/>
  <c r="W191" i="147" s="1"/>
  <c r="W283" i="141"/>
  <c r="W93" i="142" s="1"/>
  <c r="W105" i="142" s="1"/>
  <c r="W300" i="141"/>
  <c r="W112" i="145" s="1"/>
  <c r="W217" i="145" s="1"/>
  <c r="W89" i="147" s="1"/>
  <c r="W194" i="147" s="1"/>
  <c r="W286" i="141"/>
  <c r="W97" i="145" s="1"/>
  <c r="W185" i="145" s="1"/>
  <c r="W56" i="147" s="1"/>
  <c r="W161" i="147" s="1"/>
  <c r="T295" i="141"/>
  <c r="T107" i="145" s="1"/>
  <c r="T212" i="145" s="1"/>
  <c r="T84" i="147" s="1"/>
  <c r="T189" i="147" s="1"/>
  <c r="N278" i="141"/>
  <c r="N76" i="142" s="1"/>
  <c r="N88" i="142" s="1"/>
  <c r="N276" i="141"/>
  <c r="N86" i="145" s="1"/>
  <c r="N157" i="145" s="1"/>
  <c r="N27" i="147" s="1"/>
  <c r="N132" i="147" s="1"/>
  <c r="N288" i="141"/>
  <c r="N99" i="145" s="1"/>
  <c r="N187" i="145" s="1"/>
  <c r="N58" i="147" s="1"/>
  <c r="N163" i="147" s="1"/>
  <c r="N289" i="141"/>
  <c r="N100" i="145" s="1"/>
  <c r="N188" i="145" s="1"/>
  <c r="N59" i="147" s="1"/>
  <c r="N164" i="147" s="1"/>
  <c r="N298" i="141"/>
  <c r="N110" i="145" s="1"/>
  <c r="N215" i="145" s="1"/>
  <c r="N87" i="147" s="1"/>
  <c r="N192" i="147" s="1"/>
  <c r="N299" i="141"/>
  <c r="N111" i="145" s="1"/>
  <c r="N216" i="145" s="1"/>
  <c r="N88" i="147" s="1"/>
  <c r="N193" i="147" s="1"/>
  <c r="N295" i="141"/>
  <c r="N107" i="145" s="1"/>
  <c r="N212" i="145" s="1"/>
  <c r="N84" i="147" s="1"/>
  <c r="N189" i="147" s="1"/>
  <c r="T298" i="141"/>
  <c r="T110" i="145" s="1"/>
  <c r="T215" i="145" s="1"/>
  <c r="T87" i="147" s="1"/>
  <c r="T192" i="147" s="1"/>
  <c r="T294" i="141"/>
  <c r="T105" i="145" s="1"/>
  <c r="T210" i="145" s="1"/>
  <c r="T82" i="147" s="1"/>
  <c r="T187" i="147" s="1"/>
  <c r="T296" i="141"/>
  <c r="T118" i="142" s="1"/>
  <c r="T130" i="142" s="1"/>
  <c r="T290" i="141"/>
  <c r="T100" i="142" s="1"/>
  <c r="T112" i="142" s="1"/>
  <c r="N301" i="141"/>
  <c r="N123" i="142" s="1"/>
  <c r="N135" i="142" s="1"/>
  <c r="N283" i="141"/>
  <c r="N93" i="145" s="1"/>
  <c r="N181" i="145" s="1"/>
  <c r="N52" i="147" s="1"/>
  <c r="N157" i="147" s="1"/>
  <c r="N302" i="141"/>
  <c r="N124" i="142" s="1"/>
  <c r="N136" i="142" s="1"/>
  <c r="N296" i="141"/>
  <c r="N108" i="145" s="1"/>
  <c r="N213" i="145" s="1"/>
  <c r="N85" i="147" s="1"/>
  <c r="N190" i="147" s="1"/>
  <c r="N272" i="141"/>
  <c r="N70" i="142" s="1"/>
  <c r="N82" i="142" s="1"/>
  <c r="N284" i="141"/>
  <c r="N95" i="145" s="1"/>
  <c r="N183" i="145" s="1"/>
  <c r="N54" i="147" s="1"/>
  <c r="N159" i="147" s="1"/>
  <c r="N277" i="141"/>
  <c r="N75" i="142" s="1"/>
  <c r="N87" i="142" s="1"/>
  <c r="T276" i="141"/>
  <c r="T74" i="142" s="1"/>
  <c r="T86" i="142" s="1"/>
  <c r="T301" i="141"/>
  <c r="T113" i="145" s="1"/>
  <c r="T218" i="145" s="1"/>
  <c r="T90" i="147" s="1"/>
  <c r="T195" i="147" s="1"/>
  <c r="T278" i="141"/>
  <c r="T88" i="145" s="1"/>
  <c r="T159" i="145" s="1"/>
  <c r="T29" i="147" s="1"/>
  <c r="T134" i="147" s="1"/>
  <c r="N286" i="141"/>
  <c r="N97" i="145" s="1"/>
  <c r="N185" i="145" s="1"/>
  <c r="N56" i="147" s="1"/>
  <c r="N161" i="147" s="1"/>
  <c r="N279" i="141"/>
  <c r="N89" i="145" s="1"/>
  <c r="N160" i="145" s="1"/>
  <c r="N30" i="147" s="1"/>
  <c r="N135" i="147" s="1"/>
  <c r="N287" i="141"/>
  <c r="N97" i="142" s="1"/>
  <c r="N109" i="142" s="1"/>
  <c r="N280" i="141"/>
  <c r="N90" i="145" s="1"/>
  <c r="N161" i="145" s="1"/>
  <c r="N31" i="147" s="1"/>
  <c r="N136" i="147" s="1"/>
  <c r="N274" i="141"/>
  <c r="N84" i="145" s="1"/>
  <c r="N155" i="145" s="1"/>
  <c r="N25" i="147" s="1"/>
  <c r="N130" i="147" s="1"/>
  <c r="T274" i="141"/>
  <c r="T72" i="142" s="1"/>
  <c r="T84" i="142" s="1"/>
  <c r="T279" i="141"/>
  <c r="T77" i="142" s="1"/>
  <c r="T89" i="142" s="1"/>
  <c r="T300" i="141"/>
  <c r="T112" i="145" s="1"/>
  <c r="T217" i="145" s="1"/>
  <c r="T89" i="147" s="1"/>
  <c r="T194" i="147" s="1"/>
  <c r="T273" i="141"/>
  <c r="T71" i="142" s="1"/>
  <c r="T83" i="142" s="1"/>
  <c r="T299" i="141"/>
  <c r="T111" i="145" s="1"/>
  <c r="T216" i="145" s="1"/>
  <c r="T88" i="147" s="1"/>
  <c r="T193" i="147" s="1"/>
  <c r="T286" i="141"/>
  <c r="T96" i="142" s="1"/>
  <c r="T108" i="142" s="1"/>
  <c r="T289" i="141"/>
  <c r="T100" i="145" s="1"/>
  <c r="T188" i="145" s="1"/>
  <c r="T59" i="147" s="1"/>
  <c r="T164" i="147" s="1"/>
  <c r="T280" i="141"/>
  <c r="T90" i="145" s="1"/>
  <c r="T161" i="145" s="1"/>
  <c r="T31" i="147" s="1"/>
  <c r="T136" i="147" s="1"/>
  <c r="T272" i="141"/>
  <c r="T70" i="142" s="1"/>
  <c r="T82" i="142" s="1"/>
  <c r="T283" i="141"/>
  <c r="T93" i="145" s="1"/>
  <c r="T181" i="145" s="1"/>
  <c r="T52" i="147" s="1"/>
  <c r="T157" i="147" s="1"/>
  <c r="T288" i="141"/>
  <c r="T98" i="142" s="1"/>
  <c r="T110" i="142" s="1"/>
  <c r="T297" i="141"/>
  <c r="T119" i="142" s="1"/>
  <c r="T131" i="142" s="1"/>
  <c r="T287" i="141"/>
  <c r="T98" i="145" s="1"/>
  <c r="T186" i="145" s="1"/>
  <c r="T57" i="147" s="1"/>
  <c r="T162" i="147" s="1"/>
  <c r="T285" i="141"/>
  <c r="T96" i="145" s="1"/>
  <c r="T184" i="145" s="1"/>
  <c r="T55" i="147" s="1"/>
  <c r="T160" i="147" s="1"/>
  <c r="T284" i="141"/>
  <c r="T94" i="142" s="1"/>
  <c r="T106" i="142" s="1"/>
  <c r="T302" i="141"/>
  <c r="T114" i="145" s="1"/>
  <c r="T219" i="145" s="1"/>
  <c r="T91" i="147" s="1"/>
  <c r="T196" i="147" s="1"/>
  <c r="O285" i="141"/>
  <c r="O96" i="145" s="1"/>
  <c r="O184" i="145" s="1"/>
  <c r="O55" i="147" s="1"/>
  <c r="O160" i="147" s="1"/>
  <c r="O278" i="141"/>
  <c r="O76" i="142" s="1"/>
  <c r="O88" i="142" s="1"/>
  <c r="O296" i="141"/>
  <c r="O108" i="145" s="1"/>
  <c r="O213" i="145" s="1"/>
  <c r="O85" i="147" s="1"/>
  <c r="O190" i="147" s="1"/>
  <c r="O277" i="141"/>
  <c r="O87" i="145" s="1"/>
  <c r="O158" i="145" s="1"/>
  <c r="O28" i="147" s="1"/>
  <c r="O133" i="147" s="1"/>
  <c r="O288" i="141"/>
  <c r="O98" i="142" s="1"/>
  <c r="O110" i="142" s="1"/>
  <c r="O286" i="141"/>
  <c r="O97" i="145" s="1"/>
  <c r="O185" i="145" s="1"/>
  <c r="O56" i="147" s="1"/>
  <c r="O161" i="147" s="1"/>
  <c r="O287" i="141"/>
  <c r="O97" i="142" s="1"/>
  <c r="O109" i="142" s="1"/>
  <c r="O283" i="141"/>
  <c r="O94" i="145" s="1"/>
  <c r="O182" i="145" s="1"/>
  <c r="O53" i="147" s="1"/>
  <c r="O158" i="147" s="1"/>
  <c r="O273" i="141"/>
  <c r="O83" i="145" s="1"/>
  <c r="O154" i="145" s="1"/>
  <c r="O24" i="147" s="1"/>
  <c r="O129" i="147" s="1"/>
  <c r="O275" i="141"/>
  <c r="O85" i="145" s="1"/>
  <c r="O156" i="145" s="1"/>
  <c r="O26" i="147" s="1"/>
  <c r="O131" i="147" s="1"/>
  <c r="O295" i="141"/>
  <c r="O117" i="142" s="1"/>
  <c r="O129" i="142" s="1"/>
  <c r="O291" i="141"/>
  <c r="O102" i="145" s="1"/>
  <c r="O190" i="145" s="1"/>
  <c r="O61" i="147" s="1"/>
  <c r="O166" i="147" s="1"/>
  <c r="O279" i="141"/>
  <c r="O77" i="142" s="1"/>
  <c r="O89" i="142" s="1"/>
  <c r="O280" i="141"/>
  <c r="O90" i="145" s="1"/>
  <c r="O161" i="145" s="1"/>
  <c r="O31" i="147" s="1"/>
  <c r="O136" i="147" s="1"/>
  <c r="Y112" i="145"/>
  <c r="Y217" i="145" s="1"/>
  <c r="Y89" i="147" s="1"/>
  <c r="Y194" i="147" s="1"/>
  <c r="Y122" i="142"/>
  <c r="Y134" i="142" s="1"/>
  <c r="Y107" i="145"/>
  <c r="Y212" i="145" s="1"/>
  <c r="Y84" i="147" s="1"/>
  <c r="Y189" i="147" s="1"/>
  <c r="Y117" i="142"/>
  <c r="Y129" i="142" s="1"/>
  <c r="Y95" i="145"/>
  <c r="Y183" i="145" s="1"/>
  <c r="Y54" i="147" s="1"/>
  <c r="Y159" i="147" s="1"/>
  <c r="Y94" i="142"/>
  <c r="Y106" i="142" s="1"/>
  <c r="Y100" i="142"/>
  <c r="Y112" i="142" s="1"/>
  <c r="Y101" i="145"/>
  <c r="Y189" i="145" s="1"/>
  <c r="Y60" i="147" s="1"/>
  <c r="Y165" i="147" s="1"/>
  <c r="Y101" i="142"/>
  <c r="Y113" i="142" s="1"/>
  <c r="Y102" i="145"/>
  <c r="Y190" i="145" s="1"/>
  <c r="Y61" i="147" s="1"/>
  <c r="Y166" i="147" s="1"/>
  <c r="Y114" i="145"/>
  <c r="Y219" i="145" s="1"/>
  <c r="Y91" i="147" s="1"/>
  <c r="Y196" i="147" s="1"/>
  <c r="Y124" i="142"/>
  <c r="Y136" i="142" s="1"/>
  <c r="Y89" i="145"/>
  <c r="Y160" i="145" s="1"/>
  <c r="Y30" i="147" s="1"/>
  <c r="Y135" i="147" s="1"/>
  <c r="Y77" i="142"/>
  <c r="Y89" i="142" s="1"/>
  <c r="X76" i="142"/>
  <c r="X88" i="142" s="1"/>
  <c r="X88" i="145"/>
  <c r="X159" i="145" s="1"/>
  <c r="X29" i="147" s="1"/>
  <c r="X134" i="147" s="1"/>
  <c r="X120" i="142"/>
  <c r="X132" i="142" s="1"/>
  <c r="X110" i="145"/>
  <c r="X215" i="145" s="1"/>
  <c r="X87" i="147" s="1"/>
  <c r="X192" i="147" s="1"/>
  <c r="X99" i="145"/>
  <c r="X187" i="145" s="1"/>
  <c r="X58" i="147" s="1"/>
  <c r="X163" i="147" s="1"/>
  <c r="X98" i="142"/>
  <c r="X110" i="142" s="1"/>
  <c r="X86" i="145"/>
  <c r="X157" i="145" s="1"/>
  <c r="X27" i="147" s="1"/>
  <c r="X132" i="147" s="1"/>
  <c r="X74" i="142"/>
  <c r="X86" i="142" s="1"/>
  <c r="X95" i="142"/>
  <c r="X107" i="142" s="1"/>
  <c r="X96" i="145"/>
  <c r="X184" i="145" s="1"/>
  <c r="X55" i="147" s="1"/>
  <c r="X160" i="147" s="1"/>
  <c r="X82" i="145"/>
  <c r="X153" i="145" s="1"/>
  <c r="X23" i="147" s="1"/>
  <c r="X128" i="147" s="1"/>
  <c r="X81" i="145"/>
  <c r="X152" i="145" s="1"/>
  <c r="X22" i="147" s="1"/>
  <c r="X127" i="147" s="1"/>
  <c r="X70" i="142"/>
  <c r="X82" i="142" s="1"/>
  <c r="X94" i="142"/>
  <c r="X106" i="142" s="1"/>
  <c r="X95" i="145"/>
  <c r="X183" i="145" s="1"/>
  <c r="X54" i="147" s="1"/>
  <c r="X159" i="147" s="1"/>
  <c r="S121" i="142"/>
  <c r="S133" i="142" s="1"/>
  <c r="S111" i="145"/>
  <c r="S216" i="145" s="1"/>
  <c r="S88" i="147" s="1"/>
  <c r="S193" i="147" s="1"/>
  <c r="S95" i="142"/>
  <c r="S107" i="142" s="1"/>
  <c r="S96" i="145"/>
  <c r="S184" i="145" s="1"/>
  <c r="S55" i="147" s="1"/>
  <c r="S160" i="147" s="1"/>
  <c r="S106" i="145"/>
  <c r="S211" i="145" s="1"/>
  <c r="S83" i="147" s="1"/>
  <c r="S188" i="147" s="1"/>
  <c r="S105" i="145"/>
  <c r="S210" i="145" s="1"/>
  <c r="S82" i="147" s="1"/>
  <c r="S187" i="147" s="1"/>
  <c r="S116" i="142"/>
  <c r="S128" i="142" s="1"/>
  <c r="S71" i="142"/>
  <c r="S83" i="142" s="1"/>
  <c r="S83" i="145"/>
  <c r="S154" i="145" s="1"/>
  <c r="S24" i="147" s="1"/>
  <c r="S129" i="147" s="1"/>
  <c r="S107" i="145"/>
  <c r="S212" i="145" s="1"/>
  <c r="S84" i="147" s="1"/>
  <c r="S189" i="147" s="1"/>
  <c r="S117" i="142"/>
  <c r="S129" i="142" s="1"/>
  <c r="S81" i="145"/>
  <c r="S152" i="145" s="1"/>
  <c r="S22" i="147" s="1"/>
  <c r="S127" i="147" s="1"/>
  <c r="S82" i="145"/>
  <c r="S153" i="145" s="1"/>
  <c r="S23" i="147" s="1"/>
  <c r="S128" i="147" s="1"/>
  <c r="S70" i="142"/>
  <c r="S82" i="142" s="1"/>
  <c r="U101" i="145"/>
  <c r="U189" i="145" s="1"/>
  <c r="U60" i="147" s="1"/>
  <c r="U165" i="147" s="1"/>
  <c r="U100" i="142"/>
  <c r="U112" i="142" s="1"/>
  <c r="U112" i="145"/>
  <c r="U217" i="145" s="1"/>
  <c r="U89" i="147" s="1"/>
  <c r="U194" i="147" s="1"/>
  <c r="U122" i="142"/>
  <c r="U134" i="142" s="1"/>
  <c r="U100" i="145"/>
  <c r="U188" i="145" s="1"/>
  <c r="U59" i="147" s="1"/>
  <c r="U164" i="147" s="1"/>
  <c r="U99" i="142"/>
  <c r="U111" i="142" s="1"/>
  <c r="U109" i="145"/>
  <c r="U214" i="145" s="1"/>
  <c r="U86" i="147" s="1"/>
  <c r="U191" i="147" s="1"/>
  <c r="U119" i="142"/>
  <c r="U131" i="142" s="1"/>
  <c r="U86" i="145"/>
  <c r="U157" i="145" s="1"/>
  <c r="U27" i="147" s="1"/>
  <c r="U132" i="147" s="1"/>
  <c r="U74" i="142"/>
  <c r="U86" i="142" s="1"/>
  <c r="U95" i="145"/>
  <c r="U183" i="145" s="1"/>
  <c r="U54" i="147" s="1"/>
  <c r="U159" i="147" s="1"/>
  <c r="U94" i="142"/>
  <c r="U106" i="142" s="1"/>
  <c r="U78" i="142"/>
  <c r="U90" i="142" s="1"/>
  <c r="U90" i="145"/>
  <c r="U161" i="145" s="1"/>
  <c r="U31" i="147" s="1"/>
  <c r="U136" i="147" s="1"/>
  <c r="R279" i="141"/>
  <c r="R297" i="141"/>
  <c r="R274" i="141"/>
  <c r="R298" i="141"/>
  <c r="R301" i="141"/>
  <c r="R287" i="141"/>
  <c r="R295" i="141"/>
  <c r="R290" i="141"/>
  <c r="R277" i="141"/>
  <c r="R296" i="141"/>
  <c r="R300" i="141"/>
  <c r="R278" i="141"/>
  <c r="R283" i="141"/>
  <c r="R288" i="141"/>
  <c r="R276" i="141"/>
  <c r="R286" i="141"/>
  <c r="R280" i="141"/>
  <c r="R291" i="141"/>
  <c r="R273" i="141"/>
  <c r="R284" i="141"/>
  <c r="R275" i="141"/>
  <c r="R294" i="141"/>
  <c r="R302" i="141"/>
  <c r="R272" i="141"/>
  <c r="R285" i="141"/>
  <c r="R299" i="141"/>
  <c r="R289" i="141"/>
  <c r="W84" i="145"/>
  <c r="W155" i="145" s="1"/>
  <c r="W25" i="147" s="1"/>
  <c r="W130" i="147" s="1"/>
  <c r="W100" i="142"/>
  <c r="W112" i="142" s="1"/>
  <c r="V77" i="142"/>
  <c r="V89" i="142" s="1"/>
  <c r="V87" i="145"/>
  <c r="V158" i="145" s="1"/>
  <c r="V28" i="147" s="1"/>
  <c r="V133" i="147" s="1"/>
  <c r="V75" i="142"/>
  <c r="V87" i="142" s="1"/>
  <c r="V119" i="142"/>
  <c r="V131" i="142" s="1"/>
  <c r="V109" i="145"/>
  <c r="V214" i="145" s="1"/>
  <c r="V86" i="147" s="1"/>
  <c r="V191" i="147" s="1"/>
  <c r="V110" i="145"/>
  <c r="V215" i="145" s="1"/>
  <c r="V87" i="147" s="1"/>
  <c r="V192" i="147" s="1"/>
  <c r="V74" i="142"/>
  <c r="V86" i="142" s="1"/>
  <c r="V86" i="145"/>
  <c r="V157" i="145" s="1"/>
  <c r="V27" i="147" s="1"/>
  <c r="V132" i="147" s="1"/>
  <c r="V93" i="145"/>
  <c r="V181" i="145" s="1"/>
  <c r="V52" i="147" s="1"/>
  <c r="V157" i="147" s="1"/>
  <c r="V93" i="142"/>
  <c r="V105" i="142" s="1"/>
  <c r="V94" i="145"/>
  <c r="V182" i="145" s="1"/>
  <c r="V53" i="147" s="1"/>
  <c r="V158" i="147" s="1"/>
  <c r="Y71" i="142"/>
  <c r="Y83" i="142" s="1"/>
  <c r="Y83" i="145"/>
  <c r="Y154" i="145" s="1"/>
  <c r="Y24" i="147" s="1"/>
  <c r="Y129" i="147" s="1"/>
  <c r="Y121" i="142"/>
  <c r="Y133" i="142" s="1"/>
  <c r="Y111" i="145"/>
  <c r="Y216" i="145" s="1"/>
  <c r="Y88" i="147" s="1"/>
  <c r="Y193" i="147" s="1"/>
  <c r="Y88" i="145"/>
  <c r="Y159" i="145" s="1"/>
  <c r="Y29" i="147" s="1"/>
  <c r="Y134" i="147" s="1"/>
  <c r="Y76" i="142"/>
  <c r="Y88" i="142" s="1"/>
  <c r="Y74" i="142"/>
  <c r="Y86" i="142" s="1"/>
  <c r="Y86" i="145"/>
  <c r="Y157" i="145" s="1"/>
  <c r="Y27" i="147" s="1"/>
  <c r="Y132" i="147" s="1"/>
  <c r="Y73" i="142"/>
  <c r="Y85" i="142" s="1"/>
  <c r="Y85" i="145"/>
  <c r="Y156" i="145" s="1"/>
  <c r="Y26" i="147" s="1"/>
  <c r="Y131" i="147" s="1"/>
  <c r="Y113" i="145"/>
  <c r="Y218" i="145" s="1"/>
  <c r="Y90" i="147" s="1"/>
  <c r="Y195" i="147" s="1"/>
  <c r="Y123" i="142"/>
  <c r="Y135" i="142" s="1"/>
  <c r="Y98" i="142"/>
  <c r="Y110" i="142" s="1"/>
  <c r="Y99" i="145"/>
  <c r="Y187" i="145" s="1"/>
  <c r="Y58" i="147" s="1"/>
  <c r="Y163" i="147" s="1"/>
  <c r="X75" i="142"/>
  <c r="X87" i="142" s="1"/>
  <c r="X87" i="145"/>
  <c r="X158" i="145" s="1"/>
  <c r="X28" i="147" s="1"/>
  <c r="X133" i="147" s="1"/>
  <c r="X102" i="145"/>
  <c r="X190" i="145" s="1"/>
  <c r="X61" i="147" s="1"/>
  <c r="X166" i="147" s="1"/>
  <c r="X101" i="142"/>
  <c r="X113" i="142" s="1"/>
  <c r="X94" i="145"/>
  <c r="X182" i="145" s="1"/>
  <c r="X53" i="147" s="1"/>
  <c r="X158" i="147" s="1"/>
  <c r="X93" i="142"/>
  <c r="X105" i="142" s="1"/>
  <c r="X93" i="145"/>
  <c r="X181" i="145" s="1"/>
  <c r="X52" i="147" s="1"/>
  <c r="X157" i="147" s="1"/>
  <c r="X89" i="145"/>
  <c r="X160" i="145" s="1"/>
  <c r="X30" i="147" s="1"/>
  <c r="X135" i="147" s="1"/>
  <c r="X77" i="142"/>
  <c r="X89" i="142" s="1"/>
  <c r="X100" i="145"/>
  <c r="X188" i="145" s="1"/>
  <c r="X59" i="147" s="1"/>
  <c r="X164" i="147" s="1"/>
  <c r="X99" i="142"/>
  <c r="X111" i="142" s="1"/>
  <c r="X122" i="142"/>
  <c r="X134" i="142" s="1"/>
  <c r="X112" i="145"/>
  <c r="X217" i="145" s="1"/>
  <c r="X89" i="147" s="1"/>
  <c r="X194" i="147" s="1"/>
  <c r="S93" i="145"/>
  <c r="S181" i="145" s="1"/>
  <c r="S52" i="147" s="1"/>
  <c r="S157" i="147" s="1"/>
  <c r="S94" i="145"/>
  <c r="S182" i="145" s="1"/>
  <c r="S53" i="147" s="1"/>
  <c r="S158" i="147" s="1"/>
  <c r="S93" i="142"/>
  <c r="S105" i="142" s="1"/>
  <c r="S98" i="145"/>
  <c r="S186" i="145" s="1"/>
  <c r="S57" i="147" s="1"/>
  <c r="S162" i="147" s="1"/>
  <c r="S97" i="142"/>
  <c r="S109" i="142" s="1"/>
  <c r="S99" i="145"/>
  <c r="S187" i="145" s="1"/>
  <c r="S58" i="147" s="1"/>
  <c r="S163" i="147" s="1"/>
  <c r="S98" i="142"/>
  <c r="S110" i="142" s="1"/>
  <c r="S114" i="145"/>
  <c r="S219" i="145" s="1"/>
  <c r="S91" i="147" s="1"/>
  <c r="S196" i="147" s="1"/>
  <c r="S124" i="142"/>
  <c r="S136" i="142" s="1"/>
  <c r="S110" i="145"/>
  <c r="S215" i="145" s="1"/>
  <c r="S87" i="147" s="1"/>
  <c r="S192" i="147" s="1"/>
  <c r="S120" i="142"/>
  <c r="S132" i="142" s="1"/>
  <c r="S99" i="142"/>
  <c r="S111" i="142" s="1"/>
  <c r="S100" i="145"/>
  <c r="S188" i="145" s="1"/>
  <c r="S59" i="147" s="1"/>
  <c r="S164" i="147" s="1"/>
  <c r="S100" i="142"/>
  <c r="S112" i="142" s="1"/>
  <c r="S101" i="145"/>
  <c r="S189" i="145" s="1"/>
  <c r="S60" i="147" s="1"/>
  <c r="S165" i="147" s="1"/>
  <c r="U98" i="142"/>
  <c r="U110" i="142" s="1"/>
  <c r="U99" i="145"/>
  <c r="U187" i="145" s="1"/>
  <c r="U58" i="147" s="1"/>
  <c r="U163" i="147" s="1"/>
  <c r="U85" i="145"/>
  <c r="U156" i="145" s="1"/>
  <c r="U26" i="147" s="1"/>
  <c r="U131" i="147" s="1"/>
  <c r="U73" i="142"/>
  <c r="U85" i="142" s="1"/>
  <c r="U102" i="145"/>
  <c r="U190" i="145" s="1"/>
  <c r="U61" i="147" s="1"/>
  <c r="U166" i="147" s="1"/>
  <c r="U101" i="142"/>
  <c r="U113" i="142" s="1"/>
  <c r="U114" i="145"/>
  <c r="U219" i="145" s="1"/>
  <c r="U91" i="147" s="1"/>
  <c r="U196" i="147" s="1"/>
  <c r="U124" i="142"/>
  <c r="U136" i="142" s="1"/>
  <c r="U117" i="142"/>
  <c r="U129" i="142" s="1"/>
  <c r="U107" i="145"/>
  <c r="U212" i="145" s="1"/>
  <c r="U84" i="147" s="1"/>
  <c r="U189" i="147" s="1"/>
  <c r="U83" i="145"/>
  <c r="U154" i="145" s="1"/>
  <c r="U24" i="147" s="1"/>
  <c r="U129" i="147" s="1"/>
  <c r="U71" i="142"/>
  <c r="U83" i="142" s="1"/>
  <c r="U118" i="142"/>
  <c r="U130" i="142" s="1"/>
  <c r="U108" i="145"/>
  <c r="U213" i="145" s="1"/>
  <c r="U85" i="147" s="1"/>
  <c r="U190" i="147" s="1"/>
  <c r="V123" i="142"/>
  <c r="V135" i="142" s="1"/>
  <c r="V113" i="145"/>
  <c r="V218" i="145" s="1"/>
  <c r="V90" i="147" s="1"/>
  <c r="V195" i="147" s="1"/>
  <c r="V97" i="145"/>
  <c r="V185" i="145" s="1"/>
  <c r="V56" i="147" s="1"/>
  <c r="V161" i="147" s="1"/>
  <c r="V84" i="145"/>
  <c r="V155" i="145" s="1"/>
  <c r="V25" i="147" s="1"/>
  <c r="V130" i="147" s="1"/>
  <c r="Y108" i="145"/>
  <c r="Y213" i="145" s="1"/>
  <c r="Y85" i="147" s="1"/>
  <c r="Y190" i="147" s="1"/>
  <c r="Y118" i="142"/>
  <c r="Y130" i="142" s="1"/>
  <c r="Y100" i="145"/>
  <c r="Y188" i="145" s="1"/>
  <c r="Y59" i="147" s="1"/>
  <c r="Y164" i="147" s="1"/>
  <c r="Y99" i="142"/>
  <c r="Y111" i="142" s="1"/>
  <c r="Y84" i="145"/>
  <c r="Y155" i="145" s="1"/>
  <c r="Y25" i="147" s="1"/>
  <c r="Y130" i="147" s="1"/>
  <c r="Y72" i="142"/>
  <c r="Y84" i="142" s="1"/>
  <c r="Y106" i="145"/>
  <c r="Y211" i="145" s="1"/>
  <c r="Y83" i="147" s="1"/>
  <c r="Y188" i="147" s="1"/>
  <c r="Y116" i="142"/>
  <c r="Y128" i="142" s="1"/>
  <c r="Y105" i="145"/>
  <c r="Y210" i="145" s="1"/>
  <c r="Y82" i="147" s="1"/>
  <c r="Y187" i="147" s="1"/>
  <c r="Y93" i="145"/>
  <c r="Y181" i="145" s="1"/>
  <c r="Y52" i="147" s="1"/>
  <c r="Y157" i="147" s="1"/>
  <c r="Y94" i="145"/>
  <c r="Y182" i="145" s="1"/>
  <c r="Y53" i="147" s="1"/>
  <c r="Y158" i="147" s="1"/>
  <c r="Y93" i="142"/>
  <c r="Y105" i="142" s="1"/>
  <c r="Y97" i="145"/>
  <c r="Y185" i="145" s="1"/>
  <c r="Y56" i="147" s="1"/>
  <c r="Y161" i="147" s="1"/>
  <c r="Y96" i="142"/>
  <c r="Y108" i="142" s="1"/>
  <c r="X83" i="145"/>
  <c r="X154" i="145" s="1"/>
  <c r="X24" i="147" s="1"/>
  <c r="X129" i="147" s="1"/>
  <c r="X71" i="142"/>
  <c r="X83" i="142" s="1"/>
  <c r="X97" i="142"/>
  <c r="X109" i="142" s="1"/>
  <c r="X98" i="145"/>
  <c r="X186" i="145" s="1"/>
  <c r="X57" i="147" s="1"/>
  <c r="X162" i="147" s="1"/>
  <c r="X90" i="145"/>
  <c r="X161" i="145" s="1"/>
  <c r="X31" i="147" s="1"/>
  <c r="X136" i="147" s="1"/>
  <c r="X78" i="142"/>
  <c r="X90" i="142" s="1"/>
  <c r="X116" i="142"/>
  <c r="X128" i="142" s="1"/>
  <c r="X106" i="145"/>
  <c r="X211" i="145" s="1"/>
  <c r="X83" i="147" s="1"/>
  <c r="X188" i="147" s="1"/>
  <c r="X105" i="145"/>
  <c r="X210" i="145" s="1"/>
  <c r="X82" i="147" s="1"/>
  <c r="X187" i="147" s="1"/>
  <c r="X108" i="145"/>
  <c r="X213" i="145" s="1"/>
  <c r="X85" i="147" s="1"/>
  <c r="X190" i="147" s="1"/>
  <c r="X118" i="142"/>
  <c r="X130" i="142" s="1"/>
  <c r="X97" i="145"/>
  <c r="X185" i="145" s="1"/>
  <c r="X56" i="147" s="1"/>
  <c r="X161" i="147" s="1"/>
  <c r="X96" i="142"/>
  <c r="X108" i="142" s="1"/>
  <c r="X109" i="145"/>
  <c r="X214" i="145" s="1"/>
  <c r="X86" i="147" s="1"/>
  <c r="X191" i="147" s="1"/>
  <c r="X119" i="142"/>
  <c r="X131" i="142" s="1"/>
  <c r="S122" i="142"/>
  <c r="S134" i="142" s="1"/>
  <c r="S112" i="145"/>
  <c r="S217" i="145" s="1"/>
  <c r="S89" i="147" s="1"/>
  <c r="S194" i="147" s="1"/>
  <c r="S95" i="145"/>
  <c r="S183" i="145" s="1"/>
  <c r="S54" i="147" s="1"/>
  <c r="S159" i="147" s="1"/>
  <c r="S94" i="142"/>
  <c r="S106" i="142" s="1"/>
  <c r="S85" i="145"/>
  <c r="S156" i="145" s="1"/>
  <c r="S26" i="147" s="1"/>
  <c r="S131" i="147" s="1"/>
  <c r="S73" i="142"/>
  <c r="S85" i="142" s="1"/>
  <c r="S96" i="142"/>
  <c r="S108" i="142" s="1"/>
  <c r="S97" i="145"/>
  <c r="S185" i="145" s="1"/>
  <c r="S56" i="147" s="1"/>
  <c r="S161" i="147" s="1"/>
  <c r="S89" i="145"/>
  <c r="S160" i="145" s="1"/>
  <c r="S30" i="147" s="1"/>
  <c r="S135" i="147" s="1"/>
  <c r="S77" i="142"/>
  <c r="S89" i="142" s="1"/>
  <c r="S87" i="145"/>
  <c r="S158" i="145" s="1"/>
  <c r="S28" i="147" s="1"/>
  <c r="S133" i="147" s="1"/>
  <c r="S75" i="142"/>
  <c r="S87" i="142" s="1"/>
  <c r="S76" i="142"/>
  <c r="S88" i="142" s="1"/>
  <c r="S88" i="145"/>
  <c r="S159" i="145" s="1"/>
  <c r="S29" i="147" s="1"/>
  <c r="S134" i="147" s="1"/>
  <c r="U97" i="142"/>
  <c r="U109" i="142" s="1"/>
  <c r="U98" i="145"/>
  <c r="U186" i="145" s="1"/>
  <c r="U57" i="147" s="1"/>
  <c r="U162" i="147" s="1"/>
  <c r="U72" i="142"/>
  <c r="U84" i="142" s="1"/>
  <c r="U84" i="145"/>
  <c r="U155" i="145" s="1"/>
  <c r="U25" i="147" s="1"/>
  <c r="U130" i="147" s="1"/>
  <c r="U95" i="142"/>
  <c r="U107" i="142" s="1"/>
  <c r="U96" i="145"/>
  <c r="U184" i="145" s="1"/>
  <c r="U55" i="147" s="1"/>
  <c r="U160" i="147" s="1"/>
  <c r="U94" i="145"/>
  <c r="U182" i="145" s="1"/>
  <c r="U53" i="147" s="1"/>
  <c r="U158" i="147" s="1"/>
  <c r="U93" i="145"/>
  <c r="U181" i="145" s="1"/>
  <c r="U52" i="147" s="1"/>
  <c r="U157" i="147" s="1"/>
  <c r="U93" i="142"/>
  <c r="U105" i="142" s="1"/>
  <c r="U81" i="145"/>
  <c r="U152" i="145" s="1"/>
  <c r="U22" i="147" s="1"/>
  <c r="U127" i="147" s="1"/>
  <c r="U82" i="145"/>
  <c r="U153" i="145" s="1"/>
  <c r="U23" i="147" s="1"/>
  <c r="U128" i="147" s="1"/>
  <c r="U70" i="142"/>
  <c r="U82" i="142" s="1"/>
  <c r="U76" i="142"/>
  <c r="U88" i="142" s="1"/>
  <c r="U88" i="145"/>
  <c r="U159" i="145" s="1"/>
  <c r="U29" i="147" s="1"/>
  <c r="U134" i="147" s="1"/>
  <c r="U89" i="145"/>
  <c r="U160" i="145" s="1"/>
  <c r="U30" i="147" s="1"/>
  <c r="U135" i="147" s="1"/>
  <c r="U77" i="142"/>
  <c r="U89" i="142" s="1"/>
  <c r="V78" i="142"/>
  <c r="V90" i="142" s="1"/>
  <c r="V73" i="142"/>
  <c r="V85" i="142" s="1"/>
  <c r="V82" i="145"/>
  <c r="V153" i="145" s="1"/>
  <c r="V23" i="147" s="1"/>
  <c r="V128" i="147" s="1"/>
  <c r="V70" i="142"/>
  <c r="V82" i="142" s="1"/>
  <c r="V101" i="145"/>
  <c r="V189" i="145" s="1"/>
  <c r="V60" i="147" s="1"/>
  <c r="V165" i="147" s="1"/>
  <c r="V100" i="142"/>
  <c r="V112" i="142" s="1"/>
  <c r="Y110" i="145"/>
  <c r="Y215" i="145" s="1"/>
  <c r="Y87" i="147" s="1"/>
  <c r="Y192" i="147" s="1"/>
  <c r="Y120" i="142"/>
  <c r="Y132" i="142" s="1"/>
  <c r="Y109" i="145"/>
  <c r="Y214" i="145" s="1"/>
  <c r="Y86" i="147" s="1"/>
  <c r="Y191" i="147" s="1"/>
  <c r="Y119" i="142"/>
  <c r="Y131" i="142" s="1"/>
  <c r="Y87" i="145"/>
  <c r="Y158" i="145" s="1"/>
  <c r="Y28" i="147" s="1"/>
  <c r="Y133" i="147" s="1"/>
  <c r="Y75" i="142"/>
  <c r="Y87" i="142" s="1"/>
  <c r="Y96" i="145"/>
  <c r="Y184" i="145" s="1"/>
  <c r="Y55" i="147" s="1"/>
  <c r="Y160" i="147" s="1"/>
  <c r="Y95" i="142"/>
  <c r="Y107" i="142" s="1"/>
  <c r="Y90" i="145"/>
  <c r="Y161" i="145" s="1"/>
  <c r="Y31" i="147" s="1"/>
  <c r="Y136" i="147" s="1"/>
  <c r="Y78" i="142"/>
  <c r="Y90" i="142" s="1"/>
  <c r="Y70" i="142"/>
  <c r="Y82" i="142" s="1"/>
  <c r="Y82" i="145"/>
  <c r="Y153" i="145" s="1"/>
  <c r="Y23" i="147" s="1"/>
  <c r="Y128" i="147" s="1"/>
  <c r="Y81" i="145"/>
  <c r="Y152" i="145" s="1"/>
  <c r="Y22" i="147" s="1"/>
  <c r="Y127" i="147" s="1"/>
  <c r="Y97" i="142"/>
  <c r="Y109" i="142" s="1"/>
  <c r="Y98" i="145"/>
  <c r="Y186" i="145" s="1"/>
  <c r="Y57" i="147" s="1"/>
  <c r="Y162" i="147" s="1"/>
  <c r="X84" i="145"/>
  <c r="X155" i="145" s="1"/>
  <c r="X25" i="147" s="1"/>
  <c r="X130" i="147" s="1"/>
  <c r="X72" i="142"/>
  <c r="X84" i="142" s="1"/>
  <c r="X123" i="142"/>
  <c r="X135" i="142" s="1"/>
  <c r="X113" i="145"/>
  <c r="X218" i="145" s="1"/>
  <c r="X90" i="147" s="1"/>
  <c r="X195" i="147" s="1"/>
  <c r="X114" i="145"/>
  <c r="X219" i="145" s="1"/>
  <c r="X91" i="147" s="1"/>
  <c r="X196" i="147" s="1"/>
  <c r="X124" i="142"/>
  <c r="X136" i="142" s="1"/>
  <c r="X100" i="142"/>
  <c r="X112" i="142" s="1"/>
  <c r="X101" i="145"/>
  <c r="X189" i="145" s="1"/>
  <c r="X60" i="147" s="1"/>
  <c r="X165" i="147" s="1"/>
  <c r="X121" i="142"/>
  <c r="X133" i="142" s="1"/>
  <c r="X111" i="145"/>
  <c r="X216" i="145" s="1"/>
  <c r="X88" i="147" s="1"/>
  <c r="X193" i="147" s="1"/>
  <c r="X85" i="145"/>
  <c r="X156" i="145" s="1"/>
  <c r="X26" i="147" s="1"/>
  <c r="X131" i="147" s="1"/>
  <c r="X73" i="142"/>
  <c r="X85" i="142" s="1"/>
  <c r="X107" i="145"/>
  <c r="X212" i="145" s="1"/>
  <c r="X84" i="147" s="1"/>
  <c r="X189" i="147" s="1"/>
  <c r="X117" i="142"/>
  <c r="X129" i="142" s="1"/>
  <c r="S101" i="142"/>
  <c r="S113" i="142" s="1"/>
  <c r="S102" i="145"/>
  <c r="S190" i="145" s="1"/>
  <c r="S61" i="147" s="1"/>
  <c r="S166" i="147" s="1"/>
  <c r="S72" i="142"/>
  <c r="S84" i="142" s="1"/>
  <c r="S84" i="145"/>
  <c r="S155" i="145" s="1"/>
  <c r="S25" i="147" s="1"/>
  <c r="S130" i="147" s="1"/>
  <c r="S118" i="142"/>
  <c r="S130" i="142" s="1"/>
  <c r="S108" i="145"/>
  <c r="S213" i="145" s="1"/>
  <c r="S85" i="147" s="1"/>
  <c r="S190" i="147" s="1"/>
  <c r="S86" i="145"/>
  <c r="S157" i="145" s="1"/>
  <c r="S27" i="147" s="1"/>
  <c r="S132" i="147" s="1"/>
  <c r="S74" i="142"/>
  <c r="S86" i="142" s="1"/>
  <c r="S113" i="145"/>
  <c r="S218" i="145" s="1"/>
  <c r="S90" i="147" s="1"/>
  <c r="S195" i="147" s="1"/>
  <c r="S123" i="142"/>
  <c r="S135" i="142" s="1"/>
  <c r="S109" i="145"/>
  <c r="S214" i="145" s="1"/>
  <c r="S86" i="147" s="1"/>
  <c r="S191" i="147" s="1"/>
  <c r="S119" i="142"/>
  <c r="S131" i="142" s="1"/>
  <c r="S90" i="145"/>
  <c r="S161" i="145" s="1"/>
  <c r="S31" i="147" s="1"/>
  <c r="S136" i="147" s="1"/>
  <c r="S78" i="142"/>
  <c r="S90" i="142" s="1"/>
  <c r="U97" i="145"/>
  <c r="U185" i="145" s="1"/>
  <c r="U56" i="147" s="1"/>
  <c r="U161" i="147" s="1"/>
  <c r="U96" i="142"/>
  <c r="U108" i="142" s="1"/>
  <c r="U105" i="145"/>
  <c r="U210" i="145" s="1"/>
  <c r="U82" i="147" s="1"/>
  <c r="U187" i="147" s="1"/>
  <c r="U116" i="142"/>
  <c r="U128" i="142" s="1"/>
  <c r="U106" i="145"/>
  <c r="U211" i="145" s="1"/>
  <c r="U83" i="147" s="1"/>
  <c r="U188" i="147" s="1"/>
  <c r="U110" i="145"/>
  <c r="U215" i="145" s="1"/>
  <c r="U87" i="147" s="1"/>
  <c r="U192" i="147" s="1"/>
  <c r="U120" i="142"/>
  <c r="U132" i="142" s="1"/>
  <c r="U123" i="142"/>
  <c r="U135" i="142" s="1"/>
  <c r="U113" i="145"/>
  <c r="U218" i="145" s="1"/>
  <c r="U90" i="147" s="1"/>
  <c r="U195" i="147" s="1"/>
  <c r="U87" i="145"/>
  <c r="U158" i="145" s="1"/>
  <c r="U28" i="147" s="1"/>
  <c r="U133" i="147" s="1"/>
  <c r="U75" i="142"/>
  <c r="U87" i="142" s="1"/>
  <c r="U121" i="142"/>
  <c r="U133" i="142" s="1"/>
  <c r="U111" i="145"/>
  <c r="U216" i="145" s="1"/>
  <c r="U88" i="147" s="1"/>
  <c r="U193" i="147" s="1"/>
  <c r="W118" i="142"/>
  <c r="W130" i="142" s="1"/>
  <c r="W108" i="145"/>
  <c r="W213" i="145" s="1"/>
  <c r="W85" i="147" s="1"/>
  <c r="W190" i="147" s="1"/>
  <c r="V105" i="145"/>
  <c r="V210" i="145" s="1"/>
  <c r="V82" i="147" s="1"/>
  <c r="V187" i="147" s="1"/>
  <c r="V99" i="142"/>
  <c r="V111" i="142" s="1"/>
  <c r="V71" i="142"/>
  <c r="V83" i="142" s="1"/>
  <c r="V83" i="145"/>
  <c r="V154" i="145" s="1"/>
  <c r="V24" i="147" s="1"/>
  <c r="V129" i="147" s="1"/>
  <c r="V108" i="145"/>
  <c r="V213" i="145" s="1"/>
  <c r="V85" i="147" s="1"/>
  <c r="V190" i="147" s="1"/>
  <c r="V111" i="145"/>
  <c r="V216" i="145" s="1"/>
  <c r="V88" i="147" s="1"/>
  <c r="V193" i="147" s="1"/>
  <c r="V121" i="142"/>
  <c r="V133" i="142" s="1"/>
  <c r="T87" i="145"/>
  <c r="T158" i="145" s="1"/>
  <c r="T28" i="147" s="1"/>
  <c r="T133" i="147" s="1"/>
  <c r="T75" i="142"/>
  <c r="T87" i="142" s="1"/>
  <c r="O276" i="141"/>
  <c r="O74" i="142" s="1"/>
  <c r="O86" i="142" s="1"/>
  <c r="O297" i="141"/>
  <c r="O109" i="145" s="1"/>
  <c r="O214" i="145" s="1"/>
  <c r="O86" i="147" s="1"/>
  <c r="O191" i="147" s="1"/>
  <c r="O272" i="141"/>
  <c r="O81" i="145" s="1"/>
  <c r="O152" i="145" s="1"/>
  <c r="O302" i="141"/>
  <c r="O114" i="145" s="1"/>
  <c r="O219" i="145" s="1"/>
  <c r="O91" i="147" s="1"/>
  <c r="O196" i="147" s="1"/>
  <c r="O289" i="141"/>
  <c r="O100" i="145" s="1"/>
  <c r="O188" i="145" s="1"/>
  <c r="O59" i="147" s="1"/>
  <c r="O164" i="147" s="1"/>
  <c r="O274" i="141"/>
  <c r="O72" i="142" s="1"/>
  <c r="O84" i="142" s="1"/>
  <c r="O77" i="150"/>
  <c r="O294" i="141"/>
  <c r="O105" i="145" s="1"/>
  <c r="O210" i="145" s="1"/>
  <c r="O82" i="147" s="1"/>
  <c r="O187" i="147" s="1"/>
  <c r="O300" i="141"/>
  <c r="O122" i="142" s="1"/>
  <c r="O134" i="142" s="1"/>
  <c r="O290" i="141"/>
  <c r="O100" i="142" s="1"/>
  <c r="O112" i="142" s="1"/>
  <c r="O301" i="141"/>
  <c r="O113" i="145" s="1"/>
  <c r="O218" i="145" s="1"/>
  <c r="O90" i="147" s="1"/>
  <c r="O195" i="147" s="1"/>
  <c r="O299" i="141"/>
  <c r="O111" i="145" s="1"/>
  <c r="O216" i="145" s="1"/>
  <c r="O88" i="147" s="1"/>
  <c r="O193" i="147" s="1"/>
  <c r="O284" i="141"/>
  <c r="O94" i="142" s="1"/>
  <c r="O106" i="142" s="1"/>
  <c r="O75" i="150"/>
  <c r="N77" i="150"/>
  <c r="N72" i="150"/>
  <c r="O78" i="150"/>
  <c r="O73" i="150"/>
  <c r="P75" i="150"/>
  <c r="O76" i="150"/>
  <c r="P76" i="150"/>
  <c r="P77" i="150"/>
  <c r="P73" i="150"/>
  <c r="P78" i="150"/>
  <c r="U108" i="144"/>
  <c r="Q76" i="142"/>
  <c r="Q88" i="142" s="1"/>
  <c r="Q88" i="145"/>
  <c r="Q159" i="145" s="1"/>
  <c r="Q29" i="147" s="1"/>
  <c r="Q134" i="147" s="1"/>
  <c r="Q100" i="142"/>
  <c r="Q112" i="142" s="1"/>
  <c r="Q101" i="145"/>
  <c r="Q189" i="145" s="1"/>
  <c r="Q60" i="147" s="1"/>
  <c r="Q165" i="147" s="1"/>
  <c r="Q95" i="142"/>
  <c r="Q107" i="142" s="1"/>
  <c r="Q96" i="145"/>
  <c r="Q184" i="145" s="1"/>
  <c r="Q55" i="147" s="1"/>
  <c r="Q160" i="147" s="1"/>
  <c r="Q112" i="145"/>
  <c r="Q217" i="145" s="1"/>
  <c r="Q89" i="147" s="1"/>
  <c r="Q194" i="147" s="1"/>
  <c r="Q122" i="142"/>
  <c r="Q134" i="142" s="1"/>
  <c r="Q97" i="145"/>
  <c r="Q185" i="145" s="1"/>
  <c r="Q56" i="147" s="1"/>
  <c r="Q161" i="147" s="1"/>
  <c r="Q96" i="142"/>
  <c r="Q108" i="142" s="1"/>
  <c r="Q121" i="142"/>
  <c r="Q133" i="142" s="1"/>
  <c r="Q111" i="145"/>
  <c r="Q216" i="145" s="1"/>
  <c r="Q88" i="147" s="1"/>
  <c r="Q193" i="147" s="1"/>
  <c r="Q123" i="142"/>
  <c r="Q135" i="142" s="1"/>
  <c r="Q113" i="145"/>
  <c r="Q218" i="145" s="1"/>
  <c r="Q90" i="147" s="1"/>
  <c r="Q195" i="147" s="1"/>
  <c r="L77" i="141"/>
  <c r="L83" i="141" s="1"/>
  <c r="L91" i="141" s="1"/>
  <c r="L93" i="141" s="1"/>
  <c r="M77" i="141"/>
  <c r="M83" i="141" s="1"/>
  <c r="M91" i="141" s="1"/>
  <c r="M93" i="141" s="1"/>
  <c r="K77" i="141"/>
  <c r="K83" i="141" s="1"/>
  <c r="K91" i="141" s="1"/>
  <c r="K93" i="141" s="1"/>
  <c r="J77" i="141"/>
  <c r="J83" i="141" s="1"/>
  <c r="J91" i="141" s="1"/>
  <c r="J93" i="141" s="1"/>
  <c r="H38" i="143" a="1"/>
  <c r="H38" i="143" s="1"/>
  <c r="O120" i="142"/>
  <c r="O132" i="142" s="1"/>
  <c r="O110" i="145"/>
  <c r="O215" i="145" s="1"/>
  <c r="O87" i="147" s="1"/>
  <c r="O192" i="147" s="1"/>
  <c r="T108" i="144"/>
  <c r="Q74" i="142"/>
  <c r="Q86" i="142" s="1"/>
  <c r="Q86" i="145"/>
  <c r="Q157" i="145" s="1"/>
  <c r="Q27" i="147" s="1"/>
  <c r="Q132" i="147" s="1"/>
  <c r="Q118" i="142"/>
  <c r="Q130" i="142" s="1"/>
  <c r="Q108" i="145"/>
  <c r="Q213" i="145" s="1"/>
  <c r="Q85" i="147" s="1"/>
  <c r="Q190" i="147" s="1"/>
  <c r="Q106" i="145"/>
  <c r="Q211" i="145" s="1"/>
  <c r="Q83" i="147" s="1"/>
  <c r="Q188" i="147" s="1"/>
  <c r="Q116" i="142"/>
  <c r="Q128" i="142" s="1"/>
  <c r="Q105" i="145"/>
  <c r="Q210" i="145" s="1"/>
  <c r="Q82" i="147" s="1"/>
  <c r="Q187" i="147" s="1"/>
  <c r="Q99" i="145"/>
  <c r="Q187" i="145" s="1"/>
  <c r="Q58" i="147" s="1"/>
  <c r="Q163" i="147" s="1"/>
  <c r="Q98" i="142"/>
  <c r="Q110" i="142" s="1"/>
  <c r="Q78" i="142"/>
  <c r="Q90" i="142" s="1"/>
  <c r="Q90" i="145"/>
  <c r="Q161" i="145" s="1"/>
  <c r="Q31" i="147" s="1"/>
  <c r="Q136" i="147" s="1"/>
  <c r="Q94" i="145"/>
  <c r="Q182" i="145" s="1"/>
  <c r="Q53" i="147" s="1"/>
  <c r="Q158" i="147" s="1"/>
  <c r="Q93" i="145"/>
  <c r="Q181" i="145" s="1"/>
  <c r="Q52" i="147" s="1"/>
  <c r="Q157" i="147" s="1"/>
  <c r="Q93" i="142"/>
  <c r="Q105" i="142" s="1"/>
  <c r="Q99" i="142"/>
  <c r="Q111" i="142" s="1"/>
  <c r="Q100" i="145"/>
  <c r="Q188" i="145" s="1"/>
  <c r="Q59" i="147" s="1"/>
  <c r="Q164" i="147" s="1"/>
  <c r="P72" i="150"/>
  <c r="N74" i="150"/>
  <c r="M104" i="150" s="1"/>
  <c r="M136" i="150" s="1"/>
  <c r="P283" i="141"/>
  <c r="P273" i="141"/>
  <c r="P290" i="141"/>
  <c r="P274" i="141"/>
  <c r="P289" i="141"/>
  <c r="P285" i="141"/>
  <c r="P277" i="141"/>
  <c r="P299" i="141"/>
  <c r="P286" i="141"/>
  <c r="P296" i="141"/>
  <c r="P302" i="141"/>
  <c r="P288" i="141"/>
  <c r="P276" i="141"/>
  <c r="P301" i="141"/>
  <c r="P291" i="141"/>
  <c r="P275" i="141"/>
  <c r="P295" i="141"/>
  <c r="P287" i="141"/>
  <c r="P278" i="141"/>
  <c r="P298" i="141"/>
  <c r="P294" i="141"/>
  <c r="P279" i="141"/>
  <c r="P300" i="141"/>
  <c r="P297" i="141"/>
  <c r="P284" i="141"/>
  <c r="P272" i="141"/>
  <c r="P280" i="141"/>
  <c r="N78" i="150"/>
  <c r="Q114" i="145"/>
  <c r="Q219" i="145" s="1"/>
  <c r="Q91" i="147" s="1"/>
  <c r="Q196" i="147" s="1"/>
  <c r="Q124" i="142"/>
  <c r="Q136" i="142" s="1"/>
  <c r="Q120" i="142"/>
  <c r="Q132" i="142" s="1"/>
  <c r="Q110" i="145"/>
  <c r="Q215" i="145" s="1"/>
  <c r="Q87" i="147" s="1"/>
  <c r="Q192" i="147" s="1"/>
  <c r="Q77" i="142"/>
  <c r="Q89" i="142" s="1"/>
  <c r="Q89" i="145"/>
  <c r="Q160" i="145" s="1"/>
  <c r="Q30" i="147" s="1"/>
  <c r="Q135" i="147" s="1"/>
  <c r="Q107" i="145"/>
  <c r="Q212" i="145" s="1"/>
  <c r="Q84" i="147" s="1"/>
  <c r="Q189" i="147" s="1"/>
  <c r="Q117" i="142"/>
  <c r="Q129" i="142" s="1"/>
  <c r="Q71" i="142"/>
  <c r="Q83" i="142" s="1"/>
  <c r="Q83" i="145"/>
  <c r="Q154" i="145" s="1"/>
  <c r="Q24" i="147" s="1"/>
  <c r="Q129" i="147" s="1"/>
  <c r="Q73" i="142"/>
  <c r="Q85" i="142" s="1"/>
  <c r="Q85" i="145"/>
  <c r="Q156" i="145" s="1"/>
  <c r="Q26" i="147" s="1"/>
  <c r="Q131" i="147" s="1"/>
  <c r="N76" i="150"/>
  <c r="N73" i="150"/>
  <c r="N112" i="145"/>
  <c r="N217" i="145" s="1"/>
  <c r="N89" i="147" s="1"/>
  <c r="N194" i="147" s="1"/>
  <c r="N122" i="142"/>
  <c r="N134" i="142" s="1"/>
  <c r="Q94" i="142"/>
  <c r="Q106" i="142" s="1"/>
  <c r="Q95" i="145"/>
  <c r="Q183" i="145" s="1"/>
  <c r="Q54" i="147" s="1"/>
  <c r="Q159" i="147" s="1"/>
  <c r="Q97" i="142"/>
  <c r="Q109" i="142" s="1"/>
  <c r="Q98" i="145"/>
  <c r="Q186" i="145" s="1"/>
  <c r="Q57" i="147" s="1"/>
  <c r="Q162" i="147" s="1"/>
  <c r="Q119" i="142"/>
  <c r="Q131" i="142" s="1"/>
  <c r="Q109" i="145"/>
  <c r="Q214" i="145" s="1"/>
  <c r="Q86" i="147" s="1"/>
  <c r="Q191" i="147" s="1"/>
  <c r="Q84" i="145"/>
  <c r="Q155" i="145" s="1"/>
  <c r="Q25" i="147" s="1"/>
  <c r="Q130" i="147" s="1"/>
  <c r="Q72" i="142"/>
  <c r="Q84" i="142" s="1"/>
  <c r="Q75" i="142"/>
  <c r="Q87" i="142" s="1"/>
  <c r="Q87" i="145"/>
  <c r="Q158" i="145" s="1"/>
  <c r="Q28" i="147" s="1"/>
  <c r="Q133" i="147" s="1"/>
  <c r="Q70" i="142"/>
  <c r="Q82" i="142" s="1"/>
  <c r="Q82" i="145"/>
  <c r="Q153" i="145" s="1"/>
  <c r="Q23" i="147" s="1"/>
  <c r="Q128" i="147" s="1"/>
  <c r="Q81" i="145"/>
  <c r="Q152" i="145" s="1"/>
  <c r="Q101" i="142"/>
  <c r="Q113" i="142" s="1"/>
  <c r="Q102" i="145"/>
  <c r="Q190" i="145" s="1"/>
  <c r="Q61" i="147" s="1"/>
  <c r="Q166" i="147" s="1"/>
  <c r="N119" i="142"/>
  <c r="N131" i="142" s="1"/>
  <c r="V99" i="145" l="1"/>
  <c r="V187" i="145" s="1"/>
  <c r="V58" i="147" s="1"/>
  <c r="V163" i="147" s="1"/>
  <c r="V117" i="142"/>
  <c r="V129" i="142" s="1"/>
  <c r="V106" i="145"/>
  <c r="V211" i="145" s="1"/>
  <c r="V83" i="147" s="1"/>
  <c r="V188" i="147" s="1"/>
  <c r="V94" i="142"/>
  <c r="V106" i="142" s="1"/>
  <c r="V143" i="142" s="1"/>
  <c r="V169" i="142" s="1"/>
  <c r="V270" i="142" s="1"/>
  <c r="V124" i="142"/>
  <c r="V136" i="142" s="1"/>
  <c r="V97" i="142"/>
  <c r="V109" i="142" s="1"/>
  <c r="V112" i="145"/>
  <c r="V217" i="145" s="1"/>
  <c r="V89" i="147" s="1"/>
  <c r="V194" i="147" s="1"/>
  <c r="N105" i="145"/>
  <c r="N210" i="145" s="1"/>
  <c r="N82" i="147" s="1"/>
  <c r="N187" i="147" s="1"/>
  <c r="N116" i="142"/>
  <c r="N128" i="142" s="1"/>
  <c r="V101" i="142"/>
  <c r="V113" i="142" s="1"/>
  <c r="V96" i="145"/>
  <c r="V184" i="145" s="1"/>
  <c r="V55" i="147" s="1"/>
  <c r="V160" i="147" s="1"/>
  <c r="W70" i="142"/>
  <c r="W82" i="142" s="1"/>
  <c r="W142" i="142" s="1"/>
  <c r="W168" i="142" s="1"/>
  <c r="V88" i="145"/>
  <c r="V159" i="145" s="1"/>
  <c r="V29" i="147" s="1"/>
  <c r="V134" i="147" s="1"/>
  <c r="T108" i="145"/>
  <c r="T213" i="145" s="1"/>
  <c r="T85" i="147" s="1"/>
  <c r="T190" i="147" s="1"/>
  <c r="W105" i="145"/>
  <c r="W210" i="145" s="1"/>
  <c r="W82" i="147" s="1"/>
  <c r="W187" i="147" s="1"/>
  <c r="T78" i="142"/>
  <c r="T90" i="142" s="1"/>
  <c r="T150" i="142" s="1"/>
  <c r="N87" i="145"/>
  <c r="N158" i="145" s="1"/>
  <c r="N28" i="147" s="1"/>
  <c r="N133" i="147" s="1"/>
  <c r="T124" i="142"/>
  <c r="T136" i="142" s="1"/>
  <c r="N96" i="142"/>
  <c r="N108" i="142" s="1"/>
  <c r="N145" i="142" s="1"/>
  <c r="N171" i="142" s="1"/>
  <c r="N272" i="142" s="1"/>
  <c r="N74" i="142"/>
  <c r="N86" i="142" s="1"/>
  <c r="W94" i="142"/>
  <c r="W106" i="142" s="1"/>
  <c r="N72" i="142"/>
  <c r="N84" i="142" s="1"/>
  <c r="N114" i="145"/>
  <c r="N219" i="145" s="1"/>
  <c r="N91" i="147" s="1"/>
  <c r="N196" i="147" s="1"/>
  <c r="W81" i="145"/>
  <c r="W152" i="145" s="1"/>
  <c r="W22" i="147" s="1"/>
  <c r="W127" i="147" s="1"/>
  <c r="W106" i="145"/>
  <c r="W211" i="145" s="1"/>
  <c r="W83" i="147" s="1"/>
  <c r="W188" i="147" s="1"/>
  <c r="W123" i="142"/>
  <c r="W135" i="142" s="1"/>
  <c r="J102" i="150"/>
  <c r="J134" i="150" s="1"/>
  <c r="W96" i="142"/>
  <c r="W108" i="142" s="1"/>
  <c r="N100" i="142"/>
  <c r="N112" i="142" s="1"/>
  <c r="W73" i="142"/>
  <c r="W85" i="142" s="1"/>
  <c r="W110" i="145"/>
  <c r="W215" i="145" s="1"/>
  <c r="W87" i="147" s="1"/>
  <c r="W192" i="147" s="1"/>
  <c r="N85" i="145"/>
  <c r="N156" i="145" s="1"/>
  <c r="N26" i="147" s="1"/>
  <c r="N131" i="147" s="1"/>
  <c r="N82" i="145"/>
  <c r="N153" i="145" s="1"/>
  <c r="N23" i="147" s="1"/>
  <c r="N128" i="147" s="1"/>
  <c r="W71" i="142"/>
  <c r="W83" i="142" s="1"/>
  <c r="N95" i="142"/>
  <c r="N107" i="142" s="1"/>
  <c r="W75" i="142"/>
  <c r="W87" i="142" s="1"/>
  <c r="T102" i="145"/>
  <c r="T190" i="145" s="1"/>
  <c r="T61" i="147" s="1"/>
  <c r="T166" i="147" s="1"/>
  <c r="W121" i="142"/>
  <c r="W133" i="142" s="1"/>
  <c r="N99" i="142"/>
  <c r="N111" i="142" s="1"/>
  <c r="N148" i="142" s="1"/>
  <c r="N174" i="142" s="1"/>
  <c r="N275" i="142" s="1"/>
  <c r="N88" i="145"/>
  <c r="N159" i="145" s="1"/>
  <c r="N29" i="147" s="1"/>
  <c r="N134" i="147" s="1"/>
  <c r="N93" i="142"/>
  <c r="N105" i="142" s="1"/>
  <c r="N142" i="142" s="1"/>
  <c r="N168" i="142" s="1"/>
  <c r="N269" i="142" s="1"/>
  <c r="N113" i="145"/>
  <c r="N218" i="145" s="1"/>
  <c r="N90" i="147" s="1"/>
  <c r="N195" i="147" s="1"/>
  <c r="T121" i="142"/>
  <c r="T133" i="142" s="1"/>
  <c r="T147" i="142" s="1"/>
  <c r="T173" i="142" s="1"/>
  <c r="T274" i="142" s="1"/>
  <c r="N102" i="145"/>
  <c r="N190" i="145" s="1"/>
  <c r="N61" i="147" s="1"/>
  <c r="N166" i="147" s="1"/>
  <c r="N98" i="145"/>
  <c r="N186" i="145" s="1"/>
  <c r="N57" i="147" s="1"/>
  <c r="N162" i="147" s="1"/>
  <c r="O73" i="142"/>
  <c r="O85" i="142" s="1"/>
  <c r="W119" i="142"/>
  <c r="W131" i="142" s="1"/>
  <c r="T117" i="142"/>
  <c r="T129" i="142" s="1"/>
  <c r="T143" i="142" s="1"/>
  <c r="T169" i="142" s="1"/>
  <c r="T270" i="142" s="1"/>
  <c r="T85" i="145"/>
  <c r="T156" i="145" s="1"/>
  <c r="T26" i="147" s="1"/>
  <c r="T131" i="147" s="1"/>
  <c r="N81" i="145"/>
  <c r="N152" i="145" s="1"/>
  <c r="N22" i="147" s="1"/>
  <c r="N127" i="147" s="1"/>
  <c r="O88" i="145"/>
  <c r="O159" i="145" s="1"/>
  <c r="O29" i="147" s="1"/>
  <c r="O134" i="147" s="1"/>
  <c r="W107" i="145"/>
  <c r="W212" i="145" s="1"/>
  <c r="W84" i="147" s="1"/>
  <c r="W189" i="147" s="1"/>
  <c r="W98" i="145"/>
  <c r="W186" i="145" s="1"/>
  <c r="W57" i="147" s="1"/>
  <c r="W162" i="147" s="1"/>
  <c r="T95" i="142"/>
  <c r="T107" i="142" s="1"/>
  <c r="T144" i="142" s="1"/>
  <c r="T170" i="142" s="1"/>
  <c r="T271" i="142" s="1"/>
  <c r="N71" i="142"/>
  <c r="N83" i="142" s="1"/>
  <c r="N78" i="142"/>
  <c r="N90" i="142" s="1"/>
  <c r="N150" i="142" s="1"/>
  <c r="T116" i="142"/>
  <c r="T128" i="142" s="1"/>
  <c r="W89" i="145"/>
  <c r="W160" i="145" s="1"/>
  <c r="W30" i="147" s="1"/>
  <c r="W135" i="147" s="1"/>
  <c r="O82" i="145"/>
  <c r="O153" i="145" s="1"/>
  <c r="O23" i="147" s="1"/>
  <c r="O128" i="147" s="1"/>
  <c r="W78" i="142"/>
  <c r="W90" i="142" s="1"/>
  <c r="N94" i="145"/>
  <c r="N182" i="145" s="1"/>
  <c r="N53" i="147" s="1"/>
  <c r="N158" i="147" s="1"/>
  <c r="W94" i="145"/>
  <c r="W182" i="145" s="1"/>
  <c r="W53" i="147" s="1"/>
  <c r="W158" i="147" s="1"/>
  <c r="T122" i="142"/>
  <c r="T134" i="142" s="1"/>
  <c r="T76" i="142"/>
  <c r="T88" i="142" s="1"/>
  <c r="N94" i="142"/>
  <c r="N106" i="142" s="1"/>
  <c r="N120" i="142"/>
  <c r="N132" i="142" s="1"/>
  <c r="T106" i="145"/>
  <c r="T211" i="145" s="1"/>
  <c r="T83" i="147" s="1"/>
  <c r="T188" i="147" s="1"/>
  <c r="W98" i="142"/>
  <c r="W110" i="142" s="1"/>
  <c r="W99" i="142"/>
  <c r="W111" i="142" s="1"/>
  <c r="W93" i="145"/>
  <c r="W181" i="145" s="1"/>
  <c r="W52" i="147" s="1"/>
  <c r="W157" i="147" s="1"/>
  <c r="W86" i="145"/>
  <c r="W157" i="145" s="1"/>
  <c r="W27" i="147" s="1"/>
  <c r="W132" i="147" s="1"/>
  <c r="T109" i="145"/>
  <c r="T214" i="145" s="1"/>
  <c r="T86" i="147" s="1"/>
  <c r="T191" i="147" s="1"/>
  <c r="T83" i="145"/>
  <c r="T154" i="145" s="1"/>
  <c r="T24" i="147" s="1"/>
  <c r="T129" i="147" s="1"/>
  <c r="W102" i="145"/>
  <c r="W190" i="145" s="1"/>
  <c r="W61" i="147" s="1"/>
  <c r="W166" i="147" s="1"/>
  <c r="N121" i="142"/>
  <c r="N133" i="142" s="1"/>
  <c r="W122" i="142"/>
  <c r="W134" i="142" s="1"/>
  <c r="W124" i="142"/>
  <c r="W136" i="142" s="1"/>
  <c r="W96" i="145"/>
  <c r="W184" i="145" s="1"/>
  <c r="W55" i="147" s="1"/>
  <c r="W160" i="147" s="1"/>
  <c r="W88" i="145"/>
  <c r="W159" i="145" s="1"/>
  <c r="W29" i="147" s="1"/>
  <c r="W134" i="147" s="1"/>
  <c r="T89" i="145"/>
  <c r="T160" i="145" s="1"/>
  <c r="T30" i="147" s="1"/>
  <c r="T135" i="147" s="1"/>
  <c r="T120" i="142"/>
  <c r="T132" i="142" s="1"/>
  <c r="T93" i="142"/>
  <c r="T105" i="142" s="1"/>
  <c r="O119" i="142"/>
  <c r="O131" i="142" s="1"/>
  <c r="N118" i="142"/>
  <c r="N130" i="142" s="1"/>
  <c r="T81" i="145"/>
  <c r="T152" i="145" s="1"/>
  <c r="T22" i="147" s="1"/>
  <c r="T127" i="147" s="1"/>
  <c r="T86" i="145"/>
  <c r="T157" i="145" s="1"/>
  <c r="T27" i="147" s="1"/>
  <c r="T132" i="147" s="1"/>
  <c r="O99" i="145"/>
  <c r="O187" i="145" s="1"/>
  <c r="O58" i="147" s="1"/>
  <c r="O163" i="147" s="1"/>
  <c r="T101" i="145"/>
  <c r="T189" i="145" s="1"/>
  <c r="T60" i="147" s="1"/>
  <c r="T165" i="147" s="1"/>
  <c r="N98" i="142"/>
  <c r="N110" i="142" s="1"/>
  <c r="T97" i="142"/>
  <c r="T109" i="142" s="1"/>
  <c r="T84" i="145"/>
  <c r="T155" i="145" s="1"/>
  <c r="T25" i="147" s="1"/>
  <c r="T130" i="147" s="1"/>
  <c r="N77" i="142"/>
  <c r="N89" i="142" s="1"/>
  <c r="N117" i="142"/>
  <c r="N129" i="142" s="1"/>
  <c r="O95" i="142"/>
  <c r="O107" i="142" s="1"/>
  <c r="O71" i="142"/>
  <c r="O83" i="142" s="1"/>
  <c r="O143" i="142" s="1"/>
  <c r="O169" i="142" s="1"/>
  <c r="O270" i="142" s="1"/>
  <c r="T94" i="145"/>
  <c r="T182" i="145" s="1"/>
  <c r="T53" i="147" s="1"/>
  <c r="T158" i="147" s="1"/>
  <c r="T97" i="145"/>
  <c r="T185" i="145" s="1"/>
  <c r="T56" i="147" s="1"/>
  <c r="T161" i="147" s="1"/>
  <c r="T123" i="142"/>
  <c r="T135" i="142" s="1"/>
  <c r="T149" i="142" s="1"/>
  <c r="T175" i="142" s="1"/>
  <c r="T276" i="142" s="1"/>
  <c r="T95" i="145"/>
  <c r="T183" i="145" s="1"/>
  <c r="T54" i="147" s="1"/>
  <c r="T159" i="147" s="1"/>
  <c r="O118" i="142"/>
  <c r="O130" i="142" s="1"/>
  <c r="O98" i="145"/>
  <c r="O186" i="145" s="1"/>
  <c r="O57" i="147" s="1"/>
  <c r="O162" i="147" s="1"/>
  <c r="V142" i="142"/>
  <c r="V168" i="142" s="1"/>
  <c r="V269" i="142" s="1"/>
  <c r="T82" i="145"/>
  <c r="T153" i="145" s="1"/>
  <c r="T23" i="147" s="1"/>
  <c r="T128" i="147" s="1"/>
  <c r="T99" i="145"/>
  <c r="T187" i="145" s="1"/>
  <c r="T58" i="147" s="1"/>
  <c r="T163" i="147" s="1"/>
  <c r="T99" i="142"/>
  <c r="T111" i="142" s="1"/>
  <c r="O86" i="145"/>
  <c r="O157" i="145" s="1"/>
  <c r="O27" i="147" s="1"/>
  <c r="O132" i="147" s="1"/>
  <c r="O112" i="145"/>
  <c r="O217" i="145" s="1"/>
  <c r="O89" i="147" s="1"/>
  <c r="O194" i="147" s="1"/>
  <c r="O78" i="142"/>
  <c r="O90" i="142" s="1"/>
  <c r="O96" i="142"/>
  <c r="O108" i="142" s="1"/>
  <c r="O70" i="142"/>
  <c r="O82" i="142" s="1"/>
  <c r="O93" i="142"/>
  <c r="O105" i="142" s="1"/>
  <c r="O101" i="142"/>
  <c r="O113" i="142" s="1"/>
  <c r="Y145" i="142"/>
  <c r="Y171" i="142" s="1"/>
  <c r="Y272" i="142" s="1"/>
  <c r="O75" i="142"/>
  <c r="O87" i="142" s="1"/>
  <c r="O93" i="145"/>
  <c r="O181" i="145" s="1"/>
  <c r="O52" i="147" s="1"/>
  <c r="O157" i="147" s="1"/>
  <c r="W146" i="142"/>
  <c r="W172" i="142" s="1"/>
  <c r="W273" i="142" s="1"/>
  <c r="O89" i="145"/>
  <c r="O160" i="145" s="1"/>
  <c r="O30" i="147" s="1"/>
  <c r="O135" i="147" s="1"/>
  <c r="O95" i="145"/>
  <c r="O183" i="145" s="1"/>
  <c r="O54" i="147" s="1"/>
  <c r="O159" i="147" s="1"/>
  <c r="U145" i="142"/>
  <c r="U171" i="142" s="1"/>
  <c r="U272" i="142" s="1"/>
  <c r="S146" i="142"/>
  <c r="S172" i="142" s="1"/>
  <c r="S273" i="142" s="1"/>
  <c r="J106" i="150"/>
  <c r="J138" i="150" s="1"/>
  <c r="O99" i="142"/>
  <c r="O111" i="142" s="1"/>
  <c r="O148" i="142" s="1"/>
  <c r="O174" i="142" s="1"/>
  <c r="O275" i="142" s="1"/>
  <c r="O123" i="142"/>
  <c r="O135" i="142" s="1"/>
  <c r="O149" i="142" s="1"/>
  <c r="O175" i="142" s="1"/>
  <c r="O276" i="142" s="1"/>
  <c r="Y142" i="142"/>
  <c r="Y168" i="142" s="1"/>
  <c r="Y269" i="142" s="1"/>
  <c r="S147" i="142"/>
  <c r="S173" i="142" s="1"/>
  <c r="S274" i="142" s="1"/>
  <c r="O107" i="145"/>
  <c r="O212" i="145" s="1"/>
  <c r="O84" i="147" s="1"/>
  <c r="O189" i="147" s="1"/>
  <c r="X145" i="142"/>
  <c r="X171" i="142" s="1"/>
  <c r="X272" i="142" s="1"/>
  <c r="S143" i="142"/>
  <c r="S169" i="142" s="1"/>
  <c r="S270" i="142" s="1"/>
  <c r="A4" i="143"/>
  <c r="J47" i="55"/>
  <c r="L107" i="150"/>
  <c r="L139" i="150" s="1"/>
  <c r="L105" i="150"/>
  <c r="L137" i="150" s="1"/>
  <c r="S142" i="142"/>
  <c r="S168" i="142" s="1"/>
  <c r="S269" i="142" s="1"/>
  <c r="Y143" i="142"/>
  <c r="Y169" i="142" s="1"/>
  <c r="Y270" i="142" s="1"/>
  <c r="O84" i="145"/>
  <c r="O155" i="145" s="1"/>
  <c r="O25" i="147" s="1"/>
  <c r="O130" i="147" s="1"/>
  <c r="J103" i="150"/>
  <c r="J135" i="150" s="1"/>
  <c r="X144" i="142"/>
  <c r="X170" i="142" s="1"/>
  <c r="X271" i="142" s="1"/>
  <c r="J108" i="150"/>
  <c r="J140" i="150" s="1"/>
  <c r="J107" i="150"/>
  <c r="J139" i="150" s="1"/>
  <c r="V144" i="142"/>
  <c r="V170" i="142" s="1"/>
  <c r="V271" i="142" s="1"/>
  <c r="U144" i="142"/>
  <c r="U170" i="142" s="1"/>
  <c r="U271" i="142" s="1"/>
  <c r="S148" i="142"/>
  <c r="S174" i="142" s="1"/>
  <c r="S275" i="142" s="1"/>
  <c r="U150" i="142"/>
  <c r="U208" i="142" s="1"/>
  <c r="V146" i="142"/>
  <c r="V172" i="142" s="1"/>
  <c r="V273" i="142" s="1"/>
  <c r="O101" i="145"/>
  <c r="O189" i="145" s="1"/>
  <c r="O60" i="147" s="1"/>
  <c r="O165" i="147" s="1"/>
  <c r="K105" i="150"/>
  <c r="K137" i="150" s="1"/>
  <c r="L104" i="150"/>
  <c r="L136" i="150" s="1"/>
  <c r="S150" i="142"/>
  <c r="Y146" i="142"/>
  <c r="Y172" i="142" s="1"/>
  <c r="Y273" i="142" s="1"/>
  <c r="U147" i="142"/>
  <c r="U173" i="142" s="1"/>
  <c r="U274" i="142" s="1"/>
  <c r="X149" i="142"/>
  <c r="X175" i="142" s="1"/>
  <c r="X276" i="142" s="1"/>
  <c r="Y147" i="142"/>
  <c r="Y173" i="142" s="1"/>
  <c r="Y274" i="142" s="1"/>
  <c r="T145" i="142"/>
  <c r="T171" i="142" s="1"/>
  <c r="T272" i="142" s="1"/>
  <c r="V145" i="142"/>
  <c r="V171" i="142" s="1"/>
  <c r="V272" i="142" s="1"/>
  <c r="R70" i="142"/>
  <c r="R82" i="142" s="1"/>
  <c r="R81" i="145"/>
  <c r="R152" i="145" s="1"/>
  <c r="R22" i="147" s="1"/>
  <c r="R127" i="147" s="1"/>
  <c r="R82" i="145"/>
  <c r="R153" i="145" s="1"/>
  <c r="R23" i="147" s="1"/>
  <c r="R128" i="147" s="1"/>
  <c r="R95" i="145"/>
  <c r="R183" i="145" s="1"/>
  <c r="R54" i="147" s="1"/>
  <c r="R159" i="147" s="1"/>
  <c r="R94" i="142"/>
  <c r="R106" i="142" s="1"/>
  <c r="R96" i="142"/>
  <c r="R108" i="142" s="1"/>
  <c r="R97" i="145"/>
  <c r="R185" i="145" s="1"/>
  <c r="R56" i="147" s="1"/>
  <c r="R161" i="147" s="1"/>
  <c r="R76" i="142"/>
  <c r="R88" i="142" s="1"/>
  <c r="R88" i="145"/>
  <c r="R159" i="145" s="1"/>
  <c r="R29" i="147" s="1"/>
  <c r="R134" i="147" s="1"/>
  <c r="R100" i="142"/>
  <c r="R112" i="142" s="1"/>
  <c r="R101" i="145"/>
  <c r="R189" i="145" s="1"/>
  <c r="R60" i="147" s="1"/>
  <c r="R165" i="147" s="1"/>
  <c r="R110" i="145"/>
  <c r="R215" i="145" s="1"/>
  <c r="R87" i="147" s="1"/>
  <c r="R192" i="147" s="1"/>
  <c r="R120" i="142"/>
  <c r="R132" i="142" s="1"/>
  <c r="U148" i="142"/>
  <c r="U174" i="142" s="1"/>
  <c r="U275" i="142" s="1"/>
  <c r="U149" i="142"/>
  <c r="U175" i="142" s="1"/>
  <c r="U276" i="142" s="1"/>
  <c r="L102" i="150"/>
  <c r="L134" i="150" s="1"/>
  <c r="L108" i="150"/>
  <c r="L140" i="150" s="1"/>
  <c r="U146" i="142"/>
  <c r="U172" i="142" s="1"/>
  <c r="U273" i="142" s="1"/>
  <c r="S145" i="142"/>
  <c r="S171" i="142" s="1"/>
  <c r="S272" i="142" s="1"/>
  <c r="X150" i="142"/>
  <c r="X143" i="142"/>
  <c r="X169" i="142" s="1"/>
  <c r="X270" i="142" s="1"/>
  <c r="U143" i="142"/>
  <c r="U169" i="142" s="1"/>
  <c r="U270" i="142" s="1"/>
  <c r="Y148" i="142"/>
  <c r="Y174" i="142" s="1"/>
  <c r="Y275" i="142" s="1"/>
  <c r="V147" i="142"/>
  <c r="V173" i="142" s="1"/>
  <c r="V274" i="142" s="1"/>
  <c r="V149" i="142"/>
  <c r="V175" i="142" s="1"/>
  <c r="V276" i="142" s="1"/>
  <c r="R100" i="145"/>
  <c r="R188" i="145" s="1"/>
  <c r="R59" i="147" s="1"/>
  <c r="R164" i="147" s="1"/>
  <c r="R99" i="142"/>
  <c r="R111" i="142" s="1"/>
  <c r="R114" i="145"/>
  <c r="R219" i="145" s="1"/>
  <c r="R91" i="147" s="1"/>
  <c r="R196" i="147" s="1"/>
  <c r="R124" i="142"/>
  <c r="R136" i="142" s="1"/>
  <c r="R83" i="145"/>
  <c r="R154" i="145" s="1"/>
  <c r="R24" i="147" s="1"/>
  <c r="R129" i="147" s="1"/>
  <c r="R71" i="142"/>
  <c r="R83" i="142" s="1"/>
  <c r="R86" i="145"/>
  <c r="R157" i="145" s="1"/>
  <c r="R27" i="147" s="1"/>
  <c r="R132" i="147" s="1"/>
  <c r="R74" i="142"/>
  <c r="R86" i="142" s="1"/>
  <c r="R122" i="142"/>
  <c r="R134" i="142" s="1"/>
  <c r="R112" i="145"/>
  <c r="R217" i="145" s="1"/>
  <c r="R89" i="147" s="1"/>
  <c r="R194" i="147" s="1"/>
  <c r="R107" i="145"/>
  <c r="R212" i="145" s="1"/>
  <c r="R84" i="147" s="1"/>
  <c r="R189" i="147" s="1"/>
  <c r="R117" i="142"/>
  <c r="R129" i="142" s="1"/>
  <c r="R72" i="142"/>
  <c r="R84" i="142" s="1"/>
  <c r="R84" i="145"/>
  <c r="R155" i="145" s="1"/>
  <c r="R25" i="147" s="1"/>
  <c r="R130" i="147" s="1"/>
  <c r="X147" i="142"/>
  <c r="X173" i="142" s="1"/>
  <c r="X274" i="142" s="1"/>
  <c r="Y150" i="142"/>
  <c r="J105" i="150"/>
  <c r="J137" i="150" s="1"/>
  <c r="L103" i="150"/>
  <c r="L135" i="150" s="1"/>
  <c r="J104" i="150"/>
  <c r="J136" i="150" s="1"/>
  <c r="S144" i="142"/>
  <c r="S170" i="142" s="1"/>
  <c r="S271" i="142" s="1"/>
  <c r="L106" i="150"/>
  <c r="L138" i="150" s="1"/>
  <c r="V150" i="142"/>
  <c r="U142" i="142"/>
  <c r="U168" i="142" s="1"/>
  <c r="U269" i="142" s="1"/>
  <c r="V148" i="142"/>
  <c r="V174" i="142" s="1"/>
  <c r="V275" i="142" s="1"/>
  <c r="S149" i="142"/>
  <c r="S175" i="142" s="1"/>
  <c r="S276" i="142" s="1"/>
  <c r="R111" i="145"/>
  <c r="R216" i="145" s="1"/>
  <c r="R88" i="147" s="1"/>
  <c r="R193" i="147" s="1"/>
  <c r="R121" i="142"/>
  <c r="R133" i="142" s="1"/>
  <c r="R116" i="142"/>
  <c r="R128" i="142" s="1"/>
  <c r="R106" i="145"/>
  <c r="R211" i="145" s="1"/>
  <c r="R83" i="147" s="1"/>
  <c r="R188" i="147" s="1"/>
  <c r="R105" i="145"/>
  <c r="R210" i="145" s="1"/>
  <c r="R82" i="147" s="1"/>
  <c r="R187" i="147" s="1"/>
  <c r="R101" i="142"/>
  <c r="R113" i="142" s="1"/>
  <c r="R102" i="145"/>
  <c r="R190" i="145" s="1"/>
  <c r="R61" i="147" s="1"/>
  <c r="R166" i="147" s="1"/>
  <c r="R98" i="142"/>
  <c r="R110" i="142" s="1"/>
  <c r="R99" i="145"/>
  <c r="R187" i="145" s="1"/>
  <c r="R58" i="147" s="1"/>
  <c r="R163" i="147" s="1"/>
  <c r="R118" i="142"/>
  <c r="R130" i="142" s="1"/>
  <c r="R108" i="145"/>
  <c r="R213" i="145" s="1"/>
  <c r="R85" i="147" s="1"/>
  <c r="R190" i="147" s="1"/>
  <c r="R98" i="145"/>
  <c r="R186" i="145" s="1"/>
  <c r="R57" i="147" s="1"/>
  <c r="R162" i="147" s="1"/>
  <c r="R97" i="142"/>
  <c r="R109" i="142" s="1"/>
  <c r="R109" i="145"/>
  <c r="R214" i="145" s="1"/>
  <c r="R86" i="147" s="1"/>
  <c r="R191" i="147" s="1"/>
  <c r="R119" i="142"/>
  <c r="R131" i="142" s="1"/>
  <c r="X148" i="142"/>
  <c r="X174" i="142" s="1"/>
  <c r="X275" i="142" s="1"/>
  <c r="Y144" i="142"/>
  <c r="Y170" i="142" s="1"/>
  <c r="Y271" i="142" s="1"/>
  <c r="X142" i="142"/>
  <c r="X168" i="142" s="1"/>
  <c r="X269" i="142" s="1"/>
  <c r="W149" i="142"/>
  <c r="W175" i="142" s="1"/>
  <c r="W276" i="142" s="1"/>
  <c r="W144" i="142"/>
  <c r="W170" i="142" s="1"/>
  <c r="W271" i="142" s="1"/>
  <c r="R96" i="145"/>
  <c r="R184" i="145" s="1"/>
  <c r="R55" i="147" s="1"/>
  <c r="R160" i="147" s="1"/>
  <c r="R95" i="142"/>
  <c r="R107" i="142" s="1"/>
  <c r="R85" i="145"/>
  <c r="R156" i="145" s="1"/>
  <c r="R26" i="147" s="1"/>
  <c r="R131" i="147" s="1"/>
  <c r="R73" i="142"/>
  <c r="R85" i="142" s="1"/>
  <c r="R90" i="145"/>
  <c r="R161" i="145" s="1"/>
  <c r="R31" i="147" s="1"/>
  <c r="R136" i="147" s="1"/>
  <c r="R78" i="142"/>
  <c r="R90" i="142" s="1"/>
  <c r="R93" i="142"/>
  <c r="R105" i="142" s="1"/>
  <c r="R93" i="145"/>
  <c r="R181" i="145" s="1"/>
  <c r="R52" i="147" s="1"/>
  <c r="R157" i="147" s="1"/>
  <c r="R94" i="145"/>
  <c r="R182" i="145" s="1"/>
  <c r="R53" i="147" s="1"/>
  <c r="R158" i="147" s="1"/>
  <c r="R75" i="142"/>
  <c r="R87" i="142" s="1"/>
  <c r="R87" i="145"/>
  <c r="R158" i="145" s="1"/>
  <c r="R28" i="147" s="1"/>
  <c r="R133" i="147" s="1"/>
  <c r="R113" i="145"/>
  <c r="R218" i="145" s="1"/>
  <c r="R90" i="147" s="1"/>
  <c r="R195" i="147" s="1"/>
  <c r="R123" i="142"/>
  <c r="R135" i="142" s="1"/>
  <c r="R77" i="142"/>
  <c r="R89" i="142" s="1"/>
  <c r="R89" i="145"/>
  <c r="R160" i="145" s="1"/>
  <c r="R30" i="147" s="1"/>
  <c r="R135" i="147" s="1"/>
  <c r="X146" i="142"/>
  <c r="X172" i="142" s="1"/>
  <c r="X273" i="142" s="1"/>
  <c r="Y149" i="142"/>
  <c r="Y175" i="142" s="1"/>
  <c r="Y276" i="142" s="1"/>
  <c r="O124" i="142"/>
  <c r="O136" i="142" s="1"/>
  <c r="O106" i="145"/>
  <c r="O211" i="145" s="1"/>
  <c r="O83" i="147" s="1"/>
  <c r="O188" i="147" s="1"/>
  <c r="O121" i="142"/>
  <c r="O133" i="142" s="1"/>
  <c r="O116" i="142"/>
  <c r="O128" i="142" s="1"/>
  <c r="N107" i="150"/>
  <c r="N139" i="150" s="1"/>
  <c r="U105" i="150"/>
  <c r="U137" i="150" s="1"/>
  <c r="N105" i="150"/>
  <c r="N137" i="150" s="1"/>
  <c r="R105" i="150"/>
  <c r="R137" i="150" s="1"/>
  <c r="Y105" i="150"/>
  <c r="Y137" i="150" s="1"/>
  <c r="P105" i="150"/>
  <c r="P137" i="150" s="1"/>
  <c r="T105" i="150"/>
  <c r="T137" i="150" s="1"/>
  <c r="M105" i="150"/>
  <c r="M137" i="150" s="1"/>
  <c r="W105" i="150"/>
  <c r="W137" i="150" s="1"/>
  <c r="X105" i="150"/>
  <c r="X137" i="150" s="1"/>
  <c r="V105" i="150"/>
  <c r="V137" i="150" s="1"/>
  <c r="O105" i="150"/>
  <c r="O137" i="150" s="1"/>
  <c r="S105" i="150"/>
  <c r="S137" i="150" s="1"/>
  <c r="P108" i="150"/>
  <c r="P140" i="150" s="1"/>
  <c r="Q142" i="142"/>
  <c r="Q168" i="142" s="1"/>
  <c r="Q269" i="142" s="1"/>
  <c r="Q105" i="150"/>
  <c r="Q137" i="150" s="1"/>
  <c r="O146" i="142"/>
  <c r="O172" i="142" s="1"/>
  <c r="O273" i="142" s="1"/>
  <c r="K103" i="150"/>
  <c r="K135" i="150" s="1"/>
  <c r="K104" i="150"/>
  <c r="K136" i="150" s="1"/>
  <c r="Y107" i="150"/>
  <c r="Y139" i="150" s="1"/>
  <c r="R107" i="150"/>
  <c r="R139" i="150" s="1"/>
  <c r="T104" i="150"/>
  <c r="T136" i="150" s="1"/>
  <c r="S107" i="150"/>
  <c r="S139" i="150" s="1"/>
  <c r="U107" i="150"/>
  <c r="U139" i="150" s="1"/>
  <c r="T107" i="150"/>
  <c r="T139" i="150" s="1"/>
  <c r="X104" i="150"/>
  <c r="X136" i="150" s="1"/>
  <c r="K286" i="141"/>
  <c r="K97" i="145" s="1"/>
  <c r="K185" i="145" s="1"/>
  <c r="K56" i="147" s="1"/>
  <c r="K161" i="147" s="1"/>
  <c r="K300" i="141"/>
  <c r="K112" i="145" s="1"/>
  <c r="K217" i="145" s="1"/>
  <c r="K89" i="147" s="1"/>
  <c r="K194" i="147" s="1"/>
  <c r="K289" i="141"/>
  <c r="K99" i="142" s="1"/>
  <c r="K111" i="142" s="1"/>
  <c r="K278" i="141"/>
  <c r="K88" i="145" s="1"/>
  <c r="K159" i="145" s="1"/>
  <c r="K29" i="147" s="1"/>
  <c r="K134" i="147" s="1"/>
  <c r="K295" i="141"/>
  <c r="K117" i="142" s="1"/>
  <c r="K129" i="142" s="1"/>
  <c r="K287" i="141"/>
  <c r="K98" i="145" s="1"/>
  <c r="K186" i="145" s="1"/>
  <c r="K57" i="147" s="1"/>
  <c r="K162" i="147" s="1"/>
  <c r="K274" i="141"/>
  <c r="K84" i="145" s="1"/>
  <c r="K155" i="145" s="1"/>
  <c r="K25" i="147" s="1"/>
  <c r="K130" i="147" s="1"/>
  <c r="K291" i="141"/>
  <c r="K102" i="145" s="1"/>
  <c r="K190" i="145" s="1"/>
  <c r="K61" i="147" s="1"/>
  <c r="K166" i="147" s="1"/>
  <c r="K297" i="141"/>
  <c r="K109" i="145" s="1"/>
  <c r="K214" i="145" s="1"/>
  <c r="K86" i="147" s="1"/>
  <c r="K191" i="147" s="1"/>
  <c r="K299" i="141"/>
  <c r="K121" i="142" s="1"/>
  <c r="K133" i="142" s="1"/>
  <c r="K288" i="141"/>
  <c r="K98" i="142" s="1"/>
  <c r="K110" i="142" s="1"/>
  <c r="K290" i="141"/>
  <c r="K101" i="145" s="1"/>
  <c r="K189" i="145" s="1"/>
  <c r="K60" i="147" s="1"/>
  <c r="K165" i="147" s="1"/>
  <c r="K273" i="141"/>
  <c r="K71" i="142" s="1"/>
  <c r="K83" i="142" s="1"/>
  <c r="K280" i="141"/>
  <c r="K78" i="142" s="1"/>
  <c r="K90" i="142" s="1"/>
  <c r="K276" i="141"/>
  <c r="K74" i="142" s="1"/>
  <c r="K86" i="142" s="1"/>
  <c r="K279" i="141"/>
  <c r="K89" i="145" s="1"/>
  <c r="K160" i="145" s="1"/>
  <c r="K30" i="147" s="1"/>
  <c r="K135" i="147" s="1"/>
  <c r="K284" i="141"/>
  <c r="K95" i="145" s="1"/>
  <c r="K183" i="145" s="1"/>
  <c r="K54" i="147" s="1"/>
  <c r="K159" i="147" s="1"/>
  <c r="K298" i="141"/>
  <c r="K120" i="142" s="1"/>
  <c r="K132" i="142" s="1"/>
  <c r="K272" i="141"/>
  <c r="K81" i="145" s="1"/>
  <c r="K152" i="145" s="1"/>
  <c r="K296" i="141"/>
  <c r="K108" i="145" s="1"/>
  <c r="K213" i="145" s="1"/>
  <c r="K85" i="147" s="1"/>
  <c r="K190" i="147" s="1"/>
  <c r="K302" i="141"/>
  <c r="K114" i="145" s="1"/>
  <c r="K219" i="145" s="1"/>
  <c r="K91" i="147" s="1"/>
  <c r="K196" i="147" s="1"/>
  <c r="K294" i="141"/>
  <c r="K106" i="145" s="1"/>
  <c r="K211" i="145" s="1"/>
  <c r="K83" i="147" s="1"/>
  <c r="K188" i="147" s="1"/>
  <c r="K301" i="141"/>
  <c r="K123" i="142" s="1"/>
  <c r="K135" i="142" s="1"/>
  <c r="K283" i="141"/>
  <c r="K93" i="142" s="1"/>
  <c r="K105" i="142" s="1"/>
  <c r="K285" i="141"/>
  <c r="K95" i="142" s="1"/>
  <c r="K107" i="142" s="1"/>
  <c r="K275" i="141"/>
  <c r="K85" i="145" s="1"/>
  <c r="K156" i="145" s="1"/>
  <c r="K26" i="147" s="1"/>
  <c r="K131" i="147" s="1"/>
  <c r="K277" i="141"/>
  <c r="K75" i="142" s="1"/>
  <c r="K87" i="142" s="1"/>
  <c r="M278" i="141"/>
  <c r="M88" i="145" s="1"/>
  <c r="M159" i="145" s="1"/>
  <c r="M29" i="147" s="1"/>
  <c r="M134" i="147" s="1"/>
  <c r="M286" i="141"/>
  <c r="M96" i="142" s="1"/>
  <c r="M108" i="142" s="1"/>
  <c r="M273" i="141"/>
  <c r="M83" i="145" s="1"/>
  <c r="M154" i="145" s="1"/>
  <c r="M24" i="147" s="1"/>
  <c r="M129" i="147" s="1"/>
  <c r="M279" i="141"/>
  <c r="M77" i="142" s="1"/>
  <c r="M89" i="142" s="1"/>
  <c r="M285" i="141"/>
  <c r="M96" i="145" s="1"/>
  <c r="M184" i="145" s="1"/>
  <c r="M55" i="147" s="1"/>
  <c r="M160" i="147" s="1"/>
  <c r="M280" i="141"/>
  <c r="M90" i="145" s="1"/>
  <c r="M161" i="145" s="1"/>
  <c r="M31" i="147" s="1"/>
  <c r="M136" i="147" s="1"/>
  <c r="M284" i="141"/>
  <c r="M95" i="145" s="1"/>
  <c r="M183" i="145" s="1"/>
  <c r="M54" i="147" s="1"/>
  <c r="M159" i="147" s="1"/>
  <c r="M298" i="141"/>
  <c r="M110" i="145" s="1"/>
  <c r="M215" i="145" s="1"/>
  <c r="M87" i="147" s="1"/>
  <c r="M192" i="147" s="1"/>
  <c r="M300" i="141"/>
  <c r="M122" i="142" s="1"/>
  <c r="M134" i="142" s="1"/>
  <c r="M277" i="141"/>
  <c r="M87" i="145" s="1"/>
  <c r="M158" i="145" s="1"/>
  <c r="M28" i="147" s="1"/>
  <c r="M133" i="147" s="1"/>
  <c r="M291" i="141"/>
  <c r="M101" i="142" s="1"/>
  <c r="M113" i="142" s="1"/>
  <c r="M297" i="141"/>
  <c r="M119" i="142" s="1"/>
  <c r="M131" i="142" s="1"/>
  <c r="M287" i="141"/>
  <c r="M97" i="142" s="1"/>
  <c r="M109" i="142" s="1"/>
  <c r="M272" i="141"/>
  <c r="M82" i="145" s="1"/>
  <c r="M153" i="145" s="1"/>
  <c r="M23" i="147" s="1"/>
  <c r="M128" i="147" s="1"/>
  <c r="M283" i="141"/>
  <c r="M93" i="142" s="1"/>
  <c r="M105" i="142" s="1"/>
  <c r="M276" i="141"/>
  <c r="M74" i="142" s="1"/>
  <c r="M86" i="142" s="1"/>
  <c r="M295" i="141"/>
  <c r="M117" i="142" s="1"/>
  <c r="M129" i="142" s="1"/>
  <c r="M302" i="141"/>
  <c r="M124" i="142" s="1"/>
  <c r="M136" i="142" s="1"/>
  <c r="M288" i="141"/>
  <c r="M99" i="145" s="1"/>
  <c r="M187" i="145" s="1"/>
  <c r="M58" i="147" s="1"/>
  <c r="M163" i="147" s="1"/>
  <c r="M290" i="141"/>
  <c r="M100" i="142" s="1"/>
  <c r="M112" i="142" s="1"/>
  <c r="M275" i="141"/>
  <c r="M73" i="142" s="1"/>
  <c r="M85" i="142" s="1"/>
  <c r="M301" i="141"/>
  <c r="M123" i="142" s="1"/>
  <c r="M135" i="142" s="1"/>
  <c r="M299" i="141"/>
  <c r="M111" i="145" s="1"/>
  <c r="M216" i="145" s="1"/>
  <c r="M88" i="147" s="1"/>
  <c r="M193" i="147" s="1"/>
  <c r="M289" i="141"/>
  <c r="M100" i="145" s="1"/>
  <c r="M188" i="145" s="1"/>
  <c r="M59" i="147" s="1"/>
  <c r="M164" i="147" s="1"/>
  <c r="M294" i="141"/>
  <c r="M116" i="142" s="1"/>
  <c r="M128" i="142" s="1"/>
  <c r="M274" i="141"/>
  <c r="M84" i="145" s="1"/>
  <c r="M155" i="145" s="1"/>
  <c r="M25" i="147" s="1"/>
  <c r="M130" i="147" s="1"/>
  <c r="M296" i="141"/>
  <c r="M108" i="145" s="1"/>
  <c r="M213" i="145" s="1"/>
  <c r="M85" i="147" s="1"/>
  <c r="M190" i="147" s="1"/>
  <c r="Y102" i="150"/>
  <c r="Y134" i="150" s="1"/>
  <c r="X102" i="150"/>
  <c r="X134" i="150" s="1"/>
  <c r="Q102" i="150"/>
  <c r="Q134" i="150" s="1"/>
  <c r="T102" i="150"/>
  <c r="T134" i="150" s="1"/>
  <c r="R102" i="150"/>
  <c r="R134" i="150" s="1"/>
  <c r="U102" i="150"/>
  <c r="U134" i="150" s="1"/>
  <c r="P102" i="150"/>
  <c r="P134" i="150" s="1"/>
  <c r="M102" i="150"/>
  <c r="M134" i="150" s="1"/>
  <c r="R103" i="150"/>
  <c r="R135" i="150" s="1"/>
  <c r="O103" i="150"/>
  <c r="O135" i="150" s="1"/>
  <c r="M103" i="150"/>
  <c r="M135" i="150" s="1"/>
  <c r="K102" i="150"/>
  <c r="K134" i="150" s="1"/>
  <c r="Q108" i="150"/>
  <c r="Q140" i="150" s="1"/>
  <c r="V104" i="150"/>
  <c r="V136" i="150" s="1"/>
  <c r="S103" i="150"/>
  <c r="S135" i="150" s="1"/>
  <c r="R108" i="150"/>
  <c r="R140" i="150" s="1"/>
  <c r="S108" i="150"/>
  <c r="S140" i="150" s="1"/>
  <c r="M108" i="150"/>
  <c r="M140" i="150" s="1"/>
  <c r="V108" i="150"/>
  <c r="V140" i="150" s="1"/>
  <c r="K108" i="150"/>
  <c r="K140" i="150" s="1"/>
  <c r="W108" i="150"/>
  <c r="W140" i="150" s="1"/>
  <c r="U108" i="150"/>
  <c r="U140" i="150" s="1"/>
  <c r="Y104" i="150"/>
  <c r="Y136" i="150" s="1"/>
  <c r="N103" i="150"/>
  <c r="N135" i="150" s="1"/>
  <c r="N102" i="150"/>
  <c r="N134" i="150" s="1"/>
  <c r="W103" i="150"/>
  <c r="W135" i="150" s="1"/>
  <c r="N104" i="150"/>
  <c r="N136" i="150" s="1"/>
  <c r="Y103" i="150"/>
  <c r="Y135" i="150" s="1"/>
  <c r="S104" i="150"/>
  <c r="S136" i="150" s="1"/>
  <c r="V103" i="150"/>
  <c r="V135" i="150" s="1"/>
  <c r="T108" i="150"/>
  <c r="T140" i="150" s="1"/>
  <c r="Q104" i="150"/>
  <c r="Q136" i="150" s="1"/>
  <c r="P104" i="150"/>
  <c r="P136" i="150" s="1"/>
  <c r="N106" i="150"/>
  <c r="N138" i="150" s="1"/>
  <c r="O106" i="150"/>
  <c r="O138" i="150" s="1"/>
  <c r="Q106" i="150"/>
  <c r="Q138" i="150" s="1"/>
  <c r="R106" i="150"/>
  <c r="R138" i="150" s="1"/>
  <c r="U106" i="150"/>
  <c r="U138" i="150" s="1"/>
  <c r="T106" i="150"/>
  <c r="T138" i="150" s="1"/>
  <c r="P106" i="150"/>
  <c r="P138" i="150" s="1"/>
  <c r="X106" i="150"/>
  <c r="X138" i="150" s="1"/>
  <c r="K106" i="150"/>
  <c r="K138" i="150" s="1"/>
  <c r="Y106" i="150"/>
  <c r="Y138" i="150" s="1"/>
  <c r="S106" i="150"/>
  <c r="S138" i="150" s="1"/>
  <c r="V106" i="150"/>
  <c r="V138" i="150" s="1"/>
  <c r="M106" i="150"/>
  <c r="M138" i="150" s="1"/>
  <c r="W106" i="150"/>
  <c r="W138" i="150" s="1"/>
  <c r="U103" i="150"/>
  <c r="U135" i="150" s="1"/>
  <c r="O102" i="150"/>
  <c r="O134" i="150" s="1"/>
  <c r="N108" i="150"/>
  <c r="N140" i="150" s="1"/>
  <c r="X103" i="150"/>
  <c r="X135" i="150" s="1"/>
  <c r="R104" i="150"/>
  <c r="R136" i="150" s="1"/>
  <c r="P107" i="150"/>
  <c r="P139" i="150" s="1"/>
  <c r="M107" i="150"/>
  <c r="M139" i="150" s="1"/>
  <c r="O107" i="150"/>
  <c r="O139" i="150" s="1"/>
  <c r="X107" i="150"/>
  <c r="X139" i="150" s="1"/>
  <c r="Q107" i="150"/>
  <c r="Q139" i="150" s="1"/>
  <c r="W107" i="150"/>
  <c r="W139" i="150" s="1"/>
  <c r="V107" i="150"/>
  <c r="V139" i="150" s="1"/>
  <c r="O104" i="150"/>
  <c r="O136" i="150" s="1"/>
  <c r="W102" i="150"/>
  <c r="W134" i="150" s="1"/>
  <c r="K107" i="150"/>
  <c r="K139" i="150" s="1"/>
  <c r="Y108" i="150"/>
  <c r="Y140" i="150" s="1"/>
  <c r="W104" i="150"/>
  <c r="W136" i="150" s="1"/>
  <c r="S102" i="150"/>
  <c r="S134" i="150" s="1"/>
  <c r="T103" i="150"/>
  <c r="T135" i="150" s="1"/>
  <c r="O108" i="150"/>
  <c r="O140" i="150" s="1"/>
  <c r="Q103" i="150"/>
  <c r="Q135" i="150" s="1"/>
  <c r="U104" i="150"/>
  <c r="U136" i="150" s="1"/>
  <c r="P103" i="150"/>
  <c r="P135" i="150" s="1"/>
  <c r="V102" i="150"/>
  <c r="V134" i="150" s="1"/>
  <c r="X108" i="150"/>
  <c r="X140" i="150" s="1"/>
  <c r="P112" i="145"/>
  <c r="P217" i="145" s="1"/>
  <c r="P89" i="147" s="1"/>
  <c r="P194" i="147" s="1"/>
  <c r="P122" i="142"/>
  <c r="P134" i="142" s="1"/>
  <c r="P102" i="145"/>
  <c r="P190" i="145" s="1"/>
  <c r="P61" i="147" s="1"/>
  <c r="P166" i="147" s="1"/>
  <c r="P101" i="142"/>
  <c r="P113" i="142" s="1"/>
  <c r="P100" i="142"/>
  <c r="P112" i="142" s="1"/>
  <c r="P101" i="145"/>
  <c r="P189" i="145" s="1"/>
  <c r="P60" i="147" s="1"/>
  <c r="P165" i="147" s="1"/>
  <c r="L287" i="141"/>
  <c r="L299" i="141"/>
  <c r="L278" i="141"/>
  <c r="L276" i="141"/>
  <c r="L289" i="141"/>
  <c r="L277" i="141"/>
  <c r="L296" i="141"/>
  <c r="L301" i="141"/>
  <c r="L302" i="141"/>
  <c r="L275" i="141"/>
  <c r="L274" i="141"/>
  <c r="L297" i="141"/>
  <c r="L279" i="141"/>
  <c r="L298" i="141"/>
  <c r="L272" i="141"/>
  <c r="L273" i="141"/>
  <c r="L286" i="141"/>
  <c r="L300" i="141"/>
  <c r="L285" i="141"/>
  <c r="L284" i="141"/>
  <c r="L280" i="141"/>
  <c r="L290" i="141"/>
  <c r="L295" i="141"/>
  <c r="L291" i="141"/>
  <c r="L283" i="141"/>
  <c r="L294" i="141"/>
  <c r="L288" i="141"/>
  <c r="Q145" i="142"/>
  <c r="Q171" i="142" s="1"/>
  <c r="Q272" i="142" s="1"/>
  <c r="P81" i="145"/>
  <c r="P152" i="145" s="1"/>
  <c r="P82" i="145"/>
  <c r="P153" i="145" s="1"/>
  <c r="P23" i="147" s="1"/>
  <c r="P128" i="147" s="1"/>
  <c r="P70" i="142"/>
  <c r="P82" i="142" s="1"/>
  <c r="P89" i="145"/>
  <c r="P160" i="145" s="1"/>
  <c r="P30" i="147" s="1"/>
  <c r="P135" i="147" s="1"/>
  <c r="P77" i="142"/>
  <c r="P89" i="142" s="1"/>
  <c r="P97" i="142"/>
  <c r="P109" i="142" s="1"/>
  <c r="P98" i="145"/>
  <c r="P186" i="145" s="1"/>
  <c r="P57" i="147" s="1"/>
  <c r="P162" i="147" s="1"/>
  <c r="P123" i="142"/>
  <c r="P135" i="142" s="1"/>
  <c r="P113" i="145"/>
  <c r="P218" i="145" s="1"/>
  <c r="P90" i="147" s="1"/>
  <c r="P195" i="147" s="1"/>
  <c r="P118" i="142"/>
  <c r="P130" i="142" s="1"/>
  <c r="P108" i="145"/>
  <c r="P213" i="145" s="1"/>
  <c r="P85" i="147" s="1"/>
  <c r="P190" i="147" s="1"/>
  <c r="P95" i="142"/>
  <c r="P107" i="142" s="1"/>
  <c r="P96" i="145"/>
  <c r="P184" i="145" s="1"/>
  <c r="P55" i="147" s="1"/>
  <c r="P160" i="147" s="1"/>
  <c r="P83" i="145"/>
  <c r="P154" i="145" s="1"/>
  <c r="P24" i="147" s="1"/>
  <c r="P129" i="147" s="1"/>
  <c r="P71" i="142"/>
  <c r="P83" i="142" s="1"/>
  <c r="Q150" i="142"/>
  <c r="J285" i="141"/>
  <c r="J290" i="141"/>
  <c r="J289" i="141"/>
  <c r="J288" i="141"/>
  <c r="J284" i="141"/>
  <c r="J296" i="141"/>
  <c r="J287" i="141"/>
  <c r="J302" i="141"/>
  <c r="J283" i="141"/>
  <c r="J297" i="141"/>
  <c r="J301" i="141"/>
  <c r="J286" i="141"/>
  <c r="J294" i="141"/>
  <c r="J295" i="141"/>
  <c r="J291" i="141"/>
  <c r="J298" i="141"/>
  <c r="J299" i="141"/>
  <c r="J300" i="141"/>
  <c r="J273" i="141"/>
  <c r="J276" i="141"/>
  <c r="J277" i="141"/>
  <c r="J274" i="141"/>
  <c r="J279" i="141"/>
  <c r="J280" i="141"/>
  <c r="J275" i="141"/>
  <c r="J272" i="141"/>
  <c r="J278" i="141"/>
  <c r="P124" i="142"/>
  <c r="P136" i="142" s="1"/>
  <c r="P114" i="145"/>
  <c r="P219" i="145" s="1"/>
  <c r="P91" i="147" s="1"/>
  <c r="P196" i="147" s="1"/>
  <c r="Q22" i="147"/>
  <c r="Q127" i="147" s="1"/>
  <c r="Q147" i="142"/>
  <c r="Q173" i="142" s="1"/>
  <c r="Q274" i="142" s="1"/>
  <c r="P95" i="145"/>
  <c r="P183" i="145" s="1"/>
  <c r="P54" i="147" s="1"/>
  <c r="P159" i="147" s="1"/>
  <c r="P94" i="142"/>
  <c r="P106" i="142" s="1"/>
  <c r="P116" i="142"/>
  <c r="P128" i="142" s="1"/>
  <c r="P106" i="145"/>
  <c r="P211" i="145" s="1"/>
  <c r="P83" i="147" s="1"/>
  <c r="P188" i="147" s="1"/>
  <c r="P105" i="145"/>
  <c r="P210" i="145" s="1"/>
  <c r="P82" i="147" s="1"/>
  <c r="P187" i="147" s="1"/>
  <c r="P107" i="145"/>
  <c r="P212" i="145" s="1"/>
  <c r="P84" i="147" s="1"/>
  <c r="P189" i="147" s="1"/>
  <c r="P117" i="142"/>
  <c r="P129" i="142" s="1"/>
  <c r="P74" i="142"/>
  <c r="P86" i="142" s="1"/>
  <c r="P86" i="145"/>
  <c r="P157" i="145" s="1"/>
  <c r="P27" i="147" s="1"/>
  <c r="P132" i="147" s="1"/>
  <c r="P96" i="142"/>
  <c r="P108" i="142" s="1"/>
  <c r="P97" i="145"/>
  <c r="P185" i="145" s="1"/>
  <c r="P56" i="147" s="1"/>
  <c r="P161" i="147" s="1"/>
  <c r="P100" i="145"/>
  <c r="P188" i="145" s="1"/>
  <c r="P59" i="147" s="1"/>
  <c r="P164" i="147" s="1"/>
  <c r="P99" i="142"/>
  <c r="P111" i="142" s="1"/>
  <c r="P93" i="145"/>
  <c r="P181" i="145" s="1"/>
  <c r="P52" i="147" s="1"/>
  <c r="P157" i="147" s="1"/>
  <c r="P94" i="145"/>
  <c r="P182" i="145" s="1"/>
  <c r="P53" i="147" s="1"/>
  <c r="P158" i="147" s="1"/>
  <c r="P93" i="142"/>
  <c r="P105" i="142" s="1"/>
  <c r="Q146" i="142"/>
  <c r="Q172" i="142" s="1"/>
  <c r="Q273" i="142" s="1"/>
  <c r="Q148" i="142"/>
  <c r="Q174" i="142" s="1"/>
  <c r="Q275" i="142" s="1"/>
  <c r="P78" i="142"/>
  <c r="P90" i="142" s="1"/>
  <c r="P90" i="145"/>
  <c r="P161" i="145" s="1"/>
  <c r="P31" i="147" s="1"/>
  <c r="P136" i="147" s="1"/>
  <c r="P76" i="142"/>
  <c r="P88" i="142" s="1"/>
  <c r="P88" i="145"/>
  <c r="P159" i="145" s="1"/>
  <c r="P29" i="147" s="1"/>
  <c r="P134" i="147" s="1"/>
  <c r="P75" i="142"/>
  <c r="P87" i="142" s="1"/>
  <c r="P87" i="145"/>
  <c r="P158" i="145" s="1"/>
  <c r="P28" i="147" s="1"/>
  <c r="P133" i="147" s="1"/>
  <c r="O22" i="147"/>
  <c r="O127" i="147" s="1"/>
  <c r="Q144" i="142"/>
  <c r="Q170" i="142" s="1"/>
  <c r="Q271" i="142" s="1"/>
  <c r="Q143" i="142"/>
  <c r="Q169" i="142" s="1"/>
  <c r="Q270" i="142" s="1"/>
  <c r="Q149" i="142"/>
  <c r="Q175" i="142" s="1"/>
  <c r="Q276" i="142" s="1"/>
  <c r="P119" i="142"/>
  <c r="P131" i="142" s="1"/>
  <c r="P109" i="145"/>
  <c r="P214" i="145" s="1"/>
  <c r="P86" i="147" s="1"/>
  <c r="P191" i="147" s="1"/>
  <c r="P120" i="142"/>
  <c r="P132" i="142" s="1"/>
  <c r="P110" i="145"/>
  <c r="P215" i="145" s="1"/>
  <c r="P87" i="147" s="1"/>
  <c r="P192" i="147" s="1"/>
  <c r="P85" i="145"/>
  <c r="P156" i="145" s="1"/>
  <c r="P26" i="147" s="1"/>
  <c r="P131" i="147" s="1"/>
  <c r="P73" i="142"/>
  <c r="P85" i="142" s="1"/>
  <c r="P99" i="145"/>
  <c r="P187" i="145" s="1"/>
  <c r="P58" i="147" s="1"/>
  <c r="P163" i="147" s="1"/>
  <c r="P98" i="142"/>
  <c r="P110" i="142" s="1"/>
  <c r="P111" i="145"/>
  <c r="P216" i="145" s="1"/>
  <c r="P88" i="147" s="1"/>
  <c r="P193" i="147" s="1"/>
  <c r="P121" i="142"/>
  <c r="P133" i="142" s="1"/>
  <c r="P72" i="142"/>
  <c r="P84" i="142" s="1"/>
  <c r="P84" i="145"/>
  <c r="P155" i="145" s="1"/>
  <c r="P25" i="147" s="1"/>
  <c r="P130" i="147" s="1"/>
  <c r="W143" i="142" l="1"/>
  <c r="W169" i="142" s="1"/>
  <c r="W270" i="142" s="1"/>
  <c r="O150" i="142"/>
  <c r="N146" i="142"/>
  <c r="N172" i="142" s="1"/>
  <c r="N273" i="142" s="1"/>
  <c r="W148" i="142"/>
  <c r="W174" i="142" s="1"/>
  <c r="W275" i="142" s="1"/>
  <c r="W145" i="142"/>
  <c r="W171" i="142" s="1"/>
  <c r="W272" i="142" s="1"/>
  <c r="N149" i="142"/>
  <c r="N175" i="142" s="1"/>
  <c r="N276" i="142" s="1"/>
  <c r="N144" i="142"/>
  <c r="N170" i="142" s="1"/>
  <c r="N271" i="142" s="1"/>
  <c r="W150" i="142"/>
  <c r="W176" i="142" s="1"/>
  <c r="T146" i="142"/>
  <c r="T172" i="142" s="1"/>
  <c r="T273" i="142" s="1"/>
  <c r="T142" i="142"/>
  <c r="T168" i="142" s="1"/>
  <c r="T269" i="142" s="1"/>
  <c r="W147" i="142"/>
  <c r="W173" i="142" s="1"/>
  <c r="W274" i="142" s="1"/>
  <c r="N147" i="142"/>
  <c r="N173" i="142" s="1"/>
  <c r="N274" i="142" s="1"/>
  <c r="N143" i="142"/>
  <c r="N169" i="142" s="1"/>
  <c r="N270" i="142" s="1"/>
  <c r="T148" i="142"/>
  <c r="T174" i="142" s="1"/>
  <c r="T275" i="142" s="1"/>
  <c r="O145" i="142"/>
  <c r="O171" i="142" s="1"/>
  <c r="O272" i="142" s="1"/>
  <c r="O144" i="142"/>
  <c r="O170" i="142" s="1"/>
  <c r="O271" i="142" s="1"/>
  <c r="O142" i="142"/>
  <c r="O168" i="142" s="1"/>
  <c r="O269" i="142" s="1"/>
  <c r="M95" i="142"/>
  <c r="M107" i="142" s="1"/>
  <c r="O147" i="142"/>
  <c r="O173" i="142" s="1"/>
  <c r="O274" i="142" s="1"/>
  <c r="M112" i="145"/>
  <c r="M217" i="145" s="1"/>
  <c r="M89" i="147" s="1"/>
  <c r="M194" i="147" s="1"/>
  <c r="K111" i="145"/>
  <c r="K216" i="145" s="1"/>
  <c r="K88" i="147" s="1"/>
  <c r="K193" i="147" s="1"/>
  <c r="K110" i="145"/>
  <c r="K215" i="145" s="1"/>
  <c r="K87" i="147" s="1"/>
  <c r="K192" i="147" s="1"/>
  <c r="K122" i="142"/>
  <c r="K134" i="142" s="1"/>
  <c r="M94" i="142"/>
  <c r="M106" i="142" s="1"/>
  <c r="M94" i="145"/>
  <c r="M182" i="145" s="1"/>
  <c r="M53" i="147" s="1"/>
  <c r="M158" i="147" s="1"/>
  <c r="R145" i="142"/>
  <c r="R171" i="142" s="1"/>
  <c r="R272" i="142" s="1"/>
  <c r="U176" i="142"/>
  <c r="U177" i="142" s="1"/>
  <c r="R150" i="142"/>
  <c r="R208" i="142" s="1"/>
  <c r="R143" i="142"/>
  <c r="R169" i="142" s="1"/>
  <c r="R270" i="142" s="1"/>
  <c r="K119" i="142"/>
  <c r="K131" i="142" s="1"/>
  <c r="R149" i="142"/>
  <c r="R175" i="142" s="1"/>
  <c r="R276" i="142" s="1"/>
  <c r="R147" i="142"/>
  <c r="R173" i="142" s="1"/>
  <c r="R274" i="142" s="1"/>
  <c r="V208" i="142"/>
  <c r="V176" i="142"/>
  <c r="V177" i="142" s="1"/>
  <c r="R142" i="142"/>
  <c r="R168" i="142" s="1"/>
  <c r="R269" i="142" s="1"/>
  <c r="T208" i="142"/>
  <c r="T176" i="142"/>
  <c r="R148" i="142"/>
  <c r="R174" i="142" s="1"/>
  <c r="R275" i="142" s="1"/>
  <c r="R144" i="142"/>
  <c r="R170" i="142" s="1"/>
  <c r="R271" i="142" s="1"/>
  <c r="X208" i="142"/>
  <c r="X176" i="142"/>
  <c r="X177" i="142" s="1"/>
  <c r="W269" i="142"/>
  <c r="S176" i="142"/>
  <c r="S177" i="142" s="1"/>
  <c r="S208" i="142"/>
  <c r="Y208" i="142"/>
  <c r="Y176" i="142"/>
  <c r="Y177" i="142" s="1"/>
  <c r="R146" i="142"/>
  <c r="R172" i="142" s="1"/>
  <c r="R273" i="142" s="1"/>
  <c r="M89" i="145"/>
  <c r="M160" i="145" s="1"/>
  <c r="M30" i="147" s="1"/>
  <c r="M135" i="147" s="1"/>
  <c r="M78" i="142"/>
  <c r="M90" i="142" s="1"/>
  <c r="M150" i="142" s="1"/>
  <c r="M70" i="142"/>
  <c r="M82" i="142" s="1"/>
  <c r="M142" i="142" s="1"/>
  <c r="M168" i="142" s="1"/>
  <c r="M269" i="142" s="1"/>
  <c r="M97" i="145"/>
  <c r="M185" i="145" s="1"/>
  <c r="M56" i="147" s="1"/>
  <c r="M161" i="147" s="1"/>
  <c r="M121" i="142"/>
  <c r="M133" i="142" s="1"/>
  <c r="M98" i="142"/>
  <c r="M110" i="142" s="1"/>
  <c r="M71" i="142"/>
  <c r="M83" i="142" s="1"/>
  <c r="M118" i="142"/>
  <c r="M130" i="142" s="1"/>
  <c r="K100" i="145"/>
  <c r="K188" i="145" s="1"/>
  <c r="K59" i="147" s="1"/>
  <c r="K164" i="147" s="1"/>
  <c r="M99" i="142"/>
  <c r="M111" i="142" s="1"/>
  <c r="M109" i="145"/>
  <c r="M214" i="145" s="1"/>
  <c r="M86" i="147" s="1"/>
  <c r="M191" i="147" s="1"/>
  <c r="K72" i="142"/>
  <c r="K84" i="142" s="1"/>
  <c r="M86" i="145"/>
  <c r="M157" i="145" s="1"/>
  <c r="M27" i="147" s="1"/>
  <c r="M132" i="147" s="1"/>
  <c r="K70" i="142"/>
  <c r="K82" i="142" s="1"/>
  <c r="K113" i="145"/>
  <c r="K218" i="145" s="1"/>
  <c r="K90" i="147" s="1"/>
  <c r="K195" i="147" s="1"/>
  <c r="K99" i="145"/>
  <c r="K187" i="145" s="1"/>
  <c r="K58" i="147" s="1"/>
  <c r="K163" i="147" s="1"/>
  <c r="K86" i="145"/>
  <c r="K157" i="145" s="1"/>
  <c r="K27" i="147" s="1"/>
  <c r="K132" i="147" s="1"/>
  <c r="K82" i="145"/>
  <c r="K153" i="145" s="1"/>
  <c r="K23" i="147" s="1"/>
  <c r="K128" i="147" s="1"/>
  <c r="K87" i="145"/>
  <c r="K158" i="145" s="1"/>
  <c r="K28" i="147" s="1"/>
  <c r="K133" i="147" s="1"/>
  <c r="M120" i="142"/>
  <c r="M132" i="142" s="1"/>
  <c r="M146" i="142" s="1"/>
  <c r="M172" i="142" s="1"/>
  <c r="M273" i="142" s="1"/>
  <c r="M101" i="145"/>
  <c r="M189" i="145" s="1"/>
  <c r="M60" i="147" s="1"/>
  <c r="M165" i="147" s="1"/>
  <c r="K100" i="142"/>
  <c r="K112" i="142" s="1"/>
  <c r="M85" i="145"/>
  <c r="M156" i="145" s="1"/>
  <c r="M26" i="147" s="1"/>
  <c r="M131" i="147" s="1"/>
  <c r="M76" i="142"/>
  <c r="M88" i="142" s="1"/>
  <c r="K76" i="142"/>
  <c r="K88" i="142" s="1"/>
  <c r="M105" i="145"/>
  <c r="M210" i="145" s="1"/>
  <c r="M82" i="147" s="1"/>
  <c r="M187" i="147" s="1"/>
  <c r="M102" i="145"/>
  <c r="M190" i="145" s="1"/>
  <c r="M61" i="147" s="1"/>
  <c r="M166" i="147" s="1"/>
  <c r="K90" i="145"/>
  <c r="K161" i="145" s="1"/>
  <c r="K31" i="147" s="1"/>
  <c r="K136" i="147" s="1"/>
  <c r="M93" i="145"/>
  <c r="M181" i="145" s="1"/>
  <c r="M52" i="147" s="1"/>
  <c r="M157" i="147" s="1"/>
  <c r="K105" i="145"/>
  <c r="K210" i="145" s="1"/>
  <c r="K82" i="147" s="1"/>
  <c r="K187" i="147" s="1"/>
  <c r="K116" i="142"/>
  <c r="K128" i="142" s="1"/>
  <c r="K73" i="142"/>
  <c r="K85" i="142" s="1"/>
  <c r="K97" i="142"/>
  <c r="K109" i="142" s="1"/>
  <c r="K146" i="142" s="1"/>
  <c r="K172" i="142" s="1"/>
  <c r="K273" i="142" s="1"/>
  <c r="M98" i="145"/>
  <c r="M186" i="145" s="1"/>
  <c r="M57" i="147" s="1"/>
  <c r="M162" i="147" s="1"/>
  <c r="K101" i="142"/>
  <c r="K113" i="142" s="1"/>
  <c r="M107" i="145"/>
  <c r="M212" i="145" s="1"/>
  <c r="M84" i="147" s="1"/>
  <c r="M189" i="147" s="1"/>
  <c r="K77" i="142"/>
  <c r="K89" i="142" s="1"/>
  <c r="K118" i="142"/>
  <c r="K130" i="142" s="1"/>
  <c r="M106" i="145"/>
  <c r="M211" i="145" s="1"/>
  <c r="M83" i="147" s="1"/>
  <c r="M188" i="147" s="1"/>
  <c r="K93" i="145"/>
  <c r="K181" i="145" s="1"/>
  <c r="K52" i="147" s="1"/>
  <c r="K157" i="147" s="1"/>
  <c r="K107" i="145"/>
  <c r="K212" i="145" s="1"/>
  <c r="K84" i="147" s="1"/>
  <c r="K189" i="147" s="1"/>
  <c r="M72" i="142"/>
  <c r="M84" i="142" s="1"/>
  <c r="M75" i="142"/>
  <c r="M87" i="142" s="1"/>
  <c r="P150" i="142"/>
  <c r="P208" i="142" s="1"/>
  <c r="M114" i="145"/>
  <c r="M219" i="145" s="1"/>
  <c r="M91" i="147" s="1"/>
  <c r="M196" i="147" s="1"/>
  <c r="K83" i="145"/>
  <c r="K154" i="145" s="1"/>
  <c r="K24" i="147" s="1"/>
  <c r="K129" i="147" s="1"/>
  <c r="M81" i="145"/>
  <c r="M152" i="145" s="1"/>
  <c r="M22" i="147" s="1"/>
  <c r="M127" i="147" s="1"/>
  <c r="H306" i="141" a="1"/>
  <c r="H306" i="141" s="1"/>
  <c r="M113" i="145"/>
  <c r="M218" i="145" s="1"/>
  <c r="M90" i="147" s="1"/>
  <c r="M195" i="147" s="1"/>
  <c r="K124" i="142"/>
  <c r="K136" i="142" s="1"/>
  <c r="K96" i="145"/>
  <c r="K184" i="145" s="1"/>
  <c r="K55" i="147" s="1"/>
  <c r="K160" i="147" s="1"/>
  <c r="K94" i="142"/>
  <c r="K106" i="142" s="1"/>
  <c r="K143" i="142" s="1"/>
  <c r="K169" i="142" s="1"/>
  <c r="K270" i="142" s="1"/>
  <c r="K96" i="142"/>
  <c r="K108" i="142" s="1"/>
  <c r="K94" i="145"/>
  <c r="K182" i="145" s="1"/>
  <c r="K53" i="147" s="1"/>
  <c r="K158" i="147" s="1"/>
  <c r="L83" i="145"/>
  <c r="L154" i="145" s="1"/>
  <c r="L24" i="147" s="1"/>
  <c r="L129" i="147" s="1"/>
  <c r="L71" i="142"/>
  <c r="L83" i="142" s="1"/>
  <c r="L113" i="145"/>
  <c r="L218" i="145" s="1"/>
  <c r="L90" i="147" s="1"/>
  <c r="L195" i="147" s="1"/>
  <c r="L123" i="142"/>
  <c r="L135" i="142" s="1"/>
  <c r="P144" i="142"/>
  <c r="P170" i="142" s="1"/>
  <c r="P271" i="142" s="1"/>
  <c r="P146" i="142"/>
  <c r="P172" i="142" s="1"/>
  <c r="P273" i="142" s="1"/>
  <c r="J85" i="145"/>
  <c r="J156" i="145" s="1"/>
  <c r="J26" i="147" s="1"/>
  <c r="J131" i="147" s="1"/>
  <c r="J73" i="142"/>
  <c r="J85" i="142" s="1"/>
  <c r="J87" i="145"/>
  <c r="J158" i="145" s="1"/>
  <c r="J28" i="147" s="1"/>
  <c r="J133" i="147" s="1"/>
  <c r="J75" i="142"/>
  <c r="J87" i="142" s="1"/>
  <c r="J121" i="142"/>
  <c r="J133" i="142" s="1"/>
  <c r="J111" i="145"/>
  <c r="J216" i="145" s="1"/>
  <c r="J88" i="147" s="1"/>
  <c r="J193" i="147" s="1"/>
  <c r="J116" i="142"/>
  <c r="J128" i="142" s="1"/>
  <c r="J106" i="145"/>
  <c r="J211" i="145" s="1"/>
  <c r="J83" i="147" s="1"/>
  <c r="J188" i="147" s="1"/>
  <c r="J105" i="145"/>
  <c r="J210" i="145" s="1"/>
  <c r="J82" i="147" s="1"/>
  <c r="J187" i="147" s="1"/>
  <c r="J94" i="145"/>
  <c r="J182" i="145" s="1"/>
  <c r="J53" i="147" s="1"/>
  <c r="J158" i="147" s="1"/>
  <c r="J93" i="145"/>
  <c r="J181" i="145" s="1"/>
  <c r="J52" i="147" s="1"/>
  <c r="J157" i="147" s="1"/>
  <c r="J93" i="142"/>
  <c r="J105" i="142" s="1"/>
  <c r="J94" i="142"/>
  <c r="J106" i="142" s="1"/>
  <c r="J95" i="145"/>
  <c r="J183" i="145" s="1"/>
  <c r="J54" i="147" s="1"/>
  <c r="J159" i="147" s="1"/>
  <c r="J96" i="145"/>
  <c r="J184" i="145" s="1"/>
  <c r="J55" i="147" s="1"/>
  <c r="J160" i="147" s="1"/>
  <c r="J95" i="142"/>
  <c r="J107" i="142" s="1"/>
  <c r="P149" i="142"/>
  <c r="P175" i="142" s="1"/>
  <c r="P276" i="142" s="1"/>
  <c r="P22" i="147"/>
  <c r="P127" i="147" s="1"/>
  <c r="K147" i="142"/>
  <c r="K173" i="142" s="1"/>
  <c r="K274" i="142" s="1"/>
  <c r="L99" i="145"/>
  <c r="L187" i="145" s="1"/>
  <c r="L58" i="147" s="1"/>
  <c r="L163" i="147" s="1"/>
  <c r="L98" i="142"/>
  <c r="L110" i="142" s="1"/>
  <c r="L107" i="145"/>
  <c r="L212" i="145" s="1"/>
  <c r="L84" i="147" s="1"/>
  <c r="L189" i="147" s="1"/>
  <c r="L117" i="142"/>
  <c r="L129" i="142" s="1"/>
  <c r="L95" i="142"/>
  <c r="L107" i="142" s="1"/>
  <c r="L96" i="145"/>
  <c r="L184" i="145" s="1"/>
  <c r="L55" i="147" s="1"/>
  <c r="L160" i="147" s="1"/>
  <c r="L82" i="145"/>
  <c r="L153" i="145" s="1"/>
  <c r="L23" i="147" s="1"/>
  <c r="L128" i="147" s="1"/>
  <c r="L81" i="145"/>
  <c r="L152" i="145" s="1"/>
  <c r="L70" i="142"/>
  <c r="L82" i="142" s="1"/>
  <c r="L84" i="145"/>
  <c r="L155" i="145" s="1"/>
  <c r="L25" i="147" s="1"/>
  <c r="L130" i="147" s="1"/>
  <c r="L72" i="142"/>
  <c r="L84" i="142" s="1"/>
  <c r="L118" i="142"/>
  <c r="L130" i="142" s="1"/>
  <c r="L108" i="145"/>
  <c r="L213" i="145" s="1"/>
  <c r="L85" i="147" s="1"/>
  <c r="L190" i="147" s="1"/>
  <c r="L88" i="145"/>
  <c r="L159" i="145" s="1"/>
  <c r="L29" i="147" s="1"/>
  <c r="L134" i="147" s="1"/>
  <c r="L76" i="142"/>
  <c r="L88" i="142" s="1"/>
  <c r="P147" i="142"/>
  <c r="P173" i="142" s="1"/>
  <c r="P274" i="142" s="1"/>
  <c r="J84" i="145"/>
  <c r="J155" i="145" s="1"/>
  <c r="J25" i="147" s="1"/>
  <c r="J130" i="147" s="1"/>
  <c r="J72" i="142"/>
  <c r="J84" i="142" s="1"/>
  <c r="J107" i="145"/>
  <c r="J212" i="145" s="1"/>
  <c r="J84" i="147" s="1"/>
  <c r="J189" i="147" s="1"/>
  <c r="J117" i="142"/>
  <c r="J129" i="142" s="1"/>
  <c r="J118" i="142"/>
  <c r="J130" i="142" s="1"/>
  <c r="J108" i="145"/>
  <c r="J213" i="145" s="1"/>
  <c r="J85" i="147" s="1"/>
  <c r="J190" i="147" s="1"/>
  <c r="L95" i="145"/>
  <c r="L183" i="145" s="1"/>
  <c r="L54" i="147" s="1"/>
  <c r="L159" i="147" s="1"/>
  <c r="L94" i="142"/>
  <c r="L106" i="142" s="1"/>
  <c r="L119" i="142"/>
  <c r="L131" i="142" s="1"/>
  <c r="L109" i="145"/>
  <c r="L214" i="145" s="1"/>
  <c r="L86" i="147" s="1"/>
  <c r="L191" i="147" s="1"/>
  <c r="L74" i="142"/>
  <c r="L86" i="142" s="1"/>
  <c r="L86" i="145"/>
  <c r="L157" i="145" s="1"/>
  <c r="L27" i="147" s="1"/>
  <c r="L132" i="147" s="1"/>
  <c r="P145" i="142"/>
  <c r="P171" i="142" s="1"/>
  <c r="P272" i="142" s="1"/>
  <c r="P148" i="142"/>
  <c r="P174" i="142" s="1"/>
  <c r="P275" i="142" s="1"/>
  <c r="M145" i="142"/>
  <c r="M171" i="142" s="1"/>
  <c r="M272" i="142" s="1"/>
  <c r="K22" i="147"/>
  <c r="K127" i="147" s="1"/>
  <c r="O208" i="142"/>
  <c r="O176" i="142"/>
  <c r="J78" i="142"/>
  <c r="J90" i="142" s="1"/>
  <c r="J90" i="145"/>
  <c r="J161" i="145" s="1"/>
  <c r="J31" i="147" s="1"/>
  <c r="J136" i="147" s="1"/>
  <c r="J74" i="142"/>
  <c r="J86" i="142" s="1"/>
  <c r="J86" i="145"/>
  <c r="J157" i="145" s="1"/>
  <c r="J27" i="147" s="1"/>
  <c r="J132" i="147" s="1"/>
  <c r="J110" i="145"/>
  <c r="J215" i="145" s="1"/>
  <c r="J87" i="147" s="1"/>
  <c r="J192" i="147" s="1"/>
  <c r="J120" i="142"/>
  <c r="J132" i="142" s="1"/>
  <c r="J97" i="145"/>
  <c r="J185" i="145" s="1"/>
  <c r="J56" i="147" s="1"/>
  <c r="J161" i="147" s="1"/>
  <c r="J96" i="142"/>
  <c r="J108" i="142" s="1"/>
  <c r="J114" i="145"/>
  <c r="J219" i="145" s="1"/>
  <c r="J91" i="147" s="1"/>
  <c r="J196" i="147" s="1"/>
  <c r="J124" i="142"/>
  <c r="J136" i="142" s="1"/>
  <c r="J99" i="145"/>
  <c r="J187" i="145" s="1"/>
  <c r="J58" i="147" s="1"/>
  <c r="J163" i="147" s="1"/>
  <c r="J98" i="142"/>
  <c r="J110" i="142" s="1"/>
  <c r="N208" i="142"/>
  <c r="N176" i="142"/>
  <c r="L106" i="145"/>
  <c r="L211" i="145" s="1"/>
  <c r="L83" i="147" s="1"/>
  <c r="L188" i="147" s="1"/>
  <c r="L105" i="145"/>
  <c r="L210" i="145" s="1"/>
  <c r="L82" i="147" s="1"/>
  <c r="L187" i="147" s="1"/>
  <c r="L116" i="142"/>
  <c r="L128" i="142" s="1"/>
  <c r="L100" i="142"/>
  <c r="L112" i="142" s="1"/>
  <c r="L101" i="145"/>
  <c r="L189" i="145" s="1"/>
  <c r="L60" i="147" s="1"/>
  <c r="L165" i="147" s="1"/>
  <c r="L112" i="145"/>
  <c r="L217" i="145" s="1"/>
  <c r="L89" i="147" s="1"/>
  <c r="L194" i="147" s="1"/>
  <c r="L122" i="142"/>
  <c r="L134" i="142" s="1"/>
  <c r="L110" i="145"/>
  <c r="L215" i="145" s="1"/>
  <c r="L87" i="147" s="1"/>
  <c r="L192" i="147" s="1"/>
  <c r="L120" i="142"/>
  <c r="L132" i="142" s="1"/>
  <c r="L85" i="145"/>
  <c r="L156" i="145" s="1"/>
  <c r="L26" i="147" s="1"/>
  <c r="L131" i="147" s="1"/>
  <c r="L73" i="142"/>
  <c r="L85" i="142" s="1"/>
  <c r="L87" i="145"/>
  <c r="L158" i="145" s="1"/>
  <c r="L28" i="147" s="1"/>
  <c r="L133" i="147" s="1"/>
  <c r="L75" i="142"/>
  <c r="L87" i="142" s="1"/>
  <c r="L121" i="142"/>
  <c r="L133" i="142" s="1"/>
  <c r="L111" i="145"/>
  <c r="L216" i="145" s="1"/>
  <c r="L88" i="147" s="1"/>
  <c r="L193" i="147" s="1"/>
  <c r="J70" i="142"/>
  <c r="J81" i="145"/>
  <c r="J152" i="145" s="1"/>
  <c r="J82" i="145"/>
  <c r="J153" i="145" s="1"/>
  <c r="J23" i="147" s="1"/>
  <c r="J128" i="147" s="1"/>
  <c r="J122" i="142"/>
  <c r="J134" i="142" s="1"/>
  <c r="J112" i="145"/>
  <c r="J217" i="145" s="1"/>
  <c r="J89" i="147" s="1"/>
  <c r="J194" i="147" s="1"/>
  <c r="J109" i="145"/>
  <c r="J214" i="145" s="1"/>
  <c r="J86" i="147" s="1"/>
  <c r="J191" i="147" s="1"/>
  <c r="J119" i="142"/>
  <c r="J131" i="142" s="1"/>
  <c r="J101" i="145"/>
  <c r="J189" i="145" s="1"/>
  <c r="J60" i="147" s="1"/>
  <c r="J165" i="147" s="1"/>
  <c r="J100" i="142"/>
  <c r="J112" i="142" s="1"/>
  <c r="L102" i="145"/>
  <c r="L190" i="145" s="1"/>
  <c r="L61" i="147" s="1"/>
  <c r="L166" i="147" s="1"/>
  <c r="L101" i="142"/>
  <c r="L113" i="142" s="1"/>
  <c r="M149" i="142"/>
  <c r="M175" i="142" s="1"/>
  <c r="M276" i="142" s="1"/>
  <c r="J88" i="145"/>
  <c r="J159" i="145" s="1"/>
  <c r="J29" i="147" s="1"/>
  <c r="J134" i="147" s="1"/>
  <c r="J76" i="142"/>
  <c r="J88" i="142" s="1"/>
  <c r="J77" i="142"/>
  <c r="J89" i="142" s="1"/>
  <c r="J89" i="145"/>
  <c r="J160" i="145" s="1"/>
  <c r="J30" i="147" s="1"/>
  <c r="J135" i="147" s="1"/>
  <c r="J71" i="142"/>
  <c r="J83" i="142" s="1"/>
  <c r="J83" i="145"/>
  <c r="J154" i="145" s="1"/>
  <c r="J24" i="147" s="1"/>
  <c r="J129" i="147" s="1"/>
  <c r="J101" i="142"/>
  <c r="J113" i="142" s="1"/>
  <c r="J102" i="145"/>
  <c r="J190" i="145" s="1"/>
  <c r="J61" i="147" s="1"/>
  <c r="J166" i="147" s="1"/>
  <c r="J113" i="145"/>
  <c r="J218" i="145" s="1"/>
  <c r="J90" i="147" s="1"/>
  <c r="J195" i="147" s="1"/>
  <c r="J123" i="142"/>
  <c r="J135" i="142" s="1"/>
  <c r="J97" i="142"/>
  <c r="J109" i="142" s="1"/>
  <c r="J98" i="145"/>
  <c r="J186" i="145" s="1"/>
  <c r="J57" i="147" s="1"/>
  <c r="J162" i="147" s="1"/>
  <c r="J100" i="145"/>
  <c r="J188" i="145" s="1"/>
  <c r="J59" i="147" s="1"/>
  <c r="J164" i="147" s="1"/>
  <c r="J99" i="142"/>
  <c r="J111" i="142" s="1"/>
  <c r="Q176" i="142"/>
  <c r="Q177" i="142" s="1"/>
  <c r="Q208" i="142"/>
  <c r="P143" i="142"/>
  <c r="P169" i="142" s="1"/>
  <c r="P270" i="142" s="1"/>
  <c r="P142" i="142"/>
  <c r="P168" i="142" s="1"/>
  <c r="P269" i="142" s="1"/>
  <c r="L93" i="142"/>
  <c r="L105" i="142" s="1"/>
  <c r="L94" i="145"/>
  <c r="L182" i="145" s="1"/>
  <c r="L53" i="147" s="1"/>
  <c r="L158" i="147" s="1"/>
  <c r="L93" i="145"/>
  <c r="L181" i="145" s="1"/>
  <c r="L52" i="147" s="1"/>
  <c r="L157" i="147" s="1"/>
  <c r="L78" i="142"/>
  <c r="L90" i="142" s="1"/>
  <c r="L90" i="145"/>
  <c r="L161" i="145" s="1"/>
  <c r="L31" i="147" s="1"/>
  <c r="L136" i="147" s="1"/>
  <c r="L97" i="145"/>
  <c r="L185" i="145" s="1"/>
  <c r="L56" i="147" s="1"/>
  <c r="L161" i="147" s="1"/>
  <c r="L96" i="142"/>
  <c r="L108" i="142" s="1"/>
  <c r="L89" i="145"/>
  <c r="L160" i="145" s="1"/>
  <c r="L30" i="147" s="1"/>
  <c r="L135" i="147" s="1"/>
  <c r="L77" i="142"/>
  <c r="L89" i="142" s="1"/>
  <c r="L114" i="145"/>
  <c r="L219" i="145" s="1"/>
  <c r="L91" i="147" s="1"/>
  <c r="L196" i="147" s="1"/>
  <c r="L124" i="142"/>
  <c r="L136" i="142" s="1"/>
  <c r="L100" i="145"/>
  <c r="L188" i="145" s="1"/>
  <c r="L59" i="147" s="1"/>
  <c r="L164" i="147" s="1"/>
  <c r="L99" i="142"/>
  <c r="L111" i="142" s="1"/>
  <c r="L98" i="145"/>
  <c r="L186" i="145" s="1"/>
  <c r="L57" i="147" s="1"/>
  <c r="L162" i="147" s="1"/>
  <c r="L97" i="142"/>
  <c r="L109" i="142" s="1"/>
  <c r="W177" i="142" l="1"/>
  <c r="W208" i="142"/>
  <c r="T177" i="142"/>
  <c r="N177" i="142"/>
  <c r="O177" i="142"/>
  <c r="K148" i="142"/>
  <c r="K174" i="142" s="1"/>
  <c r="K275" i="142" s="1"/>
  <c r="M143" i="142"/>
  <c r="M169" i="142" s="1"/>
  <c r="M270" i="142" s="1"/>
  <c r="R176" i="142"/>
  <c r="R177" i="142" s="1"/>
  <c r="M148" i="142"/>
  <c r="M174" i="142" s="1"/>
  <c r="M275" i="142" s="1"/>
  <c r="K142" i="142"/>
  <c r="K168" i="142" s="1"/>
  <c r="K269" i="142" s="1"/>
  <c r="A4" i="141"/>
  <c r="J45" i="55"/>
  <c r="M147" i="142"/>
  <c r="M173" i="142" s="1"/>
  <c r="M274" i="142" s="1"/>
  <c r="K150" i="142"/>
  <c r="K208" i="142" s="1"/>
  <c r="M144" i="142"/>
  <c r="M170" i="142" s="1"/>
  <c r="M271" i="142" s="1"/>
  <c r="K144" i="142"/>
  <c r="K170" i="142" s="1"/>
  <c r="K271" i="142" s="1"/>
  <c r="K145" i="142"/>
  <c r="K171" i="142" s="1"/>
  <c r="K272" i="142" s="1"/>
  <c r="K149" i="142"/>
  <c r="K175" i="142" s="1"/>
  <c r="K276" i="142" s="1"/>
  <c r="P176" i="142"/>
  <c r="J143" i="142"/>
  <c r="J169" i="142" s="1"/>
  <c r="J270" i="142" s="1"/>
  <c r="L149" i="142"/>
  <c r="L175" i="142" s="1"/>
  <c r="L276" i="142" s="1"/>
  <c r="L145" i="142"/>
  <c r="L171" i="142" s="1"/>
  <c r="L272" i="142" s="1"/>
  <c r="L148" i="142"/>
  <c r="L174" i="142" s="1"/>
  <c r="L275" i="142" s="1"/>
  <c r="L144" i="142"/>
  <c r="L170" i="142" s="1"/>
  <c r="L271" i="142" s="1"/>
  <c r="L142" i="142"/>
  <c r="L168" i="142" s="1"/>
  <c r="L269" i="142" s="1"/>
  <c r="J149" i="142"/>
  <c r="J175" i="142" s="1"/>
  <c r="J276" i="142" s="1"/>
  <c r="P177" i="142"/>
  <c r="M208" i="142"/>
  <c r="M176" i="142"/>
  <c r="L150" i="142"/>
  <c r="J148" i="142"/>
  <c r="J144" i="142"/>
  <c r="J147" i="142"/>
  <c r="J82" i="142"/>
  <c r="J142" i="142" s="1"/>
  <c r="J150" i="142"/>
  <c r="L147" i="142"/>
  <c r="L173" i="142" s="1"/>
  <c r="L274" i="142" s="1"/>
  <c r="L146" i="142"/>
  <c r="L172" i="142" s="1"/>
  <c r="L273" i="142" s="1"/>
  <c r="J146" i="142"/>
  <c r="L22" i="147"/>
  <c r="L127" i="147" s="1"/>
  <c r="L143" i="142"/>
  <c r="L169" i="142" s="1"/>
  <c r="J22" i="147"/>
  <c r="J145" i="142"/>
  <c r="K176" i="142" l="1"/>
  <c r="K177" i="142" s="1"/>
  <c r="M177" i="142"/>
  <c r="H276" i="142"/>
  <c r="H161" i="142"/>
  <c r="H155" i="142"/>
  <c r="H158" i="142"/>
  <c r="J172" i="142"/>
  <c r="J273" i="142" s="1"/>
  <c r="H273" i="142" s="1"/>
  <c r="J168" i="142"/>
  <c r="H154" i="142"/>
  <c r="L208" i="142"/>
  <c r="L176" i="142"/>
  <c r="L177" i="142" s="1"/>
  <c r="J127" i="147"/>
  <c r="J171" i="142"/>
  <c r="J272" i="142" s="1"/>
  <c r="H272" i="142" s="1"/>
  <c r="H157" i="142"/>
  <c r="L270" i="142"/>
  <c r="H270" i="142" s="1"/>
  <c r="J173" i="142"/>
  <c r="J274" i="142" s="1"/>
  <c r="H274" i="142" s="1"/>
  <c r="H159" i="142"/>
  <c r="J174" i="142"/>
  <c r="J275" i="142" s="1"/>
  <c r="H275" i="142" s="1"/>
  <c r="H160" i="142"/>
  <c r="J176" i="142"/>
  <c r="H162" i="142"/>
  <c r="J208" i="142"/>
  <c r="J170" i="142"/>
  <c r="J271" i="142" s="1"/>
  <c r="H271" i="142" s="1"/>
  <c r="H156" i="142"/>
  <c r="H210" i="142" l="1"/>
  <c r="H234" i="142" s="1"/>
  <c r="S260" i="142" s="1"/>
  <c r="J177" i="142"/>
  <c r="J269" i="142"/>
  <c r="H269" i="142" s="1"/>
  <c r="P260" i="142" l="1"/>
  <c r="O260" i="142"/>
  <c r="N260" i="142"/>
  <c r="Q247" i="142"/>
  <c r="O247" i="142"/>
  <c r="N247" i="142"/>
  <c r="V260" i="142"/>
  <c r="P247" i="142"/>
  <c r="L247" i="142"/>
  <c r="R260" i="142"/>
  <c r="Q260" i="142"/>
  <c r="Y260" i="142"/>
  <c r="V247" i="142"/>
  <c r="W247" i="142"/>
  <c r="J260" i="142"/>
  <c r="J247" i="142"/>
  <c r="M247" i="142"/>
  <c r="M277" i="142" s="1"/>
  <c r="U260" i="142"/>
  <c r="Y247" i="142"/>
  <c r="R247" i="142"/>
  <c r="W260" i="142"/>
  <c r="U247" i="142"/>
  <c r="S247" i="142"/>
  <c r="S277" i="142" s="1"/>
  <c r="X260" i="142"/>
  <c r="L260" i="142"/>
  <c r="L277" i="142" s="1"/>
  <c r="K247" i="142"/>
  <c r="K277" i="142" s="1"/>
  <c r="H32" i="149"/>
  <c r="L171" i="149" s="1"/>
  <c r="L231" i="149" s="1"/>
  <c r="T247" i="142"/>
  <c r="T260" i="142"/>
  <c r="X247" i="142"/>
  <c r="O277" i="142" l="1"/>
  <c r="P277" i="142"/>
  <c r="N277" i="142"/>
  <c r="U277" i="142"/>
  <c r="V277" i="142"/>
  <c r="Y277" i="142"/>
  <c r="Q277" i="142"/>
  <c r="R277" i="142"/>
  <c r="K171" i="149"/>
  <c r="K231" i="149" s="1"/>
  <c r="O141" i="149"/>
  <c r="O201" i="149" s="1"/>
  <c r="Q171" i="149"/>
  <c r="Q231" i="149" s="1"/>
  <c r="M141" i="149"/>
  <c r="M201" i="149" s="1"/>
  <c r="J171" i="149"/>
  <c r="J231" i="149" s="1"/>
  <c r="L141" i="149"/>
  <c r="L271" i="149" s="1"/>
  <c r="L34" i="150" s="1"/>
  <c r="L79" i="150" s="1"/>
  <c r="J141" i="149"/>
  <c r="J201" i="149" s="1"/>
  <c r="P141" i="149"/>
  <c r="P271" i="149" s="1"/>
  <c r="P34" i="150" s="1"/>
  <c r="P79" i="150" s="1"/>
  <c r="M171" i="149"/>
  <c r="M231" i="149" s="1"/>
  <c r="N171" i="149"/>
  <c r="N231" i="149" s="1"/>
  <c r="N141" i="149"/>
  <c r="N271" i="149" s="1"/>
  <c r="N34" i="150" s="1"/>
  <c r="N79" i="150" s="1"/>
  <c r="Q141" i="149"/>
  <c r="Q271" i="149" s="1"/>
  <c r="Q34" i="150" s="1"/>
  <c r="Q79" i="150" s="1"/>
  <c r="W277" i="142"/>
  <c r="K141" i="149"/>
  <c r="K271" i="149" s="1"/>
  <c r="K34" i="150" s="1"/>
  <c r="K79" i="150" s="1"/>
  <c r="O171" i="149"/>
  <c r="O231" i="149" s="1"/>
  <c r="P171" i="149"/>
  <c r="P231" i="149" s="1"/>
  <c r="X277" i="142"/>
  <c r="J277" i="142"/>
  <c r="T277" i="142"/>
  <c r="M271" i="149" l="1"/>
  <c r="M34" i="150" s="1"/>
  <c r="M79" i="150" s="1"/>
  <c r="K201" i="149"/>
  <c r="L201" i="149"/>
  <c r="O271" i="149"/>
  <c r="O34" i="150" s="1"/>
  <c r="O79" i="150" s="1"/>
  <c r="N201" i="149"/>
  <c r="J271" i="149"/>
  <c r="J34" i="150" s="1"/>
  <c r="J79" i="150" s="1"/>
  <c r="P201" i="149"/>
  <c r="Q201" i="149"/>
  <c r="H277" i="142"/>
  <c r="K64" i="144" s="1" a="1"/>
  <c r="N64" i="144" s="1"/>
  <c r="N67" i="144" s="1"/>
  <c r="N73" i="144" s="1"/>
  <c r="N76" i="144" s="1"/>
  <c r="N108" i="144" s="1"/>
  <c r="H281" i="142" a="1"/>
  <c r="H281" i="142" s="1"/>
  <c r="R109" i="150" l="1"/>
  <c r="R141" i="150" s="1"/>
  <c r="A4" i="142"/>
  <c r="J46" i="55"/>
  <c r="P109" i="150"/>
  <c r="P141" i="150" s="1"/>
  <c r="K109" i="150"/>
  <c r="K141" i="150" s="1"/>
  <c r="W109" i="150"/>
  <c r="W141" i="150" s="1"/>
  <c r="X109" i="150"/>
  <c r="X141" i="150" s="1"/>
  <c r="T109" i="150"/>
  <c r="T141" i="150" s="1"/>
  <c r="Y109" i="150"/>
  <c r="Y141" i="150" s="1"/>
  <c r="Q109" i="150"/>
  <c r="Q141" i="150" s="1"/>
  <c r="V109" i="150"/>
  <c r="V141" i="150" s="1"/>
  <c r="U109" i="150"/>
  <c r="U141" i="150" s="1"/>
  <c r="N109" i="150"/>
  <c r="N141" i="150" s="1"/>
  <c r="M109" i="150"/>
  <c r="M141" i="150" s="1"/>
  <c r="S109" i="150"/>
  <c r="S141" i="150" s="1"/>
  <c r="O109" i="150"/>
  <c r="O141" i="150" s="1"/>
  <c r="R64" i="144"/>
  <c r="R67" i="144" s="1"/>
  <c r="R73" i="144" s="1"/>
  <c r="R76" i="144" s="1"/>
  <c r="R108" i="144" s="1"/>
  <c r="L64" i="144"/>
  <c r="L67" i="144" s="1"/>
  <c r="S64" i="144"/>
  <c r="S67" i="144" s="1"/>
  <c r="S73" i="144" s="1"/>
  <c r="S76" i="144" s="1"/>
  <c r="S108" i="144" s="1"/>
  <c r="K64" i="144"/>
  <c r="O64" i="144"/>
  <c r="O67" i="144" s="1"/>
  <c r="O73" i="144" s="1"/>
  <c r="O76" i="144" s="1"/>
  <c r="O108" i="144" s="1"/>
  <c r="Q64" i="144"/>
  <c r="Q67" i="144" s="1"/>
  <c r="Q73" i="144" s="1"/>
  <c r="Q76" i="144" s="1"/>
  <c r="Q108" i="144" s="1"/>
  <c r="P64" i="144"/>
  <c r="P67" i="144" s="1"/>
  <c r="M64" i="144"/>
  <c r="M67" i="144" s="1"/>
  <c r="L109" i="150"/>
  <c r="L141" i="150" s="1"/>
  <c r="J109" i="150"/>
  <c r="J141" i="150" s="1"/>
  <c r="L73" i="144" l="1"/>
  <c r="L76" i="144" s="1"/>
  <c r="L108" i="144" s="1"/>
  <c r="L100" i="144"/>
  <c r="L115" i="144" s="1"/>
  <c r="P73" i="144"/>
  <c r="P76" i="144" s="1"/>
  <c r="P100" i="144"/>
  <c r="P115" i="144" s="1"/>
  <c r="M100" i="144"/>
  <c r="M115" i="144" s="1"/>
  <c r="M73" i="144"/>
  <c r="M76" i="144" s="1"/>
  <c r="K67" i="144"/>
  <c r="J65" i="144"/>
  <c r="J67" i="144" s="1"/>
  <c r="J100" i="144" s="1"/>
  <c r="J115" i="144" s="1"/>
  <c r="P78" i="144" l="1"/>
  <c r="P97" i="144" s="1"/>
  <c r="P108" i="144"/>
  <c r="R78" i="144"/>
  <c r="R97" i="144" s="1"/>
  <c r="R100" i="144" s="1"/>
  <c r="R115" i="144" s="1"/>
  <c r="M108" i="144"/>
  <c r="L78" i="144"/>
  <c r="L97" i="144" s="1"/>
  <c r="T78" i="144"/>
  <c r="T97" i="144" s="1"/>
  <c r="Q78" i="144"/>
  <c r="Q97" i="144" s="1"/>
  <c r="Q100" i="144" s="1"/>
  <c r="Q115" i="144" s="1"/>
  <c r="N78" i="144"/>
  <c r="N97" i="144" s="1"/>
  <c r="N100" i="144" s="1"/>
  <c r="N115" i="144" s="1"/>
  <c r="S78" i="144"/>
  <c r="S97" i="144" s="1"/>
  <c r="S100" i="144" s="1"/>
  <c r="S115" i="144" s="1"/>
  <c r="M78" i="144"/>
  <c r="M97" i="144" s="1"/>
  <c r="H123" i="144"/>
  <c r="H21" i="146" s="1"/>
  <c r="H35" i="146" s="1"/>
  <c r="S43" i="146" s="1"/>
  <c r="S56" i="150" s="1"/>
  <c r="S157" i="150" s="1"/>
  <c r="U78" i="144"/>
  <c r="U97" i="144" s="1"/>
  <c r="K78" i="144"/>
  <c r="O78" i="144"/>
  <c r="O97" i="144" s="1"/>
  <c r="O100" i="144" s="1"/>
  <c r="O115" i="144" s="1"/>
  <c r="U42" i="146" l="1"/>
  <c r="U55" i="150" s="1"/>
  <c r="U156" i="150" s="1"/>
  <c r="Q44" i="146"/>
  <c r="Q76" i="147" s="1"/>
  <c r="Q181" i="147" s="1"/>
  <c r="N43" i="146"/>
  <c r="N56" i="150" s="1"/>
  <c r="N157" i="150" s="1"/>
  <c r="P42" i="146"/>
  <c r="P55" i="150" s="1"/>
  <c r="P156" i="150" s="1"/>
  <c r="T42" i="146"/>
  <c r="T55" i="150" s="1"/>
  <c r="T156" i="150" s="1"/>
  <c r="Q42" i="146"/>
  <c r="N42" i="146"/>
  <c r="N55" i="150" s="1"/>
  <c r="N156" i="150" s="1"/>
  <c r="J43" i="146"/>
  <c r="J56" i="150" s="1"/>
  <c r="J157" i="150" s="1"/>
  <c r="M43" i="146"/>
  <c r="M56" i="150" s="1"/>
  <c r="M157" i="150" s="1"/>
  <c r="V42" i="146"/>
  <c r="V55" i="150" s="1"/>
  <c r="V156" i="150" s="1"/>
  <c r="P43" i="146"/>
  <c r="P56" i="150" s="1"/>
  <c r="P157" i="150" s="1"/>
  <c r="M42" i="146"/>
  <c r="M55" i="150" s="1"/>
  <c r="M156" i="150" s="1"/>
  <c r="W42" i="146"/>
  <c r="W55" i="150" s="1"/>
  <c r="W156" i="150" s="1"/>
  <c r="K43" i="146"/>
  <c r="K56" i="150" s="1"/>
  <c r="K157" i="150" s="1"/>
  <c r="W43" i="146"/>
  <c r="W56" i="150" s="1"/>
  <c r="W157" i="150" s="1"/>
  <c r="X43" i="146"/>
  <c r="X56" i="150" s="1"/>
  <c r="X157" i="150" s="1"/>
  <c r="L42" i="146"/>
  <c r="L55" i="150" s="1"/>
  <c r="L156" i="150" s="1"/>
  <c r="L43" i="146"/>
  <c r="L56" i="150" s="1"/>
  <c r="L157" i="150" s="1"/>
  <c r="Q43" i="146"/>
  <c r="T43" i="146"/>
  <c r="T56" i="150" s="1"/>
  <c r="T157" i="150" s="1"/>
  <c r="U43" i="146"/>
  <c r="U56" i="150" s="1"/>
  <c r="U157" i="150" s="1"/>
  <c r="R42" i="146"/>
  <c r="R55" i="150" s="1"/>
  <c r="R156" i="150" s="1"/>
  <c r="X42" i="146"/>
  <c r="X55" i="150" s="1"/>
  <c r="X156" i="150" s="1"/>
  <c r="Y42" i="146"/>
  <c r="Y55" i="150" s="1"/>
  <c r="Y156" i="150" s="1"/>
  <c r="S42" i="146"/>
  <c r="S55" i="150" s="1"/>
  <c r="S156" i="150" s="1"/>
  <c r="K42" i="146"/>
  <c r="K55" i="150" s="1"/>
  <c r="K156" i="150" s="1"/>
  <c r="J42" i="146"/>
  <c r="J55" i="150" s="1"/>
  <c r="J156" i="150" s="1"/>
  <c r="O42" i="146"/>
  <c r="O55" i="150" s="1"/>
  <c r="O156" i="150" s="1"/>
  <c r="V43" i="146"/>
  <c r="V56" i="150" s="1"/>
  <c r="V157" i="150" s="1"/>
  <c r="Y43" i="146"/>
  <c r="Y56" i="150" s="1"/>
  <c r="Y157" i="150" s="1"/>
  <c r="R43" i="146"/>
  <c r="R56" i="150" s="1"/>
  <c r="R157" i="150" s="1"/>
  <c r="O43" i="146"/>
  <c r="O56" i="150" s="1"/>
  <c r="O157" i="150" s="1"/>
  <c r="K97" i="144"/>
  <c r="K100" i="144" s="1"/>
  <c r="K115" i="144" s="1"/>
  <c r="Q106" i="147"/>
  <c r="Q211" i="147" s="1"/>
  <c r="Q46" i="147"/>
  <c r="Q151" i="147" s="1"/>
  <c r="H48" i="146" l="1" a="1"/>
  <c r="H48" i="146" s="1"/>
  <c r="H127" i="144" a="1"/>
  <c r="H127" i="144" s="1"/>
  <c r="H131" i="144" s="1"/>
  <c r="H30" i="145" a="1"/>
  <c r="H65" i="149" a="1"/>
  <c r="H63" i="148" a="1"/>
  <c r="A4" i="144" l="1"/>
  <c r="J48" i="55"/>
  <c r="A4" i="146"/>
  <c r="J50" i="55"/>
  <c r="H69" i="148"/>
  <c r="H64" i="148"/>
  <c r="H71" i="148"/>
  <c r="H72" i="148"/>
  <c r="H63" i="148"/>
  <c r="H66" i="148"/>
  <c r="H68" i="148"/>
  <c r="H67" i="148"/>
  <c r="H65" i="148"/>
  <c r="H70" i="148"/>
  <c r="H70" i="149"/>
  <c r="H74" i="149"/>
  <c r="H67" i="149"/>
  <c r="H73" i="149"/>
  <c r="H66" i="149"/>
  <c r="H72" i="149"/>
  <c r="H68" i="149"/>
  <c r="H65" i="149"/>
  <c r="H69" i="149"/>
  <c r="H71" i="149"/>
  <c r="H36" i="145"/>
  <c r="H32" i="145"/>
  <c r="H34" i="145"/>
  <c r="H37" i="145"/>
  <c r="H39" i="145"/>
  <c r="H35" i="145"/>
  <c r="H33" i="145"/>
  <c r="H30" i="145"/>
  <c r="H38" i="145"/>
  <c r="H31" i="145"/>
  <c r="M193" i="145" l="1"/>
  <c r="M66" i="147" s="1"/>
  <c r="M171" i="147" s="1"/>
  <c r="V164" i="145"/>
  <c r="L222" i="145"/>
  <c r="L96" i="147" s="1"/>
  <c r="L201" i="147" s="1"/>
  <c r="U164" i="145"/>
  <c r="Q135" i="145"/>
  <c r="Q137" i="148" s="1"/>
  <c r="Q207" i="148" s="1"/>
  <c r="Q237" i="148" s="1"/>
  <c r="L164" i="145"/>
  <c r="Q222" i="145"/>
  <c r="Q96" i="147" s="1"/>
  <c r="Q201" i="147" s="1"/>
  <c r="M222" i="145"/>
  <c r="M96" i="147" s="1"/>
  <c r="M201" i="147" s="1"/>
  <c r="Y222" i="145"/>
  <c r="Y96" i="147" s="1"/>
  <c r="Y201" i="147" s="1"/>
  <c r="U222" i="145"/>
  <c r="U96" i="147" s="1"/>
  <c r="U201" i="147" s="1"/>
  <c r="J135" i="145"/>
  <c r="J137" i="148" s="1"/>
  <c r="Q164" i="145"/>
  <c r="M164" i="145"/>
  <c r="Y164" i="145"/>
  <c r="U193" i="145"/>
  <c r="U66" i="147" s="1"/>
  <c r="U171" i="147" s="1"/>
  <c r="O135" i="145"/>
  <c r="O137" i="148" s="1"/>
  <c r="O207" i="148" s="1"/>
  <c r="O237" i="148" s="1"/>
  <c r="O222" i="145"/>
  <c r="O96" i="147" s="1"/>
  <c r="O201" i="147" s="1"/>
  <c r="K222" i="145"/>
  <c r="K96" i="147" s="1"/>
  <c r="K201" i="147" s="1"/>
  <c r="W222" i="145"/>
  <c r="W96" i="147" s="1"/>
  <c r="W201" i="147" s="1"/>
  <c r="S222" i="145"/>
  <c r="S96" i="147" s="1"/>
  <c r="S201" i="147" s="1"/>
  <c r="N135" i="145"/>
  <c r="N137" i="148" s="1"/>
  <c r="N207" i="148" s="1"/>
  <c r="N237" i="148" s="1"/>
  <c r="L135" i="145"/>
  <c r="L137" i="148" s="1"/>
  <c r="L207" i="148" s="1"/>
  <c r="L237" i="148" s="1"/>
  <c r="W193" i="145"/>
  <c r="W66" i="147" s="1"/>
  <c r="W171" i="147" s="1"/>
  <c r="S135" i="145"/>
  <c r="M135" i="145"/>
  <c r="M137" i="148" s="1"/>
  <c r="M207" i="148" s="1"/>
  <c r="M237" i="148" s="1"/>
  <c r="J164" i="145"/>
  <c r="S164" i="145"/>
  <c r="P164" i="145"/>
  <c r="K193" i="145"/>
  <c r="K66" i="147" s="1"/>
  <c r="K171" i="147" s="1"/>
  <c r="T164" i="145"/>
  <c r="X222" i="145"/>
  <c r="X96" i="147" s="1"/>
  <c r="X201" i="147" s="1"/>
  <c r="S193" i="145"/>
  <c r="S66" i="147" s="1"/>
  <c r="S171" i="147" s="1"/>
  <c r="J222" i="145"/>
  <c r="J96" i="147" s="1"/>
  <c r="J201" i="147" s="1"/>
  <c r="T193" i="145"/>
  <c r="T66" i="147" s="1"/>
  <c r="T171" i="147" s="1"/>
  <c r="W164" i="145"/>
  <c r="L193" i="145"/>
  <c r="L66" i="147" s="1"/>
  <c r="L171" i="147" s="1"/>
  <c r="R222" i="145"/>
  <c r="R96" i="147" s="1"/>
  <c r="R201" i="147" s="1"/>
  <c r="X135" i="145"/>
  <c r="X164" i="145"/>
  <c r="Y135" i="145"/>
  <c r="N222" i="145"/>
  <c r="N96" i="147" s="1"/>
  <c r="N201" i="147" s="1"/>
  <c r="V222" i="145"/>
  <c r="V96" i="147" s="1"/>
  <c r="V201" i="147" s="1"/>
  <c r="T135" i="145"/>
  <c r="P193" i="145"/>
  <c r="P66" i="147" s="1"/>
  <c r="P171" i="147" s="1"/>
  <c r="X193" i="145"/>
  <c r="X66" i="147" s="1"/>
  <c r="X171" i="147" s="1"/>
  <c r="O164" i="145"/>
  <c r="O193" i="145"/>
  <c r="O66" i="147" s="1"/>
  <c r="O171" i="147" s="1"/>
  <c r="P222" i="145"/>
  <c r="P96" i="147" s="1"/>
  <c r="P201" i="147" s="1"/>
  <c r="R135" i="145"/>
  <c r="K135" i="145"/>
  <c r="K137" i="148" s="1"/>
  <c r="K207" i="148" s="1"/>
  <c r="K237" i="148" s="1"/>
  <c r="N193" i="145"/>
  <c r="N66" i="147" s="1"/>
  <c r="N171" i="147" s="1"/>
  <c r="W135" i="145"/>
  <c r="Q193" i="145"/>
  <c r="Q66" i="147" s="1"/>
  <c r="Q171" i="147" s="1"/>
  <c r="K164" i="145"/>
  <c r="N164" i="145"/>
  <c r="J193" i="145"/>
  <c r="J66" i="147" s="1"/>
  <c r="J171" i="147" s="1"/>
  <c r="R164" i="145"/>
  <c r="Y193" i="145"/>
  <c r="Y66" i="147" s="1"/>
  <c r="Y171" i="147" s="1"/>
  <c r="R193" i="145"/>
  <c r="R66" i="147" s="1"/>
  <c r="R171" i="147" s="1"/>
  <c r="V193" i="145"/>
  <c r="V66" i="147" s="1"/>
  <c r="V171" i="147" s="1"/>
  <c r="T222" i="145"/>
  <c r="T96" i="147" s="1"/>
  <c r="T201" i="147" s="1"/>
  <c r="P135" i="145"/>
  <c r="P137" i="148" s="1"/>
  <c r="P207" i="148" s="1"/>
  <c r="P237" i="148" s="1"/>
  <c r="V135" i="145"/>
  <c r="U135" i="145"/>
  <c r="J200" i="145"/>
  <c r="J73" i="147" s="1"/>
  <c r="J178" i="147" s="1"/>
  <c r="S200" i="145"/>
  <c r="S73" i="147" s="1"/>
  <c r="S178" i="147" s="1"/>
  <c r="R200" i="145"/>
  <c r="R73" i="147" s="1"/>
  <c r="R178" i="147" s="1"/>
  <c r="T229" i="145"/>
  <c r="T103" i="147" s="1"/>
  <c r="T208" i="147" s="1"/>
  <c r="U229" i="145"/>
  <c r="U103" i="147" s="1"/>
  <c r="U208" i="147" s="1"/>
  <c r="J142" i="145"/>
  <c r="J144" i="148" s="1"/>
  <c r="J214" i="148" s="1"/>
  <c r="J244" i="148" s="1"/>
  <c r="Y229" i="145"/>
  <c r="Y103" i="147" s="1"/>
  <c r="Y208" i="147" s="1"/>
  <c r="R142" i="145"/>
  <c r="N200" i="145"/>
  <c r="N73" i="147" s="1"/>
  <c r="N178" i="147" s="1"/>
  <c r="Y171" i="145"/>
  <c r="Y43" i="147" s="1"/>
  <c r="Y148" i="147" s="1"/>
  <c r="O229" i="145"/>
  <c r="O103" i="147" s="1"/>
  <c r="O208" i="147" s="1"/>
  <c r="L142" i="145"/>
  <c r="L144" i="148" s="1"/>
  <c r="L214" i="148" s="1"/>
  <c r="L244" i="148" s="1"/>
  <c r="X171" i="145"/>
  <c r="X43" i="147" s="1"/>
  <c r="X148" i="147" s="1"/>
  <c r="T142" i="145"/>
  <c r="L200" i="145"/>
  <c r="L73" i="147" s="1"/>
  <c r="L178" i="147" s="1"/>
  <c r="N142" i="145"/>
  <c r="N144" i="148" s="1"/>
  <c r="N214" i="148" s="1"/>
  <c r="N244" i="148" s="1"/>
  <c r="J171" i="145"/>
  <c r="J43" i="147" s="1"/>
  <c r="J148" i="147" s="1"/>
  <c r="O200" i="145"/>
  <c r="O73" i="147" s="1"/>
  <c r="O178" i="147" s="1"/>
  <c r="U142" i="145"/>
  <c r="P229" i="145"/>
  <c r="P103" i="147" s="1"/>
  <c r="P208" i="147" s="1"/>
  <c r="V171" i="145"/>
  <c r="V43" i="147" s="1"/>
  <c r="V148" i="147" s="1"/>
  <c r="O171" i="145"/>
  <c r="O43" i="147" s="1"/>
  <c r="O148" i="147" s="1"/>
  <c r="L171" i="145"/>
  <c r="L43" i="147" s="1"/>
  <c r="L148" i="147" s="1"/>
  <c r="V200" i="145"/>
  <c r="V73" i="147" s="1"/>
  <c r="V178" i="147" s="1"/>
  <c r="K200" i="145"/>
  <c r="K73" i="147" s="1"/>
  <c r="K178" i="147" s="1"/>
  <c r="Q171" i="145"/>
  <c r="Q43" i="147" s="1"/>
  <c r="Q148" i="147" s="1"/>
  <c r="U200" i="145"/>
  <c r="U73" i="147" s="1"/>
  <c r="U178" i="147" s="1"/>
  <c r="K229" i="145"/>
  <c r="K103" i="147" s="1"/>
  <c r="K208" i="147" s="1"/>
  <c r="W229" i="145"/>
  <c r="W103" i="147" s="1"/>
  <c r="W208" i="147" s="1"/>
  <c r="S229" i="145"/>
  <c r="S103" i="147" s="1"/>
  <c r="S208" i="147" s="1"/>
  <c r="P200" i="145"/>
  <c r="P73" i="147" s="1"/>
  <c r="P178" i="147" s="1"/>
  <c r="X200" i="145"/>
  <c r="X73" i="147" s="1"/>
  <c r="X178" i="147" s="1"/>
  <c r="N229" i="145"/>
  <c r="N103" i="147" s="1"/>
  <c r="N208" i="147" s="1"/>
  <c r="K142" i="145"/>
  <c r="K144" i="148" s="1"/>
  <c r="K214" i="148" s="1"/>
  <c r="K244" i="148" s="1"/>
  <c r="J229" i="145"/>
  <c r="J103" i="147" s="1"/>
  <c r="J208" i="147" s="1"/>
  <c r="Q229" i="145"/>
  <c r="Q103" i="147" s="1"/>
  <c r="Q208" i="147" s="1"/>
  <c r="V142" i="145"/>
  <c r="T171" i="145"/>
  <c r="T43" i="147" s="1"/>
  <c r="T148" i="147" s="1"/>
  <c r="K171" i="145"/>
  <c r="K43" i="147" s="1"/>
  <c r="K148" i="147" s="1"/>
  <c r="S171" i="145"/>
  <c r="S43" i="147" s="1"/>
  <c r="S148" i="147" s="1"/>
  <c r="N171" i="145"/>
  <c r="N43" i="147" s="1"/>
  <c r="N148" i="147" s="1"/>
  <c r="Y200" i="145"/>
  <c r="Y73" i="147" s="1"/>
  <c r="Y178" i="147" s="1"/>
  <c r="M142" i="145"/>
  <c r="M144" i="148" s="1"/>
  <c r="M214" i="148" s="1"/>
  <c r="M244" i="148" s="1"/>
  <c r="M171" i="145"/>
  <c r="M43" i="147" s="1"/>
  <c r="M148" i="147" s="1"/>
  <c r="U171" i="145"/>
  <c r="U43" i="147" s="1"/>
  <c r="U148" i="147" s="1"/>
  <c r="Q142" i="145"/>
  <c r="Q144" i="148" s="1"/>
  <c r="Q214" i="148" s="1"/>
  <c r="Q244" i="148" s="1"/>
  <c r="O142" i="145"/>
  <c r="O144" i="148" s="1"/>
  <c r="O214" i="148" s="1"/>
  <c r="O244" i="148" s="1"/>
  <c r="W171" i="145"/>
  <c r="W43" i="147" s="1"/>
  <c r="W148" i="147" s="1"/>
  <c r="L229" i="145"/>
  <c r="L103" i="147" s="1"/>
  <c r="L208" i="147" s="1"/>
  <c r="P171" i="145"/>
  <c r="P43" i="147" s="1"/>
  <c r="P148" i="147" s="1"/>
  <c r="P142" i="145"/>
  <c r="P144" i="148" s="1"/>
  <c r="P214" i="148" s="1"/>
  <c r="P244" i="148" s="1"/>
  <c r="X229" i="145"/>
  <c r="X103" i="147" s="1"/>
  <c r="X208" i="147" s="1"/>
  <c r="W142" i="145"/>
  <c r="R171" i="145"/>
  <c r="R43" i="147" s="1"/>
  <c r="R148" i="147" s="1"/>
  <c r="Q200" i="145"/>
  <c r="Q73" i="147" s="1"/>
  <c r="Q178" i="147" s="1"/>
  <c r="W200" i="145"/>
  <c r="W73" i="147" s="1"/>
  <c r="W178" i="147" s="1"/>
  <c r="M200" i="145"/>
  <c r="M73" i="147" s="1"/>
  <c r="M178" i="147" s="1"/>
  <c r="X142" i="145"/>
  <c r="S142" i="145"/>
  <c r="V229" i="145"/>
  <c r="V103" i="147" s="1"/>
  <c r="V208" i="147" s="1"/>
  <c r="Y142" i="145"/>
  <c r="M229" i="145"/>
  <c r="M103" i="147" s="1"/>
  <c r="M208" i="147" s="1"/>
  <c r="R229" i="145"/>
  <c r="R103" i="147" s="1"/>
  <c r="R208" i="147" s="1"/>
  <c r="T200" i="145"/>
  <c r="T73" i="147" s="1"/>
  <c r="T178" i="147" s="1"/>
  <c r="N182" i="149"/>
  <c r="N242" i="149" s="1"/>
  <c r="P152" i="149"/>
  <c r="O182" i="149"/>
  <c r="O242" i="149" s="1"/>
  <c r="Q152" i="149"/>
  <c r="L182" i="149"/>
  <c r="L242" i="149" s="1"/>
  <c r="L152" i="149"/>
  <c r="M182" i="149"/>
  <c r="M242" i="149" s="1"/>
  <c r="M152" i="149"/>
  <c r="K182" i="149"/>
  <c r="K242" i="149" s="1"/>
  <c r="J182" i="149"/>
  <c r="J242" i="149" s="1"/>
  <c r="Q182" i="149"/>
  <c r="Q242" i="149" s="1"/>
  <c r="O152" i="149"/>
  <c r="P182" i="149"/>
  <c r="P242" i="149" s="1"/>
  <c r="N152" i="149"/>
  <c r="K152" i="149"/>
  <c r="J152" i="149"/>
  <c r="L153" i="149"/>
  <c r="O153" i="149"/>
  <c r="J153" i="149"/>
  <c r="K153" i="149"/>
  <c r="P153" i="149"/>
  <c r="M183" i="149"/>
  <c r="M243" i="149" s="1"/>
  <c r="N183" i="149"/>
  <c r="N243" i="149" s="1"/>
  <c r="K183" i="149"/>
  <c r="K243" i="149" s="1"/>
  <c r="L183" i="149"/>
  <c r="L243" i="149" s="1"/>
  <c r="Q153" i="149"/>
  <c r="Q183" i="149"/>
  <c r="Q243" i="149" s="1"/>
  <c r="M153" i="149"/>
  <c r="O183" i="149"/>
  <c r="O243" i="149" s="1"/>
  <c r="N153" i="149"/>
  <c r="J183" i="149"/>
  <c r="J243" i="149" s="1"/>
  <c r="P183" i="149"/>
  <c r="P243" i="149" s="1"/>
  <c r="O155" i="149"/>
  <c r="O185" i="149"/>
  <c r="O245" i="149" s="1"/>
  <c r="K155" i="149"/>
  <c r="P155" i="149"/>
  <c r="L185" i="149"/>
  <c r="L245" i="149" s="1"/>
  <c r="K185" i="149"/>
  <c r="K245" i="149" s="1"/>
  <c r="Q185" i="149"/>
  <c r="Q245" i="149" s="1"/>
  <c r="L155" i="149"/>
  <c r="N185" i="149"/>
  <c r="N245" i="149" s="1"/>
  <c r="M185" i="149"/>
  <c r="M245" i="149" s="1"/>
  <c r="Q155" i="149"/>
  <c r="J185" i="149"/>
  <c r="J245" i="149" s="1"/>
  <c r="P185" i="149"/>
  <c r="P245" i="149" s="1"/>
  <c r="J155" i="149"/>
  <c r="M155" i="149"/>
  <c r="N155" i="149"/>
  <c r="S176" i="148"/>
  <c r="S211" i="148" s="1"/>
  <c r="S241" i="148" s="1"/>
  <c r="Y176" i="148"/>
  <c r="Y211" i="148" s="1"/>
  <c r="Y241" i="148" s="1"/>
  <c r="T176" i="148"/>
  <c r="T211" i="148" s="1"/>
  <c r="T241" i="148" s="1"/>
  <c r="U176" i="148"/>
  <c r="U211" i="148" s="1"/>
  <c r="U241" i="148" s="1"/>
  <c r="V176" i="148"/>
  <c r="V211" i="148" s="1"/>
  <c r="V241" i="148" s="1"/>
  <c r="X176" i="148"/>
  <c r="X211" i="148" s="1"/>
  <c r="X241" i="148" s="1"/>
  <c r="R176" i="148"/>
  <c r="R211" i="148" s="1"/>
  <c r="R241" i="148" s="1"/>
  <c r="W176" i="148"/>
  <c r="W211" i="148" s="1"/>
  <c r="W241" i="148" s="1"/>
  <c r="R181" i="148"/>
  <c r="R216" i="148" s="1"/>
  <c r="R246" i="148" s="1"/>
  <c r="V181" i="148"/>
  <c r="V216" i="148" s="1"/>
  <c r="V246" i="148" s="1"/>
  <c r="S181" i="148"/>
  <c r="S216" i="148" s="1"/>
  <c r="S246" i="148" s="1"/>
  <c r="Y181" i="148"/>
  <c r="Y216" i="148" s="1"/>
  <c r="Y246" i="148" s="1"/>
  <c r="T181" i="148"/>
  <c r="T216" i="148" s="1"/>
  <c r="T246" i="148" s="1"/>
  <c r="W181" i="148"/>
  <c r="W216" i="148" s="1"/>
  <c r="W246" i="148" s="1"/>
  <c r="X181" i="148"/>
  <c r="X216" i="148" s="1"/>
  <c r="X246" i="148" s="1"/>
  <c r="U181" i="148"/>
  <c r="U216" i="148" s="1"/>
  <c r="U246" i="148" s="1"/>
  <c r="L138" i="145"/>
  <c r="L140" i="148" s="1"/>
  <c r="L210" i="148" s="1"/>
  <c r="L240" i="148" s="1"/>
  <c r="X138" i="145"/>
  <c r="T167" i="145"/>
  <c r="T39" i="147" s="1"/>
  <c r="T144" i="147" s="1"/>
  <c r="O138" i="145"/>
  <c r="O140" i="148" s="1"/>
  <c r="O210" i="148" s="1"/>
  <c r="O240" i="148" s="1"/>
  <c r="Q138" i="145"/>
  <c r="Q140" i="148" s="1"/>
  <c r="Q210" i="148" s="1"/>
  <c r="Q240" i="148" s="1"/>
  <c r="P225" i="145"/>
  <c r="P99" i="147" s="1"/>
  <c r="P204" i="147" s="1"/>
  <c r="M225" i="145"/>
  <c r="M99" i="147" s="1"/>
  <c r="M204" i="147" s="1"/>
  <c r="Y225" i="145"/>
  <c r="Y99" i="147" s="1"/>
  <c r="Y204" i="147" s="1"/>
  <c r="Q225" i="145"/>
  <c r="Q99" i="147" s="1"/>
  <c r="Q204" i="147" s="1"/>
  <c r="N225" i="145"/>
  <c r="N99" i="147" s="1"/>
  <c r="N204" i="147" s="1"/>
  <c r="V138" i="145"/>
  <c r="O225" i="145"/>
  <c r="O99" i="147" s="1"/>
  <c r="O204" i="147" s="1"/>
  <c r="X225" i="145"/>
  <c r="X99" i="147" s="1"/>
  <c r="X204" i="147" s="1"/>
  <c r="N167" i="145"/>
  <c r="N39" i="147" s="1"/>
  <c r="N144" i="147" s="1"/>
  <c r="Y138" i="145"/>
  <c r="W196" i="145"/>
  <c r="W69" i="147" s="1"/>
  <c r="W174" i="147" s="1"/>
  <c r="K225" i="145"/>
  <c r="K99" i="147" s="1"/>
  <c r="K204" i="147" s="1"/>
  <c r="W225" i="145"/>
  <c r="W99" i="147" s="1"/>
  <c r="W204" i="147" s="1"/>
  <c r="R138" i="145"/>
  <c r="R225" i="145"/>
  <c r="R99" i="147" s="1"/>
  <c r="R204" i="147" s="1"/>
  <c r="J138" i="145"/>
  <c r="J140" i="148" s="1"/>
  <c r="J210" i="148" s="1"/>
  <c r="J240" i="148" s="1"/>
  <c r="X167" i="145"/>
  <c r="X39" i="147" s="1"/>
  <c r="X144" i="147" s="1"/>
  <c r="P167" i="145"/>
  <c r="P39" i="147" s="1"/>
  <c r="P144" i="147" s="1"/>
  <c r="S138" i="145"/>
  <c r="Q196" i="145"/>
  <c r="Q69" i="147" s="1"/>
  <c r="Q174" i="147" s="1"/>
  <c r="R196" i="145"/>
  <c r="R69" i="147" s="1"/>
  <c r="R174" i="147" s="1"/>
  <c r="U196" i="145"/>
  <c r="U69" i="147" s="1"/>
  <c r="U174" i="147" s="1"/>
  <c r="P196" i="145"/>
  <c r="P69" i="147" s="1"/>
  <c r="P174" i="147" s="1"/>
  <c r="M167" i="145"/>
  <c r="M39" i="147" s="1"/>
  <c r="M144" i="147" s="1"/>
  <c r="Y167" i="145"/>
  <c r="Y39" i="147" s="1"/>
  <c r="Y144" i="147" s="1"/>
  <c r="R167" i="145"/>
  <c r="R39" i="147" s="1"/>
  <c r="R144" i="147" s="1"/>
  <c r="M138" i="145"/>
  <c r="M140" i="148" s="1"/>
  <c r="M210" i="148" s="1"/>
  <c r="M240" i="148" s="1"/>
  <c r="V225" i="145"/>
  <c r="V99" i="147" s="1"/>
  <c r="V204" i="147" s="1"/>
  <c r="Q167" i="145"/>
  <c r="Q39" i="147" s="1"/>
  <c r="Q144" i="147" s="1"/>
  <c r="M196" i="145"/>
  <c r="M69" i="147" s="1"/>
  <c r="M174" i="147" s="1"/>
  <c r="X196" i="145"/>
  <c r="X69" i="147" s="1"/>
  <c r="X174" i="147" s="1"/>
  <c r="T138" i="145"/>
  <c r="S225" i="145"/>
  <c r="S99" i="147" s="1"/>
  <c r="S204" i="147" s="1"/>
  <c r="V196" i="145"/>
  <c r="V69" i="147" s="1"/>
  <c r="V174" i="147" s="1"/>
  <c r="N196" i="145"/>
  <c r="N69" i="147" s="1"/>
  <c r="N174" i="147" s="1"/>
  <c r="J225" i="145"/>
  <c r="J99" i="147" s="1"/>
  <c r="J204" i="147" s="1"/>
  <c r="N138" i="145"/>
  <c r="N140" i="148" s="1"/>
  <c r="N210" i="148" s="1"/>
  <c r="N240" i="148" s="1"/>
  <c r="L167" i="145"/>
  <c r="L39" i="147" s="1"/>
  <c r="L144" i="147" s="1"/>
  <c r="L196" i="145"/>
  <c r="L69" i="147" s="1"/>
  <c r="L174" i="147" s="1"/>
  <c r="S167" i="145"/>
  <c r="S39" i="147" s="1"/>
  <c r="S144" i="147" s="1"/>
  <c r="K167" i="145"/>
  <c r="K39" i="147" s="1"/>
  <c r="K144" i="147" s="1"/>
  <c r="J196" i="145"/>
  <c r="J69" i="147" s="1"/>
  <c r="J174" i="147" s="1"/>
  <c r="O167" i="145"/>
  <c r="O39" i="147" s="1"/>
  <c r="O144" i="147" s="1"/>
  <c r="V167" i="145"/>
  <c r="V39" i="147" s="1"/>
  <c r="V144" i="147" s="1"/>
  <c r="U225" i="145"/>
  <c r="U99" i="147" s="1"/>
  <c r="U204" i="147" s="1"/>
  <c r="L225" i="145"/>
  <c r="L99" i="147" s="1"/>
  <c r="L204" i="147" s="1"/>
  <c r="T196" i="145"/>
  <c r="T69" i="147" s="1"/>
  <c r="T174" i="147" s="1"/>
  <c r="K196" i="145"/>
  <c r="K69" i="147" s="1"/>
  <c r="K174" i="147" s="1"/>
  <c r="Y196" i="145"/>
  <c r="Y69" i="147" s="1"/>
  <c r="Y174" i="147" s="1"/>
  <c r="W167" i="145"/>
  <c r="W39" i="147" s="1"/>
  <c r="W144" i="147" s="1"/>
  <c r="O196" i="145"/>
  <c r="O69" i="147" s="1"/>
  <c r="O174" i="147" s="1"/>
  <c r="J167" i="145"/>
  <c r="J39" i="147" s="1"/>
  <c r="J144" i="147" s="1"/>
  <c r="U138" i="145"/>
  <c r="P138" i="145"/>
  <c r="P140" i="148" s="1"/>
  <c r="P210" i="148" s="1"/>
  <c r="P240" i="148" s="1"/>
  <c r="T225" i="145"/>
  <c r="T99" i="147" s="1"/>
  <c r="T204" i="147" s="1"/>
  <c r="K138" i="145"/>
  <c r="K140" i="148" s="1"/>
  <c r="K210" i="148" s="1"/>
  <c r="K240" i="148" s="1"/>
  <c r="U167" i="145"/>
  <c r="U39" i="147" s="1"/>
  <c r="U144" i="147" s="1"/>
  <c r="S196" i="145"/>
  <c r="S69" i="147" s="1"/>
  <c r="S174" i="147" s="1"/>
  <c r="W138" i="145"/>
  <c r="U139" i="145"/>
  <c r="M139" i="145"/>
  <c r="M141" i="148" s="1"/>
  <c r="M211" i="148" s="1"/>
  <c r="M241" i="148" s="1"/>
  <c r="T226" i="145"/>
  <c r="T100" i="147" s="1"/>
  <c r="T205" i="147" s="1"/>
  <c r="Y197" i="145"/>
  <c r="Y70" i="147" s="1"/>
  <c r="Y175" i="147" s="1"/>
  <c r="S168" i="145"/>
  <c r="S40" i="147" s="1"/>
  <c r="S145" i="147" s="1"/>
  <c r="L168" i="145"/>
  <c r="L40" i="147" s="1"/>
  <c r="L145" i="147" s="1"/>
  <c r="V226" i="145"/>
  <c r="V100" i="147" s="1"/>
  <c r="V205" i="147" s="1"/>
  <c r="R226" i="145"/>
  <c r="R100" i="147" s="1"/>
  <c r="R205" i="147" s="1"/>
  <c r="N226" i="145"/>
  <c r="N100" i="147" s="1"/>
  <c r="N205" i="147" s="1"/>
  <c r="J226" i="145"/>
  <c r="J100" i="147" s="1"/>
  <c r="J205" i="147" s="1"/>
  <c r="W168" i="145"/>
  <c r="W40" i="147" s="1"/>
  <c r="W145" i="147" s="1"/>
  <c r="O168" i="145"/>
  <c r="O40" i="147" s="1"/>
  <c r="O145" i="147" s="1"/>
  <c r="T139" i="145"/>
  <c r="J139" i="145"/>
  <c r="J141" i="148" s="1"/>
  <c r="J211" i="148" s="1"/>
  <c r="J241" i="148" s="1"/>
  <c r="J168" i="145"/>
  <c r="J40" i="147" s="1"/>
  <c r="J145" i="147" s="1"/>
  <c r="N139" i="145"/>
  <c r="N141" i="148" s="1"/>
  <c r="N211" i="148" s="1"/>
  <c r="N241" i="148" s="1"/>
  <c r="K139" i="145"/>
  <c r="K141" i="148" s="1"/>
  <c r="K211" i="148" s="1"/>
  <c r="K241" i="148" s="1"/>
  <c r="W197" i="145"/>
  <c r="W70" i="147" s="1"/>
  <c r="W175" i="147" s="1"/>
  <c r="W226" i="145"/>
  <c r="W100" i="147" s="1"/>
  <c r="W205" i="147" s="1"/>
  <c r="O226" i="145"/>
  <c r="O100" i="147" s="1"/>
  <c r="O205" i="147" s="1"/>
  <c r="V139" i="145"/>
  <c r="X197" i="145"/>
  <c r="X70" i="147" s="1"/>
  <c r="X175" i="147" s="1"/>
  <c r="T197" i="145"/>
  <c r="T70" i="147" s="1"/>
  <c r="T175" i="147" s="1"/>
  <c r="P197" i="145"/>
  <c r="P70" i="147" s="1"/>
  <c r="P175" i="147" s="1"/>
  <c r="L197" i="145"/>
  <c r="L70" i="147" s="1"/>
  <c r="L175" i="147" s="1"/>
  <c r="S197" i="145"/>
  <c r="S70" i="147" s="1"/>
  <c r="S175" i="147" s="1"/>
  <c r="T168" i="145"/>
  <c r="T40" i="147" s="1"/>
  <c r="T145" i="147" s="1"/>
  <c r="Y168" i="145"/>
  <c r="Y40" i="147" s="1"/>
  <c r="Y145" i="147" s="1"/>
  <c r="U168" i="145"/>
  <c r="U40" i="147" s="1"/>
  <c r="U145" i="147" s="1"/>
  <c r="Q168" i="145"/>
  <c r="Q40" i="147" s="1"/>
  <c r="Q145" i="147" s="1"/>
  <c r="M168" i="145"/>
  <c r="M40" i="147" s="1"/>
  <c r="M145" i="147" s="1"/>
  <c r="X139" i="145"/>
  <c r="X168" i="145"/>
  <c r="X40" i="147" s="1"/>
  <c r="X145" i="147" s="1"/>
  <c r="U226" i="145"/>
  <c r="U100" i="147" s="1"/>
  <c r="U205" i="147" s="1"/>
  <c r="Q226" i="145"/>
  <c r="Q100" i="147" s="1"/>
  <c r="Q205" i="147" s="1"/>
  <c r="R139" i="145"/>
  <c r="V197" i="145"/>
  <c r="V70" i="147" s="1"/>
  <c r="V175" i="147" s="1"/>
  <c r="N197" i="145"/>
  <c r="N70" i="147" s="1"/>
  <c r="N175" i="147" s="1"/>
  <c r="P139" i="145"/>
  <c r="P141" i="148" s="1"/>
  <c r="P211" i="148" s="1"/>
  <c r="P241" i="148" s="1"/>
  <c r="Y226" i="145"/>
  <c r="Y100" i="147" s="1"/>
  <c r="Y205" i="147" s="1"/>
  <c r="M226" i="145"/>
  <c r="M100" i="147" s="1"/>
  <c r="M205" i="147" s="1"/>
  <c r="Y139" i="145"/>
  <c r="R197" i="145"/>
  <c r="R70" i="147" s="1"/>
  <c r="R175" i="147" s="1"/>
  <c r="J197" i="145"/>
  <c r="J70" i="147" s="1"/>
  <c r="J175" i="147" s="1"/>
  <c r="S226" i="145"/>
  <c r="S100" i="147" s="1"/>
  <c r="S205" i="147" s="1"/>
  <c r="K226" i="145"/>
  <c r="K100" i="147" s="1"/>
  <c r="K205" i="147" s="1"/>
  <c r="P168" i="145"/>
  <c r="P40" i="147" s="1"/>
  <c r="P145" i="147" s="1"/>
  <c r="L226" i="145"/>
  <c r="L100" i="147" s="1"/>
  <c r="L205" i="147" s="1"/>
  <c r="U197" i="145"/>
  <c r="U70" i="147" s="1"/>
  <c r="U175" i="147" s="1"/>
  <c r="M197" i="145"/>
  <c r="M70" i="147" s="1"/>
  <c r="M175" i="147" s="1"/>
  <c r="V168" i="145"/>
  <c r="V40" i="147" s="1"/>
  <c r="V145" i="147" s="1"/>
  <c r="K197" i="145"/>
  <c r="K70" i="147" s="1"/>
  <c r="K175" i="147" s="1"/>
  <c r="K168" i="145"/>
  <c r="K40" i="147" s="1"/>
  <c r="K145" i="147" s="1"/>
  <c r="N168" i="145"/>
  <c r="N40" i="147" s="1"/>
  <c r="N145" i="147" s="1"/>
  <c r="W139" i="145"/>
  <c r="O139" i="145"/>
  <c r="O141" i="148" s="1"/>
  <c r="O211" i="148" s="1"/>
  <c r="O241" i="148" s="1"/>
  <c r="X226" i="145"/>
  <c r="X100" i="147" s="1"/>
  <c r="X205" i="147" s="1"/>
  <c r="L139" i="145"/>
  <c r="L141" i="148" s="1"/>
  <c r="L211" i="148" s="1"/>
  <c r="L241" i="148" s="1"/>
  <c r="Q197" i="145"/>
  <c r="Q70" i="147" s="1"/>
  <c r="Q175" i="147" s="1"/>
  <c r="R168" i="145"/>
  <c r="R40" i="147" s="1"/>
  <c r="R145" i="147" s="1"/>
  <c r="S139" i="145"/>
  <c r="Q139" i="145"/>
  <c r="Q141" i="148" s="1"/>
  <c r="Q211" i="148" s="1"/>
  <c r="Q241" i="148" s="1"/>
  <c r="P226" i="145"/>
  <c r="P100" i="147" s="1"/>
  <c r="P205" i="147" s="1"/>
  <c r="O197" i="145"/>
  <c r="O70" i="147" s="1"/>
  <c r="O175" i="147" s="1"/>
  <c r="M150" i="149"/>
  <c r="Q180" i="149"/>
  <c r="Q240" i="149" s="1"/>
  <c r="P150" i="149"/>
  <c r="L180" i="149"/>
  <c r="L240" i="149" s="1"/>
  <c r="L150" i="149"/>
  <c r="K150" i="149"/>
  <c r="J180" i="149"/>
  <c r="J240" i="149" s="1"/>
  <c r="K180" i="149"/>
  <c r="K240" i="149" s="1"/>
  <c r="M180" i="149"/>
  <c r="M240" i="149" s="1"/>
  <c r="O150" i="149"/>
  <c r="N150" i="149"/>
  <c r="P180" i="149"/>
  <c r="P240" i="149" s="1"/>
  <c r="Q150" i="149"/>
  <c r="J150" i="149"/>
  <c r="O180" i="149"/>
  <c r="O240" i="149" s="1"/>
  <c r="N180" i="149"/>
  <c r="N240" i="149" s="1"/>
  <c r="N147" i="149"/>
  <c r="O177" i="149"/>
  <c r="O237" i="149" s="1"/>
  <c r="N177" i="149"/>
  <c r="N237" i="149" s="1"/>
  <c r="M147" i="149"/>
  <c r="O147" i="149"/>
  <c r="L147" i="149"/>
  <c r="L177" i="149"/>
  <c r="L237" i="149" s="1"/>
  <c r="P147" i="149"/>
  <c r="M177" i="149"/>
  <c r="M237" i="149" s="1"/>
  <c r="J177" i="149"/>
  <c r="J237" i="149" s="1"/>
  <c r="Q147" i="149"/>
  <c r="J147" i="149"/>
  <c r="Q177" i="149"/>
  <c r="Q237" i="149" s="1"/>
  <c r="K147" i="149"/>
  <c r="P177" i="149"/>
  <c r="P237" i="149" s="1"/>
  <c r="K177" i="149"/>
  <c r="K237" i="149" s="1"/>
  <c r="K151" i="149"/>
  <c r="M151" i="149"/>
  <c r="N181" i="149"/>
  <c r="N241" i="149" s="1"/>
  <c r="L181" i="149"/>
  <c r="L241" i="149" s="1"/>
  <c r="Q151" i="149"/>
  <c r="K181" i="149"/>
  <c r="K241" i="149" s="1"/>
  <c r="L151" i="149"/>
  <c r="O151" i="149"/>
  <c r="N151" i="149"/>
  <c r="J151" i="149"/>
  <c r="Q181" i="149"/>
  <c r="Q241" i="149" s="1"/>
  <c r="J181" i="149"/>
  <c r="J241" i="149" s="1"/>
  <c r="O181" i="149"/>
  <c r="O241" i="149" s="1"/>
  <c r="P181" i="149"/>
  <c r="P241" i="149" s="1"/>
  <c r="M181" i="149"/>
  <c r="M241" i="149" s="1"/>
  <c r="P151" i="149"/>
  <c r="T177" i="148"/>
  <c r="T212" i="148" s="1"/>
  <c r="T242" i="148" s="1"/>
  <c r="R177" i="148"/>
  <c r="R212" i="148" s="1"/>
  <c r="R242" i="148" s="1"/>
  <c r="X177" i="148"/>
  <c r="X212" i="148" s="1"/>
  <c r="X242" i="148" s="1"/>
  <c r="Y177" i="148"/>
  <c r="Y212" i="148" s="1"/>
  <c r="Y242" i="148" s="1"/>
  <c r="V177" i="148"/>
  <c r="V212" i="148" s="1"/>
  <c r="V242" i="148" s="1"/>
  <c r="W177" i="148"/>
  <c r="W212" i="148" s="1"/>
  <c r="W242" i="148" s="1"/>
  <c r="U177" i="148"/>
  <c r="U212" i="148" s="1"/>
  <c r="U242" i="148" s="1"/>
  <c r="S177" i="148"/>
  <c r="S212" i="148" s="1"/>
  <c r="S242" i="148" s="1"/>
  <c r="W180" i="148"/>
  <c r="W215" i="148" s="1"/>
  <c r="W245" i="148" s="1"/>
  <c r="R180" i="148"/>
  <c r="R215" i="148" s="1"/>
  <c r="R245" i="148" s="1"/>
  <c r="S180" i="148"/>
  <c r="S215" i="148" s="1"/>
  <c r="S245" i="148" s="1"/>
  <c r="T180" i="148"/>
  <c r="T215" i="148" s="1"/>
  <c r="T245" i="148" s="1"/>
  <c r="V180" i="148"/>
  <c r="V215" i="148" s="1"/>
  <c r="V245" i="148" s="1"/>
  <c r="X180" i="148"/>
  <c r="X215" i="148" s="1"/>
  <c r="X245" i="148" s="1"/>
  <c r="Y180" i="148"/>
  <c r="Y215" i="148" s="1"/>
  <c r="Y245" i="148" s="1"/>
  <c r="U180" i="148"/>
  <c r="U215" i="148" s="1"/>
  <c r="U245" i="148" s="1"/>
  <c r="V223" i="145"/>
  <c r="V97" i="147" s="1"/>
  <c r="V202" i="147" s="1"/>
  <c r="R223" i="145"/>
  <c r="R97" i="147" s="1"/>
  <c r="R202" i="147" s="1"/>
  <c r="N223" i="145"/>
  <c r="N97" i="147" s="1"/>
  <c r="N202" i="147" s="1"/>
  <c r="J223" i="145"/>
  <c r="J97" i="147" s="1"/>
  <c r="J202" i="147" s="1"/>
  <c r="K194" i="145"/>
  <c r="K67" i="147" s="1"/>
  <c r="K172" i="147" s="1"/>
  <c r="L165" i="145"/>
  <c r="L37" i="147" s="1"/>
  <c r="L142" i="147" s="1"/>
  <c r="Y223" i="145"/>
  <c r="Y97" i="147" s="1"/>
  <c r="Y202" i="147" s="1"/>
  <c r="U223" i="145"/>
  <c r="U97" i="147" s="1"/>
  <c r="U202" i="147" s="1"/>
  <c r="Q223" i="145"/>
  <c r="Q97" i="147" s="1"/>
  <c r="Q202" i="147" s="1"/>
  <c r="M223" i="145"/>
  <c r="M97" i="147" s="1"/>
  <c r="M202" i="147" s="1"/>
  <c r="P165" i="145"/>
  <c r="P37" i="147" s="1"/>
  <c r="P142" i="147" s="1"/>
  <c r="Q136" i="145"/>
  <c r="Q138" i="148" s="1"/>
  <c r="Q208" i="148" s="1"/>
  <c r="Q238" i="148" s="1"/>
  <c r="V194" i="145"/>
  <c r="V67" i="147" s="1"/>
  <c r="V172" i="147" s="1"/>
  <c r="R194" i="145"/>
  <c r="R67" i="147" s="1"/>
  <c r="R172" i="147" s="1"/>
  <c r="N194" i="145"/>
  <c r="N67" i="147" s="1"/>
  <c r="N172" i="147" s="1"/>
  <c r="J194" i="145"/>
  <c r="J67" i="147" s="1"/>
  <c r="J172" i="147" s="1"/>
  <c r="O136" i="145"/>
  <c r="O138" i="148" s="1"/>
  <c r="O208" i="148" s="1"/>
  <c r="O238" i="148" s="1"/>
  <c r="T223" i="145"/>
  <c r="T97" i="147" s="1"/>
  <c r="T202" i="147" s="1"/>
  <c r="Y194" i="145"/>
  <c r="Y67" i="147" s="1"/>
  <c r="Y172" i="147" s="1"/>
  <c r="Q194" i="145"/>
  <c r="Q67" i="147" s="1"/>
  <c r="Q172" i="147" s="1"/>
  <c r="T165" i="145"/>
  <c r="T37" i="147" s="1"/>
  <c r="T142" i="147" s="1"/>
  <c r="U136" i="145"/>
  <c r="R165" i="145"/>
  <c r="R37" i="147" s="1"/>
  <c r="R142" i="147" s="1"/>
  <c r="J165" i="145"/>
  <c r="J37" i="147" s="1"/>
  <c r="J142" i="147" s="1"/>
  <c r="S136" i="145"/>
  <c r="M136" i="145"/>
  <c r="M138" i="148" s="1"/>
  <c r="M208" i="148" s="1"/>
  <c r="M238" i="148" s="1"/>
  <c r="Y136" i="145"/>
  <c r="L136" i="145"/>
  <c r="L138" i="148" s="1"/>
  <c r="L208" i="148" s="1"/>
  <c r="L238" i="148" s="1"/>
  <c r="P223" i="145"/>
  <c r="P97" i="147" s="1"/>
  <c r="P202" i="147" s="1"/>
  <c r="W194" i="145"/>
  <c r="W67" i="147" s="1"/>
  <c r="W172" i="147" s="1"/>
  <c r="O194" i="145"/>
  <c r="O67" i="147" s="1"/>
  <c r="O172" i="147" s="1"/>
  <c r="X165" i="145"/>
  <c r="X37" i="147" s="1"/>
  <c r="X142" i="147" s="1"/>
  <c r="W223" i="145"/>
  <c r="W97" i="147" s="1"/>
  <c r="W202" i="147" s="1"/>
  <c r="S223" i="145"/>
  <c r="S97" i="147" s="1"/>
  <c r="S202" i="147" s="1"/>
  <c r="O223" i="145"/>
  <c r="O97" i="147" s="1"/>
  <c r="O202" i="147" s="1"/>
  <c r="K223" i="145"/>
  <c r="K97" i="147" s="1"/>
  <c r="K202" i="147" s="1"/>
  <c r="V136" i="145"/>
  <c r="N136" i="145"/>
  <c r="N138" i="148" s="1"/>
  <c r="N208" i="148" s="1"/>
  <c r="N238" i="148" s="1"/>
  <c r="X194" i="145"/>
  <c r="X67" i="147" s="1"/>
  <c r="X172" i="147" s="1"/>
  <c r="T194" i="145"/>
  <c r="T67" i="147" s="1"/>
  <c r="T172" i="147" s="1"/>
  <c r="P194" i="145"/>
  <c r="P67" i="147" s="1"/>
  <c r="P172" i="147" s="1"/>
  <c r="L194" i="145"/>
  <c r="L67" i="147" s="1"/>
  <c r="L172" i="147" s="1"/>
  <c r="W165" i="145"/>
  <c r="W37" i="147" s="1"/>
  <c r="W142" i="147" s="1"/>
  <c r="O165" i="145"/>
  <c r="O37" i="147" s="1"/>
  <c r="O142" i="147" s="1"/>
  <c r="Y165" i="145"/>
  <c r="Y37" i="147" s="1"/>
  <c r="Y142" i="147" s="1"/>
  <c r="U165" i="145"/>
  <c r="U37" i="147" s="1"/>
  <c r="U142" i="147" s="1"/>
  <c r="Q165" i="145"/>
  <c r="Q37" i="147" s="1"/>
  <c r="Q142" i="147" s="1"/>
  <c r="M165" i="145"/>
  <c r="M37" i="147" s="1"/>
  <c r="M142" i="147" s="1"/>
  <c r="X136" i="145"/>
  <c r="R136" i="145"/>
  <c r="N165" i="145"/>
  <c r="N37" i="147" s="1"/>
  <c r="N142" i="147" s="1"/>
  <c r="P136" i="145"/>
  <c r="P138" i="148" s="1"/>
  <c r="P208" i="148" s="1"/>
  <c r="P238" i="148" s="1"/>
  <c r="T136" i="145"/>
  <c r="J136" i="145"/>
  <c r="J138" i="148" s="1"/>
  <c r="J208" i="148" s="1"/>
  <c r="J238" i="148" s="1"/>
  <c r="W136" i="145"/>
  <c r="K136" i="145"/>
  <c r="K138" i="148" s="1"/>
  <c r="K208" i="148" s="1"/>
  <c r="K238" i="148" s="1"/>
  <c r="L223" i="145"/>
  <c r="L97" i="147" s="1"/>
  <c r="L202" i="147" s="1"/>
  <c r="M194" i="145"/>
  <c r="M67" i="147" s="1"/>
  <c r="M172" i="147" s="1"/>
  <c r="S165" i="145"/>
  <c r="S37" i="147" s="1"/>
  <c r="S142" i="147" s="1"/>
  <c r="X223" i="145"/>
  <c r="X97" i="147" s="1"/>
  <c r="X202" i="147" s="1"/>
  <c r="U194" i="145"/>
  <c r="U67" i="147" s="1"/>
  <c r="U172" i="147" s="1"/>
  <c r="V165" i="145"/>
  <c r="V37" i="147" s="1"/>
  <c r="V142" i="147" s="1"/>
  <c r="K165" i="145"/>
  <c r="K37" i="147" s="1"/>
  <c r="K142" i="147" s="1"/>
  <c r="S194" i="145"/>
  <c r="S67" i="147" s="1"/>
  <c r="S172" i="147" s="1"/>
  <c r="P140" i="145"/>
  <c r="P142" i="148" s="1"/>
  <c r="P212" i="148" s="1"/>
  <c r="P242" i="148" s="1"/>
  <c r="L140" i="145"/>
  <c r="L142" i="148" s="1"/>
  <c r="L212" i="148" s="1"/>
  <c r="L242" i="148" s="1"/>
  <c r="X140" i="145"/>
  <c r="U169" i="145"/>
  <c r="U41" i="147" s="1"/>
  <c r="U146" i="147" s="1"/>
  <c r="O227" i="145"/>
  <c r="O101" i="147" s="1"/>
  <c r="O206" i="147" s="1"/>
  <c r="K227" i="145"/>
  <c r="K101" i="147" s="1"/>
  <c r="K206" i="147" s="1"/>
  <c r="W227" i="145"/>
  <c r="W101" i="147" s="1"/>
  <c r="W206" i="147" s="1"/>
  <c r="S227" i="145"/>
  <c r="S101" i="147" s="1"/>
  <c r="S206" i="147" s="1"/>
  <c r="N140" i="145"/>
  <c r="N142" i="148" s="1"/>
  <c r="N212" i="148" s="1"/>
  <c r="N242" i="148" s="1"/>
  <c r="J227" i="145"/>
  <c r="J101" i="147" s="1"/>
  <c r="J206" i="147" s="1"/>
  <c r="T198" i="145"/>
  <c r="T71" i="147" s="1"/>
  <c r="T176" i="147" s="1"/>
  <c r="K169" i="145"/>
  <c r="K41" i="147" s="1"/>
  <c r="K146" i="147" s="1"/>
  <c r="M140" i="145"/>
  <c r="M142" i="148" s="1"/>
  <c r="M212" i="148" s="1"/>
  <c r="M242" i="148" s="1"/>
  <c r="M198" i="145"/>
  <c r="M71" i="147" s="1"/>
  <c r="M176" i="147" s="1"/>
  <c r="V169" i="145"/>
  <c r="V41" i="147" s="1"/>
  <c r="V146" i="147" s="1"/>
  <c r="L227" i="145"/>
  <c r="L101" i="147" s="1"/>
  <c r="L206" i="147" s="1"/>
  <c r="R198" i="145"/>
  <c r="R71" i="147" s="1"/>
  <c r="R176" i="147" s="1"/>
  <c r="L169" i="145"/>
  <c r="L41" i="147" s="1"/>
  <c r="L146" i="147" s="1"/>
  <c r="P169" i="145"/>
  <c r="P41" i="147" s="1"/>
  <c r="P146" i="147" s="1"/>
  <c r="W198" i="145"/>
  <c r="W71" i="147" s="1"/>
  <c r="W176" i="147" s="1"/>
  <c r="O198" i="145"/>
  <c r="O71" i="147" s="1"/>
  <c r="O176" i="147" s="1"/>
  <c r="K140" i="145"/>
  <c r="K142" i="148" s="1"/>
  <c r="K212" i="148" s="1"/>
  <c r="K242" i="148" s="1"/>
  <c r="K198" i="145"/>
  <c r="K71" i="147" s="1"/>
  <c r="K176" i="147" s="1"/>
  <c r="N227" i="145"/>
  <c r="N101" i="147" s="1"/>
  <c r="N206" i="147" s="1"/>
  <c r="V227" i="145"/>
  <c r="V101" i="147" s="1"/>
  <c r="V206" i="147" s="1"/>
  <c r="O169" i="145"/>
  <c r="O41" i="147" s="1"/>
  <c r="O146" i="147" s="1"/>
  <c r="W169" i="145"/>
  <c r="W41" i="147" s="1"/>
  <c r="W146" i="147" s="1"/>
  <c r="P198" i="145"/>
  <c r="P71" i="147" s="1"/>
  <c r="P176" i="147" s="1"/>
  <c r="L198" i="145"/>
  <c r="L71" i="147" s="1"/>
  <c r="L176" i="147" s="1"/>
  <c r="X198" i="145"/>
  <c r="X71" i="147" s="1"/>
  <c r="X176" i="147" s="1"/>
  <c r="R227" i="145"/>
  <c r="R101" i="147" s="1"/>
  <c r="R206" i="147" s="1"/>
  <c r="T169" i="145"/>
  <c r="T41" i="147" s="1"/>
  <c r="T146" i="147" s="1"/>
  <c r="X169" i="145"/>
  <c r="X41" i="147" s="1"/>
  <c r="X146" i="147" s="1"/>
  <c r="N198" i="145"/>
  <c r="N71" i="147" s="1"/>
  <c r="N176" i="147" s="1"/>
  <c r="J198" i="145"/>
  <c r="J71" i="147" s="1"/>
  <c r="J176" i="147" s="1"/>
  <c r="V198" i="145"/>
  <c r="V71" i="147" s="1"/>
  <c r="V176" i="147" s="1"/>
  <c r="U198" i="145"/>
  <c r="U71" i="147" s="1"/>
  <c r="U176" i="147" s="1"/>
  <c r="R140" i="145"/>
  <c r="P227" i="145"/>
  <c r="P101" i="147" s="1"/>
  <c r="P206" i="147" s="1"/>
  <c r="S140" i="145"/>
  <c r="S169" i="145"/>
  <c r="S41" i="147" s="1"/>
  <c r="S146" i="147" s="1"/>
  <c r="Q169" i="145"/>
  <c r="Q41" i="147" s="1"/>
  <c r="Q146" i="147" s="1"/>
  <c r="Y169" i="145"/>
  <c r="Y41" i="147" s="1"/>
  <c r="Y146" i="147" s="1"/>
  <c r="T227" i="145"/>
  <c r="T101" i="147" s="1"/>
  <c r="T206" i="147" s="1"/>
  <c r="Y140" i="145"/>
  <c r="Q227" i="145"/>
  <c r="Q101" i="147" s="1"/>
  <c r="Q206" i="147" s="1"/>
  <c r="Y227" i="145"/>
  <c r="Y101" i="147" s="1"/>
  <c r="Y206" i="147" s="1"/>
  <c r="J140" i="145"/>
  <c r="J142" i="148" s="1"/>
  <c r="J212" i="148" s="1"/>
  <c r="J242" i="148" s="1"/>
  <c r="O140" i="145"/>
  <c r="O142" i="148" s="1"/>
  <c r="O212" i="148" s="1"/>
  <c r="O242" i="148" s="1"/>
  <c r="N169" i="145"/>
  <c r="N41" i="147" s="1"/>
  <c r="N146" i="147" s="1"/>
  <c r="Y198" i="145"/>
  <c r="Y71" i="147" s="1"/>
  <c r="Y176" i="147" s="1"/>
  <c r="Q140" i="145"/>
  <c r="Q142" i="148" s="1"/>
  <c r="Q212" i="148" s="1"/>
  <c r="Q242" i="148" s="1"/>
  <c r="J169" i="145"/>
  <c r="J41" i="147" s="1"/>
  <c r="J146" i="147" s="1"/>
  <c r="Q198" i="145"/>
  <c r="Q71" i="147" s="1"/>
  <c r="Q176" i="147" s="1"/>
  <c r="V140" i="145"/>
  <c r="M169" i="145"/>
  <c r="M41" i="147" s="1"/>
  <c r="M146" i="147" s="1"/>
  <c r="T140" i="145"/>
  <c r="U140" i="145"/>
  <c r="S198" i="145"/>
  <c r="S71" i="147" s="1"/>
  <c r="S176" i="147" s="1"/>
  <c r="M227" i="145"/>
  <c r="M101" i="147" s="1"/>
  <c r="M206" i="147" s="1"/>
  <c r="U227" i="145"/>
  <c r="U101" i="147" s="1"/>
  <c r="U206" i="147" s="1"/>
  <c r="R169" i="145"/>
  <c r="R41" i="147" s="1"/>
  <c r="R146" i="147" s="1"/>
  <c r="X227" i="145"/>
  <c r="X101" i="147" s="1"/>
  <c r="X206" i="147" s="1"/>
  <c r="W140" i="145"/>
  <c r="O137" i="145"/>
  <c r="O139" i="148" s="1"/>
  <c r="O209" i="148" s="1"/>
  <c r="O239" i="148" s="1"/>
  <c r="S137" i="145"/>
  <c r="S195" i="145"/>
  <c r="S68" i="147" s="1"/>
  <c r="S173" i="147" s="1"/>
  <c r="R166" i="145"/>
  <c r="R38" i="147" s="1"/>
  <c r="R143" i="147" s="1"/>
  <c r="J224" i="145"/>
  <c r="J98" i="147" s="1"/>
  <c r="J203" i="147" s="1"/>
  <c r="S224" i="145"/>
  <c r="S98" i="147" s="1"/>
  <c r="S203" i="147" s="1"/>
  <c r="N224" i="145"/>
  <c r="N98" i="147" s="1"/>
  <c r="N203" i="147" s="1"/>
  <c r="X224" i="145"/>
  <c r="X98" i="147" s="1"/>
  <c r="X203" i="147" s="1"/>
  <c r="Y224" i="145"/>
  <c r="Y98" i="147" s="1"/>
  <c r="Y203" i="147" s="1"/>
  <c r="W137" i="145"/>
  <c r="K224" i="145"/>
  <c r="K98" i="147" s="1"/>
  <c r="K203" i="147" s="1"/>
  <c r="T137" i="145"/>
  <c r="W195" i="145"/>
  <c r="W68" i="147" s="1"/>
  <c r="W173" i="147" s="1"/>
  <c r="Q137" i="145"/>
  <c r="Q139" i="148" s="1"/>
  <c r="Q209" i="148" s="1"/>
  <c r="Q239" i="148" s="1"/>
  <c r="X166" i="145"/>
  <c r="X38" i="147" s="1"/>
  <c r="X143" i="147" s="1"/>
  <c r="P166" i="145"/>
  <c r="P38" i="147" s="1"/>
  <c r="P143" i="147" s="1"/>
  <c r="L195" i="145"/>
  <c r="L68" i="147" s="1"/>
  <c r="L173" i="147" s="1"/>
  <c r="Y166" i="145"/>
  <c r="Y38" i="147" s="1"/>
  <c r="Y143" i="147" s="1"/>
  <c r="T195" i="145"/>
  <c r="T68" i="147" s="1"/>
  <c r="T173" i="147" s="1"/>
  <c r="Q166" i="145"/>
  <c r="Q38" i="147" s="1"/>
  <c r="Q143" i="147" s="1"/>
  <c r="L137" i="145"/>
  <c r="L139" i="148" s="1"/>
  <c r="L209" i="148" s="1"/>
  <c r="L239" i="148" s="1"/>
  <c r="R224" i="145"/>
  <c r="R98" i="147" s="1"/>
  <c r="R203" i="147" s="1"/>
  <c r="T224" i="145"/>
  <c r="T98" i="147" s="1"/>
  <c r="T203" i="147" s="1"/>
  <c r="O195" i="145"/>
  <c r="O68" i="147" s="1"/>
  <c r="O173" i="147" s="1"/>
  <c r="Q195" i="145"/>
  <c r="Q68" i="147" s="1"/>
  <c r="Q173" i="147" s="1"/>
  <c r="P224" i="145"/>
  <c r="P98" i="147" s="1"/>
  <c r="P203" i="147" s="1"/>
  <c r="Y195" i="145"/>
  <c r="Y68" i="147" s="1"/>
  <c r="Y173" i="147" s="1"/>
  <c r="O224" i="145"/>
  <c r="O98" i="147" s="1"/>
  <c r="O203" i="147" s="1"/>
  <c r="J137" i="145"/>
  <c r="J139" i="148" s="1"/>
  <c r="J209" i="148" s="1"/>
  <c r="J239" i="148" s="1"/>
  <c r="V195" i="145"/>
  <c r="V68" i="147" s="1"/>
  <c r="V173" i="147" s="1"/>
  <c r="R137" i="145"/>
  <c r="Q224" i="145"/>
  <c r="Q98" i="147" s="1"/>
  <c r="Q203" i="147" s="1"/>
  <c r="V166" i="145"/>
  <c r="V38" i="147" s="1"/>
  <c r="V143" i="147" s="1"/>
  <c r="U195" i="145"/>
  <c r="U68" i="147" s="1"/>
  <c r="U173" i="147" s="1"/>
  <c r="W224" i="145"/>
  <c r="W98" i="147" s="1"/>
  <c r="W203" i="147" s="1"/>
  <c r="J195" i="145"/>
  <c r="J68" i="147" s="1"/>
  <c r="J173" i="147" s="1"/>
  <c r="R195" i="145"/>
  <c r="R68" i="147" s="1"/>
  <c r="R173" i="147" s="1"/>
  <c r="L224" i="145"/>
  <c r="L98" i="147" s="1"/>
  <c r="L203" i="147" s="1"/>
  <c r="L166" i="145"/>
  <c r="L38" i="147" s="1"/>
  <c r="L143" i="147" s="1"/>
  <c r="K195" i="145"/>
  <c r="K68" i="147" s="1"/>
  <c r="K173" i="147" s="1"/>
  <c r="N166" i="145"/>
  <c r="N38" i="147" s="1"/>
  <c r="N143" i="147" s="1"/>
  <c r="M195" i="145"/>
  <c r="M68" i="147" s="1"/>
  <c r="M173" i="147" s="1"/>
  <c r="M137" i="145"/>
  <c r="M139" i="148" s="1"/>
  <c r="M209" i="148" s="1"/>
  <c r="M239" i="148" s="1"/>
  <c r="V224" i="145"/>
  <c r="V98" i="147" s="1"/>
  <c r="V203" i="147" s="1"/>
  <c r="N137" i="145"/>
  <c r="N139" i="148" s="1"/>
  <c r="N209" i="148" s="1"/>
  <c r="N239" i="148" s="1"/>
  <c r="Y137" i="145"/>
  <c r="K137" i="145"/>
  <c r="K139" i="148" s="1"/>
  <c r="K209" i="148" s="1"/>
  <c r="K239" i="148" s="1"/>
  <c r="J166" i="145"/>
  <c r="J38" i="147" s="1"/>
  <c r="J143" i="147" s="1"/>
  <c r="P195" i="145"/>
  <c r="P68" i="147" s="1"/>
  <c r="P173" i="147" s="1"/>
  <c r="V137" i="145"/>
  <c r="P137" i="145"/>
  <c r="P139" i="148" s="1"/>
  <c r="P209" i="148" s="1"/>
  <c r="P239" i="148" s="1"/>
  <c r="O166" i="145"/>
  <c r="O38" i="147" s="1"/>
  <c r="O143" i="147" s="1"/>
  <c r="U137" i="145"/>
  <c r="T166" i="145"/>
  <c r="T38" i="147" s="1"/>
  <c r="T143" i="147" s="1"/>
  <c r="N195" i="145"/>
  <c r="N68" i="147" s="1"/>
  <c r="N173" i="147" s="1"/>
  <c r="W166" i="145"/>
  <c r="W38" i="147" s="1"/>
  <c r="W143" i="147" s="1"/>
  <c r="M224" i="145"/>
  <c r="M98" i="147" s="1"/>
  <c r="M203" i="147" s="1"/>
  <c r="U224" i="145"/>
  <c r="U98" i="147" s="1"/>
  <c r="U203" i="147" s="1"/>
  <c r="X195" i="145"/>
  <c r="X68" i="147" s="1"/>
  <c r="X173" i="147" s="1"/>
  <c r="M166" i="145"/>
  <c r="M38" i="147" s="1"/>
  <c r="M143" i="147" s="1"/>
  <c r="U166" i="145"/>
  <c r="U38" i="147" s="1"/>
  <c r="U143" i="147" s="1"/>
  <c r="X137" i="145"/>
  <c r="K166" i="145"/>
  <c r="K38" i="147" s="1"/>
  <c r="K143" i="147" s="1"/>
  <c r="S166" i="145"/>
  <c r="S38" i="147" s="1"/>
  <c r="S143" i="147" s="1"/>
  <c r="K176" i="149"/>
  <c r="K236" i="149" s="1"/>
  <c r="O146" i="149"/>
  <c r="L146" i="149"/>
  <c r="K146" i="149"/>
  <c r="P176" i="149"/>
  <c r="P236" i="149" s="1"/>
  <c r="P146" i="149"/>
  <c r="N176" i="149"/>
  <c r="N236" i="149" s="1"/>
  <c r="N146" i="149"/>
  <c r="Q146" i="149"/>
  <c r="M146" i="149"/>
  <c r="L176" i="149"/>
  <c r="L236" i="149" s="1"/>
  <c r="J146" i="149"/>
  <c r="O176" i="149"/>
  <c r="O236" i="149" s="1"/>
  <c r="M176" i="149"/>
  <c r="M236" i="149" s="1"/>
  <c r="J176" i="149"/>
  <c r="J236" i="149" s="1"/>
  <c r="Q176" i="149"/>
  <c r="Q236" i="149" s="1"/>
  <c r="J154" i="149"/>
  <c r="O184" i="149"/>
  <c r="O244" i="149" s="1"/>
  <c r="K154" i="149"/>
  <c r="L154" i="149"/>
  <c r="M184" i="149"/>
  <c r="M244" i="149" s="1"/>
  <c r="M154" i="149"/>
  <c r="Q154" i="149"/>
  <c r="P184" i="149"/>
  <c r="P244" i="149" s="1"/>
  <c r="N184" i="149"/>
  <c r="N244" i="149" s="1"/>
  <c r="K184" i="149"/>
  <c r="K244" i="149" s="1"/>
  <c r="O154" i="149"/>
  <c r="P154" i="149"/>
  <c r="Q184" i="149"/>
  <c r="Q244" i="149" s="1"/>
  <c r="N154" i="149"/>
  <c r="J184" i="149"/>
  <c r="J244" i="149" s="1"/>
  <c r="L184" i="149"/>
  <c r="L244" i="149" s="1"/>
  <c r="T179" i="148"/>
  <c r="T214" i="148" s="1"/>
  <c r="T244" i="148" s="1"/>
  <c r="W179" i="148"/>
  <c r="W214" i="148" s="1"/>
  <c r="W244" i="148" s="1"/>
  <c r="U179" i="148"/>
  <c r="U214" i="148" s="1"/>
  <c r="U244" i="148" s="1"/>
  <c r="X179" i="148"/>
  <c r="X214" i="148" s="1"/>
  <c r="X244" i="148" s="1"/>
  <c r="V179" i="148"/>
  <c r="V214" i="148" s="1"/>
  <c r="V244" i="148" s="1"/>
  <c r="Y179" i="148"/>
  <c r="Y214" i="148" s="1"/>
  <c r="Y244" i="148" s="1"/>
  <c r="R179" i="148"/>
  <c r="R214" i="148" s="1"/>
  <c r="R244" i="148" s="1"/>
  <c r="S179" i="148"/>
  <c r="S214" i="148" s="1"/>
  <c r="S244" i="148" s="1"/>
  <c r="U175" i="148"/>
  <c r="U210" i="148" s="1"/>
  <c r="U240" i="148" s="1"/>
  <c r="R175" i="148"/>
  <c r="R210" i="148" s="1"/>
  <c r="R240" i="148" s="1"/>
  <c r="X175" i="148"/>
  <c r="X210" i="148" s="1"/>
  <c r="X240" i="148" s="1"/>
  <c r="T175" i="148"/>
  <c r="T210" i="148" s="1"/>
  <c r="T240" i="148" s="1"/>
  <c r="V175" i="148"/>
  <c r="V210" i="148" s="1"/>
  <c r="V240" i="148" s="1"/>
  <c r="W175" i="148"/>
  <c r="W210" i="148" s="1"/>
  <c r="W240" i="148" s="1"/>
  <c r="Y175" i="148"/>
  <c r="Y210" i="148" s="1"/>
  <c r="Y240" i="148" s="1"/>
  <c r="S175" i="148"/>
  <c r="S210" i="148" s="1"/>
  <c r="S240" i="148" s="1"/>
  <c r="X173" i="148"/>
  <c r="X208" i="148" s="1"/>
  <c r="X238" i="148" s="1"/>
  <c r="S173" i="148"/>
  <c r="S208" i="148" s="1"/>
  <c r="S238" i="148" s="1"/>
  <c r="R173" i="148"/>
  <c r="R208" i="148" s="1"/>
  <c r="R238" i="148" s="1"/>
  <c r="V173" i="148"/>
  <c r="V208" i="148" s="1"/>
  <c r="V238" i="148" s="1"/>
  <c r="U173" i="148"/>
  <c r="U208" i="148" s="1"/>
  <c r="U238" i="148" s="1"/>
  <c r="T173" i="148"/>
  <c r="T208" i="148" s="1"/>
  <c r="T238" i="148" s="1"/>
  <c r="Y173" i="148"/>
  <c r="Y208" i="148" s="1"/>
  <c r="Y238" i="148" s="1"/>
  <c r="W173" i="148"/>
  <c r="W208" i="148" s="1"/>
  <c r="W238" i="148" s="1"/>
  <c r="J201" i="145"/>
  <c r="J74" i="147" s="1"/>
  <c r="J179" i="147" s="1"/>
  <c r="V201" i="145"/>
  <c r="V74" i="147" s="1"/>
  <c r="V179" i="147" s="1"/>
  <c r="Q230" i="145"/>
  <c r="Q104" i="147" s="1"/>
  <c r="Q209" i="147" s="1"/>
  <c r="N230" i="145"/>
  <c r="N104" i="147" s="1"/>
  <c r="N209" i="147" s="1"/>
  <c r="X201" i="145"/>
  <c r="X74" i="147" s="1"/>
  <c r="X179" i="147" s="1"/>
  <c r="K172" i="145"/>
  <c r="K44" i="147" s="1"/>
  <c r="K149" i="147" s="1"/>
  <c r="W172" i="145"/>
  <c r="W44" i="147" s="1"/>
  <c r="W149" i="147" s="1"/>
  <c r="O172" i="145"/>
  <c r="O44" i="147" s="1"/>
  <c r="O149" i="147" s="1"/>
  <c r="N201" i="145"/>
  <c r="N74" i="147" s="1"/>
  <c r="N179" i="147" s="1"/>
  <c r="L230" i="145"/>
  <c r="L104" i="147" s="1"/>
  <c r="L209" i="147" s="1"/>
  <c r="J230" i="145"/>
  <c r="J104" i="147" s="1"/>
  <c r="J209" i="147" s="1"/>
  <c r="V230" i="145"/>
  <c r="V104" i="147" s="1"/>
  <c r="V209" i="147" s="1"/>
  <c r="P201" i="145"/>
  <c r="P74" i="147" s="1"/>
  <c r="P179" i="147" s="1"/>
  <c r="O230" i="145"/>
  <c r="O104" i="147" s="1"/>
  <c r="O209" i="147" s="1"/>
  <c r="Y230" i="145"/>
  <c r="Y104" i="147" s="1"/>
  <c r="Y209" i="147" s="1"/>
  <c r="Q201" i="145"/>
  <c r="Q74" i="147" s="1"/>
  <c r="Q179" i="147" s="1"/>
  <c r="O201" i="145"/>
  <c r="O74" i="147" s="1"/>
  <c r="O179" i="147" s="1"/>
  <c r="K143" i="145"/>
  <c r="K145" i="148" s="1"/>
  <c r="K215" i="148" s="1"/>
  <c r="K245" i="148" s="1"/>
  <c r="T143" i="145"/>
  <c r="K201" i="145"/>
  <c r="K74" i="147" s="1"/>
  <c r="K179" i="147" s="1"/>
  <c r="R201" i="145"/>
  <c r="R74" i="147" s="1"/>
  <c r="R179" i="147" s="1"/>
  <c r="Q143" i="145"/>
  <c r="Q145" i="148" s="1"/>
  <c r="Q215" i="148" s="1"/>
  <c r="Q245" i="148" s="1"/>
  <c r="X172" i="145"/>
  <c r="X44" i="147" s="1"/>
  <c r="X149" i="147" s="1"/>
  <c r="M143" i="145"/>
  <c r="M145" i="148" s="1"/>
  <c r="M215" i="148" s="1"/>
  <c r="M245" i="148" s="1"/>
  <c r="P172" i="145"/>
  <c r="P44" i="147" s="1"/>
  <c r="P149" i="147" s="1"/>
  <c r="O143" i="145"/>
  <c r="O145" i="148" s="1"/>
  <c r="O215" i="148" s="1"/>
  <c r="O245" i="148" s="1"/>
  <c r="Y201" i="145"/>
  <c r="Y74" i="147" s="1"/>
  <c r="Y179" i="147" s="1"/>
  <c r="U143" i="145"/>
  <c r="S230" i="145"/>
  <c r="S104" i="147" s="1"/>
  <c r="S209" i="147" s="1"/>
  <c r="R143" i="145"/>
  <c r="Q172" i="145"/>
  <c r="Q44" i="147" s="1"/>
  <c r="Q149" i="147" s="1"/>
  <c r="S172" i="145"/>
  <c r="S44" i="147" s="1"/>
  <c r="S149" i="147" s="1"/>
  <c r="M172" i="145"/>
  <c r="M44" i="147" s="1"/>
  <c r="M149" i="147" s="1"/>
  <c r="Y172" i="145"/>
  <c r="Y44" i="147" s="1"/>
  <c r="Y149" i="147" s="1"/>
  <c r="U201" i="145"/>
  <c r="U74" i="147" s="1"/>
  <c r="U179" i="147" s="1"/>
  <c r="W143" i="145"/>
  <c r="L201" i="145"/>
  <c r="L74" i="147" s="1"/>
  <c r="L179" i="147" s="1"/>
  <c r="J143" i="145"/>
  <c r="J145" i="148" s="1"/>
  <c r="J215" i="148" s="1"/>
  <c r="J245" i="148" s="1"/>
  <c r="V143" i="145"/>
  <c r="R172" i="145"/>
  <c r="R44" i="147" s="1"/>
  <c r="R149" i="147" s="1"/>
  <c r="P230" i="145"/>
  <c r="P104" i="147" s="1"/>
  <c r="P209" i="147" s="1"/>
  <c r="V172" i="145"/>
  <c r="V44" i="147" s="1"/>
  <c r="V149" i="147" s="1"/>
  <c r="K230" i="145"/>
  <c r="K104" i="147" s="1"/>
  <c r="K209" i="147" s="1"/>
  <c r="W230" i="145"/>
  <c r="W104" i="147" s="1"/>
  <c r="W209" i="147" s="1"/>
  <c r="T201" i="145"/>
  <c r="T74" i="147" s="1"/>
  <c r="T179" i="147" s="1"/>
  <c r="U172" i="145"/>
  <c r="U44" i="147" s="1"/>
  <c r="U149" i="147" s="1"/>
  <c r="M230" i="145"/>
  <c r="M104" i="147" s="1"/>
  <c r="M209" i="147" s="1"/>
  <c r="S143" i="145"/>
  <c r="X230" i="145"/>
  <c r="X104" i="147" s="1"/>
  <c r="X209" i="147" s="1"/>
  <c r="U230" i="145"/>
  <c r="U104" i="147" s="1"/>
  <c r="U209" i="147" s="1"/>
  <c r="W201" i="145"/>
  <c r="W74" i="147" s="1"/>
  <c r="W179" i="147" s="1"/>
  <c r="M201" i="145"/>
  <c r="M74" i="147" s="1"/>
  <c r="M179" i="147" s="1"/>
  <c r="N172" i="145"/>
  <c r="N44" i="147" s="1"/>
  <c r="N149" i="147" s="1"/>
  <c r="L172" i="145"/>
  <c r="L44" i="147" s="1"/>
  <c r="L149" i="147" s="1"/>
  <c r="T172" i="145"/>
  <c r="T44" i="147" s="1"/>
  <c r="T149" i="147" s="1"/>
  <c r="P143" i="145"/>
  <c r="P145" i="148" s="1"/>
  <c r="P215" i="148" s="1"/>
  <c r="P245" i="148" s="1"/>
  <c r="J172" i="145"/>
  <c r="J44" i="147" s="1"/>
  <c r="J149" i="147" s="1"/>
  <c r="S201" i="145"/>
  <c r="S74" i="147" s="1"/>
  <c r="S179" i="147" s="1"/>
  <c r="L143" i="145"/>
  <c r="L145" i="148" s="1"/>
  <c r="L215" i="148" s="1"/>
  <c r="L245" i="148" s="1"/>
  <c r="N143" i="145"/>
  <c r="N145" i="148" s="1"/>
  <c r="N215" i="148" s="1"/>
  <c r="N245" i="148" s="1"/>
  <c r="T230" i="145"/>
  <c r="T104" i="147" s="1"/>
  <c r="T209" i="147" s="1"/>
  <c r="Y143" i="145"/>
  <c r="X143" i="145"/>
  <c r="R230" i="145"/>
  <c r="R104" i="147" s="1"/>
  <c r="R209" i="147" s="1"/>
  <c r="Y202" i="145"/>
  <c r="Y75" i="147" s="1"/>
  <c r="Y180" i="147" s="1"/>
  <c r="U144" i="145"/>
  <c r="O173" i="145"/>
  <c r="O45" i="147" s="1"/>
  <c r="O150" i="147" s="1"/>
  <c r="W202" i="145"/>
  <c r="W75" i="147" s="1"/>
  <c r="W180" i="147" s="1"/>
  <c r="R144" i="145"/>
  <c r="M231" i="145"/>
  <c r="M105" i="147" s="1"/>
  <c r="M210" i="147" s="1"/>
  <c r="Y231" i="145"/>
  <c r="Y105" i="147" s="1"/>
  <c r="Y210" i="147" s="1"/>
  <c r="U231" i="145"/>
  <c r="U105" i="147" s="1"/>
  <c r="U210" i="147" s="1"/>
  <c r="W144" i="145"/>
  <c r="S202" i="145"/>
  <c r="S75" i="147" s="1"/>
  <c r="S180" i="147" s="1"/>
  <c r="J202" i="145"/>
  <c r="J75" i="147" s="1"/>
  <c r="J180" i="147" s="1"/>
  <c r="V202" i="145"/>
  <c r="V75" i="147" s="1"/>
  <c r="V180" i="147" s="1"/>
  <c r="R202" i="145"/>
  <c r="R75" i="147" s="1"/>
  <c r="R180" i="147" s="1"/>
  <c r="P231" i="145"/>
  <c r="P105" i="147" s="1"/>
  <c r="P210" i="147" s="1"/>
  <c r="V144" i="145"/>
  <c r="N144" i="145"/>
  <c r="N146" i="148" s="1"/>
  <c r="N216" i="148" s="1"/>
  <c r="N246" i="148" s="1"/>
  <c r="J231" i="145"/>
  <c r="J105" i="147" s="1"/>
  <c r="J210" i="147" s="1"/>
  <c r="V231" i="145"/>
  <c r="V105" i="147" s="1"/>
  <c r="V210" i="147" s="1"/>
  <c r="R231" i="145"/>
  <c r="R105" i="147" s="1"/>
  <c r="R210" i="147" s="1"/>
  <c r="O231" i="145"/>
  <c r="O105" i="147" s="1"/>
  <c r="O210" i="147" s="1"/>
  <c r="Q144" i="145"/>
  <c r="Q146" i="148" s="1"/>
  <c r="Q216" i="148" s="1"/>
  <c r="Q246" i="148" s="1"/>
  <c r="T231" i="145"/>
  <c r="T105" i="147" s="1"/>
  <c r="T210" i="147" s="1"/>
  <c r="S144" i="145"/>
  <c r="Q202" i="145"/>
  <c r="Q75" i="147" s="1"/>
  <c r="Q180" i="147" s="1"/>
  <c r="M202" i="145"/>
  <c r="M75" i="147" s="1"/>
  <c r="M180" i="147" s="1"/>
  <c r="N202" i="145"/>
  <c r="N75" i="147" s="1"/>
  <c r="N180" i="147" s="1"/>
  <c r="P202" i="145"/>
  <c r="P75" i="147" s="1"/>
  <c r="P180" i="147" s="1"/>
  <c r="O202" i="145"/>
  <c r="O75" i="147" s="1"/>
  <c r="O180" i="147" s="1"/>
  <c r="K144" i="145"/>
  <c r="K146" i="148" s="1"/>
  <c r="K216" i="148" s="1"/>
  <c r="K246" i="148" s="1"/>
  <c r="T173" i="145"/>
  <c r="T45" i="147" s="1"/>
  <c r="T150" i="147" s="1"/>
  <c r="K202" i="145"/>
  <c r="K75" i="147" s="1"/>
  <c r="K180" i="147" s="1"/>
  <c r="J173" i="145"/>
  <c r="J45" i="147" s="1"/>
  <c r="J150" i="147" s="1"/>
  <c r="T202" i="145"/>
  <c r="T75" i="147" s="1"/>
  <c r="T180" i="147" s="1"/>
  <c r="T144" i="145"/>
  <c r="K231" i="145"/>
  <c r="K105" i="147" s="1"/>
  <c r="K210" i="147" s="1"/>
  <c r="S231" i="145"/>
  <c r="S105" i="147" s="1"/>
  <c r="S210" i="147" s="1"/>
  <c r="J144" i="145"/>
  <c r="J146" i="148" s="1"/>
  <c r="J216" i="148" s="1"/>
  <c r="J246" i="148" s="1"/>
  <c r="V173" i="145"/>
  <c r="V45" i="147" s="1"/>
  <c r="V150" i="147" s="1"/>
  <c r="U202" i="145"/>
  <c r="U75" i="147" s="1"/>
  <c r="U180" i="147" s="1"/>
  <c r="S173" i="145"/>
  <c r="S45" i="147" s="1"/>
  <c r="S150" i="147" s="1"/>
  <c r="N173" i="145"/>
  <c r="N45" i="147" s="1"/>
  <c r="N150" i="147" s="1"/>
  <c r="O144" i="145"/>
  <c r="O146" i="148" s="1"/>
  <c r="O216" i="148" s="1"/>
  <c r="O246" i="148" s="1"/>
  <c r="L144" i="145"/>
  <c r="L146" i="148" s="1"/>
  <c r="L216" i="148" s="1"/>
  <c r="L246" i="148" s="1"/>
  <c r="Q173" i="145"/>
  <c r="Q45" i="147" s="1"/>
  <c r="Q150" i="147" s="1"/>
  <c r="W173" i="145"/>
  <c r="W45" i="147" s="1"/>
  <c r="W150" i="147" s="1"/>
  <c r="X202" i="145"/>
  <c r="X75" i="147" s="1"/>
  <c r="X180" i="147" s="1"/>
  <c r="M173" i="145"/>
  <c r="M45" i="147" s="1"/>
  <c r="M150" i="147" s="1"/>
  <c r="U173" i="145"/>
  <c r="U45" i="147" s="1"/>
  <c r="U150" i="147" s="1"/>
  <c r="N231" i="145"/>
  <c r="N105" i="147" s="1"/>
  <c r="N210" i="147" s="1"/>
  <c r="L173" i="145"/>
  <c r="L45" i="147" s="1"/>
  <c r="L150" i="147" s="1"/>
  <c r="W231" i="145"/>
  <c r="W105" i="147" s="1"/>
  <c r="W210" i="147" s="1"/>
  <c r="Y144" i="145"/>
  <c r="M144" i="145"/>
  <c r="M146" i="148" s="1"/>
  <c r="M216" i="148" s="1"/>
  <c r="M246" i="148" s="1"/>
  <c r="L231" i="145"/>
  <c r="L105" i="147" s="1"/>
  <c r="L210" i="147" s="1"/>
  <c r="P144" i="145"/>
  <c r="P146" i="148" s="1"/>
  <c r="P216" i="148" s="1"/>
  <c r="P246" i="148" s="1"/>
  <c r="X231" i="145"/>
  <c r="X105" i="147" s="1"/>
  <c r="X210" i="147" s="1"/>
  <c r="R173" i="145"/>
  <c r="R45" i="147" s="1"/>
  <c r="R150" i="147" s="1"/>
  <c r="X173" i="145"/>
  <c r="X45" i="147" s="1"/>
  <c r="X150" i="147" s="1"/>
  <c r="X144" i="145"/>
  <c r="Q231" i="145"/>
  <c r="Q105" i="147" s="1"/>
  <c r="Q210" i="147" s="1"/>
  <c r="L202" i="145"/>
  <c r="L75" i="147" s="1"/>
  <c r="L180" i="147" s="1"/>
  <c r="K173" i="145"/>
  <c r="K45" i="147" s="1"/>
  <c r="K150" i="147" s="1"/>
  <c r="Y173" i="145"/>
  <c r="Y45" i="147" s="1"/>
  <c r="Y150" i="147" s="1"/>
  <c r="P173" i="145"/>
  <c r="P45" i="147" s="1"/>
  <c r="P150" i="147" s="1"/>
  <c r="V199" i="145"/>
  <c r="V72" i="147" s="1"/>
  <c r="V177" i="147" s="1"/>
  <c r="R199" i="145"/>
  <c r="R72" i="147" s="1"/>
  <c r="R177" i="147" s="1"/>
  <c r="N199" i="145"/>
  <c r="N72" i="147" s="1"/>
  <c r="N177" i="147" s="1"/>
  <c r="J199" i="145"/>
  <c r="J72" i="147" s="1"/>
  <c r="J177" i="147" s="1"/>
  <c r="T199" i="145"/>
  <c r="T72" i="147" s="1"/>
  <c r="T177" i="147" s="1"/>
  <c r="W170" i="145"/>
  <c r="W42" i="147" s="1"/>
  <c r="W147" i="147" s="1"/>
  <c r="N170" i="145"/>
  <c r="N42" i="147" s="1"/>
  <c r="N147" i="147" s="1"/>
  <c r="W141" i="145"/>
  <c r="O141" i="145"/>
  <c r="O143" i="148" s="1"/>
  <c r="O213" i="148" s="1"/>
  <c r="O243" i="148" s="1"/>
  <c r="X228" i="145"/>
  <c r="X102" i="147" s="1"/>
  <c r="X207" i="147" s="1"/>
  <c r="P199" i="145"/>
  <c r="P72" i="147" s="1"/>
  <c r="P177" i="147" s="1"/>
  <c r="U170" i="145"/>
  <c r="U42" i="147" s="1"/>
  <c r="U147" i="147" s="1"/>
  <c r="M170" i="145"/>
  <c r="M42" i="147" s="1"/>
  <c r="M147" i="147" s="1"/>
  <c r="V141" i="145"/>
  <c r="S170" i="145"/>
  <c r="S42" i="147" s="1"/>
  <c r="S147" i="147" s="1"/>
  <c r="P228" i="145"/>
  <c r="P102" i="147" s="1"/>
  <c r="P207" i="147" s="1"/>
  <c r="O199" i="145"/>
  <c r="O72" i="147" s="1"/>
  <c r="O177" i="147" s="1"/>
  <c r="S199" i="145"/>
  <c r="S72" i="147" s="1"/>
  <c r="S177" i="147" s="1"/>
  <c r="K199" i="145"/>
  <c r="K72" i="147" s="1"/>
  <c r="K177" i="147" s="1"/>
  <c r="T170" i="145"/>
  <c r="T42" i="147" s="1"/>
  <c r="T147" i="147" s="1"/>
  <c r="L170" i="145"/>
  <c r="L42" i="147" s="1"/>
  <c r="L147" i="147" s="1"/>
  <c r="M199" i="145"/>
  <c r="M72" i="147" s="1"/>
  <c r="M177" i="147" s="1"/>
  <c r="X141" i="145"/>
  <c r="T141" i="145"/>
  <c r="P141" i="145"/>
  <c r="P143" i="148" s="1"/>
  <c r="P213" i="148" s="1"/>
  <c r="P243" i="148" s="1"/>
  <c r="L141" i="145"/>
  <c r="L143" i="148" s="1"/>
  <c r="L213" i="148" s="1"/>
  <c r="L243" i="148" s="1"/>
  <c r="Q228" i="145"/>
  <c r="Q102" i="147" s="1"/>
  <c r="Q207" i="147" s="1"/>
  <c r="J170" i="145"/>
  <c r="J42" i="147" s="1"/>
  <c r="J147" i="147" s="1"/>
  <c r="Y170" i="145"/>
  <c r="Y42" i="147" s="1"/>
  <c r="Y147" i="147" s="1"/>
  <c r="Q170" i="145"/>
  <c r="Q42" i="147" s="1"/>
  <c r="Q147" i="147" s="1"/>
  <c r="Y228" i="145"/>
  <c r="Y102" i="147" s="1"/>
  <c r="Y207" i="147" s="1"/>
  <c r="X170" i="145"/>
  <c r="X42" i="147" s="1"/>
  <c r="X147" i="147" s="1"/>
  <c r="K141" i="145"/>
  <c r="K143" i="148" s="1"/>
  <c r="K213" i="148" s="1"/>
  <c r="K243" i="148" s="1"/>
  <c r="W199" i="145"/>
  <c r="W72" i="147" s="1"/>
  <c r="W177" i="147" s="1"/>
  <c r="L199" i="145"/>
  <c r="L72" i="147" s="1"/>
  <c r="L177" i="147" s="1"/>
  <c r="R141" i="145"/>
  <c r="N141" i="145"/>
  <c r="N143" i="148" s="1"/>
  <c r="N213" i="148" s="1"/>
  <c r="N243" i="148" s="1"/>
  <c r="J141" i="145"/>
  <c r="J143" i="148" s="1"/>
  <c r="J213" i="148" s="1"/>
  <c r="J243" i="148" s="1"/>
  <c r="Q199" i="145"/>
  <c r="Q72" i="147" s="1"/>
  <c r="Q177" i="147" s="1"/>
  <c r="W228" i="145"/>
  <c r="W102" i="147" s="1"/>
  <c r="W207" i="147" s="1"/>
  <c r="S228" i="145"/>
  <c r="S102" i="147" s="1"/>
  <c r="S207" i="147" s="1"/>
  <c r="O228" i="145"/>
  <c r="O102" i="147" s="1"/>
  <c r="O207" i="147" s="1"/>
  <c r="K228" i="145"/>
  <c r="K102" i="147" s="1"/>
  <c r="K207" i="147" s="1"/>
  <c r="L228" i="145"/>
  <c r="L102" i="147" s="1"/>
  <c r="L207" i="147" s="1"/>
  <c r="X199" i="145"/>
  <c r="X72" i="147" s="1"/>
  <c r="X177" i="147" s="1"/>
  <c r="P170" i="145"/>
  <c r="P42" i="147" s="1"/>
  <c r="P147" i="147" s="1"/>
  <c r="Q141" i="145"/>
  <c r="Q143" i="148" s="1"/>
  <c r="Q213" i="148" s="1"/>
  <c r="Q243" i="148" s="1"/>
  <c r="U141" i="145"/>
  <c r="T228" i="145"/>
  <c r="T102" i="147" s="1"/>
  <c r="T207" i="147" s="1"/>
  <c r="O170" i="145"/>
  <c r="O42" i="147" s="1"/>
  <c r="O147" i="147" s="1"/>
  <c r="U199" i="145"/>
  <c r="U72" i="147" s="1"/>
  <c r="U177" i="147" s="1"/>
  <c r="R228" i="145"/>
  <c r="R102" i="147" s="1"/>
  <c r="R207" i="147" s="1"/>
  <c r="J228" i="145"/>
  <c r="J102" i="147" s="1"/>
  <c r="J207" i="147" s="1"/>
  <c r="R170" i="145"/>
  <c r="R42" i="147" s="1"/>
  <c r="R147" i="147" s="1"/>
  <c r="Y141" i="145"/>
  <c r="V170" i="145"/>
  <c r="V42" i="147" s="1"/>
  <c r="V147" i="147" s="1"/>
  <c r="M141" i="145"/>
  <c r="M143" i="148" s="1"/>
  <c r="M213" i="148" s="1"/>
  <c r="M243" i="148" s="1"/>
  <c r="Y199" i="145"/>
  <c r="Y72" i="147" s="1"/>
  <c r="Y177" i="147" s="1"/>
  <c r="K170" i="145"/>
  <c r="K42" i="147" s="1"/>
  <c r="K147" i="147" s="1"/>
  <c r="V228" i="145"/>
  <c r="V102" i="147" s="1"/>
  <c r="V207" i="147" s="1"/>
  <c r="N228" i="145"/>
  <c r="N102" i="147" s="1"/>
  <c r="N207" i="147" s="1"/>
  <c r="U228" i="145"/>
  <c r="U102" i="147" s="1"/>
  <c r="U207" i="147" s="1"/>
  <c r="S141" i="145"/>
  <c r="M228" i="145"/>
  <c r="M102" i="147" s="1"/>
  <c r="M207" i="147" s="1"/>
  <c r="P179" i="149"/>
  <c r="P239" i="149" s="1"/>
  <c r="N149" i="149"/>
  <c r="J149" i="149"/>
  <c r="J179" i="149"/>
  <c r="J239" i="149" s="1"/>
  <c r="M179" i="149"/>
  <c r="M239" i="149" s="1"/>
  <c r="N179" i="149"/>
  <c r="N239" i="149" s="1"/>
  <c r="M149" i="149"/>
  <c r="O179" i="149"/>
  <c r="O239" i="149" s="1"/>
  <c r="O149" i="149"/>
  <c r="L149" i="149"/>
  <c r="Q149" i="149"/>
  <c r="P149" i="149"/>
  <c r="K179" i="149"/>
  <c r="K239" i="149" s="1"/>
  <c r="K149" i="149"/>
  <c r="L179" i="149"/>
  <c r="L239" i="149" s="1"/>
  <c r="Q179" i="149"/>
  <c r="Q239" i="149" s="1"/>
  <c r="N178" i="149"/>
  <c r="N238" i="149" s="1"/>
  <c r="J178" i="149"/>
  <c r="J238" i="149" s="1"/>
  <c r="L178" i="149"/>
  <c r="L238" i="149" s="1"/>
  <c r="O178" i="149"/>
  <c r="O238" i="149" s="1"/>
  <c r="L148" i="149"/>
  <c r="K148" i="149"/>
  <c r="M148" i="149"/>
  <c r="P178" i="149"/>
  <c r="P238" i="149" s="1"/>
  <c r="K178" i="149"/>
  <c r="K238" i="149" s="1"/>
  <c r="O148" i="149"/>
  <c r="Q148" i="149"/>
  <c r="J148" i="149"/>
  <c r="M178" i="149"/>
  <c r="M238" i="149" s="1"/>
  <c r="N148" i="149"/>
  <c r="P148" i="149"/>
  <c r="Q178" i="149"/>
  <c r="Q238" i="149" s="1"/>
  <c r="W174" i="148"/>
  <c r="W209" i="148" s="1"/>
  <c r="W239" i="148" s="1"/>
  <c r="U174" i="148"/>
  <c r="U209" i="148" s="1"/>
  <c r="U239" i="148" s="1"/>
  <c r="S174" i="148"/>
  <c r="S209" i="148" s="1"/>
  <c r="S239" i="148" s="1"/>
  <c r="Y174" i="148"/>
  <c r="Y209" i="148" s="1"/>
  <c r="Y239" i="148" s="1"/>
  <c r="R174" i="148"/>
  <c r="R209" i="148" s="1"/>
  <c r="R239" i="148" s="1"/>
  <c r="X174" i="148"/>
  <c r="X209" i="148" s="1"/>
  <c r="X239" i="148" s="1"/>
  <c r="V174" i="148"/>
  <c r="V209" i="148" s="1"/>
  <c r="V239" i="148" s="1"/>
  <c r="T174" i="148"/>
  <c r="T209" i="148" s="1"/>
  <c r="T239" i="148" s="1"/>
  <c r="V172" i="148"/>
  <c r="V207" i="148" s="1"/>
  <c r="V237" i="148" s="1"/>
  <c r="U172" i="148"/>
  <c r="U207" i="148" s="1"/>
  <c r="U237" i="148" s="1"/>
  <c r="Y172" i="148"/>
  <c r="Y207" i="148" s="1"/>
  <c r="Y237" i="148" s="1"/>
  <c r="W172" i="148"/>
  <c r="W207" i="148" s="1"/>
  <c r="W237" i="148" s="1"/>
  <c r="S172" i="148"/>
  <c r="S207" i="148" s="1"/>
  <c r="S237" i="148" s="1"/>
  <c r="T172" i="148"/>
  <c r="T207" i="148" s="1"/>
  <c r="T237" i="148" s="1"/>
  <c r="R172" i="148"/>
  <c r="R207" i="148" s="1"/>
  <c r="R237" i="148" s="1"/>
  <c r="X172" i="148"/>
  <c r="X207" i="148" s="1"/>
  <c r="X237" i="148" s="1"/>
  <c r="X178" i="148"/>
  <c r="X213" i="148" s="1"/>
  <c r="X243" i="148" s="1"/>
  <c r="T178" i="148"/>
  <c r="T213" i="148" s="1"/>
  <c r="T243" i="148" s="1"/>
  <c r="R178" i="148"/>
  <c r="R213" i="148" s="1"/>
  <c r="R243" i="148" s="1"/>
  <c r="S178" i="148"/>
  <c r="S213" i="148" s="1"/>
  <c r="S243" i="148" s="1"/>
  <c r="Y178" i="148"/>
  <c r="Y213" i="148" s="1"/>
  <c r="Y243" i="148" s="1"/>
  <c r="V178" i="148"/>
  <c r="V213" i="148" s="1"/>
  <c r="V243" i="148" s="1"/>
  <c r="W178" i="148"/>
  <c r="W213" i="148" s="1"/>
  <c r="W243" i="148" s="1"/>
  <c r="U178" i="148"/>
  <c r="U213" i="148" s="1"/>
  <c r="U243" i="148" s="1"/>
  <c r="S250" i="148" l="1"/>
  <c r="S26" i="151" s="1"/>
  <c r="S57" i="151" s="1"/>
  <c r="L278" i="149"/>
  <c r="L41" i="150" s="1"/>
  <c r="L86" i="150" s="1"/>
  <c r="L208" i="149"/>
  <c r="Q257" i="149"/>
  <c r="Q25" i="151" s="1"/>
  <c r="N206" i="149"/>
  <c r="N276" i="149"/>
  <c r="N39" i="150" s="1"/>
  <c r="N84" i="150" s="1"/>
  <c r="J277" i="149"/>
  <c r="J40" i="150" s="1"/>
  <c r="J85" i="150" s="1"/>
  <c r="J207" i="149"/>
  <c r="M207" i="149"/>
  <c r="M277" i="149"/>
  <c r="M40" i="150" s="1"/>
  <c r="M85" i="150" s="1"/>
  <c r="U250" i="148"/>
  <c r="U26" i="151" s="1"/>
  <c r="N215" i="149"/>
  <c r="N285" i="149"/>
  <c r="N48" i="150" s="1"/>
  <c r="N93" i="150" s="1"/>
  <c r="L215" i="149"/>
  <c r="L285" i="149"/>
  <c r="L48" i="150" s="1"/>
  <c r="L93" i="150" s="1"/>
  <c r="M283" i="149"/>
  <c r="M46" i="150" s="1"/>
  <c r="M91" i="150" s="1"/>
  <c r="M213" i="149"/>
  <c r="K213" i="149"/>
  <c r="K283" i="149"/>
  <c r="K46" i="150" s="1"/>
  <c r="K91" i="150" s="1"/>
  <c r="M282" i="149"/>
  <c r="M45" i="150" s="1"/>
  <c r="M90" i="150" s="1"/>
  <c r="M212" i="149"/>
  <c r="Y250" i="148"/>
  <c r="Y26" i="151" s="1"/>
  <c r="P278" i="149"/>
  <c r="P41" i="150" s="1"/>
  <c r="P86" i="150" s="1"/>
  <c r="P208" i="149"/>
  <c r="Q208" i="149"/>
  <c r="Q278" i="149"/>
  <c r="Q41" i="150" s="1"/>
  <c r="Q86" i="150" s="1"/>
  <c r="M278" i="149"/>
  <c r="M41" i="150" s="1"/>
  <c r="M86" i="150" s="1"/>
  <c r="M208" i="149"/>
  <c r="Q209" i="149"/>
  <c r="Q279" i="149"/>
  <c r="Q42" i="150" s="1"/>
  <c r="Q87" i="150" s="1"/>
  <c r="M279" i="149"/>
  <c r="M42" i="150" s="1"/>
  <c r="M87" i="150" s="1"/>
  <c r="M209" i="149"/>
  <c r="J209" i="149"/>
  <c r="J279" i="149"/>
  <c r="J42" i="150" s="1"/>
  <c r="J87" i="150" s="1"/>
  <c r="R250" i="148"/>
  <c r="R26" i="151" s="1"/>
  <c r="O284" i="149"/>
  <c r="O47" i="150" s="1"/>
  <c r="O92" i="150" s="1"/>
  <c r="O214" i="149"/>
  <c r="Q214" i="149"/>
  <c r="Q284" i="149"/>
  <c r="Q47" i="150" s="1"/>
  <c r="Q92" i="150" s="1"/>
  <c r="K214" i="149"/>
  <c r="K284" i="149"/>
  <c r="K47" i="150" s="1"/>
  <c r="K92" i="150" s="1"/>
  <c r="J257" i="149"/>
  <c r="J25" i="151" s="1"/>
  <c r="L257" i="149"/>
  <c r="L25" i="151" s="1"/>
  <c r="N257" i="149"/>
  <c r="N25" i="151" s="1"/>
  <c r="L206" i="149"/>
  <c r="L276" i="149"/>
  <c r="L39" i="150" s="1"/>
  <c r="L84" i="150" s="1"/>
  <c r="L211" i="149"/>
  <c r="L281" i="149"/>
  <c r="L44" i="150" s="1"/>
  <c r="L89" i="150" s="1"/>
  <c r="Q207" i="149"/>
  <c r="Q277" i="149"/>
  <c r="Q40" i="150" s="1"/>
  <c r="Q85" i="150" s="1"/>
  <c r="N280" i="149"/>
  <c r="N43" i="150" s="1"/>
  <c r="N88" i="150" s="1"/>
  <c r="N210" i="149"/>
  <c r="P280" i="149"/>
  <c r="P43" i="150" s="1"/>
  <c r="P88" i="150" s="1"/>
  <c r="P210" i="149"/>
  <c r="X250" i="148"/>
  <c r="X26" i="151" s="1"/>
  <c r="M215" i="149"/>
  <c r="M285" i="149"/>
  <c r="M48" i="150" s="1"/>
  <c r="M93" i="150" s="1"/>
  <c r="Q215" i="149"/>
  <c r="Q285" i="149"/>
  <c r="Q48" i="150" s="1"/>
  <c r="Q93" i="150" s="1"/>
  <c r="K215" i="149"/>
  <c r="K285" i="149"/>
  <c r="K48" i="150" s="1"/>
  <c r="K93" i="150" s="1"/>
  <c r="J213" i="149"/>
  <c r="J283" i="149"/>
  <c r="J46" i="150" s="1"/>
  <c r="J91" i="150" s="1"/>
  <c r="K282" i="149"/>
  <c r="K45" i="150" s="1"/>
  <c r="K90" i="150" s="1"/>
  <c r="K212" i="149"/>
  <c r="V218" i="147"/>
  <c r="V21" i="151" s="1"/>
  <c r="J218" i="147"/>
  <c r="J21" i="151" s="1"/>
  <c r="P219" i="147"/>
  <c r="P22" i="151" s="1"/>
  <c r="P218" i="147"/>
  <c r="P21" i="151" s="1"/>
  <c r="L218" i="147"/>
  <c r="L21" i="151" s="1"/>
  <c r="S218" i="147"/>
  <c r="S21" i="151" s="1"/>
  <c r="P36" i="147"/>
  <c r="P141" i="147" s="1"/>
  <c r="P217" i="147" s="1"/>
  <c r="P20" i="151" s="1"/>
  <c r="P239" i="145"/>
  <c r="S219" i="147"/>
  <c r="S22" i="151" s="1"/>
  <c r="O250" i="148"/>
  <c r="O26" i="151" s="1"/>
  <c r="Q36" i="147"/>
  <c r="Q141" i="147" s="1"/>
  <c r="Q217" i="147" s="1"/>
  <c r="Q20" i="151" s="1"/>
  <c r="Q239" i="145"/>
  <c r="M219" i="147"/>
  <c r="M22" i="151" s="1"/>
  <c r="U239" i="145"/>
  <c r="U36" i="147"/>
  <c r="U141" i="147" s="1"/>
  <c r="U217" i="147" s="1"/>
  <c r="U20" i="151" s="1"/>
  <c r="T250" i="148"/>
  <c r="T26" i="151" s="1"/>
  <c r="N278" i="149"/>
  <c r="N41" i="150" s="1"/>
  <c r="N86" i="150" s="1"/>
  <c r="N208" i="149"/>
  <c r="O278" i="149"/>
  <c r="O41" i="150" s="1"/>
  <c r="O86" i="150" s="1"/>
  <c r="O208" i="149"/>
  <c r="K278" i="149"/>
  <c r="K41" i="150" s="1"/>
  <c r="K86" i="150" s="1"/>
  <c r="K208" i="149"/>
  <c r="K279" i="149"/>
  <c r="K42" i="150" s="1"/>
  <c r="K87" i="150" s="1"/>
  <c r="K209" i="149"/>
  <c r="L209" i="149"/>
  <c r="L279" i="149"/>
  <c r="L42" i="150" s="1"/>
  <c r="L87" i="150" s="1"/>
  <c r="N279" i="149"/>
  <c r="N42" i="150" s="1"/>
  <c r="N87" i="150" s="1"/>
  <c r="N209" i="149"/>
  <c r="N284" i="149"/>
  <c r="N47" i="150" s="1"/>
  <c r="N92" i="150" s="1"/>
  <c r="N214" i="149"/>
  <c r="M214" i="149"/>
  <c r="M284" i="149"/>
  <c r="M47" i="150" s="1"/>
  <c r="M92" i="150" s="1"/>
  <c r="M257" i="149"/>
  <c r="M25" i="151" s="1"/>
  <c r="M206" i="149"/>
  <c r="M276" i="149"/>
  <c r="M39" i="150" s="1"/>
  <c r="M84" i="150" s="1"/>
  <c r="P276" i="149"/>
  <c r="P39" i="150" s="1"/>
  <c r="P84" i="150" s="1"/>
  <c r="P206" i="149"/>
  <c r="O276" i="149"/>
  <c r="O39" i="150" s="1"/>
  <c r="O84" i="150" s="1"/>
  <c r="O206" i="149"/>
  <c r="J281" i="149"/>
  <c r="J44" i="150" s="1"/>
  <c r="J89" i="150" s="1"/>
  <c r="J211" i="149"/>
  <c r="M211" i="149"/>
  <c r="M281" i="149"/>
  <c r="M44" i="150" s="1"/>
  <c r="M89" i="150" s="1"/>
  <c r="K207" i="149"/>
  <c r="K277" i="149"/>
  <c r="K40" i="150" s="1"/>
  <c r="K85" i="150" s="1"/>
  <c r="L207" i="149"/>
  <c r="L277" i="149"/>
  <c r="L40" i="150" s="1"/>
  <c r="L85" i="150" s="1"/>
  <c r="J280" i="149"/>
  <c r="J43" i="150" s="1"/>
  <c r="J88" i="150" s="1"/>
  <c r="J210" i="149"/>
  <c r="O280" i="149"/>
  <c r="O43" i="150" s="1"/>
  <c r="O88" i="150" s="1"/>
  <c r="O210" i="149"/>
  <c r="K280" i="149"/>
  <c r="K43" i="150" s="1"/>
  <c r="K88" i="150" s="1"/>
  <c r="K210" i="149"/>
  <c r="J215" i="149"/>
  <c r="J285" i="149"/>
  <c r="J48" i="150" s="1"/>
  <c r="J93" i="150" s="1"/>
  <c r="N213" i="149"/>
  <c r="N283" i="149"/>
  <c r="N46" i="150" s="1"/>
  <c r="N91" i="150" s="1"/>
  <c r="Q283" i="149"/>
  <c r="Q46" i="150" s="1"/>
  <c r="Q91" i="150" s="1"/>
  <c r="Q213" i="149"/>
  <c r="O213" i="149"/>
  <c r="O283" i="149"/>
  <c r="O46" i="150" s="1"/>
  <c r="O91" i="150" s="1"/>
  <c r="N212" i="149"/>
  <c r="N282" i="149"/>
  <c r="N45" i="150" s="1"/>
  <c r="N90" i="150" s="1"/>
  <c r="L212" i="149"/>
  <c r="L282" i="149"/>
  <c r="L45" i="150" s="1"/>
  <c r="L90" i="150" s="1"/>
  <c r="P212" i="149"/>
  <c r="P282" i="149"/>
  <c r="P45" i="150" s="1"/>
  <c r="P90" i="150" s="1"/>
  <c r="R218" i="147"/>
  <c r="R21" i="151" s="1"/>
  <c r="N239" i="145"/>
  <c r="N36" i="147"/>
  <c r="N141" i="147" s="1"/>
  <c r="N217" i="147" s="1"/>
  <c r="N20" i="151" s="1"/>
  <c r="N218" i="147"/>
  <c r="N21" i="151" s="1"/>
  <c r="O218" i="147"/>
  <c r="O21" i="151" s="1"/>
  <c r="X239" i="145"/>
  <c r="X36" i="147"/>
  <c r="X141" i="147" s="1"/>
  <c r="X217" i="147" s="1"/>
  <c r="X20" i="151" s="1"/>
  <c r="W36" i="147"/>
  <c r="W141" i="147" s="1"/>
  <c r="W217" i="147" s="1"/>
  <c r="W20" i="151" s="1"/>
  <c r="W239" i="145"/>
  <c r="X219" i="147"/>
  <c r="X22" i="151" s="1"/>
  <c r="S36" i="147"/>
  <c r="S141" i="147" s="1"/>
  <c r="S217" i="147" s="1"/>
  <c r="S20" i="151" s="1"/>
  <c r="S239" i="145"/>
  <c r="W218" i="147"/>
  <c r="W21" i="151" s="1"/>
  <c r="W219" i="147"/>
  <c r="W22" i="151" s="1"/>
  <c r="U218" i="147"/>
  <c r="U21" i="151" s="1"/>
  <c r="J207" i="148"/>
  <c r="J237" i="148" s="1"/>
  <c r="J250" i="148" s="1"/>
  <c r="J26" i="151" s="1"/>
  <c r="Q219" i="147"/>
  <c r="Q22" i="151" s="1"/>
  <c r="L219" i="147"/>
  <c r="L22" i="151" s="1"/>
  <c r="V250" i="148"/>
  <c r="V26" i="151" s="1"/>
  <c r="J214" i="149"/>
  <c r="J284" i="149"/>
  <c r="J47" i="150" s="1"/>
  <c r="J92" i="150" s="1"/>
  <c r="O257" i="149"/>
  <c r="O25" i="151" s="1"/>
  <c r="Q276" i="149"/>
  <c r="Q39" i="150" s="1"/>
  <c r="Q84" i="150" s="1"/>
  <c r="Q206" i="149"/>
  <c r="P257" i="149"/>
  <c r="P25" i="151" s="1"/>
  <c r="K257" i="149"/>
  <c r="K25" i="151" s="1"/>
  <c r="N211" i="149"/>
  <c r="N281" i="149"/>
  <c r="N44" i="150" s="1"/>
  <c r="N89" i="150" s="1"/>
  <c r="Q211" i="149"/>
  <c r="Q281" i="149"/>
  <c r="Q44" i="150" s="1"/>
  <c r="Q89" i="150" s="1"/>
  <c r="K281" i="149"/>
  <c r="K44" i="150" s="1"/>
  <c r="K89" i="150" s="1"/>
  <c r="K211" i="149"/>
  <c r="O207" i="149"/>
  <c r="O277" i="149"/>
  <c r="O40" i="150" s="1"/>
  <c r="O85" i="150" s="1"/>
  <c r="N207" i="149"/>
  <c r="N277" i="149"/>
  <c r="N40" i="150" s="1"/>
  <c r="N85" i="150" s="1"/>
  <c r="Q210" i="149"/>
  <c r="Q280" i="149"/>
  <c r="Q43" i="150" s="1"/>
  <c r="Q88" i="150" s="1"/>
  <c r="L210" i="149"/>
  <c r="L280" i="149"/>
  <c r="L43" i="150" s="1"/>
  <c r="L88" i="150" s="1"/>
  <c r="M280" i="149"/>
  <c r="M43" i="150" s="1"/>
  <c r="M88" i="150" s="1"/>
  <c r="M210" i="149"/>
  <c r="O285" i="149"/>
  <c r="O48" i="150" s="1"/>
  <c r="O93" i="150" s="1"/>
  <c r="O215" i="149"/>
  <c r="P283" i="149"/>
  <c r="P46" i="150" s="1"/>
  <c r="P91" i="150" s="1"/>
  <c r="P213" i="149"/>
  <c r="L213" i="149"/>
  <c r="L283" i="149"/>
  <c r="L46" i="150" s="1"/>
  <c r="L91" i="150" s="1"/>
  <c r="P250" i="148"/>
  <c r="P26" i="151" s="1"/>
  <c r="Y218" i="147"/>
  <c r="Y21" i="151" s="1"/>
  <c r="K36" i="147"/>
  <c r="K141" i="147" s="1"/>
  <c r="K217" i="147" s="1"/>
  <c r="K20" i="151" s="1"/>
  <c r="K239" i="145"/>
  <c r="K250" i="148"/>
  <c r="K26" i="151" s="1"/>
  <c r="O36" i="147"/>
  <c r="O141" i="147" s="1"/>
  <c r="O217" i="147" s="1"/>
  <c r="O20" i="151" s="1"/>
  <c r="O239" i="145"/>
  <c r="V219" i="147"/>
  <c r="V22" i="151" s="1"/>
  <c r="T218" i="147"/>
  <c r="T21" i="151" s="1"/>
  <c r="T36" i="147"/>
  <c r="T141" i="147" s="1"/>
  <c r="T217" i="147" s="1"/>
  <c r="T20" i="151" s="1"/>
  <c r="T239" i="145"/>
  <c r="J36" i="147"/>
  <c r="J239" i="145"/>
  <c r="L250" i="148"/>
  <c r="L26" i="151" s="1"/>
  <c r="K219" i="147"/>
  <c r="K22" i="151" s="1"/>
  <c r="Y36" i="147"/>
  <c r="Y141" i="147" s="1"/>
  <c r="Y217" i="147" s="1"/>
  <c r="Y20" i="151" s="1"/>
  <c r="Y239" i="145"/>
  <c r="U219" i="147"/>
  <c r="U22" i="151" s="1"/>
  <c r="L36" i="147"/>
  <c r="L141" i="147" s="1"/>
  <c r="L217" i="147" s="1"/>
  <c r="L20" i="151" s="1"/>
  <c r="L239" i="145"/>
  <c r="V36" i="147"/>
  <c r="V141" i="147" s="1"/>
  <c r="V217" i="147" s="1"/>
  <c r="V20" i="151" s="1"/>
  <c r="V239" i="145"/>
  <c r="O209" i="149"/>
  <c r="O279" i="149"/>
  <c r="O42" i="150" s="1"/>
  <c r="O87" i="150" s="1"/>
  <c r="W250" i="148"/>
  <c r="W26" i="151" s="1"/>
  <c r="J278" i="149"/>
  <c r="J41" i="150" s="1"/>
  <c r="J86" i="150" s="1"/>
  <c r="J208" i="149"/>
  <c r="P279" i="149"/>
  <c r="P42" i="150" s="1"/>
  <c r="P87" i="150" s="1"/>
  <c r="P209" i="149"/>
  <c r="P214" i="149"/>
  <c r="P284" i="149"/>
  <c r="P47" i="150" s="1"/>
  <c r="P92" i="150" s="1"/>
  <c r="L214" i="149"/>
  <c r="L284" i="149"/>
  <c r="L47" i="150" s="1"/>
  <c r="L92" i="150" s="1"/>
  <c r="J206" i="149"/>
  <c r="J276" i="149"/>
  <c r="J39" i="150" s="1"/>
  <c r="J84" i="150" s="1"/>
  <c r="K206" i="149"/>
  <c r="K276" i="149"/>
  <c r="K39" i="150" s="1"/>
  <c r="K84" i="150" s="1"/>
  <c r="P211" i="149"/>
  <c r="P281" i="149"/>
  <c r="P44" i="150" s="1"/>
  <c r="P89" i="150" s="1"/>
  <c r="O281" i="149"/>
  <c r="O44" i="150" s="1"/>
  <c r="O89" i="150" s="1"/>
  <c r="O211" i="149"/>
  <c r="P207" i="149"/>
  <c r="P277" i="149"/>
  <c r="P40" i="150" s="1"/>
  <c r="P85" i="150" s="1"/>
  <c r="P285" i="149"/>
  <c r="P48" i="150" s="1"/>
  <c r="P93" i="150" s="1"/>
  <c r="P215" i="149"/>
  <c r="J282" i="149"/>
  <c r="J45" i="150" s="1"/>
  <c r="J90" i="150" s="1"/>
  <c r="J212" i="149"/>
  <c r="O212" i="149"/>
  <c r="O282" i="149"/>
  <c r="O45" i="150" s="1"/>
  <c r="O90" i="150" s="1"/>
  <c r="Q212" i="149"/>
  <c r="Q282" i="149"/>
  <c r="Q45" i="150" s="1"/>
  <c r="Q90" i="150" s="1"/>
  <c r="H237" i="145" a="1"/>
  <c r="H237" i="145" s="1"/>
  <c r="T219" i="147"/>
  <c r="T22" i="151" s="1"/>
  <c r="R239" i="145"/>
  <c r="R36" i="147"/>
  <c r="R141" i="147" s="1"/>
  <c r="R217" i="147" s="1"/>
  <c r="R20" i="151" s="1"/>
  <c r="Q218" i="147"/>
  <c r="Q21" i="151" s="1"/>
  <c r="X218" i="147"/>
  <c r="X21" i="151" s="1"/>
  <c r="N219" i="147"/>
  <c r="N22" i="151" s="1"/>
  <c r="R219" i="147"/>
  <c r="R22" i="151" s="1"/>
  <c r="J219" i="147"/>
  <c r="J22" i="151" s="1"/>
  <c r="K218" i="147"/>
  <c r="K21" i="151" s="1"/>
  <c r="M250" i="148"/>
  <c r="M26" i="151" s="1"/>
  <c r="N250" i="148"/>
  <c r="N26" i="151" s="1"/>
  <c r="O219" i="147"/>
  <c r="O22" i="151" s="1"/>
  <c r="M36" i="147"/>
  <c r="M141" i="147" s="1"/>
  <c r="M217" i="147" s="1"/>
  <c r="M20" i="151" s="1"/>
  <c r="M239" i="145"/>
  <c r="Y219" i="147"/>
  <c r="Y22" i="151" s="1"/>
  <c r="Q250" i="148"/>
  <c r="Q26" i="151" s="1"/>
  <c r="M218" i="147"/>
  <c r="M21" i="151" s="1"/>
  <c r="S26" i="153" l="1"/>
  <c r="S96" i="153" s="1"/>
  <c r="M75" i="151"/>
  <c r="AC102" i="151" s="1"/>
  <c r="M52" i="151"/>
  <c r="M21" i="153"/>
  <c r="K52" i="151"/>
  <c r="K75" i="151"/>
  <c r="AA102" i="151" s="1"/>
  <c r="K21" i="153"/>
  <c r="T76" i="151"/>
  <c r="AZ102" i="151" s="1"/>
  <c r="T53" i="151"/>
  <c r="T22" i="153"/>
  <c r="T92" i="153" s="1"/>
  <c r="P114" i="150"/>
  <c r="P146" i="150" s="1"/>
  <c r="W114" i="150"/>
  <c r="W146" i="150" s="1"/>
  <c r="U114" i="150"/>
  <c r="U146" i="150" s="1"/>
  <c r="X114" i="150"/>
  <c r="X146" i="150" s="1"/>
  <c r="N114" i="150"/>
  <c r="N146" i="150" s="1"/>
  <c r="V114" i="150"/>
  <c r="V146" i="150" s="1"/>
  <c r="R114" i="150"/>
  <c r="R146" i="150" s="1"/>
  <c r="Q114" i="150"/>
  <c r="Q146" i="150" s="1"/>
  <c r="O114" i="150"/>
  <c r="O146" i="150" s="1"/>
  <c r="K114" i="150"/>
  <c r="K146" i="150" s="1"/>
  <c r="Y114" i="150"/>
  <c r="Y146" i="150" s="1"/>
  <c r="M114" i="150"/>
  <c r="M146" i="150" s="1"/>
  <c r="S114" i="150"/>
  <c r="S146" i="150" s="1"/>
  <c r="T114" i="150"/>
  <c r="T146" i="150" s="1"/>
  <c r="V20" i="153"/>
  <c r="V90" i="153" s="1"/>
  <c r="V51" i="151"/>
  <c r="V74" i="151"/>
  <c r="V102" i="151" s="1"/>
  <c r="H239" i="145"/>
  <c r="H241" i="145" s="1"/>
  <c r="K26" i="153"/>
  <c r="K96" i="153" s="1"/>
  <c r="K57" i="151"/>
  <c r="P56" i="151"/>
  <c r="P25" i="153"/>
  <c r="P95" i="153" s="1"/>
  <c r="L122" i="150"/>
  <c r="L154" i="150" s="1"/>
  <c r="J122" i="150"/>
  <c r="J154" i="150" s="1"/>
  <c r="X22" i="153"/>
  <c r="X92" i="153" s="1"/>
  <c r="X76" i="151"/>
  <c r="BD102" i="151" s="1"/>
  <c r="X53" i="151"/>
  <c r="S115" i="150"/>
  <c r="S147" i="150" s="1"/>
  <c r="V115" i="150"/>
  <c r="V147" i="150" s="1"/>
  <c r="Q115" i="150"/>
  <c r="Q147" i="150" s="1"/>
  <c r="N115" i="150"/>
  <c r="N147" i="150" s="1"/>
  <c r="X115" i="150"/>
  <c r="X147" i="150" s="1"/>
  <c r="W115" i="150"/>
  <c r="W147" i="150" s="1"/>
  <c r="U115" i="150"/>
  <c r="U147" i="150" s="1"/>
  <c r="P115" i="150"/>
  <c r="P147" i="150" s="1"/>
  <c r="R115" i="150"/>
  <c r="R147" i="150" s="1"/>
  <c r="T115" i="150"/>
  <c r="T147" i="150" s="1"/>
  <c r="Y115" i="150"/>
  <c r="Y147" i="150" s="1"/>
  <c r="O115" i="150"/>
  <c r="O147" i="150" s="1"/>
  <c r="K115" i="150"/>
  <c r="K147" i="150" s="1"/>
  <c r="M115" i="150"/>
  <c r="M147" i="150" s="1"/>
  <c r="M25" i="153"/>
  <c r="M95" i="153" s="1"/>
  <c r="M56" i="151"/>
  <c r="R116" i="150"/>
  <c r="R148" i="150" s="1"/>
  <c r="N116" i="150"/>
  <c r="N148" i="150" s="1"/>
  <c r="X116" i="150"/>
  <c r="X148" i="150" s="1"/>
  <c r="Q116" i="150"/>
  <c r="Q148" i="150" s="1"/>
  <c r="M116" i="150"/>
  <c r="M148" i="150" s="1"/>
  <c r="K116" i="150"/>
  <c r="K148" i="150" s="1"/>
  <c r="S116" i="150"/>
  <c r="S148" i="150" s="1"/>
  <c r="P116" i="150"/>
  <c r="P148" i="150" s="1"/>
  <c r="T116" i="150"/>
  <c r="T148" i="150" s="1"/>
  <c r="Y116" i="150"/>
  <c r="Y148" i="150" s="1"/>
  <c r="U116" i="150"/>
  <c r="U148" i="150" s="1"/>
  <c r="V116" i="150"/>
  <c r="V148" i="150" s="1"/>
  <c r="W116" i="150"/>
  <c r="W148" i="150" s="1"/>
  <c r="O116" i="150"/>
  <c r="O148" i="150" s="1"/>
  <c r="M22" i="153"/>
  <c r="M53" i="151"/>
  <c r="M76" i="151"/>
  <c r="AS102" i="151" s="1"/>
  <c r="S76" i="151"/>
  <c r="AY102" i="151" s="1"/>
  <c r="S22" i="153"/>
  <c r="S92" i="153" s="1"/>
  <c r="S53" i="151"/>
  <c r="L75" i="151"/>
  <c r="AB102" i="151" s="1"/>
  <c r="L21" i="153"/>
  <c r="L52" i="151"/>
  <c r="V52" i="151"/>
  <c r="V75" i="151"/>
  <c r="AL102" i="151" s="1"/>
  <c r="V21" i="153"/>
  <c r="V91" i="153" s="1"/>
  <c r="J25" i="153"/>
  <c r="J95" i="153" s="1"/>
  <c r="J56" i="151"/>
  <c r="J117" i="150"/>
  <c r="J149" i="150" s="1"/>
  <c r="L117" i="150"/>
  <c r="L149" i="150" s="1"/>
  <c r="Y57" i="151"/>
  <c r="Y26" i="153"/>
  <c r="Y96" i="153" s="1"/>
  <c r="Y107" i="153" s="1"/>
  <c r="Y136" i="153" s="1"/>
  <c r="Y51" i="154" s="1"/>
  <c r="Y90" i="154" s="1"/>
  <c r="Q57" i="151"/>
  <c r="Q26" i="153"/>
  <c r="Q96" i="153" s="1"/>
  <c r="O22" i="153"/>
  <c r="O53" i="151"/>
  <c r="O76" i="151"/>
  <c r="AU102" i="151" s="1"/>
  <c r="J76" i="151"/>
  <c r="AP102" i="151" s="1"/>
  <c r="J53" i="151"/>
  <c r="J22" i="153"/>
  <c r="Q75" i="151"/>
  <c r="AG102" i="151" s="1"/>
  <c r="Q21" i="153"/>
  <c r="Q52" i="151"/>
  <c r="K256" i="149"/>
  <c r="K24" i="151" s="1"/>
  <c r="Y20" i="153"/>
  <c r="Y90" i="153" s="1"/>
  <c r="Y101" i="153" s="1"/>
  <c r="Y130" i="153" s="1"/>
  <c r="Y45" i="154" s="1"/>
  <c r="Y84" i="154" s="1"/>
  <c r="Y51" i="151"/>
  <c r="Y74" i="151"/>
  <c r="Y102" i="151" s="1"/>
  <c r="J141" i="147"/>
  <c r="J217" i="147" s="1"/>
  <c r="J20" i="151" s="1"/>
  <c r="V22" i="153"/>
  <c r="V92" i="153" s="1"/>
  <c r="V53" i="151"/>
  <c r="V76" i="151"/>
  <c r="BB102" i="151" s="1"/>
  <c r="Q256" i="149"/>
  <c r="Q24" i="151" s="1"/>
  <c r="H254" i="148" a="1"/>
  <c r="H254" i="148" s="1"/>
  <c r="W75" i="151"/>
  <c r="AM102" i="151" s="1"/>
  <c r="W21" i="153"/>
  <c r="W91" i="153" s="1"/>
  <c r="W102" i="153" s="1"/>
  <c r="W131" i="153" s="1"/>
  <c r="W46" i="154" s="1"/>
  <c r="W85" i="154" s="1"/>
  <c r="W52" i="151"/>
  <c r="O52" i="151"/>
  <c r="O75" i="151"/>
  <c r="AE102" i="151" s="1"/>
  <c r="O21" i="153"/>
  <c r="R21" i="153"/>
  <c r="R91" i="153" s="1"/>
  <c r="R75" i="151"/>
  <c r="AH102" i="151" s="1"/>
  <c r="R52" i="151"/>
  <c r="R118" i="150"/>
  <c r="R150" i="150" s="1"/>
  <c r="V118" i="150"/>
  <c r="V150" i="150" s="1"/>
  <c r="W118" i="150"/>
  <c r="W150" i="150" s="1"/>
  <c r="K118" i="150"/>
  <c r="K150" i="150" s="1"/>
  <c r="O118" i="150"/>
  <c r="O150" i="150" s="1"/>
  <c r="X118" i="150"/>
  <c r="X150" i="150" s="1"/>
  <c r="S118" i="150"/>
  <c r="S150" i="150" s="1"/>
  <c r="M118" i="150"/>
  <c r="M150" i="150" s="1"/>
  <c r="P118" i="150"/>
  <c r="P150" i="150" s="1"/>
  <c r="Q118" i="150"/>
  <c r="Q150" i="150" s="1"/>
  <c r="U118" i="150"/>
  <c r="U150" i="150" s="1"/>
  <c r="T118" i="150"/>
  <c r="T150" i="150" s="1"/>
  <c r="N118" i="150"/>
  <c r="N150" i="150" s="1"/>
  <c r="Y118" i="150"/>
  <c r="Y150" i="150" s="1"/>
  <c r="J118" i="150"/>
  <c r="J150" i="150" s="1"/>
  <c r="L118" i="150"/>
  <c r="L150" i="150" s="1"/>
  <c r="L119" i="150"/>
  <c r="L151" i="150" s="1"/>
  <c r="J119" i="150"/>
  <c r="J151" i="150" s="1"/>
  <c r="T57" i="151"/>
  <c r="T26" i="153"/>
  <c r="T96" i="153" s="1"/>
  <c r="P52" i="151"/>
  <c r="P21" i="153"/>
  <c r="P75" i="151"/>
  <c r="AF102" i="151" s="1"/>
  <c r="T123" i="150"/>
  <c r="T155" i="150" s="1"/>
  <c r="M123" i="150"/>
  <c r="M155" i="150" s="1"/>
  <c r="X123" i="150"/>
  <c r="X155" i="150" s="1"/>
  <c r="W123" i="150"/>
  <c r="W155" i="150" s="1"/>
  <c r="N123" i="150"/>
  <c r="N155" i="150" s="1"/>
  <c r="S123" i="150"/>
  <c r="S155" i="150" s="1"/>
  <c r="R123" i="150"/>
  <c r="R155" i="150" s="1"/>
  <c r="U123" i="150"/>
  <c r="U155" i="150" s="1"/>
  <c r="O123" i="150"/>
  <c r="O155" i="150" s="1"/>
  <c r="Y123" i="150"/>
  <c r="Y155" i="150" s="1"/>
  <c r="P123" i="150"/>
  <c r="P155" i="150" s="1"/>
  <c r="K123" i="150"/>
  <c r="K155" i="150" s="1"/>
  <c r="V123" i="150"/>
  <c r="V155" i="150" s="1"/>
  <c r="Q123" i="150"/>
  <c r="Q155" i="150" s="1"/>
  <c r="L256" i="149"/>
  <c r="L24" i="151" s="1"/>
  <c r="M122" i="150"/>
  <c r="M154" i="150" s="1"/>
  <c r="Q122" i="150"/>
  <c r="Q154" i="150" s="1"/>
  <c r="V122" i="150"/>
  <c r="V154" i="150" s="1"/>
  <c r="N122" i="150"/>
  <c r="N154" i="150" s="1"/>
  <c r="X122" i="150"/>
  <c r="X154" i="150" s="1"/>
  <c r="P122" i="150"/>
  <c r="P154" i="150" s="1"/>
  <c r="Y122" i="150"/>
  <c r="Y154" i="150" s="1"/>
  <c r="W122" i="150"/>
  <c r="W154" i="150" s="1"/>
  <c r="R122" i="150"/>
  <c r="R154" i="150" s="1"/>
  <c r="T122" i="150"/>
  <c r="T154" i="150" s="1"/>
  <c r="O122" i="150"/>
  <c r="O154" i="150" s="1"/>
  <c r="K122" i="150"/>
  <c r="K154" i="150" s="1"/>
  <c r="U122" i="150"/>
  <c r="U154" i="150" s="1"/>
  <c r="S122" i="150"/>
  <c r="S154" i="150" s="1"/>
  <c r="N256" i="149"/>
  <c r="N24" i="151" s="1"/>
  <c r="S125" i="153"/>
  <c r="S154" i="153" s="1"/>
  <c r="S69" i="154" s="1"/>
  <c r="S110" i="154" s="1"/>
  <c r="S107" i="153"/>
  <c r="S136" i="153" s="1"/>
  <c r="S51" i="154" s="1"/>
  <c r="S90" i="154" s="1"/>
  <c r="Y53" i="151"/>
  <c r="Y76" i="151"/>
  <c r="BE102" i="151" s="1"/>
  <c r="Y22" i="153"/>
  <c r="Y92" i="153" s="1"/>
  <c r="Y103" i="153" s="1"/>
  <c r="Y132" i="153" s="1"/>
  <c r="Y47" i="154" s="1"/>
  <c r="Y86" i="154" s="1"/>
  <c r="N57" i="151"/>
  <c r="N26" i="153"/>
  <c r="N96" i="153" s="1"/>
  <c r="R53" i="151"/>
  <c r="R22" i="153"/>
  <c r="R92" i="153" s="1"/>
  <c r="R76" i="151"/>
  <c r="AX102" i="151" s="1"/>
  <c r="R74" i="151"/>
  <c r="R102" i="151" s="1"/>
  <c r="R51" i="151"/>
  <c r="R20" i="153"/>
  <c r="R90" i="153" s="1"/>
  <c r="J114" i="150"/>
  <c r="J146" i="150" s="1"/>
  <c r="L114" i="150"/>
  <c r="L146" i="150" s="1"/>
  <c r="L20" i="153"/>
  <c r="L74" i="151"/>
  <c r="L102" i="151" s="1"/>
  <c r="L51" i="151"/>
  <c r="K53" i="151"/>
  <c r="K76" i="151"/>
  <c r="AQ102" i="151" s="1"/>
  <c r="K22" i="153"/>
  <c r="K74" i="151"/>
  <c r="K102" i="151" s="1"/>
  <c r="K20" i="153"/>
  <c r="K51" i="151"/>
  <c r="V119" i="150"/>
  <c r="V151" i="150" s="1"/>
  <c r="W119" i="150"/>
  <c r="W151" i="150" s="1"/>
  <c r="P119" i="150"/>
  <c r="P151" i="150" s="1"/>
  <c r="M119" i="150"/>
  <c r="M151" i="150" s="1"/>
  <c r="N119" i="150"/>
  <c r="N151" i="150" s="1"/>
  <c r="Y119" i="150"/>
  <c r="Y151" i="150" s="1"/>
  <c r="T119" i="150"/>
  <c r="T151" i="150" s="1"/>
  <c r="U119" i="150"/>
  <c r="U151" i="150" s="1"/>
  <c r="X119" i="150"/>
  <c r="X151" i="150" s="1"/>
  <c r="Q119" i="150"/>
  <c r="Q151" i="150" s="1"/>
  <c r="S119" i="150"/>
  <c r="S151" i="150" s="1"/>
  <c r="R119" i="150"/>
  <c r="R151" i="150" s="1"/>
  <c r="K119" i="150"/>
  <c r="K151" i="150" s="1"/>
  <c r="O119" i="150"/>
  <c r="O151" i="150" s="1"/>
  <c r="V57" i="151"/>
  <c r="V26" i="153"/>
  <c r="V96" i="153" s="1"/>
  <c r="J26" i="153"/>
  <c r="J96" i="153" s="1"/>
  <c r="J57" i="151"/>
  <c r="W74" i="151"/>
  <c r="W102" i="151" s="1"/>
  <c r="W51" i="151"/>
  <c r="W20" i="153"/>
  <c r="W90" i="153" s="1"/>
  <c r="W101" i="153" s="1"/>
  <c r="W130" i="153" s="1"/>
  <c r="W45" i="154" s="1"/>
  <c r="W84" i="154" s="1"/>
  <c r="N52" i="151"/>
  <c r="N21" i="153"/>
  <c r="N75" i="151"/>
  <c r="AD102" i="151" s="1"/>
  <c r="J123" i="150"/>
  <c r="J155" i="150" s="1"/>
  <c r="L123" i="150"/>
  <c r="L155" i="150" s="1"/>
  <c r="O256" i="149"/>
  <c r="O24" i="151" s="1"/>
  <c r="U117" i="150"/>
  <c r="U149" i="150" s="1"/>
  <c r="S117" i="150"/>
  <c r="S149" i="150" s="1"/>
  <c r="O117" i="150"/>
  <c r="O149" i="150" s="1"/>
  <c r="T117" i="150"/>
  <c r="T149" i="150" s="1"/>
  <c r="Q117" i="150"/>
  <c r="Q149" i="150" s="1"/>
  <c r="Y117" i="150"/>
  <c r="Y149" i="150" s="1"/>
  <c r="V117" i="150"/>
  <c r="V149" i="150" s="1"/>
  <c r="K117" i="150"/>
  <c r="K149" i="150" s="1"/>
  <c r="R117" i="150"/>
  <c r="R149" i="150" s="1"/>
  <c r="N117" i="150"/>
  <c r="N149" i="150" s="1"/>
  <c r="X117" i="150"/>
  <c r="X149" i="150" s="1"/>
  <c r="W117" i="150"/>
  <c r="W149" i="150" s="1"/>
  <c r="P117" i="150"/>
  <c r="P149" i="150" s="1"/>
  <c r="M117" i="150"/>
  <c r="M149" i="150" s="1"/>
  <c r="U20" i="153"/>
  <c r="U90" i="153" s="1"/>
  <c r="U101" i="153" s="1"/>
  <c r="U130" i="153" s="1"/>
  <c r="U45" i="154" s="1"/>
  <c r="U84" i="154" s="1"/>
  <c r="U51" i="151"/>
  <c r="U74" i="151"/>
  <c r="U102" i="151" s="1"/>
  <c r="Q20" i="153"/>
  <c r="Q74" i="151"/>
  <c r="Q102" i="151" s="1"/>
  <c r="Q51" i="151"/>
  <c r="P51" i="151"/>
  <c r="P74" i="151"/>
  <c r="P102" i="151" s="1"/>
  <c r="P20" i="153"/>
  <c r="P53" i="151"/>
  <c r="P76" i="151"/>
  <c r="AV102" i="151" s="1"/>
  <c r="P22" i="153"/>
  <c r="U120" i="150"/>
  <c r="U152" i="150" s="1"/>
  <c r="Q120" i="150"/>
  <c r="Q152" i="150" s="1"/>
  <c r="Y120" i="150"/>
  <c r="Y152" i="150" s="1"/>
  <c r="S120" i="150"/>
  <c r="S152" i="150" s="1"/>
  <c r="N120" i="150"/>
  <c r="N152" i="150" s="1"/>
  <c r="W120" i="150"/>
  <c r="W152" i="150" s="1"/>
  <c r="V120" i="150"/>
  <c r="V152" i="150" s="1"/>
  <c r="O120" i="150"/>
  <c r="O152" i="150" s="1"/>
  <c r="M120" i="150"/>
  <c r="M152" i="150" s="1"/>
  <c r="K120" i="150"/>
  <c r="K152" i="150" s="1"/>
  <c r="X120" i="150"/>
  <c r="X152" i="150" s="1"/>
  <c r="T120" i="150"/>
  <c r="T152" i="150" s="1"/>
  <c r="R120" i="150"/>
  <c r="R152" i="150" s="1"/>
  <c r="P120" i="150"/>
  <c r="P152" i="150" s="1"/>
  <c r="N25" i="153"/>
  <c r="N95" i="153" s="1"/>
  <c r="N56" i="151"/>
  <c r="Q56" i="151"/>
  <c r="Q25" i="153"/>
  <c r="Q95" i="153" s="1"/>
  <c r="M74" i="151"/>
  <c r="M102" i="151" s="1"/>
  <c r="M20" i="153"/>
  <c r="M51" i="151"/>
  <c r="X52" i="151"/>
  <c r="X21" i="153"/>
  <c r="X91" i="153" s="1"/>
  <c r="X75" i="151"/>
  <c r="AN102" i="151" s="1"/>
  <c r="W26" i="153"/>
  <c r="W96" i="153" s="1"/>
  <c r="W107" i="153" s="1"/>
  <c r="W136" i="153" s="1"/>
  <c r="W51" i="154" s="1"/>
  <c r="W90" i="154" s="1"/>
  <c r="W57" i="151"/>
  <c r="T52" i="151"/>
  <c r="T21" i="153"/>
  <c r="T91" i="153" s="1"/>
  <c r="T75" i="151"/>
  <c r="AJ102" i="151" s="1"/>
  <c r="P26" i="153"/>
  <c r="P96" i="153" s="1"/>
  <c r="P57" i="151"/>
  <c r="Q53" i="151"/>
  <c r="Q22" i="153"/>
  <c r="Q76" i="151"/>
  <c r="AW102" i="151" s="1"/>
  <c r="W53" i="151"/>
  <c r="W22" i="153"/>
  <c r="W92" i="153" s="1"/>
  <c r="W103" i="153" s="1"/>
  <c r="W132" i="153" s="1"/>
  <c r="W47" i="154" s="1"/>
  <c r="W86" i="154" s="1"/>
  <c r="W76" i="151"/>
  <c r="BC102" i="151" s="1"/>
  <c r="P256" i="149"/>
  <c r="P24" i="151" s="1"/>
  <c r="M26" i="153"/>
  <c r="M96" i="153" s="1"/>
  <c r="M57" i="151"/>
  <c r="N76" i="151"/>
  <c r="AT102" i="151" s="1"/>
  <c r="N53" i="151"/>
  <c r="N22" i="153"/>
  <c r="L120" i="150"/>
  <c r="L152" i="150" s="1"/>
  <c r="J120" i="150"/>
  <c r="J152" i="150" s="1"/>
  <c r="J256" i="149"/>
  <c r="J24" i="151" s="1"/>
  <c r="L116" i="150"/>
  <c r="L148" i="150" s="1"/>
  <c r="J116" i="150"/>
  <c r="J148" i="150" s="1"/>
  <c r="U53" i="151"/>
  <c r="U22" i="153"/>
  <c r="U92" i="153" s="1"/>
  <c r="U103" i="153" s="1"/>
  <c r="U132" i="153" s="1"/>
  <c r="U47" i="154" s="1"/>
  <c r="U86" i="154" s="1"/>
  <c r="U76" i="151"/>
  <c r="BA102" i="151" s="1"/>
  <c r="L57" i="151"/>
  <c r="L26" i="153"/>
  <c r="L96" i="153" s="1"/>
  <c r="T51" i="151"/>
  <c r="T74" i="151"/>
  <c r="T102" i="151" s="1"/>
  <c r="T20" i="153"/>
  <c r="T90" i="153" s="1"/>
  <c r="O20" i="153"/>
  <c r="O51" i="151"/>
  <c r="O74" i="151"/>
  <c r="O102" i="151" s="1"/>
  <c r="Y52" i="151"/>
  <c r="Y75" i="151"/>
  <c r="AO102" i="151" s="1"/>
  <c r="Y21" i="153"/>
  <c r="Y91" i="153" s="1"/>
  <c r="Y102" i="153" s="1"/>
  <c r="Y131" i="153" s="1"/>
  <c r="Y46" i="154" s="1"/>
  <c r="Y85" i="154" s="1"/>
  <c r="K25" i="153"/>
  <c r="K95" i="153" s="1"/>
  <c r="K56" i="151"/>
  <c r="O56" i="151"/>
  <c r="O25" i="153"/>
  <c r="O95" i="153" s="1"/>
  <c r="L53" i="151"/>
  <c r="L76" i="151"/>
  <c r="AR102" i="151" s="1"/>
  <c r="L22" i="153"/>
  <c r="U52" i="151"/>
  <c r="U21" i="153"/>
  <c r="U91" i="153" s="1"/>
  <c r="U102" i="153" s="1"/>
  <c r="U131" i="153" s="1"/>
  <c r="U46" i="154" s="1"/>
  <c r="U85" i="154" s="1"/>
  <c r="U75" i="151"/>
  <c r="AK102" i="151" s="1"/>
  <c r="S51" i="151"/>
  <c r="S20" i="153"/>
  <c r="S90" i="153" s="1"/>
  <c r="S74" i="151"/>
  <c r="S102" i="151" s="1"/>
  <c r="X20" i="153"/>
  <c r="X90" i="153" s="1"/>
  <c r="X51" i="151"/>
  <c r="X74" i="151"/>
  <c r="X102" i="151" s="1"/>
  <c r="N20" i="153"/>
  <c r="N51" i="151"/>
  <c r="N74" i="151"/>
  <c r="N102" i="151" s="1"/>
  <c r="M256" i="149"/>
  <c r="M24" i="151" s="1"/>
  <c r="O26" i="153"/>
  <c r="O96" i="153" s="1"/>
  <c r="O57" i="151"/>
  <c r="S52" i="151"/>
  <c r="S75" i="151"/>
  <c r="AI102" i="151" s="1"/>
  <c r="S21" i="153"/>
  <c r="S91" i="153" s="1"/>
  <c r="J75" i="151"/>
  <c r="Z102" i="151" s="1"/>
  <c r="J21" i="153"/>
  <c r="J52" i="151"/>
  <c r="J121" i="150"/>
  <c r="J153" i="150" s="1"/>
  <c r="L121" i="150"/>
  <c r="L153" i="150" s="1"/>
  <c r="X57" i="151"/>
  <c r="X26" i="153"/>
  <c r="X96" i="153" s="1"/>
  <c r="L25" i="153"/>
  <c r="L95" i="153" s="1"/>
  <c r="L56" i="151"/>
  <c r="R26" i="153"/>
  <c r="R96" i="153" s="1"/>
  <c r="R57" i="151"/>
  <c r="K121" i="150"/>
  <c r="K153" i="150" s="1"/>
  <c r="W121" i="150"/>
  <c r="W153" i="150" s="1"/>
  <c r="S121" i="150"/>
  <c r="S153" i="150" s="1"/>
  <c r="M121" i="150"/>
  <c r="M153" i="150" s="1"/>
  <c r="R121" i="150"/>
  <c r="R153" i="150" s="1"/>
  <c r="X121" i="150"/>
  <c r="X153" i="150" s="1"/>
  <c r="P121" i="150"/>
  <c r="P153" i="150" s="1"/>
  <c r="N121" i="150"/>
  <c r="N153" i="150" s="1"/>
  <c r="V121" i="150"/>
  <c r="V153" i="150" s="1"/>
  <c r="O121" i="150"/>
  <c r="O153" i="150" s="1"/>
  <c r="Q121" i="150"/>
  <c r="Q153" i="150" s="1"/>
  <c r="U121" i="150"/>
  <c r="U153" i="150" s="1"/>
  <c r="T121" i="150"/>
  <c r="T153" i="150" s="1"/>
  <c r="Y121" i="150"/>
  <c r="Y153" i="150" s="1"/>
  <c r="U57" i="151"/>
  <c r="U26" i="153"/>
  <c r="U96" i="153" s="1"/>
  <c r="U107" i="153" s="1"/>
  <c r="U136" i="153" s="1"/>
  <c r="U51" i="154" s="1"/>
  <c r="U90" i="154" s="1"/>
  <c r="J115" i="150"/>
  <c r="J147" i="150" s="1"/>
  <c r="L115" i="150"/>
  <c r="L147" i="150" s="1"/>
  <c r="A4" i="145" l="1"/>
  <c r="J49" i="55"/>
  <c r="A4" i="148"/>
  <c r="J52" i="55"/>
  <c r="H56" i="151"/>
  <c r="L115" i="153"/>
  <c r="L144" i="153" s="1"/>
  <c r="L59" i="154" s="1"/>
  <c r="L99" i="154" s="1"/>
  <c r="L106" i="153"/>
  <c r="L135" i="153" s="1"/>
  <c r="L50" i="154" s="1"/>
  <c r="L89" i="154" s="1"/>
  <c r="L124" i="153"/>
  <c r="L153" i="153" s="1"/>
  <c r="L68" i="154" s="1"/>
  <c r="L109" i="154" s="1"/>
  <c r="S120" i="153"/>
  <c r="S149" i="153" s="1"/>
  <c r="S64" i="154" s="1"/>
  <c r="S105" i="154" s="1"/>
  <c r="S102" i="153"/>
  <c r="S131" i="153" s="1"/>
  <c r="S46" i="154" s="1"/>
  <c r="S85" i="154" s="1"/>
  <c r="O125" i="153"/>
  <c r="O154" i="153" s="1"/>
  <c r="O69" i="154" s="1"/>
  <c r="O110" i="154" s="1"/>
  <c r="O107" i="153"/>
  <c r="O136" i="153" s="1"/>
  <c r="O51" i="154" s="1"/>
  <c r="O90" i="154" s="1"/>
  <c r="K106" i="153"/>
  <c r="K135" i="153" s="1"/>
  <c r="K50" i="154" s="1"/>
  <c r="K89" i="154" s="1"/>
  <c r="K124" i="153"/>
  <c r="K153" i="153" s="1"/>
  <c r="K68" i="154" s="1"/>
  <c r="K109" i="154" s="1"/>
  <c r="K115" i="153"/>
  <c r="K144" i="153" s="1"/>
  <c r="K59" i="154" s="1"/>
  <c r="K99" i="154" s="1"/>
  <c r="M116" i="153"/>
  <c r="M145" i="153" s="1"/>
  <c r="M60" i="154" s="1"/>
  <c r="M100" i="154" s="1"/>
  <c r="M125" i="153"/>
  <c r="M154" i="153" s="1"/>
  <c r="M69" i="154" s="1"/>
  <c r="M110" i="154" s="1"/>
  <c r="M107" i="153"/>
  <c r="M136" i="153" s="1"/>
  <c r="M51" i="154" s="1"/>
  <c r="M90" i="154" s="1"/>
  <c r="X102" i="153"/>
  <c r="X131" i="153" s="1"/>
  <c r="X46" i="154" s="1"/>
  <c r="X85" i="154" s="1"/>
  <c r="X120" i="153"/>
  <c r="X149" i="153" s="1"/>
  <c r="X64" i="154" s="1"/>
  <c r="X105" i="154" s="1"/>
  <c r="N106" i="153"/>
  <c r="N135" i="153" s="1"/>
  <c r="N50" i="154" s="1"/>
  <c r="N89" i="154" s="1"/>
  <c r="N115" i="153"/>
  <c r="N144" i="153" s="1"/>
  <c r="N59" i="154" s="1"/>
  <c r="N99" i="154" s="1"/>
  <c r="N124" i="153"/>
  <c r="N153" i="153" s="1"/>
  <c r="N68" i="154" s="1"/>
  <c r="N109" i="154" s="1"/>
  <c r="K24" i="153"/>
  <c r="K94" i="153" s="1"/>
  <c r="K55" i="151"/>
  <c r="V101" i="153"/>
  <c r="V130" i="153" s="1"/>
  <c r="V45" i="154" s="1"/>
  <c r="V84" i="154" s="1"/>
  <c r="V119" i="153"/>
  <c r="V148" i="153" s="1"/>
  <c r="V63" i="154" s="1"/>
  <c r="V104" i="154" s="1"/>
  <c r="X125" i="153"/>
  <c r="X154" i="153" s="1"/>
  <c r="X69" i="154" s="1"/>
  <c r="X110" i="154" s="1"/>
  <c r="X107" i="153"/>
  <c r="X136" i="153" s="1"/>
  <c r="X51" i="154" s="1"/>
  <c r="X90" i="154" s="1"/>
  <c r="H52" i="151"/>
  <c r="M24" i="153"/>
  <c r="M94" i="153" s="1"/>
  <c r="M55" i="151"/>
  <c r="S101" i="153"/>
  <c r="S130" i="153" s="1"/>
  <c r="S45" i="154" s="1"/>
  <c r="S84" i="154" s="1"/>
  <c r="S119" i="153"/>
  <c r="S148" i="153" s="1"/>
  <c r="S63" i="154" s="1"/>
  <c r="S104" i="154" s="1"/>
  <c r="O124" i="153"/>
  <c r="O153" i="153" s="1"/>
  <c r="O68" i="154" s="1"/>
  <c r="O109" i="154" s="1"/>
  <c r="O106" i="153"/>
  <c r="O135" i="153" s="1"/>
  <c r="O50" i="154" s="1"/>
  <c r="O89" i="154" s="1"/>
  <c r="J24" i="153"/>
  <c r="J94" i="153" s="1"/>
  <c r="J55" i="151"/>
  <c r="P55" i="151"/>
  <c r="P24" i="153"/>
  <c r="P94" i="153" s="1"/>
  <c r="P125" i="153"/>
  <c r="P154" i="153" s="1"/>
  <c r="P69" i="154" s="1"/>
  <c r="P110" i="154" s="1"/>
  <c r="P107" i="153"/>
  <c r="P136" i="153" s="1"/>
  <c r="P51" i="154" s="1"/>
  <c r="P90" i="154" s="1"/>
  <c r="Q106" i="153"/>
  <c r="Q135" i="153" s="1"/>
  <c r="Q50" i="154" s="1"/>
  <c r="Q89" i="154" s="1"/>
  <c r="Q124" i="153"/>
  <c r="Q153" i="153" s="1"/>
  <c r="Q68" i="154" s="1"/>
  <c r="Q109" i="154" s="1"/>
  <c r="Q115" i="153"/>
  <c r="Q144" i="153" s="1"/>
  <c r="Q59" i="154" s="1"/>
  <c r="Q99" i="154" s="1"/>
  <c r="O24" i="153"/>
  <c r="O94" i="153" s="1"/>
  <c r="O55" i="151"/>
  <c r="L161" i="150"/>
  <c r="L23" i="151" s="1"/>
  <c r="N107" i="153"/>
  <c r="N136" i="153" s="1"/>
  <c r="N51" i="154" s="1"/>
  <c r="N90" i="154" s="1"/>
  <c r="N116" i="153"/>
  <c r="N145" i="153" s="1"/>
  <c r="N60" i="154" s="1"/>
  <c r="N100" i="154" s="1"/>
  <c r="N125" i="153"/>
  <c r="N154" i="153" s="1"/>
  <c r="N69" i="154" s="1"/>
  <c r="N110" i="154" s="1"/>
  <c r="T125" i="153"/>
  <c r="T154" i="153" s="1"/>
  <c r="T69" i="154" s="1"/>
  <c r="T110" i="154" s="1"/>
  <c r="T107" i="153"/>
  <c r="T136" i="153" s="1"/>
  <c r="T51" i="154" s="1"/>
  <c r="T90" i="154" s="1"/>
  <c r="T116" i="153"/>
  <c r="T145" i="153" s="1"/>
  <c r="T60" i="154" s="1"/>
  <c r="T100" i="154" s="1"/>
  <c r="H53" i="151"/>
  <c r="J124" i="153"/>
  <c r="J153" i="153" s="1"/>
  <c r="J68" i="154" s="1"/>
  <c r="J109" i="154" s="1"/>
  <c r="J106" i="153"/>
  <c r="J135" i="153" s="1"/>
  <c r="J50" i="154" s="1"/>
  <c r="J89" i="154" s="1"/>
  <c r="J115" i="153"/>
  <c r="J144" i="153" s="1"/>
  <c r="J59" i="154" s="1"/>
  <c r="J99" i="154" s="1"/>
  <c r="S103" i="153"/>
  <c r="S132" i="153" s="1"/>
  <c r="S47" i="154" s="1"/>
  <c r="S86" i="154" s="1"/>
  <c r="S121" i="153"/>
  <c r="S150" i="153" s="1"/>
  <c r="S65" i="154" s="1"/>
  <c r="S106" i="154" s="1"/>
  <c r="M124" i="153"/>
  <c r="M153" i="153" s="1"/>
  <c r="M68" i="154" s="1"/>
  <c r="M109" i="154" s="1"/>
  <c r="M115" i="153"/>
  <c r="M144" i="153" s="1"/>
  <c r="M59" i="154" s="1"/>
  <c r="M99" i="154" s="1"/>
  <c r="M106" i="153"/>
  <c r="M135" i="153" s="1"/>
  <c r="M50" i="154" s="1"/>
  <c r="M89" i="154" s="1"/>
  <c r="P106" i="153"/>
  <c r="P135" i="153" s="1"/>
  <c r="P50" i="154" s="1"/>
  <c r="P89" i="154" s="1"/>
  <c r="P124" i="153"/>
  <c r="P153" i="153" s="1"/>
  <c r="P68" i="154" s="1"/>
  <c r="P109" i="154" s="1"/>
  <c r="T161" i="150"/>
  <c r="T23" i="151" s="1"/>
  <c r="K161" i="150"/>
  <c r="K23" i="151" s="1"/>
  <c r="V161" i="150"/>
  <c r="V23" i="151" s="1"/>
  <c r="W161" i="150"/>
  <c r="W23" i="151" s="1"/>
  <c r="H291" i="149" a="1"/>
  <c r="H291" i="149" s="1"/>
  <c r="H295" i="149" s="1"/>
  <c r="R107" i="153"/>
  <c r="R136" i="153" s="1"/>
  <c r="R51" i="154" s="1"/>
  <c r="R90" i="154" s="1"/>
  <c r="R125" i="153"/>
  <c r="R154" i="153" s="1"/>
  <c r="R69" i="154" s="1"/>
  <c r="R110" i="154" s="1"/>
  <c r="R116" i="153"/>
  <c r="R145" i="153" s="1"/>
  <c r="R60" i="154" s="1"/>
  <c r="R100" i="154" s="1"/>
  <c r="L116" i="153"/>
  <c r="L145" i="153" s="1"/>
  <c r="L60" i="154" s="1"/>
  <c r="L100" i="154" s="1"/>
  <c r="L125" i="153"/>
  <c r="L154" i="153" s="1"/>
  <c r="L69" i="154" s="1"/>
  <c r="L110" i="154" s="1"/>
  <c r="L107" i="153"/>
  <c r="L136" i="153" s="1"/>
  <c r="L51" i="154" s="1"/>
  <c r="L90" i="154" s="1"/>
  <c r="H57" i="151"/>
  <c r="J161" i="150"/>
  <c r="J23" i="151" s="1"/>
  <c r="V103" i="153"/>
  <c r="V132" i="153" s="1"/>
  <c r="V47" i="154" s="1"/>
  <c r="V86" i="154" s="1"/>
  <c r="V121" i="153"/>
  <c r="V150" i="153" s="1"/>
  <c r="V65" i="154" s="1"/>
  <c r="V106" i="154" s="1"/>
  <c r="Q116" i="153"/>
  <c r="Q145" i="153" s="1"/>
  <c r="Q60" i="154" s="1"/>
  <c r="Q100" i="154" s="1"/>
  <c r="Q125" i="153"/>
  <c r="Q154" i="153" s="1"/>
  <c r="Q69" i="154" s="1"/>
  <c r="Q110" i="154" s="1"/>
  <c r="Q107" i="153"/>
  <c r="Q136" i="153" s="1"/>
  <c r="Q51" i="154" s="1"/>
  <c r="Q90" i="154" s="1"/>
  <c r="V120" i="153"/>
  <c r="V149" i="153" s="1"/>
  <c r="V64" i="154" s="1"/>
  <c r="V105" i="154" s="1"/>
  <c r="V102" i="153"/>
  <c r="V131" i="153" s="1"/>
  <c r="V46" i="154" s="1"/>
  <c r="V85" i="154" s="1"/>
  <c r="X103" i="153"/>
  <c r="X132" i="153" s="1"/>
  <c r="X47" i="154" s="1"/>
  <c r="X86" i="154" s="1"/>
  <c r="X121" i="153"/>
  <c r="X150" i="153" s="1"/>
  <c r="X65" i="154" s="1"/>
  <c r="X106" i="154" s="1"/>
  <c r="S161" i="150"/>
  <c r="S23" i="151" s="1"/>
  <c r="O161" i="150"/>
  <c r="O23" i="151" s="1"/>
  <c r="N161" i="150"/>
  <c r="N23" i="151" s="1"/>
  <c r="P161" i="150"/>
  <c r="P23" i="151" s="1"/>
  <c r="V107" i="153"/>
  <c r="V136" i="153" s="1"/>
  <c r="V51" i="154" s="1"/>
  <c r="V90" i="154" s="1"/>
  <c r="V125" i="153"/>
  <c r="V154" i="153" s="1"/>
  <c r="V69" i="154" s="1"/>
  <c r="V110" i="154" s="1"/>
  <c r="N24" i="153"/>
  <c r="N94" i="153" s="1"/>
  <c r="N55" i="151"/>
  <c r="J20" i="153"/>
  <c r="J51" i="151"/>
  <c r="H51" i="151" s="1"/>
  <c r="J74" i="151"/>
  <c r="J102" i="151" s="1"/>
  <c r="AD109" i="151" s="1"/>
  <c r="K125" i="153"/>
  <c r="K154" i="153" s="1"/>
  <c r="K69" i="154" s="1"/>
  <c r="K110" i="154" s="1"/>
  <c r="K116" i="153"/>
  <c r="K145" i="153" s="1"/>
  <c r="K60" i="154" s="1"/>
  <c r="K100" i="154" s="1"/>
  <c r="K107" i="153"/>
  <c r="K136" i="153" s="1"/>
  <c r="K51" i="154" s="1"/>
  <c r="K90" i="154" s="1"/>
  <c r="Y161" i="150"/>
  <c r="Y23" i="151" s="1"/>
  <c r="R161" i="150"/>
  <c r="R23" i="151" s="1"/>
  <c r="U161" i="150"/>
  <c r="U23" i="151" s="1"/>
  <c r="X101" i="153"/>
  <c r="X130" i="153" s="1"/>
  <c r="X45" i="154" s="1"/>
  <c r="X84" i="154" s="1"/>
  <c r="X119" i="153"/>
  <c r="X148" i="153" s="1"/>
  <c r="X63" i="154" s="1"/>
  <c r="X104" i="154" s="1"/>
  <c r="T119" i="153"/>
  <c r="T148" i="153" s="1"/>
  <c r="T63" i="154" s="1"/>
  <c r="T104" i="154" s="1"/>
  <c r="T101" i="153"/>
  <c r="T130" i="153" s="1"/>
  <c r="T45" i="154" s="1"/>
  <c r="T84" i="154" s="1"/>
  <c r="T110" i="153"/>
  <c r="T139" i="153" s="1"/>
  <c r="T54" i="154" s="1"/>
  <c r="T94" i="154" s="1"/>
  <c r="T102" i="153"/>
  <c r="T131" i="153" s="1"/>
  <c r="T46" i="154" s="1"/>
  <c r="T85" i="154" s="1"/>
  <c r="T111" i="153"/>
  <c r="T140" i="153" s="1"/>
  <c r="T55" i="154" s="1"/>
  <c r="T95" i="154" s="1"/>
  <c r="T120" i="153"/>
  <c r="T149" i="153" s="1"/>
  <c r="T64" i="154" s="1"/>
  <c r="T105" i="154" s="1"/>
  <c r="J107" i="153"/>
  <c r="J136" i="153" s="1"/>
  <c r="J51" i="154" s="1"/>
  <c r="J90" i="154" s="1"/>
  <c r="J125" i="153"/>
  <c r="J154" i="153" s="1"/>
  <c r="J69" i="154" s="1"/>
  <c r="J110" i="154" s="1"/>
  <c r="J116" i="153"/>
  <c r="J145" i="153" s="1"/>
  <c r="J60" i="154" s="1"/>
  <c r="J100" i="154" s="1"/>
  <c r="R110" i="153"/>
  <c r="R139" i="153" s="1"/>
  <c r="R54" i="154" s="1"/>
  <c r="R94" i="154" s="1"/>
  <c r="R119" i="153"/>
  <c r="R148" i="153" s="1"/>
  <c r="R63" i="154" s="1"/>
  <c r="R104" i="154" s="1"/>
  <c r="R101" i="153"/>
  <c r="R130" i="153" s="1"/>
  <c r="R45" i="154" s="1"/>
  <c r="R84" i="154" s="1"/>
  <c r="R103" i="153"/>
  <c r="R132" i="153" s="1"/>
  <c r="R47" i="154" s="1"/>
  <c r="R86" i="154" s="1"/>
  <c r="R121" i="153"/>
  <c r="R150" i="153" s="1"/>
  <c r="R65" i="154" s="1"/>
  <c r="R106" i="154" s="1"/>
  <c r="R112" i="153"/>
  <c r="R141" i="153" s="1"/>
  <c r="R56" i="154" s="1"/>
  <c r="R96" i="154" s="1"/>
  <c r="L24" i="153"/>
  <c r="L94" i="153" s="1"/>
  <c r="L55" i="151"/>
  <c r="R111" i="153"/>
  <c r="R140" i="153" s="1"/>
  <c r="R55" i="154" s="1"/>
  <c r="R95" i="154" s="1"/>
  <c r="R120" i="153"/>
  <c r="R149" i="153" s="1"/>
  <c r="R64" i="154" s="1"/>
  <c r="R105" i="154" s="1"/>
  <c r="R102" i="153"/>
  <c r="R131" i="153" s="1"/>
  <c r="R46" i="154" s="1"/>
  <c r="R85" i="154" s="1"/>
  <c r="Q24" i="153"/>
  <c r="Q94" i="153" s="1"/>
  <c r="Q55" i="151"/>
  <c r="H223" i="147" a="1"/>
  <c r="H223" i="147" s="1"/>
  <c r="AL109" i="151"/>
  <c r="M161" i="150"/>
  <c r="M23" i="151" s="1"/>
  <c r="Q161" i="150"/>
  <c r="Q23" i="151" s="1"/>
  <c r="X161" i="150"/>
  <c r="X23" i="151" s="1"/>
  <c r="T121" i="153"/>
  <c r="T150" i="153" s="1"/>
  <c r="T65" i="154" s="1"/>
  <c r="T106" i="154" s="1"/>
  <c r="T103" i="153"/>
  <c r="T132" i="153" s="1"/>
  <c r="T47" i="154" s="1"/>
  <c r="T86" i="154" s="1"/>
  <c r="T112" i="153"/>
  <c r="T141" i="153" s="1"/>
  <c r="T56" i="154" s="1"/>
  <c r="T96" i="154" s="1"/>
  <c r="A4" i="149" l="1"/>
  <c r="J53" i="55"/>
  <c r="A4" i="147"/>
  <c r="J51" i="55"/>
  <c r="H110" i="154"/>
  <c r="AA109" i="151"/>
  <c r="Q109" i="151"/>
  <c r="N109" i="151"/>
  <c r="AB109" i="151"/>
  <c r="U109" i="151"/>
  <c r="BD109" i="151"/>
  <c r="H109" i="154"/>
  <c r="AX109" i="151"/>
  <c r="AE109" i="151"/>
  <c r="AQ109" i="151"/>
  <c r="T109" i="151"/>
  <c r="S109" i="151"/>
  <c r="H165" i="150" a="1"/>
  <c r="H165" i="150" s="1"/>
  <c r="K114" i="153"/>
  <c r="K143" i="153" s="1"/>
  <c r="K58" i="154" s="1"/>
  <c r="K98" i="154" s="1"/>
  <c r="K123" i="153"/>
  <c r="K152" i="153" s="1"/>
  <c r="K67" i="154" s="1"/>
  <c r="K108" i="154" s="1"/>
  <c r="K105" i="153"/>
  <c r="K134" i="153" s="1"/>
  <c r="K49" i="154" s="1"/>
  <c r="K88" i="154" s="1"/>
  <c r="M123" i="153"/>
  <c r="M152" i="153" s="1"/>
  <c r="M67" i="154" s="1"/>
  <c r="M108" i="154" s="1"/>
  <c r="M114" i="153"/>
  <c r="M143" i="153" s="1"/>
  <c r="M58" i="154" s="1"/>
  <c r="M98" i="154" s="1"/>
  <c r="M105" i="153"/>
  <c r="M134" i="153" s="1"/>
  <c r="M49" i="154" s="1"/>
  <c r="M88" i="154" s="1"/>
  <c r="H90" i="154"/>
  <c r="M109" i="151"/>
  <c r="J109" i="151"/>
  <c r="S23" i="153"/>
  <c r="S93" i="153" s="1"/>
  <c r="S54" i="151"/>
  <c r="S58" i="151" s="1"/>
  <c r="J54" i="151"/>
  <c r="J23" i="153"/>
  <c r="J93" i="153" s="1"/>
  <c r="J122" i="153" s="1"/>
  <c r="J151" i="153" s="1"/>
  <c r="J66" i="154" s="1"/>
  <c r="J107" i="154" s="1"/>
  <c r="AJ109" i="151"/>
  <c r="T54" i="151"/>
  <c r="T58" i="151" s="1"/>
  <c r="T23" i="153"/>
  <c r="T93" i="153" s="1"/>
  <c r="AW109" i="151"/>
  <c r="J114" i="153"/>
  <c r="J143" i="153" s="1"/>
  <c r="J58" i="154" s="1"/>
  <c r="J98" i="154" s="1"/>
  <c r="J105" i="153"/>
  <c r="J134" i="153" s="1"/>
  <c r="J49" i="154" s="1"/>
  <c r="J88" i="154" s="1"/>
  <c r="J123" i="153"/>
  <c r="J152" i="153" s="1"/>
  <c r="J67" i="154" s="1"/>
  <c r="J108" i="154" s="1"/>
  <c r="AI109" i="151"/>
  <c r="Q105" i="153"/>
  <c r="Q134" i="153" s="1"/>
  <c r="Q49" i="154" s="1"/>
  <c r="Q88" i="154" s="1"/>
  <c r="Q114" i="153"/>
  <c r="Q143" i="153" s="1"/>
  <c r="Q58" i="154" s="1"/>
  <c r="Q98" i="154" s="1"/>
  <c r="Q123" i="153"/>
  <c r="Q152" i="153" s="1"/>
  <c r="Q67" i="154" s="1"/>
  <c r="Q108" i="154" s="1"/>
  <c r="X109" i="151"/>
  <c r="BB109" i="151"/>
  <c r="AV109" i="151"/>
  <c r="X54" i="151"/>
  <c r="X58" i="151" s="1"/>
  <c r="X23" i="153"/>
  <c r="X93" i="153" s="1"/>
  <c r="R54" i="151"/>
  <c r="R58" i="151" s="1"/>
  <c r="R23" i="153"/>
  <c r="R93" i="153" s="1"/>
  <c r="O54" i="151"/>
  <c r="O58" i="151" s="1"/>
  <c r="O23" i="153"/>
  <c r="O93" i="153" s="1"/>
  <c r="K23" i="153"/>
  <c r="K93" i="153" s="1"/>
  <c r="K54" i="151"/>
  <c r="K58" i="151" s="1"/>
  <c r="L54" i="151"/>
  <c r="L58" i="151" s="1"/>
  <c r="L23" i="153"/>
  <c r="L93" i="153" s="1"/>
  <c r="H55" i="151"/>
  <c r="Q54" i="151"/>
  <c r="Q58" i="151" s="1"/>
  <c r="Q23" i="153"/>
  <c r="Q93" i="153" s="1"/>
  <c r="Y54" i="151"/>
  <c r="Y58" i="151" s="1"/>
  <c r="Y23" i="153"/>
  <c r="Y93" i="153" s="1"/>
  <c r="Y104" i="153" s="1"/>
  <c r="Y133" i="153" s="1"/>
  <c r="Y48" i="154" s="1"/>
  <c r="Y87" i="154" s="1"/>
  <c r="Y91" i="154" s="1"/>
  <c r="N114" i="153"/>
  <c r="N143" i="153" s="1"/>
  <c r="N58" i="154" s="1"/>
  <c r="N98" i="154" s="1"/>
  <c r="N123" i="153"/>
  <c r="N152" i="153" s="1"/>
  <c r="N67" i="154" s="1"/>
  <c r="N108" i="154" s="1"/>
  <c r="N105" i="153"/>
  <c r="N134" i="153" s="1"/>
  <c r="N49" i="154" s="1"/>
  <c r="N88" i="154" s="1"/>
  <c r="O109" i="151"/>
  <c r="AY109" i="151"/>
  <c r="AZ109" i="151"/>
  <c r="W109" i="151"/>
  <c r="M23" i="153"/>
  <c r="M93" i="153" s="1"/>
  <c r="M54" i="151"/>
  <c r="M58" i="151" s="1"/>
  <c r="AU109" i="151"/>
  <c r="L109" i="151"/>
  <c r="P109" i="151"/>
  <c r="AR109" i="151"/>
  <c r="Z109" i="151"/>
  <c r="P54" i="151"/>
  <c r="P58" i="151" s="1"/>
  <c r="P23" i="153"/>
  <c r="P93" i="153" s="1"/>
  <c r="V109" i="151"/>
  <c r="AH109" i="151"/>
  <c r="K109" i="151"/>
  <c r="BC109" i="151"/>
  <c r="W54" i="151"/>
  <c r="W58" i="151" s="1"/>
  <c r="W23" i="153"/>
  <c r="W93" i="153" s="1"/>
  <c r="W104" i="153" s="1"/>
  <c r="W133" i="153" s="1"/>
  <c r="W48" i="154" s="1"/>
  <c r="W87" i="154" s="1"/>
  <c r="W91" i="154" s="1"/>
  <c r="H99" i="154"/>
  <c r="Y109" i="151"/>
  <c r="P105" i="153"/>
  <c r="P134" i="153" s="1"/>
  <c r="P49" i="154" s="1"/>
  <c r="P88" i="154" s="1"/>
  <c r="P123" i="153"/>
  <c r="P152" i="153" s="1"/>
  <c r="P67" i="154" s="1"/>
  <c r="P108" i="154" s="1"/>
  <c r="AC109" i="151"/>
  <c r="AS109" i="151"/>
  <c r="AG109" i="151"/>
  <c r="L123" i="153"/>
  <c r="L152" i="153" s="1"/>
  <c r="L67" i="154" s="1"/>
  <c r="L108" i="154" s="1"/>
  <c r="L114" i="153"/>
  <c r="L143" i="153" s="1"/>
  <c r="L58" i="154" s="1"/>
  <c r="L98" i="154" s="1"/>
  <c r="L105" i="153"/>
  <c r="L134" i="153" s="1"/>
  <c r="L49" i="154" s="1"/>
  <c r="L88" i="154" s="1"/>
  <c r="H100" i="154"/>
  <c r="AN109" i="151"/>
  <c r="AK109" i="151"/>
  <c r="U54" i="151"/>
  <c r="U58" i="151" s="1"/>
  <c r="U23" i="153"/>
  <c r="U93" i="153" s="1"/>
  <c r="U104" i="153" s="1"/>
  <c r="U133" i="153" s="1"/>
  <c r="U48" i="154" s="1"/>
  <c r="U87" i="154" s="1"/>
  <c r="U91" i="154" s="1"/>
  <c r="N54" i="151"/>
  <c r="N58" i="151" s="1"/>
  <c r="N23" i="153"/>
  <c r="N93" i="153" s="1"/>
  <c r="AP109" i="151"/>
  <c r="AF109" i="151"/>
  <c r="AT109" i="151"/>
  <c r="AO109" i="151"/>
  <c r="V23" i="153"/>
  <c r="V93" i="153" s="1"/>
  <c r="V54" i="151"/>
  <c r="V58" i="151" s="1"/>
  <c r="H89" i="154"/>
  <c r="AM109" i="151"/>
  <c r="R109" i="151"/>
  <c r="O105" i="153"/>
  <c r="O134" i="153" s="1"/>
  <c r="O49" i="154" s="1"/>
  <c r="O88" i="154" s="1"/>
  <c r="O123" i="153"/>
  <c r="O152" i="153" s="1"/>
  <c r="O67" i="154" s="1"/>
  <c r="O108" i="154" s="1"/>
  <c r="BE109" i="151"/>
  <c r="BA109" i="151"/>
  <c r="A4" i="150" l="1"/>
  <c r="J54" i="55"/>
  <c r="J104" i="153"/>
  <c r="J133" i="153" s="1"/>
  <c r="J48" i="154" s="1"/>
  <c r="J87" i="154" s="1"/>
  <c r="J113" i="153"/>
  <c r="J142" i="153" s="1"/>
  <c r="J57" i="154" s="1"/>
  <c r="J97" i="154" s="1"/>
  <c r="BA110" i="151"/>
  <c r="R110" i="151"/>
  <c r="N110" i="151"/>
  <c r="H98" i="154"/>
  <c r="AX110" i="151"/>
  <c r="P110" i="151"/>
  <c r="M122" i="153"/>
  <c r="M151" i="153" s="1"/>
  <c r="M66" i="154" s="1"/>
  <c r="M107" i="154" s="1"/>
  <c r="M113" i="153"/>
  <c r="M142" i="153" s="1"/>
  <c r="M57" i="154" s="1"/>
  <c r="M97" i="154" s="1"/>
  <c r="M104" i="153"/>
  <c r="M133" i="153" s="1"/>
  <c r="M48" i="154" s="1"/>
  <c r="M87" i="154" s="1"/>
  <c r="U110" i="151"/>
  <c r="AL110" i="151"/>
  <c r="AP110" i="151"/>
  <c r="AS110" i="151"/>
  <c r="BC110" i="151"/>
  <c r="X104" i="153"/>
  <c r="X133" i="153" s="1"/>
  <c r="X48" i="154" s="1"/>
  <c r="X87" i="154" s="1"/>
  <c r="X91" i="154" s="1"/>
  <c r="X128" i="154" s="1"/>
  <c r="X122" i="153"/>
  <c r="X151" i="153" s="1"/>
  <c r="X66" i="154" s="1"/>
  <c r="X107" i="154" s="1"/>
  <c r="X111" i="154" s="1"/>
  <c r="S122" i="153"/>
  <c r="S151" i="153" s="1"/>
  <c r="S66" i="154" s="1"/>
  <c r="S107" i="154" s="1"/>
  <c r="S111" i="154" s="1"/>
  <c r="S104" i="153"/>
  <c r="S133" i="153" s="1"/>
  <c r="S48" i="154" s="1"/>
  <c r="S87" i="154" s="1"/>
  <c r="S91" i="154" s="1"/>
  <c r="S128" i="154" s="1"/>
  <c r="AM110" i="151"/>
  <c r="K110" i="151"/>
  <c r="T110" i="151"/>
  <c r="Q110" i="151"/>
  <c r="AW110" i="151"/>
  <c r="AQ110" i="151"/>
  <c r="AT110" i="151"/>
  <c r="AN110" i="151"/>
  <c r="AH110" i="151"/>
  <c r="Z110" i="151"/>
  <c r="AU110" i="151"/>
  <c r="AZ110" i="151"/>
  <c r="Q113" i="153"/>
  <c r="Q142" i="153" s="1"/>
  <c r="Q57" i="154" s="1"/>
  <c r="Q97" i="154" s="1"/>
  <c r="Q104" i="153"/>
  <c r="Q133" i="153" s="1"/>
  <c r="Q48" i="154" s="1"/>
  <c r="Q87" i="154" s="1"/>
  <c r="Q122" i="153"/>
  <c r="Q151" i="153" s="1"/>
  <c r="Q66" i="154" s="1"/>
  <c r="Q107" i="154" s="1"/>
  <c r="O104" i="153"/>
  <c r="O133" i="153" s="1"/>
  <c r="O48" i="154" s="1"/>
  <c r="O87" i="154" s="1"/>
  <c r="O122" i="153"/>
  <c r="O151" i="153" s="1"/>
  <c r="O66" i="154" s="1"/>
  <c r="O107" i="154" s="1"/>
  <c r="AA110" i="151"/>
  <c r="H108" i="154"/>
  <c r="T104" i="153"/>
  <c r="T133" i="153" s="1"/>
  <c r="T48" i="154" s="1"/>
  <c r="T87" i="154" s="1"/>
  <c r="T91" i="154" s="1"/>
  <c r="T128" i="154" s="1"/>
  <c r="T113" i="153"/>
  <c r="T142" i="153" s="1"/>
  <c r="T57" i="154" s="1"/>
  <c r="T97" i="154" s="1"/>
  <c r="T101" i="154" s="1"/>
  <c r="T122" i="153"/>
  <c r="T151" i="153" s="1"/>
  <c r="T66" i="154" s="1"/>
  <c r="T107" i="154" s="1"/>
  <c r="T111" i="154" s="1"/>
  <c r="J58" i="151"/>
  <c r="H58" i="151" s="1"/>
  <c r="AB119" i="151"/>
  <c r="AN119" i="151"/>
  <c r="AI119" i="151"/>
  <c r="K119" i="151"/>
  <c r="T119" i="151"/>
  <c r="BA119" i="151"/>
  <c r="AX119" i="151"/>
  <c r="O119" i="151"/>
  <c r="BC119" i="151"/>
  <c r="Z119" i="151"/>
  <c r="AA119" i="151"/>
  <c r="X119" i="151"/>
  <c r="BD119" i="151"/>
  <c r="L119" i="151"/>
  <c r="AO119" i="151"/>
  <c r="Q119" i="151"/>
  <c r="U119" i="151"/>
  <c r="AF119" i="151"/>
  <c r="BB119" i="151"/>
  <c r="AR119" i="151"/>
  <c r="M119" i="151"/>
  <c r="AS119" i="151"/>
  <c r="AP119" i="151"/>
  <c r="BE119" i="151"/>
  <c r="Y119" i="151"/>
  <c r="AT119" i="151"/>
  <c r="AV119" i="151"/>
  <c r="AH119" i="151"/>
  <c r="AD119" i="151"/>
  <c r="AE119" i="151"/>
  <c r="W119" i="151"/>
  <c r="AC119" i="151"/>
  <c r="AU119" i="151"/>
  <c r="R119" i="151"/>
  <c r="H54" i="151"/>
  <c r="AK119" i="151"/>
  <c r="AJ119" i="151"/>
  <c r="AZ119" i="151"/>
  <c r="P119" i="151"/>
  <c r="V119" i="151"/>
  <c r="AW119" i="151"/>
  <c r="N119" i="151"/>
  <c r="AM119" i="151"/>
  <c r="AQ119" i="151"/>
  <c r="AL119" i="151"/>
  <c r="AY119" i="151"/>
  <c r="AG119" i="151"/>
  <c r="S119" i="151"/>
  <c r="J119" i="151"/>
  <c r="J121" i="151" s="1"/>
  <c r="M110" i="151"/>
  <c r="V122" i="153"/>
  <c r="V151" i="153" s="1"/>
  <c r="V66" i="154" s="1"/>
  <c r="V107" i="154" s="1"/>
  <c r="V111" i="154" s="1"/>
  <c r="V104" i="153"/>
  <c r="V133" i="153" s="1"/>
  <c r="V48" i="154" s="1"/>
  <c r="V87" i="154" s="1"/>
  <c r="V91" i="154" s="1"/>
  <c r="V128" i="154" s="1"/>
  <c r="Y110" i="151"/>
  <c r="P104" i="153"/>
  <c r="P133" i="153" s="1"/>
  <c r="P48" i="154" s="1"/>
  <c r="P87" i="154" s="1"/>
  <c r="P122" i="153"/>
  <c r="P151" i="153" s="1"/>
  <c r="P66" i="154" s="1"/>
  <c r="P107" i="154" s="1"/>
  <c r="O110" i="151"/>
  <c r="S110" i="151"/>
  <c r="BB110" i="151"/>
  <c r="AJ110" i="151"/>
  <c r="BE110" i="151"/>
  <c r="AO110" i="151"/>
  <c r="N113" i="153"/>
  <c r="N142" i="153" s="1"/>
  <c r="N57" i="154" s="1"/>
  <c r="N97" i="154" s="1"/>
  <c r="N104" i="153"/>
  <c r="N133" i="153" s="1"/>
  <c r="N48" i="154" s="1"/>
  <c r="N87" i="154" s="1"/>
  <c r="N122" i="153"/>
  <c r="N151" i="153" s="1"/>
  <c r="N66" i="154" s="1"/>
  <c r="N107" i="154" s="1"/>
  <c r="AK110" i="151"/>
  <c r="AC110" i="151"/>
  <c r="L110" i="151"/>
  <c r="W110" i="151"/>
  <c r="AE110" i="151"/>
  <c r="R104" i="153"/>
  <c r="R133" i="153" s="1"/>
  <c r="R48" i="154" s="1"/>
  <c r="R87" i="154" s="1"/>
  <c r="R91" i="154" s="1"/>
  <c r="R128" i="154" s="1"/>
  <c r="R122" i="153"/>
  <c r="R151" i="153" s="1"/>
  <c r="R66" i="154" s="1"/>
  <c r="R107" i="154" s="1"/>
  <c r="R111" i="154" s="1"/>
  <c r="R130" i="154" s="1"/>
  <c r="R113" i="153"/>
  <c r="R142" i="153" s="1"/>
  <c r="R57" i="154" s="1"/>
  <c r="R97" i="154" s="1"/>
  <c r="R101" i="154" s="1"/>
  <c r="R129" i="154" s="1"/>
  <c r="X110" i="151"/>
  <c r="AI110" i="151"/>
  <c r="J110" i="151"/>
  <c r="BD110" i="151"/>
  <c r="AF110" i="151"/>
  <c r="AG110" i="151"/>
  <c r="V110" i="151"/>
  <c r="AR110" i="151"/>
  <c r="AY110" i="151"/>
  <c r="L122" i="153"/>
  <c r="L151" i="153" s="1"/>
  <c r="L66" i="154" s="1"/>
  <c r="L107" i="154" s="1"/>
  <c r="L113" i="153"/>
  <c r="L142" i="153" s="1"/>
  <c r="L57" i="154" s="1"/>
  <c r="L97" i="154" s="1"/>
  <c r="L104" i="153"/>
  <c r="L133" i="153" s="1"/>
  <c r="L48" i="154" s="1"/>
  <c r="L87" i="154" s="1"/>
  <c r="K113" i="153"/>
  <c r="K142" i="153" s="1"/>
  <c r="K57" i="154" s="1"/>
  <c r="K97" i="154" s="1"/>
  <c r="K104" i="153"/>
  <c r="K133" i="153" s="1"/>
  <c r="K48" i="154" s="1"/>
  <c r="K87" i="154" s="1"/>
  <c r="K122" i="153"/>
  <c r="K151" i="153" s="1"/>
  <c r="K66" i="154" s="1"/>
  <c r="K107" i="154" s="1"/>
  <c r="AB110" i="151"/>
  <c r="AV110" i="151"/>
  <c r="H88" i="154"/>
  <c r="AD110" i="151"/>
  <c r="AD111" i="151" l="1"/>
  <c r="H107" i="154"/>
  <c r="AX111" i="151"/>
  <c r="H87" i="154"/>
  <c r="H97" i="154"/>
  <c r="AB111" i="151"/>
  <c r="AV111" i="151"/>
  <c r="AY111" i="151"/>
  <c r="AF111" i="151"/>
  <c r="X111" i="151"/>
  <c r="AE111" i="151"/>
  <c r="AK111" i="151"/>
  <c r="AO111" i="151"/>
  <c r="S111" i="151"/>
  <c r="Y111" i="151"/>
  <c r="M111" i="151"/>
  <c r="AH111" i="151"/>
  <c r="AW111" i="151"/>
  <c r="AM111" i="151"/>
  <c r="AP111" i="151"/>
  <c r="R111" i="151"/>
  <c r="AR111" i="151"/>
  <c r="BD111" i="151"/>
  <c r="W111" i="151"/>
  <c r="BE111" i="151"/>
  <c r="O111" i="151"/>
  <c r="J123" i="151"/>
  <c r="H145" i="151"/>
  <c r="AZ111" i="151"/>
  <c r="AN111" i="151"/>
  <c r="Q111" i="151"/>
  <c r="V111" i="151"/>
  <c r="J111" i="151"/>
  <c r="L111" i="151"/>
  <c r="AJ111" i="151"/>
  <c r="H74" i="154"/>
  <c r="H116" i="154" s="1"/>
  <c r="H60" i="151"/>
  <c r="AU111" i="151"/>
  <c r="AT111" i="151"/>
  <c r="T111" i="151"/>
  <c r="BC111" i="151"/>
  <c r="AL111" i="151"/>
  <c r="AG111" i="151"/>
  <c r="AI111" i="151"/>
  <c r="AC111" i="151"/>
  <c r="BB111" i="151"/>
  <c r="BA111" i="151"/>
  <c r="AA111" i="151"/>
  <c r="Z111" i="151"/>
  <c r="AQ111" i="151"/>
  <c r="K111" i="151"/>
  <c r="AS111" i="151"/>
  <c r="U111" i="151"/>
  <c r="P111" i="151"/>
  <c r="N111" i="151"/>
  <c r="H90" i="151" l="1"/>
  <c r="BC117" i="151"/>
  <c r="AM117" i="151"/>
  <c r="M117" i="151"/>
  <c r="AQ117" i="151"/>
  <c r="BB117" i="151"/>
  <c r="AE117" i="151"/>
  <c r="L117" i="151"/>
  <c r="AS117" i="151"/>
  <c r="AO117" i="151"/>
  <c r="R117" i="151"/>
  <c r="AV117" i="151"/>
  <c r="Z117" i="151"/>
  <c r="AF117" i="151"/>
  <c r="Q117" i="151"/>
  <c r="AU117" i="151"/>
  <c r="AX117" i="151"/>
  <c r="AH117" i="151"/>
  <c r="AB117" i="151"/>
  <c r="AA117" i="151"/>
  <c r="AR117" i="151"/>
  <c r="T117" i="151"/>
  <c r="AN117" i="151"/>
  <c r="AT117" i="151"/>
  <c r="P117" i="151"/>
  <c r="N117" i="151"/>
  <c r="AC117" i="151"/>
  <c r="BE117" i="151"/>
  <c r="AD117" i="151"/>
  <c r="BD117" i="151"/>
  <c r="Y117" i="151"/>
  <c r="AJ117" i="151"/>
  <c r="AI117" i="151"/>
  <c r="AY117" i="151"/>
  <c r="AK117" i="151"/>
  <c r="X117" i="151"/>
  <c r="AP117" i="151"/>
  <c r="AG117" i="151"/>
  <c r="BA117" i="151"/>
  <c r="AL117" i="151"/>
  <c r="AW117" i="151"/>
  <c r="V117" i="151"/>
  <c r="AZ117" i="151"/>
  <c r="W117" i="151"/>
  <c r="O117" i="151"/>
  <c r="J117" i="151"/>
  <c r="U117" i="151"/>
  <c r="K117" i="151"/>
  <c r="J118" i="151"/>
  <c r="S117" i="151"/>
  <c r="K120" i="151" l="1"/>
  <c r="K118" i="151"/>
  <c r="L118" i="151" l="1"/>
  <c r="M118" i="151" s="1"/>
  <c r="N118" i="151" s="1"/>
  <c r="O118" i="151" s="1"/>
  <c r="P118" i="151" s="1"/>
  <c r="Q118" i="151" s="1"/>
  <c r="R118" i="151" s="1"/>
  <c r="S118" i="151" s="1"/>
  <c r="T118" i="151" s="1"/>
  <c r="U118" i="151" s="1"/>
  <c r="V118" i="151" s="1"/>
  <c r="W118" i="151" s="1"/>
  <c r="X118" i="151" s="1"/>
  <c r="Y118" i="151" s="1"/>
  <c r="Z118" i="151" s="1"/>
  <c r="AA118" i="151" s="1"/>
  <c r="AB118" i="151" s="1"/>
  <c r="AC118" i="151" s="1"/>
  <c r="AD118" i="151" s="1"/>
  <c r="AE118" i="151" s="1"/>
  <c r="AF118" i="151" s="1"/>
  <c r="AG118" i="151" s="1"/>
  <c r="AH118" i="151" s="1"/>
  <c r="AI118" i="151" s="1"/>
  <c r="AJ118" i="151" s="1"/>
  <c r="AK118" i="151" s="1"/>
  <c r="AL118" i="151" s="1"/>
  <c r="AM118" i="151" s="1"/>
  <c r="AN118" i="151" s="1"/>
  <c r="AO118" i="151" s="1"/>
  <c r="AP118" i="151" s="1"/>
  <c r="AQ118" i="151" s="1"/>
  <c r="AR118" i="151" s="1"/>
  <c r="AS118" i="151" s="1"/>
  <c r="AT118" i="151" s="1"/>
  <c r="AU118" i="151" s="1"/>
  <c r="AV118" i="151" s="1"/>
  <c r="AW118" i="151" s="1"/>
  <c r="AX118" i="151" s="1"/>
  <c r="AY118" i="151" s="1"/>
  <c r="AZ118" i="151" s="1"/>
  <c r="BA118" i="151" s="1"/>
  <c r="BB118" i="151" s="1"/>
  <c r="BC118" i="151" s="1"/>
  <c r="BD118" i="151" s="1"/>
  <c r="BE118" i="151" s="1"/>
  <c r="L120" i="151"/>
  <c r="K121" i="151"/>
  <c r="K123" i="151" s="1"/>
  <c r="M120" i="151" l="1"/>
  <c r="L121" i="151"/>
  <c r="L123" i="151" s="1"/>
  <c r="N120" i="151" l="1"/>
  <c r="M121" i="151"/>
  <c r="M123" i="151" s="1"/>
  <c r="O120" i="151" l="1"/>
  <c r="N121" i="151"/>
  <c r="N123" i="151" s="1"/>
  <c r="P120" i="151" l="1"/>
  <c r="O121" i="151"/>
  <c r="O123" i="151" s="1"/>
  <c r="Q120" i="151" l="1"/>
  <c r="P121" i="151"/>
  <c r="P123" i="151" s="1"/>
  <c r="R120" i="151" l="1"/>
  <c r="Q121" i="151"/>
  <c r="Q123" i="151" s="1"/>
  <c r="S120" i="151" l="1"/>
  <c r="R121" i="151"/>
  <c r="R123" i="151" s="1"/>
  <c r="T120" i="151" l="1"/>
  <c r="S121" i="151"/>
  <c r="S123" i="151" s="1"/>
  <c r="U120" i="151" l="1"/>
  <c r="T121" i="151"/>
  <c r="T123" i="151" s="1"/>
  <c r="V120" i="151" l="1"/>
  <c r="U121" i="151"/>
  <c r="U123" i="151" s="1"/>
  <c r="W120" i="151" l="1"/>
  <c r="V121" i="151"/>
  <c r="V123" i="151" s="1"/>
  <c r="X120" i="151" l="1"/>
  <c r="W121" i="151"/>
  <c r="W123" i="151" s="1"/>
  <c r="Y120" i="151" l="1"/>
  <c r="X121" i="151"/>
  <c r="X123" i="151" s="1"/>
  <c r="Z120" i="151" l="1"/>
  <c r="Y121" i="151"/>
  <c r="Y123" i="151" s="1"/>
  <c r="AA120" i="151" l="1"/>
  <c r="Z121" i="151"/>
  <c r="Z123" i="151" s="1"/>
  <c r="AB120" i="151" l="1"/>
  <c r="AA121" i="151"/>
  <c r="AA123" i="151" s="1"/>
  <c r="AC120" i="151" l="1"/>
  <c r="AB121" i="151"/>
  <c r="AB123" i="151" s="1"/>
  <c r="AD120" i="151" l="1"/>
  <c r="AC121" i="151"/>
  <c r="AC123" i="151" s="1"/>
  <c r="AE120" i="151" l="1"/>
  <c r="AD121" i="151"/>
  <c r="AD123" i="151" s="1"/>
  <c r="AF120" i="151" l="1"/>
  <c r="AE121" i="151"/>
  <c r="AE123" i="151" s="1"/>
  <c r="AG120" i="151" l="1"/>
  <c r="AF121" i="151"/>
  <c r="AF123" i="151" s="1"/>
  <c r="AH120" i="151" l="1"/>
  <c r="AG121" i="151"/>
  <c r="AG123" i="151" s="1"/>
  <c r="AI120" i="151" l="1"/>
  <c r="AH121" i="151"/>
  <c r="AH123" i="151" s="1"/>
  <c r="AJ120" i="151" l="1"/>
  <c r="AI121" i="151"/>
  <c r="AI123" i="151" s="1"/>
  <c r="AK120" i="151" l="1"/>
  <c r="AJ121" i="151"/>
  <c r="AJ123" i="151" s="1"/>
  <c r="AL120" i="151" l="1"/>
  <c r="AK121" i="151"/>
  <c r="AK123" i="151" s="1"/>
  <c r="AM120" i="151" l="1"/>
  <c r="AL121" i="151"/>
  <c r="AL123" i="151" s="1"/>
  <c r="AN120" i="151" l="1"/>
  <c r="AM121" i="151"/>
  <c r="AM123" i="151" s="1"/>
  <c r="AO120" i="151" l="1"/>
  <c r="AN121" i="151"/>
  <c r="AN123" i="151" s="1"/>
  <c r="AP120" i="151" l="1"/>
  <c r="AO121" i="151"/>
  <c r="AO123" i="151" s="1"/>
  <c r="AQ120" i="151" l="1"/>
  <c r="AP121" i="151"/>
  <c r="AP123" i="151" s="1"/>
  <c r="AR120" i="151" l="1"/>
  <c r="AQ121" i="151"/>
  <c r="AQ123" i="151" s="1"/>
  <c r="AS120" i="151" l="1"/>
  <c r="AR121" i="151"/>
  <c r="AR123" i="151" s="1"/>
  <c r="AT120" i="151" l="1"/>
  <c r="AS121" i="151"/>
  <c r="AS123" i="151" s="1"/>
  <c r="AU120" i="151" l="1"/>
  <c r="AT121" i="151"/>
  <c r="AT123" i="151" s="1"/>
  <c r="AV120" i="151" l="1"/>
  <c r="AU121" i="151"/>
  <c r="AU123" i="151" s="1"/>
  <c r="AW120" i="151" l="1"/>
  <c r="AV121" i="151"/>
  <c r="AV123" i="151" s="1"/>
  <c r="AX120" i="151" l="1"/>
  <c r="AW121" i="151"/>
  <c r="AW123" i="151" s="1"/>
  <c r="AY120" i="151" l="1"/>
  <c r="AX121" i="151"/>
  <c r="AX123" i="151" s="1"/>
  <c r="AZ120" i="151" l="1"/>
  <c r="AY121" i="151"/>
  <c r="AY123" i="151" s="1"/>
  <c r="BA120" i="151" l="1"/>
  <c r="AZ121" i="151"/>
  <c r="AZ123" i="151" s="1"/>
  <c r="BB120" i="151" l="1"/>
  <c r="BA121" i="151"/>
  <c r="BA123" i="151" s="1"/>
  <c r="BC120" i="151" l="1"/>
  <c r="BB121" i="151"/>
  <c r="BB123" i="151" s="1"/>
  <c r="BD120" i="151" l="1"/>
  <c r="BC121" i="151"/>
  <c r="BC123" i="151" s="1"/>
  <c r="BE120" i="151" l="1"/>
  <c r="BE121" i="151" s="1"/>
  <c r="BD121" i="151"/>
  <c r="BD123" i="151" s="1"/>
  <c r="BE123" i="151" l="1"/>
  <c r="H123" i="151"/>
  <c r="H129" i="151" l="1"/>
  <c r="P140" i="151" l="1"/>
  <c r="O141" i="151"/>
  <c r="N141" i="151"/>
  <c r="K141" i="151"/>
  <c r="N139" i="151"/>
  <c r="L140" i="151"/>
  <c r="L141" i="151"/>
  <c r="J141" i="151"/>
  <c r="J140" i="151"/>
  <c r="Q140" i="151"/>
  <c r="M139" i="151"/>
  <c r="Q139" i="151"/>
  <c r="L139" i="151"/>
  <c r="N140" i="151"/>
  <c r="Q141" i="151"/>
  <c r="P139" i="151"/>
  <c r="M141" i="151"/>
  <c r="K140" i="151"/>
  <c r="O139" i="151"/>
  <c r="O140" i="151"/>
  <c r="K139" i="151"/>
  <c r="M140" i="151"/>
  <c r="P141" i="151"/>
  <c r="J139" i="151"/>
  <c r="M151" i="151" l="1"/>
  <c r="M33" i="153"/>
  <c r="M91" i="153" s="1"/>
  <c r="N151" i="151"/>
  <c r="N33" i="153"/>
  <c r="N91" i="153" s="1"/>
  <c r="L151" i="151"/>
  <c r="L33" i="153"/>
  <c r="L91" i="153" s="1"/>
  <c r="J33" i="153"/>
  <c r="J91" i="153" s="1"/>
  <c r="J151" i="151"/>
  <c r="J150" i="151"/>
  <c r="J32" i="153"/>
  <c r="H147" i="151" a="1"/>
  <c r="H147" i="151" s="1"/>
  <c r="O151" i="151"/>
  <c r="O33" i="153"/>
  <c r="O91" i="153" s="1"/>
  <c r="P32" i="153"/>
  <c r="P90" i="153" s="1"/>
  <c r="P150" i="151"/>
  <c r="Q32" i="153"/>
  <c r="Q90" i="153" s="1"/>
  <c r="Q150" i="151"/>
  <c r="J34" i="153"/>
  <c r="J92" i="153" s="1"/>
  <c r="J152" i="151"/>
  <c r="K34" i="153"/>
  <c r="K92" i="153" s="1"/>
  <c r="K152" i="151"/>
  <c r="K33" i="153"/>
  <c r="K91" i="153" s="1"/>
  <c r="K151" i="151"/>
  <c r="Q33" i="153"/>
  <c r="Q91" i="153" s="1"/>
  <c r="Q151" i="151"/>
  <c r="O34" i="153"/>
  <c r="O92" i="153" s="1"/>
  <c r="O152" i="151"/>
  <c r="K150" i="151"/>
  <c r="K32" i="153"/>
  <c r="K90" i="153" s="1"/>
  <c r="M152" i="151"/>
  <c r="M34" i="153"/>
  <c r="M92" i="153" s="1"/>
  <c r="L32" i="153"/>
  <c r="L90" i="153" s="1"/>
  <c r="L150" i="151"/>
  <c r="N150" i="151"/>
  <c r="N32" i="153"/>
  <c r="N90" i="153" s="1"/>
  <c r="P151" i="151"/>
  <c r="P33" i="153"/>
  <c r="P91" i="153" s="1"/>
  <c r="P34" i="153"/>
  <c r="P92" i="153" s="1"/>
  <c r="P152" i="151"/>
  <c r="O32" i="153"/>
  <c r="O90" i="153" s="1"/>
  <c r="O150" i="151"/>
  <c r="Q152" i="151"/>
  <c r="Q34" i="153"/>
  <c r="Q92" i="153" s="1"/>
  <c r="M32" i="153"/>
  <c r="M90" i="153" s="1"/>
  <c r="M150" i="151"/>
  <c r="L152" i="151"/>
  <c r="L34" i="153"/>
  <c r="L92" i="153" s="1"/>
  <c r="N34" i="153"/>
  <c r="N92" i="153" s="1"/>
  <c r="N152" i="151"/>
  <c r="Q103" i="153" l="1"/>
  <c r="Q132" i="153" s="1"/>
  <c r="Q47" i="154" s="1"/>
  <c r="Q86" i="154" s="1"/>
  <c r="Q121" i="153"/>
  <c r="Q150" i="153" s="1"/>
  <c r="Q65" i="154" s="1"/>
  <c r="Q106" i="154" s="1"/>
  <c r="Q112" i="153"/>
  <c r="Q141" i="153" s="1"/>
  <c r="Q56" i="154" s="1"/>
  <c r="Q96" i="154" s="1"/>
  <c r="N101" i="153"/>
  <c r="N130" i="153" s="1"/>
  <c r="N45" i="154" s="1"/>
  <c r="N84" i="154" s="1"/>
  <c r="N119" i="153"/>
  <c r="N148" i="153" s="1"/>
  <c r="N63" i="154" s="1"/>
  <c r="N104" i="154" s="1"/>
  <c r="N110" i="153"/>
  <c r="N139" i="153" s="1"/>
  <c r="N54" i="154" s="1"/>
  <c r="N94" i="154" s="1"/>
  <c r="N121" i="153"/>
  <c r="N150" i="153" s="1"/>
  <c r="N65" i="154" s="1"/>
  <c r="N106" i="154" s="1"/>
  <c r="N112" i="153"/>
  <c r="N141" i="153" s="1"/>
  <c r="N56" i="154" s="1"/>
  <c r="N96" i="154" s="1"/>
  <c r="N103" i="153"/>
  <c r="N132" i="153" s="1"/>
  <c r="N47" i="154" s="1"/>
  <c r="N86" i="154" s="1"/>
  <c r="M101" i="153"/>
  <c r="M130" i="153" s="1"/>
  <c r="M45" i="154" s="1"/>
  <c r="M84" i="154" s="1"/>
  <c r="M110" i="153"/>
  <c r="M139" i="153" s="1"/>
  <c r="M54" i="154" s="1"/>
  <c r="M94" i="154" s="1"/>
  <c r="M119" i="153"/>
  <c r="M148" i="153" s="1"/>
  <c r="M63" i="154" s="1"/>
  <c r="M104" i="154" s="1"/>
  <c r="O119" i="153"/>
  <c r="O148" i="153" s="1"/>
  <c r="O63" i="154" s="1"/>
  <c r="O104" i="154" s="1"/>
  <c r="O101" i="153"/>
  <c r="O130" i="153" s="1"/>
  <c r="O45" i="154" s="1"/>
  <c r="O84" i="154" s="1"/>
  <c r="L101" i="153"/>
  <c r="L130" i="153" s="1"/>
  <c r="L45" i="154" s="1"/>
  <c r="L84" i="154" s="1"/>
  <c r="L110" i="153"/>
  <c r="L139" i="153" s="1"/>
  <c r="L54" i="154" s="1"/>
  <c r="L94" i="154" s="1"/>
  <c r="L119" i="153"/>
  <c r="L148" i="153" s="1"/>
  <c r="L63" i="154" s="1"/>
  <c r="L104" i="154" s="1"/>
  <c r="Q111" i="153"/>
  <c r="Q140" i="153" s="1"/>
  <c r="Q55" i="154" s="1"/>
  <c r="Q95" i="154" s="1"/>
  <c r="Q102" i="153"/>
  <c r="Q131" i="153" s="1"/>
  <c r="Q46" i="154" s="1"/>
  <c r="Q85" i="154" s="1"/>
  <c r="Q120" i="153"/>
  <c r="Q149" i="153" s="1"/>
  <c r="Q64" i="154" s="1"/>
  <c r="Q105" i="154" s="1"/>
  <c r="K112" i="153"/>
  <c r="K141" i="153" s="1"/>
  <c r="K56" i="154" s="1"/>
  <c r="K96" i="154" s="1"/>
  <c r="K103" i="153"/>
  <c r="K132" i="153" s="1"/>
  <c r="K47" i="154" s="1"/>
  <c r="K86" i="154" s="1"/>
  <c r="K121" i="153"/>
  <c r="K150" i="153" s="1"/>
  <c r="K65" i="154" s="1"/>
  <c r="K106" i="154" s="1"/>
  <c r="Q101" i="153"/>
  <c r="Q130" i="153" s="1"/>
  <c r="Q45" i="154" s="1"/>
  <c r="Q84" i="154" s="1"/>
  <c r="Q110" i="153"/>
  <c r="Q139" i="153" s="1"/>
  <c r="Q54" i="154" s="1"/>
  <c r="Q94" i="154" s="1"/>
  <c r="Q119" i="153"/>
  <c r="Q148" i="153" s="1"/>
  <c r="Q63" i="154" s="1"/>
  <c r="Q104" i="154" s="1"/>
  <c r="N111" i="153"/>
  <c r="N140" i="153" s="1"/>
  <c r="N55" i="154" s="1"/>
  <c r="N95" i="154" s="1"/>
  <c r="N120" i="153"/>
  <c r="N149" i="153" s="1"/>
  <c r="N64" i="154" s="1"/>
  <c r="N105" i="154" s="1"/>
  <c r="N102" i="153"/>
  <c r="N131" i="153" s="1"/>
  <c r="N46" i="154" s="1"/>
  <c r="N85" i="154" s="1"/>
  <c r="J120" i="153"/>
  <c r="J149" i="153" s="1"/>
  <c r="J64" i="154" s="1"/>
  <c r="J105" i="154" s="1"/>
  <c r="J102" i="153"/>
  <c r="J131" i="153" s="1"/>
  <c r="J46" i="154" s="1"/>
  <c r="J85" i="154" s="1"/>
  <c r="J111" i="153"/>
  <c r="J140" i="153" s="1"/>
  <c r="J55" i="154" s="1"/>
  <c r="J95" i="154" s="1"/>
  <c r="P121" i="153"/>
  <c r="P150" i="153" s="1"/>
  <c r="P65" i="154" s="1"/>
  <c r="P106" i="154" s="1"/>
  <c r="P103" i="153"/>
  <c r="P132" i="153" s="1"/>
  <c r="P47" i="154" s="1"/>
  <c r="P86" i="154" s="1"/>
  <c r="O121" i="153"/>
  <c r="O150" i="153" s="1"/>
  <c r="O65" i="154" s="1"/>
  <c r="O106" i="154" s="1"/>
  <c r="O103" i="153"/>
  <c r="O132" i="153" s="1"/>
  <c r="O47" i="154" s="1"/>
  <c r="O86" i="154" s="1"/>
  <c r="K120" i="153"/>
  <c r="K149" i="153" s="1"/>
  <c r="K64" i="154" s="1"/>
  <c r="K105" i="154" s="1"/>
  <c r="K111" i="153"/>
  <c r="K140" i="153" s="1"/>
  <c r="K55" i="154" s="1"/>
  <c r="K95" i="154" s="1"/>
  <c r="K102" i="153"/>
  <c r="K131" i="153" s="1"/>
  <c r="K46" i="154" s="1"/>
  <c r="K85" i="154" s="1"/>
  <c r="J121" i="153"/>
  <c r="J150" i="153" s="1"/>
  <c r="J65" i="154" s="1"/>
  <c r="J106" i="154" s="1"/>
  <c r="J103" i="153"/>
  <c r="J132" i="153" s="1"/>
  <c r="J47" i="154" s="1"/>
  <c r="J86" i="154" s="1"/>
  <c r="J112" i="153"/>
  <c r="J141" i="153" s="1"/>
  <c r="J56" i="154" s="1"/>
  <c r="J96" i="154" s="1"/>
  <c r="P119" i="153"/>
  <c r="P148" i="153" s="1"/>
  <c r="P63" i="154" s="1"/>
  <c r="P104" i="154" s="1"/>
  <c r="P101" i="153"/>
  <c r="P130" i="153" s="1"/>
  <c r="P45" i="154" s="1"/>
  <c r="P84" i="154" s="1"/>
  <c r="J90" i="153"/>
  <c r="L111" i="153"/>
  <c r="L140" i="153" s="1"/>
  <c r="L55" i="154" s="1"/>
  <c r="L95" i="154" s="1"/>
  <c r="L102" i="153"/>
  <c r="L131" i="153" s="1"/>
  <c r="L46" i="154" s="1"/>
  <c r="L85" i="154" s="1"/>
  <c r="L120" i="153"/>
  <c r="L149" i="153" s="1"/>
  <c r="L64" i="154" s="1"/>
  <c r="L105" i="154" s="1"/>
  <c r="M120" i="153"/>
  <c r="M149" i="153" s="1"/>
  <c r="M64" i="154" s="1"/>
  <c r="M105" i="154" s="1"/>
  <c r="M111" i="153"/>
  <c r="M140" i="153" s="1"/>
  <c r="M55" i="154" s="1"/>
  <c r="M95" i="154" s="1"/>
  <c r="M102" i="153"/>
  <c r="M131" i="153" s="1"/>
  <c r="M46" i="154" s="1"/>
  <c r="M85" i="154" s="1"/>
  <c r="L121" i="153"/>
  <c r="L150" i="153" s="1"/>
  <c r="L65" i="154" s="1"/>
  <c r="L106" i="154" s="1"/>
  <c r="L112" i="153"/>
  <c r="L141" i="153" s="1"/>
  <c r="L56" i="154" s="1"/>
  <c r="L96" i="154" s="1"/>
  <c r="L103" i="153"/>
  <c r="L132" i="153" s="1"/>
  <c r="L47" i="154" s="1"/>
  <c r="L86" i="154" s="1"/>
  <c r="M121" i="153"/>
  <c r="M150" i="153" s="1"/>
  <c r="M65" i="154" s="1"/>
  <c r="M106" i="154" s="1"/>
  <c r="M103" i="153"/>
  <c r="M132" i="153" s="1"/>
  <c r="M47" i="154" s="1"/>
  <c r="M86" i="154" s="1"/>
  <c r="M112" i="153"/>
  <c r="M141" i="153" s="1"/>
  <c r="M56" i="154" s="1"/>
  <c r="M96" i="154" s="1"/>
  <c r="P120" i="153"/>
  <c r="P149" i="153" s="1"/>
  <c r="P64" i="154" s="1"/>
  <c r="P105" i="154" s="1"/>
  <c r="P102" i="153"/>
  <c r="P131" i="153" s="1"/>
  <c r="P46" i="154" s="1"/>
  <c r="P85" i="154" s="1"/>
  <c r="K101" i="153"/>
  <c r="K130" i="153" s="1"/>
  <c r="K45" i="154" s="1"/>
  <c r="K84" i="154" s="1"/>
  <c r="K110" i="153"/>
  <c r="K139" i="153" s="1"/>
  <c r="K54" i="154" s="1"/>
  <c r="K94" i="154" s="1"/>
  <c r="K119" i="153"/>
  <c r="K148" i="153" s="1"/>
  <c r="K63" i="154" s="1"/>
  <c r="K104" i="154" s="1"/>
  <c r="O102" i="153"/>
  <c r="O131" i="153" s="1"/>
  <c r="O46" i="154" s="1"/>
  <c r="O85" i="154" s="1"/>
  <c r="O120" i="153"/>
  <c r="O149" i="153" s="1"/>
  <c r="O64" i="154" s="1"/>
  <c r="O105" i="154" s="1"/>
  <c r="H158" i="151"/>
  <c r="K91" i="154" l="1"/>
  <c r="K128" i="154" s="1"/>
  <c r="K111" i="154"/>
  <c r="K130" i="154" s="1"/>
  <c r="Q91" i="154"/>
  <c r="Q128" i="154" s="1"/>
  <c r="Q101" i="154"/>
  <c r="Q129" i="154" s="1"/>
  <c r="Q111" i="154"/>
  <c r="Q130" i="154" s="1"/>
  <c r="K101" i="154"/>
  <c r="K129" i="154" s="1"/>
  <c r="P91" i="154"/>
  <c r="P128" i="154" s="1"/>
  <c r="H106" i="154"/>
  <c r="H95" i="154"/>
  <c r="L101" i="154"/>
  <c r="L129" i="154" s="1"/>
  <c r="M111" i="154"/>
  <c r="N91" i="154"/>
  <c r="N128" i="154" s="1"/>
  <c r="H160" i="151"/>
  <c r="H162" i="151" s="1"/>
  <c r="H75" i="154"/>
  <c r="H117" i="154" s="1"/>
  <c r="P111" i="154"/>
  <c r="P130" i="154" s="1"/>
  <c r="H85" i="154"/>
  <c r="L91" i="154"/>
  <c r="L128" i="154" s="1"/>
  <c r="M101" i="154"/>
  <c r="H96" i="154"/>
  <c r="H105" i="154"/>
  <c r="O91" i="154"/>
  <c r="O128" i="154" s="1"/>
  <c r="M91" i="154"/>
  <c r="M128" i="154" s="1"/>
  <c r="N101" i="154"/>
  <c r="N129" i="154" s="1"/>
  <c r="J101" i="153"/>
  <c r="J110" i="153"/>
  <c r="J119" i="153"/>
  <c r="J148" i="153" s="1"/>
  <c r="H86" i="154"/>
  <c r="L111" i="154"/>
  <c r="L130" i="154" s="1"/>
  <c r="O111" i="154"/>
  <c r="O130" i="154" s="1"/>
  <c r="N111" i="154"/>
  <c r="N130" i="154" s="1"/>
  <c r="A4" i="151" l="1"/>
  <c r="J55" i="55"/>
  <c r="J63" i="154"/>
  <c r="J104" i="154" s="1"/>
  <c r="J111" i="154" s="1"/>
  <c r="J130" i="154" s="1"/>
  <c r="J54" i="107" s="1" a="1"/>
  <c r="J54" i="106" a="1"/>
  <c r="J139" i="153"/>
  <c r="J130" i="153"/>
  <c r="H104" i="154" l="1"/>
  <c r="H111" i="154" s="1"/>
  <c r="J45" i="154"/>
  <c r="J84" i="154" s="1"/>
  <c r="J91" i="154" s="1"/>
  <c r="J128" i="154" s="1"/>
  <c r="J18" i="107" s="1" a="1"/>
  <c r="J18" i="106" a="1"/>
  <c r="J54" i="154"/>
  <c r="J94" i="154" s="1"/>
  <c r="J101" i="154" s="1"/>
  <c r="J129" i="154" s="1"/>
  <c r="J36" i="107" s="1" a="1"/>
  <c r="J36" i="106" a="1"/>
  <c r="J54" i="106"/>
  <c r="K56" i="106"/>
  <c r="M58" i="106"/>
  <c r="O60" i="106"/>
  <c r="J63" i="106"/>
  <c r="L65" i="106"/>
  <c r="N67" i="106"/>
  <c r="P69" i="106"/>
  <c r="M54" i="106"/>
  <c r="O56" i="106"/>
  <c r="J59" i="106"/>
  <c r="L61" i="106"/>
  <c r="N63" i="106"/>
  <c r="P65" i="106"/>
  <c r="K68" i="106"/>
  <c r="N55" i="106"/>
  <c r="P57" i="106"/>
  <c r="M62" i="106"/>
  <c r="O64" i="106"/>
  <c r="L69" i="106"/>
  <c r="J55" i="106"/>
  <c r="L57" i="106"/>
  <c r="N59" i="106"/>
  <c r="P61" i="106"/>
  <c r="K64" i="106"/>
  <c r="M66" i="106"/>
  <c r="O68" i="106"/>
  <c r="K60" i="106"/>
  <c r="J67" i="106"/>
  <c r="P66" i="106"/>
  <c r="P62" i="106"/>
  <c r="M59" i="106"/>
  <c r="K57" i="106"/>
  <c r="L54" i="106"/>
  <c r="P67" i="106"/>
  <c r="N65" i="106"/>
  <c r="L63" i="106"/>
  <c r="J61" i="106"/>
  <c r="O58" i="106"/>
  <c r="M56" i="106"/>
  <c r="K54" i="106"/>
  <c r="L66" i="106"/>
  <c r="J60" i="106"/>
  <c r="L68" i="106"/>
  <c r="J66" i="106"/>
  <c r="O63" i="106"/>
  <c r="M61" i="106"/>
  <c r="K59" i="106"/>
  <c r="P56" i="106"/>
  <c r="N54" i="106"/>
  <c r="P68" i="106"/>
  <c r="O65" i="106"/>
  <c r="L62" i="106"/>
  <c r="P58" i="106"/>
  <c r="N56" i="106"/>
  <c r="N69" i="106"/>
  <c r="L67" i="106"/>
  <c r="J65" i="106"/>
  <c r="O62" i="106"/>
  <c r="M60" i="106"/>
  <c r="K58" i="106"/>
  <c r="P55" i="106"/>
  <c r="O69" i="106"/>
  <c r="K65" i="106"/>
  <c r="P54" i="106"/>
  <c r="O67" i="106"/>
  <c r="M65" i="106"/>
  <c r="K63" i="106"/>
  <c r="P60" i="106"/>
  <c r="N58" i="106"/>
  <c r="L56" i="106"/>
  <c r="K69" i="106"/>
  <c r="N64" i="106"/>
  <c r="K61" i="106"/>
  <c r="L58" i="106"/>
  <c r="J56" i="106"/>
  <c r="J69" i="106"/>
  <c r="O66" i="106"/>
  <c r="M64" i="106"/>
  <c r="K62" i="106"/>
  <c r="P59" i="106"/>
  <c r="N57" i="106"/>
  <c r="L55" i="106"/>
  <c r="N68" i="106"/>
  <c r="M63" i="106"/>
  <c r="M69" i="106"/>
  <c r="K67" i="106"/>
  <c r="P64" i="106"/>
  <c r="N62" i="106"/>
  <c r="L60" i="106"/>
  <c r="J58" i="106"/>
  <c r="O55" i="106"/>
  <c r="J68" i="106"/>
  <c r="J64" i="106"/>
  <c r="N60" i="106"/>
  <c r="O57" i="106"/>
  <c r="M55" i="106"/>
  <c r="M68" i="106"/>
  <c r="K66" i="106"/>
  <c r="P63" i="106"/>
  <c r="N61" i="106"/>
  <c r="L59" i="106"/>
  <c r="J57" i="106"/>
  <c r="O54" i="106"/>
  <c r="M67" i="106"/>
  <c r="O61" i="106"/>
  <c r="N66" i="106"/>
  <c r="O59" i="106"/>
  <c r="M57" i="106"/>
  <c r="L64" i="106"/>
  <c r="K55" i="106"/>
  <c r="J62" i="106"/>
  <c r="H158" i="153" a="1"/>
  <c r="H158" i="153" s="1"/>
  <c r="J66" i="107"/>
  <c r="J59" i="107"/>
  <c r="J60" i="107"/>
  <c r="J57" i="107"/>
  <c r="J58" i="107"/>
  <c r="J62" i="107"/>
  <c r="J64" i="107"/>
  <c r="J63" i="107"/>
  <c r="J55" i="107"/>
  <c r="J65" i="107"/>
  <c r="J68" i="107"/>
  <c r="J61" i="107"/>
  <c r="J69" i="107"/>
  <c r="J54" i="107"/>
  <c r="J56" i="107"/>
  <c r="J67" i="107"/>
  <c r="H94" i="154" l="1"/>
  <c r="H101" i="154" s="1"/>
  <c r="H84" i="154"/>
  <c r="H91" i="154" s="1"/>
  <c r="A4" i="153"/>
  <c r="J57" i="55"/>
  <c r="J36" i="106"/>
  <c r="N37" i="106"/>
  <c r="P39" i="106"/>
  <c r="K42" i="106"/>
  <c r="M44" i="106"/>
  <c r="O46" i="106"/>
  <c r="J49" i="106"/>
  <c r="L51" i="106"/>
  <c r="K38" i="106"/>
  <c r="M40" i="106"/>
  <c r="O42" i="106"/>
  <c r="J45" i="106"/>
  <c r="L47" i="106"/>
  <c r="N49" i="106"/>
  <c r="P51" i="106"/>
  <c r="L39" i="106"/>
  <c r="P43" i="106"/>
  <c r="K46" i="106"/>
  <c r="O50" i="106"/>
  <c r="M36" i="106"/>
  <c r="O38" i="106"/>
  <c r="J41" i="106"/>
  <c r="L43" i="106"/>
  <c r="N45" i="106"/>
  <c r="P47" i="106"/>
  <c r="K50" i="106"/>
  <c r="J37" i="106"/>
  <c r="N41" i="106"/>
  <c r="M48" i="106"/>
  <c r="O47" i="106"/>
  <c r="O43" i="106"/>
  <c r="L40" i="106"/>
  <c r="J38" i="106"/>
  <c r="J51" i="106"/>
  <c r="O48" i="106"/>
  <c r="M46" i="106"/>
  <c r="K44" i="106"/>
  <c r="P41" i="106"/>
  <c r="N39" i="106"/>
  <c r="L37" i="106"/>
  <c r="N50" i="106"/>
  <c r="J46" i="106"/>
  <c r="P36" i="106"/>
  <c r="O49" i="106"/>
  <c r="M47" i="106"/>
  <c r="K45" i="106"/>
  <c r="P42" i="106"/>
  <c r="N40" i="106"/>
  <c r="L38" i="106"/>
  <c r="K51" i="106"/>
  <c r="N46" i="106"/>
  <c r="N42" i="106"/>
  <c r="O39" i="106"/>
  <c r="M37" i="106"/>
  <c r="M50" i="106"/>
  <c r="K48" i="106"/>
  <c r="P45" i="106"/>
  <c r="N43" i="106"/>
  <c r="L41" i="106"/>
  <c r="J39" i="106"/>
  <c r="O36" i="106"/>
  <c r="M49" i="106"/>
  <c r="P44" i="106"/>
  <c r="M51" i="106"/>
  <c r="K49" i="106"/>
  <c r="P46" i="106"/>
  <c r="N44" i="106"/>
  <c r="L42" i="106"/>
  <c r="J40" i="106"/>
  <c r="O37" i="106"/>
  <c r="J50" i="106"/>
  <c r="M45" i="106"/>
  <c r="J42" i="106"/>
  <c r="K39" i="106"/>
  <c r="L36" i="106"/>
  <c r="P49" i="106"/>
  <c r="N47" i="106"/>
  <c r="L45" i="106"/>
  <c r="J43" i="106"/>
  <c r="O40" i="106"/>
  <c r="M38" i="106"/>
  <c r="K36" i="106"/>
  <c r="L48" i="106"/>
  <c r="K43" i="106"/>
  <c r="P50" i="106"/>
  <c r="N48" i="106"/>
  <c r="L46" i="106"/>
  <c r="J44" i="106"/>
  <c r="O41" i="106"/>
  <c r="M39" i="106"/>
  <c r="K37" i="106"/>
  <c r="L44" i="106"/>
  <c r="L49" i="106"/>
  <c r="K40" i="106"/>
  <c r="M41" i="106"/>
  <c r="M43" i="106"/>
  <c r="K47" i="106"/>
  <c r="P40" i="106"/>
  <c r="J47" i="106"/>
  <c r="P37" i="106"/>
  <c r="L50" i="106"/>
  <c r="K41" i="106"/>
  <c r="O45" i="106"/>
  <c r="N38" i="106"/>
  <c r="O44" i="106"/>
  <c r="O51" i="106"/>
  <c r="J48" i="106"/>
  <c r="P38" i="106"/>
  <c r="P48" i="106"/>
  <c r="N51" i="106"/>
  <c r="M42" i="106"/>
  <c r="N36" i="106"/>
  <c r="J18" i="106"/>
  <c r="P33" i="106"/>
  <c r="P29" i="106"/>
  <c r="L25" i="106"/>
  <c r="O20" i="106"/>
  <c r="K33" i="106"/>
  <c r="N28" i="106"/>
  <c r="N24" i="106"/>
  <c r="N20" i="106"/>
  <c r="N33" i="106"/>
  <c r="L31" i="106"/>
  <c r="J29" i="106"/>
  <c r="O26" i="106"/>
  <c r="M24" i="106"/>
  <c r="K22" i="106"/>
  <c r="P19" i="106"/>
  <c r="O32" i="106"/>
  <c r="K28" i="106"/>
  <c r="N23" i="106"/>
  <c r="O33" i="106"/>
  <c r="K29" i="106"/>
  <c r="J24" i="106"/>
  <c r="M33" i="106"/>
  <c r="K31" i="106"/>
  <c r="P28" i="106"/>
  <c r="N26" i="106"/>
  <c r="L24" i="106"/>
  <c r="J22" i="106"/>
  <c r="O19" i="106"/>
  <c r="L33" i="106"/>
  <c r="O28" i="106"/>
  <c r="K24" i="106"/>
  <c r="K20" i="106"/>
  <c r="J32" i="106"/>
  <c r="M27" i="106"/>
  <c r="M23" i="106"/>
  <c r="J20" i="106"/>
  <c r="J33" i="106"/>
  <c r="O30" i="106"/>
  <c r="M28" i="106"/>
  <c r="K26" i="106"/>
  <c r="P23" i="106"/>
  <c r="N21" i="106"/>
  <c r="L19" i="106"/>
  <c r="N31" i="106"/>
  <c r="J27" i="106"/>
  <c r="M22" i="106"/>
  <c r="N32" i="106"/>
  <c r="J28" i="106"/>
  <c r="P22" i="106"/>
  <c r="P32" i="106"/>
  <c r="N30" i="106"/>
  <c r="L28" i="106"/>
  <c r="J26" i="106"/>
  <c r="O23" i="106"/>
  <c r="M21" i="106"/>
  <c r="K19" i="106"/>
  <c r="K32" i="106"/>
  <c r="N27" i="106"/>
  <c r="J23" i="106"/>
  <c r="N19" i="106"/>
  <c r="P30" i="106"/>
  <c r="P26" i="106"/>
  <c r="L22" i="106"/>
  <c r="M19" i="106"/>
  <c r="M32" i="106"/>
  <c r="K30" i="106"/>
  <c r="P27" i="106"/>
  <c r="N25" i="106"/>
  <c r="L23" i="106"/>
  <c r="J21" i="106"/>
  <c r="O18" i="106"/>
  <c r="M30" i="106"/>
  <c r="P25" i="106"/>
  <c r="L21" i="106"/>
  <c r="M31" i="106"/>
  <c r="L26" i="106"/>
  <c r="K21" i="106"/>
  <c r="L32" i="106"/>
  <c r="J30" i="106"/>
  <c r="O27" i="106"/>
  <c r="M25" i="106"/>
  <c r="K23" i="106"/>
  <c r="P20" i="106"/>
  <c r="N18" i="106"/>
  <c r="J31" i="106"/>
  <c r="O29" i="106"/>
  <c r="P31" i="106"/>
  <c r="O22" i="106"/>
  <c r="O24" i="106"/>
  <c r="P18" i="106"/>
  <c r="P24" i="106"/>
  <c r="M26" i="106"/>
  <c r="O25" i="106"/>
  <c r="N29" i="106"/>
  <c r="M20" i="106"/>
  <c r="M18" i="106"/>
  <c r="O31" i="106"/>
  <c r="N22" i="106"/>
  <c r="P21" i="106"/>
  <c r="O21" i="106"/>
  <c r="L27" i="106"/>
  <c r="K18" i="106"/>
  <c r="L30" i="106"/>
  <c r="M29" i="106"/>
  <c r="L20" i="106"/>
  <c r="J19" i="106"/>
  <c r="L18" i="106"/>
  <c r="J25" i="106"/>
  <c r="L29" i="106"/>
  <c r="K25" i="106"/>
  <c r="K27" i="106"/>
  <c r="J36" i="107"/>
  <c r="J40" i="107"/>
  <c r="J43" i="107"/>
  <c r="J47" i="107"/>
  <c r="J48" i="107"/>
  <c r="J50" i="107"/>
  <c r="J51" i="107"/>
  <c r="J49" i="107"/>
  <c r="J37" i="107"/>
  <c r="J38" i="107"/>
  <c r="J44" i="107"/>
  <c r="J41" i="107"/>
  <c r="J42" i="107"/>
  <c r="J46" i="107"/>
  <c r="J45" i="107"/>
  <c r="J39" i="107"/>
  <c r="J24" i="107"/>
  <c r="J28" i="107"/>
  <c r="J26" i="107"/>
  <c r="J25" i="107"/>
  <c r="J19" i="107"/>
  <c r="J20" i="107"/>
  <c r="J33" i="107"/>
  <c r="J32" i="107"/>
  <c r="J18" i="107"/>
  <c r="J31" i="107"/>
  <c r="J30" i="107"/>
  <c r="J22" i="107"/>
  <c r="J27" i="107"/>
  <c r="J21" i="107"/>
  <c r="J23" i="107"/>
  <c r="J29" i="107"/>
  <c r="H120" i="154" l="1"/>
  <c r="H121" i="154" s="1"/>
  <c r="H123" i="154" s="1"/>
  <c r="H353" i="106" a="1"/>
  <c r="H353" i="106" s="1"/>
  <c r="A4" i="106" s="1"/>
  <c r="H73" i="107" a="1"/>
  <c r="H73" i="107" s="1"/>
  <c r="H124" i="154" l="1"/>
  <c r="J59" i="55"/>
  <c r="A4" i="107"/>
  <c r="J60" i="55"/>
  <c r="H134" i="154" a="1"/>
  <c r="H134" i="154" s="1"/>
  <c r="A4" i="154" l="1"/>
  <c r="J58" i="55"/>
  <c r="H190" i="100" l="1" a="1"/>
  <c r="H190" i="100" s="1"/>
  <c r="H218" i="100" s="1"/>
  <c r="J35" i="55" l="1"/>
  <c r="J61" i="55" s="1"/>
  <c r="A4" i="55" s="1"/>
  <c r="A4" i="100"/>
</calcChain>
</file>

<file path=xl/sharedStrings.xml><?xml version="1.0" encoding="utf-8"?>
<sst xmlns="http://schemas.openxmlformats.org/spreadsheetml/2006/main" count="8505" uniqueCount="1177">
  <si>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</si>
  <si>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</si>
  <si>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</si>
  <si>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</si>
  <si>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</si>
  <si>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</si>
  <si>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</si>
  <si>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</si>
  <si>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</si>
  <si>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</si>
  <si>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</si>
  <si>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</si>
  <si>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</si>
  <si>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</si>
  <si>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</si>
  <si>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</si>
  <si>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</si>
  <si>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</si>
  <si>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</si>
  <si>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</si>
  <si>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</si>
  <si>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</si>
  <si>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</si>
  <si>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</si>
  <si>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</si>
  <si>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</si>
  <si>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</si>
  <si>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</si>
  <si>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</si>
  <si>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</si>
  <si>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</si>
  <si>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</si>
  <si>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</si>
  <si>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</si>
  <si>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</si>
  <si>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</si>
  <si>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</si>
  <si>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</si>
  <si>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</si>
  <si>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</si>
  <si>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</si>
  <si>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</si>
  <si>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</si>
  <si>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</si>
  <si>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</si>
  <si>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</si>
  <si>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</si>
  <si>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</si>
  <si>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</si>
  <si>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</si>
  <si>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</si>
  <si>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</si>
  <si>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</si>
  <si>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</si>
  <si>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</si>
  <si>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</si>
  <si>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</si>
  <si>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</si>
  <si>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</si>
  <si>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</si>
  <si>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</si>
  <si>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</si>
  <si>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</si>
  <si>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</si>
  <si>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</si>
  <si>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</si>
  <si>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</si>
  <si>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</si>
  <si>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</si>
  <si>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</si>
  <si>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</si>
  <si>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</si>
  <si>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</si>
  <si>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</si>
  <si>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</si>
  <si>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</si>
  <si>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</si>
  <si>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</si>
  <si>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</si>
  <si>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</si>
  <si>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</si>
  <si>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</si>
  <si>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</si>
  <si>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</si>
  <si>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</si>
  <si>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</si>
  <si>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</si>
  <si>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</si>
  <si>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</si>
  <si>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</si>
  <si>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</si>
  <si>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</si>
  <si>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</si>
  <si>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</si>
  <si>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</si>
  <si>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</si>
  <si>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</si>
  <si>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</si>
  <si>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</si>
  <si>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</si>
  <si>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</si>
  <si>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</si>
  <si>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</si>
  <si>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</si>
  <si>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</si>
  <si>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</si>
  <si>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</si>
  <si>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</si>
  <si>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</si>
  <si>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</si>
  <si>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</si>
  <si>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</si>
  <si>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</si>
  <si>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</si>
  <si>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</si>
  <si>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</si>
  <si>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</si>
  <si>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</si>
  <si>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</si>
  <si>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</si>
  <si>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</si>
  <si>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</si>
  <si>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</si>
  <si>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</si>
  <si>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</si>
  <si>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</si>
  <si>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</si>
  <si>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</si>
  <si>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</si>
  <si>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</si>
  <si>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</si>
  <si>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</si>
  <si>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</si>
  <si>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</si>
  <si>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</si>
  <si>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</si>
  <si>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</si>
  <si>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</si>
  <si>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</si>
  <si>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</si>
  <si>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</si>
  <si>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</si>
  <si>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</si>
  <si>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</si>
  <si>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</si>
  <si>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</si>
  <si>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</si>
  <si>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</si>
  <si>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</si>
  <si>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</si>
  <si>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</si>
  <si>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</si>
  <si>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</si>
  <si>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</si>
  <si>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</si>
  <si>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</si>
  <si>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</si>
  <si>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</si>
  <si>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</si>
  <si>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</si>
  <si>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</si>
  <si>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</si>
  <si>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</si>
  <si>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</si>
  <si>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</si>
  <si>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</si>
  <si>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</si>
  <si>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</si>
  <si>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</si>
  <si>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</si>
  <si>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</si>
  <si>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</si>
  <si>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</si>
  <si>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</si>
  <si>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</si>
  <si>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</si>
  <si>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</si>
  <si>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</si>
  <si>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</si>
  <si>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</si>
  <si>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</si>
  <si>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</si>
  <si>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</si>
  <si>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</si>
  <si>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Constrained adder solution</t>
  </si>
  <si>
    <t>Starting point</t>
  </si>
  <si>
    <t>Reordered adder threshold values for each tariff / unit rate (lowest to highest)</t>
  </si>
  <si>
    <t>Adder thresholds ranked from lowest (1) to highest (99), post tie-breaker</t>
  </si>
  <si>
    <t>Tie-breaker between equal threshold rates</t>
  </si>
  <si>
    <t>Adder thresholds ranked from lowest (1) to highest (99)</t>
  </si>
  <si>
    <t>Constraint-free adder solution</t>
  </si>
  <si>
    <t>Target CDCM net revenue</t>
  </si>
  <si>
    <t>Unit rate 2 p/kWh_HV Generation Non-Intermittent</t>
  </si>
  <si>
    <t>Unit rate 2 p/kWh_HV Generation Intermittent no RP charge</t>
  </si>
  <si>
    <t>Unit rate 2 p/kWh_HV Generation Intermittent</t>
  </si>
  <si>
    <t>Unit rate 2 p/kWh_LV Sub Generation Non-Intermittent no RP charge</t>
  </si>
  <si>
    <t>Unit rate 2 p/kWh_LV Sub Generation Non-Intermittent</t>
  </si>
  <si>
    <t>Unit rate 2 p/kWh_LV Sub Generation Intermittent no RP charge</t>
  </si>
  <si>
    <t>Unit rate 2 p/kWh_LV Sub Generation Intermittent</t>
  </si>
  <si>
    <t>Unit rate 2 p/kWh_LV Generation Non-Intermittent no RP charge</t>
  </si>
  <si>
    <t>Unit rate 2 p/kWh_LV Generation Non-Intermittent</t>
  </si>
  <si>
    <t>Unit rate 2 p/kWh_LV Generation Intermittent no RP charge</t>
  </si>
  <si>
    <t>Unit rate 2 p/kWh_LV Generation Intermittent</t>
  </si>
  <si>
    <t>Unit rate 2 p/kWh_LV Sub Generation NHH</t>
  </si>
  <si>
    <t>Unit rate 2 p/kWh_LV Generation NHH or Aggregate HH</t>
  </si>
  <si>
    <t>Unit rate 2 p/kWh_LV UMS (Pseudo HH Metered)</t>
  </si>
  <si>
    <t>Unit rate 2 p/kWh_NHH UMS category D</t>
  </si>
  <si>
    <t>Unit rate 2 p/kWh_NHH UMS category C</t>
  </si>
  <si>
    <t>Unit rate 2 p/kWh_NHH UMS category B</t>
  </si>
  <si>
    <t>Unit rate 2 p/kWh_NHH UMS category A</t>
  </si>
  <si>
    <t>Unit rate 2 p/kWh_HV HH Metered</t>
  </si>
  <si>
    <t>Unit rate 2 p/kWh_LV Sub HH Metered</t>
  </si>
  <si>
    <t>Unit rate 2 p/kWh_LV HH Metered</t>
  </si>
  <si>
    <t>Unit rate 2 p/kWh_LV Network Non-Domestic Non-CT</t>
  </si>
  <si>
    <t>Unit rate 2 p/kWh_LV Network Domestic</t>
  </si>
  <si>
    <t>Unit rate 2 p/kWh_HV Medium Non-Domestic</t>
  </si>
  <si>
    <t>Unit rate 2 p/kWh_LV Sub Medium Non-Domestic</t>
  </si>
  <si>
    <t>Unit rate 2 p/kWh_LV Medium Non-Domestic</t>
  </si>
  <si>
    <t>Unit rate 2 p/kWh_Small Non Domestic Off Peak (related MPAN)</t>
  </si>
  <si>
    <t>Unit rate 2 p/kWh_Small Non Domestic Two Rate</t>
  </si>
  <si>
    <t>Unit rate 2 p/kWh_Small Non Domestic Unrestricted</t>
  </si>
  <si>
    <t>Unit rate 2 p/kWh_Domestic Off Peak (related MPAN)</t>
  </si>
  <si>
    <t>Unit rate 2 p/kWh_Domestic Two Rate</t>
  </si>
  <si>
    <t>Unit rate 2 p/kWh_Domestic Unrestricted</t>
  </si>
  <si>
    <t>Unit rate 1 p/kWh_HV Generation Non-Intermittent no RP charge</t>
  </si>
  <si>
    <t>Unit rate 1 p/kWh_HV Generation Non-Intermittent</t>
  </si>
  <si>
    <t>Unit rate 1 p/kWh_LV Sub Generation Non-Intermittent no RP charge</t>
  </si>
  <si>
    <t>Unit rate 1 p/kWh_LV Sub Generation Non-Intermittent</t>
  </si>
  <si>
    <t>Unit rate 1 p/kWh_LV Generation Non-Intermittent no RP charge</t>
  </si>
  <si>
    <t>Unit rate 1 p/kWh_LV Generation Non-Intermittent</t>
  </si>
  <si>
    <t>Unit rate 1 p/kWh_LV Sub Generation NHH</t>
  </si>
  <si>
    <t>Unit rate 1 p/kWh_LV Generation NHH or Aggregate HH</t>
  </si>
  <si>
    <t>Unit rate 1 p/kWh_LV UMS (Pseudo HH Metered)</t>
  </si>
  <si>
    <t>Unit rate 1 p/kWh_HV HH Metered</t>
  </si>
  <si>
    <t>Unit rate 1 p/kWh_LV Sub HH Metered</t>
  </si>
  <si>
    <t>Unit rate 1 p/kWh_LV HH Metered</t>
  </si>
  <si>
    <t>Unit rate 1 p/kWh_LV Network Non-Domestic Non-CT</t>
  </si>
  <si>
    <t>Unit rate 1 p/kWh_LV Network Domestic</t>
  </si>
  <si>
    <t>Rounding</t>
  </si>
  <si>
    <t>Loss adjustment factor to transmission for each core level</t>
  </si>
  <si>
    <t>Charging year:</t>
  </si>
  <si>
    <t>DNO name:</t>
  </si>
  <si>
    <t>Adder on Unit rate 1</t>
  </si>
  <si>
    <t>Adder on Unit rate 2</t>
  </si>
  <si>
    <t>Adder on Unit rate 3</t>
  </si>
  <si>
    <t>This section allocates operating costs based on notional asset value (£) by network level, then divides this by load on each network level at time of system peak</t>
  </si>
  <si>
    <t>Net revenue shortfall (or surplus)</t>
  </si>
  <si>
    <t>Adder value at which the non-negative demand charge constraint is breached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</si>
  <si>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</si>
  <si>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</si>
  <si>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</si>
  <si>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</si>
  <si>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</si>
  <si>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</si>
  <si>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</si>
  <si>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</si>
  <si>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</si>
  <si>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</si>
  <si>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</si>
  <si>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</si>
  <si>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</si>
  <si>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</si>
  <si>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</si>
  <si>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</si>
  <si>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</si>
  <si>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</si>
  <si>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</si>
  <si>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</si>
  <si>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</si>
  <si>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</si>
  <si>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</si>
  <si>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</si>
  <si>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</si>
  <si>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</si>
  <si>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</si>
  <si>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</si>
  <si>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</si>
  <si>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</si>
  <si>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</si>
  <si>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</si>
  <si>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</si>
  <si>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</si>
  <si>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</si>
  <si>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</si>
  <si>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</si>
  <si>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</si>
  <si>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</si>
  <si>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</si>
  <si>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</si>
  <si>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</si>
  <si>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</si>
  <si>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</si>
  <si>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</si>
  <si>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</si>
  <si>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</si>
  <si>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</si>
  <si>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</si>
  <si>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</si>
  <si>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</si>
  <si>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</si>
  <si>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</si>
  <si>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</si>
  <si>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</si>
  <si>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</si>
  <si>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</si>
  <si>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</si>
  <si>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</si>
  <si>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</si>
  <si>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</si>
  <si>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</si>
  <si>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</si>
  <si>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</si>
  <si>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</si>
  <si>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</si>
  <si>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</si>
  <si>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</si>
  <si>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</si>
  <si>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</si>
  <si>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</si>
  <si>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</si>
  <si>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</si>
  <si>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</si>
  <si>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</si>
  <si>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</si>
  <si>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</si>
  <si>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</si>
  <si>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</si>
  <si>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</si>
  <si>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</si>
  <si>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</si>
  <si>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</si>
  <si>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Adder calculation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</si>
  <si>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</si>
  <si>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</si>
  <si>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</si>
  <si>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</si>
  <si>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</si>
  <si>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</si>
  <si>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</si>
  <si>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</si>
  <si>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Unit rate 1 - Adder threshold</t>
  </si>
  <si>
    <t>Unit rate 2 - Adder threshold</t>
  </si>
  <si>
    <t>Unit rate 3 - Adder threshold</t>
  </si>
  <si>
    <t>Unit rate 1 - expected units to be charged</t>
  </si>
  <si>
    <t>Unit rate 2 - expected units to be charged</t>
  </si>
  <si>
    <t>Unit rate 3 - expected units to be charged</t>
  </si>
  <si>
    <t>Expected units to be charged</t>
  </si>
  <si>
    <t>Combined - expected units to be charged</t>
  </si>
  <si>
    <t>Combined - Adder threshold</t>
  </si>
  <si>
    <t xml:space="preserve">Unit rate_customer category (arbitrary order)&gt;&gt; </t>
  </si>
  <si>
    <t>Rank&gt;&gt;</t>
  </si>
  <si>
    <t>Unscaleable net revenue</t>
  </si>
  <si>
    <t>Scaleable net revenue, for a given (threshold) adder value</t>
  </si>
  <si>
    <t>Total net revenue, for a given (threshold) adder value</t>
  </si>
  <si>
    <t>Pre-matching net revenue calculations</t>
  </si>
  <si>
    <t>Unconstrained adder solution (i.e. unit rates for demand can be negative)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</si>
  <si>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</si>
  <si>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</si>
  <si>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</si>
  <si>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</si>
  <si>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</si>
  <si>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</si>
  <si>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</si>
  <si>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</si>
  <si>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</si>
  <si>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</si>
  <si>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</si>
  <si>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</si>
  <si>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</si>
  <si>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</si>
  <si>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</si>
  <si>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</si>
  <si>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</si>
  <si>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</si>
  <si>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</si>
  <si>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</si>
  <si>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</si>
  <si>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</si>
  <si>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</si>
  <si>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</si>
  <si>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</si>
  <si>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</si>
  <si>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</si>
  <si>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</si>
  <si>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</si>
  <si>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</si>
  <si>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</si>
  <si>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</si>
  <si>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</si>
  <si>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</si>
  <si>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</si>
  <si>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</si>
  <si>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</si>
  <si>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</si>
  <si>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</si>
  <si>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</si>
  <si>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</si>
  <si>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</si>
  <si>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</si>
  <si>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</si>
  <si>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</si>
  <si>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</si>
  <si>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</si>
  <si>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</si>
  <si>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</si>
  <si>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</si>
  <si>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</si>
  <si>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</si>
  <si>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</si>
  <si>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</si>
  <si>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</si>
  <si>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</si>
  <si>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</si>
  <si>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</si>
  <si>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</si>
  <si>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</si>
  <si>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</si>
  <si>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</si>
  <si>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</si>
  <si>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</si>
  <si>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</si>
  <si>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</si>
  <si>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</si>
  <si>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</si>
  <si>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</si>
  <si>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</si>
  <si>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</si>
  <si>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</si>
  <si>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</si>
  <si>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</si>
  <si>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</si>
  <si>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</si>
  <si>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</si>
  <si>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</si>
  <si>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</si>
  <si>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</si>
  <si>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</si>
  <si>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</si>
  <si>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</si>
  <si>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</si>
  <si>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</si>
  <si>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</si>
  <si>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</si>
  <si>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</si>
  <si>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</si>
  <si>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</si>
  <si>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</si>
  <si>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</si>
  <si>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</si>
  <si>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</si>
  <si>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</si>
  <si>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</si>
  <si>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</si>
  <si>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</si>
  <si>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</si>
  <si>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</si>
  <si>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</si>
  <si>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</si>
  <si>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</si>
  <si>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</si>
  <si>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</si>
  <si>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</si>
  <si>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</si>
  <si>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</si>
  <si>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</si>
  <si>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</si>
  <si>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</si>
  <si>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</si>
  <si>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</si>
  <si>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</si>
  <si>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</si>
  <si>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</si>
  <si>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</si>
  <si>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</si>
  <si>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</si>
  <si>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</si>
  <si>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</si>
  <si>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</si>
  <si>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</si>
  <si>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</si>
  <si>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</si>
  <si>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</si>
  <si>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</si>
  <si>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>Brings in charges, volumes and revenues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</si>
  <si>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</si>
  <si>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</si>
  <si>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 xml:space="preserve">This section calculates a "fixed adder" to unit rate charges for demand users that would equalise </t>
  </si>
  <si>
    <t xml:space="preserve">expected and allowed net revenue. This section includes a simple algorithm to account for </t>
  </si>
  <si>
    <t>the requirement that demand customers should not have negative unit rates.</t>
  </si>
  <si>
    <t xml:space="preserve">Negative unit rates are not permitted for demand customers. This table calculates the lowest value </t>
  </si>
  <si>
    <t xml:space="preserve">a fixed adder could take before this constraint binds (for each unit rate and customer category). This is </t>
  </si>
  <si>
    <t xml:space="preserve">the negative of each pre-matching charge. </t>
  </si>
  <si>
    <t xml:space="preserve">Calculates the effect on expected net revenue from the addition of a 1 p/kWh fixed adder to each unit </t>
  </si>
  <si>
    <t xml:space="preserve">rate charge for each customer category - driven by the units of energy each customer category is expected </t>
  </si>
  <si>
    <t>to use.</t>
  </si>
  <si>
    <t xml:space="preserve">Calculates the value of fixed adder that would equalise expected and allowed net revenue if it was </t>
  </si>
  <si>
    <t xml:space="preserve">unconstrained by the requirement that demand charges be non-negative. In some cases, the constraints </t>
  </si>
  <si>
    <t xml:space="preserve">will not bind, and this equal the constrained solution. </t>
  </si>
  <si>
    <t xml:space="preserve">This algorithm only affects the adder solution if pre-match net revenue exceeds target net revenue, in </t>
  </si>
  <si>
    <t xml:space="preserve">which case the unconstrained adder solution will be negative and the non-negative adder constraint may </t>
  </si>
  <si>
    <t xml:space="preserve">bind. If this is not the case the following steps can be ignored. </t>
  </si>
  <si>
    <t xml:space="preserve">Step 1 - Arrange all unit rate : customer category pre-match charges (and expected units to be charged) </t>
  </si>
  <si>
    <t xml:space="preserve">onto a single row. </t>
  </si>
  <si>
    <t xml:space="preserve">Step 2 - Rank the unit rate : customer category pre-match charges by their adder threshold values - from </t>
  </si>
  <si>
    <t xml:space="preserve">lowest to highest. </t>
  </si>
  <si>
    <t xml:space="preserve">Step 3 - Reorder adder thresholds (and their respective numbers of units to be charged) by rank. Identify </t>
  </si>
  <si>
    <t xml:space="preserve">the value at which the fixed adder would equalise expected and allowed net revenue. </t>
  </si>
  <si>
    <t>that demand charges be non-negative. The solution is selected from the last row of the table above.</t>
  </si>
  <si>
    <t xml:space="preserve">Shows the adder value that would equalise expected and allowed net revenue, subject to the constraint </t>
  </si>
  <si>
    <t xml:space="preserve">This section presents the amount by which unit charges for demand users will be raised or lowered </t>
  </si>
  <si>
    <t xml:space="preserve"> subject to the constraint that demand charges be non-negative. Adders are applied for demand users only.</t>
  </si>
  <si>
    <t>Allocates an adder to each unit rate and customer type which will equalise expected and allowed revenue,</t>
  </si>
  <si>
    <t>Adder calculated in revenue matching</t>
  </si>
  <si>
    <t>Adder to be applied to unit rates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</si>
  <si>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</si>
  <si>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</si>
  <si>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</si>
  <si>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</si>
  <si>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</si>
  <si>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</si>
  <si>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</si>
  <si>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</si>
  <si>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</si>
  <si>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</si>
  <si>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</si>
  <si>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</si>
  <si>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</si>
  <si>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</si>
  <si>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</si>
  <si>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</si>
  <si>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</si>
  <si>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</si>
  <si>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</si>
  <si>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</si>
  <si>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</si>
  <si>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</si>
  <si>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</si>
  <si>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</si>
  <si>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</si>
  <si>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</si>
  <si>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</si>
  <si>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</si>
  <si>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</si>
  <si>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</si>
  <si>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</si>
  <si>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</si>
  <si>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</si>
  <si>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</si>
  <si>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</si>
  <si>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</si>
  <si>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</si>
  <si>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</si>
  <si>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</si>
  <si>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</si>
  <si>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</si>
  <si>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</si>
  <si>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</si>
  <si>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</si>
  <si>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</si>
  <si>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</si>
  <si>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</si>
  <si>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</si>
  <si>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</si>
  <si>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</si>
  <si>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</si>
  <si>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</si>
  <si>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</si>
  <si>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</si>
  <si>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</si>
  <si>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</si>
  <si>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</si>
  <si>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</si>
  <si>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</si>
  <si>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</si>
  <si>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</si>
  <si>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</si>
  <si>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</si>
  <si>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</si>
  <si>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</si>
  <si>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</si>
  <si>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</si>
  <si>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</si>
  <si>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</si>
  <si>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</si>
  <si>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</si>
  <si>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</si>
  <si>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</si>
  <si>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</si>
  <si>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</si>
  <si>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</si>
  <si>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</si>
  <si>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</si>
  <si>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</si>
  <si>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</si>
  <si>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</si>
  <si>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</si>
  <si>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</si>
  <si>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</si>
  <si>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</si>
  <si>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</si>
  <si>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</si>
  <si>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</si>
  <si>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</si>
  <si>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</si>
  <si>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</si>
  <si>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</si>
  <si>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</si>
  <si>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</si>
  <si>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</si>
  <si>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</si>
  <si>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</si>
  <si>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</si>
  <si>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</si>
  <si>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</si>
  <si>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</si>
  <si>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</si>
  <si>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</si>
  <si>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</si>
  <si>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</si>
  <si>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</si>
  <si>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</si>
  <si>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</si>
  <si>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</si>
  <si>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</si>
  <si>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</si>
  <si>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</si>
  <si>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</si>
  <si>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</si>
  <si>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</si>
  <si>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</si>
  <si>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</si>
  <si>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</si>
  <si>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</si>
  <si>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</si>
  <si>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</si>
  <si>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</si>
  <si>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</si>
  <si>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</si>
  <si>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 xml:space="preserve">to equalise expected and allowed revenue, subject to the constraint that demand charges are non-negative. </t>
  </si>
  <si>
    <t>Total revenue check</t>
  </si>
  <si>
    <t>Summary of error checks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</si>
  <si>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</si>
  <si>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</si>
  <si>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</si>
  <si>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</si>
  <si>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</si>
  <si>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</si>
  <si>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</si>
  <si>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</si>
  <si>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</si>
  <si>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</si>
  <si>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</si>
  <si>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</si>
  <si>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</si>
  <si>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</si>
  <si>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</si>
  <si>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</si>
  <si>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</si>
  <si>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</si>
  <si>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</si>
  <si>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</si>
  <si>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</si>
  <si>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</si>
  <si>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</si>
  <si>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</si>
  <si>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</si>
  <si>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</si>
  <si>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</si>
  <si>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</si>
  <si>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</si>
  <si>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</si>
  <si>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</si>
  <si>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</si>
  <si>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</si>
  <si>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</si>
  <si>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</si>
  <si>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</si>
  <si>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</si>
  <si>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</si>
  <si>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</si>
  <si>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</si>
  <si>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</si>
  <si>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</si>
  <si>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</si>
  <si>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</si>
  <si>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</si>
  <si>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</si>
  <si>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</si>
  <si>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</si>
  <si>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</si>
  <si>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</si>
  <si>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</si>
  <si>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</si>
  <si>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</si>
  <si>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</si>
  <si>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</si>
  <si>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</si>
  <si>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</si>
  <si>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</si>
  <si>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</si>
  <si>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</si>
  <si>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</si>
  <si>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</si>
  <si>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</si>
  <si>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</si>
  <si>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</si>
  <si>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</si>
  <si>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</si>
  <si>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</si>
  <si>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</si>
  <si>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</si>
  <si>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</si>
  <si>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</si>
  <si>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</si>
  <si>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</si>
  <si>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</si>
  <si>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</si>
  <si>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</si>
  <si>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</si>
  <si>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</si>
  <si>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</si>
  <si>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</si>
  <si>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</si>
  <si>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</si>
  <si>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</si>
  <si>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</si>
  <si>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</si>
  <si>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</si>
  <si>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</si>
  <si>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</si>
  <si>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</si>
  <si>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</si>
  <si>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</si>
  <si>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</si>
  <si>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</si>
  <si>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</si>
  <si>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</si>
  <si>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</si>
  <si>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</si>
  <si>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</si>
  <si>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</si>
  <si>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</si>
  <si>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</si>
  <si>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</si>
  <si>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</si>
  <si>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Cumulative units, aggregating across tariff / unit rates from lowest to highest adder threshold.</t>
  </si>
  <si>
    <t>Exact constrained adder value at which expected net revenue = allowed net revenue</t>
  </si>
  <si>
    <t xml:space="preserve">Check that adder constraint is compatible with revenue matching 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</si>
  <si>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</si>
  <si>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</si>
  <si>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</si>
  <si>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</si>
  <si>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</si>
  <si>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</si>
  <si>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</si>
  <si>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</si>
  <si>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</si>
  <si>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</si>
  <si>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</si>
  <si>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</si>
  <si>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</si>
  <si>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© All rights reserved by Cambridge Economic Policy Associates Ltd (CEPA) and TNEI Services Ltd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</si>
  <si>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</si>
  <si>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</si>
  <si>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</si>
  <si>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</si>
  <si>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</si>
  <si>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</si>
  <si>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</si>
  <si>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</si>
  <si>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</si>
  <si>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</si>
  <si>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</si>
  <si>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</si>
  <si>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</si>
  <si>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</si>
  <si>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</si>
  <si>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</si>
  <si>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</si>
  <si>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</si>
  <si>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</si>
  <si>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</si>
  <si>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</si>
  <si>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</si>
  <si>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</si>
  <si>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</si>
  <si>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</si>
  <si>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</si>
  <si>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</si>
  <si>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</si>
  <si>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</si>
  <si>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</si>
  <si>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</si>
  <si>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</si>
  <si>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</si>
  <si>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</si>
  <si>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</si>
  <si>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</si>
  <si>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</si>
  <si>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</si>
  <si>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</si>
  <si>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</si>
  <si>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Paragraph 54 and Schedule 15 Table 1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</si>
  <si>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</si>
  <si>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</si>
  <si>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</si>
  <si>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</si>
  <si>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</si>
  <si>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</si>
  <si>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</si>
  <si>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</si>
  <si>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</si>
  <si>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</si>
  <si>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</si>
  <si>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</si>
  <si>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</si>
  <si>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</si>
  <si>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</si>
  <si>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</si>
  <si>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</si>
  <si>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</si>
  <si>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</si>
  <si>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</si>
  <si>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</si>
  <si>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</si>
  <si>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</si>
  <si>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</si>
  <si>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</si>
  <si>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</si>
  <si>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</si>
  <si>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</si>
  <si>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</si>
  <si>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</si>
  <si>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</si>
  <si>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</si>
  <si>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</si>
  <si>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</si>
  <si>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</si>
  <si>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</si>
  <si>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</si>
  <si>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</si>
  <si>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</si>
  <si>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</si>
  <si>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</si>
  <si>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</si>
  <si>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</si>
  <si>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</si>
  <si>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</si>
  <si>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</si>
  <si>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</si>
  <si>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</si>
  <si>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</si>
  <si>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92</t>
  </si>
  <si>
    <t>Paragraph 93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</si>
  <si>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</si>
  <si>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</si>
  <si>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</si>
  <si>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</si>
  <si>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</si>
  <si>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</si>
  <si>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</si>
  <si>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</si>
  <si>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</si>
  <si>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</si>
  <si>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</si>
  <si>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</si>
  <si>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</si>
  <si>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</si>
  <si>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</si>
  <si>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</si>
  <si>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</si>
  <si>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</si>
  <si>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</si>
  <si>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</si>
  <si>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</si>
  <si>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</si>
  <si>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</si>
  <si>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</si>
  <si>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</si>
  <si>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</si>
  <si>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</si>
  <si>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</si>
  <si>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</si>
  <si>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</si>
  <si>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</si>
  <si>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</si>
  <si>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</si>
  <si>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</si>
  <si>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</si>
  <si>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</si>
  <si>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</si>
  <si>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</si>
  <si>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</si>
  <si>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</si>
  <si>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</si>
  <si>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</si>
  <si>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</si>
  <si>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</si>
  <si>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</si>
  <si>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</si>
  <si>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</si>
  <si>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</si>
  <si>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</si>
  <si>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</si>
  <si>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</si>
  <si>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recovered under UoS charges)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</si>
  <si>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</si>
  <si>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</si>
  <si>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</si>
  <si>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</si>
  <si>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</si>
  <si>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</si>
  <si>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</si>
  <si>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</si>
  <si>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</si>
  <si>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</si>
  <si>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</si>
  <si>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</si>
  <si>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</si>
  <si>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</si>
  <si>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</si>
  <si>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</si>
  <si>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</si>
  <si>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</si>
  <si>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</si>
  <si>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</si>
  <si>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</si>
  <si>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</si>
  <si>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</si>
  <si>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</si>
  <si>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</si>
  <si>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</si>
  <si>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</si>
  <si>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</si>
  <si>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</si>
  <si>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</si>
  <si>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</si>
  <si>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</si>
  <si>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</si>
  <si>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</si>
  <si>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</si>
  <si>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</si>
  <si>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</si>
  <si>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</si>
  <si>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</si>
  <si>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</si>
  <si>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</si>
  <si>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</si>
  <si>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</si>
  <si>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</si>
  <si>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</si>
  <si>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</si>
  <si>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</si>
  <si>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</si>
  <si>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</si>
  <si>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</si>
  <si>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</si>
  <si>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</si>
  <si>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</si>
  <si>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</si>
  <si>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</si>
  <si>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</si>
  <si>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</si>
  <si>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</si>
  <si>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</si>
  <si>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</si>
  <si>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</si>
  <si>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</si>
  <si>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</si>
  <si>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</si>
  <si>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</si>
  <si>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</si>
  <si>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</si>
  <si>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</si>
  <si>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</si>
  <si>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</si>
  <si>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</si>
  <si>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</si>
  <si>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</si>
  <si>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</si>
  <si>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</si>
  <si>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</si>
  <si>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</si>
  <si>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</si>
  <si>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</si>
  <si>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</si>
  <si>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</si>
  <si>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</si>
  <si>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</si>
  <si>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</si>
  <si>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</si>
  <si>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</si>
  <si>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</si>
  <si>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</si>
  <si>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</si>
  <si>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</si>
  <si>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</si>
  <si>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</si>
  <si>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</si>
  <si>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</si>
  <si>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</si>
  <si>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</si>
  <si>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</si>
  <si>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</si>
  <si>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</si>
  <si>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</si>
  <si>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</si>
  <si>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</si>
  <si>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</si>
  <si>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</si>
  <si>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</si>
  <si>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</si>
  <si>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</si>
  <si>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</si>
  <si>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</si>
  <si>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</si>
  <si>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</si>
  <si>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</si>
  <si>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</si>
  <si>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</si>
  <si>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</si>
  <si>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</si>
  <si>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</si>
  <si>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</si>
  <si>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</si>
  <si>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</si>
  <si>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</si>
  <si>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</si>
  <si>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</si>
  <si>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</si>
  <si>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</si>
  <si>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</si>
  <si>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</si>
  <si>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>"Latest forecast of CDCM Revenue" is the only row used as an input to the model itself</t>
  </si>
  <si>
    <t xml:space="preserve">Sets the proportion of costs to be recovered through fixed and capacity charge components. </t>
  </si>
  <si>
    <t>Unless stated otherwise, this workbook is only a prototype for testing purposes and all the data in this model are for illustration only. Neither the authors nor Cambridge Economic Policy Associates/TNEI accept or assume any responsibility or duty of care to any third party.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</si>
  <si>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</si>
  <si>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</si>
  <si>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</t>
  </si>
  <si>
    <t>Domestic Aggregated (Related MPAN)</t>
  </si>
  <si>
    <t>Non-Domestic Aggregated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</si>
  <si>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</si>
  <si>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</si>
  <si>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</si>
  <si>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</si>
  <si>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</si>
  <si>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</si>
  <si>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</si>
  <si>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</si>
  <si>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</si>
  <si>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</si>
  <si>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</si>
  <si>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</si>
  <si>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</si>
  <si>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</si>
  <si>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</si>
  <si>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</si>
  <si>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</si>
  <si>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</si>
  <si>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</si>
  <si>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</si>
  <si>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</si>
  <si>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</si>
  <si>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</si>
  <si>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</si>
  <si>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</si>
  <si>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</si>
  <si>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Unit rate 1 p/kWh_Domestic Aggregated</t>
  </si>
  <si>
    <t>Unit rate 1 p/kWh_Domestic Aggregated (Related MPAN)</t>
  </si>
  <si>
    <t>Unit rate 1 p/kWh_Non-Domestic Aggregated</t>
  </si>
  <si>
    <t>Unit rate 1 p/kWh_Non-Domestic Aggregated (Related MPAN)</t>
  </si>
  <si>
    <t>Unit rate 1 p/kWh_LV Site Specific</t>
  </si>
  <si>
    <t>Unit rate 1 p/kWh_LV Sub Site Specific</t>
  </si>
  <si>
    <t>Unit rate 1 p/kWh_HV Site Specific</t>
  </si>
  <si>
    <t>Unit rate 1 p/kWh_Unmetered Supplies</t>
  </si>
  <si>
    <t>Unit rate 1 p/kWh_LV Generation Aggregated</t>
  </si>
  <si>
    <t>Unit rate 1 p/kWh_LV Sub Generation Aggregated</t>
  </si>
  <si>
    <t>Unit rate 1 p/kWh_LV Generation Site Specific</t>
  </si>
  <si>
    <t>Unit rate 1 p/kWh_LV Generation Site Specific no RP Charge</t>
  </si>
  <si>
    <t>Unit rate 1 p/kWh_LV Sub Generation Site Specific</t>
  </si>
  <si>
    <t>Unit rate 1 p/kWh_LV Sub Generation Site Specific no RP Charge</t>
  </si>
  <si>
    <t>Unit rate 1 p/kWh_HV Generation Site Specific</t>
  </si>
  <si>
    <t>Unit rate 1 p/kWh_HV Generation Site Specific no RP Charge</t>
  </si>
  <si>
    <t>Unit rate 2 p/kWh_Domestic Aggregated</t>
  </si>
  <si>
    <t>Unit rate 2 p/kWh_Domestic Aggregated (Related MPAN)</t>
  </si>
  <si>
    <t>Unit rate 2 p/kWh_Non-Domestic Aggregated</t>
  </si>
  <si>
    <t>Unit rate 2 p/kWh_Non-Domestic Aggregated (Related MPAN)</t>
  </si>
  <si>
    <t>Unit rate 2 p/kWh_LV Site Specific</t>
  </si>
  <si>
    <t>Unit rate 2 p/kWh_LV Sub Site Specific</t>
  </si>
  <si>
    <t>Unit rate 2 p/kWh_HV Site Specific</t>
  </si>
  <si>
    <t>Unit rate 2 p/kWh_Unmetered Supplies</t>
  </si>
  <si>
    <t>Unit rate 2 p/kWh_LV Generation Aggregated</t>
  </si>
  <si>
    <t>Unit rate 2 p/kWh_LV Sub Generation Aggregated</t>
  </si>
  <si>
    <t>Unit rate 2 p/kWh_LV Generation Site Specific</t>
  </si>
  <si>
    <t>Unit rate 2 p/kWh_LV Generation Site Specific no RP Charge</t>
  </si>
  <si>
    <t>Unit rate 2 p/kWh_LV Sub Generation Site Specific</t>
  </si>
  <si>
    <t>Unit rate 2 p/kWh_LV Sub Generation Site Specific no RP Charge</t>
  </si>
  <si>
    <t>Unit rate 2 p/kWh_HV Generation Site Specific</t>
  </si>
  <si>
    <t>Unit rate 2 p/kWh_HV Generation Site Specific no RP Charge</t>
  </si>
  <si>
    <t>Unit rate 3 p/kWh_Domestic Aggregated</t>
  </si>
  <si>
    <t>Unit rate 3 p/kWh_Domestic Aggregated (Related MPAN)</t>
  </si>
  <si>
    <t>Unit rate 3 p/kWh_Non-Domestic Aggregated</t>
  </si>
  <si>
    <t>Unit rate 3 p/kWh_Non-Domestic Aggregated (Related MPAN)</t>
  </si>
  <si>
    <t>Unit rate 3 p/kWh_LV Site Specific</t>
  </si>
  <si>
    <t>Unit rate 3 p/kWh_LV Sub Site Specific</t>
  </si>
  <si>
    <t>Unit rate 3 p/kWh_HV Site Specific</t>
  </si>
  <si>
    <t>Unit rate 3 p/kWh_Unmetered Supplies</t>
  </si>
  <si>
    <t>Unit rate 3 p/kWh_LV Generation Aggregated</t>
  </si>
  <si>
    <t>Unit rate 3 p/kWh_LV Sub Generation Aggregated</t>
  </si>
  <si>
    <t>Unit rate 3 p/kWh_LV Generation Site Specific</t>
  </si>
  <si>
    <t>Unit rate 3 p/kWh_LV Generation Site Specific no RP Charge</t>
  </si>
  <si>
    <t>Unit rate 3 p/kWh_LV Sub Generation Site Specific</t>
  </si>
  <si>
    <t>Unit rate 3 p/kWh_LV Sub Generation Site Specific no RP Charge</t>
  </si>
  <si>
    <t>Unit rate 3 p/kWh_HV Generation Site Specific</t>
  </si>
  <si>
    <t>Unit rate 3 p/kWh_HV Generation Site Specific no RP Charge</t>
  </si>
  <si>
    <t>Input 505</t>
  </si>
  <si>
    <t>Input 506</t>
  </si>
  <si>
    <t>Input 507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</si>
  <si>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</si>
  <si>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</si>
  <si>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</si>
  <si>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Pass-through Supplier of Last Resort Adjustment</t>
  </si>
  <si>
    <t>Pass-through Eligible Bad Debt Adjustment</t>
  </si>
  <si>
    <t>Paragraph 64</t>
  </si>
  <si>
    <t>Pass-through costs not allocated through revenue matching</t>
  </si>
  <si>
    <t>Target CDCM net revenue, less applicable pass-through costs</t>
  </si>
  <si>
    <t>Paragraph 90A</t>
  </si>
  <si>
    <t>Expected revenue from unit rate adder, by tariff (pre-rounding)</t>
  </si>
  <si>
    <t>Total expected revenue from unit rate adder, post scaling (pre-rounding)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</si>
  <si>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</si>
  <si>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</si>
  <si>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</si>
  <si>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</si>
  <si>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</si>
  <si>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</si>
  <si>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</si>
  <si>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</si>
  <si>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</si>
  <si>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</si>
  <si>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</si>
  <si>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</si>
  <si>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</si>
  <si>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</si>
  <si>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</si>
  <si>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</si>
  <si>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</si>
  <si>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to be applied to fixed charge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</si>
  <si>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</si>
  <si>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</si>
  <si>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</si>
  <si>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</si>
  <si>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</si>
  <si>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unit rate adder</t>
  </si>
  <si>
    <t>Net revenue from fixed rate adder, CDCM</t>
  </si>
  <si>
    <t>Net revenue from fixed rate adder, EDCM</t>
  </si>
  <si>
    <t>Designated Property' MPANs with EDCM-level LDNO boundaries</t>
  </si>
  <si>
    <t>2021/22</t>
  </si>
  <si>
    <t>Fixed charge adder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</si>
  <si>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</si>
  <si>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</si>
  <si>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</si>
  <si>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Release for 2021/22 charge setting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</si>
  <si>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</si>
  <si>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</si>
  <si>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</si>
  <si>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</si>
  <si>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One</t>
  </si>
  <si>
    <t>SP Distribution</t>
  </si>
  <si>
    <t>16:30 - 19:30</t>
  </si>
  <si>
    <t>08:00 - 16:30
19:30 - 22:30</t>
  </si>
  <si>
    <t>00:00 - 08:00
22:30 - 00:00</t>
  </si>
  <si>
    <t>16:00 - 20:00</t>
  </si>
  <si>
    <t>00:00 - 16:00
20:00 - 00:00</t>
  </si>
  <si>
    <t>08:00 - 22:30</t>
  </si>
  <si>
    <t>Other 4. Increase in UoS tariffs relating to Supplier of Last Resort derogation</t>
  </si>
  <si>
    <t>Other 5. Lead/Lag</t>
  </si>
  <si>
    <t>There are no published 'ARP_Inputs by customer type' prior to 2021/22 inline with the new DCP268 tariffs hence these entries have been left 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</si>
</sst>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491">
    <xf numFmtId="0" fontId="0" fillId="0" borderId="0" xfId="0"/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49" fontId="0" fillId="0" borderId="0" xfId="0" applyNumberFormat="1"/>
    <xf numFmtId="0" fontId="0" fillId="0" borderId="0" xfId="0" applyAlignment="1">
      <alignment horizontal="right" vertical="top"/>
    </xf>
    <xf numFmtId="0" fontId="0" fillId="0" borderId="0" xfId="0" applyFill="1"/>
    <xf numFmtId="0" fontId="0" fillId="0" borderId="0" xfId="0"/>
    <xf numFmtId="0" fontId="22" fillId="37" borderId="0" xfId="48"/>
    <xf numFmtId="0" fontId="1" fillId="3" borderId="0" xfId="1" applyNumberFormat="1" applyAlignment="1">
      <alignment horizontal="right"/>
    </xf>
    <xf numFmtId="49" fontId="1" fillId="3" borderId="0" xfId="1" applyNumberFormat="1" applyAlignment="1">
      <alignment horizontal="left" vertical="center" wrapText="1"/>
    </xf>
    <xf numFmtId="0" fontId="1" fillId="3" borderId="0" xfId="1" applyNumberFormat="1" applyAlignment="1"/>
    <xf numFmtId="49" fontId="1" fillId="3" borderId="0" xfId="1" applyNumberFormat="1" applyAlignment="1">
      <alignment horizontal="right" vertical="center" wrapText="1"/>
    </xf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/>
    <xf numFmtId="0" fontId="7" fillId="0" borderId="0" xfId="50"/>
    <xf numFmtId="0" fontId="7" fillId="0" borderId="3" xfId="50" applyBorder="1"/>
    <xf numFmtId="0" fontId="7" fillId="0" borderId="2" xfId="50" applyBorder="1"/>
    <xf numFmtId="9" fontId="35" fillId="0" borderId="0" xfId="52" applyNumberFormat="1" applyBorder="1"/>
    <xf numFmtId="9" fontId="35" fillId="0" borderId="3" xfId="52" applyNumberFormat="1" applyBorder="1"/>
    <xf numFmtId="0" fontId="0" fillId="0" borderId="3" xfId="0" applyFill="1" applyBorder="1"/>
    <xf numFmtId="0" fontId="0" fillId="0" borderId="0" xfId="0" applyFont="1" applyAlignment="1">
      <alignment vertical="center"/>
    </xf>
    <xf numFmtId="0" fontId="0" fillId="0" borderId="0" xfId="0" applyFont="1" applyAlignment="1">
      <alignment vertical="top"/>
    </xf>
    <xf numFmtId="0" fontId="24" fillId="0" borderId="0" xfId="0" applyFont="1" applyAlignment="1">
      <alignment vertical="top" wrapText="1"/>
    </xf>
    <xf numFmtId="0" fontId="0" fillId="0" borderId="0" xfId="0" applyFont="1" applyAlignment="1">
      <alignment horizontal="left" vertical="top" wrapText="1"/>
    </xf>
    <xf numFmtId="0" fontId="23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7" fillId="0" borderId="0" xfId="0" applyFont="1" applyAlignment="1">
      <alignment horizontal="left"/>
    </xf>
    <xf numFmtId="0" fontId="26" fillId="0" borderId="0" xfId="54" applyNumberFormat="1" applyAlignment="1">
      <alignment vertical="top"/>
    </xf>
    <xf numFmtId="0" fontId="24" fillId="0" borderId="0" xfId="0" applyFont="1" applyAlignment="1">
      <alignment vertical="top"/>
    </xf>
    <xf numFmtId="0" fontId="25" fillId="0" borderId="0" xfId="0" applyFont="1" applyAlignment="1">
      <alignment horizontal="left" vertical="top"/>
    </xf>
    <xf numFmtId="0" fontId="0" fillId="0" borderId="0" xfId="0" applyFont="1" applyAlignment="1">
      <alignment horizontal="center" vertical="center"/>
    </xf>
    <xf numFmtId="0" fontId="1" fillId="3" borderId="2" xfId="1" applyNumberFormat="1" applyBorder="1" applyAlignment="1">
      <alignment horizontal="right"/>
    </xf>
    <xf numFmtId="4" fontId="1" fillId="5" borderId="0" xfId="49" applyNumberFormat="1"/>
    <xf numFmtId="167" fontId="34" fillId="0" borderId="2" xfId="56" applyNumberFormat="1" applyBorder="1"/>
    <xf numFmtId="0" fontId="1" fillId="3" borderId="0" xfId="1" applyNumberFormat="1" applyBorder="1" applyAlignment="1"/>
    <xf numFmtId="0" fontId="1" fillId="3" borderId="0" xfId="1" applyNumberFormat="1" applyBorder="1" applyAlignment="1">
      <alignment horizontal="right"/>
    </xf>
    <xf numFmtId="0" fontId="7" fillId="0" borderId="3" xfId="50" applyBorder="1" applyAlignment="1">
      <alignment horizontal="left"/>
    </xf>
    <xf numFmtId="9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0" fontId="7" fillId="0" borderId="0" xfId="50" applyBorder="1" applyAlignment="1">
      <alignment horizontal="left"/>
    </xf>
    <xf numFmtId="0" fontId="7" fillId="0" borderId="2" xfId="50" applyBorder="1" applyAlignment="1">
      <alignment horizontal="left"/>
    </xf>
    <xf numFmtId="0" fontId="23" fillId="0" borderId="0" xfId="0" applyFont="1" applyAlignment="1">
      <alignment horizontal="right"/>
    </xf>
    <xf numFmtId="0" fontId="0" fillId="0" borderId="0" xfId="0"/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1" fillId="5" borderId="0" xfId="49" applyAlignment="1">
      <alignment vertical="center"/>
    </xf>
    <xf numFmtId="0" fontId="29" fillId="3" borderId="0" xfId="1" applyNumberFormat="1" applyFont="1" applyAlignme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" fillId="3" borderId="0" xfId="1" applyNumberFormat="1" applyFont="1" applyAlignment="1"/>
    <xf numFmtId="0" fontId="8" fillId="0" borderId="0" xfId="0" applyFont="1"/>
    <xf numFmtId="0" fontId="1" fillId="5" borderId="0" xfId="49" applyFont="1" applyAlignment="1">
      <alignment vertical="center"/>
    </xf>
    <xf numFmtId="0" fontId="1" fillId="5" borderId="0" xfId="49" applyFont="1" applyAlignment="1">
      <alignment vertical="center" wrapText="1"/>
    </xf>
    <xf numFmtId="166" fontId="6" fillId="0" borderId="0" xfId="52" applyNumberFormat="1" applyFont="1" applyBorder="1" applyAlignment="1">
      <alignment horizontal="left" vertical="center" wrapText="1"/>
    </xf>
    <xf numFmtId="0" fontId="6" fillId="0" borderId="0" xfId="52" applyNumberFormat="1" applyFont="1" applyBorder="1" applyAlignment="1">
      <alignment horizontal="left" vertical="center" wrapText="1"/>
    </xf>
    <xf numFmtId="0" fontId="1" fillId="3" borderId="0" xfId="1" applyNumberFormat="1" applyFont="1" applyAlignment="1">
      <alignment vertical="center" wrapText="1"/>
    </xf>
    <xf numFmtId="0" fontId="1" fillId="3" borderId="0" xfId="1" applyNumberFormat="1" applyFont="1" applyAlignment="1">
      <alignment vertical="center"/>
    </xf>
    <xf numFmtId="0" fontId="2" fillId="0" borderId="0" xfId="53" applyFont="1"/>
    <xf numFmtId="0" fontId="8" fillId="0" borderId="2" xfId="0" applyFont="1" applyBorder="1"/>
    <xf numFmtId="0" fontId="8" fillId="0" borderId="0" xfId="0" applyFont="1" applyFill="1" applyBorder="1"/>
    <xf numFmtId="0" fontId="8" fillId="0" borderId="0" xfId="0" applyFont="1" applyBorder="1"/>
    <xf numFmtId="0" fontId="8" fillId="0" borderId="3" xfId="0" applyFont="1" applyBorder="1"/>
    <xf numFmtId="0" fontId="8" fillId="4" borderId="4" xfId="55" applyNumberFormat="1" applyBorder="1">
      <alignment vertical="top"/>
    </xf>
    <xf numFmtId="9" fontId="0" fillId="0" borderId="2" xfId="0" applyNumberFormat="1" applyBorder="1"/>
    <xf numFmtId="0" fontId="22" fillId="37" borderId="0" xfId="48" applyBorder="1"/>
    <xf numFmtId="0" fontId="1" fillId="5" borderId="0" xfId="49" applyBorder="1"/>
    <xf numFmtId="0" fontId="0" fillId="0" borderId="0" xfId="0" applyBorder="1" applyAlignment="1">
      <alignment horizontal="right"/>
    </xf>
    <xf numFmtId="0" fontId="31" fillId="0" borderId="0" xfId="0" applyFont="1"/>
    <xf numFmtId="169" fontId="0" fillId="0" borderId="0" xfId="0" applyNumberFormat="1"/>
    <xf numFmtId="0" fontId="5" fillId="0" borderId="0" xfId="53" applyFont="1"/>
    <xf numFmtId="4" fontId="0" fillId="0" borderId="4" xfId="0" applyNumberFormat="1" applyBorder="1"/>
    <xf numFmtId="0" fontId="1" fillId="5" borderId="0" xfId="0" applyFont="1" applyFill="1"/>
    <xf numFmtId="0" fontId="0" fillId="5" borderId="0" xfId="0" applyFill="1"/>
    <xf numFmtId="0" fontId="0" fillId="0" borderId="4" xfId="0" applyBorder="1"/>
    <xf numFmtId="4" fontId="0" fillId="0" borderId="2" xfId="0" applyNumberFormat="1" applyBorder="1"/>
    <xf numFmtId="0" fontId="0" fillId="0" borderId="0" xfId="0" applyFont="1"/>
    <xf numFmtId="0" fontId="7" fillId="0" borderId="0" xfId="50" applyBorder="1"/>
    <xf numFmtId="0" fontId="7" fillId="0" borderId="4" xfId="50" applyBorder="1"/>
    <xf numFmtId="0" fontId="28" fillId="5" borderId="0" xfId="0" applyFont="1" applyFill="1"/>
    <xf numFmtId="0" fontId="8" fillId="4" borderId="0" xfId="55" applyNumberFormat="1">
      <alignment vertical="top"/>
    </xf>
    <xf numFmtId="0" fontId="5" fillId="5" borderId="0" xfId="0" applyFont="1" applyFill="1"/>
    <xf numFmtId="0" fontId="0" fillId="0" borderId="0" xfId="0" applyFill="1" applyBorder="1"/>
    <xf numFmtId="0" fontId="36" fillId="0" borderId="0" xfId="58"/>
    <xf numFmtId="10" fontId="0" fillId="0" borderId="0" xfId="0" applyNumberFormat="1"/>
    <xf numFmtId="0" fontId="34" fillId="0" borderId="0" xfId="56" applyNumberFormat="1" applyBorder="1" applyAlignment="1">
      <alignment horizontal="right"/>
    </xf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9" fontId="0" fillId="0" borderId="0" xfId="0" applyNumberFormat="1"/>
    <xf numFmtId="4" fontId="0" fillId="0" borderId="0" xfId="0" applyNumberForma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applyBorder="1" applyAlignment="1">
      <alignment vertical="top"/>
    </xf>
    <xf numFmtId="0" fontId="1" fillId="5" borderId="0" xfId="49"/>
    <xf numFmtId="0" fontId="2" fillId="0" borderId="0" xfId="53"/>
    <xf numFmtId="0" fontId="0" fillId="0" borderId="3" xfId="0" applyBorder="1" applyAlignment="1">
      <alignment vertical="top"/>
    </xf>
    <xf numFmtId="0" fontId="5" fillId="0" borderId="0" xfId="0" applyFont="1"/>
    <xf numFmtId="0" fontId="0" fillId="0" borderId="0" xfId="0" applyFont="1" applyBorder="1" applyAlignment="1"/>
    <xf numFmtId="0" fontId="0" fillId="0" borderId="3" xfId="0" applyFont="1" applyBorder="1" applyAlignment="1"/>
    <xf numFmtId="0" fontId="8" fillId="4" borderId="0" xfId="55" applyNumberFormat="1" applyBorder="1">
      <alignment vertical="top"/>
    </xf>
    <xf numFmtId="0" fontId="8" fillId="4" borderId="3" xfId="55" applyNumberFormat="1" applyBorder="1">
      <alignment vertical="top"/>
    </xf>
    <xf numFmtId="0" fontId="0" fillId="0" borderId="2" xfId="0" applyFont="1" applyBorder="1" applyAlignment="1"/>
    <xf numFmtId="4" fontId="34" fillId="0" borderId="2" xfId="56" applyNumberFormat="1" applyBorder="1"/>
    <xf numFmtId="4" fontId="34" fillId="0" borderId="3" xfId="56" applyNumberFormat="1" applyBorder="1"/>
    <xf numFmtId="0" fontId="8" fillId="4" borderId="2" xfId="55" applyNumberFormat="1" applyBorder="1">
      <alignment vertical="top"/>
    </xf>
    <xf numFmtId="9" fontId="7" fillId="0" borderId="2" xfId="50" applyNumberFormat="1" applyBorder="1"/>
    <xf numFmtId="0" fontId="0" fillId="0" borderId="0" xfId="0" applyAlignment="1">
      <alignment horizontal="left"/>
    </xf>
    <xf numFmtId="0" fontId="7" fillId="0" borderId="0" xfId="50" applyAlignment="1">
      <alignment horizontal="left"/>
    </xf>
    <xf numFmtId="165" fontId="35" fillId="0" borderId="0" xfId="52" applyNumberFormat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34" fillId="0" borderId="0" xfId="56" applyNumberFormat="1" applyBorder="1"/>
    <xf numFmtId="3" fontId="34" fillId="0" borderId="0" xfId="56" applyNumberFormat="1" applyBorder="1"/>
    <xf numFmtId="0" fontId="34" fillId="0" borderId="3" xfId="56" applyNumberFormat="1" applyBorder="1"/>
    <xf numFmtId="9" fontId="7" fillId="0" borderId="3" xfId="50" applyNumberFormat="1" applyBorder="1"/>
    <xf numFmtId="10" fontId="8" fillId="0" borderId="0" xfId="55" applyNumberFormat="1" applyFill="1" applyBorder="1">
      <alignment vertical="top"/>
    </xf>
    <xf numFmtId="9" fontId="35" fillId="0" borderId="4" xfId="52" applyNumberFormat="1" applyBorder="1"/>
    <xf numFmtId="0" fontId="1" fillId="3" borderId="2" xfId="1" applyNumberFormat="1" applyBorder="1" applyAlignment="1">
      <alignment horizontal="right" vertical="top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2" fillId="0" borderId="0" xfId="53" applyAlignment="1">
      <alignment vertical="center"/>
    </xf>
    <xf numFmtId="0" fontId="7" fillId="0" borderId="0" xfId="50" applyNumberFormat="1" applyBorder="1" applyAlignment="1"/>
    <xf numFmtId="0" fontId="7" fillId="0" borderId="3" xfId="50" applyNumberFormat="1" applyBorder="1" applyAlignment="1"/>
    <xf numFmtId="0" fontId="7" fillId="0" borderId="2" xfId="50" applyNumberFormat="1" applyBorder="1" applyAlignment="1"/>
    <xf numFmtId="0" fontId="1" fillId="3" borderId="0" xfId="1" applyNumberFormat="1" applyBorder="1" applyAlignment="1">
      <alignment horizontal="left"/>
    </xf>
    <xf numFmtId="0" fontId="1" fillId="5" borderId="0" xfId="49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9" fontId="8" fillId="4" borderId="2" xfId="55" applyNumberFormat="1" applyBorder="1">
      <alignment vertical="top"/>
    </xf>
    <xf numFmtId="3" fontId="0" fillId="0" borderId="0" xfId="0" applyNumberFormat="1"/>
    <xf numFmtId="49" fontId="33" fillId="3" borderId="0" xfId="1" applyNumberFormat="1" applyFont="1" applyAlignment="1">
      <alignment horizontal="left" vertical="center"/>
    </xf>
    <xf numFmtId="0" fontId="36" fillId="0" borderId="0" xfId="58" applyBorder="1"/>
    <xf numFmtId="9" fontId="34" fillId="0" borderId="0" xfId="56" applyBorder="1"/>
    <xf numFmtId="9" fontId="34" fillId="0" borderId="2" xfId="56" applyBorder="1"/>
    <xf numFmtId="0" fontId="34" fillId="0" borderId="0" xfId="56" applyNumberFormat="1" applyBorder="1" applyAlignment="1">
      <alignment horizontal="left"/>
    </xf>
    <xf numFmtId="170" fontId="34" fillId="0" borderId="0" xfId="56" applyNumberFormat="1"/>
    <xf numFmtId="170" fontId="34" fillId="0" borderId="3" xfId="56" applyNumberFormat="1" applyBorder="1"/>
    <xf numFmtId="0" fontId="34" fillId="0" borderId="2" xfId="56" applyNumberFormat="1" applyBorder="1"/>
    <xf numFmtId="167" fontId="34" fillId="0" borderId="0" xfId="56" applyNumberFormat="1"/>
    <xf numFmtId="9" fontId="34" fillId="0" borderId="0" xfId="56"/>
    <xf numFmtId="0" fontId="2" fillId="0" borderId="0" xfId="53" applyNumberFormat="1" applyBorder="1" applyAlignment="1"/>
    <xf numFmtId="0" fontId="0" fillId="0" borderId="3" xfId="0" applyBorder="1" applyAlignment="1">
      <alignment horizontal="right"/>
    </xf>
    <xf numFmtId="0" fontId="2" fillId="0" borderId="0" xfId="53" applyBorder="1"/>
    <xf numFmtId="0" fontId="1" fillId="3" borderId="0" xfId="1" applyNumberFormat="1" applyBorder="1" applyAlignment="1">
      <alignment horizontal="right" wrapText="1"/>
    </xf>
    <xf numFmtId="0" fontId="35" fillId="0" borderId="0" xfId="52" applyBorder="1" applyAlignment="1">
      <alignment horizontal="right"/>
    </xf>
    <xf numFmtId="4" fontId="1" fillId="3" borderId="0" xfId="1" applyNumberFormat="1" applyBorder="1" applyAlignment="1">
      <alignment horizontal="right"/>
    </xf>
    <xf numFmtId="0" fontId="0" fillId="0" borderId="2" xfId="0" applyFont="1" applyBorder="1"/>
    <xf numFmtId="0" fontId="35" fillId="0" borderId="0" xfId="52" applyBorder="1" applyAlignment="1">
      <alignment horizontal="left"/>
    </xf>
    <xf numFmtId="0" fontId="35" fillId="0" borderId="0" xfId="52" applyBorder="1"/>
    <xf numFmtId="0" fontId="35" fillId="0" borderId="0" xfId="52" applyNumberFormat="1" applyBorder="1"/>
    <xf numFmtId="0" fontId="1" fillId="3" borderId="0" xfId="1" applyNumberFormat="1" applyAlignment="1">
      <alignment horizontal="right" vertical="center" wrapText="1"/>
    </xf>
    <xf numFmtId="0" fontId="35" fillId="0" borderId="3" xfId="52" applyBorder="1" applyAlignment="1">
      <alignment horizontal="right"/>
    </xf>
    <xf numFmtId="0" fontId="35" fillId="0" borderId="2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9" fontId="8" fillId="4" borderId="0" xfId="55" applyNumberFormat="1" applyBorder="1" applyAlignment="1">
      <alignment horizontal="right" vertical="top"/>
    </xf>
    <xf numFmtId="0" fontId="1" fillId="5" borderId="0" xfId="49" applyAlignment="1">
      <alignment horizontal="right"/>
    </xf>
    <xf numFmtId="0" fontId="0" fillId="0" borderId="2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3" xfId="0" applyFont="1" applyBorder="1" applyAlignment="1">
      <alignment horizontal="right"/>
    </xf>
    <xf numFmtId="10" fontId="8" fillId="4" borderId="2" xfId="55" applyNumberFormat="1" applyBorder="1" applyAlignment="1">
      <alignment horizontal="right" vertical="top"/>
    </xf>
    <xf numFmtId="0" fontId="0" fillId="5" borderId="0" xfId="0" applyFill="1" applyAlignment="1">
      <alignment horizontal="left"/>
    </xf>
    <xf numFmtId="0" fontId="1" fillId="3" borderId="2" xfId="1" applyNumberFormat="1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left"/>
    </xf>
    <xf numFmtId="9" fontId="8" fillId="4" borderId="2" xfId="55" applyNumberFormat="1" applyBorder="1" applyAlignment="1">
      <alignment horizontal="right" vertical="top"/>
    </xf>
    <xf numFmtId="0" fontId="22" fillId="37" borderId="0" xfId="48" applyAlignment="1">
      <alignment horizontal="right"/>
    </xf>
    <xf numFmtId="0" fontId="22" fillId="37" borderId="0" xfId="48" applyAlignment="1">
      <alignment horizontal="left"/>
    </xf>
    <xf numFmtId="4" fontId="0" fillId="0" borderId="0" xfId="0" applyNumberFormat="1" applyAlignment="1">
      <alignment horizontal="right"/>
    </xf>
    <xf numFmtId="10" fontId="23" fillId="0" borderId="0" xfId="0" applyNumberFormat="1" applyFont="1" applyAlignment="1">
      <alignment horizontal="right"/>
    </xf>
    <xf numFmtId="9" fontId="35" fillId="0" borderId="2" xfId="52" applyNumberFormat="1" applyBorder="1"/>
    <xf numFmtId="0" fontId="7" fillId="0" borderId="0" xfId="50" applyBorder="1" applyAlignment="1"/>
    <xf numFmtId="0" fontId="8" fillId="0" borderId="2" xfId="60" applyNumberFormat="1" applyBorder="1" applyAlignment="1"/>
    <xf numFmtId="0" fontId="8" fillId="0" borderId="0" xfId="60" applyNumberFormat="1" applyBorder="1" applyAlignment="1"/>
    <xf numFmtId="0" fontId="8" fillId="0" borderId="3" xfId="60" applyNumberFormat="1" applyBorder="1" applyAlignment="1"/>
    <xf numFmtId="9" fontId="8" fillId="0" borderId="2" xfId="60" applyNumberFormat="1" applyBorder="1" applyAlignment="1"/>
    <xf numFmtId="9" fontId="8" fillId="0" borderId="3" xfId="60" applyNumberFormat="1" applyBorder="1" applyAlignment="1"/>
    <xf numFmtId="9" fontId="8" fillId="0" borderId="4" xfId="60" applyNumberFormat="1" applyBorder="1" applyAlignment="1"/>
    <xf numFmtId="0" fontId="8" fillId="0" borderId="4" xfId="60" applyNumberFormat="1" applyBorder="1" applyAlignment="1"/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4" fontId="0" fillId="0" borderId="3" xfId="0" applyNumberFormat="1" applyBorder="1"/>
    <xf numFmtId="0" fontId="1" fillId="3" borderId="0" xfId="1" applyNumberFormat="1" applyAlignment="1">
      <alignment horizontal="left"/>
    </xf>
    <xf numFmtId="164" fontId="8" fillId="4" borderId="2" xfId="55" applyBorder="1" applyAlignment="1"/>
    <xf numFmtId="0" fontId="8" fillId="0" borderId="21" xfId="60" applyNumberFormat="1" applyBorder="1" applyAlignment="1"/>
    <xf numFmtId="0" fontId="2" fillId="0" borderId="0" xfId="53" applyNumberFormat="1" applyBorder="1"/>
    <xf numFmtId="0" fontId="0" fillId="40" borderId="0" xfId="0" applyFill="1" applyBorder="1"/>
    <xf numFmtId="0" fontId="0" fillId="42" borderId="0" xfId="0" applyFill="1" applyBorder="1"/>
    <xf numFmtId="0" fontId="2" fillId="0" borderId="3" xfId="53" applyFont="1" applyBorder="1"/>
    <xf numFmtId="0" fontId="0" fillId="0" borderId="0" xfId="0"/>
    <xf numFmtId="0" fontId="0" fillId="0" borderId="0" xfId="0" applyBorder="1"/>
    <xf numFmtId="4" fontId="35" fillId="0" borderId="4" xfId="52" applyNumberFormat="1" applyBorder="1" applyAlignment="1">
      <alignment horizontal="left"/>
    </xf>
    <xf numFmtId="0" fontId="34" fillId="0" borderId="3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0" fontId="0" fillId="41" borderId="0" xfId="0" applyFill="1" applyBorder="1"/>
    <xf numFmtId="0" fontId="0" fillId="43" borderId="3" xfId="0" applyFill="1" applyBorder="1"/>
    <xf numFmtId="0" fontId="1" fillId="3" borderId="22" xfId="1" applyNumberFormat="1" applyBorder="1" applyAlignment="1"/>
    <xf numFmtId="0" fontId="26" fillId="44" borderId="0" xfId="54" quotePrefix="1" applyFill="1"/>
    <xf numFmtId="0" fontId="26" fillId="44" borderId="23" xfId="54" quotePrefix="1" applyFill="1" applyBorder="1"/>
    <xf numFmtId="0" fontId="26" fillId="0" borderId="0" xfId="54"/>
    <xf numFmtId="0" fontId="26" fillId="45" borderId="0" xfId="54" quotePrefix="1" applyFill="1"/>
    <xf numFmtId="0" fontId="26" fillId="45" borderId="23" xfId="54" quotePrefix="1" applyFill="1" applyBorder="1"/>
    <xf numFmtId="0" fontId="26" fillId="37" borderId="0" xfId="54" quotePrefix="1" applyFill="1"/>
    <xf numFmtId="0" fontId="26" fillId="37" borderId="23" xfId="54" quotePrefix="1" applyFill="1" applyBorder="1"/>
    <xf numFmtId="0" fontId="26" fillId="46" borderId="0" xfId="54" quotePrefix="1" applyFill="1"/>
    <xf numFmtId="0" fontId="26" fillId="46" borderId="23" xfId="54" quotePrefix="1" applyFill="1" applyBorder="1"/>
    <xf numFmtId="0" fontId="35" fillId="0" borderId="0" xfId="52" applyNumberFormat="1" applyBorder="1" applyAlignment="1"/>
    <xf numFmtId="10" fontId="8" fillId="0" borderId="2" xfId="60" applyNumberFormat="1" applyBorder="1" applyAlignme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2" fillId="0" borderId="0" xfId="53" applyNumberFormat="1"/>
    <xf numFmtId="168" fontId="1" fillId="5" borderId="0" xfId="0" applyNumberFormat="1" applyFont="1" applyFill="1"/>
    <xf numFmtId="10" fontId="8" fillId="4" borderId="2" xfId="55" applyNumberFormat="1" applyBorder="1">
      <alignment vertical="top"/>
    </xf>
    <xf numFmtId="0" fontId="0" fillId="47" borderId="0" xfId="0" applyFill="1" applyBorder="1"/>
    <xf numFmtId="0" fontId="7" fillId="0" borderId="0" xfId="50" applyFill="1" applyAlignment="1" applyProtection="1">
      <alignment vertical="top" wrapText="1"/>
    </xf>
    <xf numFmtId="0" fontId="0" fillId="0" borderId="0" xfId="0" applyFont="1" applyAlignment="1" applyProtection="1">
      <alignment vertical="center"/>
    </xf>
    <xf numFmtId="0" fontId="0" fillId="0" borderId="0" xfId="0" applyProtection="1"/>
    <xf numFmtId="166" fontId="35" fillId="0" borderId="0" xfId="52" applyNumberFormat="1" applyBorder="1" applyAlignment="1" applyProtection="1">
      <alignment horizontal="left" vertical="center"/>
    </xf>
    <xf numFmtId="0" fontId="0" fillId="0" borderId="0" xfId="0" applyFont="1" applyAlignment="1" applyProtection="1">
      <alignment vertical="center" wrapText="1"/>
    </xf>
    <xf numFmtId="0" fontId="0" fillId="0" borderId="0" xfId="0" applyAlignment="1" applyProtection="1"/>
    <xf numFmtId="166" fontId="35" fillId="0" borderId="0" xfId="52" applyNumberFormat="1" applyBorder="1" applyAlignment="1">
      <alignment horizontal="left" vertical="center"/>
    </xf>
    <xf numFmtId="0" fontId="35" fillId="0" borderId="0" xfId="52" applyNumberFormat="1" applyBorder="1" applyAlignment="1">
      <alignment horizontal="left" vertical="center"/>
    </xf>
    <xf numFmtId="0" fontId="22" fillId="37" borderId="0" xfId="48" applyAlignment="1">
      <alignment vertical="top"/>
    </xf>
    <xf numFmtId="0" fontId="37" fillId="0" borderId="0" xfId="0" applyNumberFormat="1" applyFon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Alignment="1" applyProtection="1">
      <alignment horizontal="right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Fon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Font="1" applyBorder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Font="1" applyBorder="1" applyAlignment="1">
      <alignment horizontal="right"/>
    </xf>
    <xf numFmtId="171" fontId="0" fillId="0" borderId="0" xfId="0" applyNumberFormat="1" applyAlignment="1">
      <alignment horizontal="right"/>
    </xf>
    <xf numFmtId="171" fontId="8" fillId="4" borderId="2" xfId="55" applyNumberFormat="1" applyBorder="1">
      <alignment vertical="top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171" fontId="22" fillId="37" borderId="0" xfId="48" applyNumberFormat="1" applyAlignment="1">
      <alignment horizontal="right"/>
    </xf>
    <xf numFmtId="171" fontId="22" fillId="37" borderId="0" xfId="48" applyNumberFormat="1"/>
    <xf numFmtId="171" fontId="0" fillId="0" borderId="0" xfId="0" applyNumberFormat="1" applyFont="1" applyAlignment="1">
      <alignment horizontal="right"/>
    </xf>
    <xf numFmtId="171" fontId="8" fillId="4" borderId="2" xfId="55" applyNumberFormat="1" applyBorder="1" applyAlignment="1">
      <alignment horizontal="right" vertical="top"/>
    </xf>
    <xf numFmtId="171" fontId="0" fillId="0" borderId="2" xfId="0" applyNumberFormat="1" applyBorder="1" applyAlignment="1">
      <alignment horizontal="right"/>
    </xf>
    <xf numFmtId="171" fontId="8" fillId="4" borderId="0" xfId="55" applyNumberFormat="1" applyBorder="1" applyAlignment="1">
      <alignment horizontal="right"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0" fillId="0" borderId="0" xfId="0" applyNumberFormat="1" applyBorder="1" applyAlignment="1">
      <alignment horizontal="right"/>
    </xf>
    <xf numFmtId="171" fontId="8" fillId="4" borderId="3" xfId="55" applyNumberFormat="1" applyBorder="1" applyAlignment="1">
      <alignment horizontal="right" vertical="top"/>
    </xf>
    <xf numFmtId="171" fontId="0" fillId="0" borderId="3" xfId="0" applyNumberFormat="1" applyBorder="1" applyAlignment="1">
      <alignment horizontal="right"/>
    </xf>
    <xf numFmtId="171" fontId="0" fillId="0" borderId="0" xfId="0" applyNumberFormat="1"/>
    <xf numFmtId="171" fontId="8" fillId="0" borderId="2" xfId="60" applyNumberFormat="1" applyBorder="1" applyAlignment="1">
      <alignment horizontal="right"/>
    </xf>
    <xf numFmtId="171" fontId="35" fillId="0" borderId="2" xfId="52" applyNumberFormat="1" applyBorder="1"/>
    <xf numFmtId="171" fontId="0" fillId="0" borderId="2" xfId="0" applyNumberFormat="1" applyFont="1" applyBorder="1" applyAlignment="1">
      <alignment horizontal="left"/>
    </xf>
    <xf numFmtId="171" fontId="35" fillId="0" borderId="0" xfId="52" applyNumberFormat="1" applyBorder="1"/>
    <xf numFmtId="171" fontId="0" fillId="0" borderId="0" xfId="0" applyNumberFormat="1" applyFont="1" applyBorder="1" applyAlignment="1">
      <alignment horizontal="left"/>
    </xf>
    <xf numFmtId="171" fontId="35" fillId="0" borderId="3" xfId="52" applyNumberFormat="1" applyBorder="1"/>
    <xf numFmtId="171" fontId="0" fillId="0" borderId="3" xfId="0" applyNumberFormat="1" applyFont="1" applyBorder="1" applyAlignment="1">
      <alignment horizontal="left"/>
    </xf>
    <xf numFmtId="171" fontId="22" fillId="0" borderId="0" xfId="0" applyNumberFormat="1" applyFont="1" applyBorder="1" applyAlignment="1">
      <alignment horizontal="left"/>
    </xf>
    <xf numFmtId="171" fontId="0" fillId="0" borderId="0" xfId="0" applyNumberFormat="1" applyFont="1" applyAlignment="1">
      <alignment horizontal="left"/>
    </xf>
    <xf numFmtId="171" fontId="0" fillId="0" borderId="0" xfId="0" applyNumberFormat="1" applyFont="1" applyBorder="1"/>
    <xf numFmtId="171" fontId="0" fillId="0" borderId="3" xfId="0" applyNumberFormat="1" applyFont="1" applyBorder="1"/>
    <xf numFmtId="171" fontId="8" fillId="0" borderId="0" xfId="60" applyNumberFormat="1" applyBorder="1" applyAlignment="1"/>
    <xf numFmtId="171" fontId="22" fillId="0" borderId="0" xfId="0" applyNumberFormat="1" applyFont="1" applyBorder="1"/>
    <xf numFmtId="171" fontId="0" fillId="0" borderId="2" xfId="0" applyNumberFormat="1" applyFont="1" applyBorder="1"/>
    <xf numFmtId="171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4" xfId="60" applyNumberFormat="1" applyBorder="1" applyAlignment="1"/>
    <xf numFmtId="171" fontId="0" fillId="0" borderId="3" xfId="0" applyNumberFormat="1" applyBorder="1"/>
    <xf numFmtId="171" fontId="34" fillId="0" borderId="2" xfId="56" applyNumberFormat="1" applyBorder="1"/>
    <xf numFmtId="171" fontId="34" fillId="0" borderId="0" xfId="56" applyNumberFormat="1"/>
    <xf numFmtId="171" fontId="34" fillId="0" borderId="3" xfId="56" applyNumberFormat="1" applyBorder="1"/>
    <xf numFmtId="171" fontId="8" fillId="0" borderId="0" xfId="60" applyNumberFormat="1" applyAlignment="1"/>
    <xf numFmtId="171" fontId="0" fillId="0" borderId="0" xfId="0" applyNumberFormat="1" applyAlignment="1">
      <alignment vertical="top"/>
    </xf>
    <xf numFmtId="171" fontId="0" fillId="0" borderId="2" xfId="0" applyNumberFormat="1" applyBorder="1"/>
    <xf numFmtId="171" fontId="0" fillId="5" borderId="0" xfId="0" applyNumberFormat="1" applyFill="1"/>
    <xf numFmtId="171" fontId="8" fillId="4" borderId="0" xfId="55" applyNumberFormat="1">
      <alignment vertical="top"/>
    </xf>
    <xf numFmtId="171" fontId="0" fillId="0" borderId="4" xfId="0" applyNumberFormat="1" applyBorder="1"/>
    <xf numFmtId="171" fontId="1" fillId="5" borderId="0" xfId="49" applyNumberFormat="1"/>
    <xf numFmtId="171" fontId="22" fillId="37" borderId="0" xfId="48" applyNumberFormat="1" applyAlignment="1">
      <alignment vertical="top"/>
    </xf>
    <xf numFmtId="171" fontId="34" fillId="0" borderId="2" xfId="56" applyNumberFormat="1" applyBorder="1" applyAlignment="1">
      <alignment horizontal="right"/>
    </xf>
    <xf numFmtId="171" fontId="34" fillId="0" borderId="3" xfId="56" applyNumberFormat="1" applyBorder="1" applyAlignment="1">
      <alignment horizontal="right"/>
    </xf>
    <xf numFmtId="171" fontId="8" fillId="0" borderId="15" xfId="60" applyNumberFormat="1" applyBorder="1" applyAlignment="1"/>
    <xf numFmtId="171" fontId="23" fillId="0" borderId="0" xfId="0" applyNumberFormat="1" applyFont="1" applyAlignment="1">
      <alignment horizontal="right"/>
    </xf>
    <xf numFmtId="171" fontId="8" fillId="0" borderId="4" xfId="60" applyNumberForma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171" fontId="7" fillId="0" borderId="0" xfId="0" applyNumberFormat="1" applyFont="1" applyBorder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0" fontId="0" fillId="0" borderId="0" xfId="0"/>
    <xf numFmtId="0" fontId="26" fillId="48" borderId="0" xfId="54" quotePrefix="1" applyFill="1"/>
    <xf numFmtId="0" fontId="26" fillId="48" borderId="23" xfId="54" quotePrefix="1" applyFill="1" applyBorder="1"/>
    <xf numFmtId="0" fontId="29" fillId="3" borderId="0" xfId="1" applyNumberFormat="1" applyFont="1" applyAlignment="1">
      <alignment horizontal="left"/>
    </xf>
    <xf numFmtId="170" fontId="34" fillId="0" borderId="2" xfId="56" applyNumberFormat="1" applyBorder="1"/>
    <xf numFmtId="0" fontId="8" fillId="0" borderId="4" xfId="0" applyFont="1" applyBorder="1"/>
    <xf numFmtId="0" fontId="36" fillId="0" borderId="0" xfId="58" applyAlignment="1">
      <alignment horizontal="left"/>
    </xf>
    <xf numFmtId="172" fontId="8" fillId="0" borderId="4" xfId="60" applyNumberFormat="1" applyBorder="1" applyAlignment="1"/>
    <xf numFmtId="10" fontId="35" fillId="0" borderId="0" xfId="52" applyNumberFormat="1" applyBorder="1"/>
    <xf numFmtId="172" fontId="8" fillId="0" borderId="1" xfId="60" applyNumberFormat="1" applyBorder="1" applyAlignment="1"/>
    <xf numFmtId="172" fontId="8" fillId="0" borderId="2" xfId="60" applyNumberFormat="1" applyBorder="1" applyAlignment="1"/>
    <xf numFmtId="172" fontId="8" fillId="0" borderId="0" xfId="60" applyNumberFormat="1" applyBorder="1" applyAlignment="1"/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9" fontId="8" fillId="0" borderId="3" xfId="60" applyNumberFormat="1" applyBorder="1" applyAlignment="1">
      <alignment horizontal="right"/>
    </xf>
    <xf numFmtId="0" fontId="29" fillId="3" borderId="0" xfId="1" applyNumberFormat="1" applyFont="1" applyAlignment="1">
      <alignment horizontal="right"/>
    </xf>
    <xf numFmtId="3" fontId="35" fillId="0" borderId="0" xfId="52" applyNumberFormat="1" applyBorder="1"/>
    <xf numFmtId="9" fontId="35" fillId="0" borderId="0" xfId="52" applyNumberFormat="1" applyBorder="1" applyAlignment="1">
      <alignment vertical="top"/>
    </xf>
    <xf numFmtId="0" fontId="8" fillId="0" borderId="4" xfId="0" applyFont="1" applyFill="1" applyBorder="1"/>
    <xf numFmtId="0" fontId="8" fillId="2" borderId="0" xfId="51" applyNumberFormat="1" applyBorder="1" applyAlignment="1" applyProtection="1">
      <alignment horizontal="left" vertical="top" wrapText="1"/>
      <protection locked="0"/>
    </xf>
    <xf numFmtId="0" fontId="7" fillId="38" borderId="0" xfId="59" applyBorder="1" applyAlignment="1" applyProtection="1">
      <protection locked="0"/>
    </xf>
    <xf numFmtId="0" fontId="8" fillId="2" borderId="0" xfId="51" applyBorder="1" applyProtection="1">
      <protection locked="0"/>
    </xf>
    <xf numFmtId="0" fontId="8" fillId="39" borderId="0" xfId="51" applyFill="1" applyBorder="1" applyProtection="1">
      <protection locked="0"/>
    </xf>
    <xf numFmtId="166" fontId="8" fillId="2" borderId="0" xfId="51" applyNumberFormat="1" applyBorder="1" applyAlignment="1" applyProtection="1">
      <alignment horizontal="left" vertical="top" wrapText="1"/>
      <protection locked="0"/>
    </xf>
    <xf numFmtId="0" fontId="8" fillId="2" borderId="0" xfId="51" applyNumberFormat="1" applyBorder="1" applyProtection="1">
      <protection locked="0"/>
    </xf>
    <xf numFmtId="0" fontId="8" fillId="2" borderId="0" xfId="51" applyFont="1" applyProtection="1">
      <protection locked="0"/>
    </xf>
    <xf numFmtId="0" fontId="8" fillId="2" borderId="2" xfId="51" applyBorder="1" applyAlignment="1" applyProtection="1">
      <alignment horizontal="right"/>
      <protection locked="0"/>
    </xf>
    <xf numFmtId="0" fontId="8" fillId="2" borderId="0" xfId="51" applyBorder="1" applyAlignment="1" applyProtection="1">
      <alignment horizontal="right"/>
      <protection locked="0"/>
    </xf>
    <xf numFmtId="9" fontId="8" fillId="2" borderId="2" xfId="51" applyNumberFormat="1" applyBorder="1" applyAlignment="1" applyProtection="1">
      <alignment horizontal="right"/>
      <protection locked="0"/>
    </xf>
    <xf numFmtId="9" fontId="8" fillId="2" borderId="0" xfId="51" applyNumberFormat="1" applyBorder="1" applyAlignment="1" applyProtection="1">
      <alignment horizontal="right"/>
      <protection locked="0"/>
    </xf>
    <xf numFmtId="9" fontId="8" fillId="2" borderId="3" xfId="51" applyNumberFormat="1" applyBorder="1" applyAlignment="1" applyProtection="1">
      <alignment horizontal="right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171" fontId="8" fillId="2" borderId="2" xfId="51" applyNumberFormat="1" applyBorder="1" applyAlignment="1" applyProtection="1">
      <alignment horizontal="right"/>
      <protection locked="0"/>
    </xf>
    <xf numFmtId="171" fontId="8" fillId="2" borderId="0" xfId="51" applyNumberFormat="1" applyBorder="1" applyAlignment="1" applyProtection="1">
      <alignment horizontal="right"/>
      <protection locked="0"/>
    </xf>
    <xf numFmtId="171" fontId="8" fillId="2" borderId="3" xfId="51" applyNumberFormat="1" applyBorder="1" applyAlignment="1" applyProtection="1">
      <alignment horizontal="right"/>
      <protection locked="0"/>
    </xf>
    <xf numFmtId="171" fontId="8" fillId="2" borderId="2" xfId="51" applyNumberFormat="1" applyBorder="1" applyProtection="1">
      <protection locked="0"/>
    </xf>
    <xf numFmtId="171" fontId="8" fillId="2" borderId="0" xfId="51" applyNumberFormat="1" applyBorder="1" applyProtection="1">
      <protection locked="0"/>
    </xf>
    <xf numFmtId="171" fontId="8" fillId="2" borderId="3" xfId="51" applyNumberFormat="1" applyBorder="1" applyProtection="1">
      <protection locked="0"/>
    </xf>
    <xf numFmtId="10" fontId="8" fillId="2" borderId="0" xfId="51" applyNumberFormat="1" applyBorder="1" applyProtection="1"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0" fontId="7" fillId="38" borderId="0" xfId="59" applyNumberFormat="1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4" borderId="0" xfId="55" applyNumberFormat="1" applyBorder="1" applyProtection="1">
      <alignment vertical="top"/>
      <protection locked="0"/>
    </xf>
    <xf numFmtId="171" fontId="8" fillId="4" borderId="3" xfId="55" applyNumberFormat="1" applyBorder="1" applyProtection="1">
      <alignment vertical="top"/>
      <protection locked="0"/>
    </xf>
    <xf numFmtId="171" fontId="8" fillId="4" borderId="0" xfId="55" applyNumberFormat="1" applyBorder="1" applyProtection="1">
      <alignment vertical="top"/>
    </xf>
    <xf numFmtId="171" fontId="8" fillId="4" borderId="2" xfId="55" applyNumberFormat="1" applyBorder="1" applyProtection="1">
      <alignment vertical="top"/>
    </xf>
    <xf numFmtId="173" fontId="0" fillId="0" borderId="2" xfId="0" applyNumberFormat="1" applyBorder="1"/>
    <xf numFmtId="173" fontId="35" fillId="0" borderId="2" xfId="52" applyNumberFormat="1" applyBorder="1"/>
    <xf numFmtId="173" fontId="0" fillId="0" borderId="0" xfId="0" applyNumberFormat="1"/>
    <xf numFmtId="173" fontId="35" fillId="0" borderId="0" xfId="52" applyNumberFormat="1" applyBorder="1"/>
    <xf numFmtId="173" fontId="0" fillId="0" borderId="3" xfId="0" applyNumberFormat="1" applyBorder="1"/>
    <xf numFmtId="173" fontId="35" fillId="0" borderId="3" xfId="52" applyNumberFormat="1" applyBorder="1"/>
    <xf numFmtId="173" fontId="35" fillId="0" borderId="2" xfId="52" applyNumberFormat="1" applyBorder="1" applyAlignment="1">
      <alignment horizontal="right"/>
    </xf>
    <xf numFmtId="173" fontId="35" fillId="0" borderId="0" xfId="52" applyNumberFormat="1" applyBorder="1" applyAlignment="1">
      <alignment horizontal="right"/>
    </xf>
    <xf numFmtId="173" fontId="35" fillId="0" borderId="3" xfId="52" applyNumberFormat="1" applyBorder="1" applyAlignment="1">
      <alignment horizontal="right"/>
    </xf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8" fillId="4" borderId="2" xfId="55" applyNumberFormat="1" applyBorder="1">
      <alignment vertical="top"/>
    </xf>
    <xf numFmtId="173" fontId="8" fillId="0" borderId="2" xfId="60" applyNumberFormat="1" applyBorder="1" applyAlignment="1"/>
    <xf numFmtId="173" fontId="34" fillId="0" borderId="3" xfId="56" applyNumberFormat="1" applyBorder="1"/>
    <xf numFmtId="173" fontId="8" fillId="0" borderId="3" xfId="60" applyNumberFormat="1" applyBorder="1" applyAlignment="1"/>
    <xf numFmtId="173" fontId="0" fillId="0" borderId="15" xfId="0" applyNumberFormat="1" applyBorder="1"/>
    <xf numFmtId="173" fontId="8" fillId="0" borderId="16" xfId="60" applyNumberFormat="1" applyBorder="1" applyAlignment="1"/>
    <xf numFmtId="166" fontId="0" fillId="2" borderId="0" xfId="51" applyNumberFormat="1" applyFont="1" applyBorder="1" applyAlignment="1" applyProtection="1">
      <alignment horizontal="left" vertical="top" wrapText="1"/>
      <protection locked="0"/>
    </xf>
    <xf numFmtId="0" fontId="8" fillId="2" borderId="0" xfId="51" applyFont="1" applyAlignment="1" applyProtection="1">
      <alignment wrapText="1"/>
      <protection locked="0"/>
    </xf>
    <xf numFmtId="0" fontId="0" fillId="0" borderId="0" xfId="0" applyFont="1" applyAlignment="1" applyProtection="1">
      <alignment vertical="center"/>
    </xf>
    <xf numFmtId="0" fontId="37" fillId="0" borderId="0" xfId="0" applyFont="1" applyAlignment="1">
      <alignment horizontal="left" indent="1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9" fontId="7" fillId="38" borderId="0" xfId="59" applyNumberFormat="1" applyAlignment="1" applyProtection="1">
      <protection locked="0"/>
    </xf>
    <xf numFmtId="9" fontId="8" fillId="4" borderId="0" xfId="55" applyNumberFormat="1">
      <alignment vertical="top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8" fillId="0" borderId="0" xfId="60" applyNumberFormat="1" applyAlignment="1"/>
    <xf numFmtId="4" fontId="8" fillId="4" borderId="0" xfId="55" applyNumberFormat="1">
      <alignment vertical="top"/>
    </xf>
    <xf numFmtId="0" fontId="0" fillId="0" borderId="0" xfId="64" applyFont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8" fillId="0" borderId="0" xfId="64" applyNumberFormat="1" applyFont="1"/>
    <xf numFmtId="0" fontId="34" fillId="0" borderId="0" xfId="56" applyNumberFormat="1"/>
    <xf numFmtId="10" fontId="8" fillId="4" borderId="0" xfId="55" applyNumberFormat="1">
      <alignment vertical="top"/>
    </xf>
    <xf numFmtId="4" fontId="8" fillId="0" borderId="0" xfId="60" applyNumberFormat="1" applyAlignment="1"/>
    <xf numFmtId="49" fontId="1" fillId="3" borderId="0" xfId="1" applyAlignment="1">
      <alignment horizontal="right" vertical="center" wrapText="1"/>
    </xf>
    <xf numFmtId="10" fontId="34" fillId="0" borderId="0" xfId="56" applyNumberFormat="1"/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0" fontId="0" fillId="0" borderId="0" xfId="0" applyNumberFormat="1" applyAlignment="1">
      <alignment vertical="top"/>
    </xf>
    <xf numFmtId="10" fontId="0" fillId="0" borderId="20" xfId="0" applyNumberFormat="1" applyBorder="1"/>
    <xf numFmtId="49" fontId="1" fillId="3" borderId="2" xfId="1" applyBorder="1" applyAlignment="1">
      <alignment horizontal="right" vertical="center" wrapText="1"/>
    </xf>
    <xf numFmtId="9" fontId="34" fillId="0" borderId="3" xfId="56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4" fontId="34" fillId="0" borderId="0" xfId="56" applyNumberFormat="1"/>
    <xf numFmtId="172" fontId="34" fillId="0" borderId="0" xfId="56" applyNumberFormat="1"/>
    <xf numFmtId="172" fontId="8" fillId="4" borderId="0" xfId="55" applyNumberFormat="1">
      <alignment vertical="top"/>
    </xf>
    <xf numFmtId="9" fontId="7" fillId="0" borderId="0" xfId="50" applyNumberFormat="1"/>
    <xf numFmtId="0" fontId="34" fillId="0" borderId="0" xfId="56" applyNumberFormat="1" applyAlignment="1">
      <alignment horizontal="right"/>
    </xf>
    <xf numFmtId="0" fontId="5" fillId="0" borderId="0" xfId="0" applyFont="1" applyAlignment="1">
      <alignment horizontal="right"/>
    </xf>
    <xf numFmtId="165" fontId="0" fillId="0" borderId="0" xfId="0" applyNumberFormat="1"/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3" fontId="8" fillId="0" borderId="0" xfId="60" applyAlignment="1"/>
    <xf numFmtId="3" fontId="8" fillId="4" borderId="0" xfId="55" applyNumberFormat="1">
      <alignment vertical="top"/>
    </xf>
    <xf numFmtId="49" fontId="0" fillId="0" borderId="2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3" xfId="50" applyNumberFormat="1" applyBorder="1"/>
    <xf numFmtId="171" fontId="8" fillId="4" borderId="0" xfId="55" applyNumberFormat="1" applyAlignment="1">
      <alignment horizontal="right" vertical="top"/>
    </xf>
    <xf numFmtId="3" fontId="8" fillId="0" borderId="0" xfId="60" applyAlignment="1">
      <alignment horizontal="right"/>
    </xf>
    <xf numFmtId="173" fontId="34" fillId="0" borderId="0" xfId="56" applyNumberFormat="1"/>
    <xf numFmtId="173" fontId="8" fillId="0" borderId="0" xfId="60" applyNumberFormat="1" applyAlignment="1"/>
    <xf numFmtId="173" fontId="8" fillId="4" borderId="0" xfId="55" applyNumberFormat="1">
      <alignment vertical="top"/>
    </xf>
    <xf numFmtId="0" fontId="1" fillId="0" borderId="0" xfId="0" applyFont="1"/>
    <xf numFmtId="0" fontId="0" fillId="0" borderId="0" xfId="0" applyAlignment="1">
      <alignment horizontal="left" vertical="center" wrapText="1"/>
    </xf>
    <xf numFmtId="9" fontId="34" fillId="0" borderId="4" xfId="56" applyBorder="1"/>
    <xf numFmtId="174" fontId="0" fillId="0" borderId="0" xfId="0" applyNumberFormat="1"/>
    <xf numFmtId="49" fontId="1" fillId="3" borderId="0" xfId="0" applyNumberFormat="1" applyFont="1" applyFill="1" applyAlignment="1">
      <alignment horizontal="left" vertical="center"/>
    </xf>
    <xf numFmtId="49" fontId="1" fillId="3" borderId="0" xfId="0" applyNumberFormat="1" applyFont="1" applyFill="1" applyAlignment="1">
      <alignment horizontal="right" vertical="center"/>
    </xf>
    <xf numFmtId="3" fontId="1" fillId="3" borderId="0" xfId="0" applyNumberFormat="1" applyFont="1" applyFill="1" applyAlignment="1">
      <alignment horizontal="right" vertical="center"/>
    </xf>
    <xf numFmtId="0" fontId="7" fillId="0" borderId="0" xfId="64"/>
    <xf numFmtId="171" fontId="34" fillId="0" borderId="0" xfId="64" applyNumberFormat="1" applyFont="1"/>
    <xf numFmtId="171" fontId="8" fillId="0" borderId="0" xfId="60" applyNumberFormat="1" applyAlignment="1">
      <alignment horizontal="right"/>
    </xf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1" fontId="34" fillId="0" borderId="4" xfId="56" applyNumberFormat="1" applyBorder="1"/>
    <xf numFmtId="171" fontId="8" fillId="4" borderId="4" xfId="55" applyNumberFormat="1" applyBorder="1">
      <alignment vertical="top"/>
    </xf>
    <xf numFmtId="9" fontId="8" fillId="4" borderId="3" xfId="55" applyNumberFormat="1" applyBorder="1" applyAlignment="1">
      <alignment horizontal="right" vertical="top"/>
    </xf>
    <xf numFmtId="9" fontId="0" fillId="0" borderId="2" xfId="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22" fillId="37" borderId="0" xfId="48" applyNumberFormat="1"/>
    <xf numFmtId="173" fontId="8" fillId="39" borderId="2" xfId="65" applyNumberFormat="1" applyFont="1" applyBorder="1" applyAlignment="1" applyProtection="1">
      <alignment horizontal="right"/>
      <protection locked="0"/>
    </xf>
    <xf numFmtId="173" fontId="8" fillId="39" borderId="0" xfId="65" applyNumberFormat="1" applyFont="1" applyBorder="1" applyAlignment="1" applyProtection="1">
      <alignment horizontal="right"/>
      <protection locked="0"/>
    </xf>
    <xf numFmtId="173" fontId="8" fillId="39" borderId="3" xfId="65" applyNumberFormat="1" applyFont="1" applyBorder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0" xfId="55" applyNumberFormat="1" applyBorder="1" applyProtection="1">
      <alignment vertical="top"/>
      <protection locked="0"/>
    </xf>
    <xf numFmtId="173" fontId="8" fillId="4" borderId="3" xfId="55" applyNumberFormat="1" applyBorder="1" applyProtection="1">
      <alignment vertical="top"/>
      <protection locked="0"/>
    </xf>
    <xf numFmtId="173" fontId="2" fillId="0" borderId="0" xfId="53" applyNumberFormat="1"/>
    <xf numFmtId="173" fontId="22" fillId="37" borderId="0" xfId="48" applyNumberFormat="1"/>
    <xf numFmtId="173" fontId="0" fillId="0" borderId="0" xfId="0" applyNumberFormat="1" applyAlignment="1">
      <alignment horizontal="right"/>
    </xf>
    <xf numFmtId="10" fontId="8" fillId="0" borderId="0" xfId="55" applyNumberFormat="1" applyFill="1">
      <alignment vertical="top"/>
    </xf>
    <xf numFmtId="0" fontId="7" fillId="0" borderId="0" xfId="53" applyFont="1"/>
    <xf numFmtId="171" fontId="35" fillId="0" borderId="4" xfId="52" applyNumberFormat="1" applyBorder="1" applyAlignment="1">
      <alignment horizontal="right"/>
    </xf>
    <xf numFmtId="175" fontId="8" fillId="0" borderId="2" xfId="60" applyNumberFormat="1" applyBorder="1" applyAlignment="1"/>
    <xf numFmtId="4" fontId="34" fillId="0" borderId="0" xfId="56" applyNumberFormat="1" applyAlignment="1">
      <alignment horizontal="right"/>
    </xf>
    <xf numFmtId="0" fontId="2" fillId="0" borderId="0" xfId="53" quotePrefix="1"/>
    <xf numFmtId="171" fontId="8" fillId="2" borderId="0" xfId="51" applyNumberFormat="1" applyBorder="1" applyAlignment="1">
      <alignment vertical="top"/>
      <protection locked="0"/>
    </xf>
    <xf numFmtId="171" fontId="8" fillId="2" borderId="3" xfId="51" applyNumberFormat="1" applyBorder="1" applyAlignment="1">
      <alignment vertical="top"/>
      <protection locked="0"/>
    </xf>
    <xf numFmtId="171" fontId="35" fillId="0" borderId="0" xfId="52" applyNumberFormat="1" applyBorder="1" applyAlignment="1">
      <alignment vertical="top"/>
    </xf>
    <xf numFmtId="171" fontId="35" fillId="0" borderId="3" xfId="52" applyNumberFormat="1" applyBorder="1" applyAlignment="1">
      <alignment vertical="top"/>
    </xf>
    <xf numFmtId="173" fontId="8" fillId="39" borderId="0" xfId="65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1" fontId="8" fillId="4" borderId="0" xfId="55" applyNumberFormat="1" applyProtection="1">
      <alignment vertical="top"/>
      <protection locked="0"/>
    </xf>
    <xf numFmtId="171" fontId="8" fillId="39" borderId="0" xfId="65" applyNumberFormat="1" applyFont="1" applyAlignment="1">
      <alignment horizontal="right"/>
    </xf>
    <xf numFmtId="0" fontId="7" fillId="38" borderId="2" xfId="59" applyBorder="1" applyAlignment="1"/>
    <xf numFmtId="0" fontId="7" fillId="38" borderId="3" xfId="59" applyBorder="1" applyAlignment="1"/>
    <xf numFmtId="166" fontId="8" fillId="2" borderId="0" xfId="51" applyNumberFormat="1" applyAlignment="1" applyProtection="1">
      <alignment horizontal="left" vertical="top" wrapText="1"/>
      <protection locked="0"/>
    </xf>
    <xf numFmtId="0" fontId="8" fillId="2" borderId="0" xfId="51" applyAlignment="1" applyProtection="1">
      <alignment horizontal="left" vertical="top" wrapText="1"/>
      <protection locked="0"/>
    </xf>
    <xf numFmtId="166" fontId="0" fillId="2" borderId="0" xfId="51" applyNumberFormat="1" applyFont="1" applyAlignment="1" applyProtection="1">
      <alignment horizontal="left" vertical="top" wrapText="1"/>
      <protection locked="0"/>
    </xf>
    <xf numFmtId="0" fontId="25" fillId="0" borderId="0" xfId="0" applyFont="1" applyAlignment="1">
      <alignment horizontal="left" vertical="center" wrapText="1"/>
    </xf>
    <xf numFmtId="171" fontId="8" fillId="2" borderId="2" xfId="51" applyNumberFormat="1" applyBorder="1">
      <protection locked="0"/>
    </xf>
    <xf numFmtId="171" fontId="8" fillId="2" borderId="0" xfId="51" applyNumberFormat="1" applyBorder="1">
      <protection locked="0"/>
    </xf>
    <xf numFmtId="0" fontId="8" fillId="2" borderId="0" xfId="51" applyBorder="1" applyAlignment="1" applyProtection="1">
      <alignment horizontal="right" wrapText="1"/>
      <protection locked="0"/>
    </xf>
    <xf numFmtId="0" fontId="8" fillId="2" borderId="3" xfId="51" applyBorder="1" applyAlignment="1" applyProtection="1">
      <alignment horizontal="right" wrapText="1"/>
      <protection locked="0"/>
    </xf>
    <xf numFmtId="0" fontId="20" fillId="0" borderId="0" xfId="0" applyFont="1"/>
    <xf numFmtId="0" fontId="0" fillId="0" borderId="2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vertical="center"/>
    </xf>
    <xf numFmtId="0" fontId="8" fillId="2" borderId="17" xfId="51" applyBorder="1" applyAlignment="1" applyProtection="1">
      <alignment horizontal="left" vertical="center"/>
      <protection locked="0"/>
    </xf>
    <xf numFmtId="0" fontId="8" fillId="2" borderId="18" xfId="51" applyBorder="1" applyAlignment="1" applyProtection="1">
      <alignment horizontal="left" vertical="center"/>
      <protection locked="0"/>
    </xf>
    <xf numFmtId="0" fontId="8" fillId="2" borderId="19" xfId="51" applyBorder="1" applyAlignment="1" applyProtection="1">
      <alignment horizontal="left" vertical="center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28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2F000000}"/>
    <cellStyle name="Input" xfId="15" builtinId="20" hidden="1"/>
    <cellStyle name="Input_CEPATNEI" xfId="51" xr:uid="{00000000-0005-0000-0000-000031000000}"/>
    <cellStyle name="Linked Cell" xfId="18" builtinId="24" hidden="1"/>
    <cellStyle name="LinkedTo_CEPATNEI" xfId="52" xr:uid="{00000000-0005-0000-0000-000033000000}"/>
    <cellStyle name="LinksFrom_CEPATNEI" xfId="56" xr:uid="{00000000-0005-0000-0000-000034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A000000}"/>
    <cellStyle name="Percent" xfId="6" builtinId="5" hidden="1"/>
    <cellStyle name="Percent" xfId="62" builtinId="5" hidden="1"/>
    <cellStyle name="RowHeading_CEPATNEI" xfId="53" xr:uid="{00000000-0005-0000-0000-00003D000000}"/>
    <cellStyle name="SectionHeading_CEPATNEI" xfId="49" xr:uid="{00000000-0005-0000-0000-00003E000000}"/>
    <cellStyle name="SubSection_CEPATNEI" xfId="48" xr:uid="{00000000-0005-0000-0000-00003F000000}"/>
    <cellStyle name="Text_CEPATNEI" xfId="50" xr:uid="{00000000-0005-0000-0000-000040000000}"/>
    <cellStyle name="Title" xfId="7" builtinId="15" hidden="1"/>
    <cellStyle name="Total" xfId="23" builtinId="25" hidden="1"/>
    <cellStyle name="Warning Text" xfId="20" builtinId="11" hidden="1"/>
  </cellStyles>
  <dxfs count="252"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FF4343"/>
      <color rgb="FFFF9999"/>
      <color rgb="FFD086CC"/>
      <color rgb="FFFFAFAF"/>
      <color rgb="FF333F4F"/>
      <color rgb="FFF1DBF0"/>
      <color rgb="FF92D2EE"/>
      <color rgb="FF4B86CD"/>
      <color rgb="FF275792"/>
      <color rgb="FFFFE2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odel map'!A1"/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3" Type="http://schemas.openxmlformats.org/officeDocument/2006/relationships/hyperlink" Target="#'Inputs by customer type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576262</xdr:colOff>
      <xdr:row>3</xdr:row>
      <xdr:rowOff>25713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701278</xdr:colOff>
      <xdr:row>4</xdr:row>
      <xdr:rowOff>97670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45690" y="3891415"/>
          <a:ext cx="8002397" cy="83511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38498" y="11186220"/>
          <a:ext cx="8009841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39824" y="1231858"/>
          <a:ext cx="8009841" cy="141300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46109" y="6753430"/>
          <a:ext cx="7690585" cy="2179066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46109" y="5204831"/>
          <a:ext cx="7690585" cy="1481832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85341</xdr:colOff>
      <xdr:row>48</xdr:row>
      <xdr:rowOff>22428</xdr:rowOff>
    </xdr:from>
    <xdr:to>
      <xdr:col>8</xdr:col>
      <xdr:colOff>1660871</xdr:colOff>
      <xdr:row>49</xdr:row>
      <xdr:rowOff>101454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181216" y="9052128"/>
          <a:ext cx="1575530" cy="26952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86611</xdr:colOff>
      <xdr:row>52</xdr:row>
      <xdr:rowOff>147469</xdr:rowOff>
    </xdr:from>
    <xdr:to>
      <xdr:col>8</xdr:col>
      <xdr:colOff>1658331</xdr:colOff>
      <xdr:row>54</xdr:row>
      <xdr:rowOff>34039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182486" y="992964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871836</xdr:colOff>
      <xdr:row>49</xdr:row>
      <xdr:rowOff>98914</xdr:rowOff>
    </xdr:from>
    <xdr:to>
      <xdr:col>8</xdr:col>
      <xdr:colOff>872471</xdr:colOff>
      <xdr:row>50</xdr:row>
      <xdr:rowOff>88553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76" idx="0"/>
        </xdr:cNvCxnSpPr>
      </xdr:nvCxnSpPr>
      <xdr:spPr>
        <a:xfrm flipH="1">
          <a:off x="5967711" y="9319114"/>
          <a:ext cx="635" cy="18013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85341</xdr:colOff>
      <xdr:row>55</xdr:row>
      <xdr:rowOff>23679</xdr:rowOff>
    </xdr:from>
    <xdr:to>
      <xdr:col>8</xdr:col>
      <xdr:colOff>1660871</xdr:colOff>
      <xdr:row>56</xdr:row>
      <xdr:rowOff>100749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181216" y="10377354"/>
          <a:ext cx="157553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872471</xdr:colOff>
      <xdr:row>54</xdr:row>
      <xdr:rowOff>32769</xdr:rowOff>
    </xdr:from>
    <xdr:to>
      <xdr:col>8</xdr:col>
      <xdr:colOff>875646</xdr:colOff>
      <xdr:row>55</xdr:row>
      <xdr:rowOff>21139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968346" y="10195944"/>
          <a:ext cx="3175" cy="17887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38975" y="2806143"/>
          <a:ext cx="8002397" cy="842847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82166</xdr:colOff>
      <xdr:row>50</xdr:row>
      <xdr:rowOff>86013</xdr:rowOff>
    </xdr:from>
    <xdr:to>
      <xdr:col>8</xdr:col>
      <xdr:colOff>1662776</xdr:colOff>
      <xdr:row>51</xdr:row>
      <xdr:rowOff>160370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178041" y="9496713"/>
          <a:ext cx="1580610" cy="25533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Fixed charge adder</a:t>
          </a:r>
        </a:p>
      </xdr:txBody>
    </xdr:sp>
    <xdr:clientData/>
  </xdr:twoCellAnchor>
  <xdr:twoCellAnchor>
    <xdr:from>
      <xdr:col>8</xdr:col>
      <xdr:colOff>871836</xdr:colOff>
      <xdr:row>51</xdr:row>
      <xdr:rowOff>161640</xdr:rowOff>
    </xdr:from>
    <xdr:to>
      <xdr:col>8</xdr:col>
      <xdr:colOff>875646</xdr:colOff>
      <xdr:row>52</xdr:row>
      <xdr:rowOff>146199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5" idx="0"/>
        </xdr:cNvCxnSpPr>
      </xdr:nvCxnSpPr>
      <xdr:spPr>
        <a:xfrm>
          <a:off x="5967711" y="9753315"/>
          <a:ext cx="3810" cy="17505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20</xdr:row>
          <xdr:rowOff>47625</xdr:rowOff>
        </xdr:from>
        <xdr:to>
          <xdr:col>7</xdr:col>
          <xdr:colOff>1657350</xdr:colOff>
          <xdr:row>22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icing/DUoS/April%202021/PDCM%20&amp;%20ARP/ARP_v5_2021-22-Pre-Release_20191108%20SP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Version control"/>
      <sheetName val="Model map"/>
      <sheetName val="Index"/>
      <sheetName val="Named ranges"/>
      <sheetName val="ARP_DNO commentary"/>
      <sheetName val="ARP_CDCM timebands"/>
      <sheetName val="ARP_Load characteristics"/>
      <sheetName val="ARP_Peaking probabilities"/>
      <sheetName val="ARP_User control"/>
      <sheetName val="ARP_Inputs by customer type"/>
      <sheetName val="ARP_Inputs by network level"/>
      <sheetName val="ARP_General inputs"/>
      <sheetName val="Fixed inputs"/>
      <sheetName val="Inputs by customer type"/>
      <sheetName val="Inputs by network level"/>
      <sheetName val="General inputs"/>
      <sheetName val="Standing charge factors"/>
      <sheetName val="Load &amp; loss characteristics"/>
      <sheetName val="Customer contributions"/>
      <sheetName val="Volume adjustments"/>
      <sheetName val="Pseudo-load coefficients"/>
      <sheetName val="System peak demand"/>
      <sheetName val="Service model assets"/>
      <sheetName val="Unit costs"/>
      <sheetName val="Initial unit rates"/>
      <sheetName val="Service model charges"/>
      <sheetName val="Unit rate charges"/>
      <sheetName val="Reactive power charges"/>
      <sheetName val="Capacity charges"/>
      <sheetName val="Fixed charges"/>
      <sheetName val="Revenue matching"/>
      <sheetName val="Fixed charge adder"/>
      <sheetName val="Rounding"/>
      <sheetName val="Net revenue summary"/>
      <sheetName val="Tariff summary"/>
      <sheetName val="Typical bills"/>
    </sheetNames>
    <sheetDataSet>
      <sheetData sheetId="0"/>
      <sheetData sheetId="1">
        <row r="34">
          <cell r="F34" t="str">
            <v>ARP_Inputs by customer type</v>
          </cell>
          <cell r="H34" t="str">
            <v>Input 501</v>
          </cell>
        </row>
        <row r="35">
          <cell r="F35" t="str">
            <v>ARP_Inputs by network level</v>
          </cell>
          <cell r="H35" t="str">
            <v>Input 502</v>
          </cell>
        </row>
        <row r="36">
          <cell r="F36" t="str">
            <v>ARP_General inputs</v>
          </cell>
          <cell r="H36" t="str">
            <v>Input 503</v>
          </cell>
        </row>
        <row r="37">
          <cell r="F37" t="str">
            <v>Fixed inputs</v>
          </cell>
          <cell r="H37" t="str">
            <v>Input 504</v>
          </cell>
        </row>
        <row r="38">
          <cell r="F38" t="str">
            <v>Inputs by customer type</v>
          </cell>
          <cell r="H38" t="str">
            <v>Section 501</v>
          </cell>
        </row>
        <row r="39">
          <cell r="F39" t="str">
            <v>Inputs by network level</v>
          </cell>
          <cell r="H39" t="str">
            <v>Section 502</v>
          </cell>
        </row>
        <row r="40">
          <cell r="F40" t="str">
            <v>General inputs</v>
          </cell>
          <cell r="H40" t="str">
            <v>Section 503</v>
          </cell>
        </row>
        <row r="41">
          <cell r="F41" t="str">
            <v>Standing Charge Factors</v>
          </cell>
          <cell r="H41" t="str">
            <v>Section 504</v>
          </cell>
        </row>
        <row r="42">
          <cell r="F42" t="str">
            <v>Load &amp; loss characteristics</v>
          </cell>
          <cell r="H42" t="str">
            <v>Section 505</v>
          </cell>
        </row>
        <row r="43">
          <cell r="F43" t="str">
            <v>Customer contributions</v>
          </cell>
          <cell r="H43" t="str">
            <v>Section 506</v>
          </cell>
        </row>
        <row r="44">
          <cell r="F44" t="str">
            <v>Volume adjustments</v>
          </cell>
          <cell r="H44" t="str">
            <v>Section 507</v>
          </cell>
        </row>
        <row r="45">
          <cell r="F45" t="str">
            <v>Pseudo-load coefficients</v>
          </cell>
          <cell r="H45" t="str">
            <v>Section 508</v>
          </cell>
        </row>
        <row r="46">
          <cell r="F46" t="str">
            <v>System peak demand</v>
          </cell>
          <cell r="H46" t="str">
            <v>Section 509</v>
          </cell>
        </row>
        <row r="47">
          <cell r="F47" t="str">
            <v>Service model assets</v>
          </cell>
          <cell r="H47" t="str">
            <v>Section 510</v>
          </cell>
        </row>
        <row r="48">
          <cell r="F48" t="str">
            <v>Unit costs</v>
          </cell>
          <cell r="H48" t="str">
            <v>Section 511</v>
          </cell>
        </row>
        <row r="49">
          <cell r="F49" t="str">
            <v>Initial unit rates</v>
          </cell>
          <cell r="H49" t="str">
            <v>Section 512</v>
          </cell>
        </row>
        <row r="50">
          <cell r="F50" t="str">
            <v>Service model charges</v>
          </cell>
          <cell r="H50" t="str">
            <v>Section 513</v>
          </cell>
        </row>
        <row r="51">
          <cell r="F51" t="str">
            <v>Unit rate charges</v>
          </cell>
          <cell r="H51" t="str">
            <v>Section 514</v>
          </cell>
        </row>
        <row r="52">
          <cell r="F52" t="str">
            <v>Reactive power charges</v>
          </cell>
          <cell r="H52" t="str">
            <v>Section 515</v>
          </cell>
        </row>
        <row r="53">
          <cell r="F53" t="str">
            <v>Capacity charges</v>
          </cell>
          <cell r="H53" t="str">
            <v>Section 516</v>
          </cell>
        </row>
        <row r="54">
          <cell r="F54" t="str">
            <v>Fixed charges</v>
          </cell>
          <cell r="H54" t="str">
            <v>Section 517</v>
          </cell>
        </row>
        <row r="55">
          <cell r="F55" t="str">
            <v>Revenue matching</v>
          </cell>
          <cell r="H55" t="str">
            <v>Section 518</v>
          </cell>
        </row>
        <row r="56">
          <cell r="F56" t="str">
            <v>Fixed charge adder</v>
          </cell>
          <cell r="H56" t="str">
            <v>Section 519</v>
          </cell>
        </row>
        <row r="57">
          <cell r="F57" t="str">
            <v>Rounding</v>
          </cell>
          <cell r="H57" t="str">
            <v>Section 520</v>
          </cell>
        </row>
        <row r="58">
          <cell r="F58" t="str">
            <v>Net revenue summary</v>
          </cell>
          <cell r="H58" t="str">
            <v>Input 505</v>
          </cell>
        </row>
        <row r="59">
          <cell r="F59" t="str">
            <v>Tariff summary</v>
          </cell>
          <cell r="H59" t="str">
            <v>Input 506</v>
          </cell>
        </row>
        <row r="60">
          <cell r="F60" t="str">
            <v>Typical bills</v>
          </cell>
          <cell r="H60" t="str">
            <v>Input 507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tabSelected="1" zoomScale="80" zoomScaleNormal="80" workbookViewId="0">
      <selection activeCell="D21" sqref="D21"/>
    </sheetView>
  </sheetViews>
  <sheetFormatPr defaultColWidth="0" defaultRowHeight="15" customHeight="1" x14ac:dyDescent="0.25"/>
  <cols>
    <col min="1" max="1" width="2.7109375" style="21" customWidth="1"/>
    <col min="2" max="2" width="22.7109375" style="21" customWidth="1"/>
    <col min="3" max="3" width="2.7109375" style="21" customWidth="1"/>
    <col min="4" max="4" width="100.42578125" style="25" customWidth="1"/>
    <col min="5" max="5" width="2.7109375" style="21" customWidth="1"/>
    <col min="6" max="16384" width="9.140625" style="21" hidden="1"/>
  </cols>
  <sheetData>
    <row r="2" spans="2:4" ht="28.5" x14ac:dyDescent="0.25">
      <c r="D2" s="22" t="s">
        <v>783</v>
      </c>
    </row>
    <row r="4" spans="2:4" ht="21" x14ac:dyDescent="0.25">
      <c r="D4" s="472" t="s">
        <v>1161</v>
      </c>
    </row>
    <row r="5" spans="2:4" x14ac:dyDescent="0.25">
      <c r="D5" s="23"/>
    </row>
    <row r="6" spans="2:4" x14ac:dyDescent="0.25">
      <c r="B6" s="24" t="str">
        <f>'Version control'!F7</f>
        <v>Model date:</v>
      </c>
      <c r="D6" s="43">
        <f>'Version control'!H7</f>
        <v>43777</v>
      </c>
    </row>
    <row r="7" spans="2:4" ht="15" customHeight="1" x14ac:dyDescent="0.25">
      <c r="D7" s="44"/>
    </row>
    <row r="8" spans="2:4" ht="15" customHeight="1" x14ac:dyDescent="0.25">
      <c r="B8" s="24" t="str">
        <f>'Version control'!F9</f>
        <v>Development stage:</v>
      </c>
      <c r="D8" s="43" t="str">
        <f>'Version control'!H9</f>
        <v>Release for charge setting</v>
      </c>
    </row>
    <row r="9" spans="2:4" ht="15" customHeight="1" x14ac:dyDescent="0.25">
      <c r="D9" s="44"/>
    </row>
    <row r="10" spans="2:4" ht="15" customHeight="1" x14ac:dyDescent="0.25">
      <c r="B10" s="24" t="str">
        <f>'Version control'!F11</f>
        <v>Model number:</v>
      </c>
      <c r="D10" s="138">
        <f>'Version control'!H11</f>
        <v>5</v>
      </c>
    </row>
    <row r="11" spans="2:4" ht="15" customHeight="1" x14ac:dyDescent="0.25">
      <c r="D11" s="44"/>
    </row>
    <row r="12" spans="2:4" ht="15" customHeight="1" x14ac:dyDescent="0.25">
      <c r="B12" s="24" t="str">
        <f>'Version control'!F13</f>
        <v>DCUSA text version:</v>
      </c>
      <c r="D12" s="43" t="str">
        <f>'Version control'!H13</f>
        <v>Attachment A_01 April 2021 Charging Methodologies Pre-Release_Issued October 2019 (shared 10/10/2019)</v>
      </c>
    </row>
    <row r="13" spans="2:4" ht="15" customHeight="1" x14ac:dyDescent="0.25">
      <c r="D13" s="44"/>
    </row>
    <row r="14" spans="2:4" ht="15" customHeight="1" x14ac:dyDescent="0.25">
      <c r="B14" s="24" t="str">
        <f>'Version control'!F15</f>
        <v>DCUSA text schedule:</v>
      </c>
      <c r="D14" s="43" t="str">
        <f>'Version control'!H15</f>
        <v>Schedules 16 &amp; 20</v>
      </c>
    </row>
    <row r="16" spans="2:4" ht="45" x14ac:dyDescent="0.25">
      <c r="B16" s="24" t="s">
        <v>159</v>
      </c>
      <c r="D16" s="220" t="s">
        <v>1035</v>
      </c>
    </row>
    <row r="17" spans="2:4" x14ac:dyDescent="0.25">
      <c r="D17" s="25" t="s">
        <v>761</v>
      </c>
    </row>
    <row r="18" spans="2:4" x14ac:dyDescent="0.25">
      <c r="D18" s="21"/>
    </row>
    <row r="19" spans="2:4" ht="15" customHeight="1" x14ac:dyDescent="0.25">
      <c r="B19" s="24" t="s">
        <v>240</v>
      </c>
      <c r="D19" s="315" t="s">
        <v>1156</v>
      </c>
    </row>
    <row r="21" spans="2:4" ht="15" customHeight="1" x14ac:dyDescent="0.25">
      <c r="B21" s="24" t="s">
        <v>241</v>
      </c>
      <c r="D21" s="315" t="s">
        <v>1167</v>
      </c>
    </row>
    <row r="23" spans="2:4" ht="15" customHeight="1" x14ac:dyDescent="0.25">
      <c r="B23" s="24" t="s">
        <v>274</v>
      </c>
      <c r="D23" s="315" t="s">
        <v>1166</v>
      </c>
    </row>
    <row r="25" spans="2:4" ht="30" customHeight="1" x14ac:dyDescent="0.25">
      <c r="B25" s="24" t="s">
        <v>165</v>
      </c>
      <c r="D25" s="315"/>
    </row>
    <row r="26" spans="2:4" ht="15" customHeight="1" x14ac:dyDescent="0.25">
      <c r="B26" s="24"/>
    </row>
    <row r="27" spans="2:4" ht="15" customHeight="1" x14ac:dyDescent="0.25">
      <c r="B27" s="24" t="s">
        <v>160</v>
      </c>
    </row>
    <row r="28" spans="2:4" s="85" customFormat="1" ht="15" customHeight="1" x14ac:dyDescent="0.25">
      <c r="B28" s="188" t="s">
        <v>161</v>
      </c>
      <c r="C28" s="34"/>
      <c r="D28" s="34" t="s">
        <v>90</v>
      </c>
    </row>
    <row r="29" spans="2:4" s="85" customFormat="1" x14ac:dyDescent="0.25">
      <c r="B29" s="189"/>
      <c r="C29" s="91"/>
      <c r="D29" s="91" t="s">
        <v>163</v>
      </c>
    </row>
    <row r="30" spans="2:4" s="85" customFormat="1" x14ac:dyDescent="0.25">
      <c r="B30" s="316" t="s">
        <v>658</v>
      </c>
      <c r="C30" s="92"/>
      <c r="D30" s="92" t="s">
        <v>162</v>
      </c>
    </row>
    <row r="31" spans="2:4" s="85" customFormat="1" x14ac:dyDescent="0.25">
      <c r="B31" s="317" t="s">
        <v>658</v>
      </c>
      <c r="C31" s="92"/>
      <c r="D31" s="92" t="s">
        <v>296</v>
      </c>
    </row>
    <row r="32" spans="2:4" s="85" customFormat="1" x14ac:dyDescent="0.25">
      <c r="B32" s="318" t="s">
        <v>658</v>
      </c>
      <c r="C32" s="92"/>
      <c r="D32" s="81" t="s">
        <v>659</v>
      </c>
    </row>
    <row r="33" spans="2:4" s="85" customFormat="1" x14ac:dyDescent="0.25">
      <c r="B33" s="178" t="s">
        <v>658</v>
      </c>
      <c r="C33" s="92"/>
      <c r="D33" s="92" t="s">
        <v>164</v>
      </c>
    </row>
    <row r="34" spans="2:4" s="85" customFormat="1" x14ac:dyDescent="0.25">
      <c r="B34" s="136" t="s">
        <v>658</v>
      </c>
      <c r="C34" s="92"/>
      <c r="D34" s="92" t="s">
        <v>660</v>
      </c>
    </row>
    <row r="35" spans="2:4" s="85" customFormat="1" x14ac:dyDescent="0.25">
      <c r="B35" s="152" t="s">
        <v>658</v>
      </c>
      <c r="C35" s="92"/>
      <c r="D35" s="92" t="s">
        <v>661</v>
      </c>
    </row>
    <row r="36" spans="2:4" s="85" customFormat="1" x14ac:dyDescent="0.25">
      <c r="B36" s="190" t="s">
        <v>658</v>
      </c>
      <c r="C36" s="92"/>
      <c r="D36" s="81" t="s">
        <v>662</v>
      </c>
    </row>
    <row r="37" spans="2:4" s="85" customFormat="1" x14ac:dyDescent="0.25">
      <c r="B37" s="176" t="s">
        <v>663</v>
      </c>
      <c r="C37" s="92"/>
      <c r="D37" s="81" t="s">
        <v>664</v>
      </c>
    </row>
    <row r="38" spans="2:4" s="85" customFormat="1" ht="15" customHeight="1" x14ac:dyDescent="0.25">
      <c r="B38" s="135" t="s">
        <v>663</v>
      </c>
      <c r="C38" s="92"/>
      <c r="D38" s="92" t="s">
        <v>665</v>
      </c>
    </row>
    <row r="39" spans="2:4" s="85" customFormat="1" ht="15" customHeight="1" x14ac:dyDescent="0.25">
      <c r="B39" s="34" t="s">
        <v>663</v>
      </c>
      <c r="C39" s="92"/>
      <c r="D39" s="92" t="s">
        <v>666</v>
      </c>
    </row>
    <row r="40" spans="2:4" s="85" customFormat="1" ht="15" customHeight="1" x14ac:dyDescent="0.25">
      <c r="B40" s="65" t="s">
        <v>663</v>
      </c>
      <c r="C40" s="92"/>
      <c r="D40" s="92" t="s">
        <v>667</v>
      </c>
    </row>
    <row r="41" spans="2:4" s="85" customFormat="1" ht="15" customHeight="1" x14ac:dyDescent="0.25">
      <c r="B41" s="64" t="s">
        <v>663</v>
      </c>
      <c r="C41" s="92"/>
      <c r="D41" s="92" t="s">
        <v>668</v>
      </c>
    </row>
    <row r="42" spans="2:4" s="85" customFormat="1" ht="15" customHeight="1" x14ac:dyDescent="0.25">
      <c r="B42" s="191" t="s">
        <v>663</v>
      </c>
      <c r="C42" s="92"/>
      <c r="D42" s="92" t="s">
        <v>669</v>
      </c>
    </row>
    <row r="43" spans="2:4" s="195" customFormat="1" ht="15" customHeight="1" x14ac:dyDescent="0.25">
      <c r="B43" s="192" t="s">
        <v>670</v>
      </c>
      <c r="C43" s="196"/>
      <c r="D43" s="196" t="s">
        <v>671</v>
      </c>
    </row>
    <row r="44" spans="2:4" s="85" customFormat="1" ht="15" customHeight="1" x14ac:dyDescent="0.25">
      <c r="B44" s="219" t="s">
        <v>670</v>
      </c>
      <c r="C44" s="92"/>
      <c r="D44" s="92" t="s">
        <v>748</v>
      </c>
    </row>
    <row r="45" spans="2:4" s="195" customFormat="1" ht="15" customHeight="1" x14ac:dyDescent="0.25">
      <c r="B45" s="200" t="s">
        <v>670</v>
      </c>
      <c r="C45" s="196"/>
      <c r="D45" s="81" t="s">
        <v>672</v>
      </c>
    </row>
    <row r="46" spans="2:4" s="85" customFormat="1" ht="15" customHeight="1" x14ac:dyDescent="0.25">
      <c r="B46" s="193" t="s">
        <v>670</v>
      </c>
      <c r="C46" s="92"/>
      <c r="D46" s="81" t="s">
        <v>673</v>
      </c>
    </row>
    <row r="47" spans="2:4" s="85" customFormat="1" ht="15" customHeight="1" x14ac:dyDescent="0.25">
      <c r="B47" s="201" t="s">
        <v>670</v>
      </c>
      <c r="C47" s="93"/>
      <c r="D47" s="19" t="s">
        <v>674</v>
      </c>
    </row>
    <row r="48" spans="2:4" ht="15" customHeight="1" x14ac:dyDescent="0.25">
      <c r="D48" s="26"/>
    </row>
    <row r="49" spans="2:4" ht="15" customHeight="1" x14ac:dyDescent="0.25">
      <c r="B49" s="25"/>
    </row>
    <row r="50" spans="2:4" ht="15" customHeight="1" x14ac:dyDescent="0.25">
      <c r="B50" s="27"/>
    </row>
    <row r="51" spans="2:4" ht="15" customHeight="1" x14ac:dyDescent="0.25">
      <c r="B51" s="27"/>
    </row>
    <row r="52" spans="2:4" ht="15" customHeight="1" x14ac:dyDescent="0.25">
      <c r="B52" s="27"/>
    </row>
    <row r="53" spans="2:4" ht="15" customHeight="1" x14ac:dyDescent="0.25">
      <c r="B53" s="27"/>
      <c r="D53" s="21"/>
    </row>
  </sheetData>
  <sheetProtection sheet="1" objects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CS78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50" customWidth="1"/>
    <col min="6" max="6" width="20.7109375" style="50" customWidth="1"/>
    <col min="7" max="7" width="22.7109375" style="50" customWidth="1"/>
    <col min="8" max="8" width="24.28515625" style="50" customWidth="1"/>
    <col min="9" max="9" width="30.7109375" style="50" customWidth="1"/>
    <col min="10" max="10" width="19.28515625" style="122" bestFit="1" customWidth="1"/>
    <col min="11" max="11" width="10.7109375" style="50" customWidth="1"/>
    <col min="12" max="12" width="82.7109375" style="50" customWidth="1"/>
    <col min="13" max="13" width="2.7109375" style="50" customWidth="1"/>
    <col min="14" max="16384" width="9.140625" style="50" hidden="1"/>
  </cols>
  <sheetData>
    <row r="1" spans="1:97" s="49" customFormat="1" x14ac:dyDescent="0.25">
      <c r="A1" s="10" t="str">
        <f ca="1">MID(CELL("filename",A1),FIND("]",CELL("filename",A1))+1,255)</f>
        <v>Version control</v>
      </c>
    </row>
    <row r="2" spans="1:97" s="49" customFormat="1" x14ac:dyDescent="0.25">
      <c r="A2" s="49" t="str">
        <f>Cover!D21&amp;" - "&amp;Cover!D23</f>
        <v>SP Distribution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97" s="295" customFormat="1" x14ac:dyDescent="0.25">
      <c r="A4" s="229" t="str">
        <f>J61 &amp; IF(J61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x14ac:dyDescent="0.25">
      <c r="A5" s="47"/>
      <c r="B5" s="51" t="s">
        <v>275</v>
      </c>
      <c r="C5" s="51"/>
      <c r="D5" s="51"/>
      <c r="E5" s="51"/>
      <c r="F5" s="51"/>
      <c r="G5" s="52"/>
      <c r="H5" s="52"/>
      <c r="I5" s="52"/>
      <c r="J5" s="52"/>
      <c r="K5" s="52"/>
      <c r="L5" s="51"/>
    </row>
    <row r="6" spans="1:97" x14ac:dyDescent="0.25">
      <c r="A6" s="47"/>
      <c r="B6" s="47"/>
      <c r="C6" s="47"/>
      <c r="D6" s="47"/>
      <c r="E6" s="47"/>
      <c r="F6" s="47"/>
      <c r="G6" s="48"/>
      <c r="H6" s="48"/>
      <c r="I6" s="48"/>
      <c r="J6" s="121"/>
      <c r="K6" s="48"/>
      <c r="L6" s="47"/>
    </row>
    <row r="7" spans="1:97" x14ac:dyDescent="0.25">
      <c r="A7" s="47"/>
      <c r="B7" s="47"/>
      <c r="C7" s="47"/>
      <c r="D7" s="47"/>
      <c r="F7" s="47" t="s">
        <v>276</v>
      </c>
      <c r="H7" s="226">
        <f>LOOKUP(2,1/(F20:F30&lt;&gt;""),F20:F30)</f>
        <v>43777</v>
      </c>
      <c r="I7" s="53"/>
      <c r="J7" s="53"/>
      <c r="K7" s="47"/>
      <c r="L7" s="47"/>
    </row>
    <row r="8" spans="1:97" x14ac:dyDescent="0.25">
      <c r="A8" s="47"/>
      <c r="B8" s="47"/>
      <c r="C8" s="47"/>
      <c r="D8" s="47"/>
      <c r="F8" s="47"/>
      <c r="H8" s="120"/>
      <c r="I8" s="48"/>
      <c r="J8" s="121"/>
      <c r="K8" s="47"/>
      <c r="L8" s="47"/>
    </row>
    <row r="9" spans="1:97" x14ac:dyDescent="0.25">
      <c r="A9" s="47"/>
      <c r="B9" s="47"/>
      <c r="C9" s="47"/>
      <c r="D9" s="47"/>
      <c r="F9" s="47" t="s">
        <v>273</v>
      </c>
      <c r="H9" s="227" t="str">
        <f>LOOKUP(2,1/(G20:G30&lt;&gt;""),G20:G30)</f>
        <v>Release for charge setting</v>
      </c>
      <c r="I9" s="54"/>
      <c r="J9" s="54"/>
      <c r="K9" s="47"/>
      <c r="L9" s="47"/>
    </row>
    <row r="10" spans="1:97" x14ac:dyDescent="0.25">
      <c r="A10" s="47"/>
      <c r="B10" s="47"/>
      <c r="C10" s="47"/>
      <c r="D10" s="47"/>
      <c r="F10" s="47"/>
      <c r="H10" s="120"/>
      <c r="I10" s="47"/>
      <c r="J10" s="120"/>
      <c r="K10" s="47"/>
      <c r="L10" s="47"/>
    </row>
    <row r="11" spans="1:97" x14ac:dyDescent="0.25">
      <c r="A11" s="47"/>
      <c r="B11" s="47"/>
      <c r="C11" s="47"/>
      <c r="D11" s="47"/>
      <c r="F11" s="370" t="s">
        <v>1032</v>
      </c>
      <c r="H11" s="227">
        <f>LOOKUP(2,1/(H20:H30&lt;&gt;""),H20:H30)</f>
        <v>5</v>
      </c>
      <c r="I11" s="54"/>
      <c r="J11" s="54"/>
      <c r="K11" s="47"/>
      <c r="L11" s="47"/>
    </row>
    <row r="12" spans="1:97" x14ac:dyDescent="0.25">
      <c r="A12" s="47"/>
      <c r="B12" s="47"/>
      <c r="C12" s="47"/>
      <c r="D12" s="47"/>
      <c r="F12" s="47"/>
      <c r="H12" s="120"/>
      <c r="I12" s="48"/>
      <c r="J12" s="121"/>
      <c r="K12" s="47"/>
      <c r="L12" s="47"/>
    </row>
    <row r="13" spans="1:97" s="195" customFormat="1" x14ac:dyDescent="0.25">
      <c r="A13" s="221"/>
      <c r="B13" s="221"/>
      <c r="C13" s="221"/>
      <c r="D13" s="221"/>
      <c r="F13" s="120" t="s">
        <v>751</v>
      </c>
      <c r="H13" s="223" t="str">
        <f>LOOKUP(2,1/(I20:I30&lt;&gt;""),I20:I30)</f>
        <v>Attachment A_01 April 2021 Charging Methodologies Pre-Release_Issued October 2019 (shared 10/10/2019)</v>
      </c>
      <c r="I13" s="224"/>
      <c r="J13" s="224"/>
      <c r="K13" s="224"/>
      <c r="L13" s="221"/>
      <c r="M13" s="221"/>
      <c r="N13" s="222"/>
    </row>
    <row r="14" spans="1:97" s="195" customFormat="1" x14ac:dyDescent="0.25">
      <c r="A14" s="221"/>
      <c r="B14" s="221"/>
      <c r="C14" s="221"/>
      <c r="D14" s="221"/>
      <c r="F14" s="221"/>
      <c r="H14" s="225"/>
      <c r="I14" s="224"/>
      <c r="J14" s="224"/>
      <c r="K14" s="224"/>
      <c r="L14" s="221"/>
      <c r="M14" s="221"/>
      <c r="N14" s="222"/>
    </row>
    <row r="15" spans="1:97" x14ac:dyDescent="0.25">
      <c r="A15" s="47"/>
      <c r="B15" s="47"/>
      <c r="C15" s="47"/>
      <c r="D15" s="47"/>
      <c r="F15" s="120" t="s">
        <v>782</v>
      </c>
      <c r="H15" s="227" t="str">
        <f>LOOKUP(2,1/(J20:J30&lt;&gt;""),J20:J30)</f>
        <v>Schedules 16 &amp; 20</v>
      </c>
      <c r="I15" s="48"/>
      <c r="J15" s="121"/>
      <c r="K15" s="47"/>
      <c r="L15" s="47"/>
    </row>
    <row r="16" spans="1:97" x14ac:dyDescent="0.25">
      <c r="A16" s="47"/>
      <c r="B16" s="47"/>
      <c r="C16" s="47"/>
      <c r="D16" s="47"/>
      <c r="E16" s="47"/>
      <c r="F16" s="47"/>
      <c r="H16" s="48"/>
      <c r="I16" s="48"/>
      <c r="J16" s="121"/>
      <c r="K16" s="47"/>
      <c r="L16" s="47"/>
    </row>
    <row r="17" spans="1:12" x14ac:dyDescent="0.25">
      <c r="A17" s="47"/>
      <c r="B17" s="51" t="s">
        <v>283</v>
      </c>
      <c r="C17" s="51"/>
      <c r="D17" s="51"/>
      <c r="E17" s="51"/>
      <c r="F17" s="51"/>
      <c r="G17" s="52"/>
      <c r="H17" s="52"/>
      <c r="I17" s="52"/>
      <c r="J17" s="52"/>
      <c r="K17" s="52"/>
      <c r="L17" s="51"/>
    </row>
    <row r="18" spans="1:12" x14ac:dyDescent="0.25">
      <c r="A18" s="47"/>
      <c r="B18" s="47"/>
      <c r="C18" s="47"/>
      <c r="D18" s="47"/>
      <c r="E18" s="47"/>
      <c r="F18" s="47"/>
      <c r="G18" s="48"/>
      <c r="H18" s="47"/>
      <c r="I18" s="47"/>
      <c r="J18" s="120"/>
      <c r="K18" s="47"/>
      <c r="L18" s="47"/>
    </row>
    <row r="19" spans="1:12" x14ac:dyDescent="0.25">
      <c r="A19" s="47"/>
      <c r="B19" s="47"/>
      <c r="C19" s="47"/>
      <c r="D19" s="47"/>
      <c r="E19" s="47"/>
      <c r="F19" s="55" t="s">
        <v>277</v>
      </c>
      <c r="G19" s="56" t="s">
        <v>278</v>
      </c>
      <c r="H19" s="55" t="s">
        <v>1028</v>
      </c>
      <c r="I19" s="56" t="s">
        <v>780</v>
      </c>
      <c r="J19" s="56" t="s">
        <v>781</v>
      </c>
      <c r="K19" s="56" t="s">
        <v>158</v>
      </c>
      <c r="L19" s="56" t="s">
        <v>279</v>
      </c>
    </row>
    <row r="20" spans="1:12" ht="30" x14ac:dyDescent="0.25">
      <c r="A20" s="47"/>
      <c r="B20" s="47"/>
      <c r="C20" s="47"/>
      <c r="D20" s="47"/>
      <c r="E20" s="47"/>
      <c r="F20" s="319">
        <v>43250</v>
      </c>
      <c r="G20" s="315" t="s">
        <v>1023</v>
      </c>
      <c r="H20" s="315">
        <v>1</v>
      </c>
      <c r="I20" s="315" t="s">
        <v>787</v>
      </c>
      <c r="J20" s="315" t="s">
        <v>1027</v>
      </c>
      <c r="K20" s="315" t="s">
        <v>675</v>
      </c>
      <c r="L20" s="315" t="s">
        <v>784</v>
      </c>
    </row>
    <row r="21" spans="1:12" ht="30" x14ac:dyDescent="0.25">
      <c r="A21" s="47"/>
      <c r="B21" s="47"/>
      <c r="C21" s="47"/>
      <c r="D21" s="47"/>
      <c r="E21" s="47"/>
      <c r="F21" s="319">
        <v>43301</v>
      </c>
      <c r="G21" s="315" t="s">
        <v>1023</v>
      </c>
      <c r="H21" s="315">
        <v>2</v>
      </c>
      <c r="I21" s="315" t="s">
        <v>1024</v>
      </c>
      <c r="J21" s="315" t="s">
        <v>1027</v>
      </c>
      <c r="K21" s="315" t="s">
        <v>675</v>
      </c>
      <c r="L21" s="315" t="s">
        <v>1025</v>
      </c>
    </row>
    <row r="22" spans="1:12" s="122" customFormat="1" ht="45" x14ac:dyDescent="0.25">
      <c r="A22" s="120"/>
      <c r="B22" s="120"/>
      <c r="C22" s="120"/>
      <c r="D22" s="120"/>
      <c r="E22" s="120"/>
      <c r="F22" s="319">
        <v>43389</v>
      </c>
      <c r="G22" s="315" t="s">
        <v>1029</v>
      </c>
      <c r="H22" s="315">
        <v>3</v>
      </c>
      <c r="I22" s="368" t="s">
        <v>1030</v>
      </c>
      <c r="J22" s="315" t="s">
        <v>1027</v>
      </c>
      <c r="K22" s="368" t="s">
        <v>675</v>
      </c>
      <c r="L22" s="368" t="s">
        <v>1031</v>
      </c>
    </row>
    <row r="23" spans="1:12" s="122" customFormat="1" ht="60" x14ac:dyDescent="0.25">
      <c r="A23" s="120"/>
      <c r="B23" s="120"/>
      <c r="C23" s="120"/>
      <c r="D23" s="120"/>
      <c r="E23" s="120"/>
      <c r="F23" s="319">
        <v>43663</v>
      </c>
      <c r="G23" s="315" t="s">
        <v>1023</v>
      </c>
      <c r="H23" s="315">
        <v>4</v>
      </c>
      <c r="I23" s="315" t="s">
        <v>1036</v>
      </c>
      <c r="J23" s="315" t="s">
        <v>1027</v>
      </c>
      <c r="K23" s="315" t="s">
        <v>675</v>
      </c>
      <c r="L23" s="315" t="s">
        <v>1037</v>
      </c>
    </row>
    <row r="24" spans="1:12" s="122" customFormat="1" ht="60" x14ac:dyDescent="0.25">
      <c r="A24" s="120"/>
      <c r="B24" s="120"/>
      <c r="C24" s="120"/>
      <c r="D24" s="120"/>
      <c r="E24" s="120"/>
      <c r="F24" s="469">
        <v>43777</v>
      </c>
      <c r="G24" s="470" t="s">
        <v>1029</v>
      </c>
      <c r="H24" s="470">
        <v>5</v>
      </c>
      <c r="I24" s="470" t="s">
        <v>1162</v>
      </c>
      <c r="J24" s="315" t="s">
        <v>1027</v>
      </c>
      <c r="K24" s="470" t="s">
        <v>675</v>
      </c>
      <c r="L24" s="471" t="s">
        <v>1160</v>
      </c>
    </row>
    <row r="25" spans="1:12" s="122" customFormat="1" x14ac:dyDescent="0.25">
      <c r="A25" s="120"/>
      <c r="B25" s="120"/>
      <c r="C25" s="120"/>
      <c r="D25" s="120"/>
      <c r="E25" s="120"/>
      <c r="F25" s="319"/>
      <c r="G25" s="315"/>
      <c r="H25" s="315"/>
      <c r="I25" s="315"/>
      <c r="J25" s="315"/>
      <c r="K25" s="315"/>
      <c r="L25" s="315"/>
    </row>
    <row r="26" spans="1:12" s="122" customFormat="1" x14ac:dyDescent="0.25">
      <c r="A26" s="120"/>
      <c r="B26" s="120"/>
      <c r="C26" s="120"/>
      <c r="D26" s="120"/>
      <c r="E26" s="120"/>
      <c r="F26" s="319"/>
      <c r="G26" s="315"/>
      <c r="H26" s="315"/>
      <c r="I26" s="315"/>
      <c r="J26" s="315"/>
      <c r="K26" s="315"/>
      <c r="L26" s="315"/>
    </row>
    <row r="27" spans="1:12" x14ac:dyDescent="0.25">
      <c r="A27" s="47"/>
      <c r="B27" s="47"/>
      <c r="C27" s="47"/>
      <c r="D27" s="47"/>
      <c r="E27" s="47"/>
      <c r="F27" s="319"/>
      <c r="G27" s="315"/>
      <c r="H27" s="315"/>
      <c r="I27" s="315"/>
      <c r="J27" s="315"/>
      <c r="K27" s="315"/>
      <c r="L27" s="315"/>
    </row>
    <row r="28" spans="1:12" x14ac:dyDescent="0.25">
      <c r="A28" s="47"/>
      <c r="B28" s="47"/>
      <c r="C28" s="47"/>
      <c r="D28" s="47"/>
      <c r="E28" s="47"/>
      <c r="F28" s="319"/>
      <c r="G28" s="315"/>
      <c r="H28" s="315"/>
      <c r="I28" s="315"/>
      <c r="J28" s="315"/>
      <c r="K28" s="315"/>
      <c r="L28" s="315"/>
    </row>
    <row r="29" spans="1:12" x14ac:dyDescent="0.25">
      <c r="A29" s="47"/>
      <c r="B29" s="47"/>
      <c r="C29" s="47"/>
      <c r="D29" s="47"/>
      <c r="E29" s="47"/>
      <c r="F29" s="319"/>
      <c r="G29" s="315"/>
      <c r="H29" s="315"/>
      <c r="I29" s="315"/>
      <c r="J29" s="315"/>
      <c r="K29" s="315"/>
      <c r="L29" s="315"/>
    </row>
    <row r="31" spans="1:12" x14ac:dyDescent="0.25">
      <c r="B31" s="51" t="s">
        <v>284</v>
      </c>
      <c r="C31" s="51"/>
      <c r="D31" s="51"/>
      <c r="E31" s="51"/>
      <c r="F31" s="51"/>
      <c r="G31" s="52"/>
      <c r="H31" s="52"/>
      <c r="I31" s="52"/>
      <c r="J31" s="52"/>
      <c r="K31" s="52"/>
      <c r="L31" s="51"/>
    </row>
    <row r="33" spans="5:10" x14ac:dyDescent="0.25">
      <c r="E33" s="57" t="s">
        <v>285</v>
      </c>
      <c r="F33" s="194"/>
      <c r="G33" s="61"/>
      <c r="H33" s="61"/>
      <c r="I33" s="61"/>
      <c r="J33" s="61"/>
    </row>
    <row r="34" spans="5:10" x14ac:dyDescent="0.25">
      <c r="F34" s="59" t="str">
        <f>"ARP_"&amp;F38</f>
        <v>ARP_Inputs by customer type</v>
      </c>
      <c r="G34" s="60"/>
      <c r="H34" s="320" t="s">
        <v>758</v>
      </c>
      <c r="I34" s="60" t="s">
        <v>692</v>
      </c>
      <c r="J34" s="113">
        <f>'ARP_Inputs by customer type'!$H$530</f>
        <v>0</v>
      </c>
    </row>
    <row r="35" spans="5:10" x14ac:dyDescent="0.25">
      <c r="F35" s="59" t="str">
        <f>"ARP_"&amp;F39</f>
        <v>ARP_Inputs by network level</v>
      </c>
      <c r="G35" s="60"/>
      <c r="H35" s="320" t="s">
        <v>759</v>
      </c>
      <c r="I35" s="60" t="s">
        <v>692</v>
      </c>
      <c r="J35" s="113">
        <f>'ARP_Inputs by network level'!$H$218</f>
        <v>0</v>
      </c>
    </row>
    <row r="36" spans="5:10" x14ac:dyDescent="0.25">
      <c r="F36" s="59" t="str">
        <f>"ARP_"&amp;F40</f>
        <v>ARP_General inputs</v>
      </c>
      <c r="G36" s="60"/>
      <c r="H36" s="320" t="s">
        <v>760</v>
      </c>
      <c r="I36" s="60" t="s">
        <v>692</v>
      </c>
      <c r="J36" s="113">
        <f>'ARP_General inputs'!$H$124</f>
        <v>0</v>
      </c>
    </row>
    <row r="37" spans="5:10" x14ac:dyDescent="0.25">
      <c r="F37" s="59" t="s">
        <v>529</v>
      </c>
      <c r="G37" s="60"/>
      <c r="H37" s="320" t="s">
        <v>944</v>
      </c>
      <c r="I37" s="60" t="s">
        <v>692</v>
      </c>
      <c r="J37" s="113">
        <f>'Fixed inputs'!H172</f>
        <v>0</v>
      </c>
    </row>
    <row r="38" spans="5:10" x14ac:dyDescent="0.25">
      <c r="E38" s="59"/>
      <c r="F38" s="59" t="s">
        <v>546</v>
      </c>
      <c r="G38" s="60"/>
      <c r="H38" s="320" t="s">
        <v>945</v>
      </c>
      <c r="I38" s="60" t="s">
        <v>692</v>
      </c>
      <c r="J38" s="113">
        <f>'Inputs by customer type'!H65</f>
        <v>0</v>
      </c>
    </row>
    <row r="39" spans="5:10" x14ac:dyDescent="0.25">
      <c r="E39" s="59"/>
      <c r="F39" s="59" t="s">
        <v>252</v>
      </c>
      <c r="G39" s="60"/>
      <c r="H39" s="320" t="s">
        <v>946</v>
      </c>
      <c r="I39" s="60" t="s">
        <v>692</v>
      </c>
      <c r="J39" s="114">
        <f>'Inputs by network level'!H59</f>
        <v>0</v>
      </c>
    </row>
    <row r="40" spans="5:10" x14ac:dyDescent="0.25">
      <c r="E40" s="59"/>
      <c r="F40" s="59" t="s">
        <v>656</v>
      </c>
      <c r="G40" s="60"/>
      <c r="H40" s="320" t="s">
        <v>947</v>
      </c>
      <c r="I40" s="60" t="s">
        <v>692</v>
      </c>
      <c r="J40" s="113">
        <f>'General inputs'!H117</f>
        <v>0</v>
      </c>
    </row>
    <row r="41" spans="5:10" x14ac:dyDescent="0.25">
      <c r="F41" s="59" t="s">
        <v>532</v>
      </c>
      <c r="G41" s="60"/>
      <c r="H41" s="320" t="s">
        <v>948</v>
      </c>
      <c r="I41" s="60" t="s">
        <v>692</v>
      </c>
      <c r="J41" s="114">
        <f>'Standing charge factors'!H58</f>
        <v>0</v>
      </c>
    </row>
    <row r="42" spans="5:10" x14ac:dyDescent="0.25">
      <c r="F42" s="59" t="s">
        <v>533</v>
      </c>
      <c r="G42" s="60"/>
      <c r="H42" s="320" t="s">
        <v>949</v>
      </c>
      <c r="I42" s="60" t="s">
        <v>692</v>
      </c>
      <c r="J42" s="114">
        <f>'Load &amp; loss characteristics'!H183</f>
        <v>0</v>
      </c>
    </row>
    <row r="43" spans="5:10" x14ac:dyDescent="0.25">
      <c r="F43" s="59" t="s">
        <v>289</v>
      </c>
      <c r="G43" s="60"/>
      <c r="H43" s="320" t="s">
        <v>950</v>
      </c>
      <c r="I43" s="60" t="s">
        <v>692</v>
      </c>
      <c r="J43" s="114">
        <f>'Customer contributions'!H70</f>
        <v>0</v>
      </c>
    </row>
    <row r="44" spans="5:10" x14ac:dyDescent="0.25">
      <c r="F44" s="59" t="s">
        <v>290</v>
      </c>
      <c r="G44" s="60"/>
      <c r="H44" s="320" t="s">
        <v>951</v>
      </c>
      <c r="I44" s="60" t="s">
        <v>692</v>
      </c>
      <c r="J44" s="114">
        <f>'Volume adjustments'!H140</f>
        <v>0</v>
      </c>
    </row>
    <row r="45" spans="5:10" x14ac:dyDescent="0.25">
      <c r="F45" s="59" t="s">
        <v>281</v>
      </c>
      <c r="G45" s="60"/>
      <c r="H45" s="320" t="s">
        <v>952</v>
      </c>
      <c r="I45" s="60" t="s">
        <v>692</v>
      </c>
      <c r="J45" s="114">
        <f>'Pseudo-load coefficients'!H306</f>
        <v>0</v>
      </c>
    </row>
    <row r="46" spans="5:10" x14ac:dyDescent="0.25">
      <c r="F46" s="59" t="s">
        <v>534</v>
      </c>
      <c r="G46" s="60"/>
      <c r="H46" s="320" t="s">
        <v>953</v>
      </c>
      <c r="I46" s="60" t="s">
        <v>692</v>
      </c>
      <c r="J46" s="114">
        <f>'System peak demand'!H281</f>
        <v>0</v>
      </c>
    </row>
    <row r="47" spans="5:10" x14ac:dyDescent="0.25">
      <c r="F47" s="59" t="s">
        <v>282</v>
      </c>
      <c r="G47" s="60"/>
      <c r="H47" s="320" t="s">
        <v>954</v>
      </c>
      <c r="I47" s="60" t="s">
        <v>692</v>
      </c>
      <c r="J47" s="114">
        <f>'Service model assets'!H38</f>
        <v>0</v>
      </c>
    </row>
    <row r="48" spans="5:10" x14ac:dyDescent="0.25">
      <c r="F48" s="59" t="s">
        <v>367</v>
      </c>
      <c r="G48" s="60"/>
      <c r="H48" s="320" t="s">
        <v>955</v>
      </c>
      <c r="I48" s="60" t="s">
        <v>692</v>
      </c>
      <c r="J48" s="114">
        <f>'Unit costs'!H131</f>
        <v>0</v>
      </c>
    </row>
    <row r="49" spans="2:12" x14ac:dyDescent="0.25">
      <c r="F49" s="59" t="s">
        <v>291</v>
      </c>
      <c r="G49" s="60"/>
      <c r="H49" s="320" t="s">
        <v>956</v>
      </c>
      <c r="I49" s="60" t="s">
        <v>692</v>
      </c>
      <c r="J49" s="114">
        <f>'Initial unit rates'!H241</f>
        <v>0</v>
      </c>
    </row>
    <row r="50" spans="2:12" x14ac:dyDescent="0.25">
      <c r="F50" s="59" t="s">
        <v>535</v>
      </c>
      <c r="G50" s="60"/>
      <c r="H50" s="320" t="s">
        <v>957</v>
      </c>
      <c r="I50" s="60" t="s">
        <v>692</v>
      </c>
      <c r="J50" s="114">
        <f>'Service model charges'!H48</f>
        <v>0</v>
      </c>
    </row>
    <row r="51" spans="2:12" x14ac:dyDescent="0.25">
      <c r="F51" s="59" t="s">
        <v>536</v>
      </c>
      <c r="G51" s="60"/>
      <c r="H51" s="320" t="s">
        <v>958</v>
      </c>
      <c r="I51" s="60" t="s">
        <v>692</v>
      </c>
      <c r="J51" s="114">
        <f>'Unit rate charges'!H223</f>
        <v>0</v>
      </c>
    </row>
    <row r="52" spans="2:12" x14ac:dyDescent="0.25">
      <c r="F52" s="59" t="s">
        <v>466</v>
      </c>
      <c r="G52" s="60"/>
      <c r="H52" s="320" t="s">
        <v>959</v>
      </c>
      <c r="I52" s="60" t="s">
        <v>692</v>
      </c>
      <c r="J52" s="114">
        <f>'Reactive power charges'!H254</f>
        <v>0</v>
      </c>
    </row>
    <row r="53" spans="2:12" x14ac:dyDescent="0.25">
      <c r="F53" s="59" t="s">
        <v>293</v>
      </c>
      <c r="G53" s="60"/>
      <c r="H53" s="320" t="s">
        <v>960</v>
      </c>
      <c r="I53" s="60" t="s">
        <v>692</v>
      </c>
      <c r="J53" s="114">
        <f>'Capacity charges'!H295</f>
        <v>0</v>
      </c>
    </row>
    <row r="54" spans="2:12" x14ac:dyDescent="0.25">
      <c r="F54" s="59" t="s">
        <v>294</v>
      </c>
      <c r="G54" s="60"/>
      <c r="H54" s="320" t="s">
        <v>961</v>
      </c>
      <c r="I54" s="60" t="s">
        <v>692</v>
      </c>
      <c r="J54" s="114">
        <f>'Fixed charges'!H165</f>
        <v>0</v>
      </c>
    </row>
    <row r="55" spans="2:12" x14ac:dyDescent="0.25">
      <c r="F55" s="59" t="s">
        <v>295</v>
      </c>
      <c r="G55" s="60"/>
      <c r="H55" s="320" t="s">
        <v>962</v>
      </c>
      <c r="I55" s="60" t="s">
        <v>692</v>
      </c>
      <c r="J55" s="114">
        <f>'Revenue matching'!H162</f>
        <v>0</v>
      </c>
    </row>
    <row r="56" spans="2:12" s="122" customFormat="1" x14ac:dyDescent="0.25">
      <c r="F56" s="59" t="s">
        <v>1157</v>
      </c>
      <c r="G56" s="60"/>
      <c r="H56" s="320" t="s">
        <v>963</v>
      </c>
      <c r="I56" s="60" t="s">
        <v>692</v>
      </c>
      <c r="J56" s="114">
        <f>'Fixed charge adder'!H66</f>
        <v>0</v>
      </c>
    </row>
    <row r="57" spans="2:12" x14ac:dyDescent="0.25">
      <c r="F57" s="59" t="s">
        <v>238</v>
      </c>
      <c r="G57" s="60"/>
      <c r="H57" s="320" t="s">
        <v>1158</v>
      </c>
      <c r="I57" s="60" t="s">
        <v>692</v>
      </c>
      <c r="J57" s="114">
        <f>Rounding!H158</f>
        <v>0</v>
      </c>
    </row>
    <row r="58" spans="2:12" x14ac:dyDescent="0.25">
      <c r="F58" s="59" t="s">
        <v>657</v>
      </c>
      <c r="G58" s="60"/>
      <c r="H58" s="320" t="s">
        <v>1115</v>
      </c>
      <c r="I58" s="60" t="s">
        <v>692</v>
      </c>
      <c r="J58" s="113">
        <f>'Net revenue summary'!H134</f>
        <v>0</v>
      </c>
    </row>
    <row r="59" spans="2:12" x14ac:dyDescent="0.25">
      <c r="F59" s="59" t="s">
        <v>537</v>
      </c>
      <c r="G59" s="60"/>
      <c r="H59" s="320" t="s">
        <v>1116</v>
      </c>
      <c r="I59" s="60" t="s">
        <v>692</v>
      </c>
      <c r="J59" s="114">
        <f>'Tariff summary'!H353</f>
        <v>0</v>
      </c>
    </row>
    <row r="60" spans="2:12" x14ac:dyDescent="0.25">
      <c r="F60" s="59" t="s">
        <v>584</v>
      </c>
      <c r="G60" s="60"/>
      <c r="H60" s="320" t="s">
        <v>1117</v>
      </c>
      <c r="I60" s="60" t="s">
        <v>692</v>
      </c>
      <c r="J60" s="113">
        <f>'Typical bills'!H73</f>
        <v>0</v>
      </c>
    </row>
    <row r="61" spans="2:12" s="122" customFormat="1" x14ac:dyDescent="0.25">
      <c r="F61" s="314" t="s">
        <v>111</v>
      </c>
      <c r="G61" s="300"/>
      <c r="H61" s="300"/>
      <c r="I61" s="300" t="s">
        <v>692</v>
      </c>
      <c r="J61" s="183">
        <f>IFERROR(SUM(J34:J60), 1)</f>
        <v>0</v>
      </c>
    </row>
    <row r="62" spans="2:12" x14ac:dyDescent="0.25">
      <c r="E62" s="60"/>
      <c r="F62" s="60"/>
      <c r="G62" s="60"/>
      <c r="H62" s="60"/>
      <c r="I62" s="60"/>
      <c r="J62" s="60"/>
    </row>
    <row r="63" spans="2:12" x14ac:dyDescent="0.25">
      <c r="B63" s="51" t="s">
        <v>286</v>
      </c>
      <c r="C63" s="51"/>
      <c r="D63" s="51"/>
      <c r="E63" s="51"/>
      <c r="F63" s="51"/>
      <c r="G63" s="52"/>
      <c r="H63" s="52"/>
      <c r="I63" s="52"/>
      <c r="J63" s="52"/>
      <c r="K63" s="52"/>
      <c r="L63" s="51"/>
    </row>
    <row r="65" spans="2:12" x14ac:dyDescent="0.25">
      <c r="F65" s="56" t="s">
        <v>287</v>
      </c>
    </row>
    <row r="66" spans="2:12" x14ac:dyDescent="0.25">
      <c r="F66" s="321" t="s">
        <v>280</v>
      </c>
    </row>
    <row r="67" spans="2:12" x14ac:dyDescent="0.25">
      <c r="F67" s="321" t="s">
        <v>785</v>
      </c>
    </row>
    <row r="68" spans="2:12" x14ac:dyDescent="0.25">
      <c r="F68" s="321" t="s">
        <v>1023</v>
      </c>
    </row>
    <row r="69" spans="2:12" s="122" customFormat="1" ht="30" x14ac:dyDescent="0.25">
      <c r="F69" s="369" t="s">
        <v>1029</v>
      </c>
    </row>
    <row r="70" spans="2:12" s="122" customFormat="1" x14ac:dyDescent="0.25">
      <c r="F70" s="321"/>
    </row>
    <row r="71" spans="2:12" s="122" customFormat="1" x14ac:dyDescent="0.25">
      <c r="F71" s="321"/>
    </row>
    <row r="72" spans="2:12" s="122" customFormat="1" x14ac:dyDescent="0.25">
      <c r="F72" s="321"/>
    </row>
    <row r="73" spans="2:12" s="122" customFormat="1" x14ac:dyDescent="0.25">
      <c r="F73" s="321"/>
    </row>
    <row r="74" spans="2:12" s="122" customFormat="1" x14ac:dyDescent="0.25">
      <c r="F74" s="321"/>
    </row>
    <row r="75" spans="2:12" s="122" customFormat="1" x14ac:dyDescent="0.25">
      <c r="F75" s="321"/>
    </row>
    <row r="76" spans="2:12" x14ac:dyDescent="0.25">
      <c r="F76" s="321" t="s">
        <v>288</v>
      </c>
    </row>
    <row r="78" spans="2:12" x14ac:dyDescent="0.25">
      <c r="B78" s="51" t="s">
        <v>110</v>
      </c>
      <c r="C78" s="51"/>
      <c r="D78" s="51"/>
      <c r="E78" s="51"/>
      <c r="F78" s="51"/>
      <c r="G78" s="52"/>
      <c r="H78" s="52"/>
      <c r="I78" s="52"/>
      <c r="J78" s="52"/>
      <c r="K78" s="52"/>
      <c r="L78" s="51"/>
    </row>
  </sheetData>
  <sheetProtection sheet="1" objects="1" formatCells="0" formatColumns="0" formatRows="0" sort="0" autoFilter="0"/>
  <dataConsolidate/>
  <conditionalFormatting sqref="J34:J61">
    <cfRule type="cellIs" dxfId="251" priority="2" operator="greaterThan">
      <formula>0</formula>
    </cfRule>
  </conditionalFormatting>
  <conditionalFormatting sqref="A4:XFD4">
    <cfRule type="expression" dxfId="250" priority="1">
      <formula>LEFT($A$4,1) &lt;&gt; "0"</formula>
    </cfRule>
  </conditionalFormatting>
  <dataValidations count="4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29" xr:uid="{00000000-0002-0000-0100-000000000000}">
      <formula1>0</formula1>
    </dataValidation>
    <dataValidation type="date" operator="greaterThan" allowBlank="1" showInputMessage="1" showErrorMessage="1" promptTitle="Model date" prompt="Input a date" sqref="F20:F29" xr:uid="{00000000-0002-0000-0100-000001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29" xr:uid="{00000000-0002-0000-0100-000002000000}">
      <formula1>$F$66:$F$76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00000000-0002-0000-0100-000003000000}">
      <formula1>$F$63:$F$73</formula1>
    </dataValidation>
  </dataValidations>
  <hyperlinks>
    <hyperlink ref="I66" location="'Cover'!A1" display="Cover" xr:uid="{00000000-0004-0000-0100-000000000000}"/>
    <hyperlink ref="I67" location="'Version control'!A1" display="Version control" xr:uid="{00000000-0004-0000-0100-000001000000}"/>
    <hyperlink ref="I76" location="'Model map'!A1" display="Model map" xr:uid="{00000000-0004-0000-0100-000002000000}"/>
    <hyperlink ref="I77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25"/>
  <cols>
    <col min="1" max="5" width="2.5703125" style="21" customWidth="1"/>
    <col min="6" max="6" width="30.7109375" style="21" customWidth="1"/>
    <col min="7" max="7" width="2.7109375" style="21" customWidth="1"/>
    <col min="8" max="8" width="25.7109375" style="25" customWidth="1"/>
    <col min="9" max="9" width="125.42578125" style="25" customWidth="1"/>
    <col min="10" max="10" width="2.7109375" style="21" customWidth="1"/>
    <col min="11" max="16384" width="9.140625" style="21" hidden="1"/>
  </cols>
  <sheetData>
    <row r="1" spans="1:9" s="10" customFormat="1" x14ac:dyDescent="0.25">
      <c r="A1" s="10" t="str">
        <f ca="1">MID(CELL("filename",A1),FIND("]",CELL("filename",A1))+1,255)</f>
        <v>Model map</v>
      </c>
    </row>
    <row r="2" spans="1:9" s="10" customFormat="1" x14ac:dyDescent="0.25">
      <c r="A2" s="10" t="str">
        <f>Cover!D21&amp;" - "&amp;Cover!D23</f>
        <v>SP Distribution - One</v>
      </c>
    </row>
    <row r="3" spans="1:9" s="46" customFormat="1" x14ac:dyDescent="0.25">
      <c r="A3" s="46" t="str">
        <f>Cover!D2&amp;" - "&amp;Cover!D8&amp;" v"&amp;Cover!D10&amp;" - "&amp;Cover!D19</f>
        <v>ARP model - Release for charge setting v5 - 2021/22</v>
      </c>
    </row>
    <row r="5" spans="1:9" s="42" customFormat="1" x14ac:dyDescent="0.25">
      <c r="A5" s="20"/>
      <c r="B5" s="45" t="s">
        <v>531</v>
      </c>
      <c r="C5" s="45"/>
      <c r="D5" s="45"/>
      <c r="E5" s="45"/>
      <c r="F5" s="45"/>
      <c r="G5" s="45"/>
      <c r="H5" s="45"/>
      <c r="I5" s="45"/>
    </row>
    <row r="7" spans="1:9" ht="15" customHeight="1" x14ac:dyDescent="0.25">
      <c r="F7" s="29"/>
      <c r="G7" s="29"/>
      <c r="H7" s="28"/>
      <c r="I7" s="28"/>
    </row>
    <row r="8" spans="1:9" ht="15" customHeight="1" x14ac:dyDescent="0.25">
      <c r="F8" s="29"/>
      <c r="G8" s="29"/>
    </row>
    <row r="9" spans="1:9" ht="15" customHeight="1" x14ac:dyDescent="0.25">
      <c r="F9" s="29"/>
      <c r="G9" s="29"/>
      <c r="H9" s="29"/>
      <c r="I9" s="29"/>
    </row>
    <row r="10" spans="1:9" ht="15" customHeight="1" x14ac:dyDescent="0.25">
      <c r="F10" s="29"/>
      <c r="G10" s="29"/>
      <c r="H10" s="29"/>
      <c r="I10" s="29"/>
    </row>
    <row r="11" spans="1:9" ht="15" customHeight="1" x14ac:dyDescent="0.25">
      <c r="F11" s="29"/>
      <c r="G11" s="29"/>
      <c r="H11" s="29"/>
      <c r="I11" s="21"/>
    </row>
    <row r="12" spans="1:9" ht="15" customHeight="1" x14ac:dyDescent="0.25">
      <c r="F12" s="29"/>
      <c r="H12" s="29"/>
      <c r="I12" s="21"/>
    </row>
    <row r="13" spans="1:9" ht="15" customHeight="1" x14ac:dyDescent="0.25">
      <c r="F13" s="29"/>
      <c r="H13" s="29"/>
      <c r="I13" s="21"/>
    </row>
    <row r="14" spans="1:9" ht="15" customHeight="1" x14ac:dyDescent="0.25">
      <c r="F14" s="29"/>
      <c r="H14" s="29"/>
      <c r="I14" s="21"/>
    </row>
    <row r="15" spans="1:9" x14ac:dyDescent="0.25">
      <c r="F15" s="30"/>
      <c r="G15" s="30"/>
      <c r="H15" s="30"/>
      <c r="I15" s="30"/>
    </row>
    <row r="16" spans="1:9" ht="15" customHeight="1" x14ac:dyDescent="0.25">
      <c r="H16" s="30"/>
      <c r="I16" s="30"/>
    </row>
    <row r="17" spans="6:9" ht="15" customHeight="1" x14ac:dyDescent="0.25">
      <c r="H17" s="30"/>
      <c r="I17" s="30"/>
    </row>
    <row r="18" spans="6:9" ht="15" customHeight="1" x14ac:dyDescent="0.25">
      <c r="H18" s="30"/>
      <c r="I18" s="30"/>
    </row>
    <row r="19" spans="6:9" ht="15" customHeight="1" x14ac:dyDescent="0.25">
      <c r="F19" s="30"/>
      <c r="G19" s="30"/>
      <c r="H19" s="30"/>
      <c r="I19" s="30"/>
    </row>
    <row r="20" spans="6:9" ht="15" customHeight="1" x14ac:dyDescent="0.25">
      <c r="F20" s="30"/>
      <c r="G20" s="30"/>
      <c r="H20" s="30"/>
      <c r="I20" s="30"/>
    </row>
    <row r="21" spans="6:9" ht="15" customHeight="1" x14ac:dyDescent="0.25">
      <c r="F21" s="30"/>
      <c r="G21" s="30"/>
      <c r="H21" s="30"/>
      <c r="I21" s="30"/>
    </row>
    <row r="22" spans="6:9" ht="15" customHeight="1" x14ac:dyDescent="0.25">
      <c r="F22" s="30"/>
      <c r="G22" s="30"/>
      <c r="H22" s="30"/>
      <c r="I22" s="30"/>
    </row>
    <row r="23" spans="6:9" ht="15" customHeight="1" x14ac:dyDescent="0.25">
      <c r="F23" s="30"/>
      <c r="G23" s="30"/>
      <c r="H23" s="30"/>
      <c r="I23" s="30"/>
    </row>
    <row r="24" spans="6:9" ht="15" customHeight="1" x14ac:dyDescent="0.25">
      <c r="F24" s="30"/>
      <c r="G24" s="30"/>
      <c r="H24" s="30"/>
      <c r="I24" s="30"/>
    </row>
    <row r="25" spans="6:9" ht="15" customHeight="1" x14ac:dyDescent="0.25">
      <c r="F25" s="30"/>
      <c r="G25" s="30"/>
      <c r="H25" s="30"/>
      <c r="I25" s="30"/>
    </row>
    <row r="26" spans="6:9" ht="15" customHeight="1" x14ac:dyDescent="0.25">
      <c r="F26" s="30"/>
      <c r="G26" s="30"/>
      <c r="H26" s="30"/>
      <c r="I26" s="30"/>
    </row>
    <row r="27" spans="6:9" ht="15" customHeight="1" x14ac:dyDescent="0.25">
      <c r="F27" s="30"/>
      <c r="G27" s="30"/>
      <c r="H27" s="30"/>
      <c r="I27" s="30"/>
    </row>
    <row r="28" spans="6:9" ht="15" customHeight="1" x14ac:dyDescent="0.25">
      <c r="F28" s="30"/>
      <c r="G28" s="30"/>
      <c r="H28" s="30"/>
      <c r="I28" s="30"/>
    </row>
    <row r="29" spans="6:9" ht="15" customHeight="1" x14ac:dyDescent="0.25">
      <c r="F29" s="30"/>
      <c r="G29" s="30"/>
      <c r="H29" s="30"/>
      <c r="I29" s="30"/>
    </row>
    <row r="30" spans="6:9" ht="15" customHeight="1" x14ac:dyDescent="0.25">
      <c r="F30" s="30"/>
      <c r="G30" s="30"/>
      <c r="H30" s="30"/>
      <c r="I30" s="30"/>
    </row>
    <row r="31" spans="6:9" ht="15" customHeight="1" x14ac:dyDescent="0.25">
      <c r="F31" s="30"/>
      <c r="G31" s="30"/>
      <c r="H31" s="30"/>
      <c r="I31" s="30"/>
    </row>
    <row r="32" spans="6:9" ht="15" customHeight="1" x14ac:dyDescent="0.25">
      <c r="F32" s="30"/>
      <c r="G32" s="30"/>
      <c r="H32" s="30"/>
      <c r="I32" s="30"/>
    </row>
    <row r="33" spans="2:9" ht="15" customHeight="1" x14ac:dyDescent="0.25">
      <c r="F33" s="30"/>
      <c r="G33" s="30"/>
      <c r="H33" s="30"/>
      <c r="I33" s="30"/>
    </row>
    <row r="34" spans="2:9" s="6" customFormat="1" x14ac:dyDescent="0.25">
      <c r="B34" s="42"/>
      <c r="C34" s="42"/>
      <c r="D34" s="85"/>
      <c r="E34" s="42"/>
      <c r="F34" s="30"/>
      <c r="G34" s="30"/>
      <c r="H34" s="30"/>
      <c r="I34" s="30"/>
    </row>
    <row r="35" spans="2:9" s="6" customFormat="1" x14ac:dyDescent="0.25">
      <c r="B35" s="42"/>
      <c r="C35" s="42"/>
      <c r="D35" s="85"/>
      <c r="E35" s="42"/>
      <c r="F35" s="30"/>
      <c r="G35" s="30"/>
      <c r="H35" s="30"/>
      <c r="I35" s="30"/>
    </row>
    <row r="36" spans="2:9" s="6" customFormat="1" x14ac:dyDescent="0.25">
      <c r="B36" s="42"/>
      <c r="C36" s="42"/>
      <c r="D36" s="85"/>
      <c r="E36" s="42"/>
      <c r="F36" s="30"/>
      <c r="G36" s="30"/>
      <c r="H36" s="30"/>
      <c r="I36" s="30"/>
    </row>
    <row r="37" spans="2:9" s="6" customFormat="1" x14ac:dyDescent="0.25">
      <c r="B37" s="42"/>
      <c r="C37" s="42"/>
      <c r="D37" s="85"/>
      <c r="E37" s="42"/>
      <c r="F37" s="30"/>
      <c r="G37" s="30"/>
      <c r="H37" s="30"/>
      <c r="I37" s="30"/>
    </row>
    <row r="38" spans="2:9" s="6" customFormat="1" x14ac:dyDescent="0.25">
      <c r="B38" s="42"/>
      <c r="C38" s="42"/>
      <c r="D38" s="85"/>
      <c r="E38" s="42"/>
      <c r="F38" s="30"/>
      <c r="G38" s="30"/>
      <c r="H38" s="30"/>
      <c r="I38" s="30"/>
    </row>
    <row r="39" spans="2:9" s="6" customFormat="1" x14ac:dyDescent="0.25">
      <c r="B39" s="42"/>
      <c r="C39" s="42"/>
      <c r="D39" s="85"/>
      <c r="E39" s="42"/>
      <c r="F39" s="30"/>
      <c r="G39" s="30"/>
      <c r="H39" s="30"/>
      <c r="I39" s="30"/>
    </row>
    <row r="40" spans="2:9" s="6" customFormat="1" x14ac:dyDescent="0.25">
      <c r="B40" s="42"/>
      <c r="C40" s="42"/>
      <c r="D40" s="85"/>
      <c r="E40" s="42"/>
      <c r="F40" s="30"/>
      <c r="G40" s="30"/>
      <c r="H40" s="30"/>
      <c r="I40" s="30"/>
    </row>
    <row r="41" spans="2:9" ht="15" customHeight="1" x14ac:dyDescent="0.25">
      <c r="F41" s="30"/>
      <c r="G41" s="30"/>
      <c r="H41" s="30"/>
      <c r="I41" s="30"/>
    </row>
    <row r="42" spans="2:9" ht="15" customHeight="1" x14ac:dyDescent="0.25">
      <c r="F42" s="30"/>
      <c r="G42" s="30"/>
      <c r="H42" s="30"/>
      <c r="I42" s="30"/>
    </row>
    <row r="43" spans="2:9" ht="15" customHeight="1" x14ac:dyDescent="0.25">
      <c r="F43" s="30"/>
      <c r="G43" s="30"/>
      <c r="H43" s="30"/>
      <c r="I43" s="30"/>
    </row>
    <row r="44" spans="2:9" ht="15" customHeight="1" x14ac:dyDescent="0.25">
      <c r="F44" s="30"/>
      <c r="G44" s="30"/>
      <c r="H44" s="30"/>
      <c r="I44" s="30"/>
    </row>
    <row r="45" spans="2:9" ht="15" customHeight="1" x14ac:dyDescent="0.25">
      <c r="F45" s="30"/>
      <c r="G45" s="30"/>
      <c r="H45" s="30"/>
      <c r="I45" s="30"/>
    </row>
    <row r="46" spans="2:9" ht="15" customHeight="1" x14ac:dyDescent="0.25">
      <c r="F46" s="30"/>
      <c r="G46" s="30"/>
      <c r="H46" s="30"/>
      <c r="I46" s="30"/>
    </row>
    <row r="47" spans="2:9" ht="15" customHeight="1" x14ac:dyDescent="0.25">
      <c r="F47" s="27"/>
      <c r="H47" s="21"/>
      <c r="I47" s="21"/>
    </row>
    <row r="51" spans="1:10" s="42" customFormat="1" x14ac:dyDescent="0.25">
      <c r="A51" s="20"/>
      <c r="B51" s="20"/>
      <c r="C51" s="20"/>
      <c r="D51" s="20"/>
      <c r="E51" s="20"/>
      <c r="F51" s="20"/>
      <c r="G51" s="20"/>
      <c r="H51" s="20"/>
      <c r="I51" s="20"/>
      <c r="J51" s="20"/>
    </row>
    <row r="62" spans="1:10" ht="15" customHeight="1" x14ac:dyDescent="0.25">
      <c r="I62" s="21"/>
    </row>
    <row r="65" spans="2:9" ht="15" customHeight="1" x14ac:dyDescent="0.25">
      <c r="B65" s="45" t="s">
        <v>110</v>
      </c>
      <c r="C65" s="45"/>
      <c r="D65" s="45"/>
      <c r="E65" s="45"/>
      <c r="F65" s="45"/>
      <c r="G65" s="45"/>
      <c r="H65" s="45"/>
      <c r="I65" s="45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00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29.5703125" style="85" bestFit="1" customWidth="1"/>
    <col min="7" max="7" width="134.42578125" style="85" bestFit="1" customWidth="1"/>
    <col min="8" max="8" width="2.7109375" style="85" customWidth="1"/>
    <col min="9" max="9" width="59.5703125" style="85" hidden="1" customWidth="1"/>
    <col min="10" max="20" width="15.42578125" style="85" hidden="1" customWidth="1"/>
    <col min="21" max="21" width="2.7109375" style="85" hidden="1" customWidth="1"/>
    <col min="22" max="16384" width="9.140625" style="85" hidden="1"/>
  </cols>
  <sheetData>
    <row r="1" spans="1:7" s="10" customFormat="1" x14ac:dyDescent="0.25">
      <c r="A1" s="10" t="str">
        <f ca="1">MID(CELL("filename",A1),FIND("]",CELL("filename",A1))+1,255)</f>
        <v>Index</v>
      </c>
    </row>
    <row r="2" spans="1:7" s="10" customFormat="1" x14ac:dyDescent="0.25">
      <c r="A2" s="10" t="str">
        <f>Cover!D21&amp;" - "&amp;Cover!D23</f>
        <v>SP Distribution - One</v>
      </c>
    </row>
    <row r="3" spans="1: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7" customFormat="1" x14ac:dyDescent="0.25"/>
    <row r="5" spans="1:7" customFormat="1" x14ac:dyDescent="0.25">
      <c r="B5" s="95" t="s">
        <v>90</v>
      </c>
      <c r="C5" s="95"/>
      <c r="D5" s="95"/>
      <c r="E5" s="95"/>
      <c r="F5" s="95"/>
      <c r="G5" s="95"/>
    </row>
    <row r="6" spans="1:7" customFormat="1" x14ac:dyDescent="0.25"/>
    <row r="7" spans="1:7" customFormat="1" x14ac:dyDescent="0.25">
      <c r="C7" s="82" t="s">
        <v>752</v>
      </c>
    </row>
    <row r="8" spans="1:7" customFormat="1" x14ac:dyDescent="0.25">
      <c r="C8" s="82" t="s">
        <v>753</v>
      </c>
    </row>
    <row r="9" spans="1:7" customFormat="1" x14ac:dyDescent="0.25"/>
    <row r="10" spans="1:7" customFormat="1" x14ac:dyDescent="0.25">
      <c r="B10" s="95" t="s">
        <v>756</v>
      </c>
      <c r="C10" s="95"/>
      <c r="D10" s="95"/>
      <c r="E10" s="95"/>
      <c r="F10" s="95"/>
      <c r="G10" s="95"/>
    </row>
    <row r="11" spans="1:7" customFormat="1" x14ac:dyDescent="0.25"/>
    <row r="12" spans="1:7" customFormat="1" x14ac:dyDescent="0.25">
      <c r="C12" s="82" t="s">
        <v>700</v>
      </c>
    </row>
    <row r="13" spans="1:7" customFormat="1" x14ac:dyDescent="0.25"/>
    <row r="14" spans="1:7" customFormat="1" ht="15.75" thickBot="1" x14ac:dyDescent="0.3">
      <c r="F14" s="34" t="s">
        <v>701</v>
      </c>
      <c r="G14" s="202" t="s">
        <v>702</v>
      </c>
    </row>
    <row r="15" spans="1:7" customFormat="1" ht="16.5" thickTop="1" thickBot="1" x14ac:dyDescent="0.3">
      <c r="F15" s="204" t="s">
        <v>698</v>
      </c>
    </row>
    <row r="16" spans="1:7" customFormat="1" ht="15.75" thickTop="1" x14ac:dyDescent="0.25">
      <c r="F16" s="204" t="s">
        <v>704</v>
      </c>
      <c r="G16" s="205" t="str">
        <f>'Version control'!$B$5</f>
        <v>Model version</v>
      </c>
    </row>
    <row r="17" spans="6:7" customFormat="1" x14ac:dyDescent="0.25">
      <c r="F17" s="203" t="s">
        <v>703</v>
      </c>
      <c r="G17" s="205" t="str">
        <f>'Version control'!$B$17</f>
        <v>Version log</v>
      </c>
    </row>
    <row r="18" spans="6:7" customFormat="1" x14ac:dyDescent="0.25">
      <c r="F18" s="203" t="s">
        <v>703</v>
      </c>
      <c r="G18" s="205" t="str">
        <f>'Version control'!$B$31</f>
        <v>Model checks</v>
      </c>
    </row>
    <row r="19" spans="6:7" customFormat="1" ht="15.75" thickBot="1" x14ac:dyDescent="0.3">
      <c r="F19" s="203" t="s">
        <v>703</v>
      </c>
      <c r="G19" s="205" t="str">
        <f>'Version control'!$B$63</f>
        <v>Version log lists</v>
      </c>
    </row>
    <row r="20" spans="6:7" customFormat="1" ht="16.5" thickTop="1" thickBot="1" x14ac:dyDescent="0.3">
      <c r="F20" s="204" t="s">
        <v>531</v>
      </c>
      <c r="G20" s="205" t="str">
        <f>'Model map'!$B$5</f>
        <v>Model map</v>
      </c>
    </row>
    <row r="21" spans="6:7" customFormat="1" ht="16.5" thickTop="1" thickBot="1" x14ac:dyDescent="0.3">
      <c r="F21" s="204" t="s">
        <v>705</v>
      </c>
      <c r="G21" s="205" t="str">
        <f>'Named ranges'!$B$5</f>
        <v>List of named ranges</v>
      </c>
    </row>
    <row r="22" spans="6:7" customFormat="1" ht="16.5" thickTop="1" thickBot="1" x14ac:dyDescent="0.3">
      <c r="F22" s="204" t="s">
        <v>706</v>
      </c>
      <c r="G22" s="205" t="str">
        <f>'ARP_DNO commentary'!$B$9</f>
        <v>Commentary</v>
      </c>
    </row>
    <row r="23" spans="6:7" customFormat="1" ht="16.5" thickTop="1" thickBot="1" x14ac:dyDescent="0.3">
      <c r="F23" s="204" t="s">
        <v>707</v>
      </c>
      <c r="G23" s="205" t="str">
        <f>'ARP_CDCM timebands'!$B$12</f>
        <v>CDCM timebands</v>
      </c>
    </row>
    <row r="24" spans="6:7" customFormat="1" ht="15.75" thickTop="1" x14ac:dyDescent="0.25">
      <c r="F24" s="204" t="s">
        <v>708</v>
      </c>
      <c r="G24" s="205" t="str">
        <f>'ARP_Load characteristics'!$B$13</f>
        <v>Years</v>
      </c>
    </row>
    <row r="25" spans="6:7" customFormat="1" ht="15.75" thickBot="1" x14ac:dyDescent="0.3">
      <c r="F25" s="203" t="s">
        <v>703</v>
      </c>
      <c r="G25" s="205" t="str">
        <f>'ARP_Load characteristics'!$B$20</f>
        <v>Load characteristics</v>
      </c>
    </row>
    <row r="26" spans="6:7" customFormat="1" ht="15.75" thickTop="1" x14ac:dyDescent="0.25">
      <c r="F26" s="204" t="s">
        <v>709</v>
      </c>
      <c r="G26" s="205" t="str">
        <f>'ARP_Peaking probabilities'!$B$14</f>
        <v>Years</v>
      </c>
    </row>
    <row r="27" spans="6:7" customFormat="1" ht="15.75" thickBot="1" x14ac:dyDescent="0.3">
      <c r="F27" s="203" t="s">
        <v>703</v>
      </c>
      <c r="G27" s="205" t="str">
        <f>'ARP_Peaking probabilities'!$B$21</f>
        <v>Peaking probabilities, by distribution timeband</v>
      </c>
    </row>
    <row r="28" spans="6:7" customFormat="1" ht="15.75" thickTop="1" x14ac:dyDescent="0.25">
      <c r="F28" s="297" t="s">
        <v>699</v>
      </c>
      <c r="G28" s="205" t="str">
        <f>'ARP_User control'!$B$10</f>
        <v>User interface</v>
      </c>
    </row>
    <row r="29" spans="6:7" customFormat="1" ht="15.75" thickBot="1" x14ac:dyDescent="0.3">
      <c r="F29" s="296" t="s">
        <v>703</v>
      </c>
      <c r="G29" s="205" t="str">
        <f>'ARP_User control'!$B$25</f>
        <v>Lists</v>
      </c>
    </row>
    <row r="30" spans="6:7" customFormat="1" ht="15.75" thickTop="1" x14ac:dyDescent="0.25">
      <c r="F30" s="207" t="s">
        <v>710</v>
      </c>
      <c r="G30" s="205" t="str">
        <f>'ARP_Inputs by customer type'!$B$14</f>
        <v>Load characteristics</v>
      </c>
    </row>
    <row r="31" spans="6:7" customFormat="1" x14ac:dyDescent="0.25">
      <c r="F31" s="206" t="s">
        <v>703</v>
      </c>
      <c r="G31" s="205" t="str">
        <f>'ARP_Inputs by customer type'!$B$56</f>
        <v>Volumes</v>
      </c>
    </row>
    <row r="32" spans="6:7" customFormat="1" ht="15.75" thickBot="1" x14ac:dyDescent="0.3">
      <c r="F32" s="206" t="s">
        <v>703</v>
      </c>
      <c r="G32" s="205" t="str">
        <f>'ARP_Inputs by customer type'!$B$462</f>
        <v>Service model asset values</v>
      </c>
    </row>
    <row r="33" spans="6:7" customFormat="1" ht="16.5" thickTop="1" thickBot="1" x14ac:dyDescent="0.3">
      <c r="F33" s="207" t="s">
        <v>711</v>
      </c>
      <c r="G33" s="205" t="str">
        <f>'ARP_Inputs by network level'!$B$14</f>
        <v>Inputs by network level</v>
      </c>
    </row>
    <row r="34" spans="6:7" customFormat="1" ht="16.5" thickTop="1" thickBot="1" x14ac:dyDescent="0.3">
      <c r="F34" s="207" t="s">
        <v>712</v>
      </c>
      <c r="G34" s="205" t="str">
        <f>'ARP_General inputs'!$B$14</f>
        <v>General inputs</v>
      </c>
    </row>
    <row r="35" spans="6:7" customFormat="1" ht="16.5" thickTop="1" thickBot="1" x14ac:dyDescent="0.3">
      <c r="F35" s="207" t="s">
        <v>529</v>
      </c>
      <c r="G35" s="205" t="str">
        <f>'Fixed inputs'!$B$11</f>
        <v>Fixed inputs</v>
      </c>
    </row>
    <row r="36" spans="6:7" customFormat="1" ht="16.5" thickTop="1" thickBot="1" x14ac:dyDescent="0.3">
      <c r="F36" s="209" t="s">
        <v>546</v>
      </c>
      <c r="G36" s="205" t="str">
        <f>'Inputs by customer type'!$B$14</f>
        <v>Inputs by customer type</v>
      </c>
    </row>
    <row r="37" spans="6:7" customFormat="1" ht="16.5" thickTop="1" thickBot="1" x14ac:dyDescent="0.3">
      <c r="F37" s="209" t="s">
        <v>252</v>
      </c>
      <c r="G37" s="205" t="str">
        <f>'Inputs by network level'!$B$14</f>
        <v>Inputs by network level</v>
      </c>
    </row>
    <row r="38" spans="6:7" customFormat="1" ht="16.5" thickTop="1" thickBot="1" x14ac:dyDescent="0.3">
      <c r="F38" s="209" t="s">
        <v>656</v>
      </c>
      <c r="G38" s="205" t="str">
        <f>'General inputs'!$B$14</f>
        <v>General inputs</v>
      </c>
    </row>
    <row r="39" spans="6:7" customFormat="1" ht="16.5" thickTop="1" thickBot="1" x14ac:dyDescent="0.3">
      <c r="F39" s="209" t="s">
        <v>320</v>
      </c>
      <c r="G39" s="205" t="str">
        <f>'Standing charge factors'!$B$17</f>
        <v>Adjustments to standing charges</v>
      </c>
    </row>
    <row r="40" spans="6:7" customFormat="1" ht="15.75" thickTop="1" x14ac:dyDescent="0.25">
      <c r="F40" s="209" t="s">
        <v>533</v>
      </c>
      <c r="G40" s="205" t="str">
        <f>'Load &amp; loss characteristics'!$B$13</f>
        <v>Load and loss characteristics</v>
      </c>
    </row>
    <row r="41" spans="6:7" customFormat="1" ht="15.75" thickBot="1" x14ac:dyDescent="0.3">
      <c r="F41" s="208" t="s">
        <v>703</v>
      </c>
      <c r="G41" s="205" t="str">
        <f>'Load &amp; loss characteristics'!$B$31</f>
        <v>User loss factor adjustments</v>
      </c>
    </row>
    <row r="42" spans="6:7" customFormat="1" ht="16.5" thickTop="1" thickBot="1" x14ac:dyDescent="0.3">
      <c r="F42" s="209" t="s">
        <v>289</v>
      </c>
      <c r="G42" s="205" t="str">
        <f>'Customer contributions'!$B$12</f>
        <v>Customer contributions</v>
      </c>
    </row>
    <row r="43" spans="6:7" customFormat="1" ht="15.75" thickTop="1" x14ac:dyDescent="0.25">
      <c r="F43" s="209" t="s">
        <v>290</v>
      </c>
      <c r="G43" s="205" t="str">
        <f>'Volume adjustments'!$B$13</f>
        <v>LDNO discounts</v>
      </c>
    </row>
    <row r="44" spans="6:7" customFormat="1" ht="15.75" thickBot="1" x14ac:dyDescent="0.3">
      <c r="F44" s="208" t="s">
        <v>703</v>
      </c>
      <c r="G44" s="205" t="str">
        <f>'Volume adjustments'!$B$51</f>
        <v>Volume discounting</v>
      </c>
    </row>
    <row r="45" spans="6:7" customFormat="1" ht="15.75" thickTop="1" x14ac:dyDescent="0.25">
      <c r="F45" s="209" t="s">
        <v>281</v>
      </c>
      <c r="G45" s="205" t="str">
        <f>'Pseudo-load coefficients'!$B$13</f>
        <v>Step 1: Ratio of coincidence to load factor assuming units evenly spread within time bands, and peak falls in Red period</v>
      </c>
    </row>
    <row r="46" spans="6:7" customFormat="1" x14ac:dyDescent="0.25">
      <c r="F46" s="208" t="s">
        <v>703</v>
      </c>
      <c r="G46" s="205" t="str">
        <f>'Pseudo-load coefficients'!$B$56</f>
        <v>Step 2: Calculate correction factor</v>
      </c>
    </row>
    <row r="47" spans="6:7" customFormat="1" x14ac:dyDescent="0.25">
      <c r="F47" s="208" t="s">
        <v>703</v>
      </c>
      <c r="G47" s="205" t="str">
        <f>'Pseudo-load coefficients'!$B$95</f>
        <v>Step 3: Ratio of coincidence factor (to network asset peak) to load factor, given peaking probabilities, multiplied by correction factor</v>
      </c>
    </row>
    <row r="48" spans="6:7" customFormat="1" ht="15.75" thickBot="1" x14ac:dyDescent="0.3">
      <c r="F48" s="208" t="s">
        <v>703</v>
      </c>
      <c r="G48" s="205" t="str">
        <f>'Pseudo-load coefficients'!$B$261</f>
        <v>Step 4: Results of Step 3</v>
      </c>
    </row>
    <row r="49" spans="6:7" customFormat="1" ht="15.75" thickTop="1" x14ac:dyDescent="0.25">
      <c r="F49" s="209" t="s">
        <v>534</v>
      </c>
      <c r="G49" s="205" t="str">
        <f>'System peak demand'!$B$16</f>
        <v>Common inputs for chargeable load calculations</v>
      </c>
    </row>
    <row r="50" spans="6:7" customFormat="1" x14ac:dyDescent="0.25">
      <c r="F50" s="208" t="s">
        <v>703</v>
      </c>
      <c r="G50" s="205" t="str">
        <f>'System peak demand'!$B$63</f>
        <v>Load at system peak charged to unit rates</v>
      </c>
    </row>
    <row r="51" spans="6:7" customFormat="1" x14ac:dyDescent="0.25">
      <c r="F51" s="208" t="s">
        <v>703</v>
      </c>
      <c r="G51" s="205" t="str">
        <f>'System peak demand'!$B$179</f>
        <v>Load at system peak charged to standing charges</v>
      </c>
    </row>
    <row r="52" spans="6:7" customFormat="1" ht="15.75" thickBot="1" x14ac:dyDescent="0.3">
      <c r="F52" s="208" t="s">
        <v>703</v>
      </c>
      <c r="G52" s="205" t="str">
        <f>'System peak demand'!$B$262</f>
        <v>System peak based on chargeable load</v>
      </c>
    </row>
    <row r="53" spans="6:7" customFormat="1" ht="16.5" thickTop="1" thickBot="1" x14ac:dyDescent="0.3">
      <c r="F53" s="209" t="s">
        <v>282</v>
      </c>
      <c r="G53" s="205" t="str">
        <f>'Service model assets'!$B$12</f>
        <v>Service model notional asset values</v>
      </c>
    </row>
    <row r="54" spans="6:7" customFormat="1" ht="15.75" thickTop="1" x14ac:dyDescent="0.25">
      <c r="F54" s="209" t="s">
        <v>367</v>
      </c>
      <c r="G54" s="205" t="str">
        <f>'Unit costs'!$B$15</f>
        <v>500MW model costs</v>
      </c>
    </row>
    <row r="55" spans="6:7" customFormat="1" x14ac:dyDescent="0.25">
      <c r="F55" s="208" t="s">
        <v>703</v>
      </c>
      <c r="G55" s="205" t="str">
        <f>'Unit costs'!$B$58</f>
        <v>Allocation of other costs</v>
      </c>
    </row>
    <row r="56" spans="6:7" customFormat="1" ht="15.75" thickBot="1" x14ac:dyDescent="0.3">
      <c r="F56" s="208" t="s">
        <v>703</v>
      </c>
      <c r="G56" s="205" t="str">
        <f>'Unit costs'!$B$102</f>
        <v>Outputs</v>
      </c>
    </row>
    <row r="57" spans="6:7" customFormat="1" ht="15.75" thickTop="1" x14ac:dyDescent="0.25">
      <c r="F57" s="209" t="s">
        <v>291</v>
      </c>
      <c r="G57" s="205" t="str">
        <f>'Initial unit rates'!$B$11</f>
        <v>Inputs for yardstick and unit rate calculations</v>
      </c>
    </row>
    <row r="58" spans="6:7" customFormat="1" ht="15.75" thickBot="1" x14ac:dyDescent="0.3">
      <c r="F58" s="208" t="s">
        <v>703</v>
      </c>
      <c r="G58" s="205" t="str">
        <f>'Initial unit rates'!$B$116</f>
        <v>Calculation of yardstick &amp; unit rate charges</v>
      </c>
    </row>
    <row r="59" spans="6:7" customFormat="1" ht="15.75" thickTop="1" x14ac:dyDescent="0.25">
      <c r="F59" s="209" t="s">
        <v>535</v>
      </c>
      <c r="G59" s="205" t="str">
        <f>'Service model charges'!$B$13</f>
        <v>Inputs to service model charge calculation</v>
      </c>
    </row>
    <row r="60" spans="6:7" customFormat="1" ht="15.75" thickBot="1" x14ac:dyDescent="0.3">
      <c r="F60" s="208" t="s">
        <v>703</v>
      </c>
      <c r="G60" s="205" t="str">
        <f>'Service model charges'!$B$29</f>
        <v>Allocation of service model costs</v>
      </c>
    </row>
    <row r="61" spans="6:7" customFormat="1" ht="15.75" thickTop="1" x14ac:dyDescent="0.25">
      <c r="F61" s="209" t="s">
        <v>536</v>
      </c>
      <c r="G61" s="205" t="str">
        <f>'Unit rate charges'!$B$15</f>
        <v>Inputs to unit rate charge calculations</v>
      </c>
    </row>
    <row r="62" spans="6:7" customFormat="1" ht="15.75" thickBot="1" x14ac:dyDescent="0.3">
      <c r="F62" s="208" t="s">
        <v>703</v>
      </c>
      <c r="G62" s="205" t="str">
        <f>'Unit rate charges'!$B$122</f>
        <v>Application of standing charges to unit rates</v>
      </c>
    </row>
    <row r="63" spans="6:7" customFormat="1" ht="15.75" thickTop="1" x14ac:dyDescent="0.25">
      <c r="F63" s="209" t="s">
        <v>466</v>
      </c>
      <c r="G63" s="205" t="str">
        <f>'Reactive power charges'!$B$13</f>
        <v>Inputs to reactive power charge calculations</v>
      </c>
    </row>
    <row r="64" spans="6:7" customFormat="1" x14ac:dyDescent="0.25">
      <c r="F64" s="208" t="s">
        <v>703</v>
      </c>
      <c r="G64" s="205" t="str">
        <f>'Reactive power charges'!$B$150</f>
        <v>Calculation of yardstick charges for generation</v>
      </c>
    </row>
    <row r="65" spans="6:7" customFormat="1" ht="15.75" thickBot="1" x14ac:dyDescent="0.3">
      <c r="F65" s="208" t="s">
        <v>703</v>
      </c>
      <c r="G65" s="205" t="str">
        <f>'Reactive power charges'!$B$185</f>
        <v>Calculation of reactive power charges</v>
      </c>
    </row>
    <row r="66" spans="6:7" customFormat="1" ht="15.75" thickTop="1" x14ac:dyDescent="0.25">
      <c r="F66" s="209" t="s">
        <v>293</v>
      </c>
      <c r="G66" s="205" t="str">
        <f>'Capacity charges'!$B$17</f>
        <v>Inputs to capacity charge calculations</v>
      </c>
    </row>
    <row r="67" spans="6:7" customFormat="1" x14ac:dyDescent="0.25">
      <c r="F67" s="208" t="s">
        <v>703</v>
      </c>
      <c r="G67" s="205" t="str">
        <f>'Capacity charges'!$B$125</f>
        <v>Calculation of capacity charges</v>
      </c>
    </row>
    <row r="68" spans="6:7" customFormat="1" ht="15.75" thickBot="1" x14ac:dyDescent="0.3">
      <c r="F68" s="208" t="s">
        <v>703</v>
      </c>
      <c r="G68" s="205" t="str">
        <f>'Capacity charges'!$B$249</f>
        <v>Capacity charges (and elements allocated to fixed charges)</v>
      </c>
    </row>
    <row r="69" spans="6:7" customFormat="1" ht="15.75" thickTop="1" x14ac:dyDescent="0.25">
      <c r="F69" s="209" t="s">
        <v>294</v>
      </c>
      <c r="G69" s="205" t="str">
        <f>'Fixed charges'!$B$14</f>
        <v>Inputs to fixed charge calculations</v>
      </c>
    </row>
    <row r="70" spans="6:7" customFormat="1" ht="15.75" thickBot="1" x14ac:dyDescent="0.3">
      <c r="F70" s="208" t="s">
        <v>703</v>
      </c>
      <c r="G70" s="205" t="str">
        <f>'Fixed charges'!$B$65</f>
        <v>Calculation of fixed charges</v>
      </c>
    </row>
    <row r="71" spans="6:7" customFormat="1" ht="15.75" thickTop="1" x14ac:dyDescent="0.25">
      <c r="F71" s="209" t="s">
        <v>295</v>
      </c>
      <c r="G71" s="205" t="str">
        <f>'Revenue matching'!$B$13</f>
        <v>Pre-matching net revenue calculations</v>
      </c>
    </row>
    <row r="72" spans="6:7" customFormat="1" ht="15.75" thickBot="1" x14ac:dyDescent="0.3">
      <c r="F72" s="208" t="s">
        <v>703</v>
      </c>
      <c r="G72" s="205" t="str">
        <f>'Revenue matching'!$B$62</f>
        <v>Adder calculation</v>
      </c>
    </row>
    <row r="73" spans="6:7" customFormat="1" ht="16.5" thickTop="1" thickBot="1" x14ac:dyDescent="0.3">
      <c r="F73" s="209" t="s">
        <v>1157</v>
      </c>
      <c r="G73" s="205" t="str">
        <f>'Fixed charge adder'!$B$12</f>
        <v>Fixed tariff adjustments</v>
      </c>
    </row>
    <row r="74" spans="6:7" customFormat="1" ht="15.75" thickTop="1" x14ac:dyDescent="0.25">
      <c r="F74" s="209" t="s">
        <v>238</v>
      </c>
      <c r="G74" s="205" t="str">
        <f>Rounding!$B$12</f>
        <v>Inputs</v>
      </c>
    </row>
    <row r="75" spans="6:7" customFormat="1" ht="15.75" thickBot="1" x14ac:dyDescent="0.3">
      <c r="F75" s="208" t="s">
        <v>703</v>
      </c>
      <c r="G75" s="205" t="str">
        <f>Rounding!$B$83</f>
        <v>Rounding of tariff forecast</v>
      </c>
    </row>
    <row r="76" spans="6:7" customFormat="1" ht="15.75" thickTop="1" x14ac:dyDescent="0.25">
      <c r="F76" s="209" t="s">
        <v>657</v>
      </c>
      <c r="G76" s="205" t="str">
        <f>'Net revenue summary'!$B$11</f>
        <v>Inputs to net revenue summary calculation</v>
      </c>
    </row>
    <row r="77" spans="6:7" customFormat="1" ht="15.75" thickBot="1" x14ac:dyDescent="0.3">
      <c r="F77" s="208" t="s">
        <v>703</v>
      </c>
      <c r="G77" s="205" t="str">
        <f>'Net revenue summary'!$B$79</f>
        <v>Typical bills</v>
      </c>
    </row>
    <row r="78" spans="6:7" customFormat="1" ht="16.5" thickTop="1" thickBot="1" x14ac:dyDescent="0.3">
      <c r="F78" s="211" t="s">
        <v>537</v>
      </c>
      <c r="G78" s="205" t="str">
        <f>'Tariff summary'!$B$13</f>
        <v>Tariff summary</v>
      </c>
    </row>
    <row r="79" spans="6:7" customFormat="1" ht="15.75" thickTop="1" x14ac:dyDescent="0.25">
      <c r="F79" s="211" t="s">
        <v>584</v>
      </c>
      <c r="G79" s="205" t="str">
        <f>'Typical bills'!$B$13</f>
        <v>Typical bills</v>
      </c>
    </row>
    <row r="80" spans="6:7" customFormat="1" x14ac:dyDescent="0.25"/>
    <row r="81" spans="2:7" customFormat="1" x14ac:dyDescent="0.25">
      <c r="B81" s="95" t="s">
        <v>755</v>
      </c>
      <c r="C81" s="95"/>
      <c r="D81" s="95"/>
      <c r="E81" s="95"/>
      <c r="F81" s="95"/>
      <c r="G81" s="95"/>
    </row>
    <row r="82" spans="2:7" customFormat="1" x14ac:dyDescent="0.25"/>
    <row r="83" spans="2:7" customFormat="1" x14ac:dyDescent="0.25">
      <c r="C83" s="82" t="s">
        <v>754</v>
      </c>
    </row>
    <row r="84" spans="2:7" customFormat="1" x14ac:dyDescent="0.25"/>
    <row r="85" spans="2:7" customFormat="1" ht="15.75" thickBot="1" x14ac:dyDescent="0.3">
      <c r="F85" s="34" t="s">
        <v>701</v>
      </c>
      <c r="G85" s="202" t="s">
        <v>702</v>
      </c>
    </row>
    <row r="86" spans="2:7" customFormat="1" ht="15.75" thickTop="1" x14ac:dyDescent="0.25">
      <c r="F86" s="204" t="s">
        <v>707</v>
      </c>
      <c r="G86" s="205" t="str">
        <f>'ARP_CDCM timebands'!$C$14</f>
        <v>Distribution time bands</v>
      </c>
    </row>
    <row r="87" spans="2:7" customFormat="1" ht="15.75" thickBot="1" x14ac:dyDescent="0.3">
      <c r="F87" s="203" t="s">
        <v>703</v>
      </c>
      <c r="G87" s="205" t="str">
        <f>'ARP_CDCM timebands'!$C$26</f>
        <v>Special distribution time bands</v>
      </c>
    </row>
    <row r="88" spans="2:7" customFormat="1" ht="15.75" thickTop="1" x14ac:dyDescent="0.25">
      <c r="F88" s="297" t="s">
        <v>699</v>
      </c>
      <c r="G88" s="205" t="str">
        <f>'ARP_User control'!$C$15</f>
        <v>Inputs for manually running selected year</v>
      </c>
    </row>
    <row r="89" spans="2:7" customFormat="1" ht="15.75" thickBot="1" x14ac:dyDescent="0.3">
      <c r="F89" s="296" t="s">
        <v>703</v>
      </c>
      <c r="G89" s="205" t="str">
        <f>'ARP_User control'!$C$19</f>
        <v>Macro to run all years</v>
      </c>
    </row>
    <row r="90" spans="2:7" customFormat="1" ht="15.75" thickTop="1" x14ac:dyDescent="0.25">
      <c r="F90" s="207" t="s">
        <v>710</v>
      </c>
      <c r="G90" s="205" t="str">
        <f ca="1">'ARP_Inputs by customer type'!$C$16</f>
        <v>Input 501-A: Load factor</v>
      </c>
    </row>
    <row r="91" spans="2:7" customFormat="1" x14ac:dyDescent="0.25">
      <c r="F91" s="206" t="s">
        <v>703</v>
      </c>
      <c r="G91" s="205" t="str">
        <f ca="1">'ARP_Inputs by customer type'!$C$36</f>
        <v>Input 501-B: Coincidence factor</v>
      </c>
    </row>
    <row r="92" spans="2:7" customFormat="1" x14ac:dyDescent="0.25">
      <c r="F92" s="206" t="s">
        <v>703</v>
      </c>
      <c r="G92" s="205" t="str">
        <f ca="1">'ARP_Inputs by customer type'!$C$58</f>
        <v>Input 501-C: All-the-way volumes</v>
      </c>
    </row>
    <row r="93" spans="2:7" customFormat="1" x14ac:dyDescent="0.25">
      <c r="F93" s="206" t="s">
        <v>703</v>
      </c>
      <c r="G93" s="205" t="str">
        <f ca="1">'ARP_Inputs by customer type'!$C$186</f>
        <v>Input 501-D: LDNO LV volumes</v>
      </c>
    </row>
    <row r="94" spans="2:7" customFormat="1" x14ac:dyDescent="0.25">
      <c r="F94" s="206" t="s">
        <v>703</v>
      </c>
      <c r="G94" s="205" t="str">
        <f ca="1">'ARP_Inputs by customer type'!$C$314</f>
        <v>Input 501-E: LDNO HV volumes</v>
      </c>
    </row>
    <row r="95" spans="2:7" customFormat="1" x14ac:dyDescent="0.25">
      <c r="F95" s="206" t="s">
        <v>703</v>
      </c>
      <c r="G95" s="205" t="str">
        <f ca="1">'ARP_Inputs by customer type'!$C$442</f>
        <v>Input 501-F: 'Designated Property' MPANs with EDCM-level LDNO boundaries</v>
      </c>
    </row>
    <row r="96" spans="2:7" customFormat="1" x14ac:dyDescent="0.25">
      <c r="F96" s="206" t="s">
        <v>703</v>
      </c>
      <c r="G96" s="205" t="str">
        <f ca="1">'ARP_Inputs by customer type'!$C$466</f>
        <v>Input 501-G: LV customer service model asset values</v>
      </c>
    </row>
    <row r="97" spans="6:7" customFormat="1" x14ac:dyDescent="0.25">
      <c r="F97" s="206" t="s">
        <v>703</v>
      </c>
      <c r="G97" s="205" t="str">
        <f ca="1">'ARP_Inputs by customer type'!$C$486</f>
        <v>Input 501-H: HV customer service model asset values</v>
      </c>
    </row>
    <row r="98" spans="6:7" customFormat="1" ht="15.75" thickBot="1" x14ac:dyDescent="0.3">
      <c r="F98" s="206" t="s">
        <v>703</v>
      </c>
      <c r="G98" s="205" t="str">
        <f ca="1">'ARP_Inputs by customer type'!$C$506</f>
        <v>Input 501-I: LV UMS customer service model asset values</v>
      </c>
    </row>
    <row r="99" spans="6:7" customFormat="1" ht="15.75" thickTop="1" x14ac:dyDescent="0.25">
      <c r="F99" s="207" t="s">
        <v>711</v>
      </c>
      <c r="G99" s="205" t="str">
        <f ca="1">'ARP_Inputs by network level'!$C$16</f>
        <v>Input 502-A: Diversity allowance between top and bottom of network level</v>
      </c>
    </row>
    <row r="100" spans="6:7" customFormat="1" x14ac:dyDescent="0.25">
      <c r="F100" s="206" t="s">
        <v>703</v>
      </c>
      <c r="G100" s="205" t="str">
        <f ca="1">'ARP_Inputs by network level'!$C$30</f>
        <v>Input 502-B: Proportion of EHV/HV load going through 132kV/HV direct transformation</v>
      </c>
    </row>
    <row r="101" spans="6:7" customFormat="1" x14ac:dyDescent="0.25">
      <c r="F101" s="206" t="s">
        <v>703</v>
      </c>
      <c r="G101" s="205" t="str">
        <f ca="1">'ARP_Inputs by network level'!$C$44</f>
        <v>Input 502-C: Loss adjustment factors to transmission</v>
      </c>
    </row>
    <row r="102" spans="6:7" customFormat="1" x14ac:dyDescent="0.25">
      <c r="F102" s="206" t="s">
        <v>703</v>
      </c>
      <c r="G102" s="205" t="str">
        <f ca="1">'ARP_Inputs by network level'!$C$58</f>
        <v>Input 502-D: Average kVAr by kVA, by network level</v>
      </c>
    </row>
    <row r="103" spans="6:7" customFormat="1" x14ac:dyDescent="0.25">
      <c r="F103" s="206" t="s">
        <v>703</v>
      </c>
      <c r="G103" s="205" t="str">
        <f ca="1">'ARP_Inputs by network level'!$C$72</f>
        <v>Input 502-E: Customer contributions under current connection charging policy</v>
      </c>
    </row>
    <row r="104" spans="6:7" customFormat="1" x14ac:dyDescent="0.25">
      <c r="F104" s="206" t="s">
        <v>703</v>
      </c>
      <c r="G104" s="205" t="str">
        <f ca="1">'ARP_Inputs by network level'!$C$120</f>
        <v>Input 502-F: Gross asset cost by network level</v>
      </c>
    </row>
    <row r="105" spans="6:7" customFormat="1" ht="15.75" thickBot="1" x14ac:dyDescent="0.3">
      <c r="F105" s="206" t="s">
        <v>703</v>
      </c>
      <c r="G105" s="205" t="str">
        <f ca="1">'ARP_Inputs by network level'!$C$134</f>
        <v>Input 502-G: Peaking probabilities, by timeband &amp; network level</v>
      </c>
    </row>
    <row r="106" spans="6:7" customFormat="1" ht="15.75" thickTop="1" x14ac:dyDescent="0.25">
      <c r="F106" s="207" t="s">
        <v>712</v>
      </c>
      <c r="G106" s="205" t="str">
        <f ca="1">'ARP_General inputs'!$C$16</f>
        <v>Input 503-A: Split of hours by distribution timeband</v>
      </c>
    </row>
    <row r="107" spans="6:7" customFormat="1" x14ac:dyDescent="0.25">
      <c r="F107" s="206" t="s">
        <v>703</v>
      </c>
      <c r="G107" s="205" t="str">
        <f ca="1">'ARP_General inputs'!$C$28</f>
        <v>Input 503-B: Embedded network (LDNO) discount percentages</v>
      </c>
    </row>
    <row r="108" spans="6:7" customFormat="1" x14ac:dyDescent="0.25">
      <c r="F108" s="206" t="s">
        <v>703</v>
      </c>
      <c r="G108" s="205" t="str">
        <f ca="1">'ARP_General inputs'!$C$38</f>
        <v>Input 503-C: CDCM target revenue</v>
      </c>
    </row>
    <row r="109" spans="6:7" customFormat="1" x14ac:dyDescent="0.25">
      <c r="F109" s="206" t="s">
        <v>703</v>
      </c>
      <c r="G109" s="205" t="str">
        <f ca="1">'ARP_General inputs'!$C$98</f>
        <v>Input 503-D: Financial and general assumptions</v>
      </c>
    </row>
    <row r="110" spans="6:7" customFormat="1" x14ac:dyDescent="0.25">
      <c r="F110" s="206" t="s">
        <v>703</v>
      </c>
      <c r="G110" s="205" t="str">
        <f ca="1">'ARP_General inputs'!$C$103</f>
        <v>Input 503-E: Transmission exit charges</v>
      </c>
    </row>
    <row r="111" spans="6:7" customFormat="1" ht="15.75" thickBot="1" x14ac:dyDescent="0.3">
      <c r="F111" s="206" t="s">
        <v>703</v>
      </c>
      <c r="G111" s="205">
        <f>'ARP_General inputs'!$C$107</f>
        <v>0</v>
      </c>
    </row>
    <row r="112" spans="6:7" customFormat="1" ht="15.75" thickTop="1" x14ac:dyDescent="0.25">
      <c r="F112" s="207" t="s">
        <v>529</v>
      </c>
      <c r="G112" s="205" t="str">
        <f ca="1">'Fixed inputs'!$C$13</f>
        <v>Input 504-A: Conversions and time</v>
      </c>
    </row>
    <row r="113" spans="6:7" customFormat="1" x14ac:dyDescent="0.25">
      <c r="F113" s="206" t="s">
        <v>703</v>
      </c>
      <c r="G113" s="205" t="str">
        <f ca="1">'Fixed inputs'!$C$20</f>
        <v>Input 504-B: Input 101-B: Rounding</v>
      </c>
    </row>
    <row r="114" spans="6:7" customFormat="1" x14ac:dyDescent="0.25">
      <c r="F114" s="206" t="s">
        <v>703</v>
      </c>
      <c r="G114" s="205" t="str">
        <f ca="1">'Fixed inputs'!$C$33</f>
        <v>Input 504-C: Financial and general assumptions</v>
      </c>
    </row>
    <row r="115" spans="6:7" customFormat="1" x14ac:dyDescent="0.25">
      <c r="F115" s="206" t="s">
        <v>703</v>
      </c>
      <c r="G115" s="205" t="str">
        <f ca="1">'Fixed inputs'!$C$43</f>
        <v>Input 504-D: Mappings</v>
      </c>
    </row>
    <row r="116" spans="6:7" customFormat="1" x14ac:dyDescent="0.25">
      <c r="F116" s="206" t="s">
        <v>703</v>
      </c>
      <c r="G116" s="205" t="str">
        <f ca="1">'Fixed inputs'!$C$84</f>
        <v>Input 504-E: Standing charge factors</v>
      </c>
    </row>
    <row r="117" spans="6:7" customFormat="1" x14ac:dyDescent="0.25">
      <c r="F117" s="206" t="s">
        <v>703</v>
      </c>
      <c r="G117" s="205" t="str">
        <f ca="1">'Fixed inputs'!$C$99</f>
        <v>Input 504-F: Flags</v>
      </c>
    </row>
    <row r="118" spans="6:7" customFormat="1" x14ac:dyDescent="0.25">
      <c r="F118" s="206" t="s">
        <v>703</v>
      </c>
      <c r="G118" s="205" t="str">
        <f ca="1">'Fixed inputs'!$C$141</f>
        <v>Input 504-G: Identifiers for customer groupings</v>
      </c>
    </row>
    <row r="119" spans="6:7" customFormat="1" x14ac:dyDescent="0.25">
      <c r="F119" s="206" t="s">
        <v>703</v>
      </c>
      <c r="G119" s="205" t="str">
        <f ca="1">'Fixed inputs'!$C$151</f>
        <v>Input 504-H: Decimal places for error checks</v>
      </c>
    </row>
    <row r="120" spans="6:7" customFormat="1" ht="15.75" thickBot="1" x14ac:dyDescent="0.3">
      <c r="F120" s="206" t="s">
        <v>703</v>
      </c>
      <c r="G120" s="205" t="str">
        <f ca="1">'Fixed inputs'!$C$155</f>
        <v>Input 504-I: Map of applicable MPANs</v>
      </c>
    </row>
    <row r="121" spans="6:7" customFormat="1" ht="15.75" thickTop="1" x14ac:dyDescent="0.25">
      <c r="F121" s="209" t="s">
        <v>546</v>
      </c>
      <c r="G121" s="205" t="str">
        <f ca="1">'Inputs by customer type'!$C$16</f>
        <v>Section 501-A: Load characteristics</v>
      </c>
    </row>
    <row r="122" spans="6:7" customFormat="1" x14ac:dyDescent="0.25">
      <c r="F122" s="208" t="s">
        <v>703</v>
      </c>
      <c r="G122" s="205" t="str">
        <f ca="1">'Inputs by customer type'!$C$21</f>
        <v>Section 501-B: Volume forecasts for the charging year</v>
      </c>
    </row>
    <row r="123" spans="6:7" customFormat="1" ht="15.75" thickBot="1" x14ac:dyDescent="0.3">
      <c r="F123" s="208" t="s">
        <v>703</v>
      </c>
      <c r="G123" s="205" t="str">
        <f ca="1">'Inputs by customer type'!$C$52</f>
        <v>Section 501-C: Service model asset values</v>
      </c>
    </row>
    <row r="124" spans="6:7" customFormat="1" ht="15.75" thickTop="1" x14ac:dyDescent="0.25">
      <c r="F124" s="209" t="s">
        <v>252</v>
      </c>
      <c r="G124" s="205" t="str">
        <f ca="1">'Inputs by network level'!$C$16</f>
        <v>Section 502-A: Network and load inputs</v>
      </c>
    </row>
    <row r="125" spans="6:7" customFormat="1" x14ac:dyDescent="0.25">
      <c r="F125" s="208" t="s">
        <v>703</v>
      </c>
      <c r="G125" s="205" t="str">
        <f ca="1">'Inputs by network level'!$C$26</f>
        <v>Section 502-B: Customer contributions under current connection charging policy</v>
      </c>
    </row>
    <row r="126" spans="6:7" customFormat="1" x14ac:dyDescent="0.25">
      <c r="F126" s="208" t="s">
        <v>703</v>
      </c>
      <c r="G126" s="205" t="str">
        <f ca="1">'Inputs by network level'!$C$34</f>
        <v>Section 502-C: DRM asset costs</v>
      </c>
    </row>
    <row r="127" spans="6:7" customFormat="1" ht="15.75" thickBot="1" x14ac:dyDescent="0.3">
      <c r="F127" s="208" t="s">
        <v>703</v>
      </c>
      <c r="G127" s="205" t="str">
        <f ca="1">'Inputs by network level'!$C$38</f>
        <v>Section 502-D: Peaking probabilities by network level</v>
      </c>
    </row>
    <row r="128" spans="6:7" customFormat="1" ht="15.75" thickTop="1" x14ac:dyDescent="0.25">
      <c r="F128" s="209" t="s">
        <v>656</v>
      </c>
      <c r="G128" s="205" t="str">
        <f ca="1">'General inputs'!$C$16</f>
        <v>Section 503-A: Inputs by distribution timeband</v>
      </c>
    </row>
    <row r="129" spans="6:7" customFormat="1" x14ac:dyDescent="0.25">
      <c r="F129" s="208" t="s">
        <v>703</v>
      </c>
      <c r="G129" s="205" t="str">
        <f ca="1">'General inputs'!$C$28</f>
        <v>Section 503-B: LDNO discount inputs</v>
      </c>
    </row>
    <row r="130" spans="6:7" customFormat="1" x14ac:dyDescent="0.25">
      <c r="F130" s="208" t="s">
        <v>703</v>
      </c>
      <c r="G130" s="205" t="str">
        <f ca="1">'General inputs'!$C$38</f>
        <v>Section 503-C: CDCM target revenue</v>
      </c>
    </row>
    <row r="131" spans="6:7" customFormat="1" x14ac:dyDescent="0.25">
      <c r="F131" s="208" t="s">
        <v>703</v>
      </c>
      <c r="G131" s="205" t="str">
        <f ca="1">'General inputs'!$C$92</f>
        <v>Section 503-D: Financial and general assumptions</v>
      </c>
    </row>
    <row r="132" spans="6:7" customFormat="1" x14ac:dyDescent="0.25">
      <c r="F132" s="208" t="s">
        <v>703</v>
      </c>
      <c r="G132" s="205" t="str">
        <f ca="1">'General inputs'!$C$98</f>
        <v>Section 503-E: Transmission exit charges</v>
      </c>
    </row>
    <row r="133" spans="6:7" customFormat="1" ht="15.75" thickBot="1" x14ac:dyDescent="0.3">
      <c r="F133" s="208" t="s">
        <v>703</v>
      </c>
      <c r="G133" s="205" t="str">
        <f ca="1">'General inputs'!$C$102</f>
        <v>Section 503-F: Other expenditure</v>
      </c>
    </row>
    <row r="134" spans="6:7" customFormat="1" ht="16.5" thickTop="1" thickBot="1" x14ac:dyDescent="0.3">
      <c r="F134" s="209" t="s">
        <v>320</v>
      </c>
      <c r="G134" s="205" t="str">
        <f ca="1">'Standing charge factors'!$C$19</f>
        <v>Section 504-A: Adjustments to standing charges</v>
      </c>
    </row>
    <row r="135" spans="6:7" customFormat="1" ht="15.75" thickTop="1" x14ac:dyDescent="0.25">
      <c r="F135" s="209" t="s">
        <v>533</v>
      </c>
      <c r="G135" s="205" t="str">
        <f ca="1">'Load &amp; loss characteristics'!$C$17</f>
        <v>Section 505-A: Load characteristics</v>
      </c>
    </row>
    <row r="136" spans="6:7" customFormat="1" x14ac:dyDescent="0.25">
      <c r="F136" s="208" t="s">
        <v>703</v>
      </c>
      <c r="G136" s="205" t="str">
        <f ca="1">'Load &amp; loss characteristics'!$C$25</f>
        <v>Section 505-B: Loss adjustment factors</v>
      </c>
    </row>
    <row r="137" spans="6:7" customFormat="1" x14ac:dyDescent="0.25">
      <c r="F137" s="208" t="s">
        <v>703</v>
      </c>
      <c r="G137" s="205" t="str">
        <f ca="1">'Load &amp; loss characteristics'!$C$35</f>
        <v>Section 505-C: Proportion of relevant load going through 132kV/HV direct transformation</v>
      </c>
    </row>
    <row r="138" spans="6:7" customFormat="1" x14ac:dyDescent="0.25">
      <c r="F138" s="208" t="s">
        <v>703</v>
      </c>
      <c r="G138" s="205" t="str">
        <f ca="1">'Load &amp; loss characteristics'!$C$40</f>
        <v>Section 505-D: Network use factors</v>
      </c>
    </row>
    <row r="139" spans="6:7" customFormat="1" ht="15.75" thickBot="1" x14ac:dyDescent="0.3">
      <c r="F139" s="208" t="s">
        <v>703</v>
      </c>
      <c r="G139" s="205" t="str">
        <f ca="1">'Load &amp; loss characteristics'!$C$121</f>
        <v>Section 505-E: User loss factors</v>
      </c>
    </row>
    <row r="140" spans="6:7" customFormat="1" ht="15.75" thickTop="1" x14ac:dyDescent="0.25">
      <c r="F140" s="209" t="s">
        <v>289</v>
      </c>
      <c r="G140" s="205" t="str">
        <f ca="1">'Customer contributions'!$C$16</f>
        <v>Section 506-A: Network use factors</v>
      </c>
    </row>
    <row r="141" spans="6:7" customFormat="1" ht="15.75" thickBot="1" x14ac:dyDescent="0.3">
      <c r="F141" s="208" t="s">
        <v>703</v>
      </c>
      <c r="G141" s="205" t="str">
        <f ca="1">'Customer contributions'!$C$38</f>
        <v>Section 506-B: Customer contributions</v>
      </c>
    </row>
    <row r="142" spans="6:7" customFormat="1" ht="15.75" thickTop="1" x14ac:dyDescent="0.25">
      <c r="F142" s="209" t="s">
        <v>290</v>
      </c>
      <c r="G142" s="205" t="str">
        <f ca="1">'Volume adjustments'!$C$15</f>
        <v>Section 507-A: LDNO discounts</v>
      </c>
    </row>
    <row r="143" spans="6:7" customFormat="1" ht="15.75" thickBot="1" x14ac:dyDescent="0.3">
      <c r="F143" s="208" t="s">
        <v>703</v>
      </c>
      <c r="G143" s="205" t="str">
        <f ca="1">'Volume adjustments'!$C$55</f>
        <v>Section 507-B: Volume discounting</v>
      </c>
    </row>
    <row r="144" spans="6:7" customFormat="1" ht="15.75" thickTop="1" x14ac:dyDescent="0.25">
      <c r="F144" s="209" t="s">
        <v>281</v>
      </c>
      <c r="G144" s="205" t="str">
        <f ca="1">'Pseudo-load coefficients'!$C$18</f>
        <v>Section 508-A: Flags and hours in timebands</v>
      </c>
    </row>
    <row r="145" spans="6:7" customFormat="1" x14ac:dyDescent="0.25">
      <c r="F145" s="208" t="s">
        <v>703</v>
      </c>
      <c r="G145" s="205" t="str">
        <f ca="1">'Pseudo-load coefficients'!$C$28</f>
        <v>Section 508-B: Average load by timeband</v>
      </c>
    </row>
    <row r="146" spans="6:7" customFormat="1" x14ac:dyDescent="0.25">
      <c r="F146" s="208" t="s">
        <v>703</v>
      </c>
      <c r="G146" s="205" t="str">
        <f ca="1">'Pseudo-load coefficients'!$C$36</f>
        <v>Section 508-C: Aggregated groups for pseudo-load coefficients</v>
      </c>
    </row>
    <row r="147" spans="6:7" customFormat="1" x14ac:dyDescent="0.25">
      <c r="F147" s="208" t="s">
        <v>703</v>
      </c>
      <c r="G147" s="205" t="str">
        <f ca="1">'Pseudo-load coefficients'!$C$52</f>
        <v>Section 508-D: Ratio of coincidence to load factor assuming units evenly spread within time bands, and peak falls in Red period</v>
      </c>
    </row>
    <row r="148" spans="6:7" customFormat="1" x14ac:dyDescent="0.25">
      <c r="F148" s="208" t="s">
        <v>703</v>
      </c>
      <c r="G148" s="205" t="str">
        <f ca="1">'Pseudo-load coefficients'!$C$60</f>
        <v>Section 508-E: Load characteristics for all customers</v>
      </c>
    </row>
    <row r="149" spans="6:7" customFormat="1" x14ac:dyDescent="0.25">
      <c r="F149" s="208" t="s">
        <v>703</v>
      </c>
      <c r="G149" s="205" t="str">
        <f ca="1">'Pseudo-load coefficients'!$C$65</f>
        <v>Section 508-F: Aggregated load characteristics for grouped customers</v>
      </c>
    </row>
    <row r="150" spans="6:7" customFormat="1" x14ac:dyDescent="0.25">
      <c r="F150" s="208" t="s">
        <v>703</v>
      </c>
      <c r="G150" s="205" t="str">
        <f ca="1">'Pseudo-load coefficients'!$C$87</f>
        <v>Section 508-G: Calculation of correction factor</v>
      </c>
    </row>
    <row r="151" spans="6:7" customFormat="1" x14ac:dyDescent="0.25">
      <c r="F151" s="208" t="s">
        <v>703</v>
      </c>
      <c r="G151" s="205" t="str">
        <f ca="1">'Pseudo-load coefficients'!$C$100</f>
        <v>Section 508-H: Peaking probabilities, by network level</v>
      </c>
    </row>
    <row r="152" spans="6:7" customFormat="1" x14ac:dyDescent="0.25">
      <c r="F152" s="208" t="s">
        <v>703</v>
      </c>
      <c r="G152" s="205" t="str">
        <f ca="1">'Pseudo-load coefficients'!$C$174</f>
        <v>Section 508-I: Peaking probabilities, by network level and customer type</v>
      </c>
    </row>
    <row r="153" spans="6:7" customFormat="1" x14ac:dyDescent="0.25">
      <c r="F153" s="208" t="s">
        <v>703</v>
      </c>
      <c r="G153" s="205" t="str">
        <f ca="1">'Pseudo-load coefficients'!$C$221</f>
        <v>Section 508-J: Ratio of coincidence factor to load factor, based on uniform distribution in timebands and peaking probabilities</v>
      </c>
    </row>
    <row r="154" spans="6:7" customFormat="1" x14ac:dyDescent="0.25">
      <c r="F154" s="208" t="s">
        <v>703</v>
      </c>
      <c r="G154" s="205" t="str">
        <f ca="1">'Pseudo-load coefficients'!$C$265</f>
        <v>Section 508-K: Load coefficient</v>
      </c>
    </row>
    <row r="155" spans="6:7" customFormat="1" ht="15.75" thickBot="1" x14ac:dyDescent="0.3">
      <c r="F155" s="208" t="s">
        <v>703</v>
      </c>
      <c r="G155" s="205" t="str">
        <f ca="1">'Pseudo-load coefficients'!$C$269</f>
        <v>Section 508-L: Pseudo load coefficients, by unit rate</v>
      </c>
    </row>
    <row r="156" spans="6:7" customFormat="1" ht="15.75" thickTop="1" x14ac:dyDescent="0.25">
      <c r="F156" s="209" t="s">
        <v>534</v>
      </c>
      <c r="G156" s="205" t="str">
        <f ca="1">'System peak demand'!$C$18</f>
        <v>Section 509-A: Common inputs for chargeable load calculations</v>
      </c>
    </row>
    <row r="157" spans="6:7" customFormat="1" x14ac:dyDescent="0.25">
      <c r="F157" s="208" t="s">
        <v>703</v>
      </c>
      <c r="G157" s="205" t="str">
        <f ca="1">'System peak demand'!$C$67</f>
        <v>Section 509-B: System peak load, by unit rate</v>
      </c>
    </row>
    <row r="158" spans="6:7" customFormat="1" x14ac:dyDescent="0.25">
      <c r="F158" s="208" t="s">
        <v>703</v>
      </c>
      <c r="G158" s="205" t="str">
        <f ca="1">'System peak demand'!$C$138</f>
        <v>Section 509-C: System peak load, all unit rates</v>
      </c>
    </row>
    <row r="159" spans="6:7" customFormat="1" x14ac:dyDescent="0.25">
      <c r="F159" s="208" t="s">
        <v>703</v>
      </c>
      <c r="G159" s="205" t="str">
        <f ca="1">'System peak demand'!$C$164</f>
        <v>Section 509-D: Unit rate contributions to chargeable peak load</v>
      </c>
    </row>
    <row r="160" spans="6:7" customFormat="1" x14ac:dyDescent="0.25">
      <c r="F160" s="208" t="s">
        <v>703</v>
      </c>
      <c r="G160" s="205" t="str">
        <f ca="1">'System peak demand'!$C$184</f>
        <v>Section 509-E: Adjustment of import and exceeded capacity</v>
      </c>
    </row>
    <row r="161" spans="6:7" customFormat="1" x14ac:dyDescent="0.25">
      <c r="F161" s="208" t="s">
        <v>703</v>
      </c>
      <c r="G161" s="205" t="str">
        <f ca="1">'System peak demand'!$C$194</f>
        <v>Section 509-F: Calculation of LV circuit diversity factor</v>
      </c>
    </row>
    <row r="162" spans="6:7" customFormat="1" x14ac:dyDescent="0.25">
      <c r="F162" s="208" t="s">
        <v>703</v>
      </c>
      <c r="G162" s="205" t="str">
        <f ca="1">'System peak demand'!$C$236</f>
        <v>Section 509-G: Import/exceeded capacity contribution to system peak</v>
      </c>
    </row>
    <row r="163" spans="6:7" customFormat="1" x14ac:dyDescent="0.25">
      <c r="F163" s="208" t="s">
        <v>703</v>
      </c>
      <c r="G163" s="205" t="str">
        <f ca="1">'System peak demand'!$C$249</f>
        <v>Section 509-H: Estimated capacity contribution to system peak</v>
      </c>
    </row>
    <row r="164" spans="6:7" customFormat="1" ht="15.75" thickBot="1" x14ac:dyDescent="0.3">
      <c r="F164" s="208" t="s">
        <v>703</v>
      </c>
      <c r="G164" s="205" t="str">
        <f ca="1">'System peak demand'!$C$266</f>
        <v>Section 509-I: System peak based on chargeable load</v>
      </c>
    </row>
    <row r="165" spans="6:7" customFormat="1" ht="16.5" thickTop="1" thickBot="1" x14ac:dyDescent="0.3">
      <c r="F165" s="209" t="s">
        <v>282</v>
      </c>
      <c r="G165" s="205" t="str">
        <f ca="1">'Service model assets'!$C$14</f>
        <v>Section 510-A: Service model notional asset values</v>
      </c>
    </row>
    <row r="166" spans="6:7" customFormat="1" ht="15.75" thickTop="1" x14ac:dyDescent="0.25">
      <c r="F166" s="209" t="s">
        <v>367</v>
      </c>
      <c r="G166" s="205" t="str">
        <f ca="1">'Unit costs'!$C$19</f>
        <v>Section 511-A: Financial data</v>
      </c>
    </row>
    <row r="167" spans="6:7" customFormat="1" x14ac:dyDescent="0.25">
      <c r="F167" s="208" t="s">
        <v>703</v>
      </c>
      <c r="G167" s="205" t="str">
        <f ca="1">'Unit costs'!$C$27</f>
        <v>Section 511-B: Diversity and loss adjustment factors</v>
      </c>
    </row>
    <row r="168" spans="6:7" customFormat="1" x14ac:dyDescent="0.25">
      <c r="F168" s="208" t="s">
        <v>703</v>
      </c>
      <c r="G168" s="205" t="str">
        <f ca="1">'Unit costs'!$C$35</f>
        <v>Section 511-C: Maximum demand</v>
      </c>
    </row>
    <row r="169" spans="6:7" customFormat="1" x14ac:dyDescent="0.25">
      <c r="F169" s="208" t="s">
        <v>703</v>
      </c>
      <c r="G169" s="205" t="str">
        <f ca="1">'Unit costs'!$C$42</f>
        <v>Section 511-D: Rerouting matrix</v>
      </c>
    </row>
    <row r="170" spans="6:7" customFormat="1" x14ac:dyDescent="0.25">
      <c r="F170" s="208" t="s">
        <v>703</v>
      </c>
      <c r="G170" s="205" t="str">
        <f ca="1">'Unit costs'!$C$50</f>
        <v>Section 511-E: Annuitised cost of assets</v>
      </c>
    </row>
    <row r="171" spans="6:7" customFormat="1" x14ac:dyDescent="0.25">
      <c r="F171" s="208" t="s">
        <v>703</v>
      </c>
      <c r="G171" s="205" t="str">
        <f ca="1">'Unit costs'!$C$62</f>
        <v>Section 511-F: System simultaneous peak load based on charegable units</v>
      </c>
    </row>
    <row r="172" spans="6:7" customFormat="1" x14ac:dyDescent="0.25">
      <c r="F172" s="208" t="s">
        <v>703</v>
      </c>
      <c r="G172" s="205" t="str">
        <f ca="1">'Unit costs'!$C$69</f>
        <v>Section 511-G: Notional asset values, by network level</v>
      </c>
    </row>
    <row r="173" spans="6:7" customFormat="1" x14ac:dyDescent="0.25">
      <c r="F173" s="208" t="s">
        <v>703</v>
      </c>
      <c r="G173" s="205" t="str">
        <f ca="1">'Unit costs'!$C$80</f>
        <v>Section 511-H: Other operating costs</v>
      </c>
    </row>
    <row r="174" spans="6:7" customFormat="1" x14ac:dyDescent="0.25">
      <c r="F174" s="208" t="s">
        <v>703</v>
      </c>
      <c r="G174" s="205" t="str">
        <f ca="1">'Unit costs'!$C$92</f>
        <v>Section 511-I: Other operating costs by network level</v>
      </c>
    </row>
    <row r="175" spans="6:7" customFormat="1" x14ac:dyDescent="0.25">
      <c r="F175" s="208" t="s">
        <v>703</v>
      </c>
      <c r="G175" s="205" t="str">
        <f ca="1">'Unit costs'!$C$104</f>
        <v>Section 511-J: Notional asset values by network level</v>
      </c>
    </row>
    <row r="176" spans="6:7" customFormat="1" x14ac:dyDescent="0.25">
      <c r="F176" s="208" t="s">
        <v>703</v>
      </c>
      <c r="G176" s="205" t="str">
        <f ca="1">'Unit costs'!$C$110</f>
        <v>Section 511-K: Unit costs</v>
      </c>
    </row>
    <row r="177" spans="6:7" customFormat="1" ht="15.75" thickBot="1" x14ac:dyDescent="0.3">
      <c r="F177" s="208" t="s">
        <v>703</v>
      </c>
      <c r="G177" s="205" t="str">
        <f ca="1">'Unit costs'!$C$117</f>
        <v>Section 511-L: Values used for allocating costs to service models</v>
      </c>
    </row>
    <row r="178" spans="6:7" customFormat="1" ht="15.75" thickTop="1" x14ac:dyDescent="0.25">
      <c r="F178" s="209" t="s">
        <v>291</v>
      </c>
      <c r="G178" s="205" t="str">
        <f ca="1">'Initial unit rates'!$C$13</f>
        <v>Section 512-A: Inputs for yardstick and unit rate calculations</v>
      </c>
    </row>
    <row r="179" spans="6:7" customFormat="1" x14ac:dyDescent="0.25">
      <c r="F179" s="208" t="s">
        <v>703</v>
      </c>
      <c r="G179" s="205" t="str">
        <f ca="1">'Initial unit rates'!$C$118</f>
        <v>Section 512-B: Yardstick charges</v>
      </c>
    </row>
    <row r="180" spans="6:7" customFormat="1" x14ac:dyDescent="0.25">
      <c r="F180" s="208" t="s">
        <v>703</v>
      </c>
      <c r="G180" s="205" t="str">
        <f ca="1">'Initial unit rates'!$C$146</f>
        <v>Section 512-C: Unit rate 1</v>
      </c>
    </row>
    <row r="181" spans="6:7" customFormat="1" x14ac:dyDescent="0.25">
      <c r="F181" s="208" t="s">
        <v>703</v>
      </c>
      <c r="G181" s="205" t="str">
        <f ca="1">'Initial unit rates'!$C$175</f>
        <v>Section 512-D: Unit rate 2</v>
      </c>
    </row>
    <row r="182" spans="6:7" customFormat="1" ht="15.75" thickBot="1" x14ac:dyDescent="0.3">
      <c r="F182" s="208" t="s">
        <v>703</v>
      </c>
      <c r="G182" s="205" t="str">
        <f ca="1">'Initial unit rates'!$C$204</f>
        <v>Section 512-E: Unit rate 3</v>
      </c>
    </row>
    <row r="183" spans="6:7" customFormat="1" ht="15.75" thickTop="1" x14ac:dyDescent="0.25">
      <c r="F183" s="209" t="s">
        <v>535</v>
      </c>
      <c r="G183" s="205" t="str">
        <f ca="1">'Service model charges'!$C$17</f>
        <v>Section 513-A: Inputs to service model charge calculation</v>
      </c>
    </row>
    <row r="184" spans="6:7" customFormat="1" x14ac:dyDescent="0.25">
      <c r="F184" s="208" t="s">
        <v>703</v>
      </c>
      <c r="G184" s="205" t="str">
        <f ca="1">'Service model charges'!$C$33</f>
        <v>Section 513-B: Calculation of other operating expenditure per £ of notional asset value</v>
      </c>
    </row>
    <row r="185" spans="6:7" customFormat="1" ht="15.75" thickBot="1" x14ac:dyDescent="0.3">
      <c r="F185" s="208" t="s">
        <v>703</v>
      </c>
      <c r="G185" s="205" t="str">
        <f ca="1">'Service model charges'!$C$37</f>
        <v>Section 513-C: Calculation of service model charges</v>
      </c>
    </row>
    <row r="186" spans="6:7" customFormat="1" ht="15.75" thickTop="1" x14ac:dyDescent="0.25">
      <c r="F186" s="209" t="s">
        <v>536</v>
      </c>
      <c r="G186" s="205" t="str">
        <f ca="1">'Unit rate charges'!$C$19</f>
        <v>Section 514-A: Initial unit rate 1</v>
      </c>
    </row>
    <row r="187" spans="6:7" customFormat="1" x14ac:dyDescent="0.25">
      <c r="F187" s="208" t="s">
        <v>703</v>
      </c>
      <c r="G187" s="205" t="str">
        <f ca="1">'Unit rate charges'!$C$49</f>
        <v>Section 514-B: Initial unit rate 2</v>
      </c>
    </row>
    <row r="188" spans="6:7" customFormat="1" x14ac:dyDescent="0.25">
      <c r="F188" s="208" t="s">
        <v>703</v>
      </c>
      <c r="G188" s="205" t="str">
        <f ca="1">'Unit rate charges'!$C$79</f>
        <v>Section 514-C: Initial unit rate 3</v>
      </c>
    </row>
    <row r="189" spans="6:7" customFormat="1" x14ac:dyDescent="0.25">
      <c r="F189" s="208" t="s">
        <v>703</v>
      </c>
      <c r="G189" s="205" t="str">
        <f ca="1">'Unit rate charges'!$C$109</f>
        <v>Section 514-D: Standing charge factors</v>
      </c>
    </row>
    <row r="190" spans="6:7" customFormat="1" x14ac:dyDescent="0.25">
      <c r="F190" s="208" t="s">
        <v>703</v>
      </c>
      <c r="G190" s="205" t="str">
        <f ca="1">'Unit rate charges'!$C$124</f>
        <v>Section 514-E: Contributions to unit rate 1 p/kWh by network level (taking account of standing charges)</v>
      </c>
    </row>
    <row r="191" spans="6:7" customFormat="1" x14ac:dyDescent="0.25">
      <c r="F191" s="208" t="s">
        <v>703</v>
      </c>
      <c r="G191" s="205" t="str">
        <f ca="1">'Unit rate charges'!$C$154</f>
        <v>Section 514-F: Contributions to unit rate 2 p/kWh by network level (taking account of standing charges)</v>
      </c>
    </row>
    <row r="192" spans="6:7" customFormat="1" x14ac:dyDescent="0.25">
      <c r="F192" s="208" t="s">
        <v>703</v>
      </c>
      <c r="G192" s="205" t="str">
        <f ca="1">'Unit rate charges'!$C$184</f>
        <v>Section 514-G: Contributions to unit rate 3 p/kWh by network level (taking account of standing charges)</v>
      </c>
    </row>
    <row r="193" spans="6:7" customFormat="1" ht="15.75" thickBot="1" x14ac:dyDescent="0.3">
      <c r="F193" s="208" t="s">
        <v>703</v>
      </c>
      <c r="G193" s="205" t="str">
        <f ca="1">'Unit rate charges'!$C$214</f>
        <v>Section 514-H: Unit rates, post application of standing charges</v>
      </c>
    </row>
    <row r="194" spans="6:7" customFormat="1" ht="15.75" thickTop="1" x14ac:dyDescent="0.25">
      <c r="F194" s="209" t="s">
        <v>466</v>
      </c>
      <c r="G194" s="205" t="str">
        <f ca="1">'Reactive power charges'!$C$17</f>
        <v>Section 515-A: Inputs to reactive power charge calculations</v>
      </c>
    </row>
    <row r="195" spans="6:7" customFormat="1" x14ac:dyDescent="0.25">
      <c r="F195" s="208" t="s">
        <v>703</v>
      </c>
      <c r="G195" s="205" t="str">
        <f ca="1">'Reactive power charges'!$C$120</f>
        <v>Section 515-B: Yardstick charge (demand)</v>
      </c>
    </row>
    <row r="196" spans="6:7" customFormat="1" x14ac:dyDescent="0.25">
      <c r="F196" s="208" t="s">
        <v>703</v>
      </c>
      <c r="G196" s="205" t="str">
        <f ca="1">'Reactive power charges'!$C$155</f>
        <v>Section 515-C: Yardstick charge used for generation</v>
      </c>
    </row>
    <row r="197" spans="6:7" customFormat="1" x14ac:dyDescent="0.25">
      <c r="F197" s="208" t="s">
        <v>703</v>
      </c>
      <c r="G197" s="205" t="str">
        <f ca="1">'Reactive power charges'!$C$190</f>
        <v>Section 515-D: Reactive power charges, all customer categories</v>
      </c>
    </row>
    <row r="198" spans="6:7" customFormat="1" ht="15.75" thickBot="1" x14ac:dyDescent="0.3">
      <c r="F198" s="208" t="s">
        <v>703</v>
      </c>
      <c r="G198" s="205" t="str">
        <f ca="1">'Reactive power charges'!$C$220</f>
        <v>Section 515-E: Reactive power charges for applicable customers</v>
      </c>
    </row>
    <row r="199" spans="6:7" customFormat="1" ht="15.75" thickTop="1" x14ac:dyDescent="0.25">
      <c r="F199" s="209" t="s">
        <v>293</v>
      </c>
      <c r="G199" s="205" t="str">
        <f ca="1">'Capacity charges'!$C$19</f>
        <v>Section 516-A: Inputs to capacity charge calculations</v>
      </c>
    </row>
    <row r="200" spans="6:7" customFormat="1" x14ac:dyDescent="0.25">
      <c r="F200" s="208" t="s">
        <v>703</v>
      </c>
      <c r="G200" s="205" t="str">
        <f ca="1">'Capacity charges'!$C$129</f>
        <v>Section 516-B: Capacity-based charge elements (to be split between capacity &amp; fixed charges)</v>
      </c>
    </row>
    <row r="201" spans="6:7" customFormat="1" x14ac:dyDescent="0.25">
      <c r="F201" s="208" t="s">
        <v>703</v>
      </c>
      <c r="G201" s="205" t="str">
        <f ca="1">'Capacity charges'!$C$159</f>
        <v>Section 516-C: Exceeded capacity-based charge elements</v>
      </c>
    </row>
    <row r="202" spans="6:7" customFormat="1" x14ac:dyDescent="0.25">
      <c r="F202" s="208" t="s">
        <v>703</v>
      </c>
      <c r="G202" s="205" t="str">
        <f ca="1">'Capacity charges'!$C$189</f>
        <v>Section 516-D: Capacity charges for eligible customers, by network level</v>
      </c>
    </row>
    <row r="203" spans="6:7" customFormat="1" x14ac:dyDescent="0.25">
      <c r="F203" s="208" t="s">
        <v>703</v>
      </c>
      <c r="G203" s="205" t="str">
        <f ca="1">'Capacity charges'!$C$219</f>
        <v>Section 516-E: Exceeded capacity charges for eligible customers, by network level</v>
      </c>
    </row>
    <row r="204" spans="6:7" customFormat="1" x14ac:dyDescent="0.25">
      <c r="F204" s="208" t="s">
        <v>703</v>
      </c>
      <c r="G204" s="205" t="str">
        <f ca="1">'Capacity charges'!$C$254</f>
        <v>Section 516-F: Capacity and exceeded capacity charges</v>
      </c>
    </row>
    <row r="205" spans="6:7" customFormat="1" ht="15.75" thickBot="1" x14ac:dyDescent="0.3">
      <c r="F205" s="208" t="s">
        <v>703</v>
      </c>
      <c r="G205" s="205" t="str">
        <f ca="1">'Capacity charges'!$C$259</f>
        <v>Section 516-G: Capacity elements allocated to fixed charges</v>
      </c>
    </row>
    <row r="206" spans="6:7" customFormat="1" ht="15.75" thickTop="1" x14ac:dyDescent="0.25">
      <c r="F206" s="209" t="s">
        <v>294</v>
      </c>
      <c r="G206" s="205" t="str">
        <f ca="1">'Fixed charges'!$C$16</f>
        <v>Section 517-A: Volumes (discounted MPANs &amp; maximum load)</v>
      </c>
    </row>
    <row r="207" spans="6:7" customFormat="1" x14ac:dyDescent="0.25">
      <c r="F207" s="208" t="s">
        <v>703</v>
      </c>
      <c r="G207" s="205" t="str">
        <f ca="1">'Fixed charges'!$C$22</f>
        <v>Section 517-B: Capacity elements allocated to fixed charges</v>
      </c>
    </row>
    <row r="208" spans="6:7" customFormat="1" x14ac:dyDescent="0.25">
      <c r="F208" s="208" t="s">
        <v>703</v>
      </c>
      <c r="G208" s="205" t="str">
        <f ca="1">'Fixed charges'!$C$52</f>
        <v>Section 517-C: Service model costs allocated to fixed charges</v>
      </c>
    </row>
    <row r="209" spans="6:7" customFormat="1" x14ac:dyDescent="0.25">
      <c r="F209" s="208" t="s">
        <v>703</v>
      </c>
      <c r="G209" s="205" t="str">
        <f ca="1">'Fixed charges'!$C$58</f>
        <v>Section 517-D: Flags</v>
      </c>
    </row>
    <row r="210" spans="6:7" customFormat="1" x14ac:dyDescent="0.25">
      <c r="F210" s="208" t="s">
        <v>703</v>
      </c>
      <c r="G210" s="205" t="str">
        <f ca="1">'Fixed charges'!$C$67</f>
        <v>Section 517-E: Revenue allocated to fixed charges</v>
      </c>
    </row>
    <row r="211" spans="6:7" customFormat="1" x14ac:dyDescent="0.25">
      <c r="F211" s="208" t="s">
        <v>703</v>
      </c>
      <c r="G211" s="205" t="str">
        <f ca="1">'Fixed charges'!$C$97</f>
        <v>Section 517-F: Revenue allocated to fixed charges, by aggregation group</v>
      </c>
    </row>
    <row r="212" spans="6:7" customFormat="1" x14ac:dyDescent="0.25">
      <c r="F212" s="208" t="s">
        <v>703</v>
      </c>
      <c r="G212" s="205" t="str">
        <f ca="1">'Fixed charges'!$C$127</f>
        <v>Section 517-G: Fixed charges, by network level</v>
      </c>
    </row>
    <row r="213" spans="6:7" customFormat="1" ht="15.75" thickBot="1" x14ac:dyDescent="0.3">
      <c r="F213" s="208" t="s">
        <v>703</v>
      </c>
      <c r="G213" s="205" t="str">
        <f ca="1">'Fixed charges'!$C$159</f>
        <v>Section 517-H: Aggregated fixed charges</v>
      </c>
    </row>
    <row r="214" spans="6:7" customFormat="1" ht="15.75" thickTop="1" x14ac:dyDescent="0.25">
      <c r="F214" s="209" t="s">
        <v>295</v>
      </c>
      <c r="G214" s="205" t="str">
        <f ca="1">'Revenue matching'!$C$15</f>
        <v>Section 518-A: Inputs to revenue matching</v>
      </c>
    </row>
    <row r="215" spans="6:7" customFormat="1" x14ac:dyDescent="0.25">
      <c r="F215" s="208" t="s">
        <v>703</v>
      </c>
      <c r="G215" s="205" t="str">
        <f ca="1">'Revenue matching'!$C$45</f>
        <v>Section 518-B: Net revenue before matching</v>
      </c>
    </row>
    <row r="216" spans="6:7" customFormat="1" x14ac:dyDescent="0.25">
      <c r="F216" s="208" t="s">
        <v>703</v>
      </c>
      <c r="G216" s="205" t="str">
        <f ca="1">'Revenue matching'!$C$68</f>
        <v>Section 518-C: Calculation of unconstrained adder solution</v>
      </c>
    </row>
    <row r="217" spans="6:7" customFormat="1" x14ac:dyDescent="0.25">
      <c r="F217" s="208" t="s">
        <v>703</v>
      </c>
      <c r="G217" s="205" t="str">
        <f ca="1">'Revenue matching'!$C$92</f>
        <v>Section 518-D: Algorithm to find constrained adder solution</v>
      </c>
    </row>
    <row r="218" spans="6:7" customFormat="1" ht="15.75" thickBot="1" x14ac:dyDescent="0.3">
      <c r="F218" s="208" t="s">
        <v>703</v>
      </c>
      <c r="G218" s="205" t="str">
        <f ca="1">'Revenue matching'!$C$131</f>
        <v>Section 518-E: Adder to be applied to unit rates</v>
      </c>
    </row>
    <row r="219" spans="6:7" customFormat="1" ht="15.75" thickTop="1" x14ac:dyDescent="0.25">
      <c r="F219" s="209" t="s">
        <v>1157</v>
      </c>
      <c r="G219" s="205" t="str">
        <f ca="1">'Fixed charge adder'!$C$16</f>
        <v>Section 519-A: Inputs for fixed tariff adjustments</v>
      </c>
    </row>
    <row r="220" spans="6:7" customFormat="1" x14ac:dyDescent="0.25">
      <c r="F220" s="208" t="s">
        <v>703</v>
      </c>
      <c r="G220" s="205" t="str">
        <f ca="1">'Fixed charge adder'!$C$33</f>
        <v>Section 519-B: Calculation of fixed tariff adjustments</v>
      </c>
    </row>
    <row r="221" spans="6:7" customFormat="1" ht="15.75" thickBot="1" x14ac:dyDescent="0.3">
      <c r="F221" s="208" t="s">
        <v>703</v>
      </c>
      <c r="G221" s="205" t="str">
        <f ca="1">'Fixed charge adder'!$C$48</f>
        <v>Section 519-C: Calculation of fixed charge adder revenue</v>
      </c>
    </row>
    <row r="222" spans="6:7" customFormat="1" ht="15.75" thickTop="1" x14ac:dyDescent="0.25">
      <c r="F222" s="209" t="s">
        <v>238</v>
      </c>
      <c r="G222" s="205" t="str">
        <f ca="1">Rounding!$C$16</f>
        <v>Section 520-A: Pre-match, pre-rounding tariff forecast</v>
      </c>
    </row>
    <row r="223" spans="6:7" customFormat="1" x14ac:dyDescent="0.25">
      <c r="F223" s="208" t="s">
        <v>703</v>
      </c>
      <c r="G223" s="205" t="str">
        <f ca="1">Rounding!$C$28</f>
        <v>Section 520-B: Adder to be applied to unit rates</v>
      </c>
    </row>
    <row r="224" spans="6:7" customFormat="1" x14ac:dyDescent="0.25">
      <c r="F224" s="208" t="s">
        <v>703</v>
      </c>
      <c r="G224" s="205" t="str">
        <f ca="1">Rounding!$C$40</f>
        <v>Section 520-C: Adder to be applied to fixed charge</v>
      </c>
    </row>
    <row r="225" spans="6:7" customFormat="1" x14ac:dyDescent="0.25">
      <c r="F225" s="208" t="s">
        <v>703</v>
      </c>
      <c r="G225" s="205" t="str">
        <f ca="1">Rounding!$C$52</f>
        <v>Section 520-D: LDNO discounts</v>
      </c>
    </row>
    <row r="226" spans="6:7" customFormat="1" x14ac:dyDescent="0.25">
      <c r="F226" s="208" t="s">
        <v>703</v>
      </c>
      <c r="G226" s="205" t="str">
        <f ca="1">Rounding!$C$72</f>
        <v>Section 520-E: Decimal places for rounding</v>
      </c>
    </row>
    <row r="227" spans="6:7" customFormat="1" x14ac:dyDescent="0.25">
      <c r="F227" s="208" t="s">
        <v>703</v>
      </c>
      <c r="G227" s="205" t="str">
        <f ca="1">Rounding!$C$87</f>
        <v>Section 520-F: Tariff forecast, post-revenue matching</v>
      </c>
    </row>
    <row r="228" spans="6:7" customFormat="1" x14ac:dyDescent="0.25">
      <c r="F228" s="208" t="s">
        <v>703</v>
      </c>
      <c r="G228" s="205" t="str">
        <f ca="1">Rounding!$C$98</f>
        <v>Section 520-G: Tariff forecast, post-adders &amp; discounting</v>
      </c>
    </row>
    <row r="229" spans="6:7" customFormat="1" ht="15.75" thickBot="1" x14ac:dyDescent="0.3">
      <c r="F229" s="208" t="s">
        <v>703</v>
      </c>
      <c r="G229" s="205" t="str">
        <f ca="1">Rounding!$C$127</f>
        <v>Section 520-H: Tariff forecast, post-rounding</v>
      </c>
    </row>
    <row r="230" spans="6:7" customFormat="1" ht="15.75" thickTop="1" x14ac:dyDescent="0.25">
      <c r="F230" s="209" t="s">
        <v>657</v>
      </c>
      <c r="G230" s="205" t="str">
        <f ca="1">'Net revenue summary'!$C$13</f>
        <v>Input 505-A: Volume forecasts</v>
      </c>
    </row>
    <row r="231" spans="6:7" customFormat="1" x14ac:dyDescent="0.25">
      <c r="F231" s="208" t="s">
        <v>703</v>
      </c>
      <c r="G231" s="205" t="str">
        <f ca="1">'Net revenue summary'!$C$42</f>
        <v>Input 505-B: Tariff forecast</v>
      </c>
    </row>
    <row r="232" spans="6:7" customFormat="1" x14ac:dyDescent="0.25">
      <c r="F232" s="208" t="s">
        <v>703</v>
      </c>
      <c r="G232" s="205" t="str">
        <f ca="1">'Net revenue summary'!$C$71</f>
        <v>Input 505-C: Net revenue components</v>
      </c>
    </row>
    <row r="233" spans="6:7" customFormat="1" x14ac:dyDescent="0.25">
      <c r="F233" s="208" t="s">
        <v>703</v>
      </c>
      <c r="G233" s="205" t="str">
        <f ca="1">'Net revenue summary'!$C$81</f>
        <v>Input 505-D: Net revenue by tariff</v>
      </c>
    </row>
    <row r="234" spans="6:7" customFormat="1" x14ac:dyDescent="0.25">
      <c r="F234" s="208" t="s">
        <v>703</v>
      </c>
      <c r="G234" s="205" t="str">
        <f ca="1">'Net revenue summary'!$C$113</f>
        <v>Input 505-E: Net revenue summary (for information only)</v>
      </c>
    </row>
    <row r="235" spans="6:7" customFormat="1" ht="15.75" thickBot="1" x14ac:dyDescent="0.3">
      <c r="F235" s="208" t="s">
        <v>703</v>
      </c>
      <c r="G235" s="205" t="str">
        <f ca="1">'Net revenue summary'!$C$126</f>
        <v>Input 505-F: Typical bills</v>
      </c>
    </row>
    <row r="236" spans="6:7" customFormat="1" ht="15.75" thickTop="1" x14ac:dyDescent="0.25">
      <c r="F236" s="211" t="s">
        <v>537</v>
      </c>
      <c r="G236" s="205" t="str">
        <f ca="1">'Tariff summary'!$C$15</f>
        <v>Input 506-A: Live tariff results (2021/22)</v>
      </c>
    </row>
    <row r="237" spans="6:7" customFormat="1" x14ac:dyDescent="0.25">
      <c r="F237" s="210" t="s">
        <v>703</v>
      </c>
      <c r="G237" s="205" t="str">
        <f ca="1">'Tariff summary'!$C$71</f>
        <v>Input 506-B: tariff forecast results for charging year 2021/22</v>
      </c>
    </row>
    <row r="238" spans="6:7" customFormat="1" x14ac:dyDescent="0.25">
      <c r="F238" s="210" t="s">
        <v>703</v>
      </c>
      <c r="G238" s="205" t="str">
        <f ca="1">'Tariff summary'!$C$127</f>
        <v>Input 506-C: Tariff results for charging year 2022/23</v>
      </c>
    </row>
    <row r="239" spans="6:7" customFormat="1" x14ac:dyDescent="0.25">
      <c r="F239" s="210" t="s">
        <v>703</v>
      </c>
      <c r="G239" s="205" t="str">
        <f ca="1">'Tariff summary'!$C$183</f>
        <v>Input 506-D: Tariff results for charging year 2023/24</v>
      </c>
    </row>
    <row r="240" spans="6:7" customFormat="1" x14ac:dyDescent="0.25">
      <c r="F240" s="210" t="s">
        <v>703</v>
      </c>
      <c r="G240" s="205" t="str">
        <f ca="1">'Tariff summary'!$C$239</f>
        <v>Input 506-E: Tariff results for charging year 2024/25</v>
      </c>
    </row>
    <row r="241" spans="2:7" customFormat="1" ht="15.75" thickBot="1" x14ac:dyDescent="0.3">
      <c r="F241" s="210" t="s">
        <v>703</v>
      </c>
      <c r="G241" s="205" t="str">
        <f ca="1">'Tariff summary'!$C$295</f>
        <v>Input 506-F: Tariff results for charging year 2025/26</v>
      </c>
    </row>
    <row r="242" spans="2:7" customFormat="1" ht="15.75" thickTop="1" x14ac:dyDescent="0.25">
      <c r="F242" s="211" t="s">
        <v>584</v>
      </c>
      <c r="G242" s="205" t="str">
        <f ca="1">'Typical bills'!$C$15</f>
        <v>Input 507-A: Typical bill results</v>
      </c>
    </row>
    <row r="243" spans="2:7" customFormat="1" x14ac:dyDescent="0.25"/>
    <row r="244" spans="2:7" customFormat="1" x14ac:dyDescent="0.25">
      <c r="B244" s="95" t="s">
        <v>110</v>
      </c>
      <c r="C244" s="95"/>
      <c r="D244" s="95"/>
      <c r="E244" s="95"/>
      <c r="F244" s="95"/>
      <c r="G244" s="95"/>
    </row>
    <row r="245" spans="2:7" customFormat="1" x14ac:dyDescent="0.25"/>
    <row r="246" spans="2:7" customFormat="1" x14ac:dyDescent="0.25"/>
    <row r="247" spans="2:7" customFormat="1" x14ac:dyDescent="0.25"/>
    <row r="248" spans="2:7" customFormat="1" x14ac:dyDescent="0.25"/>
    <row r="249" spans="2:7" customFormat="1" x14ac:dyDescent="0.25"/>
    <row r="250" spans="2:7" customFormat="1" x14ac:dyDescent="0.25"/>
    <row r="251" spans="2:7" customFormat="1" x14ac:dyDescent="0.25"/>
    <row r="252" spans="2:7" customFormat="1" x14ac:dyDescent="0.25"/>
    <row r="253" spans="2:7" customFormat="1" x14ac:dyDescent="0.25"/>
    <row r="254" spans="2:7" customFormat="1" x14ac:dyDescent="0.25"/>
    <row r="255" spans="2:7" customFormat="1" x14ac:dyDescent="0.25"/>
    <row r="256" spans="2:7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</sheetData>
  <sheetProtection sheet="1" objects="1" formatCells="0" formatColumns="0" formatRows="0" sort="0" autoFilter="0"/>
  <hyperlinks>
    <hyperlink ref="F15" location="'Cover'!A4" display="'" xr:uid="{00000000-0004-0000-0300-000000000000}"/>
    <hyperlink ref="F16" location="'Version control'!A4" display="'" xr:uid="{00000000-0004-0000-0300-000001000000}"/>
    <hyperlink ref="G16" location="'Version control'!$B$5" display="'Version control'!$B$5" xr:uid="{00000000-0004-0000-0300-000002000000}"/>
    <hyperlink ref="F17" location="'Version control'!A4" display="'" xr:uid="{00000000-0004-0000-0300-000003000000}"/>
    <hyperlink ref="G17" location="'Version control'!$B$17" display="'Version control'!$B$17" xr:uid="{00000000-0004-0000-0300-000004000000}"/>
    <hyperlink ref="F18" location="'Version control'!A4" display="'" xr:uid="{00000000-0004-0000-0300-000005000000}"/>
    <hyperlink ref="G18" location="'Version control'!$B$31" display="'Version control'!$B$31" xr:uid="{00000000-0004-0000-0300-000006000000}"/>
    <hyperlink ref="F19" location="'Version control'!A4" display="'" xr:uid="{00000000-0004-0000-0300-000007000000}"/>
    <hyperlink ref="G19" location="'Version control'!$B$63" display="'Version control'!$B$63" xr:uid="{00000000-0004-0000-0300-000008000000}"/>
    <hyperlink ref="F20" location="'Model map'!A4" display="'" xr:uid="{00000000-0004-0000-0300-000009000000}"/>
    <hyperlink ref="G20" location="'Model map'!$B$5" display="'Model map'!$B$5" xr:uid="{00000000-0004-0000-0300-00000A000000}"/>
    <hyperlink ref="F21" location="'Named ranges'!A4" display="'" xr:uid="{00000000-0004-0000-0300-00000B000000}"/>
    <hyperlink ref="G21" location="'Named ranges'!$B$5" display="'Named ranges'!$B$5" xr:uid="{00000000-0004-0000-0300-00000C000000}"/>
    <hyperlink ref="F22" location="'ARP_DNO commentary'!A4" display="'" xr:uid="{00000000-0004-0000-0300-00000D000000}"/>
    <hyperlink ref="G22" location="'ARP_DNO commentary'!$B$9" display="'ARP_DNO commentary'!$B$9" xr:uid="{00000000-0004-0000-0300-00000E000000}"/>
    <hyperlink ref="F23" location="'ARP_CDCM timebands'!A4" display="'" xr:uid="{00000000-0004-0000-0300-00000F000000}"/>
    <hyperlink ref="G23" location="'ARP_CDCM timebands'!$B$12" display="'ARP_CDCM timebands'!$B$12" xr:uid="{00000000-0004-0000-0300-000010000000}"/>
    <hyperlink ref="F24" location="'ARP_Load characteristics'!A4" display="'" xr:uid="{00000000-0004-0000-0300-000011000000}"/>
    <hyperlink ref="G24" location="'ARP_Load characteristics'!$B$13" display="'ARP_Load characteristics'!$B$13" xr:uid="{00000000-0004-0000-0300-000012000000}"/>
    <hyperlink ref="F25" location="'ARP_Load characteristics'!A4" display="'" xr:uid="{00000000-0004-0000-0300-000013000000}"/>
    <hyperlink ref="G25" location="'ARP_Load characteristics'!$B$20" display="'ARP_Load characteristics'!$B$20" xr:uid="{00000000-0004-0000-0300-000014000000}"/>
    <hyperlink ref="F26" location="'ARP_Peaking probabilities'!A4" display="'" xr:uid="{00000000-0004-0000-0300-000015000000}"/>
    <hyperlink ref="G26" location="'ARP_Peaking probabilities'!$B$14" display="'ARP_Peaking probabilities'!$B$14" xr:uid="{00000000-0004-0000-0300-000016000000}"/>
    <hyperlink ref="F27" location="'ARP_Peaking probabilities'!A4" display="'" xr:uid="{00000000-0004-0000-0300-000017000000}"/>
    <hyperlink ref="G27" location="'ARP_Peaking probabilities'!$B$21" display="'ARP_Peaking probabilities'!$B$21" xr:uid="{00000000-0004-0000-0300-000018000000}"/>
    <hyperlink ref="F28" location="'ARP_User control'!A4" display="'" xr:uid="{00000000-0004-0000-0300-000019000000}"/>
    <hyperlink ref="G28" location="'ARP_User control'!$B$10" display="'ARP_User control'!$B$10" xr:uid="{00000000-0004-0000-0300-00001A000000}"/>
    <hyperlink ref="F29" location="'ARP_User control'!A4" display="'" xr:uid="{00000000-0004-0000-0300-00001B000000}"/>
    <hyperlink ref="G29" location="'ARP_User control'!$B$25" display="'ARP_User control'!$B$25" xr:uid="{00000000-0004-0000-0300-00001C000000}"/>
    <hyperlink ref="F30" location="'ARP_Inputs by customer type'!A4" display="'" xr:uid="{00000000-0004-0000-0300-00001D000000}"/>
    <hyperlink ref="G30" location="'ARP_Inputs by customer type'!$B$14" display="'ARP_Inputs by customer type'!$B$14" xr:uid="{00000000-0004-0000-0300-00001E000000}"/>
    <hyperlink ref="F31" location="'ARP_Inputs by customer type'!A4" display="'" xr:uid="{00000000-0004-0000-0300-00001F000000}"/>
    <hyperlink ref="G31" location="'ARP_Inputs by customer type'!$B$56" display="'ARP_Inputs by customer type'!$B$56" xr:uid="{00000000-0004-0000-0300-000020000000}"/>
    <hyperlink ref="F32" location="'ARP_Inputs by customer type'!A4" display="'" xr:uid="{00000000-0004-0000-0300-000021000000}"/>
    <hyperlink ref="G32" location="'ARP_Inputs by customer type'!$B$462" display="'ARP_Inputs by customer type'!$B$462" xr:uid="{00000000-0004-0000-0300-000022000000}"/>
    <hyperlink ref="F33" location="'ARP_Inputs by network level'!A4" display="'" xr:uid="{00000000-0004-0000-0300-000023000000}"/>
    <hyperlink ref="G33" location="'ARP_Inputs by network level'!$B$14" display="'ARP_Inputs by network level'!$B$14" xr:uid="{00000000-0004-0000-0300-000024000000}"/>
    <hyperlink ref="F34" location="'ARP_General inputs'!A4" display="'" xr:uid="{00000000-0004-0000-0300-000025000000}"/>
    <hyperlink ref="G34" location="'ARP_General inputs'!$B$14" display="'ARP_General inputs'!$B$14" xr:uid="{00000000-0004-0000-0300-000026000000}"/>
    <hyperlink ref="F35" location="'Fixed inputs'!A4" display="'" xr:uid="{00000000-0004-0000-0300-000027000000}"/>
    <hyperlink ref="G35" location="'Fixed inputs'!$B$11" display="'Fixed inputs'!$B$11" xr:uid="{00000000-0004-0000-0300-000028000000}"/>
    <hyperlink ref="F36" location="'Inputs by customer type'!A4" display="'" xr:uid="{00000000-0004-0000-0300-000029000000}"/>
    <hyperlink ref="G36" location="'Inputs by customer type'!$B$14" display="'Inputs by customer type'!$B$14" xr:uid="{00000000-0004-0000-0300-00002A000000}"/>
    <hyperlink ref="F37" location="'Inputs by network level'!A4" display="'" xr:uid="{00000000-0004-0000-0300-00002B000000}"/>
    <hyperlink ref="G37" location="'Inputs by network level'!$B$14" display="'Inputs by network level'!$B$14" xr:uid="{00000000-0004-0000-0300-00002C000000}"/>
    <hyperlink ref="F38" location="'General inputs'!A4" display="'" xr:uid="{00000000-0004-0000-0300-00002D000000}"/>
    <hyperlink ref="G38" location="'General inputs'!$B$14" display="'General inputs'!$B$14" xr:uid="{00000000-0004-0000-0300-00002E000000}"/>
    <hyperlink ref="F39" location="'Standing charge factors'!A4" display="'" xr:uid="{00000000-0004-0000-0300-00002F000000}"/>
    <hyperlink ref="G39" location="'Standing charge factors'!$B$17" display="'Standing charge factors'!$B$17" xr:uid="{00000000-0004-0000-0300-000030000000}"/>
    <hyperlink ref="F40" location="'Load &amp; loss characteristics'!A4" display="'" xr:uid="{00000000-0004-0000-0300-000031000000}"/>
    <hyperlink ref="G40" location="'Load &amp; loss characteristics'!$B$13" display="'Load &amp; loss characteristics'!$B$13" xr:uid="{00000000-0004-0000-0300-000032000000}"/>
    <hyperlink ref="F41" location="'Load &amp; loss characteristics'!A4" display="'" xr:uid="{00000000-0004-0000-0300-000033000000}"/>
    <hyperlink ref="G41" location="'Load &amp; loss characteristics'!$B$31" display="'Load &amp; loss characteristics'!$B$31" xr:uid="{00000000-0004-0000-0300-000034000000}"/>
    <hyperlink ref="F42" location="'Customer contributions'!A4" display="'" xr:uid="{00000000-0004-0000-0300-000035000000}"/>
    <hyperlink ref="G42" location="'Customer contributions'!$B$12" display="'Customer contributions'!$B$12" xr:uid="{00000000-0004-0000-0300-000036000000}"/>
    <hyperlink ref="F43" location="'Volume adjustments'!A4" display="'" xr:uid="{00000000-0004-0000-0300-000037000000}"/>
    <hyperlink ref="G43" location="'Volume adjustments'!$B$13" display="'Volume adjustments'!$B$13" xr:uid="{00000000-0004-0000-0300-000038000000}"/>
    <hyperlink ref="F44" location="'Volume adjustments'!A4" display="'" xr:uid="{00000000-0004-0000-0300-000039000000}"/>
    <hyperlink ref="G44" location="'Volume adjustments'!$B$51" display="'Volume adjustments'!$B$51" xr:uid="{00000000-0004-0000-0300-00003A000000}"/>
    <hyperlink ref="F45" location="'Pseudo-load coefficients'!A4" display="'" xr:uid="{00000000-0004-0000-0300-00003B000000}"/>
    <hyperlink ref="G45" location="'Pseudo-load coefficients'!$B$13" display="'Pseudo-load coefficients'!$B$13" xr:uid="{00000000-0004-0000-0300-00003C000000}"/>
    <hyperlink ref="F46" location="'Pseudo-load coefficients'!A4" display="'" xr:uid="{00000000-0004-0000-0300-00003D000000}"/>
    <hyperlink ref="G46" location="'Pseudo-load coefficients'!$B$56" display="'Pseudo-load coefficients'!$B$56" xr:uid="{00000000-0004-0000-0300-00003E000000}"/>
    <hyperlink ref="F47" location="'Pseudo-load coefficients'!A4" display="'" xr:uid="{00000000-0004-0000-0300-00003F000000}"/>
    <hyperlink ref="G47" location="'Pseudo-load coefficients'!$B$95" display="'Pseudo-load coefficients'!$B$95" xr:uid="{00000000-0004-0000-0300-000040000000}"/>
    <hyperlink ref="F48" location="'Pseudo-load coefficients'!A4" display="'" xr:uid="{00000000-0004-0000-0300-000041000000}"/>
    <hyperlink ref="G48" location="'Pseudo-load coefficients'!$B$261" display="'Pseudo-load coefficients'!$B$261" xr:uid="{00000000-0004-0000-0300-000042000000}"/>
    <hyperlink ref="F49" location="'System peak demand'!A4" display="'" xr:uid="{00000000-0004-0000-0300-000043000000}"/>
    <hyperlink ref="G49" location="'System peak demand'!$B$16" display="'System peak demand'!$B$16" xr:uid="{00000000-0004-0000-0300-000044000000}"/>
    <hyperlink ref="F50" location="'System peak demand'!A4" display="'" xr:uid="{00000000-0004-0000-0300-000045000000}"/>
    <hyperlink ref="G50" location="'System peak demand'!$B$63" display="'System peak demand'!$B$63" xr:uid="{00000000-0004-0000-0300-000046000000}"/>
    <hyperlink ref="F51" location="'System peak demand'!A4" display="'" xr:uid="{00000000-0004-0000-0300-000047000000}"/>
    <hyperlink ref="G51" location="'System peak demand'!$B$179" display="'System peak demand'!$B$179" xr:uid="{00000000-0004-0000-0300-000048000000}"/>
    <hyperlink ref="F52" location="'System peak demand'!A4" display="'" xr:uid="{00000000-0004-0000-0300-000049000000}"/>
    <hyperlink ref="G52" location="'System peak demand'!$B$262" display="'System peak demand'!$B$262" xr:uid="{00000000-0004-0000-0300-00004A000000}"/>
    <hyperlink ref="F53" location="'Service model assets'!A4" display="'" xr:uid="{00000000-0004-0000-0300-00004B000000}"/>
    <hyperlink ref="G53" location="'Service model assets'!$B$12" display="'Service model assets'!$B$12" xr:uid="{00000000-0004-0000-0300-00004C000000}"/>
    <hyperlink ref="F54" location="'Unit costs'!A4" display="'" xr:uid="{00000000-0004-0000-0300-00004D000000}"/>
    <hyperlink ref="G54" location="'Unit costs'!$B$15" display="'Unit costs'!$B$15" xr:uid="{00000000-0004-0000-0300-00004E000000}"/>
    <hyperlink ref="F55" location="'Unit costs'!A4" display="'" xr:uid="{00000000-0004-0000-0300-00004F000000}"/>
    <hyperlink ref="G55" location="'Unit costs'!$B$58" display="'Unit costs'!$B$58" xr:uid="{00000000-0004-0000-0300-000050000000}"/>
    <hyperlink ref="F56" location="'Unit costs'!A4" display="'" xr:uid="{00000000-0004-0000-0300-000051000000}"/>
    <hyperlink ref="G56" location="'Unit costs'!$B$102" display="'Unit costs'!$B$102" xr:uid="{00000000-0004-0000-0300-000052000000}"/>
    <hyperlink ref="F57" location="'Initial unit rates'!A4" display="'" xr:uid="{00000000-0004-0000-0300-000053000000}"/>
    <hyperlink ref="G57" location="'Initial unit rates'!$B$11" display="'Initial unit rates'!$B$11" xr:uid="{00000000-0004-0000-0300-000054000000}"/>
    <hyperlink ref="F58" location="'Initial unit rates'!A4" display="'" xr:uid="{00000000-0004-0000-0300-000055000000}"/>
    <hyperlink ref="G58" location="'Initial unit rates'!$B$116" display="'Initial unit rates'!$B$116" xr:uid="{00000000-0004-0000-0300-000056000000}"/>
    <hyperlink ref="F59" location="'Service model charges'!A4" display="'" xr:uid="{00000000-0004-0000-0300-000057000000}"/>
    <hyperlink ref="G59" location="'Service model charges'!$B$13" display="'Service model charges'!$B$13" xr:uid="{00000000-0004-0000-0300-000058000000}"/>
    <hyperlink ref="F60" location="'Service model charges'!A4" display="'" xr:uid="{00000000-0004-0000-0300-000059000000}"/>
    <hyperlink ref="G60" location="'Service model charges'!$B$29" display="'Service model charges'!$B$29" xr:uid="{00000000-0004-0000-0300-00005A000000}"/>
    <hyperlink ref="F61" location="'Unit rate charges'!A4" display="'" xr:uid="{00000000-0004-0000-0300-00005B000000}"/>
    <hyperlink ref="G61" location="'Unit rate charges'!$B$15" display="'Unit rate charges'!$B$15" xr:uid="{00000000-0004-0000-0300-00005C000000}"/>
    <hyperlink ref="F62" location="'Unit rate charges'!A4" display="'" xr:uid="{00000000-0004-0000-0300-00005D000000}"/>
    <hyperlink ref="G62" location="'Unit rate charges'!$B$122" display="'Unit rate charges'!$B$122" xr:uid="{00000000-0004-0000-0300-00005E000000}"/>
    <hyperlink ref="F63" location="'Reactive power charges'!A4" display="'" xr:uid="{00000000-0004-0000-0300-00005F000000}"/>
    <hyperlink ref="G63" location="'Reactive power charges'!$B$13" display="'Reactive power charges'!$B$13" xr:uid="{00000000-0004-0000-0300-000060000000}"/>
    <hyperlink ref="F64" location="'Reactive power charges'!A4" display="'" xr:uid="{00000000-0004-0000-0300-000061000000}"/>
    <hyperlink ref="G64" location="'Reactive power charges'!$B$150" display="'Reactive power charges'!$B$150" xr:uid="{00000000-0004-0000-0300-000062000000}"/>
    <hyperlink ref="F65" location="'Reactive power charges'!A4" display="'" xr:uid="{00000000-0004-0000-0300-000063000000}"/>
    <hyperlink ref="G65" location="'Reactive power charges'!$B$185" display="'Reactive power charges'!$B$185" xr:uid="{00000000-0004-0000-0300-000064000000}"/>
    <hyperlink ref="F66" location="'Capacity charges'!A4" display="'" xr:uid="{00000000-0004-0000-0300-000065000000}"/>
    <hyperlink ref="G66" location="'Capacity charges'!$B$17" display="'Capacity charges'!$B$17" xr:uid="{00000000-0004-0000-0300-000066000000}"/>
    <hyperlink ref="F67" location="'Capacity charges'!A4" display="'" xr:uid="{00000000-0004-0000-0300-000067000000}"/>
    <hyperlink ref="G67" location="'Capacity charges'!$B$125" display="'Capacity charges'!$B$125" xr:uid="{00000000-0004-0000-0300-000068000000}"/>
    <hyperlink ref="F68" location="'Capacity charges'!A4" display="'" xr:uid="{00000000-0004-0000-0300-000069000000}"/>
    <hyperlink ref="G68" location="'Capacity charges'!$B$249" display="'Capacity charges'!$B$249" xr:uid="{00000000-0004-0000-0300-00006A000000}"/>
    <hyperlink ref="F69" location="'Fixed charges'!A4" display="'" xr:uid="{00000000-0004-0000-0300-00006B000000}"/>
    <hyperlink ref="G69" location="'Fixed charges'!$B$14" display="'Fixed charges'!$B$14" xr:uid="{00000000-0004-0000-0300-00006C000000}"/>
    <hyperlink ref="F70" location="'Fixed charges'!A4" display="'" xr:uid="{00000000-0004-0000-0300-00006D000000}"/>
    <hyperlink ref="G70" location="'Fixed charges'!$B$65" display="'Fixed charges'!$B$65" xr:uid="{00000000-0004-0000-0300-00006E000000}"/>
    <hyperlink ref="F71" location="'Revenue matching'!A4" display="'" xr:uid="{00000000-0004-0000-0300-00006F000000}"/>
    <hyperlink ref="G71" location="'Revenue matching'!$B$13" display="'Revenue matching'!$B$13" xr:uid="{00000000-0004-0000-0300-000070000000}"/>
    <hyperlink ref="F72" location="'Revenue matching'!A4" display="'" xr:uid="{00000000-0004-0000-0300-000071000000}"/>
    <hyperlink ref="G72" location="'Revenue matching'!$B$62" display="'Revenue matching'!$B$62" xr:uid="{00000000-0004-0000-0300-000072000000}"/>
    <hyperlink ref="F73" location="'Fixed charge adder'!A4" display="'" xr:uid="{00000000-0004-0000-0300-000073000000}"/>
    <hyperlink ref="G73" location="'Fixed charge adder'!$B$12" display="'Fixed charge adder'!$B$12" xr:uid="{00000000-0004-0000-0300-000074000000}"/>
    <hyperlink ref="F74" location="'Rounding'!A4" display="'" xr:uid="{00000000-0004-0000-0300-000075000000}"/>
    <hyperlink ref="G74" location="'Rounding'!$B$12" display="'Rounding'!$B$12" xr:uid="{00000000-0004-0000-0300-000076000000}"/>
    <hyperlink ref="F75" location="'Rounding'!A4" display="'" xr:uid="{00000000-0004-0000-0300-000077000000}"/>
    <hyperlink ref="G75" location="'Rounding'!$B$83" display="'Rounding'!$B$83" xr:uid="{00000000-0004-0000-0300-000078000000}"/>
    <hyperlink ref="F76" location="'Net revenue summary'!A4" display="'" xr:uid="{00000000-0004-0000-0300-000079000000}"/>
    <hyperlink ref="G76" location="'Net revenue summary'!$B$11" display="'Net revenue summary'!$B$11" xr:uid="{00000000-0004-0000-0300-00007A000000}"/>
    <hyperlink ref="F77" location="'Net revenue summary'!A4" display="'" xr:uid="{00000000-0004-0000-0300-00007B000000}"/>
    <hyperlink ref="G77" location="'Net revenue summary'!$B$79" display="'Net revenue summary'!$B$79" xr:uid="{00000000-0004-0000-0300-00007C000000}"/>
    <hyperlink ref="F78" location="'Tariff summary'!A4" display="'" xr:uid="{00000000-0004-0000-0300-00007D000000}"/>
    <hyperlink ref="G78" location="'Tariff summary'!$B$13" display="'Tariff summary'!$B$13" xr:uid="{00000000-0004-0000-0300-00007E000000}"/>
    <hyperlink ref="F79" location="'Typical bills'!A4" display="'" xr:uid="{00000000-0004-0000-0300-00007F000000}"/>
    <hyperlink ref="G79" location="'Typical bills'!$B$13" display="'Typical bills'!$B$13" xr:uid="{00000000-0004-0000-0300-000080000000}"/>
    <hyperlink ref="F86" location="'ARP_CDCM timebands'!A4" display="'" xr:uid="{00000000-0004-0000-0300-000081000000}"/>
    <hyperlink ref="G86" location="'ARP_CDCM timebands'!$C$14" display="'ARP_CDCM timebands'!$C$14" xr:uid="{00000000-0004-0000-0300-000082000000}"/>
    <hyperlink ref="F87" location="'ARP_CDCM timebands'!A4" display="'" xr:uid="{00000000-0004-0000-0300-000083000000}"/>
    <hyperlink ref="G87" location="'ARP_CDCM timebands'!$C$26" display="'ARP_CDCM timebands'!$C$26" xr:uid="{00000000-0004-0000-0300-000084000000}"/>
    <hyperlink ref="F88" location="'ARP_User control'!A4" display="'" xr:uid="{00000000-0004-0000-0300-000085000000}"/>
    <hyperlink ref="G88" location="'ARP_User control'!$C$15" display="'ARP_User control'!$C$15" xr:uid="{00000000-0004-0000-0300-000086000000}"/>
    <hyperlink ref="F89" location="'ARP_User control'!A4" display="'" xr:uid="{00000000-0004-0000-0300-000087000000}"/>
    <hyperlink ref="G89" location="'ARP_User control'!$C$19" display="'ARP_User control'!$C$19" xr:uid="{00000000-0004-0000-0300-000088000000}"/>
    <hyperlink ref="F90" location="'ARP_Inputs by customer type'!A4" display="'" xr:uid="{00000000-0004-0000-0300-000089000000}"/>
    <hyperlink ref="G90" location="'ARP_Inputs by customer type'!$C$16" display="'ARP_Inputs by customer type'!$C$16" xr:uid="{00000000-0004-0000-0300-00008A000000}"/>
    <hyperlink ref="F91" location="'ARP_Inputs by customer type'!A4" display="'" xr:uid="{00000000-0004-0000-0300-00008B000000}"/>
    <hyperlink ref="G91" location="'ARP_Inputs by customer type'!$C$36" display="'ARP_Inputs by customer type'!$C$36" xr:uid="{00000000-0004-0000-0300-00008C000000}"/>
    <hyperlink ref="F92" location="'ARP_Inputs by customer type'!A4" display="'" xr:uid="{00000000-0004-0000-0300-00008D000000}"/>
    <hyperlink ref="G92" location="'ARP_Inputs by customer type'!$C$58" display="'ARP_Inputs by customer type'!$C$58" xr:uid="{00000000-0004-0000-0300-00008E000000}"/>
    <hyperlink ref="F93" location="'ARP_Inputs by customer type'!A4" display="'" xr:uid="{00000000-0004-0000-0300-00008F000000}"/>
    <hyperlink ref="G93" location="'ARP_Inputs by customer type'!$C$186" display="'ARP_Inputs by customer type'!$C$186" xr:uid="{00000000-0004-0000-0300-000090000000}"/>
    <hyperlink ref="F94" location="'ARP_Inputs by customer type'!A4" display="'" xr:uid="{00000000-0004-0000-0300-000091000000}"/>
    <hyperlink ref="G94" location="'ARP_Inputs by customer type'!$C$314" display="'ARP_Inputs by customer type'!$C$314" xr:uid="{00000000-0004-0000-0300-000092000000}"/>
    <hyperlink ref="F95" location="'ARP_Inputs by customer type'!A4" display="'" xr:uid="{00000000-0004-0000-0300-000093000000}"/>
    <hyperlink ref="G95" location="'ARP_Inputs by customer type'!$C$442" display="'ARP_Inputs by customer type'!$C$442" xr:uid="{00000000-0004-0000-0300-000094000000}"/>
    <hyperlink ref="F96" location="'ARP_Inputs by customer type'!A4" display="'" xr:uid="{00000000-0004-0000-0300-000095000000}"/>
    <hyperlink ref="G96" location="'ARP_Inputs by customer type'!$C$466" display="'ARP_Inputs by customer type'!$C$466" xr:uid="{00000000-0004-0000-0300-000096000000}"/>
    <hyperlink ref="F97" location="'ARP_Inputs by customer type'!A4" display="'" xr:uid="{00000000-0004-0000-0300-000097000000}"/>
    <hyperlink ref="G97" location="'ARP_Inputs by customer type'!$C$486" display="'ARP_Inputs by customer type'!$C$486" xr:uid="{00000000-0004-0000-0300-000098000000}"/>
    <hyperlink ref="F98" location="'ARP_Inputs by customer type'!A4" display="'" xr:uid="{00000000-0004-0000-0300-000099000000}"/>
    <hyperlink ref="G98" location="'ARP_Inputs by customer type'!$C$506" display="'ARP_Inputs by customer type'!$C$506" xr:uid="{00000000-0004-0000-0300-00009A000000}"/>
    <hyperlink ref="F99" location="'ARP_Inputs by network level'!A4" display="'" xr:uid="{00000000-0004-0000-0300-00009B000000}"/>
    <hyperlink ref="G99" location="'ARP_Inputs by network level'!$C$16" display="'ARP_Inputs by network level'!$C$16" xr:uid="{00000000-0004-0000-0300-00009C000000}"/>
    <hyperlink ref="F100" location="'ARP_Inputs by network level'!A4" display="'" xr:uid="{00000000-0004-0000-0300-00009D000000}"/>
    <hyperlink ref="G100" location="'ARP_Inputs by network level'!$C$30" display="'ARP_Inputs by network level'!$C$30" xr:uid="{00000000-0004-0000-0300-00009E000000}"/>
    <hyperlink ref="F101" location="'ARP_Inputs by network level'!A4" display="'" xr:uid="{00000000-0004-0000-0300-00009F000000}"/>
    <hyperlink ref="G101" location="'ARP_Inputs by network level'!$C$44" display="'ARP_Inputs by network level'!$C$44" xr:uid="{00000000-0004-0000-0300-0000A0000000}"/>
    <hyperlink ref="F102" location="'ARP_Inputs by network level'!A4" display="'" xr:uid="{00000000-0004-0000-0300-0000A1000000}"/>
    <hyperlink ref="G102" location="'ARP_Inputs by network level'!$C$58" display="'ARP_Inputs by network level'!$C$58" xr:uid="{00000000-0004-0000-0300-0000A2000000}"/>
    <hyperlink ref="F103" location="'ARP_Inputs by network level'!A4" display="'" xr:uid="{00000000-0004-0000-0300-0000A3000000}"/>
    <hyperlink ref="G103" location="'ARP_Inputs by network level'!$C$72" display="'ARP_Inputs by network level'!$C$72" xr:uid="{00000000-0004-0000-0300-0000A4000000}"/>
    <hyperlink ref="F104" location="'ARP_Inputs by network level'!A4" display="'" xr:uid="{00000000-0004-0000-0300-0000A5000000}"/>
    <hyperlink ref="G104" location="'ARP_Inputs by network level'!$C$120" display="'ARP_Inputs by network level'!$C$120" xr:uid="{00000000-0004-0000-0300-0000A6000000}"/>
    <hyperlink ref="F105" location="'ARP_Inputs by network level'!A4" display="'" xr:uid="{00000000-0004-0000-0300-0000A7000000}"/>
    <hyperlink ref="G105" location="'ARP_Inputs by network level'!$C$134" display="'ARP_Inputs by network level'!$C$134" xr:uid="{00000000-0004-0000-0300-0000A8000000}"/>
    <hyperlink ref="F106" location="'ARP_General inputs'!A4" display="'" xr:uid="{00000000-0004-0000-0300-0000A9000000}"/>
    <hyperlink ref="G106" location="'ARP_General inputs'!$C$16" display="'ARP_General inputs'!$C$16" xr:uid="{00000000-0004-0000-0300-0000AA000000}"/>
    <hyperlink ref="F107" location="'ARP_General inputs'!A4" display="'" xr:uid="{00000000-0004-0000-0300-0000AB000000}"/>
    <hyperlink ref="G107" location="'ARP_General inputs'!$C$28" display="'ARP_General inputs'!$C$28" xr:uid="{00000000-0004-0000-0300-0000AC000000}"/>
    <hyperlink ref="F108" location="'ARP_General inputs'!A4" display="'" xr:uid="{00000000-0004-0000-0300-0000AD000000}"/>
    <hyperlink ref="G108" location="'ARP_General inputs'!$C$38" display="'ARP_General inputs'!$C$38" xr:uid="{00000000-0004-0000-0300-0000AE000000}"/>
    <hyperlink ref="F109" location="'ARP_General inputs'!A4" display="'" xr:uid="{00000000-0004-0000-0300-0000AF000000}"/>
    <hyperlink ref="G109" location="'ARP_General inputs'!$C$98" display="'ARP_General inputs'!$C$98" xr:uid="{00000000-0004-0000-0300-0000B0000000}"/>
    <hyperlink ref="F110" location="'ARP_General inputs'!A4" display="'" xr:uid="{00000000-0004-0000-0300-0000B1000000}"/>
    <hyperlink ref="G110" location="'ARP_General inputs'!$C$103" display="'ARP_General inputs'!$C$103" xr:uid="{00000000-0004-0000-0300-0000B2000000}"/>
    <hyperlink ref="F111" location="'ARP_General inputs'!A4" display="'" xr:uid="{00000000-0004-0000-0300-0000B3000000}"/>
    <hyperlink ref="G111" location="'ARP_General inputs'!$C$107" display="'ARP_General inputs'!$C$107" xr:uid="{00000000-0004-0000-0300-0000B4000000}"/>
    <hyperlink ref="F112" location="'Fixed inputs'!A4" display="'" xr:uid="{00000000-0004-0000-0300-0000B5000000}"/>
    <hyperlink ref="G112" location="'Fixed inputs'!$C$13" display="'Fixed inputs'!$C$13" xr:uid="{00000000-0004-0000-0300-0000B6000000}"/>
    <hyperlink ref="F113" location="'Fixed inputs'!A4" display="'" xr:uid="{00000000-0004-0000-0300-0000B7000000}"/>
    <hyperlink ref="G113" location="'Fixed inputs'!$C$20" display="'Fixed inputs'!$C$20" xr:uid="{00000000-0004-0000-0300-0000B8000000}"/>
    <hyperlink ref="F114" location="'Fixed inputs'!A4" display="'" xr:uid="{00000000-0004-0000-0300-0000B9000000}"/>
    <hyperlink ref="G114" location="'Fixed inputs'!$C$33" display="'Fixed inputs'!$C$33" xr:uid="{00000000-0004-0000-0300-0000BA000000}"/>
    <hyperlink ref="F115" location="'Fixed inputs'!A4" display="'" xr:uid="{00000000-0004-0000-0300-0000BB000000}"/>
    <hyperlink ref="G115" location="'Fixed inputs'!$C$43" display="'Fixed inputs'!$C$43" xr:uid="{00000000-0004-0000-0300-0000BC000000}"/>
    <hyperlink ref="F116" location="'Fixed inputs'!A4" display="'" xr:uid="{00000000-0004-0000-0300-0000BD000000}"/>
    <hyperlink ref="G116" location="'Fixed inputs'!$C$84" display="'Fixed inputs'!$C$84" xr:uid="{00000000-0004-0000-0300-0000BE000000}"/>
    <hyperlink ref="F117" location="'Fixed inputs'!A4" display="'" xr:uid="{00000000-0004-0000-0300-0000BF000000}"/>
    <hyperlink ref="G117" location="'Fixed inputs'!$C$99" display="'Fixed inputs'!$C$99" xr:uid="{00000000-0004-0000-0300-0000C0000000}"/>
    <hyperlink ref="F118" location="'Fixed inputs'!A4" display="'" xr:uid="{00000000-0004-0000-0300-0000C1000000}"/>
    <hyperlink ref="G118" location="'Fixed inputs'!$C$141" display="'Fixed inputs'!$C$141" xr:uid="{00000000-0004-0000-0300-0000C2000000}"/>
    <hyperlink ref="F119" location="'Fixed inputs'!A4" display="'" xr:uid="{00000000-0004-0000-0300-0000C3000000}"/>
    <hyperlink ref="G119" location="'Fixed inputs'!$C$151" display="'Fixed inputs'!$C$151" xr:uid="{00000000-0004-0000-0300-0000C4000000}"/>
    <hyperlink ref="F120" location="'Fixed inputs'!A4" display="'" xr:uid="{00000000-0004-0000-0300-0000C5000000}"/>
    <hyperlink ref="G120" location="'Fixed inputs'!$C$155" display="'Fixed inputs'!$C$155" xr:uid="{00000000-0004-0000-0300-0000C6000000}"/>
    <hyperlink ref="F121" location="'Inputs by customer type'!A4" display="'" xr:uid="{00000000-0004-0000-0300-0000C7000000}"/>
    <hyperlink ref="G121" location="'Inputs by customer type'!$C$16" display="'Inputs by customer type'!$C$16" xr:uid="{00000000-0004-0000-0300-0000C8000000}"/>
    <hyperlink ref="F122" location="'Inputs by customer type'!A4" display="'" xr:uid="{00000000-0004-0000-0300-0000C9000000}"/>
    <hyperlink ref="G122" location="'Inputs by customer type'!$C$21" display="'Inputs by customer type'!$C$21" xr:uid="{00000000-0004-0000-0300-0000CA000000}"/>
    <hyperlink ref="F123" location="'Inputs by customer type'!A4" display="'" xr:uid="{00000000-0004-0000-0300-0000CB000000}"/>
    <hyperlink ref="G123" location="'Inputs by customer type'!$C$52" display="'Inputs by customer type'!$C$52" xr:uid="{00000000-0004-0000-0300-0000CC000000}"/>
    <hyperlink ref="F124" location="'Inputs by network level'!A4" display="'" xr:uid="{00000000-0004-0000-0300-0000CD000000}"/>
    <hyperlink ref="G124" location="'Inputs by network level'!$C$16" display="'Inputs by network level'!$C$16" xr:uid="{00000000-0004-0000-0300-0000CE000000}"/>
    <hyperlink ref="F125" location="'Inputs by network level'!A4" display="'" xr:uid="{00000000-0004-0000-0300-0000CF000000}"/>
    <hyperlink ref="G125" location="'Inputs by network level'!$C$26" display="'Inputs by network level'!$C$26" xr:uid="{00000000-0004-0000-0300-0000D0000000}"/>
    <hyperlink ref="F126" location="'Inputs by network level'!A4" display="'" xr:uid="{00000000-0004-0000-0300-0000D1000000}"/>
    <hyperlink ref="G126" location="'Inputs by network level'!$C$34" display="'Inputs by network level'!$C$34" xr:uid="{00000000-0004-0000-0300-0000D2000000}"/>
    <hyperlink ref="F127" location="'Inputs by network level'!A4" display="'" xr:uid="{00000000-0004-0000-0300-0000D3000000}"/>
    <hyperlink ref="G127" location="'Inputs by network level'!$C$38" display="'Inputs by network level'!$C$38" xr:uid="{00000000-0004-0000-0300-0000D4000000}"/>
    <hyperlink ref="F128" location="'General inputs'!A4" display="'" xr:uid="{00000000-0004-0000-0300-0000D5000000}"/>
    <hyperlink ref="G128" location="'General inputs'!$C$16" display="'General inputs'!$C$16" xr:uid="{00000000-0004-0000-0300-0000D6000000}"/>
    <hyperlink ref="F129" location="'General inputs'!A4" display="'" xr:uid="{00000000-0004-0000-0300-0000D7000000}"/>
    <hyperlink ref="G129" location="'General inputs'!$C$28" display="'General inputs'!$C$28" xr:uid="{00000000-0004-0000-0300-0000D8000000}"/>
    <hyperlink ref="F130" location="'General inputs'!A4" display="'" xr:uid="{00000000-0004-0000-0300-0000D9000000}"/>
    <hyperlink ref="G130" location="'General inputs'!$C$38" display="'General inputs'!$C$38" xr:uid="{00000000-0004-0000-0300-0000DA000000}"/>
    <hyperlink ref="F131" location="'General inputs'!A4" display="'" xr:uid="{00000000-0004-0000-0300-0000DB000000}"/>
    <hyperlink ref="G131" location="'General inputs'!$C$92" display="'General inputs'!$C$92" xr:uid="{00000000-0004-0000-0300-0000DC000000}"/>
    <hyperlink ref="F132" location="'General inputs'!A4" display="'" xr:uid="{00000000-0004-0000-0300-0000DD000000}"/>
    <hyperlink ref="G132" location="'General inputs'!$C$98" display="'General inputs'!$C$98" xr:uid="{00000000-0004-0000-0300-0000DE000000}"/>
    <hyperlink ref="F133" location="'General inputs'!A4" display="'" xr:uid="{00000000-0004-0000-0300-0000DF000000}"/>
    <hyperlink ref="G133" location="'General inputs'!$C$102" display="'General inputs'!$C$102" xr:uid="{00000000-0004-0000-0300-0000E0000000}"/>
    <hyperlink ref="F134" location="'Standing charge factors'!A4" display="'" xr:uid="{00000000-0004-0000-0300-0000E1000000}"/>
    <hyperlink ref="G134" location="'Standing charge factors'!$C$19" display="'Standing charge factors'!$C$19" xr:uid="{00000000-0004-0000-0300-0000E2000000}"/>
    <hyperlink ref="F135" location="'Load &amp; loss characteristics'!A4" display="'" xr:uid="{00000000-0004-0000-0300-0000E3000000}"/>
    <hyperlink ref="G135" location="'Load &amp; loss characteristics'!$C$17" display="'Load &amp; loss characteristics'!$C$17" xr:uid="{00000000-0004-0000-0300-0000E4000000}"/>
    <hyperlink ref="F136" location="'Load &amp; loss characteristics'!A4" display="'" xr:uid="{00000000-0004-0000-0300-0000E5000000}"/>
    <hyperlink ref="G136" location="'Load &amp; loss characteristics'!$C$25" display="'Load &amp; loss characteristics'!$C$25" xr:uid="{00000000-0004-0000-0300-0000E6000000}"/>
    <hyperlink ref="F137" location="'Load &amp; loss characteristics'!A4" display="'" xr:uid="{00000000-0004-0000-0300-0000E7000000}"/>
    <hyperlink ref="G137" location="'Load &amp; loss characteristics'!$C$35" display="'Load &amp; loss characteristics'!$C$35" xr:uid="{00000000-0004-0000-0300-0000E8000000}"/>
    <hyperlink ref="F138" location="'Load &amp; loss characteristics'!A4" display="'" xr:uid="{00000000-0004-0000-0300-0000E9000000}"/>
    <hyperlink ref="G138" location="'Load &amp; loss characteristics'!$C$40" display="'Load &amp; loss characteristics'!$C$40" xr:uid="{00000000-0004-0000-0300-0000EA000000}"/>
    <hyperlink ref="F139" location="'Load &amp; loss characteristics'!A4" display="'" xr:uid="{00000000-0004-0000-0300-0000EB000000}"/>
    <hyperlink ref="G139" location="'Load &amp; loss characteristics'!$C$121" display="'Load &amp; loss characteristics'!$C$121" xr:uid="{00000000-0004-0000-0300-0000EC000000}"/>
    <hyperlink ref="F140" location="'Customer contributions'!A4" display="'" xr:uid="{00000000-0004-0000-0300-0000ED000000}"/>
    <hyperlink ref="G140" location="'Customer contributions'!$C$16" display="'Customer contributions'!$C$16" xr:uid="{00000000-0004-0000-0300-0000EE000000}"/>
    <hyperlink ref="F141" location="'Customer contributions'!A4" display="'" xr:uid="{00000000-0004-0000-0300-0000EF000000}"/>
    <hyperlink ref="G141" location="'Customer contributions'!$C$38" display="'Customer contributions'!$C$38" xr:uid="{00000000-0004-0000-0300-0000F0000000}"/>
    <hyperlink ref="F142" location="'Volume adjustments'!A4" display="'" xr:uid="{00000000-0004-0000-0300-0000F1000000}"/>
    <hyperlink ref="G142" location="'Volume adjustments'!$C$15" display="'Volume adjustments'!$C$15" xr:uid="{00000000-0004-0000-0300-0000F2000000}"/>
    <hyperlink ref="F143" location="'Volume adjustments'!A4" display="'" xr:uid="{00000000-0004-0000-0300-0000F3000000}"/>
    <hyperlink ref="G143" location="'Volume adjustments'!$C$55" display="'Volume adjustments'!$C$55" xr:uid="{00000000-0004-0000-0300-0000F4000000}"/>
    <hyperlink ref="F144" location="'Pseudo-load coefficients'!A4" display="'" xr:uid="{00000000-0004-0000-0300-0000F5000000}"/>
    <hyperlink ref="G144" location="'Pseudo-load coefficients'!$C$18" display="'Pseudo-load coefficients'!$C$18" xr:uid="{00000000-0004-0000-0300-0000F6000000}"/>
    <hyperlink ref="F145" location="'Pseudo-load coefficients'!A4" display="'" xr:uid="{00000000-0004-0000-0300-0000F7000000}"/>
    <hyperlink ref="G145" location="'Pseudo-load coefficients'!$C$28" display="'Pseudo-load coefficients'!$C$28" xr:uid="{00000000-0004-0000-0300-0000F8000000}"/>
    <hyperlink ref="F146" location="'Pseudo-load coefficients'!A4" display="'" xr:uid="{00000000-0004-0000-0300-0000F9000000}"/>
    <hyperlink ref="G146" location="'Pseudo-load coefficients'!$C$36" display="'Pseudo-load coefficients'!$C$36" xr:uid="{00000000-0004-0000-0300-0000FA000000}"/>
    <hyperlink ref="F147" location="'Pseudo-load coefficients'!A4" display="'" xr:uid="{00000000-0004-0000-0300-0000FB000000}"/>
    <hyperlink ref="G147" location="'Pseudo-load coefficients'!$C$52" display="'Pseudo-load coefficients'!$C$52" xr:uid="{00000000-0004-0000-0300-0000FC000000}"/>
    <hyperlink ref="F148" location="'Pseudo-load coefficients'!A4" display="'" xr:uid="{00000000-0004-0000-0300-0000FD000000}"/>
    <hyperlink ref="G148" location="'Pseudo-load coefficients'!$C$60" display="'Pseudo-load coefficients'!$C$60" xr:uid="{00000000-0004-0000-0300-0000FE000000}"/>
    <hyperlink ref="F149" location="'Pseudo-load coefficients'!A4" display="'" xr:uid="{00000000-0004-0000-0300-0000FF000000}"/>
    <hyperlink ref="G149" location="'Pseudo-load coefficients'!$C$65" display="'Pseudo-load coefficients'!$C$65" xr:uid="{00000000-0004-0000-0300-000000010000}"/>
    <hyperlink ref="F150" location="'Pseudo-load coefficients'!A4" display="'" xr:uid="{00000000-0004-0000-0300-000001010000}"/>
    <hyperlink ref="G150" location="'Pseudo-load coefficients'!$C$87" display="'Pseudo-load coefficients'!$C$87" xr:uid="{00000000-0004-0000-0300-000002010000}"/>
    <hyperlink ref="F151" location="'Pseudo-load coefficients'!A4" display="'" xr:uid="{00000000-0004-0000-0300-000003010000}"/>
    <hyperlink ref="G151" location="'Pseudo-load coefficients'!$C$100" display="'Pseudo-load coefficients'!$C$100" xr:uid="{00000000-0004-0000-0300-000004010000}"/>
    <hyperlink ref="F152" location="'Pseudo-load coefficients'!A4" display="'" xr:uid="{00000000-0004-0000-0300-000005010000}"/>
    <hyperlink ref="G152" location="'Pseudo-load coefficients'!$C$174" display="'Pseudo-load coefficients'!$C$174" xr:uid="{00000000-0004-0000-0300-000006010000}"/>
    <hyperlink ref="F153" location="'Pseudo-load coefficients'!A4" display="'" xr:uid="{00000000-0004-0000-0300-000007010000}"/>
    <hyperlink ref="G153" location="'Pseudo-load coefficients'!$C$221" display="'Pseudo-load coefficients'!$C$221" xr:uid="{00000000-0004-0000-0300-000008010000}"/>
    <hyperlink ref="F154" location="'Pseudo-load coefficients'!A4" display="'" xr:uid="{00000000-0004-0000-0300-000009010000}"/>
    <hyperlink ref="G154" location="'Pseudo-load coefficients'!$C$265" display="'Pseudo-load coefficients'!$C$265" xr:uid="{00000000-0004-0000-0300-00000A010000}"/>
    <hyperlink ref="F155" location="'Pseudo-load coefficients'!A4" display="'" xr:uid="{00000000-0004-0000-0300-00000B010000}"/>
    <hyperlink ref="G155" location="'Pseudo-load coefficients'!$C$269" display="'Pseudo-load coefficients'!$C$269" xr:uid="{00000000-0004-0000-0300-00000C010000}"/>
    <hyperlink ref="F156" location="'System peak demand'!A4" display="'" xr:uid="{00000000-0004-0000-0300-00000D010000}"/>
    <hyperlink ref="G156" location="'System peak demand'!$C$18" display="'System peak demand'!$C$18" xr:uid="{00000000-0004-0000-0300-00000E010000}"/>
    <hyperlink ref="F157" location="'System peak demand'!A4" display="'" xr:uid="{00000000-0004-0000-0300-00000F010000}"/>
    <hyperlink ref="G157" location="'System peak demand'!$C$67" display="'System peak demand'!$C$67" xr:uid="{00000000-0004-0000-0300-000010010000}"/>
    <hyperlink ref="F158" location="'System peak demand'!A4" display="'" xr:uid="{00000000-0004-0000-0300-000011010000}"/>
    <hyperlink ref="G158" location="'System peak demand'!$C$138" display="'System peak demand'!$C$138" xr:uid="{00000000-0004-0000-0300-000012010000}"/>
    <hyperlink ref="F159" location="'System peak demand'!A4" display="'" xr:uid="{00000000-0004-0000-0300-000013010000}"/>
    <hyperlink ref="G159" location="'System peak demand'!$C$164" display="'System peak demand'!$C$164" xr:uid="{00000000-0004-0000-0300-000014010000}"/>
    <hyperlink ref="F160" location="'System peak demand'!A4" display="'" xr:uid="{00000000-0004-0000-0300-000015010000}"/>
    <hyperlink ref="G160" location="'System peak demand'!$C$184" display="'System peak demand'!$C$184" xr:uid="{00000000-0004-0000-0300-000016010000}"/>
    <hyperlink ref="F161" location="'System peak demand'!A4" display="'" xr:uid="{00000000-0004-0000-0300-000017010000}"/>
    <hyperlink ref="G161" location="'System peak demand'!$C$194" display="'System peak demand'!$C$194" xr:uid="{00000000-0004-0000-0300-000018010000}"/>
    <hyperlink ref="F162" location="'System peak demand'!A4" display="'" xr:uid="{00000000-0004-0000-0300-000019010000}"/>
    <hyperlink ref="G162" location="'System peak demand'!$C$236" display="'System peak demand'!$C$236" xr:uid="{00000000-0004-0000-0300-00001A010000}"/>
    <hyperlink ref="F163" location="'System peak demand'!A4" display="'" xr:uid="{00000000-0004-0000-0300-00001B010000}"/>
    <hyperlink ref="G163" location="'System peak demand'!$C$249" display="'System peak demand'!$C$249" xr:uid="{00000000-0004-0000-0300-00001C010000}"/>
    <hyperlink ref="F164" location="'System peak demand'!A4" display="'" xr:uid="{00000000-0004-0000-0300-00001D010000}"/>
    <hyperlink ref="G164" location="'System peak demand'!$C$266" display="'System peak demand'!$C$266" xr:uid="{00000000-0004-0000-0300-00001E010000}"/>
    <hyperlink ref="F165" location="'Service model assets'!A4" display="'" xr:uid="{00000000-0004-0000-0300-00001F010000}"/>
    <hyperlink ref="G165" location="'Service model assets'!$C$14" display="'Service model assets'!$C$14" xr:uid="{00000000-0004-0000-0300-000020010000}"/>
    <hyperlink ref="F166" location="'Unit costs'!A4" display="'" xr:uid="{00000000-0004-0000-0300-000021010000}"/>
    <hyperlink ref="G166" location="'Unit costs'!$C$19" display="'Unit costs'!$C$19" xr:uid="{00000000-0004-0000-0300-000022010000}"/>
    <hyperlink ref="F167" location="'Unit costs'!A4" display="'" xr:uid="{00000000-0004-0000-0300-000023010000}"/>
    <hyperlink ref="G167" location="'Unit costs'!$C$27" display="'Unit costs'!$C$27" xr:uid="{00000000-0004-0000-0300-000024010000}"/>
    <hyperlink ref="F168" location="'Unit costs'!A4" display="'" xr:uid="{00000000-0004-0000-0300-000025010000}"/>
    <hyperlink ref="G168" location="'Unit costs'!$C$35" display="'Unit costs'!$C$35" xr:uid="{00000000-0004-0000-0300-000026010000}"/>
    <hyperlink ref="F169" location="'Unit costs'!A4" display="'" xr:uid="{00000000-0004-0000-0300-000027010000}"/>
    <hyperlink ref="G169" location="'Unit costs'!$C$42" display="'Unit costs'!$C$42" xr:uid="{00000000-0004-0000-0300-000028010000}"/>
    <hyperlink ref="F170" location="'Unit costs'!A4" display="'" xr:uid="{00000000-0004-0000-0300-000029010000}"/>
    <hyperlink ref="G170" location="'Unit costs'!$C$50" display="'Unit costs'!$C$50" xr:uid="{00000000-0004-0000-0300-00002A010000}"/>
    <hyperlink ref="F171" location="'Unit costs'!A4" display="'" xr:uid="{00000000-0004-0000-0300-00002B010000}"/>
    <hyperlink ref="G171" location="'Unit costs'!$C$62" display="'Unit costs'!$C$62" xr:uid="{00000000-0004-0000-0300-00002C010000}"/>
    <hyperlink ref="F172" location="'Unit costs'!A4" display="'" xr:uid="{00000000-0004-0000-0300-00002D010000}"/>
    <hyperlink ref="G172" location="'Unit costs'!$C$69" display="'Unit costs'!$C$69" xr:uid="{00000000-0004-0000-0300-00002E010000}"/>
    <hyperlink ref="F173" location="'Unit costs'!A4" display="'" xr:uid="{00000000-0004-0000-0300-00002F010000}"/>
    <hyperlink ref="G173" location="'Unit costs'!$C$80" display="'Unit costs'!$C$80" xr:uid="{00000000-0004-0000-0300-000030010000}"/>
    <hyperlink ref="F174" location="'Unit costs'!A4" display="'" xr:uid="{00000000-0004-0000-0300-000031010000}"/>
    <hyperlink ref="G174" location="'Unit costs'!$C$92" display="'Unit costs'!$C$92" xr:uid="{00000000-0004-0000-0300-000032010000}"/>
    <hyperlink ref="F175" location="'Unit costs'!A4" display="'" xr:uid="{00000000-0004-0000-0300-000033010000}"/>
    <hyperlink ref="G175" location="'Unit costs'!$C$104" display="'Unit costs'!$C$104" xr:uid="{00000000-0004-0000-0300-000034010000}"/>
    <hyperlink ref="F176" location="'Unit costs'!A4" display="'" xr:uid="{00000000-0004-0000-0300-000035010000}"/>
    <hyperlink ref="G176" location="'Unit costs'!$C$110" display="'Unit costs'!$C$110" xr:uid="{00000000-0004-0000-0300-000036010000}"/>
    <hyperlink ref="F177" location="'Unit costs'!A4" display="'" xr:uid="{00000000-0004-0000-0300-000037010000}"/>
    <hyperlink ref="G177" location="'Unit costs'!$C$117" display="'Unit costs'!$C$117" xr:uid="{00000000-0004-0000-0300-000038010000}"/>
    <hyperlink ref="F178" location="'Initial unit rates'!A4" display="'" xr:uid="{00000000-0004-0000-0300-000039010000}"/>
    <hyperlink ref="G178" location="'Initial unit rates'!$C$13" display="'Initial unit rates'!$C$13" xr:uid="{00000000-0004-0000-0300-00003A010000}"/>
    <hyperlink ref="F179" location="'Initial unit rates'!A4" display="'" xr:uid="{00000000-0004-0000-0300-00003B010000}"/>
    <hyperlink ref="G179" location="'Initial unit rates'!$C$118" display="'Initial unit rates'!$C$118" xr:uid="{00000000-0004-0000-0300-00003C010000}"/>
    <hyperlink ref="F180" location="'Initial unit rates'!A4" display="'" xr:uid="{00000000-0004-0000-0300-00003D010000}"/>
    <hyperlink ref="G180" location="'Initial unit rates'!$C$146" display="'Initial unit rates'!$C$146" xr:uid="{00000000-0004-0000-0300-00003E010000}"/>
    <hyperlink ref="F181" location="'Initial unit rates'!A4" display="'" xr:uid="{00000000-0004-0000-0300-00003F010000}"/>
    <hyperlink ref="G181" location="'Initial unit rates'!$C$175" display="'Initial unit rates'!$C$175" xr:uid="{00000000-0004-0000-0300-000040010000}"/>
    <hyperlink ref="F182" location="'Initial unit rates'!A4" display="'" xr:uid="{00000000-0004-0000-0300-000041010000}"/>
    <hyperlink ref="G182" location="'Initial unit rates'!$C$204" display="'Initial unit rates'!$C$204" xr:uid="{00000000-0004-0000-0300-000042010000}"/>
    <hyperlink ref="F183" location="'Service model charges'!A4" display="'" xr:uid="{00000000-0004-0000-0300-000043010000}"/>
    <hyperlink ref="G183" location="'Service model charges'!$C$17" display="'Service model charges'!$C$17" xr:uid="{00000000-0004-0000-0300-000044010000}"/>
    <hyperlink ref="F184" location="'Service model charges'!A4" display="'" xr:uid="{00000000-0004-0000-0300-000045010000}"/>
    <hyperlink ref="G184" location="'Service model charges'!$C$33" display="'Service model charges'!$C$33" xr:uid="{00000000-0004-0000-0300-000046010000}"/>
    <hyperlink ref="F185" location="'Service model charges'!A4" display="'" xr:uid="{00000000-0004-0000-0300-000047010000}"/>
    <hyperlink ref="G185" location="'Service model charges'!$C$37" display="'Service model charges'!$C$37" xr:uid="{00000000-0004-0000-0300-000048010000}"/>
    <hyperlink ref="F186" location="'Unit rate charges'!A4" display="'" xr:uid="{00000000-0004-0000-0300-000049010000}"/>
    <hyperlink ref="G186" location="'Unit rate charges'!$C$19" display="'Unit rate charges'!$C$19" xr:uid="{00000000-0004-0000-0300-00004A010000}"/>
    <hyperlink ref="F187" location="'Unit rate charges'!A4" display="'" xr:uid="{00000000-0004-0000-0300-00004B010000}"/>
    <hyperlink ref="G187" location="'Unit rate charges'!$C$49" display="'Unit rate charges'!$C$49" xr:uid="{00000000-0004-0000-0300-00004C010000}"/>
    <hyperlink ref="F188" location="'Unit rate charges'!A4" display="'" xr:uid="{00000000-0004-0000-0300-00004D010000}"/>
    <hyperlink ref="G188" location="'Unit rate charges'!$C$79" display="'Unit rate charges'!$C$79" xr:uid="{00000000-0004-0000-0300-00004E010000}"/>
    <hyperlink ref="F189" location="'Unit rate charges'!A4" display="'" xr:uid="{00000000-0004-0000-0300-00004F010000}"/>
    <hyperlink ref="G189" location="'Unit rate charges'!$C$109" display="'Unit rate charges'!$C$109" xr:uid="{00000000-0004-0000-0300-000050010000}"/>
    <hyperlink ref="F190" location="'Unit rate charges'!A4" display="'" xr:uid="{00000000-0004-0000-0300-000051010000}"/>
    <hyperlink ref="G190" location="'Unit rate charges'!$C$124" display="'Unit rate charges'!$C$124" xr:uid="{00000000-0004-0000-0300-000052010000}"/>
    <hyperlink ref="F191" location="'Unit rate charges'!A4" display="'" xr:uid="{00000000-0004-0000-0300-000053010000}"/>
    <hyperlink ref="G191" location="'Unit rate charges'!$C$154" display="'Unit rate charges'!$C$154" xr:uid="{00000000-0004-0000-0300-000054010000}"/>
    <hyperlink ref="F192" location="'Unit rate charges'!A4" display="'" xr:uid="{00000000-0004-0000-0300-000055010000}"/>
    <hyperlink ref="G192" location="'Unit rate charges'!$C$184" display="'Unit rate charges'!$C$184" xr:uid="{00000000-0004-0000-0300-000056010000}"/>
    <hyperlink ref="F193" location="'Unit rate charges'!A4" display="'" xr:uid="{00000000-0004-0000-0300-000057010000}"/>
    <hyperlink ref="G193" location="'Unit rate charges'!$C$214" display="'Unit rate charges'!$C$214" xr:uid="{00000000-0004-0000-0300-000058010000}"/>
    <hyperlink ref="F194" location="'Reactive power charges'!A4" display="'" xr:uid="{00000000-0004-0000-0300-000059010000}"/>
    <hyperlink ref="G194" location="'Reactive power charges'!$C$17" display="'Reactive power charges'!$C$17" xr:uid="{00000000-0004-0000-0300-00005A010000}"/>
    <hyperlink ref="F195" location="'Reactive power charges'!A4" display="'" xr:uid="{00000000-0004-0000-0300-00005B010000}"/>
    <hyperlink ref="G195" location="'Reactive power charges'!$C$120" display="'Reactive power charges'!$C$120" xr:uid="{00000000-0004-0000-0300-00005C010000}"/>
    <hyperlink ref="F196" location="'Reactive power charges'!A4" display="'" xr:uid="{00000000-0004-0000-0300-00005D010000}"/>
    <hyperlink ref="G196" location="'Reactive power charges'!$C$155" display="'Reactive power charges'!$C$155" xr:uid="{00000000-0004-0000-0300-00005E010000}"/>
    <hyperlink ref="F197" location="'Reactive power charges'!A4" display="'" xr:uid="{00000000-0004-0000-0300-00005F010000}"/>
    <hyperlink ref="G197" location="'Reactive power charges'!$C$190" display="'Reactive power charges'!$C$190" xr:uid="{00000000-0004-0000-0300-000060010000}"/>
    <hyperlink ref="F198" location="'Reactive power charges'!A4" display="'" xr:uid="{00000000-0004-0000-0300-000061010000}"/>
    <hyperlink ref="G198" location="'Reactive power charges'!$C$220" display="'Reactive power charges'!$C$220" xr:uid="{00000000-0004-0000-0300-000062010000}"/>
    <hyperlink ref="F199" location="'Capacity charges'!A4" display="'" xr:uid="{00000000-0004-0000-0300-000063010000}"/>
    <hyperlink ref="G199" location="'Capacity charges'!$C$19" display="'Capacity charges'!$C$19" xr:uid="{00000000-0004-0000-0300-000064010000}"/>
    <hyperlink ref="F200" location="'Capacity charges'!A4" display="'" xr:uid="{00000000-0004-0000-0300-000065010000}"/>
    <hyperlink ref="G200" location="'Capacity charges'!$C$129" display="'Capacity charges'!$C$129" xr:uid="{00000000-0004-0000-0300-000066010000}"/>
    <hyperlink ref="F201" location="'Capacity charges'!A4" display="'" xr:uid="{00000000-0004-0000-0300-000067010000}"/>
    <hyperlink ref="G201" location="'Capacity charges'!$C$159" display="'Capacity charges'!$C$159" xr:uid="{00000000-0004-0000-0300-000068010000}"/>
    <hyperlink ref="F202" location="'Capacity charges'!A4" display="'" xr:uid="{00000000-0004-0000-0300-000069010000}"/>
    <hyperlink ref="G202" location="'Capacity charges'!$C$189" display="'Capacity charges'!$C$189" xr:uid="{00000000-0004-0000-0300-00006A010000}"/>
    <hyperlink ref="F203" location="'Capacity charges'!A4" display="'" xr:uid="{00000000-0004-0000-0300-00006B010000}"/>
    <hyperlink ref="G203" location="'Capacity charges'!$C$219" display="'Capacity charges'!$C$219" xr:uid="{00000000-0004-0000-0300-00006C010000}"/>
    <hyperlink ref="F204" location="'Capacity charges'!A4" display="'" xr:uid="{00000000-0004-0000-0300-00006D010000}"/>
    <hyperlink ref="G204" location="'Capacity charges'!$C$254" display="'Capacity charges'!$C$254" xr:uid="{00000000-0004-0000-0300-00006E010000}"/>
    <hyperlink ref="F205" location="'Capacity charges'!A4" display="'" xr:uid="{00000000-0004-0000-0300-00006F010000}"/>
    <hyperlink ref="G205" location="'Capacity charges'!$C$259" display="'Capacity charges'!$C$259" xr:uid="{00000000-0004-0000-0300-000070010000}"/>
    <hyperlink ref="F206" location="'Fixed charges'!A4" display="'" xr:uid="{00000000-0004-0000-0300-000071010000}"/>
    <hyperlink ref="G206" location="'Fixed charges'!$C$16" display="'Fixed charges'!$C$16" xr:uid="{00000000-0004-0000-0300-000072010000}"/>
    <hyperlink ref="F207" location="'Fixed charges'!A4" display="'" xr:uid="{00000000-0004-0000-0300-000073010000}"/>
    <hyperlink ref="G207" location="'Fixed charges'!$C$22" display="'Fixed charges'!$C$22" xr:uid="{00000000-0004-0000-0300-000074010000}"/>
    <hyperlink ref="F208" location="'Fixed charges'!A4" display="'" xr:uid="{00000000-0004-0000-0300-000075010000}"/>
    <hyperlink ref="G208" location="'Fixed charges'!$C$52" display="'Fixed charges'!$C$52" xr:uid="{00000000-0004-0000-0300-000076010000}"/>
    <hyperlink ref="F209" location="'Fixed charges'!A4" display="'" xr:uid="{00000000-0004-0000-0300-000077010000}"/>
    <hyperlink ref="G209" location="'Fixed charges'!$C$58" display="'Fixed charges'!$C$58" xr:uid="{00000000-0004-0000-0300-000078010000}"/>
    <hyperlink ref="F210" location="'Fixed charges'!A4" display="'" xr:uid="{00000000-0004-0000-0300-000079010000}"/>
    <hyperlink ref="G210" location="'Fixed charges'!$C$67" display="'Fixed charges'!$C$67" xr:uid="{00000000-0004-0000-0300-00007A010000}"/>
    <hyperlink ref="F211" location="'Fixed charges'!A4" display="'" xr:uid="{00000000-0004-0000-0300-00007B010000}"/>
    <hyperlink ref="G211" location="'Fixed charges'!$C$97" display="'Fixed charges'!$C$97" xr:uid="{00000000-0004-0000-0300-00007C010000}"/>
    <hyperlink ref="F212" location="'Fixed charges'!A4" display="'" xr:uid="{00000000-0004-0000-0300-00007D010000}"/>
    <hyperlink ref="G212" location="'Fixed charges'!$C$127" display="'Fixed charges'!$C$127" xr:uid="{00000000-0004-0000-0300-00007E010000}"/>
    <hyperlink ref="F213" location="'Fixed charges'!A4" display="'" xr:uid="{00000000-0004-0000-0300-00007F010000}"/>
    <hyperlink ref="G213" location="'Fixed charges'!$C$159" display="'Fixed charges'!$C$159" xr:uid="{00000000-0004-0000-0300-000080010000}"/>
    <hyperlink ref="F214" location="'Revenue matching'!A4" display="'" xr:uid="{00000000-0004-0000-0300-000081010000}"/>
    <hyperlink ref="G214" location="'Revenue matching'!$C$15" display="'Revenue matching'!$C$15" xr:uid="{00000000-0004-0000-0300-000082010000}"/>
    <hyperlink ref="F215" location="'Revenue matching'!A4" display="'" xr:uid="{00000000-0004-0000-0300-000083010000}"/>
    <hyperlink ref="G215" location="'Revenue matching'!$C$45" display="'Revenue matching'!$C$45" xr:uid="{00000000-0004-0000-0300-000084010000}"/>
    <hyperlink ref="F216" location="'Revenue matching'!A4" display="'" xr:uid="{00000000-0004-0000-0300-000085010000}"/>
    <hyperlink ref="G216" location="'Revenue matching'!$C$68" display="'Revenue matching'!$C$68" xr:uid="{00000000-0004-0000-0300-000086010000}"/>
    <hyperlink ref="F217" location="'Revenue matching'!A4" display="'" xr:uid="{00000000-0004-0000-0300-000087010000}"/>
    <hyperlink ref="G217" location="'Revenue matching'!$C$92" display="'Revenue matching'!$C$92" xr:uid="{00000000-0004-0000-0300-000088010000}"/>
    <hyperlink ref="F218" location="'Revenue matching'!A4" display="'" xr:uid="{00000000-0004-0000-0300-000089010000}"/>
    <hyperlink ref="G218" location="'Revenue matching'!$C$131" display="'Revenue matching'!$C$131" xr:uid="{00000000-0004-0000-0300-00008A010000}"/>
    <hyperlink ref="F219" location="'Fixed charge adder'!A4" display="'" xr:uid="{00000000-0004-0000-0300-00008B010000}"/>
    <hyperlink ref="G219" location="'Fixed charge adder'!$C$16" display="'Fixed charge adder'!$C$16" xr:uid="{00000000-0004-0000-0300-00008C010000}"/>
    <hyperlink ref="F220" location="'Fixed charge adder'!A4" display="'" xr:uid="{00000000-0004-0000-0300-00008D010000}"/>
    <hyperlink ref="G220" location="'Fixed charge adder'!$C$33" display="'Fixed charge adder'!$C$33" xr:uid="{00000000-0004-0000-0300-00008E010000}"/>
    <hyperlink ref="F221" location="'Fixed charge adder'!A4" display="'" xr:uid="{00000000-0004-0000-0300-00008F010000}"/>
    <hyperlink ref="G221" location="'Fixed charge adder'!$C$48" display="'Fixed charge adder'!$C$48" xr:uid="{00000000-0004-0000-0300-000090010000}"/>
    <hyperlink ref="F222" location="'Rounding'!A4" display="'" xr:uid="{00000000-0004-0000-0300-000091010000}"/>
    <hyperlink ref="G222" location="'Rounding'!$C$16" display="'Rounding'!$C$16" xr:uid="{00000000-0004-0000-0300-000092010000}"/>
    <hyperlink ref="F223" location="'Rounding'!A4" display="'" xr:uid="{00000000-0004-0000-0300-000093010000}"/>
    <hyperlink ref="G223" location="'Rounding'!$C$28" display="'Rounding'!$C$28" xr:uid="{00000000-0004-0000-0300-000094010000}"/>
    <hyperlink ref="F224" location="'Rounding'!A4" display="'" xr:uid="{00000000-0004-0000-0300-000095010000}"/>
    <hyperlink ref="G224" location="'Rounding'!$C$40" display="'Rounding'!$C$40" xr:uid="{00000000-0004-0000-0300-000096010000}"/>
    <hyperlink ref="F225" location="'Rounding'!A4" display="'" xr:uid="{00000000-0004-0000-0300-000097010000}"/>
    <hyperlink ref="G225" location="'Rounding'!$C$52" display="'Rounding'!$C$52" xr:uid="{00000000-0004-0000-0300-000098010000}"/>
    <hyperlink ref="F226" location="'Rounding'!A4" display="'" xr:uid="{00000000-0004-0000-0300-000099010000}"/>
    <hyperlink ref="G226" location="'Rounding'!$C$72" display="'Rounding'!$C$72" xr:uid="{00000000-0004-0000-0300-00009A010000}"/>
    <hyperlink ref="F227" location="'Rounding'!A4" display="'" xr:uid="{00000000-0004-0000-0300-00009B010000}"/>
    <hyperlink ref="G227" location="'Rounding'!$C$87" display="'Rounding'!$C$87" xr:uid="{00000000-0004-0000-0300-00009C010000}"/>
    <hyperlink ref="F228" location="'Rounding'!A4" display="'" xr:uid="{00000000-0004-0000-0300-00009D010000}"/>
    <hyperlink ref="G228" location="'Rounding'!$C$98" display="'Rounding'!$C$98" xr:uid="{00000000-0004-0000-0300-00009E010000}"/>
    <hyperlink ref="F229" location="'Rounding'!A4" display="'" xr:uid="{00000000-0004-0000-0300-00009F010000}"/>
    <hyperlink ref="G229" location="'Rounding'!$C$127" display="'Rounding'!$C$127" xr:uid="{00000000-0004-0000-0300-0000A0010000}"/>
    <hyperlink ref="F230" location="'Net revenue summary'!A4" display="'" xr:uid="{00000000-0004-0000-0300-0000A1010000}"/>
    <hyperlink ref="G230" location="'Net revenue summary'!$C$13" display="'Net revenue summary'!$C$13" xr:uid="{00000000-0004-0000-0300-0000A2010000}"/>
    <hyperlink ref="F231" location="'Net revenue summary'!A4" display="'" xr:uid="{00000000-0004-0000-0300-0000A3010000}"/>
    <hyperlink ref="G231" location="'Net revenue summary'!$C$42" display="'Net revenue summary'!$C$42" xr:uid="{00000000-0004-0000-0300-0000A4010000}"/>
    <hyperlink ref="F232" location="'Net revenue summary'!A4" display="'" xr:uid="{00000000-0004-0000-0300-0000A5010000}"/>
    <hyperlink ref="G232" location="'Net revenue summary'!$C$71" display="'Net revenue summary'!$C$71" xr:uid="{00000000-0004-0000-0300-0000A6010000}"/>
    <hyperlink ref="F233" location="'Net revenue summary'!A4" display="'" xr:uid="{00000000-0004-0000-0300-0000A7010000}"/>
    <hyperlink ref="G233" location="'Net revenue summary'!$C$81" display="'Net revenue summary'!$C$81" xr:uid="{00000000-0004-0000-0300-0000A8010000}"/>
    <hyperlink ref="F234" location="'Net revenue summary'!A4" display="'" xr:uid="{00000000-0004-0000-0300-0000A9010000}"/>
    <hyperlink ref="G234" location="'Net revenue summary'!$C$113" display="'Net revenue summary'!$C$113" xr:uid="{00000000-0004-0000-0300-0000AA010000}"/>
    <hyperlink ref="F235" location="'Net revenue summary'!A4" display="'" xr:uid="{00000000-0004-0000-0300-0000AB010000}"/>
    <hyperlink ref="G235" location="'Net revenue summary'!$C$126" display="'Net revenue summary'!$C$126" xr:uid="{00000000-0004-0000-0300-0000AC010000}"/>
    <hyperlink ref="F236" location="'Tariff summary'!A4" display="'" xr:uid="{00000000-0004-0000-0300-0000AD010000}"/>
    <hyperlink ref="G236" location="'Tariff summary'!$C$15" display="'Tariff summary'!$C$15" xr:uid="{00000000-0004-0000-0300-0000AE010000}"/>
    <hyperlink ref="F237" location="'Tariff summary'!A4" display="'" xr:uid="{00000000-0004-0000-0300-0000AF010000}"/>
    <hyperlink ref="G237" location="'Tariff summary'!$C$71" display="'Tariff summary'!$C$71" xr:uid="{00000000-0004-0000-0300-0000B0010000}"/>
    <hyperlink ref="F238" location="'Tariff summary'!A4" display="'" xr:uid="{00000000-0004-0000-0300-0000B1010000}"/>
    <hyperlink ref="G238" location="'Tariff summary'!$C$127" display="'Tariff summary'!$C$127" xr:uid="{00000000-0004-0000-0300-0000B2010000}"/>
    <hyperlink ref="F239" location="'Tariff summary'!A4" display="'" xr:uid="{00000000-0004-0000-0300-0000B3010000}"/>
    <hyperlink ref="G239" location="'Tariff summary'!$C$183" display="'Tariff summary'!$C$183" xr:uid="{00000000-0004-0000-0300-0000B4010000}"/>
    <hyperlink ref="F240" location="'Tariff summary'!A4" display="'" xr:uid="{00000000-0004-0000-0300-0000B5010000}"/>
    <hyperlink ref="G240" location="'Tariff summary'!$C$239" display="'Tariff summary'!$C$239" xr:uid="{00000000-0004-0000-0300-0000B6010000}"/>
    <hyperlink ref="F241" location="'Tariff summary'!A4" display="'" xr:uid="{00000000-0004-0000-0300-0000B7010000}"/>
    <hyperlink ref="G241" location="'Tariff summary'!$C$295" display="'Tariff summary'!$C$295" xr:uid="{00000000-0004-0000-0300-0000B8010000}"/>
    <hyperlink ref="F242" location="'Typical bills'!A4" display="'" xr:uid="{00000000-0004-0000-0300-0000B9010000}"/>
    <hyperlink ref="G242" location="'Typical bills'!$C$15" display="'Typical bills'!$C$15" xr:uid="{00000000-0004-0000-0300-0000BA01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90.28515625" style="85" customWidth="1"/>
    <col min="8" max="8" width="20.7109375" style="85" customWidth="1"/>
    <col min="9" max="9" width="2.7109375" style="85" customWidth="1"/>
    <col min="10" max="16" width="15.42578125" style="85" hidden="1" customWidth="1"/>
    <col min="17" max="17" width="2.7109375" style="85" hidden="1" customWidth="1"/>
    <col min="18" max="27" width="0" style="85" hidden="1" customWidth="1"/>
    <col min="28" max="16384" width="9.140625" style="85" hidden="1"/>
  </cols>
  <sheetData>
    <row r="1" spans="1:8" s="10" customFormat="1" x14ac:dyDescent="0.25">
      <c r="A1" s="10" t="str">
        <f ca="1">MID(CELL("filename",A1),FIND("]",CELL("filename",A1))+1,255)</f>
        <v>Named ranges</v>
      </c>
    </row>
    <row r="2" spans="1:8" s="10" customFormat="1" x14ac:dyDescent="0.25">
      <c r="A2" s="10" t="str">
        <f>Cover!D21&amp;" - "&amp;Cover!D23</f>
        <v>SP Distribution - One</v>
      </c>
    </row>
    <row r="3" spans="1:8" s="46" customFormat="1" x14ac:dyDescent="0.25">
      <c r="A3" s="46" t="str">
        <f>Cover!D2&amp;" - "&amp;Cover!D8&amp;" v"&amp;Cover!D10&amp;" - "&amp;Cover!D19</f>
        <v>ARP model - Release for charge setting v5 - 2021/22</v>
      </c>
    </row>
    <row r="5" spans="1:8" x14ac:dyDescent="0.25">
      <c r="B5" s="51" t="s">
        <v>530</v>
      </c>
      <c r="C5" s="51"/>
      <c r="D5" s="51"/>
      <c r="E5" s="51"/>
      <c r="F5" s="52"/>
      <c r="G5" s="52"/>
      <c r="H5" s="52"/>
    </row>
    <row r="6" spans="1:8" x14ac:dyDescent="0.25">
      <c r="B6" s="120"/>
      <c r="C6" s="120"/>
      <c r="D6" s="120"/>
      <c r="E6" s="120"/>
      <c r="F6" s="121"/>
      <c r="G6" s="120"/>
      <c r="H6" s="120"/>
    </row>
    <row r="7" spans="1:8" s="195" customFormat="1" x14ac:dyDescent="0.25">
      <c r="F7" s="205" t="s">
        <v>965</v>
      </c>
      <c r="G7" s="195" t="s">
        <v>964</v>
      </c>
      <c r="H7" s="195" t="s">
        <v>698</v>
      </c>
    </row>
    <row r="8" spans="1:8" s="295" customFormat="1" x14ac:dyDescent="0.25">
      <c r="F8" s="205" t="s">
        <v>967</v>
      </c>
      <c r="G8" s="295" t="s">
        <v>966</v>
      </c>
      <c r="H8" s="295" t="s">
        <v>699</v>
      </c>
    </row>
    <row r="9" spans="1:8" s="295" customFormat="1" x14ac:dyDescent="0.25">
      <c r="F9" s="205" t="s">
        <v>969</v>
      </c>
      <c r="G9" s="295" t="s">
        <v>968</v>
      </c>
      <c r="H9" s="295" t="s">
        <v>529</v>
      </c>
    </row>
    <row r="10" spans="1:8" s="295" customFormat="1" x14ac:dyDescent="0.25">
      <c r="F10" s="205" t="s">
        <v>970</v>
      </c>
      <c r="G10" s="295" t="s">
        <v>41</v>
      </c>
      <c r="H10" s="295" t="s">
        <v>656</v>
      </c>
    </row>
    <row r="11" spans="1:8" s="295" customFormat="1" x14ac:dyDescent="0.25">
      <c r="F11" s="205" t="s">
        <v>972</v>
      </c>
      <c r="G11" s="295" t="s">
        <v>971</v>
      </c>
      <c r="H11" s="295" t="s">
        <v>698</v>
      </c>
    </row>
    <row r="12" spans="1:8" s="295" customFormat="1" x14ac:dyDescent="0.25">
      <c r="F12" s="205" t="s">
        <v>973</v>
      </c>
      <c r="G12" s="295" t="s">
        <v>133</v>
      </c>
      <c r="H12" s="295" t="s">
        <v>529</v>
      </c>
    </row>
    <row r="13" spans="1:8" s="295" customFormat="1" x14ac:dyDescent="0.25">
      <c r="F13" s="205" t="s">
        <v>975</v>
      </c>
      <c r="G13" s="295" t="s">
        <v>974</v>
      </c>
      <c r="H13" s="295" t="s">
        <v>656</v>
      </c>
    </row>
    <row r="14" spans="1:8" s="295" customFormat="1" x14ac:dyDescent="0.25">
      <c r="F14" s="205" t="s">
        <v>977</v>
      </c>
      <c r="G14" s="295" t="s">
        <v>976</v>
      </c>
      <c r="H14" s="295" t="s">
        <v>529</v>
      </c>
    </row>
    <row r="15" spans="1:8" s="295" customFormat="1" x14ac:dyDescent="0.25">
      <c r="F15" s="205" t="s">
        <v>979</v>
      </c>
      <c r="G15" s="295" t="s">
        <v>978</v>
      </c>
      <c r="H15" s="295" t="s">
        <v>584</v>
      </c>
    </row>
    <row r="16" spans="1:8" s="295" customFormat="1" x14ac:dyDescent="0.25">
      <c r="F16" s="205" t="s">
        <v>981</v>
      </c>
      <c r="G16" s="295" t="s">
        <v>980</v>
      </c>
      <c r="H16" s="295" t="s">
        <v>537</v>
      </c>
    </row>
    <row r="17" spans="2:8" s="295" customFormat="1" x14ac:dyDescent="0.25">
      <c r="F17" s="205" t="s">
        <v>983</v>
      </c>
      <c r="G17" s="295" t="s">
        <v>982</v>
      </c>
      <c r="H17" s="295" t="s">
        <v>529</v>
      </c>
    </row>
    <row r="18" spans="2:8" s="295" customFormat="1" x14ac:dyDescent="0.25">
      <c r="F18" s="205" t="s">
        <v>985</v>
      </c>
      <c r="G18" s="295" t="s">
        <v>984</v>
      </c>
      <c r="H18" s="295" t="s">
        <v>584</v>
      </c>
    </row>
    <row r="19" spans="2:8" s="295" customFormat="1" x14ac:dyDescent="0.25">
      <c r="F19" s="205" t="s">
        <v>987</v>
      </c>
      <c r="G19" s="295" t="s">
        <v>986</v>
      </c>
      <c r="H19" s="295" t="s">
        <v>537</v>
      </c>
    </row>
    <row r="20" spans="2:8" s="295" customFormat="1" x14ac:dyDescent="0.25">
      <c r="F20" s="205" t="s">
        <v>989</v>
      </c>
      <c r="G20" s="295" t="s">
        <v>988</v>
      </c>
      <c r="H20" s="295" t="s">
        <v>584</v>
      </c>
    </row>
    <row r="21" spans="2:8" s="295" customFormat="1" x14ac:dyDescent="0.25">
      <c r="F21" s="205" t="s">
        <v>991</v>
      </c>
      <c r="G21" s="295" t="s">
        <v>990</v>
      </c>
      <c r="H21" s="295" t="s">
        <v>537</v>
      </c>
    </row>
    <row r="22" spans="2:8" s="295" customFormat="1" x14ac:dyDescent="0.25">
      <c r="F22" s="205" t="s">
        <v>993</v>
      </c>
      <c r="G22" s="295" t="s">
        <v>992</v>
      </c>
      <c r="H22" s="295" t="s">
        <v>584</v>
      </c>
    </row>
    <row r="23" spans="2:8" s="295" customFormat="1" x14ac:dyDescent="0.25">
      <c r="F23" s="205" t="s">
        <v>995</v>
      </c>
      <c r="G23" s="295" t="s">
        <v>994</v>
      </c>
      <c r="H23" s="295" t="s">
        <v>537</v>
      </c>
    </row>
    <row r="24" spans="2:8" s="295" customFormat="1" x14ac:dyDescent="0.25">
      <c r="F24" s="205" t="s">
        <v>997</v>
      </c>
      <c r="G24" s="295" t="s">
        <v>996</v>
      </c>
      <c r="H24" s="295" t="s">
        <v>584</v>
      </c>
    </row>
    <row r="25" spans="2:8" s="295" customFormat="1" x14ac:dyDescent="0.25">
      <c r="F25" s="205" t="s">
        <v>999</v>
      </c>
      <c r="G25" s="295" t="s">
        <v>998</v>
      </c>
      <c r="H25" s="295" t="s">
        <v>537</v>
      </c>
    </row>
    <row r="26" spans="2:8" s="295" customFormat="1" x14ac:dyDescent="0.25">
      <c r="F26" s="205" t="s">
        <v>1001</v>
      </c>
      <c r="G26" s="295" t="s">
        <v>1000</v>
      </c>
      <c r="H26" s="295" t="s">
        <v>584</v>
      </c>
    </row>
    <row r="27" spans="2:8" s="295" customFormat="1" x14ac:dyDescent="0.25">
      <c r="F27" s="205" t="s">
        <v>1003</v>
      </c>
      <c r="G27" s="295" t="s">
        <v>1002</v>
      </c>
      <c r="H27" s="295" t="s">
        <v>537</v>
      </c>
    </row>
    <row r="28" spans="2:8" s="295" customFormat="1" x14ac:dyDescent="0.25">
      <c r="F28" s="205" t="s">
        <v>1005</v>
      </c>
      <c r="G28" s="295" t="s">
        <v>1004</v>
      </c>
      <c r="H28" s="295" t="s">
        <v>529</v>
      </c>
    </row>
    <row r="29" spans="2:8" s="295" customFormat="1" x14ac:dyDescent="0.25">
      <c r="F29" s="205" t="s">
        <v>1007</v>
      </c>
      <c r="G29" s="295" t="s">
        <v>1006</v>
      </c>
      <c r="H29" s="295" t="s">
        <v>529</v>
      </c>
    </row>
    <row r="30" spans="2:8" s="295" customFormat="1" x14ac:dyDescent="0.25">
      <c r="F30" s="205" t="s">
        <v>1009</v>
      </c>
      <c r="G30" s="295" t="s">
        <v>1008</v>
      </c>
      <c r="H30" s="295" t="s">
        <v>699</v>
      </c>
    </row>
    <row r="31" spans="2:8" s="295" customFormat="1" x14ac:dyDescent="0.25">
      <c r="F31" s="205"/>
    </row>
    <row r="32" spans="2:8" s="195" customFormat="1" x14ac:dyDescent="0.25">
      <c r="B32" s="51" t="s">
        <v>110</v>
      </c>
      <c r="C32" s="51"/>
      <c r="D32" s="51"/>
      <c r="E32" s="51"/>
      <c r="F32" s="52"/>
      <c r="G32" s="52"/>
      <c r="H32" s="52"/>
    </row>
  </sheetData>
  <sheetProtection sheet="1" objects="1"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00000000-0004-0000-0400-000001000000}"/>
    <hyperlink ref="F9" location="'Fixed inputs'!$H$154" display="check_decimals" xr:uid="{00000000-0004-0000-0400-000002000000}"/>
    <hyperlink ref="F10" location="'General inputs'!$H$93" display="days_in_year" xr:uid="{00000000-0004-0000-0400-000003000000}"/>
    <hyperlink ref="F11" location="Cover!$D$21" display="DNO_name" xr:uid="{00000000-0004-0000-0400-000004000000}"/>
    <hyperlink ref="F12" location="'Fixed inputs'!$H$15" display="hours_in_day" xr:uid="{00000000-0004-0000-0400-000005000000}"/>
    <hyperlink ref="F13" location="'General inputs'!$H$94" display="hours_in_year" xr:uid="{00000000-0004-0000-0400-000006000000}"/>
    <hyperlink ref="F14" location="'Fixed inputs'!$H$17" display="hundred" xr:uid="{00000000-0004-0000-0400-000007000000}"/>
    <hyperlink ref="F15" location="'Typical bills'!$J$18:$J$69" display="live_results_bills" xr:uid="{00000000-0004-0000-0400-000008000000}"/>
    <hyperlink ref="F16" location="'Tariff summary'!$J$18:$P$69" display="live_results_tariffs" xr:uid="{00000000-0004-0000-0400-000009000000}"/>
    <hyperlink ref="F17" location="'Fixed inputs'!$H$37" display="PowerFactor" xr:uid="{00000000-0004-0000-0400-00000A000000}"/>
    <hyperlink ref="F18" location="'Typical bills'!$L$18:$L$69" display="results_4_bills" xr:uid="{00000000-0004-0000-0400-00000B000000}"/>
    <hyperlink ref="F19" location="'Tariff summary'!$J$74:$P$125" display="results_4_tariffs" xr:uid="{00000000-0004-0000-0400-00000C000000}"/>
    <hyperlink ref="F20" location="'Typical bills'!$M$18:$M$69" display="results_5_bills" xr:uid="{00000000-0004-0000-0400-00000D000000}"/>
    <hyperlink ref="F21" location="'Tariff summary'!$J$130:$P$181" display="results_5_tariffs" xr:uid="{00000000-0004-0000-0400-00000E000000}"/>
    <hyperlink ref="F22" location="'Typical bills'!$N$18:$N$69" display="results_6_bills" xr:uid="{00000000-0004-0000-0400-00000F000000}"/>
    <hyperlink ref="F23" location="'Tariff summary'!$J$186:$P$237" display="results_6_tariffs" xr:uid="{00000000-0004-0000-0400-000010000000}"/>
    <hyperlink ref="F24" location="'Typical bills'!$O$18:$O$69" display="results_7_bills" xr:uid="{00000000-0004-0000-0400-000011000000}"/>
    <hyperlink ref="F25" location="'Tariff summary'!$J$242:$P$293" display="results_7_tariffs" xr:uid="{00000000-0004-0000-0400-000012000000}"/>
    <hyperlink ref="F26" location="'Typical bills'!$P$18:$P$69" display="results_8_bills" xr:uid="{00000000-0004-0000-0400-000013000000}"/>
    <hyperlink ref="F27" location="'Tariff summary'!$J$298:$P$349" display="results_8_tariffs" xr:uid="{00000000-0004-0000-0400-000014000000}"/>
    <hyperlink ref="F28" location="'Fixed inputs'!$H$16" display="ten" xr:uid="{00000000-0004-0000-0400-000015000000}"/>
    <hyperlink ref="F29" location="'Fixed inputs'!$H$18" display="thousand" xr:uid="{00000000-0004-0000-0400-000016000000}"/>
    <hyperlink ref="F30" location="'ARP_User control'!$G$36" display="year_selection" xr:uid="{00000000-0004-0000-0400-000017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 activeCell="F31" sqref="F31"/>
    </sheetView>
  </sheetViews>
  <sheetFormatPr defaultColWidth="0" defaultRowHeight="15" x14ac:dyDescent="0.25"/>
  <cols>
    <col min="1" max="5" width="2.5703125" style="85" customWidth="1"/>
    <col min="6" max="6" width="149.28515625" style="85" customWidth="1"/>
    <col min="7" max="7" width="2.7109375" style="85" customWidth="1"/>
    <col min="8" max="14" width="15.42578125" style="85" hidden="1" customWidth="1"/>
    <col min="15" max="15" width="2.7109375" style="85" hidden="1" customWidth="1"/>
    <col min="16" max="27" width="0" style="85" hidden="1" customWidth="1"/>
    <col min="28" max="16384" width="9.140625" style="85" hidden="1"/>
  </cols>
  <sheetData>
    <row r="1" spans="1:6" s="10" customFormat="1" x14ac:dyDescent="0.25">
      <c r="A1" s="10" t="str">
        <f ca="1">MID(CELL("filename",A1),FIND("]",CELL("filename",A1))+1,255)</f>
        <v>ARP_DNO commentary</v>
      </c>
    </row>
    <row r="2" spans="1:6" s="10" customFormat="1" x14ac:dyDescent="0.25">
      <c r="A2" s="10" t="str">
        <f>Cover!D21&amp;" - "&amp;Cover!D23</f>
        <v>SP Distribution - One</v>
      </c>
    </row>
    <row r="3" spans="1:6" s="46" customFormat="1" x14ac:dyDescent="0.25">
      <c r="A3" s="46" t="str">
        <f>Cover!D2&amp;" - "&amp;Cover!D8&amp;" v"&amp;Cover!D10&amp;" - "&amp;Cover!D19</f>
        <v>ARP model - Release for charge setting v5 - 2021/22</v>
      </c>
    </row>
    <row r="5" spans="1:6" x14ac:dyDescent="0.25">
      <c r="B5" s="51" t="s">
        <v>90</v>
      </c>
      <c r="C5" s="51"/>
      <c r="D5" s="51"/>
      <c r="E5" s="51"/>
      <c r="F5" s="52"/>
    </row>
    <row r="6" spans="1:6" x14ac:dyDescent="0.25">
      <c r="B6" s="120"/>
      <c r="C6" s="120"/>
      <c r="D6" s="120"/>
      <c r="E6" s="120"/>
      <c r="F6" s="120"/>
    </row>
    <row r="7" spans="1:6" x14ac:dyDescent="0.25">
      <c r="C7" s="82" t="s">
        <v>856</v>
      </c>
      <c r="D7" s="123"/>
      <c r="E7" s="120"/>
      <c r="F7" s="120"/>
    </row>
    <row r="9" spans="1:6" x14ac:dyDescent="0.25">
      <c r="B9" s="51" t="s">
        <v>553</v>
      </c>
      <c r="C9" s="51"/>
      <c r="D9" s="51"/>
      <c r="E9" s="51"/>
      <c r="F9" s="52"/>
    </row>
    <row r="10" spans="1:6" x14ac:dyDescent="0.25">
      <c r="B10" s="120"/>
      <c r="C10" s="120"/>
      <c r="D10" s="120"/>
      <c r="E10" s="120"/>
      <c r="F10" s="120"/>
    </row>
    <row r="11" spans="1:6" x14ac:dyDescent="0.25">
      <c r="B11" s="122"/>
      <c r="C11" s="123"/>
      <c r="E11" s="122"/>
      <c r="F11" s="488" t="s">
        <v>1176</v>
      </c>
    </row>
    <row r="12" spans="1:6" x14ac:dyDescent="0.25">
      <c r="B12" s="122"/>
      <c r="C12" s="123"/>
      <c r="E12" s="122"/>
      <c r="F12" s="489"/>
    </row>
    <row r="13" spans="1:6" x14ac:dyDescent="0.25">
      <c r="B13" s="122"/>
      <c r="C13" s="123"/>
      <c r="E13" s="122"/>
      <c r="F13" s="489"/>
    </row>
    <row r="14" spans="1:6" x14ac:dyDescent="0.25">
      <c r="B14" s="122"/>
      <c r="C14" s="123"/>
      <c r="E14" s="122"/>
      <c r="F14" s="489"/>
    </row>
    <row r="15" spans="1:6" x14ac:dyDescent="0.25">
      <c r="B15" s="122"/>
      <c r="C15" s="123"/>
      <c r="E15" s="122"/>
      <c r="F15" s="489"/>
    </row>
    <row r="16" spans="1:6" x14ac:dyDescent="0.25">
      <c r="B16" s="122"/>
      <c r="C16" s="123"/>
      <c r="E16" s="122"/>
      <c r="F16" s="489"/>
    </row>
    <row r="17" spans="2:6" x14ac:dyDescent="0.25">
      <c r="B17" s="122"/>
      <c r="C17" s="123"/>
      <c r="E17" s="122"/>
      <c r="F17" s="489"/>
    </row>
    <row r="18" spans="2:6" x14ac:dyDescent="0.25">
      <c r="B18" s="122"/>
      <c r="C18" s="123"/>
      <c r="D18" s="120"/>
      <c r="E18" s="122"/>
      <c r="F18" s="490"/>
    </row>
    <row r="19" spans="2:6" x14ac:dyDescent="0.25">
      <c r="B19" s="120"/>
      <c r="C19" s="120"/>
      <c r="D19" s="120"/>
      <c r="E19" s="122"/>
      <c r="F19" s="120"/>
    </row>
    <row r="20" spans="2:6" x14ac:dyDescent="0.25">
      <c r="B20" s="51" t="s">
        <v>110</v>
      </c>
      <c r="C20" s="51"/>
      <c r="D20" s="51"/>
      <c r="E20" s="51"/>
      <c r="F20" s="52"/>
    </row>
  </sheetData>
  <sheetProtection sheet="1" objects="1" formatCells="0" formatColumns="0" formatRows="0" sort="0" autoFilter="0"/>
  <mergeCells count="1">
    <mergeCell ref="F11:F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G41" sqref="G41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85" customWidth="1"/>
    <col min="8" max="8" width="19.85546875" style="85" bestFit="1" customWidth="1"/>
    <col min="9" max="9" width="2.28515625" style="85" customWidth="1"/>
    <col min="10" max="10" width="14.7109375" style="85" customWidth="1"/>
    <col min="11" max="14" width="14.85546875" style="85" bestFit="1" customWidth="1"/>
    <col min="15" max="15" width="2.28515625" style="85" customWidth="1"/>
    <col min="16" max="267" width="20.7109375" style="85" hidden="1" customWidth="1"/>
    <col min="268" max="16384" width="9.140625" style="85" hidden="1"/>
  </cols>
  <sheetData>
    <row r="1" spans="1:14" s="10" customFormat="1" x14ac:dyDescent="0.25">
      <c r="A1" s="10" t="str">
        <f ca="1">MID(CELL("filename",A1),FIND("]",CELL("filename",A1))+1,255)</f>
        <v>ARP_CDCM timebands</v>
      </c>
    </row>
    <row r="2" spans="1:14" s="10" customFormat="1" x14ac:dyDescent="0.25">
      <c r="A2" s="10" t="str">
        <f>Cover!D21&amp;" - "&amp;Cover!D23</f>
        <v>SP Distribution - One</v>
      </c>
    </row>
    <row r="3" spans="1:14" s="46" customFormat="1" x14ac:dyDescent="0.25">
      <c r="A3" s="46" t="str">
        <f>Cover!D2&amp;" - "&amp;Cover!D8&amp;" v"&amp;Cover!D10&amp;" - "&amp;Cover!D19</f>
        <v>ARP model - Release for charge setting v5 - 2021/22</v>
      </c>
    </row>
    <row r="5" spans="1:14" x14ac:dyDescent="0.25">
      <c r="B5" s="134" t="s">
        <v>552</v>
      </c>
      <c r="C5" s="9"/>
      <c r="D5" s="9"/>
      <c r="E5" s="9"/>
      <c r="F5" s="9"/>
      <c r="G5" s="1" t="s">
        <v>91</v>
      </c>
      <c r="H5" s="2" t="s">
        <v>92</v>
      </c>
      <c r="J5" s="35" t="str">
        <f t="array" ref="J5:N5">TRANSPOSE('ARP_User control'!G31:G35)</f>
        <v>2021/22</v>
      </c>
      <c r="K5" s="35" t="str">
        <v>2022/23</v>
      </c>
      <c r="L5" s="35" t="str">
        <v>2023/24</v>
      </c>
      <c r="M5" s="35" t="str">
        <v>2024/25</v>
      </c>
      <c r="N5" s="35" t="str">
        <v>2025/26</v>
      </c>
    </row>
    <row r="7" spans="1:14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9" spans="1:14" x14ac:dyDescent="0.25">
      <c r="C9" s="82" t="s">
        <v>939</v>
      </c>
    </row>
    <row r="10" spans="1:14" s="295" customFormat="1" x14ac:dyDescent="0.25">
      <c r="C10" s="82" t="s">
        <v>940</v>
      </c>
    </row>
    <row r="11" spans="1:14" x14ac:dyDescent="0.25">
      <c r="D11" s="14"/>
    </row>
    <row r="12" spans="1:14" x14ac:dyDescent="0.25">
      <c r="B12" s="95" t="s">
        <v>554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</row>
    <row r="13" spans="1:14" x14ac:dyDescent="0.25">
      <c r="D13" s="14"/>
    </row>
    <row r="14" spans="1:14" x14ac:dyDescent="0.25">
      <c r="C14" s="7" t="s">
        <v>555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</row>
    <row r="15" spans="1:14" x14ac:dyDescent="0.25">
      <c r="C15" s="96"/>
      <c r="E15" s="96"/>
      <c r="G15" s="108"/>
    </row>
    <row r="16" spans="1:14" x14ac:dyDescent="0.25">
      <c r="E16" s="96" t="s">
        <v>556</v>
      </c>
    </row>
    <row r="17" spans="3:14" x14ac:dyDescent="0.25">
      <c r="F17" s="481" t="s">
        <v>84</v>
      </c>
      <c r="G17" s="482" t="s">
        <v>676</v>
      </c>
      <c r="H17" s="112"/>
      <c r="I17" s="112"/>
      <c r="J17" s="322" t="s">
        <v>1168</v>
      </c>
      <c r="K17" s="322" t="s">
        <v>1168</v>
      </c>
      <c r="L17" s="322" t="s">
        <v>1168</v>
      </c>
      <c r="M17" s="322" t="s">
        <v>1168</v>
      </c>
      <c r="N17" s="322" t="s">
        <v>1168</v>
      </c>
    </row>
    <row r="18" spans="3:14" ht="30" x14ac:dyDescent="0.25">
      <c r="F18" s="483" t="s">
        <v>85</v>
      </c>
      <c r="G18" s="484" t="s">
        <v>676</v>
      </c>
      <c r="H18" s="66"/>
      <c r="I18" s="66"/>
      <c r="J18" s="475" t="s">
        <v>1169</v>
      </c>
      <c r="K18" s="475" t="s">
        <v>1169</v>
      </c>
      <c r="L18" s="475" t="s">
        <v>1169</v>
      </c>
      <c r="M18" s="475" t="s">
        <v>1169</v>
      </c>
      <c r="N18" s="475" t="s">
        <v>1169</v>
      </c>
    </row>
    <row r="19" spans="3:14" ht="30" x14ac:dyDescent="0.25">
      <c r="F19" s="485" t="s">
        <v>86</v>
      </c>
      <c r="G19" s="486" t="s">
        <v>676</v>
      </c>
      <c r="H19" s="145"/>
      <c r="I19" s="145"/>
      <c r="J19" s="476" t="s">
        <v>1170</v>
      </c>
      <c r="K19" s="476" t="s">
        <v>1170</v>
      </c>
      <c r="L19" s="476" t="s">
        <v>1170</v>
      </c>
      <c r="M19" s="476" t="s">
        <v>1170</v>
      </c>
      <c r="N19" s="476" t="s">
        <v>1170</v>
      </c>
    </row>
    <row r="20" spans="3:14" x14ac:dyDescent="0.25">
      <c r="F20" s="483"/>
      <c r="G20" s="484"/>
      <c r="H20" s="111"/>
      <c r="I20" s="111"/>
      <c r="J20" s="111"/>
      <c r="K20" s="111"/>
      <c r="L20" s="111"/>
      <c r="M20" s="111"/>
      <c r="N20" s="111"/>
    </row>
    <row r="21" spans="3:14" x14ac:dyDescent="0.25">
      <c r="E21" s="96" t="s">
        <v>557</v>
      </c>
      <c r="F21" s="487"/>
      <c r="G21" s="487"/>
      <c r="H21" s="111"/>
      <c r="I21" s="111"/>
      <c r="J21" s="111"/>
      <c r="K21" s="111"/>
      <c r="L21" s="111"/>
      <c r="M21" s="111"/>
      <c r="N21" s="111"/>
    </row>
    <row r="22" spans="3:14" x14ac:dyDescent="0.25">
      <c r="F22" s="481" t="s">
        <v>84</v>
      </c>
      <c r="G22" s="482" t="s">
        <v>676</v>
      </c>
      <c r="H22" s="112"/>
      <c r="I22" s="112"/>
      <c r="J22" s="322"/>
      <c r="K22" s="322"/>
      <c r="L22" s="322"/>
      <c r="M22" s="322"/>
      <c r="N22" s="322"/>
    </row>
    <row r="23" spans="3:14" x14ac:dyDescent="0.25">
      <c r="F23" s="483" t="s">
        <v>85</v>
      </c>
      <c r="G23" s="484" t="s">
        <v>676</v>
      </c>
      <c r="H23" s="66"/>
      <c r="I23" s="66"/>
      <c r="J23" s="323" t="s">
        <v>1171</v>
      </c>
      <c r="K23" s="323" t="s">
        <v>1171</v>
      </c>
      <c r="L23" s="323" t="s">
        <v>1171</v>
      </c>
      <c r="M23" s="323" t="s">
        <v>1171</v>
      </c>
      <c r="N23" s="323" t="s">
        <v>1171</v>
      </c>
    </row>
    <row r="24" spans="3:14" ht="30" x14ac:dyDescent="0.25">
      <c r="F24" s="485" t="s">
        <v>86</v>
      </c>
      <c r="G24" s="486" t="s">
        <v>676</v>
      </c>
      <c r="H24" s="145"/>
      <c r="I24" s="145"/>
      <c r="J24" s="476" t="s">
        <v>1172</v>
      </c>
      <c r="K24" s="476" t="s">
        <v>1172</v>
      </c>
      <c r="L24" s="476" t="s">
        <v>1172</v>
      </c>
      <c r="M24" s="476" t="s">
        <v>1172</v>
      </c>
      <c r="N24" s="476" t="s">
        <v>1172</v>
      </c>
    </row>
    <row r="25" spans="3:14" x14ac:dyDescent="0.25">
      <c r="G25" s="108"/>
      <c r="H25" s="111"/>
      <c r="I25" s="111"/>
      <c r="J25" s="111"/>
      <c r="K25" s="111"/>
      <c r="L25" s="111"/>
      <c r="M25" s="111"/>
      <c r="N25" s="111"/>
    </row>
    <row r="26" spans="3:14" x14ac:dyDescent="0.25">
      <c r="C26" s="7" t="s">
        <v>558</v>
      </c>
      <c r="D26" s="7"/>
      <c r="E26" s="7"/>
      <c r="F26" s="7"/>
      <c r="G26" s="172"/>
      <c r="H26" s="171"/>
      <c r="I26" s="171"/>
      <c r="J26" s="171"/>
      <c r="K26" s="171"/>
      <c r="L26" s="171"/>
      <c r="M26" s="171"/>
      <c r="N26" s="171"/>
    </row>
    <row r="27" spans="3:14" x14ac:dyDescent="0.25">
      <c r="E27" s="96"/>
      <c r="F27" s="96"/>
      <c r="G27" s="108"/>
      <c r="H27" s="111"/>
      <c r="I27" s="111"/>
      <c r="J27" s="111"/>
      <c r="K27" s="111"/>
      <c r="L27" s="111"/>
      <c r="M27" s="111"/>
      <c r="N27" s="111"/>
    </row>
    <row r="28" spans="3:14" x14ac:dyDescent="0.25">
      <c r="E28" s="96" t="s">
        <v>559</v>
      </c>
      <c r="H28" s="111"/>
      <c r="I28" s="111"/>
      <c r="J28" s="111"/>
      <c r="K28" s="111"/>
      <c r="L28" s="111"/>
      <c r="M28" s="111"/>
      <c r="N28" s="111"/>
    </row>
    <row r="29" spans="3:14" x14ac:dyDescent="0.25">
      <c r="F29" s="478" t="s">
        <v>87</v>
      </c>
      <c r="G29" s="478" t="s">
        <v>676</v>
      </c>
      <c r="H29" s="112"/>
      <c r="I29" s="112"/>
      <c r="J29" s="322" t="s">
        <v>1168</v>
      </c>
      <c r="K29" s="322" t="s">
        <v>1168</v>
      </c>
      <c r="L29" s="322" t="s">
        <v>1168</v>
      </c>
      <c r="M29" s="322" t="s">
        <v>1168</v>
      </c>
      <c r="N29" s="322" t="s">
        <v>1168</v>
      </c>
    </row>
    <row r="30" spans="3:14" ht="30" x14ac:dyDescent="0.25">
      <c r="F30" s="479" t="s">
        <v>88</v>
      </c>
      <c r="G30" s="479" t="s">
        <v>676</v>
      </c>
      <c r="H30" s="66"/>
      <c r="I30" s="66"/>
      <c r="J30" s="475" t="s">
        <v>1169</v>
      </c>
      <c r="K30" s="475" t="s">
        <v>1169</v>
      </c>
      <c r="L30" s="475" t="s">
        <v>1169</v>
      </c>
      <c r="M30" s="475" t="s">
        <v>1169</v>
      </c>
      <c r="N30" s="475" t="s">
        <v>1169</v>
      </c>
    </row>
    <row r="31" spans="3:14" ht="30" x14ac:dyDescent="0.25">
      <c r="F31" s="480" t="s">
        <v>86</v>
      </c>
      <c r="G31" s="480" t="s">
        <v>676</v>
      </c>
      <c r="H31" s="145"/>
      <c r="I31" s="145"/>
      <c r="J31" s="476" t="s">
        <v>1170</v>
      </c>
      <c r="K31" s="476" t="s">
        <v>1170</v>
      </c>
      <c r="L31" s="476" t="s">
        <v>1170</v>
      </c>
      <c r="M31" s="476" t="s">
        <v>1170</v>
      </c>
      <c r="N31" s="476" t="s">
        <v>1170</v>
      </c>
    </row>
    <row r="32" spans="3:14" x14ac:dyDescent="0.25">
      <c r="F32" s="479"/>
      <c r="G32" s="479"/>
      <c r="H32" s="111"/>
      <c r="I32" s="111"/>
      <c r="J32" s="111"/>
      <c r="K32" s="111"/>
      <c r="L32" s="111"/>
      <c r="M32" s="111"/>
      <c r="N32" s="111"/>
    </row>
    <row r="33" spans="2:14" x14ac:dyDescent="0.25">
      <c r="E33" s="96" t="s">
        <v>560</v>
      </c>
      <c r="F33" s="168"/>
      <c r="G33" s="168"/>
      <c r="H33" s="111"/>
      <c r="I33" s="111"/>
      <c r="J33" s="111"/>
      <c r="K33" s="111"/>
      <c r="L33" s="111"/>
      <c r="M33" s="111"/>
      <c r="N33" s="111"/>
    </row>
    <row r="34" spans="2:14" x14ac:dyDescent="0.25">
      <c r="F34" s="478" t="s">
        <v>87</v>
      </c>
      <c r="G34" s="478" t="s">
        <v>676</v>
      </c>
      <c r="H34" s="112"/>
      <c r="I34" s="112"/>
      <c r="J34" s="322"/>
      <c r="K34" s="322"/>
      <c r="L34" s="322"/>
      <c r="M34" s="322"/>
      <c r="N34" s="322"/>
    </row>
    <row r="35" spans="2:14" x14ac:dyDescent="0.25">
      <c r="F35" s="479" t="s">
        <v>88</v>
      </c>
      <c r="G35" s="479" t="s">
        <v>676</v>
      </c>
      <c r="H35" s="66"/>
      <c r="I35" s="66"/>
      <c r="J35" s="323" t="s">
        <v>1173</v>
      </c>
      <c r="K35" s="323" t="s">
        <v>1173</v>
      </c>
      <c r="L35" s="323" t="s">
        <v>1173</v>
      </c>
      <c r="M35" s="323" t="s">
        <v>1173</v>
      </c>
      <c r="N35" s="323" t="s">
        <v>1173</v>
      </c>
    </row>
    <row r="36" spans="2:14" ht="30" x14ac:dyDescent="0.25">
      <c r="F36" s="480" t="s">
        <v>86</v>
      </c>
      <c r="G36" s="480" t="s">
        <v>676</v>
      </c>
      <c r="H36" s="145"/>
      <c r="I36" s="145"/>
      <c r="J36" s="476" t="s">
        <v>1170</v>
      </c>
      <c r="K36" s="476" t="s">
        <v>1170</v>
      </c>
      <c r="L36" s="476" t="s">
        <v>1170</v>
      </c>
      <c r="M36" s="476" t="s">
        <v>1170</v>
      </c>
      <c r="N36" s="476" t="s">
        <v>1170</v>
      </c>
    </row>
    <row r="37" spans="2:14" x14ac:dyDescent="0.25">
      <c r="F37" s="168"/>
      <c r="G37" s="168"/>
      <c r="H37" s="111"/>
      <c r="I37" s="111"/>
      <c r="J37" s="111"/>
      <c r="K37" s="111"/>
      <c r="L37" s="111"/>
      <c r="M37" s="111"/>
      <c r="N37" s="111"/>
    </row>
    <row r="38" spans="2:14" x14ac:dyDescent="0.25">
      <c r="E38" s="96" t="s">
        <v>557</v>
      </c>
      <c r="F38" s="168"/>
      <c r="G38" s="168"/>
      <c r="H38" s="111"/>
      <c r="I38" s="111"/>
      <c r="J38" s="111"/>
      <c r="K38" s="111"/>
      <c r="L38" s="111"/>
      <c r="M38" s="111"/>
      <c r="N38" s="111"/>
    </row>
    <row r="39" spans="2:14" x14ac:dyDescent="0.25">
      <c r="F39" s="478" t="s">
        <v>87</v>
      </c>
      <c r="G39" s="478" t="s">
        <v>676</v>
      </c>
      <c r="H39" s="112"/>
      <c r="I39" s="112"/>
      <c r="J39" s="322"/>
      <c r="K39" s="322"/>
      <c r="L39" s="322"/>
      <c r="M39" s="322"/>
      <c r="N39" s="322"/>
    </row>
    <row r="40" spans="2:14" x14ac:dyDescent="0.25">
      <c r="F40" s="479" t="s">
        <v>88</v>
      </c>
      <c r="G40" s="479" t="s">
        <v>676</v>
      </c>
      <c r="H40" s="66"/>
      <c r="I40" s="66"/>
      <c r="J40" s="323" t="s">
        <v>1171</v>
      </c>
      <c r="K40" s="323" t="s">
        <v>1171</v>
      </c>
      <c r="L40" s="323" t="s">
        <v>1171</v>
      </c>
      <c r="M40" s="323" t="s">
        <v>1171</v>
      </c>
      <c r="N40" s="323" t="s">
        <v>1171</v>
      </c>
    </row>
    <row r="41" spans="2:14" ht="30" x14ac:dyDescent="0.25">
      <c r="F41" s="480" t="s">
        <v>86</v>
      </c>
      <c r="G41" s="480" t="s">
        <v>676</v>
      </c>
      <c r="H41" s="145"/>
      <c r="I41" s="145"/>
      <c r="J41" s="476" t="s">
        <v>1172</v>
      </c>
      <c r="K41" s="476" t="s">
        <v>1172</v>
      </c>
      <c r="L41" s="476" t="s">
        <v>1172</v>
      </c>
      <c r="M41" s="476" t="s">
        <v>1172</v>
      </c>
      <c r="N41" s="476" t="s">
        <v>1172</v>
      </c>
    </row>
    <row r="42" spans="2:14" x14ac:dyDescent="0.25">
      <c r="G42" s="108"/>
    </row>
    <row r="43" spans="2:14" x14ac:dyDescent="0.25">
      <c r="B43" s="95" t="s">
        <v>110</v>
      </c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</row>
  </sheetData>
  <sheetProtection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4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F2" sqref="F2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108" customWidth="1"/>
    <col min="8" max="8" width="19.85546875" style="85" bestFit="1" customWidth="1"/>
    <col min="9" max="9" width="2.28515625" style="85" customWidth="1"/>
    <col min="10" max="25" width="17" style="85" customWidth="1"/>
    <col min="26" max="26" width="2.28515625" style="85" customWidth="1"/>
    <col min="27" max="302" width="20.7109375" style="85" hidden="1" customWidth="1"/>
    <col min="303" max="16384" width="9.140625" style="85" hidden="1"/>
  </cols>
  <sheetData>
    <row r="1" spans="1:26" s="10" customFormat="1" x14ac:dyDescent="0.25">
      <c r="A1" s="10" t="str">
        <f ca="1">MID(CELL("filename",A1),FIND("]",CELL("filename",A1))+1,255)</f>
        <v>ARP_Load characteristics</v>
      </c>
      <c r="G1" s="188"/>
    </row>
    <row r="2" spans="1:26" s="10" customFormat="1" x14ac:dyDescent="0.25">
      <c r="A2" s="10" t="str">
        <f>Cover!D21&amp;" - "&amp;Cover!D23</f>
        <v>SP Distribution - One</v>
      </c>
      <c r="G2" s="188"/>
    </row>
    <row r="3" spans="1:26" s="46" customFormat="1" x14ac:dyDescent="0.25">
      <c r="A3" s="46" t="str">
        <f>Cover!D2&amp;" - "&amp;Cover!D8&amp;" v"&amp;Cover!D10&amp;" - "&amp;Cover!D19</f>
        <v>ARP model - Release for charge setting v5 - 2021/22</v>
      </c>
      <c r="G3" s="298"/>
    </row>
    <row r="5" spans="1:26" ht="60" x14ac:dyDescent="0.25">
      <c r="B5" s="134" t="s">
        <v>552</v>
      </c>
      <c r="C5" s="9"/>
      <c r="D5" s="9"/>
      <c r="E5" s="9"/>
      <c r="F5" s="9"/>
      <c r="G5" s="1" t="s">
        <v>91</v>
      </c>
      <c r="H5" s="2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</row>
    <row r="6" spans="1:26" x14ac:dyDescent="0.25">
      <c r="Z6" s="195"/>
    </row>
    <row r="7" spans="1:26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195"/>
    </row>
    <row r="8" spans="1:26" x14ac:dyDescent="0.25">
      <c r="Z8" s="195"/>
    </row>
    <row r="9" spans="1:26" x14ac:dyDescent="0.25">
      <c r="C9" s="82" t="s">
        <v>857</v>
      </c>
      <c r="Z9" s="195"/>
    </row>
    <row r="10" spans="1:26" x14ac:dyDescent="0.25">
      <c r="C10" s="82" t="s">
        <v>561</v>
      </c>
      <c r="Z10" s="195"/>
    </row>
    <row r="11" spans="1:26" x14ac:dyDescent="0.25">
      <c r="C11" s="82" t="s">
        <v>562</v>
      </c>
      <c r="Z11" s="195"/>
    </row>
    <row r="12" spans="1:26" x14ac:dyDescent="0.25">
      <c r="D12" s="14"/>
      <c r="Z12" s="195"/>
    </row>
    <row r="13" spans="1:26" x14ac:dyDescent="0.25">
      <c r="B13" s="95" t="s">
        <v>265</v>
      </c>
      <c r="C13" s="95"/>
      <c r="D13" s="95"/>
      <c r="E13" s="95"/>
      <c r="F13" s="95"/>
      <c r="G13" s="128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195"/>
    </row>
    <row r="14" spans="1:26" x14ac:dyDescent="0.25">
      <c r="Z14" s="195"/>
    </row>
    <row r="15" spans="1:26" x14ac:dyDescent="0.25">
      <c r="E15" s="96" t="s">
        <v>563</v>
      </c>
      <c r="Z15" s="195"/>
    </row>
    <row r="16" spans="1:26" x14ac:dyDescent="0.25">
      <c r="F16" s="91" t="s">
        <v>595</v>
      </c>
      <c r="G16" s="129" t="s">
        <v>583</v>
      </c>
      <c r="H16" s="199" t="str">
        <f>LEFT(H17,4) - 1 &amp; "/" &amp; RIGHT(H17,2) - 1</f>
        <v>2016/17</v>
      </c>
      <c r="Z16" s="195"/>
    </row>
    <row r="17" spans="2:26" x14ac:dyDescent="0.25">
      <c r="F17" s="196" t="s">
        <v>596</v>
      </c>
      <c r="G17" s="130" t="s">
        <v>583</v>
      </c>
      <c r="H17" s="84" t="str">
        <f>LEFT(H18,4) - 1 &amp; "/" &amp; RIGHT(H18,2) - 1</f>
        <v>2017/18</v>
      </c>
      <c r="Z17" s="195"/>
    </row>
    <row r="18" spans="2:26" x14ac:dyDescent="0.25">
      <c r="F18" s="93" t="s">
        <v>597</v>
      </c>
      <c r="G18" s="131" t="s">
        <v>583</v>
      </c>
      <c r="H18" s="198" t="str">
        <f>'ARP_User control'!$G$28</f>
        <v>2018/19</v>
      </c>
      <c r="Z18" s="195"/>
    </row>
    <row r="19" spans="2:26" x14ac:dyDescent="0.25">
      <c r="Z19" s="195"/>
    </row>
    <row r="20" spans="2:26" x14ac:dyDescent="0.25">
      <c r="B20" s="95" t="s">
        <v>359</v>
      </c>
      <c r="C20" s="95"/>
      <c r="D20" s="95"/>
      <c r="E20" s="95"/>
      <c r="F20" s="95"/>
      <c r="G20" s="128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195"/>
    </row>
    <row r="21" spans="2:26" x14ac:dyDescent="0.25">
      <c r="Z21" s="195"/>
    </row>
    <row r="22" spans="2:26" x14ac:dyDescent="0.25">
      <c r="E22" s="96" t="s">
        <v>71</v>
      </c>
      <c r="Z22" s="195"/>
    </row>
    <row r="23" spans="2:26" x14ac:dyDescent="0.25">
      <c r="F23" s="91" t="str">
        <f>$H$16</f>
        <v>2016/17</v>
      </c>
      <c r="G23" s="129" t="s">
        <v>94</v>
      </c>
      <c r="H23" s="112"/>
      <c r="I23" s="112"/>
      <c r="J23" s="324">
        <v>0.47399999999999998</v>
      </c>
      <c r="K23" s="324">
        <v>0.10199999999999999</v>
      </c>
      <c r="L23" s="324">
        <v>0.438</v>
      </c>
      <c r="M23" s="324">
        <v>0.318</v>
      </c>
      <c r="N23" s="324">
        <v>0.54700000000000004</v>
      </c>
      <c r="O23" s="324">
        <v>0.68200000000000005</v>
      </c>
      <c r="P23" s="324">
        <v>0.73</v>
      </c>
      <c r="Q23" s="324">
        <v>0.46</v>
      </c>
      <c r="R23" s="170"/>
      <c r="S23" s="170"/>
      <c r="T23" s="170"/>
      <c r="U23" s="170"/>
      <c r="V23" s="170"/>
      <c r="W23" s="170"/>
      <c r="X23" s="170"/>
      <c r="Y23" s="170"/>
      <c r="Z23" s="195"/>
    </row>
    <row r="24" spans="2:26" x14ac:dyDescent="0.25">
      <c r="F24" s="196" t="str">
        <f>$H$17</f>
        <v>2017/18</v>
      </c>
      <c r="G24" s="130" t="s">
        <v>94</v>
      </c>
      <c r="H24" s="66"/>
      <c r="I24" s="66"/>
      <c r="J24" s="325">
        <v>0.46300000000000002</v>
      </c>
      <c r="K24" s="325">
        <v>0.106</v>
      </c>
      <c r="L24" s="325">
        <v>0.39600000000000002</v>
      </c>
      <c r="M24" s="325">
        <v>0.312</v>
      </c>
      <c r="N24" s="325">
        <v>0.55400000000000005</v>
      </c>
      <c r="O24" s="325">
        <v>0.65800000000000003</v>
      </c>
      <c r="P24" s="325">
        <v>0.74</v>
      </c>
      <c r="Q24" s="325">
        <v>0.45600000000000002</v>
      </c>
      <c r="R24" s="159"/>
      <c r="S24" s="159"/>
      <c r="T24" s="159"/>
      <c r="U24" s="159"/>
      <c r="V24" s="159"/>
      <c r="W24" s="159"/>
      <c r="X24" s="159"/>
      <c r="Y24" s="159"/>
      <c r="Z24" s="195"/>
    </row>
    <row r="25" spans="2:26" x14ac:dyDescent="0.25">
      <c r="F25" s="93" t="str">
        <f>$H$18</f>
        <v>2018/19</v>
      </c>
      <c r="G25" s="131" t="s">
        <v>94</v>
      </c>
      <c r="H25" s="145"/>
      <c r="I25" s="145"/>
      <c r="J25" s="326">
        <v>0.40899999999999997</v>
      </c>
      <c r="K25" s="326">
        <v>9.0999999999999998E-2</v>
      </c>
      <c r="L25" s="326">
        <v>0.41599999999999998</v>
      </c>
      <c r="M25" s="326">
        <v>0.33</v>
      </c>
      <c r="N25" s="326">
        <v>0.56699999999999995</v>
      </c>
      <c r="O25" s="326">
        <v>0.67800000000000005</v>
      </c>
      <c r="P25" s="326">
        <v>0.73599999999999999</v>
      </c>
      <c r="Q25" s="326">
        <v>0.45900000000000002</v>
      </c>
      <c r="R25" s="159"/>
      <c r="S25" s="159"/>
      <c r="T25" s="159"/>
      <c r="U25" s="159"/>
      <c r="V25" s="159"/>
      <c r="W25" s="159"/>
      <c r="X25" s="159"/>
      <c r="Y25" s="159"/>
      <c r="Z25" s="195"/>
    </row>
    <row r="26" spans="2:26" x14ac:dyDescent="0.25">
      <c r="F26" s="73" t="s">
        <v>564</v>
      </c>
      <c r="G26" s="169" t="s">
        <v>94</v>
      </c>
      <c r="H26" s="307"/>
      <c r="I26" s="307"/>
      <c r="J26" s="308">
        <f>AVERAGE(J23:J25)</f>
        <v>0.44866666666666671</v>
      </c>
      <c r="K26" s="308">
        <f t="shared" ref="K26:Q26" si="0">AVERAGE(K23:K25)</f>
        <v>9.9666666666666667E-2</v>
      </c>
      <c r="L26" s="308">
        <f t="shared" si="0"/>
        <v>0.41666666666666669</v>
      </c>
      <c r="M26" s="308">
        <f t="shared" si="0"/>
        <v>0.32</v>
      </c>
      <c r="N26" s="308">
        <f t="shared" si="0"/>
        <v>0.55599999999999994</v>
      </c>
      <c r="O26" s="308">
        <f t="shared" si="0"/>
        <v>0.67266666666666675</v>
      </c>
      <c r="P26" s="308">
        <f t="shared" si="0"/>
        <v>0.73533333333333328</v>
      </c>
      <c r="Q26" s="308">
        <f t="shared" si="0"/>
        <v>0.45833333333333331</v>
      </c>
      <c r="R26" s="309"/>
      <c r="S26" s="309"/>
      <c r="T26" s="309"/>
      <c r="U26" s="309"/>
      <c r="V26" s="309"/>
      <c r="W26" s="309"/>
      <c r="X26" s="309"/>
      <c r="Y26" s="309"/>
      <c r="Z26" s="195"/>
    </row>
    <row r="27" spans="2:26" x14ac:dyDescent="0.25"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95"/>
    </row>
    <row r="28" spans="2:26" x14ac:dyDescent="0.25">
      <c r="E28" s="144" t="s">
        <v>70</v>
      </c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95"/>
    </row>
    <row r="29" spans="2:26" x14ac:dyDescent="0.25">
      <c r="F29" s="91" t="str">
        <f>$H$16</f>
        <v>2016/17</v>
      </c>
      <c r="G29" s="129" t="s">
        <v>94</v>
      </c>
      <c r="H29" s="112"/>
      <c r="I29" s="112"/>
      <c r="J29" s="324">
        <v>0.91900000000000004</v>
      </c>
      <c r="K29" s="170"/>
      <c r="L29" s="324">
        <v>0.68700000000000006</v>
      </c>
      <c r="M29" s="170"/>
      <c r="N29" s="324">
        <v>0.77500000000000002</v>
      </c>
      <c r="O29" s="324">
        <v>0.82399999999999995</v>
      </c>
      <c r="P29" s="324">
        <v>0.85399999999999998</v>
      </c>
      <c r="Q29" s="324">
        <v>0.93300000000000005</v>
      </c>
      <c r="R29" s="170"/>
      <c r="S29" s="170"/>
      <c r="T29" s="170"/>
      <c r="U29" s="170"/>
      <c r="V29" s="170"/>
      <c r="W29" s="170"/>
      <c r="X29" s="170"/>
      <c r="Y29" s="170"/>
      <c r="Z29" s="195"/>
    </row>
    <row r="30" spans="2:26" x14ac:dyDescent="0.25">
      <c r="F30" s="196" t="str">
        <f>$H$17</f>
        <v>2017/18</v>
      </c>
      <c r="G30" s="130" t="s">
        <v>94</v>
      </c>
      <c r="H30" s="66"/>
      <c r="I30" s="66"/>
      <c r="J30" s="325">
        <v>0.95499999999999996</v>
      </c>
      <c r="K30" s="159"/>
      <c r="L30" s="325">
        <v>0.66600000000000004</v>
      </c>
      <c r="M30" s="159"/>
      <c r="N30" s="325">
        <v>0.79800000000000004</v>
      </c>
      <c r="O30" s="325">
        <v>0.77400000000000002</v>
      </c>
      <c r="P30" s="325">
        <v>0.85299999999999998</v>
      </c>
      <c r="Q30" s="325">
        <v>0.91900000000000004</v>
      </c>
      <c r="R30" s="159"/>
      <c r="S30" s="159"/>
      <c r="T30" s="159"/>
      <c r="U30" s="159"/>
      <c r="V30" s="159"/>
      <c r="W30" s="159"/>
      <c r="X30" s="159"/>
      <c r="Y30" s="159"/>
      <c r="Z30" s="195"/>
    </row>
    <row r="31" spans="2:26" x14ac:dyDescent="0.25">
      <c r="F31" s="196" t="str">
        <f>$H$18</f>
        <v>2018/19</v>
      </c>
      <c r="G31" s="130" t="s">
        <v>94</v>
      </c>
      <c r="H31" s="66"/>
      <c r="I31" s="66"/>
      <c r="J31" s="325">
        <v>0.82199999999999995</v>
      </c>
      <c r="K31" s="159"/>
      <c r="L31" s="325">
        <v>0.64</v>
      </c>
      <c r="M31" s="159"/>
      <c r="N31" s="325">
        <v>0.77800000000000002</v>
      </c>
      <c r="O31" s="325">
        <v>0.75800000000000001</v>
      </c>
      <c r="P31" s="325">
        <v>0.82899999999999996</v>
      </c>
      <c r="Q31" s="325">
        <v>0.92600000000000005</v>
      </c>
      <c r="R31" s="159"/>
      <c r="S31" s="159"/>
      <c r="T31" s="159"/>
      <c r="U31" s="159"/>
      <c r="V31" s="159"/>
      <c r="W31" s="159"/>
      <c r="X31" s="159"/>
      <c r="Y31" s="159"/>
      <c r="Z31" s="195"/>
    </row>
    <row r="32" spans="2:26" x14ac:dyDescent="0.25">
      <c r="F32" s="73" t="s">
        <v>564</v>
      </c>
      <c r="G32" s="169" t="s">
        <v>94</v>
      </c>
      <c r="H32" s="307"/>
      <c r="I32" s="307"/>
      <c r="J32" s="308">
        <f>AVERAGE(J29:J31)</f>
        <v>0.89866666666666672</v>
      </c>
      <c r="K32" s="309"/>
      <c r="L32" s="308">
        <f t="shared" ref="L32:O32" si="1">AVERAGE(L29:L31)</f>
        <v>0.66433333333333344</v>
      </c>
      <c r="M32" s="309"/>
      <c r="N32" s="308">
        <f t="shared" si="1"/>
        <v>0.78366666666666662</v>
      </c>
      <c r="O32" s="308">
        <f t="shared" si="1"/>
        <v>0.78533333333333333</v>
      </c>
      <c r="P32" s="308">
        <f t="shared" ref="P32:Q32" si="2">AVERAGE(P29:P31)</f>
        <v>0.84533333333333316</v>
      </c>
      <c r="Q32" s="308">
        <f t="shared" si="2"/>
        <v>0.92600000000000005</v>
      </c>
      <c r="R32" s="309"/>
      <c r="S32" s="309"/>
      <c r="T32" s="309"/>
      <c r="U32" s="309"/>
      <c r="V32" s="309"/>
      <c r="W32" s="309"/>
      <c r="X32" s="309"/>
      <c r="Y32" s="309"/>
      <c r="Z32" s="195"/>
    </row>
    <row r="33" spans="2:26" x14ac:dyDescent="0.25"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95"/>
    </row>
    <row r="34" spans="2:26" x14ac:dyDescent="0.25">
      <c r="B34" s="95" t="s">
        <v>110</v>
      </c>
      <c r="C34" s="95"/>
      <c r="D34" s="95"/>
      <c r="E34" s="95"/>
      <c r="F34" s="95"/>
      <c r="G34" s="128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195"/>
    </row>
    <row r="35" spans="2:26" x14ac:dyDescent="0.25">
      <c r="Z35" s="195"/>
    </row>
    <row r="36" spans="2:26" x14ac:dyDescent="0.25">
      <c r="Z36" s="195"/>
    </row>
    <row r="37" spans="2:26" x14ac:dyDescent="0.25">
      <c r="Z37" s="195"/>
    </row>
    <row r="38" spans="2:26" x14ac:dyDescent="0.25">
      <c r="Z38" s="195"/>
    </row>
    <row r="39" spans="2:26" x14ac:dyDescent="0.25">
      <c r="Z39" s="195"/>
    </row>
    <row r="40" spans="2:26" x14ac:dyDescent="0.25">
      <c r="Z40" s="195"/>
    </row>
    <row r="41" spans="2:26" x14ac:dyDescent="0.25">
      <c r="Z41" s="195"/>
    </row>
    <row r="42" spans="2:26" x14ac:dyDescent="0.25">
      <c r="Z42" s="195"/>
    </row>
    <row r="43" spans="2:26" x14ac:dyDescent="0.25">
      <c r="Z43" s="195"/>
    </row>
    <row r="44" spans="2:26" x14ac:dyDescent="0.25">
      <c r="Z44" s="195"/>
    </row>
  </sheetData>
  <sheetProtection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9:Y31 J23:Y25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F2" sqref="F2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108" customWidth="1"/>
    <col min="8" max="8" width="19.85546875" style="85" bestFit="1" customWidth="1"/>
    <col min="9" max="9" width="2.28515625" style="85" customWidth="1"/>
    <col min="10" max="19" width="17" style="85" customWidth="1"/>
    <col min="20" max="20" width="2.28515625" style="85" customWidth="1"/>
    <col min="21" max="301" width="20.7109375" style="85" hidden="1" customWidth="1"/>
    <col min="302" max="16384" width="9.140625" style="85" hidden="1"/>
  </cols>
  <sheetData>
    <row r="1" spans="1:19" s="10" customFormat="1" x14ac:dyDescent="0.25">
      <c r="A1" s="10" t="str">
        <f ca="1">MID(CELL("filename",A1),FIND("]",CELL("filename",A1))+1,255)</f>
        <v>ARP_Peaking probabilities</v>
      </c>
      <c r="G1" s="188"/>
    </row>
    <row r="2" spans="1:19" s="10" customFormat="1" x14ac:dyDescent="0.25">
      <c r="A2" s="10" t="str">
        <f>Cover!D21&amp;" - "&amp;Cover!D23</f>
        <v>SP Distribution - One</v>
      </c>
      <c r="G2" s="188"/>
    </row>
    <row r="3" spans="1:19" s="46" customFormat="1" x14ac:dyDescent="0.25">
      <c r="A3" s="46" t="str">
        <f>Cover!D2&amp;" - "&amp;Cover!D8&amp;" v"&amp;Cover!D10&amp;" - "&amp;Cover!D19</f>
        <v>ARP model - Release for charge setting v5 - 2021/22</v>
      </c>
      <c r="G3" s="298"/>
    </row>
    <row r="5" spans="1:19" x14ac:dyDescent="0.25">
      <c r="B5" s="134" t="s">
        <v>552</v>
      </c>
      <c r="C5" s="9"/>
      <c r="D5" s="9"/>
      <c r="E5" s="9"/>
      <c r="F5" s="9"/>
      <c r="G5" s="1" t="s">
        <v>91</v>
      </c>
      <c r="H5" s="2" t="s">
        <v>92</v>
      </c>
      <c r="I5" s="111"/>
      <c r="J5" s="11" t="s">
        <v>324</v>
      </c>
      <c r="K5" s="11" t="s">
        <v>43</v>
      </c>
      <c r="L5" s="11"/>
      <c r="M5" s="11"/>
      <c r="N5" s="11" t="s">
        <v>46</v>
      </c>
      <c r="O5" s="11" t="s">
        <v>47</v>
      </c>
      <c r="P5" s="11"/>
      <c r="Q5" s="11" t="s">
        <v>48</v>
      </c>
      <c r="R5" s="11" t="s">
        <v>49</v>
      </c>
      <c r="S5" s="11" t="s">
        <v>50</v>
      </c>
    </row>
    <row r="7" spans="1:19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</row>
    <row r="9" spans="1:19" x14ac:dyDescent="0.25">
      <c r="C9" s="82" t="s">
        <v>941</v>
      </c>
    </row>
    <row r="10" spans="1:19" s="295" customFormat="1" x14ac:dyDescent="0.25">
      <c r="C10" s="82" t="s">
        <v>942</v>
      </c>
      <c r="G10" s="108"/>
    </row>
    <row r="11" spans="1:19" x14ac:dyDescent="0.25">
      <c r="C11" s="82" t="s">
        <v>565</v>
      </c>
    </row>
    <row r="12" spans="1:19" x14ac:dyDescent="0.25">
      <c r="C12" s="82" t="s">
        <v>562</v>
      </c>
    </row>
    <row r="13" spans="1:19" x14ac:dyDescent="0.25">
      <c r="D13" s="14"/>
    </row>
    <row r="14" spans="1:19" x14ac:dyDescent="0.25">
      <c r="B14" s="95" t="s">
        <v>265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</row>
    <row r="16" spans="1:19" x14ac:dyDescent="0.25">
      <c r="E16" s="96" t="s">
        <v>563</v>
      </c>
    </row>
    <row r="17" spans="2:19" x14ac:dyDescent="0.25">
      <c r="F17" s="91" t="s">
        <v>595</v>
      </c>
      <c r="G17" s="129" t="s">
        <v>583</v>
      </c>
      <c r="H17" s="199" t="str">
        <f>LEFT(H18,4) - 1 &amp; "/" &amp; RIGHT(H18,2) - 1</f>
        <v>2016/17</v>
      </c>
    </row>
    <row r="18" spans="2:19" x14ac:dyDescent="0.25">
      <c r="F18" s="196" t="s">
        <v>596</v>
      </c>
      <c r="G18" s="130" t="s">
        <v>583</v>
      </c>
      <c r="H18" s="84" t="str">
        <f>LEFT(H19,4) - 1 &amp; "/" &amp; RIGHT(H19,2) - 1</f>
        <v>2017/18</v>
      </c>
    </row>
    <row r="19" spans="2:19" x14ac:dyDescent="0.25">
      <c r="F19" s="93" t="s">
        <v>597</v>
      </c>
      <c r="G19" s="131" t="s">
        <v>583</v>
      </c>
      <c r="H19" s="198" t="str">
        <f>'ARP_User control'!$G$28</f>
        <v>2018/19</v>
      </c>
    </row>
    <row r="21" spans="2:19" x14ac:dyDescent="0.25">
      <c r="B21" s="95" t="s">
        <v>598</v>
      </c>
      <c r="C21" s="95"/>
      <c r="D21" s="95"/>
      <c r="E21" s="95"/>
      <c r="F21" s="95"/>
      <c r="G21" s="128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</row>
    <row r="23" spans="2:19" x14ac:dyDescent="0.25">
      <c r="E23" s="96" t="s">
        <v>599</v>
      </c>
    </row>
    <row r="24" spans="2:19" x14ac:dyDescent="0.25">
      <c r="E24" s="92"/>
      <c r="F24" s="91" t="str">
        <f>$H$17</f>
        <v>2016/17</v>
      </c>
      <c r="G24" s="129" t="s">
        <v>94</v>
      </c>
      <c r="H24" s="112"/>
      <c r="I24" s="112"/>
      <c r="J24" s="132"/>
      <c r="K24" s="324">
        <v>0.76075799392148313</v>
      </c>
      <c r="L24" s="324"/>
      <c r="M24" s="324"/>
      <c r="N24" s="324">
        <v>0.76075799392148313</v>
      </c>
      <c r="O24" s="324">
        <v>0.69711621558147696</v>
      </c>
      <c r="P24" s="324"/>
      <c r="Q24" s="324">
        <v>0.69711621558147696</v>
      </c>
      <c r="R24" s="324">
        <v>0.69711621558147696</v>
      </c>
      <c r="S24" s="324">
        <v>0.69711621558147696</v>
      </c>
    </row>
    <row r="25" spans="2:19" x14ac:dyDescent="0.25">
      <c r="E25" s="92"/>
      <c r="F25" s="196" t="str">
        <f>$H$18</f>
        <v>2017/18</v>
      </c>
      <c r="G25" s="130" t="s">
        <v>94</v>
      </c>
      <c r="H25" s="66"/>
      <c r="I25" s="66"/>
      <c r="J25" s="37"/>
      <c r="K25" s="325">
        <v>0.71546833695952494</v>
      </c>
      <c r="L25" s="325"/>
      <c r="M25" s="325"/>
      <c r="N25" s="325">
        <v>0.71546833695952494</v>
      </c>
      <c r="O25" s="325">
        <v>0.61622669812416919</v>
      </c>
      <c r="P25" s="325"/>
      <c r="Q25" s="325">
        <v>0.61622669812416919</v>
      </c>
      <c r="R25" s="325">
        <v>0.61622669812416919</v>
      </c>
      <c r="S25" s="325">
        <v>0.61622669812416919</v>
      </c>
    </row>
    <row r="26" spans="2:19" x14ac:dyDescent="0.25">
      <c r="E26" s="92"/>
      <c r="F26" s="93" t="str">
        <f>$H$19</f>
        <v>2018/19</v>
      </c>
      <c r="G26" s="131" t="s">
        <v>94</v>
      </c>
      <c r="H26" s="145"/>
      <c r="I26" s="145"/>
      <c r="J26" s="38"/>
      <c r="K26" s="326">
        <v>0.73433239444650844</v>
      </c>
      <c r="L26" s="326"/>
      <c r="M26" s="326"/>
      <c r="N26" s="326">
        <v>0.73433239444650844</v>
      </c>
      <c r="O26" s="326">
        <v>0.6231442104170839</v>
      </c>
      <c r="P26" s="326"/>
      <c r="Q26" s="326">
        <v>0.6231442104170839</v>
      </c>
      <c r="R26" s="326">
        <v>0.6231442104170839</v>
      </c>
      <c r="S26" s="326">
        <v>0.6231442104170839</v>
      </c>
    </row>
    <row r="27" spans="2:19" x14ac:dyDescent="0.25">
      <c r="E27" s="92"/>
      <c r="F27" s="93" t="s">
        <v>564</v>
      </c>
      <c r="G27" s="131" t="s">
        <v>94</v>
      </c>
      <c r="H27" s="145"/>
      <c r="I27" s="145"/>
      <c r="J27" s="38"/>
      <c r="K27" s="310">
        <f t="shared" ref="K27:S27" si="0">AVERAGE(K24:K26)</f>
        <v>0.73685290844250551</v>
      </c>
      <c r="L27" s="310"/>
      <c r="M27" s="310"/>
      <c r="N27" s="310">
        <f t="shared" si="0"/>
        <v>0.73685290844250551</v>
      </c>
      <c r="O27" s="310">
        <f t="shared" si="0"/>
        <v>0.64549570804091005</v>
      </c>
      <c r="P27" s="310"/>
      <c r="Q27" s="310">
        <f t="shared" si="0"/>
        <v>0.64549570804091005</v>
      </c>
      <c r="R27" s="310">
        <f t="shared" si="0"/>
        <v>0.64549570804091005</v>
      </c>
      <c r="S27" s="310">
        <f t="shared" si="0"/>
        <v>0.64549570804091005</v>
      </c>
    </row>
    <row r="29" spans="2:19" x14ac:dyDescent="0.25">
      <c r="E29" s="96" t="s">
        <v>600</v>
      </c>
      <c r="G29" s="130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</row>
    <row r="30" spans="2:19" x14ac:dyDescent="0.25">
      <c r="E30" s="92"/>
      <c r="F30" s="91" t="str">
        <f>$H$17</f>
        <v>2016/17</v>
      </c>
      <c r="G30" s="129" t="s">
        <v>94</v>
      </c>
      <c r="H30" s="112"/>
      <c r="I30" s="112"/>
      <c r="J30" s="132"/>
      <c r="K30" s="324">
        <v>0.22777651317830325</v>
      </c>
      <c r="L30" s="324"/>
      <c r="M30" s="324"/>
      <c r="N30" s="324">
        <v>0.22777651317830325</v>
      </c>
      <c r="O30" s="324">
        <v>0.28937231214755404</v>
      </c>
      <c r="P30" s="324"/>
      <c r="Q30" s="324">
        <v>0.28937231214755404</v>
      </c>
      <c r="R30" s="324">
        <v>0.28937231214755404</v>
      </c>
      <c r="S30" s="324">
        <v>0.28937231214755404</v>
      </c>
    </row>
    <row r="31" spans="2:19" x14ac:dyDescent="0.25">
      <c r="E31" s="92"/>
      <c r="F31" s="196" t="str">
        <f>$H$18</f>
        <v>2017/18</v>
      </c>
      <c r="G31" s="130" t="s">
        <v>94</v>
      </c>
      <c r="H31" s="66"/>
      <c r="I31" s="66"/>
      <c r="J31" s="37"/>
      <c r="K31" s="325">
        <v>0.28397931298579127</v>
      </c>
      <c r="L31" s="325"/>
      <c r="M31" s="325"/>
      <c r="N31" s="325">
        <v>0.28397931298579127</v>
      </c>
      <c r="O31" s="325">
        <v>0.36563289742735666</v>
      </c>
      <c r="P31" s="325"/>
      <c r="Q31" s="325">
        <v>0.36563289742735666</v>
      </c>
      <c r="R31" s="325">
        <v>0.36563289742735666</v>
      </c>
      <c r="S31" s="325">
        <v>0.36563289742735666</v>
      </c>
    </row>
    <row r="32" spans="2:19" x14ac:dyDescent="0.25">
      <c r="E32" s="92"/>
      <c r="F32" s="93" t="str">
        <f>$H$19</f>
        <v>2018/19</v>
      </c>
      <c r="G32" s="131" t="s">
        <v>94</v>
      </c>
      <c r="H32" s="145"/>
      <c r="I32" s="145"/>
      <c r="J32" s="38"/>
      <c r="K32" s="326">
        <v>0.26115365075885144</v>
      </c>
      <c r="L32" s="326"/>
      <c r="M32" s="326"/>
      <c r="N32" s="326">
        <v>0.26115365075885144</v>
      </c>
      <c r="O32" s="326">
        <v>0.36236622744919555</v>
      </c>
      <c r="P32" s="326"/>
      <c r="Q32" s="326">
        <v>0.36236622744919555</v>
      </c>
      <c r="R32" s="326">
        <v>0.36236622744919555</v>
      </c>
      <c r="S32" s="326">
        <v>0.36236622744919555</v>
      </c>
    </row>
    <row r="33" spans="2:19" x14ac:dyDescent="0.25">
      <c r="E33" s="92"/>
      <c r="F33" s="93" t="s">
        <v>564</v>
      </c>
      <c r="G33" s="131" t="s">
        <v>94</v>
      </c>
      <c r="H33" s="145"/>
      <c r="I33" s="145"/>
      <c r="J33" s="38"/>
      <c r="K33" s="310">
        <f t="shared" ref="K33:S33" si="1">AVERAGE(K30:K32)</f>
        <v>0.25763649230764868</v>
      </c>
      <c r="L33" s="310"/>
      <c r="M33" s="310"/>
      <c r="N33" s="310">
        <f t="shared" si="1"/>
        <v>0.25763649230764868</v>
      </c>
      <c r="O33" s="310">
        <f t="shared" si="1"/>
        <v>0.33912381234136874</v>
      </c>
      <c r="P33" s="310"/>
      <c r="Q33" s="310">
        <f t="shared" si="1"/>
        <v>0.33912381234136874</v>
      </c>
      <c r="R33" s="310">
        <f t="shared" si="1"/>
        <v>0.33912381234136874</v>
      </c>
      <c r="S33" s="310">
        <f t="shared" si="1"/>
        <v>0.33912381234136874</v>
      </c>
    </row>
    <row r="35" spans="2:19" x14ac:dyDescent="0.25">
      <c r="E35" s="96" t="s">
        <v>601</v>
      </c>
      <c r="G35" s="130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</row>
    <row r="36" spans="2:19" x14ac:dyDescent="0.25">
      <c r="E36" s="92"/>
      <c r="F36" s="91" t="str">
        <f>$H$17</f>
        <v>2016/17</v>
      </c>
      <c r="G36" s="129" t="s">
        <v>94</v>
      </c>
      <c r="H36" s="112"/>
      <c r="I36" s="112"/>
      <c r="J36" s="132"/>
      <c r="K36" s="324">
        <v>1.1465492900213512E-2</v>
      </c>
      <c r="L36" s="324"/>
      <c r="M36" s="324"/>
      <c r="N36" s="324">
        <v>1.1465492900213512E-2</v>
      </c>
      <c r="O36" s="324">
        <v>1.3511472270967969E-2</v>
      </c>
      <c r="P36" s="324"/>
      <c r="Q36" s="324">
        <v>1.3511472270967969E-2</v>
      </c>
      <c r="R36" s="324">
        <v>1.3511472270967969E-2</v>
      </c>
      <c r="S36" s="324">
        <v>1.3511472270967969E-2</v>
      </c>
    </row>
    <row r="37" spans="2:19" x14ac:dyDescent="0.25">
      <c r="E37" s="92"/>
      <c r="F37" s="196" t="str">
        <f>$H$18</f>
        <v>2017/18</v>
      </c>
      <c r="G37" s="130" t="s">
        <v>94</v>
      </c>
      <c r="H37" s="66"/>
      <c r="I37" s="66"/>
      <c r="J37" s="37"/>
      <c r="K37" s="325">
        <v>5.5235005468374284E-4</v>
      </c>
      <c r="L37" s="325"/>
      <c r="M37" s="325"/>
      <c r="N37" s="325">
        <v>5.5235005468374284E-4</v>
      </c>
      <c r="O37" s="325">
        <v>1.8140404448474517E-2</v>
      </c>
      <c r="P37" s="325"/>
      <c r="Q37" s="325">
        <v>1.8140404448474517E-2</v>
      </c>
      <c r="R37" s="325">
        <v>1.8140404448474517E-2</v>
      </c>
      <c r="S37" s="325">
        <v>1.8140404448474517E-2</v>
      </c>
    </row>
    <row r="38" spans="2:19" x14ac:dyDescent="0.25">
      <c r="E38" s="92"/>
      <c r="F38" s="93" t="str">
        <f>$H$19</f>
        <v>2018/19</v>
      </c>
      <c r="G38" s="131" t="s">
        <v>94</v>
      </c>
      <c r="H38" s="145"/>
      <c r="I38" s="145"/>
      <c r="J38" s="38"/>
      <c r="K38" s="326">
        <v>4.5139547946400583E-3</v>
      </c>
      <c r="L38" s="326"/>
      <c r="M38" s="326"/>
      <c r="N38" s="326">
        <v>4.5139547946400583E-3</v>
      </c>
      <c r="O38" s="326">
        <v>1.4489562133720876E-2</v>
      </c>
      <c r="P38" s="326"/>
      <c r="Q38" s="326">
        <v>1.4489562133720876E-2</v>
      </c>
      <c r="R38" s="326">
        <v>1.4489562133720876E-2</v>
      </c>
      <c r="S38" s="326">
        <v>1.4489562133720876E-2</v>
      </c>
    </row>
    <row r="39" spans="2:19" x14ac:dyDescent="0.25">
      <c r="F39" s="93" t="s">
        <v>564</v>
      </c>
      <c r="G39" s="131" t="s">
        <v>94</v>
      </c>
      <c r="H39" s="145"/>
      <c r="I39" s="145"/>
      <c r="J39" s="38"/>
      <c r="K39" s="310">
        <f t="shared" ref="K39:S39" si="2">AVERAGE(K36:K38)</f>
        <v>5.5105992498457714E-3</v>
      </c>
      <c r="L39" s="310"/>
      <c r="M39" s="310"/>
      <c r="N39" s="310">
        <f t="shared" si="2"/>
        <v>5.5105992498457714E-3</v>
      </c>
      <c r="O39" s="310">
        <f t="shared" si="2"/>
        <v>1.5380479617721122E-2</v>
      </c>
      <c r="P39" s="310"/>
      <c r="Q39" s="310">
        <f t="shared" si="2"/>
        <v>1.5380479617721122E-2</v>
      </c>
      <c r="R39" s="310">
        <f t="shared" si="2"/>
        <v>1.5380479617721122E-2</v>
      </c>
      <c r="S39" s="310">
        <f t="shared" si="2"/>
        <v>1.5380479617721122E-2</v>
      </c>
    </row>
    <row r="41" spans="2:19" x14ac:dyDescent="0.25">
      <c r="E41" s="96" t="s">
        <v>602</v>
      </c>
      <c r="G41" s="130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</row>
    <row r="42" spans="2:19" x14ac:dyDescent="0.25">
      <c r="E42" s="92"/>
      <c r="F42" s="91" t="str">
        <f>$H$17</f>
        <v>2016/17</v>
      </c>
      <c r="G42" s="129" t="s">
        <v>94</v>
      </c>
      <c r="H42" s="112"/>
      <c r="I42" s="112"/>
      <c r="J42" s="132"/>
      <c r="K42" s="324">
        <v>0.72865700958002111</v>
      </c>
      <c r="L42" s="324"/>
      <c r="M42" s="324"/>
      <c r="N42" s="324">
        <v>0.72865700958002111</v>
      </c>
      <c r="O42" s="324">
        <v>0.66626017246329228</v>
      </c>
      <c r="P42" s="324"/>
      <c r="Q42" s="324">
        <v>0.66626017246329228</v>
      </c>
      <c r="R42" s="324">
        <v>0.66626017246329228</v>
      </c>
      <c r="S42" s="324">
        <v>0.66626017246329228</v>
      </c>
    </row>
    <row r="43" spans="2:19" x14ac:dyDescent="0.25">
      <c r="E43" s="92"/>
      <c r="F43" s="196" t="str">
        <f>$H$18</f>
        <v>2017/18</v>
      </c>
      <c r="G43" s="130" t="s">
        <v>94</v>
      </c>
      <c r="H43" s="66"/>
      <c r="I43" s="66"/>
      <c r="J43" s="37"/>
      <c r="K43" s="325">
        <v>0.63312612789647893</v>
      </c>
      <c r="L43" s="325"/>
      <c r="M43" s="325"/>
      <c r="N43" s="325">
        <v>0.63312612789647893</v>
      </c>
      <c r="O43" s="325">
        <v>0.57500520755165951</v>
      </c>
      <c r="P43" s="325"/>
      <c r="Q43" s="325">
        <v>0.57500520755165951</v>
      </c>
      <c r="R43" s="325">
        <v>0.57500520755165951</v>
      </c>
      <c r="S43" s="325">
        <v>0.57500520755165951</v>
      </c>
    </row>
    <row r="44" spans="2:19" x14ac:dyDescent="0.25">
      <c r="E44" s="92"/>
      <c r="F44" s="93" t="str">
        <f>$H$19</f>
        <v>2018/19</v>
      </c>
      <c r="G44" s="131" t="s">
        <v>94</v>
      </c>
      <c r="H44" s="145"/>
      <c r="I44" s="145"/>
      <c r="J44" s="38"/>
      <c r="K44" s="326">
        <v>0.64987028235664601</v>
      </c>
      <c r="L44" s="326"/>
      <c r="M44" s="326"/>
      <c r="N44" s="326">
        <v>0.64987028235664601</v>
      </c>
      <c r="O44" s="326">
        <v>0.57407809524405173</v>
      </c>
      <c r="P44" s="326"/>
      <c r="Q44" s="326">
        <v>0.57407809524405173</v>
      </c>
      <c r="R44" s="326">
        <v>0.57407809524405173</v>
      </c>
      <c r="S44" s="326">
        <v>0.57407809524405173</v>
      </c>
    </row>
    <row r="45" spans="2:19" x14ac:dyDescent="0.25">
      <c r="F45" s="93" t="s">
        <v>564</v>
      </c>
      <c r="G45" s="131" t="s">
        <v>94</v>
      </c>
      <c r="H45" s="145"/>
      <c r="I45" s="145"/>
      <c r="J45" s="38"/>
      <c r="K45" s="310">
        <f t="shared" ref="K45:S45" si="3">AVERAGE(K42:K44)</f>
        <v>0.67055113994438198</v>
      </c>
      <c r="L45" s="310"/>
      <c r="M45" s="310"/>
      <c r="N45" s="310">
        <f t="shared" si="3"/>
        <v>0.67055113994438198</v>
      </c>
      <c r="O45" s="310">
        <f t="shared" si="3"/>
        <v>0.60511449175300125</v>
      </c>
      <c r="P45" s="310"/>
      <c r="Q45" s="310">
        <f t="shared" si="3"/>
        <v>0.60511449175300125</v>
      </c>
      <c r="R45" s="310">
        <f t="shared" si="3"/>
        <v>0.60511449175300125</v>
      </c>
      <c r="S45" s="310">
        <f t="shared" si="3"/>
        <v>0.60511449175300125</v>
      </c>
    </row>
    <row r="47" spans="2:19" x14ac:dyDescent="0.25">
      <c r="B47" s="95" t="s">
        <v>110</v>
      </c>
      <c r="C47" s="95"/>
      <c r="D47" s="95"/>
      <c r="E47" s="95"/>
      <c r="F47" s="95"/>
      <c r="G47" s="128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</row>
  </sheetData>
  <sheetProtection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4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85" customWidth="1"/>
    <col min="8" max="8" width="24.5703125" style="85" customWidth="1"/>
    <col min="9" max="10" width="4.28515625" style="85" customWidth="1"/>
    <col min="11" max="13" width="8.85546875" style="85" hidden="1" customWidth="1"/>
    <col min="14" max="28" width="0" style="85" hidden="1" customWidth="1"/>
    <col min="29" max="16384" width="8.85546875" style="85" hidden="1"/>
  </cols>
  <sheetData>
    <row r="1" spans="1:9" s="10" customFormat="1" x14ac:dyDescent="0.25">
      <c r="A1" s="10" t="str">
        <f ca="1">MID(CELL("filename",A1),FIND("]",CELL("filename",A1))+1,255)</f>
        <v>ARP_User control</v>
      </c>
    </row>
    <row r="2" spans="1:9" s="10" customFormat="1" x14ac:dyDescent="0.25">
      <c r="A2" s="10" t="str">
        <f>Cover!D21&amp;" - "&amp;Cover!D23</f>
        <v>SP Distribution - One</v>
      </c>
    </row>
    <row r="3" spans="1:9" s="46" customFormat="1" x14ac:dyDescent="0.25">
      <c r="A3" s="46" t="str">
        <f>Cover!D2&amp;" - "&amp;Cover!D8&amp;" v"&amp;Cover!D10&amp;" - "&amp;Cover!D19</f>
        <v>ARP model - Release for charge setting v5 - 2021/22</v>
      </c>
    </row>
    <row r="5" spans="1:9" x14ac:dyDescent="0.25">
      <c r="B5" s="95" t="s">
        <v>90</v>
      </c>
      <c r="C5" s="95"/>
      <c r="D5" s="95"/>
      <c r="E5" s="95"/>
      <c r="F5" s="95"/>
      <c r="G5" s="95"/>
      <c r="H5" s="95"/>
      <c r="I5" s="95"/>
    </row>
    <row r="7" spans="1:9" x14ac:dyDescent="0.25">
      <c r="C7" s="82" t="s">
        <v>791</v>
      </c>
    </row>
    <row r="8" spans="1:9" s="295" customFormat="1" x14ac:dyDescent="0.25">
      <c r="C8" s="82" t="s">
        <v>792</v>
      </c>
    </row>
    <row r="9" spans="1:9" x14ac:dyDescent="0.25">
      <c r="E9" s="14"/>
    </row>
    <row r="10" spans="1:9" x14ac:dyDescent="0.25">
      <c r="B10" s="95" t="s">
        <v>566</v>
      </c>
      <c r="C10" s="95"/>
      <c r="D10" s="95"/>
      <c r="E10" s="95"/>
      <c r="F10" s="95"/>
      <c r="G10" s="95"/>
      <c r="H10" s="95"/>
      <c r="I10" s="95"/>
    </row>
    <row r="11" spans="1:9" x14ac:dyDescent="0.25">
      <c r="G11" s="92"/>
    </row>
    <row r="12" spans="1:9" x14ac:dyDescent="0.25">
      <c r="C12" s="82" t="s">
        <v>793</v>
      </c>
    </row>
    <row r="13" spans="1:9" x14ac:dyDescent="0.25">
      <c r="C13" s="82" t="s">
        <v>794</v>
      </c>
    </row>
    <row r="14" spans="1:9" s="195" customFormat="1" x14ac:dyDescent="0.25">
      <c r="C14" s="82"/>
    </row>
    <row r="15" spans="1:9" s="195" customFormat="1" x14ac:dyDescent="0.25">
      <c r="C15" s="7" t="s">
        <v>697</v>
      </c>
      <c r="D15" s="7"/>
      <c r="E15" s="7"/>
      <c r="F15" s="7"/>
      <c r="G15" s="7"/>
      <c r="H15" s="7"/>
      <c r="I15" s="7"/>
    </row>
    <row r="16" spans="1:9" s="195" customFormat="1" x14ac:dyDescent="0.25">
      <c r="E16" s="82"/>
    </row>
    <row r="17" spans="2:9" x14ac:dyDescent="0.25">
      <c r="E17" s="76" t="s">
        <v>568</v>
      </c>
      <c r="G17" s="323" t="s">
        <v>1156</v>
      </c>
    </row>
    <row r="18" spans="2:9" x14ac:dyDescent="0.25">
      <c r="H18" s="108"/>
    </row>
    <row r="19" spans="2:9" s="195" customFormat="1" x14ac:dyDescent="0.25">
      <c r="C19" s="7" t="s">
        <v>677</v>
      </c>
      <c r="D19" s="7"/>
      <c r="E19" s="7"/>
      <c r="F19" s="7"/>
      <c r="G19" s="7"/>
      <c r="H19" s="7"/>
      <c r="I19" s="7"/>
    </row>
    <row r="20" spans="2:9" x14ac:dyDescent="0.25">
      <c r="E20" s="82"/>
    </row>
    <row r="21" spans="2:9" s="195" customFormat="1" x14ac:dyDescent="0.25">
      <c r="E21" s="82"/>
    </row>
    <row r="22" spans="2:9" s="195" customFormat="1" x14ac:dyDescent="0.25">
      <c r="E22" s="82"/>
    </row>
    <row r="23" spans="2:9" s="195" customFormat="1" x14ac:dyDescent="0.25">
      <c r="E23" s="82"/>
    </row>
    <row r="24" spans="2:9" s="195" customFormat="1" x14ac:dyDescent="0.25">
      <c r="E24" s="82"/>
    </row>
    <row r="25" spans="2:9" s="195" customFormat="1" x14ac:dyDescent="0.25">
      <c r="B25" s="95" t="s">
        <v>678</v>
      </c>
      <c r="C25" s="95"/>
      <c r="D25" s="95"/>
      <c r="E25" s="95"/>
      <c r="F25" s="95"/>
      <c r="G25" s="95"/>
      <c r="H25" s="95"/>
      <c r="I25" s="95"/>
    </row>
    <row r="26" spans="2:9" s="195" customFormat="1" x14ac:dyDescent="0.25">
      <c r="G26" s="196"/>
    </row>
    <row r="27" spans="2:9" x14ac:dyDescent="0.25">
      <c r="D27" s="96" t="s">
        <v>590</v>
      </c>
      <c r="H27" s="108"/>
    </row>
    <row r="28" spans="2:9" x14ac:dyDescent="0.25">
      <c r="E28" s="40" t="s">
        <v>569</v>
      </c>
      <c r="F28" s="91"/>
      <c r="G28" s="156" t="str">
        <f>LEFT(G29,4) - 1 &amp; "/" &amp; RIGHT(G29,2) - 1</f>
        <v>2018/19</v>
      </c>
      <c r="H28" s="327" t="s">
        <v>570</v>
      </c>
    </row>
    <row r="29" spans="2:9" x14ac:dyDescent="0.25">
      <c r="E29" s="39" t="s">
        <v>571</v>
      </c>
      <c r="F29" s="92"/>
      <c r="G29" s="148" t="str">
        <f>LEFT(G30,4) - 1 &amp; "/" &amp; RIGHT(G30,2) - 1</f>
        <v>2019/20</v>
      </c>
      <c r="H29" s="328" t="s">
        <v>570</v>
      </c>
    </row>
    <row r="30" spans="2:9" x14ac:dyDescent="0.25">
      <c r="E30" s="39" t="s">
        <v>572</v>
      </c>
      <c r="F30" s="92"/>
      <c r="G30" s="148" t="str">
        <f>LEFT(G31,4) - 1 &amp; "/" &amp; RIGHT(G31,2) - 1</f>
        <v>2020/21</v>
      </c>
      <c r="H30" s="328" t="s">
        <v>570</v>
      </c>
    </row>
    <row r="31" spans="2:9" x14ac:dyDescent="0.25">
      <c r="E31" s="39" t="str">
        <f>"Charging year (" &amp; charging_year &amp;")"</f>
        <v>Charging year (2021/22)</v>
      </c>
      <c r="F31" s="92"/>
      <c r="G31" s="148" t="str">
        <f>charging_year</f>
        <v>2021/22</v>
      </c>
      <c r="H31" s="328" t="s">
        <v>573</v>
      </c>
    </row>
    <row r="32" spans="2:9" x14ac:dyDescent="0.25">
      <c r="E32" s="39" t="s">
        <v>574</v>
      </c>
      <c r="F32" s="92"/>
      <c r="G32" s="148" t="str">
        <f>LEFT(G31,4) + 1 &amp; "/" &amp; RIGHT(G31,2) + 1</f>
        <v>2022/23</v>
      </c>
      <c r="H32" s="328" t="s">
        <v>575</v>
      </c>
    </row>
    <row r="33" spans="2:9" x14ac:dyDescent="0.25">
      <c r="E33" s="39" t="s">
        <v>576</v>
      </c>
      <c r="F33" s="92"/>
      <c r="G33" s="148" t="str">
        <f t="shared" ref="G33:G35" si="0">LEFT(G32,4) + 1 &amp; "/" &amp; RIGHT(G32,2) + 1</f>
        <v>2023/24</v>
      </c>
      <c r="H33" s="328" t="s">
        <v>575</v>
      </c>
    </row>
    <row r="34" spans="2:9" x14ac:dyDescent="0.25">
      <c r="E34" s="39" t="s">
        <v>577</v>
      </c>
      <c r="F34" s="92"/>
      <c r="G34" s="148" t="str">
        <f t="shared" si="0"/>
        <v>2024/25</v>
      </c>
      <c r="H34" s="328" t="s">
        <v>575</v>
      </c>
    </row>
    <row r="35" spans="2:9" x14ac:dyDescent="0.25">
      <c r="E35" s="36" t="s">
        <v>578</v>
      </c>
      <c r="F35" s="93"/>
      <c r="G35" s="155" t="str">
        <f t="shared" si="0"/>
        <v>2025/26</v>
      </c>
      <c r="H35" s="329" t="s">
        <v>575</v>
      </c>
    </row>
    <row r="36" spans="2:9" x14ac:dyDescent="0.25">
      <c r="E36" s="157" t="s">
        <v>579</v>
      </c>
      <c r="F36" s="73"/>
      <c r="G36" s="158">
        <f>MATCH(G17,G28:G35)</f>
        <v>4</v>
      </c>
      <c r="H36" s="197" t="str">
        <f>INDEX(H28:H35,MATCH($G$17,$G$28:$G$35,0))</f>
        <v>Current</v>
      </c>
    </row>
    <row r="38" spans="2:9" x14ac:dyDescent="0.25">
      <c r="B38" s="95" t="s">
        <v>110</v>
      </c>
      <c r="C38" s="95"/>
      <c r="D38" s="95"/>
      <c r="E38" s="95"/>
      <c r="F38" s="95"/>
      <c r="G38" s="95"/>
      <c r="H38" s="95"/>
      <c r="I38" s="95"/>
    </row>
    <row r="39" spans="2:9" x14ac:dyDescent="0.25">
      <c r="F39" s="88"/>
      <c r="G39" s="88"/>
      <c r="H39" s="88"/>
      <c r="I39" s="88"/>
    </row>
    <row r="40" spans="2:9" x14ac:dyDescent="0.25">
      <c r="F40" s="88"/>
      <c r="G40" s="88"/>
      <c r="H40" s="88"/>
      <c r="I40" s="88"/>
    </row>
  </sheetData>
  <sheetProtection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133350</xdr:colOff>
                    <xdr:row>20</xdr:row>
                    <xdr:rowOff>47625</xdr:rowOff>
                  </from>
                  <to>
                    <xdr:col>7</xdr:col>
                    <xdr:colOff>1657350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532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 activeCell="F5" sqref="F5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7109375" style="85" customWidth="1"/>
    <col min="9" max="9" width="2.28515625" style="111" customWidth="1"/>
    <col min="10" max="10" width="20.7109375" style="85" bestFit="1" customWidth="1"/>
    <col min="11" max="11" width="2.28515625" style="85" customWidth="1"/>
    <col min="12" max="19" width="15.7109375" style="85" customWidth="1"/>
    <col min="20" max="20" width="2.28515625" style="85" customWidth="1"/>
    <col min="21" max="21" width="50.7109375" style="85" customWidth="1"/>
    <col min="22" max="22" width="2.28515625" style="85" customWidth="1"/>
    <col min="23" max="272" width="20.7109375" style="85" hidden="1" customWidth="1"/>
    <col min="273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ARP_Inputs by customer type</v>
      </c>
      <c r="I1" s="8"/>
    </row>
    <row r="2" spans="1:97" s="10" customFormat="1" x14ac:dyDescent="0.25">
      <c r="A2" s="10" t="str">
        <f>Cover!D21&amp;" - "&amp;Cover!D23</f>
        <v>SP Distribution - One</v>
      </c>
      <c r="I2" s="8"/>
    </row>
    <row r="3" spans="1:97" s="46" customFormat="1" x14ac:dyDescent="0.25">
      <c r="A3" s="46" t="str">
        <f>Cover!D2&amp;" - "&amp;Cover!D8&amp;" v"&amp;Cover!D10&amp;" - "&amp;Cover!D19</f>
        <v>ARP model - Release for charge setting v5 - 2021/22</v>
      </c>
      <c r="I3" s="311"/>
    </row>
    <row r="4" spans="1:97" s="195" customFormat="1" x14ac:dyDescent="0.25">
      <c r="A4" s="229" t="str">
        <f>H530 &amp; IF(H530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(2021/22)</v>
      </c>
      <c r="K5" s="111"/>
      <c r="L5" s="35" t="str">
        <f t="array" ref="L5:S6">TRANSPOSE('ARP_User control'!G28:H35)</f>
        <v>2018/19</v>
      </c>
      <c r="M5" s="35" t="str">
        <v>2019/20</v>
      </c>
      <c r="N5" s="35" t="str">
        <v>2020/21</v>
      </c>
      <c r="O5" s="35" t="str">
        <v>2021/22</v>
      </c>
      <c r="P5" s="35" t="str">
        <v>2022/23</v>
      </c>
      <c r="Q5" s="35" t="str">
        <v>2023/24</v>
      </c>
      <c r="R5" s="35" t="str">
        <v>2024/25</v>
      </c>
      <c r="S5" s="35" t="str">
        <v>2025/26</v>
      </c>
      <c r="U5" s="35"/>
    </row>
    <row r="6" spans="1:97" x14ac:dyDescent="0.25">
      <c r="B6" s="134" t="s">
        <v>552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K6" s="111"/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95"/>
      <c r="H8" s="95"/>
      <c r="I8" s="160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25">
      <c r="D9" s="14"/>
    </row>
    <row r="10" spans="1:97" x14ac:dyDescent="0.25">
      <c r="C10" s="82" t="s">
        <v>795</v>
      </c>
    </row>
    <row r="11" spans="1:97" s="295" customFormat="1" x14ac:dyDescent="0.25">
      <c r="C11" s="82" t="s">
        <v>796</v>
      </c>
      <c r="I11" s="111"/>
    </row>
    <row r="12" spans="1:97" s="295" customFormat="1" x14ac:dyDescent="0.25">
      <c r="C12" s="82" t="s">
        <v>891</v>
      </c>
      <c r="I12" s="111"/>
    </row>
    <row r="13" spans="1:97" x14ac:dyDescent="0.25">
      <c r="D13" s="14"/>
    </row>
    <row r="14" spans="1:97" x14ac:dyDescent="0.25">
      <c r="B14" s="95" t="s">
        <v>359</v>
      </c>
      <c r="C14" s="95"/>
      <c r="D14" s="95"/>
      <c r="E14" s="95"/>
      <c r="F14" s="95"/>
      <c r="G14" s="95"/>
      <c r="H14" s="95"/>
      <c r="I14" s="160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</row>
    <row r="15" spans="1:97" x14ac:dyDescent="0.25">
      <c r="D15" s="14"/>
    </row>
    <row r="16" spans="1:97" s="195" customFormat="1" x14ac:dyDescent="0.25">
      <c r="C16" s="7" t="str">
        <f ca="1">INDEX('Version control'!$H$34:$H$60,MATCH($A$1,'Version control'!$F$34:$F$60,0),1)&amp;"-A: Load factor"</f>
        <v>Input 501-A: Load factor</v>
      </c>
      <c r="D16" s="7"/>
      <c r="E16" s="7"/>
      <c r="F16" s="7"/>
      <c r="G16" s="7"/>
      <c r="H16" s="7"/>
      <c r="I16" s="171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>
      <c r="C17" s="96"/>
      <c r="I17" s="111"/>
    </row>
    <row r="18" spans="3:21" x14ac:dyDescent="0.25">
      <c r="E18" s="144" t="s">
        <v>71</v>
      </c>
      <c r="G18" s="108"/>
      <c r="I18" s="111" t="s">
        <v>431</v>
      </c>
      <c r="U18" s="85" t="s">
        <v>917</v>
      </c>
    </row>
    <row r="19" spans="3:21" x14ac:dyDescent="0.25">
      <c r="F19" s="91" t="s">
        <v>1038</v>
      </c>
      <c r="G19" s="91" t="s">
        <v>94</v>
      </c>
      <c r="H19" s="112"/>
      <c r="I19" s="112"/>
      <c r="J19" s="184">
        <f>CHOOSE(year_selection, L19,M19,N19,O19,P19,Q19,R19,S19)</f>
        <v>0.44866666666666671</v>
      </c>
      <c r="K19" s="161"/>
      <c r="L19" s="324"/>
      <c r="M19" s="324"/>
      <c r="N19" s="324"/>
      <c r="O19" s="324">
        <v>0.44866666666666671</v>
      </c>
      <c r="P19" s="324">
        <v>0.44866666666666671</v>
      </c>
      <c r="Q19" s="324">
        <v>0.44866666666666671</v>
      </c>
      <c r="R19" s="324">
        <v>0.44866666666666671</v>
      </c>
      <c r="S19" s="324">
        <v>0.44866666666666671</v>
      </c>
    </row>
    <row r="20" spans="3:21" x14ac:dyDescent="0.25">
      <c r="F20" s="196" t="s">
        <v>1039</v>
      </c>
      <c r="G20" s="196" t="s">
        <v>94</v>
      </c>
      <c r="H20" s="66"/>
      <c r="I20" s="66"/>
      <c r="J20" s="185">
        <f t="shared" ref="J20:J26" si="0">CHOOSE(year_selection, L20,M20,N20,O20,P20,Q20,R20,S20)</f>
        <v>9.9666666666666667E-2</v>
      </c>
      <c r="K20" s="162"/>
      <c r="L20" s="325"/>
      <c r="M20" s="325"/>
      <c r="N20" s="325"/>
      <c r="O20" s="325">
        <v>9.9666666666666667E-2</v>
      </c>
      <c r="P20" s="325">
        <v>9.9666666666666667E-2</v>
      </c>
      <c r="Q20" s="325">
        <v>9.9666666666666667E-2</v>
      </c>
      <c r="R20" s="325">
        <v>9.9666666666666667E-2</v>
      </c>
      <c r="S20" s="325">
        <v>9.9666666666666667E-2</v>
      </c>
    </row>
    <row r="21" spans="3:21" x14ac:dyDescent="0.25">
      <c r="F21" s="196" t="s">
        <v>1040</v>
      </c>
      <c r="G21" s="196" t="s">
        <v>94</v>
      </c>
      <c r="H21" s="66"/>
      <c r="I21" s="66"/>
      <c r="J21" s="185">
        <f t="shared" si="0"/>
        <v>0.41666666666666669</v>
      </c>
      <c r="K21" s="162"/>
      <c r="L21" s="325"/>
      <c r="M21" s="325"/>
      <c r="N21" s="325"/>
      <c r="O21" s="325">
        <v>0.41666666666666669</v>
      </c>
      <c r="P21" s="325">
        <v>0.41666666666666669</v>
      </c>
      <c r="Q21" s="325">
        <v>0.41666666666666669</v>
      </c>
      <c r="R21" s="325">
        <v>0.41666666666666669</v>
      </c>
      <c r="S21" s="325">
        <v>0.41666666666666669</v>
      </c>
    </row>
    <row r="22" spans="3:21" x14ac:dyDescent="0.25">
      <c r="F22" s="196" t="s">
        <v>1041</v>
      </c>
      <c r="G22" s="196" t="s">
        <v>94</v>
      </c>
      <c r="H22" s="66"/>
      <c r="I22" s="66"/>
      <c r="J22" s="185">
        <f t="shared" si="0"/>
        <v>0.32</v>
      </c>
      <c r="K22" s="162"/>
      <c r="L22" s="325"/>
      <c r="M22" s="325"/>
      <c r="N22" s="325"/>
      <c r="O22" s="325">
        <v>0.32</v>
      </c>
      <c r="P22" s="325">
        <v>0.32</v>
      </c>
      <c r="Q22" s="325">
        <v>0.32</v>
      </c>
      <c r="R22" s="325">
        <v>0.32</v>
      </c>
      <c r="S22" s="325">
        <v>0.32</v>
      </c>
    </row>
    <row r="23" spans="3:21" x14ac:dyDescent="0.25">
      <c r="F23" s="196" t="s">
        <v>1042</v>
      </c>
      <c r="G23" s="196" t="s">
        <v>94</v>
      </c>
      <c r="H23" s="66"/>
      <c r="I23" s="66"/>
      <c r="J23" s="185">
        <f t="shared" si="0"/>
        <v>0.55600000000000005</v>
      </c>
      <c r="K23" s="162"/>
      <c r="L23" s="325"/>
      <c r="M23" s="325"/>
      <c r="N23" s="325"/>
      <c r="O23" s="325">
        <v>0.55600000000000005</v>
      </c>
      <c r="P23" s="325">
        <v>0.55600000000000005</v>
      </c>
      <c r="Q23" s="325">
        <v>0.55600000000000005</v>
      </c>
      <c r="R23" s="325">
        <v>0.55600000000000005</v>
      </c>
      <c r="S23" s="325">
        <v>0.55600000000000005</v>
      </c>
    </row>
    <row r="24" spans="3:21" x14ac:dyDescent="0.25">
      <c r="F24" s="196" t="s">
        <v>1043</v>
      </c>
      <c r="G24" s="196" t="s">
        <v>94</v>
      </c>
      <c r="H24" s="66"/>
      <c r="I24" s="66"/>
      <c r="J24" s="185">
        <f t="shared" si="0"/>
        <v>0.67266666666666675</v>
      </c>
      <c r="K24" s="162"/>
      <c r="L24" s="325"/>
      <c r="M24" s="325"/>
      <c r="N24" s="325"/>
      <c r="O24" s="325">
        <v>0.67266666666666675</v>
      </c>
      <c r="P24" s="325">
        <v>0.67266666666666675</v>
      </c>
      <c r="Q24" s="325">
        <v>0.67266666666666675</v>
      </c>
      <c r="R24" s="325">
        <v>0.67266666666666675</v>
      </c>
      <c r="S24" s="325">
        <v>0.67266666666666675</v>
      </c>
    </row>
    <row r="25" spans="3:21" x14ac:dyDescent="0.25">
      <c r="F25" s="196" t="s">
        <v>1044</v>
      </c>
      <c r="G25" s="196" t="s">
        <v>94</v>
      </c>
      <c r="H25" s="66"/>
      <c r="I25" s="66"/>
      <c r="J25" s="185">
        <f t="shared" si="0"/>
        <v>0.73533333333333328</v>
      </c>
      <c r="K25" s="162"/>
      <c r="L25" s="325"/>
      <c r="M25" s="325"/>
      <c r="N25" s="325"/>
      <c r="O25" s="325">
        <v>0.73533333333333328</v>
      </c>
      <c r="P25" s="325">
        <v>0.73533333333333328</v>
      </c>
      <c r="Q25" s="325">
        <v>0.73533333333333328</v>
      </c>
      <c r="R25" s="325">
        <v>0.73533333333333328</v>
      </c>
      <c r="S25" s="325">
        <v>0.73533333333333328</v>
      </c>
    </row>
    <row r="26" spans="3:21" x14ac:dyDescent="0.25">
      <c r="F26" s="196" t="s">
        <v>1045</v>
      </c>
      <c r="G26" s="196" t="s">
        <v>94</v>
      </c>
      <c r="H26" s="66"/>
      <c r="I26" s="66"/>
      <c r="J26" s="185">
        <f t="shared" si="0"/>
        <v>0.45833333333333331</v>
      </c>
      <c r="K26" s="162"/>
      <c r="L26" s="325"/>
      <c r="M26" s="325"/>
      <c r="N26" s="325"/>
      <c r="O26" s="325">
        <v>0.45833333333333331</v>
      </c>
      <c r="P26" s="325">
        <v>0.45833333333333331</v>
      </c>
      <c r="Q26" s="325">
        <v>0.45833333333333331</v>
      </c>
      <c r="R26" s="325">
        <v>0.45833333333333331</v>
      </c>
      <c r="S26" s="325">
        <v>0.45833333333333331</v>
      </c>
    </row>
    <row r="27" spans="3:21" x14ac:dyDescent="0.25">
      <c r="F27" s="196" t="s">
        <v>1046</v>
      </c>
      <c r="G27" s="196" t="s">
        <v>94</v>
      </c>
      <c r="H27" s="66"/>
      <c r="I27" s="66"/>
      <c r="J27" s="240"/>
      <c r="K27" s="162"/>
      <c r="L27" s="37"/>
      <c r="M27" s="37"/>
      <c r="N27" s="37"/>
      <c r="O27" s="37"/>
      <c r="P27" s="37"/>
      <c r="Q27" s="37"/>
      <c r="R27" s="37"/>
      <c r="S27" s="37"/>
    </row>
    <row r="28" spans="3:21" x14ac:dyDescent="0.25">
      <c r="F28" s="196" t="s">
        <v>1047</v>
      </c>
      <c r="G28" s="196" t="s">
        <v>94</v>
      </c>
      <c r="H28" s="66"/>
      <c r="I28" s="66"/>
      <c r="J28" s="240"/>
      <c r="K28" s="162"/>
      <c r="L28" s="37"/>
      <c r="M28" s="37"/>
      <c r="N28" s="37"/>
      <c r="O28" s="37"/>
      <c r="P28" s="37"/>
      <c r="Q28" s="37"/>
      <c r="R28" s="37"/>
      <c r="S28" s="37"/>
    </row>
    <row r="29" spans="3:21" x14ac:dyDescent="0.25">
      <c r="F29" s="196" t="s">
        <v>1048</v>
      </c>
      <c r="G29" s="196" t="s">
        <v>94</v>
      </c>
      <c r="H29" s="66"/>
      <c r="I29" s="66"/>
      <c r="J29" s="240"/>
      <c r="K29" s="162"/>
      <c r="L29" s="37"/>
      <c r="M29" s="37"/>
      <c r="N29" s="37"/>
      <c r="O29" s="37"/>
      <c r="P29" s="37"/>
      <c r="Q29" s="37"/>
      <c r="R29" s="37"/>
      <c r="S29" s="37"/>
    </row>
    <row r="30" spans="3:21" x14ac:dyDescent="0.25">
      <c r="F30" s="196" t="s">
        <v>1049</v>
      </c>
      <c r="G30" s="196" t="s">
        <v>94</v>
      </c>
      <c r="H30" s="66"/>
      <c r="I30" s="66"/>
      <c r="J30" s="240"/>
      <c r="K30" s="162"/>
      <c r="L30" s="37"/>
      <c r="M30" s="37"/>
      <c r="N30" s="37"/>
      <c r="O30" s="37"/>
      <c r="P30" s="37"/>
      <c r="Q30" s="37"/>
      <c r="R30" s="37"/>
      <c r="S30" s="37"/>
    </row>
    <row r="31" spans="3:21" x14ac:dyDescent="0.25">
      <c r="F31" s="196" t="s">
        <v>1050</v>
      </c>
      <c r="G31" s="196" t="s">
        <v>94</v>
      </c>
      <c r="H31" s="66"/>
      <c r="I31" s="66"/>
      <c r="J31" s="240"/>
      <c r="K31" s="162"/>
      <c r="L31" s="37"/>
      <c r="M31" s="37"/>
      <c r="N31" s="37"/>
      <c r="O31" s="37"/>
      <c r="P31" s="37"/>
      <c r="Q31" s="37"/>
      <c r="R31" s="37"/>
      <c r="S31" s="37"/>
    </row>
    <row r="32" spans="3:21" x14ac:dyDescent="0.25">
      <c r="F32" s="196" t="s">
        <v>1051</v>
      </c>
      <c r="G32" s="196" t="s">
        <v>94</v>
      </c>
      <c r="H32" s="66"/>
      <c r="I32" s="66"/>
      <c r="J32" s="240"/>
      <c r="K32" s="162"/>
      <c r="L32" s="37"/>
      <c r="M32" s="37"/>
      <c r="N32" s="37"/>
      <c r="O32" s="37"/>
      <c r="P32" s="37"/>
      <c r="Q32" s="37"/>
      <c r="R32" s="37"/>
      <c r="S32" s="37"/>
    </row>
    <row r="33" spans="3:21" x14ac:dyDescent="0.25">
      <c r="F33" s="196" t="s">
        <v>1052</v>
      </c>
      <c r="G33" s="196" t="s">
        <v>94</v>
      </c>
      <c r="H33" s="66"/>
      <c r="I33" s="66"/>
      <c r="J33" s="240"/>
      <c r="K33" s="162"/>
      <c r="L33" s="37"/>
      <c r="M33" s="37"/>
      <c r="N33" s="37"/>
      <c r="O33" s="37"/>
      <c r="P33" s="37"/>
      <c r="Q33" s="37"/>
      <c r="R33" s="37"/>
      <c r="S33" s="37"/>
    </row>
    <row r="34" spans="3:21" x14ac:dyDescent="0.25">
      <c r="F34" s="93" t="s">
        <v>1053</v>
      </c>
      <c r="G34" s="93" t="s">
        <v>94</v>
      </c>
      <c r="H34" s="145"/>
      <c r="I34" s="145"/>
      <c r="J34" s="241"/>
      <c r="K34" s="164"/>
      <c r="L34" s="38"/>
      <c r="M34" s="38"/>
      <c r="N34" s="38"/>
      <c r="O34" s="38"/>
      <c r="P34" s="38"/>
      <c r="Q34" s="38"/>
      <c r="R34" s="38"/>
      <c r="S34" s="38"/>
    </row>
    <row r="35" spans="3:21" x14ac:dyDescent="0.25">
      <c r="H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</row>
    <row r="36" spans="3:21" s="195" customFormat="1" x14ac:dyDescent="0.25">
      <c r="C36" s="7" t="str">
        <f ca="1">INDEX('Version control'!$H$34:$H$60,MATCH($A$1,'Version control'!$F$34:$F$60,0),1)&amp;"-B: Coincidence factor"</f>
        <v>Input 501-B: Coincidence factor</v>
      </c>
      <c r="D36" s="7"/>
      <c r="E36" s="7"/>
      <c r="F36" s="7"/>
      <c r="G36" s="7"/>
      <c r="H36" s="7"/>
      <c r="I36" s="171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</row>
    <row r="37" spans="3:21" s="195" customFormat="1" x14ac:dyDescent="0.25">
      <c r="C37" s="96"/>
      <c r="I37" s="111"/>
      <c r="L37" s="295"/>
      <c r="M37" s="295"/>
      <c r="N37" s="295"/>
      <c r="O37" s="295"/>
      <c r="P37" s="295"/>
      <c r="Q37" s="295"/>
      <c r="R37" s="295"/>
      <c r="S37" s="295"/>
    </row>
    <row r="38" spans="3:21" x14ac:dyDescent="0.25">
      <c r="E38" s="144" t="s">
        <v>70</v>
      </c>
      <c r="H38" s="111"/>
      <c r="I38" s="111" t="s">
        <v>431</v>
      </c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U38" s="85" t="s">
        <v>918</v>
      </c>
    </row>
    <row r="39" spans="3:21" x14ac:dyDescent="0.25">
      <c r="F39" s="91" t="s">
        <v>1038</v>
      </c>
      <c r="G39" s="91" t="s">
        <v>94</v>
      </c>
      <c r="H39" s="112"/>
      <c r="I39" s="112"/>
      <c r="J39" s="184">
        <f t="shared" ref="J39:J46" si="1">CHOOSE(year_selection, L39,M39,N39,O39,P39,Q39,R39,S39)</f>
        <v>0.89866666666666661</v>
      </c>
      <c r="K39" s="161"/>
      <c r="L39" s="324"/>
      <c r="M39" s="324"/>
      <c r="N39" s="324"/>
      <c r="O39" s="324">
        <v>0.89866666666666661</v>
      </c>
      <c r="P39" s="324">
        <v>0.89866666666666661</v>
      </c>
      <c r="Q39" s="324">
        <v>0.89866666666666661</v>
      </c>
      <c r="R39" s="324">
        <v>0.89866666666666661</v>
      </c>
      <c r="S39" s="324">
        <v>0.89866666666666661</v>
      </c>
    </row>
    <row r="40" spans="3:21" x14ac:dyDescent="0.25">
      <c r="F40" s="196" t="s">
        <v>1039</v>
      </c>
      <c r="G40" s="196" t="s">
        <v>94</v>
      </c>
      <c r="H40" s="66"/>
      <c r="I40" s="66"/>
      <c r="J40" s="240"/>
      <c r="K40" s="162"/>
      <c r="L40" s="159"/>
      <c r="M40" s="159"/>
      <c r="N40" s="159"/>
      <c r="O40" s="159"/>
      <c r="P40" s="159"/>
      <c r="Q40" s="159"/>
      <c r="R40" s="159"/>
      <c r="S40" s="159"/>
    </row>
    <row r="41" spans="3:21" x14ac:dyDescent="0.25">
      <c r="F41" s="196" t="s">
        <v>1040</v>
      </c>
      <c r="G41" s="196" t="s">
        <v>94</v>
      </c>
      <c r="H41" s="66"/>
      <c r="I41" s="66"/>
      <c r="J41" s="185">
        <f t="shared" si="1"/>
        <v>0.66433333333333333</v>
      </c>
      <c r="K41" s="162"/>
      <c r="L41" s="325"/>
      <c r="M41" s="325"/>
      <c r="N41" s="325"/>
      <c r="O41" s="325">
        <v>0.66433333333333333</v>
      </c>
      <c r="P41" s="325">
        <v>0.66433333333333333</v>
      </c>
      <c r="Q41" s="325">
        <v>0.66433333333333333</v>
      </c>
      <c r="R41" s="325">
        <v>0.66433333333333333</v>
      </c>
      <c r="S41" s="325">
        <v>0.66433333333333333</v>
      </c>
    </row>
    <row r="42" spans="3:21" x14ac:dyDescent="0.25">
      <c r="F42" s="196" t="s">
        <v>1041</v>
      </c>
      <c r="G42" s="196" t="s">
        <v>94</v>
      </c>
      <c r="H42" s="66"/>
      <c r="I42" s="66"/>
      <c r="J42" s="240"/>
      <c r="K42" s="162"/>
      <c r="L42" s="159"/>
      <c r="M42" s="159"/>
      <c r="N42" s="159"/>
      <c r="O42" s="159"/>
      <c r="P42" s="159"/>
      <c r="Q42" s="159"/>
      <c r="R42" s="159"/>
      <c r="S42" s="159"/>
    </row>
    <row r="43" spans="3:21" x14ac:dyDescent="0.25">
      <c r="F43" s="196" t="s">
        <v>1042</v>
      </c>
      <c r="G43" s="196" t="s">
        <v>94</v>
      </c>
      <c r="H43" s="66"/>
      <c r="I43" s="66"/>
      <c r="J43" s="185">
        <f t="shared" si="1"/>
        <v>0.78366666666666662</v>
      </c>
      <c r="K43" s="162"/>
      <c r="L43" s="325"/>
      <c r="M43" s="325"/>
      <c r="N43" s="325"/>
      <c r="O43" s="325">
        <v>0.78366666666666662</v>
      </c>
      <c r="P43" s="325">
        <v>0.78366666666666662</v>
      </c>
      <c r="Q43" s="325">
        <v>0.78366666666666662</v>
      </c>
      <c r="R43" s="325">
        <v>0.78366666666666662</v>
      </c>
      <c r="S43" s="325">
        <v>0.78366666666666662</v>
      </c>
    </row>
    <row r="44" spans="3:21" x14ac:dyDescent="0.25">
      <c r="F44" s="196" t="s">
        <v>1043</v>
      </c>
      <c r="G44" s="196" t="s">
        <v>94</v>
      </c>
      <c r="H44" s="66"/>
      <c r="I44" s="66"/>
      <c r="J44" s="185">
        <f t="shared" si="1"/>
        <v>0.78533333333333333</v>
      </c>
      <c r="K44" s="162"/>
      <c r="L44" s="325"/>
      <c r="M44" s="325"/>
      <c r="N44" s="325"/>
      <c r="O44" s="325">
        <v>0.78533333333333333</v>
      </c>
      <c r="P44" s="325">
        <v>0.78533333333333333</v>
      </c>
      <c r="Q44" s="325">
        <v>0.78533333333333333</v>
      </c>
      <c r="R44" s="325">
        <v>0.78533333333333333</v>
      </c>
      <c r="S44" s="325">
        <v>0.78533333333333333</v>
      </c>
    </row>
    <row r="45" spans="3:21" x14ac:dyDescent="0.25">
      <c r="F45" s="196" t="s">
        <v>1044</v>
      </c>
      <c r="G45" s="196" t="s">
        <v>94</v>
      </c>
      <c r="H45" s="66"/>
      <c r="I45" s="66"/>
      <c r="J45" s="185">
        <f t="shared" si="1"/>
        <v>0.84533333333333338</v>
      </c>
      <c r="K45" s="162"/>
      <c r="L45" s="325"/>
      <c r="M45" s="325"/>
      <c r="N45" s="325"/>
      <c r="O45" s="325">
        <v>0.84533333333333338</v>
      </c>
      <c r="P45" s="325">
        <v>0.84533333333333338</v>
      </c>
      <c r="Q45" s="325">
        <v>0.84533333333333338</v>
      </c>
      <c r="R45" s="325">
        <v>0.84533333333333338</v>
      </c>
      <c r="S45" s="325">
        <v>0.84533333333333338</v>
      </c>
    </row>
    <row r="46" spans="3:21" x14ac:dyDescent="0.25">
      <c r="F46" s="196" t="s">
        <v>1045</v>
      </c>
      <c r="G46" s="196" t="s">
        <v>94</v>
      </c>
      <c r="H46" s="66"/>
      <c r="I46" s="66"/>
      <c r="J46" s="185">
        <f t="shared" si="1"/>
        <v>0.92600000000000016</v>
      </c>
      <c r="K46" s="162"/>
      <c r="L46" s="325"/>
      <c r="M46" s="325"/>
      <c r="N46" s="325"/>
      <c r="O46" s="325">
        <v>0.92600000000000016</v>
      </c>
      <c r="P46" s="325">
        <v>0.92600000000000016</v>
      </c>
      <c r="Q46" s="325">
        <v>0.92600000000000016</v>
      </c>
      <c r="R46" s="325">
        <v>0.92600000000000016</v>
      </c>
      <c r="S46" s="325">
        <v>0.92600000000000016</v>
      </c>
    </row>
    <row r="47" spans="3:21" x14ac:dyDescent="0.25">
      <c r="F47" s="196" t="s">
        <v>1046</v>
      </c>
      <c r="G47" s="196" t="s">
        <v>94</v>
      </c>
      <c r="H47" s="66"/>
      <c r="I47" s="66"/>
      <c r="J47" s="240"/>
      <c r="K47" s="162"/>
      <c r="L47" s="159"/>
      <c r="M47" s="159"/>
      <c r="N47" s="159"/>
      <c r="O47" s="159"/>
      <c r="P47" s="159"/>
      <c r="Q47" s="159"/>
      <c r="R47" s="159"/>
      <c r="S47" s="159"/>
    </row>
    <row r="48" spans="3:21" x14ac:dyDescent="0.25">
      <c r="F48" s="196" t="s">
        <v>1047</v>
      </c>
      <c r="G48" s="196" t="s">
        <v>94</v>
      </c>
      <c r="H48" s="66"/>
      <c r="I48" s="66"/>
      <c r="J48" s="240"/>
      <c r="K48" s="162"/>
      <c r="L48" s="159"/>
      <c r="M48" s="159"/>
      <c r="N48" s="159"/>
      <c r="O48" s="159"/>
      <c r="P48" s="159"/>
      <c r="Q48" s="159"/>
      <c r="R48" s="159"/>
      <c r="S48" s="159"/>
    </row>
    <row r="49" spans="2:21" x14ac:dyDescent="0.25">
      <c r="F49" s="196" t="s">
        <v>1048</v>
      </c>
      <c r="G49" s="196" t="s">
        <v>94</v>
      </c>
      <c r="H49" s="66"/>
      <c r="I49" s="66"/>
      <c r="J49" s="240"/>
      <c r="K49" s="162"/>
      <c r="L49" s="159"/>
      <c r="M49" s="159"/>
      <c r="N49" s="159"/>
      <c r="O49" s="159"/>
      <c r="P49" s="159"/>
      <c r="Q49" s="159"/>
      <c r="R49" s="159"/>
      <c r="S49" s="159"/>
    </row>
    <row r="50" spans="2:21" x14ac:dyDescent="0.25">
      <c r="F50" s="196" t="s">
        <v>1049</v>
      </c>
      <c r="G50" s="196" t="s">
        <v>94</v>
      </c>
      <c r="H50" s="66"/>
      <c r="I50" s="66"/>
      <c r="J50" s="240"/>
      <c r="K50" s="162"/>
      <c r="L50" s="159"/>
      <c r="M50" s="159"/>
      <c r="N50" s="159"/>
      <c r="O50" s="159"/>
      <c r="P50" s="159"/>
      <c r="Q50" s="159"/>
      <c r="R50" s="159"/>
      <c r="S50" s="159"/>
    </row>
    <row r="51" spans="2:21" x14ac:dyDescent="0.25">
      <c r="F51" s="196" t="s">
        <v>1050</v>
      </c>
      <c r="G51" s="196" t="s">
        <v>94</v>
      </c>
      <c r="H51" s="66"/>
      <c r="I51" s="66"/>
      <c r="J51" s="240"/>
      <c r="K51" s="162"/>
      <c r="L51" s="159"/>
      <c r="M51" s="159"/>
      <c r="N51" s="159"/>
      <c r="O51" s="159"/>
      <c r="P51" s="159"/>
      <c r="Q51" s="159"/>
      <c r="R51" s="159"/>
      <c r="S51" s="159"/>
    </row>
    <row r="52" spans="2:21" x14ac:dyDescent="0.25">
      <c r="F52" s="196" t="s">
        <v>1051</v>
      </c>
      <c r="G52" s="196" t="s">
        <v>94</v>
      </c>
      <c r="H52" s="66"/>
      <c r="I52" s="66"/>
      <c r="J52" s="240"/>
      <c r="K52" s="162"/>
      <c r="L52" s="159"/>
      <c r="M52" s="159"/>
      <c r="N52" s="159"/>
      <c r="O52" s="159"/>
      <c r="P52" s="159"/>
      <c r="Q52" s="159"/>
      <c r="R52" s="159"/>
      <c r="S52" s="159"/>
    </row>
    <row r="53" spans="2:21" x14ac:dyDescent="0.25">
      <c r="F53" s="196" t="s">
        <v>1052</v>
      </c>
      <c r="G53" s="196" t="s">
        <v>94</v>
      </c>
      <c r="H53" s="66"/>
      <c r="I53" s="66"/>
      <c r="J53" s="240"/>
      <c r="K53" s="162"/>
      <c r="L53" s="159"/>
      <c r="M53" s="159"/>
      <c r="N53" s="159"/>
      <c r="O53" s="159"/>
      <c r="P53" s="159"/>
      <c r="Q53" s="159"/>
      <c r="R53" s="159"/>
      <c r="S53" s="159"/>
    </row>
    <row r="54" spans="2:21" x14ac:dyDescent="0.25">
      <c r="F54" s="93" t="s">
        <v>1053</v>
      </c>
      <c r="G54" s="93" t="s">
        <v>94</v>
      </c>
      <c r="H54" s="145"/>
      <c r="I54" s="145"/>
      <c r="J54" s="241"/>
      <c r="K54" s="164"/>
      <c r="L54" s="438"/>
      <c r="M54" s="438"/>
      <c r="N54" s="438"/>
      <c r="O54" s="438"/>
      <c r="P54" s="438"/>
      <c r="Q54" s="438"/>
      <c r="R54" s="438"/>
      <c r="S54" s="438"/>
    </row>
    <row r="55" spans="2:21" x14ac:dyDescent="0.25">
      <c r="J55" s="195"/>
      <c r="K55" s="195"/>
      <c r="L55" s="295"/>
      <c r="M55" s="295"/>
      <c r="N55" s="295"/>
      <c r="O55" s="195"/>
      <c r="P55" s="295"/>
      <c r="Q55" s="295"/>
      <c r="R55" s="295"/>
      <c r="S55" s="295"/>
    </row>
    <row r="56" spans="2:21" x14ac:dyDescent="0.25">
      <c r="B56" s="95" t="s">
        <v>729</v>
      </c>
      <c r="C56" s="95"/>
      <c r="D56" s="95"/>
      <c r="E56" s="95"/>
      <c r="F56" s="95"/>
      <c r="G56" s="95"/>
      <c r="H56" s="95"/>
      <c r="I56" s="160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</row>
    <row r="57" spans="2:21" x14ac:dyDescent="0.25">
      <c r="J57" s="195"/>
      <c r="K57" s="195"/>
      <c r="L57" s="295"/>
      <c r="M57" s="295"/>
      <c r="N57" s="295"/>
      <c r="O57" s="195"/>
      <c r="P57" s="295"/>
      <c r="Q57" s="295"/>
      <c r="R57" s="295"/>
      <c r="S57" s="295"/>
    </row>
    <row r="58" spans="2:21" x14ac:dyDescent="0.25">
      <c r="C58" s="7" t="str">
        <f ca="1">INDEX('Version control'!$H$34:$H$60,MATCH($A$1,'Version control'!$F$34:$F$60,0),1)&amp;"-C: All-the-way volumes"</f>
        <v>Input 501-C: All-the-way volumes</v>
      </c>
      <c r="D58" s="7"/>
      <c r="E58" s="7"/>
      <c r="F58" s="7"/>
      <c r="G58" s="7"/>
      <c r="H58" s="7"/>
      <c r="I58" s="171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2:21" x14ac:dyDescent="0.25">
      <c r="C59" s="96"/>
      <c r="J59" s="195"/>
      <c r="K59" s="195"/>
      <c r="L59" s="295"/>
      <c r="M59" s="295"/>
      <c r="N59" s="295"/>
      <c r="O59" s="195"/>
      <c r="P59" s="295"/>
      <c r="Q59" s="295"/>
      <c r="R59" s="295"/>
      <c r="S59" s="295"/>
    </row>
    <row r="60" spans="2:21" x14ac:dyDescent="0.25">
      <c r="E60" s="144" t="s">
        <v>256</v>
      </c>
      <c r="I60" s="111" t="s">
        <v>431</v>
      </c>
      <c r="J60" s="295"/>
      <c r="K60" s="295"/>
      <c r="L60" s="295"/>
      <c r="M60" s="295"/>
      <c r="N60" s="295"/>
      <c r="O60" s="295"/>
      <c r="P60" s="295"/>
      <c r="Q60" s="295"/>
      <c r="R60" s="295"/>
      <c r="S60" s="295"/>
      <c r="T60" s="295"/>
      <c r="U60" s="295" t="s">
        <v>799</v>
      </c>
    </row>
    <row r="61" spans="2:21" x14ac:dyDescent="0.25">
      <c r="F61" s="91" t="s">
        <v>1038</v>
      </c>
      <c r="G61" s="91" t="s">
        <v>120</v>
      </c>
      <c r="H61" s="91" t="s">
        <v>145</v>
      </c>
      <c r="I61" s="112"/>
      <c r="J61" s="232">
        <f t="shared" ref="J61:J76" si="2">CHOOSE(year_selection, L61,M61,N61,O61,P61,Q61,R61,S61)</f>
        <v>728182.66484023235</v>
      </c>
      <c r="K61" s="233"/>
      <c r="L61" s="330"/>
      <c r="M61" s="330"/>
      <c r="N61" s="330"/>
      <c r="O61" s="330">
        <v>728182.66484023235</v>
      </c>
      <c r="P61" s="330">
        <v>728182.66484023235</v>
      </c>
      <c r="Q61" s="330">
        <v>728182.66484023235</v>
      </c>
      <c r="R61" s="330">
        <v>728182.66484023235</v>
      </c>
      <c r="S61" s="330">
        <v>728182.66484023235</v>
      </c>
    </row>
    <row r="62" spans="2:21" x14ac:dyDescent="0.25">
      <c r="F62" s="196" t="s">
        <v>1039</v>
      </c>
      <c r="G62" s="196" t="s">
        <v>120</v>
      </c>
      <c r="H62" s="196" t="s">
        <v>145</v>
      </c>
      <c r="I62" s="66"/>
      <c r="J62" s="234">
        <f t="shared" si="2"/>
        <v>1325.9025558238502</v>
      </c>
      <c r="K62" s="235"/>
      <c r="L62" s="331"/>
      <c r="M62" s="331"/>
      <c r="N62" s="331"/>
      <c r="O62" s="331">
        <v>1325.9025558238502</v>
      </c>
      <c r="P62" s="331">
        <v>1325.9025558238502</v>
      </c>
      <c r="Q62" s="331">
        <v>1325.9025558238502</v>
      </c>
      <c r="R62" s="331">
        <v>1325.9025558238502</v>
      </c>
      <c r="S62" s="331">
        <v>1325.9025558238502</v>
      </c>
    </row>
    <row r="63" spans="2:21" x14ac:dyDescent="0.25">
      <c r="F63" s="196" t="s">
        <v>1040</v>
      </c>
      <c r="G63" s="196" t="s">
        <v>120</v>
      </c>
      <c r="H63" s="196" t="s">
        <v>145</v>
      </c>
      <c r="I63" s="66"/>
      <c r="J63" s="234">
        <f t="shared" si="2"/>
        <v>187782.12741331305</v>
      </c>
      <c r="K63" s="235"/>
      <c r="L63" s="331"/>
      <c r="M63" s="331"/>
      <c r="N63" s="331"/>
      <c r="O63" s="331">
        <v>187782.12741331305</v>
      </c>
      <c r="P63" s="331">
        <v>187782.12741331305</v>
      </c>
      <c r="Q63" s="331">
        <v>187782.12741331305</v>
      </c>
      <c r="R63" s="331">
        <v>187782.12741331305</v>
      </c>
      <c r="S63" s="331">
        <v>187782.12741331305</v>
      </c>
    </row>
    <row r="64" spans="2:21" x14ac:dyDescent="0.25">
      <c r="F64" s="196" t="s">
        <v>1041</v>
      </c>
      <c r="G64" s="196" t="s">
        <v>120</v>
      </c>
      <c r="H64" s="196" t="s">
        <v>145</v>
      </c>
      <c r="I64" s="66"/>
      <c r="J64" s="234">
        <f t="shared" si="2"/>
        <v>4172.2410596369182</v>
      </c>
      <c r="K64" s="235"/>
      <c r="L64" s="331"/>
      <c r="M64" s="331"/>
      <c r="N64" s="331"/>
      <c r="O64" s="331">
        <v>4172.2410596369182</v>
      </c>
      <c r="P64" s="331">
        <v>4172.2410596369182</v>
      </c>
      <c r="Q64" s="331">
        <v>4172.2410596369182</v>
      </c>
      <c r="R64" s="331">
        <v>4172.2410596369182</v>
      </c>
      <c r="S64" s="331">
        <v>4172.2410596369182</v>
      </c>
    </row>
    <row r="65" spans="5:19" x14ac:dyDescent="0.25">
      <c r="F65" s="196" t="s">
        <v>1042</v>
      </c>
      <c r="G65" s="196" t="s">
        <v>120</v>
      </c>
      <c r="H65" s="196" t="s">
        <v>145</v>
      </c>
      <c r="I65" s="66"/>
      <c r="J65" s="234">
        <f t="shared" si="2"/>
        <v>275821.76887612289</v>
      </c>
      <c r="K65" s="235"/>
      <c r="L65" s="331"/>
      <c r="M65" s="331"/>
      <c r="N65" s="331"/>
      <c r="O65" s="331">
        <v>275821.76887612289</v>
      </c>
      <c r="P65" s="331">
        <v>275821.76887612289</v>
      </c>
      <c r="Q65" s="331">
        <v>275821.76887612289</v>
      </c>
      <c r="R65" s="331">
        <v>275821.76887612289</v>
      </c>
      <c r="S65" s="331">
        <v>275821.76887612289</v>
      </c>
    </row>
    <row r="66" spans="5:19" x14ac:dyDescent="0.25">
      <c r="F66" s="196" t="s">
        <v>1043</v>
      </c>
      <c r="G66" s="196" t="s">
        <v>120</v>
      </c>
      <c r="H66" s="196" t="s">
        <v>145</v>
      </c>
      <c r="I66" s="66"/>
      <c r="J66" s="234">
        <f t="shared" si="2"/>
        <v>21569.598912405832</v>
      </c>
      <c r="K66" s="235"/>
      <c r="L66" s="331"/>
      <c r="M66" s="331"/>
      <c r="N66" s="331"/>
      <c r="O66" s="331">
        <v>21569.598912405832</v>
      </c>
      <c r="P66" s="331">
        <v>21569.598912405832</v>
      </c>
      <c r="Q66" s="331">
        <v>21569.598912405832</v>
      </c>
      <c r="R66" s="331">
        <v>21569.598912405832</v>
      </c>
      <c r="S66" s="331">
        <v>21569.598912405832</v>
      </c>
    </row>
    <row r="67" spans="5:19" x14ac:dyDescent="0.25">
      <c r="F67" s="196" t="s">
        <v>1044</v>
      </c>
      <c r="G67" s="196" t="s">
        <v>120</v>
      </c>
      <c r="H67" s="196" t="s">
        <v>145</v>
      </c>
      <c r="I67" s="66"/>
      <c r="J67" s="234">
        <f t="shared" si="2"/>
        <v>322473.77411167003</v>
      </c>
      <c r="K67" s="235"/>
      <c r="L67" s="331"/>
      <c r="M67" s="331"/>
      <c r="N67" s="331"/>
      <c r="O67" s="331">
        <v>322473.77411167003</v>
      </c>
      <c r="P67" s="331">
        <v>322473.77411167003</v>
      </c>
      <c r="Q67" s="331">
        <v>322473.77411167003</v>
      </c>
      <c r="R67" s="331">
        <v>322473.77411167003</v>
      </c>
      <c r="S67" s="331">
        <v>322473.77411167003</v>
      </c>
    </row>
    <row r="68" spans="5:19" x14ac:dyDescent="0.25">
      <c r="F68" s="196" t="s">
        <v>1045</v>
      </c>
      <c r="G68" s="196" t="s">
        <v>120</v>
      </c>
      <c r="H68" s="196" t="s">
        <v>145</v>
      </c>
      <c r="I68" s="66"/>
      <c r="J68" s="234">
        <f t="shared" si="2"/>
        <v>13844.286088792498</v>
      </c>
      <c r="K68" s="235"/>
      <c r="L68" s="331"/>
      <c r="M68" s="331"/>
      <c r="N68" s="331"/>
      <c r="O68" s="331">
        <v>13844.286088792498</v>
      </c>
      <c r="P68" s="331">
        <v>13844.286088792498</v>
      </c>
      <c r="Q68" s="331">
        <v>13844.286088792498</v>
      </c>
      <c r="R68" s="331">
        <v>13844.286088792498</v>
      </c>
      <c r="S68" s="331">
        <v>13844.286088792498</v>
      </c>
    </row>
    <row r="69" spans="5:19" x14ac:dyDescent="0.25">
      <c r="F69" s="196" t="s">
        <v>1046</v>
      </c>
      <c r="G69" s="196" t="s">
        <v>120</v>
      </c>
      <c r="H69" s="196" t="s">
        <v>145</v>
      </c>
      <c r="I69" s="66"/>
      <c r="J69" s="234">
        <f t="shared" si="2"/>
        <v>139.21456342227521</v>
      </c>
      <c r="K69" s="235"/>
      <c r="L69" s="331"/>
      <c r="M69" s="331"/>
      <c r="N69" s="331"/>
      <c r="O69" s="331">
        <v>139.21456342227521</v>
      </c>
      <c r="P69" s="331">
        <v>139.21456342227521</v>
      </c>
      <c r="Q69" s="331">
        <v>139.21456342227521</v>
      </c>
      <c r="R69" s="331">
        <v>139.21456342227521</v>
      </c>
      <c r="S69" s="331">
        <v>139.21456342227521</v>
      </c>
    </row>
    <row r="70" spans="5:19" x14ac:dyDescent="0.25">
      <c r="F70" s="196" t="s">
        <v>1047</v>
      </c>
      <c r="G70" s="196" t="s">
        <v>120</v>
      </c>
      <c r="H70" s="196" t="s">
        <v>145</v>
      </c>
      <c r="I70" s="66"/>
      <c r="J70" s="234">
        <f t="shared" si="2"/>
        <v>2.8776284544589532</v>
      </c>
      <c r="K70" s="235"/>
      <c r="L70" s="331"/>
      <c r="M70" s="331"/>
      <c r="N70" s="331"/>
      <c r="O70" s="331">
        <v>2.8776284544589532</v>
      </c>
      <c r="P70" s="331">
        <v>2.8776284544589532</v>
      </c>
      <c r="Q70" s="331">
        <v>2.8776284544589532</v>
      </c>
      <c r="R70" s="331">
        <v>2.8776284544589532</v>
      </c>
      <c r="S70" s="331">
        <v>2.8776284544589532</v>
      </c>
    </row>
    <row r="71" spans="5:19" x14ac:dyDescent="0.25">
      <c r="F71" s="196" t="s">
        <v>1048</v>
      </c>
      <c r="G71" s="196" t="s">
        <v>120</v>
      </c>
      <c r="H71" s="196" t="s">
        <v>145</v>
      </c>
      <c r="I71" s="66"/>
      <c r="J71" s="234">
        <f t="shared" si="2"/>
        <v>6131.3814104814819</v>
      </c>
      <c r="K71" s="235"/>
      <c r="L71" s="331"/>
      <c r="M71" s="331"/>
      <c r="N71" s="331"/>
      <c r="O71" s="331">
        <v>6131.3814104814819</v>
      </c>
      <c r="P71" s="331">
        <v>6131.3814104814819</v>
      </c>
      <c r="Q71" s="331">
        <v>6131.3814104814819</v>
      </c>
      <c r="R71" s="331">
        <v>6131.3814104814819</v>
      </c>
      <c r="S71" s="331">
        <v>6131.3814104814819</v>
      </c>
    </row>
    <row r="72" spans="5:19" x14ac:dyDescent="0.25">
      <c r="F72" s="196" t="s">
        <v>1049</v>
      </c>
      <c r="G72" s="196" t="s">
        <v>120</v>
      </c>
      <c r="H72" s="196" t="s">
        <v>145</v>
      </c>
      <c r="I72" s="66"/>
      <c r="J72" s="234">
        <f t="shared" si="2"/>
        <v>0</v>
      </c>
      <c r="K72" s="235"/>
      <c r="L72" s="331"/>
      <c r="M72" s="331"/>
      <c r="N72" s="331"/>
      <c r="O72" s="331">
        <v>0</v>
      </c>
      <c r="P72" s="331">
        <v>0</v>
      </c>
      <c r="Q72" s="331">
        <v>0</v>
      </c>
      <c r="R72" s="331">
        <v>0</v>
      </c>
      <c r="S72" s="331">
        <v>0</v>
      </c>
    </row>
    <row r="73" spans="5:19" x14ac:dyDescent="0.25">
      <c r="F73" s="196" t="s">
        <v>1050</v>
      </c>
      <c r="G73" s="196" t="s">
        <v>120</v>
      </c>
      <c r="H73" s="196" t="s">
        <v>145</v>
      </c>
      <c r="I73" s="66"/>
      <c r="J73" s="234">
        <f t="shared" si="2"/>
        <v>144.6141525623608</v>
      </c>
      <c r="K73" s="235"/>
      <c r="L73" s="331"/>
      <c r="M73" s="331"/>
      <c r="N73" s="331"/>
      <c r="O73" s="331">
        <v>144.6141525623608</v>
      </c>
      <c r="P73" s="331">
        <v>144.6141525623608</v>
      </c>
      <c r="Q73" s="331">
        <v>144.6141525623608</v>
      </c>
      <c r="R73" s="331">
        <v>144.6141525623608</v>
      </c>
      <c r="S73" s="331">
        <v>144.6141525623608</v>
      </c>
    </row>
    <row r="74" spans="5:19" x14ac:dyDescent="0.25">
      <c r="F74" s="196" t="s">
        <v>1051</v>
      </c>
      <c r="G74" s="196" t="s">
        <v>120</v>
      </c>
      <c r="H74" s="196" t="s">
        <v>145</v>
      </c>
      <c r="I74" s="66"/>
      <c r="J74" s="234">
        <f t="shared" si="2"/>
        <v>0</v>
      </c>
      <c r="K74" s="235"/>
      <c r="L74" s="331"/>
      <c r="M74" s="331"/>
      <c r="N74" s="331"/>
      <c r="O74" s="331">
        <v>0</v>
      </c>
      <c r="P74" s="331">
        <v>0</v>
      </c>
      <c r="Q74" s="331">
        <v>0</v>
      </c>
      <c r="R74" s="331">
        <v>0</v>
      </c>
      <c r="S74" s="331">
        <v>0</v>
      </c>
    </row>
    <row r="75" spans="5:19" x14ac:dyDescent="0.25">
      <c r="F75" s="196" t="s">
        <v>1052</v>
      </c>
      <c r="G75" s="196" t="s">
        <v>120</v>
      </c>
      <c r="H75" s="196" t="s">
        <v>145</v>
      </c>
      <c r="I75" s="66"/>
      <c r="J75" s="234">
        <f t="shared" si="2"/>
        <v>116075.81817719914</v>
      </c>
      <c r="K75" s="235"/>
      <c r="L75" s="331"/>
      <c r="M75" s="331"/>
      <c r="N75" s="331"/>
      <c r="O75" s="331">
        <v>116075.81817719914</v>
      </c>
      <c r="P75" s="331">
        <v>116075.81817719914</v>
      </c>
      <c r="Q75" s="331">
        <v>116075.81817719914</v>
      </c>
      <c r="R75" s="331">
        <v>116075.81817719914</v>
      </c>
      <c r="S75" s="331">
        <v>116075.81817719914</v>
      </c>
    </row>
    <row r="76" spans="5:19" x14ac:dyDescent="0.25">
      <c r="F76" s="93" t="s">
        <v>1053</v>
      </c>
      <c r="G76" s="93" t="s">
        <v>120</v>
      </c>
      <c r="H76" s="93" t="s">
        <v>145</v>
      </c>
      <c r="I76" s="145"/>
      <c r="J76" s="236">
        <f t="shared" si="2"/>
        <v>0</v>
      </c>
      <c r="K76" s="237"/>
      <c r="L76" s="332"/>
      <c r="M76" s="332"/>
      <c r="N76" s="332"/>
      <c r="O76" s="332">
        <v>0</v>
      </c>
      <c r="P76" s="332">
        <v>0</v>
      </c>
      <c r="Q76" s="332">
        <v>0</v>
      </c>
      <c r="R76" s="332">
        <v>0</v>
      </c>
      <c r="S76" s="332">
        <v>0</v>
      </c>
    </row>
    <row r="77" spans="5:19" x14ac:dyDescent="0.25">
      <c r="J77" s="238"/>
      <c r="K77" s="238"/>
      <c r="L77" s="238"/>
      <c r="M77" s="238"/>
      <c r="N77" s="238"/>
      <c r="O77" s="238"/>
      <c r="P77" s="238"/>
      <c r="Q77" s="238"/>
      <c r="R77" s="238"/>
      <c r="S77" s="238"/>
    </row>
    <row r="78" spans="5:19" x14ac:dyDescent="0.25">
      <c r="E78" s="144" t="s">
        <v>257</v>
      </c>
      <c r="J78" s="238"/>
      <c r="K78" s="238"/>
      <c r="L78" s="238"/>
      <c r="M78" s="238"/>
      <c r="N78" s="238"/>
      <c r="O78" s="238"/>
      <c r="P78" s="238"/>
      <c r="Q78" s="238"/>
      <c r="R78" s="238"/>
      <c r="S78" s="238"/>
    </row>
    <row r="79" spans="5:19" x14ac:dyDescent="0.25">
      <c r="F79" s="91" t="s">
        <v>1038</v>
      </c>
      <c r="G79" s="91" t="s">
        <v>120</v>
      </c>
      <c r="H79" s="91" t="s">
        <v>145</v>
      </c>
      <c r="I79" s="112"/>
      <c r="J79" s="232">
        <f t="shared" ref="J79:J94" si="3">CHOOSE(year_selection, L79,M79,N79,O79,P79,Q79,R79,S79)</f>
        <v>2586978.352218715</v>
      </c>
      <c r="K79" s="233"/>
      <c r="L79" s="330"/>
      <c r="M79" s="330"/>
      <c r="N79" s="330"/>
      <c r="O79" s="330">
        <v>2586978.352218715</v>
      </c>
      <c r="P79" s="330">
        <v>2586978.352218715</v>
      </c>
      <c r="Q79" s="330">
        <v>2586978.352218715</v>
      </c>
      <c r="R79" s="330">
        <v>2586978.352218715</v>
      </c>
      <c r="S79" s="330">
        <v>2586978.352218715</v>
      </c>
    </row>
    <row r="80" spans="5:19" x14ac:dyDescent="0.25">
      <c r="F80" s="196" t="s">
        <v>1039</v>
      </c>
      <c r="G80" s="196" t="s">
        <v>120</v>
      </c>
      <c r="H80" s="196" t="s">
        <v>145</v>
      </c>
      <c r="I80" s="66"/>
      <c r="J80" s="234">
        <f t="shared" si="3"/>
        <v>24004.867020018988</v>
      </c>
      <c r="K80" s="235"/>
      <c r="L80" s="331"/>
      <c r="M80" s="331"/>
      <c r="N80" s="331"/>
      <c r="O80" s="331">
        <v>24004.867020018988</v>
      </c>
      <c r="P80" s="331">
        <v>24004.867020018988</v>
      </c>
      <c r="Q80" s="331">
        <v>24004.867020018988</v>
      </c>
      <c r="R80" s="331">
        <v>24004.867020018988</v>
      </c>
      <c r="S80" s="331">
        <v>24004.867020018988</v>
      </c>
    </row>
    <row r="81" spans="5:19" x14ac:dyDescent="0.25">
      <c r="F81" s="196" t="s">
        <v>1040</v>
      </c>
      <c r="G81" s="196" t="s">
        <v>120</v>
      </c>
      <c r="H81" s="196" t="s">
        <v>145</v>
      </c>
      <c r="I81" s="66"/>
      <c r="J81" s="234">
        <f t="shared" si="3"/>
        <v>1017175.5544889377</v>
      </c>
      <c r="K81" s="235"/>
      <c r="L81" s="331"/>
      <c r="M81" s="331"/>
      <c r="N81" s="331"/>
      <c r="O81" s="331">
        <v>1017175.5544889377</v>
      </c>
      <c r="P81" s="331">
        <v>1017175.5544889377</v>
      </c>
      <c r="Q81" s="331">
        <v>1017175.5544889377</v>
      </c>
      <c r="R81" s="331">
        <v>1017175.5544889377</v>
      </c>
      <c r="S81" s="331">
        <v>1017175.5544889377</v>
      </c>
    </row>
    <row r="82" spans="5:19" x14ac:dyDescent="0.25">
      <c r="F82" s="196" t="s">
        <v>1041</v>
      </c>
      <c r="G82" s="196" t="s">
        <v>120</v>
      </c>
      <c r="H82" s="196" t="s">
        <v>145</v>
      </c>
      <c r="I82" s="66"/>
      <c r="J82" s="234">
        <f t="shared" si="3"/>
        <v>25319.415482001521</v>
      </c>
      <c r="K82" s="235"/>
      <c r="L82" s="331"/>
      <c r="M82" s="331"/>
      <c r="N82" s="331"/>
      <c r="O82" s="331">
        <v>25319.415482001521</v>
      </c>
      <c r="P82" s="331">
        <v>25319.415482001521</v>
      </c>
      <c r="Q82" s="331">
        <v>25319.415482001521</v>
      </c>
      <c r="R82" s="331">
        <v>25319.415482001521</v>
      </c>
      <c r="S82" s="331">
        <v>25319.415482001521</v>
      </c>
    </row>
    <row r="83" spans="5:19" x14ac:dyDescent="0.25">
      <c r="F83" s="196" t="s">
        <v>1042</v>
      </c>
      <c r="G83" s="196" t="s">
        <v>120</v>
      </c>
      <c r="H83" s="196" t="s">
        <v>145</v>
      </c>
      <c r="I83" s="66"/>
      <c r="J83" s="234">
        <f t="shared" si="3"/>
        <v>1322296.4326402938</v>
      </c>
      <c r="K83" s="235"/>
      <c r="L83" s="331"/>
      <c r="M83" s="331"/>
      <c r="N83" s="331"/>
      <c r="O83" s="331">
        <v>1322296.4326402938</v>
      </c>
      <c r="P83" s="331">
        <v>1322296.4326402938</v>
      </c>
      <c r="Q83" s="331">
        <v>1322296.4326402938</v>
      </c>
      <c r="R83" s="331">
        <v>1322296.4326402938</v>
      </c>
      <c r="S83" s="331">
        <v>1322296.4326402938</v>
      </c>
    </row>
    <row r="84" spans="5:19" x14ac:dyDescent="0.25">
      <c r="F84" s="196" t="s">
        <v>1043</v>
      </c>
      <c r="G84" s="196" t="s">
        <v>120</v>
      </c>
      <c r="H84" s="196" t="s">
        <v>145</v>
      </c>
      <c r="I84" s="66"/>
      <c r="J84" s="234">
        <f t="shared" si="3"/>
        <v>101185.04898982702</v>
      </c>
      <c r="K84" s="235"/>
      <c r="L84" s="331"/>
      <c r="M84" s="331"/>
      <c r="N84" s="331"/>
      <c r="O84" s="331">
        <v>101185.04898982702</v>
      </c>
      <c r="P84" s="331">
        <v>101185.04898982702</v>
      </c>
      <c r="Q84" s="331">
        <v>101185.04898982702</v>
      </c>
      <c r="R84" s="331">
        <v>101185.04898982702</v>
      </c>
      <c r="S84" s="331">
        <v>101185.04898982702</v>
      </c>
    </row>
    <row r="85" spans="5:19" x14ac:dyDescent="0.25">
      <c r="F85" s="196" t="s">
        <v>1044</v>
      </c>
      <c r="G85" s="196" t="s">
        <v>120</v>
      </c>
      <c r="H85" s="196" t="s">
        <v>145</v>
      </c>
      <c r="I85" s="66"/>
      <c r="J85" s="234">
        <f t="shared" si="3"/>
        <v>1497042.8901385467</v>
      </c>
      <c r="K85" s="235"/>
      <c r="L85" s="331"/>
      <c r="M85" s="331"/>
      <c r="N85" s="331"/>
      <c r="O85" s="331">
        <v>1497042.8901385467</v>
      </c>
      <c r="P85" s="331">
        <v>1497042.8901385467</v>
      </c>
      <c r="Q85" s="331">
        <v>1497042.8901385467</v>
      </c>
      <c r="R85" s="331">
        <v>1497042.8901385467</v>
      </c>
      <c r="S85" s="331">
        <v>1497042.8901385467</v>
      </c>
    </row>
    <row r="86" spans="5:19" x14ac:dyDescent="0.25">
      <c r="F86" s="196" t="s">
        <v>1045</v>
      </c>
      <c r="G86" s="196" t="s">
        <v>120</v>
      </c>
      <c r="H86" s="196" t="s">
        <v>145</v>
      </c>
      <c r="I86" s="66"/>
      <c r="J86" s="234">
        <f t="shared" si="3"/>
        <v>52546.80809158679</v>
      </c>
      <c r="K86" s="235"/>
      <c r="L86" s="331"/>
      <c r="M86" s="331"/>
      <c r="N86" s="331"/>
      <c r="O86" s="331">
        <v>52546.80809158679</v>
      </c>
      <c r="P86" s="331">
        <v>52546.80809158679</v>
      </c>
      <c r="Q86" s="331">
        <v>52546.80809158679</v>
      </c>
      <c r="R86" s="331">
        <v>52546.80809158679</v>
      </c>
      <c r="S86" s="331">
        <v>52546.80809158679</v>
      </c>
    </row>
    <row r="87" spans="5:19" x14ac:dyDescent="0.25">
      <c r="F87" s="196" t="s">
        <v>1046</v>
      </c>
      <c r="G87" s="196" t="s">
        <v>120</v>
      </c>
      <c r="H87" s="196" t="s">
        <v>145</v>
      </c>
      <c r="I87" s="66"/>
      <c r="J87" s="234">
        <f t="shared" si="3"/>
        <v>625.58915267962095</v>
      </c>
      <c r="K87" s="235"/>
      <c r="L87" s="331"/>
      <c r="M87" s="331"/>
      <c r="N87" s="331"/>
      <c r="O87" s="331">
        <v>625.58915267962095</v>
      </c>
      <c r="P87" s="331">
        <v>625.58915267962095</v>
      </c>
      <c r="Q87" s="331">
        <v>625.58915267962095</v>
      </c>
      <c r="R87" s="331">
        <v>625.58915267962095</v>
      </c>
      <c r="S87" s="331">
        <v>625.58915267962095</v>
      </c>
    </row>
    <row r="88" spans="5:19" x14ac:dyDescent="0.25">
      <c r="F88" s="196" t="s">
        <v>1047</v>
      </c>
      <c r="G88" s="196" t="s">
        <v>120</v>
      </c>
      <c r="H88" s="196" t="s">
        <v>145</v>
      </c>
      <c r="I88" s="66"/>
      <c r="J88" s="234">
        <f t="shared" si="3"/>
        <v>11.85801478940583</v>
      </c>
      <c r="K88" s="235"/>
      <c r="L88" s="331"/>
      <c r="M88" s="331"/>
      <c r="N88" s="331"/>
      <c r="O88" s="331">
        <v>11.85801478940583</v>
      </c>
      <c r="P88" s="331">
        <v>11.85801478940583</v>
      </c>
      <c r="Q88" s="331">
        <v>11.85801478940583</v>
      </c>
      <c r="R88" s="331">
        <v>11.85801478940583</v>
      </c>
      <c r="S88" s="331">
        <v>11.85801478940583</v>
      </c>
    </row>
    <row r="89" spans="5:19" x14ac:dyDescent="0.25">
      <c r="F89" s="196" t="s">
        <v>1048</v>
      </c>
      <c r="G89" s="196" t="s">
        <v>120</v>
      </c>
      <c r="H89" s="196" t="s">
        <v>145</v>
      </c>
      <c r="I89" s="66"/>
      <c r="J89" s="234">
        <f t="shared" si="3"/>
        <v>27525.456251959484</v>
      </c>
      <c r="K89" s="235"/>
      <c r="L89" s="331"/>
      <c r="M89" s="331"/>
      <c r="N89" s="331"/>
      <c r="O89" s="331">
        <v>27525.456251959484</v>
      </c>
      <c r="P89" s="331">
        <v>27525.456251959484</v>
      </c>
      <c r="Q89" s="331">
        <v>27525.456251959484</v>
      </c>
      <c r="R89" s="331">
        <v>27525.456251959484</v>
      </c>
      <c r="S89" s="331">
        <v>27525.456251959484</v>
      </c>
    </row>
    <row r="90" spans="5:19" x14ac:dyDescent="0.25">
      <c r="F90" s="196" t="s">
        <v>1049</v>
      </c>
      <c r="G90" s="196" t="s">
        <v>120</v>
      </c>
      <c r="H90" s="196" t="s">
        <v>145</v>
      </c>
      <c r="I90" s="66"/>
      <c r="J90" s="234">
        <f t="shared" si="3"/>
        <v>0</v>
      </c>
      <c r="K90" s="235"/>
      <c r="L90" s="331"/>
      <c r="M90" s="331"/>
      <c r="N90" s="331"/>
      <c r="O90" s="331">
        <v>0</v>
      </c>
      <c r="P90" s="331">
        <v>0</v>
      </c>
      <c r="Q90" s="331">
        <v>0</v>
      </c>
      <c r="R90" s="331">
        <v>0</v>
      </c>
      <c r="S90" s="331">
        <v>0</v>
      </c>
    </row>
    <row r="91" spans="5:19" x14ac:dyDescent="0.25">
      <c r="F91" s="196" t="s">
        <v>1050</v>
      </c>
      <c r="G91" s="196" t="s">
        <v>120</v>
      </c>
      <c r="H91" s="196" t="s">
        <v>145</v>
      </c>
      <c r="I91" s="66"/>
      <c r="J91" s="234">
        <f t="shared" si="3"/>
        <v>597.34783091345412</v>
      </c>
      <c r="K91" s="235"/>
      <c r="L91" s="331"/>
      <c r="M91" s="331"/>
      <c r="N91" s="331"/>
      <c r="O91" s="331">
        <v>597.34783091345412</v>
      </c>
      <c r="P91" s="331">
        <v>597.34783091345412</v>
      </c>
      <c r="Q91" s="331">
        <v>597.34783091345412</v>
      </c>
      <c r="R91" s="331">
        <v>597.34783091345412</v>
      </c>
      <c r="S91" s="331">
        <v>597.34783091345412</v>
      </c>
    </row>
    <row r="92" spans="5:19" x14ac:dyDescent="0.25">
      <c r="F92" s="196" t="s">
        <v>1051</v>
      </c>
      <c r="G92" s="196" t="s">
        <v>120</v>
      </c>
      <c r="H92" s="196" t="s">
        <v>145</v>
      </c>
      <c r="I92" s="66"/>
      <c r="J92" s="234">
        <f t="shared" si="3"/>
        <v>0</v>
      </c>
      <c r="K92" s="235"/>
      <c r="L92" s="331"/>
      <c r="M92" s="331"/>
      <c r="N92" s="331"/>
      <c r="O92" s="331">
        <v>0</v>
      </c>
      <c r="P92" s="331">
        <v>0</v>
      </c>
      <c r="Q92" s="331">
        <v>0</v>
      </c>
      <c r="R92" s="331">
        <v>0</v>
      </c>
      <c r="S92" s="331">
        <v>0</v>
      </c>
    </row>
    <row r="93" spans="5:19" x14ac:dyDescent="0.25">
      <c r="F93" s="196" t="s">
        <v>1052</v>
      </c>
      <c r="G93" s="196" t="s">
        <v>120</v>
      </c>
      <c r="H93" s="196" t="s">
        <v>145</v>
      </c>
      <c r="I93" s="66"/>
      <c r="J93" s="234">
        <f t="shared" si="3"/>
        <v>445212.43930388504</v>
      </c>
      <c r="K93" s="235"/>
      <c r="L93" s="331"/>
      <c r="M93" s="331"/>
      <c r="N93" s="331"/>
      <c r="O93" s="331">
        <v>445212.43930388504</v>
      </c>
      <c r="P93" s="331">
        <v>445212.43930388504</v>
      </c>
      <c r="Q93" s="331">
        <v>445212.43930388504</v>
      </c>
      <c r="R93" s="331">
        <v>445212.43930388504</v>
      </c>
      <c r="S93" s="331">
        <v>445212.43930388504</v>
      </c>
    </row>
    <row r="94" spans="5:19" x14ac:dyDescent="0.25">
      <c r="F94" s="93" t="s">
        <v>1053</v>
      </c>
      <c r="G94" s="93" t="s">
        <v>120</v>
      </c>
      <c r="H94" s="93" t="s">
        <v>145</v>
      </c>
      <c r="I94" s="145"/>
      <c r="J94" s="236">
        <f t="shared" si="3"/>
        <v>0</v>
      </c>
      <c r="K94" s="237"/>
      <c r="L94" s="332"/>
      <c r="M94" s="332"/>
      <c r="N94" s="332"/>
      <c r="O94" s="332">
        <v>0</v>
      </c>
      <c r="P94" s="332">
        <v>0</v>
      </c>
      <c r="Q94" s="332">
        <v>0</v>
      </c>
      <c r="R94" s="332">
        <v>0</v>
      </c>
      <c r="S94" s="332">
        <v>0</v>
      </c>
    </row>
    <row r="95" spans="5:19" x14ac:dyDescent="0.25">
      <c r="J95" s="238"/>
      <c r="K95" s="238"/>
      <c r="L95" s="238"/>
      <c r="M95" s="238"/>
      <c r="N95" s="238"/>
      <c r="O95" s="238"/>
      <c r="P95" s="238"/>
      <c r="Q95" s="238"/>
      <c r="R95" s="238"/>
      <c r="S95" s="238"/>
    </row>
    <row r="96" spans="5:19" x14ac:dyDescent="0.25">
      <c r="E96" s="144" t="s">
        <v>258</v>
      </c>
      <c r="J96" s="238"/>
      <c r="K96" s="238"/>
      <c r="L96" s="238"/>
      <c r="M96" s="238"/>
      <c r="N96" s="238"/>
      <c r="O96" s="238"/>
      <c r="P96" s="238"/>
      <c r="Q96" s="238"/>
      <c r="R96" s="238"/>
      <c r="S96" s="238"/>
    </row>
    <row r="97" spans="6:19" x14ac:dyDescent="0.25">
      <c r="F97" s="91" t="s">
        <v>1038</v>
      </c>
      <c r="G97" s="91" t="s">
        <v>120</v>
      </c>
      <c r="H97" s="91" t="s">
        <v>145</v>
      </c>
      <c r="I97" s="112"/>
      <c r="J97" s="232">
        <f t="shared" ref="J97:J112" si="4">CHOOSE(year_selection, L97,M97,N97,O97,P97,Q97,R97,S97)</f>
        <v>2382458.5766185289</v>
      </c>
      <c r="K97" s="233"/>
      <c r="L97" s="330"/>
      <c r="M97" s="330"/>
      <c r="N97" s="330"/>
      <c r="O97" s="330">
        <v>2382458.5766185289</v>
      </c>
      <c r="P97" s="330">
        <v>2382458.5766185289</v>
      </c>
      <c r="Q97" s="330">
        <v>2382458.5766185289</v>
      </c>
      <c r="R97" s="330">
        <v>2382458.5766185289</v>
      </c>
      <c r="S97" s="330">
        <v>2382458.5766185289</v>
      </c>
    </row>
    <row r="98" spans="6:19" x14ac:dyDescent="0.25">
      <c r="F98" s="196" t="s">
        <v>1039</v>
      </c>
      <c r="G98" s="196" t="s">
        <v>120</v>
      </c>
      <c r="H98" s="196" t="s">
        <v>145</v>
      </c>
      <c r="I98" s="66"/>
      <c r="J98" s="234">
        <f t="shared" si="4"/>
        <v>245208.33115400965</v>
      </c>
      <c r="K98" s="235"/>
      <c r="L98" s="331"/>
      <c r="M98" s="331"/>
      <c r="N98" s="331"/>
      <c r="O98" s="331">
        <v>245208.33115400965</v>
      </c>
      <c r="P98" s="331">
        <v>245208.33115400965</v>
      </c>
      <c r="Q98" s="331">
        <v>245208.33115400965</v>
      </c>
      <c r="R98" s="331">
        <v>245208.33115400965</v>
      </c>
      <c r="S98" s="331">
        <v>245208.33115400965</v>
      </c>
    </row>
    <row r="99" spans="6:19" x14ac:dyDescent="0.25">
      <c r="F99" s="196" t="s">
        <v>1040</v>
      </c>
      <c r="G99" s="196" t="s">
        <v>120</v>
      </c>
      <c r="H99" s="196" t="s">
        <v>145</v>
      </c>
      <c r="I99" s="66"/>
      <c r="J99" s="234">
        <f t="shared" si="4"/>
        <v>982488.05164342187</v>
      </c>
      <c r="K99" s="235"/>
      <c r="L99" s="331"/>
      <c r="M99" s="331"/>
      <c r="N99" s="331"/>
      <c r="O99" s="331">
        <v>982488.05164342187</v>
      </c>
      <c r="P99" s="331">
        <v>982488.05164342187</v>
      </c>
      <c r="Q99" s="331">
        <v>982488.05164342187</v>
      </c>
      <c r="R99" s="331">
        <v>982488.05164342187</v>
      </c>
      <c r="S99" s="331">
        <v>982488.05164342187</v>
      </c>
    </row>
    <row r="100" spans="6:19" x14ac:dyDescent="0.25">
      <c r="F100" s="196" t="s">
        <v>1041</v>
      </c>
      <c r="G100" s="196" t="s">
        <v>120</v>
      </c>
      <c r="H100" s="196" t="s">
        <v>145</v>
      </c>
      <c r="I100" s="66"/>
      <c r="J100" s="234">
        <f t="shared" si="4"/>
        <v>52561.158034119573</v>
      </c>
      <c r="K100" s="235"/>
      <c r="L100" s="331"/>
      <c r="M100" s="331"/>
      <c r="N100" s="331"/>
      <c r="O100" s="331">
        <v>52561.158034119573</v>
      </c>
      <c r="P100" s="331">
        <v>52561.158034119573</v>
      </c>
      <c r="Q100" s="331">
        <v>52561.158034119573</v>
      </c>
      <c r="R100" s="331">
        <v>52561.158034119573</v>
      </c>
      <c r="S100" s="331">
        <v>52561.158034119573</v>
      </c>
    </row>
    <row r="101" spans="6:19" x14ac:dyDescent="0.25">
      <c r="F101" s="196" t="s">
        <v>1042</v>
      </c>
      <c r="G101" s="196" t="s">
        <v>120</v>
      </c>
      <c r="H101" s="196" t="s">
        <v>145</v>
      </c>
      <c r="I101" s="66"/>
      <c r="J101" s="234">
        <f t="shared" si="4"/>
        <v>1154944.2406044872</v>
      </c>
      <c r="K101" s="235"/>
      <c r="L101" s="331"/>
      <c r="M101" s="331"/>
      <c r="N101" s="331"/>
      <c r="O101" s="331">
        <v>1154944.2406044872</v>
      </c>
      <c r="P101" s="331">
        <v>1154944.2406044872</v>
      </c>
      <c r="Q101" s="331">
        <v>1154944.2406044872</v>
      </c>
      <c r="R101" s="331">
        <v>1154944.2406044872</v>
      </c>
      <c r="S101" s="331">
        <v>1154944.2406044872</v>
      </c>
    </row>
    <row r="102" spans="6:19" x14ac:dyDescent="0.25">
      <c r="F102" s="196" t="s">
        <v>1043</v>
      </c>
      <c r="G102" s="196" t="s">
        <v>120</v>
      </c>
      <c r="H102" s="196" t="s">
        <v>145</v>
      </c>
      <c r="I102" s="66"/>
      <c r="J102" s="234">
        <f t="shared" si="4"/>
        <v>100898.01610776718</v>
      </c>
      <c r="K102" s="235"/>
      <c r="L102" s="331"/>
      <c r="M102" s="331"/>
      <c r="N102" s="331"/>
      <c r="O102" s="331">
        <v>100898.01610776718</v>
      </c>
      <c r="P102" s="331">
        <v>100898.01610776718</v>
      </c>
      <c r="Q102" s="331">
        <v>100898.01610776718</v>
      </c>
      <c r="R102" s="331">
        <v>100898.01610776718</v>
      </c>
      <c r="S102" s="331">
        <v>100898.01610776718</v>
      </c>
    </row>
    <row r="103" spans="6:19" x14ac:dyDescent="0.25">
      <c r="F103" s="196" t="s">
        <v>1044</v>
      </c>
      <c r="G103" s="196" t="s">
        <v>120</v>
      </c>
      <c r="H103" s="196" t="s">
        <v>145</v>
      </c>
      <c r="I103" s="66"/>
      <c r="J103" s="234">
        <f t="shared" si="4"/>
        <v>1602377.0319897835</v>
      </c>
      <c r="K103" s="235"/>
      <c r="L103" s="331"/>
      <c r="M103" s="331"/>
      <c r="N103" s="331"/>
      <c r="O103" s="331">
        <v>1602377.0319897835</v>
      </c>
      <c r="P103" s="331">
        <v>1602377.0319897835</v>
      </c>
      <c r="Q103" s="331">
        <v>1602377.0319897835</v>
      </c>
      <c r="R103" s="331">
        <v>1602377.0319897835</v>
      </c>
      <c r="S103" s="331">
        <v>1602377.0319897835</v>
      </c>
    </row>
    <row r="104" spans="6:19" x14ac:dyDescent="0.25">
      <c r="F104" s="196" t="s">
        <v>1045</v>
      </c>
      <c r="G104" s="196" t="s">
        <v>120</v>
      </c>
      <c r="H104" s="196" t="s">
        <v>145</v>
      </c>
      <c r="I104" s="66"/>
      <c r="J104" s="234">
        <f t="shared" si="4"/>
        <v>189052.68521962134</v>
      </c>
      <c r="K104" s="235"/>
      <c r="L104" s="331"/>
      <c r="M104" s="331"/>
      <c r="N104" s="331"/>
      <c r="O104" s="331">
        <v>189052.68521962134</v>
      </c>
      <c r="P104" s="331">
        <v>189052.68521962134</v>
      </c>
      <c r="Q104" s="331">
        <v>189052.68521962134</v>
      </c>
      <c r="R104" s="331">
        <v>189052.68521962134</v>
      </c>
      <c r="S104" s="331">
        <v>189052.68521962134</v>
      </c>
    </row>
    <row r="105" spans="6:19" x14ac:dyDescent="0.25">
      <c r="F105" s="196" t="s">
        <v>1046</v>
      </c>
      <c r="G105" s="196" t="s">
        <v>120</v>
      </c>
      <c r="H105" s="196" t="s">
        <v>145</v>
      </c>
      <c r="I105" s="66"/>
      <c r="J105" s="234">
        <f t="shared" si="4"/>
        <v>698.17114006254928</v>
      </c>
      <c r="K105" s="235"/>
      <c r="L105" s="331"/>
      <c r="M105" s="331"/>
      <c r="N105" s="331"/>
      <c r="O105" s="331">
        <v>698.17114006254928</v>
      </c>
      <c r="P105" s="331">
        <v>698.17114006254928</v>
      </c>
      <c r="Q105" s="331">
        <v>698.17114006254928</v>
      </c>
      <c r="R105" s="331">
        <v>698.17114006254928</v>
      </c>
      <c r="S105" s="331">
        <v>698.17114006254928</v>
      </c>
    </row>
    <row r="106" spans="6:19" x14ac:dyDescent="0.25">
      <c r="F106" s="196" t="s">
        <v>1047</v>
      </c>
      <c r="G106" s="196" t="s">
        <v>120</v>
      </c>
      <c r="H106" s="196" t="s">
        <v>145</v>
      </c>
      <c r="I106" s="66"/>
      <c r="J106" s="234">
        <f t="shared" si="4"/>
        <v>16.006356756135215</v>
      </c>
      <c r="K106" s="235"/>
      <c r="L106" s="331"/>
      <c r="M106" s="331"/>
      <c r="N106" s="331"/>
      <c r="O106" s="331">
        <v>16.006356756135215</v>
      </c>
      <c r="P106" s="331">
        <v>16.006356756135215</v>
      </c>
      <c r="Q106" s="331">
        <v>16.006356756135215</v>
      </c>
      <c r="R106" s="331">
        <v>16.006356756135215</v>
      </c>
      <c r="S106" s="331">
        <v>16.006356756135215</v>
      </c>
    </row>
    <row r="107" spans="6:19" x14ac:dyDescent="0.25">
      <c r="F107" s="196" t="s">
        <v>1048</v>
      </c>
      <c r="G107" s="196" t="s">
        <v>120</v>
      </c>
      <c r="H107" s="196" t="s">
        <v>145</v>
      </c>
      <c r="I107" s="66"/>
      <c r="J107" s="234">
        <f t="shared" si="4"/>
        <v>30981.276337559029</v>
      </c>
      <c r="K107" s="235"/>
      <c r="L107" s="331"/>
      <c r="M107" s="331"/>
      <c r="N107" s="331"/>
      <c r="O107" s="331">
        <v>30981.276337559029</v>
      </c>
      <c r="P107" s="331">
        <v>30981.276337559029</v>
      </c>
      <c r="Q107" s="331">
        <v>30981.276337559029</v>
      </c>
      <c r="R107" s="331">
        <v>30981.276337559029</v>
      </c>
      <c r="S107" s="331">
        <v>30981.276337559029</v>
      </c>
    </row>
    <row r="108" spans="6:19" x14ac:dyDescent="0.25">
      <c r="F108" s="196" t="s">
        <v>1049</v>
      </c>
      <c r="G108" s="196" t="s">
        <v>120</v>
      </c>
      <c r="H108" s="196" t="s">
        <v>145</v>
      </c>
      <c r="I108" s="66"/>
      <c r="J108" s="234">
        <f t="shared" si="4"/>
        <v>0</v>
      </c>
      <c r="K108" s="235"/>
      <c r="L108" s="331"/>
      <c r="M108" s="331"/>
      <c r="N108" s="331"/>
      <c r="O108" s="331">
        <v>0</v>
      </c>
      <c r="P108" s="331">
        <v>0</v>
      </c>
      <c r="Q108" s="331">
        <v>0</v>
      </c>
      <c r="R108" s="331">
        <v>0</v>
      </c>
      <c r="S108" s="331">
        <v>0</v>
      </c>
    </row>
    <row r="109" spans="6:19" x14ac:dyDescent="0.25">
      <c r="F109" s="196" t="s">
        <v>1050</v>
      </c>
      <c r="G109" s="196" t="s">
        <v>120</v>
      </c>
      <c r="H109" s="196" t="s">
        <v>145</v>
      </c>
      <c r="I109" s="66"/>
      <c r="J109" s="234">
        <f t="shared" si="4"/>
        <v>807.27901652418518</v>
      </c>
      <c r="K109" s="235"/>
      <c r="L109" s="331"/>
      <c r="M109" s="331"/>
      <c r="N109" s="331"/>
      <c r="O109" s="331">
        <v>807.27901652418518</v>
      </c>
      <c r="P109" s="331">
        <v>807.27901652418518</v>
      </c>
      <c r="Q109" s="331">
        <v>807.27901652418518</v>
      </c>
      <c r="R109" s="331">
        <v>807.27901652418518</v>
      </c>
      <c r="S109" s="331">
        <v>807.27901652418518</v>
      </c>
    </row>
    <row r="110" spans="6:19" x14ac:dyDescent="0.25">
      <c r="F110" s="196" t="s">
        <v>1051</v>
      </c>
      <c r="G110" s="196" t="s">
        <v>120</v>
      </c>
      <c r="H110" s="196" t="s">
        <v>145</v>
      </c>
      <c r="I110" s="66"/>
      <c r="J110" s="234">
        <f t="shared" si="4"/>
        <v>0</v>
      </c>
      <c r="K110" s="235"/>
      <c r="L110" s="331"/>
      <c r="M110" s="331"/>
      <c r="N110" s="331"/>
      <c r="O110" s="331">
        <v>0</v>
      </c>
      <c r="P110" s="331">
        <v>0</v>
      </c>
      <c r="Q110" s="331">
        <v>0</v>
      </c>
      <c r="R110" s="331">
        <v>0</v>
      </c>
      <c r="S110" s="331">
        <v>0</v>
      </c>
    </row>
    <row r="111" spans="6:19" x14ac:dyDescent="0.25">
      <c r="F111" s="196" t="s">
        <v>1052</v>
      </c>
      <c r="G111" s="196" t="s">
        <v>120</v>
      </c>
      <c r="H111" s="196" t="s">
        <v>145</v>
      </c>
      <c r="I111" s="66"/>
      <c r="J111" s="234">
        <f t="shared" si="4"/>
        <v>507559.16751891578</v>
      </c>
      <c r="K111" s="235"/>
      <c r="L111" s="331"/>
      <c r="M111" s="331"/>
      <c r="N111" s="331"/>
      <c r="O111" s="331">
        <v>507559.16751891578</v>
      </c>
      <c r="P111" s="331">
        <v>507559.16751891578</v>
      </c>
      <c r="Q111" s="331">
        <v>507559.16751891578</v>
      </c>
      <c r="R111" s="331">
        <v>507559.16751891578</v>
      </c>
      <c r="S111" s="331">
        <v>507559.16751891578</v>
      </c>
    </row>
    <row r="112" spans="6:19" x14ac:dyDescent="0.25">
      <c r="F112" s="93" t="s">
        <v>1053</v>
      </c>
      <c r="G112" s="93" t="s">
        <v>120</v>
      </c>
      <c r="H112" s="93" t="s">
        <v>145</v>
      </c>
      <c r="I112" s="145"/>
      <c r="J112" s="236">
        <f t="shared" si="4"/>
        <v>0</v>
      </c>
      <c r="K112" s="237"/>
      <c r="L112" s="332"/>
      <c r="M112" s="332"/>
      <c r="N112" s="332"/>
      <c r="O112" s="332">
        <v>0</v>
      </c>
      <c r="P112" s="332">
        <v>0</v>
      </c>
      <c r="Q112" s="332">
        <v>0</v>
      </c>
      <c r="R112" s="332">
        <v>0</v>
      </c>
      <c r="S112" s="332">
        <v>0</v>
      </c>
    </row>
    <row r="113" spans="5:19" x14ac:dyDescent="0.25">
      <c r="J113" s="238"/>
      <c r="K113" s="238"/>
      <c r="L113" s="238"/>
      <c r="M113" s="238"/>
      <c r="N113" s="238"/>
      <c r="O113" s="238"/>
      <c r="P113" s="238"/>
      <c r="Q113" s="238"/>
      <c r="R113" s="238"/>
      <c r="S113" s="238"/>
    </row>
    <row r="114" spans="5:19" x14ac:dyDescent="0.25">
      <c r="E114" s="144" t="s">
        <v>74</v>
      </c>
      <c r="J114" s="238"/>
      <c r="K114" s="238"/>
      <c r="L114" s="238"/>
      <c r="M114" s="238"/>
      <c r="N114" s="238"/>
      <c r="O114" s="238"/>
      <c r="P114" s="238"/>
      <c r="Q114" s="238"/>
      <c r="R114" s="238"/>
      <c r="S114" s="238"/>
    </row>
    <row r="115" spans="5:19" x14ac:dyDescent="0.25">
      <c r="F115" s="91" t="s">
        <v>1038</v>
      </c>
      <c r="G115" s="91" t="s">
        <v>74</v>
      </c>
      <c r="H115" s="91" t="s">
        <v>145</v>
      </c>
      <c r="I115" s="112"/>
      <c r="J115" s="232">
        <f t="shared" ref="J115:J130" si="5">CHOOSE(year_selection, L115,M115,N115,O115,P115,Q115,R115,S115)</f>
        <v>1852569</v>
      </c>
      <c r="K115" s="233"/>
      <c r="L115" s="330"/>
      <c r="M115" s="330"/>
      <c r="N115" s="330"/>
      <c r="O115" s="330">
        <v>1852569</v>
      </c>
      <c r="P115" s="330">
        <v>1852569</v>
      </c>
      <c r="Q115" s="330">
        <v>1852569</v>
      </c>
      <c r="R115" s="330">
        <v>1852569</v>
      </c>
      <c r="S115" s="330">
        <v>1852569</v>
      </c>
    </row>
    <row r="116" spans="5:19" x14ac:dyDescent="0.25">
      <c r="F116" s="196" t="s">
        <v>1039</v>
      </c>
      <c r="G116" s="196" t="s">
        <v>74</v>
      </c>
      <c r="H116" s="196" t="s">
        <v>145</v>
      </c>
      <c r="I116" s="66"/>
      <c r="J116" s="234">
        <f t="shared" si="5"/>
        <v>100059</v>
      </c>
      <c r="K116" s="235"/>
      <c r="L116" s="331"/>
      <c r="M116" s="331"/>
      <c r="N116" s="331"/>
      <c r="O116" s="331">
        <v>100059</v>
      </c>
      <c r="P116" s="331">
        <v>100059</v>
      </c>
      <c r="Q116" s="331">
        <v>100059</v>
      </c>
      <c r="R116" s="331">
        <v>100059</v>
      </c>
      <c r="S116" s="331">
        <v>100059</v>
      </c>
    </row>
    <row r="117" spans="5:19" x14ac:dyDescent="0.25">
      <c r="F117" s="196" t="s">
        <v>1040</v>
      </c>
      <c r="G117" s="196" t="s">
        <v>74</v>
      </c>
      <c r="H117" s="196" t="s">
        <v>145</v>
      </c>
      <c r="I117" s="66"/>
      <c r="J117" s="234">
        <f t="shared" si="5"/>
        <v>125030</v>
      </c>
      <c r="K117" s="235"/>
      <c r="L117" s="331"/>
      <c r="M117" s="331"/>
      <c r="N117" s="331"/>
      <c r="O117" s="331">
        <v>125030</v>
      </c>
      <c r="P117" s="331">
        <v>125030</v>
      </c>
      <c r="Q117" s="331">
        <v>125030</v>
      </c>
      <c r="R117" s="331">
        <v>125030</v>
      </c>
      <c r="S117" s="331">
        <v>125030</v>
      </c>
    </row>
    <row r="118" spans="5:19" x14ac:dyDescent="0.25">
      <c r="F118" s="196" t="s">
        <v>1041</v>
      </c>
      <c r="G118" s="196" t="s">
        <v>74</v>
      </c>
      <c r="H118" s="196" t="s">
        <v>145</v>
      </c>
      <c r="I118" s="66"/>
      <c r="J118" s="234">
        <f t="shared" si="5"/>
        <v>7441</v>
      </c>
      <c r="K118" s="235"/>
      <c r="L118" s="331"/>
      <c r="M118" s="331"/>
      <c r="N118" s="331"/>
      <c r="O118" s="331">
        <v>7441</v>
      </c>
      <c r="P118" s="331">
        <v>7441</v>
      </c>
      <c r="Q118" s="331">
        <v>7441</v>
      </c>
      <c r="R118" s="331">
        <v>7441</v>
      </c>
      <c r="S118" s="331">
        <v>7441</v>
      </c>
    </row>
    <row r="119" spans="5:19" x14ac:dyDescent="0.25">
      <c r="F119" s="196" t="s">
        <v>1042</v>
      </c>
      <c r="G119" s="196" t="s">
        <v>74</v>
      </c>
      <c r="H119" s="196" t="s">
        <v>145</v>
      </c>
      <c r="I119" s="66"/>
      <c r="J119" s="234">
        <f t="shared" si="5"/>
        <v>10491</v>
      </c>
      <c r="K119" s="235"/>
      <c r="L119" s="331"/>
      <c r="M119" s="331"/>
      <c r="N119" s="331"/>
      <c r="O119" s="331">
        <v>10491</v>
      </c>
      <c r="P119" s="331">
        <v>10491</v>
      </c>
      <c r="Q119" s="331">
        <v>10491</v>
      </c>
      <c r="R119" s="331">
        <v>10491</v>
      </c>
      <c r="S119" s="331">
        <v>10491</v>
      </c>
    </row>
    <row r="120" spans="5:19" x14ac:dyDescent="0.25">
      <c r="F120" s="196" t="s">
        <v>1043</v>
      </c>
      <c r="G120" s="196" t="s">
        <v>74</v>
      </c>
      <c r="H120" s="196" t="s">
        <v>145</v>
      </c>
      <c r="I120" s="66"/>
      <c r="J120" s="234">
        <f t="shared" si="5"/>
        <v>219</v>
      </c>
      <c r="K120" s="235"/>
      <c r="L120" s="331"/>
      <c r="M120" s="331"/>
      <c r="N120" s="331"/>
      <c r="O120" s="331">
        <v>219</v>
      </c>
      <c r="P120" s="331">
        <v>219</v>
      </c>
      <c r="Q120" s="331">
        <v>219</v>
      </c>
      <c r="R120" s="331">
        <v>219</v>
      </c>
      <c r="S120" s="331">
        <v>219</v>
      </c>
    </row>
    <row r="121" spans="5:19" x14ac:dyDescent="0.25">
      <c r="F121" s="196" t="s">
        <v>1044</v>
      </c>
      <c r="G121" s="196" t="s">
        <v>74</v>
      </c>
      <c r="H121" s="196" t="s">
        <v>145</v>
      </c>
      <c r="I121" s="66"/>
      <c r="J121" s="234">
        <f t="shared" si="5"/>
        <v>1257</v>
      </c>
      <c r="K121" s="235"/>
      <c r="L121" s="331"/>
      <c r="M121" s="331"/>
      <c r="N121" s="331"/>
      <c r="O121" s="331">
        <v>1257</v>
      </c>
      <c r="P121" s="331">
        <v>1257</v>
      </c>
      <c r="Q121" s="331">
        <v>1257</v>
      </c>
      <c r="R121" s="331">
        <v>1257</v>
      </c>
      <c r="S121" s="331">
        <v>1257</v>
      </c>
    </row>
    <row r="122" spans="5:19" x14ac:dyDescent="0.25">
      <c r="F122" s="196" t="s">
        <v>1045</v>
      </c>
      <c r="G122" s="196" t="s">
        <v>74</v>
      </c>
      <c r="H122" s="196" t="s">
        <v>145</v>
      </c>
      <c r="I122" s="66"/>
      <c r="J122" s="234">
        <f t="shared" si="5"/>
        <v>4868</v>
      </c>
      <c r="K122" s="235"/>
      <c r="L122" s="331"/>
      <c r="M122" s="331"/>
      <c r="N122" s="331"/>
      <c r="O122" s="331">
        <v>4868</v>
      </c>
      <c r="P122" s="331">
        <v>4868</v>
      </c>
      <c r="Q122" s="331">
        <v>4868</v>
      </c>
      <c r="R122" s="331">
        <v>4868</v>
      </c>
      <c r="S122" s="331">
        <v>4868</v>
      </c>
    </row>
    <row r="123" spans="5:19" x14ac:dyDescent="0.25">
      <c r="F123" s="196" t="s">
        <v>1046</v>
      </c>
      <c r="G123" s="196" t="s">
        <v>74</v>
      </c>
      <c r="H123" s="196" t="s">
        <v>145</v>
      </c>
      <c r="I123" s="66"/>
      <c r="J123" s="234">
        <f t="shared" si="5"/>
        <v>167</v>
      </c>
      <c r="K123" s="235"/>
      <c r="L123" s="331"/>
      <c r="M123" s="331"/>
      <c r="N123" s="331"/>
      <c r="O123" s="331">
        <v>167</v>
      </c>
      <c r="P123" s="331">
        <v>167</v>
      </c>
      <c r="Q123" s="331">
        <v>167</v>
      </c>
      <c r="R123" s="331">
        <v>167</v>
      </c>
      <c r="S123" s="331">
        <v>167</v>
      </c>
    </row>
    <row r="124" spans="5:19" x14ac:dyDescent="0.25">
      <c r="F124" s="196" t="s">
        <v>1047</v>
      </c>
      <c r="G124" s="196" t="s">
        <v>74</v>
      </c>
      <c r="H124" s="196" t="s">
        <v>145</v>
      </c>
      <c r="I124" s="66"/>
      <c r="J124" s="234">
        <f t="shared" si="5"/>
        <v>4</v>
      </c>
      <c r="K124" s="235"/>
      <c r="L124" s="331"/>
      <c r="M124" s="331"/>
      <c r="N124" s="331"/>
      <c r="O124" s="331">
        <v>4</v>
      </c>
      <c r="P124" s="331">
        <v>4</v>
      </c>
      <c r="Q124" s="331">
        <v>4</v>
      </c>
      <c r="R124" s="331">
        <v>4</v>
      </c>
      <c r="S124" s="331">
        <v>4</v>
      </c>
    </row>
    <row r="125" spans="5:19" x14ac:dyDescent="0.25">
      <c r="F125" s="196" t="s">
        <v>1048</v>
      </c>
      <c r="G125" s="196" t="s">
        <v>74</v>
      </c>
      <c r="H125" s="196" t="s">
        <v>145</v>
      </c>
      <c r="I125" s="66"/>
      <c r="J125" s="234">
        <f t="shared" si="5"/>
        <v>472</v>
      </c>
      <c r="K125" s="235"/>
      <c r="L125" s="331"/>
      <c r="M125" s="331"/>
      <c r="N125" s="331"/>
      <c r="O125" s="331">
        <v>472</v>
      </c>
      <c r="P125" s="331">
        <v>472</v>
      </c>
      <c r="Q125" s="331">
        <v>472</v>
      </c>
      <c r="R125" s="331">
        <v>472</v>
      </c>
      <c r="S125" s="331">
        <v>472</v>
      </c>
    </row>
    <row r="126" spans="5:19" x14ac:dyDescent="0.25">
      <c r="F126" s="196" t="s">
        <v>1049</v>
      </c>
      <c r="G126" s="196" t="s">
        <v>74</v>
      </c>
      <c r="H126" s="196" t="s">
        <v>145</v>
      </c>
      <c r="I126" s="66"/>
      <c r="J126" s="234">
        <f t="shared" si="5"/>
        <v>0</v>
      </c>
      <c r="K126" s="235"/>
      <c r="L126" s="331"/>
      <c r="M126" s="331"/>
      <c r="N126" s="331"/>
      <c r="O126" s="331">
        <v>0</v>
      </c>
      <c r="P126" s="331">
        <v>0</v>
      </c>
      <c r="Q126" s="331">
        <v>0</v>
      </c>
      <c r="R126" s="331">
        <v>0</v>
      </c>
      <c r="S126" s="331">
        <v>0</v>
      </c>
    </row>
    <row r="127" spans="5:19" x14ac:dyDescent="0.25">
      <c r="F127" s="196" t="s">
        <v>1050</v>
      </c>
      <c r="G127" s="196" t="s">
        <v>74</v>
      </c>
      <c r="H127" s="196" t="s">
        <v>145</v>
      </c>
      <c r="I127" s="66"/>
      <c r="J127" s="234">
        <f t="shared" si="5"/>
        <v>8</v>
      </c>
      <c r="K127" s="235"/>
      <c r="L127" s="331"/>
      <c r="M127" s="331"/>
      <c r="N127" s="331"/>
      <c r="O127" s="331">
        <v>8</v>
      </c>
      <c r="P127" s="331">
        <v>8</v>
      </c>
      <c r="Q127" s="331">
        <v>8</v>
      </c>
      <c r="R127" s="331">
        <v>8</v>
      </c>
      <c r="S127" s="331">
        <v>8</v>
      </c>
    </row>
    <row r="128" spans="5:19" x14ac:dyDescent="0.25">
      <c r="F128" s="196" t="s">
        <v>1051</v>
      </c>
      <c r="G128" s="196" t="s">
        <v>74</v>
      </c>
      <c r="H128" s="196" t="s">
        <v>145</v>
      </c>
      <c r="I128" s="66"/>
      <c r="J128" s="234">
        <f t="shared" si="5"/>
        <v>0</v>
      </c>
      <c r="K128" s="235"/>
      <c r="L128" s="331"/>
      <c r="M128" s="331"/>
      <c r="N128" s="331"/>
      <c r="O128" s="331">
        <v>0</v>
      </c>
      <c r="P128" s="331">
        <v>0</v>
      </c>
      <c r="Q128" s="331">
        <v>0</v>
      </c>
      <c r="R128" s="331">
        <v>0</v>
      </c>
      <c r="S128" s="331">
        <v>0</v>
      </c>
    </row>
    <row r="129" spans="5:19" x14ac:dyDescent="0.25">
      <c r="F129" s="196" t="s">
        <v>1052</v>
      </c>
      <c r="G129" s="196" t="s">
        <v>74</v>
      </c>
      <c r="H129" s="196" t="s">
        <v>145</v>
      </c>
      <c r="I129" s="66"/>
      <c r="J129" s="234">
        <f t="shared" si="5"/>
        <v>255</v>
      </c>
      <c r="K129" s="235"/>
      <c r="L129" s="331"/>
      <c r="M129" s="331"/>
      <c r="N129" s="331"/>
      <c r="O129" s="331">
        <v>255</v>
      </c>
      <c r="P129" s="331">
        <v>255</v>
      </c>
      <c r="Q129" s="331">
        <v>255</v>
      </c>
      <c r="R129" s="331">
        <v>255</v>
      </c>
      <c r="S129" s="331">
        <v>255</v>
      </c>
    </row>
    <row r="130" spans="5:19" x14ac:dyDescent="0.25">
      <c r="F130" s="93" t="s">
        <v>1053</v>
      </c>
      <c r="G130" s="93" t="s">
        <v>74</v>
      </c>
      <c r="H130" s="93" t="s">
        <v>145</v>
      </c>
      <c r="I130" s="145"/>
      <c r="J130" s="236">
        <f t="shared" si="5"/>
        <v>0</v>
      </c>
      <c r="K130" s="237"/>
      <c r="L130" s="332"/>
      <c r="M130" s="332"/>
      <c r="N130" s="332"/>
      <c r="O130" s="332">
        <v>0</v>
      </c>
      <c r="P130" s="332">
        <v>0</v>
      </c>
      <c r="Q130" s="332">
        <v>0</v>
      </c>
      <c r="R130" s="332">
        <v>0</v>
      </c>
      <c r="S130" s="332">
        <v>0</v>
      </c>
    </row>
    <row r="131" spans="5:19" x14ac:dyDescent="0.25">
      <c r="J131" s="238"/>
      <c r="K131" s="238"/>
      <c r="L131" s="238"/>
      <c r="M131" s="238"/>
      <c r="N131" s="238"/>
      <c r="O131" s="238"/>
      <c r="P131" s="238"/>
      <c r="Q131" s="238"/>
      <c r="R131" s="238"/>
      <c r="S131" s="238"/>
    </row>
    <row r="132" spans="5:19" x14ac:dyDescent="0.25">
      <c r="E132" s="144" t="s">
        <v>259</v>
      </c>
      <c r="J132" s="238"/>
      <c r="K132" s="238"/>
      <c r="L132" s="238"/>
      <c r="M132" s="238"/>
      <c r="N132" s="238"/>
      <c r="O132" s="238"/>
      <c r="P132" s="238"/>
      <c r="Q132" s="238"/>
      <c r="R132" s="238"/>
      <c r="S132" s="238"/>
    </row>
    <row r="133" spans="5:19" x14ac:dyDescent="0.25">
      <c r="F133" s="91" t="s">
        <v>1038</v>
      </c>
      <c r="G133" s="91" t="s">
        <v>169</v>
      </c>
      <c r="H133" s="91" t="s">
        <v>145</v>
      </c>
      <c r="I133" s="112"/>
      <c r="J133" s="239"/>
      <c r="K133" s="233"/>
      <c r="L133" s="239"/>
      <c r="M133" s="239"/>
      <c r="N133" s="239"/>
      <c r="O133" s="239"/>
      <c r="P133" s="239"/>
      <c r="Q133" s="239"/>
      <c r="R133" s="239"/>
      <c r="S133" s="239"/>
    </row>
    <row r="134" spans="5:19" x14ac:dyDescent="0.25">
      <c r="F134" s="196" t="s">
        <v>1039</v>
      </c>
      <c r="G134" s="196" t="s">
        <v>169</v>
      </c>
      <c r="H134" s="196" t="s">
        <v>145</v>
      </c>
      <c r="I134" s="66"/>
      <c r="J134" s="240"/>
      <c r="K134" s="235"/>
      <c r="L134" s="240"/>
      <c r="M134" s="240"/>
      <c r="N134" s="240"/>
      <c r="O134" s="240"/>
      <c r="P134" s="240"/>
      <c r="Q134" s="240"/>
      <c r="R134" s="240"/>
      <c r="S134" s="240"/>
    </row>
    <row r="135" spans="5:19" x14ac:dyDescent="0.25">
      <c r="F135" s="196" t="s">
        <v>1040</v>
      </c>
      <c r="G135" s="196" t="s">
        <v>169</v>
      </c>
      <c r="H135" s="196" t="s">
        <v>145</v>
      </c>
      <c r="I135" s="66"/>
      <c r="J135" s="240"/>
      <c r="K135" s="235"/>
      <c r="L135" s="240"/>
      <c r="M135" s="240"/>
      <c r="N135" s="240"/>
      <c r="O135" s="240"/>
      <c r="P135" s="240"/>
      <c r="Q135" s="240"/>
      <c r="R135" s="240"/>
      <c r="S135" s="240"/>
    </row>
    <row r="136" spans="5:19" x14ac:dyDescent="0.25">
      <c r="F136" s="196" t="s">
        <v>1041</v>
      </c>
      <c r="G136" s="196" t="s">
        <v>169</v>
      </c>
      <c r="H136" s="196" t="s">
        <v>145</v>
      </c>
      <c r="I136" s="66"/>
      <c r="J136" s="240"/>
      <c r="K136" s="235"/>
      <c r="L136" s="240"/>
      <c r="M136" s="240"/>
      <c r="N136" s="240"/>
      <c r="O136" s="240"/>
      <c r="P136" s="240"/>
      <c r="Q136" s="240"/>
      <c r="R136" s="240"/>
      <c r="S136" s="240"/>
    </row>
    <row r="137" spans="5:19" x14ac:dyDescent="0.25">
      <c r="F137" s="196" t="s">
        <v>1042</v>
      </c>
      <c r="G137" s="196" t="s">
        <v>169</v>
      </c>
      <c r="H137" s="196" t="s">
        <v>145</v>
      </c>
      <c r="I137" s="66"/>
      <c r="J137" s="234">
        <f t="shared" ref="J137:J139" si="6">CHOOSE(year_selection, L137,M137,N137,O137,P137,Q137,R137,S137)</f>
        <v>1465414</v>
      </c>
      <c r="K137" s="235"/>
      <c r="L137" s="331"/>
      <c r="M137" s="331"/>
      <c r="N137" s="331"/>
      <c r="O137" s="331">
        <v>1465414</v>
      </c>
      <c r="P137" s="331">
        <v>1465414</v>
      </c>
      <c r="Q137" s="331">
        <v>1465414</v>
      </c>
      <c r="R137" s="331">
        <v>1465414</v>
      </c>
      <c r="S137" s="331">
        <v>1465414</v>
      </c>
    </row>
    <row r="138" spans="5:19" x14ac:dyDescent="0.25">
      <c r="F138" s="196" t="s">
        <v>1043</v>
      </c>
      <c r="G138" s="196" t="s">
        <v>169</v>
      </c>
      <c r="H138" s="196" t="s">
        <v>145</v>
      </c>
      <c r="I138" s="66"/>
      <c r="J138" s="234">
        <f t="shared" si="6"/>
        <v>92670</v>
      </c>
      <c r="K138" s="235"/>
      <c r="L138" s="331"/>
      <c r="M138" s="331"/>
      <c r="N138" s="331"/>
      <c r="O138" s="331">
        <v>92670</v>
      </c>
      <c r="P138" s="331">
        <v>92670</v>
      </c>
      <c r="Q138" s="331">
        <v>92670</v>
      </c>
      <c r="R138" s="331">
        <v>92670</v>
      </c>
      <c r="S138" s="331">
        <v>92670</v>
      </c>
    </row>
    <row r="139" spans="5:19" x14ac:dyDescent="0.25">
      <c r="F139" s="196" t="s">
        <v>1044</v>
      </c>
      <c r="G139" s="196" t="s">
        <v>169</v>
      </c>
      <c r="H139" s="196" t="s">
        <v>145</v>
      </c>
      <c r="I139" s="66"/>
      <c r="J139" s="234">
        <f t="shared" si="6"/>
        <v>1282859</v>
      </c>
      <c r="K139" s="235"/>
      <c r="L139" s="331"/>
      <c r="M139" s="331"/>
      <c r="N139" s="331"/>
      <c r="O139" s="331">
        <v>1282859</v>
      </c>
      <c r="P139" s="331">
        <v>1282859</v>
      </c>
      <c r="Q139" s="331">
        <v>1282859</v>
      </c>
      <c r="R139" s="331">
        <v>1282859</v>
      </c>
      <c r="S139" s="331">
        <v>1282859</v>
      </c>
    </row>
    <row r="140" spans="5:19" x14ac:dyDescent="0.25">
      <c r="F140" s="196" t="s">
        <v>1045</v>
      </c>
      <c r="G140" s="196" t="s">
        <v>169</v>
      </c>
      <c r="H140" s="196" t="s">
        <v>145</v>
      </c>
      <c r="I140" s="66"/>
      <c r="J140" s="240"/>
      <c r="K140" s="235"/>
      <c r="L140" s="240"/>
      <c r="M140" s="240"/>
      <c r="N140" s="240"/>
      <c r="O140" s="240"/>
      <c r="P140" s="240"/>
      <c r="Q140" s="240"/>
      <c r="R140" s="240"/>
      <c r="S140" s="240"/>
    </row>
    <row r="141" spans="5:19" x14ac:dyDescent="0.25">
      <c r="F141" s="196" t="s">
        <v>1046</v>
      </c>
      <c r="G141" s="196" t="s">
        <v>169</v>
      </c>
      <c r="H141" s="196" t="s">
        <v>145</v>
      </c>
      <c r="I141" s="66"/>
      <c r="J141" s="240"/>
      <c r="K141" s="235"/>
      <c r="L141" s="240"/>
      <c r="M141" s="240"/>
      <c r="N141" s="240"/>
      <c r="O141" s="240"/>
      <c r="P141" s="240"/>
      <c r="Q141" s="240"/>
      <c r="R141" s="240"/>
      <c r="S141" s="240"/>
    </row>
    <row r="142" spans="5:19" x14ac:dyDescent="0.25">
      <c r="F142" s="196" t="s">
        <v>1047</v>
      </c>
      <c r="G142" s="196" t="s">
        <v>169</v>
      </c>
      <c r="H142" s="196" t="s">
        <v>145</v>
      </c>
      <c r="I142" s="66"/>
      <c r="J142" s="240"/>
      <c r="K142" s="235"/>
      <c r="L142" s="240"/>
      <c r="M142" s="240"/>
      <c r="N142" s="240"/>
      <c r="O142" s="240"/>
      <c r="P142" s="240"/>
      <c r="Q142" s="240"/>
      <c r="R142" s="240"/>
      <c r="S142" s="240"/>
    </row>
    <row r="143" spans="5:19" x14ac:dyDescent="0.25">
      <c r="F143" s="196" t="s">
        <v>1048</v>
      </c>
      <c r="G143" s="196" t="s">
        <v>169</v>
      </c>
      <c r="H143" s="196" t="s">
        <v>145</v>
      </c>
      <c r="I143" s="66"/>
      <c r="J143" s="240"/>
      <c r="K143" s="235"/>
      <c r="L143" s="240"/>
      <c r="M143" s="240"/>
      <c r="N143" s="240"/>
      <c r="O143" s="240"/>
      <c r="P143" s="240"/>
      <c r="Q143" s="240"/>
      <c r="R143" s="240"/>
      <c r="S143" s="240"/>
    </row>
    <row r="144" spans="5:19" x14ac:dyDescent="0.25">
      <c r="F144" s="196" t="s">
        <v>1049</v>
      </c>
      <c r="G144" s="196" t="s">
        <v>169</v>
      </c>
      <c r="H144" s="196" t="s">
        <v>145</v>
      </c>
      <c r="I144" s="66"/>
      <c r="J144" s="240"/>
      <c r="K144" s="235"/>
      <c r="L144" s="240"/>
      <c r="M144" s="240"/>
      <c r="N144" s="240"/>
      <c r="O144" s="240"/>
      <c r="P144" s="240"/>
      <c r="Q144" s="240"/>
      <c r="R144" s="240"/>
      <c r="S144" s="240"/>
    </row>
    <row r="145" spans="5:19" x14ac:dyDescent="0.25">
      <c r="F145" s="196" t="s">
        <v>1050</v>
      </c>
      <c r="G145" s="196" t="s">
        <v>169</v>
      </c>
      <c r="H145" s="196" t="s">
        <v>145</v>
      </c>
      <c r="I145" s="66"/>
      <c r="J145" s="240"/>
      <c r="K145" s="235"/>
      <c r="L145" s="240"/>
      <c r="M145" s="240"/>
      <c r="N145" s="240"/>
      <c r="O145" s="240"/>
      <c r="P145" s="240"/>
      <c r="Q145" s="240"/>
      <c r="R145" s="240"/>
      <c r="S145" s="240"/>
    </row>
    <row r="146" spans="5:19" x14ac:dyDescent="0.25">
      <c r="F146" s="196" t="s">
        <v>1051</v>
      </c>
      <c r="G146" s="196" t="s">
        <v>169</v>
      </c>
      <c r="H146" s="196" t="s">
        <v>145</v>
      </c>
      <c r="I146" s="66"/>
      <c r="J146" s="240"/>
      <c r="K146" s="235"/>
      <c r="L146" s="240"/>
      <c r="M146" s="240"/>
      <c r="N146" s="240"/>
      <c r="O146" s="240"/>
      <c r="P146" s="240"/>
      <c r="Q146" s="240"/>
      <c r="R146" s="240"/>
      <c r="S146" s="240"/>
    </row>
    <row r="147" spans="5:19" x14ac:dyDescent="0.25">
      <c r="F147" s="196" t="s">
        <v>1052</v>
      </c>
      <c r="G147" s="196" t="s">
        <v>169</v>
      </c>
      <c r="H147" s="196" t="s">
        <v>145</v>
      </c>
      <c r="I147" s="66"/>
      <c r="J147" s="240"/>
      <c r="K147" s="235"/>
      <c r="L147" s="240"/>
      <c r="M147" s="240"/>
      <c r="N147" s="240"/>
      <c r="O147" s="240"/>
      <c r="P147" s="240"/>
      <c r="Q147" s="240"/>
      <c r="R147" s="240"/>
      <c r="S147" s="240"/>
    </row>
    <row r="148" spans="5:19" x14ac:dyDescent="0.25">
      <c r="F148" s="93" t="s">
        <v>1053</v>
      </c>
      <c r="G148" s="93" t="s">
        <v>169</v>
      </c>
      <c r="H148" s="93" t="s">
        <v>145</v>
      </c>
      <c r="I148" s="145"/>
      <c r="J148" s="241"/>
      <c r="K148" s="237"/>
      <c r="L148" s="241"/>
      <c r="M148" s="241"/>
      <c r="N148" s="241"/>
      <c r="O148" s="241"/>
      <c r="P148" s="241"/>
      <c r="Q148" s="241"/>
      <c r="R148" s="241"/>
      <c r="S148" s="241"/>
    </row>
    <row r="149" spans="5:19" x14ac:dyDescent="0.25">
      <c r="J149" s="238"/>
      <c r="K149" s="238"/>
      <c r="L149" s="238"/>
      <c r="M149" s="238"/>
      <c r="N149" s="238"/>
      <c r="O149" s="238"/>
      <c r="P149" s="238"/>
      <c r="Q149" s="238"/>
      <c r="R149" s="238"/>
      <c r="S149" s="238"/>
    </row>
    <row r="150" spans="5:19" x14ac:dyDescent="0.25">
      <c r="E150" s="144" t="s">
        <v>260</v>
      </c>
      <c r="J150" s="238"/>
      <c r="K150" s="238"/>
      <c r="L150" s="238"/>
      <c r="M150" s="238"/>
      <c r="N150" s="238"/>
      <c r="O150" s="238"/>
      <c r="P150" s="238"/>
      <c r="Q150" s="238"/>
      <c r="R150" s="238"/>
      <c r="S150" s="238"/>
    </row>
    <row r="151" spans="5:19" x14ac:dyDescent="0.25">
      <c r="F151" s="91" t="s">
        <v>1038</v>
      </c>
      <c r="G151" s="91" t="s">
        <v>169</v>
      </c>
      <c r="H151" s="91" t="s">
        <v>145</v>
      </c>
      <c r="I151" s="112"/>
      <c r="J151" s="239"/>
      <c r="K151" s="233"/>
      <c r="L151" s="239"/>
      <c r="M151" s="239"/>
      <c r="N151" s="239"/>
      <c r="O151" s="239"/>
      <c r="P151" s="239"/>
      <c r="Q151" s="239"/>
      <c r="R151" s="239"/>
      <c r="S151" s="239"/>
    </row>
    <row r="152" spans="5:19" x14ac:dyDescent="0.25">
      <c r="F152" s="196" t="s">
        <v>1039</v>
      </c>
      <c r="G152" s="196" t="s">
        <v>169</v>
      </c>
      <c r="H152" s="196" t="s">
        <v>145</v>
      </c>
      <c r="I152" s="66"/>
      <c r="J152" s="240"/>
      <c r="K152" s="235"/>
      <c r="L152" s="240"/>
      <c r="M152" s="240"/>
      <c r="N152" s="240"/>
      <c r="O152" s="240"/>
      <c r="P152" s="240"/>
      <c r="Q152" s="240"/>
      <c r="R152" s="240"/>
      <c r="S152" s="240"/>
    </row>
    <row r="153" spans="5:19" x14ac:dyDescent="0.25">
      <c r="F153" s="196" t="s">
        <v>1040</v>
      </c>
      <c r="G153" s="196" t="s">
        <v>169</v>
      </c>
      <c r="H153" s="196" t="s">
        <v>145</v>
      </c>
      <c r="I153" s="66"/>
      <c r="J153" s="240"/>
      <c r="K153" s="235"/>
      <c r="L153" s="240"/>
      <c r="M153" s="240"/>
      <c r="N153" s="240"/>
      <c r="O153" s="240"/>
      <c r="P153" s="240"/>
      <c r="Q153" s="240"/>
      <c r="R153" s="240"/>
      <c r="S153" s="240"/>
    </row>
    <row r="154" spans="5:19" x14ac:dyDescent="0.25">
      <c r="F154" s="196" t="s">
        <v>1041</v>
      </c>
      <c r="G154" s="196" t="s">
        <v>169</v>
      </c>
      <c r="H154" s="196" t="s">
        <v>145</v>
      </c>
      <c r="I154" s="66"/>
      <c r="J154" s="240"/>
      <c r="K154" s="235"/>
      <c r="L154" s="240"/>
      <c r="M154" s="240"/>
      <c r="N154" s="240"/>
      <c r="O154" s="240"/>
      <c r="P154" s="240"/>
      <c r="Q154" s="240"/>
      <c r="R154" s="240"/>
      <c r="S154" s="240"/>
    </row>
    <row r="155" spans="5:19" x14ac:dyDescent="0.25">
      <c r="F155" s="196" t="s">
        <v>1042</v>
      </c>
      <c r="G155" s="196" t="s">
        <v>169</v>
      </c>
      <c r="H155" s="196" t="s">
        <v>145</v>
      </c>
      <c r="I155" s="66"/>
      <c r="J155" s="234">
        <f t="shared" ref="J155:J157" si="7">CHOOSE(year_selection, L155,M155,N155,O155,P155,Q155,R155,S155)</f>
        <v>29539.140000000003</v>
      </c>
      <c r="K155" s="235"/>
      <c r="L155" s="331"/>
      <c r="M155" s="331"/>
      <c r="N155" s="331"/>
      <c r="O155" s="331">
        <v>29539.140000000003</v>
      </c>
      <c r="P155" s="331">
        <v>29539.140000000003</v>
      </c>
      <c r="Q155" s="331">
        <v>29539.140000000003</v>
      </c>
      <c r="R155" s="331">
        <v>29539.140000000003</v>
      </c>
      <c r="S155" s="331">
        <v>29539.140000000003</v>
      </c>
    </row>
    <row r="156" spans="5:19" x14ac:dyDescent="0.25">
      <c r="F156" s="196" t="s">
        <v>1043</v>
      </c>
      <c r="G156" s="196" t="s">
        <v>169</v>
      </c>
      <c r="H156" s="196" t="s">
        <v>145</v>
      </c>
      <c r="I156" s="66"/>
      <c r="J156" s="234">
        <f t="shared" si="7"/>
        <v>1042.17</v>
      </c>
      <c r="K156" s="235"/>
      <c r="L156" s="331"/>
      <c r="M156" s="331"/>
      <c r="N156" s="331"/>
      <c r="O156" s="331">
        <v>1042.17</v>
      </c>
      <c r="P156" s="331">
        <v>1042.17</v>
      </c>
      <c r="Q156" s="331">
        <v>1042.17</v>
      </c>
      <c r="R156" s="331">
        <v>1042.17</v>
      </c>
      <c r="S156" s="331">
        <v>1042.17</v>
      </c>
    </row>
    <row r="157" spans="5:19" x14ac:dyDescent="0.25">
      <c r="F157" s="196" t="s">
        <v>1044</v>
      </c>
      <c r="G157" s="196" t="s">
        <v>169</v>
      </c>
      <c r="H157" s="196" t="s">
        <v>145</v>
      </c>
      <c r="I157" s="66"/>
      <c r="J157" s="234">
        <f t="shared" si="7"/>
        <v>16267.89</v>
      </c>
      <c r="K157" s="235"/>
      <c r="L157" s="331"/>
      <c r="M157" s="331"/>
      <c r="N157" s="331"/>
      <c r="O157" s="331">
        <v>16267.89</v>
      </c>
      <c r="P157" s="331">
        <v>16267.89</v>
      </c>
      <c r="Q157" s="331">
        <v>16267.89</v>
      </c>
      <c r="R157" s="331">
        <v>16267.89</v>
      </c>
      <c r="S157" s="331">
        <v>16267.89</v>
      </c>
    </row>
    <row r="158" spans="5:19" x14ac:dyDescent="0.25">
      <c r="F158" s="196" t="s">
        <v>1045</v>
      </c>
      <c r="G158" s="196" t="s">
        <v>169</v>
      </c>
      <c r="H158" s="196" t="s">
        <v>145</v>
      </c>
      <c r="I158" s="66"/>
      <c r="J158" s="240"/>
      <c r="K158" s="235"/>
      <c r="L158" s="240"/>
      <c r="M158" s="240"/>
      <c r="N158" s="240"/>
      <c r="O158" s="240"/>
      <c r="P158" s="240"/>
      <c r="Q158" s="240"/>
      <c r="R158" s="240"/>
      <c r="S158" s="240"/>
    </row>
    <row r="159" spans="5:19" x14ac:dyDescent="0.25">
      <c r="F159" s="196" t="s">
        <v>1046</v>
      </c>
      <c r="G159" s="196" t="s">
        <v>169</v>
      </c>
      <c r="H159" s="196" t="s">
        <v>145</v>
      </c>
      <c r="I159" s="66"/>
      <c r="J159" s="240"/>
      <c r="K159" s="235"/>
      <c r="L159" s="240"/>
      <c r="M159" s="240"/>
      <c r="N159" s="240"/>
      <c r="O159" s="240"/>
      <c r="P159" s="240"/>
      <c r="Q159" s="240"/>
      <c r="R159" s="240"/>
      <c r="S159" s="240"/>
    </row>
    <row r="160" spans="5:19" x14ac:dyDescent="0.25">
      <c r="F160" s="196" t="s">
        <v>1047</v>
      </c>
      <c r="G160" s="196" t="s">
        <v>169</v>
      </c>
      <c r="H160" s="196" t="s">
        <v>145</v>
      </c>
      <c r="I160" s="66"/>
      <c r="J160" s="240"/>
      <c r="K160" s="235"/>
      <c r="L160" s="240"/>
      <c r="M160" s="240"/>
      <c r="N160" s="240"/>
      <c r="O160" s="240"/>
      <c r="P160" s="240"/>
      <c r="Q160" s="240"/>
      <c r="R160" s="240"/>
      <c r="S160" s="240"/>
    </row>
    <row r="161" spans="5:19" x14ac:dyDescent="0.25">
      <c r="F161" s="196" t="s">
        <v>1048</v>
      </c>
      <c r="G161" s="196" t="s">
        <v>169</v>
      </c>
      <c r="H161" s="196" t="s">
        <v>145</v>
      </c>
      <c r="I161" s="66"/>
      <c r="J161" s="240"/>
      <c r="K161" s="235"/>
      <c r="L161" s="240"/>
      <c r="M161" s="240"/>
      <c r="N161" s="240"/>
      <c r="O161" s="240"/>
      <c r="P161" s="240"/>
      <c r="Q161" s="240"/>
      <c r="R161" s="240"/>
      <c r="S161" s="240"/>
    </row>
    <row r="162" spans="5:19" x14ac:dyDescent="0.25">
      <c r="F162" s="196" t="s">
        <v>1049</v>
      </c>
      <c r="G162" s="196" t="s">
        <v>169</v>
      </c>
      <c r="H162" s="196" t="s">
        <v>145</v>
      </c>
      <c r="I162" s="66"/>
      <c r="J162" s="240"/>
      <c r="K162" s="235"/>
      <c r="L162" s="240"/>
      <c r="M162" s="240"/>
      <c r="N162" s="240"/>
      <c r="O162" s="240"/>
      <c r="P162" s="240"/>
      <c r="Q162" s="240"/>
      <c r="R162" s="240"/>
      <c r="S162" s="240"/>
    </row>
    <row r="163" spans="5:19" x14ac:dyDescent="0.25">
      <c r="F163" s="196" t="s">
        <v>1050</v>
      </c>
      <c r="G163" s="196" t="s">
        <v>169</v>
      </c>
      <c r="H163" s="196" t="s">
        <v>145</v>
      </c>
      <c r="I163" s="66"/>
      <c r="J163" s="240"/>
      <c r="K163" s="235"/>
      <c r="L163" s="240"/>
      <c r="M163" s="240"/>
      <c r="N163" s="240"/>
      <c r="O163" s="240"/>
      <c r="P163" s="240"/>
      <c r="Q163" s="240"/>
      <c r="R163" s="240"/>
      <c r="S163" s="240"/>
    </row>
    <row r="164" spans="5:19" x14ac:dyDescent="0.25">
      <c r="F164" s="196" t="s">
        <v>1051</v>
      </c>
      <c r="G164" s="196" t="s">
        <v>169</v>
      </c>
      <c r="H164" s="196" t="s">
        <v>145</v>
      </c>
      <c r="I164" s="66"/>
      <c r="J164" s="240"/>
      <c r="K164" s="235"/>
      <c r="L164" s="240"/>
      <c r="M164" s="240"/>
      <c r="N164" s="240"/>
      <c r="O164" s="240"/>
      <c r="P164" s="240"/>
      <c r="Q164" s="240"/>
      <c r="R164" s="240"/>
      <c r="S164" s="240"/>
    </row>
    <row r="165" spans="5:19" x14ac:dyDescent="0.25">
      <c r="F165" s="196" t="s">
        <v>1052</v>
      </c>
      <c r="G165" s="196" t="s">
        <v>169</v>
      </c>
      <c r="H165" s="196" t="s">
        <v>145</v>
      </c>
      <c r="I165" s="66"/>
      <c r="J165" s="240"/>
      <c r="K165" s="235"/>
      <c r="L165" s="240"/>
      <c r="M165" s="240"/>
      <c r="N165" s="240"/>
      <c r="O165" s="240"/>
      <c r="P165" s="240"/>
      <c r="Q165" s="240"/>
      <c r="R165" s="240"/>
      <c r="S165" s="240"/>
    </row>
    <row r="166" spans="5:19" x14ac:dyDescent="0.25">
      <c r="F166" s="93" t="s">
        <v>1053</v>
      </c>
      <c r="G166" s="93" t="s">
        <v>169</v>
      </c>
      <c r="H166" s="93" t="s">
        <v>145</v>
      </c>
      <c r="I166" s="145"/>
      <c r="J166" s="241"/>
      <c r="K166" s="237"/>
      <c r="L166" s="241"/>
      <c r="M166" s="241"/>
      <c r="N166" s="241"/>
      <c r="O166" s="241"/>
      <c r="P166" s="241"/>
      <c r="Q166" s="241"/>
      <c r="R166" s="241"/>
      <c r="S166" s="241"/>
    </row>
    <row r="167" spans="5:19" x14ac:dyDescent="0.25">
      <c r="J167" s="238"/>
      <c r="K167" s="238"/>
      <c r="L167" s="238"/>
      <c r="M167" s="238"/>
      <c r="N167" s="238"/>
      <c r="O167" s="238"/>
      <c r="P167" s="238"/>
      <c r="Q167" s="238"/>
      <c r="R167" s="238"/>
      <c r="S167" s="238"/>
    </row>
    <row r="168" spans="5:19" x14ac:dyDescent="0.25">
      <c r="E168" s="144" t="s">
        <v>261</v>
      </c>
      <c r="J168" s="238"/>
      <c r="K168" s="238"/>
      <c r="L168" s="238"/>
      <c r="M168" s="238"/>
      <c r="N168" s="238"/>
      <c r="O168" s="238"/>
      <c r="P168" s="238"/>
      <c r="Q168" s="238"/>
      <c r="R168" s="238"/>
      <c r="S168" s="238"/>
    </row>
    <row r="169" spans="5:19" x14ac:dyDescent="0.25">
      <c r="F169" s="91" t="s">
        <v>1038</v>
      </c>
      <c r="G169" s="91" t="s">
        <v>170</v>
      </c>
      <c r="H169" s="91" t="s">
        <v>145</v>
      </c>
      <c r="I169" s="112"/>
      <c r="J169" s="239"/>
      <c r="K169" s="233"/>
      <c r="L169" s="239"/>
      <c r="M169" s="239"/>
      <c r="N169" s="239"/>
      <c r="O169" s="239"/>
      <c r="P169" s="239"/>
      <c r="Q169" s="239"/>
      <c r="R169" s="239"/>
      <c r="S169" s="239"/>
    </row>
    <row r="170" spans="5:19" x14ac:dyDescent="0.25">
      <c r="F170" s="196" t="s">
        <v>1039</v>
      </c>
      <c r="G170" s="196" t="s">
        <v>170</v>
      </c>
      <c r="H170" s="196" t="s">
        <v>145</v>
      </c>
      <c r="I170" s="66"/>
      <c r="J170" s="240"/>
      <c r="K170" s="235"/>
      <c r="L170" s="240"/>
      <c r="M170" s="240"/>
      <c r="N170" s="240"/>
      <c r="O170" s="240"/>
      <c r="P170" s="240"/>
      <c r="Q170" s="240"/>
      <c r="R170" s="240"/>
      <c r="S170" s="240"/>
    </row>
    <row r="171" spans="5:19" x14ac:dyDescent="0.25">
      <c r="F171" s="196" t="s">
        <v>1040</v>
      </c>
      <c r="G171" s="196" t="s">
        <v>170</v>
      </c>
      <c r="H171" s="196" t="s">
        <v>145</v>
      </c>
      <c r="I171" s="66"/>
      <c r="J171" s="240"/>
      <c r="K171" s="235"/>
      <c r="L171" s="240"/>
      <c r="M171" s="240"/>
      <c r="N171" s="240"/>
      <c r="O171" s="240"/>
      <c r="P171" s="240"/>
      <c r="Q171" s="240"/>
      <c r="R171" s="240"/>
      <c r="S171" s="240"/>
    </row>
    <row r="172" spans="5:19" x14ac:dyDescent="0.25">
      <c r="F172" s="196" t="s">
        <v>1041</v>
      </c>
      <c r="G172" s="196" t="s">
        <v>170</v>
      </c>
      <c r="H172" s="196" t="s">
        <v>145</v>
      </c>
      <c r="I172" s="66"/>
      <c r="J172" s="240"/>
      <c r="K172" s="235"/>
      <c r="L172" s="240"/>
      <c r="M172" s="240"/>
      <c r="N172" s="240"/>
      <c r="O172" s="240"/>
      <c r="P172" s="240"/>
      <c r="Q172" s="240"/>
      <c r="R172" s="240"/>
      <c r="S172" s="240"/>
    </row>
    <row r="173" spans="5:19" x14ac:dyDescent="0.25">
      <c r="F173" s="196" t="s">
        <v>1042</v>
      </c>
      <c r="G173" s="196" t="s">
        <v>170</v>
      </c>
      <c r="H173" s="196" t="s">
        <v>145</v>
      </c>
      <c r="I173" s="66"/>
      <c r="J173" s="234">
        <f t="shared" ref="J173:J175" si="8">CHOOSE(year_selection, L173,M173,N173,O173,P173,Q173,R173,S173)</f>
        <v>241920</v>
      </c>
      <c r="K173" s="235"/>
      <c r="L173" s="331"/>
      <c r="M173" s="331"/>
      <c r="N173" s="331"/>
      <c r="O173" s="331">
        <v>241920</v>
      </c>
      <c r="P173" s="331">
        <v>241920</v>
      </c>
      <c r="Q173" s="331">
        <v>241920</v>
      </c>
      <c r="R173" s="331">
        <v>241920</v>
      </c>
      <c r="S173" s="331">
        <v>241920</v>
      </c>
    </row>
    <row r="174" spans="5:19" x14ac:dyDescent="0.25">
      <c r="F174" s="196" t="s">
        <v>1043</v>
      </c>
      <c r="G174" s="196" t="s">
        <v>170</v>
      </c>
      <c r="H174" s="196" t="s">
        <v>145</v>
      </c>
      <c r="I174" s="66"/>
      <c r="J174" s="234">
        <f t="shared" si="8"/>
        <v>19020</v>
      </c>
      <c r="K174" s="235"/>
      <c r="L174" s="331"/>
      <c r="M174" s="331"/>
      <c r="N174" s="331"/>
      <c r="O174" s="331">
        <v>19020</v>
      </c>
      <c r="P174" s="331">
        <v>19020</v>
      </c>
      <c r="Q174" s="331">
        <v>19020</v>
      </c>
      <c r="R174" s="331">
        <v>19020</v>
      </c>
      <c r="S174" s="331">
        <v>19020</v>
      </c>
    </row>
    <row r="175" spans="5:19" x14ac:dyDescent="0.25">
      <c r="F175" s="196" t="s">
        <v>1044</v>
      </c>
      <c r="G175" s="196" t="s">
        <v>170</v>
      </c>
      <c r="H175" s="196" t="s">
        <v>145</v>
      </c>
      <c r="I175" s="66"/>
      <c r="J175" s="234">
        <f t="shared" si="8"/>
        <v>250200</v>
      </c>
      <c r="K175" s="235"/>
      <c r="L175" s="331"/>
      <c r="M175" s="331"/>
      <c r="N175" s="331"/>
      <c r="O175" s="331">
        <v>250200</v>
      </c>
      <c r="P175" s="331">
        <v>250200</v>
      </c>
      <c r="Q175" s="331">
        <v>250200</v>
      </c>
      <c r="R175" s="331">
        <v>250200</v>
      </c>
      <c r="S175" s="331">
        <v>250200</v>
      </c>
    </row>
    <row r="176" spans="5:19" x14ac:dyDescent="0.25">
      <c r="F176" s="196" t="s">
        <v>1045</v>
      </c>
      <c r="G176" s="196" t="s">
        <v>170</v>
      </c>
      <c r="H176" s="196" t="s">
        <v>145</v>
      </c>
      <c r="I176" s="66"/>
      <c r="J176" s="240"/>
      <c r="K176" s="235"/>
      <c r="L176" s="240"/>
      <c r="M176" s="240"/>
      <c r="N176" s="240"/>
      <c r="O176" s="240"/>
      <c r="P176" s="240"/>
      <c r="Q176" s="240"/>
      <c r="R176" s="240"/>
      <c r="S176" s="240"/>
    </row>
    <row r="177" spans="3:21" x14ac:dyDescent="0.25">
      <c r="F177" s="196" t="s">
        <v>1046</v>
      </c>
      <c r="G177" s="196" t="s">
        <v>170</v>
      </c>
      <c r="H177" s="196" t="s">
        <v>145</v>
      </c>
      <c r="I177" s="66"/>
      <c r="J177" s="240"/>
      <c r="K177" s="235"/>
      <c r="L177" s="240"/>
      <c r="M177" s="240"/>
      <c r="N177" s="240"/>
      <c r="O177" s="240"/>
      <c r="P177" s="240"/>
      <c r="Q177" s="240"/>
      <c r="R177" s="240"/>
      <c r="S177" s="240"/>
    </row>
    <row r="178" spans="3:21" x14ac:dyDescent="0.25">
      <c r="F178" s="196" t="s">
        <v>1047</v>
      </c>
      <c r="G178" s="196" t="s">
        <v>170</v>
      </c>
      <c r="H178" s="196" t="s">
        <v>145</v>
      </c>
      <c r="I178" s="66"/>
      <c r="J178" s="240"/>
      <c r="K178" s="235"/>
      <c r="L178" s="240"/>
      <c r="M178" s="240"/>
      <c r="N178" s="240"/>
      <c r="O178" s="240"/>
      <c r="P178" s="240"/>
      <c r="Q178" s="240"/>
      <c r="R178" s="240"/>
      <c r="S178" s="240"/>
    </row>
    <row r="179" spans="3:21" x14ac:dyDescent="0.25">
      <c r="F179" s="196" t="s">
        <v>1048</v>
      </c>
      <c r="G179" s="196" t="s">
        <v>170</v>
      </c>
      <c r="H179" s="196" t="s">
        <v>145</v>
      </c>
      <c r="I179" s="66"/>
      <c r="J179" s="234">
        <f t="shared" ref="J179" si="9">CHOOSE(year_selection, L179,M179,N179,O179,P179,Q179,R179,S179)</f>
        <v>4452</v>
      </c>
      <c r="K179" s="235"/>
      <c r="L179" s="331"/>
      <c r="M179" s="331"/>
      <c r="N179" s="331"/>
      <c r="O179" s="331">
        <v>4452</v>
      </c>
      <c r="P179" s="331">
        <v>4452</v>
      </c>
      <c r="Q179" s="331">
        <v>4452</v>
      </c>
      <c r="R179" s="331">
        <v>4452</v>
      </c>
      <c r="S179" s="331">
        <v>4452</v>
      </c>
    </row>
    <row r="180" spans="3:21" x14ac:dyDescent="0.25">
      <c r="F180" s="196" t="s">
        <v>1049</v>
      </c>
      <c r="G180" s="196" t="s">
        <v>170</v>
      </c>
      <c r="H180" s="196" t="s">
        <v>145</v>
      </c>
      <c r="I180" s="66"/>
      <c r="J180" s="240"/>
      <c r="K180" s="235"/>
      <c r="L180" s="240"/>
      <c r="M180" s="240"/>
      <c r="N180" s="240"/>
      <c r="O180" s="240"/>
      <c r="P180" s="240"/>
      <c r="Q180" s="240"/>
      <c r="R180" s="240"/>
      <c r="S180" s="240"/>
    </row>
    <row r="181" spans="3:21" x14ac:dyDescent="0.25">
      <c r="F181" s="196" t="s">
        <v>1050</v>
      </c>
      <c r="G181" s="196" t="s">
        <v>170</v>
      </c>
      <c r="H181" s="196" t="s">
        <v>145</v>
      </c>
      <c r="I181" s="66"/>
      <c r="J181" s="234">
        <f t="shared" ref="J181" si="10">CHOOSE(year_selection, L181,M181,N181,O181,P181,Q181,R181,S181)</f>
        <v>408</v>
      </c>
      <c r="K181" s="235"/>
      <c r="L181" s="331"/>
      <c r="M181" s="331"/>
      <c r="N181" s="331"/>
      <c r="O181" s="331">
        <v>408</v>
      </c>
      <c r="P181" s="331">
        <v>408</v>
      </c>
      <c r="Q181" s="331">
        <v>408</v>
      </c>
      <c r="R181" s="331">
        <v>408</v>
      </c>
      <c r="S181" s="331">
        <v>408</v>
      </c>
    </row>
    <row r="182" spans="3:21" x14ac:dyDescent="0.25">
      <c r="F182" s="196" t="s">
        <v>1051</v>
      </c>
      <c r="G182" s="196" t="s">
        <v>170</v>
      </c>
      <c r="H182" s="196" t="s">
        <v>145</v>
      </c>
      <c r="I182" s="66"/>
      <c r="J182" s="240"/>
      <c r="K182" s="235"/>
      <c r="L182" s="240"/>
      <c r="M182" s="240"/>
      <c r="N182" s="240"/>
      <c r="O182" s="240"/>
      <c r="P182" s="240"/>
      <c r="Q182" s="240"/>
      <c r="R182" s="240"/>
      <c r="S182" s="240"/>
    </row>
    <row r="183" spans="3:21" x14ac:dyDescent="0.25">
      <c r="F183" s="196" t="s">
        <v>1052</v>
      </c>
      <c r="G183" s="196" t="s">
        <v>170</v>
      </c>
      <c r="H183" s="196" t="s">
        <v>145</v>
      </c>
      <c r="I183" s="66"/>
      <c r="J183" s="234">
        <f t="shared" ref="J183" si="11">CHOOSE(year_selection, L183,M183,N183,O183,P183,Q183,R183,S183)</f>
        <v>16464</v>
      </c>
      <c r="K183" s="235"/>
      <c r="L183" s="331"/>
      <c r="M183" s="331"/>
      <c r="N183" s="331"/>
      <c r="O183" s="331">
        <v>16464</v>
      </c>
      <c r="P183" s="331">
        <v>16464</v>
      </c>
      <c r="Q183" s="331">
        <v>16464</v>
      </c>
      <c r="R183" s="331">
        <v>16464</v>
      </c>
      <c r="S183" s="331">
        <v>16464</v>
      </c>
    </row>
    <row r="184" spans="3:21" x14ac:dyDescent="0.25">
      <c r="F184" s="93" t="s">
        <v>1053</v>
      </c>
      <c r="G184" s="93" t="s">
        <v>170</v>
      </c>
      <c r="H184" s="93" t="s">
        <v>145</v>
      </c>
      <c r="I184" s="145"/>
      <c r="J184" s="241"/>
      <c r="K184" s="237"/>
      <c r="L184" s="241"/>
      <c r="M184" s="241"/>
      <c r="N184" s="241"/>
      <c r="O184" s="241"/>
      <c r="P184" s="241"/>
      <c r="Q184" s="241"/>
      <c r="R184" s="241"/>
      <c r="S184" s="241"/>
    </row>
    <row r="185" spans="3:21" x14ac:dyDescent="0.25">
      <c r="J185" s="238"/>
      <c r="K185" s="238"/>
      <c r="L185" s="238"/>
      <c r="M185" s="238"/>
      <c r="N185" s="238"/>
      <c r="O185" s="238"/>
      <c r="P185" s="238"/>
      <c r="Q185" s="238"/>
      <c r="R185" s="238"/>
      <c r="S185" s="238"/>
    </row>
    <row r="186" spans="3:21" x14ac:dyDescent="0.25">
      <c r="C186" s="7" t="str">
        <f ca="1">INDEX('Version control'!$H$34:$H$60,MATCH($A$1,'Version control'!$F$34:$F$60,0),1)&amp;"-D: LDNO LV volumes"</f>
        <v>Input 501-D: LDNO LV volumes</v>
      </c>
      <c r="D186" s="7"/>
      <c r="E186" s="7"/>
      <c r="F186" s="7"/>
      <c r="G186" s="7"/>
      <c r="H186" s="7"/>
      <c r="I186" s="171"/>
      <c r="J186" s="242"/>
      <c r="K186" s="242"/>
      <c r="L186" s="242"/>
      <c r="M186" s="242"/>
      <c r="N186" s="242"/>
      <c r="O186" s="242"/>
      <c r="P186" s="242"/>
      <c r="Q186" s="242"/>
      <c r="R186" s="242"/>
      <c r="S186" s="242"/>
      <c r="T186" s="7"/>
      <c r="U186" s="7"/>
    </row>
    <row r="187" spans="3:21" x14ac:dyDescent="0.25">
      <c r="D187" s="96"/>
      <c r="L187" s="295"/>
      <c r="M187" s="295"/>
      <c r="N187" s="295"/>
      <c r="P187" s="295"/>
      <c r="Q187" s="295"/>
      <c r="R187" s="295"/>
      <c r="S187" s="295"/>
    </row>
    <row r="188" spans="3:21" x14ac:dyDescent="0.25">
      <c r="E188" s="144" t="s">
        <v>256</v>
      </c>
      <c r="I188" s="111" t="s">
        <v>431</v>
      </c>
      <c r="J188" s="238"/>
      <c r="K188" s="238"/>
      <c r="L188" s="238"/>
      <c r="M188" s="238"/>
      <c r="N188" s="238"/>
      <c r="O188" s="238"/>
      <c r="P188" s="238"/>
      <c r="Q188" s="238"/>
      <c r="R188" s="238"/>
      <c r="S188" s="238"/>
      <c r="U188" s="85" t="s">
        <v>799</v>
      </c>
    </row>
    <row r="189" spans="3:21" x14ac:dyDescent="0.25">
      <c r="F189" s="91" t="s">
        <v>1038</v>
      </c>
      <c r="G189" s="91" t="s">
        <v>120</v>
      </c>
      <c r="H189" s="91" t="s">
        <v>580</v>
      </c>
      <c r="I189" s="112"/>
      <c r="J189" s="232">
        <f t="shared" ref="J189:J199" si="12">CHOOSE(year_selection, L189,M189,N189,O189,P189,Q189,R189,S189)</f>
        <v>13713.32246963591</v>
      </c>
      <c r="K189" s="233"/>
      <c r="L189" s="330"/>
      <c r="M189" s="330"/>
      <c r="N189" s="330"/>
      <c r="O189" s="330">
        <v>13713.32246963591</v>
      </c>
      <c r="P189" s="330">
        <v>13713.32246963591</v>
      </c>
      <c r="Q189" s="330">
        <v>13713.32246963591</v>
      </c>
      <c r="R189" s="330">
        <v>13713.32246963591</v>
      </c>
      <c r="S189" s="330">
        <v>13713.32246963591</v>
      </c>
    </row>
    <row r="190" spans="3:21" x14ac:dyDescent="0.25">
      <c r="F190" s="196" t="s">
        <v>1039</v>
      </c>
      <c r="G190" s="196" t="s">
        <v>120</v>
      </c>
      <c r="H190" s="196" t="s">
        <v>580</v>
      </c>
      <c r="I190" s="66"/>
      <c r="J190" s="234">
        <f t="shared" si="12"/>
        <v>1.3981029513384524</v>
      </c>
      <c r="K190" s="235"/>
      <c r="L190" s="331"/>
      <c r="M190" s="331"/>
      <c r="N190" s="331"/>
      <c r="O190" s="331">
        <v>1.3981029513384524</v>
      </c>
      <c r="P190" s="331">
        <v>1.3981029513384524</v>
      </c>
      <c r="Q190" s="331">
        <v>1.3981029513384524</v>
      </c>
      <c r="R190" s="331">
        <v>1.3981029513384524</v>
      </c>
      <c r="S190" s="331">
        <v>1.3981029513384524</v>
      </c>
    </row>
    <row r="191" spans="3:21" x14ac:dyDescent="0.25">
      <c r="F191" s="196" t="s">
        <v>1040</v>
      </c>
      <c r="G191" s="196" t="s">
        <v>120</v>
      </c>
      <c r="H191" s="196" t="s">
        <v>580</v>
      </c>
      <c r="I191" s="66"/>
      <c r="J191" s="234">
        <f t="shared" si="12"/>
        <v>601.04321517970027</v>
      </c>
      <c r="K191" s="235"/>
      <c r="L191" s="331"/>
      <c r="M191" s="331"/>
      <c r="N191" s="331"/>
      <c r="O191" s="331">
        <v>601.04321517970027</v>
      </c>
      <c r="P191" s="331">
        <v>601.04321517970027</v>
      </c>
      <c r="Q191" s="331">
        <v>601.04321517970027</v>
      </c>
      <c r="R191" s="331">
        <v>601.04321517970027</v>
      </c>
      <c r="S191" s="331">
        <v>601.04321517970027</v>
      </c>
    </row>
    <row r="192" spans="3:21" x14ac:dyDescent="0.25">
      <c r="F192" s="196" t="s">
        <v>1041</v>
      </c>
      <c r="G192" s="196" t="s">
        <v>120</v>
      </c>
      <c r="H192" s="196" t="s">
        <v>580</v>
      </c>
      <c r="I192" s="66"/>
      <c r="J192" s="234">
        <f t="shared" si="12"/>
        <v>0</v>
      </c>
      <c r="K192" s="235"/>
      <c r="L192" s="331"/>
      <c r="M192" s="331"/>
      <c r="N192" s="331"/>
      <c r="O192" s="331">
        <v>0</v>
      </c>
      <c r="P192" s="331">
        <v>0</v>
      </c>
      <c r="Q192" s="331">
        <v>0</v>
      </c>
      <c r="R192" s="331">
        <v>0</v>
      </c>
      <c r="S192" s="331">
        <v>0</v>
      </c>
    </row>
    <row r="193" spans="5:19" x14ac:dyDescent="0.25">
      <c r="F193" s="196" t="s">
        <v>1042</v>
      </c>
      <c r="G193" s="196" t="s">
        <v>120</v>
      </c>
      <c r="H193" s="196" t="s">
        <v>580</v>
      </c>
      <c r="I193" s="66"/>
      <c r="J193" s="234">
        <f t="shared" si="12"/>
        <v>1596.4649999999999</v>
      </c>
      <c r="K193" s="235"/>
      <c r="L193" s="331"/>
      <c r="M193" s="331"/>
      <c r="N193" s="331"/>
      <c r="O193" s="331">
        <v>1596.4649999999999</v>
      </c>
      <c r="P193" s="331">
        <v>1596.4649999999999</v>
      </c>
      <c r="Q193" s="331">
        <v>1596.4649999999999</v>
      </c>
      <c r="R193" s="331">
        <v>1596.4649999999999</v>
      </c>
      <c r="S193" s="331">
        <v>1596.4649999999999</v>
      </c>
    </row>
    <row r="194" spans="5:19" x14ac:dyDescent="0.25">
      <c r="F194" s="196" t="s">
        <v>1043</v>
      </c>
      <c r="G194" s="196" t="s">
        <v>120</v>
      </c>
      <c r="H194" s="196" t="s">
        <v>580</v>
      </c>
      <c r="I194" s="66"/>
      <c r="J194" s="240"/>
      <c r="K194" s="235"/>
      <c r="L194" s="240"/>
      <c r="M194" s="240"/>
      <c r="N194" s="240"/>
      <c r="O194" s="240"/>
      <c r="P194" s="240"/>
      <c r="Q194" s="240"/>
      <c r="R194" s="240"/>
      <c r="S194" s="240"/>
    </row>
    <row r="195" spans="5:19" x14ac:dyDescent="0.25">
      <c r="F195" s="196" t="s">
        <v>1044</v>
      </c>
      <c r="G195" s="196" t="s">
        <v>120</v>
      </c>
      <c r="H195" s="196" t="s">
        <v>580</v>
      </c>
      <c r="I195" s="66"/>
      <c r="J195" s="240"/>
      <c r="K195" s="235"/>
      <c r="L195" s="240"/>
      <c r="M195" s="240"/>
      <c r="N195" s="240"/>
      <c r="O195" s="240"/>
      <c r="P195" s="240"/>
      <c r="Q195" s="240"/>
      <c r="R195" s="240"/>
      <c r="S195" s="240"/>
    </row>
    <row r="196" spans="5:19" x14ac:dyDescent="0.25">
      <c r="F196" s="196" t="s">
        <v>1045</v>
      </c>
      <c r="G196" s="196" t="s">
        <v>120</v>
      </c>
      <c r="H196" s="196" t="s">
        <v>580</v>
      </c>
      <c r="I196" s="66"/>
      <c r="J196" s="234">
        <f t="shared" si="12"/>
        <v>20.430032150505486</v>
      </c>
      <c r="K196" s="235"/>
      <c r="L196" s="331"/>
      <c r="M196" s="331"/>
      <c r="N196" s="331"/>
      <c r="O196" s="331">
        <v>20.430032150505486</v>
      </c>
      <c r="P196" s="331">
        <v>20.430032150505486</v>
      </c>
      <c r="Q196" s="331">
        <v>20.430032150505486</v>
      </c>
      <c r="R196" s="331">
        <v>20.430032150505486</v>
      </c>
      <c r="S196" s="331">
        <v>20.430032150505486</v>
      </c>
    </row>
    <row r="197" spans="5:19" x14ac:dyDescent="0.25">
      <c r="F197" s="196" t="s">
        <v>1046</v>
      </c>
      <c r="G197" s="196" t="s">
        <v>120</v>
      </c>
      <c r="H197" s="196" t="s">
        <v>580</v>
      </c>
      <c r="I197" s="66"/>
      <c r="J197" s="234">
        <f t="shared" si="12"/>
        <v>0.57025605316046324</v>
      </c>
      <c r="K197" s="235"/>
      <c r="L197" s="331"/>
      <c r="M197" s="331"/>
      <c r="N197" s="331"/>
      <c r="O197" s="331">
        <v>0.57025605316046324</v>
      </c>
      <c r="P197" s="331">
        <v>0.57025605316046324</v>
      </c>
      <c r="Q197" s="331">
        <v>0.57025605316046324</v>
      </c>
      <c r="R197" s="331">
        <v>0.57025605316046324</v>
      </c>
      <c r="S197" s="331">
        <v>0.57025605316046324</v>
      </c>
    </row>
    <row r="198" spans="5:19" x14ac:dyDescent="0.25">
      <c r="F198" s="196" t="s">
        <v>1047</v>
      </c>
      <c r="G198" s="196" t="s">
        <v>120</v>
      </c>
      <c r="H198" s="196" t="s">
        <v>580</v>
      </c>
      <c r="I198" s="66"/>
      <c r="J198" s="240"/>
      <c r="K198" s="235"/>
      <c r="L198" s="240"/>
      <c r="M198" s="240"/>
      <c r="N198" s="240"/>
      <c r="O198" s="240"/>
      <c r="P198" s="240"/>
      <c r="Q198" s="240"/>
      <c r="R198" s="240"/>
      <c r="S198" s="240"/>
    </row>
    <row r="199" spans="5:19" x14ac:dyDescent="0.25">
      <c r="F199" s="196" t="s">
        <v>1048</v>
      </c>
      <c r="G199" s="196" t="s">
        <v>120</v>
      </c>
      <c r="H199" s="196" t="s">
        <v>580</v>
      </c>
      <c r="I199" s="66"/>
      <c r="J199" s="234">
        <f t="shared" si="12"/>
        <v>0</v>
      </c>
      <c r="K199" s="235"/>
      <c r="L199" s="331"/>
      <c r="M199" s="331"/>
      <c r="N199" s="331"/>
      <c r="O199" s="331">
        <v>0</v>
      </c>
      <c r="P199" s="331">
        <v>0</v>
      </c>
      <c r="Q199" s="331">
        <v>0</v>
      </c>
      <c r="R199" s="331">
        <v>0</v>
      </c>
      <c r="S199" s="331">
        <v>0</v>
      </c>
    </row>
    <row r="200" spans="5:19" x14ac:dyDescent="0.25">
      <c r="F200" s="196" t="s">
        <v>1049</v>
      </c>
      <c r="G200" s="196" t="s">
        <v>120</v>
      </c>
      <c r="H200" s="196" t="s">
        <v>580</v>
      </c>
      <c r="I200" s="66"/>
      <c r="J200" s="240"/>
      <c r="K200" s="235"/>
      <c r="L200" s="240"/>
      <c r="M200" s="240"/>
      <c r="N200" s="240"/>
      <c r="O200" s="240"/>
      <c r="P200" s="240"/>
      <c r="Q200" s="240"/>
      <c r="R200" s="240"/>
      <c r="S200" s="240"/>
    </row>
    <row r="201" spans="5:19" x14ac:dyDescent="0.25">
      <c r="F201" s="196" t="s">
        <v>1050</v>
      </c>
      <c r="G201" s="196" t="s">
        <v>120</v>
      </c>
      <c r="H201" s="196" t="s">
        <v>580</v>
      </c>
      <c r="I201" s="66"/>
      <c r="J201" s="240"/>
      <c r="K201" s="235"/>
      <c r="L201" s="240"/>
      <c r="M201" s="240"/>
      <c r="N201" s="240"/>
      <c r="O201" s="240"/>
      <c r="P201" s="240"/>
      <c r="Q201" s="240"/>
      <c r="R201" s="240"/>
      <c r="S201" s="240"/>
    </row>
    <row r="202" spans="5:19" x14ac:dyDescent="0.25">
      <c r="F202" s="196" t="s">
        <v>1051</v>
      </c>
      <c r="G202" s="196" t="s">
        <v>120</v>
      </c>
      <c r="H202" s="196" t="s">
        <v>580</v>
      </c>
      <c r="I202" s="66"/>
      <c r="J202" s="240"/>
      <c r="K202" s="235"/>
      <c r="L202" s="240"/>
      <c r="M202" s="240"/>
      <c r="N202" s="240"/>
      <c r="O202" s="240"/>
      <c r="P202" s="240"/>
      <c r="Q202" s="240"/>
      <c r="R202" s="240"/>
      <c r="S202" s="240"/>
    </row>
    <row r="203" spans="5:19" x14ac:dyDescent="0.25">
      <c r="F203" s="196" t="s">
        <v>1052</v>
      </c>
      <c r="G203" s="196" t="s">
        <v>120</v>
      </c>
      <c r="H203" s="196" t="s">
        <v>580</v>
      </c>
      <c r="I203" s="66"/>
      <c r="J203" s="240"/>
      <c r="K203" s="235"/>
      <c r="L203" s="240"/>
      <c r="M203" s="240"/>
      <c r="N203" s="240"/>
      <c r="O203" s="240"/>
      <c r="P203" s="240"/>
      <c r="Q203" s="240"/>
      <c r="R203" s="240"/>
      <c r="S203" s="240"/>
    </row>
    <row r="204" spans="5:19" x14ac:dyDescent="0.25">
      <c r="F204" s="93" t="s">
        <v>1053</v>
      </c>
      <c r="G204" s="93" t="s">
        <v>120</v>
      </c>
      <c r="H204" s="93" t="s">
        <v>580</v>
      </c>
      <c r="I204" s="145"/>
      <c r="J204" s="241"/>
      <c r="K204" s="237"/>
      <c r="L204" s="241"/>
      <c r="M204" s="241"/>
      <c r="N204" s="241"/>
      <c r="O204" s="241"/>
      <c r="P204" s="241"/>
      <c r="Q204" s="241"/>
      <c r="R204" s="241"/>
      <c r="S204" s="241"/>
    </row>
    <row r="205" spans="5:19" x14ac:dyDescent="0.25">
      <c r="J205" s="238"/>
      <c r="K205" s="238"/>
      <c r="L205" s="238"/>
      <c r="M205" s="238"/>
      <c r="N205" s="238"/>
      <c r="O205" s="238"/>
      <c r="P205" s="238"/>
      <c r="Q205" s="238"/>
      <c r="R205" s="238"/>
      <c r="S205" s="238"/>
    </row>
    <row r="206" spans="5:19" x14ac:dyDescent="0.25">
      <c r="E206" s="144" t="s">
        <v>257</v>
      </c>
      <c r="J206" s="238"/>
      <c r="K206" s="238"/>
      <c r="L206" s="238"/>
      <c r="M206" s="238"/>
      <c r="N206" s="238"/>
      <c r="O206" s="238"/>
      <c r="P206" s="238"/>
      <c r="Q206" s="238"/>
      <c r="R206" s="238"/>
      <c r="S206" s="238"/>
    </row>
    <row r="207" spans="5:19" x14ac:dyDescent="0.25">
      <c r="F207" s="91" t="s">
        <v>1038</v>
      </c>
      <c r="G207" s="91" t="s">
        <v>120</v>
      </c>
      <c r="H207" s="91" t="s">
        <v>580</v>
      </c>
      <c r="I207" s="112"/>
      <c r="J207" s="232">
        <f t="shared" ref="J207:J211" si="13">CHOOSE(year_selection, L207,M207,N207,O207,P207,Q207,R207,S207)</f>
        <v>48809.781090218552</v>
      </c>
      <c r="K207" s="233"/>
      <c r="L207" s="330"/>
      <c r="M207" s="330"/>
      <c r="N207" s="330"/>
      <c r="O207" s="330">
        <v>48809.781090218552</v>
      </c>
      <c r="P207" s="330">
        <v>48809.781090218552</v>
      </c>
      <c r="Q207" s="330">
        <v>48809.781090218552</v>
      </c>
      <c r="R207" s="330">
        <v>48809.781090218552</v>
      </c>
      <c r="S207" s="330">
        <v>48809.781090218552</v>
      </c>
    </row>
    <row r="208" spans="5:19" x14ac:dyDescent="0.25">
      <c r="F208" s="196" t="s">
        <v>1039</v>
      </c>
      <c r="G208" s="196" t="s">
        <v>120</v>
      </c>
      <c r="H208" s="196" t="s">
        <v>580</v>
      </c>
      <c r="I208" s="66"/>
      <c r="J208" s="234">
        <f t="shared" si="13"/>
        <v>25.329659479528413</v>
      </c>
      <c r="K208" s="235"/>
      <c r="L208" s="331"/>
      <c r="M208" s="331"/>
      <c r="N208" s="331"/>
      <c r="O208" s="331">
        <v>25.329659479528413</v>
      </c>
      <c r="P208" s="331">
        <v>25.329659479528413</v>
      </c>
      <c r="Q208" s="331">
        <v>25.329659479528413</v>
      </c>
      <c r="R208" s="331">
        <v>25.329659479528413</v>
      </c>
      <c r="S208" s="331">
        <v>25.329659479528413</v>
      </c>
    </row>
    <row r="209" spans="5:19" x14ac:dyDescent="0.25">
      <c r="F209" s="196" t="s">
        <v>1040</v>
      </c>
      <c r="G209" s="196" t="s">
        <v>120</v>
      </c>
      <c r="H209" s="196" t="s">
        <v>580</v>
      </c>
      <c r="I209" s="66"/>
      <c r="J209" s="234">
        <f t="shared" si="13"/>
        <v>3253.025245448257</v>
      </c>
      <c r="K209" s="235"/>
      <c r="L209" s="331"/>
      <c r="M209" s="331"/>
      <c r="N209" s="331"/>
      <c r="O209" s="331">
        <v>3253.025245448257</v>
      </c>
      <c r="P209" s="331">
        <v>3253.025245448257</v>
      </c>
      <c r="Q209" s="331">
        <v>3253.025245448257</v>
      </c>
      <c r="R209" s="331">
        <v>3253.025245448257</v>
      </c>
      <c r="S209" s="331">
        <v>3253.025245448257</v>
      </c>
    </row>
    <row r="210" spans="5:19" x14ac:dyDescent="0.25">
      <c r="F210" s="196" t="s">
        <v>1041</v>
      </c>
      <c r="G210" s="196" t="s">
        <v>120</v>
      </c>
      <c r="H210" s="196" t="s">
        <v>580</v>
      </c>
      <c r="I210" s="66"/>
      <c r="J210" s="234">
        <f t="shared" si="13"/>
        <v>0</v>
      </c>
      <c r="K210" s="235"/>
      <c r="L210" s="331"/>
      <c r="M210" s="331"/>
      <c r="N210" s="331"/>
      <c r="O210" s="331">
        <v>0</v>
      </c>
      <c r="P210" s="331">
        <v>0</v>
      </c>
      <c r="Q210" s="331">
        <v>0</v>
      </c>
      <c r="R210" s="331">
        <v>0</v>
      </c>
      <c r="S210" s="331">
        <v>0</v>
      </c>
    </row>
    <row r="211" spans="5:19" x14ac:dyDescent="0.25">
      <c r="F211" s="196" t="s">
        <v>1042</v>
      </c>
      <c r="G211" s="196" t="s">
        <v>120</v>
      </c>
      <c r="H211" s="196" t="s">
        <v>580</v>
      </c>
      <c r="I211" s="66"/>
      <c r="J211" s="234">
        <f t="shared" si="13"/>
        <v>7155.5069999999996</v>
      </c>
      <c r="K211" s="235"/>
      <c r="L211" s="331"/>
      <c r="M211" s="331"/>
      <c r="N211" s="331"/>
      <c r="O211" s="331">
        <v>7155.5069999999996</v>
      </c>
      <c r="P211" s="331">
        <v>7155.5069999999996</v>
      </c>
      <c r="Q211" s="331">
        <v>7155.5069999999996</v>
      </c>
      <c r="R211" s="331">
        <v>7155.5069999999996</v>
      </c>
      <c r="S211" s="331">
        <v>7155.5069999999996</v>
      </c>
    </row>
    <row r="212" spans="5:19" x14ac:dyDescent="0.25">
      <c r="F212" s="196" t="s">
        <v>1043</v>
      </c>
      <c r="G212" s="196" t="s">
        <v>120</v>
      </c>
      <c r="H212" s="196" t="s">
        <v>580</v>
      </c>
      <c r="I212" s="66"/>
      <c r="J212" s="240"/>
      <c r="K212" s="235"/>
      <c r="L212" s="240"/>
      <c r="M212" s="240"/>
      <c r="N212" s="240"/>
      <c r="O212" s="240"/>
      <c r="P212" s="240"/>
      <c r="Q212" s="240"/>
      <c r="R212" s="240"/>
      <c r="S212" s="240"/>
    </row>
    <row r="213" spans="5:19" x14ac:dyDescent="0.25">
      <c r="F213" s="196" t="s">
        <v>1044</v>
      </c>
      <c r="G213" s="196" t="s">
        <v>120</v>
      </c>
      <c r="H213" s="196" t="s">
        <v>580</v>
      </c>
      <c r="I213" s="66"/>
      <c r="J213" s="240"/>
      <c r="K213" s="235"/>
      <c r="L213" s="240"/>
      <c r="M213" s="240"/>
      <c r="N213" s="240"/>
      <c r="O213" s="240"/>
      <c r="P213" s="240"/>
      <c r="Q213" s="240"/>
      <c r="R213" s="240"/>
      <c r="S213" s="240"/>
    </row>
    <row r="214" spans="5:19" x14ac:dyDescent="0.25">
      <c r="F214" s="196" t="s">
        <v>1045</v>
      </c>
      <c r="G214" s="196" t="s">
        <v>120</v>
      </c>
      <c r="H214" s="196" t="s">
        <v>580</v>
      </c>
      <c r="I214" s="66"/>
      <c r="J214" s="234">
        <f t="shared" ref="J214:J215" si="14">CHOOSE(year_selection, L214,M214,N214,O214,P214,Q214,R214,S214)</f>
        <v>273.96068150852608</v>
      </c>
      <c r="K214" s="235"/>
      <c r="L214" s="331"/>
      <c r="M214" s="331"/>
      <c r="N214" s="331"/>
      <c r="O214" s="331">
        <v>273.96068150852608</v>
      </c>
      <c r="P214" s="331">
        <v>273.96068150852608</v>
      </c>
      <c r="Q214" s="331">
        <v>273.96068150852608</v>
      </c>
      <c r="R214" s="331">
        <v>273.96068150852608</v>
      </c>
      <c r="S214" s="331">
        <v>273.96068150852608</v>
      </c>
    </row>
    <row r="215" spans="5:19" x14ac:dyDescent="0.25">
      <c r="F215" s="196" t="s">
        <v>1046</v>
      </c>
      <c r="G215" s="196" t="s">
        <v>120</v>
      </c>
      <c r="H215" s="196" t="s">
        <v>580</v>
      </c>
      <c r="I215" s="66"/>
      <c r="J215" s="234">
        <f t="shared" si="14"/>
        <v>2.0830307980493821</v>
      </c>
      <c r="K215" s="235"/>
      <c r="L215" s="331"/>
      <c r="M215" s="331"/>
      <c r="N215" s="331"/>
      <c r="O215" s="331">
        <v>2.0830307980493821</v>
      </c>
      <c r="P215" s="331">
        <v>2.0830307980493821</v>
      </c>
      <c r="Q215" s="331">
        <v>2.0830307980493821</v>
      </c>
      <c r="R215" s="331">
        <v>2.0830307980493821</v>
      </c>
      <c r="S215" s="331">
        <v>2.0830307980493821</v>
      </c>
    </row>
    <row r="216" spans="5:19" x14ac:dyDescent="0.25">
      <c r="F216" s="196" t="s">
        <v>1047</v>
      </c>
      <c r="G216" s="196" t="s">
        <v>120</v>
      </c>
      <c r="H216" s="196" t="s">
        <v>580</v>
      </c>
      <c r="I216" s="66"/>
      <c r="J216" s="240"/>
      <c r="K216" s="235"/>
      <c r="L216" s="240"/>
      <c r="M216" s="240"/>
      <c r="N216" s="240"/>
      <c r="O216" s="240"/>
      <c r="P216" s="240"/>
      <c r="Q216" s="240"/>
      <c r="R216" s="240"/>
      <c r="S216" s="240"/>
    </row>
    <row r="217" spans="5:19" x14ac:dyDescent="0.25">
      <c r="F217" s="196" t="s">
        <v>1048</v>
      </c>
      <c r="G217" s="196" t="s">
        <v>120</v>
      </c>
      <c r="H217" s="196" t="s">
        <v>580</v>
      </c>
      <c r="I217" s="66"/>
      <c r="J217" s="234">
        <f t="shared" ref="J217" si="15">CHOOSE(year_selection, L217,M217,N217,O217,P217,Q217,R217,S217)</f>
        <v>0</v>
      </c>
      <c r="K217" s="235"/>
      <c r="L217" s="331"/>
      <c r="M217" s="331"/>
      <c r="N217" s="331"/>
      <c r="O217" s="331">
        <v>0</v>
      </c>
      <c r="P217" s="331">
        <v>0</v>
      </c>
      <c r="Q217" s="331">
        <v>0</v>
      </c>
      <c r="R217" s="331">
        <v>0</v>
      </c>
      <c r="S217" s="331">
        <v>0</v>
      </c>
    </row>
    <row r="218" spans="5:19" x14ac:dyDescent="0.25">
      <c r="F218" s="196" t="s">
        <v>1049</v>
      </c>
      <c r="G218" s="196" t="s">
        <v>120</v>
      </c>
      <c r="H218" s="196" t="s">
        <v>580</v>
      </c>
      <c r="I218" s="66"/>
      <c r="J218" s="240"/>
      <c r="K218" s="235"/>
      <c r="L218" s="240"/>
      <c r="M218" s="240"/>
      <c r="N218" s="240"/>
      <c r="O218" s="240"/>
      <c r="P218" s="240"/>
      <c r="Q218" s="240"/>
      <c r="R218" s="240"/>
      <c r="S218" s="240"/>
    </row>
    <row r="219" spans="5:19" x14ac:dyDescent="0.25">
      <c r="F219" s="196" t="s">
        <v>1050</v>
      </c>
      <c r="G219" s="196" t="s">
        <v>120</v>
      </c>
      <c r="H219" s="196" t="s">
        <v>580</v>
      </c>
      <c r="I219" s="66"/>
      <c r="J219" s="240"/>
      <c r="K219" s="235"/>
      <c r="L219" s="240"/>
      <c r="M219" s="240"/>
      <c r="N219" s="240"/>
      <c r="O219" s="240"/>
      <c r="P219" s="240"/>
      <c r="Q219" s="240"/>
      <c r="R219" s="240"/>
      <c r="S219" s="240"/>
    </row>
    <row r="220" spans="5:19" x14ac:dyDescent="0.25">
      <c r="F220" s="196" t="s">
        <v>1051</v>
      </c>
      <c r="G220" s="196" t="s">
        <v>120</v>
      </c>
      <c r="H220" s="196" t="s">
        <v>580</v>
      </c>
      <c r="I220" s="66"/>
      <c r="J220" s="240"/>
      <c r="K220" s="235"/>
      <c r="L220" s="240"/>
      <c r="M220" s="240"/>
      <c r="N220" s="240"/>
      <c r="O220" s="240"/>
      <c r="P220" s="240"/>
      <c r="Q220" s="240"/>
      <c r="R220" s="240"/>
      <c r="S220" s="240"/>
    </row>
    <row r="221" spans="5:19" x14ac:dyDescent="0.25">
      <c r="F221" s="196" t="s">
        <v>1052</v>
      </c>
      <c r="G221" s="196" t="s">
        <v>120</v>
      </c>
      <c r="H221" s="196" t="s">
        <v>580</v>
      </c>
      <c r="I221" s="66"/>
      <c r="J221" s="240"/>
      <c r="K221" s="235"/>
      <c r="L221" s="240"/>
      <c r="M221" s="240"/>
      <c r="N221" s="240"/>
      <c r="O221" s="240"/>
      <c r="P221" s="240"/>
      <c r="Q221" s="240"/>
      <c r="R221" s="240"/>
      <c r="S221" s="240"/>
    </row>
    <row r="222" spans="5:19" x14ac:dyDescent="0.25">
      <c r="F222" s="93" t="s">
        <v>1053</v>
      </c>
      <c r="G222" s="93" t="s">
        <v>120</v>
      </c>
      <c r="H222" s="93" t="s">
        <v>580</v>
      </c>
      <c r="I222" s="145"/>
      <c r="J222" s="241"/>
      <c r="K222" s="237"/>
      <c r="L222" s="241"/>
      <c r="M222" s="241"/>
      <c r="N222" s="241"/>
      <c r="O222" s="241"/>
      <c r="P222" s="241"/>
      <c r="Q222" s="241"/>
      <c r="R222" s="241"/>
      <c r="S222" s="241"/>
    </row>
    <row r="223" spans="5:19" x14ac:dyDescent="0.25">
      <c r="J223" s="238"/>
      <c r="K223" s="238"/>
      <c r="L223" s="238"/>
      <c r="M223" s="238"/>
      <c r="N223" s="238"/>
      <c r="O223" s="238"/>
      <c r="P223" s="238"/>
      <c r="Q223" s="238"/>
      <c r="R223" s="238"/>
      <c r="S223" s="238"/>
    </row>
    <row r="224" spans="5:19" x14ac:dyDescent="0.25">
      <c r="E224" s="144" t="s">
        <v>258</v>
      </c>
      <c r="J224" s="238"/>
      <c r="K224" s="238"/>
      <c r="L224" s="238"/>
      <c r="M224" s="238"/>
      <c r="N224" s="238"/>
      <c r="O224" s="238"/>
      <c r="P224" s="238"/>
      <c r="Q224" s="238"/>
      <c r="R224" s="238"/>
      <c r="S224" s="238"/>
    </row>
    <row r="225" spans="6:19" x14ac:dyDescent="0.25">
      <c r="F225" s="91" t="s">
        <v>1038</v>
      </c>
      <c r="G225" s="91" t="s">
        <v>120</v>
      </c>
      <c r="H225" s="91" t="s">
        <v>580</v>
      </c>
      <c r="I225" s="112"/>
      <c r="J225" s="232">
        <f t="shared" ref="J225:J229" si="16">CHOOSE(year_selection, L225,M225,N225,O225,P225,Q225,R225,S225)</f>
        <v>44956.580637555373</v>
      </c>
      <c r="K225" s="233"/>
      <c r="L225" s="330"/>
      <c r="M225" s="330"/>
      <c r="N225" s="330"/>
      <c r="O225" s="330">
        <v>44956.580637555373</v>
      </c>
      <c r="P225" s="330">
        <v>44956.580637555373</v>
      </c>
      <c r="Q225" s="330">
        <v>44956.580637555373</v>
      </c>
      <c r="R225" s="330">
        <v>44956.580637555373</v>
      </c>
      <c r="S225" s="330">
        <v>44956.580637555373</v>
      </c>
    </row>
    <row r="226" spans="6:19" x14ac:dyDescent="0.25">
      <c r="F226" s="196" t="s">
        <v>1039</v>
      </c>
      <c r="G226" s="196" t="s">
        <v>120</v>
      </c>
      <c r="H226" s="196" t="s">
        <v>580</v>
      </c>
      <c r="I226" s="66"/>
      <c r="J226" s="234">
        <f t="shared" si="16"/>
        <v>257.47123756913317</v>
      </c>
      <c r="K226" s="235"/>
      <c r="L226" s="331"/>
      <c r="M226" s="331"/>
      <c r="N226" s="331"/>
      <c r="O226" s="331">
        <v>257.47123756913317</v>
      </c>
      <c r="P226" s="331">
        <v>257.47123756913317</v>
      </c>
      <c r="Q226" s="331">
        <v>257.47123756913317</v>
      </c>
      <c r="R226" s="331">
        <v>257.47123756913317</v>
      </c>
      <c r="S226" s="331">
        <v>257.47123756913317</v>
      </c>
    </row>
    <row r="227" spans="6:19" x14ac:dyDescent="0.25">
      <c r="F227" s="196" t="s">
        <v>1040</v>
      </c>
      <c r="G227" s="196" t="s">
        <v>120</v>
      </c>
      <c r="H227" s="196" t="s">
        <v>580</v>
      </c>
      <c r="I227" s="66"/>
      <c r="J227" s="234">
        <f t="shared" si="16"/>
        <v>3140.330539372042</v>
      </c>
      <c r="K227" s="235"/>
      <c r="L227" s="331"/>
      <c r="M227" s="331"/>
      <c r="N227" s="331"/>
      <c r="O227" s="331">
        <v>3140.330539372042</v>
      </c>
      <c r="P227" s="331">
        <v>3140.330539372042</v>
      </c>
      <c r="Q227" s="331">
        <v>3140.330539372042</v>
      </c>
      <c r="R227" s="331">
        <v>3140.330539372042</v>
      </c>
      <c r="S227" s="331">
        <v>3140.330539372042</v>
      </c>
    </row>
    <row r="228" spans="6:19" x14ac:dyDescent="0.25">
      <c r="F228" s="196" t="s">
        <v>1041</v>
      </c>
      <c r="G228" s="196" t="s">
        <v>120</v>
      </c>
      <c r="H228" s="196" t="s">
        <v>580</v>
      </c>
      <c r="I228" s="66"/>
      <c r="J228" s="234">
        <f t="shared" si="16"/>
        <v>0</v>
      </c>
      <c r="K228" s="235"/>
      <c r="L228" s="331"/>
      <c r="M228" s="331"/>
      <c r="N228" s="331"/>
      <c r="O228" s="331">
        <v>0</v>
      </c>
      <c r="P228" s="331">
        <v>0</v>
      </c>
      <c r="Q228" s="331">
        <v>0</v>
      </c>
      <c r="R228" s="331">
        <v>0</v>
      </c>
      <c r="S228" s="331">
        <v>0</v>
      </c>
    </row>
    <row r="229" spans="6:19" x14ac:dyDescent="0.25">
      <c r="F229" s="196" t="s">
        <v>1042</v>
      </c>
      <c r="G229" s="196" t="s">
        <v>120</v>
      </c>
      <c r="H229" s="196" t="s">
        <v>580</v>
      </c>
      <c r="I229" s="66"/>
      <c r="J229" s="234">
        <f t="shared" si="16"/>
        <v>6545.246000000001</v>
      </c>
      <c r="K229" s="235"/>
      <c r="L229" s="331"/>
      <c r="M229" s="331"/>
      <c r="N229" s="331"/>
      <c r="O229" s="331">
        <v>6545.246000000001</v>
      </c>
      <c r="P229" s="331">
        <v>6545.246000000001</v>
      </c>
      <c r="Q229" s="331">
        <v>6545.246000000001</v>
      </c>
      <c r="R229" s="331">
        <v>6545.246000000001</v>
      </c>
      <c r="S229" s="331">
        <v>6545.246000000001</v>
      </c>
    </row>
    <row r="230" spans="6:19" x14ac:dyDescent="0.25">
      <c r="F230" s="196" t="s">
        <v>1043</v>
      </c>
      <c r="G230" s="196" t="s">
        <v>120</v>
      </c>
      <c r="H230" s="196" t="s">
        <v>580</v>
      </c>
      <c r="I230" s="66"/>
      <c r="J230" s="240"/>
      <c r="K230" s="235"/>
      <c r="L230" s="240"/>
      <c r="M230" s="240"/>
      <c r="N230" s="240"/>
      <c r="O230" s="240"/>
      <c r="P230" s="240"/>
      <c r="Q230" s="240"/>
      <c r="R230" s="240"/>
      <c r="S230" s="240"/>
    </row>
    <row r="231" spans="6:19" x14ac:dyDescent="0.25">
      <c r="F231" s="196" t="s">
        <v>1044</v>
      </c>
      <c r="G231" s="196" t="s">
        <v>120</v>
      </c>
      <c r="H231" s="196" t="s">
        <v>580</v>
      </c>
      <c r="I231" s="66"/>
      <c r="J231" s="240"/>
      <c r="K231" s="235"/>
      <c r="L231" s="240"/>
      <c r="M231" s="240"/>
      <c r="N231" s="240"/>
      <c r="O231" s="240"/>
      <c r="P231" s="240"/>
      <c r="Q231" s="240"/>
      <c r="R231" s="240"/>
      <c r="S231" s="240"/>
    </row>
    <row r="232" spans="6:19" x14ac:dyDescent="0.25">
      <c r="F232" s="196" t="s">
        <v>1045</v>
      </c>
      <c r="G232" s="196" t="s">
        <v>120</v>
      </c>
      <c r="H232" s="196" t="s">
        <v>580</v>
      </c>
      <c r="I232" s="66"/>
      <c r="J232" s="234">
        <f t="shared" ref="J232:J233" si="17">CHOOSE(year_selection, L232,M232,N232,O232,P232,Q232,R232,S232)</f>
        <v>303.25428634096841</v>
      </c>
      <c r="K232" s="235"/>
      <c r="L232" s="331"/>
      <c r="M232" s="331"/>
      <c r="N232" s="331"/>
      <c r="O232" s="331">
        <v>303.25428634096841</v>
      </c>
      <c r="P232" s="331">
        <v>303.25428634096841</v>
      </c>
      <c r="Q232" s="331">
        <v>303.25428634096841</v>
      </c>
      <c r="R232" s="331">
        <v>303.25428634096841</v>
      </c>
      <c r="S232" s="331">
        <v>303.25428634096841</v>
      </c>
    </row>
    <row r="233" spans="6:19" x14ac:dyDescent="0.25">
      <c r="F233" s="196" t="s">
        <v>1046</v>
      </c>
      <c r="G233" s="196" t="s">
        <v>120</v>
      </c>
      <c r="H233" s="196" t="s">
        <v>580</v>
      </c>
      <c r="I233" s="66"/>
      <c r="J233" s="234">
        <f t="shared" si="17"/>
        <v>1.9454499908954175</v>
      </c>
      <c r="K233" s="235"/>
      <c r="L233" s="331"/>
      <c r="M233" s="331"/>
      <c r="N233" s="331"/>
      <c r="O233" s="331">
        <v>1.9454499908954175</v>
      </c>
      <c r="P233" s="331">
        <v>1.9454499908954175</v>
      </c>
      <c r="Q233" s="331">
        <v>1.9454499908954175</v>
      </c>
      <c r="R233" s="331">
        <v>1.9454499908954175</v>
      </c>
      <c r="S233" s="331">
        <v>1.9454499908954175</v>
      </c>
    </row>
    <row r="234" spans="6:19" x14ac:dyDescent="0.25">
      <c r="F234" s="196" t="s">
        <v>1047</v>
      </c>
      <c r="G234" s="196" t="s">
        <v>120</v>
      </c>
      <c r="H234" s="196" t="s">
        <v>580</v>
      </c>
      <c r="I234" s="66"/>
      <c r="J234" s="240"/>
      <c r="K234" s="235"/>
      <c r="L234" s="240"/>
      <c r="M234" s="240"/>
      <c r="N234" s="240"/>
      <c r="O234" s="240"/>
      <c r="P234" s="240"/>
      <c r="Q234" s="240"/>
      <c r="R234" s="240"/>
      <c r="S234" s="240"/>
    </row>
    <row r="235" spans="6:19" x14ac:dyDescent="0.25">
      <c r="F235" s="196" t="s">
        <v>1048</v>
      </c>
      <c r="G235" s="196" t="s">
        <v>120</v>
      </c>
      <c r="H235" s="196" t="s">
        <v>580</v>
      </c>
      <c r="I235" s="66"/>
      <c r="J235" s="234">
        <f t="shared" ref="J235" si="18">CHOOSE(year_selection, L235,M235,N235,O235,P235,Q235,R235,S235)</f>
        <v>0</v>
      </c>
      <c r="K235" s="235"/>
      <c r="L235" s="331"/>
      <c r="M235" s="331"/>
      <c r="N235" s="331"/>
      <c r="O235" s="331">
        <v>0</v>
      </c>
      <c r="P235" s="331">
        <v>0</v>
      </c>
      <c r="Q235" s="331">
        <v>0</v>
      </c>
      <c r="R235" s="331">
        <v>0</v>
      </c>
      <c r="S235" s="331">
        <v>0</v>
      </c>
    </row>
    <row r="236" spans="6:19" x14ac:dyDescent="0.25">
      <c r="F236" s="196" t="s">
        <v>1049</v>
      </c>
      <c r="G236" s="196" t="s">
        <v>120</v>
      </c>
      <c r="H236" s="196" t="s">
        <v>580</v>
      </c>
      <c r="I236" s="66"/>
      <c r="J236" s="240"/>
      <c r="K236" s="235"/>
      <c r="L236" s="240"/>
      <c r="M236" s="240"/>
      <c r="N236" s="240"/>
      <c r="O236" s="240"/>
      <c r="P236" s="240"/>
      <c r="Q236" s="240"/>
      <c r="R236" s="240"/>
      <c r="S236" s="240"/>
    </row>
    <row r="237" spans="6:19" x14ac:dyDescent="0.25">
      <c r="F237" s="196" t="s">
        <v>1050</v>
      </c>
      <c r="G237" s="196" t="s">
        <v>120</v>
      </c>
      <c r="H237" s="196" t="s">
        <v>580</v>
      </c>
      <c r="I237" s="66"/>
      <c r="J237" s="240"/>
      <c r="K237" s="235"/>
      <c r="L237" s="240"/>
      <c r="M237" s="240"/>
      <c r="N237" s="240"/>
      <c r="O237" s="240"/>
      <c r="P237" s="240"/>
      <c r="Q237" s="240"/>
      <c r="R237" s="240"/>
      <c r="S237" s="240"/>
    </row>
    <row r="238" spans="6:19" x14ac:dyDescent="0.25">
      <c r="F238" s="196" t="s">
        <v>1051</v>
      </c>
      <c r="G238" s="196" t="s">
        <v>120</v>
      </c>
      <c r="H238" s="196" t="s">
        <v>580</v>
      </c>
      <c r="I238" s="66"/>
      <c r="J238" s="240"/>
      <c r="K238" s="235"/>
      <c r="L238" s="240"/>
      <c r="M238" s="240"/>
      <c r="N238" s="240"/>
      <c r="O238" s="240"/>
      <c r="P238" s="240"/>
      <c r="Q238" s="240"/>
      <c r="R238" s="240"/>
      <c r="S238" s="240"/>
    </row>
    <row r="239" spans="6:19" x14ac:dyDescent="0.25">
      <c r="F239" s="196" t="s">
        <v>1052</v>
      </c>
      <c r="G239" s="196" t="s">
        <v>120</v>
      </c>
      <c r="H239" s="196" t="s">
        <v>580</v>
      </c>
      <c r="I239" s="66"/>
      <c r="J239" s="240"/>
      <c r="K239" s="235"/>
      <c r="L239" s="240"/>
      <c r="M239" s="240"/>
      <c r="N239" s="240"/>
      <c r="O239" s="240"/>
      <c r="P239" s="240"/>
      <c r="Q239" s="240"/>
      <c r="R239" s="240"/>
      <c r="S239" s="240"/>
    </row>
    <row r="240" spans="6:19" x14ac:dyDescent="0.25">
      <c r="F240" s="93" t="s">
        <v>1053</v>
      </c>
      <c r="G240" s="93" t="s">
        <v>120</v>
      </c>
      <c r="H240" s="93" t="s">
        <v>580</v>
      </c>
      <c r="I240" s="145"/>
      <c r="J240" s="241"/>
      <c r="K240" s="237"/>
      <c r="L240" s="241"/>
      <c r="M240" s="241"/>
      <c r="N240" s="241"/>
      <c r="O240" s="241"/>
      <c r="P240" s="241"/>
      <c r="Q240" s="241"/>
      <c r="R240" s="241"/>
      <c r="S240" s="241"/>
    </row>
    <row r="241" spans="5:19" x14ac:dyDescent="0.25">
      <c r="J241" s="238"/>
      <c r="K241" s="238"/>
      <c r="L241" s="238"/>
      <c r="M241" s="238"/>
      <c r="N241" s="238"/>
      <c r="O241" s="238"/>
      <c r="P241" s="238"/>
      <c r="Q241" s="238"/>
      <c r="R241" s="238"/>
      <c r="S241" s="238"/>
    </row>
    <row r="242" spans="5:19" x14ac:dyDescent="0.25">
      <c r="E242" s="144" t="s">
        <v>74</v>
      </c>
      <c r="J242" s="238"/>
      <c r="K242" s="238"/>
      <c r="L242" s="238"/>
      <c r="M242" s="238"/>
      <c r="N242" s="238"/>
      <c r="O242" s="238"/>
      <c r="P242" s="238"/>
      <c r="Q242" s="238"/>
      <c r="R242" s="238"/>
      <c r="S242" s="238"/>
    </row>
    <row r="243" spans="5:19" x14ac:dyDescent="0.25">
      <c r="F243" s="91" t="s">
        <v>1038</v>
      </c>
      <c r="G243" s="91" t="s">
        <v>74</v>
      </c>
      <c r="H243" s="91" t="s">
        <v>580</v>
      </c>
      <c r="I243" s="112"/>
      <c r="J243" s="232">
        <f t="shared" ref="J243:J247" si="19">CHOOSE(year_selection, L243,M243,N243,O243,P243,Q243,R243,S243)</f>
        <v>41179.93548387097</v>
      </c>
      <c r="K243" s="233"/>
      <c r="L243" s="330"/>
      <c r="M243" s="330"/>
      <c r="N243" s="330"/>
      <c r="O243" s="330">
        <v>41179.93548387097</v>
      </c>
      <c r="P243" s="330">
        <v>41179.93548387097</v>
      </c>
      <c r="Q243" s="330">
        <v>41179.93548387097</v>
      </c>
      <c r="R243" s="330">
        <v>41179.93548387097</v>
      </c>
      <c r="S243" s="330">
        <v>41179.93548387097</v>
      </c>
    </row>
    <row r="244" spans="5:19" x14ac:dyDescent="0.25">
      <c r="F244" s="196" t="s">
        <v>1039</v>
      </c>
      <c r="G244" s="196" t="s">
        <v>74</v>
      </c>
      <c r="H244" s="196" t="s">
        <v>580</v>
      </c>
      <c r="I244" s="66"/>
      <c r="J244" s="234">
        <f t="shared" si="19"/>
        <v>67</v>
      </c>
      <c r="K244" s="235"/>
      <c r="L244" s="331"/>
      <c r="M244" s="331"/>
      <c r="N244" s="331"/>
      <c r="O244" s="331">
        <v>67</v>
      </c>
      <c r="P244" s="331">
        <v>67</v>
      </c>
      <c r="Q244" s="331">
        <v>67</v>
      </c>
      <c r="R244" s="331">
        <v>67</v>
      </c>
      <c r="S244" s="331">
        <v>67</v>
      </c>
    </row>
    <row r="245" spans="5:19" x14ac:dyDescent="0.25">
      <c r="F245" s="196" t="s">
        <v>1040</v>
      </c>
      <c r="G245" s="196" t="s">
        <v>74</v>
      </c>
      <c r="H245" s="196" t="s">
        <v>580</v>
      </c>
      <c r="I245" s="66"/>
      <c r="J245" s="234">
        <f t="shared" si="19"/>
        <v>1036.6774193548388</v>
      </c>
      <c r="K245" s="235"/>
      <c r="L245" s="331"/>
      <c r="M245" s="331"/>
      <c r="N245" s="331"/>
      <c r="O245" s="331">
        <v>1036.6774193548388</v>
      </c>
      <c r="P245" s="331">
        <v>1036.6774193548388</v>
      </c>
      <c r="Q245" s="331">
        <v>1036.6774193548388</v>
      </c>
      <c r="R245" s="331">
        <v>1036.6774193548388</v>
      </c>
      <c r="S245" s="331">
        <v>1036.6774193548388</v>
      </c>
    </row>
    <row r="246" spans="5:19" x14ac:dyDescent="0.25">
      <c r="F246" s="196" t="s">
        <v>1041</v>
      </c>
      <c r="G246" s="196" t="s">
        <v>74</v>
      </c>
      <c r="H246" s="196" t="s">
        <v>580</v>
      </c>
      <c r="I246" s="66"/>
      <c r="J246" s="234">
        <f t="shared" si="19"/>
        <v>0</v>
      </c>
      <c r="K246" s="235"/>
      <c r="L246" s="331"/>
      <c r="M246" s="331"/>
      <c r="N246" s="331"/>
      <c r="O246" s="331">
        <v>0</v>
      </c>
      <c r="P246" s="331">
        <v>0</v>
      </c>
      <c r="Q246" s="331">
        <v>0</v>
      </c>
      <c r="R246" s="331">
        <v>0</v>
      </c>
      <c r="S246" s="331">
        <v>0</v>
      </c>
    </row>
    <row r="247" spans="5:19" x14ac:dyDescent="0.25">
      <c r="F247" s="196" t="s">
        <v>1042</v>
      </c>
      <c r="G247" s="196" t="s">
        <v>74</v>
      </c>
      <c r="H247" s="196" t="s">
        <v>580</v>
      </c>
      <c r="I247" s="66"/>
      <c r="J247" s="234">
        <f t="shared" si="19"/>
        <v>76</v>
      </c>
      <c r="K247" s="235"/>
      <c r="L247" s="331"/>
      <c r="M247" s="331"/>
      <c r="N247" s="331"/>
      <c r="O247" s="331">
        <v>76</v>
      </c>
      <c r="P247" s="331">
        <v>76</v>
      </c>
      <c r="Q247" s="331">
        <v>76</v>
      </c>
      <c r="R247" s="331">
        <v>76</v>
      </c>
      <c r="S247" s="331">
        <v>76</v>
      </c>
    </row>
    <row r="248" spans="5:19" x14ac:dyDescent="0.25">
      <c r="F248" s="196" t="s">
        <v>1043</v>
      </c>
      <c r="G248" s="196" t="s">
        <v>74</v>
      </c>
      <c r="H248" s="196" t="s">
        <v>580</v>
      </c>
      <c r="I248" s="66"/>
      <c r="J248" s="240"/>
      <c r="K248" s="235"/>
      <c r="L248" s="240"/>
      <c r="M248" s="240"/>
      <c r="N248" s="240"/>
      <c r="O248" s="240"/>
      <c r="P248" s="240"/>
      <c r="Q248" s="240"/>
      <c r="R248" s="240"/>
      <c r="S248" s="240"/>
    </row>
    <row r="249" spans="5:19" x14ac:dyDescent="0.25">
      <c r="F249" s="196" t="s">
        <v>1044</v>
      </c>
      <c r="G249" s="196" t="s">
        <v>74</v>
      </c>
      <c r="H249" s="196" t="s">
        <v>580</v>
      </c>
      <c r="I249" s="66"/>
      <c r="J249" s="240"/>
      <c r="K249" s="235"/>
      <c r="L249" s="240"/>
      <c r="M249" s="240"/>
      <c r="N249" s="240"/>
      <c r="O249" s="240"/>
      <c r="P249" s="240"/>
      <c r="Q249" s="240"/>
      <c r="R249" s="240"/>
      <c r="S249" s="240"/>
    </row>
    <row r="250" spans="5:19" x14ac:dyDescent="0.25">
      <c r="F250" s="196" t="s">
        <v>1045</v>
      </c>
      <c r="G250" s="196" t="s">
        <v>74</v>
      </c>
      <c r="H250" s="196" t="s">
        <v>580</v>
      </c>
      <c r="I250" s="66"/>
      <c r="J250" s="234">
        <f t="shared" ref="J250:J251" si="20">CHOOSE(year_selection, L250,M250,N250,O250,P250,Q250,R250,S250)</f>
        <v>34</v>
      </c>
      <c r="K250" s="235"/>
      <c r="L250" s="331"/>
      <c r="M250" s="331"/>
      <c r="N250" s="331"/>
      <c r="O250" s="331">
        <v>34</v>
      </c>
      <c r="P250" s="331">
        <v>34</v>
      </c>
      <c r="Q250" s="331">
        <v>34</v>
      </c>
      <c r="R250" s="331">
        <v>34</v>
      </c>
      <c r="S250" s="331">
        <v>34</v>
      </c>
    </row>
    <row r="251" spans="5:19" x14ac:dyDescent="0.25">
      <c r="F251" s="196" t="s">
        <v>1046</v>
      </c>
      <c r="G251" s="196" t="s">
        <v>74</v>
      </c>
      <c r="H251" s="196" t="s">
        <v>580</v>
      </c>
      <c r="I251" s="66"/>
      <c r="J251" s="234">
        <f t="shared" si="20"/>
        <v>3</v>
      </c>
      <c r="K251" s="235"/>
      <c r="L251" s="331"/>
      <c r="M251" s="331"/>
      <c r="N251" s="331"/>
      <c r="O251" s="331">
        <v>3</v>
      </c>
      <c r="P251" s="331">
        <v>3</v>
      </c>
      <c r="Q251" s="331">
        <v>3</v>
      </c>
      <c r="R251" s="331">
        <v>3</v>
      </c>
      <c r="S251" s="331">
        <v>3</v>
      </c>
    </row>
    <row r="252" spans="5:19" x14ac:dyDescent="0.25">
      <c r="F252" s="196" t="s">
        <v>1047</v>
      </c>
      <c r="G252" s="196" t="s">
        <v>74</v>
      </c>
      <c r="H252" s="196" t="s">
        <v>580</v>
      </c>
      <c r="I252" s="66"/>
      <c r="J252" s="240"/>
      <c r="K252" s="235"/>
      <c r="L252" s="240"/>
      <c r="M252" s="240"/>
      <c r="N252" s="240"/>
      <c r="O252" s="240"/>
      <c r="P252" s="240"/>
      <c r="Q252" s="240"/>
      <c r="R252" s="240"/>
      <c r="S252" s="240"/>
    </row>
    <row r="253" spans="5:19" x14ac:dyDescent="0.25">
      <c r="F253" s="196" t="s">
        <v>1048</v>
      </c>
      <c r="G253" s="196" t="s">
        <v>74</v>
      </c>
      <c r="H253" s="196" t="s">
        <v>580</v>
      </c>
      <c r="I253" s="66"/>
      <c r="J253" s="234">
        <f t="shared" ref="J253" si="21">CHOOSE(year_selection, L253,M253,N253,O253,P253,Q253,R253,S253)</f>
        <v>0</v>
      </c>
      <c r="K253" s="235"/>
      <c r="L253" s="331"/>
      <c r="M253" s="331"/>
      <c r="N253" s="331"/>
      <c r="O253" s="331">
        <v>0</v>
      </c>
      <c r="P253" s="331">
        <v>0</v>
      </c>
      <c r="Q253" s="331">
        <v>0</v>
      </c>
      <c r="R253" s="331">
        <v>0</v>
      </c>
      <c r="S253" s="331">
        <v>0</v>
      </c>
    </row>
    <row r="254" spans="5:19" x14ac:dyDescent="0.25">
      <c r="F254" s="196" t="s">
        <v>1049</v>
      </c>
      <c r="G254" s="196" t="s">
        <v>74</v>
      </c>
      <c r="H254" s="196" t="s">
        <v>580</v>
      </c>
      <c r="I254" s="66"/>
      <c r="J254" s="240"/>
      <c r="K254" s="235"/>
      <c r="L254" s="240"/>
      <c r="M254" s="240"/>
      <c r="N254" s="240"/>
      <c r="O254" s="240"/>
      <c r="P254" s="240"/>
      <c r="Q254" s="240"/>
      <c r="R254" s="240"/>
      <c r="S254" s="240"/>
    </row>
    <row r="255" spans="5:19" x14ac:dyDescent="0.25">
      <c r="F255" s="196" t="s">
        <v>1050</v>
      </c>
      <c r="G255" s="196" t="s">
        <v>74</v>
      </c>
      <c r="H255" s="196" t="s">
        <v>580</v>
      </c>
      <c r="I255" s="66"/>
      <c r="J255" s="240"/>
      <c r="K255" s="235"/>
      <c r="L255" s="240"/>
      <c r="M255" s="240"/>
      <c r="N255" s="240"/>
      <c r="O255" s="240"/>
      <c r="P255" s="240"/>
      <c r="Q255" s="240"/>
      <c r="R255" s="240"/>
      <c r="S255" s="240"/>
    </row>
    <row r="256" spans="5:19" x14ac:dyDescent="0.25">
      <c r="F256" s="196" t="s">
        <v>1051</v>
      </c>
      <c r="G256" s="196" t="s">
        <v>74</v>
      </c>
      <c r="H256" s="196" t="s">
        <v>580</v>
      </c>
      <c r="I256" s="66"/>
      <c r="J256" s="240"/>
      <c r="K256" s="235"/>
      <c r="L256" s="240"/>
      <c r="M256" s="240"/>
      <c r="N256" s="240"/>
      <c r="O256" s="240"/>
      <c r="P256" s="240"/>
      <c r="Q256" s="240"/>
      <c r="R256" s="240"/>
      <c r="S256" s="240"/>
    </row>
    <row r="257" spans="5:19" x14ac:dyDescent="0.25">
      <c r="F257" s="196" t="s">
        <v>1052</v>
      </c>
      <c r="G257" s="196" t="s">
        <v>74</v>
      </c>
      <c r="H257" s="196" t="s">
        <v>580</v>
      </c>
      <c r="I257" s="66"/>
      <c r="J257" s="240"/>
      <c r="K257" s="235"/>
      <c r="L257" s="240"/>
      <c r="M257" s="240"/>
      <c r="N257" s="240"/>
      <c r="O257" s="240"/>
      <c r="P257" s="240"/>
      <c r="Q257" s="240"/>
      <c r="R257" s="240"/>
      <c r="S257" s="240"/>
    </row>
    <row r="258" spans="5:19" x14ac:dyDescent="0.25">
      <c r="F258" s="93" t="s">
        <v>1053</v>
      </c>
      <c r="G258" s="93" t="s">
        <v>74</v>
      </c>
      <c r="H258" s="93" t="s">
        <v>580</v>
      </c>
      <c r="I258" s="145"/>
      <c r="J258" s="241"/>
      <c r="K258" s="237"/>
      <c r="L258" s="241"/>
      <c r="M258" s="241"/>
      <c r="N258" s="241"/>
      <c r="O258" s="241"/>
      <c r="P258" s="241"/>
      <c r="Q258" s="241"/>
      <c r="R258" s="241"/>
      <c r="S258" s="241"/>
    </row>
    <row r="259" spans="5:19" x14ac:dyDescent="0.25">
      <c r="J259" s="238"/>
      <c r="K259" s="238"/>
      <c r="L259" s="238"/>
      <c r="M259" s="238"/>
      <c r="N259" s="238"/>
      <c r="O259" s="238"/>
      <c r="P259" s="238"/>
      <c r="Q259" s="238"/>
      <c r="R259" s="238"/>
      <c r="S259" s="238"/>
    </row>
    <row r="260" spans="5:19" x14ac:dyDescent="0.25">
      <c r="E260" s="144" t="s">
        <v>259</v>
      </c>
      <c r="J260" s="238"/>
      <c r="K260" s="238"/>
      <c r="L260" s="238"/>
      <c r="M260" s="238"/>
      <c r="N260" s="238"/>
      <c r="O260" s="238"/>
      <c r="P260" s="238"/>
      <c r="Q260" s="238"/>
      <c r="R260" s="238"/>
      <c r="S260" s="238"/>
    </row>
    <row r="261" spans="5:19" x14ac:dyDescent="0.25">
      <c r="F261" s="91" t="s">
        <v>1038</v>
      </c>
      <c r="G261" s="91" t="s">
        <v>169</v>
      </c>
      <c r="H261" s="91" t="s">
        <v>580</v>
      </c>
      <c r="I261" s="112"/>
      <c r="J261" s="239"/>
      <c r="K261" s="233"/>
      <c r="L261" s="239"/>
      <c r="M261" s="239"/>
      <c r="N261" s="239"/>
      <c r="O261" s="239"/>
      <c r="P261" s="239"/>
      <c r="Q261" s="239"/>
      <c r="R261" s="239"/>
      <c r="S261" s="239"/>
    </row>
    <row r="262" spans="5:19" x14ac:dyDescent="0.25">
      <c r="F262" s="196" t="s">
        <v>1039</v>
      </c>
      <c r="G262" s="196" t="s">
        <v>169</v>
      </c>
      <c r="H262" s="196" t="s">
        <v>580</v>
      </c>
      <c r="I262" s="66"/>
      <c r="J262" s="240"/>
      <c r="K262" s="235"/>
      <c r="L262" s="240"/>
      <c r="M262" s="240"/>
      <c r="N262" s="240"/>
      <c r="O262" s="240"/>
      <c r="P262" s="240"/>
      <c r="Q262" s="240"/>
      <c r="R262" s="240"/>
      <c r="S262" s="240"/>
    </row>
    <row r="263" spans="5:19" x14ac:dyDescent="0.25">
      <c r="F263" s="196" t="s">
        <v>1040</v>
      </c>
      <c r="G263" s="196" t="s">
        <v>169</v>
      </c>
      <c r="H263" s="196" t="s">
        <v>580</v>
      </c>
      <c r="I263" s="66"/>
      <c r="J263" s="240"/>
      <c r="K263" s="235"/>
      <c r="L263" s="240"/>
      <c r="M263" s="240"/>
      <c r="N263" s="240"/>
      <c r="O263" s="240"/>
      <c r="P263" s="240"/>
      <c r="Q263" s="240"/>
      <c r="R263" s="240"/>
      <c r="S263" s="240"/>
    </row>
    <row r="264" spans="5:19" x14ac:dyDescent="0.25">
      <c r="F264" s="196" t="s">
        <v>1041</v>
      </c>
      <c r="G264" s="196" t="s">
        <v>169</v>
      </c>
      <c r="H264" s="196" t="s">
        <v>580</v>
      </c>
      <c r="I264" s="66"/>
      <c r="J264" s="240"/>
      <c r="K264" s="235"/>
      <c r="L264" s="240"/>
      <c r="M264" s="240"/>
      <c r="N264" s="240"/>
      <c r="O264" s="240"/>
      <c r="P264" s="240"/>
      <c r="Q264" s="240"/>
      <c r="R264" s="240"/>
      <c r="S264" s="240"/>
    </row>
    <row r="265" spans="5:19" x14ac:dyDescent="0.25">
      <c r="F265" s="196" t="s">
        <v>1042</v>
      </c>
      <c r="G265" s="196" t="s">
        <v>169</v>
      </c>
      <c r="H265" s="196" t="s">
        <v>580</v>
      </c>
      <c r="I265" s="66"/>
      <c r="J265" s="234">
        <f t="shared" ref="J265" si="22">CHOOSE(year_selection, L265,M265,N265,O265,P265,Q265,R265,S265)</f>
        <v>10403</v>
      </c>
      <c r="K265" s="235"/>
      <c r="L265" s="331"/>
      <c r="M265" s="331"/>
      <c r="N265" s="331"/>
      <c r="O265" s="331">
        <v>10403</v>
      </c>
      <c r="P265" s="331">
        <v>10403</v>
      </c>
      <c r="Q265" s="331">
        <v>10403</v>
      </c>
      <c r="R265" s="331">
        <v>10403</v>
      </c>
      <c r="S265" s="331">
        <v>10403</v>
      </c>
    </row>
    <row r="266" spans="5:19" x14ac:dyDescent="0.25">
      <c r="F266" s="196" t="s">
        <v>1043</v>
      </c>
      <c r="G266" s="196" t="s">
        <v>169</v>
      </c>
      <c r="H266" s="196" t="s">
        <v>580</v>
      </c>
      <c r="I266" s="66"/>
      <c r="J266" s="240"/>
      <c r="K266" s="235"/>
      <c r="L266" s="240"/>
      <c r="M266" s="240"/>
      <c r="N266" s="240"/>
      <c r="O266" s="240"/>
      <c r="P266" s="240"/>
      <c r="Q266" s="240"/>
      <c r="R266" s="240"/>
      <c r="S266" s="240"/>
    </row>
    <row r="267" spans="5:19" x14ac:dyDescent="0.25">
      <c r="F267" s="196" t="s">
        <v>1044</v>
      </c>
      <c r="G267" s="196" t="s">
        <v>169</v>
      </c>
      <c r="H267" s="196" t="s">
        <v>580</v>
      </c>
      <c r="I267" s="66"/>
      <c r="J267" s="240"/>
      <c r="K267" s="235"/>
      <c r="L267" s="240"/>
      <c r="M267" s="240"/>
      <c r="N267" s="240"/>
      <c r="O267" s="240"/>
      <c r="P267" s="240"/>
      <c r="Q267" s="240"/>
      <c r="R267" s="240"/>
      <c r="S267" s="240"/>
    </row>
    <row r="268" spans="5:19" x14ac:dyDescent="0.25">
      <c r="F268" s="196" t="s">
        <v>1045</v>
      </c>
      <c r="G268" s="196" t="s">
        <v>169</v>
      </c>
      <c r="H268" s="196" t="s">
        <v>580</v>
      </c>
      <c r="I268" s="66"/>
      <c r="J268" s="240"/>
      <c r="K268" s="235"/>
      <c r="L268" s="240"/>
      <c r="M268" s="240"/>
      <c r="N268" s="240"/>
      <c r="O268" s="240"/>
      <c r="P268" s="240"/>
      <c r="Q268" s="240"/>
      <c r="R268" s="240"/>
      <c r="S268" s="240"/>
    </row>
    <row r="269" spans="5:19" x14ac:dyDescent="0.25">
      <c r="F269" s="196" t="s">
        <v>1046</v>
      </c>
      <c r="G269" s="196" t="s">
        <v>169</v>
      </c>
      <c r="H269" s="196" t="s">
        <v>580</v>
      </c>
      <c r="I269" s="66"/>
      <c r="J269" s="240"/>
      <c r="K269" s="235"/>
      <c r="L269" s="240"/>
      <c r="M269" s="240"/>
      <c r="N269" s="240"/>
      <c r="O269" s="240"/>
      <c r="P269" s="240"/>
      <c r="Q269" s="240"/>
      <c r="R269" s="240"/>
      <c r="S269" s="240"/>
    </row>
    <row r="270" spans="5:19" x14ac:dyDescent="0.25">
      <c r="F270" s="196" t="s">
        <v>1047</v>
      </c>
      <c r="G270" s="196" t="s">
        <v>169</v>
      </c>
      <c r="H270" s="196" t="s">
        <v>580</v>
      </c>
      <c r="I270" s="66"/>
      <c r="J270" s="240"/>
      <c r="K270" s="235"/>
      <c r="L270" s="240"/>
      <c r="M270" s="240"/>
      <c r="N270" s="240"/>
      <c r="O270" s="240"/>
      <c r="P270" s="240"/>
      <c r="Q270" s="240"/>
      <c r="R270" s="240"/>
      <c r="S270" s="240"/>
    </row>
    <row r="271" spans="5:19" x14ac:dyDescent="0.25">
      <c r="F271" s="196" t="s">
        <v>1048</v>
      </c>
      <c r="G271" s="196" t="s">
        <v>169</v>
      </c>
      <c r="H271" s="196" t="s">
        <v>580</v>
      </c>
      <c r="I271" s="66"/>
      <c r="J271" s="240"/>
      <c r="K271" s="235"/>
      <c r="L271" s="240"/>
      <c r="M271" s="240"/>
      <c r="N271" s="240"/>
      <c r="O271" s="240"/>
      <c r="P271" s="240"/>
      <c r="Q271" s="240"/>
      <c r="R271" s="240"/>
      <c r="S271" s="240"/>
    </row>
    <row r="272" spans="5:19" x14ac:dyDescent="0.25">
      <c r="F272" s="196" t="s">
        <v>1049</v>
      </c>
      <c r="G272" s="196" t="s">
        <v>169</v>
      </c>
      <c r="H272" s="196" t="s">
        <v>580</v>
      </c>
      <c r="I272" s="66"/>
      <c r="J272" s="240"/>
      <c r="K272" s="235"/>
      <c r="L272" s="240"/>
      <c r="M272" s="240"/>
      <c r="N272" s="240"/>
      <c r="O272" s="240"/>
      <c r="P272" s="240"/>
      <c r="Q272" s="240"/>
      <c r="R272" s="240"/>
      <c r="S272" s="240"/>
    </row>
    <row r="273" spans="5:19" x14ac:dyDescent="0.25">
      <c r="F273" s="196" t="s">
        <v>1050</v>
      </c>
      <c r="G273" s="196" t="s">
        <v>169</v>
      </c>
      <c r="H273" s="196" t="s">
        <v>580</v>
      </c>
      <c r="I273" s="66"/>
      <c r="J273" s="240"/>
      <c r="K273" s="235"/>
      <c r="L273" s="240"/>
      <c r="M273" s="240"/>
      <c r="N273" s="240"/>
      <c r="O273" s="240"/>
      <c r="P273" s="240"/>
      <c r="Q273" s="240"/>
      <c r="R273" s="240"/>
      <c r="S273" s="240"/>
    </row>
    <row r="274" spans="5:19" x14ac:dyDescent="0.25">
      <c r="F274" s="196" t="s">
        <v>1051</v>
      </c>
      <c r="G274" s="196" t="s">
        <v>169</v>
      </c>
      <c r="H274" s="196" t="s">
        <v>580</v>
      </c>
      <c r="I274" s="66"/>
      <c r="J274" s="240"/>
      <c r="K274" s="235"/>
      <c r="L274" s="240"/>
      <c r="M274" s="240"/>
      <c r="N274" s="240"/>
      <c r="O274" s="240"/>
      <c r="P274" s="240"/>
      <c r="Q274" s="240"/>
      <c r="R274" s="240"/>
      <c r="S274" s="240"/>
    </row>
    <row r="275" spans="5:19" x14ac:dyDescent="0.25">
      <c r="F275" s="196" t="s">
        <v>1052</v>
      </c>
      <c r="G275" s="196" t="s">
        <v>169</v>
      </c>
      <c r="H275" s="196" t="s">
        <v>580</v>
      </c>
      <c r="I275" s="66"/>
      <c r="J275" s="240"/>
      <c r="K275" s="235"/>
      <c r="L275" s="240"/>
      <c r="M275" s="240"/>
      <c r="N275" s="240"/>
      <c r="O275" s="240"/>
      <c r="P275" s="240"/>
      <c r="Q275" s="240"/>
      <c r="R275" s="240"/>
      <c r="S275" s="240"/>
    </row>
    <row r="276" spans="5:19" x14ac:dyDescent="0.25">
      <c r="F276" s="93" t="s">
        <v>1053</v>
      </c>
      <c r="G276" s="93" t="s">
        <v>169</v>
      </c>
      <c r="H276" s="93" t="s">
        <v>580</v>
      </c>
      <c r="I276" s="145"/>
      <c r="J276" s="241"/>
      <c r="K276" s="237"/>
      <c r="L276" s="241"/>
      <c r="M276" s="241"/>
      <c r="N276" s="241"/>
      <c r="O276" s="241"/>
      <c r="P276" s="241"/>
      <c r="Q276" s="241"/>
      <c r="R276" s="241"/>
      <c r="S276" s="241"/>
    </row>
    <row r="277" spans="5:19" x14ac:dyDescent="0.25">
      <c r="J277" s="238"/>
      <c r="K277" s="238"/>
      <c r="L277" s="238"/>
      <c r="M277" s="238"/>
      <c r="N277" s="238"/>
      <c r="O277" s="238"/>
      <c r="P277" s="238"/>
      <c r="Q277" s="238"/>
      <c r="R277" s="238"/>
      <c r="S277" s="238"/>
    </row>
    <row r="278" spans="5:19" x14ac:dyDescent="0.25">
      <c r="E278" s="144" t="s">
        <v>260</v>
      </c>
      <c r="J278" s="238"/>
      <c r="K278" s="238"/>
      <c r="L278" s="238"/>
      <c r="M278" s="238"/>
      <c r="N278" s="238"/>
      <c r="O278" s="238"/>
      <c r="P278" s="238"/>
      <c r="Q278" s="238"/>
      <c r="R278" s="238"/>
      <c r="S278" s="238"/>
    </row>
    <row r="279" spans="5:19" x14ac:dyDescent="0.25">
      <c r="F279" s="91" t="s">
        <v>1038</v>
      </c>
      <c r="G279" s="91" t="s">
        <v>169</v>
      </c>
      <c r="H279" s="91" t="s">
        <v>580</v>
      </c>
      <c r="I279" s="112"/>
      <c r="J279" s="239"/>
      <c r="K279" s="233"/>
      <c r="L279" s="239"/>
      <c r="M279" s="239"/>
      <c r="N279" s="239"/>
      <c r="O279" s="239"/>
      <c r="P279" s="239"/>
      <c r="Q279" s="239"/>
      <c r="R279" s="239"/>
      <c r="S279" s="239"/>
    </row>
    <row r="280" spans="5:19" x14ac:dyDescent="0.25">
      <c r="F280" s="196" t="s">
        <v>1039</v>
      </c>
      <c r="G280" s="196" t="s">
        <v>169</v>
      </c>
      <c r="H280" s="196" t="s">
        <v>580</v>
      </c>
      <c r="I280" s="66"/>
      <c r="J280" s="240"/>
      <c r="K280" s="235"/>
      <c r="L280" s="240"/>
      <c r="M280" s="240"/>
      <c r="N280" s="240"/>
      <c r="O280" s="240"/>
      <c r="P280" s="240"/>
      <c r="Q280" s="240"/>
      <c r="R280" s="240"/>
      <c r="S280" s="240"/>
    </row>
    <row r="281" spans="5:19" x14ac:dyDescent="0.25">
      <c r="F281" s="196" t="s">
        <v>1040</v>
      </c>
      <c r="G281" s="196" t="s">
        <v>169</v>
      </c>
      <c r="H281" s="196" t="s">
        <v>580</v>
      </c>
      <c r="I281" s="66"/>
      <c r="J281" s="240"/>
      <c r="K281" s="235"/>
      <c r="L281" s="240"/>
      <c r="M281" s="240"/>
      <c r="N281" s="240"/>
      <c r="O281" s="240"/>
      <c r="P281" s="240"/>
      <c r="Q281" s="240"/>
      <c r="R281" s="240"/>
      <c r="S281" s="240"/>
    </row>
    <row r="282" spans="5:19" x14ac:dyDescent="0.25">
      <c r="F282" s="196" t="s">
        <v>1041</v>
      </c>
      <c r="G282" s="196" t="s">
        <v>169</v>
      </c>
      <c r="H282" s="196" t="s">
        <v>580</v>
      </c>
      <c r="I282" s="66"/>
      <c r="J282" s="240"/>
      <c r="K282" s="235"/>
      <c r="L282" s="240"/>
      <c r="M282" s="240"/>
      <c r="N282" s="240"/>
      <c r="O282" s="240"/>
      <c r="P282" s="240"/>
      <c r="Q282" s="240"/>
      <c r="R282" s="240"/>
      <c r="S282" s="240"/>
    </row>
    <row r="283" spans="5:19" x14ac:dyDescent="0.25">
      <c r="F283" s="196" t="s">
        <v>1042</v>
      </c>
      <c r="G283" s="196" t="s">
        <v>169</v>
      </c>
      <c r="H283" s="196" t="s">
        <v>580</v>
      </c>
      <c r="I283" s="66"/>
      <c r="J283" s="234">
        <f t="shared" ref="J283" si="23">CHOOSE(year_selection, L283,M283,N283,O283,P283,Q283,R283,S283)</f>
        <v>41.612000000000002</v>
      </c>
      <c r="K283" s="235"/>
      <c r="L283" s="331"/>
      <c r="M283" s="331"/>
      <c r="N283" s="331"/>
      <c r="O283" s="331">
        <v>41.612000000000002</v>
      </c>
      <c r="P283" s="331">
        <v>41.612000000000002</v>
      </c>
      <c r="Q283" s="331">
        <v>41.612000000000002</v>
      </c>
      <c r="R283" s="331">
        <v>41.612000000000002</v>
      </c>
      <c r="S283" s="331">
        <v>41.612000000000002</v>
      </c>
    </row>
    <row r="284" spans="5:19" x14ac:dyDescent="0.25">
      <c r="F284" s="196" t="s">
        <v>1043</v>
      </c>
      <c r="G284" s="196" t="s">
        <v>169</v>
      </c>
      <c r="H284" s="196" t="s">
        <v>580</v>
      </c>
      <c r="I284" s="66"/>
      <c r="J284" s="240"/>
      <c r="K284" s="235"/>
      <c r="L284" s="240"/>
      <c r="M284" s="240"/>
      <c r="N284" s="240"/>
      <c r="O284" s="240"/>
      <c r="P284" s="240"/>
      <c r="Q284" s="240"/>
      <c r="R284" s="240"/>
      <c r="S284" s="240"/>
    </row>
    <row r="285" spans="5:19" x14ac:dyDescent="0.25">
      <c r="F285" s="196" t="s">
        <v>1044</v>
      </c>
      <c r="G285" s="196" t="s">
        <v>169</v>
      </c>
      <c r="H285" s="196" t="s">
        <v>580</v>
      </c>
      <c r="I285" s="66"/>
      <c r="J285" s="240"/>
      <c r="K285" s="235"/>
      <c r="L285" s="240"/>
      <c r="M285" s="240"/>
      <c r="N285" s="240"/>
      <c r="O285" s="240"/>
      <c r="P285" s="240"/>
      <c r="Q285" s="240"/>
      <c r="R285" s="240"/>
      <c r="S285" s="240"/>
    </row>
    <row r="286" spans="5:19" x14ac:dyDescent="0.25">
      <c r="F286" s="196" t="s">
        <v>1045</v>
      </c>
      <c r="G286" s="196" t="s">
        <v>169</v>
      </c>
      <c r="H286" s="196" t="s">
        <v>580</v>
      </c>
      <c r="I286" s="66"/>
      <c r="J286" s="240"/>
      <c r="K286" s="235"/>
      <c r="L286" s="240"/>
      <c r="M286" s="240"/>
      <c r="N286" s="240"/>
      <c r="O286" s="240"/>
      <c r="P286" s="240"/>
      <c r="Q286" s="240"/>
      <c r="R286" s="240"/>
      <c r="S286" s="240"/>
    </row>
    <row r="287" spans="5:19" x14ac:dyDescent="0.25">
      <c r="F287" s="196" t="s">
        <v>1046</v>
      </c>
      <c r="G287" s="196" t="s">
        <v>169</v>
      </c>
      <c r="H287" s="196" t="s">
        <v>580</v>
      </c>
      <c r="I287" s="66"/>
      <c r="J287" s="240"/>
      <c r="K287" s="235"/>
      <c r="L287" s="240"/>
      <c r="M287" s="240"/>
      <c r="N287" s="240"/>
      <c r="O287" s="240"/>
      <c r="P287" s="240"/>
      <c r="Q287" s="240"/>
      <c r="R287" s="240"/>
      <c r="S287" s="240"/>
    </row>
    <row r="288" spans="5:19" x14ac:dyDescent="0.25">
      <c r="F288" s="196" t="s">
        <v>1047</v>
      </c>
      <c r="G288" s="196" t="s">
        <v>169</v>
      </c>
      <c r="H288" s="196" t="s">
        <v>580</v>
      </c>
      <c r="I288" s="66"/>
      <c r="J288" s="240"/>
      <c r="K288" s="235"/>
      <c r="L288" s="240"/>
      <c r="M288" s="240"/>
      <c r="N288" s="240"/>
      <c r="O288" s="240"/>
      <c r="P288" s="240"/>
      <c r="Q288" s="240"/>
      <c r="R288" s="240"/>
      <c r="S288" s="240"/>
    </row>
    <row r="289" spans="5:19" x14ac:dyDescent="0.25">
      <c r="F289" s="196" t="s">
        <v>1048</v>
      </c>
      <c r="G289" s="196" t="s">
        <v>169</v>
      </c>
      <c r="H289" s="196" t="s">
        <v>580</v>
      </c>
      <c r="I289" s="66"/>
      <c r="J289" s="240"/>
      <c r="K289" s="235"/>
      <c r="L289" s="240"/>
      <c r="M289" s="240"/>
      <c r="N289" s="240"/>
      <c r="O289" s="240"/>
      <c r="P289" s="240"/>
      <c r="Q289" s="240"/>
      <c r="R289" s="240"/>
      <c r="S289" s="240"/>
    </row>
    <row r="290" spans="5:19" x14ac:dyDescent="0.25">
      <c r="F290" s="196" t="s">
        <v>1049</v>
      </c>
      <c r="G290" s="196" t="s">
        <v>169</v>
      </c>
      <c r="H290" s="196" t="s">
        <v>580</v>
      </c>
      <c r="I290" s="66"/>
      <c r="J290" s="240"/>
      <c r="K290" s="235"/>
      <c r="L290" s="240"/>
      <c r="M290" s="240"/>
      <c r="N290" s="240"/>
      <c r="O290" s="240"/>
      <c r="P290" s="240"/>
      <c r="Q290" s="240"/>
      <c r="R290" s="240"/>
      <c r="S290" s="240"/>
    </row>
    <row r="291" spans="5:19" x14ac:dyDescent="0.25">
      <c r="F291" s="196" t="s">
        <v>1050</v>
      </c>
      <c r="G291" s="196" t="s">
        <v>169</v>
      </c>
      <c r="H291" s="196" t="s">
        <v>580</v>
      </c>
      <c r="I291" s="66"/>
      <c r="J291" s="240"/>
      <c r="K291" s="235"/>
      <c r="L291" s="240"/>
      <c r="M291" s="240"/>
      <c r="N291" s="240"/>
      <c r="O291" s="240"/>
      <c r="P291" s="240"/>
      <c r="Q291" s="240"/>
      <c r="R291" s="240"/>
      <c r="S291" s="240"/>
    </row>
    <row r="292" spans="5:19" x14ac:dyDescent="0.25">
      <c r="F292" s="196" t="s">
        <v>1051</v>
      </c>
      <c r="G292" s="196" t="s">
        <v>169</v>
      </c>
      <c r="H292" s="196" t="s">
        <v>580</v>
      </c>
      <c r="I292" s="66"/>
      <c r="J292" s="240"/>
      <c r="K292" s="235"/>
      <c r="L292" s="240"/>
      <c r="M292" s="240"/>
      <c r="N292" s="240"/>
      <c r="O292" s="240"/>
      <c r="P292" s="240"/>
      <c r="Q292" s="240"/>
      <c r="R292" s="240"/>
      <c r="S292" s="240"/>
    </row>
    <row r="293" spans="5:19" x14ac:dyDescent="0.25">
      <c r="F293" s="196" t="s">
        <v>1052</v>
      </c>
      <c r="G293" s="196" t="s">
        <v>169</v>
      </c>
      <c r="H293" s="196" t="s">
        <v>580</v>
      </c>
      <c r="I293" s="66"/>
      <c r="J293" s="240"/>
      <c r="K293" s="235"/>
      <c r="L293" s="240"/>
      <c r="M293" s="240"/>
      <c r="N293" s="240"/>
      <c r="O293" s="240"/>
      <c r="P293" s="240"/>
      <c r="Q293" s="240"/>
      <c r="R293" s="240"/>
      <c r="S293" s="240"/>
    </row>
    <row r="294" spans="5:19" x14ac:dyDescent="0.25">
      <c r="F294" s="93" t="s">
        <v>1053</v>
      </c>
      <c r="G294" s="93" t="s">
        <v>169</v>
      </c>
      <c r="H294" s="93" t="s">
        <v>580</v>
      </c>
      <c r="I294" s="145"/>
      <c r="J294" s="241"/>
      <c r="K294" s="237"/>
      <c r="L294" s="241"/>
      <c r="M294" s="241"/>
      <c r="N294" s="241"/>
      <c r="O294" s="241"/>
      <c r="P294" s="241"/>
      <c r="Q294" s="241"/>
      <c r="R294" s="241"/>
      <c r="S294" s="241"/>
    </row>
    <row r="295" spans="5:19" x14ac:dyDescent="0.25">
      <c r="J295" s="238"/>
      <c r="K295" s="238"/>
      <c r="L295" s="238"/>
      <c r="M295" s="238"/>
      <c r="N295" s="238"/>
      <c r="O295" s="238"/>
      <c r="P295" s="238"/>
      <c r="Q295" s="238"/>
      <c r="R295" s="238"/>
      <c r="S295" s="238"/>
    </row>
    <row r="296" spans="5:19" x14ac:dyDescent="0.25">
      <c r="E296" s="144" t="s">
        <v>261</v>
      </c>
      <c r="J296" s="238"/>
      <c r="K296" s="238"/>
      <c r="L296" s="238"/>
      <c r="M296" s="238"/>
      <c r="N296" s="238"/>
      <c r="O296" s="238"/>
      <c r="P296" s="238"/>
      <c r="Q296" s="238"/>
      <c r="R296" s="238"/>
      <c r="S296" s="238"/>
    </row>
    <row r="297" spans="5:19" x14ac:dyDescent="0.25">
      <c r="F297" s="91" t="s">
        <v>1038</v>
      </c>
      <c r="G297" s="91" t="s">
        <v>170</v>
      </c>
      <c r="H297" s="91" t="s">
        <v>580</v>
      </c>
      <c r="I297" s="112"/>
      <c r="J297" s="239"/>
      <c r="K297" s="233"/>
      <c r="L297" s="239"/>
      <c r="M297" s="239"/>
      <c r="N297" s="239"/>
      <c r="O297" s="239"/>
      <c r="P297" s="239"/>
      <c r="Q297" s="239"/>
      <c r="R297" s="239"/>
      <c r="S297" s="239"/>
    </row>
    <row r="298" spans="5:19" x14ac:dyDescent="0.25">
      <c r="F298" s="196" t="s">
        <v>1039</v>
      </c>
      <c r="G298" s="196" t="s">
        <v>170</v>
      </c>
      <c r="H298" s="196" t="s">
        <v>580</v>
      </c>
      <c r="I298" s="66"/>
      <c r="J298" s="240"/>
      <c r="K298" s="235"/>
      <c r="L298" s="240"/>
      <c r="M298" s="240"/>
      <c r="N298" s="240"/>
      <c r="O298" s="240"/>
      <c r="P298" s="240"/>
      <c r="Q298" s="240"/>
      <c r="R298" s="240"/>
      <c r="S298" s="240"/>
    </row>
    <row r="299" spans="5:19" x14ac:dyDescent="0.25">
      <c r="F299" s="196" t="s">
        <v>1040</v>
      </c>
      <c r="G299" s="196" t="s">
        <v>170</v>
      </c>
      <c r="H299" s="196" t="s">
        <v>580</v>
      </c>
      <c r="I299" s="66"/>
      <c r="J299" s="240"/>
      <c r="K299" s="235"/>
      <c r="L299" s="240"/>
      <c r="M299" s="240"/>
      <c r="N299" s="240"/>
      <c r="O299" s="240"/>
      <c r="P299" s="240"/>
      <c r="Q299" s="240"/>
      <c r="R299" s="240"/>
      <c r="S299" s="240"/>
    </row>
    <row r="300" spans="5:19" x14ac:dyDescent="0.25">
      <c r="F300" s="196" t="s">
        <v>1041</v>
      </c>
      <c r="G300" s="196" t="s">
        <v>170</v>
      </c>
      <c r="H300" s="196" t="s">
        <v>580</v>
      </c>
      <c r="I300" s="66"/>
      <c r="J300" s="240"/>
      <c r="K300" s="235"/>
      <c r="L300" s="240"/>
      <c r="M300" s="240"/>
      <c r="N300" s="240"/>
      <c r="O300" s="240"/>
      <c r="P300" s="240"/>
      <c r="Q300" s="240"/>
      <c r="R300" s="240"/>
      <c r="S300" s="240"/>
    </row>
    <row r="301" spans="5:19" x14ac:dyDescent="0.25">
      <c r="F301" s="196" t="s">
        <v>1042</v>
      </c>
      <c r="G301" s="196" t="s">
        <v>170</v>
      </c>
      <c r="H301" s="196" t="s">
        <v>580</v>
      </c>
      <c r="I301" s="66"/>
      <c r="J301" s="234">
        <f t="shared" ref="J301" si="24">CHOOSE(year_selection, L301,M301,N301,O301,P301,Q301,R301,S301)</f>
        <v>936</v>
      </c>
      <c r="K301" s="235"/>
      <c r="L301" s="331"/>
      <c r="M301" s="331"/>
      <c r="N301" s="331"/>
      <c r="O301" s="331">
        <v>936</v>
      </c>
      <c r="P301" s="331">
        <v>936</v>
      </c>
      <c r="Q301" s="331">
        <v>936</v>
      </c>
      <c r="R301" s="331">
        <v>936</v>
      </c>
      <c r="S301" s="331">
        <v>936</v>
      </c>
    </row>
    <row r="302" spans="5:19" x14ac:dyDescent="0.25">
      <c r="F302" s="196" t="s">
        <v>1043</v>
      </c>
      <c r="G302" s="196" t="s">
        <v>170</v>
      </c>
      <c r="H302" s="196" t="s">
        <v>580</v>
      </c>
      <c r="I302" s="66"/>
      <c r="J302" s="240"/>
      <c r="K302" s="235"/>
      <c r="L302" s="240"/>
      <c r="M302" s="240"/>
      <c r="N302" s="240"/>
      <c r="O302" s="240"/>
      <c r="P302" s="240"/>
      <c r="Q302" s="240"/>
      <c r="R302" s="240"/>
      <c r="S302" s="240"/>
    </row>
    <row r="303" spans="5:19" x14ac:dyDescent="0.25">
      <c r="F303" s="196" t="s">
        <v>1044</v>
      </c>
      <c r="G303" s="196" t="s">
        <v>170</v>
      </c>
      <c r="H303" s="196" t="s">
        <v>580</v>
      </c>
      <c r="I303" s="66"/>
      <c r="J303" s="240"/>
      <c r="K303" s="235"/>
      <c r="L303" s="240"/>
      <c r="M303" s="240"/>
      <c r="N303" s="240"/>
      <c r="O303" s="240"/>
      <c r="P303" s="240"/>
      <c r="Q303" s="240"/>
      <c r="R303" s="240"/>
      <c r="S303" s="240"/>
    </row>
    <row r="304" spans="5:19" x14ac:dyDescent="0.25">
      <c r="F304" s="196" t="s">
        <v>1045</v>
      </c>
      <c r="G304" s="196" t="s">
        <v>170</v>
      </c>
      <c r="H304" s="196" t="s">
        <v>580</v>
      </c>
      <c r="I304" s="66"/>
      <c r="J304" s="240"/>
      <c r="K304" s="235"/>
      <c r="L304" s="240"/>
      <c r="M304" s="240"/>
      <c r="N304" s="240"/>
      <c r="O304" s="240"/>
      <c r="P304" s="240"/>
      <c r="Q304" s="240"/>
      <c r="R304" s="240"/>
      <c r="S304" s="240"/>
    </row>
    <row r="305" spans="3:21" x14ac:dyDescent="0.25">
      <c r="F305" s="196" t="s">
        <v>1046</v>
      </c>
      <c r="G305" s="196" t="s">
        <v>170</v>
      </c>
      <c r="H305" s="196" t="s">
        <v>580</v>
      </c>
      <c r="I305" s="66"/>
      <c r="J305" s="240"/>
      <c r="K305" s="235"/>
      <c r="L305" s="240"/>
      <c r="M305" s="240"/>
      <c r="N305" s="240"/>
      <c r="O305" s="240"/>
      <c r="P305" s="240"/>
      <c r="Q305" s="240"/>
      <c r="R305" s="240"/>
      <c r="S305" s="240"/>
    </row>
    <row r="306" spans="3:21" x14ac:dyDescent="0.25">
      <c r="F306" s="196" t="s">
        <v>1047</v>
      </c>
      <c r="G306" s="196" t="s">
        <v>170</v>
      </c>
      <c r="H306" s="196" t="s">
        <v>580</v>
      </c>
      <c r="I306" s="66"/>
      <c r="J306" s="240"/>
      <c r="K306" s="235"/>
      <c r="L306" s="240"/>
      <c r="M306" s="240"/>
      <c r="N306" s="240"/>
      <c r="O306" s="240"/>
      <c r="P306" s="240"/>
      <c r="Q306" s="240"/>
      <c r="R306" s="240"/>
      <c r="S306" s="240"/>
    </row>
    <row r="307" spans="3:21" x14ac:dyDescent="0.25">
      <c r="F307" s="196" t="s">
        <v>1048</v>
      </c>
      <c r="G307" s="196" t="s">
        <v>170</v>
      </c>
      <c r="H307" s="196" t="s">
        <v>580</v>
      </c>
      <c r="I307" s="66"/>
      <c r="J307" s="234">
        <f t="shared" ref="J307" si="25">CHOOSE(year_selection, L307,M307,N307,O307,P307,Q307,R307,S307)</f>
        <v>0</v>
      </c>
      <c r="K307" s="235"/>
      <c r="L307" s="331"/>
      <c r="M307" s="331"/>
      <c r="N307" s="331"/>
      <c r="O307" s="331">
        <v>0</v>
      </c>
      <c r="P307" s="331">
        <v>0</v>
      </c>
      <c r="Q307" s="331">
        <v>0</v>
      </c>
      <c r="R307" s="331">
        <v>0</v>
      </c>
      <c r="S307" s="331">
        <v>0</v>
      </c>
    </row>
    <row r="308" spans="3:21" x14ac:dyDescent="0.25">
      <c r="F308" s="196" t="s">
        <v>1049</v>
      </c>
      <c r="G308" s="196" t="s">
        <v>170</v>
      </c>
      <c r="H308" s="196" t="s">
        <v>580</v>
      </c>
      <c r="I308" s="66"/>
      <c r="J308" s="240"/>
      <c r="K308" s="235"/>
      <c r="L308" s="240"/>
      <c r="M308" s="240"/>
      <c r="N308" s="240"/>
      <c r="O308" s="240"/>
      <c r="P308" s="240"/>
      <c r="Q308" s="240"/>
      <c r="R308" s="240"/>
      <c r="S308" s="240"/>
    </row>
    <row r="309" spans="3:21" x14ac:dyDescent="0.25">
      <c r="F309" s="196" t="s">
        <v>1050</v>
      </c>
      <c r="G309" s="196" t="s">
        <v>170</v>
      </c>
      <c r="H309" s="196" t="s">
        <v>580</v>
      </c>
      <c r="I309" s="66"/>
      <c r="J309" s="240"/>
      <c r="K309" s="235"/>
      <c r="L309" s="240"/>
      <c r="M309" s="240"/>
      <c r="N309" s="240"/>
      <c r="O309" s="240"/>
      <c r="P309" s="240"/>
      <c r="Q309" s="240"/>
      <c r="R309" s="240"/>
      <c r="S309" s="240"/>
    </row>
    <row r="310" spans="3:21" x14ac:dyDescent="0.25">
      <c r="F310" s="196" t="s">
        <v>1051</v>
      </c>
      <c r="G310" s="196" t="s">
        <v>170</v>
      </c>
      <c r="H310" s="196" t="s">
        <v>580</v>
      </c>
      <c r="I310" s="66"/>
      <c r="J310" s="240"/>
      <c r="K310" s="235"/>
      <c r="L310" s="240"/>
      <c r="M310" s="240"/>
      <c r="N310" s="240"/>
      <c r="O310" s="240"/>
      <c r="P310" s="240"/>
      <c r="Q310" s="240"/>
      <c r="R310" s="240"/>
      <c r="S310" s="240"/>
    </row>
    <row r="311" spans="3:21" x14ac:dyDescent="0.25">
      <c r="F311" s="196" t="s">
        <v>1052</v>
      </c>
      <c r="G311" s="196" t="s">
        <v>170</v>
      </c>
      <c r="H311" s="196" t="s">
        <v>580</v>
      </c>
      <c r="I311" s="66"/>
      <c r="J311" s="240"/>
      <c r="K311" s="235"/>
      <c r="L311" s="240"/>
      <c r="M311" s="240"/>
      <c r="N311" s="240"/>
      <c r="O311" s="240"/>
      <c r="P311" s="240"/>
      <c r="Q311" s="240"/>
      <c r="R311" s="240"/>
      <c r="S311" s="240"/>
    </row>
    <row r="312" spans="3:21" x14ac:dyDescent="0.25">
      <c r="F312" s="93" t="s">
        <v>1053</v>
      </c>
      <c r="G312" s="93" t="s">
        <v>170</v>
      </c>
      <c r="H312" s="93" t="s">
        <v>580</v>
      </c>
      <c r="I312" s="145"/>
      <c r="J312" s="241"/>
      <c r="K312" s="237"/>
      <c r="L312" s="241"/>
      <c r="M312" s="241"/>
      <c r="N312" s="241"/>
      <c r="O312" s="241"/>
      <c r="P312" s="241"/>
      <c r="Q312" s="241"/>
      <c r="R312" s="241"/>
      <c r="S312" s="241"/>
    </row>
    <row r="313" spans="3:21" x14ac:dyDescent="0.25">
      <c r="J313" s="238"/>
      <c r="K313" s="238"/>
      <c r="L313" s="238"/>
      <c r="M313" s="238"/>
      <c r="N313" s="238"/>
      <c r="O313" s="238"/>
      <c r="P313" s="238"/>
      <c r="Q313" s="238"/>
      <c r="R313" s="238"/>
      <c r="S313" s="238"/>
    </row>
    <row r="314" spans="3:21" x14ac:dyDescent="0.25">
      <c r="C314" s="7" t="str">
        <f ca="1">INDEX('Version control'!$H$34:$H$60,MATCH($A$1,'Version control'!$F$34:$F$60,0),1)&amp;"-E: LDNO HV volumes"</f>
        <v>Input 501-E: LDNO HV volumes</v>
      </c>
      <c r="D314" s="7"/>
      <c r="E314" s="7"/>
      <c r="F314" s="7"/>
      <c r="G314" s="7"/>
      <c r="H314" s="7"/>
      <c r="I314" s="171"/>
      <c r="J314" s="243"/>
      <c r="K314" s="243"/>
      <c r="L314" s="243"/>
      <c r="M314" s="243"/>
      <c r="N314" s="243"/>
      <c r="O314" s="243"/>
      <c r="P314" s="243"/>
      <c r="Q314" s="243"/>
      <c r="R314" s="243"/>
      <c r="S314" s="243"/>
      <c r="T314" s="7"/>
      <c r="U314" s="7"/>
    </row>
    <row r="315" spans="3:21" x14ac:dyDescent="0.25">
      <c r="D315" s="96"/>
      <c r="L315" s="295"/>
      <c r="M315" s="295"/>
      <c r="N315" s="295"/>
      <c r="P315" s="295"/>
      <c r="Q315" s="295"/>
      <c r="R315" s="295"/>
      <c r="S315" s="295"/>
    </row>
    <row r="316" spans="3:21" x14ac:dyDescent="0.25">
      <c r="E316" s="144" t="s">
        <v>256</v>
      </c>
      <c r="I316" s="111" t="s">
        <v>431</v>
      </c>
      <c r="J316" s="238"/>
      <c r="K316" s="238"/>
      <c r="L316" s="238"/>
      <c r="M316" s="238"/>
      <c r="N316" s="238"/>
      <c r="O316" s="238"/>
      <c r="P316" s="238"/>
      <c r="Q316" s="238"/>
      <c r="R316" s="238"/>
      <c r="S316" s="238"/>
      <c r="U316" s="85" t="s">
        <v>799</v>
      </c>
    </row>
    <row r="317" spans="3:21" x14ac:dyDescent="0.25">
      <c r="F317" s="91" t="s">
        <v>1038</v>
      </c>
      <c r="G317" s="91" t="s">
        <v>120</v>
      </c>
      <c r="H317" s="91" t="s">
        <v>581</v>
      </c>
      <c r="I317" s="112"/>
      <c r="J317" s="232">
        <f t="shared" ref="J317:J331" si="26">CHOOSE(year_selection, L317,M317,N317,O317,P317,Q317,R317,S317)</f>
        <v>20104.099696926573</v>
      </c>
      <c r="K317" s="233"/>
      <c r="L317" s="330"/>
      <c r="M317" s="330"/>
      <c r="N317" s="330"/>
      <c r="O317" s="330">
        <v>20104.099696926573</v>
      </c>
      <c r="P317" s="330">
        <v>20104.099696926573</v>
      </c>
      <c r="Q317" s="330">
        <v>20104.099696926573</v>
      </c>
      <c r="R317" s="330">
        <v>20104.099696926573</v>
      </c>
      <c r="S317" s="330">
        <v>20104.099696926573</v>
      </c>
    </row>
    <row r="318" spans="3:21" x14ac:dyDescent="0.25">
      <c r="F318" s="196" t="s">
        <v>1039</v>
      </c>
      <c r="G318" s="196" t="s">
        <v>120</v>
      </c>
      <c r="H318" s="196" t="s">
        <v>581</v>
      </c>
      <c r="I318" s="66"/>
      <c r="J318" s="234">
        <f t="shared" si="26"/>
        <v>2.0480897481131533</v>
      </c>
      <c r="K318" s="235"/>
      <c r="L318" s="331"/>
      <c r="M318" s="331"/>
      <c r="N318" s="331"/>
      <c r="O318" s="331">
        <v>2.0480897481131533</v>
      </c>
      <c r="P318" s="331">
        <v>2.0480897481131533</v>
      </c>
      <c r="Q318" s="331">
        <v>2.0480897481131533</v>
      </c>
      <c r="R318" s="331">
        <v>2.0480897481131533</v>
      </c>
      <c r="S318" s="331">
        <v>2.0480897481131533</v>
      </c>
    </row>
    <row r="319" spans="3:21" x14ac:dyDescent="0.25">
      <c r="F319" s="196" t="s">
        <v>1040</v>
      </c>
      <c r="G319" s="196" t="s">
        <v>120</v>
      </c>
      <c r="H319" s="196" t="s">
        <v>581</v>
      </c>
      <c r="I319" s="66"/>
      <c r="J319" s="234">
        <f t="shared" si="26"/>
        <v>2081.7354094794059</v>
      </c>
      <c r="K319" s="235"/>
      <c r="L319" s="331"/>
      <c r="M319" s="331"/>
      <c r="N319" s="331"/>
      <c r="O319" s="331">
        <v>2081.7354094794059</v>
      </c>
      <c r="P319" s="331">
        <v>2081.7354094794059</v>
      </c>
      <c r="Q319" s="331">
        <v>2081.7354094794059</v>
      </c>
      <c r="R319" s="331">
        <v>2081.7354094794059</v>
      </c>
      <c r="S319" s="331">
        <v>2081.7354094794059</v>
      </c>
    </row>
    <row r="320" spans="3:21" x14ac:dyDescent="0.25">
      <c r="F320" s="196" t="s">
        <v>1041</v>
      </c>
      <c r="G320" s="196" t="s">
        <v>120</v>
      </c>
      <c r="H320" s="196" t="s">
        <v>581</v>
      </c>
      <c r="I320" s="66"/>
      <c r="J320" s="234">
        <f t="shared" si="26"/>
        <v>0</v>
      </c>
      <c r="K320" s="235"/>
      <c r="L320" s="331"/>
      <c r="M320" s="331"/>
      <c r="N320" s="331"/>
      <c r="O320" s="331">
        <v>0</v>
      </c>
      <c r="P320" s="331">
        <v>0</v>
      </c>
      <c r="Q320" s="331">
        <v>0</v>
      </c>
      <c r="R320" s="331">
        <v>0</v>
      </c>
      <c r="S320" s="331">
        <v>0</v>
      </c>
    </row>
    <row r="321" spans="5:19" x14ac:dyDescent="0.25">
      <c r="F321" s="196" t="s">
        <v>1042</v>
      </c>
      <c r="G321" s="196" t="s">
        <v>120</v>
      </c>
      <c r="H321" s="196" t="s">
        <v>581</v>
      </c>
      <c r="I321" s="66"/>
      <c r="J321" s="234">
        <f t="shared" si="26"/>
        <v>13322.004999999999</v>
      </c>
      <c r="K321" s="235"/>
      <c r="L321" s="331"/>
      <c r="M321" s="331"/>
      <c r="N321" s="331"/>
      <c r="O321" s="331">
        <v>13322.004999999999</v>
      </c>
      <c r="P321" s="331">
        <v>13322.004999999999</v>
      </c>
      <c r="Q321" s="331">
        <v>13322.004999999999</v>
      </c>
      <c r="R321" s="331">
        <v>13322.004999999999</v>
      </c>
      <c r="S321" s="331">
        <v>13322.004999999999</v>
      </c>
    </row>
    <row r="322" spans="5:19" x14ac:dyDescent="0.25">
      <c r="F322" s="196" t="s">
        <v>1043</v>
      </c>
      <c r="G322" s="196" t="s">
        <v>120</v>
      </c>
      <c r="H322" s="196" t="s">
        <v>581</v>
      </c>
      <c r="I322" s="66"/>
      <c r="J322" s="234">
        <f t="shared" si="26"/>
        <v>2210.538</v>
      </c>
      <c r="K322" s="235"/>
      <c r="L322" s="331"/>
      <c r="M322" s="331"/>
      <c r="N322" s="331"/>
      <c r="O322" s="331">
        <v>2210.538</v>
      </c>
      <c r="P322" s="331">
        <v>2210.538</v>
      </c>
      <c r="Q322" s="331">
        <v>2210.538</v>
      </c>
      <c r="R322" s="331">
        <v>2210.538</v>
      </c>
      <c r="S322" s="331">
        <v>2210.538</v>
      </c>
    </row>
    <row r="323" spans="5:19" x14ac:dyDescent="0.25">
      <c r="F323" s="196" t="s">
        <v>1044</v>
      </c>
      <c r="G323" s="196" t="s">
        <v>120</v>
      </c>
      <c r="H323" s="196" t="s">
        <v>581</v>
      </c>
      <c r="I323" s="66"/>
      <c r="J323" s="234">
        <f t="shared" si="26"/>
        <v>5129.4559999999992</v>
      </c>
      <c r="K323" s="235"/>
      <c r="L323" s="331"/>
      <c r="M323" s="331"/>
      <c r="N323" s="331"/>
      <c r="O323" s="331">
        <v>5129.4559999999992</v>
      </c>
      <c r="P323" s="331">
        <v>5129.4559999999992</v>
      </c>
      <c r="Q323" s="331">
        <v>5129.4559999999992</v>
      </c>
      <c r="R323" s="331">
        <v>5129.4559999999992</v>
      </c>
      <c r="S323" s="331">
        <v>5129.4559999999992</v>
      </c>
    </row>
    <row r="324" spans="5:19" x14ac:dyDescent="0.25">
      <c r="F324" s="196" t="s">
        <v>1045</v>
      </c>
      <c r="G324" s="196" t="s">
        <v>120</v>
      </c>
      <c r="H324" s="196" t="s">
        <v>581</v>
      </c>
      <c r="I324" s="66"/>
      <c r="J324" s="234">
        <f t="shared" si="26"/>
        <v>30.879361230900383</v>
      </c>
      <c r="K324" s="235"/>
      <c r="L324" s="331"/>
      <c r="M324" s="331"/>
      <c r="N324" s="331"/>
      <c r="O324" s="331">
        <v>30.879361230900383</v>
      </c>
      <c r="P324" s="331">
        <v>30.879361230900383</v>
      </c>
      <c r="Q324" s="331">
        <v>30.879361230900383</v>
      </c>
      <c r="R324" s="331">
        <v>30.879361230900383</v>
      </c>
      <c r="S324" s="331">
        <v>30.879361230900383</v>
      </c>
    </row>
    <row r="325" spans="5:19" x14ac:dyDescent="0.25">
      <c r="F325" s="196" t="s">
        <v>1046</v>
      </c>
      <c r="G325" s="196" t="s">
        <v>120</v>
      </c>
      <c r="H325" s="196" t="s">
        <v>581</v>
      </c>
      <c r="I325" s="66"/>
      <c r="J325" s="234">
        <f t="shared" si="26"/>
        <v>0.25597879022110009</v>
      </c>
      <c r="K325" s="235"/>
      <c r="L325" s="331"/>
      <c r="M325" s="331"/>
      <c r="N325" s="331"/>
      <c r="O325" s="331">
        <v>0.25597879022110009</v>
      </c>
      <c r="P325" s="331">
        <v>0.25597879022110009</v>
      </c>
      <c r="Q325" s="331">
        <v>0.25597879022110009</v>
      </c>
      <c r="R325" s="331">
        <v>0.25597879022110009</v>
      </c>
      <c r="S325" s="331">
        <v>0.25597879022110009</v>
      </c>
    </row>
    <row r="326" spans="5:19" x14ac:dyDescent="0.25">
      <c r="F326" s="196" t="s">
        <v>1047</v>
      </c>
      <c r="G326" s="196" t="s">
        <v>120</v>
      </c>
      <c r="H326" s="196" t="s">
        <v>581</v>
      </c>
      <c r="I326" s="66"/>
      <c r="J326" s="234">
        <f t="shared" si="26"/>
        <v>0</v>
      </c>
      <c r="K326" s="235"/>
      <c r="L326" s="331"/>
      <c r="M326" s="331"/>
      <c r="N326" s="331"/>
      <c r="O326" s="331">
        <v>0</v>
      </c>
      <c r="P326" s="331">
        <v>0</v>
      </c>
      <c r="Q326" s="331">
        <v>0</v>
      </c>
      <c r="R326" s="331">
        <v>0</v>
      </c>
      <c r="S326" s="331">
        <v>0</v>
      </c>
    </row>
    <row r="327" spans="5:19" x14ac:dyDescent="0.25">
      <c r="F327" s="196" t="s">
        <v>1048</v>
      </c>
      <c r="G327" s="196" t="s">
        <v>120</v>
      </c>
      <c r="H327" s="196" t="s">
        <v>581</v>
      </c>
      <c r="I327" s="66"/>
      <c r="J327" s="234">
        <f t="shared" si="26"/>
        <v>0</v>
      </c>
      <c r="K327" s="235"/>
      <c r="L327" s="331"/>
      <c r="M327" s="331"/>
      <c r="N327" s="331"/>
      <c r="O327" s="331">
        <v>0</v>
      </c>
      <c r="P327" s="331">
        <v>0</v>
      </c>
      <c r="Q327" s="331">
        <v>0</v>
      </c>
      <c r="R327" s="331">
        <v>0</v>
      </c>
      <c r="S327" s="331">
        <v>0</v>
      </c>
    </row>
    <row r="328" spans="5:19" x14ac:dyDescent="0.25">
      <c r="F328" s="196" t="s">
        <v>1049</v>
      </c>
      <c r="G328" s="196" t="s">
        <v>120</v>
      </c>
      <c r="H328" s="196" t="s">
        <v>581</v>
      </c>
      <c r="I328" s="66"/>
      <c r="J328" s="240"/>
      <c r="K328" s="235"/>
      <c r="L328" s="240"/>
      <c r="M328" s="240"/>
      <c r="N328" s="240"/>
      <c r="O328" s="240"/>
      <c r="P328" s="240"/>
      <c r="Q328" s="240"/>
      <c r="R328" s="240"/>
      <c r="S328" s="240"/>
    </row>
    <row r="329" spans="5:19" x14ac:dyDescent="0.25">
      <c r="F329" s="196" t="s">
        <v>1050</v>
      </c>
      <c r="G329" s="196" t="s">
        <v>120</v>
      </c>
      <c r="H329" s="196" t="s">
        <v>581</v>
      </c>
      <c r="I329" s="66"/>
      <c r="J329" s="234">
        <f t="shared" si="26"/>
        <v>0</v>
      </c>
      <c r="K329" s="235"/>
      <c r="L329" s="331"/>
      <c r="M329" s="331"/>
      <c r="N329" s="331"/>
      <c r="O329" s="331">
        <v>0</v>
      </c>
      <c r="P329" s="331">
        <v>0</v>
      </c>
      <c r="Q329" s="331">
        <v>0</v>
      </c>
      <c r="R329" s="331">
        <v>0</v>
      </c>
      <c r="S329" s="331">
        <v>0</v>
      </c>
    </row>
    <row r="330" spans="5:19" x14ac:dyDescent="0.25">
      <c r="F330" s="196" t="s">
        <v>1051</v>
      </c>
      <c r="G330" s="196" t="s">
        <v>120</v>
      </c>
      <c r="H330" s="196" t="s">
        <v>581</v>
      </c>
      <c r="I330" s="66"/>
      <c r="J330" s="240"/>
      <c r="K330" s="235"/>
      <c r="L330" s="240"/>
      <c r="M330" s="240"/>
      <c r="N330" s="240"/>
      <c r="O330" s="240"/>
      <c r="P330" s="240"/>
      <c r="Q330" s="240"/>
      <c r="R330" s="240"/>
      <c r="S330" s="240"/>
    </row>
    <row r="331" spans="5:19" x14ac:dyDescent="0.25">
      <c r="F331" s="196" t="s">
        <v>1052</v>
      </c>
      <c r="G331" s="196" t="s">
        <v>120</v>
      </c>
      <c r="H331" s="196" t="s">
        <v>581</v>
      </c>
      <c r="I331" s="66"/>
      <c r="J331" s="234">
        <f t="shared" si="26"/>
        <v>0</v>
      </c>
      <c r="K331" s="235"/>
      <c r="L331" s="331"/>
      <c r="M331" s="331"/>
      <c r="N331" s="331"/>
      <c r="O331" s="331">
        <v>0</v>
      </c>
      <c r="P331" s="331">
        <v>0</v>
      </c>
      <c r="Q331" s="331">
        <v>0</v>
      </c>
      <c r="R331" s="331">
        <v>0</v>
      </c>
      <c r="S331" s="331">
        <v>0</v>
      </c>
    </row>
    <row r="332" spans="5:19" x14ac:dyDescent="0.25">
      <c r="F332" s="93" t="s">
        <v>1053</v>
      </c>
      <c r="G332" s="93" t="s">
        <v>120</v>
      </c>
      <c r="H332" s="93" t="s">
        <v>581</v>
      </c>
      <c r="I332" s="145"/>
      <c r="J332" s="241"/>
      <c r="K332" s="237"/>
      <c r="L332" s="241"/>
      <c r="M332" s="241"/>
      <c r="N332" s="241"/>
      <c r="O332" s="241"/>
      <c r="P332" s="241"/>
      <c r="Q332" s="241"/>
      <c r="R332" s="241"/>
      <c r="S332" s="241"/>
    </row>
    <row r="333" spans="5:19" x14ac:dyDescent="0.25">
      <c r="J333" s="238"/>
      <c r="K333" s="238"/>
      <c r="L333" s="238"/>
      <c r="M333" s="238"/>
      <c r="N333" s="238"/>
      <c r="O333" s="238"/>
      <c r="P333" s="238"/>
      <c r="Q333" s="238"/>
      <c r="R333" s="238"/>
      <c r="S333" s="238"/>
    </row>
    <row r="334" spans="5:19" x14ac:dyDescent="0.25">
      <c r="E334" s="144" t="s">
        <v>257</v>
      </c>
      <c r="J334" s="238"/>
      <c r="K334" s="238"/>
      <c r="L334" s="238"/>
      <c r="M334" s="238"/>
      <c r="N334" s="238"/>
      <c r="O334" s="238"/>
      <c r="P334" s="238"/>
      <c r="Q334" s="238"/>
      <c r="R334" s="238"/>
      <c r="S334" s="238"/>
    </row>
    <row r="335" spans="5:19" x14ac:dyDescent="0.25">
      <c r="F335" s="91" t="s">
        <v>1038</v>
      </c>
      <c r="G335" s="91" t="s">
        <v>120</v>
      </c>
      <c r="H335" s="91" t="s">
        <v>581</v>
      </c>
      <c r="I335" s="112"/>
      <c r="J335" s="232">
        <f t="shared" ref="J335:J345" si="27">CHOOSE(year_selection, L335,M335,N335,O335,P335,Q335,R335,S335)</f>
        <v>71593.395504093525</v>
      </c>
      <c r="K335" s="233"/>
      <c r="L335" s="330"/>
      <c r="M335" s="330"/>
      <c r="N335" s="330"/>
      <c r="O335" s="330">
        <v>71593.395504093525</v>
      </c>
      <c r="P335" s="330">
        <v>71593.395504093525</v>
      </c>
      <c r="Q335" s="330">
        <v>71593.395504093525</v>
      </c>
      <c r="R335" s="330">
        <v>71593.395504093525</v>
      </c>
      <c r="S335" s="330">
        <v>71593.395504093525</v>
      </c>
    </row>
    <row r="336" spans="5:19" x14ac:dyDescent="0.25">
      <c r="F336" s="196" t="s">
        <v>1039</v>
      </c>
      <c r="G336" s="196" t="s">
        <v>120</v>
      </c>
      <c r="H336" s="196" t="s">
        <v>581</v>
      </c>
      <c r="I336" s="66"/>
      <c r="J336" s="234">
        <f t="shared" si="27"/>
        <v>37.263746671521595</v>
      </c>
      <c r="K336" s="235"/>
      <c r="L336" s="331"/>
      <c r="M336" s="331"/>
      <c r="N336" s="331"/>
      <c r="O336" s="331">
        <v>37.263746671521595</v>
      </c>
      <c r="P336" s="331">
        <v>37.263746671521595</v>
      </c>
      <c r="Q336" s="331">
        <v>37.263746671521595</v>
      </c>
      <c r="R336" s="331">
        <v>37.263746671521595</v>
      </c>
      <c r="S336" s="331">
        <v>37.263746671521595</v>
      </c>
    </row>
    <row r="337" spans="5:19" x14ac:dyDescent="0.25">
      <c r="F337" s="196" t="s">
        <v>1040</v>
      </c>
      <c r="G337" s="196" t="s">
        <v>120</v>
      </c>
      <c r="H337" s="196" t="s">
        <v>581</v>
      </c>
      <c r="I337" s="66"/>
      <c r="J337" s="234">
        <f t="shared" si="27"/>
        <v>11268.104540991542</v>
      </c>
      <c r="K337" s="235"/>
      <c r="L337" s="331"/>
      <c r="M337" s="331"/>
      <c r="N337" s="331"/>
      <c r="O337" s="331">
        <v>11268.104540991542</v>
      </c>
      <c r="P337" s="331">
        <v>11268.104540991542</v>
      </c>
      <c r="Q337" s="331">
        <v>11268.104540991542</v>
      </c>
      <c r="R337" s="331">
        <v>11268.104540991542</v>
      </c>
      <c r="S337" s="331">
        <v>11268.104540991542</v>
      </c>
    </row>
    <row r="338" spans="5:19" x14ac:dyDescent="0.25">
      <c r="F338" s="196" t="s">
        <v>1041</v>
      </c>
      <c r="G338" s="196" t="s">
        <v>120</v>
      </c>
      <c r="H338" s="196" t="s">
        <v>581</v>
      </c>
      <c r="I338" s="66"/>
      <c r="J338" s="234">
        <f t="shared" si="27"/>
        <v>0</v>
      </c>
      <c r="K338" s="235"/>
      <c r="L338" s="331"/>
      <c r="M338" s="331"/>
      <c r="N338" s="331"/>
      <c r="O338" s="331">
        <v>0</v>
      </c>
      <c r="P338" s="331">
        <v>0</v>
      </c>
      <c r="Q338" s="331">
        <v>0</v>
      </c>
      <c r="R338" s="331">
        <v>0</v>
      </c>
      <c r="S338" s="331">
        <v>0</v>
      </c>
    </row>
    <row r="339" spans="5:19" x14ac:dyDescent="0.25">
      <c r="F339" s="196" t="s">
        <v>1042</v>
      </c>
      <c r="G339" s="196" t="s">
        <v>120</v>
      </c>
      <c r="H339" s="196" t="s">
        <v>581</v>
      </c>
      <c r="I339" s="66"/>
      <c r="J339" s="234">
        <f t="shared" si="27"/>
        <v>59210.165999999997</v>
      </c>
      <c r="K339" s="235"/>
      <c r="L339" s="331"/>
      <c r="M339" s="331"/>
      <c r="N339" s="331"/>
      <c r="O339" s="331">
        <v>59210.165999999997</v>
      </c>
      <c r="P339" s="331">
        <v>59210.165999999997</v>
      </c>
      <c r="Q339" s="331">
        <v>59210.165999999997</v>
      </c>
      <c r="R339" s="331">
        <v>59210.165999999997</v>
      </c>
      <c r="S339" s="331">
        <v>59210.165999999997</v>
      </c>
    </row>
    <row r="340" spans="5:19" x14ac:dyDescent="0.25">
      <c r="F340" s="196" t="s">
        <v>1043</v>
      </c>
      <c r="G340" s="196" t="s">
        <v>120</v>
      </c>
      <c r="H340" s="196" t="s">
        <v>581</v>
      </c>
      <c r="I340" s="66"/>
      <c r="J340" s="234">
        <f t="shared" si="27"/>
        <v>9690.4299999999985</v>
      </c>
      <c r="K340" s="235"/>
      <c r="L340" s="331"/>
      <c r="M340" s="331"/>
      <c r="N340" s="331"/>
      <c r="O340" s="331">
        <v>9690.4299999999985</v>
      </c>
      <c r="P340" s="331">
        <v>9690.4299999999985</v>
      </c>
      <c r="Q340" s="331">
        <v>9690.4299999999985</v>
      </c>
      <c r="R340" s="331">
        <v>9690.4299999999985</v>
      </c>
      <c r="S340" s="331">
        <v>9690.4299999999985</v>
      </c>
    </row>
    <row r="341" spans="5:19" x14ac:dyDescent="0.25">
      <c r="F341" s="196" t="s">
        <v>1044</v>
      </c>
      <c r="G341" s="196" t="s">
        <v>120</v>
      </c>
      <c r="H341" s="196" t="s">
        <v>581</v>
      </c>
      <c r="I341" s="66"/>
      <c r="J341" s="234">
        <f t="shared" si="27"/>
        <v>23108.695</v>
      </c>
      <c r="K341" s="235"/>
      <c r="L341" s="331"/>
      <c r="M341" s="331"/>
      <c r="N341" s="331"/>
      <c r="O341" s="331">
        <v>23108.695</v>
      </c>
      <c r="P341" s="331">
        <v>23108.695</v>
      </c>
      <c r="Q341" s="331">
        <v>23108.695</v>
      </c>
      <c r="R341" s="331">
        <v>23108.695</v>
      </c>
      <c r="S341" s="331">
        <v>23108.695</v>
      </c>
    </row>
    <row r="342" spans="5:19" x14ac:dyDescent="0.25">
      <c r="F342" s="196" t="s">
        <v>1045</v>
      </c>
      <c r="G342" s="196" t="s">
        <v>120</v>
      </c>
      <c r="H342" s="196" t="s">
        <v>581</v>
      </c>
      <c r="I342" s="66"/>
      <c r="J342" s="234">
        <f t="shared" si="27"/>
        <v>425.49872061278865</v>
      </c>
      <c r="K342" s="235"/>
      <c r="L342" s="331"/>
      <c r="M342" s="331"/>
      <c r="N342" s="331"/>
      <c r="O342" s="331">
        <v>425.49872061278865</v>
      </c>
      <c r="P342" s="331">
        <v>425.49872061278865</v>
      </c>
      <c r="Q342" s="331">
        <v>425.49872061278865</v>
      </c>
      <c r="R342" s="331">
        <v>425.49872061278865</v>
      </c>
      <c r="S342" s="331">
        <v>425.49872061278865</v>
      </c>
    </row>
    <row r="343" spans="5:19" x14ac:dyDescent="0.25">
      <c r="F343" s="196" t="s">
        <v>1046</v>
      </c>
      <c r="G343" s="196" t="s">
        <v>120</v>
      </c>
      <c r="H343" s="196" t="s">
        <v>581</v>
      </c>
      <c r="I343" s="66"/>
      <c r="J343" s="234">
        <f t="shared" si="27"/>
        <v>0.94265200118290493</v>
      </c>
      <c r="K343" s="235"/>
      <c r="L343" s="331"/>
      <c r="M343" s="331"/>
      <c r="N343" s="331"/>
      <c r="O343" s="331">
        <v>0.94265200118290493</v>
      </c>
      <c r="P343" s="331">
        <v>0.94265200118290493</v>
      </c>
      <c r="Q343" s="331">
        <v>0.94265200118290493</v>
      </c>
      <c r="R343" s="331">
        <v>0.94265200118290493</v>
      </c>
      <c r="S343" s="331">
        <v>0.94265200118290493</v>
      </c>
    </row>
    <row r="344" spans="5:19" x14ac:dyDescent="0.25">
      <c r="F344" s="196" t="s">
        <v>1047</v>
      </c>
      <c r="G344" s="196" t="s">
        <v>120</v>
      </c>
      <c r="H344" s="196" t="s">
        <v>581</v>
      </c>
      <c r="I344" s="66"/>
      <c r="J344" s="234">
        <f t="shared" si="27"/>
        <v>0</v>
      </c>
      <c r="K344" s="235"/>
      <c r="L344" s="331"/>
      <c r="M344" s="331"/>
      <c r="N344" s="331"/>
      <c r="O344" s="331">
        <v>0</v>
      </c>
      <c r="P344" s="331">
        <v>0</v>
      </c>
      <c r="Q344" s="331">
        <v>0</v>
      </c>
      <c r="R344" s="331">
        <v>0</v>
      </c>
      <c r="S344" s="331">
        <v>0</v>
      </c>
    </row>
    <row r="345" spans="5:19" x14ac:dyDescent="0.25">
      <c r="F345" s="196" t="s">
        <v>1048</v>
      </c>
      <c r="G345" s="196" t="s">
        <v>120</v>
      </c>
      <c r="H345" s="196" t="s">
        <v>581</v>
      </c>
      <c r="I345" s="66"/>
      <c r="J345" s="234">
        <f t="shared" si="27"/>
        <v>0</v>
      </c>
      <c r="K345" s="235"/>
      <c r="L345" s="331"/>
      <c r="M345" s="331"/>
      <c r="N345" s="331"/>
      <c r="O345" s="331">
        <v>0</v>
      </c>
      <c r="P345" s="331">
        <v>0</v>
      </c>
      <c r="Q345" s="331">
        <v>0</v>
      </c>
      <c r="R345" s="331">
        <v>0</v>
      </c>
      <c r="S345" s="331">
        <v>0</v>
      </c>
    </row>
    <row r="346" spans="5:19" x14ac:dyDescent="0.25">
      <c r="F346" s="196" t="s">
        <v>1049</v>
      </c>
      <c r="G346" s="196" t="s">
        <v>120</v>
      </c>
      <c r="H346" s="196" t="s">
        <v>581</v>
      </c>
      <c r="I346" s="66"/>
      <c r="J346" s="240"/>
      <c r="K346" s="235"/>
      <c r="L346" s="240"/>
      <c r="M346" s="240"/>
      <c r="N346" s="240"/>
      <c r="O346" s="240"/>
      <c r="P346" s="240"/>
      <c r="Q346" s="240"/>
      <c r="R346" s="240"/>
      <c r="S346" s="240"/>
    </row>
    <row r="347" spans="5:19" x14ac:dyDescent="0.25">
      <c r="F347" s="196" t="s">
        <v>1050</v>
      </c>
      <c r="G347" s="196" t="s">
        <v>120</v>
      </c>
      <c r="H347" s="196" t="s">
        <v>581</v>
      </c>
      <c r="I347" s="66"/>
      <c r="J347" s="234">
        <f t="shared" ref="J347" si="28">CHOOSE(year_selection, L347,M347,N347,O347,P347,Q347,R347,S347)</f>
        <v>0</v>
      </c>
      <c r="K347" s="235"/>
      <c r="L347" s="331"/>
      <c r="M347" s="331"/>
      <c r="N347" s="331"/>
      <c r="O347" s="331">
        <v>0</v>
      </c>
      <c r="P347" s="331">
        <v>0</v>
      </c>
      <c r="Q347" s="331">
        <v>0</v>
      </c>
      <c r="R347" s="331">
        <v>0</v>
      </c>
      <c r="S347" s="331">
        <v>0</v>
      </c>
    </row>
    <row r="348" spans="5:19" x14ac:dyDescent="0.25">
      <c r="F348" s="196" t="s">
        <v>1051</v>
      </c>
      <c r="G348" s="196" t="s">
        <v>120</v>
      </c>
      <c r="H348" s="196" t="s">
        <v>581</v>
      </c>
      <c r="I348" s="66"/>
      <c r="J348" s="240"/>
      <c r="K348" s="235"/>
      <c r="L348" s="240"/>
      <c r="M348" s="240"/>
      <c r="N348" s="240"/>
      <c r="O348" s="240"/>
      <c r="P348" s="240"/>
      <c r="Q348" s="240"/>
      <c r="R348" s="240"/>
      <c r="S348" s="240"/>
    </row>
    <row r="349" spans="5:19" x14ac:dyDescent="0.25">
      <c r="F349" s="196" t="s">
        <v>1052</v>
      </c>
      <c r="G349" s="196" t="s">
        <v>120</v>
      </c>
      <c r="H349" s="196" t="s">
        <v>581</v>
      </c>
      <c r="I349" s="66"/>
      <c r="J349" s="234">
        <f t="shared" ref="J349" si="29">CHOOSE(year_selection, L349,M349,N349,O349,P349,Q349,R349,S349)</f>
        <v>0</v>
      </c>
      <c r="K349" s="235"/>
      <c r="L349" s="331"/>
      <c r="M349" s="331"/>
      <c r="N349" s="331"/>
      <c r="O349" s="331">
        <v>0</v>
      </c>
      <c r="P349" s="331">
        <v>0</v>
      </c>
      <c r="Q349" s="331">
        <v>0</v>
      </c>
      <c r="R349" s="331">
        <v>0</v>
      </c>
      <c r="S349" s="331">
        <v>0</v>
      </c>
    </row>
    <row r="350" spans="5:19" x14ac:dyDescent="0.25">
      <c r="F350" s="93" t="s">
        <v>1053</v>
      </c>
      <c r="G350" s="93" t="s">
        <v>120</v>
      </c>
      <c r="H350" s="93" t="s">
        <v>581</v>
      </c>
      <c r="I350" s="145"/>
      <c r="J350" s="241"/>
      <c r="K350" s="237"/>
      <c r="L350" s="241"/>
      <c r="M350" s="241"/>
      <c r="N350" s="241"/>
      <c r="O350" s="241"/>
      <c r="P350" s="241"/>
      <c r="Q350" s="241"/>
      <c r="R350" s="241"/>
      <c r="S350" s="241"/>
    </row>
    <row r="351" spans="5:19" x14ac:dyDescent="0.25">
      <c r="J351" s="238"/>
      <c r="K351" s="238"/>
      <c r="L351" s="238"/>
      <c r="M351" s="238"/>
      <c r="N351" s="238"/>
      <c r="O351" s="238"/>
      <c r="P351" s="238"/>
      <c r="Q351" s="238"/>
      <c r="R351" s="238"/>
      <c r="S351" s="238"/>
    </row>
    <row r="352" spans="5:19" x14ac:dyDescent="0.25">
      <c r="E352" s="144" t="s">
        <v>258</v>
      </c>
      <c r="J352" s="238"/>
      <c r="K352" s="238"/>
      <c r="L352" s="238"/>
      <c r="M352" s="238"/>
      <c r="N352" s="238"/>
      <c r="O352" s="238"/>
      <c r="P352" s="238"/>
      <c r="Q352" s="238"/>
      <c r="R352" s="238"/>
      <c r="S352" s="238"/>
    </row>
    <row r="353" spans="6:19" x14ac:dyDescent="0.25">
      <c r="F353" s="91" t="s">
        <v>1038</v>
      </c>
      <c r="G353" s="91" t="s">
        <v>120</v>
      </c>
      <c r="H353" s="91" t="s">
        <v>581</v>
      </c>
      <c r="I353" s="112"/>
      <c r="J353" s="232">
        <f t="shared" ref="J353:J363" si="30">CHOOSE(year_selection, L353,M353,N353,O353,P353,Q353,R353,S353)</f>
        <v>65951.865798979896</v>
      </c>
      <c r="K353" s="233"/>
      <c r="L353" s="330"/>
      <c r="M353" s="330"/>
      <c r="N353" s="330"/>
      <c r="O353" s="330">
        <v>65951.865798979896</v>
      </c>
      <c r="P353" s="330">
        <v>65951.865798979896</v>
      </c>
      <c r="Q353" s="330">
        <v>65951.865798979896</v>
      </c>
      <c r="R353" s="330">
        <v>65951.865798979896</v>
      </c>
      <c r="S353" s="330">
        <v>65951.865798979896</v>
      </c>
    </row>
    <row r="354" spans="6:19" x14ac:dyDescent="0.25">
      <c r="F354" s="196" t="s">
        <v>1039</v>
      </c>
      <c r="G354" s="196" t="s">
        <v>120</v>
      </c>
      <c r="H354" s="196" t="s">
        <v>581</v>
      </c>
      <c r="I354" s="66"/>
      <c r="J354" s="234">
        <f t="shared" si="30"/>
        <v>378.23816358036527</v>
      </c>
      <c r="K354" s="235"/>
      <c r="L354" s="331"/>
      <c r="M354" s="331"/>
      <c r="N354" s="331"/>
      <c r="O354" s="331">
        <v>378.23816358036527</v>
      </c>
      <c r="P354" s="331">
        <v>378.23816358036527</v>
      </c>
      <c r="Q354" s="331">
        <v>378.23816358036527</v>
      </c>
      <c r="R354" s="331">
        <v>378.23816358036527</v>
      </c>
      <c r="S354" s="331">
        <v>378.23816358036527</v>
      </c>
    </row>
    <row r="355" spans="6:19" x14ac:dyDescent="0.25">
      <c r="F355" s="196" t="s">
        <v>1040</v>
      </c>
      <c r="G355" s="196" t="s">
        <v>120</v>
      </c>
      <c r="H355" s="196" t="s">
        <v>581</v>
      </c>
      <c r="I355" s="66"/>
      <c r="J355" s="234">
        <f t="shared" si="30"/>
        <v>10881.052049529049</v>
      </c>
      <c r="K355" s="235"/>
      <c r="L355" s="331"/>
      <c r="M355" s="331"/>
      <c r="N355" s="331"/>
      <c r="O355" s="331">
        <v>10881.052049529049</v>
      </c>
      <c r="P355" s="331">
        <v>10881.052049529049</v>
      </c>
      <c r="Q355" s="331">
        <v>10881.052049529049</v>
      </c>
      <c r="R355" s="331">
        <v>10881.052049529049</v>
      </c>
      <c r="S355" s="331">
        <v>10881.052049529049</v>
      </c>
    </row>
    <row r="356" spans="6:19" x14ac:dyDescent="0.25">
      <c r="F356" s="196" t="s">
        <v>1041</v>
      </c>
      <c r="G356" s="196" t="s">
        <v>120</v>
      </c>
      <c r="H356" s="196" t="s">
        <v>581</v>
      </c>
      <c r="I356" s="66"/>
      <c r="J356" s="234">
        <f t="shared" si="30"/>
        <v>0</v>
      </c>
      <c r="K356" s="235"/>
      <c r="L356" s="331"/>
      <c r="M356" s="331"/>
      <c r="N356" s="331"/>
      <c r="O356" s="331">
        <v>0</v>
      </c>
      <c r="P356" s="331">
        <v>0</v>
      </c>
      <c r="Q356" s="331">
        <v>0</v>
      </c>
      <c r="R356" s="331">
        <v>0</v>
      </c>
      <c r="S356" s="331">
        <v>0</v>
      </c>
    </row>
    <row r="357" spans="6:19" x14ac:dyDescent="0.25">
      <c r="F357" s="196" t="s">
        <v>1042</v>
      </c>
      <c r="G357" s="196" t="s">
        <v>120</v>
      </c>
      <c r="H357" s="196" t="s">
        <v>581</v>
      </c>
      <c r="I357" s="66"/>
      <c r="J357" s="234">
        <f t="shared" si="30"/>
        <v>50706.112000000001</v>
      </c>
      <c r="K357" s="235"/>
      <c r="L357" s="331"/>
      <c r="M357" s="331"/>
      <c r="N357" s="331"/>
      <c r="O357" s="331">
        <v>50706.112000000001</v>
      </c>
      <c r="P357" s="331">
        <v>50706.112000000001</v>
      </c>
      <c r="Q357" s="331">
        <v>50706.112000000001</v>
      </c>
      <c r="R357" s="331">
        <v>50706.112000000001</v>
      </c>
      <c r="S357" s="331">
        <v>50706.112000000001</v>
      </c>
    </row>
    <row r="358" spans="6:19" x14ac:dyDescent="0.25">
      <c r="F358" s="196" t="s">
        <v>1043</v>
      </c>
      <c r="G358" s="196" t="s">
        <v>120</v>
      </c>
      <c r="H358" s="196" t="s">
        <v>581</v>
      </c>
      <c r="I358" s="66"/>
      <c r="J358" s="234">
        <f t="shared" si="30"/>
        <v>8312.2019999999993</v>
      </c>
      <c r="K358" s="235"/>
      <c r="L358" s="331"/>
      <c r="M358" s="331"/>
      <c r="N358" s="331"/>
      <c r="O358" s="331">
        <v>8312.2019999999993</v>
      </c>
      <c r="P358" s="331">
        <v>8312.2019999999993</v>
      </c>
      <c r="Q358" s="331">
        <v>8312.2019999999993</v>
      </c>
      <c r="R358" s="331">
        <v>8312.2019999999993</v>
      </c>
      <c r="S358" s="331">
        <v>8312.2019999999993</v>
      </c>
    </row>
    <row r="359" spans="6:19" x14ac:dyDescent="0.25">
      <c r="F359" s="196" t="s">
        <v>1044</v>
      </c>
      <c r="G359" s="196" t="s">
        <v>120</v>
      </c>
      <c r="H359" s="196" t="s">
        <v>581</v>
      </c>
      <c r="I359" s="66"/>
      <c r="J359" s="234">
        <f t="shared" si="30"/>
        <v>25303.565000000002</v>
      </c>
      <c r="K359" s="235"/>
      <c r="L359" s="331"/>
      <c r="M359" s="331"/>
      <c r="N359" s="331"/>
      <c r="O359" s="331">
        <v>25303.565000000002</v>
      </c>
      <c r="P359" s="331">
        <v>25303.565000000002</v>
      </c>
      <c r="Q359" s="331">
        <v>25303.565000000002</v>
      </c>
      <c r="R359" s="331">
        <v>25303.565000000002</v>
      </c>
      <c r="S359" s="331">
        <v>25303.565000000002</v>
      </c>
    </row>
    <row r="360" spans="6:19" x14ac:dyDescent="0.25">
      <c r="F360" s="196" t="s">
        <v>1045</v>
      </c>
      <c r="G360" s="196" t="s">
        <v>120</v>
      </c>
      <c r="H360" s="196" t="s">
        <v>581</v>
      </c>
      <c r="I360" s="66"/>
      <c r="J360" s="234">
        <f t="shared" si="30"/>
        <v>470.53235815631092</v>
      </c>
      <c r="K360" s="235"/>
      <c r="L360" s="331"/>
      <c r="M360" s="331"/>
      <c r="N360" s="331"/>
      <c r="O360" s="331">
        <v>470.53235815631092</v>
      </c>
      <c r="P360" s="331">
        <v>470.53235815631092</v>
      </c>
      <c r="Q360" s="331">
        <v>470.53235815631092</v>
      </c>
      <c r="R360" s="331">
        <v>470.53235815631092</v>
      </c>
      <c r="S360" s="331">
        <v>470.53235815631092</v>
      </c>
    </row>
    <row r="361" spans="6:19" x14ac:dyDescent="0.25">
      <c r="F361" s="196" t="s">
        <v>1046</v>
      </c>
      <c r="G361" s="196" t="s">
        <v>120</v>
      </c>
      <c r="H361" s="196" t="s">
        <v>581</v>
      </c>
      <c r="I361" s="66"/>
      <c r="J361" s="234">
        <f t="shared" si="30"/>
        <v>0.86715492288170914</v>
      </c>
      <c r="K361" s="235"/>
      <c r="L361" s="331"/>
      <c r="M361" s="331"/>
      <c r="N361" s="331"/>
      <c r="O361" s="331">
        <v>0.86715492288170914</v>
      </c>
      <c r="P361" s="331">
        <v>0.86715492288170914</v>
      </c>
      <c r="Q361" s="331">
        <v>0.86715492288170914</v>
      </c>
      <c r="R361" s="331">
        <v>0.86715492288170914</v>
      </c>
      <c r="S361" s="331">
        <v>0.86715492288170914</v>
      </c>
    </row>
    <row r="362" spans="6:19" x14ac:dyDescent="0.25">
      <c r="F362" s="196" t="s">
        <v>1047</v>
      </c>
      <c r="G362" s="196" t="s">
        <v>120</v>
      </c>
      <c r="H362" s="196" t="s">
        <v>581</v>
      </c>
      <c r="I362" s="66"/>
      <c r="J362" s="234">
        <f t="shared" si="30"/>
        <v>0</v>
      </c>
      <c r="K362" s="235"/>
      <c r="L362" s="331"/>
      <c r="M362" s="331"/>
      <c r="N362" s="331"/>
      <c r="O362" s="331">
        <v>0</v>
      </c>
      <c r="P362" s="331">
        <v>0</v>
      </c>
      <c r="Q362" s="331">
        <v>0</v>
      </c>
      <c r="R362" s="331">
        <v>0</v>
      </c>
      <c r="S362" s="331">
        <v>0</v>
      </c>
    </row>
    <row r="363" spans="6:19" x14ac:dyDescent="0.25">
      <c r="F363" s="196" t="s">
        <v>1048</v>
      </c>
      <c r="G363" s="196" t="s">
        <v>120</v>
      </c>
      <c r="H363" s="196" t="s">
        <v>581</v>
      </c>
      <c r="I363" s="66"/>
      <c r="J363" s="234">
        <f t="shared" si="30"/>
        <v>0</v>
      </c>
      <c r="K363" s="235"/>
      <c r="L363" s="331"/>
      <c r="M363" s="331"/>
      <c r="N363" s="331"/>
      <c r="O363" s="331">
        <v>0</v>
      </c>
      <c r="P363" s="331">
        <v>0</v>
      </c>
      <c r="Q363" s="331">
        <v>0</v>
      </c>
      <c r="R363" s="331">
        <v>0</v>
      </c>
      <c r="S363" s="331">
        <v>0</v>
      </c>
    </row>
    <row r="364" spans="6:19" x14ac:dyDescent="0.25">
      <c r="F364" s="196" t="s">
        <v>1049</v>
      </c>
      <c r="G364" s="196" t="s">
        <v>120</v>
      </c>
      <c r="H364" s="196" t="s">
        <v>581</v>
      </c>
      <c r="I364" s="66"/>
      <c r="J364" s="240"/>
      <c r="K364" s="235"/>
      <c r="L364" s="240"/>
      <c r="M364" s="240"/>
      <c r="N364" s="240"/>
      <c r="O364" s="240"/>
      <c r="P364" s="240"/>
      <c r="Q364" s="240"/>
      <c r="R364" s="240"/>
      <c r="S364" s="240"/>
    </row>
    <row r="365" spans="6:19" x14ac:dyDescent="0.25">
      <c r="F365" s="196" t="s">
        <v>1050</v>
      </c>
      <c r="G365" s="196" t="s">
        <v>120</v>
      </c>
      <c r="H365" s="196" t="s">
        <v>581</v>
      </c>
      <c r="I365" s="66"/>
      <c r="J365" s="234">
        <f t="shared" ref="J365" si="31">CHOOSE(year_selection, L365,M365,N365,O365,P365,Q365,R365,S365)</f>
        <v>0</v>
      </c>
      <c r="K365" s="235"/>
      <c r="L365" s="331"/>
      <c r="M365" s="331"/>
      <c r="N365" s="331"/>
      <c r="O365" s="331">
        <v>0</v>
      </c>
      <c r="P365" s="331">
        <v>0</v>
      </c>
      <c r="Q365" s="331">
        <v>0</v>
      </c>
      <c r="R365" s="331">
        <v>0</v>
      </c>
      <c r="S365" s="331">
        <v>0</v>
      </c>
    </row>
    <row r="366" spans="6:19" x14ac:dyDescent="0.25">
      <c r="F366" s="196" t="s">
        <v>1051</v>
      </c>
      <c r="G366" s="196" t="s">
        <v>120</v>
      </c>
      <c r="H366" s="196" t="s">
        <v>581</v>
      </c>
      <c r="I366" s="66"/>
      <c r="J366" s="240"/>
      <c r="K366" s="235"/>
      <c r="L366" s="240"/>
      <c r="M366" s="240"/>
      <c r="N366" s="240"/>
      <c r="O366" s="240"/>
      <c r="P366" s="240"/>
      <c r="Q366" s="240"/>
      <c r="R366" s="240"/>
      <c r="S366" s="240"/>
    </row>
    <row r="367" spans="6:19" x14ac:dyDescent="0.25">
      <c r="F367" s="196" t="s">
        <v>1052</v>
      </c>
      <c r="G367" s="196" t="s">
        <v>120</v>
      </c>
      <c r="H367" s="196" t="s">
        <v>581</v>
      </c>
      <c r="I367" s="66"/>
      <c r="J367" s="234">
        <f t="shared" ref="J367" si="32">CHOOSE(year_selection, L367,M367,N367,O367,P367,Q367,R367,S367)</f>
        <v>0</v>
      </c>
      <c r="K367" s="235"/>
      <c r="L367" s="331"/>
      <c r="M367" s="331"/>
      <c r="N367" s="331"/>
      <c r="O367" s="331">
        <v>0</v>
      </c>
      <c r="P367" s="331">
        <v>0</v>
      </c>
      <c r="Q367" s="331">
        <v>0</v>
      </c>
      <c r="R367" s="331">
        <v>0</v>
      </c>
      <c r="S367" s="331">
        <v>0</v>
      </c>
    </row>
    <row r="368" spans="6:19" x14ac:dyDescent="0.25">
      <c r="F368" s="93" t="s">
        <v>1053</v>
      </c>
      <c r="G368" s="93" t="s">
        <v>120</v>
      </c>
      <c r="H368" s="93" t="s">
        <v>581</v>
      </c>
      <c r="I368" s="145"/>
      <c r="J368" s="241"/>
      <c r="K368" s="237"/>
      <c r="L368" s="241"/>
      <c r="M368" s="241"/>
      <c r="N368" s="241"/>
      <c r="O368" s="241"/>
      <c r="P368" s="241"/>
      <c r="Q368" s="241"/>
      <c r="R368" s="241"/>
      <c r="S368" s="241"/>
    </row>
    <row r="369" spans="5:19" x14ac:dyDescent="0.25">
      <c r="J369" s="238"/>
      <c r="K369" s="238"/>
      <c r="L369" s="238"/>
      <c r="M369" s="238"/>
      <c r="N369" s="238"/>
      <c r="O369" s="238"/>
      <c r="P369" s="238"/>
      <c r="Q369" s="238"/>
      <c r="R369" s="238"/>
      <c r="S369" s="238"/>
    </row>
    <row r="370" spans="5:19" x14ac:dyDescent="0.25">
      <c r="E370" s="144" t="s">
        <v>74</v>
      </c>
      <c r="J370" s="238"/>
      <c r="K370" s="238"/>
      <c r="L370" s="238"/>
      <c r="M370" s="238"/>
      <c r="N370" s="238"/>
      <c r="O370" s="238"/>
      <c r="P370" s="238"/>
      <c r="Q370" s="238"/>
      <c r="R370" s="238"/>
      <c r="S370" s="238"/>
    </row>
    <row r="371" spans="5:19" x14ac:dyDescent="0.25">
      <c r="F371" s="91" t="s">
        <v>1038</v>
      </c>
      <c r="G371" s="91" t="s">
        <v>74</v>
      </c>
      <c r="H371" s="91" t="s">
        <v>581</v>
      </c>
      <c r="I371" s="112"/>
      <c r="J371" s="232">
        <f t="shared" ref="J371:J381" si="33">CHOOSE(year_selection, L371,M371,N371,O371,P371,Q371,R371,S371)</f>
        <v>58740.548387096773</v>
      </c>
      <c r="K371" s="233"/>
      <c r="L371" s="330"/>
      <c r="M371" s="330"/>
      <c r="N371" s="330"/>
      <c r="O371" s="330">
        <v>58740.548387096773</v>
      </c>
      <c r="P371" s="330">
        <v>58740.548387096773</v>
      </c>
      <c r="Q371" s="330">
        <v>58740.548387096773</v>
      </c>
      <c r="R371" s="330">
        <v>58740.548387096773</v>
      </c>
      <c r="S371" s="330">
        <v>58740.548387096773</v>
      </c>
    </row>
    <row r="372" spans="5:19" x14ac:dyDescent="0.25">
      <c r="F372" s="196" t="s">
        <v>1039</v>
      </c>
      <c r="G372" s="196" t="s">
        <v>74</v>
      </c>
      <c r="H372" s="196" t="s">
        <v>581</v>
      </c>
      <c r="I372" s="66"/>
      <c r="J372" s="234">
        <f t="shared" si="33"/>
        <v>78.451612903225808</v>
      </c>
      <c r="K372" s="235"/>
      <c r="L372" s="331"/>
      <c r="M372" s="331"/>
      <c r="N372" s="331"/>
      <c r="O372" s="331">
        <v>78.451612903225808</v>
      </c>
      <c r="P372" s="331">
        <v>78.451612903225808</v>
      </c>
      <c r="Q372" s="331">
        <v>78.451612903225808</v>
      </c>
      <c r="R372" s="331">
        <v>78.451612903225808</v>
      </c>
      <c r="S372" s="331">
        <v>78.451612903225808</v>
      </c>
    </row>
    <row r="373" spans="5:19" x14ac:dyDescent="0.25">
      <c r="F373" s="196" t="s">
        <v>1040</v>
      </c>
      <c r="G373" s="196" t="s">
        <v>74</v>
      </c>
      <c r="H373" s="196" t="s">
        <v>581</v>
      </c>
      <c r="I373" s="66"/>
      <c r="J373" s="234">
        <f t="shared" si="33"/>
        <v>1509.8709677419354</v>
      </c>
      <c r="K373" s="235"/>
      <c r="L373" s="331"/>
      <c r="M373" s="331"/>
      <c r="N373" s="331"/>
      <c r="O373" s="331">
        <v>1509.8709677419354</v>
      </c>
      <c r="P373" s="331">
        <v>1509.8709677419354</v>
      </c>
      <c r="Q373" s="331">
        <v>1509.8709677419354</v>
      </c>
      <c r="R373" s="331">
        <v>1509.8709677419354</v>
      </c>
      <c r="S373" s="331">
        <v>1509.8709677419354</v>
      </c>
    </row>
    <row r="374" spans="5:19" x14ac:dyDescent="0.25">
      <c r="F374" s="196" t="s">
        <v>1041</v>
      </c>
      <c r="G374" s="196" t="s">
        <v>74</v>
      </c>
      <c r="H374" s="196" t="s">
        <v>581</v>
      </c>
      <c r="I374" s="66"/>
      <c r="J374" s="234">
        <f t="shared" si="33"/>
        <v>0</v>
      </c>
      <c r="K374" s="235"/>
      <c r="L374" s="331"/>
      <c r="M374" s="331"/>
      <c r="N374" s="331"/>
      <c r="O374" s="331">
        <v>0</v>
      </c>
      <c r="P374" s="331">
        <v>0</v>
      </c>
      <c r="Q374" s="331">
        <v>0</v>
      </c>
      <c r="R374" s="331">
        <v>0</v>
      </c>
      <c r="S374" s="331">
        <v>0</v>
      </c>
    </row>
    <row r="375" spans="5:19" x14ac:dyDescent="0.25">
      <c r="F375" s="196" t="s">
        <v>1042</v>
      </c>
      <c r="G375" s="196" t="s">
        <v>74</v>
      </c>
      <c r="H375" s="196" t="s">
        <v>581</v>
      </c>
      <c r="I375" s="66"/>
      <c r="J375" s="234">
        <f t="shared" si="33"/>
        <v>381</v>
      </c>
      <c r="K375" s="235"/>
      <c r="L375" s="331"/>
      <c r="M375" s="331"/>
      <c r="N375" s="331"/>
      <c r="O375" s="331">
        <v>381</v>
      </c>
      <c r="P375" s="331">
        <v>381</v>
      </c>
      <c r="Q375" s="331">
        <v>381</v>
      </c>
      <c r="R375" s="331">
        <v>381</v>
      </c>
      <c r="S375" s="331">
        <v>381</v>
      </c>
    </row>
    <row r="376" spans="5:19" x14ac:dyDescent="0.25">
      <c r="F376" s="196" t="s">
        <v>1043</v>
      </c>
      <c r="G376" s="196" t="s">
        <v>74</v>
      </c>
      <c r="H376" s="196" t="s">
        <v>581</v>
      </c>
      <c r="I376" s="66"/>
      <c r="J376" s="234">
        <f t="shared" si="33"/>
        <v>26</v>
      </c>
      <c r="K376" s="235"/>
      <c r="L376" s="331"/>
      <c r="M376" s="331"/>
      <c r="N376" s="331"/>
      <c r="O376" s="331">
        <v>26</v>
      </c>
      <c r="P376" s="331">
        <v>26</v>
      </c>
      <c r="Q376" s="331">
        <v>26</v>
      </c>
      <c r="R376" s="331">
        <v>26</v>
      </c>
      <c r="S376" s="331">
        <v>26</v>
      </c>
    </row>
    <row r="377" spans="5:19" x14ac:dyDescent="0.25">
      <c r="F377" s="196" t="s">
        <v>1044</v>
      </c>
      <c r="G377" s="196" t="s">
        <v>74</v>
      </c>
      <c r="H377" s="196" t="s">
        <v>581</v>
      </c>
      <c r="I377" s="66"/>
      <c r="J377" s="234">
        <f t="shared" si="33"/>
        <v>30</v>
      </c>
      <c r="K377" s="235"/>
      <c r="L377" s="331"/>
      <c r="M377" s="331"/>
      <c r="N377" s="331"/>
      <c r="O377" s="331">
        <v>30</v>
      </c>
      <c r="P377" s="331">
        <v>30</v>
      </c>
      <c r="Q377" s="331">
        <v>30</v>
      </c>
      <c r="R377" s="331">
        <v>30</v>
      </c>
      <c r="S377" s="331">
        <v>30</v>
      </c>
    </row>
    <row r="378" spans="5:19" x14ac:dyDescent="0.25">
      <c r="F378" s="196" t="s">
        <v>1045</v>
      </c>
      <c r="G378" s="196" t="s">
        <v>74</v>
      </c>
      <c r="H378" s="196" t="s">
        <v>581</v>
      </c>
      <c r="I378" s="66"/>
      <c r="J378" s="234">
        <f t="shared" si="33"/>
        <v>46</v>
      </c>
      <c r="K378" s="235"/>
      <c r="L378" s="331"/>
      <c r="M378" s="331"/>
      <c r="N378" s="331"/>
      <c r="O378" s="331">
        <v>46</v>
      </c>
      <c r="P378" s="331">
        <v>46</v>
      </c>
      <c r="Q378" s="331">
        <v>46</v>
      </c>
      <c r="R378" s="331">
        <v>46</v>
      </c>
      <c r="S378" s="331">
        <v>46</v>
      </c>
    </row>
    <row r="379" spans="5:19" x14ac:dyDescent="0.25">
      <c r="F379" s="196" t="s">
        <v>1046</v>
      </c>
      <c r="G379" s="196" t="s">
        <v>74</v>
      </c>
      <c r="H379" s="196" t="s">
        <v>581</v>
      </c>
      <c r="I379" s="66"/>
      <c r="J379" s="234">
        <f t="shared" si="33"/>
        <v>5</v>
      </c>
      <c r="K379" s="235"/>
      <c r="L379" s="331"/>
      <c r="M379" s="331"/>
      <c r="N379" s="331"/>
      <c r="O379" s="331">
        <v>5</v>
      </c>
      <c r="P379" s="331">
        <v>5</v>
      </c>
      <c r="Q379" s="331">
        <v>5</v>
      </c>
      <c r="R379" s="331">
        <v>5</v>
      </c>
      <c r="S379" s="331">
        <v>5</v>
      </c>
    </row>
    <row r="380" spans="5:19" x14ac:dyDescent="0.25">
      <c r="F380" s="196" t="s">
        <v>1047</v>
      </c>
      <c r="G380" s="196" t="s">
        <v>74</v>
      </c>
      <c r="H380" s="196" t="s">
        <v>581</v>
      </c>
      <c r="I380" s="66"/>
      <c r="J380" s="234">
        <f t="shared" si="33"/>
        <v>0</v>
      </c>
      <c r="K380" s="235"/>
      <c r="L380" s="331"/>
      <c r="M380" s="331"/>
      <c r="N380" s="331"/>
      <c r="O380" s="331">
        <v>0</v>
      </c>
      <c r="P380" s="331">
        <v>0</v>
      </c>
      <c r="Q380" s="331">
        <v>0</v>
      </c>
      <c r="R380" s="331">
        <v>0</v>
      </c>
      <c r="S380" s="331">
        <v>0</v>
      </c>
    </row>
    <row r="381" spans="5:19" x14ac:dyDescent="0.25">
      <c r="F381" s="196" t="s">
        <v>1048</v>
      </c>
      <c r="G381" s="196" t="s">
        <v>74</v>
      </c>
      <c r="H381" s="196" t="s">
        <v>581</v>
      </c>
      <c r="I381" s="66"/>
      <c r="J381" s="234">
        <f t="shared" si="33"/>
        <v>0</v>
      </c>
      <c r="K381" s="235"/>
      <c r="L381" s="331"/>
      <c r="M381" s="331"/>
      <c r="N381" s="331"/>
      <c r="O381" s="331">
        <v>0</v>
      </c>
      <c r="P381" s="331">
        <v>0</v>
      </c>
      <c r="Q381" s="331">
        <v>0</v>
      </c>
      <c r="R381" s="331">
        <v>0</v>
      </c>
      <c r="S381" s="331">
        <v>0</v>
      </c>
    </row>
    <row r="382" spans="5:19" x14ac:dyDescent="0.25">
      <c r="F382" s="196" t="s">
        <v>1049</v>
      </c>
      <c r="G382" s="196" t="s">
        <v>74</v>
      </c>
      <c r="H382" s="196" t="s">
        <v>581</v>
      </c>
      <c r="I382" s="66"/>
      <c r="J382" s="240"/>
      <c r="K382" s="235"/>
      <c r="L382" s="240"/>
      <c r="M382" s="240"/>
      <c r="N382" s="240"/>
      <c r="O382" s="240"/>
      <c r="P382" s="240"/>
      <c r="Q382" s="240"/>
      <c r="R382" s="240"/>
      <c r="S382" s="240"/>
    </row>
    <row r="383" spans="5:19" x14ac:dyDescent="0.25">
      <c r="F383" s="196" t="s">
        <v>1050</v>
      </c>
      <c r="G383" s="196" t="s">
        <v>74</v>
      </c>
      <c r="H383" s="196" t="s">
        <v>581</v>
      </c>
      <c r="I383" s="66"/>
      <c r="J383" s="234">
        <f t="shared" ref="J383" si="34">CHOOSE(year_selection, L383,M383,N383,O383,P383,Q383,R383,S383)</f>
        <v>0</v>
      </c>
      <c r="K383" s="235"/>
      <c r="L383" s="331"/>
      <c r="M383" s="331"/>
      <c r="N383" s="331"/>
      <c r="O383" s="331">
        <v>0</v>
      </c>
      <c r="P383" s="331">
        <v>0</v>
      </c>
      <c r="Q383" s="331">
        <v>0</v>
      </c>
      <c r="R383" s="331">
        <v>0</v>
      </c>
      <c r="S383" s="331">
        <v>0</v>
      </c>
    </row>
    <row r="384" spans="5:19" x14ac:dyDescent="0.25">
      <c r="F384" s="196" t="s">
        <v>1051</v>
      </c>
      <c r="G384" s="196" t="s">
        <v>74</v>
      </c>
      <c r="H384" s="196" t="s">
        <v>581</v>
      </c>
      <c r="I384" s="66"/>
      <c r="J384" s="240"/>
      <c r="K384" s="235"/>
      <c r="L384" s="240"/>
      <c r="M384" s="240"/>
      <c r="N384" s="240"/>
      <c r="O384" s="240"/>
      <c r="P384" s="240"/>
      <c r="Q384" s="240"/>
      <c r="R384" s="240"/>
      <c r="S384" s="240"/>
    </row>
    <row r="385" spans="5:19" x14ac:dyDescent="0.25">
      <c r="F385" s="196" t="s">
        <v>1052</v>
      </c>
      <c r="G385" s="196" t="s">
        <v>74</v>
      </c>
      <c r="H385" s="196" t="s">
        <v>581</v>
      </c>
      <c r="I385" s="66"/>
      <c r="J385" s="234">
        <f t="shared" ref="J385" si="35">CHOOSE(year_selection, L385,M385,N385,O385,P385,Q385,R385,S385)</f>
        <v>0</v>
      </c>
      <c r="K385" s="235"/>
      <c r="L385" s="331"/>
      <c r="M385" s="331"/>
      <c r="N385" s="331"/>
      <c r="O385" s="331">
        <v>0</v>
      </c>
      <c r="P385" s="331">
        <v>0</v>
      </c>
      <c r="Q385" s="331">
        <v>0</v>
      </c>
      <c r="R385" s="331">
        <v>0</v>
      </c>
      <c r="S385" s="331">
        <v>0</v>
      </c>
    </row>
    <row r="386" spans="5:19" x14ac:dyDescent="0.25">
      <c r="F386" s="93" t="s">
        <v>1053</v>
      </c>
      <c r="G386" s="93" t="s">
        <v>74</v>
      </c>
      <c r="H386" s="93" t="s">
        <v>581</v>
      </c>
      <c r="I386" s="145"/>
      <c r="J386" s="241"/>
      <c r="K386" s="237"/>
      <c r="L386" s="241"/>
      <c r="M386" s="241"/>
      <c r="N386" s="241"/>
      <c r="O386" s="241"/>
      <c r="P386" s="241"/>
      <c r="Q386" s="241"/>
      <c r="R386" s="241"/>
      <c r="S386" s="241"/>
    </row>
    <row r="387" spans="5:19" x14ac:dyDescent="0.25">
      <c r="J387" s="238"/>
      <c r="K387" s="238"/>
      <c r="L387" s="238"/>
      <c r="M387" s="238"/>
      <c r="N387" s="238"/>
      <c r="O387" s="238"/>
      <c r="P387" s="238"/>
      <c r="Q387" s="238"/>
      <c r="R387" s="238"/>
      <c r="S387" s="238"/>
    </row>
    <row r="388" spans="5:19" x14ac:dyDescent="0.25">
      <c r="E388" s="144" t="s">
        <v>259</v>
      </c>
      <c r="J388" s="238"/>
      <c r="K388" s="238"/>
      <c r="L388" s="238"/>
      <c r="M388" s="238"/>
      <c r="N388" s="238"/>
      <c r="O388" s="238"/>
      <c r="P388" s="238"/>
      <c r="Q388" s="238"/>
      <c r="R388" s="238"/>
      <c r="S388" s="238"/>
    </row>
    <row r="389" spans="5:19" x14ac:dyDescent="0.25">
      <c r="F389" s="91" t="s">
        <v>1038</v>
      </c>
      <c r="G389" s="91" t="s">
        <v>169</v>
      </c>
      <c r="H389" s="91" t="s">
        <v>581</v>
      </c>
      <c r="I389" s="112"/>
      <c r="J389" s="239"/>
      <c r="K389" s="233"/>
      <c r="L389" s="239"/>
      <c r="M389" s="239"/>
      <c r="N389" s="239"/>
      <c r="O389" s="239"/>
      <c r="P389" s="239"/>
      <c r="Q389" s="239"/>
      <c r="R389" s="239"/>
      <c r="S389" s="239"/>
    </row>
    <row r="390" spans="5:19" x14ac:dyDescent="0.25">
      <c r="F390" s="196" t="s">
        <v>1039</v>
      </c>
      <c r="G390" s="196" t="s">
        <v>169</v>
      </c>
      <c r="H390" s="196" t="s">
        <v>581</v>
      </c>
      <c r="I390" s="66"/>
      <c r="J390" s="240"/>
      <c r="K390" s="235"/>
      <c r="L390" s="240"/>
      <c r="M390" s="240"/>
      <c r="N390" s="240"/>
      <c r="O390" s="240"/>
      <c r="P390" s="240"/>
      <c r="Q390" s="240"/>
      <c r="R390" s="240"/>
      <c r="S390" s="240"/>
    </row>
    <row r="391" spans="5:19" x14ac:dyDescent="0.25">
      <c r="F391" s="196" t="s">
        <v>1040</v>
      </c>
      <c r="G391" s="196" t="s">
        <v>169</v>
      </c>
      <c r="H391" s="196" t="s">
        <v>581</v>
      </c>
      <c r="I391" s="66"/>
      <c r="J391" s="240"/>
      <c r="K391" s="235"/>
      <c r="L391" s="240"/>
      <c r="M391" s="240"/>
      <c r="N391" s="240"/>
      <c r="O391" s="240"/>
      <c r="P391" s="240"/>
      <c r="Q391" s="240"/>
      <c r="R391" s="240"/>
      <c r="S391" s="240"/>
    </row>
    <row r="392" spans="5:19" x14ac:dyDescent="0.25">
      <c r="F392" s="196" t="s">
        <v>1041</v>
      </c>
      <c r="G392" s="196" t="s">
        <v>169</v>
      </c>
      <c r="H392" s="196" t="s">
        <v>581</v>
      </c>
      <c r="I392" s="66"/>
      <c r="J392" s="240"/>
      <c r="K392" s="235"/>
      <c r="L392" s="240"/>
      <c r="M392" s="240"/>
      <c r="N392" s="240"/>
      <c r="O392" s="240"/>
      <c r="P392" s="240"/>
      <c r="Q392" s="240"/>
      <c r="R392" s="240"/>
      <c r="S392" s="240"/>
    </row>
    <row r="393" spans="5:19" x14ac:dyDescent="0.25">
      <c r="F393" s="196" t="s">
        <v>1042</v>
      </c>
      <c r="G393" s="196" t="s">
        <v>169</v>
      </c>
      <c r="H393" s="196" t="s">
        <v>581</v>
      </c>
      <c r="I393" s="66"/>
      <c r="J393" s="234">
        <f t="shared" ref="J393:J395" si="36">CHOOSE(year_selection, L393,M393,N393,O393,P393,Q393,R393,S393)</f>
        <v>87614</v>
      </c>
      <c r="K393" s="235"/>
      <c r="L393" s="331"/>
      <c r="M393" s="331"/>
      <c r="N393" s="331"/>
      <c r="O393" s="331">
        <v>87614</v>
      </c>
      <c r="P393" s="331">
        <v>87614</v>
      </c>
      <c r="Q393" s="331">
        <v>87614</v>
      </c>
      <c r="R393" s="331">
        <v>87614</v>
      </c>
      <c r="S393" s="331">
        <v>87614</v>
      </c>
    </row>
    <row r="394" spans="5:19" x14ac:dyDescent="0.25">
      <c r="F394" s="196" t="s">
        <v>1043</v>
      </c>
      <c r="G394" s="196" t="s">
        <v>169</v>
      </c>
      <c r="H394" s="196" t="s">
        <v>581</v>
      </c>
      <c r="I394" s="66"/>
      <c r="J394" s="234">
        <f t="shared" si="36"/>
        <v>13995</v>
      </c>
      <c r="K394" s="235"/>
      <c r="L394" s="331"/>
      <c r="M394" s="331"/>
      <c r="N394" s="331"/>
      <c r="O394" s="331">
        <v>13995</v>
      </c>
      <c r="P394" s="331">
        <v>13995</v>
      </c>
      <c r="Q394" s="331">
        <v>13995</v>
      </c>
      <c r="R394" s="331">
        <v>13995</v>
      </c>
      <c r="S394" s="331">
        <v>13995</v>
      </c>
    </row>
    <row r="395" spans="5:19" x14ac:dyDescent="0.25">
      <c r="F395" s="196" t="s">
        <v>1044</v>
      </c>
      <c r="G395" s="196" t="s">
        <v>169</v>
      </c>
      <c r="H395" s="196" t="s">
        <v>581</v>
      </c>
      <c r="I395" s="66"/>
      <c r="J395" s="234">
        <f t="shared" si="36"/>
        <v>28618</v>
      </c>
      <c r="K395" s="235"/>
      <c r="L395" s="331"/>
      <c r="M395" s="331"/>
      <c r="N395" s="331"/>
      <c r="O395" s="331">
        <v>28618</v>
      </c>
      <c r="P395" s="331">
        <v>28618</v>
      </c>
      <c r="Q395" s="331">
        <v>28618</v>
      </c>
      <c r="R395" s="331">
        <v>28618</v>
      </c>
      <c r="S395" s="331">
        <v>28618</v>
      </c>
    </row>
    <row r="396" spans="5:19" x14ac:dyDescent="0.25">
      <c r="F396" s="196" t="s">
        <v>1045</v>
      </c>
      <c r="G396" s="196" t="s">
        <v>169</v>
      </c>
      <c r="H396" s="196" t="s">
        <v>581</v>
      </c>
      <c r="I396" s="66"/>
      <c r="J396" s="240"/>
      <c r="K396" s="235"/>
      <c r="L396" s="240"/>
      <c r="M396" s="240"/>
      <c r="N396" s="240"/>
      <c r="O396" s="240"/>
      <c r="P396" s="240"/>
      <c r="Q396" s="240"/>
      <c r="R396" s="240"/>
      <c r="S396" s="240"/>
    </row>
    <row r="397" spans="5:19" x14ac:dyDescent="0.25">
      <c r="F397" s="196" t="s">
        <v>1046</v>
      </c>
      <c r="G397" s="196" t="s">
        <v>169</v>
      </c>
      <c r="H397" s="196" t="s">
        <v>581</v>
      </c>
      <c r="I397" s="66"/>
      <c r="J397" s="240"/>
      <c r="K397" s="235"/>
      <c r="L397" s="240"/>
      <c r="M397" s="240"/>
      <c r="N397" s="240"/>
      <c r="O397" s="240"/>
      <c r="P397" s="240"/>
      <c r="Q397" s="240"/>
      <c r="R397" s="240"/>
      <c r="S397" s="240"/>
    </row>
    <row r="398" spans="5:19" x14ac:dyDescent="0.25">
      <c r="F398" s="196" t="s">
        <v>1047</v>
      </c>
      <c r="G398" s="196" t="s">
        <v>169</v>
      </c>
      <c r="H398" s="196" t="s">
        <v>581</v>
      </c>
      <c r="I398" s="66"/>
      <c r="J398" s="240"/>
      <c r="K398" s="235"/>
      <c r="L398" s="240"/>
      <c r="M398" s="240"/>
      <c r="N398" s="240"/>
      <c r="O398" s="240"/>
      <c r="P398" s="240"/>
      <c r="Q398" s="240"/>
      <c r="R398" s="240"/>
      <c r="S398" s="240"/>
    </row>
    <row r="399" spans="5:19" x14ac:dyDescent="0.25">
      <c r="F399" s="196" t="s">
        <v>1048</v>
      </c>
      <c r="G399" s="196" t="s">
        <v>169</v>
      </c>
      <c r="H399" s="196" t="s">
        <v>581</v>
      </c>
      <c r="I399" s="66"/>
      <c r="J399" s="240"/>
      <c r="K399" s="235"/>
      <c r="L399" s="240"/>
      <c r="M399" s="240"/>
      <c r="N399" s="240"/>
      <c r="O399" s="240"/>
      <c r="P399" s="240"/>
      <c r="Q399" s="240"/>
      <c r="R399" s="240"/>
      <c r="S399" s="240"/>
    </row>
    <row r="400" spans="5:19" x14ac:dyDescent="0.25">
      <c r="F400" s="196" t="s">
        <v>1049</v>
      </c>
      <c r="G400" s="196" t="s">
        <v>169</v>
      </c>
      <c r="H400" s="196" t="s">
        <v>581</v>
      </c>
      <c r="I400" s="66"/>
      <c r="J400" s="240"/>
      <c r="K400" s="235"/>
      <c r="L400" s="240"/>
      <c r="M400" s="240"/>
      <c r="N400" s="240"/>
      <c r="O400" s="240"/>
      <c r="P400" s="240"/>
      <c r="Q400" s="240"/>
      <c r="R400" s="240"/>
      <c r="S400" s="240"/>
    </row>
    <row r="401" spans="5:19" x14ac:dyDescent="0.25">
      <c r="F401" s="196" t="s">
        <v>1050</v>
      </c>
      <c r="G401" s="196" t="s">
        <v>169</v>
      </c>
      <c r="H401" s="196" t="s">
        <v>581</v>
      </c>
      <c r="I401" s="66"/>
      <c r="J401" s="240"/>
      <c r="K401" s="235"/>
      <c r="L401" s="240"/>
      <c r="M401" s="240"/>
      <c r="N401" s="240"/>
      <c r="O401" s="240"/>
      <c r="P401" s="240"/>
      <c r="Q401" s="240"/>
      <c r="R401" s="240"/>
      <c r="S401" s="240"/>
    </row>
    <row r="402" spans="5:19" x14ac:dyDescent="0.25">
      <c r="F402" s="196" t="s">
        <v>1051</v>
      </c>
      <c r="G402" s="196" t="s">
        <v>169</v>
      </c>
      <c r="H402" s="196" t="s">
        <v>581</v>
      </c>
      <c r="I402" s="66"/>
      <c r="J402" s="240"/>
      <c r="K402" s="235"/>
      <c r="L402" s="240"/>
      <c r="M402" s="240"/>
      <c r="N402" s="240"/>
      <c r="O402" s="240"/>
      <c r="P402" s="240"/>
      <c r="Q402" s="240"/>
      <c r="R402" s="240"/>
      <c r="S402" s="240"/>
    </row>
    <row r="403" spans="5:19" x14ac:dyDescent="0.25">
      <c r="F403" s="196" t="s">
        <v>1052</v>
      </c>
      <c r="G403" s="196" t="s">
        <v>169</v>
      </c>
      <c r="H403" s="196" t="s">
        <v>581</v>
      </c>
      <c r="I403" s="66"/>
      <c r="J403" s="240"/>
      <c r="K403" s="235"/>
      <c r="L403" s="240"/>
      <c r="M403" s="240"/>
      <c r="N403" s="240"/>
      <c r="O403" s="240"/>
      <c r="P403" s="240"/>
      <c r="Q403" s="240"/>
      <c r="R403" s="240"/>
      <c r="S403" s="240"/>
    </row>
    <row r="404" spans="5:19" x14ac:dyDescent="0.25">
      <c r="F404" s="93" t="s">
        <v>1053</v>
      </c>
      <c r="G404" s="93" t="s">
        <v>169</v>
      </c>
      <c r="H404" s="93" t="s">
        <v>581</v>
      </c>
      <c r="I404" s="145"/>
      <c r="J404" s="241"/>
      <c r="K404" s="237"/>
      <c r="L404" s="241"/>
      <c r="M404" s="241"/>
      <c r="N404" s="241"/>
      <c r="O404" s="241"/>
      <c r="P404" s="241"/>
      <c r="Q404" s="241"/>
      <c r="R404" s="241"/>
      <c r="S404" s="241"/>
    </row>
    <row r="405" spans="5:19" x14ac:dyDescent="0.25">
      <c r="J405" s="238"/>
      <c r="K405" s="238"/>
      <c r="L405" s="238"/>
      <c r="M405" s="238"/>
      <c r="N405" s="238"/>
      <c r="O405" s="238"/>
      <c r="P405" s="238"/>
      <c r="Q405" s="238"/>
      <c r="R405" s="238"/>
      <c r="S405" s="238"/>
    </row>
    <row r="406" spans="5:19" x14ac:dyDescent="0.25">
      <c r="E406" s="144" t="s">
        <v>260</v>
      </c>
      <c r="J406" s="238"/>
      <c r="K406" s="238"/>
      <c r="L406" s="238"/>
      <c r="M406" s="238"/>
      <c r="N406" s="238"/>
      <c r="O406" s="238"/>
      <c r="P406" s="238"/>
      <c r="Q406" s="238"/>
      <c r="R406" s="238"/>
      <c r="S406" s="238"/>
    </row>
    <row r="407" spans="5:19" x14ac:dyDescent="0.25">
      <c r="F407" s="91" t="s">
        <v>1038</v>
      </c>
      <c r="G407" s="91" t="s">
        <v>169</v>
      </c>
      <c r="H407" s="91" t="s">
        <v>581</v>
      </c>
      <c r="I407" s="112"/>
      <c r="J407" s="239"/>
      <c r="K407" s="233"/>
      <c r="L407" s="239"/>
      <c r="M407" s="239"/>
      <c r="N407" s="239"/>
      <c r="O407" s="239"/>
      <c r="P407" s="239"/>
      <c r="Q407" s="239"/>
      <c r="R407" s="239"/>
      <c r="S407" s="239"/>
    </row>
    <row r="408" spans="5:19" x14ac:dyDescent="0.25">
      <c r="F408" s="196" t="s">
        <v>1039</v>
      </c>
      <c r="G408" s="196" t="s">
        <v>169</v>
      </c>
      <c r="H408" s="196" t="s">
        <v>581</v>
      </c>
      <c r="I408" s="66"/>
      <c r="J408" s="240"/>
      <c r="K408" s="235"/>
      <c r="L408" s="240"/>
      <c r="M408" s="240"/>
      <c r="N408" s="240"/>
      <c r="O408" s="240"/>
      <c r="P408" s="240"/>
      <c r="Q408" s="240"/>
      <c r="R408" s="240"/>
      <c r="S408" s="240"/>
    </row>
    <row r="409" spans="5:19" x14ac:dyDescent="0.25">
      <c r="F409" s="196" t="s">
        <v>1040</v>
      </c>
      <c r="G409" s="196" t="s">
        <v>169</v>
      </c>
      <c r="H409" s="196" t="s">
        <v>581</v>
      </c>
      <c r="I409" s="66"/>
      <c r="J409" s="240"/>
      <c r="K409" s="235"/>
      <c r="L409" s="240"/>
      <c r="M409" s="240"/>
      <c r="N409" s="240"/>
      <c r="O409" s="240"/>
      <c r="P409" s="240"/>
      <c r="Q409" s="240"/>
      <c r="R409" s="240"/>
      <c r="S409" s="240"/>
    </row>
    <row r="410" spans="5:19" x14ac:dyDescent="0.25">
      <c r="F410" s="196" t="s">
        <v>1041</v>
      </c>
      <c r="G410" s="196" t="s">
        <v>169</v>
      </c>
      <c r="H410" s="196" t="s">
        <v>581</v>
      </c>
      <c r="I410" s="66"/>
      <c r="J410" s="240"/>
      <c r="K410" s="235"/>
      <c r="L410" s="240"/>
      <c r="M410" s="240"/>
      <c r="N410" s="240"/>
      <c r="O410" s="240"/>
      <c r="P410" s="240"/>
      <c r="Q410" s="240"/>
      <c r="R410" s="240"/>
      <c r="S410" s="240"/>
    </row>
    <row r="411" spans="5:19" x14ac:dyDescent="0.25">
      <c r="F411" s="196" t="s">
        <v>1042</v>
      </c>
      <c r="G411" s="196" t="s">
        <v>169</v>
      </c>
      <c r="H411" s="196" t="s">
        <v>581</v>
      </c>
      <c r="I411" s="66"/>
      <c r="J411" s="234">
        <f t="shared" ref="J411:J413" si="37">CHOOSE(year_selection, L411,M411,N411,O411,P411,Q411,R411,S411)</f>
        <v>175.22800000000001</v>
      </c>
      <c r="K411" s="235"/>
      <c r="L411" s="331"/>
      <c r="M411" s="331"/>
      <c r="N411" s="331"/>
      <c r="O411" s="331">
        <v>175.22800000000001</v>
      </c>
      <c r="P411" s="331">
        <v>175.22800000000001</v>
      </c>
      <c r="Q411" s="331">
        <v>175.22800000000001</v>
      </c>
      <c r="R411" s="331">
        <v>175.22800000000001</v>
      </c>
      <c r="S411" s="331">
        <v>175.22800000000001</v>
      </c>
    </row>
    <row r="412" spans="5:19" x14ac:dyDescent="0.25">
      <c r="F412" s="196" t="s">
        <v>1043</v>
      </c>
      <c r="G412" s="196" t="s">
        <v>169</v>
      </c>
      <c r="H412" s="196" t="s">
        <v>581</v>
      </c>
      <c r="I412" s="66"/>
      <c r="J412" s="234">
        <f t="shared" si="37"/>
        <v>0</v>
      </c>
      <c r="K412" s="235"/>
      <c r="L412" s="331"/>
      <c r="M412" s="331"/>
      <c r="N412" s="331"/>
      <c r="O412" s="331">
        <v>0</v>
      </c>
      <c r="P412" s="331">
        <v>0</v>
      </c>
      <c r="Q412" s="331">
        <v>0</v>
      </c>
      <c r="R412" s="331">
        <v>0</v>
      </c>
      <c r="S412" s="331">
        <v>0</v>
      </c>
    </row>
    <row r="413" spans="5:19" x14ac:dyDescent="0.25">
      <c r="F413" s="196" t="s">
        <v>1044</v>
      </c>
      <c r="G413" s="196" t="s">
        <v>169</v>
      </c>
      <c r="H413" s="196" t="s">
        <v>581</v>
      </c>
      <c r="I413" s="66"/>
      <c r="J413" s="234">
        <f t="shared" si="37"/>
        <v>14.309000000000001</v>
      </c>
      <c r="K413" s="235"/>
      <c r="L413" s="331"/>
      <c r="M413" s="331"/>
      <c r="N413" s="331"/>
      <c r="O413" s="331">
        <v>14.309000000000001</v>
      </c>
      <c r="P413" s="331">
        <v>14.309000000000001</v>
      </c>
      <c r="Q413" s="331">
        <v>14.309000000000001</v>
      </c>
      <c r="R413" s="331">
        <v>14.309000000000001</v>
      </c>
      <c r="S413" s="331">
        <v>14.309000000000001</v>
      </c>
    </row>
    <row r="414" spans="5:19" x14ac:dyDescent="0.25">
      <c r="F414" s="196" t="s">
        <v>1045</v>
      </c>
      <c r="G414" s="196" t="s">
        <v>169</v>
      </c>
      <c r="H414" s="196" t="s">
        <v>581</v>
      </c>
      <c r="I414" s="66"/>
      <c r="J414" s="240"/>
      <c r="K414" s="235"/>
      <c r="L414" s="240"/>
      <c r="M414" s="240"/>
      <c r="N414" s="240"/>
      <c r="O414" s="240"/>
      <c r="P414" s="240"/>
      <c r="Q414" s="240"/>
      <c r="R414" s="240"/>
      <c r="S414" s="240"/>
    </row>
    <row r="415" spans="5:19" x14ac:dyDescent="0.25">
      <c r="F415" s="196" t="s">
        <v>1046</v>
      </c>
      <c r="G415" s="196" t="s">
        <v>169</v>
      </c>
      <c r="H415" s="196" t="s">
        <v>581</v>
      </c>
      <c r="I415" s="66"/>
      <c r="J415" s="240"/>
      <c r="K415" s="235"/>
      <c r="L415" s="240"/>
      <c r="M415" s="240"/>
      <c r="N415" s="240"/>
      <c r="O415" s="240"/>
      <c r="P415" s="240"/>
      <c r="Q415" s="240"/>
      <c r="R415" s="240"/>
      <c r="S415" s="240"/>
    </row>
    <row r="416" spans="5:19" x14ac:dyDescent="0.25">
      <c r="F416" s="196" t="s">
        <v>1047</v>
      </c>
      <c r="G416" s="196" t="s">
        <v>169</v>
      </c>
      <c r="H416" s="196" t="s">
        <v>581</v>
      </c>
      <c r="I416" s="66"/>
      <c r="J416" s="240"/>
      <c r="K416" s="235"/>
      <c r="L416" s="240"/>
      <c r="M416" s="240"/>
      <c r="N416" s="240"/>
      <c r="O416" s="240"/>
      <c r="P416" s="240"/>
      <c r="Q416" s="240"/>
      <c r="R416" s="240"/>
      <c r="S416" s="240"/>
    </row>
    <row r="417" spans="5:19" x14ac:dyDescent="0.25">
      <c r="F417" s="196" t="s">
        <v>1048</v>
      </c>
      <c r="G417" s="196" t="s">
        <v>169</v>
      </c>
      <c r="H417" s="196" t="s">
        <v>581</v>
      </c>
      <c r="I417" s="66"/>
      <c r="J417" s="240"/>
      <c r="K417" s="235"/>
      <c r="L417" s="240"/>
      <c r="M417" s="240"/>
      <c r="N417" s="240"/>
      <c r="O417" s="240"/>
      <c r="P417" s="240"/>
      <c r="Q417" s="240"/>
      <c r="R417" s="240"/>
      <c r="S417" s="240"/>
    </row>
    <row r="418" spans="5:19" x14ac:dyDescent="0.25">
      <c r="F418" s="196" t="s">
        <v>1049</v>
      </c>
      <c r="G418" s="196" t="s">
        <v>169</v>
      </c>
      <c r="H418" s="196" t="s">
        <v>581</v>
      </c>
      <c r="I418" s="66"/>
      <c r="J418" s="240"/>
      <c r="K418" s="235"/>
      <c r="L418" s="240"/>
      <c r="M418" s="240"/>
      <c r="N418" s="240"/>
      <c r="O418" s="240"/>
      <c r="P418" s="240"/>
      <c r="Q418" s="240"/>
      <c r="R418" s="240"/>
      <c r="S418" s="240"/>
    </row>
    <row r="419" spans="5:19" x14ac:dyDescent="0.25">
      <c r="F419" s="196" t="s">
        <v>1050</v>
      </c>
      <c r="G419" s="196" t="s">
        <v>169</v>
      </c>
      <c r="H419" s="196" t="s">
        <v>581</v>
      </c>
      <c r="I419" s="66"/>
      <c r="J419" s="240"/>
      <c r="K419" s="235"/>
      <c r="L419" s="240"/>
      <c r="M419" s="240"/>
      <c r="N419" s="240"/>
      <c r="O419" s="240"/>
      <c r="P419" s="240"/>
      <c r="Q419" s="240"/>
      <c r="R419" s="240"/>
      <c r="S419" s="240"/>
    </row>
    <row r="420" spans="5:19" x14ac:dyDescent="0.25">
      <c r="F420" s="196" t="s">
        <v>1051</v>
      </c>
      <c r="G420" s="196" t="s">
        <v>169</v>
      </c>
      <c r="H420" s="196" t="s">
        <v>581</v>
      </c>
      <c r="I420" s="66"/>
      <c r="J420" s="240"/>
      <c r="K420" s="235"/>
      <c r="L420" s="240"/>
      <c r="M420" s="240"/>
      <c r="N420" s="240"/>
      <c r="O420" s="240"/>
      <c r="P420" s="240"/>
      <c r="Q420" s="240"/>
      <c r="R420" s="240"/>
      <c r="S420" s="240"/>
    </row>
    <row r="421" spans="5:19" x14ac:dyDescent="0.25">
      <c r="F421" s="196" t="s">
        <v>1052</v>
      </c>
      <c r="G421" s="196" t="s">
        <v>169</v>
      </c>
      <c r="H421" s="196" t="s">
        <v>581</v>
      </c>
      <c r="I421" s="66"/>
      <c r="J421" s="240"/>
      <c r="K421" s="235"/>
      <c r="L421" s="240"/>
      <c r="M421" s="240"/>
      <c r="N421" s="240"/>
      <c r="O421" s="240"/>
      <c r="P421" s="240"/>
      <c r="Q421" s="240"/>
      <c r="R421" s="240"/>
      <c r="S421" s="240"/>
    </row>
    <row r="422" spans="5:19" x14ac:dyDescent="0.25">
      <c r="F422" s="93" t="s">
        <v>1053</v>
      </c>
      <c r="G422" s="93" t="s">
        <v>169</v>
      </c>
      <c r="H422" s="93" t="s">
        <v>581</v>
      </c>
      <c r="I422" s="145"/>
      <c r="J422" s="241"/>
      <c r="K422" s="237"/>
      <c r="L422" s="241"/>
      <c r="M422" s="241"/>
      <c r="N422" s="241"/>
      <c r="O422" s="241"/>
      <c r="P422" s="241"/>
      <c r="Q422" s="241"/>
      <c r="R422" s="241"/>
      <c r="S422" s="241"/>
    </row>
    <row r="423" spans="5:19" x14ac:dyDescent="0.25">
      <c r="J423" s="238"/>
      <c r="K423" s="238"/>
      <c r="L423" s="238"/>
      <c r="M423" s="238"/>
      <c r="N423" s="238"/>
      <c r="O423" s="238"/>
      <c r="P423" s="238"/>
      <c r="Q423" s="238"/>
      <c r="R423" s="238"/>
      <c r="S423" s="238"/>
    </row>
    <row r="424" spans="5:19" x14ac:dyDescent="0.25">
      <c r="E424" s="144" t="s">
        <v>261</v>
      </c>
      <c r="J424" s="238"/>
      <c r="K424" s="238"/>
      <c r="L424" s="238"/>
      <c r="M424" s="238"/>
      <c r="N424" s="238"/>
      <c r="O424" s="238"/>
      <c r="P424" s="238"/>
      <c r="Q424" s="238"/>
      <c r="R424" s="238"/>
      <c r="S424" s="238"/>
    </row>
    <row r="425" spans="5:19" x14ac:dyDescent="0.25">
      <c r="F425" s="91" t="s">
        <v>1038</v>
      </c>
      <c r="G425" s="91" t="s">
        <v>170</v>
      </c>
      <c r="H425" s="91" t="s">
        <v>581</v>
      </c>
      <c r="I425" s="112"/>
      <c r="J425" s="239"/>
      <c r="K425" s="233"/>
      <c r="L425" s="239"/>
      <c r="M425" s="239"/>
      <c r="N425" s="239"/>
      <c r="O425" s="239"/>
      <c r="P425" s="239"/>
      <c r="Q425" s="239"/>
      <c r="R425" s="239"/>
      <c r="S425" s="239"/>
    </row>
    <row r="426" spans="5:19" x14ac:dyDescent="0.25">
      <c r="F426" s="196" t="s">
        <v>1039</v>
      </c>
      <c r="G426" s="196" t="s">
        <v>170</v>
      </c>
      <c r="H426" s="196" t="s">
        <v>581</v>
      </c>
      <c r="I426" s="66"/>
      <c r="J426" s="240"/>
      <c r="K426" s="235"/>
      <c r="L426" s="240"/>
      <c r="M426" s="240"/>
      <c r="N426" s="240"/>
      <c r="O426" s="240"/>
      <c r="P426" s="240"/>
      <c r="Q426" s="240"/>
      <c r="R426" s="240"/>
      <c r="S426" s="240"/>
    </row>
    <row r="427" spans="5:19" x14ac:dyDescent="0.25">
      <c r="F427" s="196" t="s">
        <v>1040</v>
      </c>
      <c r="G427" s="196" t="s">
        <v>170</v>
      </c>
      <c r="H427" s="196" t="s">
        <v>581</v>
      </c>
      <c r="I427" s="66"/>
      <c r="J427" s="240"/>
      <c r="K427" s="235"/>
      <c r="L427" s="240"/>
      <c r="M427" s="240"/>
      <c r="N427" s="240"/>
      <c r="O427" s="240"/>
      <c r="P427" s="240"/>
      <c r="Q427" s="240"/>
      <c r="R427" s="240"/>
      <c r="S427" s="240"/>
    </row>
    <row r="428" spans="5:19" x14ac:dyDescent="0.25">
      <c r="F428" s="196" t="s">
        <v>1041</v>
      </c>
      <c r="G428" s="196" t="s">
        <v>170</v>
      </c>
      <c r="H428" s="196" t="s">
        <v>581</v>
      </c>
      <c r="I428" s="66"/>
      <c r="J428" s="240"/>
      <c r="K428" s="235"/>
      <c r="L428" s="240"/>
      <c r="M428" s="240"/>
      <c r="N428" s="240"/>
      <c r="O428" s="240"/>
      <c r="P428" s="240"/>
      <c r="Q428" s="240"/>
      <c r="R428" s="240"/>
      <c r="S428" s="240"/>
    </row>
    <row r="429" spans="5:19" x14ac:dyDescent="0.25">
      <c r="F429" s="196" t="s">
        <v>1042</v>
      </c>
      <c r="G429" s="196" t="s">
        <v>170</v>
      </c>
      <c r="H429" s="196" t="s">
        <v>581</v>
      </c>
      <c r="I429" s="66"/>
      <c r="J429" s="234">
        <f t="shared" ref="J429:J431" si="38">CHOOSE(year_selection, L429,M429,N429,O429,P429,Q429,R429,S429)</f>
        <v>9000</v>
      </c>
      <c r="K429" s="235"/>
      <c r="L429" s="331"/>
      <c r="M429" s="331"/>
      <c r="N429" s="331"/>
      <c r="O429" s="331">
        <v>9000</v>
      </c>
      <c r="P429" s="331">
        <v>9000</v>
      </c>
      <c r="Q429" s="331">
        <v>9000</v>
      </c>
      <c r="R429" s="331">
        <v>9000</v>
      </c>
      <c r="S429" s="331">
        <v>9000</v>
      </c>
    </row>
    <row r="430" spans="5:19" x14ac:dyDescent="0.25">
      <c r="F430" s="196" t="s">
        <v>1043</v>
      </c>
      <c r="G430" s="196" t="s">
        <v>170</v>
      </c>
      <c r="H430" s="196" t="s">
        <v>581</v>
      </c>
      <c r="I430" s="66"/>
      <c r="J430" s="234">
        <f t="shared" si="38"/>
        <v>1320</v>
      </c>
      <c r="K430" s="235"/>
      <c r="L430" s="331"/>
      <c r="M430" s="331"/>
      <c r="N430" s="331"/>
      <c r="O430" s="331">
        <v>1320</v>
      </c>
      <c r="P430" s="331">
        <v>1320</v>
      </c>
      <c r="Q430" s="331">
        <v>1320</v>
      </c>
      <c r="R430" s="331">
        <v>1320</v>
      </c>
      <c r="S430" s="331">
        <v>1320</v>
      </c>
    </row>
    <row r="431" spans="5:19" x14ac:dyDescent="0.25">
      <c r="F431" s="196" t="s">
        <v>1044</v>
      </c>
      <c r="G431" s="196" t="s">
        <v>170</v>
      </c>
      <c r="H431" s="196" t="s">
        <v>581</v>
      </c>
      <c r="I431" s="66"/>
      <c r="J431" s="234">
        <f t="shared" si="38"/>
        <v>1908</v>
      </c>
      <c r="K431" s="235"/>
      <c r="L431" s="331"/>
      <c r="M431" s="331"/>
      <c r="N431" s="331"/>
      <c r="O431" s="331">
        <v>1908</v>
      </c>
      <c r="P431" s="331">
        <v>1908</v>
      </c>
      <c r="Q431" s="331">
        <v>1908</v>
      </c>
      <c r="R431" s="331">
        <v>1908</v>
      </c>
      <c r="S431" s="331">
        <v>1908</v>
      </c>
    </row>
    <row r="432" spans="5:19" x14ac:dyDescent="0.25">
      <c r="F432" s="196" t="s">
        <v>1045</v>
      </c>
      <c r="G432" s="196" t="s">
        <v>170</v>
      </c>
      <c r="H432" s="196" t="s">
        <v>581</v>
      </c>
      <c r="I432" s="66"/>
      <c r="J432" s="240"/>
      <c r="K432" s="235"/>
      <c r="L432" s="240"/>
      <c r="M432" s="240"/>
      <c r="N432" s="240"/>
      <c r="O432" s="240"/>
      <c r="P432" s="240"/>
      <c r="Q432" s="240"/>
      <c r="R432" s="240"/>
      <c r="S432" s="240"/>
    </row>
    <row r="433" spans="3:21" x14ac:dyDescent="0.25">
      <c r="F433" s="196" t="s">
        <v>1046</v>
      </c>
      <c r="G433" s="196" t="s">
        <v>170</v>
      </c>
      <c r="H433" s="196" t="s">
        <v>581</v>
      </c>
      <c r="I433" s="66"/>
      <c r="J433" s="240"/>
      <c r="K433" s="235"/>
      <c r="L433" s="240"/>
      <c r="M433" s="240"/>
      <c r="N433" s="240"/>
      <c r="O433" s="240"/>
      <c r="P433" s="240"/>
      <c r="Q433" s="240"/>
      <c r="R433" s="240"/>
      <c r="S433" s="240"/>
    </row>
    <row r="434" spans="3:21" x14ac:dyDescent="0.25">
      <c r="F434" s="196" t="s">
        <v>1047</v>
      </c>
      <c r="G434" s="196" t="s">
        <v>170</v>
      </c>
      <c r="H434" s="196" t="s">
        <v>581</v>
      </c>
      <c r="I434" s="66"/>
      <c r="J434" s="240"/>
      <c r="K434" s="235"/>
      <c r="L434" s="240"/>
      <c r="M434" s="240"/>
      <c r="N434" s="240"/>
      <c r="O434" s="240"/>
      <c r="P434" s="240"/>
      <c r="Q434" s="240"/>
      <c r="R434" s="240"/>
      <c r="S434" s="240"/>
    </row>
    <row r="435" spans="3:21" x14ac:dyDescent="0.25">
      <c r="F435" s="196" t="s">
        <v>1048</v>
      </c>
      <c r="G435" s="196" t="s">
        <v>170</v>
      </c>
      <c r="H435" s="196" t="s">
        <v>581</v>
      </c>
      <c r="I435" s="66"/>
      <c r="J435" s="234">
        <f t="shared" ref="J435" si="39">CHOOSE(year_selection, L435,M435,N435,O435,P435,Q435,R435,S435)</f>
        <v>0</v>
      </c>
      <c r="K435" s="235"/>
      <c r="L435" s="331"/>
      <c r="M435" s="331"/>
      <c r="N435" s="331"/>
      <c r="O435" s="331">
        <v>0</v>
      </c>
      <c r="P435" s="331">
        <v>0</v>
      </c>
      <c r="Q435" s="331">
        <v>0</v>
      </c>
      <c r="R435" s="331">
        <v>0</v>
      </c>
      <c r="S435" s="331">
        <v>0</v>
      </c>
    </row>
    <row r="436" spans="3:21" x14ac:dyDescent="0.25">
      <c r="F436" s="196" t="s">
        <v>1049</v>
      </c>
      <c r="G436" s="196" t="s">
        <v>170</v>
      </c>
      <c r="H436" s="196" t="s">
        <v>581</v>
      </c>
      <c r="I436" s="66"/>
      <c r="J436" s="240"/>
      <c r="K436" s="235"/>
      <c r="L436" s="240"/>
      <c r="M436" s="240"/>
      <c r="N436" s="240"/>
      <c r="O436" s="240"/>
      <c r="P436" s="240"/>
      <c r="Q436" s="240"/>
      <c r="R436" s="240"/>
      <c r="S436" s="240"/>
    </row>
    <row r="437" spans="3:21" x14ac:dyDescent="0.25">
      <c r="F437" s="196" t="s">
        <v>1050</v>
      </c>
      <c r="G437" s="196" t="s">
        <v>170</v>
      </c>
      <c r="H437" s="196" t="s">
        <v>581</v>
      </c>
      <c r="I437" s="66"/>
      <c r="J437" s="234">
        <f t="shared" ref="J437" si="40">CHOOSE(year_selection, L437,M437,N437,O437,P437,Q437,R437,S437)</f>
        <v>0</v>
      </c>
      <c r="K437" s="235"/>
      <c r="L437" s="331"/>
      <c r="M437" s="331"/>
      <c r="N437" s="331"/>
      <c r="O437" s="331">
        <v>0</v>
      </c>
      <c r="P437" s="331">
        <v>0</v>
      </c>
      <c r="Q437" s="331">
        <v>0</v>
      </c>
      <c r="R437" s="331">
        <v>0</v>
      </c>
      <c r="S437" s="331">
        <v>0</v>
      </c>
    </row>
    <row r="438" spans="3:21" x14ac:dyDescent="0.25">
      <c r="F438" s="196" t="s">
        <v>1051</v>
      </c>
      <c r="G438" s="196" t="s">
        <v>170</v>
      </c>
      <c r="H438" s="196" t="s">
        <v>581</v>
      </c>
      <c r="I438" s="66"/>
      <c r="J438" s="240"/>
      <c r="K438" s="235"/>
      <c r="L438" s="240"/>
      <c r="M438" s="240"/>
      <c r="N438" s="240"/>
      <c r="O438" s="240"/>
      <c r="P438" s="240"/>
      <c r="Q438" s="240"/>
      <c r="R438" s="240"/>
      <c r="S438" s="240"/>
    </row>
    <row r="439" spans="3:21" x14ac:dyDescent="0.25">
      <c r="F439" s="196" t="s">
        <v>1052</v>
      </c>
      <c r="G439" s="196" t="s">
        <v>170</v>
      </c>
      <c r="H439" s="196" t="s">
        <v>581</v>
      </c>
      <c r="I439" s="66"/>
      <c r="J439" s="234">
        <f t="shared" ref="J439" si="41">CHOOSE(year_selection, L439,M439,N439,O439,P439,Q439,R439,S439)</f>
        <v>0</v>
      </c>
      <c r="K439" s="235"/>
      <c r="L439" s="331"/>
      <c r="M439" s="331"/>
      <c r="N439" s="331"/>
      <c r="O439" s="331">
        <v>0</v>
      </c>
      <c r="P439" s="331">
        <v>0</v>
      </c>
      <c r="Q439" s="331">
        <v>0</v>
      </c>
      <c r="R439" s="331">
        <v>0</v>
      </c>
      <c r="S439" s="331">
        <v>0</v>
      </c>
    </row>
    <row r="440" spans="3:21" x14ac:dyDescent="0.25">
      <c r="F440" s="93" t="s">
        <v>1053</v>
      </c>
      <c r="G440" s="93" t="s">
        <v>170</v>
      </c>
      <c r="H440" s="93" t="s">
        <v>581</v>
      </c>
      <c r="I440" s="145"/>
      <c r="J440" s="241"/>
      <c r="K440" s="237"/>
      <c r="L440" s="241"/>
      <c r="M440" s="241"/>
      <c r="N440" s="241"/>
      <c r="O440" s="241"/>
      <c r="P440" s="241"/>
      <c r="Q440" s="241"/>
      <c r="R440" s="241"/>
      <c r="S440" s="241"/>
    </row>
    <row r="441" spans="3:21" x14ac:dyDescent="0.25">
      <c r="J441" s="111"/>
      <c r="K441" s="111"/>
      <c r="L441" s="111"/>
      <c r="M441" s="111"/>
      <c r="N441" s="111"/>
      <c r="O441" s="111"/>
      <c r="P441" s="111"/>
      <c r="Q441" s="111"/>
      <c r="R441" s="111"/>
      <c r="S441" s="111"/>
    </row>
    <row r="442" spans="3:21" s="295" customFormat="1" x14ac:dyDescent="0.25">
      <c r="C442" s="7" t="str">
        <f ca="1">INDEX('Version control'!$H$34:$H$60,MATCH($A$1,'Version control'!$F$34:$F$60,0),1)&amp;"-F: 'Designated Property' MPANs with EDCM-level LDNO boundaries"</f>
        <v>Input 501-F: 'Designated Property' MPANs with EDCM-level LDNO boundaries</v>
      </c>
      <c r="D442" s="7"/>
      <c r="E442" s="7"/>
      <c r="F442" s="7"/>
      <c r="G442" s="7"/>
      <c r="H442" s="7"/>
      <c r="I442" s="171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</row>
    <row r="443" spans="3:21" s="295" customFormat="1" x14ac:dyDescent="0.25">
      <c r="I443" s="111"/>
      <c r="J443" s="163"/>
      <c r="K443" s="163"/>
      <c r="L443" s="163"/>
      <c r="M443" s="163"/>
      <c r="N443" s="163"/>
      <c r="O443" s="163"/>
      <c r="P443" s="163"/>
      <c r="Q443" s="163"/>
      <c r="R443" s="163"/>
      <c r="S443" s="163"/>
    </row>
    <row r="444" spans="3:21" s="295" customFormat="1" x14ac:dyDescent="0.25">
      <c r="E444" s="457" t="s">
        <v>1155</v>
      </c>
      <c r="I444" s="111" t="s">
        <v>431</v>
      </c>
      <c r="J444" s="111"/>
      <c r="K444" s="111"/>
      <c r="L444" s="111"/>
      <c r="M444" s="111"/>
      <c r="N444" s="111"/>
      <c r="O444" s="111"/>
      <c r="P444" s="111"/>
      <c r="Q444" s="111"/>
      <c r="R444" s="111"/>
      <c r="S444" s="111"/>
      <c r="U444" s="295" t="s">
        <v>1163</v>
      </c>
    </row>
    <row r="445" spans="3:21" s="295" customFormat="1" x14ac:dyDescent="0.25">
      <c r="F445" s="91" t="s">
        <v>1038</v>
      </c>
      <c r="G445" s="91" t="s">
        <v>610</v>
      </c>
      <c r="H445" s="91"/>
      <c r="I445" s="112"/>
      <c r="J445" s="232">
        <f t="shared" ref="J445:J460" si="42">CHOOSE(year_selection, L445,M445,N445,O445,P445,Q445,R445,S445)</f>
        <v>3083</v>
      </c>
      <c r="K445" s="233"/>
      <c r="L445" s="473"/>
      <c r="M445" s="473"/>
      <c r="N445" s="473"/>
      <c r="O445" s="473">
        <v>3083</v>
      </c>
      <c r="P445" s="473">
        <v>3083</v>
      </c>
      <c r="Q445" s="473">
        <v>3083</v>
      </c>
      <c r="R445" s="473">
        <v>3083</v>
      </c>
      <c r="S445" s="473">
        <v>3083</v>
      </c>
    </row>
    <row r="446" spans="3:21" s="295" customFormat="1" x14ac:dyDescent="0.25">
      <c r="F446" s="196" t="s">
        <v>1039</v>
      </c>
      <c r="G446" s="196" t="s">
        <v>610</v>
      </c>
      <c r="H446" s="196"/>
      <c r="I446" s="66"/>
      <c r="J446" s="460">
        <f t="shared" si="42"/>
        <v>0</v>
      </c>
      <c r="K446" s="235"/>
      <c r="L446" s="458"/>
      <c r="M446" s="458"/>
      <c r="N446" s="458"/>
      <c r="O446" s="458">
        <v>0</v>
      </c>
      <c r="P446" s="458">
        <v>0</v>
      </c>
      <c r="Q446" s="458">
        <v>0</v>
      </c>
      <c r="R446" s="458">
        <v>0</v>
      </c>
      <c r="S446" s="458">
        <v>0</v>
      </c>
    </row>
    <row r="447" spans="3:21" s="295" customFormat="1" x14ac:dyDescent="0.25">
      <c r="F447" s="196" t="s">
        <v>1040</v>
      </c>
      <c r="G447" s="196" t="s">
        <v>610</v>
      </c>
      <c r="H447" s="196"/>
      <c r="I447" s="66"/>
      <c r="J447" s="234">
        <f t="shared" si="42"/>
        <v>42</v>
      </c>
      <c r="K447" s="235"/>
      <c r="L447" s="474"/>
      <c r="M447" s="474"/>
      <c r="N447" s="474"/>
      <c r="O447" s="474">
        <v>42</v>
      </c>
      <c r="P447" s="474">
        <v>42</v>
      </c>
      <c r="Q447" s="474">
        <v>42</v>
      </c>
      <c r="R447" s="474">
        <v>42</v>
      </c>
      <c r="S447" s="474">
        <v>42</v>
      </c>
    </row>
    <row r="448" spans="3:21" s="295" customFormat="1" x14ac:dyDescent="0.25">
      <c r="F448" s="196" t="s">
        <v>1041</v>
      </c>
      <c r="G448" s="196" t="s">
        <v>610</v>
      </c>
      <c r="H448" s="196"/>
      <c r="I448" s="66"/>
      <c r="J448" s="460">
        <f t="shared" si="42"/>
        <v>0</v>
      </c>
      <c r="K448" s="235"/>
      <c r="L448" s="458"/>
      <c r="M448" s="458"/>
      <c r="N448" s="458"/>
      <c r="O448" s="458">
        <v>0</v>
      </c>
      <c r="P448" s="458">
        <v>0</v>
      </c>
      <c r="Q448" s="458">
        <v>0</v>
      </c>
      <c r="R448" s="458">
        <v>0</v>
      </c>
      <c r="S448" s="458">
        <v>0</v>
      </c>
    </row>
    <row r="449" spans="2:49" s="295" customFormat="1" x14ac:dyDescent="0.25">
      <c r="F449" s="196" t="s">
        <v>1042</v>
      </c>
      <c r="G449" s="196" t="s">
        <v>610</v>
      </c>
      <c r="H449" s="196"/>
      <c r="I449" s="66"/>
      <c r="J449" s="234">
        <f t="shared" si="42"/>
        <v>18</v>
      </c>
      <c r="K449" s="235"/>
      <c r="L449" s="474"/>
      <c r="M449" s="474"/>
      <c r="N449" s="474"/>
      <c r="O449" s="474">
        <v>18</v>
      </c>
      <c r="P449" s="474">
        <v>18</v>
      </c>
      <c r="Q449" s="474">
        <v>18</v>
      </c>
      <c r="R449" s="474">
        <v>18</v>
      </c>
      <c r="S449" s="474">
        <v>18</v>
      </c>
    </row>
    <row r="450" spans="2:49" s="295" customFormat="1" x14ac:dyDescent="0.25">
      <c r="F450" s="196" t="s">
        <v>1043</v>
      </c>
      <c r="G450" s="196" t="s">
        <v>610</v>
      </c>
      <c r="H450" s="196"/>
      <c r="I450" s="66"/>
      <c r="J450" s="234">
        <f t="shared" si="42"/>
        <v>0</v>
      </c>
      <c r="K450" s="235"/>
      <c r="L450" s="474"/>
      <c r="M450" s="474"/>
      <c r="N450" s="474"/>
      <c r="O450" s="474">
        <v>0</v>
      </c>
      <c r="P450" s="474">
        <v>0</v>
      </c>
      <c r="Q450" s="474">
        <v>0</v>
      </c>
      <c r="R450" s="474">
        <v>0</v>
      </c>
      <c r="S450" s="474">
        <v>0</v>
      </c>
    </row>
    <row r="451" spans="2:49" s="295" customFormat="1" x14ac:dyDescent="0.25">
      <c r="F451" s="196" t="s">
        <v>1044</v>
      </c>
      <c r="G451" s="196" t="s">
        <v>610</v>
      </c>
      <c r="H451" s="196"/>
      <c r="I451" s="66"/>
      <c r="J451" s="460">
        <f t="shared" si="42"/>
        <v>4</v>
      </c>
      <c r="K451" s="235"/>
      <c r="L451" s="458"/>
      <c r="M451" s="458"/>
      <c r="N451" s="458"/>
      <c r="O451" s="458">
        <v>4</v>
      </c>
      <c r="P451" s="458">
        <v>4</v>
      </c>
      <c r="Q451" s="458">
        <v>4</v>
      </c>
      <c r="R451" s="458">
        <v>4</v>
      </c>
      <c r="S451" s="458">
        <v>4</v>
      </c>
    </row>
    <row r="452" spans="2:49" s="295" customFormat="1" x14ac:dyDescent="0.25">
      <c r="F452" s="196" t="s">
        <v>1045</v>
      </c>
      <c r="G452" s="196" t="s">
        <v>610</v>
      </c>
      <c r="H452" s="196"/>
      <c r="I452" s="66"/>
      <c r="J452" s="460">
        <f t="shared" si="42"/>
        <v>0</v>
      </c>
      <c r="K452" s="235"/>
      <c r="L452" s="458"/>
      <c r="M452" s="458"/>
      <c r="N452" s="458"/>
      <c r="O452" s="458">
        <v>0</v>
      </c>
      <c r="P452" s="458">
        <v>0</v>
      </c>
      <c r="Q452" s="458">
        <v>0</v>
      </c>
      <c r="R452" s="458">
        <v>0</v>
      </c>
      <c r="S452" s="458">
        <v>0</v>
      </c>
    </row>
    <row r="453" spans="2:49" s="295" customFormat="1" x14ac:dyDescent="0.25">
      <c r="F453" s="196" t="s">
        <v>1046</v>
      </c>
      <c r="G453" s="196" t="s">
        <v>610</v>
      </c>
      <c r="H453" s="196"/>
      <c r="I453" s="66"/>
      <c r="J453" s="234">
        <f t="shared" si="42"/>
        <v>0</v>
      </c>
      <c r="K453" s="235"/>
      <c r="L453" s="474"/>
      <c r="M453" s="474"/>
      <c r="N453" s="474"/>
      <c r="O453" s="474">
        <v>0</v>
      </c>
      <c r="P453" s="474">
        <v>0</v>
      </c>
      <c r="Q453" s="474">
        <v>0</v>
      </c>
      <c r="R453" s="474">
        <v>0</v>
      </c>
      <c r="S453" s="474">
        <v>0</v>
      </c>
    </row>
    <row r="454" spans="2:49" s="295" customFormat="1" x14ac:dyDescent="0.25">
      <c r="F454" s="196" t="s">
        <v>1047</v>
      </c>
      <c r="G454" s="196" t="s">
        <v>610</v>
      </c>
      <c r="H454" s="196"/>
      <c r="I454" s="66"/>
      <c r="J454" s="234">
        <f t="shared" si="42"/>
        <v>0</v>
      </c>
      <c r="K454" s="235"/>
      <c r="L454" s="474"/>
      <c r="M454" s="474"/>
      <c r="N454" s="474"/>
      <c r="O454" s="474">
        <v>0</v>
      </c>
      <c r="P454" s="474">
        <v>0</v>
      </c>
      <c r="Q454" s="474">
        <v>0</v>
      </c>
      <c r="R454" s="474">
        <v>0</v>
      </c>
      <c r="S454" s="474">
        <v>0</v>
      </c>
    </row>
    <row r="455" spans="2:49" s="295" customFormat="1" x14ac:dyDescent="0.25">
      <c r="F455" s="196" t="s">
        <v>1048</v>
      </c>
      <c r="G455" s="196" t="s">
        <v>610</v>
      </c>
      <c r="H455" s="196"/>
      <c r="I455" s="66"/>
      <c r="J455" s="234">
        <f t="shared" si="42"/>
        <v>0</v>
      </c>
      <c r="K455" s="235"/>
      <c r="L455" s="474"/>
      <c r="M455" s="474"/>
      <c r="N455" s="474"/>
      <c r="O455" s="474">
        <v>0</v>
      </c>
      <c r="P455" s="474">
        <v>0</v>
      </c>
      <c r="Q455" s="474">
        <v>0</v>
      </c>
      <c r="R455" s="474">
        <v>0</v>
      </c>
      <c r="S455" s="474">
        <v>0</v>
      </c>
    </row>
    <row r="456" spans="2:49" s="295" customFormat="1" x14ac:dyDescent="0.25">
      <c r="F456" s="196" t="s">
        <v>1049</v>
      </c>
      <c r="G456" s="196" t="s">
        <v>610</v>
      </c>
      <c r="H456" s="196"/>
      <c r="I456" s="66"/>
      <c r="J456" s="234">
        <f t="shared" si="42"/>
        <v>0</v>
      </c>
      <c r="K456" s="235"/>
      <c r="L456" s="474"/>
      <c r="M456" s="474"/>
      <c r="N456" s="474"/>
      <c r="O456" s="474">
        <v>0</v>
      </c>
      <c r="P456" s="474">
        <v>0</v>
      </c>
      <c r="Q456" s="474">
        <v>0</v>
      </c>
      <c r="R456" s="474">
        <v>0</v>
      </c>
      <c r="S456" s="474">
        <v>0</v>
      </c>
    </row>
    <row r="457" spans="2:49" s="295" customFormat="1" x14ac:dyDescent="0.25">
      <c r="F457" s="196" t="s">
        <v>1050</v>
      </c>
      <c r="G457" s="196" t="s">
        <v>610</v>
      </c>
      <c r="H457" s="196"/>
      <c r="I457" s="66"/>
      <c r="J457" s="234">
        <f t="shared" si="42"/>
        <v>0</v>
      </c>
      <c r="K457" s="235"/>
      <c r="L457" s="474"/>
      <c r="M457" s="474"/>
      <c r="N457" s="474"/>
      <c r="O457" s="474">
        <v>0</v>
      </c>
      <c r="P457" s="474">
        <v>0</v>
      </c>
      <c r="Q457" s="474">
        <v>0</v>
      </c>
      <c r="R457" s="474">
        <v>0</v>
      </c>
      <c r="S457" s="474">
        <v>0</v>
      </c>
    </row>
    <row r="458" spans="2:49" s="295" customFormat="1" x14ac:dyDescent="0.25">
      <c r="F458" s="196" t="s">
        <v>1051</v>
      </c>
      <c r="G458" s="196" t="s">
        <v>610</v>
      </c>
      <c r="H458" s="196"/>
      <c r="I458" s="66"/>
      <c r="J458" s="234">
        <f t="shared" si="42"/>
        <v>0</v>
      </c>
      <c r="K458" s="235"/>
      <c r="L458" s="474"/>
      <c r="M458" s="474"/>
      <c r="N458" s="474"/>
      <c r="O458" s="474">
        <v>0</v>
      </c>
      <c r="P458" s="474">
        <v>0</v>
      </c>
      <c r="Q458" s="474">
        <v>0</v>
      </c>
      <c r="R458" s="474">
        <v>0</v>
      </c>
      <c r="S458" s="474">
        <v>0</v>
      </c>
    </row>
    <row r="459" spans="2:49" s="295" customFormat="1" x14ac:dyDescent="0.25">
      <c r="F459" s="196" t="s">
        <v>1052</v>
      </c>
      <c r="G459" s="196" t="s">
        <v>610</v>
      </c>
      <c r="H459" s="196"/>
      <c r="I459" s="66"/>
      <c r="J459" s="460">
        <f t="shared" si="42"/>
        <v>0</v>
      </c>
      <c r="K459" s="235"/>
      <c r="L459" s="458"/>
      <c r="M459" s="458"/>
      <c r="N459" s="458"/>
      <c r="O459" s="458">
        <v>0</v>
      </c>
      <c r="P459" s="458">
        <v>0</v>
      </c>
      <c r="Q459" s="458">
        <v>0</v>
      </c>
      <c r="R459" s="458">
        <v>0</v>
      </c>
      <c r="S459" s="458">
        <v>0</v>
      </c>
    </row>
    <row r="460" spans="2:49" s="295" customFormat="1" x14ac:dyDescent="0.25">
      <c r="F460" s="93" t="s">
        <v>1053</v>
      </c>
      <c r="G460" s="93" t="s">
        <v>610</v>
      </c>
      <c r="H460" s="93"/>
      <c r="I460" s="145"/>
      <c r="J460" s="461">
        <f t="shared" si="42"/>
        <v>0</v>
      </c>
      <c r="K460" s="237"/>
      <c r="L460" s="459"/>
      <c r="M460" s="459"/>
      <c r="N460" s="459"/>
      <c r="O460" s="459">
        <v>0</v>
      </c>
      <c r="P460" s="459">
        <v>0</v>
      </c>
      <c r="Q460" s="459">
        <v>0</v>
      </c>
      <c r="R460" s="459">
        <v>0</v>
      </c>
      <c r="S460" s="459">
        <v>0</v>
      </c>
    </row>
    <row r="461" spans="2:49" s="295" customFormat="1" x14ac:dyDescent="0.25">
      <c r="D461" s="14"/>
      <c r="I461" s="111"/>
      <c r="J461" s="238"/>
      <c r="K461" s="238"/>
      <c r="L461" s="238"/>
      <c r="M461" s="238"/>
      <c r="N461" s="238"/>
      <c r="O461" s="238"/>
      <c r="P461" s="238"/>
      <c r="Q461" s="238"/>
      <c r="R461" s="238"/>
      <c r="S461" s="238"/>
    </row>
    <row r="462" spans="2:49" s="195" customFormat="1" x14ac:dyDescent="0.25">
      <c r="B462" s="95" t="s">
        <v>454</v>
      </c>
      <c r="C462" s="95"/>
      <c r="D462" s="95"/>
      <c r="E462" s="95"/>
      <c r="F462" s="95"/>
      <c r="G462" s="95"/>
      <c r="H462" s="95"/>
      <c r="I462" s="160"/>
      <c r="J462" s="160"/>
      <c r="K462" s="160"/>
      <c r="L462" s="160"/>
      <c r="M462" s="160"/>
      <c r="N462" s="160"/>
      <c r="O462" s="160"/>
      <c r="P462" s="160"/>
      <c r="Q462" s="160"/>
      <c r="R462" s="160"/>
      <c r="S462" s="160"/>
      <c r="T462" s="95"/>
      <c r="U462" s="95"/>
      <c r="W462" s="95"/>
      <c r="X462" s="95"/>
      <c r="Y462" s="95"/>
      <c r="Z462" s="95"/>
      <c r="AA462" s="95"/>
      <c r="AB462" s="95"/>
      <c r="AC462" s="95"/>
      <c r="AD462" s="95"/>
      <c r="AE462" s="95"/>
      <c r="AF462" s="95"/>
      <c r="AG462" s="95"/>
      <c r="AH462" s="95"/>
      <c r="AI462" s="95"/>
      <c r="AJ462" s="95"/>
      <c r="AK462" s="95"/>
      <c r="AL462" s="95"/>
      <c r="AM462" s="95"/>
      <c r="AN462" s="95"/>
      <c r="AO462" s="95"/>
      <c r="AP462" s="95"/>
      <c r="AQ462" s="95"/>
      <c r="AR462" s="95"/>
      <c r="AS462" s="95"/>
      <c r="AT462" s="95"/>
      <c r="AU462" s="95"/>
      <c r="AV462" s="95"/>
      <c r="AW462" s="95"/>
    </row>
    <row r="463" spans="2:49" s="195" customFormat="1" x14ac:dyDescent="0.25">
      <c r="D463" s="14"/>
      <c r="I463" s="111"/>
      <c r="J463" s="111"/>
      <c r="K463" s="111"/>
      <c r="L463" s="111"/>
      <c r="M463" s="111"/>
      <c r="N463" s="111"/>
      <c r="O463" s="111"/>
      <c r="P463" s="111"/>
      <c r="Q463" s="111"/>
      <c r="R463" s="111"/>
      <c r="S463" s="111"/>
    </row>
    <row r="464" spans="2:49" s="195" customFormat="1" x14ac:dyDescent="0.25">
      <c r="C464" s="82" t="s">
        <v>740</v>
      </c>
      <c r="I464" s="111" t="s">
        <v>431</v>
      </c>
      <c r="J464" s="111"/>
      <c r="K464" s="111"/>
      <c r="L464" s="111"/>
      <c r="M464" s="111"/>
      <c r="N464" s="111"/>
      <c r="O464" s="111"/>
      <c r="P464" s="111"/>
      <c r="Q464" s="111"/>
      <c r="R464" s="111"/>
      <c r="S464" s="111"/>
      <c r="U464" s="195" t="s">
        <v>926</v>
      </c>
    </row>
    <row r="465" spans="3:21" s="195" customFormat="1" x14ac:dyDescent="0.25">
      <c r="D465" s="14"/>
      <c r="I465" s="111"/>
      <c r="J465" s="111"/>
      <c r="K465" s="111"/>
      <c r="L465" s="111"/>
      <c r="M465" s="111"/>
      <c r="N465" s="111"/>
      <c r="O465" s="111"/>
      <c r="P465" s="111"/>
      <c r="Q465" s="111"/>
      <c r="R465" s="111"/>
      <c r="S465" s="111"/>
    </row>
    <row r="466" spans="3:21" s="195" customFormat="1" x14ac:dyDescent="0.25">
      <c r="C466" s="7" t="str">
        <f ca="1">INDEX('Version control'!$H$34:$H$60,MATCH($A$1,'Version control'!$F$34:$F$60,0),1)&amp;"-G: LV customer service model asset values"</f>
        <v>Input 501-G: LV customer service model asset values</v>
      </c>
      <c r="D466" s="7"/>
      <c r="E466" s="7"/>
      <c r="F466" s="7"/>
      <c r="G466" s="7"/>
      <c r="H466" s="7"/>
      <c r="I466" s="171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</row>
    <row r="467" spans="3:21" s="195" customFormat="1" x14ac:dyDescent="0.25">
      <c r="I467" s="111"/>
      <c r="J467" s="163"/>
      <c r="K467" s="163"/>
      <c r="L467" s="163"/>
      <c r="M467" s="163"/>
      <c r="N467" s="163"/>
      <c r="O467" s="163"/>
      <c r="P467" s="163"/>
      <c r="Q467" s="163"/>
      <c r="R467" s="163"/>
      <c r="S467" s="163"/>
    </row>
    <row r="468" spans="3:21" s="195" customFormat="1" x14ac:dyDescent="0.25">
      <c r="E468" s="96" t="s">
        <v>741</v>
      </c>
      <c r="I468" s="111"/>
      <c r="J468" s="111"/>
      <c r="K468" s="111"/>
      <c r="L468" s="111"/>
      <c r="M468" s="111"/>
      <c r="N468" s="111"/>
      <c r="O468" s="111"/>
      <c r="P468" s="111"/>
      <c r="Q468" s="111"/>
      <c r="R468" s="111"/>
      <c r="S468" s="111"/>
    </row>
    <row r="469" spans="3:21" s="195" customFormat="1" x14ac:dyDescent="0.25">
      <c r="F469" s="91" t="s">
        <v>1038</v>
      </c>
      <c r="G469" s="91" t="s">
        <v>610</v>
      </c>
      <c r="H469" s="91"/>
      <c r="I469" s="112"/>
      <c r="J469" s="232">
        <f t="shared" ref="J469:J481" si="43">CHOOSE(year_selection, L469,M469,N469,O469,P469,Q469,R469,S469)</f>
        <v>377.70000000000005</v>
      </c>
      <c r="K469" s="233"/>
      <c r="L469" s="333"/>
      <c r="M469" s="333"/>
      <c r="N469" s="333"/>
      <c r="O469" s="333">
        <v>377.70000000000005</v>
      </c>
      <c r="P469" s="333">
        <v>377.70000000000005</v>
      </c>
      <c r="Q469" s="333">
        <v>377.70000000000005</v>
      </c>
      <c r="R469" s="333">
        <v>377.70000000000005</v>
      </c>
      <c r="S469" s="333">
        <v>377.70000000000005</v>
      </c>
    </row>
    <row r="470" spans="3:21" s="195" customFormat="1" x14ac:dyDescent="0.25">
      <c r="F470" s="196" t="s">
        <v>1039</v>
      </c>
      <c r="G470" s="196" t="s">
        <v>610</v>
      </c>
      <c r="H470" s="196"/>
      <c r="I470" s="66"/>
      <c r="J470" s="348"/>
      <c r="K470" s="235"/>
      <c r="L470" s="348"/>
      <c r="M470" s="348"/>
      <c r="N470" s="348"/>
      <c r="O470" s="348"/>
      <c r="P470" s="348"/>
      <c r="Q470" s="348"/>
      <c r="R470" s="348"/>
      <c r="S470" s="348"/>
    </row>
    <row r="471" spans="3:21" s="195" customFormat="1" x14ac:dyDescent="0.25">
      <c r="F471" s="196" t="s">
        <v>1040</v>
      </c>
      <c r="G471" s="196" t="s">
        <v>610</v>
      </c>
      <c r="H471" s="196"/>
      <c r="I471" s="66"/>
      <c r="J471" s="234">
        <f t="shared" ref="J471" si="44">CHOOSE(year_selection, L471,M471,N471,O471,P471,Q471,R471,S471)</f>
        <v>508.75</v>
      </c>
      <c r="K471" s="235"/>
      <c r="L471" s="334"/>
      <c r="M471" s="334"/>
      <c r="N471" s="334"/>
      <c r="O471" s="334">
        <v>508.75</v>
      </c>
      <c r="P471" s="334">
        <v>508.75</v>
      </c>
      <c r="Q471" s="334">
        <v>508.75</v>
      </c>
      <c r="R471" s="334">
        <v>508.75</v>
      </c>
      <c r="S471" s="334">
        <v>508.75</v>
      </c>
    </row>
    <row r="472" spans="3:21" s="195" customFormat="1" x14ac:dyDescent="0.25">
      <c r="F472" s="196" t="s">
        <v>1041</v>
      </c>
      <c r="G472" s="196" t="s">
        <v>610</v>
      </c>
      <c r="H472" s="196"/>
      <c r="I472" s="66"/>
      <c r="J472" s="348"/>
      <c r="K472" s="235"/>
      <c r="L472" s="348"/>
      <c r="M472" s="348"/>
      <c r="N472" s="348"/>
      <c r="O472" s="348"/>
      <c r="P472" s="348"/>
      <c r="Q472" s="348"/>
      <c r="R472" s="348"/>
      <c r="S472" s="348"/>
    </row>
    <row r="473" spans="3:21" s="195" customFormat="1" x14ac:dyDescent="0.25">
      <c r="F473" s="196" t="s">
        <v>1042</v>
      </c>
      <c r="G473" s="196" t="s">
        <v>610</v>
      </c>
      <c r="H473" s="196"/>
      <c r="I473" s="66"/>
      <c r="J473" s="234">
        <f t="shared" ref="J473:J474" si="45">CHOOSE(year_selection, L473,M473,N473,O473,P473,Q473,R473,S473)</f>
        <v>2380</v>
      </c>
      <c r="K473" s="235"/>
      <c r="L473" s="334"/>
      <c r="M473" s="334"/>
      <c r="N473" s="334"/>
      <c r="O473" s="334">
        <v>2380</v>
      </c>
      <c r="P473" s="334">
        <v>2380</v>
      </c>
      <c r="Q473" s="334">
        <v>2380</v>
      </c>
      <c r="R473" s="334">
        <v>2380</v>
      </c>
      <c r="S473" s="334">
        <v>2380</v>
      </c>
    </row>
    <row r="474" spans="3:21" s="195" customFormat="1" x14ac:dyDescent="0.25">
      <c r="F474" s="196" t="s">
        <v>1043</v>
      </c>
      <c r="G474" s="196" t="s">
        <v>610</v>
      </c>
      <c r="H474" s="196"/>
      <c r="I474" s="66"/>
      <c r="J474" s="234">
        <f t="shared" si="45"/>
        <v>840</v>
      </c>
      <c r="K474" s="235"/>
      <c r="L474" s="334"/>
      <c r="M474" s="334"/>
      <c r="N474" s="334"/>
      <c r="O474" s="334">
        <v>840</v>
      </c>
      <c r="P474" s="334">
        <v>840</v>
      </c>
      <c r="Q474" s="334">
        <v>840</v>
      </c>
      <c r="R474" s="334">
        <v>840</v>
      </c>
      <c r="S474" s="334">
        <v>840</v>
      </c>
    </row>
    <row r="475" spans="3:21" s="195" customFormat="1" x14ac:dyDescent="0.25">
      <c r="F475" s="196" t="s">
        <v>1044</v>
      </c>
      <c r="G475" s="196" t="s">
        <v>610</v>
      </c>
      <c r="H475" s="196"/>
      <c r="I475" s="66"/>
      <c r="J475" s="348"/>
      <c r="K475" s="235"/>
      <c r="L475" s="348"/>
      <c r="M475" s="348"/>
      <c r="N475" s="348"/>
      <c r="O475" s="348"/>
      <c r="P475" s="348"/>
      <c r="Q475" s="348"/>
      <c r="R475" s="348"/>
      <c r="S475" s="348"/>
    </row>
    <row r="476" spans="3:21" s="195" customFormat="1" x14ac:dyDescent="0.25">
      <c r="F476" s="196" t="s">
        <v>1045</v>
      </c>
      <c r="G476" s="196" t="s">
        <v>610</v>
      </c>
      <c r="H476" s="196"/>
      <c r="I476" s="66"/>
      <c r="J476" s="348"/>
      <c r="K476" s="235"/>
      <c r="L476" s="348"/>
      <c r="M476" s="348"/>
      <c r="N476" s="348"/>
      <c r="O476" s="348"/>
      <c r="P476" s="348"/>
      <c r="Q476" s="348"/>
      <c r="R476" s="348"/>
      <c r="S476" s="348"/>
    </row>
    <row r="477" spans="3:21" s="195" customFormat="1" x14ac:dyDescent="0.25">
      <c r="F477" s="196" t="s">
        <v>1046</v>
      </c>
      <c r="G477" s="196" t="s">
        <v>610</v>
      </c>
      <c r="H477" s="196"/>
      <c r="I477" s="66"/>
      <c r="J477" s="234">
        <f t="shared" ref="J477" si="46">CHOOSE(year_selection, L477,M477,N477,O477,P477,Q477,R477,S477)</f>
        <v>0</v>
      </c>
      <c r="K477" s="235"/>
      <c r="L477" s="334"/>
      <c r="M477" s="334"/>
      <c r="N477" s="334"/>
      <c r="O477" s="334">
        <v>0</v>
      </c>
      <c r="P477" s="334">
        <v>0</v>
      </c>
      <c r="Q477" s="334">
        <v>0</v>
      </c>
      <c r="R477" s="334">
        <v>0</v>
      </c>
      <c r="S477" s="334">
        <v>0</v>
      </c>
    </row>
    <row r="478" spans="3:21" s="195" customFormat="1" x14ac:dyDescent="0.25">
      <c r="F478" s="196" t="s">
        <v>1047</v>
      </c>
      <c r="G478" s="196" t="s">
        <v>610</v>
      </c>
      <c r="H478" s="196"/>
      <c r="I478" s="66"/>
      <c r="J478" s="234">
        <f t="shared" si="43"/>
        <v>0</v>
      </c>
      <c r="K478" s="235"/>
      <c r="L478" s="334"/>
      <c r="M478" s="334"/>
      <c r="N478" s="334"/>
      <c r="O478" s="334">
        <v>0</v>
      </c>
      <c r="P478" s="334">
        <v>0</v>
      </c>
      <c r="Q478" s="334">
        <v>0</v>
      </c>
      <c r="R478" s="334">
        <v>0</v>
      </c>
      <c r="S478" s="334">
        <v>0</v>
      </c>
    </row>
    <row r="479" spans="3:21" s="195" customFormat="1" x14ac:dyDescent="0.25">
      <c r="F479" s="196" t="s">
        <v>1048</v>
      </c>
      <c r="G479" s="196" t="s">
        <v>610</v>
      </c>
      <c r="H479" s="196"/>
      <c r="I479" s="66"/>
      <c r="J479" s="234">
        <f t="shared" si="43"/>
        <v>0</v>
      </c>
      <c r="K479" s="235"/>
      <c r="L479" s="334"/>
      <c r="M479" s="334"/>
      <c r="N479" s="334"/>
      <c r="O479" s="334">
        <v>0</v>
      </c>
      <c r="P479" s="334">
        <v>0</v>
      </c>
      <c r="Q479" s="334">
        <v>0</v>
      </c>
      <c r="R479" s="334">
        <v>0</v>
      </c>
      <c r="S479" s="334">
        <v>0</v>
      </c>
    </row>
    <row r="480" spans="3:21" s="195" customFormat="1" x14ac:dyDescent="0.25">
      <c r="F480" s="196" t="s">
        <v>1049</v>
      </c>
      <c r="G480" s="196" t="s">
        <v>610</v>
      </c>
      <c r="H480" s="196"/>
      <c r="I480" s="66"/>
      <c r="J480" s="234">
        <f t="shared" si="43"/>
        <v>0</v>
      </c>
      <c r="K480" s="235"/>
      <c r="L480" s="334"/>
      <c r="M480" s="334"/>
      <c r="N480" s="334"/>
      <c r="O480" s="334">
        <v>0</v>
      </c>
      <c r="P480" s="334">
        <v>0</v>
      </c>
      <c r="Q480" s="334">
        <v>0</v>
      </c>
      <c r="R480" s="334">
        <v>0</v>
      </c>
      <c r="S480" s="334">
        <v>0</v>
      </c>
    </row>
    <row r="481" spans="3:21" s="195" customFormat="1" x14ac:dyDescent="0.25">
      <c r="F481" s="196" t="s">
        <v>1050</v>
      </c>
      <c r="G481" s="196" t="s">
        <v>610</v>
      </c>
      <c r="H481" s="196"/>
      <c r="I481" s="66"/>
      <c r="J481" s="234">
        <f t="shared" si="43"/>
        <v>0</v>
      </c>
      <c r="K481" s="235"/>
      <c r="L481" s="334"/>
      <c r="M481" s="334"/>
      <c r="N481" s="334"/>
      <c r="O481" s="334">
        <v>0</v>
      </c>
      <c r="P481" s="334">
        <v>0</v>
      </c>
      <c r="Q481" s="334">
        <v>0</v>
      </c>
      <c r="R481" s="334">
        <v>0</v>
      </c>
      <c r="S481" s="334">
        <v>0</v>
      </c>
    </row>
    <row r="482" spans="3:21" s="195" customFormat="1" x14ac:dyDescent="0.25">
      <c r="F482" s="196" t="s">
        <v>1051</v>
      </c>
      <c r="G482" s="196" t="s">
        <v>610</v>
      </c>
      <c r="H482" s="196"/>
      <c r="I482" s="66"/>
      <c r="J482" s="234">
        <f t="shared" ref="J482" si="47">CHOOSE(year_selection, L482,M482,N482,O482,P482,Q482,R482,S482)</f>
        <v>0</v>
      </c>
      <c r="K482" s="235"/>
      <c r="L482" s="334"/>
      <c r="M482" s="334"/>
      <c r="N482" s="334"/>
      <c r="O482" s="334">
        <v>0</v>
      </c>
      <c r="P482" s="334">
        <v>0</v>
      </c>
      <c r="Q482" s="334">
        <v>0</v>
      </c>
      <c r="R482" s="334">
        <v>0</v>
      </c>
      <c r="S482" s="334">
        <v>0</v>
      </c>
      <c r="T482" s="295"/>
    </row>
    <row r="483" spans="3:21" s="195" customFormat="1" x14ac:dyDescent="0.25">
      <c r="F483" s="196" t="s">
        <v>1052</v>
      </c>
      <c r="G483" s="196" t="s">
        <v>610</v>
      </c>
      <c r="H483" s="196"/>
      <c r="I483" s="66"/>
      <c r="J483" s="240"/>
      <c r="K483" s="235"/>
      <c r="L483" s="240"/>
      <c r="M483" s="240"/>
      <c r="N483" s="240"/>
      <c r="O483" s="240"/>
      <c r="P483" s="240"/>
      <c r="Q483" s="240"/>
      <c r="R483" s="240"/>
      <c r="S483" s="240"/>
    </row>
    <row r="484" spans="3:21" s="195" customFormat="1" x14ac:dyDescent="0.25">
      <c r="F484" s="93" t="s">
        <v>1053</v>
      </c>
      <c r="G484" s="93" t="s">
        <v>610</v>
      </c>
      <c r="H484" s="93"/>
      <c r="I484" s="145"/>
      <c r="J484" s="241"/>
      <c r="K484" s="237"/>
      <c r="L484" s="241"/>
      <c r="M484" s="241"/>
      <c r="N484" s="241"/>
      <c r="O484" s="241"/>
      <c r="P484" s="241"/>
      <c r="Q484" s="241"/>
      <c r="R484" s="241"/>
      <c r="S484" s="241"/>
    </row>
    <row r="485" spans="3:21" s="195" customFormat="1" x14ac:dyDescent="0.25">
      <c r="D485" s="14"/>
      <c r="I485" s="111"/>
      <c r="J485" s="238"/>
      <c r="K485" s="238"/>
      <c r="L485" s="238"/>
      <c r="M485" s="238"/>
      <c r="N485" s="238"/>
      <c r="O485" s="238"/>
      <c r="P485" s="238"/>
      <c r="Q485" s="238"/>
      <c r="R485" s="238"/>
      <c r="S485" s="238"/>
    </row>
    <row r="486" spans="3:21" s="195" customFormat="1" x14ac:dyDescent="0.25">
      <c r="C486" s="7" t="str">
        <f ca="1">INDEX('Version control'!$H$34:$H$60,MATCH($A$1,'Version control'!$F$34:$F$60,0),1)&amp;"-H: HV customer service model asset values"</f>
        <v>Input 501-H: HV customer service model asset values</v>
      </c>
      <c r="D486" s="7"/>
      <c r="E486" s="7"/>
      <c r="F486" s="7"/>
      <c r="G486" s="7"/>
      <c r="H486" s="7"/>
      <c r="I486" s="171"/>
      <c r="J486" s="243"/>
      <c r="K486" s="243"/>
      <c r="L486" s="243"/>
      <c r="M486" s="243"/>
      <c r="N486" s="243"/>
      <c r="O486" s="243"/>
      <c r="P486" s="243"/>
      <c r="Q486" s="243"/>
      <c r="R486" s="243"/>
      <c r="S486" s="243"/>
      <c r="T486" s="7"/>
      <c r="U486" s="7"/>
    </row>
    <row r="487" spans="3:21" s="195" customFormat="1" x14ac:dyDescent="0.25">
      <c r="I487" s="111"/>
      <c r="J487" s="244"/>
      <c r="K487" s="244"/>
      <c r="L487" s="244"/>
      <c r="M487" s="244"/>
      <c r="N487" s="244"/>
      <c r="O487" s="244"/>
      <c r="P487" s="244"/>
      <c r="Q487" s="244"/>
      <c r="R487" s="244"/>
      <c r="S487" s="244"/>
    </row>
    <row r="488" spans="3:21" s="195" customFormat="1" x14ac:dyDescent="0.25">
      <c r="E488" s="96" t="s">
        <v>742</v>
      </c>
      <c r="I488" s="111"/>
      <c r="J488" s="238"/>
      <c r="K488" s="238"/>
      <c r="L488" s="238"/>
      <c r="M488" s="238"/>
      <c r="N488" s="238"/>
      <c r="O488" s="238"/>
      <c r="P488" s="238"/>
      <c r="Q488" s="238"/>
      <c r="R488" s="238"/>
      <c r="S488" s="238"/>
    </row>
    <row r="489" spans="3:21" s="195" customFormat="1" x14ac:dyDescent="0.25">
      <c r="F489" s="91" t="s">
        <v>1038</v>
      </c>
      <c r="G489" s="91" t="s">
        <v>610</v>
      </c>
      <c r="H489" s="91"/>
      <c r="I489" s="112"/>
      <c r="J489" s="349"/>
      <c r="K489" s="233"/>
      <c r="L489" s="349"/>
      <c r="M489" s="349"/>
      <c r="N489" s="349"/>
      <c r="O489" s="349"/>
      <c r="P489" s="349"/>
      <c r="Q489" s="349"/>
      <c r="R489" s="349"/>
      <c r="S489" s="349"/>
    </row>
    <row r="490" spans="3:21" s="195" customFormat="1" x14ac:dyDescent="0.25">
      <c r="F490" s="196" t="s">
        <v>1039</v>
      </c>
      <c r="G490" s="196" t="s">
        <v>610</v>
      </c>
      <c r="H490" s="196"/>
      <c r="I490" s="66"/>
      <c r="J490" s="348"/>
      <c r="K490" s="235"/>
      <c r="L490" s="348"/>
      <c r="M490" s="348"/>
      <c r="N490" s="348"/>
      <c r="O490" s="348"/>
      <c r="P490" s="348"/>
      <c r="Q490" s="348"/>
      <c r="R490" s="348"/>
      <c r="S490" s="348"/>
    </row>
    <row r="491" spans="3:21" s="195" customFormat="1" x14ac:dyDescent="0.25">
      <c r="F491" s="196" t="s">
        <v>1040</v>
      </c>
      <c r="G491" s="196" t="s">
        <v>610</v>
      </c>
      <c r="H491" s="196"/>
      <c r="I491" s="66"/>
      <c r="J491" s="348"/>
      <c r="K491" s="235"/>
      <c r="L491" s="348"/>
      <c r="M491" s="348"/>
      <c r="N491" s="348"/>
      <c r="O491" s="348"/>
      <c r="P491" s="348"/>
      <c r="Q491" s="348"/>
      <c r="R491" s="348"/>
      <c r="S491" s="348"/>
    </row>
    <row r="492" spans="3:21" s="195" customFormat="1" x14ac:dyDescent="0.25">
      <c r="F492" s="196" t="s">
        <v>1041</v>
      </c>
      <c r="G492" s="196" t="s">
        <v>610</v>
      </c>
      <c r="H492" s="196"/>
      <c r="I492" s="66"/>
      <c r="J492" s="348"/>
      <c r="K492" s="235"/>
      <c r="L492" s="348"/>
      <c r="M492" s="348"/>
      <c r="N492" s="348"/>
      <c r="O492" s="348"/>
      <c r="P492" s="348"/>
      <c r="Q492" s="348"/>
      <c r="R492" s="348"/>
      <c r="S492" s="348"/>
    </row>
    <row r="493" spans="3:21" s="195" customFormat="1" x14ac:dyDescent="0.25">
      <c r="F493" s="196" t="s">
        <v>1042</v>
      </c>
      <c r="G493" s="196" t="s">
        <v>610</v>
      </c>
      <c r="H493" s="196"/>
      <c r="I493" s="66"/>
      <c r="J493" s="348"/>
      <c r="K493" s="235"/>
      <c r="L493" s="348"/>
      <c r="M493" s="348"/>
      <c r="N493" s="348"/>
      <c r="O493" s="348"/>
      <c r="P493" s="348"/>
      <c r="Q493" s="348"/>
      <c r="R493" s="348"/>
      <c r="S493" s="348"/>
    </row>
    <row r="494" spans="3:21" s="195" customFormat="1" x14ac:dyDescent="0.25">
      <c r="F494" s="196" t="s">
        <v>1043</v>
      </c>
      <c r="G494" s="196" t="s">
        <v>610</v>
      </c>
      <c r="H494" s="196"/>
      <c r="I494" s="66"/>
      <c r="J494" s="348"/>
      <c r="K494" s="235"/>
      <c r="L494" s="348"/>
      <c r="M494" s="348"/>
      <c r="N494" s="348"/>
      <c r="O494" s="348"/>
      <c r="P494" s="348"/>
      <c r="Q494" s="348"/>
      <c r="R494" s="348"/>
      <c r="S494" s="348"/>
    </row>
    <row r="495" spans="3:21" s="195" customFormat="1" x14ac:dyDescent="0.25">
      <c r="F495" s="196" t="s">
        <v>1044</v>
      </c>
      <c r="G495" s="196" t="s">
        <v>610</v>
      </c>
      <c r="H495" s="196"/>
      <c r="I495" s="66"/>
      <c r="J495" s="234">
        <f t="shared" ref="J495" si="48">CHOOSE(year_selection, L495,M495,N495,O495,P495,Q495,R495,S495)</f>
        <v>12718.10554</v>
      </c>
      <c r="K495" s="235"/>
      <c r="L495" s="334"/>
      <c r="M495" s="334"/>
      <c r="N495" s="334"/>
      <c r="O495" s="334">
        <v>12718.10554</v>
      </c>
      <c r="P495" s="334">
        <v>12718.10554</v>
      </c>
      <c r="Q495" s="334">
        <v>12718.10554</v>
      </c>
      <c r="R495" s="334">
        <v>12718.10554</v>
      </c>
      <c r="S495" s="334">
        <v>12718.10554</v>
      </c>
    </row>
    <row r="496" spans="3:21" s="195" customFormat="1" x14ac:dyDescent="0.25">
      <c r="F496" s="196" t="s">
        <v>1045</v>
      </c>
      <c r="G496" s="196" t="s">
        <v>610</v>
      </c>
      <c r="H496" s="196"/>
      <c r="I496" s="66"/>
      <c r="J496" s="348"/>
      <c r="K496" s="235"/>
      <c r="L496" s="348"/>
      <c r="M496" s="348"/>
      <c r="N496" s="348"/>
      <c r="O496" s="348"/>
      <c r="P496" s="348"/>
      <c r="Q496" s="348"/>
      <c r="R496" s="348"/>
      <c r="S496" s="348"/>
    </row>
    <row r="497" spans="3:21" s="195" customFormat="1" x14ac:dyDescent="0.25">
      <c r="F497" s="196" t="s">
        <v>1046</v>
      </c>
      <c r="G497" s="196" t="s">
        <v>610</v>
      </c>
      <c r="H497" s="196"/>
      <c r="I497" s="66"/>
      <c r="J497" s="348"/>
      <c r="K497" s="235"/>
      <c r="L497" s="348"/>
      <c r="M497" s="348"/>
      <c r="N497" s="348"/>
      <c r="O497" s="348"/>
      <c r="P497" s="348"/>
      <c r="Q497" s="348"/>
      <c r="R497" s="348"/>
      <c r="S497" s="348"/>
    </row>
    <row r="498" spans="3:21" s="195" customFormat="1" x14ac:dyDescent="0.25">
      <c r="F498" s="196" t="s">
        <v>1047</v>
      </c>
      <c r="G498" s="196" t="s">
        <v>610</v>
      </c>
      <c r="H498" s="196"/>
      <c r="I498" s="66"/>
      <c r="J498" s="348"/>
      <c r="K498" s="235"/>
      <c r="L498" s="348"/>
      <c r="M498" s="348"/>
      <c r="N498" s="348"/>
      <c r="O498" s="348"/>
      <c r="P498" s="348"/>
      <c r="Q498" s="348"/>
      <c r="R498" s="348"/>
      <c r="S498" s="348"/>
    </row>
    <row r="499" spans="3:21" s="195" customFormat="1" x14ac:dyDescent="0.25">
      <c r="F499" s="196" t="s">
        <v>1048</v>
      </c>
      <c r="G499" s="196" t="s">
        <v>610</v>
      </c>
      <c r="H499" s="196"/>
      <c r="I499" s="66"/>
      <c r="J499" s="348"/>
      <c r="K499" s="235"/>
      <c r="L499" s="348"/>
      <c r="M499" s="348"/>
      <c r="N499" s="348"/>
      <c r="O499" s="348"/>
      <c r="P499" s="348"/>
      <c r="Q499" s="348"/>
      <c r="R499" s="348"/>
      <c r="S499" s="348"/>
    </row>
    <row r="500" spans="3:21" s="195" customFormat="1" x14ac:dyDescent="0.25">
      <c r="F500" s="196" t="s">
        <v>1049</v>
      </c>
      <c r="G500" s="196" t="s">
        <v>610</v>
      </c>
      <c r="H500" s="196"/>
      <c r="I500" s="66"/>
      <c r="J500" s="348"/>
      <c r="K500" s="235"/>
      <c r="L500" s="348"/>
      <c r="M500" s="348"/>
      <c r="N500" s="348"/>
      <c r="O500" s="348"/>
      <c r="P500" s="348"/>
      <c r="Q500" s="348"/>
      <c r="R500" s="348"/>
      <c r="S500" s="348"/>
    </row>
    <row r="501" spans="3:21" s="195" customFormat="1" x14ac:dyDescent="0.25">
      <c r="F501" s="196" t="s">
        <v>1050</v>
      </c>
      <c r="G501" s="196" t="s">
        <v>610</v>
      </c>
      <c r="H501" s="196"/>
      <c r="I501" s="66"/>
      <c r="J501" s="348"/>
      <c r="K501" s="235"/>
      <c r="L501" s="348"/>
      <c r="M501" s="348"/>
      <c r="N501" s="348"/>
      <c r="O501" s="348"/>
      <c r="P501" s="348"/>
      <c r="Q501" s="348"/>
      <c r="R501" s="348"/>
      <c r="S501" s="348"/>
    </row>
    <row r="502" spans="3:21" s="195" customFormat="1" x14ac:dyDescent="0.25">
      <c r="F502" s="196" t="s">
        <v>1051</v>
      </c>
      <c r="G502" s="196" t="s">
        <v>610</v>
      </c>
      <c r="H502" s="196"/>
      <c r="I502" s="66"/>
      <c r="J502" s="348"/>
      <c r="K502" s="235"/>
      <c r="L502" s="348"/>
      <c r="M502" s="348"/>
      <c r="N502" s="348"/>
      <c r="O502" s="348"/>
      <c r="P502" s="348"/>
      <c r="Q502" s="348"/>
      <c r="R502" s="348"/>
      <c r="S502" s="348"/>
      <c r="T502" s="295"/>
    </row>
    <row r="503" spans="3:21" s="195" customFormat="1" x14ac:dyDescent="0.25">
      <c r="F503" s="196" t="s">
        <v>1052</v>
      </c>
      <c r="G503" s="196" t="s">
        <v>610</v>
      </c>
      <c r="H503" s="196"/>
      <c r="I503" s="66"/>
      <c r="J503" s="234">
        <f t="shared" ref="J503" si="49">CHOOSE(year_selection, L503,M503,N503,O503,P503,Q503,R503,S503)</f>
        <v>9287</v>
      </c>
      <c r="K503" s="235"/>
      <c r="L503" s="334"/>
      <c r="M503" s="334"/>
      <c r="N503" s="334"/>
      <c r="O503" s="334">
        <v>9287</v>
      </c>
      <c r="P503" s="334">
        <v>9287</v>
      </c>
      <c r="Q503" s="334">
        <v>9287</v>
      </c>
      <c r="R503" s="334">
        <v>9287</v>
      </c>
      <c r="S503" s="334">
        <v>9287</v>
      </c>
      <c r="T503" s="295"/>
    </row>
    <row r="504" spans="3:21" s="195" customFormat="1" x14ac:dyDescent="0.25">
      <c r="F504" s="93" t="s">
        <v>1053</v>
      </c>
      <c r="G504" s="93" t="s">
        <v>610</v>
      </c>
      <c r="H504" s="93"/>
      <c r="I504" s="145"/>
      <c r="J504" s="236">
        <f t="shared" ref="J504" si="50">CHOOSE(year_selection, L504,M504,N504,O504,P504,Q504,R504,S504)</f>
        <v>9287</v>
      </c>
      <c r="K504" s="237"/>
      <c r="L504" s="335"/>
      <c r="M504" s="335"/>
      <c r="N504" s="335"/>
      <c r="O504" s="335">
        <v>9287</v>
      </c>
      <c r="P504" s="335">
        <v>9287</v>
      </c>
      <c r="Q504" s="335">
        <v>9287</v>
      </c>
      <c r="R504" s="335">
        <v>9287</v>
      </c>
      <c r="S504" s="335">
        <v>9287</v>
      </c>
      <c r="T504" s="295"/>
    </row>
    <row r="505" spans="3:21" s="195" customFormat="1" x14ac:dyDescent="0.25">
      <c r="D505" s="14"/>
      <c r="I505" s="111"/>
      <c r="J505" s="238"/>
      <c r="K505" s="238"/>
      <c r="L505" s="238"/>
      <c r="M505" s="238"/>
      <c r="N505" s="238"/>
      <c r="O505" s="238"/>
      <c r="P505" s="238"/>
      <c r="Q505" s="238"/>
      <c r="R505" s="238"/>
      <c r="S505" s="238"/>
    </row>
    <row r="506" spans="3:21" s="195" customFormat="1" x14ac:dyDescent="0.25">
      <c r="C506" s="7" t="str">
        <f ca="1">INDEX('Version control'!$H$34:$H$60,MATCH($A$1,'Version control'!$F$34:$F$60,0),1)&amp;"-I: LV UMS customer service model asset values"</f>
        <v>Input 501-I: LV UMS customer service model asset values</v>
      </c>
      <c r="D506" s="7"/>
      <c r="E506" s="7"/>
      <c r="F506" s="7"/>
      <c r="G506" s="7"/>
      <c r="H506" s="7"/>
      <c r="I506" s="171"/>
      <c r="J506" s="243"/>
      <c r="K506" s="243"/>
      <c r="L506" s="243"/>
      <c r="M506" s="243"/>
      <c r="N506" s="243"/>
      <c r="O506" s="243"/>
      <c r="P506" s="243"/>
      <c r="Q506" s="243"/>
      <c r="R506" s="243"/>
      <c r="S506" s="243"/>
      <c r="T506" s="7"/>
      <c r="U506" s="7"/>
    </row>
    <row r="507" spans="3:21" s="195" customFormat="1" x14ac:dyDescent="0.25">
      <c r="I507" s="111"/>
      <c r="J507" s="244"/>
      <c r="K507" s="244"/>
      <c r="L507" s="244"/>
      <c r="M507" s="244"/>
      <c r="N507" s="244"/>
      <c r="O507" s="244"/>
      <c r="P507" s="244"/>
      <c r="Q507" s="244"/>
      <c r="R507" s="244"/>
      <c r="S507" s="244"/>
    </row>
    <row r="508" spans="3:21" s="195" customFormat="1" x14ac:dyDescent="0.25">
      <c r="E508" s="96" t="s">
        <v>743</v>
      </c>
      <c r="I508" s="111" t="s">
        <v>431</v>
      </c>
      <c r="J508" s="238"/>
      <c r="K508" s="238"/>
      <c r="L508" s="238"/>
      <c r="M508" s="238"/>
      <c r="N508" s="238"/>
      <c r="O508" s="238"/>
      <c r="P508" s="238"/>
      <c r="Q508" s="238"/>
      <c r="R508" s="238"/>
      <c r="S508" s="238"/>
      <c r="U508" s="195" t="s">
        <v>813</v>
      </c>
    </row>
    <row r="509" spans="3:21" s="195" customFormat="1" x14ac:dyDescent="0.25">
      <c r="F509" s="91" t="s">
        <v>1038</v>
      </c>
      <c r="G509" s="91" t="s">
        <v>328</v>
      </c>
      <c r="H509" s="91"/>
      <c r="I509" s="112"/>
      <c r="J509" s="239"/>
      <c r="K509" s="233"/>
      <c r="L509" s="239"/>
      <c r="M509" s="239"/>
      <c r="N509" s="239"/>
      <c r="O509" s="239"/>
      <c r="P509" s="239"/>
      <c r="Q509" s="239"/>
      <c r="R509" s="239"/>
      <c r="S509" s="239"/>
    </row>
    <row r="510" spans="3:21" s="195" customFormat="1" x14ac:dyDescent="0.25">
      <c r="F510" s="196" t="s">
        <v>1039</v>
      </c>
      <c r="G510" s="196" t="s">
        <v>328</v>
      </c>
      <c r="H510" s="196"/>
      <c r="I510" s="66"/>
      <c r="J510" s="240"/>
      <c r="K510" s="235"/>
      <c r="L510" s="240"/>
      <c r="M510" s="240"/>
      <c r="N510" s="240"/>
      <c r="O510" s="240"/>
      <c r="P510" s="240"/>
      <c r="Q510" s="240"/>
      <c r="R510" s="240"/>
      <c r="S510" s="240"/>
    </row>
    <row r="511" spans="3:21" s="195" customFormat="1" x14ac:dyDescent="0.25">
      <c r="F511" s="196" t="s">
        <v>1040</v>
      </c>
      <c r="G511" s="196" t="s">
        <v>328</v>
      </c>
      <c r="H511" s="196"/>
      <c r="I511" s="66"/>
      <c r="J511" s="240"/>
      <c r="K511" s="235"/>
      <c r="L511" s="240"/>
      <c r="M511" s="240"/>
      <c r="N511" s="240"/>
      <c r="O511" s="240"/>
      <c r="P511" s="240"/>
      <c r="Q511" s="240"/>
      <c r="R511" s="240"/>
      <c r="S511" s="240"/>
    </row>
    <row r="512" spans="3:21" s="195" customFormat="1" x14ac:dyDescent="0.25">
      <c r="F512" s="196" t="s">
        <v>1041</v>
      </c>
      <c r="G512" s="196" t="s">
        <v>328</v>
      </c>
      <c r="H512" s="196"/>
      <c r="I512" s="66"/>
      <c r="J512" s="240"/>
      <c r="K512" s="235"/>
      <c r="L512" s="240"/>
      <c r="M512" s="240"/>
      <c r="N512" s="240"/>
      <c r="O512" s="240"/>
      <c r="P512" s="240"/>
      <c r="Q512" s="240"/>
      <c r="R512" s="240"/>
      <c r="S512" s="240"/>
    </row>
    <row r="513" spans="2:49" s="195" customFormat="1" x14ac:dyDescent="0.25">
      <c r="F513" s="196" t="s">
        <v>1042</v>
      </c>
      <c r="G513" s="196" t="s">
        <v>328</v>
      </c>
      <c r="H513" s="196"/>
      <c r="I513" s="66"/>
      <c r="J513" s="240"/>
      <c r="K513" s="235"/>
      <c r="L513" s="240"/>
      <c r="M513" s="240"/>
      <c r="N513" s="240"/>
      <c r="O513" s="240"/>
      <c r="P513" s="240"/>
      <c r="Q513" s="240"/>
      <c r="R513" s="240"/>
      <c r="S513" s="240"/>
    </row>
    <row r="514" spans="2:49" s="195" customFormat="1" x14ac:dyDescent="0.25">
      <c r="F514" s="196" t="s">
        <v>1043</v>
      </c>
      <c r="G514" s="196" t="s">
        <v>328</v>
      </c>
      <c r="H514" s="196"/>
      <c r="I514" s="66"/>
      <c r="J514" s="240"/>
      <c r="K514" s="235"/>
      <c r="L514" s="240"/>
      <c r="M514" s="240"/>
      <c r="N514" s="240"/>
      <c r="O514" s="240"/>
      <c r="P514" s="240"/>
      <c r="Q514" s="240"/>
      <c r="R514" s="240"/>
      <c r="S514" s="240"/>
    </row>
    <row r="515" spans="2:49" s="195" customFormat="1" x14ac:dyDescent="0.25">
      <c r="F515" s="196" t="s">
        <v>1044</v>
      </c>
      <c r="G515" s="196" t="s">
        <v>328</v>
      </c>
      <c r="H515" s="196"/>
      <c r="I515" s="66"/>
      <c r="J515" s="240"/>
      <c r="K515" s="235"/>
      <c r="L515" s="240"/>
      <c r="M515" s="240"/>
      <c r="N515" s="240"/>
      <c r="O515" s="240"/>
      <c r="P515" s="240"/>
      <c r="Q515" s="240"/>
      <c r="R515" s="240"/>
      <c r="S515" s="240"/>
    </row>
    <row r="516" spans="2:49" s="195" customFormat="1" x14ac:dyDescent="0.25">
      <c r="F516" s="196" t="s">
        <v>1045</v>
      </c>
      <c r="G516" s="196" t="s">
        <v>328</v>
      </c>
      <c r="H516" s="196"/>
      <c r="I516" s="66"/>
      <c r="J516" s="234">
        <f>CHOOSE(year_selection, L516,M516,N516,O516,P516,Q516,R516,S516)</f>
        <v>120.51</v>
      </c>
      <c r="K516" s="235"/>
      <c r="L516" s="334"/>
      <c r="M516" s="334"/>
      <c r="N516" s="334"/>
      <c r="O516" s="334">
        <v>120.51</v>
      </c>
      <c r="P516" s="334">
        <v>120.51</v>
      </c>
      <c r="Q516" s="334">
        <v>120.51</v>
      </c>
      <c r="R516" s="334">
        <v>120.51</v>
      </c>
      <c r="S516" s="334">
        <v>120.51</v>
      </c>
    </row>
    <row r="517" spans="2:49" s="195" customFormat="1" x14ac:dyDescent="0.25">
      <c r="F517" s="196" t="s">
        <v>1046</v>
      </c>
      <c r="G517" s="196" t="s">
        <v>328</v>
      </c>
      <c r="H517" s="196"/>
      <c r="I517" s="66"/>
      <c r="J517" s="240"/>
      <c r="K517" s="235"/>
      <c r="L517" s="240"/>
      <c r="M517" s="240"/>
      <c r="N517" s="240"/>
      <c r="O517" s="240"/>
      <c r="P517" s="240"/>
      <c r="Q517" s="240"/>
      <c r="R517" s="240"/>
      <c r="S517" s="240"/>
    </row>
    <row r="518" spans="2:49" s="195" customFormat="1" x14ac:dyDescent="0.25">
      <c r="F518" s="196" t="s">
        <v>1047</v>
      </c>
      <c r="G518" s="196" t="s">
        <v>328</v>
      </c>
      <c r="H518" s="196"/>
      <c r="I518" s="66"/>
      <c r="J518" s="240"/>
      <c r="K518" s="235"/>
      <c r="L518" s="240"/>
      <c r="M518" s="240"/>
      <c r="N518" s="240"/>
      <c r="O518" s="240"/>
      <c r="P518" s="240"/>
      <c r="Q518" s="240"/>
      <c r="R518" s="240"/>
      <c r="S518" s="240"/>
    </row>
    <row r="519" spans="2:49" s="195" customFormat="1" x14ac:dyDescent="0.25">
      <c r="F519" s="196" t="s">
        <v>1048</v>
      </c>
      <c r="G519" s="196" t="s">
        <v>328</v>
      </c>
      <c r="H519" s="196"/>
      <c r="I519" s="66"/>
      <c r="J519" s="240"/>
      <c r="K519" s="235"/>
      <c r="L519" s="240"/>
      <c r="M519" s="240"/>
      <c r="N519" s="240"/>
      <c r="O519" s="240"/>
      <c r="P519" s="240"/>
      <c r="Q519" s="240"/>
      <c r="R519" s="240"/>
      <c r="S519" s="240"/>
    </row>
    <row r="520" spans="2:49" s="195" customFormat="1" x14ac:dyDescent="0.25">
      <c r="F520" s="196" t="s">
        <v>1049</v>
      </c>
      <c r="G520" s="196" t="s">
        <v>328</v>
      </c>
      <c r="H520" s="196"/>
      <c r="I520" s="66"/>
      <c r="J520" s="240"/>
      <c r="K520" s="235"/>
      <c r="L520" s="240"/>
      <c r="M520" s="240"/>
      <c r="N520" s="240"/>
      <c r="O520" s="240"/>
      <c r="P520" s="240"/>
      <c r="Q520" s="240"/>
      <c r="R520" s="240"/>
      <c r="S520" s="240"/>
    </row>
    <row r="521" spans="2:49" s="195" customFormat="1" x14ac:dyDescent="0.25">
      <c r="F521" s="196" t="s">
        <v>1050</v>
      </c>
      <c r="G521" s="196" t="s">
        <v>328</v>
      </c>
      <c r="H521" s="196"/>
      <c r="I521" s="66"/>
      <c r="J521" s="240"/>
      <c r="K521" s="235"/>
      <c r="L521" s="240"/>
      <c r="M521" s="240"/>
      <c r="N521" s="240"/>
      <c r="O521" s="240"/>
      <c r="P521" s="240"/>
      <c r="Q521" s="240"/>
      <c r="R521" s="240"/>
      <c r="S521" s="240"/>
    </row>
    <row r="522" spans="2:49" s="195" customFormat="1" x14ac:dyDescent="0.25">
      <c r="F522" s="196" t="s">
        <v>1051</v>
      </c>
      <c r="G522" s="196" t="s">
        <v>328</v>
      </c>
      <c r="H522" s="196"/>
      <c r="I522" s="66"/>
      <c r="J522" s="240"/>
      <c r="K522" s="235"/>
      <c r="L522" s="240"/>
      <c r="M522" s="240"/>
      <c r="N522" s="240"/>
      <c r="O522" s="240"/>
      <c r="P522" s="240"/>
      <c r="Q522" s="240"/>
      <c r="R522" s="240"/>
      <c r="S522" s="240"/>
    </row>
    <row r="523" spans="2:49" s="195" customFormat="1" x14ac:dyDescent="0.25">
      <c r="F523" s="196" t="s">
        <v>1052</v>
      </c>
      <c r="G523" s="196" t="s">
        <v>328</v>
      </c>
      <c r="H523" s="196"/>
      <c r="I523" s="66"/>
      <c r="J523" s="240"/>
      <c r="K523" s="235"/>
      <c r="L523" s="240"/>
      <c r="M523" s="240"/>
      <c r="N523" s="240"/>
      <c r="O523" s="240"/>
      <c r="P523" s="240"/>
      <c r="Q523" s="240"/>
      <c r="R523" s="240"/>
      <c r="S523" s="240"/>
      <c r="T523" s="295"/>
    </row>
    <row r="524" spans="2:49" s="195" customFormat="1" x14ac:dyDescent="0.25">
      <c r="F524" s="93" t="s">
        <v>1053</v>
      </c>
      <c r="G524" s="93" t="s">
        <v>328</v>
      </c>
      <c r="H524" s="93"/>
      <c r="I524" s="145"/>
      <c r="J524" s="241"/>
      <c r="K524" s="237"/>
      <c r="L524" s="241"/>
      <c r="M524" s="241"/>
      <c r="N524" s="241"/>
      <c r="O524" s="241"/>
      <c r="P524" s="241"/>
      <c r="Q524" s="241"/>
      <c r="R524" s="241"/>
      <c r="S524" s="241"/>
      <c r="T524" s="295"/>
    </row>
    <row r="525" spans="2:49" s="195" customFormat="1" x14ac:dyDescent="0.25">
      <c r="D525" s="14"/>
      <c r="I525" s="111"/>
      <c r="J525" s="111"/>
      <c r="K525" s="111"/>
      <c r="L525" s="111"/>
      <c r="M525" s="111"/>
      <c r="N525" s="111"/>
      <c r="O525" s="111"/>
      <c r="P525" s="111"/>
      <c r="Q525" s="111"/>
      <c r="R525" s="111"/>
      <c r="S525" s="111"/>
    </row>
    <row r="526" spans="2:49" x14ac:dyDescent="0.25">
      <c r="B526" s="95" t="s">
        <v>109</v>
      </c>
      <c r="C526" s="95"/>
      <c r="D526" s="95"/>
      <c r="E526" s="95"/>
      <c r="F526" s="95"/>
      <c r="G526" s="95"/>
      <c r="H526" s="95"/>
      <c r="I526" s="160"/>
      <c r="J526" s="160"/>
      <c r="K526" s="160"/>
      <c r="L526" s="160"/>
      <c r="M526" s="160"/>
      <c r="N526" s="160"/>
      <c r="O526" s="160"/>
      <c r="P526" s="160"/>
      <c r="Q526" s="160"/>
      <c r="R526" s="160"/>
      <c r="S526" s="160"/>
      <c r="T526" s="95"/>
      <c r="U526" s="95"/>
      <c r="W526" s="95"/>
      <c r="X526" s="95"/>
      <c r="Y526" s="95"/>
      <c r="Z526" s="95"/>
      <c r="AA526" s="95"/>
      <c r="AB526" s="95"/>
      <c r="AC526" s="95"/>
      <c r="AD526" s="95"/>
      <c r="AE526" s="95"/>
      <c r="AF526" s="95"/>
      <c r="AG526" s="95"/>
      <c r="AH526" s="95"/>
      <c r="AI526" s="95"/>
      <c r="AJ526" s="95"/>
      <c r="AK526" s="95"/>
      <c r="AL526" s="95"/>
      <c r="AM526" s="95"/>
      <c r="AN526" s="95"/>
      <c r="AO526" s="95"/>
      <c r="AP526" s="95"/>
      <c r="AQ526" s="95"/>
      <c r="AR526" s="95"/>
      <c r="AS526" s="95"/>
      <c r="AT526" s="95"/>
      <c r="AU526" s="95"/>
      <c r="AV526" s="95"/>
      <c r="AW526" s="95"/>
    </row>
    <row r="527" spans="2:49" x14ac:dyDescent="0.25">
      <c r="H527" s="111"/>
      <c r="J527" s="111"/>
      <c r="K527" s="111"/>
      <c r="L527" s="111"/>
      <c r="M527" s="111"/>
      <c r="N527" s="111"/>
      <c r="O527" s="111"/>
      <c r="P527" s="111"/>
      <c r="Q527" s="111"/>
      <c r="R527" s="111"/>
      <c r="S527" s="111"/>
    </row>
    <row r="528" spans="2:49" x14ac:dyDescent="0.25">
      <c r="E528" s="85" t="s">
        <v>516</v>
      </c>
      <c r="G528" s="60" t="s">
        <v>692</v>
      </c>
      <c r="H528" s="178">
        <f t="array" ref="H528">SUM(IF(ISERROR(H19:S525), 1))</f>
        <v>0</v>
      </c>
      <c r="J528" s="111"/>
      <c r="K528" s="111"/>
      <c r="L528" s="111"/>
      <c r="M528" s="111"/>
      <c r="N528" s="111"/>
      <c r="O528" s="111"/>
      <c r="P528" s="111"/>
      <c r="Q528" s="111"/>
      <c r="R528" s="111"/>
      <c r="S528" s="111"/>
    </row>
    <row r="529" spans="2:49" x14ac:dyDescent="0.25">
      <c r="H529" s="111"/>
      <c r="J529" s="111"/>
      <c r="K529" s="111"/>
      <c r="L529" s="111"/>
      <c r="M529" s="111"/>
      <c r="N529" s="111"/>
      <c r="O529" s="111"/>
      <c r="P529" s="111"/>
      <c r="Q529" s="111"/>
      <c r="R529" s="111"/>
      <c r="S529" s="111"/>
    </row>
    <row r="530" spans="2:49" x14ac:dyDescent="0.25">
      <c r="E530" s="85" t="s">
        <v>446</v>
      </c>
      <c r="G530" s="60" t="s">
        <v>692</v>
      </c>
      <c r="H530" s="212">
        <f>SUM(H528)</f>
        <v>0</v>
      </c>
      <c r="J530" s="111"/>
      <c r="K530" s="111"/>
      <c r="L530" s="111"/>
      <c r="M530" s="111"/>
      <c r="N530" s="111"/>
      <c r="O530" s="111"/>
      <c r="P530" s="111"/>
      <c r="Q530" s="111"/>
      <c r="R530" s="111"/>
      <c r="S530" s="111"/>
    </row>
    <row r="531" spans="2:49" x14ac:dyDescent="0.25">
      <c r="J531" s="111"/>
      <c r="K531" s="111"/>
      <c r="L531" s="111"/>
      <c r="M531" s="111"/>
      <c r="N531" s="111"/>
      <c r="O531" s="111"/>
      <c r="P531" s="111"/>
      <c r="Q531" s="111"/>
      <c r="R531" s="111"/>
      <c r="S531" s="111"/>
    </row>
    <row r="532" spans="2:49" x14ac:dyDescent="0.25">
      <c r="B532" s="95" t="s">
        <v>110</v>
      </c>
      <c r="C532" s="95"/>
      <c r="D532" s="95"/>
      <c r="E532" s="95"/>
      <c r="F532" s="95"/>
      <c r="G532" s="95"/>
      <c r="H532" s="95"/>
      <c r="I532" s="160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W532" s="95"/>
      <c r="X532" s="95"/>
      <c r="Y532" s="95"/>
      <c r="Z532" s="95"/>
      <c r="AA532" s="95"/>
      <c r="AB532" s="95"/>
      <c r="AC532" s="95"/>
      <c r="AD532" s="95"/>
      <c r="AE532" s="95"/>
      <c r="AF532" s="95"/>
      <c r="AG532" s="95"/>
      <c r="AH532" s="95"/>
      <c r="AI532" s="95"/>
      <c r="AJ532" s="95"/>
      <c r="AK532" s="95"/>
      <c r="AL532" s="95"/>
      <c r="AM532" s="95"/>
      <c r="AN532" s="95"/>
      <c r="AO532" s="95"/>
      <c r="AP532" s="95"/>
      <c r="AQ532" s="95"/>
      <c r="AR532" s="95"/>
      <c r="AS532" s="95"/>
      <c r="AT532" s="95"/>
      <c r="AU532" s="95"/>
      <c r="AV532" s="95"/>
      <c r="AW532" s="95"/>
    </row>
  </sheetData>
  <sheetProtection formatCells="0" formatColumns="0" formatRows="0" sort="0" autoFilter="0"/>
  <conditionalFormatting sqref="H528">
    <cfRule type="cellIs" dxfId="249" priority="3" operator="greaterThan">
      <formula>0</formula>
    </cfRule>
  </conditionalFormatting>
  <conditionalFormatting sqref="H530">
    <cfRule type="cellIs" dxfId="248" priority="4" operator="greaterThan">
      <formula>0</formula>
    </cfRule>
  </conditionalFormatting>
  <conditionalFormatting sqref="A4:XFD4">
    <cfRule type="expression" dxfId="247" priority="1">
      <formula>LEFT($A$4,1) &lt;&gt; "0"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L516:S516 L491:S504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31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 activeCell="N11" sqref="N11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7109375" style="85" customWidth="1"/>
    <col min="9" max="9" width="2.28515625" style="85" customWidth="1"/>
    <col min="10" max="10" width="20.7109375" style="85" bestFit="1" customWidth="1"/>
    <col min="11" max="11" width="2.28515625" style="85" customWidth="1"/>
    <col min="12" max="19" width="14.85546875" style="85" bestFit="1" customWidth="1"/>
    <col min="20" max="20" width="2.28515625" style="85" customWidth="1"/>
    <col min="21" max="21" width="50.7109375" style="85" customWidth="1"/>
    <col min="22" max="22" width="2.28515625" style="85" customWidth="1"/>
    <col min="23" max="27" width="20.7109375" style="85" hidden="1" customWidth="1"/>
    <col min="28" max="28" width="2.7109375" style="85" hidden="1" customWidth="1"/>
    <col min="29" max="256" width="20.7109375" style="85" hidden="1" customWidth="1"/>
    <col min="257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ARP_Inputs by network level</v>
      </c>
    </row>
    <row r="2" spans="1:97" s="10" customFormat="1" x14ac:dyDescent="0.25">
      <c r="A2" s="10" t="str">
        <f>Cover!D21&amp;" - "&amp;Cover!D23</f>
        <v>SP Distribution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97" s="195" customFormat="1" x14ac:dyDescent="0.25">
      <c r="A4" s="229" t="str">
        <f>H218 &amp; IF(H218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(2021/22)</v>
      </c>
      <c r="L5" s="35" t="str">
        <f t="array" ref="L5:S6">TRANSPOSE('ARP_User control'!G28:H35)</f>
        <v>2018/19</v>
      </c>
      <c r="M5" s="35" t="str">
        <v>2019/20</v>
      </c>
      <c r="N5" s="35" t="str">
        <v>2020/21</v>
      </c>
      <c r="O5" s="35" t="str">
        <v>2021/22</v>
      </c>
      <c r="P5" s="35" t="str">
        <v>2022/23</v>
      </c>
      <c r="Q5" s="35" t="str">
        <v>2023/24</v>
      </c>
      <c r="R5" s="35" t="str">
        <v>2024/25</v>
      </c>
      <c r="S5" s="35" t="str">
        <v>2025/26</v>
      </c>
      <c r="U5" s="35"/>
    </row>
    <row r="6" spans="1:97" x14ac:dyDescent="0.25">
      <c r="B6" s="134" t="s">
        <v>552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W8" s="95"/>
      <c r="X8" s="95"/>
      <c r="Y8" s="95"/>
      <c r="Z8" s="95"/>
      <c r="AA8" s="95"/>
    </row>
    <row r="10" spans="1:97" x14ac:dyDescent="0.25">
      <c r="C10" s="82" t="s">
        <v>797</v>
      </c>
    </row>
    <row r="11" spans="1:97" s="295" customFormat="1" x14ac:dyDescent="0.25">
      <c r="C11" s="82" t="s">
        <v>796</v>
      </c>
    </row>
    <row r="12" spans="1:97" s="295" customFormat="1" x14ac:dyDescent="0.25">
      <c r="C12" s="82" t="s">
        <v>891</v>
      </c>
    </row>
    <row r="13" spans="1:97" x14ac:dyDescent="0.25">
      <c r="D13" s="14"/>
    </row>
    <row r="14" spans="1:97" x14ac:dyDescent="0.25">
      <c r="B14" s="95" t="s">
        <v>252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97" s="195" customFormat="1" x14ac:dyDescent="0.25">
      <c r="C16" s="7" t="str">
        <f ca="1">INDEX('Version control'!$H$34:$H$60,MATCH($A$1,'Version control'!$F$34:$F$60,0),1)&amp;"-A: Diversity allowance between top and bottom of network level"</f>
        <v>Input 502-A: Diversity allowance between top and bottom of network level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/>
    <row r="18" spans="3:21" x14ac:dyDescent="0.25">
      <c r="E18" s="146" t="s">
        <v>42</v>
      </c>
      <c r="G18" s="76"/>
      <c r="H18" s="92"/>
      <c r="I18" s="85" t="s">
        <v>431</v>
      </c>
      <c r="U18" s="90" t="s">
        <v>919</v>
      </c>
    </row>
    <row r="19" spans="3:21" x14ac:dyDescent="0.25">
      <c r="F19" s="16" t="s">
        <v>324</v>
      </c>
      <c r="G19" s="16" t="s">
        <v>94</v>
      </c>
      <c r="H19" s="91"/>
      <c r="I19" s="91"/>
      <c r="J19" s="245"/>
      <c r="K19" s="246"/>
      <c r="L19" s="245"/>
      <c r="M19" s="245"/>
      <c r="N19" s="245"/>
      <c r="O19" s="245"/>
      <c r="P19" s="245"/>
      <c r="Q19" s="245"/>
      <c r="R19" s="245"/>
      <c r="S19" s="245"/>
      <c r="U19" s="90"/>
    </row>
    <row r="20" spans="3:21" x14ac:dyDescent="0.25">
      <c r="F20" s="76" t="s">
        <v>43</v>
      </c>
      <c r="G20" s="76" t="s">
        <v>94</v>
      </c>
      <c r="H20" s="92"/>
      <c r="I20" s="92"/>
      <c r="J20" s="234">
        <f>CHOOSE(year_selection, L20,M20,N20,O20,P20,Q20,R20,S20)</f>
        <v>0.11600000000000001</v>
      </c>
      <c r="K20" s="250"/>
      <c r="L20" s="331">
        <v>0.11600000000000001</v>
      </c>
      <c r="M20" s="331">
        <v>0.11600000000000001</v>
      </c>
      <c r="N20" s="331">
        <v>0.11600000000000001</v>
      </c>
      <c r="O20" s="331">
        <v>0.11600000000000001</v>
      </c>
      <c r="P20" s="331">
        <v>0.11600000000000001</v>
      </c>
      <c r="Q20" s="331">
        <v>0.11600000000000001</v>
      </c>
      <c r="R20" s="331">
        <v>0.11600000000000001</v>
      </c>
      <c r="S20" s="331">
        <v>0.11600000000000001</v>
      </c>
      <c r="U20" s="90"/>
    </row>
    <row r="21" spans="3:21" x14ac:dyDescent="0.25">
      <c r="F21" s="76" t="s">
        <v>44</v>
      </c>
      <c r="G21" s="76" t="s">
        <v>94</v>
      </c>
      <c r="H21" s="92"/>
      <c r="I21" s="92"/>
      <c r="J21" s="234">
        <f>CHOOSE(year_selection, L21,M21,N21,O21,P21,Q21,R21,S21)</f>
        <v>0</v>
      </c>
      <c r="K21" s="250"/>
      <c r="L21" s="331">
        <v>0</v>
      </c>
      <c r="M21" s="331"/>
      <c r="N21" s="331">
        <v>0</v>
      </c>
      <c r="O21" s="331">
        <v>0</v>
      </c>
      <c r="P21" s="331">
        <v>0</v>
      </c>
      <c r="Q21" s="331">
        <v>0</v>
      </c>
      <c r="R21" s="331">
        <v>0</v>
      </c>
      <c r="S21" s="331">
        <v>0</v>
      </c>
      <c r="U21" s="90"/>
    </row>
    <row r="22" spans="3:21" x14ac:dyDescent="0.25">
      <c r="F22" s="76" t="s">
        <v>45</v>
      </c>
      <c r="G22" s="76" t="s">
        <v>94</v>
      </c>
      <c r="H22" s="92"/>
      <c r="I22" s="92"/>
      <c r="J22" s="247"/>
      <c r="K22" s="250"/>
      <c r="L22" s="247"/>
      <c r="M22" s="247"/>
      <c r="N22" s="247"/>
      <c r="O22" s="247"/>
      <c r="P22" s="247"/>
      <c r="Q22" s="247"/>
      <c r="R22" s="247"/>
      <c r="S22" s="247"/>
      <c r="U22" s="90"/>
    </row>
    <row r="23" spans="3:21" x14ac:dyDescent="0.25">
      <c r="F23" s="76" t="s">
        <v>46</v>
      </c>
      <c r="G23" s="76" t="s">
        <v>94</v>
      </c>
      <c r="H23" s="92"/>
      <c r="I23" s="92"/>
      <c r="J23" s="234">
        <f>CHOOSE(year_selection, L23,M23,N23,O23,P23,Q23,R23,S23)</f>
        <v>0.13</v>
      </c>
      <c r="K23" s="250"/>
      <c r="L23" s="331">
        <v>0.13</v>
      </c>
      <c r="M23" s="331">
        <v>0.13</v>
      </c>
      <c r="N23" s="331">
        <v>0.13</v>
      </c>
      <c r="O23" s="331">
        <v>0.13</v>
      </c>
      <c r="P23" s="331">
        <v>0.13</v>
      </c>
      <c r="Q23" s="331">
        <v>0.13</v>
      </c>
      <c r="R23" s="331">
        <v>0.13</v>
      </c>
      <c r="S23" s="331">
        <v>0.13</v>
      </c>
      <c r="U23" s="90"/>
    </row>
    <row r="24" spans="3:21" x14ac:dyDescent="0.25">
      <c r="F24" s="76" t="s">
        <v>47</v>
      </c>
      <c r="G24" s="76" t="s">
        <v>94</v>
      </c>
      <c r="H24" s="92"/>
      <c r="I24" s="92"/>
      <c r="J24" s="247"/>
      <c r="K24" s="250"/>
      <c r="L24" s="247"/>
      <c r="M24" s="247"/>
      <c r="N24" s="247"/>
      <c r="O24" s="247"/>
      <c r="P24" s="247"/>
      <c r="Q24" s="247"/>
      <c r="R24" s="247"/>
      <c r="S24" s="247"/>
      <c r="U24" s="90"/>
    </row>
    <row r="25" spans="3:21" x14ac:dyDescent="0.25">
      <c r="F25" s="76" t="s">
        <v>51</v>
      </c>
      <c r="G25" s="76" t="s">
        <v>94</v>
      </c>
      <c r="H25" s="92"/>
      <c r="I25" s="92"/>
      <c r="J25" s="247"/>
      <c r="K25" s="250"/>
      <c r="L25" s="247"/>
      <c r="M25" s="247"/>
      <c r="N25" s="247"/>
      <c r="O25" s="247"/>
      <c r="P25" s="247"/>
      <c r="Q25" s="247"/>
      <c r="R25" s="247"/>
      <c r="S25" s="247"/>
      <c r="U25" s="90"/>
    </row>
    <row r="26" spans="3:21" x14ac:dyDescent="0.25">
      <c r="F26" s="76" t="s">
        <v>48</v>
      </c>
      <c r="G26" s="76" t="s">
        <v>94</v>
      </c>
      <c r="H26" s="92"/>
      <c r="I26" s="92"/>
      <c r="J26" s="234">
        <f>CHOOSE(year_selection, L26,M26,N26,O26,P26,Q26,R26,S26)</f>
        <v>0.25</v>
      </c>
      <c r="K26" s="250"/>
      <c r="L26" s="331">
        <v>0.25</v>
      </c>
      <c r="M26" s="331">
        <v>0.25</v>
      </c>
      <c r="N26" s="331">
        <v>0.25</v>
      </c>
      <c r="O26" s="331">
        <v>0.25</v>
      </c>
      <c r="P26" s="331">
        <v>0.25</v>
      </c>
      <c r="Q26" s="331">
        <v>0.25</v>
      </c>
      <c r="R26" s="331">
        <v>0.25</v>
      </c>
      <c r="S26" s="331">
        <v>0.25</v>
      </c>
      <c r="U26" s="90"/>
    </row>
    <row r="27" spans="3:21" x14ac:dyDescent="0.25">
      <c r="F27" s="76" t="s">
        <v>49</v>
      </c>
      <c r="G27" s="76" t="s">
        <v>94</v>
      </c>
      <c r="H27" s="92"/>
      <c r="I27" s="92"/>
      <c r="J27" s="247"/>
      <c r="K27" s="250"/>
      <c r="L27" s="247"/>
      <c r="M27" s="247"/>
      <c r="N27" s="247"/>
      <c r="O27" s="247"/>
      <c r="P27" s="247"/>
      <c r="Q27" s="247"/>
      <c r="R27" s="247"/>
      <c r="S27" s="247"/>
      <c r="U27" s="90"/>
    </row>
    <row r="28" spans="3:21" x14ac:dyDescent="0.25">
      <c r="F28" s="15" t="s">
        <v>50</v>
      </c>
      <c r="G28" s="15" t="s">
        <v>94</v>
      </c>
      <c r="H28" s="93"/>
      <c r="I28" s="93"/>
      <c r="J28" s="251"/>
      <c r="K28" s="252"/>
      <c r="L28" s="251"/>
      <c r="M28" s="251"/>
      <c r="N28" s="251"/>
      <c r="O28" s="251"/>
      <c r="P28" s="251"/>
      <c r="Q28" s="251"/>
      <c r="R28" s="251"/>
      <c r="S28" s="251"/>
      <c r="U28" s="90"/>
    </row>
    <row r="29" spans="3:21" x14ac:dyDescent="0.25">
      <c r="J29" s="238"/>
      <c r="K29" s="238"/>
      <c r="L29" s="238"/>
      <c r="M29" s="238"/>
      <c r="N29" s="238"/>
      <c r="O29" s="238"/>
      <c r="P29" s="238"/>
      <c r="Q29" s="238"/>
      <c r="R29" s="238"/>
      <c r="S29" s="238"/>
    </row>
    <row r="30" spans="3:21" s="195" customFormat="1" x14ac:dyDescent="0.25">
      <c r="C30" s="7" t="str">
        <f ca="1">INDEX('Version control'!$H$34:$H$60,MATCH($A$1,'Version control'!$F$34:$F$60,0),1)&amp;"-B: Proportion of EHV/HV load going through 132kV/HV direct transformation"</f>
        <v>Input 502-B: Proportion of EHV/HV load going through 132kV/HV direct transformation</v>
      </c>
      <c r="D30" s="7"/>
      <c r="E30" s="7"/>
      <c r="F30" s="7"/>
      <c r="G30" s="7"/>
      <c r="H30" s="7"/>
      <c r="I30" s="7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7"/>
      <c r="U30" s="7"/>
    </row>
    <row r="31" spans="3:21" s="195" customFormat="1" x14ac:dyDescent="0.25">
      <c r="J31" s="253"/>
      <c r="K31" s="253"/>
      <c r="L31" s="253"/>
      <c r="M31" s="253"/>
      <c r="N31" s="253"/>
      <c r="O31" s="253"/>
      <c r="P31" s="253"/>
      <c r="Q31" s="253"/>
      <c r="R31" s="253"/>
      <c r="S31" s="253"/>
    </row>
    <row r="32" spans="3:21" x14ac:dyDescent="0.25">
      <c r="E32" s="146" t="s">
        <v>523</v>
      </c>
      <c r="G32" s="76"/>
      <c r="H32" s="76"/>
      <c r="I32" s="117"/>
      <c r="J32" s="238"/>
      <c r="K32" s="238"/>
      <c r="L32" s="238"/>
      <c r="M32" s="238"/>
      <c r="N32" s="238"/>
      <c r="O32" s="238"/>
      <c r="P32" s="238"/>
      <c r="Q32" s="238"/>
      <c r="R32" s="238"/>
      <c r="S32" s="238"/>
    </row>
    <row r="33" spans="3:21" x14ac:dyDescent="0.25">
      <c r="F33" s="16" t="s">
        <v>324</v>
      </c>
      <c r="G33" s="16" t="s">
        <v>94</v>
      </c>
      <c r="H33" s="91"/>
      <c r="I33" s="91"/>
      <c r="J33" s="245"/>
      <c r="K33" s="246"/>
      <c r="L33" s="245"/>
      <c r="M33" s="245"/>
      <c r="N33" s="245"/>
      <c r="O33" s="245"/>
      <c r="P33" s="245"/>
      <c r="Q33" s="245"/>
      <c r="R33" s="245"/>
      <c r="S33" s="245"/>
      <c r="U33" s="90"/>
    </row>
    <row r="34" spans="3:21" x14ac:dyDescent="0.25">
      <c r="F34" s="76" t="s">
        <v>43</v>
      </c>
      <c r="G34" s="76" t="s">
        <v>94</v>
      </c>
      <c r="H34" s="92"/>
      <c r="I34" s="92"/>
      <c r="J34" s="247"/>
      <c r="K34" s="250"/>
      <c r="L34" s="247"/>
      <c r="M34" s="247"/>
      <c r="N34" s="247"/>
      <c r="O34" s="247"/>
      <c r="P34" s="247"/>
      <c r="Q34" s="247"/>
      <c r="R34" s="247"/>
      <c r="S34" s="247"/>
      <c r="U34" s="90"/>
    </row>
    <row r="35" spans="3:21" x14ac:dyDescent="0.25">
      <c r="F35" s="76" t="s">
        <v>44</v>
      </c>
      <c r="G35" s="76" t="s">
        <v>94</v>
      </c>
      <c r="H35" s="92"/>
      <c r="I35" s="92"/>
      <c r="J35" s="247"/>
      <c r="K35" s="250"/>
      <c r="L35" s="247"/>
      <c r="M35" s="247"/>
      <c r="N35" s="247"/>
      <c r="O35" s="247"/>
      <c r="P35" s="247"/>
      <c r="Q35" s="247"/>
      <c r="R35" s="247"/>
      <c r="S35" s="247"/>
      <c r="U35" s="90"/>
    </row>
    <row r="36" spans="3:21" x14ac:dyDescent="0.25">
      <c r="F36" s="76" t="s">
        <v>45</v>
      </c>
      <c r="G36" s="76" t="s">
        <v>94</v>
      </c>
      <c r="H36" s="92"/>
      <c r="I36" s="92"/>
      <c r="J36" s="247"/>
      <c r="K36" s="250"/>
      <c r="L36" s="247"/>
      <c r="M36" s="247"/>
      <c r="N36" s="247"/>
      <c r="O36" s="247"/>
      <c r="P36" s="247"/>
      <c r="Q36" s="247"/>
      <c r="R36" s="247"/>
      <c r="S36" s="247"/>
      <c r="U36" s="90"/>
    </row>
    <row r="37" spans="3:21" x14ac:dyDescent="0.25">
      <c r="F37" s="76" t="s">
        <v>46</v>
      </c>
      <c r="G37" s="76" t="s">
        <v>94</v>
      </c>
      <c r="H37" s="92"/>
      <c r="I37" s="92"/>
      <c r="J37" s="247"/>
      <c r="K37" s="250"/>
      <c r="L37" s="247"/>
      <c r="M37" s="247"/>
      <c r="N37" s="247"/>
      <c r="O37" s="247"/>
      <c r="P37" s="247"/>
      <c r="Q37" s="247"/>
      <c r="R37" s="247"/>
      <c r="S37" s="247"/>
      <c r="U37" s="90"/>
    </row>
    <row r="38" spans="3:21" x14ac:dyDescent="0.25">
      <c r="F38" s="76" t="s">
        <v>47</v>
      </c>
      <c r="G38" s="76" t="s">
        <v>94</v>
      </c>
      <c r="H38" s="92"/>
      <c r="I38" s="92"/>
      <c r="J38" s="247"/>
      <c r="K38" s="250"/>
      <c r="L38" s="247"/>
      <c r="M38" s="247"/>
      <c r="N38" s="247"/>
      <c r="O38" s="247"/>
      <c r="P38" s="247"/>
      <c r="Q38" s="247"/>
      <c r="R38" s="247"/>
      <c r="S38" s="247"/>
      <c r="U38" s="90"/>
    </row>
    <row r="39" spans="3:21" x14ac:dyDescent="0.25">
      <c r="F39" s="76" t="s">
        <v>51</v>
      </c>
      <c r="G39" s="76" t="s">
        <v>94</v>
      </c>
      <c r="H39" s="92"/>
      <c r="I39" s="92"/>
      <c r="J39" s="234">
        <f>CHOOSE(year_selection, L39,M39,N39,O39,P39,Q39,R39,S39)</f>
        <v>0</v>
      </c>
      <c r="K39" s="250"/>
      <c r="L39" s="331"/>
      <c r="M39" s="331"/>
      <c r="N39" s="331"/>
      <c r="O39" s="331">
        <v>0</v>
      </c>
      <c r="P39" s="331">
        <v>0</v>
      </c>
      <c r="Q39" s="331">
        <v>0</v>
      </c>
      <c r="R39" s="331">
        <v>0</v>
      </c>
      <c r="S39" s="331">
        <v>0</v>
      </c>
      <c r="U39" s="90"/>
    </row>
    <row r="40" spans="3:21" x14ac:dyDescent="0.25">
      <c r="F40" s="76" t="s">
        <v>48</v>
      </c>
      <c r="G40" s="76" t="s">
        <v>94</v>
      </c>
      <c r="H40" s="92"/>
      <c r="I40" s="92"/>
      <c r="J40" s="247"/>
      <c r="K40" s="250"/>
      <c r="L40" s="247"/>
      <c r="M40" s="247"/>
      <c r="N40" s="247"/>
      <c r="O40" s="247"/>
      <c r="P40" s="247"/>
      <c r="Q40" s="247"/>
      <c r="R40" s="247"/>
      <c r="S40" s="247"/>
      <c r="U40" s="90"/>
    </row>
    <row r="41" spans="3:21" x14ac:dyDescent="0.25">
      <c r="F41" s="76" t="s">
        <v>49</v>
      </c>
      <c r="G41" s="76" t="s">
        <v>94</v>
      </c>
      <c r="H41" s="92"/>
      <c r="I41" s="92"/>
      <c r="J41" s="247"/>
      <c r="K41" s="250"/>
      <c r="L41" s="247"/>
      <c r="M41" s="247"/>
      <c r="N41" s="247"/>
      <c r="O41" s="247"/>
      <c r="P41" s="247"/>
      <c r="Q41" s="247"/>
      <c r="R41" s="247"/>
      <c r="S41" s="247"/>
      <c r="U41" s="90"/>
    </row>
    <row r="42" spans="3:21" x14ac:dyDescent="0.25">
      <c r="F42" s="15" t="s">
        <v>50</v>
      </c>
      <c r="G42" s="15" t="s">
        <v>94</v>
      </c>
      <c r="H42" s="93"/>
      <c r="I42" s="93"/>
      <c r="J42" s="251"/>
      <c r="K42" s="252"/>
      <c r="L42" s="251"/>
      <c r="M42" s="251"/>
      <c r="N42" s="251"/>
      <c r="O42" s="251"/>
      <c r="P42" s="251"/>
      <c r="Q42" s="251"/>
      <c r="R42" s="251"/>
      <c r="S42" s="251"/>
      <c r="U42" s="90"/>
    </row>
    <row r="43" spans="3:21" x14ac:dyDescent="0.25">
      <c r="J43" s="238"/>
      <c r="K43" s="238"/>
      <c r="L43" s="238"/>
      <c r="M43" s="238"/>
      <c r="N43" s="238"/>
      <c r="O43" s="238"/>
      <c r="P43" s="238"/>
      <c r="Q43" s="238"/>
      <c r="R43" s="238"/>
      <c r="S43" s="238"/>
    </row>
    <row r="44" spans="3:21" s="195" customFormat="1" x14ac:dyDescent="0.25">
      <c r="C44" s="7" t="str">
        <f ca="1">INDEX('Version control'!$H$34:$H$60,MATCH($A$1,'Version control'!$F$34:$F$60,0),1)&amp;"-C: Loss adjustment factors to transmission"</f>
        <v>Input 502-C: Loss adjustment factors to transmission</v>
      </c>
      <c r="D44" s="7"/>
      <c r="E44" s="7"/>
      <c r="F44" s="7"/>
      <c r="G44" s="7"/>
      <c r="H44" s="7"/>
      <c r="I44" s="7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7"/>
      <c r="U44" s="7"/>
    </row>
    <row r="45" spans="3:21" s="195" customFormat="1" x14ac:dyDescent="0.25">
      <c r="J45" s="253"/>
      <c r="K45" s="253"/>
      <c r="L45" s="253"/>
      <c r="M45" s="253"/>
      <c r="N45" s="253"/>
      <c r="O45" s="253"/>
      <c r="P45" s="253"/>
      <c r="Q45" s="253"/>
      <c r="R45" s="253"/>
      <c r="S45" s="253"/>
    </row>
    <row r="46" spans="3:21" x14ac:dyDescent="0.25">
      <c r="E46" s="146" t="s">
        <v>253</v>
      </c>
      <c r="F46" s="76"/>
      <c r="G46" s="76"/>
      <c r="H46" s="92"/>
      <c r="I46" s="85" t="s">
        <v>431</v>
      </c>
      <c r="J46" s="238"/>
      <c r="K46" s="238"/>
      <c r="L46" s="238"/>
      <c r="M46" s="238"/>
      <c r="N46" s="238"/>
      <c r="O46" s="238"/>
      <c r="P46" s="238"/>
      <c r="Q46" s="238"/>
      <c r="R46" s="238"/>
      <c r="S46" s="238"/>
      <c r="U46" s="90" t="s">
        <v>800</v>
      </c>
    </row>
    <row r="47" spans="3:21" x14ac:dyDescent="0.25">
      <c r="E47" s="76"/>
      <c r="F47" s="16" t="s">
        <v>324</v>
      </c>
      <c r="G47" s="16" t="s">
        <v>528</v>
      </c>
      <c r="H47" s="91"/>
      <c r="I47" s="91"/>
      <c r="J47" s="245"/>
      <c r="K47" s="246"/>
      <c r="L47" s="245"/>
      <c r="M47" s="245"/>
      <c r="N47" s="245"/>
      <c r="O47" s="245"/>
      <c r="P47" s="245"/>
      <c r="Q47" s="245"/>
      <c r="R47" s="245"/>
      <c r="S47" s="245"/>
      <c r="U47" s="90"/>
    </row>
    <row r="48" spans="3:21" x14ac:dyDescent="0.25">
      <c r="E48" s="76"/>
      <c r="F48" s="76" t="s">
        <v>43</v>
      </c>
      <c r="G48" s="76" t="s">
        <v>528</v>
      </c>
      <c r="H48" s="92"/>
      <c r="I48" s="92"/>
      <c r="J48" s="234">
        <f>CHOOSE(year_selection, L48,M48,N48,O48,P48,Q48,R48,S48)</f>
        <v>1</v>
      </c>
      <c r="K48" s="248"/>
      <c r="L48" s="331">
        <v>1</v>
      </c>
      <c r="M48" s="331">
        <v>1</v>
      </c>
      <c r="N48" s="331">
        <v>1</v>
      </c>
      <c r="O48" s="331">
        <v>1</v>
      </c>
      <c r="P48" s="331">
        <v>1</v>
      </c>
      <c r="Q48" s="331">
        <v>1</v>
      </c>
      <c r="R48" s="331">
        <v>1</v>
      </c>
      <c r="S48" s="331">
        <v>1</v>
      </c>
      <c r="U48" s="90"/>
    </row>
    <row r="49" spans="3:22" x14ac:dyDescent="0.25">
      <c r="E49" s="76"/>
      <c r="F49" s="76" t="s">
        <v>44</v>
      </c>
      <c r="G49" s="76" t="s">
        <v>528</v>
      </c>
      <c r="H49" s="92"/>
      <c r="I49" s="92"/>
      <c r="J49" s="234">
        <f>CHOOSE(year_selection, L49,M49,N49,O49,P49,Q49,R49,S49)</f>
        <v>1</v>
      </c>
      <c r="K49" s="248"/>
      <c r="L49" s="331">
        <v>1</v>
      </c>
      <c r="M49" s="331">
        <v>1</v>
      </c>
      <c r="N49" s="331">
        <v>1</v>
      </c>
      <c r="O49" s="331">
        <v>1</v>
      </c>
      <c r="P49" s="331">
        <v>1</v>
      </c>
      <c r="Q49" s="331">
        <v>1</v>
      </c>
      <c r="R49" s="331">
        <v>1</v>
      </c>
      <c r="S49" s="331">
        <v>1</v>
      </c>
      <c r="U49" s="90"/>
      <c r="V49" s="90"/>
    </row>
    <row r="50" spans="3:22" x14ac:dyDescent="0.25">
      <c r="E50" s="76"/>
      <c r="F50" s="76" t="s">
        <v>45</v>
      </c>
      <c r="G50" s="76" t="s">
        <v>528</v>
      </c>
      <c r="H50" s="92"/>
      <c r="I50" s="92"/>
      <c r="J50" s="234">
        <f>CHOOSE(year_selection, L50,M50,N50,O50,P50,Q50,R50,S50)</f>
        <v>1</v>
      </c>
      <c r="K50" s="248"/>
      <c r="L50" s="331">
        <v>1</v>
      </c>
      <c r="M50" s="331">
        <v>1</v>
      </c>
      <c r="N50" s="331">
        <v>1</v>
      </c>
      <c r="O50" s="331">
        <v>1</v>
      </c>
      <c r="P50" s="331">
        <v>1</v>
      </c>
      <c r="Q50" s="331">
        <v>1</v>
      </c>
      <c r="R50" s="331">
        <v>1</v>
      </c>
      <c r="S50" s="331">
        <v>1</v>
      </c>
      <c r="U50" s="90"/>
      <c r="V50" s="90"/>
    </row>
    <row r="51" spans="3:22" x14ac:dyDescent="0.25">
      <c r="E51" s="76"/>
      <c r="F51" s="76" t="s">
        <v>46</v>
      </c>
      <c r="G51" s="76" t="s">
        <v>528</v>
      </c>
      <c r="H51" s="92"/>
      <c r="I51" s="92"/>
      <c r="J51" s="234">
        <f>CHOOSE(year_selection, L51,M51,N51,O51,P51,Q51,R51,S51)</f>
        <v>1.004</v>
      </c>
      <c r="K51" s="248"/>
      <c r="L51" s="331">
        <v>1.004</v>
      </c>
      <c r="M51" s="331">
        <v>1.004</v>
      </c>
      <c r="N51" s="331">
        <v>1.004</v>
      </c>
      <c r="O51" s="331">
        <v>1.004</v>
      </c>
      <c r="P51" s="331">
        <v>1.004</v>
      </c>
      <c r="Q51" s="331">
        <v>1.004</v>
      </c>
      <c r="R51" s="331">
        <v>1.004</v>
      </c>
      <c r="S51" s="331">
        <v>1.004</v>
      </c>
      <c r="U51" s="90"/>
      <c r="V51" s="90"/>
    </row>
    <row r="52" spans="3:22" x14ac:dyDescent="0.25">
      <c r="E52" s="76"/>
      <c r="F52" s="76" t="s">
        <v>47</v>
      </c>
      <c r="G52" s="76" t="s">
        <v>528</v>
      </c>
      <c r="H52" s="92"/>
      <c r="I52" s="92"/>
      <c r="J52" s="234">
        <f>CHOOSE(year_selection, L52,M52,N52,O52,P52,Q52,R52,S52)</f>
        <v>1.0129999999999999</v>
      </c>
      <c r="K52" s="248"/>
      <c r="L52" s="331">
        <v>1.012</v>
      </c>
      <c r="M52" s="331">
        <v>1.012</v>
      </c>
      <c r="N52" s="331">
        <v>1.012</v>
      </c>
      <c r="O52" s="331">
        <v>1.0129999999999999</v>
      </c>
      <c r="P52" s="331">
        <v>1.0129999999999999</v>
      </c>
      <c r="Q52" s="331">
        <v>1.0129999999999999</v>
      </c>
      <c r="R52" s="331">
        <v>1.0129999999999999</v>
      </c>
      <c r="S52" s="331">
        <v>1.0129999999999999</v>
      </c>
      <c r="U52" s="90"/>
      <c r="V52" s="90"/>
    </row>
    <row r="53" spans="3:22" x14ac:dyDescent="0.25">
      <c r="E53" s="76"/>
      <c r="F53" s="76" t="s">
        <v>51</v>
      </c>
      <c r="G53" s="76" t="s">
        <v>528</v>
      </c>
      <c r="H53" s="92"/>
      <c r="I53" s="92"/>
      <c r="J53" s="247"/>
      <c r="K53" s="248"/>
      <c r="L53" s="247"/>
      <c r="M53" s="247"/>
      <c r="N53" s="247"/>
      <c r="O53" s="247"/>
      <c r="P53" s="247"/>
      <c r="Q53" s="247"/>
      <c r="R53" s="247"/>
      <c r="S53" s="247"/>
      <c r="U53" s="90"/>
      <c r="V53" s="90"/>
    </row>
    <row r="54" spans="3:22" x14ac:dyDescent="0.25">
      <c r="E54" s="76"/>
      <c r="F54" s="76" t="s">
        <v>48</v>
      </c>
      <c r="G54" s="76" t="s">
        <v>528</v>
      </c>
      <c r="H54" s="92"/>
      <c r="I54" s="92"/>
      <c r="J54" s="234">
        <f>CHOOSE(year_selection, L54,M54,N54,O54,P54,Q54,R54,S54)</f>
        <v>1.026</v>
      </c>
      <c r="K54" s="248"/>
      <c r="L54" s="331">
        <v>1.026</v>
      </c>
      <c r="M54" s="331">
        <v>1.026</v>
      </c>
      <c r="N54" s="331">
        <v>1.026</v>
      </c>
      <c r="O54" s="331">
        <v>1.026</v>
      </c>
      <c r="P54" s="331">
        <v>1.026</v>
      </c>
      <c r="Q54" s="331">
        <v>1.026</v>
      </c>
      <c r="R54" s="331">
        <v>1.026</v>
      </c>
      <c r="S54" s="331">
        <v>1.026</v>
      </c>
      <c r="U54" s="90"/>
      <c r="V54" s="90"/>
    </row>
    <row r="55" spans="3:22" x14ac:dyDescent="0.25">
      <c r="E55" s="76"/>
      <c r="F55" s="76" t="s">
        <v>49</v>
      </c>
      <c r="G55" s="76" t="s">
        <v>528</v>
      </c>
      <c r="H55" s="92"/>
      <c r="I55" s="92"/>
      <c r="J55" s="234">
        <f>CHOOSE(year_selection, L55,M55,N55,O55,P55,Q55,R55,S55)</f>
        <v>1.044</v>
      </c>
      <c r="K55" s="248"/>
      <c r="L55" s="331">
        <v>1.0449999999999999</v>
      </c>
      <c r="M55" s="331">
        <v>1.044</v>
      </c>
      <c r="N55" s="331">
        <v>1.044</v>
      </c>
      <c r="O55" s="331">
        <v>1.044</v>
      </c>
      <c r="P55" s="331">
        <v>1.044</v>
      </c>
      <c r="Q55" s="331">
        <v>1.044</v>
      </c>
      <c r="R55" s="331">
        <v>1.044</v>
      </c>
      <c r="S55" s="331">
        <v>1.044</v>
      </c>
      <c r="U55" s="90"/>
      <c r="V55" s="90"/>
    </row>
    <row r="56" spans="3:22" x14ac:dyDescent="0.25">
      <c r="E56" s="76"/>
      <c r="F56" s="15" t="s">
        <v>50</v>
      </c>
      <c r="G56" s="15" t="s">
        <v>528</v>
      </c>
      <c r="H56" s="93"/>
      <c r="I56" s="93"/>
      <c r="J56" s="236">
        <f>CHOOSE(year_selection, L56,M56,N56,O56,P56,Q56,R56,S56)</f>
        <v>1.0980000000000001</v>
      </c>
      <c r="K56" s="249"/>
      <c r="L56" s="332">
        <v>1.087</v>
      </c>
      <c r="M56" s="332">
        <v>1.0980000000000001</v>
      </c>
      <c r="N56" s="332">
        <v>1.097</v>
      </c>
      <c r="O56" s="332">
        <v>1.0980000000000001</v>
      </c>
      <c r="P56" s="332">
        <v>1.0980000000000001</v>
      </c>
      <c r="Q56" s="332">
        <v>1.0980000000000001</v>
      </c>
      <c r="R56" s="332">
        <v>1.0980000000000001</v>
      </c>
      <c r="S56" s="332">
        <v>1.0980000000000001</v>
      </c>
      <c r="U56" s="90"/>
      <c r="V56" s="90"/>
    </row>
    <row r="57" spans="3:22" x14ac:dyDescent="0.25">
      <c r="J57" s="238"/>
      <c r="K57" s="238"/>
      <c r="L57" s="238"/>
      <c r="M57" s="238"/>
      <c r="N57" s="238"/>
      <c r="O57" s="238"/>
      <c r="P57" s="238"/>
      <c r="Q57" s="238"/>
      <c r="R57" s="238"/>
      <c r="S57" s="238"/>
    </row>
    <row r="58" spans="3:22" s="195" customFormat="1" x14ac:dyDescent="0.25">
      <c r="C58" s="7" t="str">
        <f ca="1">INDEX('Version control'!$H$34:$H$60,MATCH($A$1,'Version control'!$F$34:$F$60,0),1)&amp;"-D: Average kVAr by kVA, by network level"</f>
        <v>Input 502-D: Average kVAr by kVA, by network level</v>
      </c>
      <c r="D58" s="7"/>
      <c r="E58" s="7"/>
      <c r="F58" s="7"/>
      <c r="G58" s="7"/>
      <c r="H58" s="7"/>
      <c r="I58" s="7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7"/>
      <c r="U58" s="7"/>
    </row>
    <row r="59" spans="3:22" s="195" customFormat="1" x14ac:dyDescent="0.25">
      <c r="J59" s="253"/>
      <c r="K59" s="253"/>
      <c r="L59" s="253"/>
      <c r="M59" s="253"/>
      <c r="N59" s="253"/>
      <c r="O59" s="253"/>
      <c r="P59" s="253"/>
      <c r="Q59" s="253"/>
      <c r="R59" s="253"/>
      <c r="S59" s="253"/>
    </row>
    <row r="60" spans="3:22" x14ac:dyDescent="0.25">
      <c r="E60" s="146" t="s">
        <v>89</v>
      </c>
      <c r="F60" s="76"/>
      <c r="G60" s="76"/>
      <c r="H60" s="92"/>
      <c r="I60" s="85" t="s">
        <v>431</v>
      </c>
      <c r="J60" s="238"/>
      <c r="K60" s="238"/>
      <c r="L60" s="238"/>
      <c r="M60" s="238"/>
      <c r="N60" s="238"/>
      <c r="O60" s="238"/>
      <c r="P60" s="238"/>
      <c r="Q60" s="238"/>
      <c r="R60" s="238"/>
      <c r="S60" s="238"/>
      <c r="U60" s="90" t="s">
        <v>920</v>
      </c>
    </row>
    <row r="61" spans="3:22" x14ac:dyDescent="0.25">
      <c r="E61" s="76"/>
      <c r="F61" s="16" t="s">
        <v>324</v>
      </c>
      <c r="G61" s="16" t="s">
        <v>266</v>
      </c>
      <c r="H61" s="91"/>
      <c r="I61" s="91"/>
      <c r="J61" s="239"/>
      <c r="K61" s="254"/>
      <c r="L61" s="239"/>
      <c r="M61" s="239"/>
      <c r="N61" s="239"/>
      <c r="O61" s="239"/>
      <c r="P61" s="239"/>
      <c r="Q61" s="239"/>
      <c r="R61" s="239"/>
      <c r="S61" s="239"/>
      <c r="U61" s="90"/>
    </row>
    <row r="62" spans="3:22" x14ac:dyDescent="0.25">
      <c r="E62" s="76"/>
      <c r="F62" s="76" t="s">
        <v>43</v>
      </c>
      <c r="G62" s="76" t="s">
        <v>266</v>
      </c>
      <c r="H62" s="92"/>
      <c r="I62" s="92"/>
      <c r="J62" s="234">
        <f t="shared" ref="J62:J70" si="0">CHOOSE(year_selection, L62,M62,N62,O62,P62,Q62,R62,S62)</f>
        <v>0.26509994640061324</v>
      </c>
      <c r="K62" s="248"/>
      <c r="L62" s="331">
        <v>0.1678007582329529</v>
      </c>
      <c r="M62" s="331">
        <v>0.19471847558008312</v>
      </c>
      <c r="N62" s="331">
        <v>0.20767999407382673</v>
      </c>
      <c r="O62" s="331">
        <v>0.26509994640061324</v>
      </c>
      <c r="P62" s="331">
        <v>0.26509994640061324</v>
      </c>
      <c r="Q62" s="331">
        <v>0.26509994640061324</v>
      </c>
      <c r="R62" s="331">
        <v>0.26509994640061324</v>
      </c>
      <c r="S62" s="331">
        <v>0.26509994640061324</v>
      </c>
      <c r="U62" s="90"/>
    </row>
    <row r="63" spans="3:22" x14ac:dyDescent="0.25">
      <c r="E63" s="76"/>
      <c r="F63" s="76" t="s">
        <v>44</v>
      </c>
      <c r="G63" s="76" t="s">
        <v>266</v>
      </c>
      <c r="H63" s="92"/>
      <c r="I63" s="92"/>
      <c r="J63" s="234">
        <f t="shared" si="0"/>
        <v>0</v>
      </c>
      <c r="K63" s="248"/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331">
        <v>0</v>
      </c>
      <c r="U63" s="90"/>
    </row>
    <row r="64" spans="3:22" x14ac:dyDescent="0.25">
      <c r="E64" s="76"/>
      <c r="F64" s="76" t="s">
        <v>45</v>
      </c>
      <c r="G64" s="76" t="s">
        <v>266</v>
      </c>
      <c r="H64" s="92"/>
      <c r="I64" s="92"/>
      <c r="J64" s="234">
        <f t="shared" si="0"/>
        <v>0</v>
      </c>
      <c r="K64" s="248"/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331">
        <v>0</v>
      </c>
      <c r="U64" s="90"/>
    </row>
    <row r="65" spans="2:21" x14ac:dyDescent="0.25">
      <c r="E65" s="76"/>
      <c r="F65" s="76" t="s">
        <v>46</v>
      </c>
      <c r="G65" s="76" t="s">
        <v>266</v>
      </c>
      <c r="H65" s="92"/>
      <c r="I65" s="92"/>
      <c r="J65" s="234">
        <f t="shared" si="0"/>
        <v>0.26509994640061324</v>
      </c>
      <c r="K65" s="248"/>
      <c r="L65" s="331">
        <v>0.1678007582329529</v>
      </c>
      <c r="M65" s="331">
        <v>0.19471847558008312</v>
      </c>
      <c r="N65" s="331">
        <v>0.20767999407382673</v>
      </c>
      <c r="O65" s="331">
        <v>0.26509994640061324</v>
      </c>
      <c r="P65" s="331">
        <v>0.26509994640061324</v>
      </c>
      <c r="Q65" s="331">
        <v>0.26509994640061324</v>
      </c>
      <c r="R65" s="331">
        <v>0.26509994640061324</v>
      </c>
      <c r="S65" s="331">
        <v>0.26509994640061324</v>
      </c>
      <c r="U65" s="90"/>
    </row>
    <row r="66" spans="2:21" x14ac:dyDescent="0.25">
      <c r="E66" s="76"/>
      <c r="F66" s="76" t="s">
        <v>47</v>
      </c>
      <c r="G66" s="76" t="s">
        <v>266</v>
      </c>
      <c r="H66" s="92"/>
      <c r="I66" s="92"/>
      <c r="J66" s="234">
        <f t="shared" si="0"/>
        <v>0.21690566590786087</v>
      </c>
      <c r="K66" s="248"/>
      <c r="L66" s="331">
        <v>0.27469398510742354</v>
      </c>
      <c r="M66" s="331">
        <v>0.20760269282653337</v>
      </c>
      <c r="N66" s="331">
        <v>0.22493371901847437</v>
      </c>
      <c r="O66" s="331">
        <v>0.21690566590786087</v>
      </c>
      <c r="P66" s="331">
        <v>0.21690566590786087</v>
      </c>
      <c r="Q66" s="331">
        <v>0.21690566590786087</v>
      </c>
      <c r="R66" s="331">
        <v>0.21690566590786087</v>
      </c>
      <c r="S66" s="331">
        <v>0.21690566590786087</v>
      </c>
      <c r="U66" s="90"/>
    </row>
    <row r="67" spans="2:21" x14ac:dyDescent="0.25">
      <c r="E67" s="76"/>
      <c r="F67" s="76" t="s">
        <v>51</v>
      </c>
      <c r="G67" s="76" t="s">
        <v>266</v>
      </c>
      <c r="H67" s="92"/>
      <c r="I67" s="92"/>
      <c r="J67" s="234">
        <f t="shared" si="0"/>
        <v>0</v>
      </c>
      <c r="K67" s="248"/>
      <c r="L67" s="331">
        <v>0.27469398510742354</v>
      </c>
      <c r="M67" s="331">
        <v>0.20760269282653337</v>
      </c>
      <c r="N67" s="331">
        <v>0.22493371901847437</v>
      </c>
      <c r="O67" s="331">
        <v>0</v>
      </c>
      <c r="P67" s="331">
        <v>0</v>
      </c>
      <c r="Q67" s="331">
        <v>0</v>
      </c>
      <c r="R67" s="331">
        <v>0</v>
      </c>
      <c r="S67" s="331">
        <v>0</v>
      </c>
      <c r="U67" s="90"/>
    </row>
    <row r="68" spans="2:21" x14ac:dyDescent="0.25">
      <c r="E68" s="76"/>
      <c r="F68" s="76" t="s">
        <v>48</v>
      </c>
      <c r="G68" s="76" t="s">
        <v>266</v>
      </c>
      <c r="H68" s="92"/>
      <c r="I68" s="92"/>
      <c r="J68" s="234">
        <f t="shared" si="0"/>
        <v>0.21690566590786087</v>
      </c>
      <c r="K68" s="248"/>
      <c r="L68" s="331">
        <v>0.27469398510742354</v>
      </c>
      <c r="M68" s="331">
        <v>0.20760269282653337</v>
      </c>
      <c r="N68" s="331">
        <v>0.22493371901847437</v>
      </c>
      <c r="O68" s="331">
        <v>0.21690566590786087</v>
      </c>
      <c r="P68" s="331">
        <v>0.21690566590786087</v>
      </c>
      <c r="Q68" s="331">
        <v>0.21690566590786087</v>
      </c>
      <c r="R68" s="331">
        <v>0.21690566590786087</v>
      </c>
      <c r="S68" s="331">
        <v>0.21690566590786087</v>
      </c>
      <c r="U68" s="90"/>
    </row>
    <row r="69" spans="2:21" x14ac:dyDescent="0.25">
      <c r="E69" s="76"/>
      <c r="F69" s="76" t="s">
        <v>49</v>
      </c>
      <c r="G69" s="76" t="s">
        <v>266</v>
      </c>
      <c r="H69" s="92"/>
      <c r="I69" s="92"/>
      <c r="J69" s="234">
        <f t="shared" si="0"/>
        <v>0.21690566590786087</v>
      </c>
      <c r="K69" s="248"/>
      <c r="L69" s="331">
        <v>0.27469398510742354</v>
      </c>
      <c r="M69" s="331">
        <v>0.20760269282653337</v>
      </c>
      <c r="N69" s="331">
        <v>0.22493371901847437</v>
      </c>
      <c r="O69" s="331">
        <v>0.21690566590786087</v>
      </c>
      <c r="P69" s="331">
        <v>0.21690566590786087</v>
      </c>
      <c r="Q69" s="331">
        <v>0.21690566590786087</v>
      </c>
      <c r="R69" s="331">
        <v>0.21690566590786087</v>
      </c>
      <c r="S69" s="331">
        <v>0.21690566590786087</v>
      </c>
      <c r="U69" s="90"/>
    </row>
    <row r="70" spans="2:21" x14ac:dyDescent="0.25">
      <c r="E70" s="76"/>
      <c r="F70" s="15" t="s">
        <v>50</v>
      </c>
      <c r="G70" s="15" t="s">
        <v>266</v>
      </c>
      <c r="H70" s="93"/>
      <c r="I70" s="93"/>
      <c r="J70" s="236">
        <f t="shared" si="0"/>
        <v>0.21690566590786087</v>
      </c>
      <c r="K70" s="249"/>
      <c r="L70" s="332">
        <v>0.27469398510742354</v>
      </c>
      <c r="M70" s="332">
        <v>0.20760269282653337</v>
      </c>
      <c r="N70" s="332">
        <v>0.22493371901847437</v>
      </c>
      <c r="O70" s="332">
        <v>0.21690566590786087</v>
      </c>
      <c r="P70" s="332">
        <v>0.21690566590786087</v>
      </c>
      <c r="Q70" s="332">
        <v>0.21690566590786087</v>
      </c>
      <c r="R70" s="332">
        <v>0.21690566590786087</v>
      </c>
      <c r="S70" s="332">
        <v>0.21690566590786087</v>
      </c>
      <c r="U70" s="90"/>
    </row>
    <row r="71" spans="2:21" x14ac:dyDescent="0.25">
      <c r="J71" s="111"/>
      <c r="K71" s="111"/>
      <c r="L71" s="111"/>
      <c r="M71" s="111"/>
      <c r="N71" s="111"/>
      <c r="O71" s="111"/>
      <c r="P71" s="111"/>
      <c r="Q71" s="111"/>
      <c r="R71" s="111"/>
      <c r="S71" s="111"/>
    </row>
    <row r="72" spans="2:21" s="195" customFormat="1" x14ac:dyDescent="0.25">
      <c r="C72" s="7" t="str">
        <f ca="1">INDEX('Version control'!$H$34:$H$60,MATCH($A$1,'Version control'!$F$34:$F$60,0),1)&amp;"-E: Customer contributions under current connection charging policy"</f>
        <v>Input 502-E: Customer contributions under current connection charging policy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2:21" s="195" customFormat="1" x14ac:dyDescent="0.25">
      <c r="L73" s="295"/>
      <c r="M73" s="295"/>
      <c r="N73" s="295"/>
      <c r="P73" s="295"/>
      <c r="Q73" s="295"/>
      <c r="R73" s="295"/>
      <c r="S73" s="295"/>
    </row>
    <row r="74" spans="2:21" x14ac:dyDescent="0.25">
      <c r="B74" s="96"/>
      <c r="D74" s="96" t="s">
        <v>262</v>
      </c>
      <c r="I74" s="85" t="s">
        <v>431</v>
      </c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U74" s="85" t="s">
        <v>921</v>
      </c>
    </row>
    <row r="75" spans="2:21" x14ac:dyDescent="0.25">
      <c r="E75" s="146" t="s">
        <v>80</v>
      </c>
      <c r="J75" s="111"/>
      <c r="K75" s="111"/>
      <c r="L75" s="111"/>
      <c r="M75" s="111"/>
      <c r="N75" s="111"/>
      <c r="O75" s="111"/>
      <c r="P75" s="111"/>
      <c r="Q75" s="111"/>
      <c r="R75" s="111"/>
      <c r="S75" s="111"/>
    </row>
    <row r="76" spans="2:21" x14ac:dyDescent="0.25">
      <c r="E76" s="76"/>
      <c r="F76" s="16" t="s">
        <v>324</v>
      </c>
      <c r="G76" s="16" t="s">
        <v>94</v>
      </c>
      <c r="H76" s="91"/>
      <c r="I76" s="91"/>
      <c r="J76" s="170"/>
      <c r="K76" s="439"/>
      <c r="L76" s="170"/>
      <c r="M76" s="170"/>
      <c r="N76" s="170"/>
      <c r="O76" s="170"/>
      <c r="P76" s="170"/>
      <c r="Q76" s="170"/>
      <c r="R76" s="170"/>
      <c r="S76" s="170"/>
      <c r="U76" s="90"/>
    </row>
    <row r="77" spans="2:21" x14ac:dyDescent="0.25">
      <c r="E77" s="76"/>
      <c r="F77" s="76" t="s">
        <v>43</v>
      </c>
      <c r="G77" s="76" t="s">
        <v>94</v>
      </c>
      <c r="H77" s="92"/>
      <c r="I77" s="92"/>
      <c r="J77" s="159"/>
      <c r="K77" s="440"/>
      <c r="L77" s="159"/>
      <c r="M77" s="159"/>
      <c r="N77" s="159"/>
      <c r="O77" s="159"/>
      <c r="P77" s="159"/>
      <c r="Q77" s="159"/>
      <c r="R77" s="159"/>
      <c r="S77" s="159"/>
      <c r="U77" s="90"/>
    </row>
    <row r="78" spans="2:21" x14ac:dyDescent="0.25">
      <c r="E78" s="76"/>
      <c r="F78" s="76" t="s">
        <v>44</v>
      </c>
      <c r="G78" s="76" t="s">
        <v>94</v>
      </c>
      <c r="H78" s="92"/>
      <c r="I78" s="92"/>
      <c r="J78" s="185">
        <f t="shared" ref="J78:J85" si="1">CHOOSE(year_selection, L78,M78,N78,O78,P78,Q78,R78,S78)</f>
        <v>0</v>
      </c>
      <c r="K78" s="440"/>
      <c r="L78" s="325">
        <v>0</v>
      </c>
      <c r="M78" s="325">
        <v>0</v>
      </c>
      <c r="N78" s="325">
        <v>0</v>
      </c>
      <c r="O78" s="325">
        <v>0</v>
      </c>
      <c r="P78" s="325">
        <v>0</v>
      </c>
      <c r="Q78" s="325">
        <v>0</v>
      </c>
      <c r="R78" s="325">
        <v>0</v>
      </c>
      <c r="S78" s="325">
        <v>0</v>
      </c>
      <c r="U78" s="90"/>
    </row>
    <row r="79" spans="2:21" x14ac:dyDescent="0.25">
      <c r="E79" s="76"/>
      <c r="F79" s="76" t="s">
        <v>45</v>
      </c>
      <c r="G79" s="76" t="s">
        <v>94</v>
      </c>
      <c r="H79" s="92"/>
      <c r="I79" s="92"/>
      <c r="J79" s="185">
        <f t="shared" si="1"/>
        <v>0</v>
      </c>
      <c r="K79" s="440"/>
      <c r="L79" s="325">
        <v>0</v>
      </c>
      <c r="M79" s="325">
        <v>0</v>
      </c>
      <c r="N79" s="325">
        <v>0</v>
      </c>
      <c r="O79" s="325">
        <v>0</v>
      </c>
      <c r="P79" s="325">
        <v>0</v>
      </c>
      <c r="Q79" s="325">
        <v>0</v>
      </c>
      <c r="R79" s="325">
        <v>0</v>
      </c>
      <c r="S79" s="325">
        <v>0</v>
      </c>
      <c r="U79" s="90"/>
    </row>
    <row r="80" spans="2:21" x14ac:dyDescent="0.25">
      <c r="E80" s="76"/>
      <c r="F80" s="76" t="s">
        <v>46</v>
      </c>
      <c r="G80" s="76" t="s">
        <v>94</v>
      </c>
      <c r="H80" s="92"/>
      <c r="I80" s="92"/>
      <c r="J80" s="185">
        <f t="shared" si="1"/>
        <v>0</v>
      </c>
      <c r="K80" s="440"/>
      <c r="L80" s="325">
        <v>0</v>
      </c>
      <c r="M80" s="325">
        <v>0</v>
      </c>
      <c r="N80" s="325">
        <v>0</v>
      </c>
      <c r="O80" s="325">
        <v>0</v>
      </c>
      <c r="P80" s="325">
        <v>0</v>
      </c>
      <c r="Q80" s="325">
        <v>0</v>
      </c>
      <c r="R80" s="325">
        <v>0</v>
      </c>
      <c r="S80" s="325">
        <v>0</v>
      </c>
      <c r="U80" s="90"/>
    </row>
    <row r="81" spans="5:21" x14ac:dyDescent="0.25">
      <c r="E81" s="76"/>
      <c r="F81" s="76" t="s">
        <v>47</v>
      </c>
      <c r="G81" s="76" t="s">
        <v>94</v>
      </c>
      <c r="H81" s="92"/>
      <c r="I81" s="92"/>
      <c r="J81" s="185">
        <f t="shared" si="1"/>
        <v>0</v>
      </c>
      <c r="K81" s="440"/>
      <c r="L81" s="325">
        <v>0</v>
      </c>
      <c r="M81" s="325">
        <v>0</v>
      </c>
      <c r="N81" s="325">
        <v>0</v>
      </c>
      <c r="O81" s="325">
        <v>0</v>
      </c>
      <c r="P81" s="325">
        <v>0</v>
      </c>
      <c r="Q81" s="325">
        <v>0</v>
      </c>
      <c r="R81" s="325">
        <v>0</v>
      </c>
      <c r="S81" s="325">
        <v>0</v>
      </c>
      <c r="U81" s="90"/>
    </row>
    <row r="82" spans="5:21" x14ac:dyDescent="0.25">
      <c r="E82" s="76"/>
      <c r="F82" s="76" t="s">
        <v>51</v>
      </c>
      <c r="G82" s="76" t="s">
        <v>94</v>
      </c>
      <c r="H82" s="92"/>
      <c r="I82" s="92"/>
      <c r="J82" s="185">
        <f t="shared" si="1"/>
        <v>0</v>
      </c>
      <c r="K82" s="440"/>
      <c r="L82" s="325">
        <v>0</v>
      </c>
      <c r="M82" s="325">
        <v>0</v>
      </c>
      <c r="N82" s="325">
        <v>0</v>
      </c>
      <c r="O82" s="325">
        <v>0</v>
      </c>
      <c r="P82" s="325">
        <v>0</v>
      </c>
      <c r="Q82" s="325">
        <v>0</v>
      </c>
      <c r="R82" s="325">
        <v>0</v>
      </c>
      <c r="S82" s="325">
        <v>0</v>
      </c>
      <c r="U82" s="90"/>
    </row>
    <row r="83" spans="5:21" x14ac:dyDescent="0.25">
      <c r="E83" s="76"/>
      <c r="F83" s="76" t="s">
        <v>48</v>
      </c>
      <c r="G83" s="76" t="s">
        <v>94</v>
      </c>
      <c r="H83" s="92"/>
      <c r="I83" s="92"/>
      <c r="J83" s="185">
        <f t="shared" si="1"/>
        <v>0.20065197841726601</v>
      </c>
      <c r="K83" s="440"/>
      <c r="L83" s="325">
        <v>0.20065197841726601</v>
      </c>
      <c r="M83" s="325">
        <v>0.20065197841726601</v>
      </c>
      <c r="N83" s="325">
        <v>0.20065197841726601</v>
      </c>
      <c r="O83" s="325">
        <v>0.20065197841726601</v>
      </c>
      <c r="P83" s="325">
        <v>0.20065197841726601</v>
      </c>
      <c r="Q83" s="325">
        <v>0.20065197841726601</v>
      </c>
      <c r="R83" s="325">
        <v>0.20065197841726601</v>
      </c>
      <c r="S83" s="325">
        <v>0.20065197841726601</v>
      </c>
      <c r="U83" s="90"/>
    </row>
    <row r="84" spans="5:21" x14ac:dyDescent="0.25">
      <c r="E84" s="76"/>
      <c r="F84" s="76" t="s">
        <v>49</v>
      </c>
      <c r="G84" s="76" t="s">
        <v>94</v>
      </c>
      <c r="H84" s="92"/>
      <c r="I84" s="92"/>
      <c r="J84" s="185">
        <f t="shared" si="1"/>
        <v>0.26968503937007898</v>
      </c>
      <c r="K84" s="440"/>
      <c r="L84" s="325">
        <v>0.26968503937007898</v>
      </c>
      <c r="M84" s="325">
        <v>0.26968503937007898</v>
      </c>
      <c r="N84" s="325">
        <v>0.26968503937007898</v>
      </c>
      <c r="O84" s="325">
        <v>0.26968503937007898</v>
      </c>
      <c r="P84" s="325">
        <v>0.26968503937007898</v>
      </c>
      <c r="Q84" s="325">
        <v>0.26968503937007898</v>
      </c>
      <c r="R84" s="325">
        <v>0.26968503937007898</v>
      </c>
      <c r="S84" s="325">
        <v>0.26968503937007898</v>
      </c>
      <c r="U84" s="90"/>
    </row>
    <row r="85" spans="5:21" x14ac:dyDescent="0.25">
      <c r="E85" s="76"/>
      <c r="F85" s="15" t="s">
        <v>50</v>
      </c>
      <c r="G85" s="15" t="s">
        <v>94</v>
      </c>
      <c r="H85" s="93"/>
      <c r="I85" s="93"/>
      <c r="J85" s="186">
        <f t="shared" si="1"/>
        <v>0.92371773930088197</v>
      </c>
      <c r="K85" s="310"/>
      <c r="L85" s="326">
        <v>0.92371773930088197</v>
      </c>
      <c r="M85" s="326">
        <v>0.92371773930088197</v>
      </c>
      <c r="N85" s="326">
        <v>0.92371773930088197</v>
      </c>
      <c r="O85" s="326">
        <v>0.92371773930088197</v>
      </c>
      <c r="P85" s="326">
        <v>0.92371773930088197</v>
      </c>
      <c r="Q85" s="326">
        <v>0.92371773930088197</v>
      </c>
      <c r="R85" s="326">
        <v>0.92371773930088197</v>
      </c>
      <c r="S85" s="326">
        <v>0.92371773930088197</v>
      </c>
      <c r="U85" s="90"/>
    </row>
    <row r="86" spans="5:21" x14ac:dyDescent="0.25">
      <c r="E86" s="146" t="s">
        <v>81</v>
      </c>
      <c r="J86" s="441"/>
      <c r="K86" s="441"/>
      <c r="L86" s="441"/>
      <c r="M86" s="441"/>
      <c r="N86" s="441"/>
      <c r="O86" s="441"/>
      <c r="P86" s="441"/>
      <c r="Q86" s="441"/>
      <c r="R86" s="441"/>
      <c r="S86" s="441"/>
    </row>
    <row r="87" spans="5:21" x14ac:dyDescent="0.25">
      <c r="E87" s="76"/>
      <c r="F87" s="16" t="s">
        <v>324</v>
      </c>
      <c r="G87" s="16" t="s">
        <v>94</v>
      </c>
      <c r="H87" s="91"/>
      <c r="I87" s="91"/>
      <c r="J87" s="170"/>
      <c r="K87" s="439"/>
      <c r="L87" s="170"/>
      <c r="M87" s="170"/>
      <c r="N87" s="170"/>
      <c r="O87" s="170"/>
      <c r="P87" s="170"/>
      <c r="Q87" s="170"/>
      <c r="R87" s="170"/>
      <c r="S87" s="170"/>
      <c r="U87" s="90"/>
    </row>
    <row r="88" spans="5:21" x14ac:dyDescent="0.25">
      <c r="E88" s="76"/>
      <c r="F88" s="76" t="s">
        <v>43</v>
      </c>
      <c r="G88" s="76" t="s">
        <v>94</v>
      </c>
      <c r="H88" s="92"/>
      <c r="I88" s="92"/>
      <c r="J88" s="159"/>
      <c r="K88" s="440"/>
      <c r="L88" s="159"/>
      <c r="M88" s="159"/>
      <c r="N88" s="159"/>
      <c r="O88" s="159"/>
      <c r="P88" s="159"/>
      <c r="Q88" s="159"/>
      <c r="R88" s="159"/>
      <c r="S88" s="159"/>
      <c r="U88" s="90"/>
    </row>
    <row r="89" spans="5:21" x14ac:dyDescent="0.25">
      <c r="E89" s="76"/>
      <c r="F89" s="76" t="s">
        <v>44</v>
      </c>
      <c r="G89" s="76" t="s">
        <v>94</v>
      </c>
      <c r="H89" s="92"/>
      <c r="I89" s="92"/>
      <c r="J89" s="185">
        <f t="shared" ref="J89:J95" si="2">CHOOSE(year_selection, L89,M89,N89,O89,P89,Q89,R89,S89)</f>
        <v>0</v>
      </c>
      <c r="K89" s="440"/>
      <c r="L89" s="325">
        <v>0</v>
      </c>
      <c r="M89" s="325">
        <v>0</v>
      </c>
      <c r="N89" s="325">
        <v>0</v>
      </c>
      <c r="O89" s="325">
        <v>0</v>
      </c>
      <c r="P89" s="325">
        <v>0</v>
      </c>
      <c r="Q89" s="325">
        <v>0</v>
      </c>
      <c r="R89" s="325">
        <v>0</v>
      </c>
      <c r="S89" s="325">
        <v>0</v>
      </c>
      <c r="U89" s="90"/>
    </row>
    <row r="90" spans="5:21" x14ac:dyDescent="0.25">
      <c r="E90" s="76"/>
      <c r="F90" s="76" t="s">
        <v>45</v>
      </c>
      <c r="G90" s="76" t="s">
        <v>94</v>
      </c>
      <c r="H90" s="92"/>
      <c r="I90" s="92"/>
      <c r="J90" s="185">
        <f t="shared" si="2"/>
        <v>0</v>
      </c>
      <c r="K90" s="440"/>
      <c r="L90" s="325">
        <v>0</v>
      </c>
      <c r="M90" s="325">
        <v>0</v>
      </c>
      <c r="N90" s="325">
        <v>0</v>
      </c>
      <c r="O90" s="325">
        <v>0</v>
      </c>
      <c r="P90" s="325">
        <v>0</v>
      </c>
      <c r="Q90" s="325">
        <v>0</v>
      </c>
      <c r="R90" s="325">
        <v>0</v>
      </c>
      <c r="S90" s="325">
        <v>0</v>
      </c>
      <c r="U90" s="90"/>
    </row>
    <row r="91" spans="5:21" x14ac:dyDescent="0.25">
      <c r="E91" s="76"/>
      <c r="F91" s="76" t="s">
        <v>46</v>
      </c>
      <c r="G91" s="76" t="s">
        <v>94</v>
      </c>
      <c r="H91" s="92"/>
      <c r="I91" s="92"/>
      <c r="J91" s="185">
        <f t="shared" si="2"/>
        <v>0</v>
      </c>
      <c r="K91" s="440"/>
      <c r="L91" s="325">
        <v>0</v>
      </c>
      <c r="M91" s="325">
        <v>0</v>
      </c>
      <c r="N91" s="325">
        <v>0</v>
      </c>
      <c r="O91" s="325">
        <v>0</v>
      </c>
      <c r="P91" s="325">
        <v>0</v>
      </c>
      <c r="Q91" s="325">
        <v>0</v>
      </c>
      <c r="R91" s="325">
        <v>0</v>
      </c>
      <c r="S91" s="325">
        <v>0</v>
      </c>
      <c r="U91" s="90"/>
    </row>
    <row r="92" spans="5:21" x14ac:dyDescent="0.25">
      <c r="E92" s="76"/>
      <c r="F92" s="76" t="s">
        <v>47</v>
      </c>
      <c r="G92" s="76" t="s">
        <v>94</v>
      </c>
      <c r="H92" s="92"/>
      <c r="I92" s="92"/>
      <c r="J92" s="185">
        <f t="shared" si="2"/>
        <v>0</v>
      </c>
      <c r="K92" s="440"/>
      <c r="L92" s="325">
        <v>0</v>
      </c>
      <c r="M92" s="325">
        <v>0</v>
      </c>
      <c r="N92" s="325">
        <v>0</v>
      </c>
      <c r="O92" s="325">
        <v>0</v>
      </c>
      <c r="P92" s="325">
        <v>0</v>
      </c>
      <c r="Q92" s="325">
        <v>0</v>
      </c>
      <c r="R92" s="325">
        <v>0</v>
      </c>
      <c r="S92" s="325">
        <v>0</v>
      </c>
      <c r="U92" s="90"/>
    </row>
    <row r="93" spans="5:21" x14ac:dyDescent="0.25">
      <c r="E93" s="76"/>
      <c r="F93" s="76" t="s">
        <v>51</v>
      </c>
      <c r="G93" s="76" t="s">
        <v>94</v>
      </c>
      <c r="H93" s="92"/>
      <c r="I93" s="92"/>
      <c r="J93" s="185">
        <f t="shared" si="2"/>
        <v>0</v>
      </c>
      <c r="K93" s="440"/>
      <c r="L93" s="325">
        <v>0</v>
      </c>
      <c r="M93" s="325">
        <v>0</v>
      </c>
      <c r="N93" s="325">
        <v>0</v>
      </c>
      <c r="O93" s="325">
        <v>0</v>
      </c>
      <c r="P93" s="325">
        <v>0</v>
      </c>
      <c r="Q93" s="325">
        <v>0</v>
      </c>
      <c r="R93" s="325">
        <v>0</v>
      </c>
      <c r="S93" s="325">
        <v>0</v>
      </c>
      <c r="U93" s="90"/>
    </row>
    <row r="94" spans="5:21" x14ac:dyDescent="0.25">
      <c r="E94" s="76"/>
      <c r="F94" s="76" t="s">
        <v>48</v>
      </c>
      <c r="G94" s="76" t="s">
        <v>94</v>
      </c>
      <c r="H94" s="92"/>
      <c r="I94" s="92"/>
      <c r="J94" s="185">
        <f t="shared" si="2"/>
        <v>0.20065197841726601</v>
      </c>
      <c r="K94" s="440"/>
      <c r="L94" s="325">
        <v>0.20065197841726601</v>
      </c>
      <c r="M94" s="325">
        <v>0.20065197841726601</v>
      </c>
      <c r="N94" s="325">
        <v>0.20065197841726601</v>
      </c>
      <c r="O94" s="325">
        <v>0.20065197841726601</v>
      </c>
      <c r="P94" s="325">
        <v>0.20065197841726601</v>
      </c>
      <c r="Q94" s="325">
        <v>0.20065197841726601</v>
      </c>
      <c r="R94" s="325">
        <v>0.20065197841726601</v>
      </c>
      <c r="S94" s="325">
        <v>0.20065197841726601</v>
      </c>
      <c r="U94" s="90"/>
    </row>
    <row r="95" spans="5:21" x14ac:dyDescent="0.25">
      <c r="E95" s="76"/>
      <c r="F95" s="76" t="s">
        <v>49</v>
      </c>
      <c r="G95" s="76" t="s">
        <v>94</v>
      </c>
      <c r="H95" s="92"/>
      <c r="I95" s="92"/>
      <c r="J95" s="185">
        <f t="shared" si="2"/>
        <v>0.26968503937007898</v>
      </c>
      <c r="K95" s="440"/>
      <c r="L95" s="325">
        <v>0.26968503937007898</v>
      </c>
      <c r="M95" s="325">
        <v>0.26968503937007898</v>
      </c>
      <c r="N95" s="325">
        <v>0.26968503937007898</v>
      </c>
      <c r="O95" s="325">
        <v>0.26968503937007898</v>
      </c>
      <c r="P95" s="325">
        <v>0.26968503937007898</v>
      </c>
      <c r="Q95" s="325">
        <v>0.26968503937007898</v>
      </c>
      <c r="R95" s="325">
        <v>0.26968503937007898</v>
      </c>
      <c r="S95" s="325">
        <v>0.26968503937007898</v>
      </c>
      <c r="U95" s="90"/>
    </row>
    <row r="96" spans="5:21" x14ac:dyDescent="0.25">
      <c r="E96" s="76"/>
      <c r="F96" s="15" t="s">
        <v>50</v>
      </c>
      <c r="G96" s="15" t="s">
        <v>94</v>
      </c>
      <c r="H96" s="93"/>
      <c r="I96" s="93"/>
      <c r="J96" s="38"/>
      <c r="K96" s="310"/>
      <c r="L96" s="38"/>
      <c r="M96" s="38"/>
      <c r="N96" s="38"/>
      <c r="O96" s="38"/>
      <c r="P96" s="38"/>
      <c r="Q96" s="38"/>
      <c r="R96" s="38"/>
      <c r="S96" s="38"/>
      <c r="U96" s="90"/>
    </row>
    <row r="97" spans="5:21" x14ac:dyDescent="0.25">
      <c r="E97" s="146" t="s">
        <v>82</v>
      </c>
      <c r="J97" s="441"/>
      <c r="K97" s="441"/>
      <c r="L97" s="441"/>
      <c r="M97" s="441"/>
      <c r="N97" s="441"/>
      <c r="O97" s="441"/>
      <c r="P97" s="441"/>
      <c r="Q97" s="441"/>
      <c r="R97" s="441"/>
      <c r="S97" s="441"/>
    </row>
    <row r="98" spans="5:21" x14ac:dyDescent="0.25">
      <c r="E98" s="76"/>
      <c r="F98" s="16" t="s">
        <v>324</v>
      </c>
      <c r="G98" s="16" t="s">
        <v>94</v>
      </c>
      <c r="H98" s="91"/>
      <c r="I98" s="91"/>
      <c r="J98" s="170"/>
      <c r="K98" s="439"/>
      <c r="L98" s="170"/>
      <c r="M98" s="170"/>
      <c r="N98" s="170"/>
      <c r="O98" s="170"/>
      <c r="P98" s="170"/>
      <c r="Q98" s="170"/>
      <c r="R98" s="170"/>
      <c r="S98" s="170"/>
      <c r="U98" s="90"/>
    </row>
    <row r="99" spans="5:21" x14ac:dyDescent="0.25">
      <c r="E99" s="76"/>
      <c r="F99" s="76" t="s">
        <v>43</v>
      </c>
      <c r="G99" s="76" t="s">
        <v>94</v>
      </c>
      <c r="H99" s="92"/>
      <c r="I99" s="92"/>
      <c r="J99" s="159"/>
      <c r="K99" s="440"/>
      <c r="L99" s="159"/>
      <c r="M99" s="159"/>
      <c r="N99" s="159"/>
      <c r="O99" s="159"/>
      <c r="P99" s="159"/>
      <c r="Q99" s="159"/>
      <c r="R99" s="159"/>
      <c r="S99" s="159"/>
      <c r="U99" s="90"/>
    </row>
    <row r="100" spans="5:21" x14ac:dyDescent="0.25">
      <c r="E100" s="76"/>
      <c r="F100" s="76" t="s">
        <v>44</v>
      </c>
      <c r="G100" s="76" t="s">
        <v>94</v>
      </c>
      <c r="H100" s="92"/>
      <c r="I100" s="92"/>
      <c r="J100" s="185">
        <f t="shared" ref="J100:J105" si="3">CHOOSE(year_selection, L100,M100,N100,O100,P100,Q100,R100,S100)</f>
        <v>0</v>
      </c>
      <c r="K100" s="440"/>
      <c r="L100" s="325">
        <v>0</v>
      </c>
      <c r="M100" s="325">
        <v>0</v>
      </c>
      <c r="N100" s="325">
        <v>0</v>
      </c>
      <c r="O100" s="325">
        <v>0</v>
      </c>
      <c r="P100" s="325">
        <v>0</v>
      </c>
      <c r="Q100" s="325">
        <v>0</v>
      </c>
      <c r="R100" s="325">
        <v>0</v>
      </c>
      <c r="S100" s="325">
        <v>0</v>
      </c>
      <c r="U100" s="90"/>
    </row>
    <row r="101" spans="5:21" x14ac:dyDescent="0.25">
      <c r="E101" s="76"/>
      <c r="F101" s="76" t="s">
        <v>45</v>
      </c>
      <c r="G101" s="76" t="s">
        <v>94</v>
      </c>
      <c r="H101" s="92"/>
      <c r="I101" s="92"/>
      <c r="J101" s="185">
        <f t="shared" si="3"/>
        <v>0</v>
      </c>
      <c r="K101" s="440"/>
      <c r="L101" s="325">
        <v>0</v>
      </c>
      <c r="M101" s="325">
        <v>0</v>
      </c>
      <c r="N101" s="325">
        <v>0</v>
      </c>
      <c r="O101" s="325">
        <v>0</v>
      </c>
      <c r="P101" s="325">
        <v>0</v>
      </c>
      <c r="Q101" s="325">
        <v>0</v>
      </c>
      <c r="R101" s="325">
        <v>0</v>
      </c>
      <c r="S101" s="325">
        <v>0</v>
      </c>
      <c r="U101" s="90"/>
    </row>
    <row r="102" spans="5:21" x14ac:dyDescent="0.25">
      <c r="E102" s="76"/>
      <c r="F102" s="76" t="s">
        <v>46</v>
      </c>
      <c r="G102" s="76" t="s">
        <v>94</v>
      </c>
      <c r="H102" s="92"/>
      <c r="I102" s="92"/>
      <c r="J102" s="185">
        <f t="shared" si="3"/>
        <v>3.11004784688995E-2</v>
      </c>
      <c r="K102" s="440"/>
      <c r="L102" s="325">
        <v>3.11004784688995E-2</v>
      </c>
      <c r="M102" s="325">
        <v>3.11004784688995E-2</v>
      </c>
      <c r="N102" s="325">
        <v>3.11004784688995E-2</v>
      </c>
      <c r="O102" s="325">
        <v>3.11004784688995E-2</v>
      </c>
      <c r="P102" s="325">
        <v>3.11004784688995E-2</v>
      </c>
      <c r="Q102" s="325">
        <v>3.11004784688995E-2</v>
      </c>
      <c r="R102" s="325">
        <v>3.11004784688995E-2</v>
      </c>
      <c r="S102" s="325">
        <v>3.11004784688995E-2</v>
      </c>
      <c r="U102" s="90"/>
    </row>
    <row r="103" spans="5:21" x14ac:dyDescent="0.25">
      <c r="E103" s="76"/>
      <c r="F103" s="76" t="s">
        <v>47</v>
      </c>
      <c r="G103" s="76" t="s">
        <v>94</v>
      </c>
      <c r="H103" s="92"/>
      <c r="I103" s="92"/>
      <c r="J103" s="185">
        <f t="shared" si="3"/>
        <v>0.14212259371833799</v>
      </c>
      <c r="K103" s="440"/>
      <c r="L103" s="325">
        <v>0.14212259371833799</v>
      </c>
      <c r="M103" s="325">
        <v>0.14212259371833799</v>
      </c>
      <c r="N103" s="325">
        <v>0.14212259371833799</v>
      </c>
      <c r="O103" s="325">
        <v>0.14212259371833799</v>
      </c>
      <c r="P103" s="325">
        <v>0.14212259371833799</v>
      </c>
      <c r="Q103" s="325">
        <v>0.14212259371833799</v>
      </c>
      <c r="R103" s="325">
        <v>0.14212259371833799</v>
      </c>
      <c r="S103" s="325">
        <v>0.14212259371833799</v>
      </c>
      <c r="U103" s="90"/>
    </row>
    <row r="104" spans="5:21" x14ac:dyDescent="0.25">
      <c r="E104" s="76"/>
      <c r="F104" s="76" t="s">
        <v>51</v>
      </c>
      <c r="G104" s="76" t="s">
        <v>94</v>
      </c>
      <c r="H104" s="92"/>
      <c r="I104" s="92"/>
      <c r="J104" s="185">
        <f t="shared" si="3"/>
        <v>0</v>
      </c>
      <c r="K104" s="440"/>
      <c r="L104" s="325">
        <v>0</v>
      </c>
      <c r="M104" s="325">
        <v>0</v>
      </c>
      <c r="N104" s="325">
        <v>0</v>
      </c>
      <c r="O104" s="325">
        <v>0</v>
      </c>
      <c r="P104" s="325">
        <v>0</v>
      </c>
      <c r="Q104" s="325">
        <v>0</v>
      </c>
      <c r="R104" s="325">
        <v>0</v>
      </c>
      <c r="S104" s="325">
        <v>0</v>
      </c>
      <c r="U104" s="90"/>
    </row>
    <row r="105" spans="5:21" x14ac:dyDescent="0.25">
      <c r="E105" s="76"/>
      <c r="F105" s="76" t="s">
        <v>48</v>
      </c>
      <c r="G105" s="76" t="s">
        <v>94</v>
      </c>
      <c r="H105" s="92"/>
      <c r="I105" s="92"/>
      <c r="J105" s="185">
        <f t="shared" si="3"/>
        <v>0.45146695143884902</v>
      </c>
      <c r="K105" s="440"/>
      <c r="L105" s="325">
        <v>0.45146695143884902</v>
      </c>
      <c r="M105" s="325">
        <v>0.45146695143884902</v>
      </c>
      <c r="N105" s="325">
        <v>0.45146695143884902</v>
      </c>
      <c r="O105" s="325">
        <v>0.45146695143884902</v>
      </c>
      <c r="P105" s="325">
        <v>0.45146695143884902</v>
      </c>
      <c r="Q105" s="325">
        <v>0.45146695143884902</v>
      </c>
      <c r="R105" s="325">
        <v>0.45146695143884902</v>
      </c>
      <c r="S105" s="325">
        <v>0.45146695143884902</v>
      </c>
      <c r="U105" s="90"/>
    </row>
    <row r="106" spans="5:21" x14ac:dyDescent="0.25">
      <c r="E106" s="76"/>
      <c r="F106" s="76" t="s">
        <v>49</v>
      </c>
      <c r="G106" s="76" t="s">
        <v>94</v>
      </c>
      <c r="H106" s="92"/>
      <c r="I106" s="92"/>
      <c r="J106" s="37"/>
      <c r="K106" s="440"/>
      <c r="L106" s="37"/>
      <c r="M106" s="37"/>
      <c r="N106" s="37"/>
      <c r="O106" s="37"/>
      <c r="P106" s="37"/>
      <c r="Q106" s="37"/>
      <c r="R106" s="37"/>
      <c r="S106" s="37"/>
      <c r="U106" s="90"/>
    </row>
    <row r="107" spans="5:21" x14ac:dyDescent="0.25">
      <c r="E107" s="76"/>
      <c r="F107" s="15" t="s">
        <v>50</v>
      </c>
      <c r="G107" s="15" t="s">
        <v>94</v>
      </c>
      <c r="H107" s="93"/>
      <c r="I107" s="93"/>
      <c r="J107" s="38"/>
      <c r="K107" s="310"/>
      <c r="L107" s="38"/>
      <c r="M107" s="38"/>
      <c r="N107" s="38"/>
      <c r="O107" s="38"/>
      <c r="P107" s="38"/>
      <c r="Q107" s="38"/>
      <c r="R107" s="38"/>
      <c r="S107" s="38"/>
      <c r="U107" s="90"/>
    </row>
    <row r="108" spans="5:21" x14ac:dyDescent="0.25">
      <c r="E108" s="146" t="s">
        <v>83</v>
      </c>
      <c r="J108" s="441"/>
      <c r="K108" s="441"/>
      <c r="L108" s="441"/>
      <c r="M108" s="441"/>
      <c r="N108" s="441"/>
      <c r="O108" s="441"/>
      <c r="P108" s="441"/>
      <c r="Q108" s="441"/>
      <c r="R108" s="441"/>
      <c r="S108" s="441"/>
    </row>
    <row r="109" spans="5:21" x14ac:dyDescent="0.25">
      <c r="E109" s="76"/>
      <c r="F109" s="16" t="s">
        <v>324</v>
      </c>
      <c r="G109" s="16" t="s">
        <v>94</v>
      </c>
      <c r="H109" s="91"/>
      <c r="I109" s="91"/>
      <c r="J109" s="170"/>
      <c r="K109" s="439"/>
      <c r="L109" s="170"/>
      <c r="M109" s="170"/>
      <c r="N109" s="170"/>
      <c r="O109" s="170"/>
      <c r="P109" s="170"/>
      <c r="Q109" s="170"/>
      <c r="R109" s="170"/>
      <c r="S109" s="170"/>
      <c r="U109" s="90"/>
    </row>
    <row r="110" spans="5:21" x14ac:dyDescent="0.25">
      <c r="E110" s="76"/>
      <c r="F110" s="76" t="s">
        <v>43</v>
      </c>
      <c r="G110" s="76" t="s">
        <v>94</v>
      </c>
      <c r="H110" s="92"/>
      <c r="I110" s="92"/>
      <c r="J110" s="159"/>
      <c r="K110" s="440"/>
      <c r="L110" s="159"/>
      <c r="M110" s="159"/>
      <c r="N110" s="159"/>
      <c r="O110" s="159"/>
      <c r="P110" s="159"/>
      <c r="Q110" s="159"/>
      <c r="R110" s="159"/>
      <c r="S110" s="159"/>
      <c r="U110" s="90"/>
    </row>
    <row r="111" spans="5:21" x14ac:dyDescent="0.25">
      <c r="E111" s="76"/>
      <c r="F111" s="76" t="s">
        <v>44</v>
      </c>
      <c r="G111" s="76" t="s">
        <v>94</v>
      </c>
      <c r="H111" s="92"/>
      <c r="I111" s="92"/>
      <c r="J111" s="185">
        <f t="shared" ref="J111:J114" si="4">CHOOSE(year_selection, L111,M111,N111,O111,P111,Q111,R111,S111)</f>
        <v>0</v>
      </c>
      <c r="K111" s="440"/>
      <c r="L111" s="325">
        <v>0</v>
      </c>
      <c r="M111" s="325">
        <v>0</v>
      </c>
      <c r="N111" s="325">
        <v>0</v>
      </c>
      <c r="O111" s="325">
        <v>0</v>
      </c>
      <c r="P111" s="325">
        <v>0</v>
      </c>
      <c r="Q111" s="325">
        <v>0</v>
      </c>
      <c r="R111" s="325">
        <v>0</v>
      </c>
      <c r="S111" s="325">
        <v>0</v>
      </c>
      <c r="U111" s="90"/>
    </row>
    <row r="112" spans="5:21" x14ac:dyDescent="0.25">
      <c r="E112" s="76"/>
      <c r="F112" s="76" t="s">
        <v>45</v>
      </c>
      <c r="G112" s="76" t="s">
        <v>94</v>
      </c>
      <c r="H112" s="92"/>
      <c r="I112" s="92"/>
      <c r="J112" s="185">
        <f t="shared" si="4"/>
        <v>0</v>
      </c>
      <c r="K112" s="440"/>
      <c r="L112" s="325">
        <v>0</v>
      </c>
      <c r="M112" s="325">
        <v>0</v>
      </c>
      <c r="N112" s="325">
        <v>0</v>
      </c>
      <c r="O112" s="325">
        <v>0</v>
      </c>
      <c r="P112" s="325">
        <v>0</v>
      </c>
      <c r="Q112" s="325">
        <v>0</v>
      </c>
      <c r="R112" s="325">
        <v>0</v>
      </c>
      <c r="S112" s="325">
        <v>0</v>
      </c>
      <c r="U112" s="90"/>
    </row>
    <row r="113" spans="2:22" x14ac:dyDescent="0.25">
      <c r="E113" s="76"/>
      <c r="F113" s="76" t="s">
        <v>46</v>
      </c>
      <c r="G113" s="76" t="s">
        <v>94</v>
      </c>
      <c r="H113" s="92"/>
      <c r="I113" s="92"/>
      <c r="J113" s="185">
        <f t="shared" si="4"/>
        <v>3.11004784688995E-2</v>
      </c>
      <c r="K113" s="440"/>
      <c r="L113" s="325">
        <v>3.11004784688995E-2</v>
      </c>
      <c r="M113" s="325">
        <v>3.11004784688995E-2</v>
      </c>
      <c r="N113" s="325">
        <v>3.11004784688995E-2</v>
      </c>
      <c r="O113" s="325">
        <v>3.11004784688995E-2</v>
      </c>
      <c r="P113" s="325">
        <v>3.11004784688995E-2</v>
      </c>
      <c r="Q113" s="325">
        <v>3.11004784688995E-2</v>
      </c>
      <c r="R113" s="325">
        <v>3.11004784688995E-2</v>
      </c>
      <c r="S113" s="325">
        <v>3.11004784688995E-2</v>
      </c>
      <c r="U113" s="90"/>
    </row>
    <row r="114" spans="2:22" x14ac:dyDescent="0.25">
      <c r="E114" s="76"/>
      <c r="F114" s="76" t="s">
        <v>47</v>
      </c>
      <c r="G114" s="76" t="s">
        <v>94</v>
      </c>
      <c r="H114" s="92"/>
      <c r="I114" s="92"/>
      <c r="J114" s="185">
        <f t="shared" si="4"/>
        <v>0.14212259371833799</v>
      </c>
      <c r="K114" s="440"/>
      <c r="L114" s="325">
        <v>0.14212259371833799</v>
      </c>
      <c r="M114" s="325">
        <v>0.14212259371833799</v>
      </c>
      <c r="N114" s="325">
        <v>0.14212259371833799</v>
      </c>
      <c r="O114" s="325">
        <v>0.14212259371833799</v>
      </c>
      <c r="P114" s="325">
        <v>0.14212259371833799</v>
      </c>
      <c r="Q114" s="325">
        <v>0.14212259371833799</v>
      </c>
      <c r="R114" s="325">
        <v>0.14212259371833799</v>
      </c>
      <c r="S114" s="325">
        <v>0.14212259371833799</v>
      </c>
      <c r="U114" s="90"/>
    </row>
    <row r="115" spans="2:22" x14ac:dyDescent="0.25">
      <c r="E115" s="76"/>
      <c r="F115" s="76" t="s">
        <v>51</v>
      </c>
      <c r="G115" s="76" t="s">
        <v>94</v>
      </c>
      <c r="H115" s="92"/>
      <c r="I115" s="92"/>
      <c r="J115" s="37"/>
      <c r="K115" s="440"/>
      <c r="L115" s="37"/>
      <c r="M115" s="37"/>
      <c r="N115" s="37"/>
      <c r="O115" s="37"/>
      <c r="P115" s="37"/>
      <c r="Q115" s="37"/>
      <c r="R115" s="37"/>
      <c r="S115" s="37"/>
      <c r="U115" s="90"/>
    </row>
    <row r="116" spans="2:22" x14ac:dyDescent="0.25">
      <c r="E116" s="76"/>
      <c r="F116" s="76" t="s">
        <v>48</v>
      </c>
      <c r="G116" s="76" t="s">
        <v>94</v>
      </c>
      <c r="H116" s="92"/>
      <c r="I116" s="92"/>
      <c r="J116" s="37"/>
      <c r="K116" s="440"/>
      <c r="L116" s="37"/>
      <c r="M116" s="37"/>
      <c r="N116" s="37"/>
      <c r="O116" s="37"/>
      <c r="P116" s="37"/>
      <c r="Q116" s="37"/>
      <c r="R116" s="37"/>
      <c r="S116" s="37"/>
      <c r="T116" s="195"/>
      <c r="U116" s="90"/>
      <c r="V116" s="195"/>
    </row>
    <row r="117" spans="2:22" x14ac:dyDescent="0.25">
      <c r="E117" s="76"/>
      <c r="F117" s="76" t="s">
        <v>49</v>
      </c>
      <c r="G117" s="76" t="s">
        <v>94</v>
      </c>
      <c r="H117" s="92"/>
      <c r="I117" s="92"/>
      <c r="J117" s="37"/>
      <c r="K117" s="440"/>
      <c r="L117" s="37"/>
      <c r="M117" s="37"/>
      <c r="N117" s="37"/>
      <c r="O117" s="37"/>
      <c r="P117" s="37"/>
      <c r="Q117" s="37"/>
      <c r="R117" s="37"/>
      <c r="S117" s="37"/>
      <c r="U117" s="90"/>
    </row>
    <row r="118" spans="2:22" x14ac:dyDescent="0.25">
      <c r="E118" s="76"/>
      <c r="F118" s="15" t="s">
        <v>50</v>
      </c>
      <c r="G118" s="15" t="s">
        <v>94</v>
      </c>
      <c r="H118" s="93"/>
      <c r="I118" s="93"/>
      <c r="J118" s="38"/>
      <c r="K118" s="310"/>
      <c r="L118" s="38"/>
      <c r="M118" s="38"/>
      <c r="N118" s="38"/>
      <c r="O118" s="38"/>
      <c r="P118" s="38"/>
      <c r="Q118" s="38"/>
      <c r="R118" s="38"/>
      <c r="S118" s="38"/>
      <c r="U118" s="90"/>
    </row>
    <row r="119" spans="2:22" x14ac:dyDescent="0.25">
      <c r="J119" s="441"/>
      <c r="K119" s="441"/>
      <c r="L119" s="441"/>
      <c r="M119" s="441"/>
      <c r="N119" s="441"/>
      <c r="O119" s="441"/>
      <c r="P119" s="441"/>
      <c r="Q119" s="441"/>
      <c r="R119" s="441"/>
      <c r="S119" s="441"/>
    </row>
    <row r="120" spans="2:22" s="195" customFormat="1" x14ac:dyDescent="0.25">
      <c r="C120" s="7" t="str">
        <f ca="1">INDEX('Version control'!$H$34:$H$60,MATCH($A$1,'Version control'!$F$34:$F$60,0),1)&amp;"-F: Gross asset cost by network level"</f>
        <v>Input 502-F: Gross asset cost by network level</v>
      </c>
      <c r="D120" s="7"/>
      <c r="E120" s="7"/>
      <c r="F120" s="7"/>
      <c r="G120" s="7"/>
      <c r="H120" s="7"/>
      <c r="I120" s="7"/>
      <c r="J120" s="442"/>
      <c r="K120" s="442"/>
      <c r="L120" s="442"/>
      <c r="M120" s="442"/>
      <c r="N120" s="442"/>
      <c r="O120" s="442"/>
      <c r="P120" s="442"/>
      <c r="Q120" s="442"/>
      <c r="R120" s="442"/>
      <c r="S120" s="442"/>
      <c r="T120" s="7"/>
      <c r="U120" s="7"/>
    </row>
    <row r="121" spans="2:22" s="195" customFormat="1" x14ac:dyDescent="0.25">
      <c r="J121" s="89"/>
      <c r="K121" s="89"/>
      <c r="L121" s="89"/>
      <c r="M121" s="89"/>
      <c r="N121" s="89"/>
      <c r="O121" s="89"/>
      <c r="P121" s="89"/>
      <c r="Q121" s="89"/>
      <c r="R121" s="89"/>
      <c r="S121" s="89"/>
    </row>
    <row r="122" spans="2:22" ht="14.65" customHeight="1" x14ac:dyDescent="0.25">
      <c r="E122" s="96" t="s">
        <v>251</v>
      </c>
      <c r="J122" s="441"/>
      <c r="K122" s="441"/>
      <c r="L122" s="441"/>
      <c r="M122" s="441"/>
      <c r="N122" s="441"/>
      <c r="O122" s="441"/>
      <c r="P122" s="441"/>
      <c r="Q122" s="441"/>
      <c r="R122" s="441"/>
      <c r="S122" s="441"/>
    </row>
    <row r="123" spans="2:22" x14ac:dyDescent="0.25">
      <c r="B123" s="295"/>
      <c r="F123" s="16" t="s">
        <v>324</v>
      </c>
      <c r="G123" s="16" t="s">
        <v>107</v>
      </c>
      <c r="H123" s="91"/>
      <c r="I123" s="91"/>
      <c r="J123" s="245"/>
      <c r="K123" s="246"/>
      <c r="L123" s="245"/>
      <c r="M123" s="245"/>
      <c r="N123" s="245"/>
      <c r="O123" s="245"/>
      <c r="P123" s="245"/>
      <c r="Q123" s="245"/>
      <c r="R123" s="245"/>
      <c r="S123" s="245"/>
      <c r="U123" s="90"/>
    </row>
    <row r="124" spans="2:22" x14ac:dyDescent="0.25">
      <c r="B124" s="295"/>
      <c r="F124" s="76" t="s">
        <v>43</v>
      </c>
      <c r="G124" s="76" t="s">
        <v>107</v>
      </c>
      <c r="H124" s="92"/>
      <c r="I124" s="92"/>
      <c r="J124" s="247"/>
      <c r="K124" s="248"/>
      <c r="L124" s="247"/>
      <c r="M124" s="247"/>
      <c r="N124" s="247"/>
      <c r="O124" s="247"/>
      <c r="P124" s="247"/>
      <c r="Q124" s="247"/>
      <c r="R124" s="247"/>
      <c r="S124" s="247"/>
      <c r="U124" s="90"/>
    </row>
    <row r="125" spans="2:22" x14ac:dyDescent="0.25">
      <c r="B125" s="295"/>
      <c r="F125" s="76" t="s">
        <v>44</v>
      </c>
      <c r="G125" s="76" t="s">
        <v>107</v>
      </c>
      <c r="H125" s="92"/>
      <c r="I125" s="92"/>
      <c r="J125" s="234">
        <f t="shared" ref="J125:J132" si="5">CHOOSE(year_selection, L125,M125,N125,O125,P125,Q125,R125,S125)</f>
        <v>0</v>
      </c>
      <c r="K125" s="248"/>
      <c r="L125" s="331">
        <v>0</v>
      </c>
      <c r="M125" s="331"/>
      <c r="N125" s="331">
        <v>0</v>
      </c>
      <c r="O125" s="331">
        <v>0</v>
      </c>
      <c r="P125" s="331">
        <v>0</v>
      </c>
      <c r="Q125" s="331">
        <v>0</v>
      </c>
      <c r="R125" s="331">
        <v>0</v>
      </c>
      <c r="S125" s="331">
        <v>0</v>
      </c>
      <c r="U125" s="90"/>
    </row>
    <row r="126" spans="2:22" x14ac:dyDescent="0.25">
      <c r="B126" s="295"/>
      <c r="F126" s="76" t="s">
        <v>45</v>
      </c>
      <c r="G126" s="76" t="s">
        <v>107</v>
      </c>
      <c r="H126" s="92"/>
      <c r="I126" s="92"/>
      <c r="J126" s="234">
        <f t="shared" si="5"/>
        <v>0</v>
      </c>
      <c r="K126" s="248"/>
      <c r="L126" s="331">
        <v>0</v>
      </c>
      <c r="M126" s="331"/>
      <c r="N126" s="331">
        <v>0</v>
      </c>
      <c r="O126" s="331">
        <v>0</v>
      </c>
      <c r="P126" s="331">
        <v>0</v>
      </c>
      <c r="Q126" s="331">
        <v>0</v>
      </c>
      <c r="R126" s="331">
        <v>0</v>
      </c>
      <c r="S126" s="331">
        <v>0</v>
      </c>
      <c r="U126" s="90"/>
    </row>
    <row r="127" spans="2:22" x14ac:dyDescent="0.25">
      <c r="B127" s="295"/>
      <c r="F127" s="76" t="s">
        <v>46</v>
      </c>
      <c r="G127" s="76" t="s">
        <v>107</v>
      </c>
      <c r="H127" s="92"/>
      <c r="I127" s="92"/>
      <c r="J127" s="234">
        <f t="shared" si="5"/>
        <v>115483848.7018043</v>
      </c>
      <c r="K127" s="248"/>
      <c r="L127" s="331">
        <v>106060547.92627929</v>
      </c>
      <c r="M127" s="331">
        <v>109374940.04897551</v>
      </c>
      <c r="N127" s="331">
        <v>112394587.60356565</v>
      </c>
      <c r="O127" s="331">
        <v>115483848.7018043</v>
      </c>
      <c r="P127" s="331">
        <v>119147095.29028343</v>
      </c>
      <c r="Q127" s="331">
        <v>121708719.74960683</v>
      </c>
      <c r="R127" s="331">
        <v>124142774.36949849</v>
      </c>
      <c r="S127" s="331">
        <v>126625487.62395665</v>
      </c>
      <c r="U127" s="90"/>
    </row>
    <row r="128" spans="2:22" x14ac:dyDescent="0.25">
      <c r="B128" s="295"/>
      <c r="F128" s="76" t="s">
        <v>47</v>
      </c>
      <c r="G128" s="76" t="s">
        <v>107</v>
      </c>
      <c r="H128" s="92"/>
      <c r="I128" s="92"/>
      <c r="J128" s="234">
        <f t="shared" si="5"/>
        <v>29592148.796136998</v>
      </c>
      <c r="K128" s="248"/>
      <c r="L128" s="331">
        <v>27177475.906076547</v>
      </c>
      <c r="M128" s="331">
        <v>28026772.028141439</v>
      </c>
      <c r="N128" s="331">
        <v>28800541.353911463</v>
      </c>
      <c r="O128" s="331">
        <v>29592148.796136998</v>
      </c>
      <c r="P128" s="331">
        <v>30530837.100534685</v>
      </c>
      <c r="Q128" s="331">
        <v>31187240.337976646</v>
      </c>
      <c r="R128" s="331">
        <v>31810954.452975944</v>
      </c>
      <c r="S128" s="331">
        <v>32447137.095570188</v>
      </c>
      <c r="U128" s="90"/>
    </row>
    <row r="129" spans="2:21" x14ac:dyDescent="0.25">
      <c r="B129" s="295"/>
      <c r="F129" s="76" t="s">
        <v>51</v>
      </c>
      <c r="G129" s="76" t="s">
        <v>107</v>
      </c>
      <c r="H129" s="92"/>
      <c r="I129" s="92"/>
      <c r="J129" s="234">
        <f t="shared" si="5"/>
        <v>0</v>
      </c>
      <c r="K129" s="248"/>
      <c r="L129" s="331">
        <v>0</v>
      </c>
      <c r="M129" s="331"/>
      <c r="N129" s="331">
        <v>0</v>
      </c>
      <c r="O129" s="331">
        <v>0</v>
      </c>
      <c r="P129" s="331">
        <v>0</v>
      </c>
      <c r="Q129" s="331">
        <v>0</v>
      </c>
      <c r="R129" s="331">
        <v>0</v>
      </c>
      <c r="S129" s="331">
        <v>0</v>
      </c>
      <c r="U129" s="90"/>
    </row>
    <row r="130" spans="2:21" x14ac:dyDescent="0.25">
      <c r="B130" s="295"/>
      <c r="F130" s="76" t="s">
        <v>48</v>
      </c>
      <c r="G130" s="76" t="s">
        <v>107</v>
      </c>
      <c r="H130" s="92"/>
      <c r="I130" s="92"/>
      <c r="J130" s="234">
        <f t="shared" si="5"/>
        <v>127306253.13245735</v>
      </c>
      <c r="K130" s="248"/>
      <c r="L130" s="331">
        <v>116918262.71338217</v>
      </c>
      <c r="M130" s="331">
        <v>120571958.42317536</v>
      </c>
      <c r="N130" s="331">
        <v>123900735.73945692</v>
      </c>
      <c r="O130" s="331">
        <v>127306253.13245735</v>
      </c>
      <c r="P130" s="331">
        <v>131344516.51493023</v>
      </c>
      <c r="Q130" s="331">
        <v>134168381.63126338</v>
      </c>
      <c r="R130" s="331">
        <v>136851617.22707629</v>
      </c>
      <c r="S130" s="331">
        <v>139588492.77790317</v>
      </c>
      <c r="U130" s="90"/>
    </row>
    <row r="131" spans="2:21" x14ac:dyDescent="0.25">
      <c r="B131" s="295"/>
      <c r="F131" s="76" t="s">
        <v>49</v>
      </c>
      <c r="G131" s="76" t="s">
        <v>107</v>
      </c>
      <c r="H131" s="92"/>
      <c r="I131" s="92"/>
      <c r="J131" s="234">
        <f t="shared" si="5"/>
        <v>31995666.142905347</v>
      </c>
      <c r="K131" s="248"/>
      <c r="L131" s="331">
        <v>29384870.01022356</v>
      </c>
      <c r="M131" s="331">
        <v>30303147.198043045</v>
      </c>
      <c r="N131" s="331">
        <v>31139763.19337051</v>
      </c>
      <c r="O131" s="331">
        <v>31995666.142905347</v>
      </c>
      <c r="P131" s="331">
        <v>33010596.076066505</v>
      </c>
      <c r="Q131" s="331">
        <v>33720313.33874318</v>
      </c>
      <c r="R131" s="331">
        <v>34394686.420928419</v>
      </c>
      <c r="S131" s="331">
        <v>35082540.742646813</v>
      </c>
      <c r="U131" s="90"/>
    </row>
    <row r="132" spans="2:21" x14ac:dyDescent="0.25">
      <c r="B132" s="295"/>
      <c r="F132" s="15" t="s">
        <v>50</v>
      </c>
      <c r="G132" s="15" t="s">
        <v>107</v>
      </c>
      <c r="H132" s="93"/>
      <c r="I132" s="93"/>
      <c r="J132" s="236">
        <f t="shared" si="5"/>
        <v>53817722.025625169</v>
      </c>
      <c r="K132" s="249"/>
      <c r="L132" s="332">
        <v>49426280.387664415</v>
      </c>
      <c r="M132" s="332">
        <v>50970851.649778925</v>
      </c>
      <c r="N132" s="332">
        <v>52378066.204325996</v>
      </c>
      <c r="O132" s="332">
        <v>53817722.025625169</v>
      </c>
      <c r="P132" s="332">
        <v>55524866.261172362</v>
      </c>
      <c r="Q132" s="332">
        <v>56718633.135377303</v>
      </c>
      <c r="R132" s="332">
        <v>57852949.980555944</v>
      </c>
      <c r="S132" s="332">
        <v>59009942.696851492</v>
      </c>
      <c r="U132" s="90"/>
    </row>
    <row r="133" spans="2:21" x14ac:dyDescent="0.25">
      <c r="J133" s="441"/>
      <c r="K133" s="441"/>
      <c r="L133" s="441"/>
      <c r="M133" s="441"/>
      <c r="N133" s="441"/>
      <c r="O133" s="441"/>
      <c r="P133" s="441"/>
      <c r="Q133" s="441"/>
      <c r="R133" s="441"/>
      <c r="S133" s="441"/>
    </row>
    <row r="134" spans="2:21" s="195" customFormat="1" x14ac:dyDescent="0.25">
      <c r="C134" s="7" t="str">
        <f ca="1">INDEX('Version control'!$H$34:$H$60,MATCH($A$1,'Version control'!$F$34:$F$60,0),1)&amp;"-G: Peaking probabilities, by timeband &amp; network level"</f>
        <v>Input 502-G: Peaking probabilities, by timeband &amp; network level</v>
      </c>
      <c r="D134" s="7"/>
      <c r="E134" s="7"/>
      <c r="F134" s="7"/>
      <c r="G134" s="7"/>
      <c r="H134" s="7"/>
      <c r="I134" s="7"/>
      <c r="J134" s="442"/>
      <c r="K134" s="442"/>
      <c r="L134" s="442"/>
      <c r="M134" s="442"/>
      <c r="N134" s="442"/>
      <c r="O134" s="442"/>
      <c r="P134" s="442"/>
      <c r="Q134" s="442"/>
      <c r="R134" s="442"/>
      <c r="S134" s="442"/>
      <c r="T134" s="7"/>
      <c r="U134" s="7"/>
    </row>
    <row r="135" spans="2:21" s="195" customFormat="1" x14ac:dyDescent="0.25">
      <c r="J135" s="89"/>
      <c r="K135" s="89"/>
      <c r="L135" s="89"/>
      <c r="M135" s="89"/>
      <c r="N135" s="89"/>
      <c r="O135" s="89"/>
      <c r="P135" s="89"/>
      <c r="Q135" s="89"/>
      <c r="R135" s="89"/>
      <c r="S135" s="89"/>
    </row>
    <row r="136" spans="2:21" x14ac:dyDescent="0.25">
      <c r="C136" s="82" t="s">
        <v>727</v>
      </c>
      <c r="J136" s="441"/>
      <c r="K136" s="441"/>
      <c r="L136" s="441"/>
      <c r="M136" s="441"/>
      <c r="N136" s="441"/>
      <c r="O136" s="441"/>
      <c r="P136" s="441"/>
      <c r="Q136" s="441"/>
      <c r="R136" s="441"/>
      <c r="S136" s="441"/>
    </row>
    <row r="137" spans="2:21" s="195" customFormat="1" x14ac:dyDescent="0.25">
      <c r="D137" s="96"/>
      <c r="I137" s="196"/>
      <c r="J137" s="441"/>
      <c r="K137" s="441"/>
      <c r="L137" s="441"/>
      <c r="M137" s="441"/>
      <c r="N137" s="441"/>
      <c r="O137" s="441"/>
      <c r="P137" s="441"/>
      <c r="Q137" s="441"/>
      <c r="R137" s="441"/>
      <c r="S137" s="441"/>
    </row>
    <row r="138" spans="2:21" x14ac:dyDescent="0.25">
      <c r="E138" s="96" t="s">
        <v>591</v>
      </c>
      <c r="I138" s="92" t="s">
        <v>431</v>
      </c>
      <c r="J138" s="441"/>
      <c r="K138" s="441"/>
      <c r="L138" s="441"/>
      <c r="M138" s="441"/>
      <c r="N138" s="441"/>
      <c r="O138" s="441"/>
      <c r="P138" s="441"/>
      <c r="Q138" s="441"/>
      <c r="R138" s="441"/>
      <c r="S138" s="441"/>
      <c r="U138" s="85" t="s">
        <v>922</v>
      </c>
    </row>
    <row r="139" spans="2:21" x14ac:dyDescent="0.25">
      <c r="F139" s="16" t="s">
        <v>324</v>
      </c>
      <c r="G139" s="16" t="s">
        <v>94</v>
      </c>
      <c r="H139" s="91"/>
      <c r="I139" s="91"/>
      <c r="J139" s="170"/>
      <c r="K139" s="439"/>
      <c r="L139" s="170"/>
      <c r="M139" s="170"/>
      <c r="N139" s="170"/>
      <c r="O139" s="170"/>
      <c r="P139" s="170"/>
      <c r="Q139" s="170"/>
      <c r="R139" s="170"/>
      <c r="S139" s="170"/>
      <c r="U139" s="90"/>
    </row>
    <row r="140" spans="2:21" x14ac:dyDescent="0.25">
      <c r="F140" s="76" t="s">
        <v>43</v>
      </c>
      <c r="G140" s="76" t="s">
        <v>94</v>
      </c>
      <c r="H140" s="92"/>
      <c r="I140" s="92"/>
      <c r="J140" s="185">
        <f t="shared" ref="J140:J148" si="6">CHOOSE(year_selection, L140,M140,N140,O140,P140,Q140,R140,S140)</f>
        <v>0.73685290844250551</v>
      </c>
      <c r="K140" s="440"/>
      <c r="L140" s="325">
        <v>0.75789477364773161</v>
      </c>
      <c r="M140" s="325">
        <v>0.75071796520582057</v>
      </c>
      <c r="N140" s="325">
        <v>0.72958155030954364</v>
      </c>
      <c r="O140" s="325">
        <v>0.73685290844250551</v>
      </c>
      <c r="P140" s="325">
        <v>0.73685290844250551</v>
      </c>
      <c r="Q140" s="325">
        <v>0.73685290844250551</v>
      </c>
      <c r="R140" s="325">
        <v>0.73685290844250551</v>
      </c>
      <c r="S140" s="325">
        <v>0.73685290844250551</v>
      </c>
      <c r="U140" s="90"/>
    </row>
    <row r="141" spans="2:21" x14ac:dyDescent="0.25">
      <c r="F141" s="76" t="s">
        <v>44</v>
      </c>
      <c r="G141" s="76" t="s">
        <v>94</v>
      </c>
      <c r="H141" s="92"/>
      <c r="I141" s="92"/>
      <c r="J141" s="185">
        <f t="shared" si="6"/>
        <v>0</v>
      </c>
      <c r="K141" s="440"/>
      <c r="L141" s="325"/>
      <c r="M141" s="325"/>
      <c r="N141" s="325"/>
      <c r="O141" s="325"/>
      <c r="P141" s="325"/>
      <c r="Q141" s="325"/>
      <c r="R141" s="325"/>
      <c r="S141" s="325"/>
      <c r="U141" s="90"/>
    </row>
    <row r="142" spans="2:21" x14ac:dyDescent="0.25">
      <c r="F142" s="76" t="s">
        <v>45</v>
      </c>
      <c r="G142" s="76" t="s">
        <v>94</v>
      </c>
      <c r="H142" s="92"/>
      <c r="I142" s="92"/>
      <c r="J142" s="185">
        <f t="shared" si="6"/>
        <v>0</v>
      </c>
      <c r="K142" s="440"/>
      <c r="L142" s="325"/>
      <c r="M142" s="325"/>
      <c r="N142" s="325"/>
      <c r="O142" s="325"/>
      <c r="P142" s="325"/>
      <c r="Q142" s="325"/>
      <c r="R142" s="325"/>
      <c r="S142" s="325"/>
      <c r="U142" s="90"/>
    </row>
    <row r="143" spans="2:21" x14ac:dyDescent="0.25">
      <c r="F143" s="76" t="s">
        <v>46</v>
      </c>
      <c r="G143" s="76" t="s">
        <v>94</v>
      </c>
      <c r="H143" s="92"/>
      <c r="I143" s="92"/>
      <c r="J143" s="185">
        <f t="shared" si="6"/>
        <v>0.73685290844250551</v>
      </c>
      <c r="K143" s="440"/>
      <c r="L143" s="325">
        <v>0.75789477364773161</v>
      </c>
      <c r="M143" s="325">
        <v>0.75071796520582057</v>
      </c>
      <c r="N143" s="325">
        <v>0.72958155030954364</v>
      </c>
      <c r="O143" s="325">
        <v>0.73685290844250551</v>
      </c>
      <c r="P143" s="325">
        <v>0.73685290844250551</v>
      </c>
      <c r="Q143" s="325">
        <v>0.73685290844250551</v>
      </c>
      <c r="R143" s="325">
        <v>0.73685290844250551</v>
      </c>
      <c r="S143" s="325">
        <v>0.73685290844250551</v>
      </c>
      <c r="U143" s="90"/>
    </row>
    <row r="144" spans="2:21" x14ac:dyDescent="0.25">
      <c r="F144" s="76" t="s">
        <v>47</v>
      </c>
      <c r="G144" s="76" t="s">
        <v>94</v>
      </c>
      <c r="H144" s="92"/>
      <c r="I144" s="92"/>
      <c r="J144" s="185">
        <f t="shared" si="6"/>
        <v>0.64549570804091005</v>
      </c>
      <c r="K144" s="440"/>
      <c r="L144" s="325">
        <v>0.55804635517673595</v>
      </c>
      <c r="M144" s="325">
        <v>0.61438732866649304</v>
      </c>
      <c r="N144" s="325">
        <v>0.62623030110869771</v>
      </c>
      <c r="O144" s="325">
        <v>0.64549570804091005</v>
      </c>
      <c r="P144" s="325">
        <v>0.64549570804091005</v>
      </c>
      <c r="Q144" s="325">
        <v>0.64549570804091005</v>
      </c>
      <c r="R144" s="325">
        <v>0.64549570804091005</v>
      </c>
      <c r="S144" s="325">
        <v>0.64549570804091005</v>
      </c>
      <c r="U144" s="90"/>
    </row>
    <row r="145" spans="5:21" x14ac:dyDescent="0.25">
      <c r="F145" s="76" t="s">
        <v>51</v>
      </c>
      <c r="G145" s="76" t="s">
        <v>94</v>
      </c>
      <c r="H145" s="92"/>
      <c r="I145" s="92"/>
      <c r="J145" s="185">
        <f t="shared" si="6"/>
        <v>0</v>
      </c>
      <c r="K145" s="440"/>
      <c r="L145" s="325"/>
      <c r="M145" s="325"/>
      <c r="N145" s="325"/>
      <c r="O145" s="325"/>
      <c r="P145" s="325"/>
      <c r="Q145" s="325"/>
      <c r="R145" s="325"/>
      <c r="S145" s="325"/>
      <c r="U145" s="90"/>
    </row>
    <row r="146" spans="5:21" x14ac:dyDescent="0.25">
      <c r="F146" s="76" t="s">
        <v>48</v>
      </c>
      <c r="G146" s="76" t="s">
        <v>94</v>
      </c>
      <c r="H146" s="92"/>
      <c r="I146" s="92"/>
      <c r="J146" s="185">
        <f t="shared" si="6"/>
        <v>0.64549570804091005</v>
      </c>
      <c r="K146" s="440"/>
      <c r="L146" s="325">
        <v>0.55804635517673595</v>
      </c>
      <c r="M146" s="325">
        <v>0.61438732866649304</v>
      </c>
      <c r="N146" s="325">
        <v>0.62623030110869771</v>
      </c>
      <c r="O146" s="325">
        <v>0.64549570804091005</v>
      </c>
      <c r="P146" s="325">
        <v>0.64549570804091005</v>
      </c>
      <c r="Q146" s="325">
        <v>0.64549570804091005</v>
      </c>
      <c r="R146" s="325">
        <v>0.64549570804091005</v>
      </c>
      <c r="S146" s="325">
        <v>0.64549570804091005</v>
      </c>
      <c r="U146" s="90"/>
    </row>
    <row r="147" spans="5:21" x14ac:dyDescent="0.25">
      <c r="F147" s="76" t="s">
        <v>49</v>
      </c>
      <c r="G147" s="76" t="s">
        <v>94</v>
      </c>
      <c r="H147" s="92"/>
      <c r="I147" s="92"/>
      <c r="J147" s="185">
        <f t="shared" si="6"/>
        <v>0.64549570804091005</v>
      </c>
      <c r="K147" s="440"/>
      <c r="L147" s="325">
        <v>0.55804635517673595</v>
      </c>
      <c r="M147" s="325">
        <v>0.61438732866649304</v>
      </c>
      <c r="N147" s="325">
        <v>0.62623030110869771</v>
      </c>
      <c r="O147" s="325">
        <v>0.64549570804091005</v>
      </c>
      <c r="P147" s="325">
        <v>0.64549570804091005</v>
      </c>
      <c r="Q147" s="325">
        <v>0.64549570804091005</v>
      </c>
      <c r="R147" s="325">
        <v>0.64549570804091005</v>
      </c>
      <c r="S147" s="325">
        <v>0.64549570804091005</v>
      </c>
      <c r="U147" s="90"/>
    </row>
    <row r="148" spans="5:21" x14ac:dyDescent="0.25">
      <c r="F148" s="15" t="s">
        <v>50</v>
      </c>
      <c r="G148" s="15" t="s">
        <v>94</v>
      </c>
      <c r="H148" s="93"/>
      <c r="I148" s="93"/>
      <c r="J148" s="186">
        <f t="shared" si="6"/>
        <v>0.64549570804091005</v>
      </c>
      <c r="K148" s="310"/>
      <c r="L148" s="326">
        <v>0.55804635517673595</v>
      </c>
      <c r="M148" s="326">
        <v>0.61438732866649304</v>
      </c>
      <c r="N148" s="326">
        <v>0.62623030110869771</v>
      </c>
      <c r="O148" s="326">
        <v>0.64549570804091005</v>
      </c>
      <c r="P148" s="326">
        <v>0.64549570804091005</v>
      </c>
      <c r="Q148" s="326">
        <v>0.64549570804091005</v>
      </c>
      <c r="R148" s="326">
        <v>0.64549570804091005</v>
      </c>
      <c r="S148" s="326">
        <v>0.64549570804091005</v>
      </c>
      <c r="U148" s="90"/>
    </row>
    <row r="149" spans="5:21" x14ac:dyDescent="0.25">
      <c r="E149" s="96"/>
      <c r="I149" s="92"/>
      <c r="J149" s="441"/>
      <c r="K149" s="441"/>
      <c r="L149" s="441"/>
      <c r="M149" s="441"/>
      <c r="N149" s="441"/>
      <c r="O149" s="441"/>
      <c r="P149" s="441"/>
      <c r="Q149" s="441"/>
      <c r="R149" s="441"/>
      <c r="S149" s="441"/>
    </row>
    <row r="150" spans="5:21" x14ac:dyDescent="0.25">
      <c r="E150" s="96" t="s">
        <v>592</v>
      </c>
      <c r="I150" s="92" t="s">
        <v>431</v>
      </c>
      <c r="J150" s="441"/>
      <c r="K150" s="441"/>
      <c r="L150" s="441"/>
      <c r="M150" s="441"/>
      <c r="N150" s="441"/>
      <c r="O150" s="441"/>
      <c r="P150" s="441"/>
      <c r="Q150" s="441"/>
      <c r="R150" s="441"/>
      <c r="S150" s="441"/>
      <c r="U150" s="85" t="s">
        <v>922</v>
      </c>
    </row>
    <row r="151" spans="5:21" x14ac:dyDescent="0.25">
      <c r="F151" s="16" t="s">
        <v>324</v>
      </c>
      <c r="G151" s="16" t="s">
        <v>94</v>
      </c>
      <c r="H151" s="91"/>
      <c r="I151" s="91"/>
      <c r="J151" s="170"/>
      <c r="K151" s="439"/>
      <c r="L151" s="170"/>
      <c r="M151" s="170"/>
      <c r="N151" s="170"/>
      <c r="O151" s="170"/>
      <c r="P151" s="170"/>
      <c r="Q151" s="170"/>
      <c r="R151" s="170"/>
      <c r="S151" s="170"/>
      <c r="U151" s="90"/>
    </row>
    <row r="152" spans="5:21" x14ac:dyDescent="0.25">
      <c r="F152" s="76" t="s">
        <v>43</v>
      </c>
      <c r="G152" s="76" t="s">
        <v>94</v>
      </c>
      <c r="H152" s="92"/>
      <c r="I152" s="92"/>
      <c r="J152" s="185">
        <f t="shared" ref="J152:J160" si="7">CHOOSE(year_selection, L152,M152,N152,O152,P152,Q152,R152,S152)</f>
        <v>0.25763649230764868</v>
      </c>
      <c r="K152" s="440"/>
      <c r="L152" s="325">
        <v>0.23157815231040804</v>
      </c>
      <c r="M152" s="325">
        <v>0.24166571588301325</v>
      </c>
      <c r="N152" s="325">
        <v>0.26438949380701821</v>
      </c>
      <c r="O152" s="325">
        <v>0.25763649230764868</v>
      </c>
      <c r="P152" s="325">
        <v>0.25763649230764868</v>
      </c>
      <c r="Q152" s="325">
        <v>0.25763649230764868</v>
      </c>
      <c r="R152" s="325">
        <v>0.25763649230764868</v>
      </c>
      <c r="S152" s="325">
        <v>0.25763649230764868</v>
      </c>
      <c r="U152" s="90"/>
    </row>
    <row r="153" spans="5:21" x14ac:dyDescent="0.25">
      <c r="F153" s="76" t="s">
        <v>44</v>
      </c>
      <c r="G153" s="76" t="s">
        <v>94</v>
      </c>
      <c r="H153" s="92"/>
      <c r="I153" s="92"/>
      <c r="J153" s="185">
        <f t="shared" si="7"/>
        <v>0</v>
      </c>
      <c r="K153" s="440"/>
      <c r="L153" s="325"/>
      <c r="M153" s="325"/>
      <c r="N153" s="325"/>
      <c r="O153" s="325"/>
      <c r="P153" s="325"/>
      <c r="Q153" s="325"/>
      <c r="R153" s="325"/>
      <c r="S153" s="325"/>
      <c r="U153" s="90"/>
    </row>
    <row r="154" spans="5:21" x14ac:dyDescent="0.25">
      <c r="F154" s="76" t="s">
        <v>45</v>
      </c>
      <c r="G154" s="76" t="s">
        <v>94</v>
      </c>
      <c r="H154" s="92"/>
      <c r="I154" s="92"/>
      <c r="J154" s="185">
        <f t="shared" si="7"/>
        <v>0</v>
      </c>
      <c r="K154" s="440"/>
      <c r="L154" s="325"/>
      <c r="M154" s="325"/>
      <c r="N154" s="325"/>
      <c r="O154" s="325"/>
      <c r="P154" s="325"/>
      <c r="Q154" s="325"/>
      <c r="R154" s="325"/>
      <c r="S154" s="325"/>
      <c r="U154" s="90"/>
    </row>
    <row r="155" spans="5:21" x14ac:dyDescent="0.25">
      <c r="F155" s="76" t="s">
        <v>46</v>
      </c>
      <c r="G155" s="76" t="s">
        <v>94</v>
      </c>
      <c r="H155" s="92"/>
      <c r="I155" s="92"/>
      <c r="J155" s="185">
        <f t="shared" si="7"/>
        <v>0.25763649230764868</v>
      </c>
      <c r="K155" s="440"/>
      <c r="L155" s="325">
        <v>0.23157815231040804</v>
      </c>
      <c r="M155" s="325">
        <v>0.24166571588301325</v>
      </c>
      <c r="N155" s="325">
        <v>0.26438949380701821</v>
      </c>
      <c r="O155" s="325">
        <v>0.25763649230764868</v>
      </c>
      <c r="P155" s="325">
        <v>0.25763649230764868</v>
      </c>
      <c r="Q155" s="325">
        <v>0.25763649230764868</v>
      </c>
      <c r="R155" s="325">
        <v>0.25763649230764868</v>
      </c>
      <c r="S155" s="325">
        <v>0.25763649230764868</v>
      </c>
      <c r="U155" s="90"/>
    </row>
    <row r="156" spans="5:21" x14ac:dyDescent="0.25">
      <c r="F156" s="76" t="s">
        <v>47</v>
      </c>
      <c r="G156" s="76" t="s">
        <v>94</v>
      </c>
      <c r="H156" s="92"/>
      <c r="I156" s="92"/>
      <c r="J156" s="185">
        <f t="shared" si="7"/>
        <v>0.33912381234136874</v>
      </c>
      <c r="K156" s="440"/>
      <c r="L156" s="325">
        <v>0.39026228836284133</v>
      </c>
      <c r="M156" s="325">
        <v>0.35026802514430661</v>
      </c>
      <c r="N156" s="325">
        <v>0.35255316214063165</v>
      </c>
      <c r="O156" s="325">
        <v>0.33912381234136874</v>
      </c>
      <c r="P156" s="325">
        <v>0.33912381234136874</v>
      </c>
      <c r="Q156" s="325">
        <v>0.33912381234136874</v>
      </c>
      <c r="R156" s="325">
        <v>0.33912381234136874</v>
      </c>
      <c r="S156" s="325">
        <v>0.33912381234136874</v>
      </c>
      <c r="U156" s="90"/>
    </row>
    <row r="157" spans="5:21" x14ac:dyDescent="0.25">
      <c r="F157" s="76" t="s">
        <v>51</v>
      </c>
      <c r="G157" s="76" t="s">
        <v>94</v>
      </c>
      <c r="H157" s="92"/>
      <c r="I157" s="92"/>
      <c r="J157" s="185">
        <f t="shared" si="7"/>
        <v>0</v>
      </c>
      <c r="K157" s="440"/>
      <c r="L157" s="325"/>
      <c r="M157" s="325"/>
      <c r="N157" s="325"/>
      <c r="O157" s="325"/>
      <c r="P157" s="325"/>
      <c r="Q157" s="325"/>
      <c r="R157" s="325"/>
      <c r="S157" s="325"/>
      <c r="U157" s="90"/>
    </row>
    <row r="158" spans="5:21" x14ac:dyDescent="0.25">
      <c r="F158" s="76" t="s">
        <v>48</v>
      </c>
      <c r="G158" s="76" t="s">
        <v>94</v>
      </c>
      <c r="H158" s="92"/>
      <c r="I158" s="92"/>
      <c r="J158" s="185">
        <f t="shared" si="7"/>
        <v>0.33912381234136874</v>
      </c>
      <c r="K158" s="440"/>
      <c r="L158" s="325">
        <v>0.39026228836284133</v>
      </c>
      <c r="M158" s="325">
        <v>0.35026802514430661</v>
      </c>
      <c r="N158" s="325">
        <v>0.35255316214063165</v>
      </c>
      <c r="O158" s="325">
        <v>0.33912381234136874</v>
      </c>
      <c r="P158" s="325">
        <v>0.33912381234136874</v>
      </c>
      <c r="Q158" s="325">
        <v>0.33912381234136874</v>
      </c>
      <c r="R158" s="325">
        <v>0.33912381234136874</v>
      </c>
      <c r="S158" s="325">
        <v>0.33912381234136874</v>
      </c>
      <c r="U158" s="90"/>
    </row>
    <row r="159" spans="5:21" x14ac:dyDescent="0.25">
      <c r="F159" s="76" t="s">
        <v>49</v>
      </c>
      <c r="G159" s="76" t="s">
        <v>94</v>
      </c>
      <c r="H159" s="92"/>
      <c r="I159" s="92"/>
      <c r="J159" s="185">
        <f t="shared" si="7"/>
        <v>0.33912381234136874</v>
      </c>
      <c r="K159" s="440"/>
      <c r="L159" s="325">
        <v>0.39026228836284133</v>
      </c>
      <c r="M159" s="325">
        <v>0.35026802514430661</v>
      </c>
      <c r="N159" s="325">
        <v>0.35255316214063165</v>
      </c>
      <c r="O159" s="325">
        <v>0.33912381234136874</v>
      </c>
      <c r="P159" s="325">
        <v>0.33912381234136874</v>
      </c>
      <c r="Q159" s="325">
        <v>0.33912381234136874</v>
      </c>
      <c r="R159" s="325">
        <v>0.33912381234136874</v>
      </c>
      <c r="S159" s="325">
        <v>0.33912381234136874</v>
      </c>
      <c r="U159" s="90"/>
    </row>
    <row r="160" spans="5:21" x14ac:dyDescent="0.25">
      <c r="F160" s="15" t="s">
        <v>50</v>
      </c>
      <c r="G160" s="15" t="s">
        <v>94</v>
      </c>
      <c r="H160" s="93"/>
      <c r="I160" s="93"/>
      <c r="J160" s="186">
        <f t="shared" si="7"/>
        <v>0.33912381234136874</v>
      </c>
      <c r="K160" s="310"/>
      <c r="L160" s="326">
        <v>0.39026228836284133</v>
      </c>
      <c r="M160" s="326">
        <v>0.35026802514430661</v>
      </c>
      <c r="N160" s="326">
        <v>0.35255316214063165</v>
      </c>
      <c r="O160" s="326">
        <v>0.33912381234136874</v>
      </c>
      <c r="P160" s="326">
        <v>0.33912381234136874</v>
      </c>
      <c r="Q160" s="326">
        <v>0.33912381234136874</v>
      </c>
      <c r="R160" s="326">
        <v>0.33912381234136874</v>
      </c>
      <c r="S160" s="326">
        <v>0.33912381234136874</v>
      </c>
      <c r="U160" s="90"/>
    </row>
    <row r="161" spans="5:21" x14ac:dyDescent="0.25">
      <c r="E161" s="96"/>
      <c r="I161" s="92"/>
      <c r="J161" s="441"/>
      <c r="K161" s="441"/>
      <c r="L161" s="441"/>
      <c r="M161" s="441"/>
      <c r="N161" s="441"/>
      <c r="O161" s="441"/>
      <c r="P161" s="441"/>
      <c r="Q161" s="441"/>
      <c r="R161" s="441"/>
      <c r="S161" s="441"/>
    </row>
    <row r="162" spans="5:21" x14ac:dyDescent="0.25">
      <c r="E162" s="96" t="s">
        <v>593</v>
      </c>
      <c r="I162" s="92" t="s">
        <v>431</v>
      </c>
      <c r="J162" s="441"/>
      <c r="K162" s="441"/>
      <c r="L162" s="441"/>
      <c r="M162" s="441"/>
      <c r="N162" s="441"/>
      <c r="O162" s="441"/>
      <c r="P162" s="441"/>
      <c r="Q162" s="441"/>
      <c r="R162" s="441"/>
      <c r="S162" s="441"/>
      <c r="U162" s="85" t="s">
        <v>922</v>
      </c>
    </row>
    <row r="163" spans="5:21" x14ac:dyDescent="0.25">
      <c r="F163" s="16" t="s">
        <v>324</v>
      </c>
      <c r="G163" s="16" t="s">
        <v>94</v>
      </c>
      <c r="H163" s="91"/>
      <c r="I163" s="91"/>
      <c r="J163" s="170"/>
      <c r="K163" s="439"/>
      <c r="L163" s="170"/>
      <c r="M163" s="170"/>
      <c r="N163" s="170"/>
      <c r="O163" s="170"/>
      <c r="P163" s="170"/>
      <c r="Q163" s="170"/>
      <c r="R163" s="170"/>
      <c r="S163" s="170"/>
      <c r="U163" s="90"/>
    </row>
    <row r="164" spans="5:21" x14ac:dyDescent="0.25">
      <c r="F164" s="76" t="s">
        <v>43</v>
      </c>
      <c r="G164" s="76" t="s">
        <v>94</v>
      </c>
      <c r="H164" s="92"/>
      <c r="I164" s="92"/>
      <c r="J164" s="185">
        <f t="shared" ref="J164:J172" si="8">CHOOSE(year_selection, L164,M164,N164,O164,P164,Q164,R164,S164)</f>
        <v>5.5105992498457714E-3</v>
      </c>
      <c r="K164" s="440"/>
      <c r="L164" s="325">
        <v>1.0527074041860346E-2</v>
      </c>
      <c r="M164" s="325">
        <v>7.6163189111662479E-3</v>
      </c>
      <c r="N164" s="325">
        <v>6.0289558834381281E-3</v>
      </c>
      <c r="O164" s="325">
        <v>5.5105992498457714E-3</v>
      </c>
      <c r="P164" s="325">
        <v>5.5105992498457714E-3</v>
      </c>
      <c r="Q164" s="325">
        <v>5.5105992498457714E-3</v>
      </c>
      <c r="R164" s="325">
        <v>5.5105992498457714E-3</v>
      </c>
      <c r="S164" s="325">
        <v>5.5105992498457714E-3</v>
      </c>
      <c r="U164" s="90"/>
    </row>
    <row r="165" spans="5:21" x14ac:dyDescent="0.25">
      <c r="F165" s="76" t="s">
        <v>44</v>
      </c>
      <c r="G165" s="76" t="s">
        <v>94</v>
      </c>
      <c r="H165" s="92"/>
      <c r="I165" s="92"/>
      <c r="J165" s="185">
        <f t="shared" si="8"/>
        <v>0</v>
      </c>
      <c r="K165" s="440"/>
      <c r="L165" s="325"/>
      <c r="M165" s="325"/>
      <c r="N165" s="325"/>
      <c r="O165" s="325"/>
      <c r="P165" s="325"/>
      <c r="Q165" s="325"/>
      <c r="R165" s="325"/>
      <c r="S165" s="325"/>
      <c r="U165" s="90"/>
    </row>
    <row r="166" spans="5:21" x14ac:dyDescent="0.25">
      <c r="F166" s="76" t="s">
        <v>45</v>
      </c>
      <c r="G166" s="76" t="s">
        <v>94</v>
      </c>
      <c r="H166" s="92"/>
      <c r="I166" s="92"/>
      <c r="J166" s="185">
        <f t="shared" si="8"/>
        <v>0</v>
      </c>
      <c r="K166" s="440"/>
      <c r="L166" s="325"/>
      <c r="M166" s="325"/>
      <c r="N166" s="325"/>
      <c r="O166" s="325"/>
      <c r="P166" s="325"/>
      <c r="Q166" s="325"/>
      <c r="R166" s="325"/>
      <c r="S166" s="325"/>
      <c r="U166" s="90"/>
    </row>
    <row r="167" spans="5:21" x14ac:dyDescent="0.25">
      <c r="F167" s="76" t="s">
        <v>46</v>
      </c>
      <c r="G167" s="76" t="s">
        <v>94</v>
      </c>
      <c r="H167" s="92"/>
      <c r="I167" s="92"/>
      <c r="J167" s="185">
        <f t="shared" si="8"/>
        <v>5.5105992498457714E-3</v>
      </c>
      <c r="K167" s="440"/>
      <c r="L167" s="325">
        <v>1.0527074041860346E-2</v>
      </c>
      <c r="M167" s="325">
        <v>7.6163189111662479E-3</v>
      </c>
      <c r="N167" s="325">
        <v>6.0289558834381281E-3</v>
      </c>
      <c r="O167" s="325">
        <v>5.5105992498457714E-3</v>
      </c>
      <c r="P167" s="325">
        <v>5.5105992498457714E-3</v>
      </c>
      <c r="Q167" s="325">
        <v>5.5105992498457714E-3</v>
      </c>
      <c r="R167" s="325">
        <v>5.5105992498457714E-3</v>
      </c>
      <c r="S167" s="325">
        <v>5.5105992498457714E-3</v>
      </c>
      <c r="U167" s="90"/>
    </row>
    <row r="168" spans="5:21" x14ac:dyDescent="0.25">
      <c r="F168" s="76" t="s">
        <v>47</v>
      </c>
      <c r="G168" s="76" t="s">
        <v>94</v>
      </c>
      <c r="H168" s="92"/>
      <c r="I168" s="92"/>
      <c r="J168" s="185">
        <f t="shared" si="8"/>
        <v>1.5380479617721122E-2</v>
      </c>
      <c r="K168" s="440"/>
      <c r="L168" s="325">
        <v>5.0814282242397278E-2</v>
      </c>
      <c r="M168" s="325">
        <v>3.5344646189200052E-2</v>
      </c>
      <c r="N168" s="325">
        <v>2.1216536750670562E-2</v>
      </c>
      <c r="O168" s="325">
        <v>1.5380479617721122E-2</v>
      </c>
      <c r="P168" s="325">
        <v>1.5380479617721122E-2</v>
      </c>
      <c r="Q168" s="325">
        <v>1.5380479617721122E-2</v>
      </c>
      <c r="R168" s="325">
        <v>1.5380479617721122E-2</v>
      </c>
      <c r="S168" s="325">
        <v>1.5380479617721122E-2</v>
      </c>
      <c r="U168" s="90"/>
    </row>
    <row r="169" spans="5:21" x14ac:dyDescent="0.25">
      <c r="F169" s="76" t="s">
        <v>51</v>
      </c>
      <c r="G169" s="76" t="s">
        <v>94</v>
      </c>
      <c r="H169" s="92"/>
      <c r="I169" s="92"/>
      <c r="J169" s="185">
        <f t="shared" si="8"/>
        <v>0</v>
      </c>
      <c r="K169" s="440"/>
      <c r="L169" s="325"/>
      <c r="M169" s="325"/>
      <c r="N169" s="325"/>
      <c r="O169" s="325"/>
      <c r="P169" s="325"/>
      <c r="Q169" s="325"/>
      <c r="R169" s="325"/>
      <c r="S169" s="325"/>
      <c r="U169" s="90"/>
    </row>
    <row r="170" spans="5:21" x14ac:dyDescent="0.25">
      <c r="F170" s="76" t="s">
        <v>48</v>
      </c>
      <c r="G170" s="76" t="s">
        <v>94</v>
      </c>
      <c r="H170" s="92"/>
      <c r="I170" s="92"/>
      <c r="J170" s="185">
        <f t="shared" si="8"/>
        <v>1.5380479617721122E-2</v>
      </c>
      <c r="K170" s="440"/>
      <c r="L170" s="325">
        <v>5.0814282242397278E-2</v>
      </c>
      <c r="M170" s="325">
        <v>3.5344646189200052E-2</v>
      </c>
      <c r="N170" s="325">
        <v>2.1216536750670562E-2</v>
      </c>
      <c r="O170" s="325">
        <v>1.5380479617721122E-2</v>
      </c>
      <c r="P170" s="325">
        <v>1.5380479617721122E-2</v>
      </c>
      <c r="Q170" s="325">
        <v>1.5380479617721122E-2</v>
      </c>
      <c r="R170" s="325">
        <v>1.5380479617721122E-2</v>
      </c>
      <c r="S170" s="325">
        <v>1.5380479617721122E-2</v>
      </c>
      <c r="U170" s="90"/>
    </row>
    <row r="171" spans="5:21" x14ac:dyDescent="0.25">
      <c r="F171" s="76" t="s">
        <v>49</v>
      </c>
      <c r="G171" s="76" t="s">
        <v>94</v>
      </c>
      <c r="H171" s="92"/>
      <c r="I171" s="92"/>
      <c r="J171" s="185">
        <f t="shared" si="8"/>
        <v>1.5380479617721122E-2</v>
      </c>
      <c r="K171" s="440"/>
      <c r="L171" s="325">
        <v>5.0814282242397278E-2</v>
      </c>
      <c r="M171" s="325">
        <v>3.5344646189200052E-2</v>
      </c>
      <c r="N171" s="325">
        <v>2.1216536750670562E-2</v>
      </c>
      <c r="O171" s="325">
        <v>1.5380479617721122E-2</v>
      </c>
      <c r="P171" s="325">
        <v>1.5380479617721122E-2</v>
      </c>
      <c r="Q171" s="325">
        <v>1.5380479617721122E-2</v>
      </c>
      <c r="R171" s="325">
        <v>1.5380479617721122E-2</v>
      </c>
      <c r="S171" s="325">
        <v>1.5380479617721122E-2</v>
      </c>
      <c r="U171" s="90"/>
    </row>
    <row r="172" spans="5:21" x14ac:dyDescent="0.25">
      <c r="F172" s="15" t="s">
        <v>50</v>
      </c>
      <c r="G172" s="15" t="s">
        <v>94</v>
      </c>
      <c r="H172" s="93"/>
      <c r="I172" s="93"/>
      <c r="J172" s="186">
        <f t="shared" si="8"/>
        <v>1.5380479617721122E-2</v>
      </c>
      <c r="K172" s="310"/>
      <c r="L172" s="326">
        <v>5.0814282242397278E-2</v>
      </c>
      <c r="M172" s="326">
        <v>3.5344646189200052E-2</v>
      </c>
      <c r="N172" s="326">
        <v>2.1216536750670562E-2</v>
      </c>
      <c r="O172" s="326">
        <v>1.5380479617721122E-2</v>
      </c>
      <c r="P172" s="326">
        <v>1.5380479617721122E-2</v>
      </c>
      <c r="Q172" s="326">
        <v>1.5380479617721122E-2</v>
      </c>
      <c r="R172" s="326">
        <v>1.5380479617721122E-2</v>
      </c>
      <c r="S172" s="326">
        <v>1.5380479617721122E-2</v>
      </c>
      <c r="U172" s="90"/>
    </row>
    <row r="173" spans="5:21" x14ac:dyDescent="0.25">
      <c r="J173" s="441"/>
      <c r="K173" s="441"/>
      <c r="L173" s="441"/>
      <c r="M173" s="441"/>
      <c r="N173" s="441"/>
      <c r="O173" s="441"/>
      <c r="P173" s="441"/>
      <c r="Q173" s="441"/>
      <c r="R173" s="441"/>
      <c r="S173" s="441"/>
    </row>
    <row r="174" spans="5:21" x14ac:dyDescent="0.25">
      <c r="E174" s="96" t="s">
        <v>594</v>
      </c>
      <c r="J174" s="441"/>
      <c r="K174" s="441"/>
      <c r="L174" s="441"/>
      <c r="M174" s="441"/>
      <c r="N174" s="441"/>
      <c r="O174" s="441"/>
      <c r="P174" s="441"/>
      <c r="Q174" s="441"/>
      <c r="R174" s="441"/>
      <c r="S174" s="441"/>
    </row>
    <row r="175" spans="5:21" x14ac:dyDescent="0.25">
      <c r="F175" s="16" t="s">
        <v>324</v>
      </c>
      <c r="G175" s="16" t="s">
        <v>94</v>
      </c>
      <c r="H175" s="91"/>
      <c r="I175" s="91"/>
      <c r="J175" s="170"/>
      <c r="K175" s="439"/>
      <c r="L175" s="170"/>
      <c r="M175" s="170"/>
      <c r="N175" s="170"/>
      <c r="O175" s="170"/>
      <c r="P175" s="170"/>
      <c r="Q175" s="170"/>
      <c r="R175" s="170"/>
      <c r="S175" s="170"/>
      <c r="U175" s="90"/>
    </row>
    <row r="176" spans="5:21" x14ac:dyDescent="0.25">
      <c r="F176" s="76" t="s">
        <v>43</v>
      </c>
      <c r="G176" s="76" t="s">
        <v>94</v>
      </c>
      <c r="H176" s="92"/>
      <c r="I176" s="92"/>
      <c r="J176" s="185">
        <f t="shared" ref="J176:J184" si="9">CHOOSE(year_selection, L176,M176,N176,O176,P176,Q176,R176,S176)</f>
        <v>0.67055113994438198</v>
      </c>
      <c r="K176" s="440"/>
      <c r="L176" s="325">
        <v>0.70849707072363233</v>
      </c>
      <c r="M176" s="325">
        <v>0.69661362034516339</v>
      </c>
      <c r="N176" s="325">
        <v>0.67222160835194844</v>
      </c>
      <c r="O176" s="325">
        <v>0.67055113994438198</v>
      </c>
      <c r="P176" s="325">
        <v>0.67055113994438198</v>
      </c>
      <c r="Q176" s="325">
        <v>0.67055113994438198</v>
      </c>
      <c r="R176" s="325">
        <v>0.67055113994438198</v>
      </c>
      <c r="S176" s="325">
        <v>0.67055113994438198</v>
      </c>
      <c r="U176" s="90"/>
    </row>
    <row r="177" spans="2:27" x14ac:dyDescent="0.25">
      <c r="F177" s="76" t="s">
        <v>44</v>
      </c>
      <c r="G177" s="76" t="s">
        <v>94</v>
      </c>
      <c r="H177" s="92"/>
      <c r="I177" s="92"/>
      <c r="J177" s="185">
        <f t="shared" si="9"/>
        <v>0</v>
      </c>
      <c r="K177" s="440"/>
      <c r="L177" s="325"/>
      <c r="M177" s="325"/>
      <c r="N177" s="325"/>
      <c r="O177" s="325"/>
      <c r="P177" s="325"/>
      <c r="Q177" s="325"/>
      <c r="R177" s="325"/>
      <c r="S177" s="325"/>
      <c r="U177" s="90"/>
    </row>
    <row r="178" spans="2:27" x14ac:dyDescent="0.25">
      <c r="F178" s="76" t="s">
        <v>45</v>
      </c>
      <c r="G178" s="76" t="s">
        <v>94</v>
      </c>
      <c r="H178" s="92"/>
      <c r="I178" s="92"/>
      <c r="J178" s="185">
        <f t="shared" si="9"/>
        <v>0</v>
      </c>
      <c r="K178" s="440"/>
      <c r="L178" s="325"/>
      <c r="M178" s="325"/>
      <c r="N178" s="325"/>
      <c r="O178" s="325"/>
      <c r="P178" s="325"/>
      <c r="Q178" s="325"/>
      <c r="R178" s="325"/>
      <c r="S178" s="325"/>
      <c r="U178" s="90"/>
    </row>
    <row r="179" spans="2:27" x14ac:dyDescent="0.25">
      <c r="F179" s="76" t="s">
        <v>46</v>
      </c>
      <c r="G179" s="76" t="s">
        <v>94</v>
      </c>
      <c r="H179" s="92"/>
      <c r="I179" s="92"/>
      <c r="J179" s="185">
        <f t="shared" si="9"/>
        <v>0.67055113994438198</v>
      </c>
      <c r="K179" s="440"/>
      <c r="L179" s="325">
        <v>0.70849707072363233</v>
      </c>
      <c r="M179" s="325">
        <v>0.69661362034516339</v>
      </c>
      <c r="N179" s="325">
        <v>0.67222160835194844</v>
      </c>
      <c r="O179" s="325">
        <v>0.67055113994438198</v>
      </c>
      <c r="P179" s="325">
        <v>0.67055113994438198</v>
      </c>
      <c r="Q179" s="325">
        <v>0.67055113994438198</v>
      </c>
      <c r="R179" s="325">
        <v>0.67055113994438198</v>
      </c>
      <c r="S179" s="325">
        <v>0.67055113994438198</v>
      </c>
      <c r="U179" s="90"/>
    </row>
    <row r="180" spans="2:27" x14ac:dyDescent="0.25">
      <c r="F180" s="76" t="s">
        <v>47</v>
      </c>
      <c r="G180" s="76" t="s">
        <v>94</v>
      </c>
      <c r="H180" s="92"/>
      <c r="I180" s="92"/>
      <c r="J180" s="185">
        <f t="shared" si="9"/>
        <v>0.60511449175300125</v>
      </c>
      <c r="K180" s="440"/>
      <c r="L180" s="325">
        <v>0.49844799674017787</v>
      </c>
      <c r="M180" s="325">
        <v>0.57533965772514273</v>
      </c>
      <c r="N180" s="325">
        <v>0.59524145957145347</v>
      </c>
      <c r="O180" s="325">
        <v>0.60511449175300125</v>
      </c>
      <c r="P180" s="325">
        <v>0.60511449175300125</v>
      </c>
      <c r="Q180" s="325">
        <v>0.60511449175300125</v>
      </c>
      <c r="R180" s="325">
        <v>0.60511449175300125</v>
      </c>
      <c r="S180" s="325">
        <v>0.60511449175300125</v>
      </c>
      <c r="U180" s="90"/>
    </row>
    <row r="181" spans="2:27" x14ac:dyDescent="0.25">
      <c r="F181" s="76" t="s">
        <v>51</v>
      </c>
      <c r="G181" s="76" t="s">
        <v>94</v>
      </c>
      <c r="H181" s="92"/>
      <c r="I181" s="92"/>
      <c r="J181" s="185">
        <f t="shared" si="9"/>
        <v>0</v>
      </c>
      <c r="K181" s="440"/>
      <c r="L181" s="325"/>
      <c r="M181" s="325"/>
      <c r="N181" s="325"/>
      <c r="O181" s="325"/>
      <c r="P181" s="325"/>
      <c r="Q181" s="325"/>
      <c r="R181" s="325"/>
      <c r="S181" s="325"/>
      <c r="U181" s="90"/>
    </row>
    <row r="182" spans="2:27" x14ac:dyDescent="0.25">
      <c r="F182" s="76" t="s">
        <v>48</v>
      </c>
      <c r="G182" s="76" t="s">
        <v>94</v>
      </c>
      <c r="H182" s="92"/>
      <c r="I182" s="92"/>
      <c r="J182" s="185">
        <f t="shared" si="9"/>
        <v>0.60511449175300125</v>
      </c>
      <c r="K182" s="440"/>
      <c r="L182" s="325">
        <v>0.49844799674017787</v>
      </c>
      <c r="M182" s="325">
        <v>0.57533965772514273</v>
      </c>
      <c r="N182" s="325">
        <v>0.59524145957145347</v>
      </c>
      <c r="O182" s="325">
        <v>0.60511449175300125</v>
      </c>
      <c r="P182" s="325">
        <v>0.60511449175300125</v>
      </c>
      <c r="Q182" s="325">
        <v>0.60511449175300125</v>
      </c>
      <c r="R182" s="325">
        <v>0.60511449175300125</v>
      </c>
      <c r="S182" s="325">
        <v>0.60511449175300125</v>
      </c>
      <c r="U182" s="90"/>
    </row>
    <row r="183" spans="2:27" x14ac:dyDescent="0.25">
      <c r="F183" s="76" t="s">
        <v>49</v>
      </c>
      <c r="G183" s="76" t="s">
        <v>94</v>
      </c>
      <c r="H183" s="92"/>
      <c r="I183" s="92"/>
      <c r="J183" s="185">
        <f t="shared" si="9"/>
        <v>0.60511449175300125</v>
      </c>
      <c r="K183" s="440"/>
      <c r="L183" s="325">
        <v>0.49844799674017787</v>
      </c>
      <c r="M183" s="325">
        <v>0.57533965772514273</v>
      </c>
      <c r="N183" s="325">
        <v>0.59524145957145347</v>
      </c>
      <c r="O183" s="325">
        <v>0.60511449175300125</v>
      </c>
      <c r="P183" s="325">
        <v>0.60511449175300125</v>
      </c>
      <c r="Q183" s="325">
        <v>0.60511449175300125</v>
      </c>
      <c r="R183" s="325">
        <v>0.60511449175300125</v>
      </c>
      <c r="S183" s="325">
        <v>0.60511449175300125</v>
      </c>
      <c r="U183" s="90"/>
    </row>
    <row r="184" spans="2:27" x14ac:dyDescent="0.25">
      <c r="F184" s="15" t="s">
        <v>50</v>
      </c>
      <c r="G184" s="15" t="s">
        <v>94</v>
      </c>
      <c r="H184" s="93"/>
      <c r="I184" s="93"/>
      <c r="J184" s="186">
        <f t="shared" si="9"/>
        <v>0.60511449175300125</v>
      </c>
      <c r="K184" s="310"/>
      <c r="L184" s="326">
        <v>0.49844799674017787</v>
      </c>
      <c r="M184" s="326">
        <v>0.57533965772514273</v>
      </c>
      <c r="N184" s="326">
        <v>0.59524145957145347</v>
      </c>
      <c r="O184" s="326">
        <v>0.60511449175300125</v>
      </c>
      <c r="P184" s="326">
        <v>0.60511449175300125</v>
      </c>
      <c r="Q184" s="326">
        <v>0.60511449175300125</v>
      </c>
      <c r="R184" s="326">
        <v>0.60511449175300125</v>
      </c>
      <c r="S184" s="326">
        <v>0.60511449175300125</v>
      </c>
      <c r="U184" s="90"/>
    </row>
    <row r="185" spans="2:27" x14ac:dyDescent="0.25">
      <c r="J185" s="111"/>
      <c r="K185" s="111"/>
      <c r="L185" s="111"/>
      <c r="M185" s="111"/>
      <c r="N185" s="111"/>
      <c r="O185" s="111"/>
      <c r="P185" s="111"/>
      <c r="Q185" s="111"/>
      <c r="R185" s="111"/>
      <c r="S185" s="111"/>
    </row>
    <row r="186" spans="2:27" x14ac:dyDescent="0.25">
      <c r="B186" s="95" t="s">
        <v>109</v>
      </c>
      <c r="C186" s="95"/>
      <c r="D186" s="95"/>
      <c r="E186" s="95"/>
      <c r="F186" s="95"/>
      <c r="G186" s="95"/>
      <c r="H186" s="95"/>
      <c r="I186" s="95"/>
      <c r="J186" s="160"/>
      <c r="K186" s="160"/>
      <c r="L186" s="160"/>
      <c r="M186" s="160"/>
      <c r="N186" s="160"/>
      <c r="O186" s="160"/>
      <c r="P186" s="160"/>
      <c r="Q186" s="160"/>
      <c r="R186" s="160"/>
      <c r="S186" s="160"/>
      <c r="T186" s="95"/>
      <c r="U186" s="95"/>
      <c r="W186" s="95"/>
      <c r="X186" s="95"/>
      <c r="Y186" s="95"/>
      <c r="Z186" s="95"/>
      <c r="AA186" s="95"/>
    </row>
    <row r="187" spans="2:27" x14ac:dyDescent="0.25">
      <c r="J187" s="111"/>
      <c r="K187" s="111"/>
      <c r="L187" s="111"/>
      <c r="M187" s="111"/>
      <c r="N187" s="111"/>
      <c r="O187" s="111"/>
      <c r="P187" s="111"/>
      <c r="Q187" s="111"/>
      <c r="R187" s="111"/>
      <c r="S187" s="111"/>
    </row>
    <row r="188" spans="2:27" s="295" customFormat="1" x14ac:dyDescent="0.25">
      <c r="C188" s="82" t="s">
        <v>866</v>
      </c>
      <c r="H188" s="111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</row>
    <row r="189" spans="2:27" s="295" customFormat="1" x14ac:dyDescent="0.25">
      <c r="H189" s="111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</row>
    <row r="190" spans="2:27" x14ac:dyDescent="0.25">
      <c r="E190" s="85" t="s">
        <v>516</v>
      </c>
      <c r="G190" s="60" t="s">
        <v>692</v>
      </c>
      <c r="H190" s="178">
        <f t="array" ref="H190">SUM(IF(ISERROR(H18:T185), 1))</f>
        <v>0</v>
      </c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</row>
    <row r="191" spans="2:27" x14ac:dyDescent="0.25">
      <c r="H191" s="111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</row>
    <row r="192" spans="2:27" s="195" customFormat="1" x14ac:dyDescent="0.25">
      <c r="E192" s="195" t="s">
        <v>750</v>
      </c>
      <c r="G192" s="60" t="s">
        <v>692</v>
      </c>
      <c r="H192" s="178">
        <f>SUM(L192:S192)</f>
        <v>0</v>
      </c>
      <c r="J192" s="111"/>
      <c r="K192" s="111"/>
      <c r="L192" s="101"/>
      <c r="M192" s="101"/>
      <c r="N192" s="101"/>
      <c r="O192" s="178">
        <f>IF(O48 = 1, 0, 1)</f>
        <v>0</v>
      </c>
      <c r="P192" s="178">
        <f>IF(P48 = 1, 0, 1)</f>
        <v>0</v>
      </c>
      <c r="Q192" s="178">
        <f>IF(Q48 = 1, 0, 1)</f>
        <v>0</v>
      </c>
      <c r="R192" s="178">
        <f>IF(R48 = 1, 0, 1)</f>
        <v>0</v>
      </c>
      <c r="S192" s="178">
        <f>IF(S48 = 1, 0, 1)</f>
        <v>0</v>
      </c>
    </row>
    <row r="193" spans="5:21" s="195" customFormat="1" x14ac:dyDescent="0.25">
      <c r="H193" s="111"/>
      <c r="J193" s="111"/>
      <c r="K193" s="111"/>
      <c r="L193" s="111"/>
      <c r="M193" s="111"/>
      <c r="N193" s="111"/>
      <c r="O193" s="111"/>
      <c r="P193" s="111"/>
      <c r="Q193" s="111"/>
      <c r="R193" s="111"/>
      <c r="S193" s="111"/>
    </row>
    <row r="194" spans="5:21" x14ac:dyDescent="0.25">
      <c r="E194" s="96" t="s">
        <v>726</v>
      </c>
      <c r="H194" s="111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</row>
    <row r="195" spans="5:21" x14ac:dyDescent="0.25">
      <c r="F195" s="16" t="s">
        <v>324</v>
      </c>
      <c r="G195" s="91" t="s">
        <v>692</v>
      </c>
      <c r="H195" s="165"/>
      <c r="I195" s="91"/>
      <c r="J195" s="112"/>
      <c r="K195" s="112"/>
      <c r="L195" s="218"/>
      <c r="M195" s="218"/>
      <c r="N195" s="218"/>
      <c r="O195" s="165"/>
      <c r="P195" s="165"/>
      <c r="Q195" s="165"/>
      <c r="R195" s="165"/>
      <c r="S195" s="165"/>
      <c r="U195" s="90"/>
    </row>
    <row r="196" spans="5:21" x14ac:dyDescent="0.25">
      <c r="F196" s="76" t="s">
        <v>43</v>
      </c>
      <c r="G196" s="92" t="s">
        <v>692</v>
      </c>
      <c r="H196" s="178">
        <f t="shared" ref="H196:H203" si="10">SUM(L196:S196)</f>
        <v>0</v>
      </c>
      <c r="I196" s="92"/>
      <c r="J196" s="66"/>
      <c r="K196" s="66"/>
      <c r="L196" s="101"/>
      <c r="M196" s="101"/>
      <c r="N196" s="101"/>
      <c r="O196" s="178">
        <f>IF(ABS(SUM(O140,O152,O164) - 1) &lt; 10^-check_decimals,0,1)</f>
        <v>0</v>
      </c>
      <c r="P196" s="178">
        <f>IF(ABS(SUM(P140,P152,P164) - 1) &lt; 10^-check_decimals,0,1)</f>
        <v>0</v>
      </c>
      <c r="Q196" s="178">
        <f>IF(ABS(SUM(Q140,Q152,Q164) - 1) &lt; 10^-check_decimals,0,1)</f>
        <v>0</v>
      </c>
      <c r="R196" s="178">
        <f>IF(ABS(SUM(R140,R152,R164) - 1) &lt; 10^-check_decimals,0,1)</f>
        <v>0</v>
      </c>
      <c r="S196" s="178">
        <f>IF(ABS(SUM(S140,S152,S164) - 1) &lt; 10^-check_decimals,0,1)</f>
        <v>0</v>
      </c>
      <c r="U196" s="90"/>
    </row>
    <row r="197" spans="5:21" x14ac:dyDescent="0.25">
      <c r="F197" s="76" t="s">
        <v>44</v>
      </c>
      <c r="G197" s="92" t="s">
        <v>692</v>
      </c>
      <c r="H197" s="101"/>
      <c r="I197" s="195"/>
      <c r="J197" s="195"/>
      <c r="K197" s="195"/>
      <c r="L197" s="79"/>
      <c r="M197" s="79"/>
      <c r="N197" s="79"/>
      <c r="O197" s="79"/>
      <c r="P197" s="79"/>
      <c r="Q197" s="79"/>
      <c r="R197" s="79"/>
      <c r="S197" s="79"/>
      <c r="U197" s="90"/>
    </row>
    <row r="198" spans="5:21" x14ac:dyDescent="0.25">
      <c r="F198" s="76" t="s">
        <v>45</v>
      </c>
      <c r="G198" s="92" t="s">
        <v>692</v>
      </c>
      <c r="H198" s="101"/>
      <c r="I198" s="195"/>
      <c r="J198" s="195"/>
      <c r="K198" s="195"/>
      <c r="L198" s="79"/>
      <c r="M198" s="79"/>
      <c r="N198" s="79"/>
      <c r="O198" s="79"/>
      <c r="P198" s="79"/>
      <c r="Q198" s="79"/>
      <c r="R198" s="79"/>
      <c r="S198" s="79"/>
      <c r="U198" s="90"/>
    </row>
    <row r="199" spans="5:21" x14ac:dyDescent="0.25">
      <c r="F199" s="76" t="s">
        <v>46</v>
      </c>
      <c r="G199" s="92" t="s">
        <v>692</v>
      </c>
      <c r="H199" s="178">
        <f t="shared" si="10"/>
        <v>0</v>
      </c>
      <c r="I199" s="92"/>
      <c r="J199" s="66"/>
      <c r="K199" s="66"/>
      <c r="L199" s="101"/>
      <c r="M199" s="101"/>
      <c r="N199" s="101"/>
      <c r="O199" s="178">
        <f t="shared" ref="O199:S200" si="11">IF(ABS(SUM(O143,O155,O167) - 1) &lt; 10^-check_decimals,0,1)</f>
        <v>0</v>
      </c>
      <c r="P199" s="178">
        <f t="shared" si="11"/>
        <v>0</v>
      </c>
      <c r="Q199" s="178">
        <f t="shared" si="11"/>
        <v>0</v>
      </c>
      <c r="R199" s="178">
        <f t="shared" si="11"/>
        <v>0</v>
      </c>
      <c r="S199" s="178">
        <f t="shared" si="11"/>
        <v>0</v>
      </c>
      <c r="U199" s="90"/>
    </row>
    <row r="200" spans="5:21" x14ac:dyDescent="0.25">
      <c r="F200" s="76" t="s">
        <v>47</v>
      </c>
      <c r="G200" s="92" t="s">
        <v>692</v>
      </c>
      <c r="H200" s="178">
        <f t="shared" si="10"/>
        <v>0</v>
      </c>
      <c r="I200" s="92"/>
      <c r="J200" s="66"/>
      <c r="K200" s="66"/>
      <c r="L200" s="101"/>
      <c r="M200" s="101"/>
      <c r="N200" s="101"/>
      <c r="O200" s="178">
        <f t="shared" si="11"/>
        <v>0</v>
      </c>
      <c r="P200" s="178">
        <f t="shared" si="11"/>
        <v>0</v>
      </c>
      <c r="Q200" s="178">
        <f t="shared" si="11"/>
        <v>0</v>
      </c>
      <c r="R200" s="178">
        <f t="shared" si="11"/>
        <v>0</v>
      </c>
      <c r="S200" s="178">
        <f t="shared" si="11"/>
        <v>0</v>
      </c>
      <c r="U200" s="90"/>
    </row>
    <row r="201" spans="5:21" x14ac:dyDescent="0.25">
      <c r="F201" s="85" t="s">
        <v>51</v>
      </c>
      <c r="G201" s="196" t="s">
        <v>692</v>
      </c>
      <c r="H201" s="101"/>
      <c r="L201" s="79"/>
      <c r="M201" s="79"/>
      <c r="N201" s="79"/>
      <c r="O201" s="79"/>
      <c r="P201" s="79"/>
      <c r="Q201" s="79"/>
      <c r="R201" s="79"/>
      <c r="S201" s="79"/>
      <c r="U201" s="90"/>
    </row>
    <row r="202" spans="5:21" x14ac:dyDescent="0.25">
      <c r="F202" s="76" t="s">
        <v>48</v>
      </c>
      <c r="G202" s="92" t="s">
        <v>692</v>
      </c>
      <c r="H202" s="178">
        <f t="shared" si="10"/>
        <v>0</v>
      </c>
      <c r="I202" s="92"/>
      <c r="J202" s="66"/>
      <c r="K202" s="66"/>
      <c r="L202" s="101"/>
      <c r="M202" s="101"/>
      <c r="N202" s="101"/>
      <c r="O202" s="178">
        <f t="shared" ref="O202:S204" si="12">IF(ABS(SUM(O146,O158,O170) - 1) &lt; 10^-check_decimals,0,1)</f>
        <v>0</v>
      </c>
      <c r="P202" s="178">
        <f t="shared" si="12"/>
        <v>0</v>
      </c>
      <c r="Q202" s="178">
        <f t="shared" si="12"/>
        <v>0</v>
      </c>
      <c r="R202" s="178">
        <f t="shared" si="12"/>
        <v>0</v>
      </c>
      <c r="S202" s="178">
        <f t="shared" si="12"/>
        <v>0</v>
      </c>
      <c r="U202" s="90"/>
    </row>
    <row r="203" spans="5:21" x14ac:dyDescent="0.25">
      <c r="F203" s="76" t="s">
        <v>49</v>
      </c>
      <c r="G203" s="92" t="s">
        <v>692</v>
      </c>
      <c r="H203" s="178">
        <f t="shared" si="10"/>
        <v>0</v>
      </c>
      <c r="I203" s="92"/>
      <c r="J203" s="66"/>
      <c r="K203" s="66"/>
      <c r="L203" s="101"/>
      <c r="M203" s="101"/>
      <c r="N203" s="101"/>
      <c r="O203" s="178">
        <f t="shared" si="12"/>
        <v>0</v>
      </c>
      <c r="P203" s="178">
        <f t="shared" si="12"/>
        <v>0</v>
      </c>
      <c r="Q203" s="178">
        <f t="shared" si="12"/>
        <v>0</v>
      </c>
      <c r="R203" s="178">
        <f t="shared" si="12"/>
        <v>0</v>
      </c>
      <c r="S203" s="178">
        <f t="shared" si="12"/>
        <v>0</v>
      </c>
      <c r="U203" s="90"/>
    </row>
    <row r="204" spans="5:21" x14ac:dyDescent="0.25">
      <c r="F204" s="15" t="s">
        <v>50</v>
      </c>
      <c r="G204" s="93" t="s">
        <v>692</v>
      </c>
      <c r="H204" s="179">
        <f>SUM(L204:S204)</f>
        <v>0</v>
      </c>
      <c r="I204" s="93"/>
      <c r="J204" s="145"/>
      <c r="K204" s="145"/>
      <c r="L204" s="102"/>
      <c r="M204" s="102"/>
      <c r="N204" s="102"/>
      <c r="O204" s="179">
        <f t="shared" si="12"/>
        <v>0</v>
      </c>
      <c r="P204" s="179">
        <f t="shared" si="12"/>
        <v>0</v>
      </c>
      <c r="Q204" s="179">
        <f t="shared" si="12"/>
        <v>0</v>
      </c>
      <c r="R204" s="179">
        <f t="shared" si="12"/>
        <v>0</v>
      </c>
      <c r="S204" s="179">
        <f t="shared" si="12"/>
        <v>0</v>
      </c>
      <c r="U204" s="90"/>
    </row>
    <row r="205" spans="5:21" x14ac:dyDescent="0.25">
      <c r="M205" s="295"/>
      <c r="N205" s="295"/>
    </row>
    <row r="206" spans="5:21" s="195" customFormat="1" x14ac:dyDescent="0.25">
      <c r="E206" s="96" t="s">
        <v>725</v>
      </c>
      <c r="H206" s="111"/>
      <c r="J206" s="111"/>
      <c r="K206" s="111"/>
      <c r="L206" s="111"/>
      <c r="M206" s="111"/>
      <c r="N206" s="111"/>
      <c r="O206" s="111"/>
      <c r="P206" s="111"/>
      <c r="Q206" s="111"/>
      <c r="R206" s="111"/>
      <c r="S206" s="111"/>
    </row>
    <row r="207" spans="5:21" s="195" customFormat="1" x14ac:dyDescent="0.25">
      <c r="F207" s="16" t="s">
        <v>324</v>
      </c>
      <c r="G207" s="91" t="s">
        <v>692</v>
      </c>
      <c r="H207" s="165"/>
      <c r="I207" s="91"/>
      <c r="J207" s="112"/>
      <c r="K207" s="112"/>
      <c r="L207" s="218"/>
      <c r="M207" s="218"/>
      <c r="N207" s="218"/>
      <c r="O207" s="165"/>
      <c r="P207" s="165"/>
      <c r="Q207" s="165"/>
      <c r="R207" s="165"/>
      <c r="S207" s="165"/>
      <c r="U207" s="90"/>
    </row>
    <row r="208" spans="5:21" s="195" customFormat="1" x14ac:dyDescent="0.25">
      <c r="F208" s="76" t="s">
        <v>43</v>
      </c>
      <c r="G208" s="196" t="s">
        <v>692</v>
      </c>
      <c r="H208" s="101"/>
      <c r="L208" s="79"/>
      <c r="M208" s="79"/>
      <c r="N208" s="79"/>
      <c r="O208" s="79"/>
      <c r="P208" s="79"/>
      <c r="Q208" s="79"/>
      <c r="R208" s="79"/>
      <c r="S208" s="79"/>
      <c r="U208" s="90"/>
    </row>
    <row r="209" spans="2:27" s="195" customFormat="1" x14ac:dyDescent="0.25">
      <c r="F209" s="76" t="s">
        <v>44</v>
      </c>
      <c r="G209" s="196" t="s">
        <v>692</v>
      </c>
      <c r="H209" s="178">
        <f>SUM(L209:S209)</f>
        <v>0</v>
      </c>
      <c r="I209" s="196"/>
      <c r="J209" s="66"/>
      <c r="K209" s="66"/>
      <c r="L209" s="101"/>
      <c r="M209" s="101"/>
      <c r="N209" s="101"/>
      <c r="O209" s="178">
        <f t="shared" ref="O209:S210" si="13">IF(OR(ABS(SUM(O141,O153,O165) - 1) &lt; 10^-check_decimals, ABS(SUM(O141,O153,O165) - 0) &lt; 10^-check_decimals),0,1)</f>
        <v>0</v>
      </c>
      <c r="P209" s="178">
        <f t="shared" si="13"/>
        <v>0</v>
      </c>
      <c r="Q209" s="178">
        <f t="shared" si="13"/>
        <v>0</v>
      </c>
      <c r="R209" s="178">
        <f t="shared" si="13"/>
        <v>0</v>
      </c>
      <c r="S209" s="178">
        <f t="shared" si="13"/>
        <v>0</v>
      </c>
      <c r="U209" s="90"/>
    </row>
    <row r="210" spans="2:27" s="195" customFormat="1" x14ac:dyDescent="0.25">
      <c r="F210" s="76" t="s">
        <v>45</v>
      </c>
      <c r="G210" s="196" t="s">
        <v>692</v>
      </c>
      <c r="H210" s="178">
        <f>SUM(L210:S210)</f>
        <v>0</v>
      </c>
      <c r="I210" s="196"/>
      <c r="J210" s="66"/>
      <c r="K210" s="66"/>
      <c r="L210" s="101"/>
      <c r="M210" s="101"/>
      <c r="N210" s="101"/>
      <c r="O210" s="178">
        <f t="shared" si="13"/>
        <v>0</v>
      </c>
      <c r="P210" s="178">
        <f t="shared" si="13"/>
        <v>0</v>
      </c>
      <c r="Q210" s="178">
        <f t="shared" si="13"/>
        <v>0</v>
      </c>
      <c r="R210" s="178">
        <f t="shared" si="13"/>
        <v>0</v>
      </c>
      <c r="S210" s="178">
        <f t="shared" si="13"/>
        <v>0</v>
      </c>
      <c r="U210" s="90"/>
    </row>
    <row r="211" spans="2:27" s="195" customFormat="1" x14ac:dyDescent="0.25">
      <c r="F211" s="76" t="s">
        <v>46</v>
      </c>
      <c r="G211" s="196" t="s">
        <v>692</v>
      </c>
      <c r="H211" s="101"/>
      <c r="L211" s="79"/>
      <c r="M211" s="79"/>
      <c r="N211" s="79"/>
      <c r="O211" s="79"/>
      <c r="P211" s="79"/>
      <c r="Q211" s="79"/>
      <c r="R211" s="79"/>
      <c r="S211" s="79"/>
      <c r="U211" s="90"/>
    </row>
    <row r="212" spans="2:27" s="195" customFormat="1" x14ac:dyDescent="0.25">
      <c r="F212" s="76" t="s">
        <v>47</v>
      </c>
      <c r="G212" s="196" t="s">
        <v>692</v>
      </c>
      <c r="H212" s="101"/>
      <c r="L212" s="79"/>
      <c r="M212" s="79"/>
      <c r="N212" s="79"/>
      <c r="O212" s="79"/>
      <c r="P212" s="79"/>
      <c r="Q212" s="79"/>
      <c r="R212" s="79"/>
      <c r="S212" s="79"/>
      <c r="U212" s="90"/>
    </row>
    <row r="213" spans="2:27" s="195" customFormat="1" x14ac:dyDescent="0.25">
      <c r="F213" s="76" t="s">
        <v>51</v>
      </c>
      <c r="G213" s="196" t="s">
        <v>692</v>
      </c>
      <c r="H213" s="178">
        <f>SUM(L213:S213)</f>
        <v>0</v>
      </c>
      <c r="I213" s="196"/>
      <c r="J213" s="66"/>
      <c r="K213" s="66"/>
      <c r="L213" s="101"/>
      <c r="M213" s="101"/>
      <c r="N213" s="101"/>
      <c r="O213" s="178">
        <f>IF(OR(ABS(SUM(O145,O157,O169) - 1) &lt; 10^-check_decimals, ABS(SUM(O145,O157,O169) - 0) &lt; 10^-check_decimals),0,1)</f>
        <v>0</v>
      </c>
      <c r="P213" s="178">
        <f>IF(OR(ABS(SUM(P145,P157,P169) - 1) &lt; 10^-check_decimals, ABS(SUM(P145,P157,P169) - 0) &lt; 10^-check_decimals),0,1)</f>
        <v>0</v>
      </c>
      <c r="Q213" s="178">
        <f>IF(OR(ABS(SUM(Q145,Q157,Q169) - 1) &lt; 10^-check_decimals, ABS(SUM(Q145,Q157,Q169) - 0) &lt; 10^-check_decimals),0,1)</f>
        <v>0</v>
      </c>
      <c r="R213" s="178">
        <f>IF(OR(ABS(SUM(R145,R157,R169) - 1) &lt; 10^-check_decimals, ABS(SUM(R145,R157,R169) - 0) &lt; 10^-check_decimals),0,1)</f>
        <v>0</v>
      </c>
      <c r="S213" s="178">
        <f>IF(OR(ABS(SUM(S145,S157,S169) - 1) &lt; 10^-check_decimals, ABS(SUM(S145,S157,S169) - 0) &lt; 10^-check_decimals),0,1)</f>
        <v>0</v>
      </c>
      <c r="U213" s="90"/>
    </row>
    <row r="214" spans="2:27" s="195" customFormat="1" x14ac:dyDescent="0.25">
      <c r="F214" s="76" t="s">
        <v>48</v>
      </c>
      <c r="G214" s="196" t="s">
        <v>692</v>
      </c>
      <c r="H214" s="101"/>
      <c r="L214" s="79"/>
      <c r="M214" s="79"/>
      <c r="N214" s="79"/>
      <c r="O214" s="79"/>
      <c r="P214" s="79"/>
      <c r="Q214" s="79"/>
      <c r="R214" s="79"/>
      <c r="S214" s="79"/>
      <c r="U214" s="90"/>
    </row>
    <row r="215" spans="2:27" s="195" customFormat="1" x14ac:dyDescent="0.25">
      <c r="F215" s="76" t="s">
        <v>49</v>
      </c>
      <c r="G215" s="196" t="s">
        <v>692</v>
      </c>
      <c r="H215" s="101"/>
      <c r="L215" s="79"/>
      <c r="M215" s="79"/>
      <c r="N215" s="79"/>
      <c r="O215" s="79"/>
      <c r="P215" s="79"/>
      <c r="Q215" s="79"/>
      <c r="R215" s="79"/>
      <c r="S215" s="79"/>
      <c r="U215" s="90"/>
    </row>
    <row r="216" spans="2:27" s="195" customFormat="1" x14ac:dyDescent="0.25">
      <c r="F216" s="15" t="s">
        <v>50</v>
      </c>
      <c r="G216" s="93" t="s">
        <v>692</v>
      </c>
      <c r="H216" s="102"/>
      <c r="I216" s="93"/>
      <c r="J216" s="93"/>
      <c r="K216" s="93"/>
      <c r="L216" s="102"/>
      <c r="M216" s="102"/>
      <c r="N216" s="102"/>
      <c r="O216" s="102"/>
      <c r="P216" s="102"/>
      <c r="Q216" s="102"/>
      <c r="R216" s="102"/>
      <c r="S216" s="102"/>
      <c r="U216" s="90"/>
    </row>
    <row r="217" spans="2:27" s="195" customFormat="1" x14ac:dyDescent="0.25"/>
    <row r="218" spans="2:27" x14ac:dyDescent="0.25">
      <c r="E218" s="85" t="s">
        <v>446</v>
      </c>
      <c r="G218" s="60" t="s">
        <v>692</v>
      </c>
      <c r="H218" s="212">
        <f>SUM(H190,H192,H195:H204,H207:H216)</f>
        <v>0</v>
      </c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</row>
    <row r="219" spans="2:27" x14ac:dyDescent="0.25">
      <c r="H219" s="111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</row>
    <row r="220" spans="2:27" x14ac:dyDescent="0.25">
      <c r="B220" s="95" t="s">
        <v>110</v>
      </c>
      <c r="C220" s="95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W220" s="95"/>
      <c r="X220" s="95"/>
      <c r="Y220" s="95"/>
      <c r="Z220" s="95"/>
      <c r="AA220" s="95"/>
    </row>
    <row r="223" spans="2:27" x14ac:dyDescent="0.25">
      <c r="K223" s="89"/>
      <c r="L223" s="89"/>
      <c r="M223" s="89"/>
      <c r="O223" s="89"/>
      <c r="P223" s="89"/>
      <c r="Q223" s="89"/>
      <c r="R223" s="89"/>
    </row>
    <row r="224" spans="2:27" x14ac:dyDescent="0.25">
      <c r="K224" s="89"/>
      <c r="L224" s="89"/>
      <c r="M224" s="89"/>
      <c r="O224" s="89"/>
      <c r="P224" s="89"/>
      <c r="Q224" s="89"/>
      <c r="R224" s="89"/>
    </row>
    <row r="225" spans="11:18" x14ac:dyDescent="0.25">
      <c r="K225" s="89"/>
      <c r="L225" s="89"/>
      <c r="M225" s="89"/>
      <c r="O225" s="89"/>
      <c r="P225" s="89"/>
      <c r="Q225" s="89"/>
      <c r="R225" s="89"/>
    </row>
    <row r="226" spans="11:18" x14ac:dyDescent="0.25">
      <c r="K226" s="89"/>
      <c r="L226" s="89"/>
      <c r="M226" s="89"/>
      <c r="O226" s="89"/>
      <c r="P226" s="89"/>
      <c r="Q226" s="89"/>
      <c r="R226" s="89"/>
    </row>
    <row r="227" spans="11:18" x14ac:dyDescent="0.25">
      <c r="K227" s="89"/>
      <c r="L227" s="89"/>
      <c r="M227" s="89"/>
      <c r="O227" s="89"/>
      <c r="P227" s="89"/>
      <c r="Q227" s="89"/>
      <c r="R227" s="89"/>
    </row>
    <row r="228" spans="11:18" x14ac:dyDescent="0.25">
      <c r="K228" s="89"/>
      <c r="L228" s="89"/>
      <c r="M228" s="89"/>
      <c r="O228" s="89"/>
      <c r="P228" s="89"/>
      <c r="Q228" s="89"/>
      <c r="R228" s="89"/>
    </row>
    <row r="229" spans="11:18" x14ac:dyDescent="0.25">
      <c r="K229" s="89"/>
      <c r="L229" s="89"/>
      <c r="M229" s="89"/>
      <c r="O229" s="89"/>
      <c r="P229" s="89"/>
      <c r="Q229" s="89"/>
      <c r="R229" s="89"/>
    </row>
    <row r="230" spans="11:18" x14ac:dyDescent="0.25">
      <c r="K230" s="89"/>
      <c r="L230" s="89"/>
      <c r="M230" s="89"/>
      <c r="O230" s="89"/>
      <c r="P230" s="89"/>
      <c r="Q230" s="89"/>
      <c r="R230" s="89"/>
    </row>
    <row r="231" spans="11:18" x14ac:dyDescent="0.25">
      <c r="K231" s="89"/>
      <c r="L231" s="89"/>
      <c r="M231" s="89"/>
      <c r="O231" s="89"/>
      <c r="P231" s="89"/>
      <c r="Q231" s="89"/>
      <c r="R231" s="89"/>
    </row>
  </sheetData>
  <sheetProtection formatCells="0" formatColumns="0" formatRows="0" sort="0" autoFilter="0"/>
  <conditionalFormatting sqref="H190 H213 H196 H199:H204 L196:S196 L202:S204 L213:S213 L199:S200">
    <cfRule type="cellIs" dxfId="246" priority="23" operator="greaterThan">
      <formula>0</formula>
    </cfRule>
  </conditionalFormatting>
  <conditionalFormatting sqref="H209">
    <cfRule type="cellIs" dxfId="245" priority="17" operator="greaterThan">
      <formula>0</formula>
    </cfRule>
  </conditionalFormatting>
  <conditionalFormatting sqref="H208">
    <cfRule type="cellIs" dxfId="244" priority="16" operator="greaterThan">
      <formula>0</formula>
    </cfRule>
  </conditionalFormatting>
  <conditionalFormatting sqref="H210">
    <cfRule type="cellIs" dxfId="243" priority="15" operator="greaterThan">
      <formula>0</formula>
    </cfRule>
  </conditionalFormatting>
  <conditionalFormatting sqref="H211">
    <cfRule type="cellIs" dxfId="242" priority="14" operator="greaterThan">
      <formula>0</formula>
    </cfRule>
  </conditionalFormatting>
  <conditionalFormatting sqref="H212">
    <cfRule type="cellIs" dxfId="241" priority="13" operator="greaterThan">
      <formula>0</formula>
    </cfRule>
  </conditionalFormatting>
  <conditionalFormatting sqref="H214">
    <cfRule type="cellIs" dxfId="240" priority="12" operator="greaterThan">
      <formula>0</formula>
    </cfRule>
  </conditionalFormatting>
  <conditionalFormatting sqref="H215">
    <cfRule type="cellIs" dxfId="239" priority="11" operator="greaterThan">
      <formula>0</formula>
    </cfRule>
  </conditionalFormatting>
  <conditionalFormatting sqref="H216">
    <cfRule type="cellIs" dxfId="238" priority="10" operator="greaterThan">
      <formula>0</formula>
    </cfRule>
  </conditionalFormatting>
  <conditionalFormatting sqref="L210:S210">
    <cfRule type="cellIs" dxfId="237" priority="9" operator="greaterThan">
      <formula>0</formula>
    </cfRule>
  </conditionalFormatting>
  <conditionalFormatting sqref="L209:S209">
    <cfRule type="cellIs" dxfId="236" priority="8" operator="greaterThan">
      <formula>0</formula>
    </cfRule>
  </conditionalFormatting>
  <conditionalFormatting sqref="H197">
    <cfRule type="cellIs" dxfId="235" priority="7" operator="greaterThan">
      <formula>0</formula>
    </cfRule>
  </conditionalFormatting>
  <conditionalFormatting sqref="H198">
    <cfRule type="cellIs" dxfId="234" priority="6" operator="greaterThan">
      <formula>0</formula>
    </cfRule>
  </conditionalFormatting>
  <conditionalFormatting sqref="L192:S192">
    <cfRule type="cellIs" dxfId="233" priority="3" operator="greaterThan">
      <formula>0</formula>
    </cfRule>
  </conditionalFormatting>
  <conditionalFormatting sqref="H192">
    <cfRule type="cellIs" dxfId="232" priority="4" operator="greaterThan">
      <formula>0</formula>
    </cfRule>
  </conditionalFormatting>
  <conditionalFormatting sqref="A4:XFD4">
    <cfRule type="expression" dxfId="231" priority="2">
      <formula>LEFT($A$4,1) &lt;&gt; "0"</formula>
    </cfRule>
  </conditionalFormatting>
  <conditionalFormatting sqref="H218">
    <cfRule type="cellIs" dxfId="230" priority="1" operator="greaterThan">
      <formula>0</formula>
    </cfRule>
  </conditionalFormatting>
  <dataValidations count="2">
    <dataValidation type="decimal" operator="greaterThan" allowBlank="1" showInputMessage="1" showErrorMessage="1" sqref="L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L180:S181 L183:S184 L166:S166 L168:S169 L112:S112 L98:S99 L95:S96 L90:S90 L92:S93 L178:S178 L106:S107 L101:S101 L139:S139 L55:S56 L142:S142 L144:S145 L103:S104 L76:S77 L61:S61 L151:S151 L109:S110 L66:S67 L64:S64 L175:S175 L84:S85 L147:S148 L131:O132 L69:S70 L52:S53 L79:S79 L47:S47 L50:S50 L33:S42 L114:S114 L126:S126 L87:S88 L163:S163 L27:S28 L154:S154 L156:S157 L159:S160 L171:S172 L123:S124 L24:S25 L22:S22 L19:S19 L81:S82 L128:O129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6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 activeCell="L96" sqref="L96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7109375" style="85" customWidth="1"/>
    <col min="9" max="9" width="2.28515625" style="85" customWidth="1"/>
    <col min="10" max="10" width="20.7109375" style="85" bestFit="1" customWidth="1"/>
    <col min="11" max="11" width="2.28515625" style="85" customWidth="1"/>
    <col min="12" max="19" width="14.85546875" style="85" bestFit="1" customWidth="1"/>
    <col min="20" max="20" width="2.28515625" style="85" customWidth="1"/>
    <col min="21" max="21" width="50.7109375" style="85" customWidth="1"/>
    <col min="22" max="22" width="2.28515625" style="85" customWidth="1"/>
    <col min="23" max="272" width="20.7109375" style="85" hidden="1" customWidth="1"/>
    <col min="273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ARP_General inputs</v>
      </c>
    </row>
    <row r="2" spans="1:97" s="10" customFormat="1" x14ac:dyDescent="0.25">
      <c r="A2" s="10" t="str">
        <f>Cover!D21&amp;" - "&amp;Cover!D23</f>
        <v>SP Distribution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97" s="195" customFormat="1" x14ac:dyDescent="0.25">
      <c r="A4" s="229" t="str">
        <f>H124 &amp; IF(H124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(2021/22)</v>
      </c>
      <c r="L5" s="35" t="str">
        <f t="array" ref="L5:S6">TRANSPOSE('ARP_User control'!G28:H35)</f>
        <v>2018/19</v>
      </c>
      <c r="M5" s="35" t="str">
        <v>2019/20</v>
      </c>
      <c r="N5" s="35" t="str">
        <v>2020/21</v>
      </c>
      <c r="O5" s="35" t="str">
        <v>2021/22</v>
      </c>
      <c r="P5" s="35" t="str">
        <v>2022/23</v>
      </c>
      <c r="Q5" s="35" t="str">
        <v>2023/24</v>
      </c>
      <c r="R5" s="35" t="str">
        <v>2024/25</v>
      </c>
      <c r="S5" s="35" t="str">
        <v>2025/26</v>
      </c>
      <c r="U5" s="35"/>
    </row>
    <row r="6" spans="1:97" x14ac:dyDescent="0.25">
      <c r="B6" s="134" t="s">
        <v>552</v>
      </c>
      <c r="C6" s="9"/>
      <c r="D6" s="9"/>
      <c r="E6" s="9"/>
      <c r="F6" s="9"/>
      <c r="G6" s="9" t="s">
        <v>91</v>
      </c>
      <c r="H6" s="11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128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25">
      <c r="G9" s="108"/>
    </row>
    <row r="10" spans="1:97" x14ac:dyDescent="0.25">
      <c r="C10" s="82" t="s">
        <v>798</v>
      </c>
      <c r="G10" s="108"/>
    </row>
    <row r="11" spans="1:97" s="295" customFormat="1" x14ac:dyDescent="0.25">
      <c r="C11" s="82" t="s">
        <v>796</v>
      </c>
      <c r="G11" s="108"/>
    </row>
    <row r="12" spans="1:97" s="295" customFormat="1" x14ac:dyDescent="0.25">
      <c r="C12" s="82" t="s">
        <v>891</v>
      </c>
      <c r="G12" s="108"/>
    </row>
    <row r="13" spans="1:97" x14ac:dyDescent="0.25">
      <c r="G13" s="108"/>
    </row>
    <row r="14" spans="1:97" x14ac:dyDescent="0.25">
      <c r="B14" s="95" t="s">
        <v>656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</row>
    <row r="15" spans="1:97" x14ac:dyDescent="0.25">
      <c r="G15" s="108"/>
    </row>
    <row r="16" spans="1:97" s="195" customFormat="1" x14ac:dyDescent="0.25">
      <c r="C16" s="7" t="str">
        <f ca="1">INDEX('Version control'!$H$34:$H$60,MATCH($A$1,'Version control'!$F$34:$F$60,0),1)&amp;"-A: Split of hours by distribution timeband"</f>
        <v>Input 503-A: Split of hours by distribution timeband</v>
      </c>
      <c r="D16" s="7"/>
      <c r="E16" s="7"/>
      <c r="F16" s="7"/>
      <c r="G16" s="172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>
      <c r="G17" s="108"/>
    </row>
    <row r="18" spans="3:21" x14ac:dyDescent="0.25">
      <c r="D18" s="96"/>
      <c r="E18" s="96" t="s">
        <v>263</v>
      </c>
      <c r="F18" s="96"/>
      <c r="G18" s="108"/>
      <c r="H18" s="130"/>
      <c r="I18" s="85" t="s">
        <v>431</v>
      </c>
      <c r="U18" s="85" t="s">
        <v>923</v>
      </c>
    </row>
    <row r="19" spans="3:21" x14ac:dyDescent="0.25">
      <c r="E19" s="195"/>
      <c r="F19" s="126" t="s">
        <v>87</v>
      </c>
      <c r="G19" s="129" t="s">
        <v>607</v>
      </c>
      <c r="H19" s="129"/>
      <c r="I19" s="129"/>
      <c r="J19" s="255">
        <f>CHOOSE(year_selection, L19,M19,N19,O19,P19,Q19,R19,S19)</f>
        <v>258</v>
      </c>
      <c r="K19" s="256"/>
      <c r="L19" s="333">
        <v>258</v>
      </c>
      <c r="M19" s="333">
        <v>258</v>
      </c>
      <c r="N19" s="333">
        <v>255</v>
      </c>
      <c r="O19" s="333">
        <v>258</v>
      </c>
      <c r="P19" s="333">
        <v>258</v>
      </c>
      <c r="Q19" s="333">
        <v>261</v>
      </c>
      <c r="R19" s="333">
        <v>258</v>
      </c>
      <c r="S19" s="333">
        <v>255</v>
      </c>
      <c r="T19" s="92"/>
      <c r="U19" s="92"/>
    </row>
    <row r="20" spans="3:21" x14ac:dyDescent="0.25">
      <c r="E20" s="195"/>
      <c r="F20" s="124" t="s">
        <v>88</v>
      </c>
      <c r="G20" s="130" t="s">
        <v>607</v>
      </c>
      <c r="H20" s="130"/>
      <c r="I20" s="130"/>
      <c r="J20" s="257">
        <f>CHOOSE(year_selection, L20,M20,N20,O20,P20,Q20,R20,S20)</f>
        <v>3942.5</v>
      </c>
      <c r="K20" s="258"/>
      <c r="L20" s="334">
        <v>3932</v>
      </c>
      <c r="M20" s="334">
        <v>3957</v>
      </c>
      <c r="N20" s="334">
        <v>3945.5</v>
      </c>
      <c r="O20" s="334">
        <v>3942.5</v>
      </c>
      <c r="P20" s="334">
        <v>3942.5</v>
      </c>
      <c r="Q20" s="334">
        <v>3933</v>
      </c>
      <c r="R20" s="334">
        <v>3942.5</v>
      </c>
      <c r="S20" s="334">
        <v>3945.5</v>
      </c>
      <c r="T20" s="92"/>
      <c r="U20" s="92"/>
    </row>
    <row r="21" spans="3:21" x14ac:dyDescent="0.25">
      <c r="E21" s="195"/>
      <c r="F21" s="125" t="s">
        <v>86</v>
      </c>
      <c r="G21" s="131" t="s">
        <v>607</v>
      </c>
      <c r="H21" s="131"/>
      <c r="I21" s="131"/>
      <c r="J21" s="259">
        <f>CHOOSE(year_selection, L21,M21,N21,O21,P21,Q21,R21,S21)</f>
        <v>4559.5</v>
      </c>
      <c r="K21" s="260"/>
      <c r="L21" s="335">
        <v>4570</v>
      </c>
      <c r="M21" s="335">
        <v>4569</v>
      </c>
      <c r="N21" s="335">
        <v>4559.5</v>
      </c>
      <c r="O21" s="335">
        <v>4559.5</v>
      </c>
      <c r="P21" s="335">
        <v>4559.5</v>
      </c>
      <c r="Q21" s="335">
        <v>4590</v>
      </c>
      <c r="R21" s="335">
        <v>4559.5</v>
      </c>
      <c r="S21" s="335">
        <v>4559.5</v>
      </c>
      <c r="T21" s="92"/>
      <c r="U21" s="92"/>
    </row>
    <row r="22" spans="3:21" x14ac:dyDescent="0.25">
      <c r="E22" s="195"/>
      <c r="F22" s="195"/>
      <c r="G22" s="108"/>
      <c r="H22" s="108"/>
      <c r="I22" s="108"/>
      <c r="J22" s="261"/>
      <c r="K22" s="262"/>
      <c r="L22" s="262"/>
      <c r="M22" s="262"/>
      <c r="N22" s="262"/>
      <c r="O22" s="262"/>
      <c r="P22" s="262"/>
      <c r="Q22" s="262"/>
      <c r="R22" s="262"/>
      <c r="S22" s="262"/>
    </row>
    <row r="23" spans="3:21" x14ac:dyDescent="0.25">
      <c r="D23" s="96"/>
      <c r="E23" s="96" t="s">
        <v>264</v>
      </c>
      <c r="F23" s="96"/>
      <c r="G23" s="108"/>
      <c r="H23" s="108"/>
      <c r="I23" s="85" t="s">
        <v>431</v>
      </c>
      <c r="J23" s="261"/>
      <c r="K23" s="262"/>
      <c r="L23" s="262"/>
      <c r="M23" s="262"/>
      <c r="N23" s="262"/>
      <c r="O23" s="262"/>
      <c r="P23" s="262"/>
      <c r="Q23" s="262"/>
      <c r="R23" s="262"/>
      <c r="S23" s="262"/>
      <c r="U23" s="85" t="s">
        <v>923</v>
      </c>
    </row>
    <row r="24" spans="3:21" x14ac:dyDescent="0.25">
      <c r="E24" s="195"/>
      <c r="F24" s="91" t="s">
        <v>84</v>
      </c>
      <c r="G24" s="129" t="s">
        <v>607</v>
      </c>
      <c r="H24" s="129"/>
      <c r="I24" s="129"/>
      <c r="J24" s="255">
        <f>CHOOSE(year_selection, L24,M24,N24,O24,P24,Q24,R24,S24)</f>
        <v>783</v>
      </c>
      <c r="K24" s="256"/>
      <c r="L24" s="333">
        <v>780</v>
      </c>
      <c r="M24" s="333">
        <v>786</v>
      </c>
      <c r="N24" s="333">
        <v>783</v>
      </c>
      <c r="O24" s="333">
        <v>783</v>
      </c>
      <c r="P24" s="333">
        <v>783</v>
      </c>
      <c r="Q24" s="333">
        <v>780</v>
      </c>
      <c r="R24" s="333">
        <v>783</v>
      </c>
      <c r="S24" s="333">
        <v>783</v>
      </c>
    </row>
    <row r="25" spans="3:21" x14ac:dyDescent="0.25">
      <c r="E25" s="195"/>
      <c r="F25" s="196" t="s">
        <v>85</v>
      </c>
      <c r="G25" s="130" t="s">
        <v>607</v>
      </c>
      <c r="H25" s="130"/>
      <c r="I25" s="130"/>
      <c r="J25" s="257">
        <f>CHOOSE(year_selection, L25,M25,N25,O25,P25,Q25,R25,S25)</f>
        <v>3417.5</v>
      </c>
      <c r="K25" s="258"/>
      <c r="L25" s="334">
        <v>3410</v>
      </c>
      <c r="M25" s="334">
        <v>3429</v>
      </c>
      <c r="N25" s="334">
        <v>3417.5</v>
      </c>
      <c r="O25" s="334">
        <v>3417.5</v>
      </c>
      <c r="P25" s="334">
        <v>3417.5</v>
      </c>
      <c r="Q25" s="334">
        <v>3414</v>
      </c>
      <c r="R25" s="334">
        <v>3417.5</v>
      </c>
      <c r="S25" s="334">
        <v>3417.5</v>
      </c>
    </row>
    <row r="26" spans="3:21" x14ac:dyDescent="0.25">
      <c r="E26" s="195"/>
      <c r="F26" s="93" t="s">
        <v>86</v>
      </c>
      <c r="G26" s="131" t="s">
        <v>607</v>
      </c>
      <c r="H26" s="131"/>
      <c r="I26" s="131"/>
      <c r="J26" s="259">
        <f>CHOOSE(year_selection, L26,M26,N26,O26,P26,Q26,R26,S26)</f>
        <v>4559.5</v>
      </c>
      <c r="K26" s="260"/>
      <c r="L26" s="335">
        <v>4570</v>
      </c>
      <c r="M26" s="335">
        <v>4569</v>
      </c>
      <c r="N26" s="335">
        <v>4559.5</v>
      </c>
      <c r="O26" s="335">
        <v>4559.5</v>
      </c>
      <c r="P26" s="335">
        <v>4559.5</v>
      </c>
      <c r="Q26" s="335">
        <v>4590</v>
      </c>
      <c r="R26" s="335">
        <v>4559.5</v>
      </c>
      <c r="S26" s="335">
        <v>4559.5</v>
      </c>
    </row>
    <row r="27" spans="3:21" x14ac:dyDescent="0.25">
      <c r="E27" s="195"/>
      <c r="F27" s="195"/>
      <c r="G27" s="108"/>
      <c r="H27" s="108"/>
      <c r="I27" s="108"/>
      <c r="J27" s="151"/>
      <c r="K27" s="108"/>
      <c r="L27" s="108"/>
      <c r="M27" s="108"/>
      <c r="N27" s="108"/>
      <c r="O27" s="108"/>
      <c r="P27" s="108"/>
      <c r="Q27" s="108"/>
      <c r="R27" s="108"/>
      <c r="S27" s="108"/>
    </row>
    <row r="28" spans="3:21" s="195" customFormat="1" x14ac:dyDescent="0.25">
      <c r="C28" s="7" t="str">
        <f ca="1">INDEX('Version control'!$H$34:$H$60,MATCH($A$1,'Version control'!$F$34:$F$60,0),1)&amp;"-B: Embedded network (LDNO) discount percentages"</f>
        <v>Input 503-B: Embedded network (LDNO) discount percentages</v>
      </c>
      <c r="D28" s="7"/>
      <c r="E28" s="7"/>
      <c r="F28" s="7"/>
      <c r="G28" s="172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</row>
    <row r="29" spans="3:21" s="195" customFormat="1" x14ac:dyDescent="0.25">
      <c r="G29" s="108"/>
      <c r="L29" s="295"/>
      <c r="M29" s="295"/>
      <c r="N29" s="295"/>
      <c r="P29" s="295"/>
      <c r="Q29" s="295"/>
      <c r="R29" s="295"/>
      <c r="S29" s="295"/>
    </row>
    <row r="30" spans="3:21" s="295" customFormat="1" x14ac:dyDescent="0.25">
      <c r="D30" s="82" t="s">
        <v>254</v>
      </c>
      <c r="G30" s="108"/>
    </row>
    <row r="31" spans="3:21" s="295" customFormat="1" x14ac:dyDescent="0.25">
      <c r="G31" s="108"/>
    </row>
    <row r="32" spans="3:21" x14ac:dyDescent="0.25">
      <c r="D32" s="96"/>
      <c r="E32" s="96" t="s">
        <v>255</v>
      </c>
      <c r="F32" s="96"/>
      <c r="G32" s="108"/>
      <c r="H32" s="108"/>
      <c r="I32" s="85" t="s">
        <v>431</v>
      </c>
      <c r="J32" s="151"/>
      <c r="K32" s="108"/>
      <c r="L32" s="108"/>
      <c r="M32" s="108"/>
      <c r="N32" s="108"/>
      <c r="O32" s="108"/>
      <c r="P32" s="108"/>
      <c r="Q32" s="108"/>
      <c r="R32" s="108"/>
      <c r="S32" s="108"/>
      <c r="U32" s="85" t="s">
        <v>801</v>
      </c>
    </row>
    <row r="33" spans="3:38" x14ac:dyDescent="0.25">
      <c r="E33" s="195"/>
      <c r="F33" s="126" t="s">
        <v>66</v>
      </c>
      <c r="G33" s="40" t="s">
        <v>94</v>
      </c>
      <c r="H33" s="40"/>
      <c r="I33" s="40"/>
      <c r="J33" s="175">
        <f>CHOOSE(year_selection, L33,M33,N33,O33,P33,Q33,R33,S33)</f>
        <v>0.39067242808448932</v>
      </c>
      <c r="K33" s="40"/>
      <c r="L33" s="324">
        <v>0.38704565679372654</v>
      </c>
      <c r="M33" s="324">
        <v>0.38733990485783049</v>
      </c>
      <c r="N33" s="324">
        <v>0.38980655798359887</v>
      </c>
      <c r="O33" s="324">
        <v>0.39067242808448932</v>
      </c>
      <c r="P33" s="324">
        <v>0.39067242808448932</v>
      </c>
      <c r="Q33" s="324">
        <v>0.39067242808448932</v>
      </c>
      <c r="R33" s="324">
        <v>0.39067242808448932</v>
      </c>
      <c r="S33" s="324">
        <v>0.39067242808448932</v>
      </c>
      <c r="U33" s="195"/>
    </row>
    <row r="34" spans="3:38" x14ac:dyDescent="0.25">
      <c r="E34" s="195"/>
      <c r="F34" s="124" t="s">
        <v>67</v>
      </c>
      <c r="G34" s="39" t="s">
        <v>94</v>
      </c>
      <c r="H34" s="39"/>
      <c r="I34" s="39"/>
      <c r="J34" s="17">
        <f>CHOOSE(year_selection, L34,M34,N34,O34,P34,Q34,R34,S34)</f>
        <v>0.60361788113874959</v>
      </c>
      <c r="K34" s="39"/>
      <c r="L34" s="325">
        <v>0.6532080799892247</v>
      </c>
      <c r="M34" s="325">
        <v>0.6488039915883731</v>
      </c>
      <c r="N34" s="325">
        <v>0.6351371199196082</v>
      </c>
      <c r="O34" s="325">
        <v>0.60361788113874959</v>
      </c>
      <c r="P34" s="325">
        <v>0.60361788113874959</v>
      </c>
      <c r="Q34" s="325">
        <v>0.60361788113874959</v>
      </c>
      <c r="R34" s="325">
        <v>0.60361788113874959</v>
      </c>
      <c r="S34" s="325">
        <v>0.60361788113874959</v>
      </c>
      <c r="W34" s="85" t="s">
        <v>72</v>
      </c>
      <c r="X34" s="85" t="s">
        <v>73</v>
      </c>
      <c r="Y34" s="85" t="s">
        <v>52</v>
      </c>
      <c r="Z34" s="85" t="s">
        <v>53</v>
      </c>
      <c r="AA34" s="85" t="s">
        <v>54</v>
      </c>
      <c r="AB34" s="85" t="s">
        <v>55</v>
      </c>
      <c r="AC34" s="85" t="s">
        <v>56</v>
      </c>
      <c r="AD34" s="85" t="s">
        <v>57</v>
      </c>
      <c r="AE34" s="85" t="s">
        <v>58</v>
      </c>
      <c r="AF34" s="85" t="s">
        <v>59</v>
      </c>
      <c r="AG34" s="85" t="s">
        <v>60</v>
      </c>
      <c r="AH34" s="85" t="s">
        <v>61</v>
      </c>
      <c r="AI34" s="85" t="s">
        <v>62</v>
      </c>
      <c r="AJ34" s="85" t="s">
        <v>63</v>
      </c>
      <c r="AK34" s="85" t="s">
        <v>64</v>
      </c>
      <c r="AL34" s="85" t="s">
        <v>65</v>
      </c>
    </row>
    <row r="35" spans="3:38" x14ac:dyDescent="0.25">
      <c r="E35" s="195"/>
      <c r="F35" s="124" t="s">
        <v>68</v>
      </c>
      <c r="G35" s="39" t="s">
        <v>94</v>
      </c>
      <c r="H35" s="39"/>
      <c r="I35" s="39"/>
      <c r="J35" s="17">
        <f>CHOOSE(year_selection, L35,M35,N35,O35,P35,Q35,R35,S35)</f>
        <v>0.34819248571328243</v>
      </c>
      <c r="K35" s="39"/>
      <c r="L35" s="325">
        <v>0.43282382281851794</v>
      </c>
      <c r="M35" s="325">
        <v>0.42548679046197491</v>
      </c>
      <c r="N35" s="325">
        <v>0.40077096997612849</v>
      </c>
      <c r="O35" s="325">
        <v>0.34819248571328243</v>
      </c>
      <c r="P35" s="325">
        <v>0.34819248571328243</v>
      </c>
      <c r="Q35" s="325">
        <v>0.34819248571328243</v>
      </c>
      <c r="R35" s="325">
        <v>0.34819248571328243</v>
      </c>
      <c r="S35" s="325">
        <v>0.34819248571328243</v>
      </c>
    </row>
    <row r="36" spans="3:38" x14ac:dyDescent="0.25">
      <c r="E36" s="195"/>
      <c r="F36" s="125" t="s">
        <v>69</v>
      </c>
      <c r="G36" s="36" t="s">
        <v>94</v>
      </c>
      <c r="H36" s="36"/>
      <c r="I36" s="36"/>
      <c r="J36" s="18">
        <f>CHOOSE(year_selection, L36,M36,N36,O36,P36,Q36,R36,S36)</f>
        <v>0.25174009320591562</v>
      </c>
      <c r="K36" s="36"/>
      <c r="L36" s="326">
        <v>0.34863868293443084</v>
      </c>
      <c r="M36" s="326">
        <v>0.34015547948179137</v>
      </c>
      <c r="N36" s="326">
        <v>0.31241728335427027</v>
      </c>
      <c r="O36" s="326">
        <v>0.25174009320591562</v>
      </c>
      <c r="P36" s="326">
        <v>0.25174009320591562</v>
      </c>
      <c r="Q36" s="326">
        <v>0.25174009320591562</v>
      </c>
      <c r="R36" s="326">
        <v>0.25174009320591562</v>
      </c>
      <c r="S36" s="326">
        <v>0.25174009320591562</v>
      </c>
    </row>
    <row r="37" spans="3:38" x14ac:dyDescent="0.25">
      <c r="E37" s="195"/>
      <c r="F37" s="195"/>
      <c r="G37" s="108"/>
      <c r="H37" s="108"/>
      <c r="I37" s="108"/>
      <c r="J37" s="151"/>
      <c r="K37" s="108"/>
      <c r="L37" s="108"/>
      <c r="M37" s="108"/>
      <c r="N37" s="108"/>
      <c r="O37" s="108"/>
      <c r="P37" s="108"/>
      <c r="Q37" s="108"/>
      <c r="R37" s="108"/>
      <c r="S37" s="108"/>
    </row>
    <row r="38" spans="3:38" s="195" customFormat="1" x14ac:dyDescent="0.25">
      <c r="C38" s="7" t="str">
        <f ca="1">INDEX('Version control'!$H$34:$H$60,MATCH($A$1,'Version control'!$F$34:$F$60,0),1)&amp;"-C: CDCM target revenue"</f>
        <v>Input 503-C: CDCM target revenue</v>
      </c>
      <c r="D38" s="7"/>
      <c r="E38" s="7"/>
      <c r="F38" s="7"/>
      <c r="G38" s="172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</row>
    <row r="39" spans="3:38" s="195" customFormat="1" x14ac:dyDescent="0.25">
      <c r="G39" s="108"/>
      <c r="L39" s="295"/>
      <c r="M39" s="295"/>
      <c r="N39" s="295"/>
      <c r="P39" s="295"/>
      <c r="Q39" s="295"/>
      <c r="R39" s="295"/>
      <c r="S39" s="295"/>
    </row>
    <row r="40" spans="3:38" s="195" customFormat="1" x14ac:dyDescent="0.25">
      <c r="D40" s="82" t="s">
        <v>892</v>
      </c>
      <c r="F40" s="82"/>
      <c r="G40" s="108"/>
      <c r="H40" s="108"/>
      <c r="I40" s="85" t="s">
        <v>431</v>
      </c>
      <c r="J40" s="152"/>
      <c r="L40" s="295"/>
      <c r="M40" s="295"/>
      <c r="N40" s="295"/>
      <c r="P40" s="295"/>
      <c r="Q40" s="295"/>
      <c r="R40" s="295"/>
      <c r="S40" s="295"/>
      <c r="T40" s="85"/>
      <c r="U40" s="195" t="s">
        <v>802</v>
      </c>
    </row>
    <row r="41" spans="3:38" s="195" customFormat="1" x14ac:dyDescent="0.25">
      <c r="D41" s="82" t="s">
        <v>1033</v>
      </c>
      <c r="F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38" s="295" customFormat="1" x14ac:dyDescent="0.25">
      <c r="D42" s="82"/>
      <c r="E42" s="82"/>
      <c r="F42" s="82"/>
      <c r="G42" s="108"/>
      <c r="H42" s="108"/>
      <c r="I42" s="108"/>
      <c r="J42" s="151"/>
      <c r="K42" s="108"/>
      <c r="L42" s="108"/>
      <c r="M42" s="108"/>
      <c r="N42" s="108"/>
      <c r="O42" s="108"/>
      <c r="P42" s="108"/>
      <c r="Q42" s="108"/>
      <c r="R42" s="108"/>
      <c r="S42" s="108"/>
    </row>
    <row r="43" spans="3:38" x14ac:dyDescent="0.25">
      <c r="E43" s="196" t="s">
        <v>0</v>
      </c>
      <c r="F43" s="196"/>
      <c r="G43" s="92" t="s">
        <v>107</v>
      </c>
      <c r="H43" s="92"/>
      <c r="I43" s="92"/>
      <c r="J43" s="257">
        <f t="shared" ref="J43:J48" si="0">CHOOSE(year_selection, L43,M43,N43,O43,P43,Q43,R43,S43)</f>
        <v>346000000</v>
      </c>
      <c r="K43" s="263"/>
      <c r="L43" s="334">
        <v>346000000</v>
      </c>
      <c r="M43" s="334">
        <v>346000000</v>
      </c>
      <c r="N43" s="334">
        <v>346000000</v>
      </c>
      <c r="O43" s="334">
        <v>346000000</v>
      </c>
      <c r="P43" s="334">
        <v>346000000</v>
      </c>
      <c r="Q43" s="334">
        <v>346000000</v>
      </c>
      <c r="R43" s="334">
        <v>346000000</v>
      </c>
      <c r="S43" s="334">
        <v>346000000</v>
      </c>
    </row>
    <row r="44" spans="3:38" x14ac:dyDescent="0.25">
      <c r="E44" s="196" t="s">
        <v>1</v>
      </c>
      <c r="F44" s="196"/>
      <c r="G44" s="92" t="s">
        <v>107</v>
      </c>
      <c r="H44" s="92"/>
      <c r="I44" s="92"/>
      <c r="J44" s="257">
        <f t="shared" si="0"/>
        <v>-13483324.791387133</v>
      </c>
      <c r="K44" s="263"/>
      <c r="L44" s="334">
        <v>-4425000</v>
      </c>
      <c r="M44" s="334">
        <v>-3008000</v>
      </c>
      <c r="N44" s="334">
        <v>-6261852.3470254671</v>
      </c>
      <c r="O44" s="334">
        <v>-13483324.791387133</v>
      </c>
      <c r="P44" s="334">
        <v>-15913311.647450997</v>
      </c>
      <c r="Q44" s="334">
        <v>335164.51210078911</v>
      </c>
      <c r="R44" s="334">
        <v>-695912.44656760409</v>
      </c>
      <c r="S44" s="334">
        <v>0</v>
      </c>
    </row>
    <row r="45" spans="3:38" x14ac:dyDescent="0.25">
      <c r="E45" s="196" t="s">
        <v>2</v>
      </c>
      <c r="F45" s="196"/>
      <c r="G45" s="92" t="s">
        <v>107</v>
      </c>
      <c r="H45" s="92"/>
      <c r="I45" s="92"/>
      <c r="J45" s="257">
        <f t="shared" si="0"/>
        <v>-2617430.5441080644</v>
      </c>
      <c r="K45" s="263"/>
      <c r="L45" s="334">
        <v>-1062000</v>
      </c>
      <c r="M45" s="334">
        <v>247000</v>
      </c>
      <c r="N45" s="334">
        <v>991370.84098057298</v>
      </c>
      <c r="O45" s="334">
        <v>-2617430.5441080644</v>
      </c>
      <c r="P45" s="334">
        <v>103621.71859967284</v>
      </c>
      <c r="Q45" s="334">
        <v>-96418.865173460159</v>
      </c>
      <c r="R45" s="334">
        <v>-193.08042234057538</v>
      </c>
      <c r="S45" s="334">
        <v>0</v>
      </c>
    </row>
    <row r="46" spans="3:38" x14ac:dyDescent="0.25">
      <c r="E46" s="93" t="s">
        <v>3</v>
      </c>
      <c r="F46" s="93"/>
      <c r="G46" s="93" t="s">
        <v>528</v>
      </c>
      <c r="H46" s="93"/>
      <c r="I46" s="93"/>
      <c r="J46" s="259">
        <f t="shared" si="0"/>
        <v>1.2609999999999999</v>
      </c>
      <c r="K46" s="264"/>
      <c r="L46" s="335">
        <v>1.155</v>
      </c>
      <c r="M46" s="335">
        <v>1.196</v>
      </c>
      <c r="N46" s="335">
        <v>1.2370000000000001</v>
      </c>
      <c r="O46" s="335">
        <v>1.2609999999999999</v>
      </c>
      <c r="P46" s="335">
        <v>1.3009999999999999</v>
      </c>
      <c r="Q46" s="335">
        <v>1.3289710840911413</v>
      </c>
      <c r="R46" s="335">
        <v>1.3555491979156022</v>
      </c>
      <c r="S46" s="335">
        <v>1.3826586287932972</v>
      </c>
    </row>
    <row r="47" spans="3:38" x14ac:dyDescent="0.25">
      <c r="E47" s="196" t="s">
        <v>4</v>
      </c>
      <c r="F47" s="196"/>
      <c r="G47" s="92" t="s">
        <v>107</v>
      </c>
      <c r="H47" s="92"/>
      <c r="I47" s="92"/>
      <c r="J47" s="257">
        <f t="shared" si="0"/>
        <v>329899244.66450477</v>
      </c>
      <c r="K47" s="263"/>
      <c r="L47" s="265">
        <f t="shared" ref="L47" si="1">SUM(L43:L45)</f>
        <v>340513000</v>
      </c>
      <c r="M47" s="265">
        <f t="shared" ref="M47:O47" si="2">SUM(M43:M45)</f>
        <v>343239000</v>
      </c>
      <c r="N47" s="265">
        <f t="shared" ref="N47" si="3">SUM(N43:N45)</f>
        <v>340729518.49395514</v>
      </c>
      <c r="O47" s="265">
        <f t="shared" si="2"/>
        <v>329899244.66450477</v>
      </c>
      <c r="P47" s="265">
        <f t="shared" ref="P47:S47" si="4">SUM(P43:P45)</f>
        <v>330190310.07114869</v>
      </c>
      <c r="Q47" s="265">
        <f t="shared" si="4"/>
        <v>346238745.64692736</v>
      </c>
      <c r="R47" s="265">
        <f t="shared" si="4"/>
        <v>345303894.47301006</v>
      </c>
      <c r="S47" s="265">
        <f t="shared" si="4"/>
        <v>346000000</v>
      </c>
    </row>
    <row r="48" spans="3:38" x14ac:dyDescent="0.25">
      <c r="E48" s="81" t="s">
        <v>538</v>
      </c>
      <c r="F48" s="81"/>
      <c r="G48" s="92" t="s">
        <v>107</v>
      </c>
      <c r="H48" s="92"/>
      <c r="I48" s="92"/>
      <c r="J48" s="257">
        <f t="shared" si="0"/>
        <v>86103702.857435703</v>
      </c>
      <c r="K48" s="263"/>
      <c r="L48" s="265">
        <f t="shared" ref="L48" si="5">L47 * (L46 - 1)</f>
        <v>52779515.000000007</v>
      </c>
      <c r="M48" s="265">
        <f t="shared" ref="M48:O48" si="6">M47 * (M46 - 1)</f>
        <v>67274843.999999985</v>
      </c>
      <c r="N48" s="265">
        <f t="shared" ref="N48" si="7">N47 * (N46 - 1)</f>
        <v>80752895.883067399</v>
      </c>
      <c r="O48" s="265">
        <f t="shared" si="6"/>
        <v>86103702.857435703</v>
      </c>
      <c r="P48" s="265">
        <f t="shared" ref="P48:S48" si="8">P47 * (P46 - 1)</f>
        <v>99387283.331415728</v>
      </c>
      <c r="Q48" s="265">
        <f t="shared" si="8"/>
        <v>113902535.50982662</v>
      </c>
      <c r="R48" s="265">
        <f t="shared" si="8"/>
        <v>122772522.71701248</v>
      </c>
      <c r="S48" s="265">
        <f t="shared" si="8"/>
        <v>132399885.56248081</v>
      </c>
    </row>
    <row r="49" spans="5:19" x14ac:dyDescent="0.25">
      <c r="E49" s="196"/>
      <c r="F49" s="196"/>
      <c r="G49" s="92"/>
      <c r="H49" s="92"/>
      <c r="I49" s="92"/>
      <c r="J49" s="266"/>
      <c r="K49" s="263"/>
      <c r="L49" s="263"/>
      <c r="M49" s="263"/>
      <c r="N49" s="263"/>
      <c r="O49" s="263"/>
      <c r="P49" s="263"/>
      <c r="Q49" s="263"/>
      <c r="R49" s="263"/>
      <c r="S49" s="263"/>
    </row>
    <row r="50" spans="5:19" x14ac:dyDescent="0.25">
      <c r="E50" s="196" t="s">
        <v>5</v>
      </c>
      <c r="F50" s="196"/>
      <c r="G50" s="92" t="s">
        <v>107</v>
      </c>
      <c r="H50" s="92"/>
      <c r="I50" s="92"/>
      <c r="J50" s="257">
        <f t="shared" ref="J50:J59" si="9">CHOOSE(year_selection, L50,M50,N50,O50,P50,Q50,R50,S50)</f>
        <v>381935.68229276169</v>
      </c>
      <c r="K50" s="263"/>
      <c r="L50" s="334">
        <v>-58000</v>
      </c>
      <c r="M50" s="334">
        <v>268000</v>
      </c>
      <c r="N50" s="334">
        <v>164322.92827975913</v>
      </c>
      <c r="O50" s="334">
        <v>381935.68229276169</v>
      </c>
      <c r="P50" s="334">
        <v>392481.31107075722</v>
      </c>
      <c r="Q50" s="334">
        <v>395930.62125060544</v>
      </c>
      <c r="R50" s="334">
        <v>399676.02873228537</v>
      </c>
      <c r="S50" s="334">
        <v>0</v>
      </c>
    </row>
    <row r="51" spans="5:19" x14ac:dyDescent="0.25">
      <c r="E51" s="196" t="s">
        <v>6</v>
      </c>
      <c r="F51" s="196"/>
      <c r="G51" s="92" t="s">
        <v>107</v>
      </c>
      <c r="H51" s="92"/>
      <c r="I51" s="92"/>
      <c r="J51" s="257">
        <f t="shared" si="9"/>
        <v>-11566275.226868516</v>
      </c>
      <c r="K51" s="263"/>
      <c r="L51" s="334">
        <v>1296000</v>
      </c>
      <c r="M51" s="334">
        <v>-10584000</v>
      </c>
      <c r="N51" s="334">
        <v>-11217509.628311889</v>
      </c>
      <c r="O51" s="334">
        <v>-11566275.226868516</v>
      </c>
      <c r="P51" s="334">
        <v>-12263566.415118828</v>
      </c>
      <c r="Q51" s="334">
        <v>-12947488.897512048</v>
      </c>
      <c r="R51" s="334">
        <v>-13691294.810683802</v>
      </c>
      <c r="S51" s="334">
        <v>0</v>
      </c>
    </row>
    <row r="52" spans="5:19" x14ac:dyDescent="0.25">
      <c r="E52" s="196" t="s">
        <v>7</v>
      </c>
      <c r="F52" s="196"/>
      <c r="G52" s="92" t="s">
        <v>107</v>
      </c>
      <c r="H52" s="92"/>
      <c r="I52" s="92"/>
      <c r="J52" s="257">
        <f t="shared" si="9"/>
        <v>8418434.0577780586</v>
      </c>
      <c r="K52" s="263"/>
      <c r="L52" s="334">
        <v>249000</v>
      </c>
      <c r="M52" s="334">
        <v>-1790000</v>
      </c>
      <c r="N52" s="334">
        <v>317972.06807427964</v>
      </c>
      <c r="O52" s="334">
        <v>8418434.0577780586</v>
      </c>
      <c r="P52" s="334">
        <v>2891828.7159356293</v>
      </c>
      <c r="Q52" s="334">
        <v>3688850.6683101025</v>
      </c>
      <c r="R52" s="334">
        <v>4290804.5904069403</v>
      </c>
      <c r="S52" s="334">
        <v>0</v>
      </c>
    </row>
    <row r="53" spans="5:19" x14ac:dyDescent="0.25">
      <c r="E53" s="196" t="s">
        <v>8</v>
      </c>
      <c r="F53" s="196"/>
      <c r="G53" s="92" t="s">
        <v>107</v>
      </c>
      <c r="H53" s="92"/>
      <c r="I53" s="92"/>
      <c r="J53" s="257">
        <f t="shared" si="9"/>
        <v>1781216.1251461192</v>
      </c>
      <c r="K53" s="263"/>
      <c r="L53" s="334">
        <v>862000</v>
      </c>
      <c r="M53" s="334">
        <v>1156000</v>
      </c>
      <c r="N53" s="334">
        <v>1394664.4729368442</v>
      </c>
      <c r="O53" s="334">
        <v>1781216.1251461192</v>
      </c>
      <c r="P53" s="334">
        <v>2074147.0552058727</v>
      </c>
      <c r="Q53" s="334">
        <v>2242920.9503811519</v>
      </c>
      <c r="R53" s="334">
        <v>1925769.9917587289</v>
      </c>
      <c r="S53" s="334">
        <v>0</v>
      </c>
    </row>
    <row r="54" spans="5:19" x14ac:dyDescent="0.25">
      <c r="E54" s="196" t="s">
        <v>9</v>
      </c>
      <c r="F54" s="196"/>
      <c r="G54" s="92" t="s">
        <v>107</v>
      </c>
      <c r="H54" s="92"/>
      <c r="I54" s="92"/>
      <c r="J54" s="257">
        <f t="shared" si="9"/>
        <v>14896.347279979647</v>
      </c>
      <c r="K54" s="263"/>
      <c r="L54" s="334">
        <v>270000</v>
      </c>
      <c r="M54" s="334">
        <v>-13000</v>
      </c>
      <c r="N54" s="334">
        <v>1521214.3720017176</v>
      </c>
      <c r="O54" s="334">
        <v>14896.347279979647</v>
      </c>
      <c r="P54" s="334">
        <v>0</v>
      </c>
      <c r="Q54" s="334">
        <v>0</v>
      </c>
      <c r="R54" s="334">
        <v>0</v>
      </c>
      <c r="S54" s="334">
        <v>0</v>
      </c>
    </row>
    <row r="55" spans="5:19" x14ac:dyDescent="0.25">
      <c r="E55" s="196" t="s">
        <v>10</v>
      </c>
      <c r="F55" s="196"/>
      <c r="G55" s="92" t="s">
        <v>107</v>
      </c>
      <c r="H55" s="92"/>
      <c r="I55" s="92"/>
      <c r="J55" s="257">
        <f t="shared" si="9"/>
        <v>0</v>
      </c>
      <c r="K55" s="263"/>
      <c r="L55" s="334">
        <v>0</v>
      </c>
      <c r="M55" s="334">
        <v>0</v>
      </c>
      <c r="N55" s="334">
        <v>0</v>
      </c>
      <c r="O55" s="334">
        <v>0</v>
      </c>
      <c r="P55" s="334">
        <v>0</v>
      </c>
      <c r="Q55" s="334">
        <v>0</v>
      </c>
      <c r="R55" s="334">
        <v>0</v>
      </c>
      <c r="S55" s="334">
        <v>0</v>
      </c>
    </row>
    <row r="56" spans="5:19" s="295" customFormat="1" x14ac:dyDescent="0.25">
      <c r="E56" s="295" t="s">
        <v>1121</v>
      </c>
      <c r="G56" s="295" t="s">
        <v>107</v>
      </c>
      <c r="H56" s="196"/>
      <c r="I56" s="196"/>
      <c r="J56" s="257">
        <f t="shared" si="9"/>
        <v>47073.343842731156</v>
      </c>
      <c r="K56" s="263"/>
      <c r="L56" s="334"/>
      <c r="M56" s="334"/>
      <c r="N56" s="334"/>
      <c r="O56" s="334">
        <v>47073.343842731156</v>
      </c>
      <c r="P56" s="334">
        <v>141408.9539563352</v>
      </c>
      <c r="Q56" s="334">
        <v>0</v>
      </c>
      <c r="R56" s="334">
        <v>0</v>
      </c>
      <c r="S56" s="334">
        <v>0</v>
      </c>
    </row>
    <row r="57" spans="5:19" s="295" customFormat="1" x14ac:dyDescent="0.25">
      <c r="E57" s="295" t="s">
        <v>1122</v>
      </c>
      <c r="G57" s="295" t="s">
        <v>107</v>
      </c>
      <c r="H57" s="196"/>
      <c r="I57" s="196"/>
      <c r="J57" s="257">
        <f t="shared" si="9"/>
        <v>1417380.0307358583</v>
      </c>
      <c r="K57" s="263"/>
      <c r="L57" s="334"/>
      <c r="M57" s="334"/>
      <c r="N57" s="334"/>
      <c r="O57" s="334">
        <v>1417380.0307358583</v>
      </c>
      <c r="P57" s="334">
        <v>0</v>
      </c>
      <c r="Q57" s="334">
        <v>0</v>
      </c>
      <c r="R57" s="334">
        <v>0</v>
      </c>
      <c r="S57" s="334">
        <v>0</v>
      </c>
    </row>
    <row r="58" spans="5:19" x14ac:dyDescent="0.25">
      <c r="E58" s="93" t="s">
        <v>11</v>
      </c>
      <c r="F58" s="93"/>
      <c r="G58" s="93" t="s">
        <v>107</v>
      </c>
      <c r="H58" s="93"/>
      <c r="I58" s="93"/>
      <c r="J58" s="259">
        <f t="shared" si="9"/>
        <v>0</v>
      </c>
      <c r="K58" s="264"/>
      <c r="L58" s="335">
        <v>0</v>
      </c>
      <c r="M58" s="335">
        <v>0</v>
      </c>
      <c r="N58" s="335">
        <v>0</v>
      </c>
      <c r="O58" s="335">
        <v>0</v>
      </c>
      <c r="P58" s="335">
        <v>0</v>
      </c>
      <c r="Q58" s="335">
        <v>0</v>
      </c>
      <c r="R58" s="335">
        <v>0</v>
      </c>
      <c r="S58" s="335">
        <v>0</v>
      </c>
    </row>
    <row r="59" spans="5:19" x14ac:dyDescent="0.25">
      <c r="E59" s="196" t="s">
        <v>12</v>
      </c>
      <c r="F59" s="196"/>
      <c r="G59" s="92" t="s">
        <v>107</v>
      </c>
      <c r="H59" s="92"/>
      <c r="I59" s="92"/>
      <c r="J59" s="257">
        <f t="shared" si="9"/>
        <v>494660.36020699225</v>
      </c>
      <c r="K59" s="263"/>
      <c r="L59" s="306">
        <f t="shared" ref="L59:N59" si="10">SUM(L50:L58)</f>
        <v>2619000</v>
      </c>
      <c r="M59" s="306">
        <f t="shared" si="10"/>
        <v>-10963000</v>
      </c>
      <c r="N59" s="306">
        <f t="shared" si="10"/>
        <v>-7819335.7870192872</v>
      </c>
      <c r="O59" s="306">
        <f t="shared" ref="O59" si="11">SUM(O50:O58)</f>
        <v>494660.36020699225</v>
      </c>
      <c r="P59" s="306">
        <f t="shared" ref="P59:S59" si="12">SUM(P50:P58)</f>
        <v>-6763700.3789502354</v>
      </c>
      <c r="Q59" s="306">
        <f t="shared" si="12"/>
        <v>-6619786.6575701889</v>
      </c>
      <c r="R59" s="306">
        <f t="shared" si="12"/>
        <v>-7075044.1997858491</v>
      </c>
      <c r="S59" s="306">
        <f t="shared" si="12"/>
        <v>0</v>
      </c>
    </row>
    <row r="60" spans="5:19" x14ac:dyDescent="0.25">
      <c r="E60" s="196"/>
      <c r="F60" s="196"/>
      <c r="G60" s="92"/>
      <c r="H60" s="92"/>
      <c r="I60" s="92"/>
      <c r="J60" s="266"/>
      <c r="K60" s="263"/>
      <c r="L60" s="263"/>
      <c r="M60" s="263"/>
      <c r="N60" s="263"/>
      <c r="O60" s="263"/>
      <c r="P60" s="263"/>
      <c r="Q60" s="263"/>
      <c r="R60" s="263"/>
      <c r="S60" s="263"/>
    </row>
    <row r="61" spans="5:19" x14ac:dyDescent="0.25">
      <c r="E61" s="196" t="s">
        <v>13</v>
      </c>
      <c r="F61" s="196"/>
      <c r="G61" s="92" t="s">
        <v>107</v>
      </c>
      <c r="H61" s="92"/>
      <c r="I61" s="92"/>
      <c r="J61" s="257">
        <f t="shared" ref="J61:J72" si="13">CHOOSE(year_selection, L61,M61,N61,O61,P61,Q61,R61,S61)</f>
        <v>3925182.3924593851</v>
      </c>
      <c r="K61" s="263"/>
      <c r="L61" s="334">
        <v>2500000</v>
      </c>
      <c r="M61" s="334">
        <v>3253000</v>
      </c>
      <c r="N61" s="334">
        <v>3602342.5233472981</v>
      </c>
      <c r="O61" s="334">
        <v>3925182.3924593851</v>
      </c>
      <c r="P61" s="334">
        <v>4281719.7931077788</v>
      </c>
      <c r="Q61" s="334">
        <v>4538376.2133442322</v>
      </c>
      <c r="R61" s="334">
        <v>4813697.3536323691</v>
      </c>
      <c r="S61" s="334">
        <v>0</v>
      </c>
    </row>
    <row r="62" spans="5:19" x14ac:dyDescent="0.25">
      <c r="E62" s="196" t="s">
        <v>14</v>
      </c>
      <c r="F62" s="196"/>
      <c r="G62" s="92" t="s">
        <v>107</v>
      </c>
      <c r="H62" s="92"/>
      <c r="I62" s="92"/>
      <c r="J62" s="257">
        <f t="shared" si="13"/>
        <v>8075106.4802583205</v>
      </c>
      <c r="K62" s="263"/>
      <c r="L62" s="334">
        <v>7181000</v>
      </c>
      <c r="M62" s="334">
        <v>9614000</v>
      </c>
      <c r="N62" s="334">
        <v>9424915.1308802087</v>
      </c>
      <c r="O62" s="334">
        <v>8075106.4802583205</v>
      </c>
      <c r="P62" s="334">
        <v>7484721.9053918682</v>
      </c>
      <c r="Q62" s="334">
        <v>6870972.8854943495</v>
      </c>
      <c r="R62" s="334">
        <v>6298121.0462269438</v>
      </c>
      <c r="S62" s="334">
        <v>0</v>
      </c>
    </row>
    <row r="63" spans="5:19" x14ac:dyDescent="0.25">
      <c r="E63" s="196" t="s">
        <v>15</v>
      </c>
      <c r="F63" s="196"/>
      <c r="G63" s="92" t="s">
        <v>107</v>
      </c>
      <c r="H63" s="92"/>
      <c r="I63" s="92"/>
      <c r="J63" s="257">
        <f t="shared" si="13"/>
        <v>0</v>
      </c>
      <c r="K63" s="263"/>
      <c r="L63" s="334">
        <v>0</v>
      </c>
      <c r="M63" s="334">
        <v>0</v>
      </c>
      <c r="N63" s="334">
        <v>0</v>
      </c>
      <c r="O63" s="334">
        <v>0</v>
      </c>
      <c r="P63" s="334">
        <v>0</v>
      </c>
      <c r="Q63" s="334">
        <v>0</v>
      </c>
      <c r="R63" s="334">
        <v>0</v>
      </c>
      <c r="S63" s="334">
        <v>0</v>
      </c>
    </row>
    <row r="64" spans="5:19" x14ac:dyDescent="0.25">
      <c r="E64" s="196" t="s">
        <v>16</v>
      </c>
      <c r="F64" s="196"/>
      <c r="G64" s="92" t="s">
        <v>107</v>
      </c>
      <c r="H64" s="92"/>
      <c r="I64" s="92"/>
      <c r="J64" s="257">
        <f t="shared" si="13"/>
        <v>713669.52590170642</v>
      </c>
      <c r="K64" s="263"/>
      <c r="L64" s="334">
        <v>800000</v>
      </c>
      <c r="M64" s="334">
        <v>673000</v>
      </c>
      <c r="N64" s="334">
        <v>697227.58516399306</v>
      </c>
      <c r="O64" s="334">
        <v>713669.52590170642</v>
      </c>
      <c r="P64" s="334">
        <v>734009.10738990491</v>
      </c>
      <c r="Q64" s="334">
        <v>756396.03555737203</v>
      </c>
      <c r="R64" s="334">
        <v>780599.57085930312</v>
      </c>
      <c r="S64" s="334">
        <v>0</v>
      </c>
    </row>
    <row r="65" spans="5:19" x14ac:dyDescent="0.25">
      <c r="E65" s="196" t="s">
        <v>17</v>
      </c>
      <c r="F65" s="196"/>
      <c r="G65" s="92" t="s">
        <v>107</v>
      </c>
      <c r="H65" s="92"/>
      <c r="I65" s="92"/>
      <c r="J65" s="257">
        <f t="shared" si="13"/>
        <v>735162.99999999988</v>
      </c>
      <c r="K65" s="263"/>
      <c r="L65" s="334">
        <v>0</v>
      </c>
      <c r="M65" s="334">
        <v>498000</v>
      </c>
      <c r="N65" s="334">
        <v>0</v>
      </c>
      <c r="O65" s="334">
        <v>735162.99999999988</v>
      </c>
      <c r="P65" s="334">
        <v>0</v>
      </c>
      <c r="Q65" s="334">
        <v>0</v>
      </c>
      <c r="R65" s="334">
        <v>0</v>
      </c>
      <c r="S65" s="334">
        <v>0</v>
      </c>
    </row>
    <row r="66" spans="5:19" x14ac:dyDescent="0.25">
      <c r="E66" s="196" t="s">
        <v>18</v>
      </c>
      <c r="F66" s="196"/>
      <c r="G66" s="92" t="s">
        <v>107</v>
      </c>
      <c r="H66" s="92"/>
      <c r="I66" s="92"/>
      <c r="J66" s="257">
        <f t="shared" si="13"/>
        <v>1657301.5080000001</v>
      </c>
      <c r="K66" s="263"/>
      <c r="L66" s="334">
        <v>1630000</v>
      </c>
      <c r="M66" s="334">
        <v>1530000</v>
      </c>
      <c r="N66" s="334">
        <v>1530000</v>
      </c>
      <c r="O66" s="334">
        <v>1657301.5080000001</v>
      </c>
      <c r="P66" s="334">
        <v>1707020.5532400003</v>
      </c>
      <c r="Q66" s="334">
        <v>0</v>
      </c>
      <c r="R66" s="334">
        <v>0</v>
      </c>
      <c r="S66" s="334">
        <v>0</v>
      </c>
    </row>
    <row r="67" spans="5:19" x14ac:dyDescent="0.25">
      <c r="E67" s="196" t="s">
        <v>19</v>
      </c>
      <c r="F67" s="196"/>
      <c r="G67" s="92" t="s">
        <v>107</v>
      </c>
      <c r="H67" s="92"/>
      <c r="I67" s="92"/>
      <c r="J67" s="257">
        <f t="shared" si="13"/>
        <v>0</v>
      </c>
      <c r="K67" s="263"/>
      <c r="L67" s="334">
        <v>0</v>
      </c>
      <c r="M67" s="334">
        <v>0</v>
      </c>
      <c r="N67" s="334">
        <v>0</v>
      </c>
      <c r="O67" s="334">
        <v>0</v>
      </c>
      <c r="P67" s="334">
        <v>0</v>
      </c>
      <c r="Q67" s="334">
        <v>0</v>
      </c>
      <c r="R67" s="334">
        <v>0</v>
      </c>
      <c r="S67" s="334">
        <v>0</v>
      </c>
    </row>
    <row r="68" spans="5:19" x14ac:dyDescent="0.25">
      <c r="E68" s="196" t="s">
        <v>20</v>
      </c>
      <c r="F68" s="196"/>
      <c r="G68" s="92" t="s">
        <v>107</v>
      </c>
      <c r="H68" s="92"/>
      <c r="I68" s="92"/>
      <c r="J68" s="257">
        <f t="shared" si="13"/>
        <v>0</v>
      </c>
      <c r="K68" s="263"/>
      <c r="L68" s="334">
        <v>800000</v>
      </c>
      <c r="M68" s="334">
        <v>0</v>
      </c>
      <c r="N68" s="334">
        <v>0</v>
      </c>
      <c r="O68" s="334">
        <v>0</v>
      </c>
      <c r="P68" s="334">
        <v>0</v>
      </c>
      <c r="Q68" s="334">
        <v>0</v>
      </c>
      <c r="R68" s="334">
        <v>0</v>
      </c>
      <c r="S68" s="334">
        <v>0</v>
      </c>
    </row>
    <row r="69" spans="5:19" x14ac:dyDescent="0.25">
      <c r="E69" s="196" t="s">
        <v>21</v>
      </c>
      <c r="F69" s="196"/>
      <c r="G69" s="92" t="s">
        <v>107</v>
      </c>
      <c r="H69" s="92"/>
      <c r="I69" s="92"/>
      <c r="J69" s="257">
        <f t="shared" si="13"/>
        <v>0</v>
      </c>
      <c r="K69" s="263"/>
      <c r="L69" s="334">
        <v>0</v>
      </c>
      <c r="M69" s="334">
        <v>0</v>
      </c>
      <c r="N69" s="334">
        <v>0</v>
      </c>
      <c r="O69" s="334">
        <v>0</v>
      </c>
      <c r="P69" s="334">
        <v>0</v>
      </c>
      <c r="Q69" s="334">
        <v>0</v>
      </c>
      <c r="R69" s="334">
        <v>0</v>
      </c>
      <c r="S69" s="334">
        <v>0</v>
      </c>
    </row>
    <row r="70" spans="5:19" x14ac:dyDescent="0.25">
      <c r="E70" s="196" t="s">
        <v>22</v>
      </c>
      <c r="F70" s="196"/>
      <c r="G70" s="92" t="s">
        <v>107</v>
      </c>
      <c r="H70" s="92"/>
      <c r="I70" s="92"/>
      <c r="J70" s="257">
        <f t="shared" si="13"/>
        <v>0</v>
      </c>
      <c r="K70" s="263"/>
      <c r="L70" s="334">
        <v>0</v>
      </c>
      <c r="M70" s="334">
        <v>0</v>
      </c>
      <c r="N70" s="334">
        <v>0</v>
      </c>
      <c r="O70" s="334">
        <v>0</v>
      </c>
      <c r="P70" s="334">
        <v>0</v>
      </c>
      <c r="Q70" s="334">
        <v>0</v>
      </c>
      <c r="R70" s="334">
        <v>0</v>
      </c>
      <c r="S70" s="334">
        <v>0</v>
      </c>
    </row>
    <row r="71" spans="5:19" x14ac:dyDescent="0.25">
      <c r="E71" s="93" t="s">
        <v>23</v>
      </c>
      <c r="F71" s="93"/>
      <c r="G71" s="93" t="s">
        <v>107</v>
      </c>
      <c r="H71" s="93"/>
      <c r="I71" s="93"/>
      <c r="J71" s="259">
        <f t="shared" si="13"/>
        <v>0</v>
      </c>
      <c r="K71" s="264"/>
      <c r="L71" s="335">
        <v>0</v>
      </c>
      <c r="M71" s="335">
        <v>0</v>
      </c>
      <c r="N71" s="335">
        <v>0</v>
      </c>
      <c r="O71" s="335">
        <v>0</v>
      </c>
      <c r="P71" s="335">
        <v>0</v>
      </c>
      <c r="Q71" s="335">
        <v>0</v>
      </c>
      <c r="R71" s="335">
        <v>0</v>
      </c>
      <c r="S71" s="335">
        <v>0</v>
      </c>
    </row>
    <row r="72" spans="5:19" x14ac:dyDescent="0.25">
      <c r="E72" s="196" t="s">
        <v>24</v>
      </c>
      <c r="F72" s="196"/>
      <c r="G72" s="92" t="s">
        <v>107</v>
      </c>
      <c r="H72" s="92"/>
      <c r="I72" s="92"/>
      <c r="J72" s="257">
        <f t="shared" si="13"/>
        <v>15106422.906619411</v>
      </c>
      <c r="K72" s="263"/>
      <c r="L72" s="306">
        <f t="shared" ref="L72:N72" si="14">SUM(L61:L71)</f>
        <v>12911000</v>
      </c>
      <c r="M72" s="306">
        <f t="shared" si="14"/>
        <v>15568000</v>
      </c>
      <c r="N72" s="306">
        <f t="shared" si="14"/>
        <v>15254485.2393915</v>
      </c>
      <c r="O72" s="306">
        <f t="shared" ref="O72" si="15">SUM(O61:O71)</f>
        <v>15106422.906619411</v>
      </c>
      <c r="P72" s="306">
        <f t="shared" ref="P72:S72" si="16">SUM(P61:P71)</f>
        <v>14207471.359129552</v>
      </c>
      <c r="Q72" s="306">
        <f t="shared" si="16"/>
        <v>12165745.134395955</v>
      </c>
      <c r="R72" s="306">
        <f t="shared" si="16"/>
        <v>11892417.970718617</v>
      </c>
      <c r="S72" s="306">
        <f t="shared" si="16"/>
        <v>0</v>
      </c>
    </row>
    <row r="73" spans="5:19" x14ac:dyDescent="0.25">
      <c r="E73" s="196"/>
      <c r="F73" s="196"/>
      <c r="G73" s="92"/>
      <c r="H73" s="92"/>
      <c r="I73" s="92"/>
      <c r="J73" s="266"/>
      <c r="K73" s="263"/>
      <c r="L73" s="263"/>
      <c r="M73" s="263"/>
      <c r="N73" s="263"/>
      <c r="O73" s="263"/>
      <c r="P73" s="263"/>
      <c r="Q73" s="263"/>
      <c r="R73" s="263"/>
      <c r="S73" s="263"/>
    </row>
    <row r="74" spans="5:19" x14ac:dyDescent="0.25">
      <c r="E74" s="93" t="s">
        <v>25</v>
      </c>
      <c r="F74" s="93"/>
      <c r="G74" s="93" t="s">
        <v>107</v>
      </c>
      <c r="H74" s="93"/>
      <c r="I74" s="93"/>
      <c r="J74" s="259">
        <f>CHOOSE(year_selection, L74,M74,N74,O74,P74,Q74,R74,S74)</f>
        <v>-5553744.6795161283</v>
      </c>
      <c r="K74" s="264"/>
      <c r="L74" s="335">
        <v>2178000</v>
      </c>
      <c r="M74" s="335">
        <v>8073000</v>
      </c>
      <c r="N74" s="335">
        <v>14526604.270235693</v>
      </c>
      <c r="O74" s="335">
        <v>-5553744.6795161283</v>
      </c>
      <c r="P74" s="335">
        <v>5414715.9023521459</v>
      </c>
      <c r="Q74" s="335">
        <v>0</v>
      </c>
      <c r="R74" s="335">
        <v>0</v>
      </c>
      <c r="S74" s="335">
        <v>0</v>
      </c>
    </row>
    <row r="75" spans="5:19" x14ac:dyDescent="0.25">
      <c r="E75" s="196" t="s">
        <v>26</v>
      </c>
      <c r="F75" s="196"/>
      <c r="G75" s="92" t="s">
        <v>107</v>
      </c>
      <c r="H75" s="92"/>
      <c r="I75" s="92"/>
      <c r="J75" s="257">
        <f>CHOOSE(year_selection, L75,M75,N75,O75,P75,Q75,R75,S75)</f>
        <v>426050286.10925072</v>
      </c>
      <c r="K75" s="263"/>
      <c r="L75" s="265">
        <f t="shared" ref="L75:N75" si="17">L74 + L72 + L59 + L48 + L47</f>
        <v>411000515</v>
      </c>
      <c r="M75" s="265">
        <f t="shared" si="17"/>
        <v>423191844</v>
      </c>
      <c r="N75" s="265">
        <f t="shared" si="17"/>
        <v>443444168.09963048</v>
      </c>
      <c r="O75" s="265">
        <f t="shared" ref="O75" si="18">O74 + O72 + O59 + O48 + O47</f>
        <v>426050286.10925072</v>
      </c>
      <c r="P75" s="265">
        <f t="shared" ref="P75:S75" si="19">P74 + P72 + P59 + P48 + P47</f>
        <v>442436080.28509587</v>
      </c>
      <c r="Q75" s="265">
        <f t="shared" si="19"/>
        <v>465687239.63357973</v>
      </c>
      <c r="R75" s="265">
        <f t="shared" si="19"/>
        <v>472893790.96095532</v>
      </c>
      <c r="S75" s="265">
        <f t="shared" si="19"/>
        <v>478399885.56248081</v>
      </c>
    </row>
    <row r="76" spans="5:19" x14ac:dyDescent="0.25">
      <c r="E76" s="196"/>
      <c r="F76" s="196"/>
      <c r="G76" s="92"/>
      <c r="H76" s="92"/>
      <c r="I76" s="92"/>
      <c r="J76" s="266"/>
      <c r="K76" s="263"/>
      <c r="L76" s="263"/>
      <c r="M76" s="263"/>
      <c r="N76" s="263"/>
      <c r="O76" s="263"/>
      <c r="P76" s="263"/>
      <c r="Q76" s="263"/>
      <c r="R76" s="263"/>
      <c r="S76" s="263"/>
    </row>
    <row r="77" spans="5:19" x14ac:dyDescent="0.25">
      <c r="E77" s="196" t="s">
        <v>27</v>
      </c>
      <c r="F77" s="196"/>
      <c r="G77" s="92" t="s">
        <v>107</v>
      </c>
      <c r="H77" s="92"/>
      <c r="I77" s="92"/>
      <c r="J77" s="257">
        <f t="shared" ref="J77:J83" si="20">CHOOSE(year_selection, L77,M77,N77,O77,P77,Q77,R77,S77)</f>
        <v>0</v>
      </c>
      <c r="K77" s="263"/>
      <c r="L77" s="334">
        <v>0</v>
      </c>
      <c r="M77" s="334">
        <v>0</v>
      </c>
      <c r="N77" s="334">
        <v>0</v>
      </c>
      <c r="O77" s="334">
        <v>0</v>
      </c>
      <c r="P77" s="334">
        <v>0</v>
      </c>
      <c r="Q77" s="334">
        <v>0</v>
      </c>
      <c r="R77" s="334">
        <v>0</v>
      </c>
      <c r="S77" s="334">
        <v>0</v>
      </c>
    </row>
    <row r="78" spans="5:19" x14ac:dyDescent="0.25">
      <c r="E78" s="196" t="s">
        <v>28</v>
      </c>
      <c r="F78" s="196"/>
      <c r="G78" s="92" t="s">
        <v>107</v>
      </c>
      <c r="H78" s="92"/>
      <c r="I78" s="92"/>
      <c r="J78" s="257">
        <f t="shared" si="20"/>
        <v>687596.03530468408</v>
      </c>
      <c r="K78" s="263"/>
      <c r="L78" s="334">
        <v>689000</v>
      </c>
      <c r="M78" s="334">
        <v>700000</v>
      </c>
      <c r="N78" s="334">
        <v>666366.20634270844</v>
      </c>
      <c r="O78" s="334">
        <v>687596.03530468408</v>
      </c>
      <c r="P78" s="334">
        <v>709598.07409340062</v>
      </c>
      <c r="Q78" s="334">
        <v>724854.60433351994</v>
      </c>
      <c r="R78" s="334">
        <v>739350.98308154673</v>
      </c>
      <c r="S78" s="334">
        <v>754137.1556535383</v>
      </c>
    </row>
    <row r="79" spans="5:19" x14ac:dyDescent="0.25">
      <c r="E79" s="196" t="s">
        <v>29</v>
      </c>
      <c r="F79" s="196"/>
      <c r="G79" s="92" t="s">
        <v>107</v>
      </c>
      <c r="H79" s="92"/>
      <c r="I79" s="92"/>
      <c r="J79" s="257">
        <f t="shared" si="20"/>
        <v>0</v>
      </c>
      <c r="K79" s="263"/>
      <c r="L79" s="334">
        <v>0</v>
      </c>
      <c r="M79" s="334">
        <v>0</v>
      </c>
      <c r="N79" s="334">
        <v>0</v>
      </c>
      <c r="O79" s="334">
        <v>0</v>
      </c>
      <c r="P79" s="334">
        <v>0</v>
      </c>
      <c r="Q79" s="334">
        <v>0</v>
      </c>
      <c r="R79" s="334">
        <v>0</v>
      </c>
      <c r="S79" s="334">
        <v>0</v>
      </c>
    </row>
    <row r="80" spans="5:19" x14ac:dyDescent="0.25">
      <c r="E80" s="196" t="s">
        <v>1174</v>
      </c>
      <c r="F80" s="196"/>
      <c r="G80" s="92" t="s">
        <v>107</v>
      </c>
      <c r="H80" s="92"/>
      <c r="I80" s="92"/>
      <c r="J80" s="257">
        <f t="shared" si="20"/>
        <v>0</v>
      </c>
      <c r="K80" s="263"/>
      <c r="L80" s="334"/>
      <c r="M80" s="334"/>
      <c r="N80" s="334"/>
      <c r="O80" s="334">
        <v>0</v>
      </c>
      <c r="P80" s="334">
        <v>0</v>
      </c>
      <c r="Q80" s="334">
        <v>0</v>
      </c>
      <c r="R80" s="334">
        <v>0</v>
      </c>
      <c r="S80" s="334">
        <v>0</v>
      </c>
    </row>
    <row r="81" spans="5:19" x14ac:dyDescent="0.25">
      <c r="E81" s="93" t="s">
        <v>1175</v>
      </c>
      <c r="F81" s="93"/>
      <c r="G81" s="93" t="s">
        <v>107</v>
      </c>
      <c r="H81" s="93"/>
      <c r="I81" s="93"/>
      <c r="J81" s="259">
        <f t="shared" si="20"/>
        <v>0</v>
      </c>
      <c r="K81" s="264"/>
      <c r="L81" s="335"/>
      <c r="M81" s="335"/>
      <c r="N81" s="335"/>
      <c r="O81" s="335">
        <v>0</v>
      </c>
      <c r="P81" s="335">
        <v>0</v>
      </c>
      <c r="Q81" s="335">
        <v>0</v>
      </c>
      <c r="R81" s="335">
        <v>0</v>
      </c>
      <c r="S81" s="335">
        <v>0</v>
      </c>
    </row>
    <row r="82" spans="5:19" x14ac:dyDescent="0.25">
      <c r="E82" s="196" t="s">
        <v>32</v>
      </c>
      <c r="F82" s="196"/>
      <c r="G82" s="196" t="s">
        <v>107</v>
      </c>
      <c r="H82" s="196"/>
      <c r="I82" s="92"/>
      <c r="J82" s="257">
        <f t="shared" si="20"/>
        <v>687596.03530468408</v>
      </c>
      <c r="K82" s="263"/>
      <c r="L82" s="306">
        <f t="shared" ref="L82:N82" si="21">SUM(L77:L81)</f>
        <v>689000</v>
      </c>
      <c r="M82" s="306">
        <f t="shared" si="21"/>
        <v>700000</v>
      </c>
      <c r="N82" s="306">
        <f t="shared" si="21"/>
        <v>666366.20634270844</v>
      </c>
      <c r="O82" s="306">
        <f t="shared" ref="O82" si="22">SUM(O77:O81)</f>
        <v>687596.03530468408</v>
      </c>
      <c r="P82" s="306">
        <f t="shared" ref="P82:S82" si="23">SUM(P77:P81)</f>
        <v>709598.07409340062</v>
      </c>
      <c r="Q82" s="306">
        <f t="shared" si="23"/>
        <v>724854.60433351994</v>
      </c>
      <c r="R82" s="306">
        <f t="shared" si="23"/>
        <v>739350.98308154673</v>
      </c>
      <c r="S82" s="306">
        <f t="shared" si="23"/>
        <v>754137.1556535383</v>
      </c>
    </row>
    <row r="83" spans="5:19" x14ac:dyDescent="0.25">
      <c r="E83" s="91" t="s">
        <v>33</v>
      </c>
      <c r="F83" s="91"/>
      <c r="G83" s="91" t="s">
        <v>107</v>
      </c>
      <c r="H83" s="91"/>
      <c r="I83" s="91"/>
      <c r="J83" s="255">
        <f t="shared" si="20"/>
        <v>426737882.14455539</v>
      </c>
      <c r="K83" s="267"/>
      <c r="L83" s="305">
        <f t="shared" ref="L83:N83" si="24">L75+L82</f>
        <v>411689515</v>
      </c>
      <c r="M83" s="305">
        <f t="shared" si="24"/>
        <v>423891844</v>
      </c>
      <c r="N83" s="305">
        <f t="shared" si="24"/>
        <v>444110534.30597317</v>
      </c>
      <c r="O83" s="305">
        <f t="shared" ref="O83" si="25">O75+O82</f>
        <v>426737882.14455539</v>
      </c>
      <c r="P83" s="305">
        <f t="shared" ref="P83:S83" si="26">P75+P82</f>
        <v>443145678.35918927</v>
      </c>
      <c r="Q83" s="305">
        <f t="shared" si="26"/>
        <v>466412094.23791325</v>
      </c>
      <c r="R83" s="305">
        <f t="shared" si="26"/>
        <v>473633141.94403684</v>
      </c>
      <c r="S83" s="305">
        <f t="shared" si="26"/>
        <v>479154022.71813434</v>
      </c>
    </row>
    <row r="84" spans="5:19" x14ac:dyDescent="0.25">
      <c r="E84" s="196"/>
      <c r="F84" s="196"/>
      <c r="G84" s="92"/>
      <c r="H84" s="92"/>
      <c r="I84" s="92"/>
      <c r="J84" s="266"/>
      <c r="K84" s="263"/>
      <c r="L84" s="263"/>
      <c r="M84" s="263"/>
      <c r="N84" s="263"/>
      <c r="O84" s="263"/>
      <c r="P84" s="263"/>
      <c r="Q84" s="263"/>
      <c r="R84" s="263"/>
      <c r="S84" s="263"/>
    </row>
    <row r="85" spans="5:19" x14ac:dyDescent="0.25">
      <c r="E85" s="196" t="s">
        <v>34</v>
      </c>
      <c r="F85" s="196"/>
      <c r="G85" s="92" t="s">
        <v>107</v>
      </c>
      <c r="H85" s="92"/>
      <c r="I85" s="92"/>
      <c r="J85" s="257">
        <f t="shared" ref="J85:J90" si="27">CHOOSE(year_selection, L85,M85,N85,O85,P85,Q85,R85,S85)</f>
        <v>9556157.0663702693</v>
      </c>
      <c r="K85" s="263"/>
      <c r="L85" s="334">
        <v>9113457.1960052419</v>
      </c>
      <c r="M85" s="334">
        <v>8402622.4436528608</v>
      </c>
      <c r="N85" s="334">
        <v>8640347.0245958064</v>
      </c>
      <c r="O85" s="334">
        <v>9556157.0663702693</v>
      </c>
      <c r="P85" s="334">
        <v>9556157.0663702693</v>
      </c>
      <c r="Q85" s="334">
        <v>9556157.0663702693</v>
      </c>
      <c r="R85" s="334">
        <v>9556157.0663702693</v>
      </c>
      <c r="S85" s="334">
        <v>9556157.0663702693</v>
      </c>
    </row>
    <row r="86" spans="5:19" x14ac:dyDescent="0.25">
      <c r="E86" s="196" t="s">
        <v>35</v>
      </c>
      <c r="F86" s="196"/>
      <c r="G86" s="92" t="s">
        <v>107</v>
      </c>
      <c r="H86" s="92"/>
      <c r="I86" s="92"/>
      <c r="J86" s="257">
        <f t="shared" si="27"/>
        <v>0</v>
      </c>
      <c r="K86" s="263"/>
      <c r="L86" s="334">
        <v>0</v>
      </c>
      <c r="M86" s="334">
        <v>0</v>
      </c>
      <c r="N86" s="334">
        <v>0</v>
      </c>
      <c r="O86" s="334">
        <v>0</v>
      </c>
      <c r="P86" s="334"/>
      <c r="Q86" s="334"/>
      <c r="R86" s="334"/>
      <c r="S86" s="334"/>
    </row>
    <row r="87" spans="5:19" x14ac:dyDescent="0.25">
      <c r="E87" s="196" t="s">
        <v>36</v>
      </c>
      <c r="F87" s="196"/>
      <c r="G87" s="92" t="s">
        <v>107</v>
      </c>
      <c r="H87" s="92"/>
      <c r="I87" s="92"/>
      <c r="J87" s="257">
        <f t="shared" si="27"/>
        <v>0</v>
      </c>
      <c r="K87" s="263"/>
      <c r="L87" s="334">
        <v>0</v>
      </c>
      <c r="M87" s="334">
        <v>0</v>
      </c>
      <c r="N87" s="334">
        <v>0</v>
      </c>
      <c r="O87" s="334">
        <v>0</v>
      </c>
      <c r="P87" s="334"/>
      <c r="Q87" s="334"/>
      <c r="R87" s="334"/>
      <c r="S87" s="334"/>
    </row>
    <row r="88" spans="5:19" x14ac:dyDescent="0.25">
      <c r="E88" s="93" t="s">
        <v>37</v>
      </c>
      <c r="F88" s="93"/>
      <c r="G88" s="93" t="s">
        <v>107</v>
      </c>
      <c r="H88" s="93"/>
      <c r="I88" s="93"/>
      <c r="J88" s="259">
        <f t="shared" si="27"/>
        <v>0</v>
      </c>
      <c r="K88" s="264"/>
      <c r="L88" s="335">
        <v>0</v>
      </c>
      <c r="M88" s="335">
        <v>0</v>
      </c>
      <c r="N88" s="335">
        <v>0</v>
      </c>
      <c r="O88" s="335">
        <v>0</v>
      </c>
      <c r="P88" s="335"/>
      <c r="Q88" s="335"/>
      <c r="R88" s="335"/>
      <c r="S88" s="335"/>
    </row>
    <row r="89" spans="5:19" x14ac:dyDescent="0.25">
      <c r="E89" s="93" t="s">
        <v>38</v>
      </c>
      <c r="F89" s="93"/>
      <c r="G89" s="93" t="s">
        <v>107</v>
      </c>
      <c r="H89" s="93"/>
      <c r="I89" s="93"/>
      <c r="J89" s="265">
        <f t="shared" si="27"/>
        <v>9556157.0663702693</v>
      </c>
      <c r="K89" s="264"/>
      <c r="L89" s="269">
        <f t="shared" ref="L89:N89" si="28">SUM(L85:L88)</f>
        <v>9113457.1960052419</v>
      </c>
      <c r="M89" s="269">
        <f t="shared" si="28"/>
        <v>8402622.4436528608</v>
      </c>
      <c r="N89" s="269">
        <f t="shared" si="28"/>
        <v>8640347.0245958064</v>
      </c>
      <c r="O89" s="269">
        <f t="shared" ref="O89" si="29">SUM(O85:O88)</f>
        <v>9556157.0663702693</v>
      </c>
      <c r="P89" s="269">
        <f t="shared" ref="P89:S89" si="30">SUM(P85:P88)</f>
        <v>9556157.0663702693</v>
      </c>
      <c r="Q89" s="269">
        <f t="shared" si="30"/>
        <v>9556157.0663702693</v>
      </c>
      <c r="R89" s="269">
        <f t="shared" si="30"/>
        <v>9556157.0663702693</v>
      </c>
      <c r="S89" s="269">
        <f t="shared" si="30"/>
        <v>9556157.0663702693</v>
      </c>
    </row>
    <row r="90" spans="5:19" x14ac:dyDescent="0.25">
      <c r="E90" s="196" t="s">
        <v>39</v>
      </c>
      <c r="F90" s="196"/>
      <c r="G90" s="196" t="s">
        <v>107</v>
      </c>
      <c r="H90" s="196"/>
      <c r="I90" s="196"/>
      <c r="J90" s="268">
        <f t="shared" si="27"/>
        <v>417181725.07818514</v>
      </c>
      <c r="K90" s="263"/>
      <c r="L90" s="304">
        <f t="shared" ref="L90:N90" si="31">L83-L89</f>
        <v>402576057.80399477</v>
      </c>
      <c r="M90" s="304">
        <f t="shared" si="31"/>
        <v>415489221.55634713</v>
      </c>
      <c r="N90" s="304">
        <f t="shared" si="31"/>
        <v>435470187.28137738</v>
      </c>
      <c r="O90" s="304">
        <f t="shared" ref="O90" si="32">O83-O89</f>
        <v>417181725.07818514</v>
      </c>
      <c r="P90" s="304">
        <f t="shared" ref="P90:S90" si="33">P83-P89</f>
        <v>433589521.29281902</v>
      </c>
      <c r="Q90" s="304">
        <f t="shared" si="33"/>
        <v>456855937.171543</v>
      </c>
      <c r="R90" s="304">
        <f t="shared" si="33"/>
        <v>464076984.87766659</v>
      </c>
      <c r="S90" s="304">
        <f t="shared" si="33"/>
        <v>469597865.65176409</v>
      </c>
    </row>
    <row r="91" spans="5:19" s="195" customFormat="1" x14ac:dyDescent="0.25">
      <c r="E91" s="91" t="s">
        <v>724</v>
      </c>
      <c r="F91" s="91"/>
      <c r="G91" s="91" t="s">
        <v>107</v>
      </c>
      <c r="H91" s="91"/>
      <c r="I91" s="91"/>
      <c r="J91" s="268">
        <f t="shared" ref="J91" si="34">CHOOSE(year_selection, L91,M91,N91,O91,P91,Q91,R91,S91)</f>
        <v>417181725.07818514</v>
      </c>
      <c r="K91" s="267"/>
      <c r="L91" s="305">
        <f t="shared" ref="L91:N91" si="35">L90</f>
        <v>402576057.80399477</v>
      </c>
      <c r="M91" s="305">
        <f t="shared" si="35"/>
        <v>415489221.55634713</v>
      </c>
      <c r="N91" s="305">
        <f t="shared" si="35"/>
        <v>435470187.28137738</v>
      </c>
      <c r="O91" s="305">
        <f t="shared" ref="O91" si="36">O90</f>
        <v>417181725.07818514</v>
      </c>
      <c r="P91" s="305">
        <f t="shared" ref="P91:S91" si="37">P90</f>
        <v>433589521.29281902</v>
      </c>
      <c r="Q91" s="305">
        <f t="shared" si="37"/>
        <v>456855937.171543</v>
      </c>
      <c r="R91" s="305">
        <f t="shared" si="37"/>
        <v>464076984.87766659</v>
      </c>
      <c r="S91" s="305">
        <f t="shared" si="37"/>
        <v>469597865.65176409</v>
      </c>
    </row>
    <row r="92" spans="5:19" s="195" customFormat="1" x14ac:dyDescent="0.25">
      <c r="E92" s="196"/>
      <c r="F92" s="196"/>
      <c r="G92" s="196"/>
      <c r="H92" s="196"/>
      <c r="I92" s="196"/>
      <c r="J92" s="265"/>
      <c r="K92" s="263"/>
      <c r="L92" s="263"/>
      <c r="M92" s="263"/>
      <c r="N92" s="263"/>
      <c r="O92" s="263"/>
      <c r="P92" s="263"/>
      <c r="Q92" s="263"/>
      <c r="R92" s="263"/>
      <c r="S92" s="263"/>
    </row>
    <row r="93" spans="5:19" s="195" customFormat="1" x14ac:dyDescent="0.25">
      <c r="E93" s="196" t="s">
        <v>720</v>
      </c>
      <c r="F93" s="196"/>
      <c r="G93" s="196" t="s">
        <v>107</v>
      </c>
      <c r="H93" s="196"/>
      <c r="I93" s="196"/>
      <c r="J93" s="265">
        <f>CHOOSE(year_selection, L93,M93,N93,O93,P93,Q93,R93,S93)</f>
        <v>426737882.14455539</v>
      </c>
      <c r="K93" s="263"/>
      <c r="L93" s="334">
        <v>411689515</v>
      </c>
      <c r="M93" s="334">
        <v>423891843.99999994</v>
      </c>
      <c r="N93" s="334">
        <v>444110534.30597317</v>
      </c>
      <c r="O93" s="334">
        <v>426737882.14455539</v>
      </c>
      <c r="P93" s="334">
        <v>443145678.35918927</v>
      </c>
      <c r="Q93" s="334">
        <v>466412094.23791325</v>
      </c>
      <c r="R93" s="334">
        <v>473633141.94403684</v>
      </c>
      <c r="S93" s="334">
        <v>479154022.71813434</v>
      </c>
    </row>
    <row r="94" spans="5:19" s="195" customFormat="1" x14ac:dyDescent="0.25">
      <c r="E94" s="91" t="s">
        <v>723</v>
      </c>
      <c r="F94" s="91"/>
      <c r="G94" s="91" t="s">
        <v>107</v>
      </c>
      <c r="H94" s="91"/>
      <c r="I94" s="91"/>
      <c r="J94" s="268">
        <f>CHOOSE(year_selection, L94,M94,N94,O94,P94,Q94,R94,S94)</f>
        <v>0</v>
      </c>
      <c r="K94" s="267"/>
      <c r="L94" s="302">
        <f t="shared" ref="L94:S94" si="38">L93 - L82 - L75 + L86</f>
        <v>0</v>
      </c>
      <c r="M94" s="302">
        <f t="shared" si="38"/>
        <v>-5.9604644775390625E-8</v>
      </c>
      <c r="N94" s="302">
        <f>N93 - N82 - N75 + N86</f>
        <v>0</v>
      </c>
      <c r="O94" s="302">
        <f>O93 - O82 - O75 + O86</f>
        <v>0</v>
      </c>
      <c r="P94" s="302">
        <f t="shared" si="38"/>
        <v>0</v>
      </c>
      <c r="Q94" s="302">
        <f t="shared" si="38"/>
        <v>0</v>
      </c>
      <c r="R94" s="302">
        <f t="shared" si="38"/>
        <v>0</v>
      </c>
      <c r="S94" s="302">
        <f t="shared" si="38"/>
        <v>0</v>
      </c>
    </row>
    <row r="95" spans="5:19" s="195" customFormat="1" x14ac:dyDescent="0.25">
      <c r="E95" s="91" t="s">
        <v>722</v>
      </c>
      <c r="F95" s="91"/>
      <c r="G95" s="91" t="s">
        <v>94</v>
      </c>
      <c r="H95" s="91"/>
      <c r="I95" s="91"/>
      <c r="J95" s="213">
        <f>CHOOSE(year_selection, L95,M95,N95,O95,P95,Q95,R95,S95)</f>
        <v>-3.9224514023762702E-2</v>
      </c>
      <c r="K95" s="150"/>
      <c r="L95" s="213">
        <f>IF( K75 &lt;&gt; 0, L75 / K75 - 1, 0)</f>
        <v>0</v>
      </c>
      <c r="M95" s="213">
        <f t="shared" ref="M95:S95" si="39">IF( L75 &lt;&gt; 0, M75 / L75 - 1, 0)</f>
        <v>2.9662563804816688E-2</v>
      </c>
      <c r="N95" s="213">
        <f t="shared" si="39"/>
        <v>4.7856130468408642E-2</v>
      </c>
      <c r="O95" s="213">
        <f>IF( N75 &lt;&gt; 0, O75 / N75 - 1, 0)</f>
        <v>-3.9224514023762702E-2</v>
      </c>
      <c r="P95" s="213">
        <f t="shared" si="39"/>
        <v>3.8459765689826009E-2</v>
      </c>
      <c r="Q95" s="213">
        <f t="shared" si="39"/>
        <v>5.255258416877151E-2</v>
      </c>
      <c r="R95" s="213">
        <f t="shared" si="39"/>
        <v>1.5475088673346571E-2</v>
      </c>
      <c r="S95" s="213">
        <f t="shared" si="39"/>
        <v>1.1643406419730606E-2</v>
      </c>
    </row>
    <row r="96" spans="5:19" s="195" customFormat="1" x14ac:dyDescent="0.25">
      <c r="E96" s="91" t="s">
        <v>721</v>
      </c>
      <c r="F96" s="91"/>
      <c r="G96" s="91" t="s">
        <v>94</v>
      </c>
      <c r="H96" s="91"/>
      <c r="I96" s="91"/>
      <c r="J96" s="213">
        <f>CHOOSE(year_selection, L96,M96,N96,O96,P96,Q96,R96,S96)</f>
        <v>-3.9117856523188776E-2</v>
      </c>
      <c r="K96" s="150"/>
      <c r="L96" s="213">
        <f t="shared" ref="L96:S96" si="40">IF( K93 &lt;&gt; 0, L93 / K93 - 1, 0)</f>
        <v>0</v>
      </c>
      <c r="M96" s="213">
        <f t="shared" si="40"/>
        <v>2.9639639960225672E-2</v>
      </c>
      <c r="N96" s="213">
        <f t="shared" si="40"/>
        <v>4.7697757322203271E-2</v>
      </c>
      <c r="O96" s="213">
        <f t="shared" si="40"/>
        <v>-3.9117856523188776E-2</v>
      </c>
      <c r="P96" s="213">
        <f t="shared" si="40"/>
        <v>3.8449354747174258E-2</v>
      </c>
      <c r="Q96" s="213">
        <f t="shared" si="40"/>
        <v>5.2502860830937692E-2</v>
      </c>
      <c r="R96" s="213">
        <f t="shared" si="40"/>
        <v>1.5482119343243728E-2</v>
      </c>
      <c r="S96" s="213">
        <f t="shared" si="40"/>
        <v>1.1656449444050532E-2</v>
      </c>
    </row>
    <row r="97" spans="3:21" x14ac:dyDescent="0.25">
      <c r="E97" s="195"/>
      <c r="F97" s="195"/>
      <c r="J97" s="152"/>
      <c r="K97" s="195"/>
      <c r="L97" s="295"/>
      <c r="M97" s="295"/>
      <c r="N97" s="295"/>
      <c r="O97" s="195"/>
      <c r="P97" s="295"/>
      <c r="Q97" s="295"/>
      <c r="R97" s="295"/>
      <c r="S97" s="295"/>
    </row>
    <row r="98" spans="3:21" s="195" customFormat="1" x14ac:dyDescent="0.25">
      <c r="C98" s="7" t="str">
        <f ca="1">INDEX('Version control'!$H$34:$H$60,MATCH($A$1,'Version control'!$F$34:$F$60,0),1)&amp;"-D: Financial and general assumptions"</f>
        <v>Input 503-D: Financial and general assumptions</v>
      </c>
      <c r="D98" s="7"/>
      <c r="E98" s="7"/>
      <c r="F98" s="7"/>
      <c r="G98" s="172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3:21" s="195" customFormat="1" x14ac:dyDescent="0.25">
      <c r="G99" s="108"/>
      <c r="L99" s="295"/>
      <c r="M99" s="295"/>
      <c r="N99" s="295"/>
      <c r="P99" s="295"/>
      <c r="Q99" s="295"/>
      <c r="R99" s="295"/>
      <c r="S99" s="295"/>
    </row>
    <row r="100" spans="3:21" x14ac:dyDescent="0.25">
      <c r="E100" s="76" t="s">
        <v>719</v>
      </c>
      <c r="G100" s="196" t="s">
        <v>94</v>
      </c>
      <c r="H100" s="196"/>
      <c r="I100" s="196" t="s">
        <v>431</v>
      </c>
      <c r="J100" s="303">
        <f>CHOOSE(year_selection, L100,M100,N100,O100,P100,Q100,R100,S100)</f>
        <v>3.6900000000000002E-2</v>
      </c>
      <c r="K100" s="196"/>
      <c r="L100" s="336">
        <v>4.0800000000000003E-2</v>
      </c>
      <c r="M100" s="336">
        <v>4.02E-2</v>
      </c>
      <c r="N100" s="336">
        <v>3.7900000000000003E-2</v>
      </c>
      <c r="O100" s="336">
        <v>3.6900000000000002E-2</v>
      </c>
      <c r="P100" s="336">
        <v>3.6900000000000002E-2</v>
      </c>
      <c r="Q100" s="336">
        <v>3.6900000000000002E-2</v>
      </c>
      <c r="R100" s="336">
        <v>3.6900000000000002E-2</v>
      </c>
      <c r="S100" s="336">
        <v>3.6900000000000002E-2</v>
      </c>
      <c r="U100" s="85" t="s">
        <v>804</v>
      </c>
    </row>
    <row r="101" spans="3:21" x14ac:dyDescent="0.25">
      <c r="E101" s="76" t="s">
        <v>41</v>
      </c>
      <c r="G101" s="76" t="s">
        <v>605</v>
      </c>
      <c r="H101" s="76"/>
      <c r="I101" s="76"/>
      <c r="J101" s="153">
        <f>CHOOSE(year_selection, L101,M101,N101,O101,P101,Q101,R101,S101)</f>
        <v>365</v>
      </c>
      <c r="K101" s="76"/>
      <c r="L101" s="317">
        <v>365</v>
      </c>
      <c r="M101" s="317">
        <v>366</v>
      </c>
      <c r="N101" s="317">
        <v>365</v>
      </c>
      <c r="O101" s="317">
        <v>365</v>
      </c>
      <c r="P101" s="317">
        <v>365</v>
      </c>
      <c r="Q101" s="317">
        <v>366</v>
      </c>
      <c r="R101" s="317">
        <v>365</v>
      </c>
      <c r="S101" s="317">
        <v>365</v>
      </c>
    </row>
    <row r="102" spans="3:21" x14ac:dyDescent="0.25">
      <c r="E102" s="195"/>
      <c r="F102" s="195"/>
      <c r="J102" s="152"/>
      <c r="K102" s="195"/>
      <c r="L102" s="295"/>
      <c r="M102" s="295"/>
      <c r="N102" s="295"/>
      <c r="O102" s="195"/>
      <c r="P102" s="295"/>
      <c r="Q102" s="295"/>
      <c r="R102" s="295"/>
      <c r="S102" s="295"/>
    </row>
    <row r="103" spans="3:21" s="195" customFormat="1" x14ac:dyDescent="0.25">
      <c r="C103" s="7" t="str">
        <f ca="1">INDEX('Version control'!$H$34:$H$60,MATCH($A$1,'Version control'!$F$34:$F$60,0),1)&amp;"-E: Transmission exit charges"</f>
        <v>Input 503-E: Transmission exit charges</v>
      </c>
      <c r="D103" s="7"/>
      <c r="E103" s="7"/>
      <c r="F103" s="7"/>
      <c r="G103" s="172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</row>
    <row r="104" spans="3:21" s="195" customFormat="1" x14ac:dyDescent="0.25">
      <c r="G104" s="108"/>
      <c r="L104" s="295"/>
      <c r="M104" s="295"/>
      <c r="N104" s="295"/>
      <c r="P104" s="295"/>
      <c r="Q104" s="295"/>
      <c r="R104" s="295"/>
      <c r="S104" s="295"/>
    </row>
    <row r="105" spans="3:21" x14ac:dyDescent="0.25">
      <c r="C105" s="477"/>
      <c r="D105" s="295"/>
      <c r="E105" s="76" t="s">
        <v>117</v>
      </c>
      <c r="G105" s="92" t="s">
        <v>606</v>
      </c>
      <c r="H105" s="92"/>
      <c r="I105" s="85" t="s">
        <v>431</v>
      </c>
      <c r="J105" s="257">
        <f>CHOOSE(year_selection, L105,M105,N105,O105,P105,Q105,R105,S105)</f>
        <v>35908234.05777806</v>
      </c>
      <c r="K105" s="263"/>
      <c r="L105" s="334">
        <v>26120655.336201899</v>
      </c>
      <c r="M105" s="334">
        <v>24282910.652889419</v>
      </c>
      <c r="N105" s="334">
        <v>27655672.068074286</v>
      </c>
      <c r="O105" s="334">
        <v>35908234.05777806</v>
      </c>
      <c r="P105" s="334">
        <v>37047273.99616912</v>
      </c>
      <c r="Q105" s="334">
        <v>37843778.543666735</v>
      </c>
      <c r="R105" s="334">
        <v>38600616.871995844</v>
      </c>
      <c r="S105" s="334">
        <v>39372584.983914502</v>
      </c>
      <c r="U105" s="85" t="s">
        <v>805</v>
      </c>
    </row>
    <row r="106" spans="3:21" x14ac:dyDescent="0.25">
      <c r="C106" s="295"/>
      <c r="D106" s="295"/>
      <c r="E106" s="195"/>
      <c r="F106" s="195"/>
      <c r="J106" s="257"/>
      <c r="K106" s="253"/>
      <c r="L106" s="253"/>
      <c r="M106" s="253"/>
      <c r="N106" s="253"/>
      <c r="O106" s="253"/>
      <c r="P106" s="253"/>
      <c r="Q106" s="253"/>
      <c r="R106" s="253"/>
      <c r="S106" s="253"/>
    </row>
    <row r="107" spans="3:21" s="195" customFormat="1" x14ac:dyDescent="0.25">
      <c r="C107" s="295"/>
      <c r="D107" s="7" t="str">
        <f ca="1">INDEX('[1]Version control'!$H$34:$H$60,MATCH($A$1,'[1]Version control'!$F$34:$F$60,0),1)&amp;"-F: Other expenditure"</f>
        <v>Input 503-F: Other expenditure</v>
      </c>
      <c r="E107" s="7"/>
      <c r="F107" s="7"/>
      <c r="G107" s="172"/>
      <c r="H107" s="7"/>
      <c r="I107" s="7"/>
      <c r="J107" s="243"/>
      <c r="K107" s="243"/>
      <c r="L107" s="243"/>
      <c r="M107" s="243"/>
      <c r="N107" s="243"/>
      <c r="O107" s="243"/>
      <c r="P107" s="243"/>
      <c r="Q107" s="243"/>
      <c r="R107" s="243"/>
      <c r="S107" s="243"/>
      <c r="T107" s="7"/>
      <c r="U107" s="7"/>
    </row>
    <row r="108" spans="3:21" s="195" customFormat="1" x14ac:dyDescent="0.25">
      <c r="C108" s="295"/>
      <c r="D108" s="295"/>
      <c r="G108" s="108"/>
      <c r="J108" s="253"/>
      <c r="K108" s="253"/>
      <c r="L108" s="253"/>
      <c r="M108" s="253"/>
      <c r="N108" s="253"/>
      <c r="O108" s="253"/>
      <c r="P108" s="253"/>
      <c r="Q108" s="253"/>
      <c r="R108" s="253"/>
      <c r="S108" s="253"/>
    </row>
    <row r="109" spans="3:21" x14ac:dyDescent="0.25">
      <c r="C109" s="295"/>
      <c r="D109" s="295"/>
      <c r="E109" s="96" t="s">
        <v>79</v>
      </c>
      <c r="F109" s="96"/>
      <c r="I109" s="85" t="s">
        <v>431</v>
      </c>
      <c r="J109" s="257"/>
      <c r="K109" s="253"/>
      <c r="L109" s="253"/>
      <c r="M109" s="253"/>
      <c r="N109" s="253"/>
      <c r="O109" s="253"/>
      <c r="P109" s="253"/>
      <c r="Q109" s="253"/>
      <c r="R109" s="253"/>
      <c r="S109" s="253"/>
      <c r="U109" s="85" t="s">
        <v>806</v>
      </c>
    </row>
    <row r="110" spans="3:21" x14ac:dyDescent="0.25">
      <c r="C110" s="477"/>
      <c r="D110" s="295"/>
      <c r="E110" s="195"/>
      <c r="F110" s="16" t="s">
        <v>128</v>
      </c>
      <c r="G110" s="91" t="s">
        <v>606</v>
      </c>
      <c r="H110" s="91"/>
      <c r="I110" s="91"/>
      <c r="J110" s="255">
        <f>CHOOSE(year_selection, L110,M110,N110,O110,P110,Q110,R110,S110)</f>
        <v>28803040.425109994</v>
      </c>
      <c r="K110" s="267"/>
      <c r="L110" s="333">
        <v>23202752.268127099</v>
      </c>
      <c r="M110" s="333">
        <v>22970035.519397046</v>
      </c>
      <c r="N110" s="333">
        <v>24557177.965201695</v>
      </c>
      <c r="O110" s="333">
        <v>28803040.425109994</v>
      </c>
      <c r="P110" s="333">
        <v>29716697.536136482</v>
      </c>
      <c r="Q110" s="333">
        <v>30355597.033211261</v>
      </c>
      <c r="R110" s="333">
        <v>30962679.100546014</v>
      </c>
      <c r="S110" s="333">
        <v>31581897.207978189</v>
      </c>
    </row>
    <row r="111" spans="3:21" x14ac:dyDescent="0.25">
      <c r="C111" s="477"/>
      <c r="D111" s="295"/>
      <c r="E111" s="195"/>
      <c r="F111" s="76" t="s">
        <v>129</v>
      </c>
      <c r="G111" s="92" t="s">
        <v>606</v>
      </c>
      <c r="H111" s="92"/>
      <c r="I111" s="92"/>
      <c r="J111" s="257">
        <f>CHOOSE(year_selection, L111,M111,N111,O111,P111,Q111,R111,S111)</f>
        <v>83130091.179891989</v>
      </c>
      <c r="K111" s="263"/>
      <c r="L111" s="334">
        <v>89926235.570464045</v>
      </c>
      <c r="M111" s="334">
        <v>90642222.217003286</v>
      </c>
      <c r="N111" s="334">
        <v>80366361.652064502</v>
      </c>
      <c r="O111" s="334">
        <v>83130091.179891989</v>
      </c>
      <c r="P111" s="334">
        <v>85767048.869975805</v>
      </c>
      <c r="Q111" s="334">
        <v>87611013.002328709</v>
      </c>
      <c r="R111" s="334">
        <v>89363147.043262079</v>
      </c>
      <c r="S111" s="334">
        <v>91150307.598930404</v>
      </c>
    </row>
    <row r="112" spans="3:21" x14ac:dyDescent="0.25">
      <c r="C112" s="477"/>
      <c r="D112" s="295"/>
      <c r="E112" s="195"/>
      <c r="F112" s="15" t="s">
        <v>130</v>
      </c>
      <c r="G112" s="93" t="s">
        <v>606</v>
      </c>
      <c r="H112" s="93"/>
      <c r="I112" s="93"/>
      <c r="J112" s="259">
        <f>CHOOSE(year_selection, L112,M112,N112,O112,P112,Q112,R112,S112)</f>
        <v>37991024.773131475</v>
      </c>
      <c r="K112" s="264"/>
      <c r="L112" s="335">
        <v>46687620.052114367</v>
      </c>
      <c r="M112" s="335">
        <v>36418555.510245711</v>
      </c>
      <c r="N112" s="335">
        <v>37396590.371688113</v>
      </c>
      <c r="O112" s="335">
        <v>37991024.773131475</v>
      </c>
      <c r="P112" s="335">
        <v>39196132.616846986</v>
      </c>
      <c r="Q112" s="335">
        <v>40038836.937733501</v>
      </c>
      <c r="R112" s="335">
        <v>40839574.273759037</v>
      </c>
      <c r="S112" s="335">
        <v>41656318.96849338</v>
      </c>
    </row>
    <row r="113" spans="2:21" x14ac:dyDescent="0.25">
      <c r="E113" s="195"/>
      <c r="F113" s="195"/>
      <c r="H113" s="130"/>
      <c r="J113" s="153"/>
    </row>
    <row r="114" spans="2:21" x14ac:dyDescent="0.25">
      <c r="B114" s="95" t="s">
        <v>109</v>
      </c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</row>
    <row r="115" spans="2:21" x14ac:dyDescent="0.25">
      <c r="E115" s="195"/>
      <c r="F115" s="195"/>
    </row>
    <row r="116" spans="2:21" s="295" customFormat="1" x14ac:dyDescent="0.25">
      <c r="C116" s="82" t="s">
        <v>866</v>
      </c>
      <c r="D116" s="96"/>
    </row>
    <row r="117" spans="2:21" s="295" customFormat="1" x14ac:dyDescent="0.25">
      <c r="D117" s="96"/>
      <c r="E117" s="96"/>
    </row>
    <row r="118" spans="2:21" x14ac:dyDescent="0.25">
      <c r="E118" s="195" t="s">
        <v>516</v>
      </c>
      <c r="F118" s="195"/>
      <c r="G118" s="60" t="s">
        <v>692</v>
      </c>
      <c r="H118" s="178">
        <f t="array" ref="H118">SUM(IF(ISERROR(H15:S113), 1))</f>
        <v>0</v>
      </c>
    </row>
    <row r="119" spans="2:21" x14ac:dyDescent="0.25">
      <c r="E119" s="195"/>
      <c r="F119" s="195"/>
    </row>
    <row r="120" spans="2:21" x14ac:dyDescent="0.25">
      <c r="E120" s="96" t="s">
        <v>893</v>
      </c>
      <c r="F120" s="195"/>
    </row>
    <row r="121" spans="2:21" x14ac:dyDescent="0.25">
      <c r="E121" s="195"/>
      <c r="F121" s="91" t="s">
        <v>541</v>
      </c>
      <c r="G121" s="58" t="s">
        <v>692</v>
      </c>
      <c r="H121" s="177">
        <f>SUM(L121:S121)</f>
        <v>0</v>
      </c>
      <c r="I121" s="91"/>
      <c r="J121" s="91"/>
      <c r="K121" s="91"/>
      <c r="L121" s="106"/>
      <c r="M121" s="177">
        <f t="shared" ref="M121:S121" si="41">IF(SUM(M19:M21) = M$101 * hours_in_day, 0, 1)</f>
        <v>0</v>
      </c>
      <c r="N121" s="177">
        <f t="shared" si="41"/>
        <v>0</v>
      </c>
      <c r="O121" s="177">
        <f t="shared" si="41"/>
        <v>0</v>
      </c>
      <c r="P121" s="177">
        <f t="shared" si="41"/>
        <v>0</v>
      </c>
      <c r="Q121" s="177">
        <f t="shared" si="41"/>
        <v>0</v>
      </c>
      <c r="R121" s="177">
        <f t="shared" si="41"/>
        <v>0</v>
      </c>
      <c r="S121" s="177">
        <f t="shared" si="41"/>
        <v>0</v>
      </c>
    </row>
    <row r="122" spans="2:21" x14ac:dyDescent="0.25">
      <c r="E122" s="195"/>
      <c r="F122" s="93" t="s">
        <v>542</v>
      </c>
      <c r="G122" s="61" t="s">
        <v>692</v>
      </c>
      <c r="H122" s="179">
        <f>SUM(L122:S122)</f>
        <v>0</v>
      </c>
      <c r="I122" s="93"/>
      <c r="J122" s="93"/>
      <c r="K122" s="93"/>
      <c r="L122" s="102"/>
      <c r="M122" s="179">
        <f t="shared" ref="M122:S122" si="42">IF(SUM(M24:M26) = M$101 * hours_in_day, 0, 1)</f>
        <v>0</v>
      </c>
      <c r="N122" s="179">
        <f t="shared" si="42"/>
        <v>0</v>
      </c>
      <c r="O122" s="179">
        <f t="shared" si="42"/>
        <v>0</v>
      </c>
      <c r="P122" s="179">
        <f t="shared" si="42"/>
        <v>0</v>
      </c>
      <c r="Q122" s="179">
        <f t="shared" si="42"/>
        <v>0</v>
      </c>
      <c r="R122" s="179">
        <f t="shared" si="42"/>
        <v>0</v>
      </c>
      <c r="S122" s="179">
        <f t="shared" si="42"/>
        <v>0</v>
      </c>
    </row>
    <row r="124" spans="2:21" x14ac:dyDescent="0.25">
      <c r="E124" s="195" t="s">
        <v>446</v>
      </c>
      <c r="F124" s="195"/>
      <c r="G124" s="60" t="s">
        <v>692</v>
      </c>
      <c r="H124" s="212">
        <f>SUM(H118, H121:H122)</f>
        <v>0</v>
      </c>
    </row>
    <row r="125" spans="2:21" x14ac:dyDescent="0.25">
      <c r="E125" s="195"/>
      <c r="F125" s="195"/>
    </row>
    <row r="126" spans="2:21" x14ac:dyDescent="0.25">
      <c r="B126" s="95" t="s">
        <v>110</v>
      </c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</row>
  </sheetData>
  <sheetProtection formatCells="0" formatColumns="0" formatRows="0" sort="0" autoFilter="0"/>
  <conditionalFormatting sqref="H118">
    <cfRule type="cellIs" dxfId="229" priority="5" operator="greaterThan">
      <formula>0</formula>
    </cfRule>
  </conditionalFormatting>
  <conditionalFormatting sqref="H121:H122">
    <cfRule type="cellIs" dxfId="228" priority="4" operator="greaterThan">
      <formula>0</formula>
    </cfRule>
  </conditionalFormatting>
  <conditionalFormatting sqref="L121:S122">
    <cfRule type="cellIs" dxfId="227" priority="3" operator="greaterThan">
      <formula>0</formula>
    </cfRule>
  </conditionalFormatting>
  <conditionalFormatting sqref="H124">
    <cfRule type="cellIs" dxfId="226" priority="2" operator="greaterThan">
      <formula>0</formula>
    </cfRule>
  </conditionalFormatting>
  <conditionalFormatting sqref="A4:XFD4">
    <cfRule type="expression" dxfId="225" priority="1">
      <formula>LEFT($A$4,1) &lt;&gt; "0"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>
    <tabColor theme="5" tint="0.59999389629810485"/>
  </sheetPr>
  <dimension ref="A1:BI17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61" width="0" style="295" hidden="1" customWidth="1"/>
    <col min="62" max="16384" width="9.140625" style="295" hidden="1"/>
  </cols>
  <sheetData>
    <row r="1" spans="1:27" s="10" customFormat="1" x14ac:dyDescent="0.25">
      <c r="A1" s="10" t="str">
        <f ca="1">MID(CELL("filename",A1),FIND("]",CELL("filename",A1))+1,255)</f>
        <v>Fixed inputs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1" t="str">
        <f>H172 &amp; IF(H172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2" t="s">
        <v>552</v>
      </c>
      <c r="C5" s="373"/>
      <c r="D5" s="373"/>
      <c r="E5" s="373"/>
      <c r="F5" s="373"/>
      <c r="G5" s="9" t="s">
        <v>91</v>
      </c>
      <c r="H5" s="11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268</v>
      </c>
    </row>
    <row r="11" spans="1:27" x14ac:dyDescent="0.25">
      <c r="B11" s="95" t="s">
        <v>529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3" spans="1:27" x14ac:dyDescent="0.25">
      <c r="C13" s="7" t="str">
        <f ca="1">INDEX('Version control'!$H$34:$H$60,MATCH($A$1,'Version control'!$F$34:$F$60,0),1)&amp;"-A: Conversions and time"</f>
        <v>Input 504-A: Conversions and time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5" spans="1:27" x14ac:dyDescent="0.25">
      <c r="E15" s="14" t="s">
        <v>133</v>
      </c>
      <c r="G15" s="295" t="s">
        <v>267</v>
      </c>
      <c r="H15" s="316">
        <v>24</v>
      </c>
    </row>
    <row r="16" spans="1:27" x14ac:dyDescent="0.25">
      <c r="E16" s="14" t="s">
        <v>339</v>
      </c>
      <c r="G16" s="295" t="s">
        <v>527</v>
      </c>
      <c r="H16" s="316">
        <v>10</v>
      </c>
    </row>
    <row r="17" spans="3:27" x14ac:dyDescent="0.25">
      <c r="E17" s="14" t="s">
        <v>137</v>
      </c>
      <c r="G17" s="295" t="s">
        <v>527</v>
      </c>
      <c r="H17" s="316">
        <v>100</v>
      </c>
    </row>
    <row r="18" spans="3:27" x14ac:dyDescent="0.25">
      <c r="E18" s="14" t="s">
        <v>138</v>
      </c>
      <c r="G18" s="295" t="s">
        <v>527</v>
      </c>
      <c r="H18" s="316">
        <v>1000</v>
      </c>
    </row>
    <row r="20" spans="3:27" x14ac:dyDescent="0.25">
      <c r="C20" s="7" t="str">
        <f ca="1">INDEX('Version control'!$H$34:$H$60,MATCH($A$1,'Version control'!$F$34:$F$60,0),1)&amp;"-B: Input 101-B: Rounding"</f>
        <v>Input 504-B: Input 101-B: Rounding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2" spans="3:27" x14ac:dyDescent="0.25">
      <c r="D22" s="82" t="s">
        <v>808</v>
      </c>
    </row>
    <row r="23" spans="3:27" x14ac:dyDescent="0.25">
      <c r="E23" s="96"/>
    </row>
    <row r="24" spans="3:27" x14ac:dyDescent="0.25">
      <c r="E24" s="96" t="s">
        <v>316</v>
      </c>
      <c r="F24" s="82"/>
      <c r="I24" s="295" t="s">
        <v>431</v>
      </c>
      <c r="AA24" s="295" t="s">
        <v>807</v>
      </c>
    </row>
    <row r="25" spans="3:27" x14ac:dyDescent="0.25">
      <c r="F25" s="91" t="s">
        <v>134</v>
      </c>
      <c r="G25" s="91" t="s">
        <v>527</v>
      </c>
      <c r="H25" s="337">
        <v>3</v>
      </c>
    </row>
    <row r="26" spans="3:27" x14ac:dyDescent="0.25">
      <c r="F26" s="295" t="s">
        <v>135</v>
      </c>
      <c r="G26" s="295" t="s">
        <v>527</v>
      </c>
      <c r="H26" s="341">
        <v>3</v>
      </c>
    </row>
    <row r="27" spans="3:27" x14ac:dyDescent="0.25">
      <c r="F27" s="295" t="s">
        <v>136</v>
      </c>
      <c r="G27" s="295" t="s">
        <v>527</v>
      </c>
      <c r="H27" s="341">
        <v>3</v>
      </c>
    </row>
    <row r="28" spans="3:27" x14ac:dyDescent="0.25">
      <c r="F28" s="295" t="s">
        <v>311</v>
      </c>
      <c r="G28" s="295" t="s">
        <v>527</v>
      </c>
      <c r="H28" s="341">
        <v>2</v>
      </c>
    </row>
    <row r="29" spans="3:27" x14ac:dyDescent="0.25">
      <c r="F29" s="295" t="s">
        <v>312</v>
      </c>
      <c r="G29" s="295" t="s">
        <v>527</v>
      </c>
      <c r="H29" s="341">
        <v>2</v>
      </c>
    </row>
    <row r="30" spans="3:27" x14ac:dyDescent="0.25">
      <c r="F30" s="295" t="s">
        <v>313</v>
      </c>
      <c r="G30" s="295" t="s">
        <v>527</v>
      </c>
      <c r="H30" s="341">
        <v>2</v>
      </c>
    </row>
    <row r="31" spans="3:27" x14ac:dyDescent="0.25">
      <c r="F31" s="93" t="s">
        <v>314</v>
      </c>
      <c r="G31" s="93" t="s">
        <v>527</v>
      </c>
      <c r="H31" s="338">
        <v>3</v>
      </c>
    </row>
    <row r="33" spans="3:27" x14ac:dyDescent="0.25">
      <c r="C33" s="7" t="str">
        <f ca="1">INDEX('Version control'!$H$34:$H$60,MATCH($A$1,'Version control'!$F$34:$F$60,0),1)&amp;"-C: Financial and general assumptions"</f>
        <v>Input 504-C: Financial and general assumptions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5" spans="3:27" x14ac:dyDescent="0.25">
      <c r="E35" s="14" t="s">
        <v>95</v>
      </c>
      <c r="G35" s="295" t="s">
        <v>96</v>
      </c>
      <c r="H35" s="341">
        <v>40</v>
      </c>
      <c r="I35" s="295" t="s">
        <v>431</v>
      </c>
      <c r="AA35" s="88" t="s">
        <v>804</v>
      </c>
    </row>
    <row r="37" spans="3:27" x14ac:dyDescent="0.25">
      <c r="E37" s="14" t="s">
        <v>40</v>
      </c>
      <c r="G37" s="295" t="s">
        <v>94</v>
      </c>
      <c r="H37" s="339">
        <v>0.95</v>
      </c>
      <c r="I37" s="295" t="s">
        <v>431</v>
      </c>
      <c r="AA37" s="295" t="s">
        <v>924</v>
      </c>
    </row>
    <row r="39" spans="3:27" x14ac:dyDescent="0.25">
      <c r="E39" s="14" t="s">
        <v>78</v>
      </c>
      <c r="G39" s="295" t="s">
        <v>94</v>
      </c>
      <c r="H39" s="374">
        <v>0.6</v>
      </c>
      <c r="I39" s="295" t="s">
        <v>431</v>
      </c>
      <c r="AA39" s="88" t="s">
        <v>806</v>
      </c>
    </row>
    <row r="41" spans="3:27" x14ac:dyDescent="0.25">
      <c r="E41" s="14" t="s">
        <v>101</v>
      </c>
      <c r="G41" s="14" t="s">
        <v>102</v>
      </c>
      <c r="H41" s="341">
        <v>500</v>
      </c>
      <c r="I41" s="295" t="s">
        <v>431</v>
      </c>
      <c r="AA41" s="90" t="s">
        <v>809</v>
      </c>
    </row>
    <row r="43" spans="3:27" x14ac:dyDescent="0.25">
      <c r="C43" s="7" t="str">
        <f ca="1">INDEX('Version control'!$H$34:$H$60,MATCH($A$1,'Version control'!$F$34:$F$60,0),1)&amp;"-D: Mappings"</f>
        <v>Input 504-D: Mappings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5" spans="3:27" x14ac:dyDescent="0.25">
      <c r="E45" s="96" t="s">
        <v>543</v>
      </c>
    </row>
    <row r="46" spans="3:27" x14ac:dyDescent="0.25">
      <c r="F46" s="16" t="s">
        <v>66</v>
      </c>
      <c r="G46" s="91" t="s">
        <v>132</v>
      </c>
      <c r="H46" s="91"/>
      <c r="I46" s="91"/>
      <c r="J46" s="337">
        <v>1</v>
      </c>
      <c r="K46" s="337">
        <v>1</v>
      </c>
      <c r="L46" s="337">
        <v>1</v>
      </c>
      <c r="M46" s="337">
        <v>1</v>
      </c>
      <c r="N46" s="337">
        <v>1</v>
      </c>
      <c r="O46" s="337">
        <v>0</v>
      </c>
      <c r="P46" s="337">
        <v>0</v>
      </c>
      <c r="Q46" s="337">
        <v>1</v>
      </c>
      <c r="R46" s="106"/>
      <c r="S46" s="106"/>
      <c r="T46" s="106"/>
      <c r="U46" s="106"/>
      <c r="V46" s="106"/>
      <c r="W46" s="106"/>
      <c r="X46" s="106"/>
      <c r="Y46" s="106"/>
    </row>
    <row r="47" spans="3:27" x14ac:dyDescent="0.25">
      <c r="F47" s="14" t="s">
        <v>67</v>
      </c>
      <c r="G47" s="295" t="s">
        <v>132</v>
      </c>
      <c r="J47" s="341">
        <v>1</v>
      </c>
      <c r="K47" s="341">
        <v>1</v>
      </c>
      <c r="L47" s="341">
        <v>1</v>
      </c>
      <c r="M47" s="341">
        <v>1</v>
      </c>
      <c r="N47" s="341">
        <v>1</v>
      </c>
      <c r="O47" s="341">
        <v>0</v>
      </c>
      <c r="P47" s="341">
        <v>0</v>
      </c>
      <c r="Q47" s="341">
        <v>1</v>
      </c>
      <c r="R47" s="79"/>
      <c r="S47" s="79"/>
      <c r="T47" s="79"/>
      <c r="U47" s="79"/>
      <c r="V47" s="79"/>
      <c r="W47" s="79"/>
      <c r="X47" s="79"/>
      <c r="Y47" s="79"/>
    </row>
    <row r="48" spans="3:27" x14ac:dyDescent="0.25">
      <c r="F48" s="14" t="s">
        <v>68</v>
      </c>
      <c r="G48" s="295" t="s">
        <v>132</v>
      </c>
      <c r="J48" s="341">
        <v>0</v>
      </c>
      <c r="K48" s="341">
        <v>0</v>
      </c>
      <c r="L48" s="341">
        <v>0</v>
      </c>
      <c r="M48" s="341">
        <v>0</v>
      </c>
      <c r="N48" s="341">
        <v>0</v>
      </c>
      <c r="O48" s="341">
        <v>1</v>
      </c>
      <c r="P48" s="341">
        <v>0</v>
      </c>
      <c r="Q48" s="341">
        <v>0</v>
      </c>
      <c r="R48" s="79"/>
      <c r="S48" s="79"/>
      <c r="T48" s="79"/>
      <c r="U48" s="79"/>
      <c r="V48" s="79"/>
      <c r="W48" s="79"/>
      <c r="X48" s="79"/>
      <c r="Y48" s="79"/>
    </row>
    <row r="49" spans="5:27" x14ac:dyDescent="0.25">
      <c r="F49" s="15" t="s">
        <v>69</v>
      </c>
      <c r="G49" s="93" t="s">
        <v>132</v>
      </c>
      <c r="H49" s="93"/>
      <c r="I49" s="93"/>
      <c r="J49" s="338">
        <v>0</v>
      </c>
      <c r="K49" s="338">
        <v>0</v>
      </c>
      <c r="L49" s="338">
        <v>0</v>
      </c>
      <c r="M49" s="338">
        <v>0</v>
      </c>
      <c r="N49" s="338">
        <v>0</v>
      </c>
      <c r="O49" s="338">
        <v>0</v>
      </c>
      <c r="P49" s="338">
        <v>1</v>
      </c>
      <c r="Q49" s="338">
        <v>0</v>
      </c>
      <c r="R49" s="102"/>
      <c r="S49" s="102"/>
      <c r="T49" s="102"/>
      <c r="U49" s="102"/>
      <c r="V49" s="102"/>
      <c r="W49" s="102"/>
      <c r="X49" s="102"/>
      <c r="Y49" s="102"/>
    </row>
    <row r="51" spans="5:27" x14ac:dyDescent="0.25">
      <c r="E51" s="96" t="s">
        <v>153</v>
      </c>
      <c r="I51" s="295" t="s">
        <v>431</v>
      </c>
      <c r="AA51" s="88" t="s">
        <v>810</v>
      </c>
    </row>
    <row r="52" spans="5:27" x14ac:dyDescent="0.25">
      <c r="E52" s="82" t="s">
        <v>248</v>
      </c>
    </row>
    <row r="53" spans="5:27" x14ac:dyDescent="0.25">
      <c r="F53" s="16" t="s">
        <v>83</v>
      </c>
      <c r="G53" s="91" t="s">
        <v>132</v>
      </c>
      <c r="H53" s="94"/>
      <c r="I53" s="94"/>
      <c r="J53" s="337">
        <v>0</v>
      </c>
      <c r="K53" s="337">
        <v>0</v>
      </c>
      <c r="L53" s="337">
        <v>0</v>
      </c>
      <c r="M53" s="337">
        <v>0</v>
      </c>
      <c r="N53" s="337">
        <v>0</v>
      </c>
      <c r="O53" s="337">
        <v>0</v>
      </c>
      <c r="P53" s="337">
        <v>0</v>
      </c>
      <c r="Q53" s="337">
        <v>0</v>
      </c>
      <c r="R53" s="337">
        <v>0</v>
      </c>
      <c r="S53" s="337">
        <v>0</v>
      </c>
      <c r="T53" s="337">
        <v>0</v>
      </c>
      <c r="U53" s="337">
        <v>0</v>
      </c>
      <c r="V53" s="337">
        <v>0</v>
      </c>
      <c r="W53" s="337">
        <v>0</v>
      </c>
      <c r="X53" s="337">
        <v>0</v>
      </c>
      <c r="Y53" s="337">
        <v>0</v>
      </c>
    </row>
    <row r="54" spans="5:27" x14ac:dyDescent="0.25">
      <c r="F54" s="14" t="s">
        <v>82</v>
      </c>
      <c r="G54" s="295" t="s">
        <v>132</v>
      </c>
      <c r="J54" s="341">
        <v>0</v>
      </c>
      <c r="K54" s="341">
        <v>0</v>
      </c>
      <c r="L54" s="341">
        <v>0</v>
      </c>
      <c r="M54" s="341">
        <v>0</v>
      </c>
      <c r="N54" s="341">
        <v>0</v>
      </c>
      <c r="O54" s="341">
        <v>0</v>
      </c>
      <c r="P54" s="341">
        <v>1</v>
      </c>
      <c r="Q54" s="341">
        <v>0</v>
      </c>
      <c r="R54" s="341">
        <v>0</v>
      </c>
      <c r="S54" s="341">
        <v>0</v>
      </c>
      <c r="T54" s="341">
        <v>0</v>
      </c>
      <c r="U54" s="341">
        <v>0</v>
      </c>
      <c r="V54" s="341">
        <v>0</v>
      </c>
      <c r="W54" s="341">
        <v>0</v>
      </c>
      <c r="X54" s="341">
        <v>1</v>
      </c>
      <c r="Y54" s="341">
        <v>1</v>
      </c>
    </row>
    <row r="55" spans="5:27" x14ac:dyDescent="0.25">
      <c r="F55" s="14" t="s">
        <v>81</v>
      </c>
      <c r="G55" s="295" t="s">
        <v>132</v>
      </c>
      <c r="J55" s="341">
        <v>0</v>
      </c>
      <c r="K55" s="341">
        <v>0</v>
      </c>
      <c r="L55" s="341">
        <v>0</v>
      </c>
      <c r="M55" s="341">
        <v>0</v>
      </c>
      <c r="N55" s="341">
        <v>0</v>
      </c>
      <c r="O55" s="341">
        <v>1</v>
      </c>
      <c r="P55" s="341">
        <v>0</v>
      </c>
      <c r="Q55" s="341">
        <v>0</v>
      </c>
      <c r="R55" s="341">
        <v>0</v>
      </c>
      <c r="S55" s="341">
        <v>1</v>
      </c>
      <c r="T55" s="341">
        <v>0</v>
      </c>
      <c r="U55" s="341">
        <v>0</v>
      </c>
      <c r="V55" s="341">
        <v>1</v>
      </c>
      <c r="W55" s="341">
        <v>1</v>
      </c>
      <c r="X55" s="341">
        <v>0</v>
      </c>
      <c r="Y55" s="341">
        <v>0</v>
      </c>
    </row>
    <row r="56" spans="5:27" x14ac:dyDescent="0.25">
      <c r="F56" s="15" t="s">
        <v>80</v>
      </c>
      <c r="G56" s="93" t="s">
        <v>132</v>
      </c>
      <c r="H56" s="93"/>
      <c r="I56" s="93"/>
      <c r="J56" s="338">
        <v>1</v>
      </c>
      <c r="K56" s="338">
        <v>1</v>
      </c>
      <c r="L56" s="338">
        <v>1</v>
      </c>
      <c r="M56" s="338">
        <v>1</v>
      </c>
      <c r="N56" s="338">
        <v>1</v>
      </c>
      <c r="O56" s="338">
        <v>0</v>
      </c>
      <c r="P56" s="338">
        <v>0</v>
      </c>
      <c r="Q56" s="338">
        <v>1</v>
      </c>
      <c r="R56" s="338">
        <v>1</v>
      </c>
      <c r="S56" s="338">
        <v>0</v>
      </c>
      <c r="T56" s="338">
        <v>1</v>
      </c>
      <c r="U56" s="338">
        <v>1</v>
      </c>
      <c r="V56" s="338">
        <v>0</v>
      </c>
      <c r="W56" s="338">
        <v>0</v>
      </c>
      <c r="X56" s="338">
        <v>0</v>
      </c>
      <c r="Y56" s="338">
        <v>0</v>
      </c>
    </row>
    <row r="57" spans="5:27" x14ac:dyDescent="0.25">
      <c r="H57" s="88"/>
      <c r="I57" s="88"/>
    </row>
    <row r="58" spans="5:27" x14ac:dyDescent="0.25">
      <c r="E58" s="96" t="s">
        <v>403</v>
      </c>
    </row>
    <row r="59" spans="5:27" x14ac:dyDescent="0.25">
      <c r="E59" s="82" t="s">
        <v>404</v>
      </c>
    </row>
    <row r="60" spans="5:27" x14ac:dyDescent="0.25">
      <c r="F60" s="91" t="s">
        <v>324</v>
      </c>
      <c r="G60" s="91" t="s">
        <v>141</v>
      </c>
      <c r="H60" s="91"/>
      <c r="I60" s="91"/>
      <c r="J60" s="337">
        <v>1</v>
      </c>
      <c r="K60" s="337">
        <v>1</v>
      </c>
      <c r="L60" s="337">
        <v>1</v>
      </c>
      <c r="M60" s="337">
        <v>1</v>
      </c>
      <c r="N60" s="337">
        <v>1</v>
      </c>
      <c r="O60" s="337">
        <v>1</v>
      </c>
      <c r="P60" s="337">
        <v>1</v>
      </c>
      <c r="Q60" s="337">
        <v>1</v>
      </c>
      <c r="R60" s="337">
        <v>-1</v>
      </c>
      <c r="S60" s="337">
        <v>-1</v>
      </c>
      <c r="T60" s="337">
        <v>-1</v>
      </c>
      <c r="U60" s="337">
        <v>-1</v>
      </c>
      <c r="V60" s="337">
        <v>-1</v>
      </c>
      <c r="W60" s="337">
        <v>-1</v>
      </c>
      <c r="X60" s="337">
        <v>-1</v>
      </c>
      <c r="Y60" s="337">
        <v>-1</v>
      </c>
    </row>
    <row r="61" spans="5:27" x14ac:dyDescent="0.25">
      <c r="F61" s="295" t="s">
        <v>43</v>
      </c>
      <c r="G61" s="295" t="s">
        <v>141</v>
      </c>
      <c r="J61" s="341">
        <v>1</v>
      </c>
      <c r="K61" s="341">
        <v>1</v>
      </c>
      <c r="L61" s="341">
        <v>1</v>
      </c>
      <c r="M61" s="341">
        <v>1</v>
      </c>
      <c r="N61" s="341">
        <v>1</v>
      </c>
      <c r="O61" s="341">
        <v>1</v>
      </c>
      <c r="P61" s="341">
        <v>1</v>
      </c>
      <c r="Q61" s="341">
        <v>1</v>
      </c>
      <c r="R61" s="341">
        <v>-1</v>
      </c>
      <c r="S61" s="341">
        <v>-1</v>
      </c>
      <c r="T61" s="341">
        <v>-1</v>
      </c>
      <c r="U61" s="341">
        <v>-1</v>
      </c>
      <c r="V61" s="341">
        <v>-1</v>
      </c>
      <c r="W61" s="341">
        <v>-1</v>
      </c>
      <c r="X61" s="341">
        <v>-1</v>
      </c>
      <c r="Y61" s="341">
        <v>-1</v>
      </c>
    </row>
    <row r="62" spans="5:27" x14ac:dyDescent="0.25">
      <c r="F62" s="295" t="s">
        <v>44</v>
      </c>
      <c r="G62" s="295" t="s">
        <v>141</v>
      </c>
      <c r="J62" s="341">
        <v>1</v>
      </c>
      <c r="K62" s="341">
        <v>1</v>
      </c>
      <c r="L62" s="341">
        <v>1</v>
      </c>
      <c r="M62" s="341">
        <v>1</v>
      </c>
      <c r="N62" s="341">
        <v>1</v>
      </c>
      <c r="O62" s="341">
        <v>1</v>
      </c>
      <c r="P62" s="341">
        <v>1</v>
      </c>
      <c r="Q62" s="341">
        <v>1</v>
      </c>
      <c r="R62" s="341">
        <v>-1</v>
      </c>
      <c r="S62" s="341">
        <v>-1</v>
      </c>
      <c r="T62" s="341">
        <v>-1</v>
      </c>
      <c r="U62" s="341">
        <v>-1</v>
      </c>
      <c r="V62" s="341">
        <v>-1</v>
      </c>
      <c r="W62" s="341">
        <v>-1</v>
      </c>
      <c r="X62" s="341">
        <v>-1</v>
      </c>
      <c r="Y62" s="341">
        <v>-1</v>
      </c>
    </row>
    <row r="63" spans="5:27" x14ac:dyDescent="0.25">
      <c r="F63" s="295" t="s">
        <v>45</v>
      </c>
      <c r="G63" s="295" t="s">
        <v>141</v>
      </c>
      <c r="J63" s="341">
        <v>1</v>
      </c>
      <c r="K63" s="341">
        <v>1</v>
      </c>
      <c r="L63" s="341">
        <v>1</v>
      </c>
      <c r="M63" s="341">
        <v>1</v>
      </c>
      <c r="N63" s="341">
        <v>1</v>
      </c>
      <c r="O63" s="341">
        <v>1</v>
      </c>
      <c r="P63" s="341">
        <v>1</v>
      </c>
      <c r="Q63" s="341">
        <v>1</v>
      </c>
      <c r="R63" s="341">
        <v>-1</v>
      </c>
      <c r="S63" s="341">
        <v>-1</v>
      </c>
      <c r="T63" s="341">
        <v>-1</v>
      </c>
      <c r="U63" s="341">
        <v>-1</v>
      </c>
      <c r="V63" s="341">
        <v>-1</v>
      </c>
      <c r="W63" s="341">
        <v>-1</v>
      </c>
      <c r="X63" s="341">
        <v>-1</v>
      </c>
      <c r="Y63" s="341">
        <v>-1</v>
      </c>
    </row>
    <row r="64" spans="5:27" x14ac:dyDescent="0.25">
      <c r="F64" s="295" t="s">
        <v>46</v>
      </c>
      <c r="G64" s="295" t="s">
        <v>141</v>
      </c>
      <c r="J64" s="341">
        <v>1</v>
      </c>
      <c r="K64" s="341">
        <v>1</v>
      </c>
      <c r="L64" s="341">
        <v>1</v>
      </c>
      <c r="M64" s="341">
        <v>1</v>
      </c>
      <c r="N64" s="341">
        <v>1</v>
      </c>
      <c r="O64" s="341">
        <v>1</v>
      </c>
      <c r="P64" s="341">
        <v>1</v>
      </c>
      <c r="Q64" s="341">
        <v>1</v>
      </c>
      <c r="R64" s="341">
        <v>-1</v>
      </c>
      <c r="S64" s="341">
        <v>-1</v>
      </c>
      <c r="T64" s="341">
        <v>-1</v>
      </c>
      <c r="U64" s="341">
        <v>-1</v>
      </c>
      <c r="V64" s="341">
        <v>-1</v>
      </c>
      <c r="W64" s="341">
        <v>-1</v>
      </c>
      <c r="X64" s="341">
        <v>-1</v>
      </c>
      <c r="Y64" s="341">
        <v>-1</v>
      </c>
    </row>
    <row r="65" spans="5:27" x14ac:dyDescent="0.25">
      <c r="F65" s="295" t="s">
        <v>47</v>
      </c>
      <c r="G65" s="295" t="s">
        <v>141</v>
      </c>
      <c r="J65" s="341">
        <v>1</v>
      </c>
      <c r="K65" s="341">
        <v>1</v>
      </c>
      <c r="L65" s="341">
        <v>1</v>
      </c>
      <c r="M65" s="341">
        <v>1</v>
      </c>
      <c r="N65" s="341">
        <v>1</v>
      </c>
      <c r="O65" s="341">
        <v>1</v>
      </c>
      <c r="P65" s="341">
        <v>1</v>
      </c>
      <c r="Q65" s="341">
        <v>1</v>
      </c>
      <c r="R65" s="341">
        <v>-1</v>
      </c>
      <c r="S65" s="341">
        <v>-1</v>
      </c>
      <c r="T65" s="341">
        <v>-1</v>
      </c>
      <c r="U65" s="341">
        <v>-1</v>
      </c>
      <c r="V65" s="341">
        <v>-1</v>
      </c>
      <c r="W65" s="341">
        <v>-1</v>
      </c>
      <c r="X65" s="341">
        <v>-1</v>
      </c>
      <c r="Y65" s="341">
        <v>-1</v>
      </c>
    </row>
    <row r="66" spans="5:27" x14ac:dyDescent="0.25">
      <c r="F66" s="295" t="s">
        <v>51</v>
      </c>
      <c r="G66" s="295" t="s">
        <v>141</v>
      </c>
      <c r="J66" s="341">
        <v>1</v>
      </c>
      <c r="K66" s="341">
        <v>1</v>
      </c>
      <c r="L66" s="341">
        <v>1</v>
      </c>
      <c r="M66" s="341">
        <v>1</v>
      </c>
      <c r="N66" s="341">
        <v>1</v>
      </c>
      <c r="O66" s="341">
        <v>1</v>
      </c>
      <c r="P66" s="341">
        <v>1</v>
      </c>
      <c r="Q66" s="341">
        <v>1</v>
      </c>
      <c r="R66" s="341">
        <v>-1</v>
      </c>
      <c r="S66" s="341">
        <v>-1</v>
      </c>
      <c r="T66" s="341">
        <v>-1</v>
      </c>
      <c r="U66" s="341">
        <v>-1</v>
      </c>
      <c r="V66" s="341">
        <v>-1</v>
      </c>
      <c r="W66" s="341">
        <v>-1</v>
      </c>
      <c r="X66" s="341">
        <v>-1</v>
      </c>
      <c r="Y66" s="341">
        <v>-1</v>
      </c>
    </row>
    <row r="67" spans="5:27" x14ac:dyDescent="0.25">
      <c r="F67" s="295" t="s">
        <v>48</v>
      </c>
      <c r="G67" s="295" t="s">
        <v>141</v>
      </c>
      <c r="J67" s="341">
        <v>1</v>
      </c>
      <c r="K67" s="341">
        <v>1</v>
      </c>
      <c r="L67" s="341">
        <v>1</v>
      </c>
      <c r="M67" s="341">
        <v>1</v>
      </c>
      <c r="N67" s="341">
        <v>1</v>
      </c>
      <c r="O67" s="341">
        <v>1</v>
      </c>
      <c r="P67" s="341">
        <v>1</v>
      </c>
      <c r="Q67" s="341">
        <v>1</v>
      </c>
      <c r="R67" s="341">
        <v>-1</v>
      </c>
      <c r="S67" s="341">
        <v>-1</v>
      </c>
      <c r="T67" s="341">
        <v>-1</v>
      </c>
      <c r="U67" s="341">
        <v>-1</v>
      </c>
      <c r="V67" s="341">
        <v>-1</v>
      </c>
      <c r="W67" s="341">
        <v>-1</v>
      </c>
      <c r="X67" s="341">
        <v>-1</v>
      </c>
      <c r="Y67" s="341">
        <v>-1</v>
      </c>
    </row>
    <row r="68" spans="5:27" x14ac:dyDescent="0.25">
      <c r="F68" s="295" t="s">
        <v>49</v>
      </c>
      <c r="G68" s="295" t="s">
        <v>141</v>
      </c>
      <c r="J68" s="341">
        <v>1</v>
      </c>
      <c r="K68" s="341">
        <v>1</v>
      </c>
      <c r="L68" s="341">
        <v>1</v>
      </c>
      <c r="M68" s="341">
        <v>1</v>
      </c>
      <c r="N68" s="341">
        <v>1</v>
      </c>
      <c r="O68" s="341">
        <v>1</v>
      </c>
      <c r="P68" s="341">
        <v>0</v>
      </c>
      <c r="Q68" s="341">
        <v>1</v>
      </c>
      <c r="R68" s="341">
        <v>-1</v>
      </c>
      <c r="S68" s="341">
        <v>-1</v>
      </c>
      <c r="T68" s="341">
        <v>-1</v>
      </c>
      <c r="U68" s="341">
        <v>-1</v>
      </c>
      <c r="V68" s="341">
        <v>-1</v>
      </c>
      <c r="W68" s="341">
        <v>-1</v>
      </c>
      <c r="X68" s="341">
        <v>0</v>
      </c>
      <c r="Y68" s="341">
        <v>0</v>
      </c>
    </row>
    <row r="69" spans="5:27" x14ac:dyDescent="0.25">
      <c r="F69" s="93" t="s">
        <v>50</v>
      </c>
      <c r="G69" s="93" t="s">
        <v>141</v>
      </c>
      <c r="H69" s="93"/>
      <c r="I69" s="93"/>
      <c r="J69" s="338">
        <v>1</v>
      </c>
      <c r="K69" s="338">
        <v>1</v>
      </c>
      <c r="L69" s="338">
        <v>1</v>
      </c>
      <c r="M69" s="338">
        <v>1</v>
      </c>
      <c r="N69" s="338">
        <v>1</v>
      </c>
      <c r="O69" s="338">
        <v>0</v>
      </c>
      <c r="P69" s="338">
        <v>0</v>
      </c>
      <c r="Q69" s="338">
        <v>1</v>
      </c>
      <c r="R69" s="338">
        <v>-1</v>
      </c>
      <c r="S69" s="338">
        <v>0</v>
      </c>
      <c r="T69" s="338">
        <v>-1</v>
      </c>
      <c r="U69" s="338">
        <v>-1</v>
      </c>
      <c r="V69" s="338">
        <v>0</v>
      </c>
      <c r="W69" s="338">
        <v>0</v>
      </c>
      <c r="X69" s="338">
        <v>0</v>
      </c>
      <c r="Y69" s="338">
        <v>0</v>
      </c>
    </row>
    <row r="71" spans="5:27" x14ac:dyDescent="0.25">
      <c r="E71" s="96" t="s">
        <v>402</v>
      </c>
      <c r="I71" s="295" t="s">
        <v>431</v>
      </c>
      <c r="AA71" s="88" t="s">
        <v>925</v>
      </c>
    </row>
    <row r="72" spans="5:27" x14ac:dyDescent="0.25">
      <c r="E72" s="82" t="s">
        <v>319</v>
      </c>
    </row>
    <row r="73" spans="5:27" x14ac:dyDescent="0.25">
      <c r="E73" s="82"/>
      <c r="F73" s="91" t="s">
        <v>324</v>
      </c>
      <c r="G73" s="91" t="s">
        <v>141</v>
      </c>
      <c r="H73" s="91"/>
      <c r="I73" s="91"/>
      <c r="J73" s="337">
        <v>1</v>
      </c>
      <c r="K73" s="337">
        <v>1</v>
      </c>
      <c r="L73" s="337">
        <v>1</v>
      </c>
      <c r="M73" s="337">
        <v>1</v>
      </c>
      <c r="N73" s="337">
        <v>1</v>
      </c>
      <c r="O73" s="337">
        <v>1</v>
      </c>
      <c r="P73" s="337">
        <v>1</v>
      </c>
      <c r="Q73" s="337">
        <v>1</v>
      </c>
      <c r="R73" s="337">
        <v>-1</v>
      </c>
      <c r="S73" s="337">
        <v>-1</v>
      </c>
      <c r="T73" s="337">
        <v>-1</v>
      </c>
      <c r="U73" s="337">
        <v>-1</v>
      </c>
      <c r="V73" s="337">
        <v>-1</v>
      </c>
      <c r="W73" s="337">
        <v>-1</v>
      </c>
      <c r="X73" s="337">
        <v>-1</v>
      </c>
      <c r="Y73" s="337">
        <v>-1</v>
      </c>
    </row>
    <row r="74" spans="5:27" x14ac:dyDescent="0.25">
      <c r="E74" s="82"/>
      <c r="F74" s="295" t="s">
        <v>43</v>
      </c>
      <c r="G74" s="295" t="s">
        <v>141</v>
      </c>
      <c r="J74" s="341">
        <v>1</v>
      </c>
      <c r="K74" s="341">
        <v>1</v>
      </c>
      <c r="L74" s="341">
        <v>1</v>
      </c>
      <c r="M74" s="341">
        <v>1</v>
      </c>
      <c r="N74" s="341">
        <v>1</v>
      </c>
      <c r="O74" s="341">
        <v>1</v>
      </c>
      <c r="P74" s="341">
        <v>1</v>
      </c>
      <c r="Q74" s="341">
        <v>1</v>
      </c>
      <c r="R74" s="341">
        <v>-1</v>
      </c>
      <c r="S74" s="341">
        <v>-1</v>
      </c>
      <c r="T74" s="341">
        <v>-1</v>
      </c>
      <c r="U74" s="341">
        <v>-1</v>
      </c>
      <c r="V74" s="341">
        <v>-1</v>
      </c>
      <c r="W74" s="341">
        <v>-1</v>
      </c>
      <c r="X74" s="341">
        <v>-1</v>
      </c>
      <c r="Y74" s="341">
        <v>-1</v>
      </c>
    </row>
    <row r="75" spans="5:27" x14ac:dyDescent="0.25">
      <c r="E75" s="82"/>
      <c r="F75" s="295" t="s">
        <v>44</v>
      </c>
      <c r="G75" s="295" t="s">
        <v>141</v>
      </c>
      <c r="J75" s="341">
        <v>1</v>
      </c>
      <c r="K75" s="341">
        <v>1</v>
      </c>
      <c r="L75" s="341">
        <v>1</v>
      </c>
      <c r="M75" s="341">
        <v>1</v>
      </c>
      <c r="N75" s="341">
        <v>1</v>
      </c>
      <c r="O75" s="341">
        <v>1</v>
      </c>
      <c r="P75" s="341">
        <v>1</v>
      </c>
      <c r="Q75" s="341">
        <v>1</v>
      </c>
      <c r="R75" s="341">
        <v>-1</v>
      </c>
      <c r="S75" s="341">
        <v>-1</v>
      </c>
      <c r="T75" s="341">
        <v>-1</v>
      </c>
      <c r="U75" s="341">
        <v>-1</v>
      </c>
      <c r="V75" s="341">
        <v>-1</v>
      </c>
      <c r="W75" s="341">
        <v>-1</v>
      </c>
      <c r="X75" s="341">
        <v>-1</v>
      </c>
      <c r="Y75" s="341">
        <v>-1</v>
      </c>
    </row>
    <row r="76" spans="5:27" x14ac:dyDescent="0.25">
      <c r="E76" s="82"/>
      <c r="F76" s="295" t="s">
        <v>45</v>
      </c>
      <c r="G76" s="295" t="s">
        <v>141</v>
      </c>
      <c r="J76" s="341">
        <v>1</v>
      </c>
      <c r="K76" s="341">
        <v>1</v>
      </c>
      <c r="L76" s="341">
        <v>1</v>
      </c>
      <c r="M76" s="341">
        <v>1</v>
      </c>
      <c r="N76" s="341">
        <v>1</v>
      </c>
      <c r="O76" s="341">
        <v>1</v>
      </c>
      <c r="P76" s="341">
        <v>1</v>
      </c>
      <c r="Q76" s="341">
        <v>1</v>
      </c>
      <c r="R76" s="341">
        <v>-1</v>
      </c>
      <c r="S76" s="341">
        <v>-1</v>
      </c>
      <c r="T76" s="341">
        <v>-1</v>
      </c>
      <c r="U76" s="341">
        <v>-1</v>
      </c>
      <c r="V76" s="341">
        <v>-1</v>
      </c>
      <c r="W76" s="341">
        <v>-1</v>
      </c>
      <c r="X76" s="341">
        <v>-1</v>
      </c>
      <c r="Y76" s="341">
        <v>-1</v>
      </c>
    </row>
    <row r="77" spans="5:27" x14ac:dyDescent="0.25">
      <c r="E77" s="82"/>
      <c r="F77" s="295" t="s">
        <v>46</v>
      </c>
      <c r="G77" s="295" t="s">
        <v>141</v>
      </c>
      <c r="J77" s="341">
        <v>1</v>
      </c>
      <c r="K77" s="341">
        <v>1</v>
      </c>
      <c r="L77" s="341">
        <v>1</v>
      </c>
      <c r="M77" s="341">
        <v>1</v>
      </c>
      <c r="N77" s="341">
        <v>1</v>
      </c>
      <c r="O77" s="341">
        <v>1</v>
      </c>
      <c r="P77" s="341">
        <v>1</v>
      </c>
      <c r="Q77" s="341">
        <v>1</v>
      </c>
      <c r="R77" s="341">
        <v>-1</v>
      </c>
      <c r="S77" s="341">
        <v>-1</v>
      </c>
      <c r="T77" s="341">
        <v>-1</v>
      </c>
      <c r="U77" s="341">
        <v>-1</v>
      </c>
      <c r="V77" s="341">
        <v>-1</v>
      </c>
      <c r="W77" s="341">
        <v>-1</v>
      </c>
      <c r="X77" s="341">
        <v>-1</v>
      </c>
      <c r="Y77" s="341">
        <v>-1</v>
      </c>
    </row>
    <row r="78" spans="5:27" x14ac:dyDescent="0.25">
      <c r="E78" s="82"/>
      <c r="F78" s="295" t="s">
        <v>47</v>
      </c>
      <c r="G78" s="295" t="s">
        <v>141</v>
      </c>
      <c r="J78" s="341">
        <v>1</v>
      </c>
      <c r="K78" s="341">
        <v>1</v>
      </c>
      <c r="L78" s="341">
        <v>1</v>
      </c>
      <c r="M78" s="341">
        <v>1</v>
      </c>
      <c r="N78" s="341">
        <v>1</v>
      </c>
      <c r="O78" s="341">
        <v>1</v>
      </c>
      <c r="P78" s="341">
        <v>1</v>
      </c>
      <c r="Q78" s="341">
        <v>1</v>
      </c>
      <c r="R78" s="341">
        <v>-1</v>
      </c>
      <c r="S78" s="341">
        <v>-1</v>
      </c>
      <c r="T78" s="341">
        <v>-1</v>
      </c>
      <c r="U78" s="341">
        <v>-1</v>
      </c>
      <c r="V78" s="341">
        <v>-1</v>
      </c>
      <c r="W78" s="341">
        <v>-1</v>
      </c>
      <c r="X78" s="341">
        <v>-1</v>
      </c>
      <c r="Y78" s="341">
        <v>-1</v>
      </c>
    </row>
    <row r="79" spans="5:27" x14ac:dyDescent="0.25">
      <c r="E79" s="82"/>
      <c r="F79" s="295" t="s">
        <v>51</v>
      </c>
      <c r="G79" s="295" t="s">
        <v>141</v>
      </c>
      <c r="J79" s="341">
        <v>1</v>
      </c>
      <c r="K79" s="341">
        <v>1</v>
      </c>
      <c r="L79" s="341">
        <v>1</v>
      </c>
      <c r="M79" s="341">
        <v>1</v>
      </c>
      <c r="N79" s="341">
        <v>1</v>
      </c>
      <c r="O79" s="341">
        <v>1</v>
      </c>
      <c r="P79" s="341">
        <v>1</v>
      </c>
      <c r="Q79" s="341">
        <v>1</v>
      </c>
      <c r="R79" s="341">
        <v>-1</v>
      </c>
      <c r="S79" s="341">
        <v>-1</v>
      </c>
      <c r="T79" s="341">
        <v>-1</v>
      </c>
      <c r="U79" s="341">
        <v>-1</v>
      </c>
      <c r="V79" s="341">
        <v>-1</v>
      </c>
      <c r="W79" s="341">
        <v>-1</v>
      </c>
      <c r="X79" s="341">
        <v>-1</v>
      </c>
      <c r="Y79" s="341">
        <v>-1</v>
      </c>
    </row>
    <row r="80" spans="5:27" x14ac:dyDescent="0.25">
      <c r="E80" s="82"/>
      <c r="F80" s="295" t="s">
        <v>48</v>
      </c>
      <c r="G80" s="295" t="s">
        <v>141</v>
      </c>
      <c r="J80" s="341">
        <v>1</v>
      </c>
      <c r="K80" s="341">
        <v>1</v>
      </c>
      <c r="L80" s="341">
        <v>1</v>
      </c>
      <c r="M80" s="341">
        <v>1</v>
      </c>
      <c r="N80" s="341">
        <v>1</v>
      </c>
      <c r="O80" s="341">
        <v>1</v>
      </c>
      <c r="P80" s="341">
        <v>1</v>
      </c>
      <c r="Q80" s="341">
        <v>1</v>
      </c>
      <c r="R80" s="341">
        <v>-1</v>
      </c>
      <c r="S80" s="341">
        <v>-1</v>
      </c>
      <c r="T80" s="341">
        <v>-1</v>
      </c>
      <c r="U80" s="341">
        <v>-1</v>
      </c>
      <c r="V80" s="341">
        <v>-1</v>
      </c>
      <c r="W80" s="341">
        <v>-1</v>
      </c>
      <c r="X80" s="341">
        <v>0</v>
      </c>
      <c r="Y80" s="341">
        <v>0</v>
      </c>
    </row>
    <row r="81" spans="3:27" x14ac:dyDescent="0.25">
      <c r="E81" s="82"/>
      <c r="F81" s="295" t="s">
        <v>49</v>
      </c>
      <c r="G81" s="295" t="s">
        <v>141</v>
      </c>
      <c r="J81" s="341">
        <v>1</v>
      </c>
      <c r="K81" s="341">
        <v>1</v>
      </c>
      <c r="L81" s="341">
        <v>1</v>
      </c>
      <c r="M81" s="341">
        <v>1</v>
      </c>
      <c r="N81" s="341">
        <v>1</v>
      </c>
      <c r="O81" s="341">
        <v>1</v>
      </c>
      <c r="P81" s="341">
        <v>0</v>
      </c>
      <c r="Q81" s="341">
        <v>1</v>
      </c>
      <c r="R81" s="341">
        <v>-1</v>
      </c>
      <c r="S81" s="341">
        <v>0</v>
      </c>
      <c r="T81" s="341">
        <v>-1</v>
      </c>
      <c r="U81" s="341">
        <v>-1</v>
      </c>
      <c r="V81" s="341">
        <v>0</v>
      </c>
      <c r="W81" s="341">
        <v>0</v>
      </c>
      <c r="X81" s="341">
        <v>0</v>
      </c>
      <c r="Y81" s="341">
        <v>0</v>
      </c>
    </row>
    <row r="82" spans="3:27" x14ac:dyDescent="0.25">
      <c r="E82" s="82"/>
      <c r="F82" s="93" t="s">
        <v>50</v>
      </c>
      <c r="G82" s="93" t="s">
        <v>141</v>
      </c>
      <c r="H82" s="93"/>
      <c r="I82" s="93"/>
      <c r="J82" s="338">
        <v>1</v>
      </c>
      <c r="K82" s="338">
        <v>1</v>
      </c>
      <c r="L82" s="338">
        <v>1</v>
      </c>
      <c r="M82" s="338">
        <v>1</v>
      </c>
      <c r="N82" s="338">
        <v>1</v>
      </c>
      <c r="O82" s="338">
        <v>0</v>
      </c>
      <c r="P82" s="338">
        <v>0</v>
      </c>
      <c r="Q82" s="338">
        <v>1</v>
      </c>
      <c r="R82" s="338">
        <v>0</v>
      </c>
      <c r="S82" s="338">
        <v>0</v>
      </c>
      <c r="T82" s="338">
        <v>0</v>
      </c>
      <c r="U82" s="338">
        <v>0</v>
      </c>
      <c r="V82" s="338">
        <v>0</v>
      </c>
      <c r="W82" s="338">
        <v>0</v>
      </c>
      <c r="X82" s="338">
        <v>0</v>
      </c>
      <c r="Y82" s="338">
        <v>0</v>
      </c>
    </row>
    <row r="84" spans="3:27" x14ac:dyDescent="0.25">
      <c r="C84" s="7" t="str">
        <f ca="1">INDEX('Version control'!$H$34:$H$60,MATCH($A$1,'Version control'!$F$34:$F$60,0),1)&amp;"-E: Standing charge factors"</f>
        <v>Input 504-E: Standing charge factors</v>
      </c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6" spans="3:27" x14ac:dyDescent="0.25">
      <c r="E86" s="96" t="s">
        <v>320</v>
      </c>
      <c r="F86" s="96"/>
      <c r="I86" s="295" t="s">
        <v>431</v>
      </c>
      <c r="AA86" s="295" t="s">
        <v>811</v>
      </c>
    </row>
    <row r="87" spans="3:27" x14ac:dyDescent="0.25">
      <c r="E87" s="82" t="s">
        <v>1034</v>
      </c>
      <c r="F87" s="82"/>
    </row>
    <row r="88" spans="3:27" x14ac:dyDescent="0.25">
      <c r="E88" s="82"/>
      <c r="F88" s="91" t="s">
        <v>324</v>
      </c>
      <c r="G88" s="91" t="s">
        <v>94</v>
      </c>
      <c r="H88" s="91"/>
      <c r="I88" s="91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</row>
    <row r="89" spans="3:27" x14ac:dyDescent="0.25">
      <c r="E89" s="82"/>
      <c r="F89" s="295" t="s">
        <v>43</v>
      </c>
      <c r="G89" s="295" t="s">
        <v>94</v>
      </c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</row>
    <row r="90" spans="3:27" x14ac:dyDescent="0.25">
      <c r="E90" s="82"/>
      <c r="F90" s="295" t="s">
        <v>44</v>
      </c>
      <c r="G90" s="295" t="s">
        <v>94</v>
      </c>
      <c r="J90" s="375"/>
      <c r="K90" s="375"/>
      <c r="L90" s="375"/>
      <c r="M90" s="375"/>
      <c r="N90" s="375"/>
      <c r="O90" s="375"/>
      <c r="P90" s="375"/>
      <c r="Q90" s="375"/>
      <c r="R90" s="79"/>
      <c r="S90" s="79"/>
      <c r="T90" s="79"/>
      <c r="U90" s="79"/>
      <c r="V90" s="79"/>
      <c r="W90" s="79"/>
      <c r="X90" s="79"/>
      <c r="Y90" s="79"/>
    </row>
    <row r="91" spans="3:27" x14ac:dyDescent="0.25">
      <c r="E91" s="82"/>
      <c r="F91" s="295" t="s">
        <v>45</v>
      </c>
      <c r="G91" s="295" t="s">
        <v>94</v>
      </c>
      <c r="J91" s="375"/>
      <c r="K91" s="375"/>
      <c r="L91" s="375"/>
      <c r="M91" s="375"/>
      <c r="N91" s="375"/>
      <c r="O91" s="375"/>
      <c r="P91" s="375"/>
      <c r="Q91" s="375"/>
      <c r="R91" s="79"/>
      <c r="S91" s="79"/>
      <c r="T91" s="79"/>
      <c r="U91" s="79"/>
      <c r="V91" s="79"/>
      <c r="W91" s="79"/>
      <c r="X91" s="79"/>
      <c r="Y91" s="79"/>
    </row>
    <row r="92" spans="3:27" x14ac:dyDescent="0.25">
      <c r="E92" s="82"/>
      <c r="F92" s="295" t="s">
        <v>46</v>
      </c>
      <c r="G92" s="295" t="s">
        <v>94</v>
      </c>
      <c r="J92" s="375"/>
      <c r="K92" s="375"/>
      <c r="L92" s="375"/>
      <c r="M92" s="375"/>
      <c r="N92" s="375"/>
      <c r="O92" s="375"/>
      <c r="P92" s="374">
        <v>0.2</v>
      </c>
      <c r="Q92" s="375"/>
      <c r="R92" s="79"/>
      <c r="S92" s="79"/>
      <c r="T92" s="79"/>
      <c r="U92" s="79"/>
      <c r="V92" s="79"/>
      <c r="W92" s="79"/>
      <c r="X92" s="79"/>
      <c r="Y92" s="79"/>
    </row>
    <row r="93" spans="3:27" x14ac:dyDescent="0.25">
      <c r="E93" s="82"/>
      <c r="F93" s="295" t="s">
        <v>47</v>
      </c>
      <c r="G93" s="295" t="s">
        <v>94</v>
      </c>
      <c r="J93" s="375"/>
      <c r="K93" s="375"/>
      <c r="L93" s="375"/>
      <c r="M93" s="375"/>
      <c r="N93" s="375"/>
      <c r="O93" s="375"/>
      <c r="P93" s="374">
        <v>1</v>
      </c>
      <c r="Q93" s="375"/>
      <c r="R93" s="79"/>
      <c r="S93" s="79"/>
      <c r="T93" s="79"/>
      <c r="U93" s="79"/>
      <c r="V93" s="79"/>
      <c r="W93" s="79"/>
      <c r="X93" s="79"/>
      <c r="Y93" s="79"/>
    </row>
    <row r="94" spans="3:27" x14ac:dyDescent="0.25">
      <c r="E94" s="82"/>
      <c r="F94" s="295" t="s">
        <v>51</v>
      </c>
      <c r="G94" s="295" t="s">
        <v>94</v>
      </c>
      <c r="J94" s="375"/>
      <c r="K94" s="375"/>
      <c r="L94" s="375"/>
      <c r="M94" s="375"/>
      <c r="N94" s="375"/>
      <c r="O94" s="375"/>
      <c r="P94" s="375"/>
      <c r="Q94" s="375"/>
      <c r="R94" s="79"/>
      <c r="S94" s="79"/>
      <c r="T94" s="79"/>
      <c r="U94" s="79"/>
      <c r="V94" s="79"/>
      <c r="W94" s="79"/>
      <c r="X94" s="79"/>
      <c r="Y94" s="79"/>
    </row>
    <row r="95" spans="3:27" x14ac:dyDescent="0.25">
      <c r="E95" s="82"/>
      <c r="F95" s="295" t="s">
        <v>48</v>
      </c>
      <c r="G95" s="295" t="s">
        <v>94</v>
      </c>
      <c r="J95" s="375"/>
      <c r="K95" s="375"/>
      <c r="L95" s="375"/>
      <c r="M95" s="375"/>
      <c r="N95" s="374">
        <v>0.2</v>
      </c>
      <c r="O95" s="374">
        <v>1</v>
      </c>
      <c r="P95" s="374">
        <v>1</v>
      </c>
      <c r="Q95" s="375"/>
      <c r="R95" s="79"/>
      <c r="S95" s="79"/>
      <c r="T95" s="79"/>
      <c r="U95" s="79"/>
      <c r="V95" s="79"/>
      <c r="W95" s="79"/>
      <c r="X95" s="79"/>
      <c r="Y95" s="79"/>
    </row>
    <row r="96" spans="3:27" x14ac:dyDescent="0.25">
      <c r="E96" s="82"/>
      <c r="F96" s="295" t="s">
        <v>49</v>
      </c>
      <c r="G96" s="295" t="s">
        <v>94</v>
      </c>
      <c r="J96" s="375"/>
      <c r="K96" s="375"/>
      <c r="L96" s="375"/>
      <c r="M96" s="375"/>
      <c r="N96" s="374">
        <v>1</v>
      </c>
      <c r="O96" s="374">
        <v>1</v>
      </c>
      <c r="P96" s="375"/>
      <c r="Q96" s="375"/>
      <c r="R96" s="79"/>
      <c r="S96" s="79"/>
      <c r="T96" s="79"/>
      <c r="U96" s="79"/>
      <c r="V96" s="79"/>
      <c r="W96" s="79"/>
      <c r="X96" s="79"/>
      <c r="Y96" s="79"/>
    </row>
    <row r="97" spans="3:27" x14ac:dyDescent="0.25">
      <c r="E97" s="82"/>
      <c r="F97" s="93" t="s">
        <v>50</v>
      </c>
      <c r="G97" s="93" t="s">
        <v>94</v>
      </c>
      <c r="H97" s="93"/>
      <c r="I97" s="93"/>
      <c r="J97" s="340">
        <v>1</v>
      </c>
      <c r="K97" s="340">
        <v>1</v>
      </c>
      <c r="L97" s="340">
        <v>1</v>
      </c>
      <c r="M97" s="340">
        <v>1</v>
      </c>
      <c r="N97" s="340">
        <v>1</v>
      </c>
      <c r="O97" s="38"/>
      <c r="P97" s="38"/>
      <c r="Q97" s="340">
        <v>0</v>
      </c>
      <c r="R97" s="102"/>
      <c r="S97" s="102"/>
      <c r="T97" s="102"/>
      <c r="U97" s="102"/>
      <c r="V97" s="102"/>
      <c r="W97" s="102"/>
      <c r="X97" s="102"/>
      <c r="Y97" s="102"/>
    </row>
    <row r="99" spans="3:27" x14ac:dyDescent="0.25">
      <c r="C99" s="7" t="str">
        <f ca="1">INDEX('Version control'!$H$34:$H$60,MATCH($A$1,'Version control'!$F$34:$F$60,0),1)&amp;"-F: Flags"</f>
        <v>Input 504-F: Flags</v>
      </c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1" spans="3:27" x14ac:dyDescent="0.25">
      <c r="D101" s="96" t="s">
        <v>173</v>
      </c>
      <c r="E101" s="96"/>
    </row>
    <row r="102" spans="3:27" x14ac:dyDescent="0.25">
      <c r="D102" s="82" t="s">
        <v>629</v>
      </c>
      <c r="E102" s="82"/>
    </row>
    <row r="103" spans="3:27" x14ac:dyDescent="0.25">
      <c r="D103" s="82" t="s">
        <v>630</v>
      </c>
      <c r="E103" s="82"/>
    </row>
    <row r="104" spans="3:27" x14ac:dyDescent="0.25">
      <c r="D104" s="82"/>
      <c r="E104" s="96" t="s">
        <v>120</v>
      </c>
    </row>
    <row r="105" spans="3:27" x14ac:dyDescent="0.25">
      <c r="D105" s="82"/>
      <c r="F105" s="14" t="s">
        <v>386</v>
      </c>
      <c r="G105" s="295" t="s">
        <v>174</v>
      </c>
      <c r="I105" s="295" t="s">
        <v>431</v>
      </c>
      <c r="J105" s="376" t="b">
        <v>0</v>
      </c>
      <c r="K105" s="376" t="b">
        <v>0</v>
      </c>
      <c r="L105" s="376" t="b">
        <v>0</v>
      </c>
      <c r="M105" s="376" t="b">
        <v>0</v>
      </c>
      <c r="N105" s="376" t="b">
        <v>0</v>
      </c>
      <c r="O105" s="376" t="b">
        <v>0</v>
      </c>
      <c r="P105" s="376" t="b">
        <v>0</v>
      </c>
      <c r="Q105" s="376" t="b">
        <v>0</v>
      </c>
      <c r="R105" s="376" t="b">
        <v>1</v>
      </c>
      <c r="S105" s="376" t="b">
        <v>1</v>
      </c>
      <c r="T105" s="376" t="b">
        <v>1</v>
      </c>
      <c r="U105" s="376" t="b">
        <v>1</v>
      </c>
      <c r="V105" s="376" t="b">
        <v>1</v>
      </c>
      <c r="W105" s="376" t="b">
        <v>1</v>
      </c>
      <c r="X105" s="376" t="b">
        <v>1</v>
      </c>
      <c r="Y105" s="376" t="b">
        <v>1</v>
      </c>
      <c r="AA105" s="295" t="s">
        <v>812</v>
      </c>
    </row>
    <row r="106" spans="3:27" x14ac:dyDescent="0.25">
      <c r="D106" s="82"/>
      <c r="E106" s="14"/>
      <c r="F106" s="14" t="s">
        <v>387</v>
      </c>
      <c r="G106" s="295" t="s">
        <v>94</v>
      </c>
      <c r="J106" s="375"/>
      <c r="K106" s="375"/>
      <c r="L106" s="375"/>
      <c r="M106" s="375"/>
      <c r="N106" s="375"/>
      <c r="O106" s="375"/>
      <c r="P106" s="375"/>
      <c r="Q106" s="375"/>
      <c r="R106" s="377">
        <v>0</v>
      </c>
      <c r="S106" s="377">
        <v>0</v>
      </c>
      <c r="T106" s="377">
        <v>0</v>
      </c>
      <c r="U106" s="377">
        <v>0</v>
      </c>
      <c r="V106" s="377">
        <v>0</v>
      </c>
      <c r="W106" s="377">
        <v>0</v>
      </c>
      <c r="X106" s="377">
        <v>0</v>
      </c>
      <c r="Y106" s="377">
        <v>0</v>
      </c>
    </row>
    <row r="107" spans="3:27" x14ac:dyDescent="0.25">
      <c r="D107" s="82"/>
      <c r="E107" s="14"/>
      <c r="F107" s="14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</row>
    <row r="108" spans="3:27" x14ac:dyDescent="0.25">
      <c r="D108" s="82"/>
      <c r="E108" s="96" t="s">
        <v>74</v>
      </c>
      <c r="F108" s="14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</row>
    <row r="109" spans="3:27" x14ac:dyDescent="0.25">
      <c r="D109" s="82"/>
      <c r="F109" s="14" t="s">
        <v>386</v>
      </c>
      <c r="G109" s="295" t="s">
        <v>174</v>
      </c>
      <c r="J109" s="376" t="b">
        <v>0</v>
      </c>
      <c r="K109" s="376" t="b">
        <v>0</v>
      </c>
      <c r="L109" s="376" t="b">
        <v>0</v>
      </c>
      <c r="M109" s="376" t="b">
        <v>0</v>
      </c>
      <c r="N109" s="376" t="b">
        <v>0</v>
      </c>
      <c r="O109" s="376" t="b">
        <v>0</v>
      </c>
      <c r="P109" s="376" t="b">
        <v>0</v>
      </c>
      <c r="Q109" s="376" t="b">
        <v>0</v>
      </c>
      <c r="R109" s="376" t="b">
        <v>1</v>
      </c>
      <c r="S109" s="376" t="b">
        <v>1</v>
      </c>
      <c r="T109" s="376" t="b">
        <v>1</v>
      </c>
      <c r="U109" s="376" t="b">
        <v>1</v>
      </c>
      <c r="V109" s="376" t="b">
        <v>1</v>
      </c>
      <c r="W109" s="376" t="b">
        <v>1</v>
      </c>
      <c r="X109" s="376" t="b">
        <v>1</v>
      </c>
      <c r="Y109" s="376" t="b">
        <v>1</v>
      </c>
    </row>
    <row r="110" spans="3:27" x14ac:dyDescent="0.25">
      <c r="D110" s="82"/>
      <c r="E110" s="14"/>
      <c r="F110" s="14" t="s">
        <v>387</v>
      </c>
      <c r="G110" s="295" t="s">
        <v>94</v>
      </c>
      <c r="J110" s="375"/>
      <c r="K110" s="375"/>
      <c r="L110" s="375"/>
      <c r="M110" s="375"/>
      <c r="N110" s="375"/>
      <c r="O110" s="375"/>
      <c r="P110" s="375"/>
      <c r="Q110" s="375"/>
      <c r="R110" s="377">
        <v>1</v>
      </c>
      <c r="S110" s="377">
        <v>1</v>
      </c>
      <c r="T110" s="377">
        <v>1</v>
      </c>
      <c r="U110" s="377">
        <v>1</v>
      </c>
      <c r="V110" s="377">
        <v>1</v>
      </c>
      <c r="W110" s="377">
        <v>1</v>
      </c>
      <c r="X110" s="377">
        <v>1</v>
      </c>
      <c r="Y110" s="377">
        <v>1</v>
      </c>
    </row>
    <row r="111" spans="3:27" x14ac:dyDescent="0.25">
      <c r="D111" s="82"/>
      <c r="E111" s="14"/>
      <c r="F111" s="14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</row>
    <row r="112" spans="3:27" x14ac:dyDescent="0.25">
      <c r="D112" s="82"/>
      <c r="E112" s="96" t="s">
        <v>75</v>
      </c>
      <c r="F112" s="14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</row>
    <row r="113" spans="4:25" x14ac:dyDescent="0.25">
      <c r="D113" s="82"/>
      <c r="F113" s="14" t="s">
        <v>386</v>
      </c>
      <c r="G113" s="295" t="s">
        <v>174</v>
      </c>
      <c r="J113" s="376" t="b">
        <v>0</v>
      </c>
      <c r="K113" s="376" t="b">
        <v>0</v>
      </c>
      <c r="L113" s="376" t="b">
        <v>0</v>
      </c>
      <c r="M113" s="376" t="b">
        <v>0</v>
      </c>
      <c r="N113" s="376" t="b">
        <v>0</v>
      </c>
      <c r="O113" s="376" t="b">
        <v>0</v>
      </c>
      <c r="P113" s="376" t="b">
        <v>0</v>
      </c>
      <c r="Q113" s="376" t="b">
        <v>0</v>
      </c>
      <c r="R113" s="376" t="b">
        <v>1</v>
      </c>
      <c r="S113" s="376" t="b">
        <v>1</v>
      </c>
      <c r="T113" s="376" t="b">
        <v>1</v>
      </c>
      <c r="U113" s="376" t="b">
        <v>1</v>
      </c>
      <c r="V113" s="376" t="b">
        <v>1</v>
      </c>
      <c r="W113" s="376" t="b">
        <v>1</v>
      </c>
      <c r="X113" s="376" t="b">
        <v>1</v>
      </c>
      <c r="Y113" s="376" t="b">
        <v>1</v>
      </c>
    </row>
    <row r="114" spans="4:25" x14ac:dyDescent="0.25">
      <c r="D114" s="82"/>
      <c r="E114" s="14"/>
      <c r="F114" s="14" t="s">
        <v>387</v>
      </c>
      <c r="G114" s="295" t="s">
        <v>94</v>
      </c>
      <c r="J114" s="375"/>
      <c r="K114" s="375"/>
      <c r="L114" s="375"/>
      <c r="M114" s="375"/>
      <c r="N114" s="375"/>
      <c r="O114" s="375"/>
      <c r="P114" s="375"/>
      <c r="Q114" s="375"/>
      <c r="R114" s="377">
        <v>0</v>
      </c>
      <c r="S114" s="377">
        <v>0</v>
      </c>
      <c r="T114" s="377">
        <v>0</v>
      </c>
      <c r="U114" s="377">
        <v>0</v>
      </c>
      <c r="V114" s="377">
        <v>0</v>
      </c>
      <c r="W114" s="377">
        <v>0</v>
      </c>
      <c r="X114" s="377">
        <v>0</v>
      </c>
      <c r="Y114" s="377">
        <v>0</v>
      </c>
    </row>
    <row r="115" spans="4:25" x14ac:dyDescent="0.25">
      <c r="D115" s="82"/>
      <c r="E115" s="14"/>
      <c r="F115" s="14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</row>
    <row r="116" spans="4:25" x14ac:dyDescent="0.25">
      <c r="D116" s="82"/>
      <c r="E116" s="96" t="s">
        <v>76</v>
      </c>
      <c r="F116" s="14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</row>
    <row r="117" spans="4:25" x14ac:dyDescent="0.25">
      <c r="D117" s="82"/>
      <c r="F117" s="14" t="s">
        <v>386</v>
      </c>
      <c r="G117" s="295" t="s">
        <v>174</v>
      </c>
      <c r="J117" s="376" t="b">
        <v>0</v>
      </c>
      <c r="K117" s="376" t="b">
        <v>0</v>
      </c>
      <c r="L117" s="376" t="b">
        <v>0</v>
      </c>
      <c r="M117" s="376" t="b">
        <v>0</v>
      </c>
      <c r="N117" s="376" t="b">
        <v>0</v>
      </c>
      <c r="O117" s="376" t="b">
        <v>0</v>
      </c>
      <c r="P117" s="376" t="b">
        <v>0</v>
      </c>
      <c r="Q117" s="376" t="b">
        <v>0</v>
      </c>
      <c r="R117" s="376" t="b">
        <v>1</v>
      </c>
      <c r="S117" s="376" t="b">
        <v>1</v>
      </c>
      <c r="T117" s="376" t="b">
        <v>1</v>
      </c>
      <c r="U117" s="376" t="b">
        <v>1</v>
      </c>
      <c r="V117" s="376" t="b">
        <v>1</v>
      </c>
      <c r="W117" s="376" t="b">
        <v>1</v>
      </c>
      <c r="X117" s="376" t="b">
        <v>1</v>
      </c>
      <c r="Y117" s="376" t="b">
        <v>1</v>
      </c>
    </row>
    <row r="118" spans="4:25" x14ac:dyDescent="0.25">
      <c r="D118" s="82"/>
      <c r="E118" s="14"/>
      <c r="F118" s="14" t="s">
        <v>387</v>
      </c>
      <c r="G118" s="295" t="s">
        <v>94</v>
      </c>
      <c r="J118" s="375"/>
      <c r="K118" s="375"/>
      <c r="L118" s="375"/>
      <c r="M118" s="375"/>
      <c r="N118" s="375"/>
      <c r="O118" s="375"/>
      <c r="P118" s="375"/>
      <c r="Q118" s="375"/>
      <c r="R118" s="377">
        <v>0</v>
      </c>
      <c r="S118" s="377">
        <v>0</v>
      </c>
      <c r="T118" s="377">
        <v>0</v>
      </c>
      <c r="U118" s="377">
        <v>0</v>
      </c>
      <c r="V118" s="377">
        <v>0</v>
      </c>
      <c r="W118" s="377">
        <v>0</v>
      </c>
      <c r="X118" s="377">
        <v>0</v>
      </c>
      <c r="Y118" s="377">
        <v>0</v>
      </c>
    </row>
    <row r="119" spans="4:25" x14ac:dyDescent="0.25">
      <c r="D119" s="82"/>
      <c r="E119" s="14"/>
      <c r="F119" s="14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</row>
    <row r="120" spans="4:25" x14ac:dyDescent="0.25">
      <c r="D120" s="82"/>
      <c r="E120" s="96" t="s">
        <v>77</v>
      </c>
      <c r="F120" s="14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</row>
    <row r="121" spans="4:25" x14ac:dyDescent="0.25">
      <c r="D121" s="82"/>
      <c r="F121" s="14" t="s">
        <v>386</v>
      </c>
      <c r="G121" s="295" t="s">
        <v>174</v>
      </c>
      <c r="J121" s="376" t="b">
        <v>0</v>
      </c>
      <c r="K121" s="376" t="b">
        <v>0</v>
      </c>
      <c r="L121" s="376" t="b">
        <v>0</v>
      </c>
      <c r="M121" s="376" t="b">
        <v>0</v>
      </c>
      <c r="N121" s="376" t="b">
        <v>0</v>
      </c>
      <c r="O121" s="376" t="b">
        <v>0</v>
      </c>
      <c r="P121" s="376" t="b">
        <v>0</v>
      </c>
      <c r="Q121" s="376" t="b">
        <v>0</v>
      </c>
      <c r="R121" s="376" t="b">
        <v>1</v>
      </c>
      <c r="S121" s="376" t="b">
        <v>1</v>
      </c>
      <c r="T121" s="376" t="b">
        <v>1</v>
      </c>
      <c r="U121" s="376" t="b">
        <v>1</v>
      </c>
      <c r="V121" s="376" t="b">
        <v>1</v>
      </c>
      <c r="W121" s="376" t="b">
        <v>1</v>
      </c>
      <c r="X121" s="376" t="b">
        <v>1</v>
      </c>
      <c r="Y121" s="376" t="b">
        <v>1</v>
      </c>
    </row>
    <row r="122" spans="4:25" x14ac:dyDescent="0.25">
      <c r="D122" s="82"/>
      <c r="E122" s="14"/>
      <c r="F122" s="14" t="s">
        <v>387</v>
      </c>
      <c r="G122" s="295" t="s">
        <v>94</v>
      </c>
      <c r="J122" s="375"/>
      <c r="K122" s="375"/>
      <c r="L122" s="375"/>
      <c r="M122" s="375"/>
      <c r="N122" s="375"/>
      <c r="O122" s="375"/>
      <c r="P122" s="375"/>
      <c r="Q122" s="375"/>
      <c r="R122" s="377">
        <v>0</v>
      </c>
      <c r="S122" s="377">
        <v>0</v>
      </c>
      <c r="T122" s="377">
        <v>0</v>
      </c>
      <c r="U122" s="377">
        <v>0</v>
      </c>
      <c r="V122" s="377">
        <v>0</v>
      </c>
      <c r="W122" s="377">
        <v>0</v>
      </c>
      <c r="X122" s="377">
        <v>0</v>
      </c>
      <c r="Y122" s="377">
        <v>0</v>
      </c>
    </row>
    <row r="123" spans="4:25" x14ac:dyDescent="0.25">
      <c r="D123" s="82"/>
      <c r="E123" s="82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</row>
    <row r="124" spans="4:25" x14ac:dyDescent="0.25">
      <c r="E124" s="96" t="s">
        <v>299</v>
      </c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</row>
    <row r="125" spans="4:25" x14ac:dyDescent="0.25">
      <c r="E125" s="82" t="s">
        <v>874</v>
      </c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</row>
    <row r="126" spans="4:25" x14ac:dyDescent="0.25">
      <c r="E126" s="82" t="s">
        <v>612</v>
      </c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</row>
    <row r="127" spans="4:25" x14ac:dyDescent="0.25">
      <c r="E127" s="82"/>
      <c r="F127" s="295" t="s">
        <v>299</v>
      </c>
      <c r="G127" s="295" t="s">
        <v>174</v>
      </c>
      <c r="J127" s="376" t="b">
        <v>0</v>
      </c>
      <c r="K127" s="376" t="b">
        <v>0</v>
      </c>
      <c r="L127" s="376" t="b">
        <v>0</v>
      </c>
      <c r="M127" s="376" t="b">
        <v>0</v>
      </c>
      <c r="N127" s="376" t="b">
        <v>0</v>
      </c>
      <c r="O127" s="376" t="b">
        <v>0</v>
      </c>
      <c r="P127" s="376" t="b">
        <v>0</v>
      </c>
      <c r="Q127" s="376" t="b">
        <v>1</v>
      </c>
      <c r="R127" s="376" t="b">
        <v>0</v>
      </c>
      <c r="S127" s="376" t="b">
        <v>0</v>
      </c>
      <c r="T127" s="376" t="b">
        <v>0</v>
      </c>
      <c r="U127" s="376" t="b">
        <v>0</v>
      </c>
      <c r="V127" s="376" t="b">
        <v>0</v>
      </c>
      <c r="W127" s="376" t="b">
        <v>0</v>
      </c>
      <c r="X127" s="376" t="b">
        <v>0</v>
      </c>
      <c r="Y127" s="376" t="b">
        <v>0</v>
      </c>
    </row>
    <row r="128" spans="4:25" x14ac:dyDescent="0.25">
      <c r="E128" s="82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</row>
    <row r="129" spans="3:27" x14ac:dyDescent="0.25">
      <c r="E129" s="96" t="s">
        <v>644</v>
      </c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</row>
    <row r="130" spans="3:27" x14ac:dyDescent="0.25">
      <c r="E130" s="82" t="s">
        <v>357</v>
      </c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</row>
    <row r="131" spans="3:27" x14ac:dyDescent="0.25">
      <c r="E131" s="82"/>
      <c r="F131" s="295" t="s">
        <v>548</v>
      </c>
      <c r="G131" s="295" t="s">
        <v>174</v>
      </c>
      <c r="J131" s="376" t="b">
        <v>1</v>
      </c>
      <c r="K131" s="376" t="b">
        <v>0</v>
      </c>
      <c r="L131" s="376" t="b">
        <v>1</v>
      </c>
      <c r="M131" s="376" t="b">
        <v>0</v>
      </c>
      <c r="N131" s="376" t="b">
        <v>1</v>
      </c>
      <c r="O131" s="376" t="b">
        <v>1</v>
      </c>
      <c r="P131" s="376" t="b">
        <v>1</v>
      </c>
      <c r="Q131" s="376" t="b">
        <v>1</v>
      </c>
      <c r="R131" s="376" t="b">
        <v>1</v>
      </c>
      <c r="S131" s="376" t="b">
        <v>1</v>
      </c>
      <c r="T131" s="376" t="b">
        <v>1</v>
      </c>
      <c r="U131" s="376" t="b">
        <v>1</v>
      </c>
      <c r="V131" s="376" t="b">
        <v>1</v>
      </c>
      <c r="W131" s="376" t="b">
        <v>1</v>
      </c>
      <c r="X131" s="376" t="b">
        <v>1</v>
      </c>
      <c r="Y131" s="376" t="b">
        <v>1</v>
      </c>
    </row>
    <row r="132" spans="3:27" x14ac:dyDescent="0.25">
      <c r="D132" s="82"/>
      <c r="J132" s="111"/>
      <c r="K132" s="111"/>
      <c r="L132" s="111"/>
      <c r="M132" s="111"/>
      <c r="N132" s="111"/>
      <c r="O132" s="111"/>
      <c r="P132" s="111"/>
      <c r="Q132" s="111"/>
      <c r="R132" s="111"/>
      <c r="S132" s="111"/>
      <c r="T132" s="111"/>
      <c r="U132" s="111"/>
      <c r="V132" s="111"/>
      <c r="W132" s="111"/>
      <c r="X132" s="111"/>
      <c r="Y132" s="111"/>
    </row>
    <row r="133" spans="3:27" x14ac:dyDescent="0.25">
      <c r="E133" s="96" t="s">
        <v>376</v>
      </c>
      <c r="I133" s="295" t="s">
        <v>431</v>
      </c>
      <c r="J133" s="111"/>
      <c r="K133" s="111"/>
      <c r="L133" s="111"/>
      <c r="M133" s="111"/>
      <c r="N133" s="111"/>
      <c r="O133" s="111"/>
      <c r="P133" s="111"/>
      <c r="Q133" s="111"/>
      <c r="R133" s="111"/>
      <c r="S133" s="111"/>
      <c r="T133" s="111"/>
      <c r="U133" s="111"/>
      <c r="V133" s="111"/>
      <c r="W133" s="111"/>
      <c r="X133" s="111"/>
      <c r="Y133" s="111"/>
      <c r="AA133" s="295" t="s">
        <v>839</v>
      </c>
    </row>
    <row r="134" spans="3:27" x14ac:dyDescent="0.25">
      <c r="E134" s="82" t="s">
        <v>633</v>
      </c>
      <c r="J134" s="111"/>
      <c r="K134" s="111"/>
      <c r="L134" s="111"/>
      <c r="M134" s="111"/>
      <c r="N134" s="111"/>
      <c r="O134" s="111"/>
      <c r="P134" s="111"/>
      <c r="Q134" s="111"/>
      <c r="R134" s="111"/>
      <c r="S134" s="111"/>
      <c r="T134" s="111"/>
      <c r="U134" s="111"/>
      <c r="V134" s="111"/>
      <c r="W134" s="111"/>
      <c r="X134" s="111"/>
      <c r="Y134" s="111"/>
    </row>
    <row r="135" spans="3:27" x14ac:dyDescent="0.25">
      <c r="E135" s="82" t="s">
        <v>634</v>
      </c>
      <c r="J135" s="111"/>
      <c r="K135" s="111"/>
      <c r="L135" s="111"/>
      <c r="M135" s="111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</row>
    <row r="136" spans="3:27" x14ac:dyDescent="0.25">
      <c r="E136" s="82"/>
      <c r="F136" s="295" t="s">
        <v>312</v>
      </c>
      <c r="G136" s="295" t="s">
        <v>132</v>
      </c>
      <c r="J136" s="376">
        <v>0</v>
      </c>
      <c r="K136" s="376">
        <v>0</v>
      </c>
      <c r="L136" s="376">
        <v>0</v>
      </c>
      <c r="M136" s="376">
        <v>0</v>
      </c>
      <c r="N136" s="376">
        <v>1</v>
      </c>
      <c r="O136" s="376">
        <v>1</v>
      </c>
      <c r="P136" s="376">
        <v>1</v>
      </c>
      <c r="Q136" s="376">
        <v>0</v>
      </c>
      <c r="R136" s="376">
        <v>0</v>
      </c>
      <c r="S136" s="376">
        <v>0</v>
      </c>
      <c r="T136" s="376">
        <v>0</v>
      </c>
      <c r="U136" s="376">
        <v>0</v>
      </c>
      <c r="V136" s="376">
        <v>0</v>
      </c>
      <c r="W136" s="376">
        <v>0</v>
      </c>
      <c r="X136" s="376">
        <v>0</v>
      </c>
      <c r="Y136" s="376">
        <v>0</v>
      </c>
    </row>
    <row r="137" spans="3:27" x14ac:dyDescent="0.25">
      <c r="E137" s="82"/>
      <c r="F137" s="295" t="s">
        <v>313</v>
      </c>
      <c r="G137" s="295" t="s">
        <v>132</v>
      </c>
      <c r="J137" s="376">
        <v>0</v>
      </c>
      <c r="K137" s="376">
        <v>0</v>
      </c>
      <c r="L137" s="376">
        <v>0</v>
      </c>
      <c r="M137" s="376">
        <v>0</v>
      </c>
      <c r="N137" s="376">
        <v>1</v>
      </c>
      <c r="O137" s="376">
        <v>1</v>
      </c>
      <c r="P137" s="376">
        <v>1</v>
      </c>
      <c r="Q137" s="376">
        <v>0</v>
      </c>
      <c r="R137" s="376">
        <v>0</v>
      </c>
      <c r="S137" s="376">
        <v>0</v>
      </c>
      <c r="T137" s="376">
        <v>0</v>
      </c>
      <c r="U137" s="376">
        <v>0</v>
      </c>
      <c r="V137" s="376">
        <v>0</v>
      </c>
      <c r="W137" s="376">
        <v>0</v>
      </c>
      <c r="X137" s="376">
        <v>0</v>
      </c>
      <c r="Y137" s="376">
        <v>0</v>
      </c>
    </row>
    <row r="138" spans="3:27" x14ac:dyDescent="0.25">
      <c r="E138" s="82"/>
      <c r="F138" s="295" t="s">
        <v>377</v>
      </c>
      <c r="G138" s="295" t="s">
        <v>132</v>
      </c>
      <c r="J138" s="376">
        <v>0</v>
      </c>
      <c r="K138" s="376">
        <v>0</v>
      </c>
      <c r="L138" s="376">
        <v>0</v>
      </c>
      <c r="M138" s="376">
        <v>0</v>
      </c>
      <c r="N138" s="376">
        <v>1</v>
      </c>
      <c r="O138" s="376">
        <v>1</v>
      </c>
      <c r="P138" s="376">
        <v>1</v>
      </c>
      <c r="Q138" s="376">
        <v>0</v>
      </c>
      <c r="R138" s="376">
        <v>0</v>
      </c>
      <c r="S138" s="376">
        <v>0</v>
      </c>
      <c r="T138" s="376">
        <v>1</v>
      </c>
      <c r="U138" s="376">
        <v>0</v>
      </c>
      <c r="V138" s="376">
        <v>1</v>
      </c>
      <c r="W138" s="376">
        <v>0</v>
      </c>
      <c r="X138" s="376">
        <v>1</v>
      </c>
      <c r="Y138" s="376">
        <v>0</v>
      </c>
    </row>
    <row r="139" spans="3:27" x14ac:dyDescent="0.25">
      <c r="E139" s="82"/>
      <c r="F139" s="295" t="s">
        <v>381</v>
      </c>
      <c r="G139" s="295" t="s">
        <v>132</v>
      </c>
      <c r="J139" s="376">
        <v>1</v>
      </c>
      <c r="K139" s="376">
        <v>0</v>
      </c>
      <c r="L139" s="376">
        <v>1</v>
      </c>
      <c r="M139" s="376">
        <v>0</v>
      </c>
      <c r="N139" s="376">
        <v>0</v>
      </c>
      <c r="O139" s="376">
        <v>0</v>
      </c>
      <c r="P139" s="376">
        <v>0</v>
      </c>
      <c r="Q139" s="376">
        <v>0</v>
      </c>
      <c r="R139" s="376">
        <v>0</v>
      </c>
      <c r="S139" s="376">
        <v>0</v>
      </c>
      <c r="T139" s="376">
        <v>0</v>
      </c>
      <c r="U139" s="376">
        <v>0</v>
      </c>
      <c r="V139" s="376">
        <v>0</v>
      </c>
      <c r="W139" s="376">
        <v>0</v>
      </c>
      <c r="X139" s="376">
        <v>0</v>
      </c>
      <c r="Y139" s="376">
        <v>0</v>
      </c>
    </row>
    <row r="140" spans="3:27" x14ac:dyDescent="0.25">
      <c r="D140" s="82"/>
      <c r="J140" s="111"/>
      <c r="K140" s="111"/>
      <c r="L140" s="111"/>
      <c r="M140" s="111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</row>
    <row r="141" spans="3:27" x14ac:dyDescent="0.25">
      <c r="C141" s="7" t="str">
        <f ca="1">INDEX('Version control'!$H$34:$H$60,MATCH($A$1,'Version control'!$F$34:$F$60,0),1)&amp;"-G: Identifiers for customer groupings"</f>
        <v>Input 504-G: Identifiers for customer groupings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3" spans="3:27" x14ac:dyDescent="0.25">
      <c r="E143" s="96" t="s">
        <v>382</v>
      </c>
      <c r="F143" s="96"/>
    </row>
    <row r="144" spans="3:27" x14ac:dyDescent="0.25">
      <c r="E144" s="82" t="s">
        <v>757</v>
      </c>
      <c r="F144" s="82"/>
      <c r="I144" s="295" t="s">
        <v>431</v>
      </c>
      <c r="AA144" s="295" t="s">
        <v>1165</v>
      </c>
    </row>
    <row r="145" spans="3:44" x14ac:dyDescent="0.25">
      <c r="E145" s="82"/>
      <c r="F145" s="14" t="s">
        <v>382</v>
      </c>
      <c r="G145" s="295" t="s">
        <v>527</v>
      </c>
      <c r="J145" s="341">
        <v>1</v>
      </c>
      <c r="K145" s="375"/>
      <c r="L145" s="341">
        <v>1</v>
      </c>
      <c r="M145" s="375"/>
      <c r="N145" s="375"/>
      <c r="O145" s="375"/>
      <c r="P145" s="375"/>
      <c r="Q145" s="375"/>
      <c r="R145" s="375"/>
      <c r="S145" s="375"/>
      <c r="T145" s="375"/>
      <c r="U145" s="375"/>
      <c r="V145" s="375"/>
      <c r="W145" s="375"/>
      <c r="X145" s="375"/>
      <c r="Y145" s="375"/>
    </row>
    <row r="146" spans="3:44" x14ac:dyDescent="0.25">
      <c r="E146" s="82"/>
      <c r="F146" s="82"/>
    </row>
    <row r="147" spans="3:44" x14ac:dyDescent="0.25">
      <c r="E147" s="96" t="s">
        <v>1054</v>
      </c>
      <c r="F147" s="96"/>
      <c r="I147" s="295" t="s">
        <v>431</v>
      </c>
      <c r="AA147" s="295" t="s">
        <v>1055</v>
      </c>
    </row>
    <row r="148" spans="3:44" x14ac:dyDescent="0.25">
      <c r="E148" s="82" t="s">
        <v>1056</v>
      </c>
      <c r="F148" s="82"/>
    </row>
    <row r="149" spans="3:44" x14ac:dyDescent="0.25">
      <c r="E149" s="82"/>
      <c r="F149" s="14" t="s">
        <v>1057</v>
      </c>
      <c r="G149" s="295" t="s">
        <v>527</v>
      </c>
      <c r="J149" s="341">
        <v>1</v>
      </c>
      <c r="K149" s="341">
        <v>1</v>
      </c>
      <c r="L149" s="341">
        <v>2</v>
      </c>
      <c r="M149" s="341">
        <v>2</v>
      </c>
      <c r="N149" s="375"/>
      <c r="O149" s="375"/>
      <c r="P149" s="375"/>
      <c r="Q149" s="375"/>
      <c r="R149" s="375"/>
      <c r="S149" s="375"/>
      <c r="T149" s="375"/>
      <c r="U149" s="375"/>
      <c r="V149" s="375"/>
      <c r="W149" s="375"/>
      <c r="X149" s="375"/>
      <c r="Y149" s="375"/>
    </row>
    <row r="150" spans="3:44" x14ac:dyDescent="0.25">
      <c r="E150" s="82"/>
      <c r="F150" s="82"/>
    </row>
    <row r="151" spans="3:44" x14ac:dyDescent="0.25">
      <c r="C151" s="7" t="str">
        <f ca="1">INDEX('Version control'!$H$34:$H$60,MATCH($A$1,'Version control'!$F$34:$F$60,0),1)&amp;"-H: Decimal places for error checks"</f>
        <v>Input 504-H: Decimal places for error checks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3" spans="3:44" x14ac:dyDescent="0.25">
      <c r="E153" s="295" t="s">
        <v>641</v>
      </c>
      <c r="G153" s="295" t="s">
        <v>527</v>
      </c>
      <c r="H153" s="341">
        <v>5</v>
      </c>
    </row>
    <row r="155" spans="3:44" x14ac:dyDescent="0.25">
      <c r="C155" s="7" t="str">
        <f ca="1">INDEX('Version control'!$H$34:$H$60,MATCH($A$1,'Version control'!$F$34:$F$60,0),1)&amp;"-I: Map of applicable MPANs"</f>
        <v>Input 504-I: Map of applicable MPANs</v>
      </c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</row>
    <row r="157" spans="3:44" x14ac:dyDescent="0.25">
      <c r="C157" s="86"/>
      <c r="D157" s="98"/>
      <c r="E157" s="96" t="s">
        <v>1135</v>
      </c>
      <c r="I157" s="295" t="s">
        <v>431</v>
      </c>
      <c r="J157" s="253"/>
      <c r="K157" s="253"/>
      <c r="L157" s="253"/>
      <c r="M157" s="253"/>
      <c r="N157" s="253"/>
      <c r="O157" s="253"/>
      <c r="P157" s="253"/>
      <c r="Q157" s="253"/>
      <c r="R157" s="253"/>
      <c r="S157" s="253"/>
      <c r="T157" s="253"/>
      <c r="U157" s="253"/>
      <c r="V157" s="253"/>
      <c r="W157" s="253"/>
      <c r="X157" s="253"/>
      <c r="Y157" s="253"/>
      <c r="Z157" s="253"/>
      <c r="AA157" s="253" t="s">
        <v>1159</v>
      </c>
      <c r="AB157" s="253"/>
      <c r="AC157" s="253"/>
      <c r="AD157" s="253"/>
      <c r="AE157" s="253"/>
      <c r="AF157" s="253"/>
      <c r="AG157" s="253"/>
      <c r="AH157" s="253"/>
      <c r="AI157" s="253"/>
      <c r="AJ157" s="253"/>
      <c r="AK157" s="253"/>
      <c r="AL157" s="253"/>
      <c r="AM157" s="253"/>
      <c r="AN157" s="253"/>
      <c r="AO157" s="253"/>
      <c r="AP157" s="253"/>
    </row>
    <row r="158" spans="3:44" x14ac:dyDescent="0.25">
      <c r="C158" s="86"/>
      <c r="D158" s="98"/>
      <c r="F158" s="91" t="s">
        <v>1121</v>
      </c>
      <c r="G158" s="91" t="s">
        <v>132</v>
      </c>
      <c r="H158" s="91"/>
      <c r="I158" s="91"/>
      <c r="J158" s="467">
        <v>1</v>
      </c>
      <c r="K158" s="467">
        <v>0</v>
      </c>
      <c r="L158" s="467">
        <v>0</v>
      </c>
      <c r="M158" s="467">
        <v>0</v>
      </c>
      <c r="N158" s="467">
        <v>0</v>
      </c>
      <c r="O158" s="467">
        <v>0</v>
      </c>
      <c r="P158" s="467">
        <v>0</v>
      </c>
      <c r="Q158" s="467">
        <v>0</v>
      </c>
      <c r="R158" s="467">
        <v>0</v>
      </c>
      <c r="S158" s="467">
        <v>0</v>
      </c>
      <c r="T158" s="467">
        <v>0</v>
      </c>
      <c r="U158" s="467">
        <v>0</v>
      </c>
      <c r="V158" s="467">
        <v>0</v>
      </c>
      <c r="W158" s="467">
        <v>0</v>
      </c>
      <c r="X158" s="467">
        <v>0</v>
      </c>
      <c r="Y158" s="467">
        <v>0</v>
      </c>
      <c r="Z158" s="253"/>
      <c r="AA158" s="253"/>
      <c r="AB158" s="253"/>
      <c r="AC158" s="253"/>
      <c r="AD158" s="253"/>
      <c r="AE158" s="253"/>
      <c r="AF158" s="253"/>
      <c r="AG158" s="253"/>
      <c r="AH158" s="253"/>
      <c r="AI158" s="253"/>
      <c r="AJ158" s="253"/>
      <c r="AK158" s="253"/>
      <c r="AL158" s="253"/>
      <c r="AM158" s="253"/>
      <c r="AN158" s="253"/>
      <c r="AO158" s="253"/>
      <c r="AP158" s="253"/>
    </row>
    <row r="159" spans="3:44" x14ac:dyDescent="0.25">
      <c r="C159" s="86"/>
      <c r="D159" s="98"/>
      <c r="F159" s="93" t="s">
        <v>1122</v>
      </c>
      <c r="G159" s="93" t="s">
        <v>132</v>
      </c>
      <c r="H159" s="93"/>
      <c r="I159" s="93"/>
      <c r="J159" s="468">
        <v>1</v>
      </c>
      <c r="K159" s="468">
        <v>0</v>
      </c>
      <c r="L159" s="468">
        <v>1</v>
      </c>
      <c r="M159" s="468">
        <v>0</v>
      </c>
      <c r="N159" s="468">
        <v>1</v>
      </c>
      <c r="O159" s="468">
        <v>1</v>
      </c>
      <c r="P159" s="468">
        <v>1</v>
      </c>
      <c r="Q159" s="468">
        <v>0</v>
      </c>
      <c r="R159" s="468">
        <v>0</v>
      </c>
      <c r="S159" s="468">
        <v>0</v>
      </c>
      <c r="T159" s="468">
        <v>0</v>
      </c>
      <c r="U159" s="468">
        <v>0</v>
      </c>
      <c r="V159" s="468">
        <v>0</v>
      </c>
      <c r="W159" s="468">
        <v>0</v>
      </c>
      <c r="X159" s="468">
        <v>0</v>
      </c>
      <c r="Y159" s="468">
        <v>0</v>
      </c>
      <c r="Z159" s="253"/>
      <c r="AA159" s="253"/>
      <c r="AB159" s="253"/>
      <c r="AC159" s="253"/>
      <c r="AD159" s="253"/>
      <c r="AE159" s="253"/>
      <c r="AF159" s="253"/>
      <c r="AG159" s="253"/>
      <c r="AH159" s="253"/>
      <c r="AI159" s="253"/>
      <c r="AJ159" s="253"/>
      <c r="AK159" s="253"/>
      <c r="AL159" s="253"/>
      <c r="AM159" s="253"/>
      <c r="AN159" s="253"/>
      <c r="AO159" s="253"/>
      <c r="AP159" s="253"/>
    </row>
    <row r="160" spans="3:44" x14ac:dyDescent="0.25">
      <c r="C160" s="86"/>
      <c r="D160" s="98"/>
      <c r="AB160" s="253"/>
      <c r="AC160" s="253"/>
      <c r="AD160" s="253"/>
      <c r="AE160" s="253"/>
      <c r="AF160" s="253"/>
      <c r="AG160" s="253"/>
      <c r="AH160" s="253"/>
      <c r="AI160" s="253"/>
      <c r="AJ160" s="253"/>
      <c r="AK160" s="253"/>
      <c r="AL160" s="253"/>
      <c r="AM160" s="253"/>
      <c r="AN160" s="253"/>
      <c r="AO160" s="253"/>
      <c r="AP160" s="253"/>
    </row>
    <row r="161" spans="2:27" x14ac:dyDescent="0.25">
      <c r="B161" s="95" t="s">
        <v>109</v>
      </c>
      <c r="C161" s="95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2:27" x14ac:dyDescent="0.25">
      <c r="F162" s="88"/>
      <c r="G162" s="88"/>
      <c r="H162" s="88"/>
      <c r="I162" s="88"/>
    </row>
    <row r="163" spans="2:27" x14ac:dyDescent="0.25">
      <c r="E163" s="295" t="s">
        <v>516</v>
      </c>
      <c r="G163" s="122" t="s">
        <v>692</v>
      </c>
      <c r="H163" s="378">
        <f t="array" ref="H163">SUM(IF(ISERROR(H15:Y146), 1))</f>
        <v>0</v>
      </c>
      <c r="I163" s="88"/>
    </row>
    <row r="164" spans="2:27" x14ac:dyDescent="0.25">
      <c r="I164" s="88"/>
    </row>
    <row r="165" spans="2:27" x14ac:dyDescent="0.25">
      <c r="E165" s="96" t="s">
        <v>650</v>
      </c>
      <c r="I165" s="88"/>
    </row>
    <row r="166" spans="2:27" x14ac:dyDescent="0.25">
      <c r="F166" s="91" t="s">
        <v>651</v>
      </c>
      <c r="G166" s="58" t="s">
        <v>692</v>
      </c>
      <c r="H166" s="177">
        <f>SUM(J166:Y166)</f>
        <v>0</v>
      </c>
      <c r="I166" s="94"/>
      <c r="J166" s="177">
        <f t="shared" ref="J166:Y166" si="0">IF( OR( AND(J105 = TRUE, NOT(ISBLANK(J106))), AND(J105 = FALSE, J106 = 0)), 0, 1)</f>
        <v>0</v>
      </c>
      <c r="K166" s="177">
        <f t="shared" si="0"/>
        <v>0</v>
      </c>
      <c r="L166" s="177">
        <f t="shared" si="0"/>
        <v>0</v>
      </c>
      <c r="M166" s="177">
        <f t="shared" si="0"/>
        <v>0</v>
      </c>
      <c r="N166" s="177">
        <f t="shared" si="0"/>
        <v>0</v>
      </c>
      <c r="O166" s="177">
        <f t="shared" si="0"/>
        <v>0</v>
      </c>
      <c r="P166" s="177">
        <f t="shared" si="0"/>
        <v>0</v>
      </c>
      <c r="Q166" s="177">
        <f t="shared" si="0"/>
        <v>0</v>
      </c>
      <c r="R166" s="177">
        <f t="shared" si="0"/>
        <v>0</v>
      </c>
      <c r="S166" s="177">
        <f t="shared" si="0"/>
        <v>0</v>
      </c>
      <c r="T166" s="177">
        <f t="shared" si="0"/>
        <v>0</v>
      </c>
      <c r="U166" s="177">
        <f t="shared" si="0"/>
        <v>0</v>
      </c>
      <c r="V166" s="177">
        <f t="shared" si="0"/>
        <v>0</v>
      </c>
      <c r="W166" s="177">
        <f t="shared" si="0"/>
        <v>0</v>
      </c>
      <c r="X166" s="177">
        <f t="shared" si="0"/>
        <v>0</v>
      </c>
      <c r="Y166" s="177">
        <f t="shared" si="0"/>
        <v>0</v>
      </c>
    </row>
    <row r="167" spans="2:27" x14ac:dyDescent="0.25">
      <c r="F167" s="295" t="s">
        <v>652</v>
      </c>
      <c r="G167" s="122" t="s">
        <v>692</v>
      </c>
      <c r="H167" s="378">
        <f>SUM(J167:Y167)</f>
        <v>0</v>
      </c>
      <c r="I167" s="88"/>
      <c r="J167" s="378">
        <f t="shared" ref="J167:Y167" si="1">IF( OR( AND(J109 = TRUE, NOT(ISBLANK(J110))), AND(J109 = FALSE, J110 = 0)), 0, 1)</f>
        <v>0</v>
      </c>
      <c r="K167" s="378">
        <f t="shared" si="1"/>
        <v>0</v>
      </c>
      <c r="L167" s="378">
        <f t="shared" si="1"/>
        <v>0</v>
      </c>
      <c r="M167" s="378">
        <f t="shared" si="1"/>
        <v>0</v>
      </c>
      <c r="N167" s="378">
        <f t="shared" si="1"/>
        <v>0</v>
      </c>
      <c r="O167" s="378">
        <f t="shared" si="1"/>
        <v>0</v>
      </c>
      <c r="P167" s="378">
        <f t="shared" si="1"/>
        <v>0</v>
      </c>
      <c r="Q167" s="378">
        <f t="shared" si="1"/>
        <v>0</v>
      </c>
      <c r="R167" s="378">
        <f t="shared" si="1"/>
        <v>0</v>
      </c>
      <c r="S167" s="378">
        <f t="shared" si="1"/>
        <v>0</v>
      </c>
      <c r="T167" s="378">
        <f t="shared" si="1"/>
        <v>0</v>
      </c>
      <c r="U167" s="378">
        <f t="shared" si="1"/>
        <v>0</v>
      </c>
      <c r="V167" s="378">
        <f t="shared" si="1"/>
        <v>0</v>
      </c>
      <c r="W167" s="378">
        <f t="shared" si="1"/>
        <v>0</v>
      </c>
      <c r="X167" s="378">
        <f t="shared" si="1"/>
        <v>0</v>
      </c>
      <c r="Y167" s="378">
        <f t="shared" si="1"/>
        <v>0</v>
      </c>
    </row>
    <row r="168" spans="2:27" x14ac:dyDescent="0.25">
      <c r="F168" s="295" t="s">
        <v>653</v>
      </c>
      <c r="G168" s="122" t="s">
        <v>692</v>
      </c>
      <c r="H168" s="378">
        <f>SUM(J168:Y168)</f>
        <v>0</v>
      </c>
      <c r="I168" s="88"/>
      <c r="J168" s="378">
        <f t="shared" ref="J168:Y168" si="2">IF( OR( AND(J113 = TRUE, NOT(ISBLANK(J114))), AND(J113 = FALSE, J114 = 0)), 0, 1)</f>
        <v>0</v>
      </c>
      <c r="K168" s="378">
        <f t="shared" si="2"/>
        <v>0</v>
      </c>
      <c r="L168" s="378">
        <f t="shared" si="2"/>
        <v>0</v>
      </c>
      <c r="M168" s="378">
        <f t="shared" si="2"/>
        <v>0</v>
      </c>
      <c r="N168" s="378">
        <f t="shared" si="2"/>
        <v>0</v>
      </c>
      <c r="O168" s="378">
        <f t="shared" si="2"/>
        <v>0</v>
      </c>
      <c r="P168" s="378">
        <f t="shared" si="2"/>
        <v>0</v>
      </c>
      <c r="Q168" s="378">
        <f t="shared" si="2"/>
        <v>0</v>
      </c>
      <c r="R168" s="378">
        <f t="shared" si="2"/>
        <v>0</v>
      </c>
      <c r="S168" s="378">
        <f t="shared" si="2"/>
        <v>0</v>
      </c>
      <c r="T168" s="378">
        <f t="shared" si="2"/>
        <v>0</v>
      </c>
      <c r="U168" s="378">
        <f t="shared" si="2"/>
        <v>0</v>
      </c>
      <c r="V168" s="378">
        <f t="shared" si="2"/>
        <v>0</v>
      </c>
      <c r="W168" s="378">
        <f t="shared" si="2"/>
        <v>0</v>
      </c>
      <c r="X168" s="378">
        <f t="shared" si="2"/>
        <v>0</v>
      </c>
      <c r="Y168" s="378">
        <f t="shared" si="2"/>
        <v>0</v>
      </c>
    </row>
    <row r="169" spans="2:27" x14ac:dyDescent="0.25">
      <c r="F169" s="295" t="s">
        <v>654</v>
      </c>
      <c r="G169" s="122" t="s">
        <v>692</v>
      </c>
      <c r="H169" s="378">
        <f>SUM(J169:Y169)</f>
        <v>0</v>
      </c>
      <c r="I169" s="88"/>
      <c r="J169" s="378">
        <f t="shared" ref="J169:Y169" si="3">IF( OR( AND(J117 = TRUE, NOT(ISBLANK(J118))), AND(J117 = FALSE, J118 = 0)), 0, 1)</f>
        <v>0</v>
      </c>
      <c r="K169" s="378">
        <f t="shared" si="3"/>
        <v>0</v>
      </c>
      <c r="L169" s="378">
        <f t="shared" si="3"/>
        <v>0</v>
      </c>
      <c r="M169" s="378">
        <f t="shared" si="3"/>
        <v>0</v>
      </c>
      <c r="N169" s="378">
        <f t="shared" si="3"/>
        <v>0</v>
      </c>
      <c r="O169" s="378">
        <f t="shared" si="3"/>
        <v>0</v>
      </c>
      <c r="P169" s="378">
        <f t="shared" si="3"/>
        <v>0</v>
      </c>
      <c r="Q169" s="378">
        <f t="shared" si="3"/>
        <v>0</v>
      </c>
      <c r="R169" s="378">
        <f t="shared" si="3"/>
        <v>0</v>
      </c>
      <c r="S169" s="378">
        <f t="shared" si="3"/>
        <v>0</v>
      </c>
      <c r="T169" s="378">
        <f t="shared" si="3"/>
        <v>0</v>
      </c>
      <c r="U169" s="378">
        <f t="shared" si="3"/>
        <v>0</v>
      </c>
      <c r="V169" s="378">
        <f t="shared" si="3"/>
        <v>0</v>
      </c>
      <c r="W169" s="378">
        <f t="shared" si="3"/>
        <v>0</v>
      </c>
      <c r="X169" s="378">
        <f t="shared" si="3"/>
        <v>0</v>
      </c>
      <c r="Y169" s="378">
        <f t="shared" si="3"/>
        <v>0</v>
      </c>
    </row>
    <row r="170" spans="2:27" x14ac:dyDescent="0.25">
      <c r="F170" s="93" t="s">
        <v>655</v>
      </c>
      <c r="G170" s="61" t="s">
        <v>692</v>
      </c>
      <c r="H170" s="179">
        <f>SUM(J170:Y170)</f>
        <v>0</v>
      </c>
      <c r="I170" s="97"/>
      <c r="J170" s="179">
        <f t="shared" ref="J170:Y170" si="4">IF( OR( AND(J121 = TRUE, NOT(ISBLANK(J122))), AND(J121 = FALSE, J122 = 0)), 0, 1)</f>
        <v>0</v>
      </c>
      <c r="K170" s="179">
        <f t="shared" si="4"/>
        <v>0</v>
      </c>
      <c r="L170" s="179">
        <f t="shared" si="4"/>
        <v>0</v>
      </c>
      <c r="M170" s="179">
        <f t="shared" si="4"/>
        <v>0</v>
      </c>
      <c r="N170" s="179">
        <f t="shared" si="4"/>
        <v>0</v>
      </c>
      <c r="O170" s="179">
        <f t="shared" si="4"/>
        <v>0</v>
      </c>
      <c r="P170" s="179">
        <f t="shared" si="4"/>
        <v>0</v>
      </c>
      <c r="Q170" s="179">
        <f t="shared" si="4"/>
        <v>0</v>
      </c>
      <c r="R170" s="179">
        <f t="shared" si="4"/>
        <v>0</v>
      </c>
      <c r="S170" s="179">
        <f t="shared" si="4"/>
        <v>0</v>
      </c>
      <c r="T170" s="179">
        <f t="shared" si="4"/>
        <v>0</v>
      </c>
      <c r="U170" s="179">
        <f t="shared" si="4"/>
        <v>0</v>
      </c>
      <c r="V170" s="179">
        <f t="shared" si="4"/>
        <v>0</v>
      </c>
      <c r="W170" s="179">
        <f t="shared" si="4"/>
        <v>0</v>
      </c>
      <c r="X170" s="179">
        <f t="shared" si="4"/>
        <v>0</v>
      </c>
      <c r="Y170" s="179">
        <f t="shared" si="4"/>
        <v>0</v>
      </c>
    </row>
    <row r="171" spans="2:27" x14ac:dyDescent="0.25">
      <c r="F171" s="88"/>
      <c r="G171" s="88"/>
      <c r="H171" s="88"/>
      <c r="I171" s="88"/>
    </row>
    <row r="172" spans="2:27" x14ac:dyDescent="0.25">
      <c r="E172" s="295" t="s">
        <v>446</v>
      </c>
      <c r="G172" s="122" t="s">
        <v>692</v>
      </c>
      <c r="H172" s="152">
        <f>H163 + SUM(H166:H170)</f>
        <v>0</v>
      </c>
      <c r="I172" s="88"/>
    </row>
    <row r="173" spans="2:27" x14ac:dyDescent="0.25">
      <c r="I173" s="88"/>
    </row>
    <row r="174" spans="2:27" x14ac:dyDescent="0.25">
      <c r="B174" s="95" t="s">
        <v>110</v>
      </c>
      <c r="C174" s="95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2:27" x14ac:dyDescent="0.25">
      <c r="F175" s="88"/>
      <c r="G175" s="88"/>
      <c r="H175" s="88"/>
      <c r="I175" s="88"/>
    </row>
    <row r="176" spans="2:27" x14ac:dyDescent="0.25">
      <c r="F176" s="88"/>
      <c r="G176" s="88"/>
      <c r="H176" s="88"/>
      <c r="I176" s="88"/>
    </row>
  </sheetData>
  <sheetProtection sheet="1" objects="1" formatCells="0" formatColumns="0" formatRows="0" sort="0" autoFilter="0"/>
  <conditionalFormatting sqref="H163">
    <cfRule type="cellIs" dxfId="224" priority="20" operator="greaterThan">
      <formula>0</formula>
    </cfRule>
  </conditionalFormatting>
  <conditionalFormatting sqref="H166:H170">
    <cfRule type="cellIs" dxfId="223" priority="19" operator="greaterThan">
      <formula>0</formula>
    </cfRule>
  </conditionalFormatting>
  <conditionalFormatting sqref="H172">
    <cfRule type="cellIs" dxfId="222" priority="18" operator="greaterThan">
      <formula>0</formula>
    </cfRule>
  </conditionalFormatting>
  <conditionalFormatting sqref="A4:I4 Z4:XFD4">
    <cfRule type="expression" dxfId="221" priority="17">
      <formula>LEFT($A$4,1) &lt;&gt; "0"</formula>
    </cfRule>
  </conditionalFormatting>
  <conditionalFormatting sqref="N166:P170">
    <cfRule type="cellIs" dxfId="220" priority="16" operator="greaterThan">
      <formula>0</formula>
    </cfRule>
  </conditionalFormatting>
  <conditionalFormatting sqref="N4:P4">
    <cfRule type="expression" dxfId="219" priority="15">
      <formula>LEFT($A$4,1) &lt;&gt; "0"</formula>
    </cfRule>
  </conditionalFormatting>
  <conditionalFormatting sqref="L166:M170">
    <cfRule type="cellIs" dxfId="218" priority="14" operator="greaterThan">
      <formula>0</formula>
    </cfRule>
  </conditionalFormatting>
  <conditionalFormatting sqref="L4:M4">
    <cfRule type="expression" dxfId="217" priority="13">
      <formula>LEFT($A$4,1) &lt;&gt; "0"</formula>
    </cfRule>
  </conditionalFormatting>
  <conditionalFormatting sqref="J166:K170">
    <cfRule type="cellIs" dxfId="216" priority="12" operator="greaterThan">
      <formula>0</formula>
    </cfRule>
  </conditionalFormatting>
  <conditionalFormatting sqref="J4:K4">
    <cfRule type="expression" dxfId="215" priority="11">
      <formula>LEFT($A$4,1) &lt;&gt; "0"</formula>
    </cfRule>
  </conditionalFormatting>
  <conditionalFormatting sqref="Q166:Q170">
    <cfRule type="cellIs" dxfId="214" priority="10" operator="greaterThan">
      <formula>0</formula>
    </cfRule>
  </conditionalFormatting>
  <conditionalFormatting sqref="Q4">
    <cfRule type="expression" dxfId="213" priority="9">
      <formula>LEFT($A$4,1) &lt;&gt; "0"</formula>
    </cfRule>
  </conditionalFormatting>
  <conditionalFormatting sqref="R166:S170">
    <cfRule type="cellIs" dxfId="212" priority="8" operator="greaterThan">
      <formula>0</formula>
    </cfRule>
  </conditionalFormatting>
  <conditionalFormatting sqref="R4:S4">
    <cfRule type="expression" dxfId="211" priority="7">
      <formula>LEFT($A$4,1) &lt;&gt; "0"</formula>
    </cfRule>
  </conditionalFormatting>
  <conditionalFormatting sqref="T166:U170">
    <cfRule type="cellIs" dxfId="210" priority="6" operator="greaterThan">
      <formula>0</formula>
    </cfRule>
  </conditionalFormatting>
  <conditionalFormatting sqref="T4:U4">
    <cfRule type="expression" dxfId="209" priority="5">
      <formula>LEFT($A$4,1) &lt;&gt; "0"</formula>
    </cfRule>
  </conditionalFormatting>
  <conditionalFormatting sqref="V166:W170">
    <cfRule type="cellIs" dxfId="208" priority="4" operator="greaterThan">
      <formula>0</formula>
    </cfRule>
  </conditionalFormatting>
  <conditionalFormatting sqref="V4:W4">
    <cfRule type="expression" dxfId="207" priority="3">
      <formula>LEFT($A$4,1) &lt;&gt; "0"</formula>
    </cfRule>
  </conditionalFormatting>
  <conditionalFormatting sqref="X166:Y170">
    <cfRule type="cellIs" dxfId="206" priority="2" operator="greaterThan">
      <formula>0</formula>
    </cfRule>
  </conditionalFormatting>
  <conditionalFormatting sqref="X4:Y4">
    <cfRule type="expression" dxfId="205" priority="1">
      <formula>LEFT($A$4,1) &lt;&gt; "0"</formula>
    </cfRule>
  </conditionalFormatting>
  <dataValidations count="10">
    <dataValidation type="list" allowBlank="1" showInputMessage="1" showErrorMessage="1" sqref="J131:Y131 J105:Y105 J109:Y109 J113:Y113 J117:Y117 J121:Y121 J127:Y127" xr:uid="{00000000-0002-0000-0D00-000000000000}">
      <formula1>"TRUE, FALSE"</formula1>
    </dataValidation>
    <dataValidation type="whole" allowBlank="1" showInputMessage="1" showErrorMessage="1" sqref="J73:Y82 J60:Y69" xr:uid="{00000000-0002-0000-0D00-000001000000}">
      <formula1>-1</formula1>
      <formula2>1</formula2>
    </dataValidation>
    <dataValidation type="whole" allowBlank="1" showInputMessage="1" showErrorMessage="1" sqref="J53:Y56 J46:Y49" xr:uid="{00000000-0002-0000-0D00-000002000000}">
      <formula1>0</formula1>
      <formula2>1</formula2>
    </dataValidation>
    <dataValidation type="whole" allowBlank="1" showInputMessage="1" showErrorMessage="1" sqref="H15:H18" xr:uid="{00000000-0002-0000-0D00-000003000000}">
      <formula1>0</formula1>
      <formula2>9999</formula2>
    </dataValidation>
    <dataValidation type="decimal" allowBlank="1" showInputMessage="1" showErrorMessage="1" sqref="H41" xr:uid="{00000000-0002-0000-0D00-000004000000}">
      <formula1>0.001</formula1>
      <formula2>999999.999</formula2>
    </dataValidation>
    <dataValidation type="decimal" allowBlank="1" showInputMessage="1" showErrorMessage="1" sqref="H37" xr:uid="{00000000-0002-0000-0D00-000005000000}">
      <formula1>0.001</formula1>
      <formula2>1</formula2>
    </dataValidation>
    <dataValidation type="decimal" allowBlank="1" showInputMessage="1" showErrorMessage="1" sqref="H35" xr:uid="{00000000-0002-0000-0D00-000006000000}">
      <formula1>0</formula1>
      <formula2>999999</formula2>
    </dataValidation>
    <dataValidation type="whole" allowBlank="1" showInputMessage="1" showErrorMessage="1" sqref="L145 J145 J149:M149" xr:uid="{00000000-0002-0000-0D00-000007000000}">
      <formula1>0</formula1>
      <formula2>33</formula2>
    </dataValidation>
    <dataValidation type="decimal" allowBlank="1" showInputMessage="1" showErrorMessage="1" sqref="H39 K145 M145:Y145 J88:Y97 J106:Y106 J110:Y110 J114:Y114 J118:Y118 J122:Y122 N149:Y149" xr:uid="{00000000-0002-0000-0D00-000008000000}">
      <formula1>0</formula1>
      <formula2>1</formula2>
    </dataValidation>
    <dataValidation type="whole" allowBlank="1" showInputMessage="1" showErrorMessage="1" sqref="H25:H31" xr:uid="{00000000-0002-0000-0D00-000009000000}">
      <formula1>0</formula1>
      <formula2>3</formula2>
    </dataValidation>
  </dataValidations>
  <hyperlinks>
    <hyperlink ref="B5:F5" location="'Model map'!A1" display="Click here to return to model map" xr:uid="{00000000-0004-0000-0D00-000000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8">
    <tabColor theme="4" tint="0.59999389629810485"/>
    <pageSetUpPr fitToPage="1"/>
  </sheetPr>
  <dimension ref="A1:KH6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4" width="20.5703125" style="295" hidden="1" customWidth="1"/>
    <col min="295" max="16384" width="9.140625" style="295" hidden="1"/>
  </cols>
  <sheetData>
    <row r="1" spans="1:27" s="10" customFormat="1" x14ac:dyDescent="0.25">
      <c r="A1" s="10" t="str">
        <f ca="1">MID(CELL("filename",A1),FIND("]",CELL("filename",A1))+1,255)</f>
        <v>Inputs by customer type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1" t="str">
        <f>H65 &amp; IF(H65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2" t="s">
        <v>552</v>
      </c>
      <c r="C5" s="373"/>
      <c r="D5" s="373"/>
      <c r="E5" s="373"/>
      <c r="F5" s="373"/>
      <c r="G5" s="373" t="s">
        <v>91</v>
      </c>
      <c r="H5" s="388" t="s">
        <v>92</v>
      </c>
      <c r="I5" s="111"/>
      <c r="J5" s="388" t="s">
        <v>1038</v>
      </c>
      <c r="K5" s="388" t="s">
        <v>1039</v>
      </c>
      <c r="L5" s="388" t="s">
        <v>1040</v>
      </c>
      <c r="M5" s="388" t="s">
        <v>1041</v>
      </c>
      <c r="N5" s="388" t="s">
        <v>1042</v>
      </c>
      <c r="O5" s="388" t="s">
        <v>1043</v>
      </c>
      <c r="P5" s="388" t="s">
        <v>1044</v>
      </c>
      <c r="Q5" s="388" t="s">
        <v>1045</v>
      </c>
      <c r="R5" s="388" t="s">
        <v>1046</v>
      </c>
      <c r="S5" s="388" t="s">
        <v>1047</v>
      </c>
      <c r="T5" s="388" t="s">
        <v>1048</v>
      </c>
      <c r="U5" s="388" t="s">
        <v>1049</v>
      </c>
      <c r="V5" s="388" t="s">
        <v>1050</v>
      </c>
      <c r="W5" s="388" t="s">
        <v>1051</v>
      </c>
      <c r="X5" s="388" t="s">
        <v>1052</v>
      </c>
      <c r="Y5" s="388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895</v>
      </c>
    </row>
    <row r="10" spans="1:27" x14ac:dyDescent="0.25">
      <c r="C10" s="82"/>
    </row>
    <row r="11" spans="1:27" x14ac:dyDescent="0.25">
      <c r="C11" s="82"/>
      <c r="E11" s="295" t="s">
        <v>582</v>
      </c>
      <c r="G11" s="295" t="s">
        <v>583</v>
      </c>
      <c r="H11" s="402" t="str">
        <f>charging_year_selected</f>
        <v>2021/22</v>
      </c>
    </row>
    <row r="12" spans="1:27" x14ac:dyDescent="0.25">
      <c r="C12" s="82"/>
      <c r="E12" s="295" t="s">
        <v>567</v>
      </c>
      <c r="G12" s="295" t="s">
        <v>385</v>
      </c>
      <c r="H12" s="456" t="str">
        <f>'ARP_User control'!$H$36</f>
        <v>Current</v>
      </c>
    </row>
    <row r="14" spans="1:27" x14ac:dyDescent="0.25">
      <c r="B14" s="95" t="s">
        <v>546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x14ac:dyDescent="0.25">
      <c r="D15" s="14"/>
    </row>
    <row r="16" spans="1:27" x14ac:dyDescent="0.25">
      <c r="C16" s="7" t="str">
        <f ca="1">INDEX('Version control'!$H$34:$H$58,MATCH($A$1,'Version control'!$F$34:$F$58,0),1)&amp;"-A: Load characteristics"</f>
        <v>Section 501-A: Load characteristics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8" spans="3:27" x14ac:dyDescent="0.25">
      <c r="E18" s="14" t="s">
        <v>71</v>
      </c>
      <c r="G18" s="108" t="s">
        <v>94</v>
      </c>
      <c r="I18" s="295" t="s">
        <v>431</v>
      </c>
      <c r="J18" s="143">
        <f>'ARP_Inputs by customer type'!J19</f>
        <v>0.44866666666666671</v>
      </c>
      <c r="K18" s="143">
        <f>'ARP_Inputs by customer type'!J20</f>
        <v>9.9666666666666667E-2</v>
      </c>
      <c r="L18" s="143">
        <f>'ARP_Inputs by customer type'!J21</f>
        <v>0.41666666666666669</v>
      </c>
      <c r="M18" s="143">
        <f>'ARP_Inputs by customer type'!J22</f>
        <v>0.32</v>
      </c>
      <c r="N18" s="143">
        <f>'ARP_Inputs by customer type'!J23</f>
        <v>0.55600000000000005</v>
      </c>
      <c r="O18" s="143">
        <f>'ARP_Inputs by customer type'!J24</f>
        <v>0.67266666666666675</v>
      </c>
      <c r="P18" s="143">
        <f>'ARP_Inputs by customer type'!J25</f>
        <v>0.73533333333333328</v>
      </c>
      <c r="Q18" s="143">
        <f>'ARP_Inputs by customer type'!J26</f>
        <v>0.45833333333333331</v>
      </c>
      <c r="R18" s="375"/>
      <c r="S18" s="375"/>
      <c r="T18" s="375"/>
      <c r="U18" s="375"/>
      <c r="V18" s="375"/>
      <c r="W18" s="375"/>
      <c r="X18" s="375"/>
      <c r="Y18" s="375"/>
      <c r="AA18" s="295" t="s">
        <v>858</v>
      </c>
    </row>
    <row r="19" spans="3:27" x14ac:dyDescent="0.25">
      <c r="E19" s="14" t="s">
        <v>70</v>
      </c>
      <c r="G19" s="108" t="s">
        <v>94</v>
      </c>
      <c r="I19" s="295" t="s">
        <v>431</v>
      </c>
      <c r="J19" s="143">
        <f>'ARP_Inputs by customer type'!J39</f>
        <v>0.89866666666666661</v>
      </c>
      <c r="K19" s="375"/>
      <c r="L19" s="143">
        <f>'ARP_Inputs by customer type'!J41</f>
        <v>0.66433333333333333</v>
      </c>
      <c r="M19" s="375"/>
      <c r="N19" s="143">
        <f>'ARP_Inputs by customer type'!J43</f>
        <v>0.78366666666666662</v>
      </c>
      <c r="O19" s="143">
        <f>'ARP_Inputs by customer type'!J44</f>
        <v>0.78533333333333333</v>
      </c>
      <c r="P19" s="143">
        <f>'ARP_Inputs by customer type'!J45</f>
        <v>0.84533333333333338</v>
      </c>
      <c r="Q19" s="143">
        <f>'ARP_Inputs by customer type'!J46</f>
        <v>0.92600000000000016</v>
      </c>
      <c r="R19" s="375"/>
      <c r="S19" s="375"/>
      <c r="T19" s="375"/>
      <c r="U19" s="375"/>
      <c r="V19" s="375"/>
      <c r="W19" s="375"/>
      <c r="X19" s="375"/>
      <c r="Y19" s="375"/>
      <c r="AA19" s="295" t="s">
        <v>859</v>
      </c>
    </row>
    <row r="20" spans="3:27" x14ac:dyDescent="0.25">
      <c r="G20" s="108"/>
    </row>
    <row r="21" spans="3:27" x14ac:dyDescent="0.25">
      <c r="C21" s="7" t="str">
        <f ca="1">INDEX('Version control'!$H$34:$H$58,MATCH($A$1,'Version control'!$F$34:$F$58,0),1)&amp;"-B: Volume forecasts for the charging year"</f>
        <v>Section 501-B: Volume forecasts for the charging year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3:27" x14ac:dyDescent="0.25">
      <c r="G22" s="108"/>
    </row>
    <row r="23" spans="3:27" x14ac:dyDescent="0.25">
      <c r="E23" s="96" t="s">
        <v>1010</v>
      </c>
      <c r="G23" s="108"/>
      <c r="I23" s="295" t="s">
        <v>431</v>
      </c>
      <c r="AA23" s="295" t="s">
        <v>799</v>
      </c>
    </row>
    <row r="24" spans="3:27" x14ac:dyDescent="0.25">
      <c r="E24" s="96"/>
      <c r="F24" s="40" t="s">
        <v>256</v>
      </c>
      <c r="G24" s="40" t="s">
        <v>120</v>
      </c>
      <c r="H24" s="91"/>
      <c r="I24" s="91"/>
      <c r="J24" s="273">
        <f>'ARP_Inputs by customer type'!J61</f>
        <v>728182.66484023235</v>
      </c>
      <c r="K24" s="273">
        <f>'ARP_Inputs by customer type'!J62</f>
        <v>1325.9025558238502</v>
      </c>
      <c r="L24" s="273">
        <f>'ARP_Inputs by customer type'!J63</f>
        <v>187782.12741331305</v>
      </c>
      <c r="M24" s="273">
        <f>'ARP_Inputs by customer type'!J64</f>
        <v>4172.2410596369182</v>
      </c>
      <c r="N24" s="273">
        <f>'ARP_Inputs by customer type'!J65</f>
        <v>275821.76887612289</v>
      </c>
      <c r="O24" s="273">
        <f>'ARP_Inputs by customer type'!J66</f>
        <v>21569.598912405832</v>
      </c>
      <c r="P24" s="273">
        <f>'ARP_Inputs by customer type'!J67</f>
        <v>322473.77411167003</v>
      </c>
      <c r="Q24" s="273">
        <f>'ARP_Inputs by customer type'!J68</f>
        <v>13844.286088792498</v>
      </c>
      <c r="R24" s="273">
        <f>'ARP_Inputs by customer type'!J69</f>
        <v>139.21456342227521</v>
      </c>
      <c r="S24" s="273">
        <f>'ARP_Inputs by customer type'!J70</f>
        <v>2.8776284544589532</v>
      </c>
      <c r="T24" s="273">
        <f>'ARP_Inputs by customer type'!J71</f>
        <v>6131.3814104814819</v>
      </c>
      <c r="U24" s="273">
        <f>'ARP_Inputs by customer type'!J72</f>
        <v>0</v>
      </c>
      <c r="V24" s="273">
        <f>'ARP_Inputs by customer type'!J73</f>
        <v>144.6141525623608</v>
      </c>
      <c r="W24" s="273">
        <f>'ARP_Inputs by customer type'!J74</f>
        <v>0</v>
      </c>
      <c r="X24" s="273">
        <f>'ARP_Inputs by customer type'!J75</f>
        <v>116075.81817719914</v>
      </c>
      <c r="Y24" s="273">
        <f>'ARP_Inputs by customer type'!J76</f>
        <v>0</v>
      </c>
    </row>
    <row r="25" spans="3:27" x14ac:dyDescent="0.25">
      <c r="E25" s="96"/>
      <c r="F25" s="109" t="s">
        <v>257</v>
      </c>
      <c r="G25" s="109" t="s">
        <v>120</v>
      </c>
      <c r="J25" s="274">
        <f>'ARP_Inputs by customer type'!J79</f>
        <v>2586978.352218715</v>
      </c>
      <c r="K25" s="274">
        <f>'ARP_Inputs by customer type'!J80</f>
        <v>24004.867020018988</v>
      </c>
      <c r="L25" s="274">
        <f>'ARP_Inputs by customer type'!J81</f>
        <v>1017175.5544889377</v>
      </c>
      <c r="M25" s="274">
        <f>'ARP_Inputs by customer type'!J82</f>
        <v>25319.415482001521</v>
      </c>
      <c r="N25" s="274">
        <f>'ARP_Inputs by customer type'!J83</f>
        <v>1322296.4326402938</v>
      </c>
      <c r="O25" s="274">
        <f>'ARP_Inputs by customer type'!J84</f>
        <v>101185.04898982702</v>
      </c>
      <c r="P25" s="274">
        <f>'ARP_Inputs by customer type'!J85</f>
        <v>1497042.8901385467</v>
      </c>
      <c r="Q25" s="274">
        <f>'ARP_Inputs by customer type'!J86</f>
        <v>52546.80809158679</v>
      </c>
      <c r="R25" s="274">
        <f>'ARP_Inputs by customer type'!J87</f>
        <v>625.58915267962095</v>
      </c>
      <c r="S25" s="274">
        <f>'ARP_Inputs by customer type'!J88</f>
        <v>11.85801478940583</v>
      </c>
      <c r="T25" s="274">
        <f>'ARP_Inputs by customer type'!J89</f>
        <v>27525.456251959484</v>
      </c>
      <c r="U25" s="274">
        <f>'ARP_Inputs by customer type'!J90</f>
        <v>0</v>
      </c>
      <c r="V25" s="274">
        <f>'ARP_Inputs by customer type'!J91</f>
        <v>597.34783091345412</v>
      </c>
      <c r="W25" s="274">
        <f>'ARP_Inputs by customer type'!J92</f>
        <v>0</v>
      </c>
      <c r="X25" s="274">
        <f>'ARP_Inputs by customer type'!J93</f>
        <v>445212.43930388504</v>
      </c>
      <c r="Y25" s="274">
        <f>'ARP_Inputs by customer type'!J94</f>
        <v>0</v>
      </c>
    </row>
    <row r="26" spans="3:27" x14ac:dyDescent="0.25">
      <c r="E26" s="96"/>
      <c r="F26" s="109" t="s">
        <v>258</v>
      </c>
      <c r="G26" s="109" t="s">
        <v>120</v>
      </c>
      <c r="J26" s="274">
        <f>'ARP_Inputs by customer type'!J97</f>
        <v>2382458.5766185289</v>
      </c>
      <c r="K26" s="274">
        <f>'ARP_Inputs by customer type'!J98</f>
        <v>245208.33115400965</v>
      </c>
      <c r="L26" s="274">
        <f>'ARP_Inputs by customer type'!J99</f>
        <v>982488.05164342187</v>
      </c>
      <c r="M26" s="274">
        <f>'ARP_Inputs by customer type'!J100</f>
        <v>52561.158034119573</v>
      </c>
      <c r="N26" s="274">
        <f>'ARP_Inputs by customer type'!J101</f>
        <v>1154944.2406044872</v>
      </c>
      <c r="O26" s="274">
        <f>'ARP_Inputs by customer type'!J102</f>
        <v>100898.01610776718</v>
      </c>
      <c r="P26" s="274">
        <f>'ARP_Inputs by customer type'!J103</f>
        <v>1602377.0319897835</v>
      </c>
      <c r="Q26" s="274">
        <f>'ARP_Inputs by customer type'!J104</f>
        <v>189052.68521962134</v>
      </c>
      <c r="R26" s="274">
        <f>'ARP_Inputs by customer type'!J105</f>
        <v>698.17114006254928</v>
      </c>
      <c r="S26" s="274">
        <f>'ARP_Inputs by customer type'!J106</f>
        <v>16.006356756135215</v>
      </c>
      <c r="T26" s="274">
        <f>'ARP_Inputs by customer type'!J107</f>
        <v>30981.276337559029</v>
      </c>
      <c r="U26" s="274">
        <f>'ARP_Inputs by customer type'!J108</f>
        <v>0</v>
      </c>
      <c r="V26" s="274">
        <f>'ARP_Inputs by customer type'!J109</f>
        <v>807.27901652418518</v>
      </c>
      <c r="W26" s="274">
        <f>'ARP_Inputs by customer type'!J110</f>
        <v>0</v>
      </c>
      <c r="X26" s="274">
        <f>'ARP_Inputs by customer type'!J111</f>
        <v>507559.16751891578</v>
      </c>
      <c r="Y26" s="274">
        <f>'ARP_Inputs by customer type'!J112</f>
        <v>0</v>
      </c>
    </row>
    <row r="27" spans="3:27" x14ac:dyDescent="0.25">
      <c r="E27" s="96"/>
      <c r="F27" s="109" t="s">
        <v>74</v>
      </c>
      <c r="G27" s="109" t="s">
        <v>74</v>
      </c>
      <c r="J27" s="274">
        <f>'ARP_Inputs by customer type'!J115</f>
        <v>1852569</v>
      </c>
      <c r="K27" s="274">
        <f>'ARP_Inputs by customer type'!J116</f>
        <v>100059</v>
      </c>
      <c r="L27" s="274">
        <f>'ARP_Inputs by customer type'!J117</f>
        <v>125030</v>
      </c>
      <c r="M27" s="274">
        <f>'ARP_Inputs by customer type'!J118</f>
        <v>7441</v>
      </c>
      <c r="N27" s="274">
        <f>'ARP_Inputs by customer type'!J119</f>
        <v>10491</v>
      </c>
      <c r="O27" s="274">
        <f>'ARP_Inputs by customer type'!J120</f>
        <v>219</v>
      </c>
      <c r="P27" s="274">
        <f>'ARP_Inputs by customer type'!J121</f>
        <v>1257</v>
      </c>
      <c r="Q27" s="274">
        <f>'ARP_Inputs by customer type'!J122</f>
        <v>4868</v>
      </c>
      <c r="R27" s="274">
        <f>'ARP_Inputs by customer type'!J123</f>
        <v>167</v>
      </c>
      <c r="S27" s="274">
        <f>'ARP_Inputs by customer type'!J124</f>
        <v>4</v>
      </c>
      <c r="T27" s="274">
        <f>'ARP_Inputs by customer type'!J125</f>
        <v>472</v>
      </c>
      <c r="U27" s="274">
        <f>'ARP_Inputs by customer type'!J126</f>
        <v>0</v>
      </c>
      <c r="V27" s="274">
        <f>'ARP_Inputs by customer type'!J127</f>
        <v>8</v>
      </c>
      <c r="W27" s="274">
        <f>'ARP_Inputs by customer type'!J128</f>
        <v>0</v>
      </c>
      <c r="X27" s="274">
        <f>'ARP_Inputs by customer type'!J129</f>
        <v>255</v>
      </c>
      <c r="Y27" s="274">
        <f>'ARP_Inputs by customer type'!J130</f>
        <v>0</v>
      </c>
    </row>
    <row r="28" spans="3:27" x14ac:dyDescent="0.25">
      <c r="E28" s="96"/>
      <c r="F28" s="109" t="s">
        <v>259</v>
      </c>
      <c r="G28" s="109" t="s">
        <v>169</v>
      </c>
      <c r="J28" s="280"/>
      <c r="K28" s="280"/>
      <c r="L28" s="280"/>
      <c r="M28" s="280"/>
      <c r="N28" s="274">
        <f>'ARP_Inputs by customer type'!J137</f>
        <v>1465414</v>
      </c>
      <c r="O28" s="274">
        <f>'ARP_Inputs by customer type'!J138</f>
        <v>92670</v>
      </c>
      <c r="P28" s="274">
        <f>'ARP_Inputs by customer type'!J139</f>
        <v>1282859</v>
      </c>
      <c r="Q28" s="280"/>
      <c r="R28" s="280"/>
      <c r="S28" s="280"/>
      <c r="T28" s="280"/>
      <c r="U28" s="280"/>
      <c r="V28" s="280"/>
      <c r="W28" s="280"/>
      <c r="X28" s="280"/>
      <c r="Y28" s="280"/>
    </row>
    <row r="29" spans="3:27" x14ac:dyDescent="0.25">
      <c r="E29" s="96"/>
      <c r="F29" s="109" t="s">
        <v>260</v>
      </c>
      <c r="G29" s="109" t="s">
        <v>169</v>
      </c>
      <c r="J29" s="280"/>
      <c r="K29" s="280"/>
      <c r="L29" s="280"/>
      <c r="M29" s="280"/>
      <c r="N29" s="274">
        <f>'ARP_Inputs by customer type'!J155</f>
        <v>29539.140000000003</v>
      </c>
      <c r="O29" s="274">
        <f>'ARP_Inputs by customer type'!J156</f>
        <v>1042.17</v>
      </c>
      <c r="P29" s="274">
        <f>'ARP_Inputs by customer type'!J157</f>
        <v>16267.89</v>
      </c>
      <c r="Q29" s="280"/>
      <c r="R29" s="280"/>
      <c r="S29" s="280"/>
      <c r="T29" s="280"/>
      <c r="U29" s="280"/>
      <c r="V29" s="280"/>
      <c r="W29" s="280"/>
      <c r="X29" s="280"/>
      <c r="Y29" s="280"/>
    </row>
    <row r="30" spans="3:27" x14ac:dyDescent="0.25">
      <c r="E30" s="96"/>
      <c r="F30" s="36" t="s">
        <v>261</v>
      </c>
      <c r="G30" s="36" t="s">
        <v>170</v>
      </c>
      <c r="H30" s="93"/>
      <c r="I30" s="93"/>
      <c r="J30" s="241"/>
      <c r="K30" s="241"/>
      <c r="L30" s="241"/>
      <c r="M30" s="241"/>
      <c r="N30" s="275">
        <f>'ARP_Inputs by customer type'!J173</f>
        <v>241920</v>
      </c>
      <c r="O30" s="275">
        <f>'ARP_Inputs by customer type'!J174</f>
        <v>19020</v>
      </c>
      <c r="P30" s="275">
        <f>'ARP_Inputs by customer type'!J175</f>
        <v>250200</v>
      </c>
      <c r="Q30" s="241"/>
      <c r="R30" s="241"/>
      <c r="S30" s="241"/>
      <c r="T30" s="275">
        <f>'ARP_Inputs by customer type'!J179</f>
        <v>4452</v>
      </c>
      <c r="U30" s="241"/>
      <c r="V30" s="275">
        <f>'ARP_Inputs by customer type'!J181</f>
        <v>408</v>
      </c>
      <c r="W30" s="241"/>
      <c r="X30" s="275">
        <f>'ARP_Inputs by customer type'!J183</f>
        <v>16464</v>
      </c>
      <c r="Y30" s="241"/>
    </row>
    <row r="31" spans="3:27" s="380" customFormat="1" x14ac:dyDescent="0.25">
      <c r="E31" s="381"/>
      <c r="F31" s="382"/>
      <c r="G31" s="382"/>
      <c r="J31" s="383"/>
      <c r="K31" s="383"/>
      <c r="L31" s="383"/>
      <c r="M31" s="383"/>
      <c r="N31" s="384"/>
      <c r="O31" s="384"/>
      <c r="P31" s="384"/>
      <c r="Q31" s="383"/>
      <c r="R31" s="383"/>
      <c r="S31" s="383"/>
      <c r="T31" s="384"/>
      <c r="U31" s="383"/>
      <c r="V31" s="384"/>
      <c r="W31" s="383"/>
      <c r="X31" s="384"/>
      <c r="Y31" s="383"/>
    </row>
    <row r="32" spans="3:27" x14ac:dyDescent="0.25">
      <c r="E32" s="96" t="s">
        <v>1011</v>
      </c>
      <c r="G32" s="36"/>
      <c r="H32" s="93"/>
      <c r="I32" s="295" t="s">
        <v>431</v>
      </c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AA32" s="295" t="s">
        <v>799</v>
      </c>
    </row>
    <row r="33" spans="5:27" x14ac:dyDescent="0.25">
      <c r="E33" s="96"/>
      <c r="F33" s="40" t="s">
        <v>256</v>
      </c>
      <c r="G33" s="109" t="s">
        <v>120</v>
      </c>
      <c r="I33" s="91"/>
      <c r="J33" s="273">
        <f>'ARP_Inputs by customer type'!J189</f>
        <v>13713.32246963591</v>
      </c>
      <c r="K33" s="273">
        <f>'ARP_Inputs by customer type'!J190</f>
        <v>1.3981029513384524</v>
      </c>
      <c r="L33" s="273">
        <f>'ARP_Inputs by customer type'!J191</f>
        <v>601.04321517970027</v>
      </c>
      <c r="M33" s="273">
        <f>'ARP_Inputs by customer type'!J192</f>
        <v>0</v>
      </c>
      <c r="N33" s="273">
        <f>'ARP_Inputs by customer type'!J193</f>
        <v>1596.4649999999999</v>
      </c>
      <c r="O33" s="239"/>
      <c r="P33" s="239"/>
      <c r="Q33" s="273">
        <f>'ARP_Inputs by customer type'!J196</f>
        <v>20.430032150505486</v>
      </c>
      <c r="R33" s="273">
        <f>'ARP_Inputs by customer type'!J197</f>
        <v>0.57025605316046324</v>
      </c>
      <c r="S33" s="239"/>
      <c r="T33" s="273">
        <f>'ARP_Inputs by customer type'!J199</f>
        <v>0</v>
      </c>
      <c r="U33" s="239"/>
      <c r="V33" s="239"/>
      <c r="W33" s="239"/>
      <c r="X33" s="239"/>
      <c r="Y33" s="239"/>
    </row>
    <row r="34" spans="5:27" x14ac:dyDescent="0.25">
      <c r="E34" s="96"/>
      <c r="F34" s="109" t="s">
        <v>257</v>
      </c>
      <c r="G34" s="109" t="s">
        <v>120</v>
      </c>
      <c r="J34" s="274">
        <f>'ARP_Inputs by customer type'!J207</f>
        <v>48809.781090218552</v>
      </c>
      <c r="K34" s="274">
        <f>'ARP_Inputs by customer type'!J208</f>
        <v>25.329659479528413</v>
      </c>
      <c r="L34" s="274">
        <f>'ARP_Inputs by customer type'!J209</f>
        <v>3253.025245448257</v>
      </c>
      <c r="M34" s="274">
        <f>'ARP_Inputs by customer type'!J210</f>
        <v>0</v>
      </c>
      <c r="N34" s="274">
        <f>'ARP_Inputs by customer type'!J211</f>
        <v>7155.5069999999996</v>
      </c>
      <c r="O34" s="280"/>
      <c r="P34" s="280"/>
      <c r="Q34" s="274">
        <f>'ARP_Inputs by customer type'!J214</f>
        <v>273.96068150852608</v>
      </c>
      <c r="R34" s="274">
        <f>'ARP_Inputs by customer type'!J215</f>
        <v>2.0830307980493821</v>
      </c>
      <c r="S34" s="280"/>
      <c r="T34" s="274">
        <f>'ARP_Inputs by customer type'!J217</f>
        <v>0</v>
      </c>
      <c r="U34" s="280"/>
      <c r="V34" s="280"/>
      <c r="W34" s="280"/>
      <c r="X34" s="280"/>
      <c r="Y34" s="280"/>
    </row>
    <row r="35" spans="5:27" x14ac:dyDescent="0.25">
      <c r="E35" s="96"/>
      <c r="F35" s="109" t="s">
        <v>258</v>
      </c>
      <c r="G35" s="109" t="s">
        <v>120</v>
      </c>
      <c r="J35" s="274">
        <f>'ARP_Inputs by customer type'!J225</f>
        <v>44956.580637555373</v>
      </c>
      <c r="K35" s="274">
        <f>'ARP_Inputs by customer type'!J226</f>
        <v>257.47123756913317</v>
      </c>
      <c r="L35" s="274">
        <f>'ARP_Inputs by customer type'!J227</f>
        <v>3140.330539372042</v>
      </c>
      <c r="M35" s="274">
        <f>'ARP_Inputs by customer type'!J228</f>
        <v>0</v>
      </c>
      <c r="N35" s="274">
        <f>'ARP_Inputs by customer type'!J229</f>
        <v>6545.246000000001</v>
      </c>
      <c r="O35" s="280"/>
      <c r="P35" s="280"/>
      <c r="Q35" s="274">
        <f>'ARP_Inputs by customer type'!J232</f>
        <v>303.25428634096841</v>
      </c>
      <c r="R35" s="274">
        <f>'ARP_Inputs by customer type'!J233</f>
        <v>1.9454499908954175</v>
      </c>
      <c r="S35" s="280"/>
      <c r="T35" s="274">
        <f>'ARP_Inputs by customer type'!J235</f>
        <v>0</v>
      </c>
      <c r="U35" s="280"/>
      <c r="V35" s="280"/>
      <c r="W35" s="280"/>
      <c r="X35" s="280"/>
      <c r="Y35" s="280"/>
    </row>
    <row r="36" spans="5:27" x14ac:dyDescent="0.25">
      <c r="E36" s="96"/>
      <c r="F36" s="109" t="s">
        <v>74</v>
      </c>
      <c r="G36" s="109" t="s">
        <v>74</v>
      </c>
      <c r="J36" s="274">
        <f>'ARP_Inputs by customer type'!J243</f>
        <v>41179.93548387097</v>
      </c>
      <c r="K36" s="274">
        <f>'ARP_Inputs by customer type'!J244</f>
        <v>67</v>
      </c>
      <c r="L36" s="274">
        <f>'ARP_Inputs by customer type'!J245</f>
        <v>1036.6774193548388</v>
      </c>
      <c r="M36" s="274">
        <f>'ARP_Inputs by customer type'!J246</f>
        <v>0</v>
      </c>
      <c r="N36" s="274">
        <f>'ARP_Inputs by customer type'!J247</f>
        <v>76</v>
      </c>
      <c r="O36" s="280"/>
      <c r="P36" s="280"/>
      <c r="Q36" s="274">
        <f>'ARP_Inputs by customer type'!J250</f>
        <v>34</v>
      </c>
      <c r="R36" s="274">
        <f>'ARP_Inputs by customer type'!J251</f>
        <v>3</v>
      </c>
      <c r="S36" s="280"/>
      <c r="T36" s="274">
        <f>'ARP_Inputs by customer type'!J253</f>
        <v>0</v>
      </c>
      <c r="U36" s="280"/>
      <c r="V36" s="280"/>
      <c r="W36" s="280"/>
      <c r="X36" s="280"/>
      <c r="Y36" s="280"/>
    </row>
    <row r="37" spans="5:27" x14ac:dyDescent="0.25">
      <c r="E37" s="96"/>
      <c r="F37" s="109" t="s">
        <v>259</v>
      </c>
      <c r="G37" s="109" t="s">
        <v>169</v>
      </c>
      <c r="J37" s="280"/>
      <c r="K37" s="280"/>
      <c r="L37" s="280"/>
      <c r="M37" s="280"/>
      <c r="N37" s="274">
        <f>'ARP_Inputs by customer type'!J265</f>
        <v>10403</v>
      </c>
      <c r="O37" s="280"/>
      <c r="P37" s="280"/>
      <c r="Q37" s="280"/>
      <c r="R37" s="280"/>
      <c r="S37" s="280"/>
      <c r="T37" s="280"/>
      <c r="U37" s="280"/>
      <c r="V37" s="280"/>
      <c r="W37" s="280"/>
      <c r="X37" s="280"/>
      <c r="Y37" s="280"/>
    </row>
    <row r="38" spans="5:27" x14ac:dyDescent="0.25">
      <c r="E38" s="96"/>
      <c r="F38" s="109" t="s">
        <v>260</v>
      </c>
      <c r="G38" s="109" t="s">
        <v>169</v>
      </c>
      <c r="J38" s="280"/>
      <c r="K38" s="280"/>
      <c r="L38" s="280"/>
      <c r="M38" s="280"/>
      <c r="N38" s="274">
        <f>'ARP_Inputs by customer type'!J283</f>
        <v>41.612000000000002</v>
      </c>
      <c r="O38" s="280"/>
      <c r="P38" s="280"/>
      <c r="Q38" s="280"/>
      <c r="R38" s="280"/>
      <c r="S38" s="280"/>
      <c r="T38" s="280"/>
      <c r="U38" s="280"/>
      <c r="V38" s="280"/>
      <c r="W38" s="280"/>
      <c r="X38" s="280"/>
      <c r="Y38" s="280"/>
    </row>
    <row r="39" spans="5:27" x14ac:dyDescent="0.25">
      <c r="E39" s="96"/>
      <c r="F39" s="36" t="s">
        <v>261</v>
      </c>
      <c r="G39" s="36" t="s">
        <v>170</v>
      </c>
      <c r="H39" s="93"/>
      <c r="I39" s="93"/>
      <c r="J39" s="241"/>
      <c r="K39" s="241"/>
      <c r="L39" s="241"/>
      <c r="M39" s="241"/>
      <c r="N39" s="275">
        <f>'ARP_Inputs by customer type'!J301</f>
        <v>936</v>
      </c>
      <c r="O39" s="241"/>
      <c r="P39" s="241"/>
      <c r="Q39" s="241"/>
      <c r="R39" s="241"/>
      <c r="S39" s="241"/>
      <c r="T39" s="275">
        <f>'ARP_Inputs by customer type'!J307</f>
        <v>0</v>
      </c>
      <c r="U39" s="241"/>
      <c r="V39" s="241"/>
      <c r="W39" s="241"/>
      <c r="X39" s="241"/>
      <c r="Y39" s="241"/>
    </row>
    <row r="40" spans="5:27" s="380" customFormat="1" x14ac:dyDescent="0.25">
      <c r="E40" s="381"/>
      <c r="F40" s="382"/>
      <c r="G40" s="382"/>
      <c r="J40" s="383"/>
      <c r="K40" s="383"/>
      <c r="L40" s="383"/>
      <c r="M40" s="383"/>
      <c r="N40" s="384"/>
      <c r="O40" s="383"/>
      <c r="P40" s="383"/>
      <c r="Q40" s="383"/>
      <c r="R40" s="383"/>
      <c r="S40" s="383"/>
      <c r="T40" s="384"/>
      <c r="U40" s="383"/>
      <c r="V40" s="383"/>
      <c r="W40" s="383"/>
      <c r="X40" s="383"/>
      <c r="Y40" s="383"/>
    </row>
    <row r="41" spans="5:27" x14ac:dyDescent="0.25">
      <c r="E41" s="96" t="s">
        <v>1012</v>
      </c>
      <c r="G41" s="36"/>
      <c r="H41" s="93"/>
      <c r="I41" s="295" t="s">
        <v>431</v>
      </c>
      <c r="J41" s="272"/>
      <c r="K41" s="272"/>
      <c r="L41" s="272"/>
      <c r="M41" s="272"/>
      <c r="N41" s="272"/>
      <c r="O41" s="272"/>
      <c r="P41" s="272"/>
      <c r="Q41" s="272"/>
      <c r="R41" s="272"/>
      <c r="S41" s="272"/>
      <c r="T41" s="272"/>
      <c r="U41" s="272"/>
      <c r="V41" s="272"/>
      <c r="W41" s="272"/>
      <c r="X41" s="272"/>
      <c r="Y41" s="272"/>
      <c r="AA41" s="295" t="s">
        <v>799</v>
      </c>
    </row>
    <row r="42" spans="5:27" x14ac:dyDescent="0.25">
      <c r="F42" s="40" t="s">
        <v>256</v>
      </c>
      <c r="G42" s="109" t="s">
        <v>120</v>
      </c>
      <c r="I42" s="91"/>
      <c r="J42" s="273">
        <f>'ARP_Inputs by customer type'!J317</f>
        <v>20104.099696926573</v>
      </c>
      <c r="K42" s="273">
        <f>'ARP_Inputs by customer type'!J318</f>
        <v>2.0480897481131533</v>
      </c>
      <c r="L42" s="273">
        <f>'ARP_Inputs by customer type'!J319</f>
        <v>2081.7354094794059</v>
      </c>
      <c r="M42" s="273">
        <f>'ARP_Inputs by customer type'!J320</f>
        <v>0</v>
      </c>
      <c r="N42" s="273">
        <f>'ARP_Inputs by customer type'!J321</f>
        <v>13322.004999999999</v>
      </c>
      <c r="O42" s="273">
        <f>'ARP_Inputs by customer type'!J322</f>
        <v>2210.538</v>
      </c>
      <c r="P42" s="273">
        <f>'ARP_Inputs by customer type'!J323</f>
        <v>5129.4559999999992</v>
      </c>
      <c r="Q42" s="273">
        <f>'ARP_Inputs by customer type'!J324</f>
        <v>30.879361230900383</v>
      </c>
      <c r="R42" s="273">
        <f>'ARP_Inputs by customer type'!J325</f>
        <v>0.25597879022110009</v>
      </c>
      <c r="S42" s="273">
        <f>'ARP_Inputs by customer type'!J326</f>
        <v>0</v>
      </c>
      <c r="T42" s="273">
        <f>'ARP_Inputs by customer type'!J327</f>
        <v>0</v>
      </c>
      <c r="U42" s="239"/>
      <c r="V42" s="273">
        <f>'ARP_Inputs by customer type'!J329</f>
        <v>0</v>
      </c>
      <c r="W42" s="239"/>
      <c r="X42" s="273">
        <f>'ARP_Inputs by customer type'!J331</f>
        <v>0</v>
      </c>
      <c r="Y42" s="239"/>
    </row>
    <row r="43" spans="5:27" x14ac:dyDescent="0.25">
      <c r="F43" s="109" t="s">
        <v>257</v>
      </c>
      <c r="G43" s="109" t="s">
        <v>120</v>
      </c>
      <c r="J43" s="274">
        <f>'ARP_Inputs by customer type'!J335</f>
        <v>71593.395504093525</v>
      </c>
      <c r="K43" s="274">
        <f>'ARP_Inputs by customer type'!J336</f>
        <v>37.263746671521595</v>
      </c>
      <c r="L43" s="274">
        <f>'ARP_Inputs by customer type'!J337</f>
        <v>11268.104540991542</v>
      </c>
      <c r="M43" s="274">
        <f>'ARP_Inputs by customer type'!J338</f>
        <v>0</v>
      </c>
      <c r="N43" s="274">
        <f>'ARP_Inputs by customer type'!J339</f>
        <v>59210.165999999997</v>
      </c>
      <c r="O43" s="274">
        <f>'ARP_Inputs by customer type'!J340</f>
        <v>9690.4299999999985</v>
      </c>
      <c r="P43" s="274">
        <f>'ARP_Inputs by customer type'!J341</f>
        <v>23108.695</v>
      </c>
      <c r="Q43" s="274">
        <f>'ARP_Inputs by customer type'!J342</f>
        <v>425.49872061278865</v>
      </c>
      <c r="R43" s="274">
        <f>'ARP_Inputs by customer type'!J343</f>
        <v>0.94265200118290493</v>
      </c>
      <c r="S43" s="274">
        <f>'ARP_Inputs by customer type'!J344</f>
        <v>0</v>
      </c>
      <c r="T43" s="274">
        <f>'ARP_Inputs by customer type'!J345</f>
        <v>0</v>
      </c>
      <c r="U43" s="280"/>
      <c r="V43" s="274">
        <f>'ARP_Inputs by customer type'!J347</f>
        <v>0</v>
      </c>
      <c r="W43" s="280"/>
      <c r="X43" s="274">
        <f>'ARP_Inputs by customer type'!J349</f>
        <v>0</v>
      </c>
      <c r="Y43" s="280"/>
    </row>
    <row r="44" spans="5:27" x14ac:dyDescent="0.25">
      <c r="F44" s="109" t="s">
        <v>258</v>
      </c>
      <c r="G44" s="109" t="s">
        <v>120</v>
      </c>
      <c r="J44" s="274">
        <f>'ARP_Inputs by customer type'!J353</f>
        <v>65951.865798979896</v>
      </c>
      <c r="K44" s="274">
        <f>'ARP_Inputs by customer type'!J354</f>
        <v>378.23816358036527</v>
      </c>
      <c r="L44" s="274">
        <f>'ARP_Inputs by customer type'!J355</f>
        <v>10881.052049529049</v>
      </c>
      <c r="M44" s="274">
        <f>'ARP_Inputs by customer type'!J356</f>
        <v>0</v>
      </c>
      <c r="N44" s="274">
        <f>'ARP_Inputs by customer type'!J357</f>
        <v>50706.112000000001</v>
      </c>
      <c r="O44" s="274">
        <f>'ARP_Inputs by customer type'!J358</f>
        <v>8312.2019999999993</v>
      </c>
      <c r="P44" s="274">
        <f>'ARP_Inputs by customer type'!J359</f>
        <v>25303.565000000002</v>
      </c>
      <c r="Q44" s="274">
        <f>'ARP_Inputs by customer type'!J360</f>
        <v>470.53235815631092</v>
      </c>
      <c r="R44" s="274">
        <f>'ARP_Inputs by customer type'!J361</f>
        <v>0.86715492288170914</v>
      </c>
      <c r="S44" s="274">
        <f>'ARP_Inputs by customer type'!J362</f>
        <v>0</v>
      </c>
      <c r="T44" s="274">
        <f>'ARP_Inputs by customer type'!J363</f>
        <v>0</v>
      </c>
      <c r="U44" s="280"/>
      <c r="V44" s="274">
        <f>'ARP_Inputs by customer type'!J365</f>
        <v>0</v>
      </c>
      <c r="W44" s="280"/>
      <c r="X44" s="274">
        <f>'ARP_Inputs by customer type'!J367</f>
        <v>0</v>
      </c>
      <c r="Y44" s="280"/>
    </row>
    <row r="45" spans="5:27" x14ac:dyDescent="0.25">
      <c r="F45" s="109" t="s">
        <v>74</v>
      </c>
      <c r="G45" s="109" t="s">
        <v>74</v>
      </c>
      <c r="J45" s="274">
        <f>'ARP_Inputs by customer type'!J371</f>
        <v>58740.548387096773</v>
      </c>
      <c r="K45" s="274">
        <f>'ARP_Inputs by customer type'!J372</f>
        <v>78.451612903225808</v>
      </c>
      <c r="L45" s="274">
        <f>'ARP_Inputs by customer type'!J373</f>
        <v>1509.8709677419354</v>
      </c>
      <c r="M45" s="274">
        <f>'ARP_Inputs by customer type'!J374</f>
        <v>0</v>
      </c>
      <c r="N45" s="274">
        <f>'ARP_Inputs by customer type'!J375</f>
        <v>381</v>
      </c>
      <c r="O45" s="274">
        <f>'ARP_Inputs by customer type'!J376</f>
        <v>26</v>
      </c>
      <c r="P45" s="274">
        <f>'ARP_Inputs by customer type'!J377</f>
        <v>30</v>
      </c>
      <c r="Q45" s="274">
        <f>'ARP_Inputs by customer type'!J378</f>
        <v>46</v>
      </c>
      <c r="R45" s="274">
        <f>'ARP_Inputs by customer type'!J379</f>
        <v>5</v>
      </c>
      <c r="S45" s="274">
        <f>'ARP_Inputs by customer type'!J380</f>
        <v>0</v>
      </c>
      <c r="T45" s="274">
        <f>'ARP_Inputs by customer type'!J381</f>
        <v>0</v>
      </c>
      <c r="U45" s="280"/>
      <c r="V45" s="274">
        <f>'ARP_Inputs by customer type'!J383</f>
        <v>0</v>
      </c>
      <c r="W45" s="280"/>
      <c r="X45" s="274">
        <f>'ARP_Inputs by customer type'!J385</f>
        <v>0</v>
      </c>
      <c r="Y45" s="280"/>
    </row>
    <row r="46" spans="5:27" x14ac:dyDescent="0.25">
      <c r="F46" s="109" t="s">
        <v>259</v>
      </c>
      <c r="G46" s="109" t="s">
        <v>169</v>
      </c>
      <c r="J46" s="280"/>
      <c r="K46" s="280"/>
      <c r="L46" s="280"/>
      <c r="M46" s="280"/>
      <c r="N46" s="274">
        <f>'ARP_Inputs by customer type'!J393</f>
        <v>87614</v>
      </c>
      <c r="O46" s="274">
        <f>'ARP_Inputs by customer type'!J394</f>
        <v>13995</v>
      </c>
      <c r="P46" s="274">
        <f>'ARP_Inputs by customer type'!J395</f>
        <v>28618</v>
      </c>
      <c r="Q46" s="280"/>
      <c r="R46" s="280"/>
      <c r="S46" s="280"/>
      <c r="T46" s="280"/>
      <c r="U46" s="280"/>
      <c r="V46" s="280"/>
      <c r="W46" s="280"/>
      <c r="X46" s="280"/>
      <c r="Y46" s="280"/>
    </row>
    <row r="47" spans="5:27" x14ac:dyDescent="0.25">
      <c r="F47" s="109" t="s">
        <v>260</v>
      </c>
      <c r="G47" s="109" t="s">
        <v>169</v>
      </c>
      <c r="J47" s="280"/>
      <c r="K47" s="280"/>
      <c r="L47" s="280"/>
      <c r="M47" s="280"/>
      <c r="N47" s="274">
        <f>'ARP_Inputs by customer type'!J411</f>
        <v>175.22800000000001</v>
      </c>
      <c r="O47" s="274">
        <f>'ARP_Inputs by customer type'!J412</f>
        <v>0</v>
      </c>
      <c r="P47" s="274">
        <f>'ARP_Inputs by customer type'!J413</f>
        <v>14.309000000000001</v>
      </c>
      <c r="Q47" s="280"/>
      <c r="R47" s="280"/>
      <c r="S47" s="280"/>
      <c r="T47" s="280"/>
      <c r="U47" s="280"/>
      <c r="V47" s="280"/>
      <c r="W47" s="280"/>
      <c r="X47" s="280"/>
      <c r="Y47" s="280"/>
    </row>
    <row r="48" spans="5:27" x14ac:dyDescent="0.25">
      <c r="F48" s="36" t="s">
        <v>261</v>
      </c>
      <c r="G48" s="36" t="s">
        <v>170</v>
      </c>
      <c r="H48" s="93"/>
      <c r="I48" s="93"/>
      <c r="J48" s="241"/>
      <c r="K48" s="241"/>
      <c r="L48" s="241"/>
      <c r="M48" s="241"/>
      <c r="N48" s="275">
        <f>'ARP_Inputs by customer type'!J429</f>
        <v>9000</v>
      </c>
      <c r="O48" s="275">
        <f>'ARP_Inputs by customer type'!J430</f>
        <v>1320</v>
      </c>
      <c r="P48" s="275">
        <f>'ARP_Inputs by customer type'!J431</f>
        <v>1908</v>
      </c>
      <c r="Q48" s="241"/>
      <c r="R48" s="241"/>
      <c r="S48" s="241"/>
      <c r="T48" s="275">
        <f>'ARP_Inputs by customer type'!J435</f>
        <v>0</v>
      </c>
      <c r="U48" s="241"/>
      <c r="V48" s="275">
        <f>'ARP_Inputs by customer type'!J437</f>
        <v>0</v>
      </c>
      <c r="W48" s="241"/>
      <c r="X48" s="275">
        <f>'ARP_Inputs by customer type'!J439</f>
        <v>0</v>
      </c>
      <c r="Y48" s="241"/>
    </row>
    <row r="49" spans="2:27" x14ac:dyDescent="0.25">
      <c r="G49" s="108"/>
    </row>
    <row r="50" spans="2:27" x14ac:dyDescent="0.25">
      <c r="E50" s="96" t="s">
        <v>1120</v>
      </c>
      <c r="G50" s="108" t="s">
        <v>74</v>
      </c>
      <c r="I50" s="295" t="s">
        <v>431</v>
      </c>
      <c r="J50" s="274">
        <f t="array" ref="J50:Y50">TRANSPOSE('ARP_Inputs by customer type'!J445:J460)</f>
        <v>3083</v>
      </c>
      <c r="K50" s="274">
        <v>0</v>
      </c>
      <c r="L50" s="274">
        <v>42</v>
      </c>
      <c r="M50" s="274">
        <v>0</v>
      </c>
      <c r="N50" s="274">
        <v>18</v>
      </c>
      <c r="O50" s="274">
        <v>0</v>
      </c>
      <c r="P50" s="274">
        <v>4</v>
      </c>
      <c r="Q50" s="274">
        <v>0</v>
      </c>
      <c r="R50" s="274">
        <v>0</v>
      </c>
      <c r="S50" s="274">
        <v>0</v>
      </c>
      <c r="T50" s="274">
        <v>0</v>
      </c>
      <c r="U50" s="274">
        <v>0</v>
      </c>
      <c r="V50" s="274">
        <v>0</v>
      </c>
      <c r="W50" s="274">
        <v>0</v>
      </c>
      <c r="X50" s="274">
        <v>0</v>
      </c>
      <c r="Y50" s="274">
        <v>0</v>
      </c>
      <c r="AA50" s="295" t="s">
        <v>1163</v>
      </c>
    </row>
    <row r="51" spans="2:27" x14ac:dyDescent="0.25">
      <c r="G51" s="108"/>
    </row>
    <row r="52" spans="2:27" x14ac:dyDescent="0.25">
      <c r="C52" s="7" t="str">
        <f ca="1">INDEX('Version control'!$H$34:$H$58,MATCH($A$1,'Version control'!$F$34:$F$58,0),1)&amp;"-C: Service model asset values"</f>
        <v>Section 501-C: Service model asset values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2:27" x14ac:dyDescent="0.25">
      <c r="G53" s="108"/>
    </row>
    <row r="54" spans="2:27" x14ac:dyDescent="0.25">
      <c r="D54" s="82" t="s">
        <v>740</v>
      </c>
      <c r="H54" s="90"/>
    </row>
    <row r="55" spans="2:27" x14ac:dyDescent="0.25">
      <c r="G55" s="108"/>
      <c r="I55" s="295" t="s">
        <v>431</v>
      </c>
      <c r="AA55" s="295" t="s">
        <v>926</v>
      </c>
    </row>
    <row r="56" spans="2:27" x14ac:dyDescent="0.25">
      <c r="D56" s="86"/>
      <c r="E56" s="295" t="s">
        <v>741</v>
      </c>
      <c r="G56" s="295" t="s">
        <v>610</v>
      </c>
      <c r="H56" s="385"/>
      <c r="J56" s="274">
        <f>'ARP_Inputs by customer type'!J469</f>
        <v>377.70000000000005</v>
      </c>
      <c r="K56" s="280"/>
      <c r="L56" s="274">
        <f>'ARP_Inputs by customer type'!J471</f>
        <v>508.75</v>
      </c>
      <c r="M56" s="280"/>
      <c r="N56" s="274">
        <f>'ARP_Inputs by customer type'!J473</f>
        <v>2380</v>
      </c>
      <c r="O56" s="274">
        <f>'ARP_Inputs by customer type'!J474</f>
        <v>840</v>
      </c>
      <c r="P56" s="280"/>
      <c r="Q56" s="280"/>
      <c r="R56" s="274">
        <f>'ARP_Inputs by customer type'!J477</f>
        <v>0</v>
      </c>
      <c r="S56" s="274">
        <f>'ARP_Inputs by customer type'!J478</f>
        <v>0</v>
      </c>
      <c r="T56" s="274">
        <f>'ARP_Inputs by customer type'!J479</f>
        <v>0</v>
      </c>
      <c r="U56" s="274">
        <f>'ARP_Inputs by customer type'!J480</f>
        <v>0</v>
      </c>
      <c r="V56" s="274">
        <f>'ARP_Inputs by customer type'!J481</f>
        <v>0</v>
      </c>
      <c r="W56" s="274">
        <f>'ARP_Inputs by customer type'!J482</f>
        <v>0</v>
      </c>
      <c r="X56" s="280"/>
      <c r="Y56" s="280"/>
    </row>
    <row r="57" spans="2:27" x14ac:dyDescent="0.25">
      <c r="D57" s="86"/>
      <c r="E57" s="295" t="s">
        <v>742</v>
      </c>
      <c r="G57" s="295" t="s">
        <v>610</v>
      </c>
      <c r="H57" s="385"/>
      <c r="J57" s="280"/>
      <c r="K57" s="280"/>
      <c r="L57" s="280"/>
      <c r="M57" s="280"/>
      <c r="N57" s="280"/>
      <c r="O57" s="280"/>
      <c r="P57" s="274">
        <f>'ARP_Inputs by customer type'!J495</f>
        <v>12718.10554</v>
      </c>
      <c r="Q57" s="280"/>
      <c r="R57" s="280"/>
      <c r="S57" s="280"/>
      <c r="T57" s="280"/>
      <c r="U57" s="280"/>
      <c r="V57" s="280"/>
      <c r="W57" s="280"/>
      <c r="X57" s="274">
        <f>'ARP_Inputs by customer type'!J503</f>
        <v>9287</v>
      </c>
      <c r="Y57" s="274">
        <f>'ARP_Inputs by customer type'!J504</f>
        <v>9287</v>
      </c>
    </row>
    <row r="58" spans="2:27" x14ac:dyDescent="0.25">
      <c r="G58" s="108"/>
      <c r="J58" s="253"/>
      <c r="K58" s="253"/>
      <c r="L58" s="253"/>
      <c r="M58" s="253"/>
      <c r="N58" s="253"/>
      <c r="O58" s="253"/>
      <c r="P58" s="253"/>
      <c r="Q58" s="253"/>
      <c r="R58" s="253"/>
      <c r="S58" s="253"/>
      <c r="T58" s="253"/>
      <c r="U58" s="253"/>
      <c r="V58" s="253"/>
      <c r="W58" s="253"/>
      <c r="X58" s="253"/>
      <c r="Y58" s="253"/>
    </row>
    <row r="59" spans="2:27" x14ac:dyDescent="0.25">
      <c r="D59" s="86"/>
      <c r="E59" s="295" t="s">
        <v>743</v>
      </c>
      <c r="G59" s="295" t="s">
        <v>328</v>
      </c>
      <c r="I59" s="295" t="s">
        <v>431</v>
      </c>
      <c r="J59" s="280"/>
      <c r="K59" s="280"/>
      <c r="L59" s="280"/>
      <c r="M59" s="280"/>
      <c r="N59" s="280"/>
      <c r="O59" s="280"/>
      <c r="P59" s="280"/>
      <c r="Q59" s="274">
        <f>'ARP_Inputs by customer type'!J516</f>
        <v>120.51</v>
      </c>
      <c r="R59" s="280"/>
      <c r="S59" s="280"/>
      <c r="T59" s="280"/>
      <c r="U59" s="280"/>
      <c r="V59" s="280"/>
      <c r="W59" s="280"/>
      <c r="X59" s="280"/>
      <c r="Y59" s="280"/>
      <c r="AA59" s="295" t="s">
        <v>813</v>
      </c>
    </row>
    <row r="60" spans="2:27" x14ac:dyDescent="0.25">
      <c r="D60" s="86"/>
      <c r="J60" s="253"/>
      <c r="K60" s="253"/>
      <c r="L60" s="253"/>
      <c r="M60" s="253"/>
      <c r="N60" s="253"/>
      <c r="O60" s="253"/>
      <c r="P60" s="253"/>
      <c r="Q60" s="253"/>
      <c r="R60" s="253"/>
      <c r="S60" s="253"/>
      <c r="T60" s="253"/>
      <c r="U60" s="253"/>
      <c r="V60" s="253"/>
      <c r="W60" s="253"/>
      <c r="X60" s="253"/>
      <c r="Y60" s="253"/>
    </row>
    <row r="61" spans="2:27" x14ac:dyDescent="0.25">
      <c r="B61" s="95" t="s">
        <v>109</v>
      </c>
      <c r="C61" s="95"/>
      <c r="D61" s="95"/>
      <c r="E61" s="95"/>
      <c r="F61" s="95"/>
      <c r="G61" s="128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2:27" x14ac:dyDescent="0.25">
      <c r="G62" s="108"/>
    </row>
    <row r="63" spans="2:27" x14ac:dyDescent="0.25">
      <c r="E63" s="295" t="s">
        <v>516</v>
      </c>
      <c r="G63" s="122" t="s">
        <v>692</v>
      </c>
      <c r="H63" s="378">
        <f t="array" ref="H63">SUM(IF(ISERROR(H16:Y60), 1))</f>
        <v>0</v>
      </c>
    </row>
    <row r="64" spans="2:27" x14ac:dyDescent="0.25">
      <c r="G64" s="108"/>
    </row>
    <row r="65" spans="2:27" x14ac:dyDescent="0.25">
      <c r="E65" s="295" t="s">
        <v>446</v>
      </c>
      <c r="G65" s="122" t="s">
        <v>692</v>
      </c>
      <c r="H65" s="152">
        <f>H63</f>
        <v>0</v>
      </c>
    </row>
    <row r="67" spans="2:27" x14ac:dyDescent="0.25">
      <c r="B67" s="95" t="s">
        <v>110</v>
      </c>
      <c r="C67" s="95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</sheetData>
  <sheetProtection sheet="1" objects="1" formatCells="0" formatColumns="0" formatRows="0" sort="0" autoFilter="0"/>
  <conditionalFormatting sqref="H63">
    <cfRule type="cellIs" dxfId="204" priority="11" operator="greaterThan">
      <formula>0</formula>
    </cfRule>
  </conditionalFormatting>
  <conditionalFormatting sqref="H65">
    <cfRule type="cellIs" dxfId="203" priority="10" operator="greaterThan">
      <formula>0</formula>
    </cfRule>
  </conditionalFormatting>
  <conditionalFormatting sqref="A4:I4 Z4:XFD4">
    <cfRule type="expression" dxfId="202" priority="9">
      <formula>LEFT($A$4,1) &lt;&gt; "0"</formula>
    </cfRule>
  </conditionalFormatting>
  <conditionalFormatting sqref="N4:P4">
    <cfRule type="expression" dxfId="201" priority="8">
      <formula>LEFT($A$4,1) &lt;&gt; "0"</formula>
    </cfRule>
  </conditionalFormatting>
  <conditionalFormatting sqref="L4:M4">
    <cfRule type="expression" dxfId="200" priority="7">
      <formula>LEFT($A$4,1) &lt;&gt; "0"</formula>
    </cfRule>
  </conditionalFormatting>
  <conditionalFormatting sqref="J4:K4">
    <cfRule type="expression" dxfId="199" priority="6">
      <formula>LEFT($A$4,1) &lt;&gt; "0"</formula>
    </cfRule>
  </conditionalFormatting>
  <conditionalFormatting sqref="Q4">
    <cfRule type="expression" dxfId="198" priority="5">
      <formula>LEFT($A$4,1) &lt;&gt; "0"</formula>
    </cfRule>
  </conditionalFormatting>
  <conditionalFormatting sqref="R4:S4">
    <cfRule type="expression" dxfId="197" priority="4">
      <formula>LEFT($A$4,1) &lt;&gt; "0"</formula>
    </cfRule>
  </conditionalFormatting>
  <conditionalFormatting sqref="T4:U4">
    <cfRule type="expression" dxfId="196" priority="3">
      <formula>LEFT($A$4,1) &lt;&gt; "0"</formula>
    </cfRule>
  </conditionalFormatting>
  <conditionalFormatting sqref="V4:W4">
    <cfRule type="expression" dxfId="195" priority="2">
      <formula>LEFT($A$4,1) &lt;&gt; "0"</formula>
    </cfRule>
  </conditionalFormatting>
  <conditionalFormatting sqref="X4:Y4">
    <cfRule type="expression" dxfId="194" priority="1">
      <formula>LEFT($A$4,1) &lt;&gt; "0"</formula>
    </cfRule>
  </conditionalFormatting>
  <dataValidations count="5">
    <dataValidation type="decimal" allowBlank="1" showInputMessage="1" showErrorMessage="1" errorTitle="Invalid load factor" error="The load factor must be between 0% and 100%." sqref="J18:Q18" xr:uid="{00000000-0002-0000-0E00-000000000000}">
      <formula1>0</formula1>
      <formula2>1</formula2>
    </dataValidation>
    <dataValidation type="decimal" operator="greaterThanOrEqual" allowBlank="1" showInputMessage="1" showErrorMessage="1" sqref="Y18:Y48" xr:uid="{00000000-0002-0000-0E00-000001000000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37:Y48 J54:Y54 J24:Y33 Q34:R35 J59:Y60 J56:Y57" xr:uid="{00000000-0002-0000-0E00-000002000000}">
      <formula1>0</formula1>
    </dataValidation>
    <dataValidation type="textLength" operator="equal" allowBlank="1" showInputMessage="1" showErrorMessage="1" error="This cell is not in use." sqref="Y54 Y59:Y60" xr:uid="{00000000-0002-0000-0E00-000003000000}">
      <formula1>0</formula1>
    </dataValidation>
    <dataValidation type="decimal" allowBlank="1" showInputMessage="1" showErrorMessage="1" errorTitle="Invalid coincidence factor" error="Invalid coincidence factor (unused cell or not between 0% and 100%)." sqref="R18:Y19 J19:Q19" xr:uid="{00000000-0002-0000-0E00-000004000000}">
      <formula1>0</formula1>
      <formula2>1</formula2>
    </dataValidation>
  </dataValidations>
  <hyperlinks>
    <hyperlink ref="B5:F5" location="'Model map'!A1" display="Click here to return to model map" xr:uid="{00000000-0004-0000-0E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1">
    <tabColor theme="4" tint="0.59999389629810485"/>
    <pageSetUpPr fitToPage="1"/>
  </sheetPr>
  <dimension ref="A1:IV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19" width="17" style="295" customWidth="1"/>
    <col min="20" max="20" width="2.42578125" style="295" customWidth="1"/>
    <col min="21" max="21" width="50.5703125" style="295" customWidth="1"/>
    <col min="22" max="22" width="2.42578125" style="295" customWidth="1"/>
    <col min="23" max="27" width="20.5703125" style="295" hidden="1" customWidth="1"/>
    <col min="28" max="28" width="2.5703125" style="295" hidden="1" customWidth="1"/>
    <col min="29" max="256" width="20.5703125" style="295" hidden="1" customWidth="1"/>
    <col min="257" max="16384" width="9.140625" style="295" hidden="1"/>
  </cols>
  <sheetData>
    <row r="1" spans="1:27" s="10" customFormat="1" x14ac:dyDescent="0.25">
      <c r="A1" s="10" t="str">
        <f ca="1">MID(CELL("filename",A1),FIND("]",CELL("filename",A1))+1,255)</f>
        <v>Inputs by network level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1" t="str">
        <f>H59 &amp; IF(H59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25">
      <c r="B5" s="372" t="s">
        <v>552</v>
      </c>
      <c r="C5" s="373"/>
      <c r="D5" s="373"/>
      <c r="E5" s="373"/>
      <c r="F5" s="373"/>
      <c r="G5" s="10" t="s">
        <v>91</v>
      </c>
      <c r="H5" s="8" t="s">
        <v>92</v>
      </c>
      <c r="I5" s="111"/>
      <c r="J5" s="8" t="s">
        <v>324</v>
      </c>
      <c r="K5" s="8" t="s">
        <v>43</v>
      </c>
      <c r="L5" s="8" t="s">
        <v>44</v>
      </c>
      <c r="M5" s="8" t="s">
        <v>45</v>
      </c>
      <c r="N5" s="8" t="s">
        <v>46</v>
      </c>
      <c r="O5" s="8" t="s">
        <v>47</v>
      </c>
      <c r="P5" s="8" t="s">
        <v>51</v>
      </c>
      <c r="Q5" s="8" t="s">
        <v>48</v>
      </c>
      <c r="R5" s="8" t="s">
        <v>49</v>
      </c>
      <c r="S5" s="8" t="s">
        <v>50</v>
      </c>
      <c r="U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W7" s="95"/>
      <c r="X7" s="95"/>
      <c r="Y7" s="95"/>
      <c r="Z7" s="95"/>
      <c r="AA7" s="95"/>
    </row>
    <row r="9" spans="1:27" x14ac:dyDescent="0.25">
      <c r="C9" s="82" t="s">
        <v>896</v>
      </c>
    </row>
    <row r="10" spans="1:27" x14ac:dyDescent="0.25">
      <c r="C10" s="82"/>
    </row>
    <row r="11" spans="1:27" x14ac:dyDescent="0.25">
      <c r="C11" s="82"/>
      <c r="E11" s="295" t="s">
        <v>582</v>
      </c>
      <c r="G11" s="295" t="s">
        <v>583</v>
      </c>
      <c r="H11" s="402" t="str">
        <f>charging_year_selected</f>
        <v>2021/22</v>
      </c>
    </row>
    <row r="12" spans="1:27" x14ac:dyDescent="0.25">
      <c r="C12" s="82"/>
      <c r="E12" s="295" t="s">
        <v>567</v>
      </c>
      <c r="G12" s="295" t="s">
        <v>385</v>
      </c>
      <c r="H12" s="456" t="str">
        <f>'ARP_User control'!$H$36</f>
        <v>Current</v>
      </c>
    </row>
    <row r="14" spans="1:27" x14ac:dyDescent="0.25">
      <c r="B14" s="95" t="s">
        <v>252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27" x14ac:dyDescent="0.25">
      <c r="C16" s="7" t="str">
        <f ca="1">INDEX('Version control'!$H$34:$H$58,MATCH($A$1,'Version control'!$F$34:$F$58,0),1)&amp;"-A: Network and load inputs"</f>
        <v>Section 502-A: Network and load inputs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W16" s="95"/>
      <c r="X16" s="95"/>
      <c r="Y16" s="95"/>
      <c r="Z16" s="95"/>
      <c r="AA16" s="95"/>
    </row>
    <row r="18" spans="3:27" x14ac:dyDescent="0.25">
      <c r="E18" s="14" t="s">
        <v>42</v>
      </c>
      <c r="G18" s="14" t="s">
        <v>94</v>
      </c>
      <c r="I18" s="295" t="s">
        <v>431</v>
      </c>
      <c r="J18" s="386"/>
      <c r="K18" s="389">
        <f>'ARP_Inputs by network level'!J20</f>
        <v>0.11600000000000001</v>
      </c>
      <c r="L18" s="389">
        <f>'ARP_Inputs by network level'!J21</f>
        <v>0</v>
      </c>
      <c r="M18" s="386"/>
      <c r="N18" s="389">
        <f>'ARP_Inputs by network level'!J23</f>
        <v>0.13</v>
      </c>
      <c r="O18" s="386"/>
      <c r="P18" s="379"/>
      <c r="Q18" s="389">
        <f>'ARP_Inputs by network level'!J26</f>
        <v>0.25</v>
      </c>
      <c r="R18" s="79"/>
      <c r="S18" s="79"/>
      <c r="U18" s="90" t="s">
        <v>919</v>
      </c>
    </row>
    <row r="20" spans="3:27" x14ac:dyDescent="0.25">
      <c r="E20" s="14" t="s">
        <v>642</v>
      </c>
      <c r="G20" s="14" t="s">
        <v>94</v>
      </c>
      <c r="H20" s="14"/>
      <c r="I20" s="452"/>
      <c r="J20" s="386"/>
      <c r="K20" s="79"/>
      <c r="L20" s="79"/>
      <c r="M20" s="79"/>
      <c r="N20" s="79"/>
      <c r="O20" s="79"/>
      <c r="P20" s="389">
        <f>'ARP_Inputs by network level'!J39</f>
        <v>0</v>
      </c>
      <c r="Q20" s="79"/>
      <c r="R20" s="79"/>
      <c r="S20" s="79"/>
    </row>
    <row r="22" spans="3:27" x14ac:dyDescent="0.25">
      <c r="E22" s="14" t="s">
        <v>253</v>
      </c>
      <c r="G22" s="14" t="s">
        <v>528</v>
      </c>
      <c r="I22" s="295" t="s">
        <v>431</v>
      </c>
      <c r="J22" s="280"/>
      <c r="K22" s="274">
        <f>'ARP_Inputs by network level'!J48</f>
        <v>1</v>
      </c>
      <c r="L22" s="274">
        <f>'ARP_Inputs by network level'!J49</f>
        <v>1</v>
      </c>
      <c r="M22" s="274">
        <f>'ARP_Inputs by network level'!J50</f>
        <v>1</v>
      </c>
      <c r="N22" s="274">
        <f>'ARP_Inputs by network level'!J51</f>
        <v>1.004</v>
      </c>
      <c r="O22" s="274">
        <f>'ARP_Inputs by network level'!J52</f>
        <v>1.0129999999999999</v>
      </c>
      <c r="P22" s="280"/>
      <c r="Q22" s="274">
        <f>'ARP_Inputs by network level'!J54</f>
        <v>1.026</v>
      </c>
      <c r="R22" s="274">
        <f>'ARP_Inputs by network level'!J55</f>
        <v>1.044</v>
      </c>
      <c r="S22" s="274">
        <f>'ARP_Inputs by network level'!J56</f>
        <v>1.0980000000000001</v>
      </c>
      <c r="U22" s="90" t="s">
        <v>800</v>
      </c>
    </row>
    <row r="23" spans="3:27" x14ac:dyDescent="0.25">
      <c r="J23" s="253"/>
      <c r="K23" s="253"/>
      <c r="L23" s="253"/>
      <c r="M23" s="253"/>
      <c r="N23" s="253"/>
      <c r="O23" s="253"/>
      <c r="P23" s="253"/>
      <c r="Q23" s="253"/>
      <c r="R23" s="253"/>
      <c r="S23" s="253"/>
    </row>
    <row r="24" spans="3:27" x14ac:dyDescent="0.25">
      <c r="E24" s="14" t="s">
        <v>89</v>
      </c>
      <c r="G24" s="14" t="s">
        <v>608</v>
      </c>
      <c r="I24" s="295" t="s">
        <v>431</v>
      </c>
      <c r="J24" s="280"/>
      <c r="K24" s="274">
        <f>'ARP_Inputs by network level'!J62</f>
        <v>0.26509994640061324</v>
      </c>
      <c r="L24" s="274">
        <f>'ARP_Inputs by network level'!J63</f>
        <v>0</v>
      </c>
      <c r="M24" s="274">
        <f>'ARP_Inputs by network level'!J64</f>
        <v>0</v>
      </c>
      <c r="N24" s="274">
        <f>'ARP_Inputs by network level'!J65</f>
        <v>0.26509994640061324</v>
      </c>
      <c r="O24" s="274">
        <f>'ARP_Inputs by network level'!J66</f>
        <v>0.21690566590786087</v>
      </c>
      <c r="P24" s="274">
        <f>'ARP_Inputs by network level'!J67</f>
        <v>0</v>
      </c>
      <c r="Q24" s="274">
        <f>'ARP_Inputs by network level'!J68</f>
        <v>0.21690566590786087</v>
      </c>
      <c r="R24" s="274">
        <f>'ARP_Inputs by network level'!J69</f>
        <v>0.21690566590786087</v>
      </c>
      <c r="S24" s="274">
        <f>'ARP_Inputs by network level'!J70</f>
        <v>0.21690566590786087</v>
      </c>
      <c r="U24" s="90" t="s">
        <v>920</v>
      </c>
    </row>
    <row r="26" spans="3:27" x14ac:dyDescent="0.25">
      <c r="C26" s="7" t="str">
        <f ca="1">INDEX('Version control'!$H$34:$H$58,MATCH($A$1,'Version control'!$F$34:$F$58,0),1)&amp;"-B: Customer contributions under current connection charging policy"</f>
        <v>Section 502-B: Customer contributions under current connection charging policy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W26" s="95"/>
      <c r="X26" s="95"/>
      <c r="Y26" s="95"/>
      <c r="Z26" s="95"/>
      <c r="AA26" s="95"/>
    </row>
    <row r="27" spans="3:27" x14ac:dyDescent="0.25">
      <c r="C27" s="96"/>
      <c r="I27" s="295" t="s">
        <v>431</v>
      </c>
      <c r="U27" s="295" t="s">
        <v>921</v>
      </c>
    </row>
    <row r="28" spans="3:27" x14ac:dyDescent="0.25">
      <c r="C28" s="96"/>
      <c r="E28" s="96" t="s">
        <v>262</v>
      </c>
    </row>
    <row r="29" spans="3:27" x14ac:dyDescent="0.25">
      <c r="F29" s="16" t="s">
        <v>80</v>
      </c>
      <c r="G29" s="16" t="s">
        <v>94</v>
      </c>
      <c r="H29" s="91"/>
      <c r="I29" s="91"/>
      <c r="J29" s="106"/>
      <c r="K29" s="106"/>
      <c r="L29" s="137">
        <f>'ARP_Inputs by network level'!J78</f>
        <v>0</v>
      </c>
      <c r="M29" s="137">
        <f>'ARP_Inputs by network level'!J79</f>
        <v>0</v>
      </c>
      <c r="N29" s="137">
        <f>'ARP_Inputs by network level'!J80</f>
        <v>0</v>
      </c>
      <c r="O29" s="137">
        <f>'ARP_Inputs by network level'!J81</f>
        <v>0</v>
      </c>
      <c r="P29" s="137">
        <f>'ARP_Inputs by network level'!J82</f>
        <v>0</v>
      </c>
      <c r="Q29" s="137">
        <f>'ARP_Inputs by network level'!J83</f>
        <v>0.20065197841726601</v>
      </c>
      <c r="R29" s="137">
        <f>'ARP_Inputs by network level'!J84</f>
        <v>0.26968503937007898</v>
      </c>
      <c r="S29" s="137">
        <f>'ARP_Inputs by network level'!J85</f>
        <v>0.92371773930088197</v>
      </c>
    </row>
    <row r="30" spans="3:27" x14ac:dyDescent="0.25">
      <c r="F30" s="14" t="s">
        <v>81</v>
      </c>
      <c r="G30" s="14" t="s">
        <v>94</v>
      </c>
      <c r="J30" s="79"/>
      <c r="K30" s="79"/>
      <c r="L30" s="143">
        <f>'ARP_Inputs by network level'!J89</f>
        <v>0</v>
      </c>
      <c r="M30" s="143">
        <f>'ARP_Inputs by network level'!J90</f>
        <v>0</v>
      </c>
      <c r="N30" s="143">
        <f>'ARP_Inputs by network level'!J91</f>
        <v>0</v>
      </c>
      <c r="O30" s="143">
        <f>'ARP_Inputs by network level'!J92</f>
        <v>0</v>
      </c>
      <c r="P30" s="143">
        <f>'ARP_Inputs by network level'!J93</f>
        <v>0</v>
      </c>
      <c r="Q30" s="143">
        <f>'ARP_Inputs by network level'!J94</f>
        <v>0.20065197841726601</v>
      </c>
      <c r="R30" s="143">
        <f>'ARP_Inputs by network level'!J95</f>
        <v>0.26968503937007898</v>
      </c>
      <c r="S30" s="375"/>
    </row>
    <row r="31" spans="3:27" x14ac:dyDescent="0.25">
      <c r="F31" s="14" t="s">
        <v>82</v>
      </c>
      <c r="G31" s="14" t="s">
        <v>94</v>
      </c>
      <c r="J31" s="79"/>
      <c r="K31" s="79"/>
      <c r="L31" s="143">
        <f>'ARP_Inputs by network level'!J100</f>
        <v>0</v>
      </c>
      <c r="M31" s="143">
        <f>'ARP_Inputs by network level'!J101</f>
        <v>0</v>
      </c>
      <c r="N31" s="143">
        <f>'ARP_Inputs by network level'!J102</f>
        <v>3.11004784688995E-2</v>
      </c>
      <c r="O31" s="143">
        <f>'ARP_Inputs by network level'!J103</f>
        <v>0.14212259371833799</v>
      </c>
      <c r="P31" s="143">
        <f>'ARP_Inputs by network level'!J104</f>
        <v>0</v>
      </c>
      <c r="Q31" s="143">
        <f>'ARP_Inputs by network level'!J105</f>
        <v>0.45146695143884902</v>
      </c>
      <c r="R31" s="375"/>
      <c r="S31" s="375"/>
    </row>
    <row r="32" spans="3:27" x14ac:dyDescent="0.25">
      <c r="F32" s="15" t="s">
        <v>83</v>
      </c>
      <c r="G32" s="15" t="s">
        <v>94</v>
      </c>
      <c r="H32" s="93"/>
      <c r="I32" s="93"/>
      <c r="J32" s="102"/>
      <c r="K32" s="102"/>
      <c r="L32" s="395">
        <f>'ARP_Inputs by network level'!J111</f>
        <v>0</v>
      </c>
      <c r="M32" s="395">
        <f>'ARP_Inputs by network level'!J112</f>
        <v>0</v>
      </c>
      <c r="N32" s="395">
        <f>'ARP_Inputs by network level'!J113</f>
        <v>3.11004784688995E-2</v>
      </c>
      <c r="O32" s="395">
        <f>'ARP_Inputs by network level'!J114</f>
        <v>0.14212259371833799</v>
      </c>
      <c r="P32" s="38"/>
      <c r="Q32" s="38"/>
      <c r="R32" s="38"/>
      <c r="S32" s="38"/>
    </row>
    <row r="34" spans="2:27" x14ac:dyDescent="0.25">
      <c r="C34" s="7" t="str">
        <f ca="1">INDEX('Version control'!$H$34:$H$58,MATCH($A$1,'Version control'!$F$34:$F$58,0),1)&amp;"-C: DRM asset costs"</f>
        <v>Section 502-C: DRM asset costs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W34" s="95"/>
      <c r="X34" s="95"/>
      <c r="Y34" s="95"/>
      <c r="Z34" s="95"/>
      <c r="AA34" s="95"/>
    </row>
    <row r="36" spans="2:27" x14ac:dyDescent="0.25">
      <c r="E36" s="14" t="s">
        <v>251</v>
      </c>
      <c r="G36" s="14" t="s">
        <v>107</v>
      </c>
      <c r="I36" s="295" t="s">
        <v>431</v>
      </c>
      <c r="J36" s="280"/>
      <c r="K36" s="280"/>
      <c r="L36" s="274">
        <f>'ARP_Inputs by network level'!J125</f>
        <v>0</v>
      </c>
      <c r="M36" s="274">
        <f>'ARP_Inputs by network level'!J126</f>
        <v>0</v>
      </c>
      <c r="N36" s="274">
        <f>'ARP_Inputs by network level'!J127</f>
        <v>115483848.7018043</v>
      </c>
      <c r="O36" s="274">
        <f>'ARP_Inputs by network level'!J128</f>
        <v>29592148.796136998</v>
      </c>
      <c r="P36" s="274">
        <f>'ARP_Inputs by network level'!J129</f>
        <v>0</v>
      </c>
      <c r="Q36" s="274">
        <f>'ARP_Inputs by network level'!J130</f>
        <v>127306253.13245735</v>
      </c>
      <c r="R36" s="274">
        <f>'ARP_Inputs by network level'!J131</f>
        <v>31995666.142905347</v>
      </c>
      <c r="S36" s="274">
        <f>'ARP_Inputs by network level'!J132</f>
        <v>53817722.025625169</v>
      </c>
    </row>
    <row r="38" spans="2:27" x14ac:dyDescent="0.25">
      <c r="C38" s="7" t="str">
        <f ca="1">INDEX('Version control'!$H$34:$H$58,MATCH($A$1,'Version control'!$F$34:$F$58,0),1)&amp;"-D: Peaking probabilities by network level"</f>
        <v>Section 502-D: Peaking probabilities by network level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W38" s="95"/>
      <c r="X38" s="95"/>
      <c r="Y38" s="95"/>
      <c r="Z38" s="95"/>
      <c r="AA38" s="95"/>
    </row>
    <row r="40" spans="2:27" x14ac:dyDescent="0.25">
      <c r="D40" s="82" t="s">
        <v>727</v>
      </c>
    </row>
    <row r="41" spans="2:27" x14ac:dyDescent="0.25">
      <c r="C41" s="82"/>
    </row>
    <row r="42" spans="2:27" x14ac:dyDescent="0.25">
      <c r="D42" s="96"/>
      <c r="E42" s="96" t="s">
        <v>897</v>
      </c>
      <c r="I42" s="295" t="s">
        <v>431</v>
      </c>
      <c r="U42" s="295" t="s">
        <v>922</v>
      </c>
    </row>
    <row r="43" spans="2:27" x14ac:dyDescent="0.25">
      <c r="F43" s="91" t="s">
        <v>84</v>
      </c>
      <c r="G43" s="40" t="s">
        <v>94</v>
      </c>
      <c r="H43" s="91"/>
      <c r="I43" s="91"/>
      <c r="J43" s="106"/>
      <c r="K43" s="137">
        <f>'ARP_Inputs by network level'!J140</f>
        <v>0.73685290844250551</v>
      </c>
      <c r="L43" s="137">
        <f>'ARP_Inputs by network level'!J141</f>
        <v>0</v>
      </c>
      <c r="M43" s="137">
        <f>'ARP_Inputs by network level'!J142</f>
        <v>0</v>
      </c>
      <c r="N43" s="137">
        <f>'ARP_Inputs by network level'!J143</f>
        <v>0.73685290844250551</v>
      </c>
      <c r="O43" s="137">
        <f>'ARP_Inputs by network level'!J144</f>
        <v>0.64549570804091005</v>
      </c>
      <c r="P43" s="137">
        <f>'ARP_Inputs by network level'!J145</f>
        <v>0</v>
      </c>
      <c r="Q43" s="137">
        <f>'ARP_Inputs by network level'!J146</f>
        <v>0.64549570804091005</v>
      </c>
      <c r="R43" s="137">
        <f>'ARP_Inputs by network level'!J147</f>
        <v>0.64549570804091005</v>
      </c>
      <c r="S43" s="137">
        <f>'ARP_Inputs by network level'!J148</f>
        <v>0.64549570804091005</v>
      </c>
    </row>
    <row r="44" spans="2:27" x14ac:dyDescent="0.25">
      <c r="F44" s="295" t="s">
        <v>85</v>
      </c>
      <c r="G44" s="109" t="s">
        <v>94</v>
      </c>
      <c r="J44" s="79"/>
      <c r="K44" s="143">
        <f>'ARP_Inputs by network level'!J152</f>
        <v>0.25763649230764868</v>
      </c>
      <c r="L44" s="143">
        <f>'ARP_Inputs by network level'!J153</f>
        <v>0</v>
      </c>
      <c r="M44" s="143">
        <f>'ARP_Inputs by network level'!J154</f>
        <v>0</v>
      </c>
      <c r="N44" s="143">
        <f>'ARP_Inputs by network level'!J155</f>
        <v>0.25763649230764868</v>
      </c>
      <c r="O44" s="143">
        <f>'ARP_Inputs by network level'!J156</f>
        <v>0.33912381234136874</v>
      </c>
      <c r="P44" s="143">
        <f>'ARP_Inputs by network level'!J157</f>
        <v>0</v>
      </c>
      <c r="Q44" s="143">
        <f>'ARP_Inputs by network level'!J158</f>
        <v>0.33912381234136874</v>
      </c>
      <c r="R44" s="143">
        <f>'ARP_Inputs by network level'!J159</f>
        <v>0.33912381234136874</v>
      </c>
      <c r="S44" s="143">
        <f>'ARP_Inputs by network level'!J160</f>
        <v>0.33912381234136874</v>
      </c>
    </row>
    <row r="45" spans="2:27" x14ac:dyDescent="0.25">
      <c r="F45" s="93" t="s">
        <v>86</v>
      </c>
      <c r="G45" s="36" t="s">
        <v>94</v>
      </c>
      <c r="H45" s="93"/>
      <c r="I45" s="93"/>
      <c r="J45" s="102"/>
      <c r="K45" s="395">
        <f>'ARP_Inputs by network level'!J164</f>
        <v>5.5105992498457714E-3</v>
      </c>
      <c r="L45" s="395">
        <f>'ARP_Inputs by network level'!J165</f>
        <v>0</v>
      </c>
      <c r="M45" s="395">
        <f>'ARP_Inputs by network level'!J166</f>
        <v>0</v>
      </c>
      <c r="N45" s="395">
        <f>'ARP_Inputs by network level'!J167</f>
        <v>5.5105992498457714E-3</v>
      </c>
      <c r="O45" s="395">
        <f>'ARP_Inputs by network level'!J168</f>
        <v>1.5380479617721122E-2</v>
      </c>
      <c r="P45" s="395">
        <f>'ARP_Inputs by network level'!J169</f>
        <v>0</v>
      </c>
      <c r="Q45" s="395">
        <f>'ARP_Inputs by network level'!J170</f>
        <v>1.5380479617721122E-2</v>
      </c>
      <c r="R45" s="395">
        <f>'ARP_Inputs by network level'!J171</f>
        <v>1.5380479617721122E-2</v>
      </c>
      <c r="S45" s="395">
        <f>'ARP_Inputs by network level'!J172</f>
        <v>1.5380479617721122E-2</v>
      </c>
    </row>
    <row r="46" spans="2:27" x14ac:dyDescent="0.25">
      <c r="F46" s="93" t="s">
        <v>87</v>
      </c>
      <c r="G46" s="36" t="s">
        <v>94</v>
      </c>
      <c r="H46" s="93"/>
      <c r="I46" s="93"/>
      <c r="J46" s="102"/>
      <c r="K46" s="395">
        <f>'ARP_Inputs by network level'!J176</f>
        <v>0.67055113994438198</v>
      </c>
      <c r="L46" s="395">
        <f>'ARP_Inputs by network level'!J177</f>
        <v>0</v>
      </c>
      <c r="M46" s="395">
        <f>'ARP_Inputs by network level'!J178</f>
        <v>0</v>
      </c>
      <c r="N46" s="395">
        <f>'ARP_Inputs by network level'!J179</f>
        <v>0.67055113994438198</v>
      </c>
      <c r="O46" s="395">
        <f>'ARP_Inputs by network level'!J180</f>
        <v>0.60511449175300125</v>
      </c>
      <c r="P46" s="395">
        <f>'ARP_Inputs by network level'!J181</f>
        <v>0</v>
      </c>
      <c r="Q46" s="395">
        <f>'ARP_Inputs by network level'!J182</f>
        <v>0.60511449175300125</v>
      </c>
      <c r="R46" s="395">
        <f>'ARP_Inputs by network level'!J183</f>
        <v>0.60511449175300125</v>
      </c>
      <c r="S46" s="395">
        <f>'ARP_Inputs by network level'!J184</f>
        <v>0.60511449175300125</v>
      </c>
    </row>
    <row r="48" spans="2:27" x14ac:dyDescent="0.25">
      <c r="B48" s="95" t="s">
        <v>109</v>
      </c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W48" s="95"/>
      <c r="X48" s="95"/>
      <c r="Y48" s="95"/>
      <c r="Z48" s="95"/>
      <c r="AA48" s="95"/>
    </row>
    <row r="50" spans="2:27" x14ac:dyDescent="0.25">
      <c r="E50" s="295" t="s">
        <v>516</v>
      </c>
      <c r="G50" s="122" t="s">
        <v>692</v>
      </c>
      <c r="H50" s="378">
        <f t="array" ref="H50">SUM(IF(ISERROR(H18:AA47), 1))</f>
        <v>0</v>
      </c>
    </row>
    <row r="52" spans="2:27" x14ac:dyDescent="0.25">
      <c r="E52" s="295" t="s">
        <v>750</v>
      </c>
      <c r="G52" s="122" t="s">
        <v>692</v>
      </c>
      <c r="H52" s="378">
        <f>IF(K22 = 1, 0, 1)</f>
        <v>0</v>
      </c>
    </row>
    <row r="54" spans="2:27" x14ac:dyDescent="0.25">
      <c r="E54" s="96" t="s">
        <v>898</v>
      </c>
    </row>
    <row r="55" spans="2:27" x14ac:dyDescent="0.25">
      <c r="E55" s="82" t="s">
        <v>728</v>
      </c>
    </row>
    <row r="56" spans="2:27" x14ac:dyDescent="0.25">
      <c r="F56" s="91" t="s">
        <v>899</v>
      </c>
      <c r="G56" s="58" t="s">
        <v>692</v>
      </c>
      <c r="H56" s="177">
        <f>SUM(K56:S56)</f>
        <v>0</v>
      </c>
      <c r="I56" s="91"/>
      <c r="J56" s="106"/>
      <c r="K56" s="177">
        <f>IF(ABS(SUM(K43:K45) - 1) &lt; 10^-check_decimals, 0, 1)</f>
        <v>0</v>
      </c>
      <c r="L56" s="106"/>
      <c r="M56" s="106"/>
      <c r="N56" s="177">
        <f>IF(ABS(SUM(N43:N45) - 1) &lt; 10^-check_decimals, 0, 1)</f>
        <v>0</v>
      </c>
      <c r="O56" s="177">
        <f>IF(ABS(SUM(O43:O45) - 1) &lt; 10^-check_decimals, 0, 1)</f>
        <v>0</v>
      </c>
      <c r="P56" s="106"/>
      <c r="Q56" s="177">
        <f>IF(ABS(SUM(Q43:Q45) - 1) &lt; 10^-check_decimals, 0, 1)</f>
        <v>0</v>
      </c>
      <c r="R56" s="177">
        <f>IF(ABS(SUM(R43:R45) - 1) &lt; 10^-check_decimals, 0, 1)</f>
        <v>0</v>
      </c>
      <c r="S56" s="177">
        <f>IF(ABS(SUM(S43:S45) - 1) &lt; 10^-check_decimals, 0, 1)</f>
        <v>0</v>
      </c>
    </row>
    <row r="57" spans="2:27" x14ac:dyDescent="0.25">
      <c r="F57" s="93" t="s">
        <v>44</v>
      </c>
      <c r="G57" s="61" t="s">
        <v>692</v>
      </c>
      <c r="H57" s="179">
        <f>SUM(K57:S57)</f>
        <v>0</v>
      </c>
      <c r="I57" s="93"/>
      <c r="J57" s="102"/>
      <c r="K57" s="102"/>
      <c r="L57" s="179">
        <f>IF(OR(ABS(SUM(L43:L45) - 1) &lt; 10^-check_decimals, ABS(SUM(L43:L45) - 0) &lt; 10^-check_decimals), 0, 1)</f>
        <v>0</v>
      </c>
      <c r="M57" s="179">
        <f>IF(OR(ABS(SUM(M43:M45) - 1) &lt; 10^-check_decimals, ABS(SUM(M43:M45) - 0) &lt; 10^-check_decimals), 0, 1)</f>
        <v>0</v>
      </c>
      <c r="N57" s="102"/>
      <c r="O57" s="102"/>
      <c r="P57" s="179">
        <f>IF(OR(ABS(SUM(P43:P45) - 1) &lt; 10^-check_decimals, ABS(SUM(P43:P45) - 0) &lt; 10^-check_decimals), 0, 1)</f>
        <v>0</v>
      </c>
      <c r="Q57" s="102"/>
      <c r="R57" s="102"/>
      <c r="S57" s="102"/>
    </row>
    <row r="59" spans="2:27" x14ac:dyDescent="0.25">
      <c r="E59" s="295" t="s">
        <v>446</v>
      </c>
      <c r="G59" s="122" t="s">
        <v>692</v>
      </c>
      <c r="H59" s="152">
        <f>SUM(H50:H57)</f>
        <v>0</v>
      </c>
    </row>
    <row r="61" spans="2:27" x14ac:dyDescent="0.25">
      <c r="B61" s="95" t="s">
        <v>110</v>
      </c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W61" s="95"/>
      <c r="X61" s="95"/>
      <c r="Y61" s="95"/>
      <c r="Z61" s="95"/>
      <c r="AA61" s="95"/>
    </row>
    <row r="64" spans="2:27" x14ac:dyDescent="0.25">
      <c r="K64" s="89"/>
      <c r="L64" s="89"/>
      <c r="M64" s="89"/>
      <c r="O64" s="89"/>
      <c r="P64" s="89"/>
      <c r="Q64" s="89"/>
      <c r="R64" s="89"/>
    </row>
    <row r="65" spans="11:18" x14ac:dyDescent="0.25">
      <c r="K65" s="89"/>
      <c r="L65" s="89"/>
      <c r="M65" s="89"/>
      <c r="O65" s="89"/>
      <c r="P65" s="89"/>
      <c r="Q65" s="89"/>
      <c r="R65" s="89"/>
    </row>
    <row r="66" spans="11:18" x14ac:dyDescent="0.25">
      <c r="K66" s="89"/>
      <c r="L66" s="89"/>
      <c r="M66" s="89"/>
      <c r="O66" s="89"/>
      <c r="P66" s="89"/>
      <c r="Q66" s="89"/>
      <c r="R66" s="89"/>
    </row>
    <row r="67" spans="11:18" x14ac:dyDescent="0.25">
      <c r="K67" s="89"/>
      <c r="L67" s="89"/>
      <c r="M67" s="89"/>
      <c r="O67" s="89"/>
      <c r="P67" s="89"/>
      <c r="Q67" s="89"/>
      <c r="R67" s="89"/>
    </row>
    <row r="68" spans="11:18" x14ac:dyDescent="0.25">
      <c r="K68" s="89"/>
      <c r="L68" s="89"/>
      <c r="M68" s="89"/>
      <c r="O68" s="89"/>
      <c r="P68" s="89"/>
      <c r="Q68" s="89"/>
      <c r="R68" s="89"/>
    </row>
    <row r="69" spans="11:18" x14ac:dyDescent="0.25">
      <c r="K69" s="89"/>
      <c r="L69" s="89"/>
      <c r="M69" s="89"/>
      <c r="O69" s="89"/>
      <c r="P69" s="89"/>
      <c r="Q69" s="89"/>
      <c r="R69" s="89"/>
    </row>
    <row r="70" spans="11:18" x14ac:dyDescent="0.25">
      <c r="K70" s="89"/>
      <c r="L70" s="89"/>
      <c r="M70" s="89"/>
      <c r="O70" s="89"/>
      <c r="P70" s="89"/>
      <c r="Q70" s="89"/>
      <c r="R70" s="89"/>
    </row>
    <row r="71" spans="11:18" x14ac:dyDescent="0.25">
      <c r="K71" s="89"/>
      <c r="L71" s="89"/>
      <c r="M71" s="89"/>
      <c r="O71" s="89"/>
      <c r="P71" s="89"/>
      <c r="Q71" s="89"/>
      <c r="R71" s="89"/>
    </row>
    <row r="72" spans="11:18" x14ac:dyDescent="0.25">
      <c r="K72" s="89"/>
      <c r="L72" s="89"/>
      <c r="M72" s="89"/>
      <c r="O72" s="89"/>
      <c r="P72" s="89"/>
      <c r="Q72" s="89"/>
      <c r="R72" s="89"/>
    </row>
  </sheetData>
  <sheetProtection sheet="1" objects="1" formatCells="0" formatColumns="0" formatRows="0" sort="0" autoFilter="0"/>
  <conditionalFormatting sqref="H56 K56 N56:O56">
    <cfRule type="cellIs" dxfId="193" priority="10" operator="greaterThan">
      <formula>0</formula>
    </cfRule>
  </conditionalFormatting>
  <conditionalFormatting sqref="H50">
    <cfRule type="cellIs" dxfId="192" priority="9" operator="greaterThan">
      <formula>0</formula>
    </cfRule>
  </conditionalFormatting>
  <conditionalFormatting sqref="Q56:S56">
    <cfRule type="cellIs" dxfId="191" priority="8" operator="greaterThan">
      <formula>0</formula>
    </cfRule>
  </conditionalFormatting>
  <conditionalFormatting sqref="H59">
    <cfRule type="cellIs" dxfId="190" priority="7" operator="greaterThan">
      <formula>0</formula>
    </cfRule>
  </conditionalFormatting>
  <conditionalFormatting sqref="H57">
    <cfRule type="cellIs" dxfId="189" priority="6" operator="greaterThan">
      <formula>0</formula>
    </cfRule>
  </conditionalFormatting>
  <conditionalFormatting sqref="P57">
    <cfRule type="cellIs" dxfId="188" priority="5" operator="greaterThan">
      <formula>0</formula>
    </cfRule>
  </conditionalFormatting>
  <conditionalFormatting sqref="M57">
    <cfRule type="cellIs" dxfId="187" priority="4" operator="greaterThan">
      <formula>0</formula>
    </cfRule>
  </conditionalFormatting>
  <conditionalFormatting sqref="L57">
    <cfRule type="cellIs" dxfId="186" priority="3" operator="greaterThan">
      <formula>0</formula>
    </cfRule>
  </conditionalFormatting>
  <conditionalFormatting sqref="H52">
    <cfRule type="cellIs" dxfId="185" priority="2" operator="greaterThan">
      <formula>0</formula>
    </cfRule>
  </conditionalFormatting>
  <conditionalFormatting sqref="A4:XFD4">
    <cfRule type="expression" dxfId="184" priority="1">
      <formula>LEFT($A$4,1) &lt;&gt; "0"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00000000-0002-0000-0F00-000000000000}">
      <formula1>0</formula1>
    </dataValidation>
    <dataValidation type="decimal" allowBlank="1" showErrorMessage="1" prompt="Red, Amber and Green must sum to 100%." sqref="K43:S45" xr:uid="{00000000-0002-0000-0F00-000001000000}">
      <formula1>0</formula1>
      <formula2>1</formula2>
    </dataValidation>
    <dataValidation type="decimal" allowBlank="1" showInputMessage="1" showErrorMessage="1" sqref="P22 P18 K46:S46" xr:uid="{00000000-0002-0000-0F00-000002000000}">
      <formula1>0</formula1>
      <formula2>1</formula2>
    </dataValidation>
    <dataValidation type="decimal" operator="greaterThanOrEqual" allowBlank="1" showInputMessage="1" showErrorMessage="1" sqref="L36:S36" xr:uid="{00000000-0002-0000-0F00-000003000000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00000000-0002-0000-0F00-000004000000}">
      <formula1>0</formula1>
      <formula2>1</formula2>
    </dataValidation>
    <dataValidation type="decimal" allowBlank="1" showInputMessage="1" showErrorMessage="1" sqref="L22:O22 Q22:S22" xr:uid="{00000000-0002-0000-0F00-000005000000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00000000-0002-0000-0F00-000006000000}">
      <formula1>0</formula1>
      <formula2>4</formula2>
    </dataValidation>
    <dataValidation type="decimal" operator="greaterThan" allowBlank="1" showInputMessage="1" showErrorMessage="1" sqref="K22" xr:uid="{00000000-0002-0000-0F00-000007000000}">
      <formula1>0</formula1>
    </dataValidation>
  </dataValidations>
  <hyperlinks>
    <hyperlink ref="B5:F5" location="'Model map'!A1" display="Click here to return to model map" xr:uid="{00000000-0004-0000-0F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>
    <tabColor theme="4" tint="0.59999389629810485"/>
    <pageSetUpPr fitToPage="1"/>
  </sheetPr>
  <dimension ref="A1:IV119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10" width="50.5703125" style="295" customWidth="1"/>
    <col min="11" max="11" width="2.42578125" style="295" customWidth="1"/>
    <col min="12" max="17" width="15.42578125" style="295" hidden="1" customWidth="1"/>
    <col min="18" max="27" width="20.5703125" style="295" hidden="1" customWidth="1"/>
    <col min="28" max="28" width="2.5703125" style="295" hidden="1" customWidth="1"/>
    <col min="29" max="256" width="20.5703125" style="295" hidden="1" customWidth="1"/>
    <col min="257" max="16384" width="9.140625" style="295" hidden="1"/>
  </cols>
  <sheetData>
    <row r="1" spans="1:27" s="10" customFormat="1" x14ac:dyDescent="0.25">
      <c r="A1" s="10" t="str">
        <f ca="1">MID(CELL("filename",A1),FIND("]",CELL("filename",A1))+1,255)</f>
        <v>General inputs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1" t="str">
        <f>H117 &amp; IF(H117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25">
      <c r="B5" s="372" t="s">
        <v>552</v>
      </c>
      <c r="C5" s="373"/>
      <c r="D5" s="373"/>
      <c r="E5" s="373"/>
      <c r="F5" s="373"/>
      <c r="G5" s="188" t="s">
        <v>91</v>
      </c>
      <c r="H5" s="8" t="s">
        <v>92</v>
      </c>
      <c r="J5" s="1" t="s">
        <v>93</v>
      </c>
    </row>
    <row r="6" spans="1:27" x14ac:dyDescent="0.25">
      <c r="G6" s="108"/>
    </row>
    <row r="7" spans="1:27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x14ac:dyDescent="0.25">
      <c r="G8" s="108"/>
    </row>
    <row r="9" spans="1:27" x14ac:dyDescent="0.25">
      <c r="C9" s="82" t="s">
        <v>539</v>
      </c>
      <c r="G9" s="108"/>
    </row>
    <row r="10" spans="1:27" x14ac:dyDescent="0.25">
      <c r="C10" s="82"/>
      <c r="G10" s="108"/>
    </row>
    <row r="11" spans="1:27" x14ac:dyDescent="0.25">
      <c r="C11" s="82"/>
      <c r="E11" s="295" t="s">
        <v>582</v>
      </c>
      <c r="G11" s="295" t="s">
        <v>583</v>
      </c>
      <c r="H11" s="402" t="str">
        <f>charging_year_selected</f>
        <v>2021/22</v>
      </c>
    </row>
    <row r="12" spans="1:27" x14ac:dyDescent="0.25">
      <c r="C12" s="82"/>
      <c r="E12" s="295" t="s">
        <v>567</v>
      </c>
      <c r="G12" s="295" t="s">
        <v>385</v>
      </c>
      <c r="H12" s="456" t="str">
        <f>'ARP_User control'!$H$36</f>
        <v>Current</v>
      </c>
    </row>
    <row r="13" spans="1:27" x14ac:dyDescent="0.25">
      <c r="G13" s="108"/>
    </row>
    <row r="14" spans="1:27" x14ac:dyDescent="0.25">
      <c r="B14" s="95" t="s">
        <v>656</v>
      </c>
      <c r="C14" s="95"/>
      <c r="D14" s="95"/>
      <c r="E14" s="95"/>
      <c r="F14" s="95"/>
      <c r="G14" s="128"/>
      <c r="H14" s="95"/>
      <c r="I14" s="95"/>
      <c r="J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x14ac:dyDescent="0.25">
      <c r="G15" s="108"/>
    </row>
    <row r="16" spans="1:27" x14ac:dyDescent="0.25">
      <c r="C16" s="7" t="str">
        <f ca="1">INDEX('Version control'!$H$34:$H$58,MATCH($A$1,'Version control'!$F$34:$F$58,0),1)&amp;"-A: Inputs by distribution timeband"</f>
        <v>Section 503-A: Inputs by distribution timeband</v>
      </c>
      <c r="D16" s="7"/>
      <c r="E16" s="7"/>
      <c r="F16" s="7"/>
      <c r="G16" s="172"/>
      <c r="H16" s="7"/>
      <c r="I16" s="7"/>
      <c r="J16" s="7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3:27" x14ac:dyDescent="0.25">
      <c r="G17" s="108"/>
    </row>
    <row r="18" spans="3:27" x14ac:dyDescent="0.25">
      <c r="D18" s="96" t="s">
        <v>263</v>
      </c>
      <c r="E18" s="96"/>
      <c r="G18" s="108"/>
      <c r="I18" s="295" t="s">
        <v>431</v>
      </c>
      <c r="J18" s="295" t="s">
        <v>923</v>
      </c>
    </row>
    <row r="19" spans="3:27" x14ac:dyDescent="0.25">
      <c r="E19" s="16" t="s">
        <v>87</v>
      </c>
      <c r="F19" s="16"/>
      <c r="G19" s="129" t="s">
        <v>607</v>
      </c>
      <c r="H19" s="273">
        <f>'ARP_General inputs'!J19</f>
        <v>258</v>
      </c>
    </row>
    <row r="20" spans="3:27" x14ac:dyDescent="0.25">
      <c r="E20" s="14" t="s">
        <v>88</v>
      </c>
      <c r="F20" s="14"/>
      <c r="G20" s="108" t="s">
        <v>607</v>
      </c>
      <c r="H20" s="274">
        <f>'ARP_General inputs'!J20</f>
        <v>3942.5</v>
      </c>
    </row>
    <row r="21" spans="3:27" x14ac:dyDescent="0.25">
      <c r="E21" s="15" t="s">
        <v>86</v>
      </c>
      <c r="F21" s="15"/>
      <c r="G21" s="131" t="s">
        <v>607</v>
      </c>
      <c r="H21" s="275">
        <f>'ARP_General inputs'!J21</f>
        <v>4559.5</v>
      </c>
    </row>
    <row r="22" spans="3:27" x14ac:dyDescent="0.25">
      <c r="G22" s="108"/>
      <c r="H22" s="253"/>
    </row>
    <row r="23" spans="3:27" x14ac:dyDescent="0.25">
      <c r="D23" s="96" t="s">
        <v>264</v>
      </c>
      <c r="E23" s="96"/>
      <c r="G23" s="108"/>
      <c r="H23" s="253"/>
      <c r="I23" s="295" t="s">
        <v>431</v>
      </c>
      <c r="J23" s="295" t="s">
        <v>923</v>
      </c>
    </row>
    <row r="24" spans="3:27" x14ac:dyDescent="0.25">
      <c r="E24" s="91" t="s">
        <v>84</v>
      </c>
      <c r="F24" s="91"/>
      <c r="G24" s="129" t="s">
        <v>607</v>
      </c>
      <c r="H24" s="273">
        <f>'ARP_General inputs'!J24</f>
        <v>783</v>
      </c>
    </row>
    <row r="25" spans="3:27" x14ac:dyDescent="0.25">
      <c r="E25" s="295" t="s">
        <v>85</v>
      </c>
      <c r="G25" s="108" t="s">
        <v>607</v>
      </c>
      <c r="H25" s="274">
        <f>'ARP_General inputs'!J25</f>
        <v>3417.5</v>
      </c>
    </row>
    <row r="26" spans="3:27" x14ac:dyDescent="0.25">
      <c r="E26" s="93" t="s">
        <v>86</v>
      </c>
      <c r="F26" s="93"/>
      <c r="G26" s="131" t="s">
        <v>607</v>
      </c>
      <c r="H26" s="275">
        <f>'ARP_General inputs'!J26</f>
        <v>4559.5</v>
      </c>
    </row>
    <row r="27" spans="3:27" x14ac:dyDescent="0.25">
      <c r="G27" s="108"/>
    </row>
    <row r="28" spans="3:27" x14ac:dyDescent="0.25">
      <c r="C28" s="7" t="str">
        <f ca="1">INDEX('Version control'!$H$34:$H$58,MATCH($A$1,'Version control'!$F$34:$F$58,0),1)&amp;"-B: LDNO discount inputs"</f>
        <v>Section 503-B: LDNO discount inputs</v>
      </c>
      <c r="D28" s="7"/>
      <c r="E28" s="7"/>
      <c r="F28" s="7"/>
      <c r="G28" s="172"/>
      <c r="H28" s="7"/>
      <c r="I28" s="7"/>
      <c r="J28" s="7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3:27" x14ac:dyDescent="0.25">
      <c r="G29" s="108"/>
    </row>
    <row r="30" spans="3:27" x14ac:dyDescent="0.25">
      <c r="D30" s="82" t="s">
        <v>900</v>
      </c>
      <c r="E30" s="82"/>
      <c r="G30" s="108"/>
    </row>
    <row r="31" spans="3:27" x14ac:dyDescent="0.25">
      <c r="D31" s="82"/>
      <c r="E31" s="82"/>
      <c r="G31" s="108"/>
    </row>
    <row r="32" spans="3:27" x14ac:dyDescent="0.25">
      <c r="D32" s="96" t="s">
        <v>255</v>
      </c>
      <c r="E32" s="96"/>
      <c r="G32" s="108"/>
      <c r="I32" s="295" t="s">
        <v>431</v>
      </c>
      <c r="J32" s="295" t="s">
        <v>801</v>
      </c>
    </row>
    <row r="33" spans="3:27" x14ac:dyDescent="0.25">
      <c r="E33" s="16" t="s">
        <v>66</v>
      </c>
      <c r="F33" s="91"/>
      <c r="G33" s="40" t="s">
        <v>94</v>
      </c>
      <c r="H33" s="137">
        <f>'ARP_General inputs'!J33</f>
        <v>0.39067242808448932</v>
      </c>
    </row>
    <row r="34" spans="3:27" x14ac:dyDescent="0.25">
      <c r="E34" s="14" t="s">
        <v>67</v>
      </c>
      <c r="G34" s="109" t="s">
        <v>94</v>
      </c>
      <c r="H34" s="143">
        <f>'ARP_General inputs'!J34</f>
        <v>0.60361788113874959</v>
      </c>
    </row>
    <row r="35" spans="3:27" x14ac:dyDescent="0.25">
      <c r="E35" s="14" t="s">
        <v>68</v>
      </c>
      <c r="G35" s="109" t="s">
        <v>94</v>
      </c>
      <c r="H35" s="143">
        <f>'ARP_General inputs'!J35</f>
        <v>0.34819248571328243</v>
      </c>
    </row>
    <row r="36" spans="3:27" x14ac:dyDescent="0.25">
      <c r="E36" s="15" t="s">
        <v>69</v>
      </c>
      <c r="F36" s="93"/>
      <c r="G36" s="36" t="s">
        <v>94</v>
      </c>
      <c r="H36" s="395">
        <f>'ARP_General inputs'!J36</f>
        <v>0.25174009320591562</v>
      </c>
    </row>
    <row r="37" spans="3:27" x14ac:dyDescent="0.25">
      <c r="G37" s="108"/>
    </row>
    <row r="38" spans="3:27" x14ac:dyDescent="0.25">
      <c r="C38" s="7" t="str">
        <f ca="1">INDEX('Version control'!$H$34:$H$58,MATCH($A$1,'Version control'!$F$34:$F$58,0),1)&amp;"-C: CDCM target revenue"</f>
        <v>Section 503-C: CDCM target revenue</v>
      </c>
      <c r="D38" s="7"/>
      <c r="E38" s="7"/>
      <c r="F38" s="7"/>
      <c r="G38" s="172"/>
      <c r="H38" s="7"/>
      <c r="I38" s="7"/>
      <c r="J38" s="7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40" spans="3:27" x14ac:dyDescent="0.25">
      <c r="D40" s="82" t="s">
        <v>803</v>
      </c>
      <c r="E40" s="82"/>
      <c r="G40" s="108"/>
      <c r="H40" s="108"/>
      <c r="I40" s="295" t="s">
        <v>431</v>
      </c>
      <c r="J40" s="295" t="s">
        <v>802</v>
      </c>
      <c r="K40" s="108"/>
      <c r="L40" s="108"/>
      <c r="M40" s="108"/>
      <c r="N40" s="108"/>
      <c r="O40" s="108"/>
      <c r="P40" s="108"/>
      <c r="Q40" s="108"/>
      <c r="R40" s="108"/>
      <c r="S40" s="108"/>
    </row>
    <row r="41" spans="3:27" x14ac:dyDescent="0.25">
      <c r="D41" s="82" t="s">
        <v>1033</v>
      </c>
      <c r="E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27" x14ac:dyDescent="0.25">
      <c r="E42" s="96"/>
    </row>
    <row r="43" spans="3:27" x14ac:dyDescent="0.25">
      <c r="E43" s="295" t="s">
        <v>0</v>
      </c>
      <c r="G43" s="295" t="s">
        <v>107</v>
      </c>
      <c r="H43" s="274">
        <f>'ARP_General inputs'!J43</f>
        <v>346000000</v>
      </c>
    </row>
    <row r="44" spans="3:27" x14ac:dyDescent="0.25">
      <c r="E44" s="295" t="s">
        <v>1</v>
      </c>
      <c r="G44" s="295" t="s">
        <v>107</v>
      </c>
      <c r="H44" s="274">
        <f>'ARP_General inputs'!J44</f>
        <v>-13483324.791387133</v>
      </c>
    </row>
    <row r="45" spans="3:27" x14ac:dyDescent="0.25">
      <c r="E45" s="295" t="s">
        <v>2</v>
      </c>
      <c r="G45" s="295" t="s">
        <v>107</v>
      </c>
      <c r="H45" s="274">
        <f>'ARP_General inputs'!J45</f>
        <v>-2617430.5441080644</v>
      </c>
    </row>
    <row r="46" spans="3:27" x14ac:dyDescent="0.25">
      <c r="E46" s="93" t="s">
        <v>3</v>
      </c>
      <c r="F46" s="93"/>
      <c r="G46" s="93" t="s">
        <v>528</v>
      </c>
      <c r="H46" s="275">
        <f>'ARP_General inputs'!J46</f>
        <v>1.2609999999999999</v>
      </c>
    </row>
    <row r="47" spans="3:27" x14ac:dyDescent="0.25">
      <c r="E47" s="295" t="s">
        <v>4</v>
      </c>
      <c r="G47" s="295" t="s">
        <v>107</v>
      </c>
      <c r="H47" s="276">
        <f>SUM(H43:H45)</f>
        <v>329899244.66450477</v>
      </c>
    </row>
    <row r="48" spans="3:27" x14ac:dyDescent="0.25">
      <c r="E48" s="295" t="s">
        <v>538</v>
      </c>
      <c r="G48" s="295" t="s">
        <v>107</v>
      </c>
      <c r="H48" s="276">
        <f>H47 * (H46 - 1)</f>
        <v>86103702.857435703</v>
      </c>
    </row>
    <row r="49" spans="5:8" x14ac:dyDescent="0.25">
      <c r="H49" s="253"/>
    </row>
    <row r="50" spans="5:8" x14ac:dyDescent="0.25">
      <c r="E50" s="295" t="s">
        <v>5</v>
      </c>
      <c r="G50" s="295" t="s">
        <v>107</v>
      </c>
      <c r="H50" s="274">
        <f>'ARP_General inputs'!J50</f>
        <v>381935.68229276169</v>
      </c>
    </row>
    <row r="51" spans="5:8" x14ac:dyDescent="0.25">
      <c r="E51" s="295" t="s">
        <v>6</v>
      </c>
      <c r="G51" s="295" t="s">
        <v>107</v>
      </c>
      <c r="H51" s="274">
        <f>'ARP_General inputs'!J51</f>
        <v>-11566275.226868516</v>
      </c>
    </row>
    <row r="52" spans="5:8" x14ac:dyDescent="0.25">
      <c r="E52" s="295" t="s">
        <v>7</v>
      </c>
      <c r="G52" s="295" t="s">
        <v>107</v>
      </c>
      <c r="H52" s="274">
        <f>'ARP_General inputs'!J52</f>
        <v>8418434.0577780586</v>
      </c>
    </row>
    <row r="53" spans="5:8" x14ac:dyDescent="0.25">
      <c r="E53" s="295" t="s">
        <v>8</v>
      </c>
      <c r="G53" s="295" t="s">
        <v>107</v>
      </c>
      <c r="H53" s="274">
        <f>'ARP_General inputs'!J53</f>
        <v>1781216.1251461192</v>
      </c>
    </row>
    <row r="54" spans="5:8" x14ac:dyDescent="0.25">
      <c r="E54" s="295" t="s">
        <v>9</v>
      </c>
      <c r="G54" s="295" t="s">
        <v>107</v>
      </c>
      <c r="H54" s="274">
        <f>'ARP_General inputs'!J54</f>
        <v>14896.347279979647</v>
      </c>
    </row>
    <row r="55" spans="5:8" x14ac:dyDescent="0.25">
      <c r="E55" s="295" t="s">
        <v>10</v>
      </c>
      <c r="G55" s="295" t="s">
        <v>107</v>
      </c>
      <c r="H55" s="274">
        <f>'ARP_General inputs'!J55</f>
        <v>0</v>
      </c>
    </row>
    <row r="56" spans="5:8" x14ac:dyDescent="0.25">
      <c r="E56" s="295" t="s">
        <v>1121</v>
      </c>
      <c r="G56" s="295" t="s">
        <v>107</v>
      </c>
      <c r="H56" s="274">
        <f>'ARP_General inputs'!J56</f>
        <v>47073.343842731156</v>
      </c>
    </row>
    <row r="57" spans="5:8" x14ac:dyDescent="0.25">
      <c r="E57" s="295" t="s">
        <v>1122</v>
      </c>
      <c r="G57" s="295" t="s">
        <v>107</v>
      </c>
      <c r="H57" s="274">
        <f>'ARP_General inputs'!J57</f>
        <v>1417380.0307358583</v>
      </c>
    </row>
    <row r="58" spans="5:8" x14ac:dyDescent="0.25">
      <c r="E58" s="93" t="s">
        <v>11</v>
      </c>
      <c r="F58" s="93"/>
      <c r="G58" s="93" t="s">
        <v>107</v>
      </c>
      <c r="H58" s="275">
        <f>'ARP_General inputs'!J58</f>
        <v>0</v>
      </c>
    </row>
    <row r="59" spans="5:8" x14ac:dyDescent="0.25">
      <c r="E59" s="295" t="s">
        <v>12</v>
      </c>
      <c r="G59" s="295" t="s">
        <v>107</v>
      </c>
      <c r="H59" s="270">
        <f>SUM(H50:H58)</f>
        <v>494660.36020699225</v>
      </c>
    </row>
    <row r="60" spans="5:8" x14ac:dyDescent="0.25">
      <c r="H60" s="253"/>
    </row>
    <row r="61" spans="5:8" x14ac:dyDescent="0.25">
      <c r="E61" s="295" t="s">
        <v>13</v>
      </c>
      <c r="G61" s="295" t="s">
        <v>107</v>
      </c>
      <c r="H61" s="274">
        <f>'ARP_General inputs'!J61</f>
        <v>3925182.3924593851</v>
      </c>
    </row>
    <row r="62" spans="5:8" x14ac:dyDescent="0.25">
      <c r="E62" s="295" t="s">
        <v>14</v>
      </c>
      <c r="G62" s="295" t="s">
        <v>107</v>
      </c>
      <c r="H62" s="274">
        <f>'ARP_General inputs'!J62</f>
        <v>8075106.4802583205</v>
      </c>
    </row>
    <row r="63" spans="5:8" x14ac:dyDescent="0.25">
      <c r="E63" s="295" t="s">
        <v>15</v>
      </c>
      <c r="G63" s="295" t="s">
        <v>107</v>
      </c>
      <c r="H63" s="274">
        <f>'ARP_General inputs'!J63</f>
        <v>0</v>
      </c>
    </row>
    <row r="64" spans="5:8" x14ac:dyDescent="0.25">
      <c r="E64" s="295" t="s">
        <v>16</v>
      </c>
      <c r="G64" s="295" t="s">
        <v>107</v>
      </c>
      <c r="H64" s="274">
        <f>'ARP_General inputs'!J64</f>
        <v>713669.52590170642</v>
      </c>
    </row>
    <row r="65" spans="5:8" x14ac:dyDescent="0.25">
      <c r="E65" s="295" t="s">
        <v>17</v>
      </c>
      <c r="G65" s="295" t="s">
        <v>107</v>
      </c>
      <c r="H65" s="274">
        <f>'ARP_General inputs'!J65</f>
        <v>735162.99999999988</v>
      </c>
    </row>
    <row r="66" spans="5:8" x14ac:dyDescent="0.25">
      <c r="E66" s="295" t="s">
        <v>18</v>
      </c>
      <c r="G66" s="295" t="s">
        <v>107</v>
      </c>
      <c r="H66" s="274">
        <f>'ARP_General inputs'!J66</f>
        <v>1657301.5080000001</v>
      </c>
    </row>
    <row r="67" spans="5:8" x14ac:dyDescent="0.25">
      <c r="E67" s="295" t="s">
        <v>19</v>
      </c>
      <c r="G67" s="295" t="s">
        <v>107</v>
      </c>
      <c r="H67" s="274">
        <f>'ARP_General inputs'!J67</f>
        <v>0</v>
      </c>
    </row>
    <row r="68" spans="5:8" x14ac:dyDescent="0.25">
      <c r="E68" s="295" t="s">
        <v>20</v>
      </c>
      <c r="G68" s="295" t="s">
        <v>107</v>
      </c>
      <c r="H68" s="274">
        <f>'ARP_General inputs'!J68</f>
        <v>0</v>
      </c>
    </row>
    <row r="69" spans="5:8" x14ac:dyDescent="0.25">
      <c r="E69" s="295" t="s">
        <v>21</v>
      </c>
      <c r="G69" s="295" t="s">
        <v>107</v>
      </c>
      <c r="H69" s="274">
        <f>'ARP_General inputs'!J69</f>
        <v>0</v>
      </c>
    </row>
    <row r="70" spans="5:8" x14ac:dyDescent="0.25">
      <c r="E70" s="295" t="s">
        <v>22</v>
      </c>
      <c r="G70" s="295" t="s">
        <v>107</v>
      </c>
      <c r="H70" s="274">
        <f>'ARP_General inputs'!J70</f>
        <v>0</v>
      </c>
    </row>
    <row r="71" spans="5:8" x14ac:dyDescent="0.25">
      <c r="E71" s="93" t="s">
        <v>23</v>
      </c>
      <c r="F71" s="93"/>
      <c r="G71" s="93" t="s">
        <v>107</v>
      </c>
      <c r="H71" s="275">
        <f>'ARP_General inputs'!J71</f>
        <v>0</v>
      </c>
    </row>
    <row r="72" spans="5:8" x14ac:dyDescent="0.25">
      <c r="E72" s="295" t="s">
        <v>24</v>
      </c>
      <c r="G72" s="295" t="s">
        <v>107</v>
      </c>
      <c r="H72" s="276">
        <f>SUM(H61:H71)</f>
        <v>15106422.906619411</v>
      </c>
    </row>
    <row r="73" spans="5:8" x14ac:dyDescent="0.25">
      <c r="H73" s="253"/>
    </row>
    <row r="74" spans="5:8" x14ac:dyDescent="0.25">
      <c r="E74" s="93" t="s">
        <v>25</v>
      </c>
      <c r="F74" s="93"/>
      <c r="G74" s="93" t="s">
        <v>107</v>
      </c>
      <c r="H74" s="275">
        <f>'ARP_General inputs'!J74</f>
        <v>-5553744.6795161283</v>
      </c>
    </row>
    <row r="75" spans="5:8" x14ac:dyDescent="0.25">
      <c r="E75" s="295" t="s">
        <v>26</v>
      </c>
      <c r="G75" s="295" t="s">
        <v>107</v>
      </c>
      <c r="H75" s="276">
        <f>H74 + H72 + H59 + H48 + H47</f>
        <v>426050286.10925072</v>
      </c>
    </row>
    <row r="76" spans="5:8" x14ac:dyDescent="0.25">
      <c r="H76" s="253"/>
    </row>
    <row r="77" spans="5:8" x14ac:dyDescent="0.25">
      <c r="E77" s="295" t="s">
        <v>27</v>
      </c>
      <c r="G77" s="295" t="s">
        <v>107</v>
      </c>
      <c r="H77" s="274">
        <f>'ARP_General inputs'!J77</f>
        <v>0</v>
      </c>
    </row>
    <row r="78" spans="5:8" x14ac:dyDescent="0.25">
      <c r="E78" s="295" t="s">
        <v>28</v>
      </c>
      <c r="G78" s="295" t="s">
        <v>107</v>
      </c>
      <c r="H78" s="274">
        <f>'ARP_General inputs'!J78</f>
        <v>687596.03530468408</v>
      </c>
    </row>
    <row r="79" spans="5:8" x14ac:dyDescent="0.25">
      <c r="E79" s="295" t="s">
        <v>29</v>
      </c>
      <c r="G79" s="295" t="s">
        <v>107</v>
      </c>
      <c r="H79" s="274">
        <f>'ARP_General inputs'!J79</f>
        <v>0</v>
      </c>
    </row>
    <row r="80" spans="5:8" x14ac:dyDescent="0.25">
      <c r="E80" s="295" t="s">
        <v>30</v>
      </c>
      <c r="G80" s="295" t="s">
        <v>107</v>
      </c>
      <c r="H80" s="274">
        <f>'ARP_General inputs'!J80</f>
        <v>0</v>
      </c>
    </row>
    <row r="81" spans="3:27" x14ac:dyDescent="0.25">
      <c r="E81" s="93" t="s">
        <v>31</v>
      </c>
      <c r="F81" s="93"/>
      <c r="G81" s="93" t="s">
        <v>107</v>
      </c>
      <c r="H81" s="275">
        <f>'ARP_General inputs'!J81</f>
        <v>0</v>
      </c>
    </row>
    <row r="82" spans="3:27" x14ac:dyDescent="0.25">
      <c r="E82" s="93" t="s">
        <v>32</v>
      </c>
      <c r="F82" s="93"/>
      <c r="G82" s="93" t="s">
        <v>107</v>
      </c>
      <c r="H82" s="269">
        <f>SUM(H77:H81)</f>
        <v>687596.03530468408</v>
      </c>
    </row>
    <row r="83" spans="3:27" x14ac:dyDescent="0.25">
      <c r="E83" s="295" t="s">
        <v>33</v>
      </c>
      <c r="G83" s="295" t="s">
        <v>107</v>
      </c>
      <c r="H83" s="270">
        <f>H75+H82</f>
        <v>426737882.14455539</v>
      </c>
    </row>
    <row r="84" spans="3:27" x14ac:dyDescent="0.25">
      <c r="H84" s="253"/>
    </row>
    <row r="85" spans="3:27" x14ac:dyDescent="0.25">
      <c r="E85" s="295" t="s">
        <v>34</v>
      </c>
      <c r="G85" s="295" t="s">
        <v>107</v>
      </c>
      <c r="H85" s="274">
        <f>'ARP_General inputs'!J85</f>
        <v>9556157.0663702693</v>
      </c>
    </row>
    <row r="86" spans="3:27" x14ac:dyDescent="0.25">
      <c r="E86" s="295" t="s">
        <v>35</v>
      </c>
      <c r="G86" s="295" t="s">
        <v>107</v>
      </c>
      <c r="H86" s="274">
        <f>'ARP_General inputs'!J86</f>
        <v>0</v>
      </c>
    </row>
    <row r="87" spans="3:27" x14ac:dyDescent="0.25">
      <c r="E87" s="295" t="s">
        <v>36</v>
      </c>
      <c r="G87" s="295" t="s">
        <v>107</v>
      </c>
      <c r="H87" s="274">
        <f>'ARP_General inputs'!J87</f>
        <v>0</v>
      </c>
    </row>
    <row r="88" spans="3:27" x14ac:dyDescent="0.25">
      <c r="E88" s="93" t="s">
        <v>37</v>
      </c>
      <c r="F88" s="93"/>
      <c r="G88" s="93" t="s">
        <v>107</v>
      </c>
      <c r="H88" s="275">
        <f>'ARP_General inputs'!J88</f>
        <v>0</v>
      </c>
    </row>
    <row r="89" spans="3:27" x14ac:dyDescent="0.25">
      <c r="E89" s="295" t="s">
        <v>38</v>
      </c>
      <c r="G89" s="295" t="s">
        <v>107</v>
      </c>
      <c r="H89" s="276">
        <f>SUM(H85:H88)</f>
        <v>9556157.0663702693</v>
      </c>
    </row>
    <row r="90" spans="3:27" x14ac:dyDescent="0.25">
      <c r="E90" s="91" t="s">
        <v>39</v>
      </c>
      <c r="F90" s="91"/>
      <c r="G90" s="91" t="s">
        <v>107</v>
      </c>
      <c r="H90" s="255">
        <f>H83-H89</f>
        <v>417181725.07818514</v>
      </c>
    </row>
    <row r="91" spans="3:27" x14ac:dyDescent="0.25">
      <c r="H91" s="387"/>
    </row>
    <row r="92" spans="3:27" x14ac:dyDescent="0.25">
      <c r="C92" s="7" t="str">
        <f ca="1">INDEX('Version control'!$H$34:$H$58,MATCH($A$1,'Version control'!$F$34:$F$58,0),1)&amp;"-D: Financial and general assumptions"</f>
        <v>Section 503-D: Financial and general assumptions</v>
      </c>
      <c r="D92" s="7"/>
      <c r="E92" s="7"/>
      <c r="F92" s="7"/>
      <c r="G92" s="172"/>
      <c r="H92" s="7"/>
      <c r="I92" s="7"/>
      <c r="J92" s="7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4" spans="3:27" x14ac:dyDescent="0.25">
      <c r="E94" s="14" t="s">
        <v>719</v>
      </c>
      <c r="G94" s="295" t="s">
        <v>94</v>
      </c>
      <c r="H94" s="389">
        <f>'ARP_General inputs'!J100</f>
        <v>3.6900000000000002E-2</v>
      </c>
      <c r="I94" s="295" t="s">
        <v>431</v>
      </c>
      <c r="J94" s="88" t="s">
        <v>804</v>
      </c>
    </row>
    <row r="95" spans="3:27" x14ac:dyDescent="0.25">
      <c r="E95" s="14" t="s">
        <v>41</v>
      </c>
      <c r="G95" s="14" t="s">
        <v>605</v>
      </c>
      <c r="H95" s="385">
        <f>'ARP_General inputs'!J101</f>
        <v>365</v>
      </c>
    </row>
    <row r="96" spans="3:27" x14ac:dyDescent="0.25">
      <c r="E96" s="295" t="s">
        <v>540</v>
      </c>
      <c r="G96" s="295" t="s">
        <v>267</v>
      </c>
      <c r="H96" s="312">
        <f>days_in_year * hours_in_day</f>
        <v>8760</v>
      </c>
    </row>
    <row r="98" spans="2:27" x14ac:dyDescent="0.25">
      <c r="C98" s="7" t="str">
        <f ca="1">INDEX('Version control'!$H$34:$H$58,MATCH($A$1,'Version control'!$F$34:$F$58,0),1)&amp;"-E: Transmission exit charges"</f>
        <v>Section 503-E: Transmission exit charges</v>
      </c>
      <c r="D98" s="7"/>
      <c r="E98" s="7"/>
      <c r="F98" s="7"/>
      <c r="G98" s="172"/>
      <c r="H98" s="7"/>
      <c r="I98" s="7"/>
      <c r="J98" s="7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100" spans="2:27" x14ac:dyDescent="0.25">
      <c r="E100" s="14" t="s">
        <v>117</v>
      </c>
      <c r="G100" s="295" t="s">
        <v>606</v>
      </c>
      <c r="H100" s="274">
        <f>'ARP_General inputs'!J105</f>
        <v>35908234.05777806</v>
      </c>
      <c r="I100" s="295" t="s">
        <v>431</v>
      </c>
      <c r="J100" s="295" t="s">
        <v>805</v>
      </c>
    </row>
    <row r="101" spans="2:27" x14ac:dyDescent="0.25">
      <c r="H101" s="253"/>
    </row>
    <row r="102" spans="2:27" x14ac:dyDescent="0.25">
      <c r="C102" s="7" t="str">
        <f ca="1">INDEX('Version control'!$H$34:$H$58,MATCH($A$1,'Version control'!$F$34:$F$58,0),1)&amp;"-F: Other expenditure"</f>
        <v>Section 503-F: Other expenditure</v>
      </c>
      <c r="D102" s="7"/>
      <c r="E102" s="7"/>
      <c r="F102" s="7"/>
      <c r="G102" s="172"/>
      <c r="H102" s="243"/>
      <c r="I102" s="7"/>
      <c r="J102" s="7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2:27" x14ac:dyDescent="0.25">
      <c r="H103" s="253"/>
    </row>
    <row r="104" spans="2:27" x14ac:dyDescent="0.25">
      <c r="E104" s="96" t="s">
        <v>79</v>
      </c>
      <c r="F104" s="96"/>
      <c r="H104" s="253"/>
      <c r="I104" s="295" t="s">
        <v>431</v>
      </c>
      <c r="J104" s="295" t="s">
        <v>806</v>
      </c>
    </row>
    <row r="105" spans="2:27" x14ac:dyDescent="0.25">
      <c r="F105" s="16" t="s">
        <v>128</v>
      </c>
      <c r="G105" s="91" t="s">
        <v>606</v>
      </c>
      <c r="H105" s="273">
        <f>'ARP_General inputs'!J110</f>
        <v>28803040.425109994</v>
      </c>
    </row>
    <row r="106" spans="2:27" x14ac:dyDescent="0.25">
      <c r="F106" s="14" t="s">
        <v>129</v>
      </c>
      <c r="G106" s="295" t="s">
        <v>606</v>
      </c>
      <c r="H106" s="274">
        <f>'ARP_General inputs'!J111</f>
        <v>83130091.179891989</v>
      </c>
      <c r="R106" s="86"/>
      <c r="S106" s="86"/>
    </row>
    <row r="107" spans="2:27" x14ac:dyDescent="0.25">
      <c r="F107" s="15" t="s">
        <v>130</v>
      </c>
      <c r="G107" s="93" t="s">
        <v>606</v>
      </c>
      <c r="H107" s="275">
        <f>'ARP_General inputs'!J112</f>
        <v>37991024.773131475</v>
      </c>
      <c r="R107" s="86"/>
      <c r="S107" s="86"/>
    </row>
    <row r="109" spans="2:27" x14ac:dyDescent="0.25">
      <c r="B109" s="95" t="s">
        <v>109</v>
      </c>
      <c r="C109" s="95"/>
      <c r="D109" s="95"/>
      <c r="E109" s="95"/>
      <c r="F109" s="95"/>
      <c r="G109" s="95"/>
      <c r="H109" s="95"/>
      <c r="I109" s="95"/>
      <c r="J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1" spans="2:27" x14ac:dyDescent="0.25">
      <c r="E111" s="295" t="s">
        <v>516</v>
      </c>
      <c r="G111" s="122" t="s">
        <v>692</v>
      </c>
      <c r="H111" s="378">
        <f t="array" ref="H111">SUM(IF(ISERROR(H6:H108), 1))</f>
        <v>0</v>
      </c>
    </row>
    <row r="113" spans="2:27" x14ac:dyDescent="0.25">
      <c r="E113" s="96" t="s">
        <v>893</v>
      </c>
    </row>
    <row r="114" spans="2:27" x14ac:dyDescent="0.25">
      <c r="F114" s="91" t="s">
        <v>541</v>
      </c>
      <c r="G114" s="58" t="s">
        <v>692</v>
      </c>
      <c r="H114" s="177">
        <f>IF(SUM(H19:H21) = hours_in_year, 0, 1)</f>
        <v>0</v>
      </c>
    </row>
    <row r="115" spans="2:27" x14ac:dyDescent="0.25">
      <c r="F115" s="93" t="s">
        <v>542</v>
      </c>
      <c r="G115" s="61" t="s">
        <v>692</v>
      </c>
      <c r="H115" s="179">
        <f>IF(SUM(H24:H26) = hours_in_year, 0, 1)</f>
        <v>0</v>
      </c>
    </row>
    <row r="117" spans="2:27" x14ac:dyDescent="0.25">
      <c r="E117" s="295" t="s">
        <v>446</v>
      </c>
      <c r="G117" s="122" t="s">
        <v>692</v>
      </c>
      <c r="H117" s="152">
        <f>SUM(H111,H114:H115)</f>
        <v>0</v>
      </c>
    </row>
    <row r="119" spans="2:27" x14ac:dyDescent="0.25">
      <c r="B119" s="95" t="s">
        <v>110</v>
      </c>
      <c r="C119" s="95"/>
      <c r="D119" s="95"/>
      <c r="E119" s="95"/>
      <c r="F119" s="95"/>
      <c r="G119" s="95"/>
      <c r="H119" s="95"/>
      <c r="I119" s="95"/>
      <c r="J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</sheetData>
  <sheetProtection sheet="1" objects="1" formatCells="0" formatColumns="0" formatRows="0" sort="0" autoFilter="0"/>
  <conditionalFormatting sqref="H111">
    <cfRule type="cellIs" dxfId="183" priority="4" operator="greaterThan">
      <formula>0</formula>
    </cfRule>
  </conditionalFormatting>
  <conditionalFormatting sqref="H114:H117">
    <cfRule type="cellIs" dxfId="182" priority="3" operator="greaterThan">
      <formula>0</formula>
    </cfRule>
  </conditionalFormatting>
  <conditionalFormatting sqref="H117">
    <cfRule type="cellIs" dxfId="181" priority="2" operator="greaterThan">
      <formula>0</formula>
    </cfRule>
  </conditionalFormatting>
  <conditionalFormatting sqref="A4:XFD4">
    <cfRule type="expression" dxfId="180" priority="1">
      <formula>LEFT($A$4,1) &lt;&gt; "0"</formula>
    </cfRule>
  </conditionalFormatting>
  <dataValidations count="5">
    <dataValidation type="whole" allowBlank="1" showInputMessage="1" showErrorMessage="1" sqref="H96" xr:uid="{00000000-0002-0000-1000-000000000000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4" xr:uid="{00000000-0002-0000-1000-000001000000}">
      <formula1>0</formula1>
    </dataValidation>
    <dataValidation type="decimal" operator="greaterThanOrEqual" allowBlank="1" showInputMessage="1" showErrorMessage="1" sqref="H19:H21 H24:H26 H105:H107 H100" xr:uid="{00000000-0002-0000-1000-000002000000}">
      <formula1>0</formula1>
    </dataValidation>
    <dataValidation type="decimal" allowBlank="1" showInputMessage="1" showErrorMessage="1" sqref="H95" xr:uid="{00000000-0002-0000-1000-000003000000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00000000-0002-0000-1000-000004000000}">
      <formula1>0</formula1>
      <formula2>1</formula2>
    </dataValidation>
  </dataValidations>
  <hyperlinks>
    <hyperlink ref="B5:F5" location="'Model map'!A1" display="Click here to return to model map" xr:uid="{00000000-0004-0000-10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>
    <tabColor theme="4" tint="0.59999389629810485"/>
    <pageSetUpPr fitToPage="1"/>
  </sheetPr>
  <dimension ref="A1:KZ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12" width="24.5703125" style="295" hidden="1" customWidth="1"/>
    <col min="313" max="16384" width="8.5703125" style="295" hidden="1"/>
  </cols>
  <sheetData>
    <row r="1" spans="1:27" s="10" customFormat="1" x14ac:dyDescent="0.25">
      <c r="A1" s="10" t="str">
        <f ca="1">MID(CELL("filename",A1),FIND("]",CELL("filename",A1))+1,255)</f>
        <v>Standing charge factors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1" t="str">
        <f>H58 &amp; IF(H58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2" t="s">
        <v>552</v>
      </c>
      <c r="C5" s="373"/>
      <c r="D5" s="373"/>
      <c r="E5" s="373"/>
      <c r="F5" s="373"/>
      <c r="G5" s="1" t="s">
        <v>91</v>
      </c>
      <c r="H5" s="2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72"/>
      <c r="D7" s="80"/>
      <c r="E7" s="80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25">
      <c r="C9" s="82" t="s">
        <v>814</v>
      </c>
      <c r="E9" s="295"/>
    </row>
    <row r="10" spans="1:27" x14ac:dyDescent="0.25">
      <c r="C10" s="82" t="s">
        <v>613</v>
      </c>
      <c r="E10" s="295"/>
    </row>
    <row r="11" spans="1:27" x14ac:dyDescent="0.25">
      <c r="C11" s="82" t="s">
        <v>614</v>
      </c>
      <c r="E11" s="295"/>
    </row>
    <row r="12" spans="1:27" x14ac:dyDescent="0.25">
      <c r="C12" s="82" t="s">
        <v>615</v>
      </c>
      <c r="E12" s="295"/>
    </row>
    <row r="13" spans="1:27" x14ac:dyDescent="0.25">
      <c r="C13" s="82"/>
      <c r="E13" s="295"/>
    </row>
    <row r="14" spans="1:27" x14ac:dyDescent="0.25">
      <c r="C14" s="82" t="s">
        <v>399</v>
      </c>
      <c r="E14" s="295"/>
    </row>
    <row r="15" spans="1:27" x14ac:dyDescent="0.25">
      <c r="C15" s="82" t="s">
        <v>325</v>
      </c>
      <c r="E15" s="295"/>
    </row>
    <row r="17" spans="2:27" x14ac:dyDescent="0.25">
      <c r="B17" s="95" t="s">
        <v>439</v>
      </c>
      <c r="C17" s="72"/>
      <c r="D17" s="80"/>
      <c r="E17" s="80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</row>
    <row r="18" spans="2:27" x14ac:dyDescent="0.25">
      <c r="C18" s="86"/>
    </row>
    <row r="19" spans="2:27" x14ac:dyDescent="0.25">
      <c r="C19" s="7" t="str">
        <f ca="1">INDEX('Version control'!$H$34:$H$58,MATCH($A$1,'Version control'!$F$34:$F$58,0),1)&amp;"-A: Adjustments to standing charges"</f>
        <v>Section 504-A: Adjustments to standing charges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25">
      <c r="C20" s="86"/>
    </row>
    <row r="21" spans="2:27" x14ac:dyDescent="0.25">
      <c r="D21" s="82" t="s">
        <v>524</v>
      </c>
      <c r="F21" s="98"/>
    </row>
    <row r="22" spans="2:27" x14ac:dyDescent="0.25">
      <c r="D22" s="86"/>
      <c r="F22" s="98"/>
    </row>
    <row r="23" spans="2:27" x14ac:dyDescent="0.25">
      <c r="D23" s="295"/>
      <c r="E23" s="96" t="s">
        <v>617</v>
      </c>
      <c r="F23" s="96"/>
      <c r="I23" s="295" t="s">
        <v>431</v>
      </c>
      <c r="AA23" s="295" t="s">
        <v>811</v>
      </c>
    </row>
    <row r="24" spans="2:27" x14ac:dyDescent="0.25">
      <c r="D24" s="295"/>
      <c r="E24" s="82" t="s">
        <v>815</v>
      </c>
    </row>
    <row r="25" spans="2:27" x14ac:dyDescent="0.25">
      <c r="D25" s="86"/>
      <c r="F25" s="91" t="s">
        <v>324</v>
      </c>
      <c r="G25" s="91" t="s">
        <v>94</v>
      </c>
      <c r="H25" s="91"/>
      <c r="I25" s="91"/>
      <c r="J25" s="137">
        <f>'Fixed inputs'!J88</f>
        <v>0</v>
      </c>
      <c r="K25" s="137">
        <f>'Fixed inputs'!K88</f>
        <v>0</v>
      </c>
      <c r="L25" s="137">
        <f>'Fixed inputs'!L88</f>
        <v>0</v>
      </c>
      <c r="M25" s="137">
        <f>'Fixed inputs'!M88</f>
        <v>0</v>
      </c>
      <c r="N25" s="137">
        <f>'Fixed inputs'!N88</f>
        <v>0</v>
      </c>
      <c r="O25" s="137">
        <f>'Fixed inputs'!O88</f>
        <v>0</v>
      </c>
      <c r="P25" s="137">
        <f>'Fixed inputs'!P88</f>
        <v>0</v>
      </c>
      <c r="Q25" s="137">
        <f>'Fixed inputs'!Q88</f>
        <v>0</v>
      </c>
      <c r="R25" s="106"/>
      <c r="S25" s="106"/>
      <c r="T25" s="106"/>
      <c r="U25" s="106"/>
      <c r="V25" s="106"/>
      <c r="W25" s="106"/>
      <c r="X25" s="106"/>
      <c r="Y25" s="106"/>
    </row>
    <row r="26" spans="2:27" x14ac:dyDescent="0.25">
      <c r="D26" s="86"/>
      <c r="F26" s="295" t="s">
        <v>43</v>
      </c>
      <c r="G26" s="295" t="s">
        <v>94</v>
      </c>
      <c r="J26" s="143">
        <f>'Fixed inputs'!J89</f>
        <v>0</v>
      </c>
      <c r="K26" s="143">
        <f>'Fixed inputs'!K89</f>
        <v>0</v>
      </c>
      <c r="L26" s="143">
        <f>'Fixed inputs'!L89</f>
        <v>0</v>
      </c>
      <c r="M26" s="143">
        <f>'Fixed inputs'!M89</f>
        <v>0</v>
      </c>
      <c r="N26" s="143">
        <f>'Fixed inputs'!N89</f>
        <v>0</v>
      </c>
      <c r="O26" s="143">
        <f>'Fixed inputs'!O89</f>
        <v>0</v>
      </c>
      <c r="P26" s="143">
        <f>'Fixed inputs'!P89</f>
        <v>0</v>
      </c>
      <c r="Q26" s="143">
        <f>'Fixed inputs'!Q89</f>
        <v>0</v>
      </c>
      <c r="R26" s="79"/>
      <c r="S26" s="79"/>
      <c r="T26" s="79"/>
      <c r="U26" s="79"/>
      <c r="V26" s="79"/>
      <c r="W26" s="79"/>
      <c r="X26" s="79"/>
      <c r="Y26" s="79"/>
    </row>
    <row r="27" spans="2:27" x14ac:dyDescent="0.25">
      <c r="D27" s="86"/>
      <c r="F27" s="295" t="s">
        <v>44</v>
      </c>
      <c r="G27" s="295" t="s">
        <v>94</v>
      </c>
      <c r="J27" s="143">
        <f>'Fixed inputs'!J90</f>
        <v>0</v>
      </c>
      <c r="K27" s="143">
        <f>'Fixed inputs'!K90</f>
        <v>0</v>
      </c>
      <c r="L27" s="143">
        <f>'Fixed inputs'!L90</f>
        <v>0</v>
      </c>
      <c r="M27" s="143">
        <f>'Fixed inputs'!M90</f>
        <v>0</v>
      </c>
      <c r="N27" s="143">
        <f>'Fixed inputs'!N90</f>
        <v>0</v>
      </c>
      <c r="O27" s="143">
        <f>'Fixed inputs'!O90</f>
        <v>0</v>
      </c>
      <c r="P27" s="143">
        <f>'Fixed inputs'!P90</f>
        <v>0</v>
      </c>
      <c r="Q27" s="143">
        <f>'Fixed inputs'!Q90</f>
        <v>0</v>
      </c>
      <c r="R27" s="79"/>
      <c r="S27" s="79"/>
      <c r="T27" s="79"/>
      <c r="U27" s="79"/>
      <c r="V27" s="79"/>
      <c r="W27" s="79"/>
      <c r="X27" s="79"/>
      <c r="Y27" s="79"/>
    </row>
    <row r="28" spans="2:27" x14ac:dyDescent="0.25">
      <c r="D28" s="86"/>
      <c r="F28" s="295" t="s">
        <v>45</v>
      </c>
      <c r="G28" s="295" t="s">
        <v>94</v>
      </c>
      <c r="J28" s="143">
        <f>'Fixed inputs'!J91</f>
        <v>0</v>
      </c>
      <c r="K28" s="143">
        <f>'Fixed inputs'!K91</f>
        <v>0</v>
      </c>
      <c r="L28" s="143">
        <f>'Fixed inputs'!L91</f>
        <v>0</v>
      </c>
      <c r="M28" s="143">
        <f>'Fixed inputs'!M91</f>
        <v>0</v>
      </c>
      <c r="N28" s="143">
        <f>'Fixed inputs'!N91</f>
        <v>0</v>
      </c>
      <c r="O28" s="143">
        <f>'Fixed inputs'!O91</f>
        <v>0</v>
      </c>
      <c r="P28" s="143">
        <f>'Fixed inputs'!P91</f>
        <v>0</v>
      </c>
      <c r="Q28" s="143">
        <f>'Fixed inputs'!Q91</f>
        <v>0</v>
      </c>
      <c r="R28" s="79"/>
      <c r="S28" s="79"/>
      <c r="T28" s="79"/>
      <c r="U28" s="79"/>
      <c r="V28" s="79"/>
      <c r="W28" s="79"/>
      <c r="X28" s="79"/>
      <c r="Y28" s="79"/>
    </row>
    <row r="29" spans="2:27" x14ac:dyDescent="0.25">
      <c r="D29" s="86"/>
      <c r="F29" s="295" t="s">
        <v>46</v>
      </c>
      <c r="G29" s="295" t="s">
        <v>94</v>
      </c>
      <c r="J29" s="143">
        <f>'Fixed inputs'!J92</f>
        <v>0</v>
      </c>
      <c r="K29" s="143">
        <f>'Fixed inputs'!K92</f>
        <v>0</v>
      </c>
      <c r="L29" s="143">
        <f>'Fixed inputs'!L92</f>
        <v>0</v>
      </c>
      <c r="M29" s="143">
        <f>'Fixed inputs'!M92</f>
        <v>0</v>
      </c>
      <c r="N29" s="143">
        <f>'Fixed inputs'!N92</f>
        <v>0</v>
      </c>
      <c r="O29" s="143">
        <f>'Fixed inputs'!O92</f>
        <v>0</v>
      </c>
      <c r="P29" s="143">
        <f>'Fixed inputs'!P92</f>
        <v>0.2</v>
      </c>
      <c r="Q29" s="143">
        <f>'Fixed inputs'!Q92</f>
        <v>0</v>
      </c>
      <c r="R29" s="79"/>
      <c r="S29" s="79"/>
      <c r="T29" s="79"/>
      <c r="U29" s="79"/>
      <c r="V29" s="79"/>
      <c r="W29" s="79"/>
      <c r="X29" s="79"/>
      <c r="Y29" s="79"/>
    </row>
    <row r="30" spans="2:27" x14ac:dyDescent="0.25">
      <c r="D30" s="86"/>
      <c r="F30" s="295" t="s">
        <v>47</v>
      </c>
      <c r="G30" s="295" t="s">
        <v>94</v>
      </c>
      <c r="J30" s="143">
        <f>'Fixed inputs'!J93</f>
        <v>0</v>
      </c>
      <c r="K30" s="143">
        <f>'Fixed inputs'!K93</f>
        <v>0</v>
      </c>
      <c r="L30" s="143">
        <f>'Fixed inputs'!L93</f>
        <v>0</v>
      </c>
      <c r="M30" s="143">
        <f>'Fixed inputs'!M93</f>
        <v>0</v>
      </c>
      <c r="N30" s="143">
        <f>'Fixed inputs'!N93</f>
        <v>0</v>
      </c>
      <c r="O30" s="143">
        <f>'Fixed inputs'!O93</f>
        <v>0</v>
      </c>
      <c r="P30" s="143">
        <f>'Fixed inputs'!P93</f>
        <v>1</v>
      </c>
      <c r="Q30" s="143">
        <f>'Fixed inputs'!Q93</f>
        <v>0</v>
      </c>
      <c r="R30" s="79"/>
      <c r="S30" s="79"/>
      <c r="T30" s="79"/>
      <c r="U30" s="79"/>
      <c r="V30" s="79"/>
      <c r="W30" s="79"/>
      <c r="X30" s="79"/>
      <c r="Y30" s="79"/>
    </row>
    <row r="31" spans="2:27" x14ac:dyDescent="0.25">
      <c r="D31" s="86"/>
      <c r="F31" s="295" t="s">
        <v>51</v>
      </c>
      <c r="G31" s="295" t="s">
        <v>94</v>
      </c>
      <c r="J31" s="143">
        <f>'Fixed inputs'!J94</f>
        <v>0</v>
      </c>
      <c r="K31" s="143">
        <f>'Fixed inputs'!K94</f>
        <v>0</v>
      </c>
      <c r="L31" s="143">
        <f>'Fixed inputs'!L94</f>
        <v>0</v>
      </c>
      <c r="M31" s="143">
        <f>'Fixed inputs'!M94</f>
        <v>0</v>
      </c>
      <c r="N31" s="143">
        <f>'Fixed inputs'!N94</f>
        <v>0</v>
      </c>
      <c r="O31" s="143">
        <f>'Fixed inputs'!O94</f>
        <v>0</v>
      </c>
      <c r="P31" s="143">
        <f>'Fixed inputs'!P94</f>
        <v>0</v>
      </c>
      <c r="Q31" s="143">
        <f>'Fixed inputs'!Q94</f>
        <v>0</v>
      </c>
      <c r="R31" s="79"/>
      <c r="S31" s="79"/>
      <c r="T31" s="79"/>
      <c r="U31" s="79"/>
      <c r="V31" s="79"/>
      <c r="W31" s="79"/>
      <c r="X31" s="79"/>
      <c r="Y31" s="79"/>
    </row>
    <row r="32" spans="2:27" x14ac:dyDescent="0.25">
      <c r="D32" s="86"/>
      <c r="F32" s="295" t="s">
        <v>48</v>
      </c>
      <c r="G32" s="295" t="s">
        <v>94</v>
      </c>
      <c r="J32" s="143">
        <f>'Fixed inputs'!J95</f>
        <v>0</v>
      </c>
      <c r="K32" s="143">
        <f>'Fixed inputs'!K95</f>
        <v>0</v>
      </c>
      <c r="L32" s="143">
        <f>'Fixed inputs'!L95</f>
        <v>0</v>
      </c>
      <c r="M32" s="143">
        <f>'Fixed inputs'!M95</f>
        <v>0</v>
      </c>
      <c r="N32" s="143">
        <f>'Fixed inputs'!N95</f>
        <v>0.2</v>
      </c>
      <c r="O32" s="143">
        <f>'Fixed inputs'!O95</f>
        <v>1</v>
      </c>
      <c r="P32" s="143">
        <f>'Fixed inputs'!P95</f>
        <v>1</v>
      </c>
      <c r="Q32" s="143">
        <f>'Fixed inputs'!Q95</f>
        <v>0</v>
      </c>
      <c r="R32" s="79"/>
      <c r="S32" s="79"/>
      <c r="T32" s="79"/>
      <c r="U32" s="79"/>
      <c r="V32" s="79"/>
      <c r="W32" s="79"/>
      <c r="X32" s="79"/>
      <c r="Y32" s="79"/>
    </row>
    <row r="33" spans="4:27" x14ac:dyDescent="0.25">
      <c r="D33" s="86"/>
      <c r="F33" s="295" t="s">
        <v>49</v>
      </c>
      <c r="G33" s="295" t="s">
        <v>94</v>
      </c>
      <c r="J33" s="143">
        <f>'Fixed inputs'!J96</f>
        <v>0</v>
      </c>
      <c r="K33" s="143">
        <f>'Fixed inputs'!K96</f>
        <v>0</v>
      </c>
      <c r="L33" s="143">
        <f>'Fixed inputs'!L96</f>
        <v>0</v>
      </c>
      <c r="M33" s="143">
        <f>'Fixed inputs'!M96</f>
        <v>0</v>
      </c>
      <c r="N33" s="143">
        <f>'Fixed inputs'!N96</f>
        <v>1</v>
      </c>
      <c r="O33" s="143">
        <f>'Fixed inputs'!O96</f>
        <v>1</v>
      </c>
      <c r="P33" s="143">
        <f>'Fixed inputs'!P96</f>
        <v>0</v>
      </c>
      <c r="Q33" s="143">
        <f>'Fixed inputs'!Q96</f>
        <v>0</v>
      </c>
      <c r="R33" s="79"/>
      <c r="S33" s="79"/>
      <c r="T33" s="79"/>
      <c r="U33" s="79"/>
      <c r="V33" s="79"/>
      <c r="W33" s="79"/>
      <c r="X33" s="79"/>
      <c r="Y33" s="79"/>
    </row>
    <row r="34" spans="4:27" x14ac:dyDescent="0.25">
      <c r="D34" s="86"/>
      <c r="F34" s="295" t="s">
        <v>50</v>
      </c>
      <c r="G34" s="295" t="s">
        <v>94</v>
      </c>
      <c r="J34" s="143">
        <f>'Fixed inputs'!J97</f>
        <v>1</v>
      </c>
      <c r="K34" s="143">
        <f>'Fixed inputs'!K97</f>
        <v>1</v>
      </c>
      <c r="L34" s="143">
        <f>'Fixed inputs'!L97</f>
        <v>1</v>
      </c>
      <c r="M34" s="143">
        <f>'Fixed inputs'!M97</f>
        <v>1</v>
      </c>
      <c r="N34" s="143">
        <f>'Fixed inputs'!N97</f>
        <v>1</v>
      </c>
      <c r="O34" s="143">
        <f>'Fixed inputs'!O97</f>
        <v>0</v>
      </c>
      <c r="P34" s="143">
        <f>'Fixed inputs'!P97</f>
        <v>0</v>
      </c>
      <c r="Q34" s="143">
        <f>'Fixed inputs'!Q97</f>
        <v>0</v>
      </c>
      <c r="R34" s="79"/>
      <c r="S34" s="79"/>
      <c r="T34" s="79"/>
      <c r="U34" s="79"/>
      <c r="V34" s="79"/>
      <c r="W34" s="79"/>
      <c r="X34" s="79"/>
      <c r="Y34" s="79"/>
    </row>
    <row r="35" spans="4:27" x14ac:dyDescent="0.25">
      <c r="D35" s="86"/>
      <c r="F35" s="295" t="s">
        <v>124</v>
      </c>
      <c r="G35" s="295" t="s">
        <v>94</v>
      </c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</row>
    <row r="36" spans="4:27" x14ac:dyDescent="0.25">
      <c r="D36" s="86"/>
      <c r="F36" s="93" t="s">
        <v>123</v>
      </c>
      <c r="G36" s="93" t="s">
        <v>94</v>
      </c>
      <c r="H36" s="93"/>
      <c r="I36" s="93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</row>
    <row r="37" spans="4:27" x14ac:dyDescent="0.25">
      <c r="D37" s="86"/>
      <c r="F37" s="98"/>
    </row>
    <row r="38" spans="4:27" x14ac:dyDescent="0.25">
      <c r="D38" s="295"/>
      <c r="E38" s="96" t="s">
        <v>642</v>
      </c>
      <c r="F38" s="98"/>
    </row>
    <row r="39" spans="4:27" x14ac:dyDescent="0.25">
      <c r="D39" s="86"/>
      <c r="E39" s="295"/>
      <c r="F39" s="14" t="s">
        <v>642</v>
      </c>
      <c r="G39" s="14" t="s">
        <v>94</v>
      </c>
      <c r="H39" s="143">
        <f>'Inputs by network level'!P20</f>
        <v>0</v>
      </c>
    </row>
    <row r="40" spans="4:27" x14ac:dyDescent="0.25">
      <c r="D40" s="86"/>
      <c r="F40" s="98"/>
    </row>
    <row r="41" spans="4:27" x14ac:dyDescent="0.25">
      <c r="D41" s="295"/>
      <c r="E41" s="96" t="s">
        <v>618</v>
      </c>
      <c r="F41" s="96"/>
    </row>
    <row r="42" spans="4:27" x14ac:dyDescent="0.25">
      <c r="D42" s="295"/>
      <c r="E42" s="82" t="s">
        <v>816</v>
      </c>
    </row>
    <row r="43" spans="4:27" x14ac:dyDescent="0.25">
      <c r="D43" s="86"/>
      <c r="F43" s="91" t="s">
        <v>324</v>
      </c>
      <c r="G43" s="91" t="s">
        <v>94</v>
      </c>
      <c r="H43" s="91"/>
      <c r="I43" s="91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</row>
    <row r="44" spans="4:27" x14ac:dyDescent="0.25">
      <c r="D44" s="86"/>
      <c r="F44" s="295" t="s">
        <v>43</v>
      </c>
      <c r="G44" s="295" t="s">
        <v>94</v>
      </c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</row>
    <row r="45" spans="4:27" x14ac:dyDescent="0.25">
      <c r="D45" s="86"/>
      <c r="F45" s="73" t="s">
        <v>44</v>
      </c>
      <c r="G45" s="73" t="s">
        <v>94</v>
      </c>
      <c r="H45" s="73"/>
      <c r="I45" s="73" t="s">
        <v>431</v>
      </c>
      <c r="J45" s="118">
        <f>IF($H$39 = 0, J27, J29 * $H$39)</f>
        <v>0</v>
      </c>
      <c r="K45" s="118">
        <f t="shared" ref="K45:Q45" si="0">IF($H$39 = 0, K27, K29 * $H$39)</f>
        <v>0</v>
      </c>
      <c r="L45" s="118">
        <f t="shared" si="0"/>
        <v>0</v>
      </c>
      <c r="M45" s="118">
        <f t="shared" si="0"/>
        <v>0</v>
      </c>
      <c r="N45" s="118">
        <f t="shared" si="0"/>
        <v>0</v>
      </c>
      <c r="O45" s="118">
        <f t="shared" si="0"/>
        <v>0</v>
      </c>
      <c r="P45" s="118">
        <f t="shared" si="0"/>
        <v>0</v>
      </c>
      <c r="Q45" s="118">
        <f t="shared" si="0"/>
        <v>0</v>
      </c>
      <c r="R45" s="62"/>
      <c r="S45" s="62"/>
      <c r="T45" s="62"/>
      <c r="U45" s="62"/>
      <c r="V45" s="62"/>
      <c r="W45" s="62"/>
      <c r="X45" s="62"/>
      <c r="Y45" s="62"/>
      <c r="AA45" s="295" t="s">
        <v>817</v>
      </c>
    </row>
    <row r="46" spans="4:27" x14ac:dyDescent="0.25">
      <c r="D46" s="86"/>
      <c r="F46" s="295" t="s">
        <v>45</v>
      </c>
      <c r="G46" s="295" t="s">
        <v>94</v>
      </c>
      <c r="J46" s="17">
        <f t="shared" ref="J46:Q48" si="1">J28</f>
        <v>0</v>
      </c>
      <c r="K46" s="17">
        <f t="shared" si="1"/>
        <v>0</v>
      </c>
      <c r="L46" s="17">
        <f t="shared" si="1"/>
        <v>0</v>
      </c>
      <c r="M46" s="17">
        <f t="shared" si="1"/>
        <v>0</v>
      </c>
      <c r="N46" s="17">
        <f t="shared" si="1"/>
        <v>0</v>
      </c>
      <c r="O46" s="17">
        <f t="shared" si="1"/>
        <v>0</v>
      </c>
      <c r="P46" s="17">
        <f t="shared" si="1"/>
        <v>0</v>
      </c>
      <c r="Q46" s="17">
        <f t="shared" si="1"/>
        <v>0</v>
      </c>
      <c r="R46" s="79"/>
      <c r="S46" s="79"/>
      <c r="T46" s="79"/>
      <c r="U46" s="79"/>
      <c r="V46" s="79"/>
      <c r="W46" s="79"/>
      <c r="X46" s="79"/>
      <c r="Y46" s="79"/>
    </row>
    <row r="47" spans="4:27" x14ac:dyDescent="0.25">
      <c r="D47" s="86"/>
      <c r="F47" s="295" t="s">
        <v>46</v>
      </c>
      <c r="G47" s="295" t="s">
        <v>94</v>
      </c>
      <c r="J47" s="17">
        <f t="shared" si="1"/>
        <v>0</v>
      </c>
      <c r="K47" s="17">
        <f t="shared" si="1"/>
        <v>0</v>
      </c>
      <c r="L47" s="17">
        <f t="shared" si="1"/>
        <v>0</v>
      </c>
      <c r="M47" s="17">
        <f t="shared" si="1"/>
        <v>0</v>
      </c>
      <c r="N47" s="17">
        <f t="shared" si="1"/>
        <v>0</v>
      </c>
      <c r="O47" s="17">
        <f t="shared" si="1"/>
        <v>0</v>
      </c>
      <c r="P47" s="17">
        <f t="shared" si="1"/>
        <v>0.2</v>
      </c>
      <c r="Q47" s="17">
        <f t="shared" si="1"/>
        <v>0</v>
      </c>
      <c r="R47" s="79"/>
      <c r="S47" s="79"/>
      <c r="T47" s="79"/>
      <c r="U47" s="79"/>
      <c r="V47" s="79"/>
      <c r="W47" s="79"/>
      <c r="X47" s="79"/>
      <c r="Y47" s="79"/>
    </row>
    <row r="48" spans="4:27" x14ac:dyDescent="0.25">
      <c r="D48" s="86"/>
      <c r="F48" s="295" t="s">
        <v>47</v>
      </c>
      <c r="G48" s="295" t="s">
        <v>94</v>
      </c>
      <c r="J48" s="17">
        <f t="shared" si="1"/>
        <v>0</v>
      </c>
      <c r="K48" s="17">
        <f t="shared" si="1"/>
        <v>0</v>
      </c>
      <c r="L48" s="17">
        <f t="shared" si="1"/>
        <v>0</v>
      </c>
      <c r="M48" s="17">
        <f t="shared" si="1"/>
        <v>0</v>
      </c>
      <c r="N48" s="17">
        <f t="shared" si="1"/>
        <v>0</v>
      </c>
      <c r="O48" s="17">
        <f t="shared" si="1"/>
        <v>0</v>
      </c>
      <c r="P48" s="17">
        <f t="shared" si="1"/>
        <v>1</v>
      </c>
      <c r="Q48" s="17">
        <f t="shared" si="1"/>
        <v>0</v>
      </c>
      <c r="R48" s="79"/>
      <c r="S48" s="79"/>
      <c r="T48" s="79"/>
      <c r="U48" s="79"/>
      <c r="V48" s="79"/>
      <c r="W48" s="79"/>
      <c r="X48" s="79"/>
      <c r="Y48" s="79"/>
    </row>
    <row r="49" spans="2:27" x14ac:dyDescent="0.25">
      <c r="D49" s="86"/>
      <c r="F49" s="73" t="s">
        <v>51</v>
      </c>
      <c r="G49" s="73" t="s">
        <v>94</v>
      </c>
      <c r="H49" s="73"/>
      <c r="I49" s="73" t="s">
        <v>431</v>
      </c>
      <c r="J49" s="118">
        <f t="shared" ref="J49:Q49" si="2">J30</f>
        <v>0</v>
      </c>
      <c r="K49" s="118">
        <f t="shared" si="2"/>
        <v>0</v>
      </c>
      <c r="L49" s="118">
        <f t="shared" si="2"/>
        <v>0</v>
      </c>
      <c r="M49" s="118">
        <f t="shared" si="2"/>
        <v>0</v>
      </c>
      <c r="N49" s="118">
        <f t="shared" si="2"/>
        <v>0</v>
      </c>
      <c r="O49" s="118">
        <f t="shared" si="2"/>
        <v>0</v>
      </c>
      <c r="P49" s="118">
        <f t="shared" si="2"/>
        <v>1</v>
      </c>
      <c r="Q49" s="118">
        <f t="shared" si="2"/>
        <v>0</v>
      </c>
      <c r="R49" s="62"/>
      <c r="S49" s="62"/>
      <c r="T49" s="62"/>
      <c r="U49" s="62"/>
      <c r="V49" s="62"/>
      <c r="W49" s="62"/>
      <c r="X49" s="62"/>
      <c r="Y49" s="62"/>
      <c r="AA49" s="295" t="s">
        <v>818</v>
      </c>
    </row>
    <row r="50" spans="2:27" x14ac:dyDescent="0.25">
      <c r="D50" s="86"/>
      <c r="F50" s="295" t="s">
        <v>48</v>
      </c>
      <c r="G50" s="295" t="s">
        <v>94</v>
      </c>
      <c r="J50" s="17">
        <f t="shared" ref="J50:Q52" si="3">J32</f>
        <v>0</v>
      </c>
      <c r="K50" s="17">
        <f t="shared" si="3"/>
        <v>0</v>
      </c>
      <c r="L50" s="17">
        <f t="shared" si="3"/>
        <v>0</v>
      </c>
      <c r="M50" s="17">
        <f t="shared" si="3"/>
        <v>0</v>
      </c>
      <c r="N50" s="17">
        <f t="shared" si="3"/>
        <v>0.2</v>
      </c>
      <c r="O50" s="17">
        <f t="shared" si="3"/>
        <v>1</v>
      </c>
      <c r="P50" s="17">
        <f t="shared" si="3"/>
        <v>1</v>
      </c>
      <c r="Q50" s="17">
        <f t="shared" si="3"/>
        <v>0</v>
      </c>
      <c r="R50" s="79"/>
      <c r="S50" s="79"/>
      <c r="T50" s="79"/>
      <c r="U50" s="79"/>
      <c r="V50" s="79"/>
      <c r="W50" s="79"/>
      <c r="X50" s="79"/>
      <c r="Y50" s="79"/>
    </row>
    <row r="51" spans="2:27" x14ac:dyDescent="0.25">
      <c r="D51" s="86"/>
      <c r="F51" s="295" t="s">
        <v>49</v>
      </c>
      <c r="G51" s="295" t="s">
        <v>94</v>
      </c>
      <c r="J51" s="17">
        <f t="shared" si="3"/>
        <v>0</v>
      </c>
      <c r="K51" s="17">
        <f t="shared" si="3"/>
        <v>0</v>
      </c>
      <c r="L51" s="17">
        <f t="shared" si="3"/>
        <v>0</v>
      </c>
      <c r="M51" s="17">
        <f t="shared" si="3"/>
        <v>0</v>
      </c>
      <c r="N51" s="17">
        <f t="shared" si="3"/>
        <v>1</v>
      </c>
      <c r="O51" s="17">
        <f t="shared" si="3"/>
        <v>1</v>
      </c>
      <c r="P51" s="17">
        <f t="shared" si="3"/>
        <v>0</v>
      </c>
      <c r="Q51" s="17">
        <f t="shared" si="3"/>
        <v>0</v>
      </c>
      <c r="R51" s="79"/>
      <c r="S51" s="79"/>
      <c r="T51" s="79"/>
      <c r="U51" s="79"/>
      <c r="V51" s="79"/>
      <c r="W51" s="79"/>
      <c r="X51" s="79"/>
      <c r="Y51" s="79"/>
    </row>
    <row r="52" spans="2:27" x14ac:dyDescent="0.25">
      <c r="D52" s="86"/>
      <c r="F52" s="295" t="s">
        <v>50</v>
      </c>
      <c r="G52" s="295" t="s">
        <v>94</v>
      </c>
      <c r="J52" s="17">
        <f t="shared" si="3"/>
        <v>1</v>
      </c>
      <c r="K52" s="17">
        <f t="shared" si="3"/>
        <v>1</v>
      </c>
      <c r="L52" s="17">
        <f t="shared" si="3"/>
        <v>1</v>
      </c>
      <c r="M52" s="17">
        <f t="shared" si="3"/>
        <v>1</v>
      </c>
      <c r="N52" s="17">
        <f t="shared" si="3"/>
        <v>1</v>
      </c>
      <c r="O52" s="17">
        <f t="shared" si="3"/>
        <v>0</v>
      </c>
      <c r="P52" s="17">
        <f t="shared" si="3"/>
        <v>0</v>
      </c>
      <c r="Q52" s="17">
        <f t="shared" si="3"/>
        <v>0</v>
      </c>
      <c r="R52" s="79"/>
      <c r="S52" s="79"/>
      <c r="T52" s="79"/>
      <c r="U52" s="79"/>
      <c r="V52" s="79"/>
      <c r="W52" s="79"/>
      <c r="X52" s="79"/>
      <c r="Y52" s="79"/>
    </row>
    <row r="53" spans="2:27" x14ac:dyDescent="0.25">
      <c r="D53" s="86"/>
      <c r="F53" s="295" t="s">
        <v>124</v>
      </c>
      <c r="G53" s="295" t="s">
        <v>94</v>
      </c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</row>
    <row r="54" spans="2:27" x14ac:dyDescent="0.25">
      <c r="D54" s="86"/>
      <c r="F54" s="93" t="s">
        <v>123</v>
      </c>
      <c r="G54" s="93" t="s">
        <v>94</v>
      </c>
      <c r="H54" s="93"/>
      <c r="I54" s="93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</row>
    <row r="55" spans="2:27" x14ac:dyDescent="0.25">
      <c r="C55" s="86"/>
    </row>
    <row r="56" spans="2:27" x14ac:dyDescent="0.25">
      <c r="B56" s="95" t="s">
        <v>109</v>
      </c>
      <c r="C56" s="95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25">
      <c r="D57" s="295"/>
      <c r="E57" s="295"/>
    </row>
    <row r="58" spans="2:27" x14ac:dyDescent="0.25">
      <c r="D58" s="295"/>
      <c r="E58" s="295" t="s">
        <v>516</v>
      </c>
      <c r="G58" s="122" t="s">
        <v>692</v>
      </c>
      <c r="H58" s="152">
        <f t="array" ref="H58">SUM(IF(ISERROR(H25:Y54), 1))</f>
        <v>0</v>
      </c>
    </row>
    <row r="59" spans="2:27" x14ac:dyDescent="0.25">
      <c r="D59" s="295"/>
      <c r="E59" s="295"/>
    </row>
    <row r="60" spans="2:27" x14ac:dyDescent="0.25">
      <c r="B60" s="95" t="s">
        <v>110</v>
      </c>
      <c r="C60" s="71"/>
      <c r="D60" s="78"/>
      <c r="E60" s="78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2"/>
      <c r="AA60" s="72"/>
    </row>
  </sheetData>
  <sheetProtection sheet="1" objects="1" formatCells="0" formatColumns="0" formatRows="0" sort="0" autoFilter="0"/>
  <conditionalFormatting sqref="H58">
    <cfRule type="cellIs" dxfId="179" priority="10" operator="greaterThan">
      <formula>0</formula>
    </cfRule>
  </conditionalFormatting>
  <conditionalFormatting sqref="A4:I4 Z4:XFD4">
    <cfRule type="expression" dxfId="178" priority="9">
      <formula>LEFT($A$4,1) &lt;&gt; "0"</formula>
    </cfRule>
  </conditionalFormatting>
  <conditionalFormatting sqref="N4:P4">
    <cfRule type="expression" dxfId="177" priority="8">
      <formula>LEFT($A$4,1) &lt;&gt; "0"</formula>
    </cfRule>
  </conditionalFormatting>
  <conditionalFormatting sqref="L4:M4">
    <cfRule type="expression" dxfId="176" priority="7">
      <formula>LEFT($A$4,1) &lt;&gt; "0"</formula>
    </cfRule>
  </conditionalFormatting>
  <conditionalFormatting sqref="J4:K4">
    <cfRule type="expression" dxfId="175" priority="6">
      <formula>LEFT($A$4,1) &lt;&gt; "0"</formula>
    </cfRule>
  </conditionalFormatting>
  <conditionalFormatting sqref="Q4">
    <cfRule type="expression" dxfId="174" priority="5">
      <formula>LEFT($A$4,1) &lt;&gt; "0"</formula>
    </cfRule>
  </conditionalFormatting>
  <conditionalFormatting sqref="R4:S4">
    <cfRule type="expression" dxfId="173" priority="4">
      <formula>LEFT($A$4,1) &lt;&gt; "0"</formula>
    </cfRule>
  </conditionalFormatting>
  <conditionalFormatting sqref="T4:U4">
    <cfRule type="expression" dxfId="172" priority="3">
      <formula>LEFT($A$4,1) &lt;&gt; "0"</formula>
    </cfRule>
  </conditionalFormatting>
  <conditionalFormatting sqref="V4:W4">
    <cfRule type="expression" dxfId="171" priority="2">
      <formula>LEFT($A$4,1) &lt;&gt; "0"</formula>
    </cfRule>
  </conditionalFormatting>
  <conditionalFormatting sqref="X4:Y4">
    <cfRule type="expression" dxfId="170" priority="1">
      <formula>LEFT($A$4,1) &lt;&gt; "0"</formula>
    </cfRule>
  </conditionalFormatting>
  <hyperlinks>
    <hyperlink ref="B5:F5" location="'Model map'!A1" display="Click here to return to model map" xr:uid="{00000000-0004-0000-11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>
    <tabColor theme="4" tint="0.59999389629810485"/>
    <pageSetUpPr fitToPage="1"/>
  </sheetPr>
  <dimension ref="A1:JF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1" width="17" style="295" customWidth="1"/>
    <col min="22" max="22" width="2.42578125" style="295" customWidth="1"/>
    <col min="23" max="23" width="50.5703125" style="295" customWidth="1"/>
    <col min="24" max="24" width="2.42578125" style="295" customWidth="1"/>
    <col min="25" max="42" width="17" style="295" hidden="1" customWidth="1"/>
    <col min="43" max="43" width="2.42578125" style="295" hidden="1" customWidth="1"/>
    <col min="44" max="44" width="18.42578125" style="295" hidden="1" customWidth="1"/>
    <col min="45" max="45" width="4.42578125" style="295" hidden="1" customWidth="1"/>
    <col min="46" max="266" width="24.5703125" style="295" hidden="1" customWidth="1"/>
    <col min="267" max="16384" width="8.85546875" style="295" hidden="1"/>
  </cols>
  <sheetData>
    <row r="1" spans="1:23" s="10" customFormat="1" x14ac:dyDescent="0.25">
      <c r="A1" s="10" t="str">
        <f ca="1">MID(CELL("filename",A1),FIND("]",CELL("filename",A1))+1,255)</f>
        <v>Load &amp; loss characteristics</v>
      </c>
    </row>
    <row r="2" spans="1:23" s="10" customFormat="1" x14ac:dyDescent="0.25">
      <c r="A2" s="10" t="str">
        <f>Cover!D21&amp;" - "&amp;Cover!D23</f>
        <v>SP Distribution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3" x14ac:dyDescent="0.25">
      <c r="A4" s="371" t="str">
        <f>H183 &amp; IF(H183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72" t="s">
        <v>552</v>
      </c>
      <c r="C5" s="373"/>
      <c r="D5" s="373"/>
      <c r="E5" s="373"/>
      <c r="F5" s="373"/>
      <c r="G5" s="1" t="s">
        <v>91</v>
      </c>
      <c r="H5" s="2" t="s">
        <v>92</v>
      </c>
      <c r="I5" s="4"/>
      <c r="J5" s="388" t="s">
        <v>324</v>
      </c>
      <c r="K5" s="388" t="s">
        <v>43</v>
      </c>
      <c r="L5" s="388" t="s">
        <v>44</v>
      </c>
      <c r="M5" s="388" t="s">
        <v>45</v>
      </c>
      <c r="N5" s="388" t="s">
        <v>46</v>
      </c>
      <c r="O5" s="388" t="s">
        <v>47</v>
      </c>
      <c r="P5" s="388" t="s">
        <v>51</v>
      </c>
      <c r="Q5" s="388" t="s">
        <v>48</v>
      </c>
      <c r="R5" s="388" t="s">
        <v>49</v>
      </c>
      <c r="S5" s="388" t="s">
        <v>50</v>
      </c>
      <c r="T5" s="388" t="s">
        <v>124</v>
      </c>
      <c r="U5" s="388" t="s">
        <v>123</v>
      </c>
      <c r="W5" s="373" t="s">
        <v>93</v>
      </c>
    </row>
    <row r="6" spans="1:23" x14ac:dyDescent="0.25">
      <c r="H6" s="88"/>
      <c r="I6" s="82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400</v>
      </c>
    </row>
    <row r="10" spans="1:23" x14ac:dyDescent="0.25">
      <c r="C10" s="82" t="s">
        <v>401</v>
      </c>
    </row>
    <row r="11" spans="1:23" x14ac:dyDescent="0.25">
      <c r="C11" s="82" t="s">
        <v>786</v>
      </c>
    </row>
    <row r="13" spans="1:23" x14ac:dyDescent="0.25">
      <c r="B13" s="95" t="s">
        <v>779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</row>
    <row r="14" spans="1:23" x14ac:dyDescent="0.25"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W14" s="88"/>
    </row>
    <row r="15" spans="1:23" x14ac:dyDescent="0.25">
      <c r="C15" s="82" t="s">
        <v>525</v>
      </c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W15" s="88"/>
    </row>
    <row r="16" spans="1:23" x14ac:dyDescent="0.2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2:23" x14ac:dyDescent="0.25">
      <c r="C17" s="7" t="str">
        <f ca="1">INDEX('Version control'!$H$34:$H$58,MATCH($A$1,'Version control'!$F$34:$F$58,0),1)&amp;"-A: Load characteristics"</f>
        <v>Section 505-A: Load characteristics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 x14ac:dyDescent="0.2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2:23" x14ac:dyDescent="0.25">
      <c r="E19" s="295" t="s">
        <v>389</v>
      </c>
      <c r="F19" s="87"/>
      <c r="G19" s="108" t="s">
        <v>94</v>
      </c>
      <c r="H19" s="88"/>
      <c r="I19" s="88"/>
      <c r="J19" s="386"/>
      <c r="K19" s="389">
        <f>'Inputs by network level'!K18</f>
        <v>0.11600000000000001</v>
      </c>
      <c r="L19" s="389">
        <f>'Inputs by network level'!L18</f>
        <v>0</v>
      </c>
      <c r="M19" s="386"/>
      <c r="N19" s="389">
        <f>'Inputs by network level'!N18</f>
        <v>0.13</v>
      </c>
      <c r="O19" s="386"/>
      <c r="P19" s="386"/>
      <c r="Q19" s="389">
        <f>'Inputs by network level'!Q18</f>
        <v>0.25</v>
      </c>
      <c r="R19" s="386"/>
      <c r="S19" s="386"/>
      <c r="T19" s="79"/>
      <c r="U19" s="79"/>
    </row>
    <row r="20" spans="2:23" x14ac:dyDescent="0.25">
      <c r="E20" s="295" t="s">
        <v>70</v>
      </c>
      <c r="F20" s="87"/>
      <c r="G20" s="108" t="s">
        <v>94</v>
      </c>
      <c r="H20" s="88"/>
      <c r="I20" s="88"/>
      <c r="J20" s="390">
        <f t="shared" ref="J20" si="0">IF(I20 = "", 1, I20 / (1 + J19))</f>
        <v>1</v>
      </c>
      <c r="K20" s="390">
        <f>IF(J20 = "", 1, J20 / (1 + K19))</f>
        <v>0.8960573476702508</v>
      </c>
      <c r="L20" s="390">
        <f t="shared" ref="L20:S20" si="1">IF(K20 = "", 1, K20 / (1 + L19))</f>
        <v>0.8960573476702508</v>
      </c>
      <c r="M20" s="390">
        <f t="shared" si="1"/>
        <v>0.8960573476702508</v>
      </c>
      <c r="N20" s="390">
        <f t="shared" si="1"/>
        <v>0.79297110413296534</v>
      </c>
      <c r="O20" s="390">
        <f t="shared" si="1"/>
        <v>0.79297110413296534</v>
      </c>
      <c r="P20" s="390">
        <f t="shared" si="1"/>
        <v>0.79297110413296534</v>
      </c>
      <c r="Q20" s="390">
        <f t="shared" si="1"/>
        <v>0.63437688330637232</v>
      </c>
      <c r="R20" s="390">
        <f t="shared" si="1"/>
        <v>0.63437688330637232</v>
      </c>
      <c r="S20" s="390">
        <f t="shared" si="1"/>
        <v>0.63437688330637232</v>
      </c>
      <c r="T20" s="79"/>
      <c r="U20" s="79"/>
    </row>
    <row r="21" spans="2:23" x14ac:dyDescent="0.25">
      <c r="E21" s="295" t="s">
        <v>390</v>
      </c>
      <c r="F21" s="87"/>
      <c r="G21" s="108" t="s">
        <v>94</v>
      </c>
      <c r="H21" s="88"/>
      <c r="I21" s="88"/>
      <c r="J21" s="390">
        <f>1 / J20 - 1</f>
        <v>0</v>
      </c>
      <c r="K21" s="390">
        <f t="shared" ref="K21:S21" si="2">1 / K20 - 1</f>
        <v>0.1160000000000001</v>
      </c>
      <c r="L21" s="390">
        <f t="shared" si="2"/>
        <v>0.1160000000000001</v>
      </c>
      <c r="M21" s="390">
        <f t="shared" si="2"/>
        <v>0.1160000000000001</v>
      </c>
      <c r="N21" s="390">
        <f t="shared" si="2"/>
        <v>0.26107999999999998</v>
      </c>
      <c r="O21" s="390">
        <f t="shared" si="2"/>
        <v>0.26107999999999998</v>
      </c>
      <c r="P21" s="390">
        <f t="shared" si="2"/>
        <v>0.26107999999999998</v>
      </c>
      <c r="Q21" s="390">
        <f t="shared" si="2"/>
        <v>0.57634999999999992</v>
      </c>
      <c r="R21" s="390">
        <f t="shared" si="2"/>
        <v>0.57634999999999992</v>
      </c>
      <c r="S21" s="390">
        <f t="shared" si="2"/>
        <v>0.57634999999999992</v>
      </c>
      <c r="T21" s="79"/>
      <c r="U21" s="79"/>
    </row>
    <row r="22" spans="2:23" x14ac:dyDescent="0.25">
      <c r="E22" s="295" t="s">
        <v>392</v>
      </c>
      <c r="F22" s="87"/>
      <c r="G22" s="108" t="s">
        <v>94</v>
      </c>
      <c r="H22" s="88"/>
      <c r="I22" s="88"/>
      <c r="J22" s="386"/>
      <c r="K22" s="386"/>
      <c r="L22" s="386"/>
      <c r="M22" s="386"/>
      <c r="N22" s="386"/>
      <c r="O22" s="386"/>
      <c r="P22" s="390">
        <f>M21</f>
        <v>0.1160000000000001</v>
      </c>
      <c r="Q22" s="386"/>
      <c r="R22" s="386"/>
      <c r="S22" s="386"/>
      <c r="T22" s="79"/>
      <c r="U22" s="79"/>
    </row>
    <row r="23" spans="2:23" x14ac:dyDescent="0.25">
      <c r="E23" s="295" t="s">
        <v>391</v>
      </c>
      <c r="F23" s="87"/>
      <c r="G23" s="108" t="s">
        <v>94</v>
      </c>
      <c r="H23" s="88"/>
      <c r="I23" s="88" t="s">
        <v>431</v>
      </c>
      <c r="J23" s="313">
        <f t="shared" ref="J23:S23" si="3">IF(J22 = "", J21, J22)</f>
        <v>0</v>
      </c>
      <c r="K23" s="313">
        <f t="shared" si="3"/>
        <v>0.1160000000000001</v>
      </c>
      <c r="L23" s="313">
        <f t="shared" si="3"/>
        <v>0.1160000000000001</v>
      </c>
      <c r="M23" s="313">
        <f t="shared" si="3"/>
        <v>0.1160000000000001</v>
      </c>
      <c r="N23" s="313">
        <f t="shared" si="3"/>
        <v>0.26107999999999998</v>
      </c>
      <c r="O23" s="313">
        <f t="shared" si="3"/>
        <v>0.26107999999999998</v>
      </c>
      <c r="P23" s="313">
        <f t="shared" si="3"/>
        <v>0.1160000000000001</v>
      </c>
      <c r="Q23" s="313">
        <f t="shared" si="3"/>
        <v>0.57634999999999992</v>
      </c>
      <c r="R23" s="313">
        <f t="shared" si="3"/>
        <v>0.57634999999999992</v>
      </c>
      <c r="S23" s="313">
        <f t="shared" si="3"/>
        <v>0.57634999999999992</v>
      </c>
      <c r="T23" s="79"/>
      <c r="U23" s="79"/>
      <c r="W23" s="90" t="s">
        <v>901</v>
      </c>
    </row>
    <row r="24" spans="2:23" x14ac:dyDescent="0.25">
      <c r="F24" s="87"/>
      <c r="G24" s="108"/>
      <c r="H24" s="88"/>
      <c r="I24" s="88"/>
      <c r="J24" s="390"/>
      <c r="K24" s="390"/>
      <c r="L24" s="390"/>
      <c r="M24" s="390"/>
      <c r="N24" s="390"/>
      <c r="O24" s="390"/>
      <c r="P24" s="390"/>
      <c r="Q24" s="390"/>
      <c r="R24" s="390"/>
      <c r="S24" s="390"/>
      <c r="T24" s="88"/>
      <c r="U24" s="88"/>
    </row>
    <row r="25" spans="2:23" x14ac:dyDescent="0.25">
      <c r="C25" s="7" t="str">
        <f ca="1">INDEX('Version control'!$H$34:$H$58,MATCH($A$1,'Version control'!$F$34:$F$58,0),1)&amp;"-B: Loss adjustment factors"</f>
        <v>Section 505-B: Loss adjustment factors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2:23" x14ac:dyDescent="0.2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2:23" x14ac:dyDescent="0.25">
      <c r="E27" s="295" t="s">
        <v>98</v>
      </c>
      <c r="F27" s="391"/>
      <c r="G27" s="109" t="s">
        <v>528</v>
      </c>
      <c r="H27" s="88"/>
      <c r="I27" s="88"/>
      <c r="J27" s="280"/>
      <c r="K27" s="274">
        <f>'Inputs by network level'!K22</f>
        <v>1</v>
      </c>
      <c r="L27" s="274">
        <f>'Inputs by network level'!L22</f>
        <v>1</v>
      </c>
      <c r="M27" s="274">
        <f>'Inputs by network level'!M22</f>
        <v>1</v>
      </c>
      <c r="N27" s="274">
        <f>'Inputs by network level'!N22</f>
        <v>1.004</v>
      </c>
      <c r="O27" s="274">
        <f>'Inputs by network level'!O22</f>
        <v>1.0129999999999999</v>
      </c>
      <c r="P27" s="280"/>
      <c r="Q27" s="274">
        <f>'Inputs by network level'!Q22</f>
        <v>1.026</v>
      </c>
      <c r="R27" s="274">
        <f>'Inputs by network level'!R22</f>
        <v>1.044</v>
      </c>
      <c r="S27" s="274">
        <f>'Inputs by network level'!S22</f>
        <v>1.0980000000000001</v>
      </c>
      <c r="T27" s="280"/>
      <c r="U27" s="280"/>
    </row>
    <row r="28" spans="2:23" x14ac:dyDescent="0.25">
      <c r="E28" s="295" t="s">
        <v>171</v>
      </c>
      <c r="F28" s="391"/>
      <c r="G28" s="109" t="s">
        <v>528</v>
      </c>
      <c r="H28" s="88"/>
      <c r="I28" s="88"/>
      <c r="J28" s="276">
        <f>K27</f>
        <v>1</v>
      </c>
      <c r="K28" s="280"/>
      <c r="L28" s="280"/>
      <c r="M28" s="280"/>
      <c r="N28" s="280"/>
      <c r="O28" s="280"/>
      <c r="P28" s="276">
        <f>O27</f>
        <v>1.0129999999999999</v>
      </c>
      <c r="Q28" s="280"/>
      <c r="R28" s="280"/>
      <c r="S28" s="280"/>
      <c r="T28" s="280"/>
      <c r="U28" s="280"/>
    </row>
    <row r="29" spans="2:23" x14ac:dyDescent="0.25">
      <c r="E29" s="295" t="s">
        <v>100</v>
      </c>
      <c r="F29" s="391"/>
      <c r="G29" s="109" t="s">
        <v>528</v>
      </c>
      <c r="H29" s="88"/>
      <c r="I29" s="88" t="s">
        <v>431</v>
      </c>
      <c r="J29" s="257">
        <f t="shared" ref="J29:S29" si="4">J27 + J28</f>
        <v>1</v>
      </c>
      <c r="K29" s="257">
        <f t="shared" si="4"/>
        <v>1</v>
      </c>
      <c r="L29" s="257">
        <f t="shared" si="4"/>
        <v>1</v>
      </c>
      <c r="M29" s="257">
        <f t="shared" si="4"/>
        <v>1</v>
      </c>
      <c r="N29" s="257">
        <f t="shared" si="4"/>
        <v>1.004</v>
      </c>
      <c r="O29" s="257">
        <f t="shared" si="4"/>
        <v>1.0129999999999999</v>
      </c>
      <c r="P29" s="257">
        <f t="shared" si="4"/>
        <v>1.0129999999999999</v>
      </c>
      <c r="Q29" s="257">
        <f t="shared" si="4"/>
        <v>1.026</v>
      </c>
      <c r="R29" s="257">
        <f t="shared" si="4"/>
        <v>1.044</v>
      </c>
      <c r="S29" s="257">
        <f t="shared" si="4"/>
        <v>1.0980000000000001</v>
      </c>
      <c r="T29" s="280"/>
      <c r="U29" s="280"/>
      <c r="W29" s="90" t="s">
        <v>800</v>
      </c>
    </row>
    <row r="30" spans="2:23" x14ac:dyDescent="0.25">
      <c r="F30" s="87"/>
      <c r="G30" s="108"/>
      <c r="H30" s="88"/>
      <c r="I30" s="88"/>
      <c r="J30" s="88"/>
      <c r="K30" s="88"/>
      <c r="L30" s="88"/>
      <c r="M30" s="88"/>
      <c r="N30" s="88"/>
      <c r="O30" s="88"/>
      <c r="Q30" s="88"/>
      <c r="R30" s="88"/>
      <c r="S30" s="88"/>
      <c r="T30" s="88"/>
      <c r="U30" s="88"/>
    </row>
    <row r="31" spans="2:23" x14ac:dyDescent="0.25">
      <c r="B31" s="95" t="s">
        <v>778</v>
      </c>
      <c r="C31" s="95"/>
      <c r="D31" s="95"/>
      <c r="E31" s="95"/>
      <c r="F31" s="95"/>
      <c r="G31" s="128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</row>
    <row r="32" spans="2:23" x14ac:dyDescent="0.25">
      <c r="F32" s="87"/>
      <c r="G32" s="108"/>
      <c r="H32" s="88"/>
      <c r="I32" s="88"/>
      <c r="J32" s="88"/>
      <c r="K32" s="88"/>
      <c r="L32" s="88"/>
      <c r="M32" s="88"/>
      <c r="N32" s="88"/>
      <c r="O32" s="88"/>
      <c r="Q32" s="88"/>
      <c r="R32" s="88"/>
      <c r="S32" s="88"/>
      <c r="T32" s="88"/>
      <c r="U32" s="88"/>
    </row>
    <row r="33" spans="3:23" x14ac:dyDescent="0.25">
      <c r="C33" s="82" t="s">
        <v>777</v>
      </c>
      <c r="F33" s="87"/>
      <c r="G33" s="108"/>
      <c r="H33" s="88"/>
      <c r="I33" s="88"/>
      <c r="J33" s="88"/>
      <c r="K33" s="88"/>
      <c r="L33" s="88"/>
      <c r="M33" s="88"/>
      <c r="N33" s="88"/>
      <c r="O33" s="88"/>
      <c r="Q33" s="88"/>
      <c r="R33" s="88"/>
      <c r="S33" s="88"/>
      <c r="T33" s="88"/>
      <c r="U33" s="88"/>
    </row>
    <row r="34" spans="3:23" x14ac:dyDescent="0.25">
      <c r="F34" s="87"/>
      <c r="G34" s="108"/>
      <c r="H34" s="88"/>
      <c r="I34" s="88"/>
      <c r="J34" s="88"/>
      <c r="K34" s="88"/>
      <c r="L34" s="88"/>
      <c r="M34" s="88"/>
      <c r="N34" s="88"/>
      <c r="O34" s="88"/>
      <c r="Q34" s="88"/>
      <c r="R34" s="88"/>
      <c r="S34" s="88"/>
      <c r="T34" s="88"/>
      <c r="U34" s="88"/>
    </row>
    <row r="35" spans="3:23" x14ac:dyDescent="0.25">
      <c r="C35" s="7" t="str">
        <f ca="1">INDEX('Version control'!$H$34:$H$58,MATCH($A$1,'Version control'!$F$34:$F$58,0),1)&amp;"-C: Proportion of relevant load going through 132kV/HV direct transformation"</f>
        <v>Section 505-C: Proportion of relevant load going through 132kV/HV direct transformation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3:23" x14ac:dyDescent="0.25"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W36" s="88"/>
    </row>
    <row r="37" spans="3:23" x14ac:dyDescent="0.25">
      <c r="E37" s="295" t="s">
        <v>51</v>
      </c>
      <c r="F37" s="14"/>
      <c r="G37" s="109" t="s">
        <v>94</v>
      </c>
      <c r="H37" s="389">
        <f>'Inputs by network level'!P20</f>
        <v>0</v>
      </c>
      <c r="I37" s="88"/>
    </row>
    <row r="38" spans="3:23" x14ac:dyDescent="0.25">
      <c r="E38" s="295" t="s">
        <v>396</v>
      </c>
      <c r="F38" s="87"/>
      <c r="G38" s="108" t="s">
        <v>94</v>
      </c>
      <c r="H38" s="88"/>
      <c r="I38" s="88"/>
      <c r="J38" s="79"/>
      <c r="K38" s="79"/>
      <c r="L38" s="79"/>
      <c r="M38" s="392">
        <f>1 - $H$37</f>
        <v>1</v>
      </c>
      <c r="N38" s="392">
        <f>1 - $H$37</f>
        <v>1</v>
      </c>
      <c r="O38" s="392">
        <f>1 - $H$37</f>
        <v>1</v>
      </c>
      <c r="P38" s="393">
        <f>H37</f>
        <v>0</v>
      </c>
      <c r="Q38" s="79"/>
      <c r="R38" s="79"/>
      <c r="S38" s="79"/>
      <c r="T38" s="79"/>
      <c r="U38" s="79"/>
    </row>
    <row r="39" spans="3:23" x14ac:dyDescent="0.25">
      <c r="F39" s="87"/>
      <c r="G39" s="108"/>
      <c r="H39" s="88"/>
      <c r="I39" s="88"/>
      <c r="J39" s="88"/>
      <c r="K39" s="88"/>
      <c r="L39" s="88"/>
      <c r="M39" s="88"/>
      <c r="N39" s="88"/>
      <c r="O39" s="88"/>
      <c r="Q39" s="88"/>
      <c r="R39" s="88"/>
      <c r="S39" s="88"/>
      <c r="T39" s="88"/>
      <c r="U39" s="88"/>
    </row>
    <row r="40" spans="3:23" x14ac:dyDescent="0.25">
      <c r="C40" s="7" t="str">
        <f ca="1">INDEX('Version control'!$H$34:$H$58,MATCH($A$1,'Version control'!$F$34:$F$58,0),1)&amp;"-D: Network use factors"</f>
        <v>Section 505-D: Network use factors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3:23" x14ac:dyDescent="0.25"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25">
      <c r="D42" s="82" t="s">
        <v>902</v>
      </c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W42" s="88"/>
    </row>
    <row r="43" spans="3:23" x14ac:dyDescent="0.25">
      <c r="D43" s="82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25">
      <c r="E44" s="96" t="s">
        <v>403</v>
      </c>
      <c r="G44" s="108"/>
    </row>
    <row r="45" spans="3:23" x14ac:dyDescent="0.25">
      <c r="E45" s="82" t="s">
        <v>903</v>
      </c>
      <c r="G45" s="108"/>
    </row>
    <row r="46" spans="3:23" x14ac:dyDescent="0.25">
      <c r="F46" s="91" t="s">
        <v>1038</v>
      </c>
      <c r="G46" s="40" t="s">
        <v>141</v>
      </c>
      <c r="H46" s="91"/>
      <c r="I46" s="91"/>
      <c r="J46" s="273">
        <f t="array" ref="J46:S61">TRANSPOSE('Fixed inputs'!J60:Y69)</f>
        <v>1</v>
      </c>
      <c r="K46" s="273">
        <v>1</v>
      </c>
      <c r="L46" s="273">
        <v>1</v>
      </c>
      <c r="M46" s="273">
        <v>1</v>
      </c>
      <c r="N46" s="273">
        <v>1</v>
      </c>
      <c r="O46" s="273">
        <v>1</v>
      </c>
      <c r="P46" s="273">
        <v>1</v>
      </c>
      <c r="Q46" s="273">
        <v>1</v>
      </c>
      <c r="R46" s="273">
        <v>1</v>
      </c>
      <c r="S46" s="273">
        <v>1</v>
      </c>
      <c r="T46" s="239"/>
      <c r="U46" s="239"/>
      <c r="W46" s="88"/>
    </row>
    <row r="47" spans="3:23" x14ac:dyDescent="0.25">
      <c r="F47" s="295" t="s">
        <v>1039</v>
      </c>
      <c r="G47" s="109" t="s">
        <v>141</v>
      </c>
      <c r="J47" s="274">
        <v>1</v>
      </c>
      <c r="K47" s="274">
        <v>1</v>
      </c>
      <c r="L47" s="274">
        <v>1</v>
      </c>
      <c r="M47" s="274">
        <v>1</v>
      </c>
      <c r="N47" s="274">
        <v>1</v>
      </c>
      <c r="O47" s="274">
        <v>1</v>
      </c>
      <c r="P47" s="274">
        <v>1</v>
      </c>
      <c r="Q47" s="274">
        <v>1</v>
      </c>
      <c r="R47" s="274">
        <v>1</v>
      </c>
      <c r="S47" s="274">
        <v>1</v>
      </c>
      <c r="T47" s="280"/>
      <c r="U47" s="280"/>
    </row>
    <row r="48" spans="3:23" x14ac:dyDescent="0.25">
      <c r="F48" s="295" t="s">
        <v>1040</v>
      </c>
      <c r="G48" s="109" t="s">
        <v>141</v>
      </c>
      <c r="J48" s="274">
        <v>1</v>
      </c>
      <c r="K48" s="274">
        <v>1</v>
      </c>
      <c r="L48" s="274">
        <v>1</v>
      </c>
      <c r="M48" s="274">
        <v>1</v>
      </c>
      <c r="N48" s="274">
        <v>1</v>
      </c>
      <c r="O48" s="274">
        <v>1</v>
      </c>
      <c r="P48" s="274">
        <v>1</v>
      </c>
      <c r="Q48" s="274">
        <v>1</v>
      </c>
      <c r="R48" s="274">
        <v>1</v>
      </c>
      <c r="S48" s="274">
        <v>1</v>
      </c>
      <c r="T48" s="280"/>
      <c r="U48" s="280"/>
    </row>
    <row r="49" spans="5:21" x14ac:dyDescent="0.25">
      <c r="F49" s="295" t="s">
        <v>1041</v>
      </c>
      <c r="G49" s="109" t="s">
        <v>141</v>
      </c>
      <c r="J49" s="274">
        <v>1</v>
      </c>
      <c r="K49" s="274">
        <v>1</v>
      </c>
      <c r="L49" s="274">
        <v>1</v>
      </c>
      <c r="M49" s="274">
        <v>1</v>
      </c>
      <c r="N49" s="274">
        <v>1</v>
      </c>
      <c r="O49" s="274">
        <v>1</v>
      </c>
      <c r="P49" s="274">
        <v>1</v>
      </c>
      <c r="Q49" s="274">
        <v>1</v>
      </c>
      <c r="R49" s="274">
        <v>1</v>
      </c>
      <c r="S49" s="274">
        <v>1</v>
      </c>
      <c r="T49" s="280"/>
      <c r="U49" s="280"/>
    </row>
    <row r="50" spans="5:21" x14ac:dyDescent="0.25">
      <c r="F50" s="295" t="s">
        <v>1042</v>
      </c>
      <c r="G50" s="109" t="s">
        <v>141</v>
      </c>
      <c r="J50" s="274">
        <v>1</v>
      </c>
      <c r="K50" s="274">
        <v>1</v>
      </c>
      <c r="L50" s="274">
        <v>1</v>
      </c>
      <c r="M50" s="274">
        <v>1</v>
      </c>
      <c r="N50" s="274">
        <v>1</v>
      </c>
      <c r="O50" s="274">
        <v>1</v>
      </c>
      <c r="P50" s="274">
        <v>1</v>
      </c>
      <c r="Q50" s="274">
        <v>1</v>
      </c>
      <c r="R50" s="274">
        <v>1</v>
      </c>
      <c r="S50" s="274">
        <v>1</v>
      </c>
      <c r="T50" s="280"/>
      <c r="U50" s="280"/>
    </row>
    <row r="51" spans="5:21" x14ac:dyDescent="0.25">
      <c r="F51" s="295" t="s">
        <v>1043</v>
      </c>
      <c r="G51" s="109" t="s">
        <v>141</v>
      </c>
      <c r="J51" s="274">
        <v>1</v>
      </c>
      <c r="K51" s="274">
        <v>1</v>
      </c>
      <c r="L51" s="274">
        <v>1</v>
      </c>
      <c r="M51" s="274">
        <v>1</v>
      </c>
      <c r="N51" s="274">
        <v>1</v>
      </c>
      <c r="O51" s="274">
        <v>1</v>
      </c>
      <c r="P51" s="274">
        <v>1</v>
      </c>
      <c r="Q51" s="274">
        <v>1</v>
      </c>
      <c r="R51" s="274">
        <v>1</v>
      </c>
      <c r="S51" s="274">
        <v>0</v>
      </c>
      <c r="T51" s="280"/>
      <c r="U51" s="280"/>
    </row>
    <row r="52" spans="5:21" x14ac:dyDescent="0.25">
      <c r="F52" s="295" t="s">
        <v>1044</v>
      </c>
      <c r="G52" s="109" t="s">
        <v>141</v>
      </c>
      <c r="J52" s="274">
        <v>1</v>
      </c>
      <c r="K52" s="274">
        <v>1</v>
      </c>
      <c r="L52" s="274">
        <v>1</v>
      </c>
      <c r="M52" s="274">
        <v>1</v>
      </c>
      <c r="N52" s="274">
        <v>1</v>
      </c>
      <c r="O52" s="274">
        <v>1</v>
      </c>
      <c r="P52" s="274">
        <v>1</v>
      </c>
      <c r="Q52" s="274">
        <v>1</v>
      </c>
      <c r="R52" s="274">
        <v>0</v>
      </c>
      <c r="S52" s="274">
        <v>0</v>
      </c>
      <c r="T52" s="280"/>
      <c r="U52" s="280"/>
    </row>
    <row r="53" spans="5:21" x14ac:dyDescent="0.25">
      <c r="F53" s="295" t="s">
        <v>1045</v>
      </c>
      <c r="G53" s="109" t="s">
        <v>141</v>
      </c>
      <c r="J53" s="274">
        <v>1</v>
      </c>
      <c r="K53" s="274">
        <v>1</v>
      </c>
      <c r="L53" s="274">
        <v>1</v>
      </c>
      <c r="M53" s="274">
        <v>1</v>
      </c>
      <c r="N53" s="274">
        <v>1</v>
      </c>
      <c r="O53" s="274">
        <v>1</v>
      </c>
      <c r="P53" s="274">
        <v>1</v>
      </c>
      <c r="Q53" s="274">
        <v>1</v>
      </c>
      <c r="R53" s="274">
        <v>1</v>
      </c>
      <c r="S53" s="274">
        <v>1</v>
      </c>
      <c r="T53" s="280"/>
      <c r="U53" s="280"/>
    </row>
    <row r="54" spans="5:21" x14ac:dyDescent="0.25">
      <c r="F54" s="295" t="s">
        <v>1046</v>
      </c>
      <c r="G54" s="109" t="s">
        <v>141</v>
      </c>
      <c r="J54" s="274">
        <v>-1</v>
      </c>
      <c r="K54" s="274">
        <v>-1</v>
      </c>
      <c r="L54" s="274">
        <v>-1</v>
      </c>
      <c r="M54" s="274">
        <v>-1</v>
      </c>
      <c r="N54" s="274">
        <v>-1</v>
      </c>
      <c r="O54" s="274">
        <v>-1</v>
      </c>
      <c r="P54" s="274">
        <v>-1</v>
      </c>
      <c r="Q54" s="274">
        <v>-1</v>
      </c>
      <c r="R54" s="274">
        <v>-1</v>
      </c>
      <c r="S54" s="274">
        <v>-1</v>
      </c>
      <c r="T54" s="280"/>
      <c r="U54" s="280"/>
    </row>
    <row r="55" spans="5:21" x14ac:dyDescent="0.25">
      <c r="F55" s="295" t="s">
        <v>1047</v>
      </c>
      <c r="G55" s="109" t="s">
        <v>141</v>
      </c>
      <c r="J55" s="274">
        <v>-1</v>
      </c>
      <c r="K55" s="274">
        <v>-1</v>
      </c>
      <c r="L55" s="274">
        <v>-1</v>
      </c>
      <c r="M55" s="274">
        <v>-1</v>
      </c>
      <c r="N55" s="274">
        <v>-1</v>
      </c>
      <c r="O55" s="274">
        <v>-1</v>
      </c>
      <c r="P55" s="274">
        <v>-1</v>
      </c>
      <c r="Q55" s="274">
        <v>-1</v>
      </c>
      <c r="R55" s="274">
        <v>-1</v>
      </c>
      <c r="S55" s="274">
        <v>0</v>
      </c>
      <c r="T55" s="280"/>
      <c r="U55" s="280"/>
    </row>
    <row r="56" spans="5:21" x14ac:dyDescent="0.25">
      <c r="F56" s="295" t="s">
        <v>1048</v>
      </c>
      <c r="G56" s="109" t="s">
        <v>141</v>
      </c>
      <c r="J56" s="274">
        <v>-1</v>
      </c>
      <c r="K56" s="274">
        <v>-1</v>
      </c>
      <c r="L56" s="274">
        <v>-1</v>
      </c>
      <c r="M56" s="274">
        <v>-1</v>
      </c>
      <c r="N56" s="274">
        <v>-1</v>
      </c>
      <c r="O56" s="274">
        <v>-1</v>
      </c>
      <c r="P56" s="274">
        <v>-1</v>
      </c>
      <c r="Q56" s="274">
        <v>-1</v>
      </c>
      <c r="R56" s="274">
        <v>-1</v>
      </c>
      <c r="S56" s="274">
        <v>-1</v>
      </c>
      <c r="T56" s="280"/>
      <c r="U56" s="280"/>
    </row>
    <row r="57" spans="5:21" x14ac:dyDescent="0.25">
      <c r="F57" s="295" t="s">
        <v>1049</v>
      </c>
      <c r="G57" s="109" t="s">
        <v>141</v>
      </c>
      <c r="J57" s="274">
        <v>-1</v>
      </c>
      <c r="K57" s="274">
        <v>-1</v>
      </c>
      <c r="L57" s="274">
        <v>-1</v>
      </c>
      <c r="M57" s="274">
        <v>-1</v>
      </c>
      <c r="N57" s="274">
        <v>-1</v>
      </c>
      <c r="O57" s="274">
        <v>-1</v>
      </c>
      <c r="P57" s="274">
        <v>-1</v>
      </c>
      <c r="Q57" s="274">
        <v>-1</v>
      </c>
      <c r="R57" s="274">
        <v>-1</v>
      </c>
      <c r="S57" s="274">
        <v>-1</v>
      </c>
      <c r="T57" s="280"/>
      <c r="U57" s="280"/>
    </row>
    <row r="58" spans="5:21" x14ac:dyDescent="0.25">
      <c r="F58" s="295" t="s">
        <v>1050</v>
      </c>
      <c r="G58" s="109" t="s">
        <v>141</v>
      </c>
      <c r="J58" s="274">
        <v>-1</v>
      </c>
      <c r="K58" s="274">
        <v>-1</v>
      </c>
      <c r="L58" s="274">
        <v>-1</v>
      </c>
      <c r="M58" s="274">
        <v>-1</v>
      </c>
      <c r="N58" s="274">
        <v>-1</v>
      </c>
      <c r="O58" s="274">
        <v>-1</v>
      </c>
      <c r="P58" s="274">
        <v>-1</v>
      </c>
      <c r="Q58" s="274">
        <v>-1</v>
      </c>
      <c r="R58" s="274">
        <v>-1</v>
      </c>
      <c r="S58" s="274">
        <v>0</v>
      </c>
      <c r="T58" s="280"/>
      <c r="U58" s="280"/>
    </row>
    <row r="59" spans="5:21" x14ac:dyDescent="0.25">
      <c r="F59" s="295" t="s">
        <v>1051</v>
      </c>
      <c r="G59" s="109" t="s">
        <v>141</v>
      </c>
      <c r="J59" s="274">
        <v>-1</v>
      </c>
      <c r="K59" s="274">
        <v>-1</v>
      </c>
      <c r="L59" s="274">
        <v>-1</v>
      </c>
      <c r="M59" s="274">
        <v>-1</v>
      </c>
      <c r="N59" s="274">
        <v>-1</v>
      </c>
      <c r="O59" s="274">
        <v>-1</v>
      </c>
      <c r="P59" s="274">
        <v>-1</v>
      </c>
      <c r="Q59" s="274">
        <v>-1</v>
      </c>
      <c r="R59" s="274">
        <v>-1</v>
      </c>
      <c r="S59" s="274">
        <v>0</v>
      </c>
      <c r="T59" s="280"/>
      <c r="U59" s="280"/>
    </row>
    <row r="60" spans="5:21" x14ac:dyDescent="0.25">
      <c r="F60" s="295" t="s">
        <v>1052</v>
      </c>
      <c r="G60" s="109" t="s">
        <v>141</v>
      </c>
      <c r="J60" s="274">
        <v>-1</v>
      </c>
      <c r="K60" s="274">
        <v>-1</v>
      </c>
      <c r="L60" s="274">
        <v>-1</v>
      </c>
      <c r="M60" s="274">
        <v>-1</v>
      </c>
      <c r="N60" s="274">
        <v>-1</v>
      </c>
      <c r="O60" s="274">
        <v>-1</v>
      </c>
      <c r="P60" s="274">
        <v>-1</v>
      </c>
      <c r="Q60" s="274">
        <v>-1</v>
      </c>
      <c r="R60" s="274">
        <v>0</v>
      </c>
      <c r="S60" s="274">
        <v>0</v>
      </c>
      <c r="T60" s="280"/>
      <c r="U60" s="280"/>
    </row>
    <row r="61" spans="5:21" x14ac:dyDescent="0.25">
      <c r="F61" s="93" t="s">
        <v>1053</v>
      </c>
      <c r="G61" s="36" t="s">
        <v>141</v>
      </c>
      <c r="H61" s="93"/>
      <c r="I61" s="93"/>
      <c r="J61" s="275">
        <v>-1</v>
      </c>
      <c r="K61" s="275">
        <v>-1</v>
      </c>
      <c r="L61" s="275">
        <v>-1</v>
      </c>
      <c r="M61" s="275">
        <v>-1</v>
      </c>
      <c r="N61" s="275">
        <v>-1</v>
      </c>
      <c r="O61" s="275">
        <v>-1</v>
      </c>
      <c r="P61" s="275">
        <v>-1</v>
      </c>
      <c r="Q61" s="275">
        <v>-1</v>
      </c>
      <c r="R61" s="275">
        <v>0</v>
      </c>
      <c r="S61" s="275">
        <v>0</v>
      </c>
      <c r="T61" s="241"/>
      <c r="U61" s="241"/>
    </row>
    <row r="62" spans="5:21" x14ac:dyDescent="0.25">
      <c r="G62" s="108"/>
      <c r="J62" s="253"/>
      <c r="K62" s="253"/>
      <c r="L62" s="253"/>
      <c r="M62" s="253"/>
      <c r="N62" s="253"/>
      <c r="O62" s="253"/>
      <c r="P62" s="253"/>
      <c r="Q62" s="253"/>
      <c r="R62" s="253"/>
      <c r="S62" s="253"/>
      <c r="T62" s="253"/>
      <c r="U62" s="253"/>
    </row>
    <row r="63" spans="5:21" x14ac:dyDescent="0.25">
      <c r="E63" s="96" t="s">
        <v>544</v>
      </c>
      <c r="G63" s="108"/>
      <c r="J63" s="253"/>
      <c r="K63" s="253"/>
      <c r="L63" s="253"/>
      <c r="M63" s="253"/>
      <c r="N63" s="253"/>
      <c r="O63" s="253"/>
      <c r="P63" s="253"/>
      <c r="Q63" s="253"/>
      <c r="R63" s="253"/>
      <c r="S63" s="253"/>
      <c r="T63" s="253"/>
      <c r="U63" s="253"/>
    </row>
    <row r="64" spans="5:21" x14ac:dyDescent="0.25">
      <c r="E64" s="82" t="s">
        <v>397</v>
      </c>
      <c r="G64" s="108"/>
      <c r="J64" s="253"/>
      <c r="K64" s="253"/>
      <c r="L64" s="253"/>
      <c r="M64" s="253"/>
      <c r="N64" s="253"/>
      <c r="O64" s="253"/>
      <c r="P64" s="253"/>
      <c r="Q64" s="253"/>
      <c r="R64" s="253"/>
      <c r="S64" s="253"/>
      <c r="T64" s="253"/>
      <c r="U64" s="253"/>
    </row>
    <row r="65" spans="6:23" x14ac:dyDescent="0.25">
      <c r="F65" s="91" t="s">
        <v>1038</v>
      </c>
      <c r="G65" s="40" t="s">
        <v>141</v>
      </c>
      <c r="H65" s="91"/>
      <c r="I65" s="91"/>
      <c r="J65" s="268">
        <f t="shared" ref="J65:S80" si="5">IF(J$38 = "", J46, J46 * J$38)</f>
        <v>1</v>
      </c>
      <c r="K65" s="268">
        <f t="shared" si="5"/>
        <v>1</v>
      </c>
      <c r="L65" s="268">
        <f t="shared" si="5"/>
        <v>1</v>
      </c>
      <c r="M65" s="268">
        <f t="shared" si="5"/>
        <v>1</v>
      </c>
      <c r="N65" s="268">
        <f t="shared" si="5"/>
        <v>1</v>
      </c>
      <c r="O65" s="268">
        <f t="shared" si="5"/>
        <v>1</v>
      </c>
      <c r="P65" s="268">
        <f t="shared" si="5"/>
        <v>0</v>
      </c>
      <c r="Q65" s="268">
        <f t="shared" si="5"/>
        <v>1</v>
      </c>
      <c r="R65" s="268">
        <f t="shared" si="5"/>
        <v>1</v>
      </c>
      <c r="S65" s="268">
        <f t="shared" si="5"/>
        <v>1</v>
      </c>
      <c r="T65" s="239"/>
      <c r="U65" s="239"/>
      <c r="W65" s="88"/>
    </row>
    <row r="66" spans="6:23" x14ac:dyDescent="0.25">
      <c r="F66" s="295" t="s">
        <v>1039</v>
      </c>
      <c r="G66" s="109" t="s">
        <v>141</v>
      </c>
      <c r="J66" s="276">
        <f t="shared" si="5"/>
        <v>1</v>
      </c>
      <c r="K66" s="276">
        <f t="shared" si="5"/>
        <v>1</v>
      </c>
      <c r="L66" s="276">
        <f t="shared" si="5"/>
        <v>1</v>
      </c>
      <c r="M66" s="276">
        <f t="shared" si="5"/>
        <v>1</v>
      </c>
      <c r="N66" s="276">
        <f t="shared" si="5"/>
        <v>1</v>
      </c>
      <c r="O66" s="276">
        <f t="shared" si="5"/>
        <v>1</v>
      </c>
      <c r="P66" s="276">
        <f t="shared" si="5"/>
        <v>0</v>
      </c>
      <c r="Q66" s="276">
        <f t="shared" si="5"/>
        <v>1</v>
      </c>
      <c r="R66" s="276">
        <f t="shared" si="5"/>
        <v>1</v>
      </c>
      <c r="S66" s="276">
        <f t="shared" si="5"/>
        <v>1</v>
      </c>
      <c r="T66" s="280"/>
      <c r="U66" s="280"/>
    </row>
    <row r="67" spans="6:23" x14ac:dyDescent="0.25">
      <c r="F67" s="295" t="s">
        <v>1040</v>
      </c>
      <c r="G67" s="109" t="s">
        <v>141</v>
      </c>
      <c r="J67" s="276">
        <f t="shared" si="5"/>
        <v>1</v>
      </c>
      <c r="K67" s="276">
        <f t="shared" si="5"/>
        <v>1</v>
      </c>
      <c r="L67" s="276">
        <f t="shared" si="5"/>
        <v>1</v>
      </c>
      <c r="M67" s="276">
        <f t="shared" si="5"/>
        <v>1</v>
      </c>
      <c r="N67" s="276">
        <f t="shared" si="5"/>
        <v>1</v>
      </c>
      <c r="O67" s="276">
        <f t="shared" si="5"/>
        <v>1</v>
      </c>
      <c r="P67" s="276">
        <f t="shared" si="5"/>
        <v>0</v>
      </c>
      <c r="Q67" s="276">
        <f t="shared" si="5"/>
        <v>1</v>
      </c>
      <c r="R67" s="276">
        <f t="shared" si="5"/>
        <v>1</v>
      </c>
      <c r="S67" s="276">
        <f t="shared" si="5"/>
        <v>1</v>
      </c>
      <c r="T67" s="280"/>
      <c r="U67" s="280"/>
    </row>
    <row r="68" spans="6:23" x14ac:dyDescent="0.25">
      <c r="F68" s="295" t="s">
        <v>1041</v>
      </c>
      <c r="G68" s="109" t="s">
        <v>141</v>
      </c>
      <c r="J68" s="276">
        <f t="shared" si="5"/>
        <v>1</v>
      </c>
      <c r="K68" s="276">
        <f t="shared" si="5"/>
        <v>1</v>
      </c>
      <c r="L68" s="276">
        <f t="shared" si="5"/>
        <v>1</v>
      </c>
      <c r="M68" s="276">
        <f t="shared" si="5"/>
        <v>1</v>
      </c>
      <c r="N68" s="276">
        <f t="shared" si="5"/>
        <v>1</v>
      </c>
      <c r="O68" s="276">
        <f t="shared" si="5"/>
        <v>1</v>
      </c>
      <c r="P68" s="276">
        <f t="shared" si="5"/>
        <v>0</v>
      </c>
      <c r="Q68" s="276">
        <f t="shared" si="5"/>
        <v>1</v>
      </c>
      <c r="R68" s="276">
        <f t="shared" si="5"/>
        <v>1</v>
      </c>
      <c r="S68" s="276">
        <f t="shared" si="5"/>
        <v>1</v>
      </c>
      <c r="T68" s="280"/>
      <c r="U68" s="280"/>
    </row>
    <row r="69" spans="6:23" x14ac:dyDescent="0.25">
      <c r="F69" s="295" t="s">
        <v>1042</v>
      </c>
      <c r="G69" s="109" t="s">
        <v>141</v>
      </c>
      <c r="J69" s="276">
        <f t="shared" si="5"/>
        <v>1</v>
      </c>
      <c r="K69" s="276">
        <f t="shared" si="5"/>
        <v>1</v>
      </c>
      <c r="L69" s="276">
        <f t="shared" si="5"/>
        <v>1</v>
      </c>
      <c r="M69" s="276">
        <f t="shared" si="5"/>
        <v>1</v>
      </c>
      <c r="N69" s="276">
        <f t="shared" si="5"/>
        <v>1</v>
      </c>
      <c r="O69" s="276">
        <f t="shared" si="5"/>
        <v>1</v>
      </c>
      <c r="P69" s="276">
        <f t="shared" si="5"/>
        <v>0</v>
      </c>
      <c r="Q69" s="276">
        <f t="shared" si="5"/>
        <v>1</v>
      </c>
      <c r="R69" s="276">
        <f t="shared" si="5"/>
        <v>1</v>
      </c>
      <c r="S69" s="276">
        <f t="shared" si="5"/>
        <v>1</v>
      </c>
      <c r="T69" s="280"/>
      <c r="U69" s="280"/>
    </row>
    <row r="70" spans="6:23" x14ac:dyDescent="0.25">
      <c r="F70" s="295" t="s">
        <v>1043</v>
      </c>
      <c r="G70" s="109" t="s">
        <v>141</v>
      </c>
      <c r="J70" s="276">
        <f t="shared" si="5"/>
        <v>1</v>
      </c>
      <c r="K70" s="276">
        <f t="shared" si="5"/>
        <v>1</v>
      </c>
      <c r="L70" s="276">
        <f t="shared" si="5"/>
        <v>1</v>
      </c>
      <c r="M70" s="276">
        <f t="shared" si="5"/>
        <v>1</v>
      </c>
      <c r="N70" s="276">
        <f t="shared" si="5"/>
        <v>1</v>
      </c>
      <c r="O70" s="276">
        <f t="shared" si="5"/>
        <v>1</v>
      </c>
      <c r="P70" s="276">
        <f t="shared" si="5"/>
        <v>0</v>
      </c>
      <c r="Q70" s="276">
        <f t="shared" si="5"/>
        <v>1</v>
      </c>
      <c r="R70" s="276">
        <f t="shared" si="5"/>
        <v>1</v>
      </c>
      <c r="S70" s="276">
        <f t="shared" si="5"/>
        <v>0</v>
      </c>
      <c r="T70" s="280"/>
      <c r="U70" s="280"/>
    </row>
    <row r="71" spans="6:23" x14ac:dyDescent="0.25">
      <c r="F71" s="295" t="s">
        <v>1044</v>
      </c>
      <c r="G71" s="109" t="s">
        <v>141</v>
      </c>
      <c r="J71" s="276">
        <f t="shared" si="5"/>
        <v>1</v>
      </c>
      <c r="K71" s="276">
        <f t="shared" si="5"/>
        <v>1</v>
      </c>
      <c r="L71" s="276">
        <f t="shared" si="5"/>
        <v>1</v>
      </c>
      <c r="M71" s="276">
        <f t="shared" si="5"/>
        <v>1</v>
      </c>
      <c r="N71" s="276">
        <f t="shared" si="5"/>
        <v>1</v>
      </c>
      <c r="O71" s="276">
        <f t="shared" si="5"/>
        <v>1</v>
      </c>
      <c r="P71" s="276">
        <f t="shared" si="5"/>
        <v>0</v>
      </c>
      <c r="Q71" s="276">
        <f t="shared" si="5"/>
        <v>1</v>
      </c>
      <c r="R71" s="276">
        <f t="shared" si="5"/>
        <v>0</v>
      </c>
      <c r="S71" s="276">
        <f t="shared" si="5"/>
        <v>0</v>
      </c>
      <c r="T71" s="280"/>
      <c r="U71" s="280"/>
    </row>
    <row r="72" spans="6:23" x14ac:dyDescent="0.25">
      <c r="F72" s="295" t="s">
        <v>1045</v>
      </c>
      <c r="G72" s="109" t="s">
        <v>141</v>
      </c>
      <c r="J72" s="276">
        <f t="shared" si="5"/>
        <v>1</v>
      </c>
      <c r="K72" s="276">
        <f t="shared" si="5"/>
        <v>1</v>
      </c>
      <c r="L72" s="276">
        <f t="shared" si="5"/>
        <v>1</v>
      </c>
      <c r="M72" s="276">
        <f t="shared" si="5"/>
        <v>1</v>
      </c>
      <c r="N72" s="276">
        <f t="shared" si="5"/>
        <v>1</v>
      </c>
      <c r="O72" s="276">
        <f t="shared" si="5"/>
        <v>1</v>
      </c>
      <c r="P72" s="276">
        <f t="shared" si="5"/>
        <v>0</v>
      </c>
      <c r="Q72" s="276">
        <f t="shared" si="5"/>
        <v>1</v>
      </c>
      <c r="R72" s="276">
        <f t="shared" si="5"/>
        <v>1</v>
      </c>
      <c r="S72" s="276">
        <f t="shared" si="5"/>
        <v>1</v>
      </c>
      <c r="T72" s="280"/>
      <c r="U72" s="280"/>
    </row>
    <row r="73" spans="6:23" x14ac:dyDescent="0.25">
      <c r="F73" s="295" t="s">
        <v>1046</v>
      </c>
      <c r="G73" s="109" t="s">
        <v>141</v>
      </c>
      <c r="J73" s="276">
        <f t="shared" si="5"/>
        <v>-1</v>
      </c>
      <c r="K73" s="276">
        <f t="shared" si="5"/>
        <v>-1</v>
      </c>
      <c r="L73" s="276">
        <f t="shared" si="5"/>
        <v>-1</v>
      </c>
      <c r="M73" s="276">
        <f t="shared" si="5"/>
        <v>-1</v>
      </c>
      <c r="N73" s="276">
        <f t="shared" si="5"/>
        <v>-1</v>
      </c>
      <c r="O73" s="276">
        <f t="shared" si="5"/>
        <v>-1</v>
      </c>
      <c r="P73" s="276">
        <f t="shared" si="5"/>
        <v>0</v>
      </c>
      <c r="Q73" s="276">
        <f t="shared" si="5"/>
        <v>-1</v>
      </c>
      <c r="R73" s="276">
        <f t="shared" si="5"/>
        <v>-1</v>
      </c>
      <c r="S73" s="276">
        <f t="shared" si="5"/>
        <v>-1</v>
      </c>
      <c r="T73" s="280"/>
      <c r="U73" s="280"/>
    </row>
    <row r="74" spans="6:23" x14ac:dyDescent="0.25">
      <c r="F74" s="295" t="s">
        <v>1047</v>
      </c>
      <c r="G74" s="109" t="s">
        <v>141</v>
      </c>
      <c r="J74" s="276">
        <f t="shared" si="5"/>
        <v>-1</v>
      </c>
      <c r="K74" s="276">
        <f t="shared" si="5"/>
        <v>-1</v>
      </c>
      <c r="L74" s="276">
        <f t="shared" si="5"/>
        <v>-1</v>
      </c>
      <c r="M74" s="276">
        <f t="shared" si="5"/>
        <v>-1</v>
      </c>
      <c r="N74" s="276">
        <f t="shared" si="5"/>
        <v>-1</v>
      </c>
      <c r="O74" s="276">
        <f t="shared" si="5"/>
        <v>-1</v>
      </c>
      <c r="P74" s="276">
        <f t="shared" si="5"/>
        <v>0</v>
      </c>
      <c r="Q74" s="276">
        <f t="shared" si="5"/>
        <v>-1</v>
      </c>
      <c r="R74" s="276">
        <f t="shared" si="5"/>
        <v>-1</v>
      </c>
      <c r="S74" s="276">
        <f t="shared" si="5"/>
        <v>0</v>
      </c>
      <c r="T74" s="280"/>
      <c r="U74" s="280"/>
    </row>
    <row r="75" spans="6:23" x14ac:dyDescent="0.25">
      <c r="F75" s="295" t="s">
        <v>1048</v>
      </c>
      <c r="G75" s="109" t="s">
        <v>141</v>
      </c>
      <c r="J75" s="276">
        <f t="shared" si="5"/>
        <v>-1</v>
      </c>
      <c r="K75" s="276">
        <f t="shared" si="5"/>
        <v>-1</v>
      </c>
      <c r="L75" s="276">
        <f t="shared" si="5"/>
        <v>-1</v>
      </c>
      <c r="M75" s="276">
        <f t="shared" si="5"/>
        <v>-1</v>
      </c>
      <c r="N75" s="276">
        <f t="shared" si="5"/>
        <v>-1</v>
      </c>
      <c r="O75" s="276">
        <f t="shared" si="5"/>
        <v>-1</v>
      </c>
      <c r="P75" s="276">
        <f t="shared" si="5"/>
        <v>0</v>
      </c>
      <c r="Q75" s="276">
        <f t="shared" si="5"/>
        <v>-1</v>
      </c>
      <c r="R75" s="276">
        <f t="shared" si="5"/>
        <v>-1</v>
      </c>
      <c r="S75" s="276">
        <f t="shared" si="5"/>
        <v>-1</v>
      </c>
      <c r="T75" s="280"/>
      <c r="U75" s="280"/>
    </row>
    <row r="76" spans="6:23" x14ac:dyDescent="0.25">
      <c r="F76" s="295" t="s">
        <v>1049</v>
      </c>
      <c r="G76" s="109" t="s">
        <v>141</v>
      </c>
      <c r="J76" s="276">
        <f t="shared" si="5"/>
        <v>-1</v>
      </c>
      <c r="K76" s="276">
        <f t="shared" si="5"/>
        <v>-1</v>
      </c>
      <c r="L76" s="276">
        <f t="shared" si="5"/>
        <v>-1</v>
      </c>
      <c r="M76" s="276">
        <f t="shared" si="5"/>
        <v>-1</v>
      </c>
      <c r="N76" s="276">
        <f t="shared" si="5"/>
        <v>-1</v>
      </c>
      <c r="O76" s="276">
        <f t="shared" si="5"/>
        <v>-1</v>
      </c>
      <c r="P76" s="276">
        <f t="shared" si="5"/>
        <v>0</v>
      </c>
      <c r="Q76" s="276">
        <f t="shared" si="5"/>
        <v>-1</v>
      </c>
      <c r="R76" s="276">
        <f t="shared" si="5"/>
        <v>-1</v>
      </c>
      <c r="S76" s="276">
        <f t="shared" si="5"/>
        <v>-1</v>
      </c>
      <c r="T76" s="280"/>
      <c r="U76" s="280"/>
    </row>
    <row r="77" spans="6:23" x14ac:dyDescent="0.25">
      <c r="F77" s="295" t="s">
        <v>1050</v>
      </c>
      <c r="G77" s="109" t="s">
        <v>141</v>
      </c>
      <c r="J77" s="276">
        <f t="shared" si="5"/>
        <v>-1</v>
      </c>
      <c r="K77" s="276">
        <f t="shared" si="5"/>
        <v>-1</v>
      </c>
      <c r="L77" s="276">
        <f t="shared" si="5"/>
        <v>-1</v>
      </c>
      <c r="M77" s="276">
        <f t="shared" si="5"/>
        <v>-1</v>
      </c>
      <c r="N77" s="276">
        <f t="shared" si="5"/>
        <v>-1</v>
      </c>
      <c r="O77" s="276">
        <f t="shared" si="5"/>
        <v>-1</v>
      </c>
      <c r="P77" s="276">
        <f t="shared" si="5"/>
        <v>0</v>
      </c>
      <c r="Q77" s="276">
        <f t="shared" si="5"/>
        <v>-1</v>
      </c>
      <c r="R77" s="276">
        <f t="shared" si="5"/>
        <v>-1</v>
      </c>
      <c r="S77" s="276">
        <f t="shared" si="5"/>
        <v>0</v>
      </c>
      <c r="T77" s="280"/>
      <c r="U77" s="280"/>
    </row>
    <row r="78" spans="6:23" x14ac:dyDescent="0.25">
      <c r="F78" s="295" t="s">
        <v>1051</v>
      </c>
      <c r="G78" s="109" t="s">
        <v>141</v>
      </c>
      <c r="J78" s="276">
        <f t="shared" si="5"/>
        <v>-1</v>
      </c>
      <c r="K78" s="276">
        <f t="shared" si="5"/>
        <v>-1</v>
      </c>
      <c r="L78" s="276">
        <f t="shared" si="5"/>
        <v>-1</v>
      </c>
      <c r="M78" s="276">
        <f t="shared" si="5"/>
        <v>-1</v>
      </c>
      <c r="N78" s="276">
        <f t="shared" si="5"/>
        <v>-1</v>
      </c>
      <c r="O78" s="276">
        <f t="shared" si="5"/>
        <v>-1</v>
      </c>
      <c r="P78" s="276">
        <f t="shared" si="5"/>
        <v>0</v>
      </c>
      <c r="Q78" s="276">
        <f t="shared" si="5"/>
        <v>-1</v>
      </c>
      <c r="R78" s="276">
        <f t="shared" si="5"/>
        <v>-1</v>
      </c>
      <c r="S78" s="276">
        <f t="shared" si="5"/>
        <v>0</v>
      </c>
      <c r="T78" s="280"/>
      <c r="U78" s="280"/>
    </row>
    <row r="79" spans="6:23" x14ac:dyDescent="0.25">
      <c r="F79" s="295" t="s">
        <v>1052</v>
      </c>
      <c r="G79" s="109" t="s">
        <v>141</v>
      </c>
      <c r="J79" s="276">
        <f t="shared" si="5"/>
        <v>-1</v>
      </c>
      <c r="K79" s="276">
        <f t="shared" si="5"/>
        <v>-1</v>
      </c>
      <c r="L79" s="276">
        <f t="shared" si="5"/>
        <v>-1</v>
      </c>
      <c r="M79" s="276">
        <f t="shared" si="5"/>
        <v>-1</v>
      </c>
      <c r="N79" s="276">
        <f t="shared" si="5"/>
        <v>-1</v>
      </c>
      <c r="O79" s="276">
        <f t="shared" si="5"/>
        <v>-1</v>
      </c>
      <c r="P79" s="276">
        <f t="shared" si="5"/>
        <v>0</v>
      </c>
      <c r="Q79" s="276">
        <f t="shared" si="5"/>
        <v>-1</v>
      </c>
      <c r="R79" s="276">
        <f t="shared" si="5"/>
        <v>0</v>
      </c>
      <c r="S79" s="276">
        <f t="shared" si="5"/>
        <v>0</v>
      </c>
      <c r="T79" s="280"/>
      <c r="U79" s="280"/>
    </row>
    <row r="80" spans="6:23" x14ac:dyDescent="0.25">
      <c r="F80" s="93" t="s">
        <v>1053</v>
      </c>
      <c r="G80" s="36" t="s">
        <v>141</v>
      </c>
      <c r="H80" s="93"/>
      <c r="I80" s="93"/>
      <c r="J80" s="269">
        <f t="shared" si="5"/>
        <v>-1</v>
      </c>
      <c r="K80" s="269">
        <f t="shared" si="5"/>
        <v>-1</v>
      </c>
      <c r="L80" s="269">
        <f t="shared" si="5"/>
        <v>-1</v>
      </c>
      <c r="M80" s="269">
        <f t="shared" si="5"/>
        <v>-1</v>
      </c>
      <c r="N80" s="269">
        <f t="shared" si="5"/>
        <v>-1</v>
      </c>
      <c r="O80" s="269">
        <f t="shared" si="5"/>
        <v>-1</v>
      </c>
      <c r="P80" s="269">
        <f t="shared" si="5"/>
        <v>0</v>
      </c>
      <c r="Q80" s="269">
        <f t="shared" si="5"/>
        <v>-1</v>
      </c>
      <c r="R80" s="269">
        <f t="shared" si="5"/>
        <v>0</v>
      </c>
      <c r="S80" s="269">
        <f t="shared" si="5"/>
        <v>0</v>
      </c>
      <c r="T80" s="241"/>
      <c r="U80" s="241"/>
    </row>
    <row r="81" spans="5:23" x14ac:dyDescent="0.25">
      <c r="G81" s="108"/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  <c r="U81" s="253"/>
    </row>
    <row r="82" spans="5:23" x14ac:dyDescent="0.25">
      <c r="E82" s="96" t="s">
        <v>402</v>
      </c>
      <c r="G82" s="108"/>
      <c r="I82" s="295" t="s">
        <v>431</v>
      </c>
      <c r="J82" s="253"/>
      <c r="K82" s="253"/>
      <c r="L82" s="253"/>
      <c r="M82" s="253"/>
      <c r="N82" s="253"/>
      <c r="O82" s="253"/>
      <c r="P82" s="253"/>
      <c r="Q82" s="253"/>
      <c r="R82" s="253"/>
      <c r="S82" s="253"/>
      <c r="T82" s="253"/>
      <c r="U82" s="253"/>
      <c r="W82" s="88" t="s">
        <v>894</v>
      </c>
    </row>
    <row r="83" spans="5:23" x14ac:dyDescent="0.25">
      <c r="E83" s="82" t="s">
        <v>319</v>
      </c>
      <c r="G83" s="108"/>
      <c r="J83" s="253"/>
      <c r="K83" s="253"/>
      <c r="L83" s="253"/>
      <c r="M83" s="253"/>
      <c r="N83" s="253"/>
      <c r="O83" s="253"/>
      <c r="P83" s="253"/>
      <c r="Q83" s="253"/>
      <c r="R83" s="253"/>
      <c r="S83" s="253"/>
      <c r="T83" s="253"/>
      <c r="U83" s="253"/>
    </row>
    <row r="84" spans="5:23" x14ac:dyDescent="0.25">
      <c r="F84" s="91" t="s">
        <v>1038</v>
      </c>
      <c r="G84" s="40" t="s">
        <v>132</v>
      </c>
      <c r="H84" s="91"/>
      <c r="I84" s="91"/>
      <c r="J84" s="273">
        <f t="array" ref="J84:S99">TRANSPOSE('Fixed inputs'!J73:Y82)</f>
        <v>1</v>
      </c>
      <c r="K84" s="273">
        <v>1</v>
      </c>
      <c r="L84" s="273">
        <v>1</v>
      </c>
      <c r="M84" s="273">
        <v>1</v>
      </c>
      <c r="N84" s="273">
        <v>1</v>
      </c>
      <c r="O84" s="273">
        <v>1</v>
      </c>
      <c r="P84" s="273">
        <v>1</v>
      </c>
      <c r="Q84" s="273">
        <v>1</v>
      </c>
      <c r="R84" s="273">
        <v>1</v>
      </c>
      <c r="S84" s="273">
        <v>1</v>
      </c>
      <c r="T84" s="239"/>
      <c r="U84" s="239"/>
    </row>
    <row r="85" spans="5:23" x14ac:dyDescent="0.25">
      <c r="F85" s="295" t="s">
        <v>1039</v>
      </c>
      <c r="G85" s="109" t="s">
        <v>132</v>
      </c>
      <c r="J85" s="274">
        <v>1</v>
      </c>
      <c r="K85" s="274">
        <v>1</v>
      </c>
      <c r="L85" s="274">
        <v>1</v>
      </c>
      <c r="M85" s="274">
        <v>1</v>
      </c>
      <c r="N85" s="274">
        <v>1</v>
      </c>
      <c r="O85" s="274">
        <v>1</v>
      </c>
      <c r="P85" s="274">
        <v>1</v>
      </c>
      <c r="Q85" s="274">
        <v>1</v>
      </c>
      <c r="R85" s="274">
        <v>1</v>
      </c>
      <c r="S85" s="274">
        <v>1</v>
      </c>
      <c r="T85" s="280"/>
      <c r="U85" s="280"/>
    </row>
    <row r="86" spans="5:23" x14ac:dyDescent="0.25">
      <c r="F86" s="295" t="s">
        <v>1040</v>
      </c>
      <c r="G86" s="109" t="s">
        <v>132</v>
      </c>
      <c r="J86" s="274">
        <v>1</v>
      </c>
      <c r="K86" s="274">
        <v>1</v>
      </c>
      <c r="L86" s="274">
        <v>1</v>
      </c>
      <c r="M86" s="274">
        <v>1</v>
      </c>
      <c r="N86" s="274">
        <v>1</v>
      </c>
      <c r="O86" s="274">
        <v>1</v>
      </c>
      <c r="P86" s="274">
        <v>1</v>
      </c>
      <c r="Q86" s="274">
        <v>1</v>
      </c>
      <c r="R86" s="274">
        <v>1</v>
      </c>
      <c r="S86" s="274">
        <v>1</v>
      </c>
      <c r="T86" s="280"/>
      <c r="U86" s="280"/>
    </row>
    <row r="87" spans="5:23" x14ac:dyDescent="0.25">
      <c r="F87" s="295" t="s">
        <v>1041</v>
      </c>
      <c r="G87" s="109" t="s">
        <v>132</v>
      </c>
      <c r="J87" s="274">
        <v>1</v>
      </c>
      <c r="K87" s="274">
        <v>1</v>
      </c>
      <c r="L87" s="274">
        <v>1</v>
      </c>
      <c r="M87" s="274">
        <v>1</v>
      </c>
      <c r="N87" s="274">
        <v>1</v>
      </c>
      <c r="O87" s="274">
        <v>1</v>
      </c>
      <c r="P87" s="274">
        <v>1</v>
      </c>
      <c r="Q87" s="274">
        <v>1</v>
      </c>
      <c r="R87" s="274">
        <v>1</v>
      </c>
      <c r="S87" s="274">
        <v>1</v>
      </c>
      <c r="T87" s="280"/>
      <c r="U87" s="280"/>
    </row>
    <row r="88" spans="5:23" x14ac:dyDescent="0.25">
      <c r="F88" s="295" t="s">
        <v>1042</v>
      </c>
      <c r="G88" s="109" t="s">
        <v>132</v>
      </c>
      <c r="J88" s="274">
        <v>1</v>
      </c>
      <c r="K88" s="274">
        <v>1</v>
      </c>
      <c r="L88" s="274">
        <v>1</v>
      </c>
      <c r="M88" s="274">
        <v>1</v>
      </c>
      <c r="N88" s="274">
        <v>1</v>
      </c>
      <c r="O88" s="274">
        <v>1</v>
      </c>
      <c r="P88" s="274">
        <v>1</v>
      </c>
      <c r="Q88" s="274">
        <v>1</v>
      </c>
      <c r="R88" s="274">
        <v>1</v>
      </c>
      <c r="S88" s="274">
        <v>1</v>
      </c>
      <c r="T88" s="280"/>
      <c r="U88" s="280"/>
    </row>
    <row r="89" spans="5:23" x14ac:dyDescent="0.25">
      <c r="F89" s="295" t="s">
        <v>1043</v>
      </c>
      <c r="G89" s="109" t="s">
        <v>132</v>
      </c>
      <c r="J89" s="274">
        <v>1</v>
      </c>
      <c r="K89" s="274">
        <v>1</v>
      </c>
      <c r="L89" s="274">
        <v>1</v>
      </c>
      <c r="M89" s="274">
        <v>1</v>
      </c>
      <c r="N89" s="274">
        <v>1</v>
      </c>
      <c r="O89" s="274">
        <v>1</v>
      </c>
      <c r="P89" s="274">
        <v>1</v>
      </c>
      <c r="Q89" s="274">
        <v>1</v>
      </c>
      <c r="R89" s="274">
        <v>1</v>
      </c>
      <c r="S89" s="274">
        <v>0</v>
      </c>
      <c r="T89" s="280"/>
      <c r="U89" s="280"/>
    </row>
    <row r="90" spans="5:23" x14ac:dyDescent="0.25">
      <c r="F90" s="295" t="s">
        <v>1044</v>
      </c>
      <c r="G90" s="109" t="s">
        <v>132</v>
      </c>
      <c r="J90" s="274">
        <v>1</v>
      </c>
      <c r="K90" s="274">
        <v>1</v>
      </c>
      <c r="L90" s="274">
        <v>1</v>
      </c>
      <c r="M90" s="274">
        <v>1</v>
      </c>
      <c r="N90" s="274">
        <v>1</v>
      </c>
      <c r="O90" s="274">
        <v>1</v>
      </c>
      <c r="P90" s="274">
        <v>1</v>
      </c>
      <c r="Q90" s="274">
        <v>1</v>
      </c>
      <c r="R90" s="274">
        <v>0</v>
      </c>
      <c r="S90" s="274">
        <v>0</v>
      </c>
      <c r="T90" s="280"/>
      <c r="U90" s="280"/>
    </row>
    <row r="91" spans="5:23" x14ac:dyDescent="0.25">
      <c r="F91" s="295" t="s">
        <v>1045</v>
      </c>
      <c r="G91" s="109" t="s">
        <v>132</v>
      </c>
      <c r="J91" s="274">
        <v>1</v>
      </c>
      <c r="K91" s="274">
        <v>1</v>
      </c>
      <c r="L91" s="274">
        <v>1</v>
      </c>
      <c r="M91" s="274">
        <v>1</v>
      </c>
      <c r="N91" s="274">
        <v>1</v>
      </c>
      <c r="O91" s="274">
        <v>1</v>
      </c>
      <c r="P91" s="274">
        <v>1</v>
      </c>
      <c r="Q91" s="274">
        <v>1</v>
      </c>
      <c r="R91" s="274">
        <v>1</v>
      </c>
      <c r="S91" s="274">
        <v>1</v>
      </c>
      <c r="T91" s="280"/>
      <c r="U91" s="280"/>
    </row>
    <row r="92" spans="5:23" x14ac:dyDescent="0.25">
      <c r="F92" s="295" t="s">
        <v>1046</v>
      </c>
      <c r="G92" s="109" t="s">
        <v>132</v>
      </c>
      <c r="J92" s="274">
        <v>-1</v>
      </c>
      <c r="K92" s="274">
        <v>-1</v>
      </c>
      <c r="L92" s="274">
        <v>-1</v>
      </c>
      <c r="M92" s="274">
        <v>-1</v>
      </c>
      <c r="N92" s="274">
        <v>-1</v>
      </c>
      <c r="O92" s="274">
        <v>-1</v>
      </c>
      <c r="P92" s="274">
        <v>-1</v>
      </c>
      <c r="Q92" s="274">
        <v>-1</v>
      </c>
      <c r="R92" s="274">
        <v>-1</v>
      </c>
      <c r="S92" s="274">
        <v>0</v>
      </c>
      <c r="T92" s="280"/>
      <c r="U92" s="280"/>
    </row>
    <row r="93" spans="5:23" x14ac:dyDescent="0.25">
      <c r="F93" s="295" t="s">
        <v>1047</v>
      </c>
      <c r="G93" s="109" t="s">
        <v>132</v>
      </c>
      <c r="J93" s="274">
        <v>-1</v>
      </c>
      <c r="K93" s="274">
        <v>-1</v>
      </c>
      <c r="L93" s="274">
        <v>-1</v>
      </c>
      <c r="M93" s="274">
        <v>-1</v>
      </c>
      <c r="N93" s="274">
        <v>-1</v>
      </c>
      <c r="O93" s="274">
        <v>-1</v>
      </c>
      <c r="P93" s="274">
        <v>-1</v>
      </c>
      <c r="Q93" s="274">
        <v>-1</v>
      </c>
      <c r="R93" s="274">
        <v>0</v>
      </c>
      <c r="S93" s="274">
        <v>0</v>
      </c>
      <c r="T93" s="280"/>
      <c r="U93" s="280"/>
    </row>
    <row r="94" spans="5:23" x14ac:dyDescent="0.25">
      <c r="F94" s="295" t="s">
        <v>1048</v>
      </c>
      <c r="G94" s="109" t="s">
        <v>132</v>
      </c>
      <c r="J94" s="274">
        <v>-1</v>
      </c>
      <c r="K94" s="274">
        <v>-1</v>
      </c>
      <c r="L94" s="274">
        <v>-1</v>
      </c>
      <c r="M94" s="274">
        <v>-1</v>
      </c>
      <c r="N94" s="274">
        <v>-1</v>
      </c>
      <c r="O94" s="274">
        <v>-1</v>
      </c>
      <c r="P94" s="274">
        <v>-1</v>
      </c>
      <c r="Q94" s="274">
        <v>-1</v>
      </c>
      <c r="R94" s="274">
        <v>-1</v>
      </c>
      <c r="S94" s="274">
        <v>0</v>
      </c>
      <c r="T94" s="280"/>
      <c r="U94" s="280"/>
    </row>
    <row r="95" spans="5:23" x14ac:dyDescent="0.25">
      <c r="F95" s="295" t="s">
        <v>1049</v>
      </c>
      <c r="G95" s="109" t="s">
        <v>132</v>
      </c>
      <c r="J95" s="274">
        <v>-1</v>
      </c>
      <c r="K95" s="274">
        <v>-1</v>
      </c>
      <c r="L95" s="274">
        <v>-1</v>
      </c>
      <c r="M95" s="274">
        <v>-1</v>
      </c>
      <c r="N95" s="274">
        <v>-1</v>
      </c>
      <c r="O95" s="274">
        <v>-1</v>
      </c>
      <c r="P95" s="274">
        <v>-1</v>
      </c>
      <c r="Q95" s="274">
        <v>-1</v>
      </c>
      <c r="R95" s="274">
        <v>-1</v>
      </c>
      <c r="S95" s="274">
        <v>0</v>
      </c>
      <c r="T95" s="280"/>
      <c r="U95" s="280"/>
    </row>
    <row r="96" spans="5:23" x14ac:dyDescent="0.25">
      <c r="F96" s="295" t="s">
        <v>1050</v>
      </c>
      <c r="G96" s="109" t="s">
        <v>132</v>
      </c>
      <c r="J96" s="274">
        <v>-1</v>
      </c>
      <c r="K96" s="274">
        <v>-1</v>
      </c>
      <c r="L96" s="274">
        <v>-1</v>
      </c>
      <c r="M96" s="274">
        <v>-1</v>
      </c>
      <c r="N96" s="274">
        <v>-1</v>
      </c>
      <c r="O96" s="274">
        <v>-1</v>
      </c>
      <c r="P96" s="274">
        <v>-1</v>
      </c>
      <c r="Q96" s="274">
        <v>-1</v>
      </c>
      <c r="R96" s="274">
        <v>0</v>
      </c>
      <c r="S96" s="274">
        <v>0</v>
      </c>
      <c r="T96" s="280"/>
      <c r="U96" s="280"/>
    </row>
    <row r="97" spans="5:23" x14ac:dyDescent="0.25">
      <c r="F97" s="295" t="s">
        <v>1051</v>
      </c>
      <c r="G97" s="109" t="s">
        <v>132</v>
      </c>
      <c r="J97" s="274">
        <v>-1</v>
      </c>
      <c r="K97" s="274">
        <v>-1</v>
      </c>
      <c r="L97" s="274">
        <v>-1</v>
      </c>
      <c r="M97" s="274">
        <v>-1</v>
      </c>
      <c r="N97" s="274">
        <v>-1</v>
      </c>
      <c r="O97" s="274">
        <v>-1</v>
      </c>
      <c r="P97" s="274">
        <v>-1</v>
      </c>
      <c r="Q97" s="274">
        <v>-1</v>
      </c>
      <c r="R97" s="274">
        <v>0</v>
      </c>
      <c r="S97" s="274">
        <v>0</v>
      </c>
      <c r="T97" s="280"/>
      <c r="U97" s="280"/>
    </row>
    <row r="98" spans="5:23" x14ac:dyDescent="0.25">
      <c r="F98" s="295" t="s">
        <v>1052</v>
      </c>
      <c r="G98" s="109" t="s">
        <v>132</v>
      </c>
      <c r="J98" s="274">
        <v>-1</v>
      </c>
      <c r="K98" s="274">
        <v>-1</v>
      </c>
      <c r="L98" s="274">
        <v>-1</v>
      </c>
      <c r="M98" s="274">
        <v>-1</v>
      </c>
      <c r="N98" s="274">
        <v>-1</v>
      </c>
      <c r="O98" s="274">
        <v>-1</v>
      </c>
      <c r="P98" s="274">
        <v>-1</v>
      </c>
      <c r="Q98" s="274">
        <v>0</v>
      </c>
      <c r="R98" s="274">
        <v>0</v>
      </c>
      <c r="S98" s="274">
        <v>0</v>
      </c>
      <c r="T98" s="280"/>
      <c r="U98" s="280"/>
    </row>
    <row r="99" spans="5:23" x14ac:dyDescent="0.25">
      <c r="F99" s="93" t="s">
        <v>1053</v>
      </c>
      <c r="G99" s="36" t="s">
        <v>132</v>
      </c>
      <c r="H99" s="93"/>
      <c r="I99" s="93"/>
      <c r="J99" s="275">
        <v>-1</v>
      </c>
      <c r="K99" s="275">
        <v>-1</v>
      </c>
      <c r="L99" s="275">
        <v>-1</v>
      </c>
      <c r="M99" s="275">
        <v>-1</v>
      </c>
      <c r="N99" s="275">
        <v>-1</v>
      </c>
      <c r="O99" s="275">
        <v>-1</v>
      </c>
      <c r="P99" s="275">
        <v>-1</v>
      </c>
      <c r="Q99" s="275">
        <v>0</v>
      </c>
      <c r="R99" s="275">
        <v>0</v>
      </c>
      <c r="S99" s="275">
        <v>0</v>
      </c>
      <c r="T99" s="241"/>
      <c r="U99" s="241"/>
    </row>
    <row r="100" spans="5:23" x14ac:dyDescent="0.25">
      <c r="G100" s="108"/>
      <c r="J100" s="253"/>
      <c r="K100" s="253"/>
      <c r="L100" s="253"/>
      <c r="M100" s="253"/>
      <c r="N100" s="253"/>
      <c r="O100" s="253"/>
      <c r="P100" s="253"/>
      <c r="Q100" s="253"/>
      <c r="R100" s="253"/>
      <c r="S100" s="253"/>
      <c r="T100" s="253"/>
      <c r="U100" s="253"/>
    </row>
    <row r="101" spans="5:23" x14ac:dyDescent="0.25">
      <c r="E101" s="96" t="s">
        <v>545</v>
      </c>
      <c r="G101" s="108"/>
      <c r="I101" s="295" t="s">
        <v>431</v>
      </c>
      <c r="J101" s="253"/>
      <c r="K101" s="253"/>
      <c r="L101" s="253"/>
      <c r="M101" s="253"/>
      <c r="N101" s="253"/>
      <c r="O101" s="253"/>
      <c r="P101" s="253"/>
      <c r="Q101" s="253"/>
      <c r="R101" s="253"/>
      <c r="S101" s="253"/>
      <c r="T101" s="253"/>
      <c r="U101" s="253"/>
      <c r="W101" s="88" t="s">
        <v>894</v>
      </c>
    </row>
    <row r="102" spans="5:23" x14ac:dyDescent="0.25">
      <c r="E102" s="82" t="s">
        <v>319</v>
      </c>
      <c r="G102" s="108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</row>
    <row r="103" spans="5:23" x14ac:dyDescent="0.25">
      <c r="E103" s="82" t="s">
        <v>397</v>
      </c>
      <c r="G103" s="108"/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</row>
    <row r="104" spans="5:23" x14ac:dyDescent="0.25">
      <c r="F104" s="91" t="s">
        <v>1038</v>
      </c>
      <c r="G104" s="40" t="s">
        <v>132</v>
      </c>
      <c r="H104" s="91"/>
      <c r="I104" s="91"/>
      <c r="J104" s="268">
        <f t="shared" ref="J104:S119" si="6">IF(J$38 = "", J84, J84 * J$38)</f>
        <v>1</v>
      </c>
      <c r="K104" s="268">
        <f t="shared" si="6"/>
        <v>1</v>
      </c>
      <c r="L104" s="268">
        <f t="shared" si="6"/>
        <v>1</v>
      </c>
      <c r="M104" s="268">
        <f t="shared" si="6"/>
        <v>1</v>
      </c>
      <c r="N104" s="268">
        <f t="shared" si="6"/>
        <v>1</v>
      </c>
      <c r="O104" s="268">
        <f t="shared" si="6"/>
        <v>1</v>
      </c>
      <c r="P104" s="268">
        <f t="shared" si="6"/>
        <v>0</v>
      </c>
      <c r="Q104" s="268">
        <f t="shared" si="6"/>
        <v>1</v>
      </c>
      <c r="R104" s="268">
        <f t="shared" si="6"/>
        <v>1</v>
      </c>
      <c r="S104" s="268">
        <f t="shared" si="6"/>
        <v>1</v>
      </c>
      <c r="T104" s="239"/>
      <c r="U104" s="239"/>
    </row>
    <row r="105" spans="5:23" x14ac:dyDescent="0.25">
      <c r="F105" s="295" t="s">
        <v>1039</v>
      </c>
      <c r="G105" s="109" t="s">
        <v>132</v>
      </c>
      <c r="J105" s="276">
        <f t="shared" si="6"/>
        <v>1</v>
      </c>
      <c r="K105" s="276">
        <f t="shared" si="6"/>
        <v>1</v>
      </c>
      <c r="L105" s="276">
        <f t="shared" si="6"/>
        <v>1</v>
      </c>
      <c r="M105" s="276">
        <f t="shared" si="6"/>
        <v>1</v>
      </c>
      <c r="N105" s="276">
        <f t="shared" si="6"/>
        <v>1</v>
      </c>
      <c r="O105" s="276">
        <f t="shared" si="6"/>
        <v>1</v>
      </c>
      <c r="P105" s="276">
        <f t="shared" si="6"/>
        <v>0</v>
      </c>
      <c r="Q105" s="276">
        <f t="shared" si="6"/>
        <v>1</v>
      </c>
      <c r="R105" s="276">
        <f t="shared" si="6"/>
        <v>1</v>
      </c>
      <c r="S105" s="276">
        <f t="shared" si="6"/>
        <v>1</v>
      </c>
      <c r="T105" s="280"/>
      <c r="U105" s="280"/>
    </row>
    <row r="106" spans="5:23" x14ac:dyDescent="0.25">
      <c r="F106" s="295" t="s">
        <v>1040</v>
      </c>
      <c r="G106" s="109" t="s">
        <v>132</v>
      </c>
      <c r="J106" s="276">
        <f t="shared" si="6"/>
        <v>1</v>
      </c>
      <c r="K106" s="276">
        <f t="shared" si="6"/>
        <v>1</v>
      </c>
      <c r="L106" s="276">
        <f t="shared" si="6"/>
        <v>1</v>
      </c>
      <c r="M106" s="276">
        <f t="shared" si="6"/>
        <v>1</v>
      </c>
      <c r="N106" s="276">
        <f t="shared" si="6"/>
        <v>1</v>
      </c>
      <c r="O106" s="276">
        <f t="shared" si="6"/>
        <v>1</v>
      </c>
      <c r="P106" s="276">
        <f t="shared" si="6"/>
        <v>0</v>
      </c>
      <c r="Q106" s="276">
        <f t="shared" si="6"/>
        <v>1</v>
      </c>
      <c r="R106" s="276">
        <f t="shared" si="6"/>
        <v>1</v>
      </c>
      <c r="S106" s="276">
        <f t="shared" si="6"/>
        <v>1</v>
      </c>
      <c r="T106" s="280"/>
      <c r="U106" s="280"/>
    </row>
    <row r="107" spans="5:23" x14ac:dyDescent="0.25">
      <c r="F107" s="295" t="s">
        <v>1041</v>
      </c>
      <c r="G107" s="109" t="s">
        <v>132</v>
      </c>
      <c r="J107" s="276">
        <f t="shared" si="6"/>
        <v>1</v>
      </c>
      <c r="K107" s="276">
        <f t="shared" si="6"/>
        <v>1</v>
      </c>
      <c r="L107" s="276">
        <f t="shared" si="6"/>
        <v>1</v>
      </c>
      <c r="M107" s="276">
        <f t="shared" si="6"/>
        <v>1</v>
      </c>
      <c r="N107" s="276">
        <f t="shared" si="6"/>
        <v>1</v>
      </c>
      <c r="O107" s="276">
        <f t="shared" si="6"/>
        <v>1</v>
      </c>
      <c r="P107" s="276">
        <f t="shared" si="6"/>
        <v>0</v>
      </c>
      <c r="Q107" s="276">
        <f t="shared" si="6"/>
        <v>1</v>
      </c>
      <c r="R107" s="276">
        <f t="shared" si="6"/>
        <v>1</v>
      </c>
      <c r="S107" s="276">
        <f t="shared" si="6"/>
        <v>1</v>
      </c>
      <c r="T107" s="280"/>
      <c r="U107" s="280"/>
    </row>
    <row r="108" spans="5:23" x14ac:dyDescent="0.25">
      <c r="F108" s="295" t="s">
        <v>1042</v>
      </c>
      <c r="G108" s="109" t="s">
        <v>132</v>
      </c>
      <c r="J108" s="276">
        <f t="shared" si="6"/>
        <v>1</v>
      </c>
      <c r="K108" s="276">
        <f t="shared" si="6"/>
        <v>1</v>
      </c>
      <c r="L108" s="276">
        <f t="shared" si="6"/>
        <v>1</v>
      </c>
      <c r="M108" s="276">
        <f t="shared" si="6"/>
        <v>1</v>
      </c>
      <c r="N108" s="276">
        <f t="shared" si="6"/>
        <v>1</v>
      </c>
      <c r="O108" s="276">
        <f t="shared" si="6"/>
        <v>1</v>
      </c>
      <c r="P108" s="276">
        <f t="shared" si="6"/>
        <v>0</v>
      </c>
      <c r="Q108" s="276">
        <f t="shared" si="6"/>
        <v>1</v>
      </c>
      <c r="R108" s="276">
        <f t="shared" si="6"/>
        <v>1</v>
      </c>
      <c r="S108" s="276">
        <f t="shared" si="6"/>
        <v>1</v>
      </c>
      <c r="T108" s="280"/>
      <c r="U108" s="280"/>
    </row>
    <row r="109" spans="5:23" x14ac:dyDescent="0.25">
      <c r="F109" s="295" t="s">
        <v>1043</v>
      </c>
      <c r="G109" s="109" t="s">
        <v>132</v>
      </c>
      <c r="J109" s="276">
        <f t="shared" si="6"/>
        <v>1</v>
      </c>
      <c r="K109" s="276">
        <f t="shared" si="6"/>
        <v>1</v>
      </c>
      <c r="L109" s="276">
        <f t="shared" si="6"/>
        <v>1</v>
      </c>
      <c r="M109" s="276">
        <f t="shared" si="6"/>
        <v>1</v>
      </c>
      <c r="N109" s="276">
        <f t="shared" si="6"/>
        <v>1</v>
      </c>
      <c r="O109" s="276">
        <f t="shared" si="6"/>
        <v>1</v>
      </c>
      <c r="P109" s="276">
        <f t="shared" si="6"/>
        <v>0</v>
      </c>
      <c r="Q109" s="276">
        <f t="shared" si="6"/>
        <v>1</v>
      </c>
      <c r="R109" s="276">
        <f t="shared" si="6"/>
        <v>1</v>
      </c>
      <c r="S109" s="276">
        <f t="shared" si="6"/>
        <v>0</v>
      </c>
      <c r="T109" s="280"/>
      <c r="U109" s="280"/>
    </row>
    <row r="110" spans="5:23" x14ac:dyDescent="0.25">
      <c r="F110" s="295" t="s">
        <v>1044</v>
      </c>
      <c r="G110" s="109" t="s">
        <v>132</v>
      </c>
      <c r="J110" s="276">
        <f t="shared" si="6"/>
        <v>1</v>
      </c>
      <c r="K110" s="276">
        <f t="shared" si="6"/>
        <v>1</v>
      </c>
      <c r="L110" s="276">
        <f t="shared" si="6"/>
        <v>1</v>
      </c>
      <c r="M110" s="276">
        <f t="shared" si="6"/>
        <v>1</v>
      </c>
      <c r="N110" s="276">
        <f t="shared" si="6"/>
        <v>1</v>
      </c>
      <c r="O110" s="276">
        <f t="shared" si="6"/>
        <v>1</v>
      </c>
      <c r="P110" s="276">
        <f t="shared" si="6"/>
        <v>0</v>
      </c>
      <c r="Q110" s="276">
        <f t="shared" si="6"/>
        <v>1</v>
      </c>
      <c r="R110" s="276">
        <f t="shared" si="6"/>
        <v>0</v>
      </c>
      <c r="S110" s="276">
        <f t="shared" si="6"/>
        <v>0</v>
      </c>
      <c r="T110" s="280"/>
      <c r="U110" s="280"/>
    </row>
    <row r="111" spans="5:23" x14ac:dyDescent="0.25">
      <c r="F111" s="295" t="s">
        <v>1045</v>
      </c>
      <c r="G111" s="109" t="s">
        <v>132</v>
      </c>
      <c r="J111" s="276">
        <f t="shared" si="6"/>
        <v>1</v>
      </c>
      <c r="K111" s="276">
        <f t="shared" si="6"/>
        <v>1</v>
      </c>
      <c r="L111" s="276">
        <f t="shared" si="6"/>
        <v>1</v>
      </c>
      <c r="M111" s="276">
        <f t="shared" si="6"/>
        <v>1</v>
      </c>
      <c r="N111" s="276">
        <f t="shared" si="6"/>
        <v>1</v>
      </c>
      <c r="O111" s="276">
        <f t="shared" si="6"/>
        <v>1</v>
      </c>
      <c r="P111" s="276">
        <f t="shared" si="6"/>
        <v>0</v>
      </c>
      <c r="Q111" s="276">
        <f t="shared" si="6"/>
        <v>1</v>
      </c>
      <c r="R111" s="276">
        <f t="shared" si="6"/>
        <v>1</v>
      </c>
      <c r="S111" s="276">
        <f t="shared" si="6"/>
        <v>1</v>
      </c>
      <c r="T111" s="280"/>
      <c r="U111" s="280"/>
    </row>
    <row r="112" spans="5:23" x14ac:dyDescent="0.25">
      <c r="F112" s="295" t="s">
        <v>1046</v>
      </c>
      <c r="G112" s="109" t="s">
        <v>132</v>
      </c>
      <c r="J112" s="276">
        <f t="shared" si="6"/>
        <v>-1</v>
      </c>
      <c r="K112" s="276">
        <f t="shared" si="6"/>
        <v>-1</v>
      </c>
      <c r="L112" s="276">
        <f t="shared" si="6"/>
        <v>-1</v>
      </c>
      <c r="M112" s="276">
        <f t="shared" si="6"/>
        <v>-1</v>
      </c>
      <c r="N112" s="276">
        <f t="shared" si="6"/>
        <v>-1</v>
      </c>
      <c r="O112" s="276">
        <f t="shared" si="6"/>
        <v>-1</v>
      </c>
      <c r="P112" s="276">
        <f t="shared" si="6"/>
        <v>0</v>
      </c>
      <c r="Q112" s="276">
        <f t="shared" si="6"/>
        <v>-1</v>
      </c>
      <c r="R112" s="276">
        <f t="shared" si="6"/>
        <v>-1</v>
      </c>
      <c r="S112" s="276">
        <f t="shared" si="6"/>
        <v>0</v>
      </c>
      <c r="T112" s="280"/>
      <c r="U112" s="280"/>
    </row>
    <row r="113" spans="3:23" x14ac:dyDescent="0.25">
      <c r="F113" s="295" t="s">
        <v>1047</v>
      </c>
      <c r="G113" s="109" t="s">
        <v>132</v>
      </c>
      <c r="J113" s="276">
        <f t="shared" si="6"/>
        <v>-1</v>
      </c>
      <c r="K113" s="276">
        <f t="shared" si="6"/>
        <v>-1</v>
      </c>
      <c r="L113" s="276">
        <f t="shared" si="6"/>
        <v>-1</v>
      </c>
      <c r="M113" s="276">
        <f t="shared" si="6"/>
        <v>-1</v>
      </c>
      <c r="N113" s="276">
        <f t="shared" si="6"/>
        <v>-1</v>
      </c>
      <c r="O113" s="276">
        <f t="shared" si="6"/>
        <v>-1</v>
      </c>
      <c r="P113" s="276">
        <f t="shared" si="6"/>
        <v>0</v>
      </c>
      <c r="Q113" s="276">
        <f t="shared" si="6"/>
        <v>-1</v>
      </c>
      <c r="R113" s="276">
        <f t="shared" si="6"/>
        <v>0</v>
      </c>
      <c r="S113" s="276">
        <f t="shared" si="6"/>
        <v>0</v>
      </c>
      <c r="T113" s="280"/>
      <c r="U113" s="280"/>
    </row>
    <row r="114" spans="3:23" x14ac:dyDescent="0.25">
      <c r="F114" s="295" t="s">
        <v>1048</v>
      </c>
      <c r="G114" s="109" t="s">
        <v>132</v>
      </c>
      <c r="J114" s="276">
        <f t="shared" si="6"/>
        <v>-1</v>
      </c>
      <c r="K114" s="276">
        <f t="shared" si="6"/>
        <v>-1</v>
      </c>
      <c r="L114" s="276">
        <f t="shared" si="6"/>
        <v>-1</v>
      </c>
      <c r="M114" s="276">
        <f t="shared" si="6"/>
        <v>-1</v>
      </c>
      <c r="N114" s="276">
        <f t="shared" si="6"/>
        <v>-1</v>
      </c>
      <c r="O114" s="276">
        <f t="shared" si="6"/>
        <v>-1</v>
      </c>
      <c r="P114" s="276">
        <f t="shared" si="6"/>
        <v>0</v>
      </c>
      <c r="Q114" s="276">
        <f t="shared" si="6"/>
        <v>-1</v>
      </c>
      <c r="R114" s="276">
        <f t="shared" si="6"/>
        <v>-1</v>
      </c>
      <c r="S114" s="276">
        <f t="shared" si="6"/>
        <v>0</v>
      </c>
      <c r="T114" s="280"/>
      <c r="U114" s="280"/>
    </row>
    <row r="115" spans="3:23" x14ac:dyDescent="0.25">
      <c r="F115" s="295" t="s">
        <v>1049</v>
      </c>
      <c r="G115" s="109" t="s">
        <v>132</v>
      </c>
      <c r="J115" s="276">
        <f t="shared" si="6"/>
        <v>-1</v>
      </c>
      <c r="K115" s="276">
        <f t="shared" si="6"/>
        <v>-1</v>
      </c>
      <c r="L115" s="276">
        <f t="shared" si="6"/>
        <v>-1</v>
      </c>
      <c r="M115" s="276">
        <f t="shared" si="6"/>
        <v>-1</v>
      </c>
      <c r="N115" s="276">
        <f t="shared" si="6"/>
        <v>-1</v>
      </c>
      <c r="O115" s="276">
        <f t="shared" si="6"/>
        <v>-1</v>
      </c>
      <c r="P115" s="276">
        <f t="shared" si="6"/>
        <v>0</v>
      </c>
      <c r="Q115" s="276">
        <f t="shared" si="6"/>
        <v>-1</v>
      </c>
      <c r="R115" s="276">
        <f t="shared" si="6"/>
        <v>-1</v>
      </c>
      <c r="S115" s="276">
        <f t="shared" si="6"/>
        <v>0</v>
      </c>
      <c r="T115" s="280"/>
      <c r="U115" s="280"/>
    </row>
    <row r="116" spans="3:23" x14ac:dyDescent="0.25">
      <c r="F116" s="295" t="s">
        <v>1050</v>
      </c>
      <c r="G116" s="109" t="s">
        <v>132</v>
      </c>
      <c r="J116" s="276">
        <f t="shared" si="6"/>
        <v>-1</v>
      </c>
      <c r="K116" s="276">
        <f t="shared" si="6"/>
        <v>-1</v>
      </c>
      <c r="L116" s="276">
        <f t="shared" si="6"/>
        <v>-1</v>
      </c>
      <c r="M116" s="276">
        <f t="shared" si="6"/>
        <v>-1</v>
      </c>
      <c r="N116" s="276">
        <f t="shared" si="6"/>
        <v>-1</v>
      </c>
      <c r="O116" s="276">
        <f t="shared" si="6"/>
        <v>-1</v>
      </c>
      <c r="P116" s="276">
        <f t="shared" si="6"/>
        <v>0</v>
      </c>
      <c r="Q116" s="276">
        <f t="shared" si="6"/>
        <v>-1</v>
      </c>
      <c r="R116" s="276">
        <f t="shared" si="6"/>
        <v>0</v>
      </c>
      <c r="S116" s="276">
        <f t="shared" si="6"/>
        <v>0</v>
      </c>
      <c r="T116" s="280"/>
      <c r="U116" s="280"/>
    </row>
    <row r="117" spans="3:23" x14ac:dyDescent="0.25">
      <c r="F117" s="295" t="s">
        <v>1051</v>
      </c>
      <c r="G117" s="109" t="s">
        <v>132</v>
      </c>
      <c r="J117" s="276">
        <f t="shared" si="6"/>
        <v>-1</v>
      </c>
      <c r="K117" s="276">
        <f t="shared" si="6"/>
        <v>-1</v>
      </c>
      <c r="L117" s="276">
        <f t="shared" si="6"/>
        <v>-1</v>
      </c>
      <c r="M117" s="276">
        <f t="shared" si="6"/>
        <v>-1</v>
      </c>
      <c r="N117" s="276">
        <f t="shared" si="6"/>
        <v>-1</v>
      </c>
      <c r="O117" s="276">
        <f t="shared" si="6"/>
        <v>-1</v>
      </c>
      <c r="P117" s="276">
        <f t="shared" si="6"/>
        <v>0</v>
      </c>
      <c r="Q117" s="276">
        <f t="shared" si="6"/>
        <v>-1</v>
      </c>
      <c r="R117" s="276">
        <f t="shared" si="6"/>
        <v>0</v>
      </c>
      <c r="S117" s="276">
        <f t="shared" si="6"/>
        <v>0</v>
      </c>
      <c r="T117" s="280"/>
      <c r="U117" s="280"/>
    </row>
    <row r="118" spans="3:23" x14ac:dyDescent="0.25">
      <c r="F118" s="295" t="s">
        <v>1052</v>
      </c>
      <c r="G118" s="109" t="s">
        <v>132</v>
      </c>
      <c r="J118" s="276">
        <f t="shared" si="6"/>
        <v>-1</v>
      </c>
      <c r="K118" s="276">
        <f t="shared" si="6"/>
        <v>-1</v>
      </c>
      <c r="L118" s="276">
        <f t="shared" si="6"/>
        <v>-1</v>
      </c>
      <c r="M118" s="276">
        <f t="shared" si="6"/>
        <v>-1</v>
      </c>
      <c r="N118" s="276">
        <f t="shared" si="6"/>
        <v>-1</v>
      </c>
      <c r="O118" s="276">
        <f t="shared" si="6"/>
        <v>-1</v>
      </c>
      <c r="P118" s="276">
        <f t="shared" si="6"/>
        <v>0</v>
      </c>
      <c r="Q118" s="276">
        <f t="shared" si="6"/>
        <v>0</v>
      </c>
      <c r="R118" s="276">
        <f t="shared" si="6"/>
        <v>0</v>
      </c>
      <c r="S118" s="276">
        <f t="shared" si="6"/>
        <v>0</v>
      </c>
      <c r="T118" s="280"/>
      <c r="U118" s="280"/>
    </row>
    <row r="119" spans="3:23" x14ac:dyDescent="0.25">
      <c r="F119" s="93" t="s">
        <v>1053</v>
      </c>
      <c r="G119" s="36" t="s">
        <v>132</v>
      </c>
      <c r="H119" s="93"/>
      <c r="I119" s="93"/>
      <c r="J119" s="269">
        <f t="shared" si="6"/>
        <v>-1</v>
      </c>
      <c r="K119" s="269">
        <f t="shared" si="6"/>
        <v>-1</v>
      </c>
      <c r="L119" s="269">
        <f t="shared" si="6"/>
        <v>-1</v>
      </c>
      <c r="M119" s="269">
        <f t="shared" si="6"/>
        <v>-1</v>
      </c>
      <c r="N119" s="269">
        <f t="shared" si="6"/>
        <v>-1</v>
      </c>
      <c r="O119" s="269">
        <f t="shared" si="6"/>
        <v>-1</v>
      </c>
      <c r="P119" s="269">
        <f t="shared" si="6"/>
        <v>0</v>
      </c>
      <c r="Q119" s="269">
        <f t="shared" si="6"/>
        <v>0</v>
      </c>
      <c r="R119" s="269">
        <f t="shared" si="6"/>
        <v>0</v>
      </c>
      <c r="S119" s="269">
        <f t="shared" si="6"/>
        <v>0</v>
      </c>
      <c r="T119" s="241"/>
      <c r="U119" s="241"/>
    </row>
    <row r="120" spans="3:23" x14ac:dyDescent="0.25">
      <c r="G120" s="108"/>
      <c r="J120" s="253"/>
      <c r="K120" s="253"/>
      <c r="L120" s="253"/>
      <c r="M120" s="253"/>
      <c r="N120" s="253"/>
      <c r="O120" s="253"/>
      <c r="P120" s="253"/>
      <c r="Q120" s="253"/>
      <c r="R120" s="253"/>
      <c r="S120" s="253"/>
      <c r="T120" s="253"/>
      <c r="U120" s="253"/>
    </row>
    <row r="121" spans="3:23" x14ac:dyDescent="0.25">
      <c r="C121" s="7" t="str">
        <f ca="1">INDEX('Version control'!$H$34:$H$58,MATCH($A$1,'Version control'!$F$34:$F$58,0),1)&amp;"-E: User loss factors"</f>
        <v>Section 505-E: User loss factors</v>
      </c>
      <c r="D121" s="7"/>
      <c r="E121" s="7"/>
      <c r="F121" s="7"/>
      <c r="G121" s="7"/>
      <c r="H121" s="7"/>
      <c r="I121" s="7"/>
      <c r="J121" s="243"/>
      <c r="K121" s="243"/>
      <c r="L121" s="243"/>
      <c r="M121" s="243"/>
      <c r="N121" s="243"/>
      <c r="O121" s="243"/>
      <c r="P121" s="243"/>
      <c r="Q121" s="243"/>
      <c r="R121" s="243"/>
      <c r="S121" s="243"/>
      <c r="T121" s="243"/>
      <c r="U121" s="243"/>
      <c r="V121" s="7"/>
      <c r="W121" s="7"/>
    </row>
    <row r="122" spans="3:23" x14ac:dyDescent="0.25">
      <c r="H122" s="88"/>
      <c r="I122" s="88"/>
      <c r="J122" s="277"/>
      <c r="K122" s="277"/>
      <c r="L122" s="277"/>
      <c r="M122" s="277"/>
      <c r="N122" s="277"/>
      <c r="O122" s="277"/>
      <c r="P122" s="277"/>
      <c r="Q122" s="277"/>
      <c r="R122" s="277"/>
      <c r="S122" s="277"/>
      <c r="T122" s="277"/>
      <c r="U122" s="277"/>
      <c r="W122" s="88"/>
    </row>
    <row r="123" spans="3:23" x14ac:dyDescent="0.25">
      <c r="E123" s="96" t="s">
        <v>405</v>
      </c>
      <c r="G123" s="108"/>
      <c r="J123" s="253"/>
      <c r="K123" s="253"/>
      <c r="L123" s="253"/>
      <c r="M123" s="253"/>
      <c r="N123" s="253"/>
      <c r="O123" s="253"/>
      <c r="P123" s="253"/>
      <c r="Q123" s="253"/>
      <c r="R123" s="253"/>
      <c r="S123" s="253"/>
      <c r="T123" s="253"/>
      <c r="U123" s="253"/>
      <c r="W123" s="88"/>
    </row>
    <row r="124" spans="3:23" x14ac:dyDescent="0.25">
      <c r="E124" s="82" t="s">
        <v>437</v>
      </c>
      <c r="G124" s="108"/>
      <c r="J124" s="253"/>
      <c r="K124" s="253"/>
      <c r="L124" s="253"/>
      <c r="M124" s="253"/>
      <c r="N124" s="253"/>
      <c r="O124" s="253"/>
      <c r="P124" s="253"/>
      <c r="Q124" s="253"/>
      <c r="R124" s="253"/>
      <c r="S124" s="253"/>
      <c r="T124" s="253"/>
      <c r="U124" s="253"/>
    </row>
    <row r="125" spans="3:23" x14ac:dyDescent="0.25">
      <c r="E125" s="82" t="s">
        <v>438</v>
      </c>
      <c r="G125" s="108"/>
      <c r="H125" s="41" t="s">
        <v>270</v>
      </c>
      <c r="J125" s="253"/>
      <c r="K125" s="253"/>
      <c r="L125" s="253"/>
      <c r="M125" s="253"/>
      <c r="N125" s="253"/>
      <c r="O125" s="253"/>
      <c r="P125" s="253"/>
      <c r="Q125" s="253"/>
      <c r="R125" s="253"/>
      <c r="S125" s="253"/>
      <c r="T125" s="253"/>
      <c r="U125" s="253"/>
    </row>
    <row r="126" spans="3:23" x14ac:dyDescent="0.25">
      <c r="F126" s="91" t="s">
        <v>1038</v>
      </c>
      <c r="G126" s="40" t="s">
        <v>528</v>
      </c>
      <c r="H126" s="268">
        <f t="shared" ref="H126:H141" si="7">MAX(J126:S126)</f>
        <v>1.0980000000000001</v>
      </c>
      <c r="I126" s="91"/>
      <c r="J126" s="268">
        <f>OR(SUM(J65:$S65) = 1, SUM(J65:$S65) = -1) * J$29</f>
        <v>0</v>
      </c>
      <c r="K126" s="268">
        <f>OR(SUM(K65:$S65) = 1, SUM(K65:$S65) = -1) * K$29</f>
        <v>0</v>
      </c>
      <c r="L126" s="268">
        <f>OR(SUM(L65:$S65) = 1, SUM(L65:$S65) = -1) * L$29</f>
        <v>0</v>
      </c>
      <c r="M126" s="268">
        <f>OR(SUM(M65:$S65) = 1, SUM(M65:$S65) = -1) * M$29</f>
        <v>0</v>
      </c>
      <c r="N126" s="268">
        <f>OR(SUM(N65:$S65) = 1, SUM(N65:$S65) = -1) * N$29</f>
        <v>0</v>
      </c>
      <c r="O126" s="268">
        <f>OR(SUM(O65:$S65) = 1, SUM(O65:$S65) = -1) * O$29</f>
        <v>0</v>
      </c>
      <c r="P126" s="268">
        <f>OR(SUM(P65:$S65) = 1, SUM(P65:$S65) = -1) * P$29</f>
        <v>0</v>
      </c>
      <c r="Q126" s="268">
        <f>OR(SUM(Q65:$S65) = 1, SUM(Q65:$S65) = -1) * Q$29</f>
        <v>0</v>
      </c>
      <c r="R126" s="268">
        <f>OR(SUM(R65:$S65) = 1, SUM(R65:$S65) = -1) * R$29</f>
        <v>0</v>
      </c>
      <c r="S126" s="268">
        <f>OR(SUM(S65:$S65) = 1, SUM(S65:$S65) = -1) * S$29</f>
        <v>1.0980000000000001</v>
      </c>
      <c r="T126" s="239"/>
      <c r="U126" s="239"/>
      <c r="W126" s="88"/>
    </row>
    <row r="127" spans="3:23" x14ac:dyDescent="0.25">
      <c r="F127" s="295" t="s">
        <v>1039</v>
      </c>
      <c r="G127" s="109" t="s">
        <v>528</v>
      </c>
      <c r="H127" s="276">
        <f t="shared" si="7"/>
        <v>1.0980000000000001</v>
      </c>
      <c r="J127" s="276">
        <f>OR(SUM(J66:$S66) = 1, SUM(J66:$S66) = -1) * J$29</f>
        <v>0</v>
      </c>
      <c r="K127" s="276">
        <f>OR(SUM(K66:$S66) = 1, SUM(K66:$S66) = -1) * K$29</f>
        <v>0</v>
      </c>
      <c r="L127" s="276">
        <f>OR(SUM(L66:$S66) = 1, SUM(L66:$S66) = -1) * L$29</f>
        <v>0</v>
      </c>
      <c r="M127" s="276">
        <f>OR(SUM(M66:$S66) = 1, SUM(M66:$S66) = -1) * M$29</f>
        <v>0</v>
      </c>
      <c r="N127" s="276">
        <f>OR(SUM(N66:$S66) = 1, SUM(N66:$S66) = -1) * N$29</f>
        <v>0</v>
      </c>
      <c r="O127" s="276">
        <f>OR(SUM(O66:$S66) = 1, SUM(O66:$S66) = -1) * O$29</f>
        <v>0</v>
      </c>
      <c r="P127" s="276">
        <f>OR(SUM(P66:$S66) = 1, SUM(P66:$S66) = -1) * P$29</f>
        <v>0</v>
      </c>
      <c r="Q127" s="276">
        <f>OR(SUM(Q66:$S66) = 1, SUM(Q66:$S66) = -1) * Q$29</f>
        <v>0</v>
      </c>
      <c r="R127" s="276">
        <f>OR(SUM(R66:$S66) = 1, SUM(R66:$S66) = -1) * R$29</f>
        <v>0</v>
      </c>
      <c r="S127" s="276">
        <f>OR(SUM(S66:$S66) = 1, SUM(S66:$S66) = -1) * S$29</f>
        <v>1.0980000000000001</v>
      </c>
      <c r="T127" s="280"/>
      <c r="U127" s="280"/>
      <c r="W127" s="88"/>
    </row>
    <row r="128" spans="3:23" x14ac:dyDescent="0.25">
      <c r="F128" s="295" t="s">
        <v>1040</v>
      </c>
      <c r="G128" s="109" t="s">
        <v>528</v>
      </c>
      <c r="H128" s="276">
        <f t="shared" si="7"/>
        <v>1.0980000000000001</v>
      </c>
      <c r="J128" s="276">
        <f>OR(SUM(J67:$S67) = 1, SUM(J67:$S67) = -1) * J$29</f>
        <v>0</v>
      </c>
      <c r="K128" s="276">
        <f>OR(SUM(K67:$S67) = 1, SUM(K67:$S67) = -1) * K$29</f>
        <v>0</v>
      </c>
      <c r="L128" s="276">
        <f>OR(SUM(L67:$S67) = 1, SUM(L67:$S67) = -1) * L$29</f>
        <v>0</v>
      </c>
      <c r="M128" s="276">
        <f>OR(SUM(M67:$S67) = 1, SUM(M67:$S67) = -1) * M$29</f>
        <v>0</v>
      </c>
      <c r="N128" s="276">
        <f>OR(SUM(N67:$S67) = 1, SUM(N67:$S67) = -1) * N$29</f>
        <v>0</v>
      </c>
      <c r="O128" s="276">
        <f>OR(SUM(O67:$S67) = 1, SUM(O67:$S67) = -1) * O$29</f>
        <v>0</v>
      </c>
      <c r="P128" s="276">
        <f>OR(SUM(P67:$S67) = 1, SUM(P67:$S67) = -1) * P$29</f>
        <v>0</v>
      </c>
      <c r="Q128" s="276">
        <f>OR(SUM(Q67:$S67) = 1, SUM(Q67:$S67) = -1) * Q$29</f>
        <v>0</v>
      </c>
      <c r="R128" s="276">
        <f>OR(SUM(R67:$S67) = 1, SUM(R67:$S67) = -1) * R$29</f>
        <v>0</v>
      </c>
      <c r="S128" s="276">
        <f>OR(SUM(S67:$S67) = 1, SUM(S67:$S67) = -1) * S$29</f>
        <v>1.0980000000000001</v>
      </c>
      <c r="T128" s="280"/>
      <c r="U128" s="280"/>
      <c r="W128" s="88"/>
    </row>
    <row r="129" spans="5:23" x14ac:dyDescent="0.25">
      <c r="F129" s="295" t="s">
        <v>1041</v>
      </c>
      <c r="G129" s="109" t="s">
        <v>528</v>
      </c>
      <c r="H129" s="276">
        <f t="shared" si="7"/>
        <v>1.0980000000000001</v>
      </c>
      <c r="J129" s="276">
        <f>OR(SUM(J68:$S68) = 1, SUM(J68:$S68) = -1) * J$29</f>
        <v>0</v>
      </c>
      <c r="K129" s="276">
        <f>OR(SUM(K68:$S68) = 1, SUM(K68:$S68) = -1) * K$29</f>
        <v>0</v>
      </c>
      <c r="L129" s="276">
        <f>OR(SUM(L68:$S68) = 1, SUM(L68:$S68) = -1) * L$29</f>
        <v>0</v>
      </c>
      <c r="M129" s="276">
        <f>OR(SUM(M68:$S68) = 1, SUM(M68:$S68) = -1) * M$29</f>
        <v>0</v>
      </c>
      <c r="N129" s="276">
        <f>OR(SUM(N68:$S68) = 1, SUM(N68:$S68) = -1) * N$29</f>
        <v>0</v>
      </c>
      <c r="O129" s="276">
        <f>OR(SUM(O68:$S68) = 1, SUM(O68:$S68) = -1) * O$29</f>
        <v>0</v>
      </c>
      <c r="P129" s="276">
        <f>OR(SUM(P68:$S68) = 1, SUM(P68:$S68) = -1) * P$29</f>
        <v>0</v>
      </c>
      <c r="Q129" s="276">
        <f>OR(SUM(Q68:$S68) = 1, SUM(Q68:$S68) = -1) * Q$29</f>
        <v>0</v>
      </c>
      <c r="R129" s="276">
        <f>OR(SUM(R68:$S68) = 1, SUM(R68:$S68) = -1) * R$29</f>
        <v>0</v>
      </c>
      <c r="S129" s="276">
        <f>OR(SUM(S68:$S68) = 1, SUM(S68:$S68) = -1) * S$29</f>
        <v>1.0980000000000001</v>
      </c>
      <c r="T129" s="280"/>
      <c r="U129" s="280"/>
    </row>
    <row r="130" spans="5:23" x14ac:dyDescent="0.25">
      <c r="F130" s="295" t="s">
        <v>1042</v>
      </c>
      <c r="G130" s="109" t="s">
        <v>528</v>
      </c>
      <c r="H130" s="276">
        <f t="shared" si="7"/>
        <v>1.0980000000000001</v>
      </c>
      <c r="J130" s="276">
        <f>OR(SUM(J69:$S69) = 1, SUM(J69:$S69) = -1) * J$29</f>
        <v>0</v>
      </c>
      <c r="K130" s="276">
        <f>OR(SUM(K69:$S69) = 1, SUM(K69:$S69) = -1) * K$29</f>
        <v>0</v>
      </c>
      <c r="L130" s="276">
        <f>OR(SUM(L69:$S69) = 1, SUM(L69:$S69) = -1) * L$29</f>
        <v>0</v>
      </c>
      <c r="M130" s="276">
        <f>OR(SUM(M69:$S69) = 1, SUM(M69:$S69) = -1) * M$29</f>
        <v>0</v>
      </c>
      <c r="N130" s="276">
        <f>OR(SUM(N69:$S69) = 1, SUM(N69:$S69) = -1) * N$29</f>
        <v>0</v>
      </c>
      <c r="O130" s="276">
        <f>OR(SUM(O69:$S69) = 1, SUM(O69:$S69) = -1) * O$29</f>
        <v>0</v>
      </c>
      <c r="P130" s="276">
        <f>OR(SUM(P69:$S69) = 1, SUM(P69:$S69) = -1) * P$29</f>
        <v>0</v>
      </c>
      <c r="Q130" s="276">
        <f>OR(SUM(Q69:$S69) = 1, SUM(Q69:$S69) = -1) * Q$29</f>
        <v>0</v>
      </c>
      <c r="R130" s="276">
        <f>OR(SUM(R69:$S69) = 1, SUM(R69:$S69) = -1) * R$29</f>
        <v>0</v>
      </c>
      <c r="S130" s="276">
        <f>OR(SUM(S69:$S69) = 1, SUM(S69:$S69) = -1) * S$29</f>
        <v>1.0980000000000001</v>
      </c>
      <c r="T130" s="280"/>
      <c r="U130" s="280"/>
    </row>
    <row r="131" spans="5:23" x14ac:dyDescent="0.25">
      <c r="F131" s="295" t="s">
        <v>1043</v>
      </c>
      <c r="G131" s="109" t="s">
        <v>528</v>
      </c>
      <c r="H131" s="276">
        <f t="shared" si="7"/>
        <v>1.044</v>
      </c>
      <c r="J131" s="276">
        <f>OR(SUM(J70:$S70) = 1, SUM(J70:$S70) = -1) * J$29</f>
        <v>0</v>
      </c>
      <c r="K131" s="276">
        <f>OR(SUM(K70:$S70) = 1, SUM(K70:$S70) = -1) * K$29</f>
        <v>0</v>
      </c>
      <c r="L131" s="276">
        <f>OR(SUM(L70:$S70) = 1, SUM(L70:$S70) = -1) * L$29</f>
        <v>0</v>
      </c>
      <c r="M131" s="276">
        <f>OR(SUM(M70:$S70) = 1, SUM(M70:$S70) = -1) * M$29</f>
        <v>0</v>
      </c>
      <c r="N131" s="276">
        <f>OR(SUM(N70:$S70) = 1, SUM(N70:$S70) = -1) * N$29</f>
        <v>0</v>
      </c>
      <c r="O131" s="276">
        <f>OR(SUM(O70:$S70) = 1, SUM(O70:$S70) = -1) * O$29</f>
        <v>0</v>
      </c>
      <c r="P131" s="276">
        <f>OR(SUM(P70:$S70) = 1, SUM(P70:$S70) = -1) * P$29</f>
        <v>0</v>
      </c>
      <c r="Q131" s="276">
        <f>OR(SUM(Q70:$S70) = 1, SUM(Q70:$S70) = -1) * Q$29</f>
        <v>0</v>
      </c>
      <c r="R131" s="276">
        <f>OR(SUM(R70:$S70) = 1, SUM(R70:$S70) = -1) * R$29</f>
        <v>1.044</v>
      </c>
      <c r="S131" s="276">
        <f>OR(SUM(S70:$S70) = 1, SUM(S70:$S70) = -1) * S$29</f>
        <v>0</v>
      </c>
      <c r="T131" s="280"/>
      <c r="U131" s="280"/>
    </row>
    <row r="132" spans="5:23" x14ac:dyDescent="0.25">
      <c r="F132" s="295" t="s">
        <v>1044</v>
      </c>
      <c r="G132" s="109" t="s">
        <v>528</v>
      </c>
      <c r="H132" s="276">
        <f t="shared" si="7"/>
        <v>1.026</v>
      </c>
      <c r="J132" s="276">
        <f>OR(SUM(J71:$S71) = 1, SUM(J71:$S71) = -1) * J$29</f>
        <v>0</v>
      </c>
      <c r="K132" s="276">
        <f>OR(SUM(K71:$S71) = 1, SUM(K71:$S71) = -1) * K$29</f>
        <v>0</v>
      </c>
      <c r="L132" s="276">
        <f>OR(SUM(L71:$S71) = 1, SUM(L71:$S71) = -1) * L$29</f>
        <v>0</v>
      </c>
      <c r="M132" s="276">
        <f>OR(SUM(M71:$S71) = 1, SUM(M71:$S71) = -1) * M$29</f>
        <v>0</v>
      </c>
      <c r="N132" s="276">
        <f>OR(SUM(N71:$S71) = 1, SUM(N71:$S71) = -1) * N$29</f>
        <v>0</v>
      </c>
      <c r="O132" s="276">
        <f>OR(SUM(O71:$S71) = 1, SUM(O71:$S71) = -1) * O$29</f>
        <v>0</v>
      </c>
      <c r="P132" s="276">
        <f>OR(SUM(P71:$S71) = 1, SUM(P71:$S71) = -1) * P$29</f>
        <v>1.0129999999999999</v>
      </c>
      <c r="Q132" s="276">
        <f>OR(SUM(Q71:$S71) = 1, SUM(Q71:$S71) = -1) * Q$29</f>
        <v>1.026</v>
      </c>
      <c r="R132" s="276">
        <f>OR(SUM(R71:$S71) = 1, SUM(R71:$S71) = -1) * R$29</f>
        <v>0</v>
      </c>
      <c r="S132" s="276">
        <f>OR(SUM(S71:$S71) = 1, SUM(S71:$S71) = -1) * S$29</f>
        <v>0</v>
      </c>
      <c r="T132" s="280"/>
      <c r="U132" s="280"/>
    </row>
    <row r="133" spans="5:23" x14ac:dyDescent="0.25">
      <c r="F133" s="295" t="s">
        <v>1045</v>
      </c>
      <c r="G133" s="109" t="s">
        <v>528</v>
      </c>
      <c r="H133" s="276">
        <f t="shared" si="7"/>
        <v>1.0980000000000001</v>
      </c>
      <c r="J133" s="276">
        <f>OR(SUM(J72:$S72) = 1, SUM(J72:$S72) = -1) * J$29</f>
        <v>0</v>
      </c>
      <c r="K133" s="276">
        <f>OR(SUM(K72:$S72) = 1, SUM(K72:$S72) = -1) * K$29</f>
        <v>0</v>
      </c>
      <c r="L133" s="276">
        <f>OR(SUM(L72:$S72) = 1, SUM(L72:$S72) = -1) * L$29</f>
        <v>0</v>
      </c>
      <c r="M133" s="276">
        <f>OR(SUM(M72:$S72) = 1, SUM(M72:$S72) = -1) * M$29</f>
        <v>0</v>
      </c>
      <c r="N133" s="276">
        <f>OR(SUM(N72:$S72) = 1, SUM(N72:$S72) = -1) * N$29</f>
        <v>0</v>
      </c>
      <c r="O133" s="276">
        <f>OR(SUM(O72:$S72) = 1, SUM(O72:$S72) = -1) * O$29</f>
        <v>0</v>
      </c>
      <c r="P133" s="276">
        <f>OR(SUM(P72:$S72) = 1, SUM(P72:$S72) = -1) * P$29</f>
        <v>0</v>
      </c>
      <c r="Q133" s="276">
        <f>OR(SUM(Q72:$S72) = 1, SUM(Q72:$S72) = -1) * Q$29</f>
        <v>0</v>
      </c>
      <c r="R133" s="276">
        <f>OR(SUM(R72:$S72) = 1, SUM(R72:$S72) = -1) * R$29</f>
        <v>0</v>
      </c>
      <c r="S133" s="276">
        <f>OR(SUM(S72:$S72) = 1, SUM(S72:$S72) = -1) * S$29</f>
        <v>1.0980000000000001</v>
      </c>
      <c r="T133" s="280"/>
      <c r="U133" s="280"/>
    </row>
    <row r="134" spans="5:23" x14ac:dyDescent="0.25">
      <c r="F134" s="295" t="s">
        <v>1046</v>
      </c>
      <c r="G134" s="109" t="s">
        <v>528</v>
      </c>
      <c r="H134" s="276">
        <f t="shared" si="7"/>
        <v>1.0980000000000001</v>
      </c>
      <c r="J134" s="276">
        <f>OR(SUM(J73:$S73) = 1, SUM(J73:$S73) = -1) * J$29</f>
        <v>0</v>
      </c>
      <c r="K134" s="276">
        <f>OR(SUM(K73:$S73) = 1, SUM(K73:$S73) = -1) * K$29</f>
        <v>0</v>
      </c>
      <c r="L134" s="276">
        <f>OR(SUM(L73:$S73) = 1, SUM(L73:$S73) = -1) * L$29</f>
        <v>0</v>
      </c>
      <c r="M134" s="276">
        <f>OR(SUM(M73:$S73) = 1, SUM(M73:$S73) = -1) * M$29</f>
        <v>0</v>
      </c>
      <c r="N134" s="276">
        <f>OR(SUM(N73:$S73) = 1, SUM(N73:$S73) = -1) * N$29</f>
        <v>0</v>
      </c>
      <c r="O134" s="276">
        <f>OR(SUM(O73:$S73) = 1, SUM(O73:$S73) = -1) * O$29</f>
        <v>0</v>
      </c>
      <c r="P134" s="276">
        <f>OR(SUM(P73:$S73) = 1, SUM(P73:$S73) = -1) * P$29</f>
        <v>0</v>
      </c>
      <c r="Q134" s="276">
        <f>OR(SUM(Q73:$S73) = 1, SUM(Q73:$S73) = -1) * Q$29</f>
        <v>0</v>
      </c>
      <c r="R134" s="276">
        <f>OR(SUM(R73:$S73) = 1, SUM(R73:$S73) = -1) * R$29</f>
        <v>0</v>
      </c>
      <c r="S134" s="276">
        <f>OR(SUM(S73:$S73) = 1, SUM(S73:$S73) = -1) * S$29</f>
        <v>1.0980000000000001</v>
      </c>
      <c r="T134" s="280"/>
      <c r="U134" s="280"/>
    </row>
    <row r="135" spans="5:23" x14ac:dyDescent="0.25">
      <c r="F135" s="295" t="s">
        <v>1047</v>
      </c>
      <c r="G135" s="109" t="s">
        <v>528</v>
      </c>
      <c r="H135" s="276">
        <f t="shared" si="7"/>
        <v>1.044</v>
      </c>
      <c r="J135" s="276">
        <f>OR(SUM(J74:$S74) = 1, SUM(J74:$S74) = -1) * J$29</f>
        <v>0</v>
      </c>
      <c r="K135" s="276">
        <f>OR(SUM(K74:$S74) = 1, SUM(K74:$S74) = -1) * K$29</f>
        <v>0</v>
      </c>
      <c r="L135" s="276">
        <f>OR(SUM(L74:$S74) = 1, SUM(L74:$S74) = -1) * L$29</f>
        <v>0</v>
      </c>
      <c r="M135" s="276">
        <f>OR(SUM(M74:$S74) = 1, SUM(M74:$S74) = -1) * M$29</f>
        <v>0</v>
      </c>
      <c r="N135" s="276">
        <f>OR(SUM(N74:$S74) = 1, SUM(N74:$S74) = -1) * N$29</f>
        <v>0</v>
      </c>
      <c r="O135" s="276">
        <f>OR(SUM(O74:$S74) = 1, SUM(O74:$S74) = -1) * O$29</f>
        <v>0</v>
      </c>
      <c r="P135" s="276">
        <f>OR(SUM(P74:$S74) = 1, SUM(P74:$S74) = -1) * P$29</f>
        <v>0</v>
      </c>
      <c r="Q135" s="276">
        <f>OR(SUM(Q74:$S74) = 1, SUM(Q74:$S74) = -1) * Q$29</f>
        <v>0</v>
      </c>
      <c r="R135" s="276">
        <f>OR(SUM(R74:$S74) = 1, SUM(R74:$S74) = -1) * R$29</f>
        <v>1.044</v>
      </c>
      <c r="S135" s="276">
        <f>OR(SUM(S74:$S74) = 1, SUM(S74:$S74) = -1) * S$29</f>
        <v>0</v>
      </c>
      <c r="T135" s="280"/>
      <c r="U135" s="280"/>
    </row>
    <row r="136" spans="5:23" x14ac:dyDescent="0.25">
      <c r="F136" s="295" t="s">
        <v>1048</v>
      </c>
      <c r="G136" s="109" t="s">
        <v>528</v>
      </c>
      <c r="H136" s="276">
        <f t="shared" si="7"/>
        <v>1.0980000000000001</v>
      </c>
      <c r="J136" s="276">
        <f>OR(SUM(J75:$S75) = 1, SUM(J75:$S75) = -1) * J$29</f>
        <v>0</v>
      </c>
      <c r="K136" s="276">
        <f>OR(SUM(K75:$S75) = 1, SUM(K75:$S75) = -1) * K$29</f>
        <v>0</v>
      </c>
      <c r="L136" s="276">
        <f>OR(SUM(L75:$S75) = 1, SUM(L75:$S75) = -1) * L$29</f>
        <v>0</v>
      </c>
      <c r="M136" s="276">
        <f>OR(SUM(M75:$S75) = 1, SUM(M75:$S75) = -1) * M$29</f>
        <v>0</v>
      </c>
      <c r="N136" s="276">
        <f>OR(SUM(N75:$S75) = 1, SUM(N75:$S75) = -1) * N$29</f>
        <v>0</v>
      </c>
      <c r="O136" s="276">
        <f>OR(SUM(O75:$S75) = 1, SUM(O75:$S75) = -1) * O$29</f>
        <v>0</v>
      </c>
      <c r="P136" s="276">
        <f>OR(SUM(P75:$S75) = 1, SUM(P75:$S75) = -1) * P$29</f>
        <v>0</v>
      </c>
      <c r="Q136" s="276">
        <f>OR(SUM(Q75:$S75) = 1, SUM(Q75:$S75) = -1) * Q$29</f>
        <v>0</v>
      </c>
      <c r="R136" s="276">
        <f>OR(SUM(R75:$S75) = 1, SUM(R75:$S75) = -1) * R$29</f>
        <v>0</v>
      </c>
      <c r="S136" s="276">
        <f>OR(SUM(S75:$S75) = 1, SUM(S75:$S75) = -1) * S$29</f>
        <v>1.0980000000000001</v>
      </c>
      <c r="T136" s="280"/>
      <c r="U136" s="280"/>
    </row>
    <row r="137" spans="5:23" x14ac:dyDescent="0.25">
      <c r="F137" s="295" t="s">
        <v>1049</v>
      </c>
      <c r="G137" s="109" t="s">
        <v>528</v>
      </c>
      <c r="H137" s="276">
        <f t="shared" si="7"/>
        <v>1.0980000000000001</v>
      </c>
      <c r="J137" s="276">
        <f>OR(SUM(J76:$S76) = 1, SUM(J76:$S76) = -1) * J$29</f>
        <v>0</v>
      </c>
      <c r="K137" s="276">
        <f>OR(SUM(K76:$S76) = 1, SUM(K76:$S76) = -1) * K$29</f>
        <v>0</v>
      </c>
      <c r="L137" s="276">
        <f>OR(SUM(L76:$S76) = 1, SUM(L76:$S76) = -1) * L$29</f>
        <v>0</v>
      </c>
      <c r="M137" s="276">
        <f>OR(SUM(M76:$S76) = 1, SUM(M76:$S76) = -1) * M$29</f>
        <v>0</v>
      </c>
      <c r="N137" s="276">
        <f>OR(SUM(N76:$S76) = 1, SUM(N76:$S76) = -1) * N$29</f>
        <v>0</v>
      </c>
      <c r="O137" s="276">
        <f>OR(SUM(O76:$S76) = 1, SUM(O76:$S76) = -1) * O$29</f>
        <v>0</v>
      </c>
      <c r="P137" s="276">
        <f>OR(SUM(P76:$S76) = 1, SUM(P76:$S76) = -1) * P$29</f>
        <v>0</v>
      </c>
      <c r="Q137" s="276">
        <f>OR(SUM(Q76:$S76) = 1, SUM(Q76:$S76) = -1) * Q$29</f>
        <v>0</v>
      </c>
      <c r="R137" s="276">
        <f>OR(SUM(R76:$S76) = 1, SUM(R76:$S76) = -1) * R$29</f>
        <v>0</v>
      </c>
      <c r="S137" s="276">
        <f>OR(SUM(S76:$S76) = 1, SUM(S76:$S76) = -1) * S$29</f>
        <v>1.0980000000000001</v>
      </c>
      <c r="T137" s="280"/>
      <c r="U137" s="280"/>
    </row>
    <row r="138" spans="5:23" x14ac:dyDescent="0.25">
      <c r="F138" s="295" t="s">
        <v>1050</v>
      </c>
      <c r="G138" s="109" t="s">
        <v>528</v>
      </c>
      <c r="H138" s="276">
        <f t="shared" si="7"/>
        <v>1.044</v>
      </c>
      <c r="J138" s="276">
        <f>OR(SUM(J77:$S77) = 1, SUM(J77:$S77) = -1) * J$29</f>
        <v>0</v>
      </c>
      <c r="K138" s="276">
        <f>OR(SUM(K77:$S77) = 1, SUM(K77:$S77) = -1) * K$29</f>
        <v>0</v>
      </c>
      <c r="L138" s="276">
        <f>OR(SUM(L77:$S77) = 1, SUM(L77:$S77) = -1) * L$29</f>
        <v>0</v>
      </c>
      <c r="M138" s="276">
        <f>OR(SUM(M77:$S77) = 1, SUM(M77:$S77) = -1) * M$29</f>
        <v>0</v>
      </c>
      <c r="N138" s="276">
        <f>OR(SUM(N77:$S77) = 1, SUM(N77:$S77) = -1) * N$29</f>
        <v>0</v>
      </c>
      <c r="O138" s="276">
        <f>OR(SUM(O77:$S77) = 1, SUM(O77:$S77) = -1) * O$29</f>
        <v>0</v>
      </c>
      <c r="P138" s="276">
        <f>OR(SUM(P77:$S77) = 1, SUM(P77:$S77) = -1) * P$29</f>
        <v>0</v>
      </c>
      <c r="Q138" s="276">
        <f>OR(SUM(Q77:$S77) = 1, SUM(Q77:$S77) = -1) * Q$29</f>
        <v>0</v>
      </c>
      <c r="R138" s="276">
        <f>OR(SUM(R77:$S77) = 1, SUM(R77:$S77) = -1) * R$29</f>
        <v>1.044</v>
      </c>
      <c r="S138" s="276">
        <f>OR(SUM(S77:$S77) = 1, SUM(S77:$S77) = -1) * S$29</f>
        <v>0</v>
      </c>
      <c r="T138" s="280"/>
      <c r="U138" s="280"/>
    </row>
    <row r="139" spans="5:23" x14ac:dyDescent="0.25">
      <c r="F139" s="295" t="s">
        <v>1051</v>
      </c>
      <c r="G139" s="109" t="s">
        <v>528</v>
      </c>
      <c r="H139" s="276">
        <f t="shared" si="7"/>
        <v>1.044</v>
      </c>
      <c r="J139" s="276">
        <f>OR(SUM(J78:$S78) = 1, SUM(J78:$S78) = -1) * J$29</f>
        <v>0</v>
      </c>
      <c r="K139" s="276">
        <f>OR(SUM(K78:$S78) = 1, SUM(K78:$S78) = -1) * K$29</f>
        <v>0</v>
      </c>
      <c r="L139" s="276">
        <f>OR(SUM(L78:$S78) = 1, SUM(L78:$S78) = -1) * L$29</f>
        <v>0</v>
      </c>
      <c r="M139" s="276">
        <f>OR(SUM(M78:$S78) = 1, SUM(M78:$S78) = -1) * M$29</f>
        <v>0</v>
      </c>
      <c r="N139" s="276">
        <f>OR(SUM(N78:$S78) = 1, SUM(N78:$S78) = -1) * N$29</f>
        <v>0</v>
      </c>
      <c r="O139" s="276">
        <f>OR(SUM(O78:$S78) = 1, SUM(O78:$S78) = -1) * O$29</f>
        <v>0</v>
      </c>
      <c r="P139" s="276">
        <f>OR(SUM(P78:$S78) = 1, SUM(P78:$S78) = -1) * P$29</f>
        <v>0</v>
      </c>
      <c r="Q139" s="276">
        <f>OR(SUM(Q78:$S78) = 1, SUM(Q78:$S78) = -1) * Q$29</f>
        <v>0</v>
      </c>
      <c r="R139" s="276">
        <f>OR(SUM(R78:$S78) = 1, SUM(R78:$S78) = -1) * R$29</f>
        <v>1.044</v>
      </c>
      <c r="S139" s="276">
        <f>OR(SUM(S78:$S78) = 1, SUM(S78:$S78) = -1) * S$29</f>
        <v>0</v>
      </c>
      <c r="T139" s="280"/>
      <c r="U139" s="280"/>
    </row>
    <row r="140" spans="5:23" x14ac:dyDescent="0.25">
      <c r="F140" s="295" t="s">
        <v>1052</v>
      </c>
      <c r="G140" s="109" t="s">
        <v>528</v>
      </c>
      <c r="H140" s="276">
        <f t="shared" si="7"/>
        <v>1.026</v>
      </c>
      <c r="J140" s="276">
        <f>OR(SUM(J79:$S79) = 1, SUM(J79:$S79) = -1) * J$29</f>
        <v>0</v>
      </c>
      <c r="K140" s="276">
        <f>OR(SUM(K79:$S79) = 1, SUM(K79:$S79) = -1) * K$29</f>
        <v>0</v>
      </c>
      <c r="L140" s="276">
        <f>OR(SUM(L79:$S79) = 1, SUM(L79:$S79) = -1) * L$29</f>
        <v>0</v>
      </c>
      <c r="M140" s="276">
        <f>OR(SUM(M79:$S79) = 1, SUM(M79:$S79) = -1) * M$29</f>
        <v>0</v>
      </c>
      <c r="N140" s="276">
        <f>OR(SUM(N79:$S79) = 1, SUM(N79:$S79) = -1) * N$29</f>
        <v>0</v>
      </c>
      <c r="O140" s="276">
        <f>OR(SUM(O79:$S79) = 1, SUM(O79:$S79) = -1) * O$29</f>
        <v>0</v>
      </c>
      <c r="P140" s="276">
        <f>OR(SUM(P79:$S79) = 1, SUM(P79:$S79) = -1) * P$29</f>
        <v>1.0129999999999999</v>
      </c>
      <c r="Q140" s="276">
        <f>OR(SUM(Q79:$S79) = 1, SUM(Q79:$S79) = -1) * Q$29</f>
        <v>1.026</v>
      </c>
      <c r="R140" s="276">
        <f>OR(SUM(R79:$S79) = 1, SUM(R79:$S79) = -1) * R$29</f>
        <v>0</v>
      </c>
      <c r="S140" s="276">
        <f>OR(SUM(S79:$S79) = 1, SUM(S79:$S79) = -1) * S$29</f>
        <v>0</v>
      </c>
      <c r="T140" s="280"/>
      <c r="U140" s="280"/>
    </row>
    <row r="141" spans="5:23" x14ac:dyDescent="0.25">
      <c r="F141" s="93" t="s">
        <v>1053</v>
      </c>
      <c r="G141" s="36" t="s">
        <v>528</v>
      </c>
      <c r="H141" s="269">
        <f t="shared" si="7"/>
        <v>1.026</v>
      </c>
      <c r="I141" s="93"/>
      <c r="J141" s="269">
        <f>OR(SUM(J80:$S80) = 1, SUM(J80:$S80) = -1) * J$29</f>
        <v>0</v>
      </c>
      <c r="K141" s="269">
        <f>OR(SUM(K80:$S80) = 1, SUM(K80:$S80) = -1) * K$29</f>
        <v>0</v>
      </c>
      <c r="L141" s="269">
        <f>OR(SUM(L80:$S80) = 1, SUM(L80:$S80) = -1) * L$29</f>
        <v>0</v>
      </c>
      <c r="M141" s="269">
        <f>OR(SUM(M80:$S80) = 1, SUM(M80:$S80) = -1) * M$29</f>
        <v>0</v>
      </c>
      <c r="N141" s="269">
        <f>OR(SUM(N80:$S80) = 1, SUM(N80:$S80) = -1) * N$29</f>
        <v>0</v>
      </c>
      <c r="O141" s="269">
        <f>OR(SUM(O80:$S80) = 1, SUM(O80:$S80) = -1) * O$29</f>
        <v>0</v>
      </c>
      <c r="P141" s="269">
        <f>OR(SUM(P80:$S80) = 1, SUM(P80:$S80) = -1) * P$29</f>
        <v>1.0129999999999999</v>
      </c>
      <c r="Q141" s="269">
        <f>OR(SUM(Q80:$S80) = 1, SUM(Q80:$S80) = -1) * Q$29</f>
        <v>1.026</v>
      </c>
      <c r="R141" s="269">
        <f>OR(SUM(R80:$S80) = 1, SUM(R80:$S80) = -1) * R$29</f>
        <v>0</v>
      </c>
      <c r="S141" s="269">
        <f>OR(SUM(S80:$S80) = 1, SUM(S80:$S80) = -1) * S$29</f>
        <v>0</v>
      </c>
      <c r="T141" s="241"/>
      <c r="U141" s="241"/>
    </row>
    <row r="142" spans="5:23" x14ac:dyDescent="0.25">
      <c r="G142" s="108"/>
    </row>
    <row r="143" spans="5:23" x14ac:dyDescent="0.25">
      <c r="E143" s="96" t="s">
        <v>406</v>
      </c>
      <c r="G143" s="108"/>
      <c r="I143" s="295" t="s">
        <v>431</v>
      </c>
      <c r="W143" s="88" t="s">
        <v>819</v>
      </c>
    </row>
    <row r="144" spans="5:23" x14ac:dyDescent="0.25">
      <c r="E144" s="82" t="s">
        <v>397</v>
      </c>
      <c r="G144" s="108"/>
    </row>
    <row r="145" spans="6:23" x14ac:dyDescent="0.25">
      <c r="F145" s="91" t="s">
        <v>1038</v>
      </c>
      <c r="G145" s="40" t="s">
        <v>528</v>
      </c>
      <c r="H145" s="74"/>
      <c r="I145" s="91"/>
      <c r="J145" s="255">
        <f t="shared" ref="J145:S160" si="8">$H126 * J104</f>
        <v>1.0980000000000001</v>
      </c>
      <c r="K145" s="255">
        <f t="shared" si="8"/>
        <v>1.0980000000000001</v>
      </c>
      <c r="L145" s="255">
        <f t="shared" si="8"/>
        <v>1.0980000000000001</v>
      </c>
      <c r="M145" s="255">
        <f t="shared" si="8"/>
        <v>1.0980000000000001</v>
      </c>
      <c r="N145" s="255">
        <f t="shared" si="8"/>
        <v>1.0980000000000001</v>
      </c>
      <c r="O145" s="255">
        <f t="shared" si="8"/>
        <v>1.0980000000000001</v>
      </c>
      <c r="P145" s="255">
        <f t="shared" si="8"/>
        <v>0</v>
      </c>
      <c r="Q145" s="255">
        <f t="shared" si="8"/>
        <v>1.0980000000000001</v>
      </c>
      <c r="R145" s="255">
        <f t="shared" si="8"/>
        <v>1.0980000000000001</v>
      </c>
      <c r="S145" s="255">
        <f t="shared" si="8"/>
        <v>1.0980000000000001</v>
      </c>
      <c r="T145" s="239"/>
      <c r="U145" s="239"/>
    </row>
    <row r="146" spans="6:23" x14ac:dyDescent="0.25">
      <c r="F146" s="295" t="s">
        <v>1039</v>
      </c>
      <c r="G146" s="109" t="s">
        <v>528</v>
      </c>
      <c r="H146" s="90"/>
      <c r="J146" s="257">
        <f t="shared" si="8"/>
        <v>1.0980000000000001</v>
      </c>
      <c r="K146" s="257">
        <f t="shared" si="8"/>
        <v>1.0980000000000001</v>
      </c>
      <c r="L146" s="257">
        <f t="shared" si="8"/>
        <v>1.0980000000000001</v>
      </c>
      <c r="M146" s="257">
        <f t="shared" si="8"/>
        <v>1.0980000000000001</v>
      </c>
      <c r="N146" s="257">
        <f t="shared" si="8"/>
        <v>1.0980000000000001</v>
      </c>
      <c r="O146" s="257">
        <f t="shared" si="8"/>
        <v>1.0980000000000001</v>
      </c>
      <c r="P146" s="257">
        <f t="shared" si="8"/>
        <v>0</v>
      </c>
      <c r="Q146" s="257">
        <f t="shared" si="8"/>
        <v>1.0980000000000001</v>
      </c>
      <c r="R146" s="257">
        <f t="shared" si="8"/>
        <v>1.0980000000000001</v>
      </c>
      <c r="S146" s="257">
        <f t="shared" si="8"/>
        <v>1.0980000000000001</v>
      </c>
      <c r="T146" s="280"/>
      <c r="U146" s="280"/>
      <c r="W146" s="88"/>
    </row>
    <row r="147" spans="6:23" x14ac:dyDescent="0.25">
      <c r="F147" s="295" t="s">
        <v>1040</v>
      </c>
      <c r="G147" s="109" t="s">
        <v>528</v>
      </c>
      <c r="H147" s="90"/>
      <c r="J147" s="257">
        <f t="shared" si="8"/>
        <v>1.0980000000000001</v>
      </c>
      <c r="K147" s="257">
        <f t="shared" si="8"/>
        <v>1.0980000000000001</v>
      </c>
      <c r="L147" s="257">
        <f t="shared" si="8"/>
        <v>1.0980000000000001</v>
      </c>
      <c r="M147" s="257">
        <f t="shared" si="8"/>
        <v>1.0980000000000001</v>
      </c>
      <c r="N147" s="257">
        <f t="shared" si="8"/>
        <v>1.0980000000000001</v>
      </c>
      <c r="O147" s="257">
        <f t="shared" si="8"/>
        <v>1.0980000000000001</v>
      </c>
      <c r="P147" s="257">
        <f t="shared" si="8"/>
        <v>0</v>
      </c>
      <c r="Q147" s="257">
        <f t="shared" si="8"/>
        <v>1.0980000000000001</v>
      </c>
      <c r="R147" s="257">
        <f t="shared" si="8"/>
        <v>1.0980000000000001</v>
      </c>
      <c r="S147" s="257">
        <f t="shared" si="8"/>
        <v>1.0980000000000001</v>
      </c>
      <c r="T147" s="280"/>
      <c r="U147" s="280"/>
      <c r="W147" s="88"/>
    </row>
    <row r="148" spans="6:23" x14ac:dyDescent="0.25">
      <c r="F148" s="295" t="s">
        <v>1041</v>
      </c>
      <c r="G148" s="109" t="s">
        <v>528</v>
      </c>
      <c r="H148" s="90"/>
      <c r="J148" s="257">
        <f t="shared" si="8"/>
        <v>1.0980000000000001</v>
      </c>
      <c r="K148" s="257">
        <f t="shared" si="8"/>
        <v>1.0980000000000001</v>
      </c>
      <c r="L148" s="257">
        <f t="shared" si="8"/>
        <v>1.0980000000000001</v>
      </c>
      <c r="M148" s="257">
        <f t="shared" si="8"/>
        <v>1.0980000000000001</v>
      </c>
      <c r="N148" s="257">
        <f t="shared" si="8"/>
        <v>1.0980000000000001</v>
      </c>
      <c r="O148" s="257">
        <f t="shared" si="8"/>
        <v>1.0980000000000001</v>
      </c>
      <c r="P148" s="257">
        <f t="shared" si="8"/>
        <v>0</v>
      </c>
      <c r="Q148" s="257">
        <f t="shared" si="8"/>
        <v>1.0980000000000001</v>
      </c>
      <c r="R148" s="257">
        <f t="shared" si="8"/>
        <v>1.0980000000000001</v>
      </c>
      <c r="S148" s="257">
        <f t="shared" si="8"/>
        <v>1.0980000000000001</v>
      </c>
      <c r="T148" s="280"/>
      <c r="U148" s="280"/>
    </row>
    <row r="149" spans="6:23" x14ac:dyDescent="0.25">
      <c r="F149" s="295" t="s">
        <v>1042</v>
      </c>
      <c r="G149" s="109" t="s">
        <v>528</v>
      </c>
      <c r="H149" s="90"/>
      <c r="J149" s="257">
        <f t="shared" si="8"/>
        <v>1.0980000000000001</v>
      </c>
      <c r="K149" s="257">
        <f t="shared" si="8"/>
        <v>1.0980000000000001</v>
      </c>
      <c r="L149" s="257">
        <f t="shared" si="8"/>
        <v>1.0980000000000001</v>
      </c>
      <c r="M149" s="257">
        <f t="shared" si="8"/>
        <v>1.0980000000000001</v>
      </c>
      <c r="N149" s="257">
        <f t="shared" si="8"/>
        <v>1.0980000000000001</v>
      </c>
      <c r="O149" s="257">
        <f t="shared" si="8"/>
        <v>1.0980000000000001</v>
      </c>
      <c r="P149" s="257">
        <f t="shared" si="8"/>
        <v>0</v>
      </c>
      <c r="Q149" s="257">
        <f t="shared" si="8"/>
        <v>1.0980000000000001</v>
      </c>
      <c r="R149" s="257">
        <f t="shared" si="8"/>
        <v>1.0980000000000001</v>
      </c>
      <c r="S149" s="257">
        <f t="shared" si="8"/>
        <v>1.0980000000000001</v>
      </c>
      <c r="T149" s="280"/>
      <c r="U149" s="280"/>
    </row>
    <row r="150" spans="6:23" x14ac:dyDescent="0.25">
      <c r="F150" s="295" t="s">
        <v>1043</v>
      </c>
      <c r="G150" s="109" t="s">
        <v>528</v>
      </c>
      <c r="H150" s="90"/>
      <c r="J150" s="257">
        <f t="shared" si="8"/>
        <v>1.044</v>
      </c>
      <c r="K150" s="257">
        <f t="shared" si="8"/>
        <v>1.044</v>
      </c>
      <c r="L150" s="257">
        <f t="shared" si="8"/>
        <v>1.044</v>
      </c>
      <c r="M150" s="257">
        <f t="shared" si="8"/>
        <v>1.044</v>
      </c>
      <c r="N150" s="257">
        <f t="shared" si="8"/>
        <v>1.044</v>
      </c>
      <c r="O150" s="257">
        <f t="shared" si="8"/>
        <v>1.044</v>
      </c>
      <c r="P150" s="257">
        <f t="shared" si="8"/>
        <v>0</v>
      </c>
      <c r="Q150" s="257">
        <f t="shared" si="8"/>
        <v>1.044</v>
      </c>
      <c r="R150" s="257">
        <f t="shared" si="8"/>
        <v>1.044</v>
      </c>
      <c r="S150" s="257">
        <f t="shared" si="8"/>
        <v>0</v>
      </c>
      <c r="T150" s="280"/>
      <c r="U150" s="280"/>
    </row>
    <row r="151" spans="6:23" x14ac:dyDescent="0.25">
      <c r="F151" s="295" t="s">
        <v>1044</v>
      </c>
      <c r="G151" s="109" t="s">
        <v>528</v>
      </c>
      <c r="H151" s="90"/>
      <c r="J151" s="257">
        <f t="shared" si="8"/>
        <v>1.026</v>
      </c>
      <c r="K151" s="257">
        <f t="shared" si="8"/>
        <v>1.026</v>
      </c>
      <c r="L151" s="257">
        <f t="shared" si="8"/>
        <v>1.026</v>
      </c>
      <c r="M151" s="257">
        <f t="shared" si="8"/>
        <v>1.026</v>
      </c>
      <c r="N151" s="257">
        <f t="shared" si="8"/>
        <v>1.026</v>
      </c>
      <c r="O151" s="257">
        <f t="shared" si="8"/>
        <v>1.026</v>
      </c>
      <c r="P151" s="257">
        <f t="shared" si="8"/>
        <v>0</v>
      </c>
      <c r="Q151" s="257">
        <f t="shared" si="8"/>
        <v>1.026</v>
      </c>
      <c r="R151" s="257">
        <f t="shared" si="8"/>
        <v>0</v>
      </c>
      <c r="S151" s="257">
        <f t="shared" si="8"/>
        <v>0</v>
      </c>
      <c r="T151" s="280"/>
      <c r="U151" s="280"/>
    </row>
    <row r="152" spans="6:23" x14ac:dyDescent="0.25">
      <c r="F152" s="295" t="s">
        <v>1045</v>
      </c>
      <c r="G152" s="109" t="s">
        <v>528</v>
      </c>
      <c r="H152" s="90"/>
      <c r="J152" s="257">
        <f t="shared" si="8"/>
        <v>1.0980000000000001</v>
      </c>
      <c r="K152" s="257">
        <f t="shared" si="8"/>
        <v>1.0980000000000001</v>
      </c>
      <c r="L152" s="257">
        <f t="shared" si="8"/>
        <v>1.0980000000000001</v>
      </c>
      <c r="M152" s="257">
        <f t="shared" si="8"/>
        <v>1.0980000000000001</v>
      </c>
      <c r="N152" s="257">
        <f t="shared" si="8"/>
        <v>1.0980000000000001</v>
      </c>
      <c r="O152" s="257">
        <f t="shared" si="8"/>
        <v>1.0980000000000001</v>
      </c>
      <c r="P152" s="257">
        <f t="shared" si="8"/>
        <v>0</v>
      </c>
      <c r="Q152" s="257">
        <f t="shared" si="8"/>
        <v>1.0980000000000001</v>
      </c>
      <c r="R152" s="257">
        <f t="shared" si="8"/>
        <v>1.0980000000000001</v>
      </c>
      <c r="S152" s="257">
        <f t="shared" si="8"/>
        <v>1.0980000000000001</v>
      </c>
      <c r="T152" s="280"/>
      <c r="U152" s="280"/>
    </row>
    <row r="153" spans="6:23" x14ac:dyDescent="0.25">
      <c r="F153" s="295" t="s">
        <v>1046</v>
      </c>
      <c r="G153" s="109" t="s">
        <v>528</v>
      </c>
      <c r="H153" s="90"/>
      <c r="J153" s="257">
        <f t="shared" si="8"/>
        <v>-1.0980000000000001</v>
      </c>
      <c r="K153" s="257">
        <f t="shared" si="8"/>
        <v>-1.0980000000000001</v>
      </c>
      <c r="L153" s="257">
        <f t="shared" si="8"/>
        <v>-1.0980000000000001</v>
      </c>
      <c r="M153" s="257">
        <f t="shared" si="8"/>
        <v>-1.0980000000000001</v>
      </c>
      <c r="N153" s="257">
        <f t="shared" si="8"/>
        <v>-1.0980000000000001</v>
      </c>
      <c r="O153" s="257">
        <f t="shared" si="8"/>
        <v>-1.0980000000000001</v>
      </c>
      <c r="P153" s="257">
        <f t="shared" si="8"/>
        <v>0</v>
      </c>
      <c r="Q153" s="257">
        <f t="shared" si="8"/>
        <v>-1.0980000000000001</v>
      </c>
      <c r="R153" s="257">
        <f t="shared" si="8"/>
        <v>-1.0980000000000001</v>
      </c>
      <c r="S153" s="257">
        <f t="shared" si="8"/>
        <v>0</v>
      </c>
      <c r="T153" s="280"/>
      <c r="U153" s="280"/>
    </row>
    <row r="154" spans="6:23" x14ac:dyDescent="0.25">
      <c r="F154" s="295" t="s">
        <v>1047</v>
      </c>
      <c r="G154" s="109" t="s">
        <v>528</v>
      </c>
      <c r="H154" s="90"/>
      <c r="J154" s="257">
        <f t="shared" si="8"/>
        <v>-1.044</v>
      </c>
      <c r="K154" s="257">
        <f t="shared" si="8"/>
        <v>-1.044</v>
      </c>
      <c r="L154" s="257">
        <f t="shared" si="8"/>
        <v>-1.044</v>
      </c>
      <c r="M154" s="257">
        <f t="shared" si="8"/>
        <v>-1.044</v>
      </c>
      <c r="N154" s="257">
        <f t="shared" si="8"/>
        <v>-1.044</v>
      </c>
      <c r="O154" s="257">
        <f t="shared" si="8"/>
        <v>-1.044</v>
      </c>
      <c r="P154" s="257">
        <f t="shared" si="8"/>
        <v>0</v>
      </c>
      <c r="Q154" s="257">
        <f t="shared" si="8"/>
        <v>-1.044</v>
      </c>
      <c r="R154" s="257">
        <f t="shared" si="8"/>
        <v>0</v>
      </c>
      <c r="S154" s="257">
        <f t="shared" si="8"/>
        <v>0</v>
      </c>
      <c r="T154" s="280"/>
      <c r="U154" s="280"/>
    </row>
    <row r="155" spans="6:23" x14ac:dyDescent="0.25">
      <c r="F155" s="295" t="s">
        <v>1048</v>
      </c>
      <c r="G155" s="109" t="s">
        <v>528</v>
      </c>
      <c r="H155" s="90"/>
      <c r="J155" s="257">
        <f t="shared" si="8"/>
        <v>-1.0980000000000001</v>
      </c>
      <c r="K155" s="257">
        <f t="shared" si="8"/>
        <v>-1.0980000000000001</v>
      </c>
      <c r="L155" s="257">
        <f t="shared" si="8"/>
        <v>-1.0980000000000001</v>
      </c>
      <c r="M155" s="257">
        <f t="shared" si="8"/>
        <v>-1.0980000000000001</v>
      </c>
      <c r="N155" s="257">
        <f t="shared" si="8"/>
        <v>-1.0980000000000001</v>
      </c>
      <c r="O155" s="257">
        <f t="shared" si="8"/>
        <v>-1.0980000000000001</v>
      </c>
      <c r="P155" s="257">
        <f t="shared" si="8"/>
        <v>0</v>
      </c>
      <c r="Q155" s="257">
        <f t="shared" si="8"/>
        <v>-1.0980000000000001</v>
      </c>
      <c r="R155" s="257">
        <f t="shared" si="8"/>
        <v>-1.0980000000000001</v>
      </c>
      <c r="S155" s="257">
        <f t="shared" si="8"/>
        <v>0</v>
      </c>
      <c r="T155" s="280"/>
      <c r="U155" s="280"/>
    </row>
    <row r="156" spans="6:23" x14ac:dyDescent="0.25">
      <c r="F156" s="295" t="s">
        <v>1049</v>
      </c>
      <c r="G156" s="109" t="s">
        <v>528</v>
      </c>
      <c r="H156" s="90"/>
      <c r="J156" s="257">
        <f t="shared" si="8"/>
        <v>-1.0980000000000001</v>
      </c>
      <c r="K156" s="257">
        <f t="shared" si="8"/>
        <v>-1.0980000000000001</v>
      </c>
      <c r="L156" s="257">
        <f t="shared" si="8"/>
        <v>-1.0980000000000001</v>
      </c>
      <c r="M156" s="257">
        <f t="shared" si="8"/>
        <v>-1.0980000000000001</v>
      </c>
      <c r="N156" s="257">
        <f t="shared" si="8"/>
        <v>-1.0980000000000001</v>
      </c>
      <c r="O156" s="257">
        <f t="shared" si="8"/>
        <v>-1.0980000000000001</v>
      </c>
      <c r="P156" s="257">
        <f t="shared" si="8"/>
        <v>0</v>
      </c>
      <c r="Q156" s="257">
        <f t="shared" si="8"/>
        <v>-1.0980000000000001</v>
      </c>
      <c r="R156" s="257">
        <f t="shared" si="8"/>
        <v>-1.0980000000000001</v>
      </c>
      <c r="S156" s="257">
        <f t="shared" si="8"/>
        <v>0</v>
      </c>
      <c r="T156" s="280"/>
      <c r="U156" s="280"/>
    </row>
    <row r="157" spans="6:23" x14ac:dyDescent="0.25">
      <c r="F157" s="295" t="s">
        <v>1050</v>
      </c>
      <c r="G157" s="109" t="s">
        <v>528</v>
      </c>
      <c r="H157" s="90"/>
      <c r="J157" s="257">
        <f t="shared" si="8"/>
        <v>-1.044</v>
      </c>
      <c r="K157" s="257">
        <f t="shared" si="8"/>
        <v>-1.044</v>
      </c>
      <c r="L157" s="257">
        <f t="shared" si="8"/>
        <v>-1.044</v>
      </c>
      <c r="M157" s="257">
        <f t="shared" si="8"/>
        <v>-1.044</v>
      </c>
      <c r="N157" s="257">
        <f t="shared" si="8"/>
        <v>-1.044</v>
      </c>
      <c r="O157" s="257">
        <f t="shared" si="8"/>
        <v>-1.044</v>
      </c>
      <c r="P157" s="257">
        <f t="shared" si="8"/>
        <v>0</v>
      </c>
      <c r="Q157" s="257">
        <f t="shared" si="8"/>
        <v>-1.044</v>
      </c>
      <c r="R157" s="257">
        <f t="shared" si="8"/>
        <v>0</v>
      </c>
      <c r="S157" s="257">
        <f t="shared" si="8"/>
        <v>0</v>
      </c>
      <c r="T157" s="280"/>
      <c r="U157" s="280"/>
    </row>
    <row r="158" spans="6:23" x14ac:dyDescent="0.25">
      <c r="F158" s="295" t="s">
        <v>1051</v>
      </c>
      <c r="G158" s="109" t="s">
        <v>528</v>
      </c>
      <c r="H158" s="90"/>
      <c r="J158" s="257">
        <f t="shared" si="8"/>
        <v>-1.044</v>
      </c>
      <c r="K158" s="257">
        <f t="shared" si="8"/>
        <v>-1.044</v>
      </c>
      <c r="L158" s="257">
        <f t="shared" si="8"/>
        <v>-1.044</v>
      </c>
      <c r="M158" s="257">
        <f t="shared" si="8"/>
        <v>-1.044</v>
      </c>
      <c r="N158" s="257">
        <f t="shared" si="8"/>
        <v>-1.044</v>
      </c>
      <c r="O158" s="257">
        <f t="shared" si="8"/>
        <v>-1.044</v>
      </c>
      <c r="P158" s="257">
        <f t="shared" si="8"/>
        <v>0</v>
      </c>
      <c r="Q158" s="257">
        <f t="shared" si="8"/>
        <v>-1.044</v>
      </c>
      <c r="R158" s="257">
        <f t="shared" si="8"/>
        <v>0</v>
      </c>
      <c r="S158" s="257">
        <f t="shared" si="8"/>
        <v>0</v>
      </c>
      <c r="T158" s="280"/>
      <c r="U158" s="280"/>
    </row>
    <row r="159" spans="6:23" x14ac:dyDescent="0.25">
      <c r="F159" s="295" t="s">
        <v>1052</v>
      </c>
      <c r="G159" s="109" t="s">
        <v>528</v>
      </c>
      <c r="H159" s="90"/>
      <c r="J159" s="257">
        <f t="shared" si="8"/>
        <v>-1.026</v>
      </c>
      <c r="K159" s="257">
        <f t="shared" si="8"/>
        <v>-1.026</v>
      </c>
      <c r="L159" s="257">
        <f t="shared" si="8"/>
        <v>-1.026</v>
      </c>
      <c r="M159" s="257">
        <f t="shared" si="8"/>
        <v>-1.026</v>
      </c>
      <c r="N159" s="257">
        <f t="shared" si="8"/>
        <v>-1.026</v>
      </c>
      <c r="O159" s="257">
        <f t="shared" si="8"/>
        <v>-1.026</v>
      </c>
      <c r="P159" s="257">
        <f t="shared" si="8"/>
        <v>0</v>
      </c>
      <c r="Q159" s="257">
        <f t="shared" si="8"/>
        <v>0</v>
      </c>
      <c r="R159" s="257">
        <f t="shared" si="8"/>
        <v>0</v>
      </c>
      <c r="S159" s="257">
        <f t="shared" si="8"/>
        <v>0</v>
      </c>
      <c r="T159" s="280"/>
      <c r="U159" s="280"/>
    </row>
    <row r="160" spans="6:23" x14ac:dyDescent="0.25">
      <c r="F160" s="93" t="s">
        <v>1053</v>
      </c>
      <c r="G160" s="36" t="s">
        <v>528</v>
      </c>
      <c r="H160" s="187"/>
      <c r="I160" s="93"/>
      <c r="J160" s="259">
        <f t="shared" si="8"/>
        <v>-1.026</v>
      </c>
      <c r="K160" s="259">
        <f t="shared" si="8"/>
        <v>-1.026</v>
      </c>
      <c r="L160" s="259">
        <f t="shared" si="8"/>
        <v>-1.026</v>
      </c>
      <c r="M160" s="259">
        <f t="shared" si="8"/>
        <v>-1.026</v>
      </c>
      <c r="N160" s="259">
        <f t="shared" si="8"/>
        <v>-1.026</v>
      </c>
      <c r="O160" s="259">
        <f t="shared" si="8"/>
        <v>-1.026</v>
      </c>
      <c r="P160" s="259">
        <f t="shared" si="8"/>
        <v>0</v>
      </c>
      <c r="Q160" s="259">
        <f t="shared" si="8"/>
        <v>0</v>
      </c>
      <c r="R160" s="259">
        <f t="shared" si="8"/>
        <v>0</v>
      </c>
      <c r="S160" s="259">
        <f t="shared" si="8"/>
        <v>0</v>
      </c>
      <c r="T160" s="241"/>
      <c r="U160" s="241"/>
    </row>
    <row r="161" spans="5:23" x14ac:dyDescent="0.25">
      <c r="G161" s="108"/>
      <c r="J161" s="253"/>
      <c r="K161" s="253"/>
      <c r="L161" s="253"/>
      <c r="M161" s="253"/>
      <c r="N161" s="253"/>
      <c r="O161" s="253"/>
      <c r="P161" s="253"/>
      <c r="Q161" s="253"/>
      <c r="R161" s="253"/>
      <c r="S161" s="253"/>
      <c r="T161" s="253"/>
      <c r="U161" s="253"/>
    </row>
    <row r="162" spans="5:23" x14ac:dyDescent="0.25">
      <c r="E162" s="96" t="s">
        <v>405</v>
      </c>
      <c r="G162" s="108"/>
      <c r="I162" s="295" t="s">
        <v>431</v>
      </c>
      <c r="J162" s="253"/>
      <c r="K162" s="253"/>
      <c r="L162" s="253"/>
      <c r="M162" s="253"/>
      <c r="N162" s="253"/>
      <c r="O162" s="253"/>
      <c r="P162" s="253"/>
      <c r="Q162" s="253"/>
      <c r="R162" s="253"/>
      <c r="S162" s="253"/>
      <c r="T162" s="253"/>
      <c r="U162" s="253"/>
      <c r="W162" s="88" t="s">
        <v>819</v>
      </c>
    </row>
    <row r="163" spans="5:23" x14ac:dyDescent="0.25">
      <c r="E163" s="82" t="s">
        <v>397</v>
      </c>
      <c r="G163" s="108"/>
      <c r="J163" s="253"/>
      <c r="K163" s="253"/>
      <c r="L163" s="253"/>
      <c r="M163" s="253"/>
      <c r="N163" s="253"/>
      <c r="O163" s="253"/>
      <c r="P163" s="253"/>
      <c r="Q163" s="253"/>
      <c r="R163" s="253"/>
      <c r="S163" s="253"/>
      <c r="T163" s="253"/>
      <c r="U163" s="253"/>
    </row>
    <row r="164" spans="5:23" x14ac:dyDescent="0.25">
      <c r="F164" s="91" t="s">
        <v>1038</v>
      </c>
      <c r="G164" s="40" t="s">
        <v>528</v>
      </c>
      <c r="H164" s="74"/>
      <c r="I164" s="91"/>
      <c r="J164" s="239"/>
      <c r="K164" s="239"/>
      <c r="L164" s="239"/>
      <c r="M164" s="239"/>
      <c r="N164" s="239"/>
      <c r="O164" s="239"/>
      <c r="P164" s="239"/>
      <c r="Q164" s="239"/>
      <c r="R164" s="239"/>
      <c r="S164" s="239"/>
      <c r="T164" s="239"/>
      <c r="U164" s="239"/>
    </row>
    <row r="165" spans="5:23" x14ac:dyDescent="0.25">
      <c r="F165" s="295" t="s">
        <v>1039</v>
      </c>
      <c r="G165" s="109" t="s">
        <v>528</v>
      </c>
      <c r="H165" s="90"/>
      <c r="J165" s="280"/>
      <c r="K165" s="280"/>
      <c r="L165" s="280"/>
      <c r="M165" s="280"/>
      <c r="N165" s="280"/>
      <c r="O165" s="280"/>
      <c r="P165" s="280"/>
      <c r="Q165" s="280"/>
      <c r="R165" s="280"/>
      <c r="S165" s="280"/>
      <c r="T165" s="280"/>
      <c r="U165" s="280"/>
      <c r="W165" s="88"/>
    </row>
    <row r="166" spans="5:23" x14ac:dyDescent="0.25">
      <c r="F166" s="295" t="s">
        <v>1040</v>
      </c>
      <c r="G166" s="109" t="s">
        <v>528</v>
      </c>
      <c r="H166" s="90"/>
      <c r="J166" s="280"/>
      <c r="K166" s="280"/>
      <c r="L166" s="280"/>
      <c r="M166" s="280"/>
      <c r="N166" s="280"/>
      <c r="O166" s="280"/>
      <c r="P166" s="280"/>
      <c r="Q166" s="280"/>
      <c r="R166" s="280"/>
      <c r="S166" s="280"/>
      <c r="T166" s="280"/>
      <c r="U166" s="280"/>
      <c r="W166" s="88"/>
    </row>
    <row r="167" spans="5:23" x14ac:dyDescent="0.25">
      <c r="F167" s="295" t="s">
        <v>1041</v>
      </c>
      <c r="G167" s="109" t="s">
        <v>528</v>
      </c>
      <c r="H167" s="90"/>
      <c r="J167" s="280"/>
      <c r="K167" s="280"/>
      <c r="L167" s="280"/>
      <c r="M167" s="280"/>
      <c r="N167" s="280"/>
      <c r="O167" s="280"/>
      <c r="P167" s="280"/>
      <c r="Q167" s="280"/>
      <c r="R167" s="280"/>
      <c r="S167" s="280"/>
      <c r="T167" s="280"/>
      <c r="U167" s="280"/>
    </row>
    <row r="168" spans="5:23" x14ac:dyDescent="0.25">
      <c r="F168" s="295" t="s">
        <v>1042</v>
      </c>
      <c r="G168" s="109" t="s">
        <v>528</v>
      </c>
      <c r="H168" s="90"/>
      <c r="J168" s="280"/>
      <c r="K168" s="280"/>
      <c r="L168" s="280"/>
      <c r="M168" s="280"/>
      <c r="N168" s="280"/>
      <c r="O168" s="280"/>
      <c r="P168" s="280"/>
      <c r="Q168" s="280"/>
      <c r="R168" s="280"/>
      <c r="S168" s="280"/>
      <c r="T168" s="280"/>
      <c r="U168" s="280"/>
    </row>
    <row r="169" spans="5:23" x14ac:dyDescent="0.25">
      <c r="F169" s="295" t="s">
        <v>1043</v>
      </c>
      <c r="G169" s="109" t="s">
        <v>528</v>
      </c>
      <c r="H169" s="90"/>
      <c r="J169" s="280"/>
      <c r="K169" s="280"/>
      <c r="L169" s="280"/>
      <c r="M169" s="280"/>
      <c r="N169" s="280"/>
      <c r="O169" s="280"/>
      <c r="P169" s="280"/>
      <c r="Q169" s="280"/>
      <c r="R169" s="280"/>
      <c r="S169" s="280"/>
      <c r="T169" s="280"/>
      <c r="U169" s="280"/>
    </row>
    <row r="170" spans="5:23" x14ac:dyDescent="0.25">
      <c r="F170" s="295" t="s">
        <v>1044</v>
      </c>
      <c r="G170" s="109" t="s">
        <v>528</v>
      </c>
      <c r="H170" s="90"/>
      <c r="J170" s="280"/>
      <c r="K170" s="280"/>
      <c r="L170" s="280"/>
      <c r="M170" s="280"/>
      <c r="N170" s="280"/>
      <c r="O170" s="280"/>
      <c r="P170" s="280"/>
      <c r="Q170" s="280"/>
      <c r="R170" s="280"/>
      <c r="S170" s="280"/>
      <c r="T170" s="280"/>
      <c r="U170" s="280"/>
    </row>
    <row r="171" spans="5:23" x14ac:dyDescent="0.25">
      <c r="F171" s="295" t="s">
        <v>1045</v>
      </c>
      <c r="G171" s="109" t="s">
        <v>528</v>
      </c>
      <c r="H171" s="90"/>
      <c r="J171" s="280"/>
      <c r="K171" s="280"/>
      <c r="L171" s="280"/>
      <c r="M171" s="280"/>
      <c r="N171" s="280"/>
      <c r="O171" s="280"/>
      <c r="P171" s="280"/>
      <c r="Q171" s="280"/>
      <c r="R171" s="280"/>
      <c r="S171" s="280"/>
      <c r="T171" s="280"/>
      <c r="U171" s="280"/>
    </row>
    <row r="172" spans="5:23" x14ac:dyDescent="0.25">
      <c r="F172" s="295" t="s">
        <v>1046</v>
      </c>
      <c r="G172" s="109" t="s">
        <v>528</v>
      </c>
      <c r="H172" s="90"/>
      <c r="J172" s="257">
        <f t="shared" ref="J172:S179" si="9">$H134 * J73</f>
        <v>-1.0980000000000001</v>
      </c>
      <c r="K172" s="257">
        <f t="shared" si="9"/>
        <v>-1.0980000000000001</v>
      </c>
      <c r="L172" s="257">
        <f t="shared" si="9"/>
        <v>-1.0980000000000001</v>
      </c>
      <c r="M172" s="257">
        <f t="shared" si="9"/>
        <v>-1.0980000000000001</v>
      </c>
      <c r="N172" s="257">
        <f t="shared" si="9"/>
        <v>-1.0980000000000001</v>
      </c>
      <c r="O172" s="257">
        <f t="shared" si="9"/>
        <v>-1.0980000000000001</v>
      </c>
      <c r="P172" s="257">
        <f t="shared" si="9"/>
        <v>0</v>
      </c>
      <c r="Q172" s="257">
        <f t="shared" si="9"/>
        <v>-1.0980000000000001</v>
      </c>
      <c r="R172" s="257">
        <f t="shared" si="9"/>
        <v>-1.0980000000000001</v>
      </c>
      <c r="S172" s="257">
        <f t="shared" si="9"/>
        <v>-1.0980000000000001</v>
      </c>
      <c r="T172" s="280"/>
      <c r="U172" s="280"/>
    </row>
    <row r="173" spans="5:23" x14ac:dyDescent="0.25">
      <c r="F173" s="295" t="s">
        <v>1047</v>
      </c>
      <c r="G173" s="109" t="s">
        <v>528</v>
      </c>
      <c r="H173" s="90"/>
      <c r="J173" s="257">
        <f t="shared" si="9"/>
        <v>-1.044</v>
      </c>
      <c r="K173" s="257">
        <f t="shared" si="9"/>
        <v>-1.044</v>
      </c>
      <c r="L173" s="257">
        <f t="shared" si="9"/>
        <v>-1.044</v>
      </c>
      <c r="M173" s="257">
        <f t="shared" si="9"/>
        <v>-1.044</v>
      </c>
      <c r="N173" s="257">
        <f t="shared" si="9"/>
        <v>-1.044</v>
      </c>
      <c r="O173" s="257">
        <f t="shared" si="9"/>
        <v>-1.044</v>
      </c>
      <c r="P173" s="257">
        <f t="shared" si="9"/>
        <v>0</v>
      </c>
      <c r="Q173" s="257">
        <f t="shared" si="9"/>
        <v>-1.044</v>
      </c>
      <c r="R173" s="257">
        <f t="shared" si="9"/>
        <v>-1.044</v>
      </c>
      <c r="S173" s="257">
        <f t="shared" si="9"/>
        <v>0</v>
      </c>
      <c r="T173" s="280"/>
      <c r="U173" s="280"/>
    </row>
    <row r="174" spans="5:23" x14ac:dyDescent="0.25">
      <c r="F174" s="295" t="s">
        <v>1048</v>
      </c>
      <c r="G174" s="109" t="s">
        <v>528</v>
      </c>
      <c r="H174" s="90"/>
      <c r="J174" s="257">
        <f t="shared" si="9"/>
        <v>-1.0980000000000001</v>
      </c>
      <c r="K174" s="257">
        <f t="shared" si="9"/>
        <v>-1.0980000000000001</v>
      </c>
      <c r="L174" s="257">
        <f t="shared" si="9"/>
        <v>-1.0980000000000001</v>
      </c>
      <c r="M174" s="257">
        <f t="shared" si="9"/>
        <v>-1.0980000000000001</v>
      </c>
      <c r="N174" s="257">
        <f t="shared" si="9"/>
        <v>-1.0980000000000001</v>
      </c>
      <c r="O174" s="257">
        <f t="shared" si="9"/>
        <v>-1.0980000000000001</v>
      </c>
      <c r="P174" s="257">
        <f t="shared" si="9"/>
        <v>0</v>
      </c>
      <c r="Q174" s="257">
        <f t="shared" si="9"/>
        <v>-1.0980000000000001</v>
      </c>
      <c r="R174" s="257">
        <f t="shared" si="9"/>
        <v>-1.0980000000000001</v>
      </c>
      <c r="S174" s="257">
        <f t="shared" si="9"/>
        <v>-1.0980000000000001</v>
      </c>
      <c r="T174" s="280"/>
      <c r="U174" s="280"/>
    </row>
    <row r="175" spans="5:23" x14ac:dyDescent="0.25">
      <c r="F175" s="295" t="s">
        <v>1049</v>
      </c>
      <c r="G175" s="109" t="s">
        <v>528</v>
      </c>
      <c r="H175" s="90"/>
      <c r="J175" s="257">
        <f t="shared" si="9"/>
        <v>-1.0980000000000001</v>
      </c>
      <c r="K175" s="257">
        <f t="shared" si="9"/>
        <v>-1.0980000000000001</v>
      </c>
      <c r="L175" s="257">
        <f t="shared" si="9"/>
        <v>-1.0980000000000001</v>
      </c>
      <c r="M175" s="257">
        <f t="shared" si="9"/>
        <v>-1.0980000000000001</v>
      </c>
      <c r="N175" s="257">
        <f t="shared" si="9"/>
        <v>-1.0980000000000001</v>
      </c>
      <c r="O175" s="257">
        <f t="shared" si="9"/>
        <v>-1.0980000000000001</v>
      </c>
      <c r="P175" s="257">
        <f t="shared" si="9"/>
        <v>0</v>
      </c>
      <c r="Q175" s="257">
        <f t="shared" si="9"/>
        <v>-1.0980000000000001</v>
      </c>
      <c r="R175" s="257">
        <f t="shared" si="9"/>
        <v>-1.0980000000000001</v>
      </c>
      <c r="S175" s="257">
        <f t="shared" si="9"/>
        <v>-1.0980000000000001</v>
      </c>
      <c r="T175" s="280"/>
      <c r="U175" s="280"/>
    </row>
    <row r="176" spans="5:23" x14ac:dyDescent="0.25">
      <c r="F176" s="295" t="s">
        <v>1050</v>
      </c>
      <c r="G176" s="109" t="s">
        <v>528</v>
      </c>
      <c r="H176" s="90"/>
      <c r="J176" s="257">
        <f t="shared" si="9"/>
        <v>-1.044</v>
      </c>
      <c r="K176" s="257">
        <f t="shared" si="9"/>
        <v>-1.044</v>
      </c>
      <c r="L176" s="257">
        <f t="shared" si="9"/>
        <v>-1.044</v>
      </c>
      <c r="M176" s="257">
        <f t="shared" si="9"/>
        <v>-1.044</v>
      </c>
      <c r="N176" s="257">
        <f t="shared" si="9"/>
        <v>-1.044</v>
      </c>
      <c r="O176" s="257">
        <f t="shared" si="9"/>
        <v>-1.044</v>
      </c>
      <c r="P176" s="257">
        <f t="shared" si="9"/>
        <v>0</v>
      </c>
      <c r="Q176" s="257">
        <f t="shared" si="9"/>
        <v>-1.044</v>
      </c>
      <c r="R176" s="257">
        <f t="shared" si="9"/>
        <v>-1.044</v>
      </c>
      <c r="S176" s="257">
        <f t="shared" si="9"/>
        <v>0</v>
      </c>
      <c r="T176" s="280"/>
      <c r="U176" s="280"/>
    </row>
    <row r="177" spans="2:44" x14ac:dyDescent="0.25">
      <c r="F177" s="295" t="s">
        <v>1051</v>
      </c>
      <c r="G177" s="109" t="s">
        <v>528</v>
      </c>
      <c r="H177" s="90"/>
      <c r="J177" s="257">
        <f t="shared" si="9"/>
        <v>-1.044</v>
      </c>
      <c r="K177" s="257">
        <f t="shared" si="9"/>
        <v>-1.044</v>
      </c>
      <c r="L177" s="257">
        <f t="shared" si="9"/>
        <v>-1.044</v>
      </c>
      <c r="M177" s="257">
        <f t="shared" si="9"/>
        <v>-1.044</v>
      </c>
      <c r="N177" s="257">
        <f t="shared" si="9"/>
        <v>-1.044</v>
      </c>
      <c r="O177" s="257">
        <f t="shared" si="9"/>
        <v>-1.044</v>
      </c>
      <c r="P177" s="257">
        <f t="shared" si="9"/>
        <v>0</v>
      </c>
      <c r="Q177" s="257">
        <f t="shared" si="9"/>
        <v>-1.044</v>
      </c>
      <c r="R177" s="257">
        <f t="shared" si="9"/>
        <v>-1.044</v>
      </c>
      <c r="S177" s="257">
        <f t="shared" si="9"/>
        <v>0</v>
      </c>
      <c r="T177" s="280"/>
      <c r="U177" s="280"/>
    </row>
    <row r="178" spans="2:44" x14ac:dyDescent="0.25">
      <c r="F178" s="295" t="s">
        <v>1052</v>
      </c>
      <c r="G178" s="109" t="s">
        <v>528</v>
      </c>
      <c r="H178" s="90"/>
      <c r="J178" s="257">
        <f t="shared" si="9"/>
        <v>-1.026</v>
      </c>
      <c r="K178" s="257">
        <f t="shared" si="9"/>
        <v>-1.026</v>
      </c>
      <c r="L178" s="257">
        <f t="shared" si="9"/>
        <v>-1.026</v>
      </c>
      <c r="M178" s="257">
        <f t="shared" si="9"/>
        <v>-1.026</v>
      </c>
      <c r="N178" s="257">
        <f t="shared" si="9"/>
        <v>-1.026</v>
      </c>
      <c r="O178" s="257">
        <f t="shared" si="9"/>
        <v>-1.026</v>
      </c>
      <c r="P178" s="257">
        <f t="shared" si="9"/>
        <v>0</v>
      </c>
      <c r="Q178" s="257">
        <f t="shared" si="9"/>
        <v>-1.026</v>
      </c>
      <c r="R178" s="257">
        <f t="shared" si="9"/>
        <v>0</v>
      </c>
      <c r="S178" s="257">
        <f t="shared" si="9"/>
        <v>0</v>
      </c>
      <c r="T178" s="280"/>
      <c r="U178" s="280"/>
    </row>
    <row r="179" spans="2:44" x14ac:dyDescent="0.25">
      <c r="F179" s="93" t="s">
        <v>1053</v>
      </c>
      <c r="G179" s="36" t="s">
        <v>528</v>
      </c>
      <c r="H179" s="187"/>
      <c r="I179" s="93"/>
      <c r="J179" s="259">
        <f>$H141 * J80</f>
        <v>-1.026</v>
      </c>
      <c r="K179" s="259">
        <f t="shared" si="9"/>
        <v>-1.026</v>
      </c>
      <c r="L179" s="259">
        <f t="shared" si="9"/>
        <v>-1.026</v>
      </c>
      <c r="M179" s="259">
        <f t="shared" si="9"/>
        <v>-1.026</v>
      </c>
      <c r="N179" s="259">
        <f t="shared" si="9"/>
        <v>-1.026</v>
      </c>
      <c r="O179" s="259">
        <f t="shared" si="9"/>
        <v>-1.026</v>
      </c>
      <c r="P179" s="259">
        <f t="shared" si="9"/>
        <v>0</v>
      </c>
      <c r="Q179" s="259">
        <f t="shared" si="9"/>
        <v>-1.026</v>
      </c>
      <c r="R179" s="259">
        <f t="shared" si="9"/>
        <v>0</v>
      </c>
      <c r="S179" s="259">
        <f t="shared" si="9"/>
        <v>0</v>
      </c>
      <c r="T179" s="241"/>
      <c r="U179" s="241"/>
    </row>
    <row r="180" spans="2:44" x14ac:dyDescent="0.25">
      <c r="G180" s="108"/>
    </row>
    <row r="181" spans="2:44" x14ac:dyDescent="0.25">
      <c r="B181" s="95" t="s">
        <v>109</v>
      </c>
      <c r="C181" s="95"/>
      <c r="D181" s="72"/>
      <c r="E181" s="72"/>
      <c r="F181" s="72"/>
      <c r="G181" s="166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  <c r="AG181" s="72"/>
      <c r="AH181" s="72"/>
      <c r="AI181" s="72"/>
      <c r="AJ181" s="72"/>
      <c r="AK181" s="72"/>
      <c r="AL181" s="72"/>
      <c r="AM181" s="72"/>
      <c r="AN181" s="72"/>
      <c r="AO181" s="72"/>
      <c r="AP181" s="72"/>
      <c r="AQ181" s="72"/>
      <c r="AR181" s="72"/>
    </row>
    <row r="182" spans="2:44" x14ac:dyDescent="0.25">
      <c r="G182" s="108"/>
    </row>
    <row r="183" spans="2:44" x14ac:dyDescent="0.25">
      <c r="E183" s="295" t="s">
        <v>516</v>
      </c>
      <c r="G183" s="122" t="s">
        <v>692</v>
      </c>
      <c r="H183" s="152">
        <f t="array" ref="H183">SUM(IF(ISERROR(H19:W181), 1))</f>
        <v>0</v>
      </c>
    </row>
    <row r="185" spans="2:44" x14ac:dyDescent="0.25">
      <c r="B185" s="95" t="s">
        <v>110</v>
      </c>
      <c r="C185" s="95"/>
      <c r="D185" s="95"/>
      <c r="E185" s="95"/>
      <c r="F185" s="95"/>
      <c r="G185" s="95"/>
      <c r="H185" s="95"/>
      <c r="I185" s="95"/>
      <c r="J185" s="95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95"/>
      <c r="V185" s="95"/>
      <c r="W185" s="95"/>
    </row>
  </sheetData>
  <sheetProtection sheet="1" objects="1" formatCells="0" formatColumns="0" formatRows="0" sort="0" autoFilter="0"/>
  <conditionalFormatting sqref="H183">
    <cfRule type="cellIs" dxfId="169" priority="2" operator="greaterThan">
      <formula>0</formula>
    </cfRule>
  </conditionalFormatting>
  <conditionalFormatting sqref="A4:XFD4">
    <cfRule type="expression" dxfId="168" priority="1">
      <formula>LEFT($A$4,1) &lt;&gt; "0"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00000000-0002-0000-1200-000000000000}">
      <formula1>0</formula1>
      <formula2>4</formula2>
    </dataValidation>
  </dataValidations>
  <hyperlinks>
    <hyperlink ref="B5:F5" location="'Model map'!A1" display="Click here to return to model map" xr:uid="{00000000-0004-0000-12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1" width="17" style="295" customWidth="1"/>
    <col min="22" max="22" width="2.42578125" style="295" customWidth="1"/>
    <col min="23" max="23" width="50.5703125" style="295" customWidth="1"/>
    <col min="24" max="24" width="2.42578125" style="295" customWidth="1"/>
    <col min="25" max="42" width="17" style="295" hidden="1" customWidth="1"/>
    <col min="43" max="43" width="2.42578125" style="295" hidden="1" customWidth="1"/>
    <col min="44" max="44" width="18.42578125" style="295" hidden="1" customWidth="1"/>
    <col min="45" max="45" width="4.42578125" style="295" hidden="1" customWidth="1"/>
    <col min="46" max="293" width="24.5703125" style="295" hidden="1" customWidth="1"/>
    <col min="294" max="16384" width="8.85546875" style="295" hidden="1"/>
  </cols>
  <sheetData>
    <row r="1" spans="1:23" s="10" customFormat="1" x14ac:dyDescent="0.25">
      <c r="A1" s="10" t="str">
        <f ca="1">MID(CELL("filename",A1),FIND("]",CELL("filename",A1))+1,255)</f>
        <v>Customer contributions</v>
      </c>
    </row>
    <row r="2" spans="1:23" s="10" customFormat="1" x14ac:dyDescent="0.25">
      <c r="A2" s="10" t="str">
        <f>Cover!D21&amp;" - "&amp;Cover!D23</f>
        <v>SP Distribution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3" x14ac:dyDescent="0.25">
      <c r="A4" s="371" t="str">
        <f>H70 &amp; IF(H70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72" t="s">
        <v>552</v>
      </c>
      <c r="C5" s="373"/>
      <c r="D5" s="373"/>
      <c r="E5" s="373"/>
      <c r="F5" s="373"/>
      <c r="G5" s="1" t="s">
        <v>91</v>
      </c>
      <c r="H5" s="2" t="s">
        <v>92</v>
      </c>
      <c r="W5" s="1" t="s">
        <v>93</v>
      </c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904</v>
      </c>
    </row>
    <row r="10" spans="1:23" x14ac:dyDescent="0.25">
      <c r="C10" s="82" t="s">
        <v>905</v>
      </c>
    </row>
    <row r="12" spans="1:23" x14ac:dyDescent="0.25">
      <c r="B12" s="95" t="s">
        <v>289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</row>
    <row r="14" spans="1:23" x14ac:dyDescent="0.25">
      <c r="C14" s="82" t="s">
        <v>526</v>
      </c>
    </row>
    <row r="16" spans="1:23" x14ac:dyDescent="0.25">
      <c r="C16" s="7" t="str">
        <f ca="1">INDEX('Version control'!$H$34:$H$58,MATCH($A$1,'Version control'!$F$34:$F$58,0),1)&amp;"-A: Network use factors"</f>
        <v>Section 506-A: Network use factors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8" spans="5:23" x14ac:dyDescent="0.25">
      <c r="E18" s="96" t="s">
        <v>153</v>
      </c>
      <c r="H18" s="88"/>
      <c r="I18" s="88" t="s">
        <v>431</v>
      </c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 t="s">
        <v>810</v>
      </c>
    </row>
    <row r="19" spans="5:23" x14ac:dyDescent="0.25">
      <c r="E19" s="82" t="s">
        <v>248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W19" s="88"/>
    </row>
    <row r="20" spans="5:23" x14ac:dyDescent="0.25">
      <c r="F20" s="13"/>
      <c r="G20" s="13"/>
      <c r="H20" s="12"/>
      <c r="I20" s="12"/>
      <c r="J20" s="119" t="s">
        <v>83</v>
      </c>
      <c r="K20" s="119" t="s">
        <v>82</v>
      </c>
      <c r="L20" s="119" t="s">
        <v>81</v>
      </c>
      <c r="M20" s="119" t="s">
        <v>80</v>
      </c>
      <c r="O20" s="88"/>
      <c r="P20" s="88"/>
      <c r="Q20" s="88"/>
      <c r="R20" s="88"/>
      <c r="S20" s="88"/>
      <c r="T20" s="88"/>
      <c r="U20" s="88"/>
    </row>
    <row r="21" spans="5:23" x14ac:dyDescent="0.25">
      <c r="F21" s="14" t="s">
        <v>1038</v>
      </c>
      <c r="G21" s="108" t="s">
        <v>132</v>
      </c>
      <c r="H21" s="88"/>
      <c r="I21" s="88"/>
      <c r="J21" s="139">
        <f t="array" ref="J21:M36">TRANSPOSE('Fixed inputs'!J53:Y56)</f>
        <v>0</v>
      </c>
      <c r="K21" s="139">
        <v>0</v>
      </c>
      <c r="L21" s="139">
        <v>0</v>
      </c>
      <c r="M21" s="139">
        <v>1</v>
      </c>
      <c r="S21" s="88"/>
      <c r="T21" s="88"/>
      <c r="U21" s="88"/>
      <c r="W21" s="88"/>
    </row>
    <row r="22" spans="5:23" x14ac:dyDescent="0.25">
      <c r="F22" s="14" t="s">
        <v>1039</v>
      </c>
      <c r="G22" s="108" t="s">
        <v>132</v>
      </c>
      <c r="H22" s="88"/>
      <c r="I22" s="88"/>
      <c r="J22" s="139">
        <v>0</v>
      </c>
      <c r="K22" s="139">
        <v>0</v>
      </c>
      <c r="L22" s="139">
        <v>0</v>
      </c>
      <c r="M22" s="139">
        <v>1</v>
      </c>
      <c r="S22" s="88"/>
      <c r="T22" s="88"/>
      <c r="U22" s="88"/>
      <c r="W22" s="88"/>
    </row>
    <row r="23" spans="5:23" x14ac:dyDescent="0.25">
      <c r="F23" s="14" t="s">
        <v>1040</v>
      </c>
      <c r="G23" s="108" t="s">
        <v>132</v>
      </c>
      <c r="H23" s="88"/>
      <c r="I23" s="88"/>
      <c r="J23" s="139">
        <v>0</v>
      </c>
      <c r="K23" s="139">
        <v>0</v>
      </c>
      <c r="L23" s="139">
        <v>0</v>
      </c>
      <c r="M23" s="139">
        <v>1</v>
      </c>
      <c r="S23" s="88"/>
      <c r="T23" s="88"/>
      <c r="U23" s="88"/>
      <c r="W23" s="88"/>
    </row>
    <row r="24" spans="5:23" x14ac:dyDescent="0.25">
      <c r="F24" s="14" t="s">
        <v>1041</v>
      </c>
      <c r="G24" s="108" t="s">
        <v>132</v>
      </c>
      <c r="H24" s="88"/>
      <c r="I24" s="88"/>
      <c r="J24" s="139">
        <v>0</v>
      </c>
      <c r="K24" s="139">
        <v>0</v>
      </c>
      <c r="L24" s="139">
        <v>0</v>
      </c>
      <c r="M24" s="139">
        <v>1</v>
      </c>
      <c r="S24" s="88"/>
      <c r="T24" s="88"/>
      <c r="U24" s="88"/>
      <c r="W24" s="88"/>
    </row>
    <row r="25" spans="5:23" x14ac:dyDescent="0.25">
      <c r="F25" s="14" t="s">
        <v>1042</v>
      </c>
      <c r="G25" s="108" t="s">
        <v>132</v>
      </c>
      <c r="H25" s="88"/>
      <c r="I25" s="88"/>
      <c r="J25" s="139">
        <v>0</v>
      </c>
      <c r="K25" s="139">
        <v>0</v>
      </c>
      <c r="L25" s="139">
        <v>0</v>
      </c>
      <c r="M25" s="139">
        <v>1</v>
      </c>
      <c r="S25" s="88"/>
      <c r="T25" s="88"/>
      <c r="U25" s="88"/>
      <c r="W25" s="88"/>
    </row>
    <row r="26" spans="5:23" x14ac:dyDescent="0.25">
      <c r="F26" s="14" t="s">
        <v>1043</v>
      </c>
      <c r="G26" s="108" t="s">
        <v>132</v>
      </c>
      <c r="H26" s="88"/>
      <c r="I26" s="88"/>
      <c r="J26" s="139">
        <v>0</v>
      </c>
      <c r="K26" s="139">
        <v>0</v>
      </c>
      <c r="L26" s="139">
        <v>1</v>
      </c>
      <c r="M26" s="139">
        <v>0</v>
      </c>
      <c r="S26" s="88"/>
      <c r="T26" s="88"/>
      <c r="U26" s="88"/>
      <c r="W26" s="88"/>
    </row>
    <row r="27" spans="5:23" x14ac:dyDescent="0.25">
      <c r="F27" s="14" t="s">
        <v>1044</v>
      </c>
      <c r="G27" s="108" t="s">
        <v>132</v>
      </c>
      <c r="H27" s="88"/>
      <c r="I27" s="88"/>
      <c r="J27" s="139">
        <v>0</v>
      </c>
      <c r="K27" s="139">
        <v>1</v>
      </c>
      <c r="L27" s="139">
        <v>0</v>
      </c>
      <c r="M27" s="139">
        <v>0</v>
      </c>
      <c r="S27" s="88"/>
      <c r="T27" s="88"/>
      <c r="U27" s="88"/>
      <c r="W27" s="88"/>
    </row>
    <row r="28" spans="5:23" x14ac:dyDescent="0.25">
      <c r="F28" s="14" t="s">
        <v>1045</v>
      </c>
      <c r="G28" s="108" t="s">
        <v>132</v>
      </c>
      <c r="H28" s="88"/>
      <c r="I28" s="88"/>
      <c r="J28" s="139">
        <v>0</v>
      </c>
      <c r="K28" s="139">
        <v>0</v>
      </c>
      <c r="L28" s="139">
        <v>0</v>
      </c>
      <c r="M28" s="139">
        <v>1</v>
      </c>
      <c r="S28" s="88"/>
      <c r="T28" s="88"/>
      <c r="U28" s="88"/>
      <c r="W28" s="88"/>
    </row>
    <row r="29" spans="5:23" x14ac:dyDescent="0.25">
      <c r="F29" s="14" t="s">
        <v>1046</v>
      </c>
      <c r="G29" s="108" t="s">
        <v>132</v>
      </c>
      <c r="H29" s="88"/>
      <c r="I29" s="88"/>
      <c r="J29" s="139">
        <v>0</v>
      </c>
      <c r="K29" s="139">
        <v>0</v>
      </c>
      <c r="L29" s="139">
        <v>0</v>
      </c>
      <c r="M29" s="139">
        <v>1</v>
      </c>
      <c r="S29" s="88"/>
      <c r="T29" s="88"/>
      <c r="U29" s="88"/>
      <c r="W29" s="88"/>
    </row>
    <row r="30" spans="5:23" x14ac:dyDescent="0.25">
      <c r="F30" s="14" t="s">
        <v>1047</v>
      </c>
      <c r="G30" s="108" t="s">
        <v>132</v>
      </c>
      <c r="H30" s="88"/>
      <c r="I30" s="88"/>
      <c r="J30" s="139">
        <v>0</v>
      </c>
      <c r="K30" s="139">
        <v>0</v>
      </c>
      <c r="L30" s="139">
        <v>1</v>
      </c>
      <c r="M30" s="139">
        <v>0</v>
      </c>
      <c r="S30" s="88"/>
      <c r="T30" s="88"/>
      <c r="U30" s="88"/>
      <c r="W30" s="88"/>
    </row>
    <row r="31" spans="5:23" x14ac:dyDescent="0.25">
      <c r="F31" s="14" t="s">
        <v>1048</v>
      </c>
      <c r="G31" s="108" t="s">
        <v>132</v>
      </c>
      <c r="H31" s="88"/>
      <c r="I31" s="88"/>
      <c r="J31" s="139">
        <v>0</v>
      </c>
      <c r="K31" s="139">
        <v>0</v>
      </c>
      <c r="L31" s="139">
        <v>0</v>
      </c>
      <c r="M31" s="139">
        <v>1</v>
      </c>
      <c r="S31" s="88"/>
      <c r="T31" s="88"/>
      <c r="U31" s="88"/>
      <c r="W31" s="88"/>
    </row>
    <row r="32" spans="5:23" x14ac:dyDescent="0.25">
      <c r="F32" s="14" t="s">
        <v>1049</v>
      </c>
      <c r="G32" s="108" t="s">
        <v>132</v>
      </c>
      <c r="H32" s="88"/>
      <c r="I32" s="88"/>
      <c r="J32" s="139">
        <v>0</v>
      </c>
      <c r="K32" s="139">
        <v>0</v>
      </c>
      <c r="L32" s="139">
        <v>0</v>
      </c>
      <c r="M32" s="139">
        <v>1</v>
      </c>
      <c r="S32" s="88"/>
      <c r="T32" s="88"/>
      <c r="U32" s="88"/>
      <c r="W32" s="88"/>
    </row>
    <row r="33" spans="3:23" x14ac:dyDescent="0.25">
      <c r="F33" s="14" t="s">
        <v>1050</v>
      </c>
      <c r="G33" s="108" t="s">
        <v>132</v>
      </c>
      <c r="H33" s="88"/>
      <c r="I33" s="88"/>
      <c r="J33" s="139">
        <v>0</v>
      </c>
      <c r="K33" s="139">
        <v>0</v>
      </c>
      <c r="L33" s="139">
        <v>1</v>
      </c>
      <c r="M33" s="139">
        <v>0</v>
      </c>
      <c r="S33" s="88"/>
      <c r="T33" s="88"/>
      <c r="U33" s="88"/>
      <c r="W33" s="88"/>
    </row>
    <row r="34" spans="3:23" x14ac:dyDescent="0.25">
      <c r="F34" s="14" t="s">
        <v>1051</v>
      </c>
      <c r="G34" s="108" t="s">
        <v>132</v>
      </c>
      <c r="H34" s="88"/>
      <c r="I34" s="88"/>
      <c r="J34" s="139">
        <v>0</v>
      </c>
      <c r="K34" s="139">
        <v>0</v>
      </c>
      <c r="L34" s="139">
        <v>1</v>
      </c>
      <c r="M34" s="139">
        <v>0</v>
      </c>
      <c r="S34" s="88"/>
      <c r="T34" s="88"/>
      <c r="U34" s="88"/>
      <c r="W34" s="88"/>
    </row>
    <row r="35" spans="3:23" x14ac:dyDescent="0.25">
      <c r="F35" s="14" t="s">
        <v>1052</v>
      </c>
      <c r="G35" s="108" t="s">
        <v>132</v>
      </c>
      <c r="H35" s="88"/>
      <c r="I35" s="88"/>
      <c r="J35" s="139">
        <v>0</v>
      </c>
      <c r="K35" s="139">
        <v>1</v>
      </c>
      <c r="L35" s="139">
        <v>0</v>
      </c>
      <c r="M35" s="139">
        <v>0</v>
      </c>
      <c r="S35" s="88"/>
      <c r="T35" s="88"/>
      <c r="U35" s="88"/>
      <c r="W35" s="88"/>
    </row>
    <row r="36" spans="3:23" x14ac:dyDescent="0.25">
      <c r="F36" s="15" t="s">
        <v>1053</v>
      </c>
      <c r="G36" s="131" t="s">
        <v>132</v>
      </c>
      <c r="H36" s="97"/>
      <c r="I36" s="97"/>
      <c r="J36" s="140">
        <v>0</v>
      </c>
      <c r="K36" s="140">
        <v>1</v>
      </c>
      <c r="L36" s="140">
        <v>0</v>
      </c>
      <c r="M36" s="140">
        <v>0</v>
      </c>
      <c r="S36" s="88"/>
      <c r="T36" s="88"/>
      <c r="U36" s="88"/>
      <c r="W36" s="88"/>
    </row>
    <row r="37" spans="3:23" x14ac:dyDescent="0.25"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25">
      <c r="C38" s="7" t="str">
        <f ca="1">INDEX('Version control'!$H$34:$H$58,MATCH($A$1,'Version control'!$F$34:$F$58,0),1)&amp;"-B: Customer contributions"</f>
        <v>Section 506-B: Customer contributions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40" spans="3:23" x14ac:dyDescent="0.25">
      <c r="E40" s="96" t="s">
        <v>621</v>
      </c>
      <c r="H40" s="88"/>
      <c r="I40" s="88" t="s">
        <v>431</v>
      </c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W40" s="88" t="s">
        <v>820</v>
      </c>
    </row>
    <row r="41" spans="3:23" x14ac:dyDescent="0.25">
      <c r="E41" s="82" t="s">
        <v>249</v>
      </c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25">
      <c r="E42" s="96"/>
      <c r="F42" s="31"/>
      <c r="G42" s="31"/>
      <c r="H42" s="31"/>
      <c r="I42" s="31"/>
      <c r="J42" s="31" t="s">
        <v>324</v>
      </c>
      <c r="K42" s="394" t="s">
        <v>43</v>
      </c>
      <c r="L42" s="394" t="s">
        <v>44</v>
      </c>
      <c r="M42" s="394" t="s">
        <v>45</v>
      </c>
      <c r="N42" s="394" t="s">
        <v>46</v>
      </c>
      <c r="O42" s="394" t="s">
        <v>47</v>
      </c>
      <c r="P42" s="394" t="s">
        <v>51</v>
      </c>
      <c r="Q42" s="394" t="s">
        <v>48</v>
      </c>
      <c r="R42" s="394" t="s">
        <v>49</v>
      </c>
      <c r="S42" s="394" t="s">
        <v>50</v>
      </c>
      <c r="T42" s="394" t="s">
        <v>124</v>
      </c>
      <c r="U42" s="394" t="s">
        <v>123</v>
      </c>
    </row>
    <row r="43" spans="3:23" x14ac:dyDescent="0.25">
      <c r="F43" s="14" t="s">
        <v>80</v>
      </c>
      <c r="G43" s="109" t="s">
        <v>94</v>
      </c>
      <c r="H43" s="88"/>
      <c r="I43" s="88"/>
      <c r="J43" s="79"/>
      <c r="K43" s="79"/>
      <c r="L43" s="143">
        <f>'Inputs by network level'!L29</f>
        <v>0</v>
      </c>
      <c r="M43" s="143">
        <f>'Inputs by network level'!M29</f>
        <v>0</v>
      </c>
      <c r="N43" s="143">
        <f>'Inputs by network level'!N29</f>
        <v>0</v>
      </c>
      <c r="O43" s="143">
        <f>'Inputs by network level'!O29</f>
        <v>0</v>
      </c>
      <c r="P43" s="143">
        <f>'Inputs by network level'!P29</f>
        <v>0</v>
      </c>
      <c r="Q43" s="143">
        <f>'Inputs by network level'!Q29</f>
        <v>0.20065197841726601</v>
      </c>
      <c r="R43" s="143">
        <f>'Inputs by network level'!R29</f>
        <v>0.26968503937007898</v>
      </c>
      <c r="S43" s="143">
        <f>'Inputs by network level'!S29</f>
        <v>0.92371773930088197</v>
      </c>
      <c r="T43" s="79"/>
      <c r="U43" s="79"/>
      <c r="W43" s="88"/>
    </row>
    <row r="44" spans="3:23" x14ac:dyDescent="0.25">
      <c r="F44" s="14" t="s">
        <v>81</v>
      </c>
      <c r="G44" s="109" t="s">
        <v>94</v>
      </c>
      <c r="H44" s="88"/>
      <c r="I44" s="88"/>
      <c r="J44" s="79"/>
      <c r="K44" s="79"/>
      <c r="L44" s="143">
        <f>'Inputs by network level'!L30</f>
        <v>0</v>
      </c>
      <c r="M44" s="143">
        <f>'Inputs by network level'!M30</f>
        <v>0</v>
      </c>
      <c r="N44" s="143">
        <f>'Inputs by network level'!N30</f>
        <v>0</v>
      </c>
      <c r="O44" s="143">
        <f>'Inputs by network level'!O30</f>
        <v>0</v>
      </c>
      <c r="P44" s="143">
        <f>'Inputs by network level'!P30</f>
        <v>0</v>
      </c>
      <c r="Q44" s="143">
        <f>'Inputs by network level'!Q30</f>
        <v>0.20065197841726601</v>
      </c>
      <c r="R44" s="143">
        <f>'Inputs by network level'!R30</f>
        <v>0.26968503937007898</v>
      </c>
      <c r="S44" s="143">
        <f>'Inputs by network level'!S30</f>
        <v>0</v>
      </c>
      <c r="T44" s="79"/>
      <c r="U44" s="79"/>
      <c r="W44" s="88"/>
    </row>
    <row r="45" spans="3:23" x14ac:dyDescent="0.25">
      <c r="F45" s="14" t="s">
        <v>82</v>
      </c>
      <c r="G45" s="109" t="s">
        <v>94</v>
      </c>
      <c r="H45" s="88"/>
      <c r="I45" s="88"/>
      <c r="J45" s="79"/>
      <c r="K45" s="79"/>
      <c r="L45" s="143">
        <f>'Inputs by network level'!L31</f>
        <v>0</v>
      </c>
      <c r="M45" s="143">
        <f>'Inputs by network level'!M31</f>
        <v>0</v>
      </c>
      <c r="N45" s="143">
        <f>'Inputs by network level'!N31</f>
        <v>3.11004784688995E-2</v>
      </c>
      <c r="O45" s="143">
        <f>'Inputs by network level'!O31</f>
        <v>0.14212259371833799</v>
      </c>
      <c r="P45" s="143">
        <f>'Inputs by network level'!P31</f>
        <v>0</v>
      </c>
      <c r="Q45" s="143">
        <f>'Inputs by network level'!Q31</f>
        <v>0.45146695143884902</v>
      </c>
      <c r="R45" s="143">
        <f>'Inputs by network level'!R31</f>
        <v>0</v>
      </c>
      <c r="S45" s="143">
        <f>'Inputs by network level'!S31</f>
        <v>0</v>
      </c>
      <c r="T45" s="79"/>
      <c r="U45" s="79"/>
      <c r="W45" s="88"/>
    </row>
    <row r="46" spans="3:23" x14ac:dyDescent="0.25">
      <c r="F46" s="15" t="s">
        <v>83</v>
      </c>
      <c r="G46" s="36" t="s">
        <v>94</v>
      </c>
      <c r="H46" s="97"/>
      <c r="I46" s="97"/>
      <c r="J46" s="102"/>
      <c r="K46" s="102"/>
      <c r="L46" s="395">
        <f>'Inputs by network level'!L32</f>
        <v>0</v>
      </c>
      <c r="M46" s="395">
        <f>'Inputs by network level'!M32</f>
        <v>0</v>
      </c>
      <c r="N46" s="395">
        <f>'Inputs by network level'!N32</f>
        <v>3.11004784688995E-2</v>
      </c>
      <c r="O46" s="395">
        <f>'Inputs by network level'!O32</f>
        <v>0.14212259371833799</v>
      </c>
      <c r="P46" s="395">
        <f>'Inputs by network level'!P32</f>
        <v>0</v>
      </c>
      <c r="Q46" s="395">
        <f>'Inputs by network level'!Q32</f>
        <v>0</v>
      </c>
      <c r="R46" s="395">
        <f>'Inputs by network level'!R32</f>
        <v>0</v>
      </c>
      <c r="S46" s="395">
        <f>'Inputs by network level'!S32</f>
        <v>0</v>
      </c>
      <c r="T46" s="102"/>
      <c r="U46" s="102"/>
      <c r="W46" s="88"/>
    </row>
    <row r="47" spans="3:23" x14ac:dyDescent="0.25">
      <c r="G47" s="10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W47" s="88"/>
    </row>
    <row r="48" spans="3:23" x14ac:dyDescent="0.25">
      <c r="E48" s="96" t="s">
        <v>622</v>
      </c>
      <c r="H48" s="10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W48" s="88"/>
    </row>
    <row r="49" spans="5:23" x14ac:dyDescent="0.25">
      <c r="E49" s="82" t="s">
        <v>250</v>
      </c>
      <c r="H49" s="10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W49" s="88"/>
    </row>
    <row r="50" spans="5:23" x14ac:dyDescent="0.25">
      <c r="F50" s="31"/>
      <c r="G50" s="31"/>
      <c r="H50" s="167"/>
      <c r="I50" s="31"/>
      <c r="J50" s="31" t="s">
        <v>324</v>
      </c>
      <c r="K50" s="394" t="s">
        <v>43</v>
      </c>
      <c r="L50" s="394" t="s">
        <v>44</v>
      </c>
      <c r="M50" s="394" t="s">
        <v>45</v>
      </c>
      <c r="N50" s="394" t="s">
        <v>46</v>
      </c>
      <c r="O50" s="394" t="s">
        <v>47</v>
      </c>
      <c r="P50" s="394" t="s">
        <v>51</v>
      </c>
      <c r="Q50" s="394" t="s">
        <v>48</v>
      </c>
      <c r="R50" s="394" t="s">
        <v>49</v>
      </c>
      <c r="S50" s="394" t="s">
        <v>50</v>
      </c>
      <c r="T50" s="394" t="s">
        <v>124</v>
      </c>
      <c r="U50" s="394" t="s">
        <v>123</v>
      </c>
      <c r="W50" s="88"/>
    </row>
    <row r="51" spans="5:23" x14ac:dyDescent="0.25">
      <c r="F51" s="14" t="s">
        <v>1038</v>
      </c>
      <c r="G51" s="14"/>
      <c r="H51" s="109" t="s">
        <v>94</v>
      </c>
      <c r="J51" s="375"/>
      <c r="K51" s="375"/>
      <c r="L51" s="17">
        <f t="shared" ref="L51:S66" si="0">$M21 * L$43 + $L21 * L$44 + $K21 * L$45 + $J21 * L$46</f>
        <v>0</v>
      </c>
      <c r="M51" s="17">
        <f t="shared" si="0"/>
        <v>0</v>
      </c>
      <c r="N51" s="17">
        <f t="shared" si="0"/>
        <v>0</v>
      </c>
      <c r="O51" s="17">
        <f t="shared" si="0"/>
        <v>0</v>
      </c>
      <c r="P51" s="17">
        <f t="shared" si="0"/>
        <v>0</v>
      </c>
      <c r="Q51" s="17">
        <f t="shared" si="0"/>
        <v>0.20065197841726601</v>
      </c>
      <c r="R51" s="17">
        <f t="shared" si="0"/>
        <v>0.26968503937007898</v>
      </c>
      <c r="S51" s="17">
        <f t="shared" si="0"/>
        <v>0.92371773930088197</v>
      </c>
      <c r="T51" s="375"/>
      <c r="U51" s="375"/>
    </row>
    <row r="52" spans="5:23" x14ac:dyDescent="0.25">
      <c r="F52" s="14" t="s">
        <v>1039</v>
      </c>
      <c r="G52" s="14"/>
      <c r="H52" s="109" t="s">
        <v>94</v>
      </c>
      <c r="J52" s="375"/>
      <c r="K52" s="375"/>
      <c r="L52" s="17">
        <f t="shared" si="0"/>
        <v>0</v>
      </c>
      <c r="M52" s="17">
        <f t="shared" si="0"/>
        <v>0</v>
      </c>
      <c r="N52" s="17">
        <f t="shared" si="0"/>
        <v>0</v>
      </c>
      <c r="O52" s="17">
        <f t="shared" si="0"/>
        <v>0</v>
      </c>
      <c r="P52" s="17">
        <f t="shared" si="0"/>
        <v>0</v>
      </c>
      <c r="Q52" s="17">
        <f t="shared" si="0"/>
        <v>0.20065197841726601</v>
      </c>
      <c r="R52" s="17">
        <f t="shared" si="0"/>
        <v>0.26968503937007898</v>
      </c>
      <c r="S52" s="17">
        <f t="shared" si="0"/>
        <v>0.92371773930088197</v>
      </c>
      <c r="T52" s="375"/>
      <c r="U52" s="375"/>
    </row>
    <row r="53" spans="5:23" x14ac:dyDescent="0.25">
      <c r="F53" s="14" t="s">
        <v>1040</v>
      </c>
      <c r="G53" s="14"/>
      <c r="H53" s="109" t="s">
        <v>94</v>
      </c>
      <c r="J53" s="375"/>
      <c r="K53" s="375"/>
      <c r="L53" s="17">
        <f t="shared" si="0"/>
        <v>0</v>
      </c>
      <c r="M53" s="17">
        <f t="shared" si="0"/>
        <v>0</v>
      </c>
      <c r="N53" s="17">
        <f t="shared" si="0"/>
        <v>0</v>
      </c>
      <c r="O53" s="17">
        <f t="shared" si="0"/>
        <v>0</v>
      </c>
      <c r="P53" s="17">
        <f t="shared" si="0"/>
        <v>0</v>
      </c>
      <c r="Q53" s="17">
        <f t="shared" si="0"/>
        <v>0.20065197841726601</v>
      </c>
      <c r="R53" s="17">
        <f t="shared" si="0"/>
        <v>0.26968503937007898</v>
      </c>
      <c r="S53" s="17">
        <f t="shared" si="0"/>
        <v>0.92371773930088197</v>
      </c>
      <c r="T53" s="375"/>
      <c r="U53" s="375"/>
    </row>
    <row r="54" spans="5:23" x14ac:dyDescent="0.25">
      <c r="F54" s="14" t="s">
        <v>1041</v>
      </c>
      <c r="G54" s="14"/>
      <c r="H54" s="109" t="s">
        <v>94</v>
      </c>
      <c r="J54" s="375"/>
      <c r="K54" s="375"/>
      <c r="L54" s="17">
        <f t="shared" si="0"/>
        <v>0</v>
      </c>
      <c r="M54" s="17">
        <f t="shared" si="0"/>
        <v>0</v>
      </c>
      <c r="N54" s="17">
        <f t="shared" si="0"/>
        <v>0</v>
      </c>
      <c r="O54" s="17">
        <f t="shared" si="0"/>
        <v>0</v>
      </c>
      <c r="P54" s="17">
        <f t="shared" si="0"/>
        <v>0</v>
      </c>
      <c r="Q54" s="17">
        <f t="shared" si="0"/>
        <v>0.20065197841726601</v>
      </c>
      <c r="R54" s="17">
        <f t="shared" si="0"/>
        <v>0.26968503937007898</v>
      </c>
      <c r="S54" s="17">
        <f t="shared" si="0"/>
        <v>0.92371773930088197</v>
      </c>
      <c r="T54" s="375"/>
      <c r="U54" s="375"/>
    </row>
    <row r="55" spans="5:23" x14ac:dyDescent="0.25">
      <c r="F55" s="14" t="s">
        <v>1042</v>
      </c>
      <c r="G55" s="14"/>
      <c r="H55" s="109" t="s">
        <v>94</v>
      </c>
      <c r="J55" s="375"/>
      <c r="K55" s="375"/>
      <c r="L55" s="17">
        <f t="shared" si="0"/>
        <v>0</v>
      </c>
      <c r="M55" s="17">
        <f t="shared" si="0"/>
        <v>0</v>
      </c>
      <c r="N55" s="17">
        <f t="shared" si="0"/>
        <v>0</v>
      </c>
      <c r="O55" s="17">
        <f t="shared" si="0"/>
        <v>0</v>
      </c>
      <c r="P55" s="17">
        <f t="shared" si="0"/>
        <v>0</v>
      </c>
      <c r="Q55" s="17">
        <f t="shared" si="0"/>
        <v>0.20065197841726601</v>
      </c>
      <c r="R55" s="17">
        <f t="shared" si="0"/>
        <v>0.26968503937007898</v>
      </c>
      <c r="S55" s="17">
        <f t="shared" si="0"/>
        <v>0.92371773930088197</v>
      </c>
      <c r="T55" s="375"/>
      <c r="U55" s="375"/>
    </row>
    <row r="56" spans="5:23" x14ac:dyDescent="0.25">
      <c r="F56" s="14" t="s">
        <v>1043</v>
      </c>
      <c r="G56" s="14"/>
      <c r="H56" s="109" t="s">
        <v>94</v>
      </c>
      <c r="J56" s="375"/>
      <c r="K56" s="375"/>
      <c r="L56" s="17">
        <f t="shared" si="0"/>
        <v>0</v>
      </c>
      <c r="M56" s="17">
        <f t="shared" si="0"/>
        <v>0</v>
      </c>
      <c r="N56" s="17">
        <f t="shared" si="0"/>
        <v>0</v>
      </c>
      <c r="O56" s="17">
        <f t="shared" si="0"/>
        <v>0</v>
      </c>
      <c r="P56" s="17">
        <f t="shared" si="0"/>
        <v>0</v>
      </c>
      <c r="Q56" s="17">
        <f t="shared" si="0"/>
        <v>0.20065197841726601</v>
      </c>
      <c r="R56" s="17">
        <f t="shared" si="0"/>
        <v>0.26968503937007898</v>
      </c>
      <c r="S56" s="17">
        <f t="shared" si="0"/>
        <v>0</v>
      </c>
      <c r="T56" s="375"/>
      <c r="U56" s="375"/>
    </row>
    <row r="57" spans="5:23" x14ac:dyDescent="0.25">
      <c r="F57" s="14" t="s">
        <v>1044</v>
      </c>
      <c r="G57" s="14"/>
      <c r="H57" s="109" t="s">
        <v>94</v>
      </c>
      <c r="J57" s="375"/>
      <c r="K57" s="375"/>
      <c r="L57" s="17">
        <f t="shared" si="0"/>
        <v>0</v>
      </c>
      <c r="M57" s="17">
        <f t="shared" si="0"/>
        <v>0</v>
      </c>
      <c r="N57" s="17">
        <f t="shared" si="0"/>
        <v>3.11004784688995E-2</v>
      </c>
      <c r="O57" s="17">
        <f t="shared" si="0"/>
        <v>0.14212259371833799</v>
      </c>
      <c r="P57" s="17">
        <f t="shared" si="0"/>
        <v>0</v>
      </c>
      <c r="Q57" s="17">
        <f t="shared" si="0"/>
        <v>0.45146695143884902</v>
      </c>
      <c r="R57" s="17">
        <f t="shared" si="0"/>
        <v>0</v>
      </c>
      <c r="S57" s="17">
        <f t="shared" si="0"/>
        <v>0</v>
      </c>
      <c r="T57" s="375"/>
      <c r="U57" s="375"/>
    </row>
    <row r="58" spans="5:23" x14ac:dyDescent="0.25">
      <c r="F58" s="14" t="s">
        <v>1045</v>
      </c>
      <c r="G58" s="14"/>
      <c r="H58" s="109" t="s">
        <v>94</v>
      </c>
      <c r="J58" s="375"/>
      <c r="K58" s="375"/>
      <c r="L58" s="17">
        <f t="shared" si="0"/>
        <v>0</v>
      </c>
      <c r="M58" s="17">
        <f t="shared" si="0"/>
        <v>0</v>
      </c>
      <c r="N58" s="17">
        <f t="shared" si="0"/>
        <v>0</v>
      </c>
      <c r="O58" s="17">
        <f t="shared" si="0"/>
        <v>0</v>
      </c>
      <c r="P58" s="17">
        <f t="shared" si="0"/>
        <v>0</v>
      </c>
      <c r="Q58" s="17">
        <f t="shared" si="0"/>
        <v>0.20065197841726601</v>
      </c>
      <c r="R58" s="17">
        <f t="shared" si="0"/>
        <v>0.26968503937007898</v>
      </c>
      <c r="S58" s="17">
        <f t="shared" si="0"/>
        <v>0.92371773930088197</v>
      </c>
      <c r="T58" s="375"/>
      <c r="U58" s="375"/>
    </row>
    <row r="59" spans="5:23" x14ac:dyDescent="0.25">
      <c r="F59" s="14" t="s">
        <v>1046</v>
      </c>
      <c r="G59" s="14"/>
      <c r="H59" s="109" t="s">
        <v>94</v>
      </c>
      <c r="J59" s="375"/>
      <c r="K59" s="375"/>
      <c r="L59" s="17">
        <f t="shared" si="0"/>
        <v>0</v>
      </c>
      <c r="M59" s="17">
        <f t="shared" si="0"/>
        <v>0</v>
      </c>
      <c r="N59" s="17">
        <f t="shared" si="0"/>
        <v>0</v>
      </c>
      <c r="O59" s="17">
        <f t="shared" si="0"/>
        <v>0</v>
      </c>
      <c r="P59" s="17">
        <f t="shared" si="0"/>
        <v>0</v>
      </c>
      <c r="Q59" s="17">
        <f t="shared" si="0"/>
        <v>0.20065197841726601</v>
      </c>
      <c r="R59" s="17">
        <f t="shared" si="0"/>
        <v>0.26968503937007898</v>
      </c>
      <c r="S59" s="17">
        <f t="shared" si="0"/>
        <v>0.92371773930088197</v>
      </c>
      <c r="T59" s="375"/>
      <c r="U59" s="375"/>
    </row>
    <row r="60" spans="5:23" x14ac:dyDescent="0.25">
      <c r="F60" s="14" t="s">
        <v>1047</v>
      </c>
      <c r="G60" s="14"/>
      <c r="H60" s="109" t="s">
        <v>94</v>
      </c>
      <c r="J60" s="375"/>
      <c r="K60" s="375"/>
      <c r="L60" s="17">
        <f t="shared" si="0"/>
        <v>0</v>
      </c>
      <c r="M60" s="17">
        <f t="shared" si="0"/>
        <v>0</v>
      </c>
      <c r="N60" s="17">
        <f t="shared" si="0"/>
        <v>0</v>
      </c>
      <c r="O60" s="17">
        <f t="shared" si="0"/>
        <v>0</v>
      </c>
      <c r="P60" s="17">
        <f t="shared" si="0"/>
        <v>0</v>
      </c>
      <c r="Q60" s="17">
        <f t="shared" si="0"/>
        <v>0.20065197841726601</v>
      </c>
      <c r="R60" s="17">
        <f t="shared" si="0"/>
        <v>0.26968503937007898</v>
      </c>
      <c r="S60" s="17">
        <f t="shared" si="0"/>
        <v>0</v>
      </c>
      <c r="T60" s="375"/>
      <c r="U60" s="375"/>
    </row>
    <row r="61" spans="5:23" x14ac:dyDescent="0.25">
      <c r="F61" s="14" t="s">
        <v>1048</v>
      </c>
      <c r="G61" s="14"/>
      <c r="H61" s="109" t="s">
        <v>94</v>
      </c>
      <c r="J61" s="375"/>
      <c r="K61" s="375"/>
      <c r="L61" s="17">
        <f t="shared" si="0"/>
        <v>0</v>
      </c>
      <c r="M61" s="17">
        <f t="shared" si="0"/>
        <v>0</v>
      </c>
      <c r="N61" s="17">
        <f t="shared" si="0"/>
        <v>0</v>
      </c>
      <c r="O61" s="17">
        <f t="shared" si="0"/>
        <v>0</v>
      </c>
      <c r="P61" s="17">
        <f t="shared" si="0"/>
        <v>0</v>
      </c>
      <c r="Q61" s="17">
        <f t="shared" si="0"/>
        <v>0.20065197841726601</v>
      </c>
      <c r="R61" s="17">
        <f t="shared" si="0"/>
        <v>0.26968503937007898</v>
      </c>
      <c r="S61" s="17">
        <f t="shared" si="0"/>
        <v>0.92371773930088197</v>
      </c>
      <c r="T61" s="375"/>
      <c r="U61" s="375"/>
    </row>
    <row r="62" spans="5:23" x14ac:dyDescent="0.25">
      <c r="F62" s="14" t="s">
        <v>1049</v>
      </c>
      <c r="G62" s="14"/>
      <c r="H62" s="109" t="s">
        <v>94</v>
      </c>
      <c r="J62" s="375"/>
      <c r="K62" s="375"/>
      <c r="L62" s="17">
        <f t="shared" si="0"/>
        <v>0</v>
      </c>
      <c r="M62" s="17">
        <f t="shared" si="0"/>
        <v>0</v>
      </c>
      <c r="N62" s="17">
        <f t="shared" si="0"/>
        <v>0</v>
      </c>
      <c r="O62" s="17">
        <f t="shared" si="0"/>
        <v>0</v>
      </c>
      <c r="P62" s="17">
        <f t="shared" si="0"/>
        <v>0</v>
      </c>
      <c r="Q62" s="17">
        <f t="shared" si="0"/>
        <v>0.20065197841726601</v>
      </c>
      <c r="R62" s="17">
        <f t="shared" si="0"/>
        <v>0.26968503937007898</v>
      </c>
      <c r="S62" s="17">
        <f t="shared" si="0"/>
        <v>0.92371773930088197</v>
      </c>
      <c r="T62" s="375"/>
      <c r="U62" s="375"/>
    </row>
    <row r="63" spans="5:23" x14ac:dyDescent="0.25">
      <c r="F63" s="14" t="s">
        <v>1050</v>
      </c>
      <c r="G63" s="14"/>
      <c r="H63" s="109" t="s">
        <v>94</v>
      </c>
      <c r="J63" s="375"/>
      <c r="K63" s="375"/>
      <c r="L63" s="17">
        <f t="shared" si="0"/>
        <v>0</v>
      </c>
      <c r="M63" s="17">
        <f t="shared" si="0"/>
        <v>0</v>
      </c>
      <c r="N63" s="17">
        <f t="shared" si="0"/>
        <v>0</v>
      </c>
      <c r="O63" s="17">
        <f t="shared" si="0"/>
        <v>0</v>
      </c>
      <c r="P63" s="17">
        <f t="shared" si="0"/>
        <v>0</v>
      </c>
      <c r="Q63" s="17">
        <f t="shared" si="0"/>
        <v>0.20065197841726601</v>
      </c>
      <c r="R63" s="17">
        <f t="shared" si="0"/>
        <v>0.26968503937007898</v>
      </c>
      <c r="S63" s="17">
        <f t="shared" si="0"/>
        <v>0</v>
      </c>
      <c r="T63" s="375"/>
      <c r="U63" s="375"/>
    </row>
    <row r="64" spans="5:23" x14ac:dyDescent="0.25">
      <c r="F64" s="14" t="s">
        <v>1051</v>
      </c>
      <c r="G64" s="14"/>
      <c r="H64" s="109" t="s">
        <v>94</v>
      </c>
      <c r="J64" s="375"/>
      <c r="K64" s="375"/>
      <c r="L64" s="17">
        <f t="shared" si="0"/>
        <v>0</v>
      </c>
      <c r="M64" s="17">
        <f t="shared" si="0"/>
        <v>0</v>
      </c>
      <c r="N64" s="17">
        <f t="shared" si="0"/>
        <v>0</v>
      </c>
      <c r="O64" s="17">
        <f t="shared" si="0"/>
        <v>0</v>
      </c>
      <c r="P64" s="17">
        <f t="shared" si="0"/>
        <v>0</v>
      </c>
      <c r="Q64" s="17">
        <f t="shared" si="0"/>
        <v>0.20065197841726601</v>
      </c>
      <c r="R64" s="17">
        <f t="shared" si="0"/>
        <v>0.26968503937007898</v>
      </c>
      <c r="S64" s="17">
        <f t="shared" si="0"/>
        <v>0</v>
      </c>
      <c r="T64" s="375"/>
      <c r="U64" s="375"/>
    </row>
    <row r="65" spans="2:23" x14ac:dyDescent="0.25">
      <c r="F65" s="14" t="s">
        <v>1052</v>
      </c>
      <c r="G65" s="14"/>
      <c r="H65" s="109" t="s">
        <v>94</v>
      </c>
      <c r="J65" s="375"/>
      <c r="K65" s="375"/>
      <c r="L65" s="17">
        <f t="shared" si="0"/>
        <v>0</v>
      </c>
      <c r="M65" s="17">
        <f t="shared" si="0"/>
        <v>0</v>
      </c>
      <c r="N65" s="17">
        <f t="shared" si="0"/>
        <v>3.11004784688995E-2</v>
      </c>
      <c r="O65" s="17">
        <f t="shared" si="0"/>
        <v>0.14212259371833799</v>
      </c>
      <c r="P65" s="17">
        <f t="shared" si="0"/>
        <v>0</v>
      </c>
      <c r="Q65" s="17">
        <f t="shared" si="0"/>
        <v>0.45146695143884902</v>
      </c>
      <c r="R65" s="17">
        <f t="shared" si="0"/>
        <v>0</v>
      </c>
      <c r="S65" s="17">
        <f t="shared" si="0"/>
        <v>0</v>
      </c>
      <c r="T65" s="375"/>
      <c r="U65" s="375"/>
    </row>
    <row r="66" spans="2:23" x14ac:dyDescent="0.25">
      <c r="F66" s="15" t="s">
        <v>1053</v>
      </c>
      <c r="G66" s="15"/>
      <c r="H66" s="36" t="s">
        <v>94</v>
      </c>
      <c r="I66" s="93"/>
      <c r="J66" s="38"/>
      <c r="K66" s="38"/>
      <c r="L66" s="18">
        <f t="shared" si="0"/>
        <v>0</v>
      </c>
      <c r="M66" s="18">
        <f t="shared" si="0"/>
        <v>0</v>
      </c>
      <c r="N66" s="18">
        <f t="shared" si="0"/>
        <v>3.11004784688995E-2</v>
      </c>
      <c r="O66" s="18">
        <f t="shared" si="0"/>
        <v>0.14212259371833799</v>
      </c>
      <c r="P66" s="18">
        <f t="shared" si="0"/>
        <v>0</v>
      </c>
      <c r="Q66" s="18">
        <f t="shared" si="0"/>
        <v>0.45146695143884902</v>
      </c>
      <c r="R66" s="18">
        <f t="shared" si="0"/>
        <v>0</v>
      </c>
      <c r="S66" s="18">
        <f t="shared" si="0"/>
        <v>0</v>
      </c>
      <c r="T66" s="38"/>
      <c r="U66" s="38"/>
    </row>
    <row r="68" spans="2:23" x14ac:dyDescent="0.25">
      <c r="B68" s="95" t="s">
        <v>109</v>
      </c>
      <c r="C68" s="72"/>
      <c r="D68" s="71"/>
      <c r="E68" s="71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</row>
    <row r="70" spans="2:23" x14ac:dyDescent="0.25">
      <c r="E70" s="295" t="s">
        <v>516</v>
      </c>
      <c r="G70" s="122" t="s">
        <v>692</v>
      </c>
      <c r="H70" s="152">
        <f t="array" ref="H70">SUM(IF(ISERROR(H21:U66), 1))</f>
        <v>0</v>
      </c>
    </row>
    <row r="72" spans="2:23" x14ac:dyDescent="0.25">
      <c r="B72" s="95" t="s">
        <v>110</v>
      </c>
      <c r="C72" s="72"/>
      <c r="D72" s="71"/>
      <c r="E72" s="71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</row>
  </sheetData>
  <sheetProtection sheet="1" objects="1" formatCells="0" formatColumns="0" formatRows="0" sort="0" autoFilter="0"/>
  <conditionalFormatting sqref="H70">
    <cfRule type="cellIs" dxfId="167" priority="3" operator="greaterThan">
      <formula>0</formula>
    </cfRule>
  </conditionalFormatting>
  <conditionalFormatting sqref="A4:XFD4">
    <cfRule type="expression" dxfId="166" priority="2">
      <formula>LEFT($A$4,1) &lt;&gt; "0"</formula>
    </cfRule>
  </conditionalFormatting>
  <conditionalFormatting sqref="J5:U5">
    <cfRule type="expression" dxfId="165" priority="1">
      <formula>LEFT($A$4,1) &lt;&gt; "0"</formula>
    </cfRule>
  </conditionalFormatting>
  <hyperlinks>
    <hyperlink ref="B5:F5" location="'Model map'!A1" display="Click here to return to model map" xr:uid="{00000000-0004-0000-13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8">
    <tabColor theme="4" tint="0.59999389629810485"/>
    <pageSetUpPr fitToPage="1"/>
  </sheetPr>
  <dimension ref="A1:LH14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41" width="17" style="295" hidden="1" customWidth="1"/>
    <col min="42" max="42" width="3.5703125" style="295" hidden="1" customWidth="1"/>
    <col min="43" max="43" width="18.42578125" style="295" hidden="1" customWidth="1"/>
    <col min="44" max="44" width="4.42578125" style="295" hidden="1" customWidth="1"/>
    <col min="45" max="45" width="24.5703125" style="295" hidden="1" customWidth="1"/>
    <col min="46" max="46" width="3.5703125" style="295" hidden="1" customWidth="1"/>
    <col min="47" max="47" width="15.42578125" style="295" hidden="1" customWidth="1"/>
    <col min="48" max="320" width="24.5703125" style="295" hidden="1" customWidth="1"/>
    <col min="321" max="16384" width="8.85546875" style="295" hidden="1"/>
  </cols>
  <sheetData>
    <row r="1" spans="1:43" s="10" customFormat="1" x14ac:dyDescent="0.25">
      <c r="A1" s="10" t="str">
        <f ca="1">MID(CELL("filename",A1),FIND("]",CELL("filename",A1))+1,255)</f>
        <v>Volume adjustments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43" x14ac:dyDescent="0.25">
      <c r="A4" s="371" t="str">
        <f>H140 &amp; IF(H140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72" t="s">
        <v>552</v>
      </c>
      <c r="C5" s="373"/>
      <c r="D5" s="373"/>
      <c r="E5" s="373"/>
      <c r="F5" s="373"/>
      <c r="G5" s="1" t="s">
        <v>91</v>
      </c>
      <c r="H5" s="2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407</v>
      </c>
    </row>
    <row r="10" spans="1:43" x14ac:dyDescent="0.25">
      <c r="C10" s="82" t="s">
        <v>681</v>
      </c>
    </row>
    <row r="11" spans="1:43" x14ac:dyDescent="0.25">
      <c r="C11" s="82" t="s">
        <v>682</v>
      </c>
    </row>
    <row r="13" spans="1:43" x14ac:dyDescent="0.25">
      <c r="B13" s="95" t="s">
        <v>148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Q13" s="95"/>
    </row>
    <row r="14" spans="1:43" x14ac:dyDescent="0.25">
      <c r="C14" s="82"/>
    </row>
    <row r="15" spans="1:43" x14ac:dyDescent="0.25">
      <c r="C15" s="7" t="str">
        <f ca="1">INDEX('Version control'!$H$34:$H$58,MATCH($A$1,'Version control'!$F$34:$F$58,0),1)&amp;"-A: LDNO discounts"</f>
        <v>Section 507-A: LDNO discounts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Q15" s="95"/>
    </row>
    <row r="16" spans="1:43" x14ac:dyDescent="0.25">
      <c r="C16" s="82"/>
    </row>
    <row r="17" spans="4:43" x14ac:dyDescent="0.25">
      <c r="D17" s="82" t="s">
        <v>409</v>
      </c>
    </row>
    <row r="18" spans="4:43" x14ac:dyDescent="0.25">
      <c r="D18" s="82" t="s">
        <v>410</v>
      </c>
    </row>
    <row r="19" spans="4:43" x14ac:dyDescent="0.25">
      <c r="D19" s="82"/>
    </row>
    <row r="20" spans="4:43" x14ac:dyDescent="0.25">
      <c r="E20" s="86" t="s">
        <v>156</v>
      </c>
      <c r="I20" s="295" t="s">
        <v>431</v>
      </c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</row>
    <row r="21" spans="4:43" x14ac:dyDescent="0.25">
      <c r="E21" s="82" t="s">
        <v>408</v>
      </c>
      <c r="AA21" s="295" t="s">
        <v>821</v>
      </c>
    </row>
    <row r="22" spans="4:43" x14ac:dyDescent="0.25">
      <c r="F22" s="91" t="s">
        <v>66</v>
      </c>
      <c r="G22" s="91" t="s">
        <v>94</v>
      </c>
      <c r="H22" s="137">
        <f>'General inputs'!H33</f>
        <v>0.39067242808448932</v>
      </c>
      <c r="AQ22" s="88"/>
    </row>
    <row r="23" spans="4:43" x14ac:dyDescent="0.25">
      <c r="F23" s="295" t="s">
        <v>67</v>
      </c>
      <c r="G23" s="295" t="s">
        <v>94</v>
      </c>
      <c r="H23" s="143">
        <f>'General inputs'!H34</f>
        <v>0.60361788113874959</v>
      </c>
      <c r="AQ23" s="88"/>
    </row>
    <row r="24" spans="4:43" x14ac:dyDescent="0.25">
      <c r="F24" s="295" t="s">
        <v>68</v>
      </c>
      <c r="G24" s="295" t="s">
        <v>94</v>
      </c>
      <c r="H24" s="143">
        <f>'General inputs'!H35</f>
        <v>0.34819248571328243</v>
      </c>
      <c r="AQ24" s="88"/>
    </row>
    <row r="25" spans="4:43" x14ac:dyDescent="0.25">
      <c r="F25" s="93" t="s">
        <v>69</v>
      </c>
      <c r="G25" s="93" t="s">
        <v>94</v>
      </c>
      <c r="H25" s="395">
        <f>'General inputs'!H36</f>
        <v>0.25174009320591562</v>
      </c>
      <c r="AQ25" s="88"/>
    </row>
    <row r="27" spans="4:43" x14ac:dyDescent="0.25">
      <c r="E27" s="96" t="s">
        <v>157</v>
      </c>
      <c r="I27" s="295" t="s">
        <v>431</v>
      </c>
      <c r="AA27" s="295" t="s">
        <v>1026</v>
      </c>
      <c r="AQ27" s="88"/>
    </row>
    <row r="28" spans="4:43" x14ac:dyDescent="0.25">
      <c r="E28" s="82" t="s">
        <v>679</v>
      </c>
    </row>
    <row r="29" spans="4:43" x14ac:dyDescent="0.25">
      <c r="E29" s="82" t="s">
        <v>680</v>
      </c>
    </row>
    <row r="30" spans="4:43" x14ac:dyDescent="0.25">
      <c r="F30" s="91" t="s">
        <v>66</v>
      </c>
      <c r="G30" s="91" t="s">
        <v>132</v>
      </c>
      <c r="H30" s="91"/>
      <c r="I30" s="91"/>
      <c r="J30" s="299">
        <f>'Fixed inputs'!J46</f>
        <v>1</v>
      </c>
      <c r="K30" s="299">
        <f>'Fixed inputs'!K46</f>
        <v>1</v>
      </c>
      <c r="L30" s="299">
        <f>'Fixed inputs'!L46</f>
        <v>1</v>
      </c>
      <c r="M30" s="299">
        <f>'Fixed inputs'!M46</f>
        <v>1</v>
      </c>
      <c r="N30" s="299">
        <f>'Fixed inputs'!N46</f>
        <v>1</v>
      </c>
      <c r="O30" s="299">
        <f>'Fixed inputs'!O46</f>
        <v>0</v>
      </c>
      <c r="P30" s="299">
        <f>'Fixed inputs'!P46</f>
        <v>0</v>
      </c>
      <c r="Q30" s="299">
        <f>'Fixed inputs'!Q46</f>
        <v>1</v>
      </c>
      <c r="R30" s="299">
        <f>'Fixed inputs'!R46</f>
        <v>0</v>
      </c>
      <c r="S30" s="299">
        <f>'Fixed inputs'!S46</f>
        <v>0</v>
      </c>
      <c r="T30" s="299">
        <f>'Fixed inputs'!T46</f>
        <v>0</v>
      </c>
      <c r="U30" s="299">
        <f>'Fixed inputs'!U46</f>
        <v>0</v>
      </c>
      <c r="V30" s="299">
        <f>'Fixed inputs'!V46</f>
        <v>0</v>
      </c>
      <c r="W30" s="299">
        <f>'Fixed inputs'!W46</f>
        <v>0</v>
      </c>
      <c r="X30" s="299">
        <f>'Fixed inputs'!X46</f>
        <v>0</v>
      </c>
      <c r="Y30" s="299">
        <f>'Fixed inputs'!Y46</f>
        <v>0</v>
      </c>
      <c r="AQ30" s="88"/>
    </row>
    <row r="31" spans="4:43" x14ac:dyDescent="0.25">
      <c r="F31" s="295" t="s">
        <v>67</v>
      </c>
      <c r="G31" s="295" t="s">
        <v>132</v>
      </c>
      <c r="J31" s="139">
        <f>'Fixed inputs'!J47</f>
        <v>1</v>
      </c>
      <c r="K31" s="139">
        <f>'Fixed inputs'!K47</f>
        <v>1</v>
      </c>
      <c r="L31" s="139">
        <f>'Fixed inputs'!L47</f>
        <v>1</v>
      </c>
      <c r="M31" s="139">
        <f>'Fixed inputs'!M47</f>
        <v>1</v>
      </c>
      <c r="N31" s="139">
        <f>'Fixed inputs'!N47</f>
        <v>1</v>
      </c>
      <c r="O31" s="139">
        <f>'Fixed inputs'!O47</f>
        <v>0</v>
      </c>
      <c r="P31" s="139">
        <f>'Fixed inputs'!P47</f>
        <v>0</v>
      </c>
      <c r="Q31" s="139">
        <f>'Fixed inputs'!Q47</f>
        <v>1</v>
      </c>
      <c r="R31" s="139">
        <f>'Fixed inputs'!R47</f>
        <v>0</v>
      </c>
      <c r="S31" s="139">
        <f>'Fixed inputs'!S47</f>
        <v>0</v>
      </c>
      <c r="T31" s="139">
        <f>'Fixed inputs'!T47</f>
        <v>0</v>
      </c>
      <c r="U31" s="139">
        <f>'Fixed inputs'!U47</f>
        <v>0</v>
      </c>
      <c r="V31" s="139">
        <f>'Fixed inputs'!V47</f>
        <v>0</v>
      </c>
      <c r="W31" s="139">
        <f>'Fixed inputs'!W47</f>
        <v>0</v>
      </c>
      <c r="X31" s="139">
        <f>'Fixed inputs'!X47</f>
        <v>0</v>
      </c>
      <c r="Y31" s="139">
        <f>'Fixed inputs'!Y47</f>
        <v>0</v>
      </c>
      <c r="AQ31" s="88"/>
    </row>
    <row r="32" spans="4:43" x14ac:dyDescent="0.25">
      <c r="F32" s="295" t="s">
        <v>68</v>
      </c>
      <c r="G32" s="295" t="s">
        <v>132</v>
      </c>
      <c r="J32" s="139">
        <f>'Fixed inputs'!J48</f>
        <v>0</v>
      </c>
      <c r="K32" s="139">
        <f>'Fixed inputs'!K48</f>
        <v>0</v>
      </c>
      <c r="L32" s="139">
        <f>'Fixed inputs'!L48</f>
        <v>0</v>
      </c>
      <c r="M32" s="139">
        <f>'Fixed inputs'!M48</f>
        <v>0</v>
      </c>
      <c r="N32" s="139">
        <f>'Fixed inputs'!N48</f>
        <v>0</v>
      </c>
      <c r="O32" s="139">
        <f>'Fixed inputs'!O48</f>
        <v>1</v>
      </c>
      <c r="P32" s="139">
        <f>'Fixed inputs'!P48</f>
        <v>0</v>
      </c>
      <c r="Q32" s="139">
        <f>'Fixed inputs'!Q48</f>
        <v>0</v>
      </c>
      <c r="R32" s="139">
        <f>'Fixed inputs'!R48</f>
        <v>0</v>
      </c>
      <c r="S32" s="139">
        <f>'Fixed inputs'!S48</f>
        <v>0</v>
      </c>
      <c r="T32" s="139">
        <f>'Fixed inputs'!T48</f>
        <v>0</v>
      </c>
      <c r="U32" s="139">
        <f>'Fixed inputs'!U48</f>
        <v>0</v>
      </c>
      <c r="V32" s="139">
        <f>'Fixed inputs'!V48</f>
        <v>0</v>
      </c>
      <c r="W32" s="139">
        <f>'Fixed inputs'!W48</f>
        <v>0</v>
      </c>
      <c r="X32" s="139">
        <f>'Fixed inputs'!X48</f>
        <v>0</v>
      </c>
      <c r="Y32" s="139">
        <f>'Fixed inputs'!Y48</f>
        <v>0</v>
      </c>
      <c r="AQ32" s="88"/>
    </row>
    <row r="33" spans="4:43" x14ac:dyDescent="0.25">
      <c r="F33" s="93" t="s">
        <v>69</v>
      </c>
      <c r="G33" s="93" t="s">
        <v>132</v>
      </c>
      <c r="H33" s="93"/>
      <c r="I33" s="93"/>
      <c r="J33" s="140">
        <f>'Fixed inputs'!J49</f>
        <v>0</v>
      </c>
      <c r="K33" s="140">
        <f>'Fixed inputs'!K49</f>
        <v>0</v>
      </c>
      <c r="L33" s="140">
        <f>'Fixed inputs'!L49</f>
        <v>0</v>
      </c>
      <c r="M33" s="140">
        <f>'Fixed inputs'!M49</f>
        <v>0</v>
      </c>
      <c r="N33" s="140">
        <f>'Fixed inputs'!N49</f>
        <v>0</v>
      </c>
      <c r="O33" s="140">
        <f>'Fixed inputs'!O49</f>
        <v>0</v>
      </c>
      <c r="P33" s="140">
        <f>'Fixed inputs'!P49</f>
        <v>1</v>
      </c>
      <c r="Q33" s="140">
        <f>'Fixed inputs'!Q49</f>
        <v>0</v>
      </c>
      <c r="R33" s="140">
        <f>'Fixed inputs'!R49</f>
        <v>0</v>
      </c>
      <c r="S33" s="140">
        <f>'Fixed inputs'!S49</f>
        <v>0</v>
      </c>
      <c r="T33" s="140">
        <f>'Fixed inputs'!T49</f>
        <v>0</v>
      </c>
      <c r="U33" s="140">
        <f>'Fixed inputs'!U49</f>
        <v>0</v>
      </c>
      <c r="V33" s="140">
        <f>'Fixed inputs'!V49</f>
        <v>0</v>
      </c>
      <c r="W33" s="140">
        <f>'Fixed inputs'!W49</f>
        <v>0</v>
      </c>
      <c r="X33" s="140">
        <f>'Fixed inputs'!X49</f>
        <v>0</v>
      </c>
      <c r="Y33" s="140">
        <f>'Fixed inputs'!Y49</f>
        <v>0</v>
      </c>
      <c r="AQ33" s="88"/>
    </row>
    <row r="34" spans="4:43" x14ac:dyDescent="0.25">
      <c r="F34" s="14" t="s">
        <v>149</v>
      </c>
      <c r="G34" s="14" t="s">
        <v>94</v>
      </c>
      <c r="J34" s="396">
        <f t="shared" ref="J34:Y34" si="0">J30 * $H$22</f>
        <v>0.39067242808448932</v>
      </c>
      <c r="K34" s="396">
        <f t="shared" si="0"/>
        <v>0.39067242808448932</v>
      </c>
      <c r="L34" s="396">
        <f t="shared" si="0"/>
        <v>0.39067242808448932</v>
      </c>
      <c r="M34" s="396">
        <f t="shared" si="0"/>
        <v>0.39067242808448932</v>
      </c>
      <c r="N34" s="396">
        <f t="shared" si="0"/>
        <v>0.39067242808448932</v>
      </c>
      <c r="O34" s="396">
        <f t="shared" si="0"/>
        <v>0</v>
      </c>
      <c r="P34" s="396">
        <f t="shared" si="0"/>
        <v>0</v>
      </c>
      <c r="Q34" s="396">
        <f t="shared" si="0"/>
        <v>0.39067242808448932</v>
      </c>
      <c r="R34" s="396">
        <f t="shared" si="0"/>
        <v>0</v>
      </c>
      <c r="S34" s="396">
        <f t="shared" si="0"/>
        <v>0</v>
      </c>
      <c r="T34" s="396">
        <f t="shared" si="0"/>
        <v>0</v>
      </c>
      <c r="U34" s="396">
        <f t="shared" si="0"/>
        <v>0</v>
      </c>
      <c r="V34" s="396">
        <f t="shared" si="0"/>
        <v>0</v>
      </c>
      <c r="W34" s="396">
        <f t="shared" si="0"/>
        <v>0</v>
      </c>
      <c r="X34" s="396">
        <f t="shared" si="0"/>
        <v>0</v>
      </c>
      <c r="Y34" s="396">
        <f t="shared" si="0"/>
        <v>0</v>
      </c>
      <c r="AQ34" s="88"/>
    </row>
    <row r="35" spans="4:43" x14ac:dyDescent="0.25">
      <c r="F35" s="14" t="s">
        <v>150</v>
      </c>
      <c r="G35" s="14" t="s">
        <v>94</v>
      </c>
      <c r="J35" s="396">
        <f t="shared" ref="J35:Y35" si="1">SUMPRODUCT(J31:J33,$H$23:$H$25)</f>
        <v>0.60361788113874959</v>
      </c>
      <c r="K35" s="396">
        <f t="shared" si="1"/>
        <v>0.60361788113874959</v>
      </c>
      <c r="L35" s="396">
        <f t="shared" si="1"/>
        <v>0.60361788113874959</v>
      </c>
      <c r="M35" s="396">
        <f t="shared" si="1"/>
        <v>0.60361788113874959</v>
      </c>
      <c r="N35" s="396">
        <f t="shared" si="1"/>
        <v>0.60361788113874959</v>
      </c>
      <c r="O35" s="396">
        <f t="shared" si="1"/>
        <v>0.34819248571328243</v>
      </c>
      <c r="P35" s="396">
        <f t="shared" si="1"/>
        <v>0.25174009320591562</v>
      </c>
      <c r="Q35" s="396">
        <f t="shared" si="1"/>
        <v>0.60361788113874959</v>
      </c>
      <c r="R35" s="396">
        <f t="shared" si="1"/>
        <v>0</v>
      </c>
      <c r="S35" s="396">
        <f t="shared" si="1"/>
        <v>0</v>
      </c>
      <c r="T35" s="396">
        <f t="shared" si="1"/>
        <v>0</v>
      </c>
      <c r="U35" s="396">
        <f t="shared" si="1"/>
        <v>0</v>
      </c>
      <c r="V35" s="396">
        <f t="shared" si="1"/>
        <v>0</v>
      </c>
      <c r="W35" s="396">
        <f t="shared" si="1"/>
        <v>0</v>
      </c>
      <c r="X35" s="396">
        <f t="shared" si="1"/>
        <v>0</v>
      </c>
      <c r="Y35" s="396">
        <f t="shared" si="1"/>
        <v>0</v>
      </c>
      <c r="AQ35" s="88"/>
    </row>
    <row r="36" spans="4:43" x14ac:dyDescent="0.25">
      <c r="D36" s="96"/>
      <c r="AQ36" s="88"/>
    </row>
    <row r="37" spans="4:43" x14ac:dyDescent="0.25">
      <c r="E37" s="96" t="s">
        <v>172</v>
      </c>
      <c r="I37" s="295" t="s">
        <v>431</v>
      </c>
      <c r="AA37" s="295" t="s">
        <v>1026</v>
      </c>
      <c r="AQ37" s="88"/>
    </row>
    <row r="38" spans="4:43" x14ac:dyDescent="0.25">
      <c r="E38" s="82" t="s">
        <v>411</v>
      </c>
    </row>
    <row r="39" spans="4:43" x14ac:dyDescent="0.25">
      <c r="F39" s="14" t="s">
        <v>440</v>
      </c>
      <c r="G39" s="14" t="s">
        <v>174</v>
      </c>
      <c r="J39" s="397" t="b">
        <f>'Fixed inputs'!J105</f>
        <v>0</v>
      </c>
      <c r="K39" s="397" t="b">
        <f>'Fixed inputs'!K105</f>
        <v>0</v>
      </c>
      <c r="L39" s="397" t="b">
        <f>'Fixed inputs'!L105</f>
        <v>0</v>
      </c>
      <c r="M39" s="397" t="b">
        <f>'Fixed inputs'!M105</f>
        <v>0</v>
      </c>
      <c r="N39" s="397" t="b">
        <f>'Fixed inputs'!N105</f>
        <v>0</v>
      </c>
      <c r="O39" s="397" t="b">
        <f>'Fixed inputs'!O105</f>
        <v>0</v>
      </c>
      <c r="P39" s="397" t="b">
        <f>'Fixed inputs'!P105</f>
        <v>0</v>
      </c>
      <c r="Q39" s="397" t="b">
        <f>'Fixed inputs'!Q105</f>
        <v>0</v>
      </c>
      <c r="R39" s="397" t="b">
        <f>'Fixed inputs'!R105</f>
        <v>1</v>
      </c>
      <c r="S39" s="397" t="b">
        <f>'Fixed inputs'!S105</f>
        <v>1</v>
      </c>
      <c r="T39" s="397" t="b">
        <f>'Fixed inputs'!T105</f>
        <v>1</v>
      </c>
      <c r="U39" s="397" t="b">
        <f>'Fixed inputs'!U105</f>
        <v>1</v>
      </c>
      <c r="V39" s="397" t="b">
        <f>'Fixed inputs'!V105</f>
        <v>1</v>
      </c>
      <c r="W39" s="397" t="b">
        <f>'Fixed inputs'!W105</f>
        <v>1</v>
      </c>
      <c r="X39" s="397" t="b">
        <f>'Fixed inputs'!X105</f>
        <v>1</v>
      </c>
      <c r="Y39" s="397" t="b">
        <f>'Fixed inputs'!Y105</f>
        <v>1</v>
      </c>
      <c r="AQ39" s="88"/>
    </row>
    <row r="40" spans="4:43" x14ac:dyDescent="0.25">
      <c r="F40" s="14" t="s">
        <v>441</v>
      </c>
      <c r="G40" s="14" t="s">
        <v>174</v>
      </c>
      <c r="J40" s="397" t="b">
        <f>'Fixed inputs'!J109</f>
        <v>0</v>
      </c>
      <c r="K40" s="397" t="b">
        <f>'Fixed inputs'!K109</f>
        <v>0</v>
      </c>
      <c r="L40" s="397" t="b">
        <f>'Fixed inputs'!L109</f>
        <v>0</v>
      </c>
      <c r="M40" s="397" t="b">
        <f>'Fixed inputs'!M109</f>
        <v>0</v>
      </c>
      <c r="N40" s="397" t="b">
        <f>'Fixed inputs'!N109</f>
        <v>0</v>
      </c>
      <c r="O40" s="397" t="b">
        <f>'Fixed inputs'!O109</f>
        <v>0</v>
      </c>
      <c r="P40" s="397" t="b">
        <f>'Fixed inputs'!P109</f>
        <v>0</v>
      </c>
      <c r="Q40" s="397" t="b">
        <f>'Fixed inputs'!Q109</f>
        <v>0</v>
      </c>
      <c r="R40" s="397" t="b">
        <f>'Fixed inputs'!R109</f>
        <v>1</v>
      </c>
      <c r="S40" s="397" t="b">
        <f>'Fixed inputs'!S109</f>
        <v>1</v>
      </c>
      <c r="T40" s="397" t="b">
        <f>'Fixed inputs'!T109</f>
        <v>1</v>
      </c>
      <c r="U40" s="397" t="b">
        <f>'Fixed inputs'!U109</f>
        <v>1</v>
      </c>
      <c r="V40" s="397" t="b">
        <f>'Fixed inputs'!V109</f>
        <v>1</v>
      </c>
      <c r="W40" s="397" t="b">
        <f>'Fixed inputs'!W109</f>
        <v>1</v>
      </c>
      <c r="X40" s="397" t="b">
        <f>'Fixed inputs'!X109</f>
        <v>1</v>
      </c>
      <c r="Y40" s="397" t="b">
        <f>'Fixed inputs'!Y109</f>
        <v>1</v>
      </c>
      <c r="AQ40" s="88"/>
    </row>
    <row r="41" spans="4:43" x14ac:dyDescent="0.25">
      <c r="F41" s="14" t="s">
        <v>442</v>
      </c>
      <c r="G41" s="14" t="s">
        <v>174</v>
      </c>
      <c r="J41" s="397" t="b">
        <f>'Fixed inputs'!J113</f>
        <v>0</v>
      </c>
      <c r="K41" s="397" t="b">
        <f>'Fixed inputs'!K113</f>
        <v>0</v>
      </c>
      <c r="L41" s="397" t="b">
        <f>'Fixed inputs'!L113</f>
        <v>0</v>
      </c>
      <c r="M41" s="397" t="b">
        <f>'Fixed inputs'!M113</f>
        <v>0</v>
      </c>
      <c r="N41" s="397" t="b">
        <f>'Fixed inputs'!N113</f>
        <v>0</v>
      </c>
      <c r="O41" s="397" t="b">
        <f>'Fixed inputs'!O113</f>
        <v>0</v>
      </c>
      <c r="P41" s="397" t="b">
        <f>'Fixed inputs'!P113</f>
        <v>0</v>
      </c>
      <c r="Q41" s="397" t="b">
        <f>'Fixed inputs'!Q113</f>
        <v>0</v>
      </c>
      <c r="R41" s="397" t="b">
        <f>'Fixed inputs'!R113</f>
        <v>1</v>
      </c>
      <c r="S41" s="397" t="b">
        <f>'Fixed inputs'!S113</f>
        <v>1</v>
      </c>
      <c r="T41" s="397" t="b">
        <f>'Fixed inputs'!T113</f>
        <v>1</v>
      </c>
      <c r="U41" s="397" t="b">
        <f>'Fixed inputs'!U113</f>
        <v>1</v>
      </c>
      <c r="V41" s="397" t="b">
        <f>'Fixed inputs'!V113</f>
        <v>1</v>
      </c>
      <c r="W41" s="397" t="b">
        <f>'Fixed inputs'!W113</f>
        <v>1</v>
      </c>
      <c r="X41" s="397" t="b">
        <f>'Fixed inputs'!X113</f>
        <v>1</v>
      </c>
      <c r="Y41" s="397" t="b">
        <f>'Fixed inputs'!Y113</f>
        <v>1</v>
      </c>
      <c r="AQ41" s="88"/>
    </row>
    <row r="42" spans="4:43" x14ac:dyDescent="0.25">
      <c r="F42" s="14" t="s">
        <v>443</v>
      </c>
      <c r="G42" s="14" t="s">
        <v>174</v>
      </c>
      <c r="J42" s="397" t="b">
        <f>'Fixed inputs'!J117</f>
        <v>0</v>
      </c>
      <c r="K42" s="397" t="b">
        <f>'Fixed inputs'!K117</f>
        <v>0</v>
      </c>
      <c r="L42" s="397" t="b">
        <f>'Fixed inputs'!L117</f>
        <v>0</v>
      </c>
      <c r="M42" s="397" t="b">
        <f>'Fixed inputs'!M117</f>
        <v>0</v>
      </c>
      <c r="N42" s="397" t="b">
        <f>'Fixed inputs'!N117</f>
        <v>0</v>
      </c>
      <c r="O42" s="397" t="b">
        <f>'Fixed inputs'!O117</f>
        <v>0</v>
      </c>
      <c r="P42" s="397" t="b">
        <f>'Fixed inputs'!P117</f>
        <v>0</v>
      </c>
      <c r="Q42" s="397" t="b">
        <f>'Fixed inputs'!Q117</f>
        <v>0</v>
      </c>
      <c r="R42" s="397" t="b">
        <f>'Fixed inputs'!R117</f>
        <v>1</v>
      </c>
      <c r="S42" s="397" t="b">
        <f>'Fixed inputs'!S117</f>
        <v>1</v>
      </c>
      <c r="T42" s="397" t="b">
        <f>'Fixed inputs'!T117</f>
        <v>1</v>
      </c>
      <c r="U42" s="397" t="b">
        <f>'Fixed inputs'!U117</f>
        <v>1</v>
      </c>
      <c r="V42" s="397" t="b">
        <f>'Fixed inputs'!V117</f>
        <v>1</v>
      </c>
      <c r="W42" s="397" t="b">
        <f>'Fixed inputs'!W117</f>
        <v>1</v>
      </c>
      <c r="X42" s="397" t="b">
        <f>'Fixed inputs'!X117</f>
        <v>1</v>
      </c>
      <c r="Y42" s="397" t="b">
        <f>'Fixed inputs'!Y117</f>
        <v>1</v>
      </c>
      <c r="AQ42" s="88"/>
    </row>
    <row r="43" spans="4:43" x14ac:dyDescent="0.25">
      <c r="F43" s="14" t="s">
        <v>444</v>
      </c>
      <c r="G43" s="14" t="s">
        <v>174</v>
      </c>
      <c r="J43" s="397" t="b">
        <f>'Fixed inputs'!J121</f>
        <v>0</v>
      </c>
      <c r="K43" s="397" t="b">
        <f>'Fixed inputs'!K121</f>
        <v>0</v>
      </c>
      <c r="L43" s="397" t="b">
        <f>'Fixed inputs'!L121</f>
        <v>0</v>
      </c>
      <c r="M43" s="397" t="b">
        <f>'Fixed inputs'!M121</f>
        <v>0</v>
      </c>
      <c r="N43" s="397" t="b">
        <f>'Fixed inputs'!N121</f>
        <v>0</v>
      </c>
      <c r="O43" s="397" t="b">
        <f>'Fixed inputs'!O121</f>
        <v>0</v>
      </c>
      <c r="P43" s="397" t="b">
        <f>'Fixed inputs'!P121</f>
        <v>0</v>
      </c>
      <c r="Q43" s="397" t="b">
        <f>'Fixed inputs'!Q121</f>
        <v>0</v>
      </c>
      <c r="R43" s="397" t="b">
        <f>'Fixed inputs'!R121</f>
        <v>1</v>
      </c>
      <c r="S43" s="397" t="b">
        <f>'Fixed inputs'!S121</f>
        <v>1</v>
      </c>
      <c r="T43" s="397" t="b">
        <f>'Fixed inputs'!T121</f>
        <v>1</v>
      </c>
      <c r="U43" s="397" t="b">
        <f>'Fixed inputs'!U121</f>
        <v>1</v>
      </c>
      <c r="V43" s="397" t="b">
        <f>'Fixed inputs'!V121</f>
        <v>1</v>
      </c>
      <c r="W43" s="397" t="b">
        <f>'Fixed inputs'!W121</f>
        <v>1</v>
      </c>
      <c r="X43" s="397" t="b">
        <f>'Fixed inputs'!X121</f>
        <v>1</v>
      </c>
      <c r="Y43" s="397" t="b">
        <f>'Fixed inputs'!Y121</f>
        <v>1</v>
      </c>
      <c r="AQ43" s="88"/>
    </row>
    <row r="44" spans="4:43" x14ac:dyDescent="0.25">
      <c r="D44" s="96"/>
      <c r="AQ44" s="88"/>
    </row>
    <row r="45" spans="4:43" x14ac:dyDescent="0.25">
      <c r="F45" s="14" t="s">
        <v>175</v>
      </c>
      <c r="G45" s="14" t="s">
        <v>94</v>
      </c>
      <c r="J45" s="143">
        <f>'Fixed inputs'!J106</f>
        <v>0</v>
      </c>
      <c r="K45" s="143">
        <f>'Fixed inputs'!K106</f>
        <v>0</v>
      </c>
      <c r="L45" s="143">
        <f>'Fixed inputs'!L106</f>
        <v>0</v>
      </c>
      <c r="M45" s="143">
        <f>'Fixed inputs'!M106</f>
        <v>0</v>
      </c>
      <c r="N45" s="143">
        <f>'Fixed inputs'!N106</f>
        <v>0</v>
      </c>
      <c r="O45" s="143">
        <f>'Fixed inputs'!O106</f>
        <v>0</v>
      </c>
      <c r="P45" s="143">
        <f>'Fixed inputs'!P106</f>
        <v>0</v>
      </c>
      <c r="Q45" s="143">
        <f>'Fixed inputs'!Q106</f>
        <v>0</v>
      </c>
      <c r="R45" s="143">
        <f>'Fixed inputs'!R106</f>
        <v>0</v>
      </c>
      <c r="S45" s="143">
        <f>'Fixed inputs'!S106</f>
        <v>0</v>
      </c>
      <c r="T45" s="143">
        <f>'Fixed inputs'!T106</f>
        <v>0</v>
      </c>
      <c r="U45" s="143">
        <f>'Fixed inputs'!U106</f>
        <v>0</v>
      </c>
      <c r="V45" s="143">
        <f>'Fixed inputs'!V106</f>
        <v>0</v>
      </c>
      <c r="W45" s="143">
        <f>'Fixed inputs'!W106</f>
        <v>0</v>
      </c>
      <c r="X45" s="143">
        <f>'Fixed inputs'!X106</f>
        <v>0</v>
      </c>
      <c r="Y45" s="143">
        <f>'Fixed inputs'!Y106</f>
        <v>0</v>
      </c>
      <c r="AQ45" s="88"/>
    </row>
    <row r="46" spans="4:43" x14ac:dyDescent="0.25">
      <c r="F46" s="14" t="s">
        <v>176</v>
      </c>
      <c r="G46" s="14" t="s">
        <v>94</v>
      </c>
      <c r="J46" s="143">
        <f>'Fixed inputs'!J110</f>
        <v>0</v>
      </c>
      <c r="K46" s="143">
        <f>'Fixed inputs'!K110</f>
        <v>0</v>
      </c>
      <c r="L46" s="143">
        <f>'Fixed inputs'!L110</f>
        <v>0</v>
      </c>
      <c r="M46" s="143">
        <f>'Fixed inputs'!M110</f>
        <v>0</v>
      </c>
      <c r="N46" s="143">
        <f>'Fixed inputs'!N110</f>
        <v>0</v>
      </c>
      <c r="O46" s="143">
        <f>'Fixed inputs'!O110</f>
        <v>0</v>
      </c>
      <c r="P46" s="143">
        <f>'Fixed inputs'!P110</f>
        <v>0</v>
      </c>
      <c r="Q46" s="143">
        <f>'Fixed inputs'!Q110</f>
        <v>0</v>
      </c>
      <c r="R46" s="143">
        <f>'Fixed inputs'!R110</f>
        <v>1</v>
      </c>
      <c r="S46" s="143">
        <f>'Fixed inputs'!S110</f>
        <v>1</v>
      </c>
      <c r="T46" s="143">
        <f>'Fixed inputs'!T110</f>
        <v>1</v>
      </c>
      <c r="U46" s="143">
        <f>'Fixed inputs'!U110</f>
        <v>1</v>
      </c>
      <c r="V46" s="143">
        <f>'Fixed inputs'!V110</f>
        <v>1</v>
      </c>
      <c r="W46" s="143">
        <f>'Fixed inputs'!W110</f>
        <v>1</v>
      </c>
      <c r="X46" s="143">
        <f>'Fixed inputs'!X110</f>
        <v>1</v>
      </c>
      <c r="Y46" s="143">
        <f>'Fixed inputs'!Y110</f>
        <v>1</v>
      </c>
      <c r="AQ46" s="88"/>
    </row>
    <row r="47" spans="4:43" x14ac:dyDescent="0.25">
      <c r="F47" s="14" t="s">
        <v>180</v>
      </c>
      <c r="G47" s="14" t="s">
        <v>94</v>
      </c>
      <c r="J47" s="143">
        <f>'Fixed inputs'!J114</f>
        <v>0</v>
      </c>
      <c r="K47" s="143">
        <f>'Fixed inputs'!K114</f>
        <v>0</v>
      </c>
      <c r="L47" s="143">
        <f>'Fixed inputs'!L114</f>
        <v>0</v>
      </c>
      <c r="M47" s="143">
        <f>'Fixed inputs'!M114</f>
        <v>0</v>
      </c>
      <c r="N47" s="143">
        <f>'Fixed inputs'!N114</f>
        <v>0</v>
      </c>
      <c r="O47" s="143">
        <f>'Fixed inputs'!O114</f>
        <v>0</v>
      </c>
      <c r="P47" s="143">
        <f>'Fixed inputs'!P114</f>
        <v>0</v>
      </c>
      <c r="Q47" s="143">
        <f>'Fixed inputs'!Q114</f>
        <v>0</v>
      </c>
      <c r="R47" s="143">
        <f>'Fixed inputs'!R114</f>
        <v>0</v>
      </c>
      <c r="S47" s="143">
        <f>'Fixed inputs'!S114</f>
        <v>0</v>
      </c>
      <c r="T47" s="143">
        <f>'Fixed inputs'!T114</f>
        <v>0</v>
      </c>
      <c r="U47" s="143">
        <f>'Fixed inputs'!U114</f>
        <v>0</v>
      </c>
      <c r="V47" s="143">
        <f>'Fixed inputs'!V114</f>
        <v>0</v>
      </c>
      <c r="W47" s="143">
        <f>'Fixed inputs'!W114</f>
        <v>0</v>
      </c>
      <c r="X47" s="143">
        <f>'Fixed inputs'!X114</f>
        <v>0</v>
      </c>
      <c r="Y47" s="143">
        <f>'Fixed inputs'!Y114</f>
        <v>0</v>
      </c>
      <c r="AQ47" s="88"/>
    </row>
    <row r="48" spans="4:43" x14ac:dyDescent="0.25">
      <c r="F48" s="14" t="s">
        <v>181</v>
      </c>
      <c r="G48" s="14" t="s">
        <v>94</v>
      </c>
      <c r="J48" s="143">
        <f>'Fixed inputs'!J118</f>
        <v>0</v>
      </c>
      <c r="K48" s="143">
        <f>'Fixed inputs'!K118</f>
        <v>0</v>
      </c>
      <c r="L48" s="143">
        <f>'Fixed inputs'!L118</f>
        <v>0</v>
      </c>
      <c r="M48" s="143">
        <f>'Fixed inputs'!M118</f>
        <v>0</v>
      </c>
      <c r="N48" s="143">
        <f>'Fixed inputs'!N118</f>
        <v>0</v>
      </c>
      <c r="O48" s="143">
        <f>'Fixed inputs'!O118</f>
        <v>0</v>
      </c>
      <c r="P48" s="143">
        <f>'Fixed inputs'!P118</f>
        <v>0</v>
      </c>
      <c r="Q48" s="143">
        <f>'Fixed inputs'!Q118</f>
        <v>0</v>
      </c>
      <c r="R48" s="143">
        <f>'Fixed inputs'!R118</f>
        <v>0</v>
      </c>
      <c r="S48" s="143">
        <f>'Fixed inputs'!S118</f>
        <v>0</v>
      </c>
      <c r="T48" s="143">
        <f>'Fixed inputs'!T118</f>
        <v>0</v>
      </c>
      <c r="U48" s="143">
        <f>'Fixed inputs'!U118</f>
        <v>0</v>
      </c>
      <c r="V48" s="143">
        <f>'Fixed inputs'!V118</f>
        <v>0</v>
      </c>
      <c r="W48" s="143">
        <f>'Fixed inputs'!W118</f>
        <v>0</v>
      </c>
      <c r="X48" s="143">
        <f>'Fixed inputs'!X118</f>
        <v>0</v>
      </c>
      <c r="Y48" s="143">
        <f>'Fixed inputs'!Y118</f>
        <v>0</v>
      </c>
      <c r="AQ48" s="88"/>
    </row>
    <row r="49" spans="2:43" x14ac:dyDescent="0.25">
      <c r="F49" s="14" t="s">
        <v>182</v>
      </c>
      <c r="G49" s="14" t="s">
        <v>94</v>
      </c>
      <c r="J49" s="143">
        <f>'Fixed inputs'!J122</f>
        <v>0</v>
      </c>
      <c r="K49" s="143">
        <f>'Fixed inputs'!K122</f>
        <v>0</v>
      </c>
      <c r="L49" s="143">
        <f>'Fixed inputs'!L122</f>
        <v>0</v>
      </c>
      <c r="M49" s="143">
        <f>'Fixed inputs'!M122</f>
        <v>0</v>
      </c>
      <c r="N49" s="143">
        <f>'Fixed inputs'!N122</f>
        <v>0</v>
      </c>
      <c r="O49" s="143">
        <f>'Fixed inputs'!O122</f>
        <v>0</v>
      </c>
      <c r="P49" s="143">
        <f>'Fixed inputs'!P122</f>
        <v>0</v>
      </c>
      <c r="Q49" s="143">
        <f>'Fixed inputs'!Q122</f>
        <v>0</v>
      </c>
      <c r="R49" s="143">
        <f>'Fixed inputs'!R122</f>
        <v>0</v>
      </c>
      <c r="S49" s="143">
        <f>'Fixed inputs'!S122</f>
        <v>0</v>
      </c>
      <c r="T49" s="143">
        <f>'Fixed inputs'!T122</f>
        <v>0</v>
      </c>
      <c r="U49" s="143">
        <f>'Fixed inputs'!U122</f>
        <v>0</v>
      </c>
      <c r="V49" s="143">
        <f>'Fixed inputs'!V122</f>
        <v>0</v>
      </c>
      <c r="W49" s="143">
        <f>'Fixed inputs'!W122</f>
        <v>0</v>
      </c>
      <c r="X49" s="143">
        <f>'Fixed inputs'!X122</f>
        <v>0</v>
      </c>
      <c r="Y49" s="143">
        <f>'Fixed inputs'!Y122</f>
        <v>0</v>
      </c>
      <c r="AQ49" s="88"/>
    </row>
    <row r="50" spans="2:43" x14ac:dyDescent="0.25">
      <c r="C50" s="96"/>
      <c r="AQ50" s="88"/>
    </row>
    <row r="51" spans="2:43" x14ac:dyDescent="0.25">
      <c r="B51" s="95" t="s">
        <v>168</v>
      </c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Q51" s="95"/>
    </row>
    <row r="52" spans="2:43" x14ac:dyDescent="0.25">
      <c r="C52" s="96"/>
      <c r="AQ52" s="88"/>
    </row>
    <row r="53" spans="2:43" x14ac:dyDescent="0.25">
      <c r="C53" s="82" t="s">
        <v>603</v>
      </c>
      <c r="AQ53" s="88"/>
    </row>
    <row r="54" spans="2:43" x14ac:dyDescent="0.25">
      <c r="C54" s="96"/>
      <c r="AQ54" s="88"/>
    </row>
    <row r="55" spans="2:43" x14ac:dyDescent="0.25">
      <c r="C55" s="7" t="str">
        <f ca="1">INDEX('Version control'!$H$34:$H$58,MATCH($A$1,'Version control'!$F$34:$F$58,0),1)&amp;"-B: Volume discounting"</f>
        <v>Section 507-B: Volume discounting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Q55" s="88"/>
    </row>
    <row r="56" spans="2:43" x14ac:dyDescent="0.25">
      <c r="C56" s="96"/>
      <c r="AQ56" s="88"/>
    </row>
    <row r="57" spans="2:43" x14ac:dyDescent="0.25">
      <c r="C57" s="82"/>
      <c r="E57" s="96" t="s">
        <v>134</v>
      </c>
      <c r="I57" s="295" t="s">
        <v>431</v>
      </c>
      <c r="AA57" s="295" t="s">
        <v>801</v>
      </c>
      <c r="AQ57" s="88"/>
    </row>
    <row r="58" spans="2:43" x14ac:dyDescent="0.25">
      <c r="C58" s="82"/>
      <c r="E58" s="96"/>
      <c r="AQ58" s="88"/>
    </row>
    <row r="59" spans="2:43" x14ac:dyDescent="0.25">
      <c r="F59" s="14" t="s">
        <v>145</v>
      </c>
      <c r="G59" s="14" t="s">
        <v>120</v>
      </c>
      <c r="J59" s="274">
        <f>'Inputs by customer type'!J24</f>
        <v>728182.66484023235</v>
      </c>
      <c r="K59" s="274">
        <f>'Inputs by customer type'!K24</f>
        <v>1325.9025558238502</v>
      </c>
      <c r="L59" s="274">
        <f>'Inputs by customer type'!L24</f>
        <v>187782.12741331305</v>
      </c>
      <c r="M59" s="274">
        <f>'Inputs by customer type'!M24</f>
        <v>4172.2410596369182</v>
      </c>
      <c r="N59" s="274">
        <f>'Inputs by customer type'!N24</f>
        <v>275821.76887612289</v>
      </c>
      <c r="O59" s="274">
        <f>'Inputs by customer type'!O24</f>
        <v>21569.598912405832</v>
      </c>
      <c r="P59" s="274">
        <f>'Inputs by customer type'!P24</f>
        <v>322473.77411167003</v>
      </c>
      <c r="Q59" s="274">
        <f>'Inputs by customer type'!Q24</f>
        <v>13844.286088792498</v>
      </c>
      <c r="R59" s="274">
        <f>'Inputs by customer type'!R24</f>
        <v>139.21456342227521</v>
      </c>
      <c r="S59" s="274">
        <f>'Inputs by customer type'!S24</f>
        <v>2.8776284544589532</v>
      </c>
      <c r="T59" s="274">
        <f>'Inputs by customer type'!T24</f>
        <v>6131.3814104814819</v>
      </c>
      <c r="U59" s="274">
        <f>'Inputs by customer type'!U24</f>
        <v>0</v>
      </c>
      <c r="V59" s="274">
        <f>'Inputs by customer type'!V24</f>
        <v>144.6141525623608</v>
      </c>
      <c r="W59" s="274">
        <f>'Inputs by customer type'!W24</f>
        <v>0</v>
      </c>
      <c r="X59" s="274">
        <f>'Inputs by customer type'!X24</f>
        <v>116075.81817719914</v>
      </c>
      <c r="Y59" s="274">
        <f>'Inputs by customer type'!Y24</f>
        <v>0</v>
      </c>
      <c r="AQ59" s="88"/>
    </row>
    <row r="60" spans="2:43" x14ac:dyDescent="0.25">
      <c r="F60" s="14" t="s">
        <v>146</v>
      </c>
      <c r="G60" s="14" t="s">
        <v>120</v>
      </c>
      <c r="J60" s="274">
        <f>'Inputs by customer type'!J33</f>
        <v>13713.32246963591</v>
      </c>
      <c r="K60" s="274">
        <f>'Inputs by customer type'!K33</f>
        <v>1.3981029513384524</v>
      </c>
      <c r="L60" s="274">
        <f>'Inputs by customer type'!L33</f>
        <v>601.04321517970027</v>
      </c>
      <c r="M60" s="274">
        <f>'Inputs by customer type'!M33</f>
        <v>0</v>
      </c>
      <c r="N60" s="274">
        <f>'Inputs by customer type'!N33</f>
        <v>1596.4649999999999</v>
      </c>
      <c r="O60" s="274">
        <f>'Inputs by customer type'!O33</f>
        <v>0</v>
      </c>
      <c r="P60" s="274">
        <f>'Inputs by customer type'!P33</f>
        <v>0</v>
      </c>
      <c r="Q60" s="274">
        <f>'Inputs by customer type'!Q33</f>
        <v>20.430032150505486</v>
      </c>
      <c r="R60" s="274">
        <f>'Inputs by customer type'!R33</f>
        <v>0.57025605316046324</v>
      </c>
      <c r="S60" s="274">
        <f>'Inputs by customer type'!S33</f>
        <v>0</v>
      </c>
      <c r="T60" s="274">
        <f>'Inputs by customer type'!T33</f>
        <v>0</v>
      </c>
      <c r="U60" s="274">
        <f>'Inputs by customer type'!U33</f>
        <v>0</v>
      </c>
      <c r="V60" s="274">
        <f>'Inputs by customer type'!V33</f>
        <v>0</v>
      </c>
      <c r="W60" s="274">
        <f>'Inputs by customer type'!W33</f>
        <v>0</v>
      </c>
      <c r="X60" s="274">
        <f>'Inputs by customer type'!X33</f>
        <v>0</v>
      </c>
      <c r="Y60" s="274">
        <f>'Inputs by customer type'!Y33</f>
        <v>0</v>
      </c>
      <c r="AQ60" s="88"/>
    </row>
    <row r="61" spans="2:43" x14ac:dyDescent="0.25">
      <c r="F61" s="14" t="s">
        <v>147</v>
      </c>
      <c r="G61" s="14" t="s">
        <v>120</v>
      </c>
      <c r="J61" s="274">
        <f>'Inputs by customer type'!J42</f>
        <v>20104.099696926573</v>
      </c>
      <c r="K61" s="274">
        <f>'Inputs by customer type'!K42</f>
        <v>2.0480897481131533</v>
      </c>
      <c r="L61" s="274">
        <f>'Inputs by customer type'!L42</f>
        <v>2081.7354094794059</v>
      </c>
      <c r="M61" s="274">
        <f>'Inputs by customer type'!M42</f>
        <v>0</v>
      </c>
      <c r="N61" s="274">
        <f>'Inputs by customer type'!N42</f>
        <v>13322.004999999999</v>
      </c>
      <c r="O61" s="274">
        <f>'Inputs by customer type'!O42</f>
        <v>2210.538</v>
      </c>
      <c r="P61" s="274">
        <f>'Inputs by customer type'!P42</f>
        <v>5129.4559999999992</v>
      </c>
      <c r="Q61" s="274">
        <f>'Inputs by customer type'!Q42</f>
        <v>30.879361230900383</v>
      </c>
      <c r="R61" s="274">
        <f>'Inputs by customer type'!R42</f>
        <v>0.25597879022110009</v>
      </c>
      <c r="S61" s="274">
        <f>'Inputs by customer type'!S42</f>
        <v>0</v>
      </c>
      <c r="T61" s="274">
        <f>'Inputs by customer type'!T42</f>
        <v>0</v>
      </c>
      <c r="U61" s="274">
        <f>'Inputs by customer type'!U42</f>
        <v>0</v>
      </c>
      <c r="V61" s="274">
        <f>'Inputs by customer type'!V42</f>
        <v>0</v>
      </c>
      <c r="W61" s="274">
        <f>'Inputs by customer type'!W42</f>
        <v>0</v>
      </c>
      <c r="X61" s="274">
        <f>'Inputs by customer type'!X42</f>
        <v>0</v>
      </c>
      <c r="Y61" s="274">
        <f>'Inputs by customer type'!Y42</f>
        <v>0</v>
      </c>
      <c r="AQ61" s="88"/>
    </row>
    <row r="62" spans="2:43" x14ac:dyDescent="0.25">
      <c r="F62" s="14" t="s">
        <v>178</v>
      </c>
      <c r="G62" s="14" t="s">
        <v>94</v>
      </c>
      <c r="J62" s="17">
        <f t="shared" ref="J62:Y62" si="2">IF(J$39, J$45, J$34)</f>
        <v>0.39067242808448932</v>
      </c>
      <c r="K62" s="17">
        <f t="shared" si="2"/>
        <v>0.39067242808448932</v>
      </c>
      <c r="L62" s="17">
        <f t="shared" si="2"/>
        <v>0.39067242808448932</v>
      </c>
      <c r="M62" s="17">
        <f t="shared" si="2"/>
        <v>0.39067242808448932</v>
      </c>
      <c r="N62" s="17">
        <f t="shared" si="2"/>
        <v>0.39067242808448932</v>
      </c>
      <c r="O62" s="17">
        <f t="shared" si="2"/>
        <v>0</v>
      </c>
      <c r="P62" s="17">
        <f t="shared" si="2"/>
        <v>0</v>
      </c>
      <c r="Q62" s="17">
        <f t="shared" si="2"/>
        <v>0.39067242808448932</v>
      </c>
      <c r="R62" s="17">
        <f t="shared" si="2"/>
        <v>0</v>
      </c>
      <c r="S62" s="17">
        <f t="shared" si="2"/>
        <v>0</v>
      </c>
      <c r="T62" s="17">
        <f t="shared" si="2"/>
        <v>0</v>
      </c>
      <c r="U62" s="17">
        <f t="shared" si="2"/>
        <v>0</v>
      </c>
      <c r="V62" s="17">
        <f t="shared" si="2"/>
        <v>0</v>
      </c>
      <c r="W62" s="17">
        <f t="shared" si="2"/>
        <v>0</v>
      </c>
      <c r="X62" s="17">
        <f t="shared" si="2"/>
        <v>0</v>
      </c>
      <c r="Y62" s="17">
        <f t="shared" si="2"/>
        <v>0</v>
      </c>
      <c r="AQ62" s="88"/>
    </row>
    <row r="63" spans="2:43" x14ac:dyDescent="0.25">
      <c r="F63" s="14" t="s">
        <v>179</v>
      </c>
      <c r="G63" s="14" t="s">
        <v>94</v>
      </c>
      <c r="J63" s="17">
        <f t="shared" ref="J63:Y63" si="3">IF(J$39, J$45, J$35)</f>
        <v>0.60361788113874959</v>
      </c>
      <c r="K63" s="17">
        <f t="shared" si="3"/>
        <v>0.60361788113874959</v>
      </c>
      <c r="L63" s="17">
        <f t="shared" si="3"/>
        <v>0.60361788113874959</v>
      </c>
      <c r="M63" s="17">
        <f t="shared" si="3"/>
        <v>0.60361788113874959</v>
      </c>
      <c r="N63" s="17">
        <f t="shared" si="3"/>
        <v>0.60361788113874959</v>
      </c>
      <c r="O63" s="17">
        <f t="shared" si="3"/>
        <v>0.34819248571328243</v>
      </c>
      <c r="P63" s="17">
        <f t="shared" si="3"/>
        <v>0.25174009320591562</v>
      </c>
      <c r="Q63" s="17">
        <f t="shared" si="3"/>
        <v>0.60361788113874959</v>
      </c>
      <c r="R63" s="17">
        <f t="shared" si="3"/>
        <v>0</v>
      </c>
      <c r="S63" s="17">
        <f t="shared" si="3"/>
        <v>0</v>
      </c>
      <c r="T63" s="17">
        <f t="shared" si="3"/>
        <v>0</v>
      </c>
      <c r="U63" s="17">
        <f t="shared" si="3"/>
        <v>0</v>
      </c>
      <c r="V63" s="17">
        <f t="shared" si="3"/>
        <v>0</v>
      </c>
      <c r="W63" s="17">
        <f t="shared" si="3"/>
        <v>0</v>
      </c>
      <c r="X63" s="17">
        <f t="shared" si="3"/>
        <v>0</v>
      </c>
      <c r="Y63" s="17">
        <f t="shared" si="3"/>
        <v>0</v>
      </c>
      <c r="AQ63" s="88"/>
    </row>
    <row r="64" spans="2:43" x14ac:dyDescent="0.25">
      <c r="F64" s="14" t="s">
        <v>166</v>
      </c>
      <c r="G64" s="14" t="s">
        <v>120</v>
      </c>
      <c r="J64" s="276">
        <f t="shared" ref="J64:Y65" si="4">J60 * (1 - J62)</f>
        <v>8355.9054833176633</v>
      </c>
      <c r="K64" s="276">
        <f t="shared" si="4"/>
        <v>0.85190267662696861</v>
      </c>
      <c r="L64" s="276">
        <f t="shared" si="4"/>
        <v>366.23220292173858</v>
      </c>
      <c r="M64" s="276">
        <f t="shared" si="4"/>
        <v>0</v>
      </c>
      <c r="N64" s="276">
        <f t="shared" si="4"/>
        <v>972.77014209809568</v>
      </c>
      <c r="O64" s="276">
        <f t="shared" si="4"/>
        <v>0</v>
      </c>
      <c r="P64" s="276">
        <f t="shared" si="4"/>
        <v>0</v>
      </c>
      <c r="Q64" s="276">
        <f t="shared" si="4"/>
        <v>12.448581884423326</v>
      </c>
      <c r="R64" s="276">
        <f t="shared" si="4"/>
        <v>0.57025605316046324</v>
      </c>
      <c r="S64" s="276">
        <f t="shared" si="4"/>
        <v>0</v>
      </c>
      <c r="T64" s="276">
        <f t="shared" si="4"/>
        <v>0</v>
      </c>
      <c r="U64" s="276">
        <f t="shared" si="4"/>
        <v>0</v>
      </c>
      <c r="V64" s="276">
        <f t="shared" si="4"/>
        <v>0</v>
      </c>
      <c r="W64" s="276">
        <f t="shared" si="4"/>
        <v>0</v>
      </c>
      <c r="X64" s="276">
        <f t="shared" si="4"/>
        <v>0</v>
      </c>
      <c r="Y64" s="276">
        <f t="shared" si="4"/>
        <v>0</v>
      </c>
      <c r="AQ64" s="88"/>
    </row>
    <row r="65" spans="5:43" x14ac:dyDescent="0.25">
      <c r="F65" s="15" t="s">
        <v>177</v>
      </c>
      <c r="G65" s="15" t="s">
        <v>120</v>
      </c>
      <c r="H65" s="93"/>
      <c r="I65" s="93"/>
      <c r="J65" s="269">
        <f t="shared" si="4"/>
        <v>7968.9056356655774</v>
      </c>
      <c r="K65" s="269">
        <f t="shared" si="4"/>
        <v>0.81182615397509628</v>
      </c>
      <c r="L65" s="269">
        <f t="shared" si="4"/>
        <v>825.16269251793972</v>
      </c>
      <c r="M65" s="269">
        <f t="shared" si="4"/>
        <v>0</v>
      </c>
      <c r="N65" s="269">
        <f t="shared" si="4"/>
        <v>5280.6045693801716</v>
      </c>
      <c r="O65" s="269">
        <f t="shared" si="4"/>
        <v>1440.8452790163321</v>
      </c>
      <c r="P65" s="269">
        <f t="shared" si="4"/>
        <v>3838.1662684643561</v>
      </c>
      <c r="Q65" s="269">
        <f t="shared" si="4"/>
        <v>12.240026633786243</v>
      </c>
      <c r="R65" s="269">
        <f t="shared" si="4"/>
        <v>0.25597879022110009</v>
      </c>
      <c r="S65" s="269">
        <f t="shared" si="4"/>
        <v>0</v>
      </c>
      <c r="T65" s="269">
        <f t="shared" si="4"/>
        <v>0</v>
      </c>
      <c r="U65" s="269">
        <f t="shared" si="4"/>
        <v>0</v>
      </c>
      <c r="V65" s="269">
        <f t="shared" si="4"/>
        <v>0</v>
      </c>
      <c r="W65" s="269">
        <f t="shared" si="4"/>
        <v>0</v>
      </c>
      <c r="X65" s="269">
        <f t="shared" si="4"/>
        <v>0</v>
      </c>
      <c r="Y65" s="269">
        <f t="shared" si="4"/>
        <v>0</v>
      </c>
      <c r="AQ65" s="88"/>
    </row>
    <row r="66" spans="5:43" x14ac:dyDescent="0.25">
      <c r="F66" s="14" t="s">
        <v>167</v>
      </c>
      <c r="G66" s="14" t="s">
        <v>120</v>
      </c>
      <c r="J66" s="257">
        <f t="shared" ref="J66:Y66" si="5">J59 + J64 + J65</f>
        <v>744507.47595921555</v>
      </c>
      <c r="K66" s="257">
        <f t="shared" si="5"/>
        <v>1327.5662846544521</v>
      </c>
      <c r="L66" s="257">
        <f t="shared" si="5"/>
        <v>188973.52230875273</v>
      </c>
      <c r="M66" s="257">
        <f t="shared" si="5"/>
        <v>4172.2410596369182</v>
      </c>
      <c r="N66" s="257">
        <f t="shared" si="5"/>
        <v>282075.14358760114</v>
      </c>
      <c r="O66" s="257">
        <f t="shared" si="5"/>
        <v>23010.444191422164</v>
      </c>
      <c r="P66" s="257">
        <f t="shared" si="5"/>
        <v>326311.94038013439</v>
      </c>
      <c r="Q66" s="257">
        <f t="shared" si="5"/>
        <v>13868.974697310709</v>
      </c>
      <c r="R66" s="257">
        <f t="shared" si="5"/>
        <v>140.04079826565675</v>
      </c>
      <c r="S66" s="257">
        <f t="shared" si="5"/>
        <v>2.8776284544589532</v>
      </c>
      <c r="T66" s="257">
        <f t="shared" si="5"/>
        <v>6131.3814104814819</v>
      </c>
      <c r="U66" s="257">
        <f t="shared" si="5"/>
        <v>0</v>
      </c>
      <c r="V66" s="257">
        <f t="shared" si="5"/>
        <v>144.6141525623608</v>
      </c>
      <c r="W66" s="257">
        <f t="shared" si="5"/>
        <v>0</v>
      </c>
      <c r="X66" s="257">
        <f t="shared" si="5"/>
        <v>116075.81817719914</v>
      </c>
      <c r="Y66" s="257">
        <f t="shared" si="5"/>
        <v>0</v>
      </c>
      <c r="AQ66" s="88"/>
    </row>
    <row r="67" spans="5:43" x14ac:dyDescent="0.25">
      <c r="E67" s="96"/>
      <c r="J67" s="253"/>
      <c r="K67" s="253"/>
      <c r="L67" s="253"/>
      <c r="M67" s="253"/>
      <c r="N67" s="253"/>
      <c r="O67" s="253"/>
      <c r="P67" s="253"/>
      <c r="Q67" s="253"/>
      <c r="R67" s="253"/>
      <c r="S67" s="253"/>
      <c r="T67" s="253"/>
      <c r="U67" s="253"/>
      <c r="V67" s="253"/>
      <c r="W67" s="253"/>
      <c r="X67" s="253"/>
      <c r="Y67" s="253"/>
      <c r="AQ67" s="88"/>
    </row>
    <row r="68" spans="5:43" x14ac:dyDescent="0.25">
      <c r="E68" s="96" t="s">
        <v>135</v>
      </c>
      <c r="I68" s="295" t="s">
        <v>431</v>
      </c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  <c r="V68" s="253"/>
      <c r="W68" s="253"/>
      <c r="X68" s="253"/>
      <c r="Y68" s="253"/>
      <c r="AA68" s="295" t="s">
        <v>801</v>
      </c>
      <c r="AQ68" s="88"/>
    </row>
    <row r="69" spans="5:43" x14ac:dyDescent="0.25">
      <c r="E69" s="96"/>
      <c r="J69" s="253"/>
      <c r="K69" s="253"/>
      <c r="L69" s="253"/>
      <c r="M69" s="253"/>
      <c r="N69" s="253"/>
      <c r="O69" s="253"/>
      <c r="P69" s="253"/>
      <c r="Q69" s="253"/>
      <c r="R69" s="253"/>
      <c r="S69" s="253"/>
      <c r="T69" s="253"/>
      <c r="U69" s="253"/>
      <c r="V69" s="253"/>
      <c r="W69" s="253"/>
      <c r="X69" s="253"/>
      <c r="Y69" s="253"/>
      <c r="AQ69" s="88"/>
    </row>
    <row r="70" spans="5:43" x14ac:dyDescent="0.25">
      <c r="F70" s="14" t="s">
        <v>145</v>
      </c>
      <c r="G70" s="14" t="s">
        <v>120</v>
      </c>
      <c r="J70" s="274">
        <f>'Inputs by customer type'!J25</f>
        <v>2586978.352218715</v>
      </c>
      <c r="K70" s="274">
        <f>'Inputs by customer type'!K25</f>
        <v>24004.867020018988</v>
      </c>
      <c r="L70" s="274">
        <f>'Inputs by customer type'!L25</f>
        <v>1017175.5544889377</v>
      </c>
      <c r="M70" s="274">
        <f>'Inputs by customer type'!M25</f>
        <v>25319.415482001521</v>
      </c>
      <c r="N70" s="274">
        <f>'Inputs by customer type'!N25</f>
        <v>1322296.4326402938</v>
      </c>
      <c r="O70" s="274">
        <f>'Inputs by customer type'!O25</f>
        <v>101185.04898982702</v>
      </c>
      <c r="P70" s="274">
        <f>'Inputs by customer type'!P25</f>
        <v>1497042.8901385467</v>
      </c>
      <c r="Q70" s="274">
        <f>'Inputs by customer type'!Q25</f>
        <v>52546.80809158679</v>
      </c>
      <c r="R70" s="274">
        <f>'Inputs by customer type'!R25</f>
        <v>625.58915267962095</v>
      </c>
      <c r="S70" s="274">
        <f>'Inputs by customer type'!S25</f>
        <v>11.85801478940583</v>
      </c>
      <c r="T70" s="274">
        <f>'Inputs by customer type'!T25</f>
        <v>27525.456251959484</v>
      </c>
      <c r="U70" s="274">
        <f>'Inputs by customer type'!U25</f>
        <v>0</v>
      </c>
      <c r="V70" s="274">
        <f>'Inputs by customer type'!V25</f>
        <v>597.34783091345412</v>
      </c>
      <c r="W70" s="274">
        <f>'Inputs by customer type'!W25</f>
        <v>0</v>
      </c>
      <c r="X70" s="274">
        <f>'Inputs by customer type'!X25</f>
        <v>445212.43930388504</v>
      </c>
      <c r="Y70" s="274">
        <f>'Inputs by customer type'!Y25</f>
        <v>0</v>
      </c>
      <c r="AQ70" s="88"/>
    </row>
    <row r="71" spans="5:43" x14ac:dyDescent="0.25">
      <c r="F71" s="14" t="s">
        <v>146</v>
      </c>
      <c r="G71" s="14" t="s">
        <v>120</v>
      </c>
      <c r="J71" s="274">
        <f>'Inputs by customer type'!J34</f>
        <v>48809.781090218552</v>
      </c>
      <c r="K71" s="274">
        <f>'Inputs by customer type'!K34</f>
        <v>25.329659479528413</v>
      </c>
      <c r="L71" s="274">
        <f>'Inputs by customer type'!L34</f>
        <v>3253.025245448257</v>
      </c>
      <c r="M71" s="274">
        <f>'Inputs by customer type'!M34</f>
        <v>0</v>
      </c>
      <c r="N71" s="274">
        <f>'Inputs by customer type'!N34</f>
        <v>7155.5069999999996</v>
      </c>
      <c r="O71" s="274">
        <f>'Inputs by customer type'!O34</f>
        <v>0</v>
      </c>
      <c r="P71" s="274">
        <f>'Inputs by customer type'!P34</f>
        <v>0</v>
      </c>
      <c r="Q71" s="274">
        <f>'Inputs by customer type'!Q34</f>
        <v>273.96068150852608</v>
      </c>
      <c r="R71" s="274">
        <f>'Inputs by customer type'!R34</f>
        <v>2.0830307980493821</v>
      </c>
      <c r="S71" s="274">
        <f>'Inputs by customer type'!S34</f>
        <v>0</v>
      </c>
      <c r="T71" s="274">
        <f>'Inputs by customer type'!T34</f>
        <v>0</v>
      </c>
      <c r="U71" s="274">
        <f>'Inputs by customer type'!U34</f>
        <v>0</v>
      </c>
      <c r="V71" s="274">
        <f>'Inputs by customer type'!V34</f>
        <v>0</v>
      </c>
      <c r="W71" s="274">
        <f>'Inputs by customer type'!W34</f>
        <v>0</v>
      </c>
      <c r="X71" s="274">
        <f>'Inputs by customer type'!X34</f>
        <v>0</v>
      </c>
      <c r="Y71" s="274">
        <f>'Inputs by customer type'!Y34</f>
        <v>0</v>
      </c>
      <c r="AQ71" s="88"/>
    </row>
    <row r="72" spans="5:43" x14ac:dyDescent="0.25">
      <c r="F72" s="14" t="s">
        <v>147</v>
      </c>
      <c r="G72" s="14" t="s">
        <v>120</v>
      </c>
      <c r="J72" s="274">
        <f>'Inputs by customer type'!J43</f>
        <v>71593.395504093525</v>
      </c>
      <c r="K72" s="274">
        <f>'Inputs by customer type'!K43</f>
        <v>37.263746671521595</v>
      </c>
      <c r="L72" s="274">
        <f>'Inputs by customer type'!L43</f>
        <v>11268.104540991542</v>
      </c>
      <c r="M72" s="274">
        <f>'Inputs by customer type'!M43</f>
        <v>0</v>
      </c>
      <c r="N72" s="274">
        <f>'Inputs by customer type'!N43</f>
        <v>59210.165999999997</v>
      </c>
      <c r="O72" s="274">
        <f>'Inputs by customer type'!O43</f>
        <v>9690.4299999999985</v>
      </c>
      <c r="P72" s="274">
        <f>'Inputs by customer type'!P43</f>
        <v>23108.695</v>
      </c>
      <c r="Q72" s="274">
        <f>'Inputs by customer type'!Q43</f>
        <v>425.49872061278865</v>
      </c>
      <c r="R72" s="274">
        <f>'Inputs by customer type'!R43</f>
        <v>0.94265200118290493</v>
      </c>
      <c r="S72" s="274">
        <f>'Inputs by customer type'!S43</f>
        <v>0</v>
      </c>
      <c r="T72" s="274">
        <f>'Inputs by customer type'!T43</f>
        <v>0</v>
      </c>
      <c r="U72" s="274">
        <f>'Inputs by customer type'!U43</f>
        <v>0</v>
      </c>
      <c r="V72" s="274">
        <f>'Inputs by customer type'!V43</f>
        <v>0</v>
      </c>
      <c r="W72" s="274">
        <f>'Inputs by customer type'!W43</f>
        <v>0</v>
      </c>
      <c r="X72" s="274">
        <f>'Inputs by customer type'!X43</f>
        <v>0</v>
      </c>
      <c r="Y72" s="274">
        <f>'Inputs by customer type'!Y43</f>
        <v>0</v>
      </c>
      <c r="AQ72" s="88"/>
    </row>
    <row r="73" spans="5:43" x14ac:dyDescent="0.25">
      <c r="F73" s="14" t="s">
        <v>178</v>
      </c>
      <c r="G73" s="14" t="s">
        <v>94</v>
      </c>
      <c r="J73" s="17">
        <f t="shared" ref="J73:Y73" si="6">IF(J$39, J$45, J$34)</f>
        <v>0.39067242808448932</v>
      </c>
      <c r="K73" s="17">
        <f t="shared" si="6"/>
        <v>0.39067242808448932</v>
      </c>
      <c r="L73" s="17">
        <f t="shared" si="6"/>
        <v>0.39067242808448932</v>
      </c>
      <c r="M73" s="17">
        <f t="shared" si="6"/>
        <v>0.39067242808448932</v>
      </c>
      <c r="N73" s="17">
        <f t="shared" si="6"/>
        <v>0.39067242808448932</v>
      </c>
      <c r="O73" s="17">
        <f t="shared" si="6"/>
        <v>0</v>
      </c>
      <c r="P73" s="17">
        <f t="shared" si="6"/>
        <v>0</v>
      </c>
      <c r="Q73" s="17">
        <f t="shared" si="6"/>
        <v>0.39067242808448932</v>
      </c>
      <c r="R73" s="17">
        <f t="shared" si="6"/>
        <v>0</v>
      </c>
      <c r="S73" s="17">
        <f t="shared" si="6"/>
        <v>0</v>
      </c>
      <c r="T73" s="17">
        <f t="shared" si="6"/>
        <v>0</v>
      </c>
      <c r="U73" s="17">
        <f t="shared" si="6"/>
        <v>0</v>
      </c>
      <c r="V73" s="17">
        <f t="shared" si="6"/>
        <v>0</v>
      </c>
      <c r="W73" s="17">
        <f t="shared" si="6"/>
        <v>0</v>
      </c>
      <c r="X73" s="17">
        <f t="shared" si="6"/>
        <v>0</v>
      </c>
      <c r="Y73" s="17">
        <f t="shared" si="6"/>
        <v>0</v>
      </c>
      <c r="AQ73" s="88"/>
    </row>
    <row r="74" spans="5:43" x14ac:dyDescent="0.25">
      <c r="F74" s="14" t="s">
        <v>179</v>
      </c>
      <c r="G74" s="14" t="s">
        <v>94</v>
      </c>
      <c r="J74" s="17">
        <f t="shared" ref="J74:Y74" si="7">IF(J$39, J$45, J$35)</f>
        <v>0.60361788113874959</v>
      </c>
      <c r="K74" s="17">
        <f t="shared" si="7"/>
        <v>0.60361788113874959</v>
      </c>
      <c r="L74" s="17">
        <f t="shared" si="7"/>
        <v>0.60361788113874959</v>
      </c>
      <c r="M74" s="17">
        <f t="shared" si="7"/>
        <v>0.60361788113874959</v>
      </c>
      <c r="N74" s="17">
        <f t="shared" si="7"/>
        <v>0.60361788113874959</v>
      </c>
      <c r="O74" s="17">
        <f t="shared" si="7"/>
        <v>0.34819248571328243</v>
      </c>
      <c r="P74" s="17">
        <f t="shared" si="7"/>
        <v>0.25174009320591562</v>
      </c>
      <c r="Q74" s="17">
        <f t="shared" si="7"/>
        <v>0.60361788113874959</v>
      </c>
      <c r="R74" s="17">
        <f t="shared" si="7"/>
        <v>0</v>
      </c>
      <c r="S74" s="17">
        <f t="shared" si="7"/>
        <v>0</v>
      </c>
      <c r="T74" s="17">
        <f t="shared" si="7"/>
        <v>0</v>
      </c>
      <c r="U74" s="17">
        <f t="shared" si="7"/>
        <v>0</v>
      </c>
      <c r="V74" s="17">
        <f t="shared" si="7"/>
        <v>0</v>
      </c>
      <c r="W74" s="17">
        <f t="shared" si="7"/>
        <v>0</v>
      </c>
      <c r="X74" s="17">
        <f t="shared" si="7"/>
        <v>0</v>
      </c>
      <c r="Y74" s="17">
        <f t="shared" si="7"/>
        <v>0</v>
      </c>
      <c r="AQ74" s="88"/>
    </row>
    <row r="75" spans="5:43" x14ac:dyDescent="0.25">
      <c r="F75" s="14" t="s">
        <v>166</v>
      </c>
      <c r="G75" s="14" t="s">
        <v>120</v>
      </c>
      <c r="J75" s="276">
        <f t="shared" ref="J75:Y76" si="8">J71 * (1 - J73)</f>
        <v>29741.145397430479</v>
      </c>
      <c r="K75" s="276">
        <f t="shared" si="8"/>
        <v>15.434059908107745</v>
      </c>
      <c r="L75" s="276">
        <f t="shared" si="8"/>
        <v>1982.1579741888445</v>
      </c>
      <c r="M75" s="276">
        <f t="shared" si="8"/>
        <v>0</v>
      </c>
      <c r="N75" s="276">
        <f t="shared" si="8"/>
        <v>4360.04770613444</v>
      </c>
      <c r="O75" s="276">
        <f t="shared" si="8"/>
        <v>0</v>
      </c>
      <c r="P75" s="276">
        <f t="shared" si="8"/>
        <v>0</v>
      </c>
      <c r="Q75" s="276">
        <f t="shared" si="8"/>
        <v>166.93179686390874</v>
      </c>
      <c r="R75" s="276">
        <f t="shared" si="8"/>
        <v>2.0830307980493821</v>
      </c>
      <c r="S75" s="276">
        <f t="shared" si="8"/>
        <v>0</v>
      </c>
      <c r="T75" s="276">
        <f t="shared" si="8"/>
        <v>0</v>
      </c>
      <c r="U75" s="276">
        <f t="shared" si="8"/>
        <v>0</v>
      </c>
      <c r="V75" s="276">
        <f t="shared" si="8"/>
        <v>0</v>
      </c>
      <c r="W75" s="276">
        <f t="shared" si="8"/>
        <v>0</v>
      </c>
      <c r="X75" s="276">
        <f t="shared" si="8"/>
        <v>0</v>
      </c>
      <c r="Y75" s="276">
        <f t="shared" si="8"/>
        <v>0</v>
      </c>
      <c r="AQ75" s="88"/>
    </row>
    <row r="76" spans="5:43" x14ac:dyDescent="0.25">
      <c r="F76" s="15" t="s">
        <v>177</v>
      </c>
      <c r="G76" s="15" t="s">
        <v>120</v>
      </c>
      <c r="H76" s="93"/>
      <c r="I76" s="93"/>
      <c r="J76" s="269">
        <f t="shared" si="8"/>
        <v>28378.341806384109</v>
      </c>
      <c r="K76" s="269">
        <f t="shared" si="8"/>
        <v>14.770682862366597</v>
      </c>
      <c r="L76" s="269">
        <f t="shared" si="8"/>
        <v>4466.4751535083051</v>
      </c>
      <c r="M76" s="269">
        <f t="shared" si="8"/>
        <v>0</v>
      </c>
      <c r="N76" s="269">
        <f t="shared" si="8"/>
        <v>23469.851057206368</v>
      </c>
      <c r="O76" s="269">
        <f t="shared" si="8"/>
        <v>6316.2950906694359</v>
      </c>
      <c r="P76" s="269">
        <f t="shared" si="8"/>
        <v>17291.309966832923</v>
      </c>
      <c r="Q76" s="269">
        <f t="shared" si="8"/>
        <v>168.66008444924836</v>
      </c>
      <c r="R76" s="269">
        <f t="shared" si="8"/>
        <v>0.94265200118290493</v>
      </c>
      <c r="S76" s="269">
        <f t="shared" si="8"/>
        <v>0</v>
      </c>
      <c r="T76" s="269">
        <f t="shared" si="8"/>
        <v>0</v>
      </c>
      <c r="U76" s="269">
        <f t="shared" si="8"/>
        <v>0</v>
      </c>
      <c r="V76" s="269">
        <f t="shared" si="8"/>
        <v>0</v>
      </c>
      <c r="W76" s="269">
        <f t="shared" si="8"/>
        <v>0</v>
      </c>
      <c r="X76" s="269">
        <f t="shared" si="8"/>
        <v>0</v>
      </c>
      <c r="Y76" s="269">
        <f t="shared" si="8"/>
        <v>0</v>
      </c>
      <c r="AQ76" s="88"/>
    </row>
    <row r="77" spans="5:43" x14ac:dyDescent="0.25">
      <c r="F77" s="14" t="s">
        <v>167</v>
      </c>
      <c r="G77" s="14" t="s">
        <v>120</v>
      </c>
      <c r="J77" s="257">
        <f t="shared" ref="J77:Y77" si="9">J70 + J75 + J76</f>
        <v>2645097.8394225296</v>
      </c>
      <c r="K77" s="257">
        <f t="shared" si="9"/>
        <v>24035.071762789463</v>
      </c>
      <c r="L77" s="257">
        <f t="shared" si="9"/>
        <v>1023624.1876166349</v>
      </c>
      <c r="M77" s="257">
        <f t="shared" si="9"/>
        <v>25319.415482001521</v>
      </c>
      <c r="N77" s="257">
        <f t="shared" si="9"/>
        <v>1350126.3314036345</v>
      </c>
      <c r="O77" s="257">
        <f t="shared" si="9"/>
        <v>107501.34408049645</v>
      </c>
      <c r="P77" s="257">
        <f t="shared" si="9"/>
        <v>1514334.2001053796</v>
      </c>
      <c r="Q77" s="257">
        <f t="shared" si="9"/>
        <v>52882.399972899948</v>
      </c>
      <c r="R77" s="257">
        <f t="shared" si="9"/>
        <v>628.61483547885325</v>
      </c>
      <c r="S77" s="257">
        <f t="shared" si="9"/>
        <v>11.85801478940583</v>
      </c>
      <c r="T77" s="257">
        <f t="shared" si="9"/>
        <v>27525.456251959484</v>
      </c>
      <c r="U77" s="257">
        <f t="shared" si="9"/>
        <v>0</v>
      </c>
      <c r="V77" s="257">
        <f t="shared" si="9"/>
        <v>597.34783091345412</v>
      </c>
      <c r="W77" s="257">
        <f t="shared" si="9"/>
        <v>0</v>
      </c>
      <c r="X77" s="257">
        <f t="shared" si="9"/>
        <v>445212.43930388504</v>
      </c>
      <c r="Y77" s="257">
        <f t="shared" si="9"/>
        <v>0</v>
      </c>
      <c r="AQ77" s="88"/>
    </row>
    <row r="78" spans="5:43" x14ac:dyDescent="0.25">
      <c r="E78" s="96"/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  <c r="V78" s="253"/>
      <c r="W78" s="253"/>
      <c r="X78" s="253"/>
      <c r="Y78" s="253"/>
      <c r="AQ78" s="88"/>
    </row>
    <row r="79" spans="5:43" x14ac:dyDescent="0.25">
      <c r="E79" s="96" t="s">
        <v>136</v>
      </c>
      <c r="I79" s="295" t="s">
        <v>431</v>
      </c>
      <c r="J79" s="253"/>
      <c r="K79" s="253"/>
      <c r="L79" s="253"/>
      <c r="M79" s="253"/>
      <c r="N79" s="253"/>
      <c r="O79" s="253"/>
      <c r="P79" s="253"/>
      <c r="Q79" s="253"/>
      <c r="R79" s="253"/>
      <c r="S79" s="253"/>
      <c r="T79" s="253"/>
      <c r="U79" s="253"/>
      <c r="V79" s="253"/>
      <c r="W79" s="253"/>
      <c r="X79" s="253"/>
      <c r="Y79" s="253"/>
      <c r="AA79" s="295" t="s">
        <v>801</v>
      </c>
      <c r="AQ79" s="88"/>
    </row>
    <row r="80" spans="5:43" x14ac:dyDescent="0.25">
      <c r="E80" s="96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  <c r="AQ80" s="88"/>
    </row>
    <row r="81" spans="5:43" x14ac:dyDescent="0.25">
      <c r="F81" s="14" t="s">
        <v>145</v>
      </c>
      <c r="G81" s="14" t="s">
        <v>120</v>
      </c>
      <c r="J81" s="274">
        <f>'Inputs by customer type'!J26</f>
        <v>2382458.5766185289</v>
      </c>
      <c r="K81" s="274">
        <f>'Inputs by customer type'!K26</f>
        <v>245208.33115400965</v>
      </c>
      <c r="L81" s="274">
        <f>'Inputs by customer type'!L26</f>
        <v>982488.05164342187</v>
      </c>
      <c r="M81" s="274">
        <f>'Inputs by customer type'!M26</f>
        <v>52561.158034119573</v>
      </c>
      <c r="N81" s="274">
        <f>'Inputs by customer type'!N26</f>
        <v>1154944.2406044872</v>
      </c>
      <c r="O81" s="274">
        <f>'Inputs by customer type'!O26</f>
        <v>100898.01610776718</v>
      </c>
      <c r="P81" s="274">
        <f>'Inputs by customer type'!P26</f>
        <v>1602377.0319897835</v>
      </c>
      <c r="Q81" s="274">
        <f>'Inputs by customer type'!Q26</f>
        <v>189052.68521962134</v>
      </c>
      <c r="R81" s="274">
        <f>'Inputs by customer type'!R26</f>
        <v>698.17114006254928</v>
      </c>
      <c r="S81" s="274">
        <f>'Inputs by customer type'!S26</f>
        <v>16.006356756135215</v>
      </c>
      <c r="T81" s="274">
        <f>'Inputs by customer type'!T26</f>
        <v>30981.276337559029</v>
      </c>
      <c r="U81" s="274">
        <f>'Inputs by customer type'!U26</f>
        <v>0</v>
      </c>
      <c r="V81" s="274">
        <f>'Inputs by customer type'!V26</f>
        <v>807.27901652418518</v>
      </c>
      <c r="W81" s="274">
        <f>'Inputs by customer type'!W26</f>
        <v>0</v>
      </c>
      <c r="X81" s="274">
        <f>'Inputs by customer type'!X26</f>
        <v>507559.16751891578</v>
      </c>
      <c r="Y81" s="274">
        <f>'Inputs by customer type'!Y26</f>
        <v>0</v>
      </c>
      <c r="AQ81" s="88"/>
    </row>
    <row r="82" spans="5:43" x14ac:dyDescent="0.25">
      <c r="F82" s="14" t="s">
        <v>146</v>
      </c>
      <c r="G82" s="14" t="s">
        <v>120</v>
      </c>
      <c r="J82" s="274">
        <f>'Inputs by customer type'!J35</f>
        <v>44956.580637555373</v>
      </c>
      <c r="K82" s="274">
        <f>'Inputs by customer type'!K35</f>
        <v>257.47123756913317</v>
      </c>
      <c r="L82" s="274">
        <f>'Inputs by customer type'!L35</f>
        <v>3140.330539372042</v>
      </c>
      <c r="M82" s="274">
        <f>'Inputs by customer type'!M35</f>
        <v>0</v>
      </c>
      <c r="N82" s="274">
        <f>'Inputs by customer type'!N35</f>
        <v>6545.246000000001</v>
      </c>
      <c r="O82" s="274">
        <f>'Inputs by customer type'!O35</f>
        <v>0</v>
      </c>
      <c r="P82" s="274">
        <f>'Inputs by customer type'!P35</f>
        <v>0</v>
      </c>
      <c r="Q82" s="274">
        <f>'Inputs by customer type'!Q35</f>
        <v>303.25428634096841</v>
      </c>
      <c r="R82" s="274">
        <f>'Inputs by customer type'!R35</f>
        <v>1.9454499908954175</v>
      </c>
      <c r="S82" s="274">
        <f>'Inputs by customer type'!S35</f>
        <v>0</v>
      </c>
      <c r="T82" s="274">
        <f>'Inputs by customer type'!T35</f>
        <v>0</v>
      </c>
      <c r="U82" s="274">
        <f>'Inputs by customer type'!U35</f>
        <v>0</v>
      </c>
      <c r="V82" s="274">
        <f>'Inputs by customer type'!V35</f>
        <v>0</v>
      </c>
      <c r="W82" s="274">
        <f>'Inputs by customer type'!W35</f>
        <v>0</v>
      </c>
      <c r="X82" s="274">
        <f>'Inputs by customer type'!X35</f>
        <v>0</v>
      </c>
      <c r="Y82" s="274">
        <f>'Inputs by customer type'!Y35</f>
        <v>0</v>
      </c>
      <c r="AQ82" s="88"/>
    </row>
    <row r="83" spans="5:43" x14ac:dyDescent="0.25">
      <c r="F83" s="14" t="s">
        <v>147</v>
      </c>
      <c r="G83" s="14" t="s">
        <v>120</v>
      </c>
      <c r="J83" s="274">
        <f>'Inputs by customer type'!J44</f>
        <v>65951.865798979896</v>
      </c>
      <c r="K83" s="274">
        <f>'Inputs by customer type'!K44</f>
        <v>378.23816358036527</v>
      </c>
      <c r="L83" s="274">
        <f>'Inputs by customer type'!L44</f>
        <v>10881.052049529049</v>
      </c>
      <c r="M83" s="274">
        <f>'Inputs by customer type'!M44</f>
        <v>0</v>
      </c>
      <c r="N83" s="274">
        <f>'Inputs by customer type'!N44</f>
        <v>50706.112000000001</v>
      </c>
      <c r="O83" s="274">
        <f>'Inputs by customer type'!O44</f>
        <v>8312.2019999999993</v>
      </c>
      <c r="P83" s="274">
        <f>'Inputs by customer type'!P44</f>
        <v>25303.565000000002</v>
      </c>
      <c r="Q83" s="274">
        <f>'Inputs by customer type'!Q44</f>
        <v>470.53235815631092</v>
      </c>
      <c r="R83" s="274">
        <f>'Inputs by customer type'!R44</f>
        <v>0.86715492288170914</v>
      </c>
      <c r="S83" s="274">
        <f>'Inputs by customer type'!S44</f>
        <v>0</v>
      </c>
      <c r="T83" s="274">
        <f>'Inputs by customer type'!T44</f>
        <v>0</v>
      </c>
      <c r="U83" s="274">
        <f>'Inputs by customer type'!U44</f>
        <v>0</v>
      </c>
      <c r="V83" s="274">
        <f>'Inputs by customer type'!V44</f>
        <v>0</v>
      </c>
      <c r="W83" s="274">
        <f>'Inputs by customer type'!W44</f>
        <v>0</v>
      </c>
      <c r="X83" s="274">
        <f>'Inputs by customer type'!X44</f>
        <v>0</v>
      </c>
      <c r="Y83" s="274">
        <f>'Inputs by customer type'!Y44</f>
        <v>0</v>
      </c>
      <c r="AQ83" s="88"/>
    </row>
    <row r="84" spans="5:43" x14ac:dyDescent="0.25">
      <c r="F84" s="14" t="s">
        <v>178</v>
      </c>
      <c r="G84" s="14" t="s">
        <v>94</v>
      </c>
      <c r="J84" s="17">
        <f t="shared" ref="J84:Y84" si="10">IF(J$39, J$45, J$34)</f>
        <v>0.39067242808448932</v>
      </c>
      <c r="K84" s="17">
        <f t="shared" si="10"/>
        <v>0.39067242808448932</v>
      </c>
      <c r="L84" s="17">
        <f t="shared" si="10"/>
        <v>0.39067242808448932</v>
      </c>
      <c r="M84" s="17">
        <f t="shared" si="10"/>
        <v>0.39067242808448932</v>
      </c>
      <c r="N84" s="17">
        <f t="shared" si="10"/>
        <v>0.39067242808448932</v>
      </c>
      <c r="O84" s="17">
        <f t="shared" si="10"/>
        <v>0</v>
      </c>
      <c r="P84" s="17">
        <f t="shared" si="10"/>
        <v>0</v>
      </c>
      <c r="Q84" s="17">
        <f t="shared" si="10"/>
        <v>0.39067242808448932</v>
      </c>
      <c r="R84" s="17">
        <f t="shared" si="10"/>
        <v>0</v>
      </c>
      <c r="S84" s="17">
        <f t="shared" si="10"/>
        <v>0</v>
      </c>
      <c r="T84" s="17">
        <f t="shared" si="10"/>
        <v>0</v>
      </c>
      <c r="U84" s="17">
        <f t="shared" si="10"/>
        <v>0</v>
      </c>
      <c r="V84" s="17">
        <f t="shared" si="10"/>
        <v>0</v>
      </c>
      <c r="W84" s="17">
        <f t="shared" si="10"/>
        <v>0</v>
      </c>
      <c r="X84" s="17">
        <f t="shared" si="10"/>
        <v>0</v>
      </c>
      <c r="Y84" s="17">
        <f t="shared" si="10"/>
        <v>0</v>
      </c>
      <c r="AQ84" s="88"/>
    </row>
    <row r="85" spans="5:43" x14ac:dyDescent="0.25">
      <c r="F85" s="14" t="s">
        <v>179</v>
      </c>
      <c r="G85" s="14" t="s">
        <v>94</v>
      </c>
      <c r="J85" s="17">
        <f t="shared" ref="J85:Y85" si="11">IF(J$39, J$45, J$35)</f>
        <v>0.60361788113874959</v>
      </c>
      <c r="K85" s="17">
        <f t="shared" si="11"/>
        <v>0.60361788113874959</v>
      </c>
      <c r="L85" s="17">
        <f t="shared" si="11"/>
        <v>0.60361788113874959</v>
      </c>
      <c r="M85" s="17">
        <f t="shared" si="11"/>
        <v>0.60361788113874959</v>
      </c>
      <c r="N85" s="17">
        <f t="shared" si="11"/>
        <v>0.60361788113874959</v>
      </c>
      <c r="O85" s="17">
        <f t="shared" si="11"/>
        <v>0.34819248571328243</v>
      </c>
      <c r="P85" s="17">
        <f t="shared" si="11"/>
        <v>0.25174009320591562</v>
      </c>
      <c r="Q85" s="17">
        <f t="shared" si="11"/>
        <v>0.60361788113874959</v>
      </c>
      <c r="R85" s="17">
        <f t="shared" si="11"/>
        <v>0</v>
      </c>
      <c r="S85" s="17">
        <f t="shared" si="11"/>
        <v>0</v>
      </c>
      <c r="T85" s="17">
        <f t="shared" si="11"/>
        <v>0</v>
      </c>
      <c r="U85" s="17">
        <f t="shared" si="11"/>
        <v>0</v>
      </c>
      <c r="V85" s="17">
        <f t="shared" si="11"/>
        <v>0</v>
      </c>
      <c r="W85" s="17">
        <f t="shared" si="11"/>
        <v>0</v>
      </c>
      <c r="X85" s="17">
        <f t="shared" si="11"/>
        <v>0</v>
      </c>
      <c r="Y85" s="17">
        <f t="shared" si="11"/>
        <v>0</v>
      </c>
      <c r="AQ85" s="88"/>
    </row>
    <row r="86" spans="5:43" x14ac:dyDescent="0.25">
      <c r="F86" s="14" t="s">
        <v>166</v>
      </c>
      <c r="G86" s="14" t="s">
        <v>120</v>
      </c>
      <c r="J86" s="276">
        <f t="shared" ref="J86:Y87" si="12">J82 * (1 - J84)</f>
        <v>27393.284121505476</v>
      </c>
      <c r="K86" s="276">
        <f t="shared" si="12"/>
        <v>156.88432402608152</v>
      </c>
      <c r="L86" s="276">
        <f t="shared" si="12"/>
        <v>1913.4899825676923</v>
      </c>
      <c r="M86" s="276">
        <f t="shared" si="12"/>
        <v>0</v>
      </c>
      <c r="N86" s="276">
        <f t="shared" si="12"/>
        <v>3988.1988527697094</v>
      </c>
      <c r="O86" s="276">
        <f t="shared" si="12"/>
        <v>0</v>
      </c>
      <c r="P86" s="276">
        <f t="shared" si="12"/>
        <v>0</v>
      </c>
      <c r="Q86" s="276">
        <f t="shared" si="12"/>
        <v>184.78119796911329</v>
      </c>
      <c r="R86" s="276">
        <f t="shared" si="12"/>
        <v>1.9454499908954175</v>
      </c>
      <c r="S86" s="276">
        <f t="shared" si="12"/>
        <v>0</v>
      </c>
      <c r="T86" s="276">
        <f t="shared" si="12"/>
        <v>0</v>
      </c>
      <c r="U86" s="276">
        <f t="shared" si="12"/>
        <v>0</v>
      </c>
      <c r="V86" s="276">
        <f t="shared" si="12"/>
        <v>0</v>
      </c>
      <c r="W86" s="276">
        <f t="shared" si="12"/>
        <v>0</v>
      </c>
      <c r="X86" s="276">
        <f t="shared" si="12"/>
        <v>0</v>
      </c>
      <c r="Y86" s="276">
        <f t="shared" si="12"/>
        <v>0</v>
      </c>
      <c r="AQ86" s="88"/>
    </row>
    <row r="87" spans="5:43" x14ac:dyDescent="0.25">
      <c r="F87" s="15" t="s">
        <v>177</v>
      </c>
      <c r="G87" s="15" t="s">
        <v>120</v>
      </c>
      <c r="H87" s="93"/>
      <c r="I87" s="93"/>
      <c r="J87" s="269">
        <f t="shared" si="12"/>
        <v>26142.140308252485</v>
      </c>
      <c r="K87" s="269">
        <f t="shared" si="12"/>
        <v>149.92684471417343</v>
      </c>
      <c r="L87" s="269">
        <f t="shared" si="12"/>
        <v>4313.0544668318762</v>
      </c>
      <c r="M87" s="269">
        <f t="shared" si="12"/>
        <v>0</v>
      </c>
      <c r="N87" s="269">
        <f t="shared" si="12"/>
        <v>20098.996113775876</v>
      </c>
      <c r="O87" s="269">
        <f t="shared" si="12"/>
        <v>5417.9557238690822</v>
      </c>
      <c r="P87" s="269">
        <f t="shared" si="12"/>
        <v>18933.643188458056</v>
      </c>
      <c r="Q87" s="269">
        <f t="shared" si="12"/>
        <v>186.51061311877928</v>
      </c>
      <c r="R87" s="269">
        <f t="shared" si="12"/>
        <v>0.86715492288170914</v>
      </c>
      <c r="S87" s="269">
        <f t="shared" si="12"/>
        <v>0</v>
      </c>
      <c r="T87" s="269">
        <f t="shared" si="12"/>
        <v>0</v>
      </c>
      <c r="U87" s="269">
        <f t="shared" si="12"/>
        <v>0</v>
      </c>
      <c r="V87" s="269">
        <f t="shared" si="12"/>
        <v>0</v>
      </c>
      <c r="W87" s="269">
        <f t="shared" si="12"/>
        <v>0</v>
      </c>
      <c r="X87" s="269">
        <f t="shared" si="12"/>
        <v>0</v>
      </c>
      <c r="Y87" s="269">
        <f t="shared" si="12"/>
        <v>0</v>
      </c>
      <c r="AQ87" s="88"/>
    </row>
    <row r="88" spans="5:43" x14ac:dyDescent="0.25">
      <c r="F88" s="14" t="s">
        <v>167</v>
      </c>
      <c r="G88" s="14" t="s">
        <v>120</v>
      </c>
      <c r="J88" s="257">
        <f t="shared" ref="J88:Y88" si="13">J81 + J86 + J87</f>
        <v>2435994.0010482869</v>
      </c>
      <c r="K88" s="257">
        <f t="shared" si="13"/>
        <v>245515.14232274992</v>
      </c>
      <c r="L88" s="257">
        <f t="shared" si="13"/>
        <v>988714.59609282145</v>
      </c>
      <c r="M88" s="257">
        <f t="shared" si="13"/>
        <v>52561.158034119573</v>
      </c>
      <c r="N88" s="257">
        <f t="shared" si="13"/>
        <v>1179031.4355710328</v>
      </c>
      <c r="O88" s="257">
        <f t="shared" si="13"/>
        <v>106315.97183163626</v>
      </c>
      <c r="P88" s="257">
        <f t="shared" si="13"/>
        <v>1621310.6751782417</v>
      </c>
      <c r="Q88" s="257">
        <f t="shared" si="13"/>
        <v>189423.97703070924</v>
      </c>
      <c r="R88" s="257">
        <f t="shared" si="13"/>
        <v>700.98374497632642</v>
      </c>
      <c r="S88" s="257">
        <f t="shared" si="13"/>
        <v>16.006356756135215</v>
      </c>
      <c r="T88" s="257">
        <f t="shared" si="13"/>
        <v>30981.276337559029</v>
      </c>
      <c r="U88" s="257">
        <f t="shared" si="13"/>
        <v>0</v>
      </c>
      <c r="V88" s="257">
        <f t="shared" si="13"/>
        <v>807.27901652418518</v>
      </c>
      <c r="W88" s="257">
        <f t="shared" si="13"/>
        <v>0</v>
      </c>
      <c r="X88" s="257">
        <f t="shared" si="13"/>
        <v>507559.16751891578</v>
      </c>
      <c r="Y88" s="257">
        <f t="shared" si="13"/>
        <v>0</v>
      </c>
      <c r="AQ88" s="88"/>
    </row>
    <row r="89" spans="5:43" x14ac:dyDescent="0.25">
      <c r="E89" s="96"/>
      <c r="J89" s="253"/>
      <c r="K89" s="253"/>
      <c r="L89" s="253"/>
      <c r="M89" s="253"/>
      <c r="N89" s="253"/>
      <c r="O89" s="253"/>
      <c r="P89" s="253"/>
      <c r="Q89" s="253"/>
      <c r="R89" s="253"/>
      <c r="S89" s="253"/>
      <c r="T89" s="253"/>
      <c r="U89" s="253"/>
      <c r="V89" s="253"/>
      <c r="W89" s="253"/>
      <c r="X89" s="253"/>
      <c r="Y89" s="253"/>
      <c r="AQ89" s="88"/>
    </row>
    <row r="90" spans="5:43" x14ac:dyDescent="0.25">
      <c r="E90" s="96" t="s">
        <v>142</v>
      </c>
      <c r="I90" s="295" t="s">
        <v>431</v>
      </c>
      <c r="J90" s="253"/>
      <c r="K90" s="253"/>
      <c r="L90" s="253"/>
      <c r="M90" s="253"/>
      <c r="N90" s="253"/>
      <c r="O90" s="253"/>
      <c r="P90" s="253"/>
      <c r="Q90" s="253"/>
      <c r="R90" s="253"/>
      <c r="S90" s="253"/>
      <c r="T90" s="253"/>
      <c r="U90" s="253"/>
      <c r="V90" s="253"/>
      <c r="W90" s="253"/>
      <c r="X90" s="253"/>
      <c r="Y90" s="253"/>
      <c r="AQ90" s="88"/>
    </row>
    <row r="91" spans="5:43" x14ac:dyDescent="0.25">
      <c r="E91" s="96"/>
      <c r="J91" s="253"/>
      <c r="K91" s="253"/>
      <c r="L91" s="253"/>
      <c r="M91" s="253"/>
      <c r="N91" s="253"/>
      <c r="O91" s="253"/>
      <c r="P91" s="253"/>
      <c r="Q91" s="253"/>
      <c r="R91" s="253"/>
      <c r="S91" s="253"/>
      <c r="T91" s="253"/>
      <c r="U91" s="253"/>
      <c r="V91" s="253"/>
      <c r="W91" s="253"/>
      <c r="X91" s="253"/>
      <c r="Y91" s="253"/>
      <c r="AQ91" s="88"/>
    </row>
    <row r="92" spans="5:43" x14ac:dyDescent="0.25">
      <c r="F92" s="14" t="s">
        <v>167</v>
      </c>
      <c r="G92" s="14" t="s">
        <v>120</v>
      </c>
      <c r="J92" s="276">
        <f t="shared" ref="J92:Y92" si="14">J88 + J77 + J66</f>
        <v>5825599.3164300323</v>
      </c>
      <c r="K92" s="276">
        <f t="shared" si="14"/>
        <v>270877.78037019382</v>
      </c>
      <c r="L92" s="276">
        <f t="shared" si="14"/>
        <v>2201312.3060182091</v>
      </c>
      <c r="M92" s="276">
        <f t="shared" si="14"/>
        <v>82052.814575758006</v>
      </c>
      <c r="N92" s="276">
        <f t="shared" si="14"/>
        <v>2811232.9105622685</v>
      </c>
      <c r="O92" s="276">
        <f t="shared" si="14"/>
        <v>236827.76010355487</v>
      </c>
      <c r="P92" s="276">
        <f t="shared" si="14"/>
        <v>3461956.8156637559</v>
      </c>
      <c r="Q92" s="276">
        <f t="shared" si="14"/>
        <v>256175.35170091991</v>
      </c>
      <c r="R92" s="276">
        <f t="shared" si="14"/>
        <v>1469.6393787208365</v>
      </c>
      <c r="S92" s="276">
        <f t="shared" si="14"/>
        <v>30.742000000000001</v>
      </c>
      <c r="T92" s="276">
        <f t="shared" si="14"/>
        <v>64638.113999999994</v>
      </c>
      <c r="U92" s="276">
        <f t="shared" si="14"/>
        <v>0</v>
      </c>
      <c r="V92" s="276">
        <f t="shared" si="14"/>
        <v>1549.241</v>
      </c>
      <c r="W92" s="276">
        <f t="shared" si="14"/>
        <v>0</v>
      </c>
      <c r="X92" s="276">
        <f t="shared" si="14"/>
        <v>1068847.425</v>
      </c>
      <c r="Y92" s="276">
        <f t="shared" si="14"/>
        <v>0</v>
      </c>
      <c r="AQ92" s="88"/>
    </row>
    <row r="93" spans="5:43" x14ac:dyDescent="0.25">
      <c r="E93" s="96"/>
      <c r="J93" s="253"/>
      <c r="K93" s="253"/>
      <c r="L93" s="253"/>
      <c r="M93" s="253"/>
      <c r="N93" s="253"/>
      <c r="O93" s="253"/>
      <c r="P93" s="253"/>
      <c r="Q93" s="253"/>
      <c r="R93" s="253"/>
      <c r="S93" s="253"/>
      <c r="T93" s="253"/>
      <c r="U93" s="253"/>
      <c r="V93" s="253"/>
      <c r="W93" s="253"/>
      <c r="X93" s="253"/>
      <c r="Y93" s="253"/>
      <c r="AQ93" s="88"/>
    </row>
    <row r="94" spans="5:43" x14ac:dyDescent="0.25">
      <c r="E94" s="96" t="s">
        <v>74</v>
      </c>
      <c r="I94" s="295" t="s">
        <v>431</v>
      </c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  <c r="U94" s="253"/>
      <c r="V94" s="253"/>
      <c r="W94" s="253"/>
      <c r="X94" s="253"/>
      <c r="Y94" s="253"/>
      <c r="AA94" s="295" t="s">
        <v>801</v>
      </c>
      <c r="AQ94" s="88"/>
    </row>
    <row r="95" spans="5:43" x14ac:dyDescent="0.25">
      <c r="E95" s="96"/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  <c r="U95" s="253"/>
      <c r="V95" s="253"/>
      <c r="W95" s="253"/>
      <c r="X95" s="253"/>
      <c r="Y95" s="253"/>
      <c r="AQ95" s="88"/>
    </row>
    <row r="96" spans="5:43" x14ac:dyDescent="0.25">
      <c r="F96" s="14" t="s">
        <v>145</v>
      </c>
      <c r="G96" s="14" t="s">
        <v>74</v>
      </c>
      <c r="J96" s="274">
        <f>'Inputs by customer type'!J27</f>
        <v>1852569</v>
      </c>
      <c r="K96" s="274">
        <f>'Inputs by customer type'!K27</f>
        <v>100059</v>
      </c>
      <c r="L96" s="274">
        <f>'Inputs by customer type'!L27</f>
        <v>125030</v>
      </c>
      <c r="M96" s="274">
        <f>'Inputs by customer type'!M27</f>
        <v>7441</v>
      </c>
      <c r="N96" s="274">
        <f>'Inputs by customer type'!N27</f>
        <v>10491</v>
      </c>
      <c r="O96" s="274">
        <f>'Inputs by customer type'!O27</f>
        <v>219</v>
      </c>
      <c r="P96" s="274">
        <f>'Inputs by customer type'!P27</f>
        <v>1257</v>
      </c>
      <c r="Q96" s="274">
        <f>'Inputs by customer type'!Q27</f>
        <v>4868</v>
      </c>
      <c r="R96" s="274">
        <f>'Inputs by customer type'!R27</f>
        <v>167</v>
      </c>
      <c r="S96" s="274">
        <f>'Inputs by customer type'!S27</f>
        <v>4</v>
      </c>
      <c r="T96" s="274">
        <f>'Inputs by customer type'!T27</f>
        <v>472</v>
      </c>
      <c r="U96" s="274">
        <f>'Inputs by customer type'!U27</f>
        <v>0</v>
      </c>
      <c r="V96" s="274">
        <f>'Inputs by customer type'!V27</f>
        <v>8</v>
      </c>
      <c r="W96" s="274">
        <f>'Inputs by customer type'!W27</f>
        <v>0</v>
      </c>
      <c r="X96" s="274">
        <f>'Inputs by customer type'!X27</f>
        <v>255</v>
      </c>
      <c r="Y96" s="274">
        <f>'Inputs by customer type'!Y27</f>
        <v>0</v>
      </c>
      <c r="AQ96" s="88"/>
    </row>
    <row r="97" spans="5:43" x14ac:dyDescent="0.25">
      <c r="F97" s="14" t="s">
        <v>146</v>
      </c>
      <c r="G97" s="14" t="s">
        <v>74</v>
      </c>
      <c r="J97" s="274">
        <f>'Inputs by customer type'!J36</f>
        <v>41179.93548387097</v>
      </c>
      <c r="K97" s="274">
        <f>'Inputs by customer type'!K36</f>
        <v>67</v>
      </c>
      <c r="L97" s="274">
        <f>'Inputs by customer type'!L36</f>
        <v>1036.6774193548388</v>
      </c>
      <c r="M97" s="274">
        <f>'Inputs by customer type'!M36</f>
        <v>0</v>
      </c>
      <c r="N97" s="274">
        <f>'Inputs by customer type'!N36</f>
        <v>76</v>
      </c>
      <c r="O97" s="274">
        <f>'Inputs by customer type'!O36</f>
        <v>0</v>
      </c>
      <c r="P97" s="274">
        <f>'Inputs by customer type'!P36</f>
        <v>0</v>
      </c>
      <c r="Q97" s="274">
        <f>'Inputs by customer type'!Q36</f>
        <v>34</v>
      </c>
      <c r="R97" s="274">
        <f>'Inputs by customer type'!R36</f>
        <v>3</v>
      </c>
      <c r="S97" s="274">
        <f>'Inputs by customer type'!S36</f>
        <v>0</v>
      </c>
      <c r="T97" s="274">
        <f>'Inputs by customer type'!T36</f>
        <v>0</v>
      </c>
      <c r="U97" s="274">
        <f>'Inputs by customer type'!U36</f>
        <v>0</v>
      </c>
      <c r="V97" s="274">
        <f>'Inputs by customer type'!V36</f>
        <v>0</v>
      </c>
      <c r="W97" s="274">
        <f>'Inputs by customer type'!W36</f>
        <v>0</v>
      </c>
      <c r="X97" s="274">
        <f>'Inputs by customer type'!X36</f>
        <v>0</v>
      </c>
      <c r="Y97" s="274">
        <f>'Inputs by customer type'!Y36</f>
        <v>0</v>
      </c>
      <c r="AQ97" s="88"/>
    </row>
    <row r="98" spans="5:43" x14ac:dyDescent="0.25">
      <c r="F98" s="14" t="s">
        <v>147</v>
      </c>
      <c r="G98" s="14" t="s">
        <v>74</v>
      </c>
      <c r="J98" s="274">
        <f>'Inputs by customer type'!J45</f>
        <v>58740.548387096773</v>
      </c>
      <c r="K98" s="274">
        <f>'Inputs by customer type'!K45</f>
        <v>78.451612903225808</v>
      </c>
      <c r="L98" s="274">
        <f>'Inputs by customer type'!L45</f>
        <v>1509.8709677419354</v>
      </c>
      <c r="M98" s="274">
        <f>'Inputs by customer type'!M45</f>
        <v>0</v>
      </c>
      <c r="N98" s="274">
        <f>'Inputs by customer type'!N45</f>
        <v>381</v>
      </c>
      <c r="O98" s="274">
        <f>'Inputs by customer type'!O45</f>
        <v>26</v>
      </c>
      <c r="P98" s="274">
        <f>'Inputs by customer type'!P45</f>
        <v>30</v>
      </c>
      <c r="Q98" s="274">
        <f>'Inputs by customer type'!Q45</f>
        <v>46</v>
      </c>
      <c r="R98" s="274">
        <f>'Inputs by customer type'!R45</f>
        <v>5</v>
      </c>
      <c r="S98" s="274">
        <f>'Inputs by customer type'!S45</f>
        <v>0</v>
      </c>
      <c r="T98" s="274">
        <f>'Inputs by customer type'!T45</f>
        <v>0</v>
      </c>
      <c r="U98" s="274">
        <f>'Inputs by customer type'!U45</f>
        <v>0</v>
      </c>
      <c r="V98" s="274">
        <f>'Inputs by customer type'!V45</f>
        <v>0</v>
      </c>
      <c r="W98" s="274">
        <f>'Inputs by customer type'!W45</f>
        <v>0</v>
      </c>
      <c r="X98" s="274">
        <f>'Inputs by customer type'!X45</f>
        <v>0</v>
      </c>
      <c r="Y98" s="274">
        <f>'Inputs by customer type'!Y45</f>
        <v>0</v>
      </c>
      <c r="AQ98" s="88"/>
    </row>
    <row r="99" spans="5:43" x14ac:dyDescent="0.25">
      <c r="F99" s="14" t="s">
        <v>178</v>
      </c>
      <c r="G99" s="14" t="s">
        <v>94</v>
      </c>
      <c r="J99" s="17">
        <f t="shared" ref="J99:Y99" si="15">IF(J$40, J$46, J$34)</f>
        <v>0.39067242808448932</v>
      </c>
      <c r="K99" s="17">
        <f t="shared" si="15"/>
        <v>0.39067242808448932</v>
      </c>
      <c r="L99" s="17">
        <f t="shared" si="15"/>
        <v>0.39067242808448932</v>
      </c>
      <c r="M99" s="17">
        <f t="shared" si="15"/>
        <v>0.39067242808448932</v>
      </c>
      <c r="N99" s="17">
        <f t="shared" si="15"/>
        <v>0.39067242808448932</v>
      </c>
      <c r="O99" s="17">
        <f t="shared" si="15"/>
        <v>0</v>
      </c>
      <c r="P99" s="17">
        <f t="shared" si="15"/>
        <v>0</v>
      </c>
      <c r="Q99" s="17">
        <f t="shared" si="15"/>
        <v>0.39067242808448932</v>
      </c>
      <c r="R99" s="17">
        <f t="shared" si="15"/>
        <v>1</v>
      </c>
      <c r="S99" s="17">
        <f t="shared" si="15"/>
        <v>1</v>
      </c>
      <c r="T99" s="17">
        <f t="shared" si="15"/>
        <v>1</v>
      </c>
      <c r="U99" s="17">
        <f t="shared" si="15"/>
        <v>1</v>
      </c>
      <c r="V99" s="17">
        <f t="shared" si="15"/>
        <v>1</v>
      </c>
      <c r="W99" s="17">
        <f t="shared" si="15"/>
        <v>1</v>
      </c>
      <c r="X99" s="17">
        <f t="shared" si="15"/>
        <v>1</v>
      </c>
      <c r="Y99" s="17">
        <f t="shared" si="15"/>
        <v>1</v>
      </c>
      <c r="AQ99" s="88"/>
    </row>
    <row r="100" spans="5:43" x14ac:dyDescent="0.25">
      <c r="F100" s="14" t="s">
        <v>179</v>
      </c>
      <c r="G100" s="14" t="s">
        <v>94</v>
      </c>
      <c r="J100" s="17">
        <f t="shared" ref="J100:Y100" si="16">IF(J$40, J$46, J$35)</f>
        <v>0.60361788113874959</v>
      </c>
      <c r="K100" s="17">
        <f t="shared" si="16"/>
        <v>0.60361788113874959</v>
      </c>
      <c r="L100" s="17">
        <f t="shared" si="16"/>
        <v>0.60361788113874959</v>
      </c>
      <c r="M100" s="17">
        <f t="shared" si="16"/>
        <v>0.60361788113874959</v>
      </c>
      <c r="N100" s="17">
        <f t="shared" si="16"/>
        <v>0.60361788113874959</v>
      </c>
      <c r="O100" s="17">
        <f t="shared" si="16"/>
        <v>0.34819248571328243</v>
      </c>
      <c r="P100" s="17">
        <f t="shared" si="16"/>
        <v>0.25174009320591562</v>
      </c>
      <c r="Q100" s="17">
        <f t="shared" si="16"/>
        <v>0.60361788113874959</v>
      </c>
      <c r="R100" s="17">
        <f t="shared" si="16"/>
        <v>1</v>
      </c>
      <c r="S100" s="17">
        <f t="shared" si="16"/>
        <v>1</v>
      </c>
      <c r="T100" s="17">
        <f t="shared" si="16"/>
        <v>1</v>
      </c>
      <c r="U100" s="17">
        <f t="shared" si="16"/>
        <v>1</v>
      </c>
      <c r="V100" s="17">
        <f t="shared" si="16"/>
        <v>1</v>
      </c>
      <c r="W100" s="17">
        <f t="shared" si="16"/>
        <v>1</v>
      </c>
      <c r="X100" s="17">
        <f t="shared" si="16"/>
        <v>1</v>
      </c>
      <c r="Y100" s="17">
        <f t="shared" si="16"/>
        <v>1</v>
      </c>
      <c r="AQ100" s="88"/>
    </row>
    <row r="101" spans="5:43" x14ac:dyDescent="0.25">
      <c r="F101" s="14" t="s">
        <v>166</v>
      </c>
      <c r="G101" s="14" t="s">
        <v>74</v>
      </c>
      <c r="J101" s="276">
        <f t="shared" ref="J101:Y102" si="17">J97 * (1 - J99)</f>
        <v>25092.070100024477</v>
      </c>
      <c r="K101" s="276">
        <f t="shared" si="17"/>
        <v>40.824947318339213</v>
      </c>
      <c r="L101" s="276">
        <f t="shared" si="17"/>
        <v>631.67613479512158</v>
      </c>
      <c r="M101" s="276">
        <f t="shared" si="17"/>
        <v>0</v>
      </c>
      <c r="N101" s="276">
        <f t="shared" si="17"/>
        <v>46.308895465578814</v>
      </c>
      <c r="O101" s="276">
        <f t="shared" si="17"/>
        <v>0</v>
      </c>
      <c r="P101" s="276">
        <f t="shared" si="17"/>
        <v>0</v>
      </c>
      <c r="Q101" s="276">
        <f t="shared" si="17"/>
        <v>20.717137445127364</v>
      </c>
      <c r="R101" s="276">
        <f t="shared" si="17"/>
        <v>0</v>
      </c>
      <c r="S101" s="276">
        <f t="shared" si="17"/>
        <v>0</v>
      </c>
      <c r="T101" s="276">
        <f t="shared" si="17"/>
        <v>0</v>
      </c>
      <c r="U101" s="276">
        <f t="shared" si="17"/>
        <v>0</v>
      </c>
      <c r="V101" s="276">
        <f t="shared" si="17"/>
        <v>0</v>
      </c>
      <c r="W101" s="276">
        <f t="shared" si="17"/>
        <v>0</v>
      </c>
      <c r="X101" s="276">
        <f t="shared" si="17"/>
        <v>0</v>
      </c>
      <c r="Y101" s="276">
        <f t="shared" si="17"/>
        <v>0</v>
      </c>
      <c r="AQ101" s="88"/>
    </row>
    <row r="102" spans="5:43" x14ac:dyDescent="0.25">
      <c r="F102" s="15" t="s">
        <v>177</v>
      </c>
      <c r="G102" s="15" t="s">
        <v>74</v>
      </c>
      <c r="H102" s="93"/>
      <c r="I102" s="93"/>
      <c r="J102" s="269">
        <f t="shared" si="17"/>
        <v>23283.703032749225</v>
      </c>
      <c r="K102" s="269">
        <f t="shared" si="17"/>
        <v>31.096816550663259</v>
      </c>
      <c r="L102" s="269">
        <f t="shared" si="17"/>
        <v>598.48585340063505</v>
      </c>
      <c r="M102" s="269">
        <f t="shared" si="17"/>
        <v>0</v>
      </c>
      <c r="N102" s="269">
        <f t="shared" si="17"/>
        <v>151.02158728613639</v>
      </c>
      <c r="O102" s="269">
        <f t="shared" si="17"/>
        <v>16.946995371454658</v>
      </c>
      <c r="P102" s="269">
        <f t="shared" si="17"/>
        <v>22.447797203822532</v>
      </c>
      <c r="Q102" s="269">
        <f t="shared" si="17"/>
        <v>18.233577467617518</v>
      </c>
      <c r="R102" s="269">
        <f t="shared" si="17"/>
        <v>0</v>
      </c>
      <c r="S102" s="269">
        <f t="shared" si="17"/>
        <v>0</v>
      </c>
      <c r="T102" s="269">
        <f t="shared" si="17"/>
        <v>0</v>
      </c>
      <c r="U102" s="269">
        <f t="shared" si="17"/>
        <v>0</v>
      </c>
      <c r="V102" s="269">
        <f t="shared" si="17"/>
        <v>0</v>
      </c>
      <c r="W102" s="269">
        <f t="shared" si="17"/>
        <v>0</v>
      </c>
      <c r="X102" s="269">
        <f t="shared" si="17"/>
        <v>0</v>
      </c>
      <c r="Y102" s="269">
        <f t="shared" si="17"/>
        <v>0</v>
      </c>
      <c r="AQ102" s="88"/>
    </row>
    <row r="103" spans="5:43" x14ac:dyDescent="0.25">
      <c r="F103" s="14" t="s">
        <v>167</v>
      </c>
      <c r="G103" s="14" t="s">
        <v>74</v>
      </c>
      <c r="J103" s="257">
        <f t="shared" ref="J103:Y103" si="18">J96 + J101 + J102</f>
        <v>1900944.7731327738</v>
      </c>
      <c r="K103" s="257">
        <f t="shared" si="18"/>
        <v>100130.921763869</v>
      </c>
      <c r="L103" s="257">
        <f t="shared" si="18"/>
        <v>126260.16198819576</v>
      </c>
      <c r="M103" s="257">
        <f t="shared" si="18"/>
        <v>7441</v>
      </c>
      <c r="N103" s="257">
        <f t="shared" si="18"/>
        <v>10688.330482751717</v>
      </c>
      <c r="O103" s="257">
        <f t="shared" si="18"/>
        <v>235.94699537145465</v>
      </c>
      <c r="P103" s="257">
        <f t="shared" si="18"/>
        <v>1279.4477972038226</v>
      </c>
      <c r="Q103" s="257">
        <f t="shared" si="18"/>
        <v>4906.9507149127448</v>
      </c>
      <c r="R103" s="257">
        <f t="shared" si="18"/>
        <v>167</v>
      </c>
      <c r="S103" s="257">
        <f t="shared" si="18"/>
        <v>4</v>
      </c>
      <c r="T103" s="257">
        <f t="shared" si="18"/>
        <v>472</v>
      </c>
      <c r="U103" s="257">
        <f t="shared" si="18"/>
        <v>0</v>
      </c>
      <c r="V103" s="257">
        <f t="shared" si="18"/>
        <v>8</v>
      </c>
      <c r="W103" s="257">
        <f t="shared" si="18"/>
        <v>0</v>
      </c>
      <c r="X103" s="257">
        <f t="shared" si="18"/>
        <v>255</v>
      </c>
      <c r="Y103" s="257">
        <f t="shared" si="18"/>
        <v>0</v>
      </c>
      <c r="AQ103" s="88"/>
    </row>
    <row r="104" spans="5:43" x14ac:dyDescent="0.25">
      <c r="E104" s="96"/>
      <c r="J104" s="253"/>
      <c r="K104" s="253"/>
      <c r="L104" s="253"/>
      <c r="M104" s="253"/>
      <c r="N104" s="253"/>
      <c r="O104" s="253"/>
      <c r="P104" s="253"/>
      <c r="Q104" s="253"/>
      <c r="R104" s="253"/>
      <c r="S104" s="253"/>
      <c r="T104" s="253"/>
      <c r="U104" s="253"/>
      <c r="V104" s="253"/>
      <c r="W104" s="253"/>
      <c r="X104" s="253"/>
      <c r="Y104" s="253"/>
      <c r="AQ104" s="88"/>
    </row>
    <row r="105" spans="5:43" x14ac:dyDescent="0.25">
      <c r="E105" s="96" t="s">
        <v>259</v>
      </c>
      <c r="I105" s="295" t="s">
        <v>431</v>
      </c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  <c r="U105" s="253"/>
      <c r="V105" s="253"/>
      <c r="W105" s="253"/>
      <c r="X105" s="253"/>
      <c r="Y105" s="253"/>
      <c r="AA105" s="295" t="s">
        <v>801</v>
      </c>
      <c r="AQ105" s="88"/>
    </row>
    <row r="106" spans="5:43" x14ac:dyDescent="0.25">
      <c r="E106" s="96"/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  <c r="V106" s="253"/>
      <c r="W106" s="253"/>
      <c r="X106" s="253"/>
      <c r="Y106" s="253"/>
      <c r="AQ106" s="88"/>
    </row>
    <row r="107" spans="5:43" x14ac:dyDescent="0.25">
      <c r="F107" s="14" t="s">
        <v>145</v>
      </c>
      <c r="G107" s="14" t="s">
        <v>169</v>
      </c>
      <c r="J107" s="274">
        <f>'Inputs by customer type'!J28</f>
        <v>0</v>
      </c>
      <c r="K107" s="274">
        <f>'Inputs by customer type'!K28</f>
        <v>0</v>
      </c>
      <c r="L107" s="274">
        <f>'Inputs by customer type'!L28</f>
        <v>0</v>
      </c>
      <c r="M107" s="274">
        <f>'Inputs by customer type'!M28</f>
        <v>0</v>
      </c>
      <c r="N107" s="274">
        <f>'Inputs by customer type'!N28</f>
        <v>1465414</v>
      </c>
      <c r="O107" s="274">
        <f>'Inputs by customer type'!O28</f>
        <v>92670</v>
      </c>
      <c r="P107" s="274">
        <f>'Inputs by customer type'!P28</f>
        <v>1282859</v>
      </c>
      <c r="Q107" s="274">
        <f>'Inputs by customer type'!Q28</f>
        <v>0</v>
      </c>
      <c r="R107" s="274">
        <f>'Inputs by customer type'!R28</f>
        <v>0</v>
      </c>
      <c r="S107" s="274">
        <f>'Inputs by customer type'!S28</f>
        <v>0</v>
      </c>
      <c r="T107" s="274">
        <f>'Inputs by customer type'!T28</f>
        <v>0</v>
      </c>
      <c r="U107" s="274">
        <f>'Inputs by customer type'!U28</f>
        <v>0</v>
      </c>
      <c r="V107" s="274">
        <f>'Inputs by customer type'!V28</f>
        <v>0</v>
      </c>
      <c r="W107" s="274">
        <f>'Inputs by customer type'!W28</f>
        <v>0</v>
      </c>
      <c r="X107" s="274">
        <f>'Inputs by customer type'!X28</f>
        <v>0</v>
      </c>
      <c r="Y107" s="274">
        <f>'Inputs by customer type'!Y28</f>
        <v>0</v>
      </c>
      <c r="AQ107" s="88"/>
    </row>
    <row r="108" spans="5:43" x14ac:dyDescent="0.25">
      <c r="F108" s="14" t="s">
        <v>146</v>
      </c>
      <c r="G108" s="14" t="s">
        <v>169</v>
      </c>
      <c r="J108" s="274">
        <f>'Inputs by customer type'!J37</f>
        <v>0</v>
      </c>
      <c r="K108" s="274">
        <f>'Inputs by customer type'!K37</f>
        <v>0</v>
      </c>
      <c r="L108" s="274">
        <f>'Inputs by customer type'!L37</f>
        <v>0</v>
      </c>
      <c r="M108" s="274">
        <f>'Inputs by customer type'!M37</f>
        <v>0</v>
      </c>
      <c r="N108" s="274">
        <f>'Inputs by customer type'!N37</f>
        <v>10403</v>
      </c>
      <c r="O108" s="274">
        <f>'Inputs by customer type'!O37</f>
        <v>0</v>
      </c>
      <c r="P108" s="274">
        <f>'Inputs by customer type'!P37</f>
        <v>0</v>
      </c>
      <c r="Q108" s="274">
        <f>'Inputs by customer type'!Q37</f>
        <v>0</v>
      </c>
      <c r="R108" s="274">
        <f>'Inputs by customer type'!R37</f>
        <v>0</v>
      </c>
      <c r="S108" s="274">
        <f>'Inputs by customer type'!S37</f>
        <v>0</v>
      </c>
      <c r="T108" s="274">
        <f>'Inputs by customer type'!T37</f>
        <v>0</v>
      </c>
      <c r="U108" s="274">
        <f>'Inputs by customer type'!U37</f>
        <v>0</v>
      </c>
      <c r="V108" s="274">
        <f>'Inputs by customer type'!V37</f>
        <v>0</v>
      </c>
      <c r="W108" s="274">
        <f>'Inputs by customer type'!W37</f>
        <v>0</v>
      </c>
      <c r="X108" s="274">
        <f>'Inputs by customer type'!X37</f>
        <v>0</v>
      </c>
      <c r="Y108" s="274">
        <f>'Inputs by customer type'!Y37</f>
        <v>0</v>
      </c>
      <c r="AQ108" s="88"/>
    </row>
    <row r="109" spans="5:43" x14ac:dyDescent="0.25">
      <c r="F109" s="14" t="s">
        <v>147</v>
      </c>
      <c r="G109" s="14" t="s">
        <v>169</v>
      </c>
      <c r="J109" s="274">
        <f>'Inputs by customer type'!J46</f>
        <v>0</v>
      </c>
      <c r="K109" s="274">
        <f>'Inputs by customer type'!K46</f>
        <v>0</v>
      </c>
      <c r="L109" s="274">
        <f>'Inputs by customer type'!L46</f>
        <v>0</v>
      </c>
      <c r="M109" s="274">
        <f>'Inputs by customer type'!M46</f>
        <v>0</v>
      </c>
      <c r="N109" s="274">
        <f>'Inputs by customer type'!N46</f>
        <v>87614</v>
      </c>
      <c r="O109" s="274">
        <f>'Inputs by customer type'!O46</f>
        <v>13995</v>
      </c>
      <c r="P109" s="274">
        <f>'Inputs by customer type'!P46</f>
        <v>28618</v>
      </c>
      <c r="Q109" s="274">
        <f>'Inputs by customer type'!Q46</f>
        <v>0</v>
      </c>
      <c r="R109" s="274">
        <f>'Inputs by customer type'!R46</f>
        <v>0</v>
      </c>
      <c r="S109" s="274">
        <f>'Inputs by customer type'!S46</f>
        <v>0</v>
      </c>
      <c r="T109" s="274">
        <f>'Inputs by customer type'!T46</f>
        <v>0</v>
      </c>
      <c r="U109" s="274">
        <f>'Inputs by customer type'!U46</f>
        <v>0</v>
      </c>
      <c r="V109" s="274">
        <f>'Inputs by customer type'!V46</f>
        <v>0</v>
      </c>
      <c r="W109" s="274">
        <f>'Inputs by customer type'!W46</f>
        <v>0</v>
      </c>
      <c r="X109" s="274">
        <f>'Inputs by customer type'!X46</f>
        <v>0</v>
      </c>
      <c r="Y109" s="274">
        <f>'Inputs by customer type'!Y46</f>
        <v>0</v>
      </c>
      <c r="AQ109" s="88"/>
    </row>
    <row r="110" spans="5:43" x14ac:dyDescent="0.25">
      <c r="F110" s="14" t="s">
        <v>178</v>
      </c>
      <c r="G110" s="14" t="s">
        <v>94</v>
      </c>
      <c r="J110" s="17">
        <f t="shared" ref="J110:Y110" si="19">IF(J$41, J$47, J$34)</f>
        <v>0.39067242808448932</v>
      </c>
      <c r="K110" s="17">
        <f t="shared" si="19"/>
        <v>0.39067242808448932</v>
      </c>
      <c r="L110" s="17">
        <f t="shared" si="19"/>
        <v>0.39067242808448932</v>
      </c>
      <c r="M110" s="17">
        <f t="shared" si="19"/>
        <v>0.39067242808448932</v>
      </c>
      <c r="N110" s="17">
        <f t="shared" si="19"/>
        <v>0.39067242808448932</v>
      </c>
      <c r="O110" s="17">
        <f t="shared" si="19"/>
        <v>0</v>
      </c>
      <c r="P110" s="17">
        <f t="shared" si="19"/>
        <v>0</v>
      </c>
      <c r="Q110" s="17">
        <f t="shared" si="19"/>
        <v>0.39067242808448932</v>
      </c>
      <c r="R110" s="17">
        <f t="shared" si="19"/>
        <v>0</v>
      </c>
      <c r="S110" s="17">
        <f t="shared" si="19"/>
        <v>0</v>
      </c>
      <c r="T110" s="17">
        <f t="shared" si="19"/>
        <v>0</v>
      </c>
      <c r="U110" s="17">
        <f t="shared" si="19"/>
        <v>0</v>
      </c>
      <c r="V110" s="17">
        <f t="shared" si="19"/>
        <v>0</v>
      </c>
      <c r="W110" s="17">
        <f t="shared" si="19"/>
        <v>0</v>
      </c>
      <c r="X110" s="17">
        <f t="shared" si="19"/>
        <v>0</v>
      </c>
      <c r="Y110" s="17">
        <f t="shared" si="19"/>
        <v>0</v>
      </c>
      <c r="AQ110" s="88"/>
    </row>
    <row r="111" spans="5:43" x14ac:dyDescent="0.25">
      <c r="F111" s="14" t="s">
        <v>179</v>
      </c>
      <c r="G111" s="14" t="s">
        <v>94</v>
      </c>
      <c r="J111" s="17">
        <f t="shared" ref="J111:Y111" si="20">IF(J$41, J$47, J$35)</f>
        <v>0.60361788113874959</v>
      </c>
      <c r="K111" s="17">
        <f t="shared" si="20"/>
        <v>0.60361788113874959</v>
      </c>
      <c r="L111" s="17">
        <f t="shared" si="20"/>
        <v>0.60361788113874959</v>
      </c>
      <c r="M111" s="17">
        <f t="shared" si="20"/>
        <v>0.60361788113874959</v>
      </c>
      <c r="N111" s="17">
        <f t="shared" si="20"/>
        <v>0.60361788113874959</v>
      </c>
      <c r="O111" s="17">
        <f t="shared" si="20"/>
        <v>0.34819248571328243</v>
      </c>
      <c r="P111" s="17">
        <f t="shared" si="20"/>
        <v>0.25174009320591562</v>
      </c>
      <c r="Q111" s="17">
        <f t="shared" si="20"/>
        <v>0.60361788113874959</v>
      </c>
      <c r="R111" s="17">
        <f t="shared" si="20"/>
        <v>0</v>
      </c>
      <c r="S111" s="17">
        <f t="shared" si="20"/>
        <v>0</v>
      </c>
      <c r="T111" s="17">
        <f t="shared" si="20"/>
        <v>0</v>
      </c>
      <c r="U111" s="17">
        <f t="shared" si="20"/>
        <v>0</v>
      </c>
      <c r="V111" s="17">
        <f t="shared" si="20"/>
        <v>0</v>
      </c>
      <c r="W111" s="17">
        <f t="shared" si="20"/>
        <v>0</v>
      </c>
      <c r="X111" s="17">
        <f t="shared" si="20"/>
        <v>0</v>
      </c>
      <c r="Y111" s="17">
        <f t="shared" si="20"/>
        <v>0</v>
      </c>
      <c r="AQ111" s="88"/>
    </row>
    <row r="112" spans="5:43" x14ac:dyDescent="0.25">
      <c r="F112" s="14" t="s">
        <v>166</v>
      </c>
      <c r="G112" s="14" t="s">
        <v>169</v>
      </c>
      <c r="J112" s="276">
        <f t="shared" ref="J112:Y113" si="21">J108 * (1 - J110)</f>
        <v>0</v>
      </c>
      <c r="K112" s="276">
        <f t="shared" si="21"/>
        <v>0</v>
      </c>
      <c r="L112" s="276">
        <f t="shared" si="21"/>
        <v>0</v>
      </c>
      <c r="M112" s="276">
        <f t="shared" si="21"/>
        <v>0</v>
      </c>
      <c r="N112" s="276">
        <f t="shared" si="21"/>
        <v>6338.8347306370579</v>
      </c>
      <c r="O112" s="276">
        <f t="shared" si="21"/>
        <v>0</v>
      </c>
      <c r="P112" s="276">
        <f t="shared" si="21"/>
        <v>0</v>
      </c>
      <c r="Q112" s="276">
        <f t="shared" si="21"/>
        <v>0</v>
      </c>
      <c r="R112" s="276">
        <f t="shared" si="21"/>
        <v>0</v>
      </c>
      <c r="S112" s="276">
        <f t="shared" si="21"/>
        <v>0</v>
      </c>
      <c r="T112" s="276">
        <f t="shared" si="21"/>
        <v>0</v>
      </c>
      <c r="U112" s="276">
        <f t="shared" si="21"/>
        <v>0</v>
      </c>
      <c r="V112" s="276">
        <f t="shared" si="21"/>
        <v>0</v>
      </c>
      <c r="W112" s="276">
        <f t="shared" si="21"/>
        <v>0</v>
      </c>
      <c r="X112" s="276">
        <f t="shared" si="21"/>
        <v>0</v>
      </c>
      <c r="Y112" s="276">
        <f t="shared" si="21"/>
        <v>0</v>
      </c>
      <c r="AQ112" s="88"/>
    </row>
    <row r="113" spans="5:43" x14ac:dyDescent="0.25">
      <c r="F113" s="15" t="s">
        <v>177</v>
      </c>
      <c r="G113" s="15" t="s">
        <v>169</v>
      </c>
      <c r="H113" s="93"/>
      <c r="I113" s="93"/>
      <c r="J113" s="269">
        <f t="shared" si="21"/>
        <v>0</v>
      </c>
      <c r="K113" s="269">
        <f t="shared" si="21"/>
        <v>0</v>
      </c>
      <c r="L113" s="269">
        <f t="shared" si="21"/>
        <v>0</v>
      </c>
      <c r="M113" s="269">
        <f t="shared" si="21"/>
        <v>0</v>
      </c>
      <c r="N113" s="269">
        <f t="shared" si="21"/>
        <v>34728.62296190959</v>
      </c>
      <c r="O113" s="269">
        <f t="shared" si="21"/>
        <v>9122.0461624426116</v>
      </c>
      <c r="P113" s="269">
        <f t="shared" si="21"/>
        <v>21413.702012633108</v>
      </c>
      <c r="Q113" s="269">
        <f t="shared" si="21"/>
        <v>0</v>
      </c>
      <c r="R113" s="269">
        <f t="shared" si="21"/>
        <v>0</v>
      </c>
      <c r="S113" s="269">
        <f t="shared" si="21"/>
        <v>0</v>
      </c>
      <c r="T113" s="269">
        <f t="shared" si="21"/>
        <v>0</v>
      </c>
      <c r="U113" s="269">
        <f t="shared" si="21"/>
        <v>0</v>
      </c>
      <c r="V113" s="269">
        <f t="shared" si="21"/>
        <v>0</v>
      </c>
      <c r="W113" s="269">
        <f t="shared" si="21"/>
        <v>0</v>
      </c>
      <c r="X113" s="269">
        <f t="shared" si="21"/>
        <v>0</v>
      </c>
      <c r="Y113" s="269">
        <f t="shared" si="21"/>
        <v>0</v>
      </c>
      <c r="AQ113" s="88"/>
    </row>
    <row r="114" spans="5:43" x14ac:dyDescent="0.25">
      <c r="F114" s="14" t="s">
        <v>167</v>
      </c>
      <c r="G114" s="14" t="s">
        <v>169</v>
      </c>
      <c r="J114" s="257">
        <f t="shared" ref="J114:Y114" si="22">J107 + J112 + J113</f>
        <v>0</v>
      </c>
      <c r="K114" s="257">
        <f t="shared" si="22"/>
        <v>0</v>
      </c>
      <c r="L114" s="257">
        <f t="shared" si="22"/>
        <v>0</v>
      </c>
      <c r="M114" s="257">
        <f t="shared" si="22"/>
        <v>0</v>
      </c>
      <c r="N114" s="257">
        <f t="shared" si="22"/>
        <v>1506481.4576925465</v>
      </c>
      <c r="O114" s="257">
        <f t="shared" si="22"/>
        <v>101792.04616244261</v>
      </c>
      <c r="P114" s="257">
        <f t="shared" si="22"/>
        <v>1304272.7020126332</v>
      </c>
      <c r="Q114" s="257">
        <f t="shared" si="22"/>
        <v>0</v>
      </c>
      <c r="R114" s="257">
        <f t="shared" si="22"/>
        <v>0</v>
      </c>
      <c r="S114" s="257">
        <f t="shared" si="22"/>
        <v>0</v>
      </c>
      <c r="T114" s="257">
        <f t="shared" si="22"/>
        <v>0</v>
      </c>
      <c r="U114" s="257">
        <f t="shared" si="22"/>
        <v>0</v>
      </c>
      <c r="V114" s="257">
        <f t="shared" si="22"/>
        <v>0</v>
      </c>
      <c r="W114" s="257">
        <f t="shared" si="22"/>
        <v>0</v>
      </c>
      <c r="X114" s="257">
        <f t="shared" si="22"/>
        <v>0</v>
      </c>
      <c r="Y114" s="257">
        <f t="shared" si="22"/>
        <v>0</v>
      </c>
      <c r="AQ114" s="88"/>
    </row>
    <row r="115" spans="5:43" x14ac:dyDescent="0.25">
      <c r="E115" s="96"/>
      <c r="J115" s="253"/>
      <c r="K115" s="253"/>
      <c r="L115" s="253"/>
      <c r="M115" s="253"/>
      <c r="N115" s="253"/>
      <c r="O115" s="253"/>
      <c r="P115" s="253"/>
      <c r="Q115" s="253"/>
      <c r="R115" s="253"/>
      <c r="S115" s="253"/>
      <c r="T115" s="253"/>
      <c r="U115" s="253"/>
      <c r="V115" s="253"/>
      <c r="W115" s="253"/>
      <c r="X115" s="253"/>
      <c r="Y115" s="253"/>
      <c r="AQ115" s="88"/>
    </row>
    <row r="116" spans="5:43" x14ac:dyDescent="0.25">
      <c r="E116" s="96" t="s">
        <v>260</v>
      </c>
      <c r="I116" s="295" t="s">
        <v>431</v>
      </c>
      <c r="J116" s="253"/>
      <c r="K116" s="253"/>
      <c r="L116" s="253"/>
      <c r="M116" s="253"/>
      <c r="N116" s="253"/>
      <c r="O116" s="253"/>
      <c r="P116" s="253"/>
      <c r="Q116" s="253"/>
      <c r="R116" s="253"/>
      <c r="S116" s="253"/>
      <c r="T116" s="253"/>
      <c r="U116" s="253"/>
      <c r="V116" s="253"/>
      <c r="W116" s="253"/>
      <c r="X116" s="253"/>
      <c r="Y116" s="253"/>
      <c r="AA116" s="295" t="s">
        <v>801</v>
      </c>
      <c r="AQ116" s="88"/>
    </row>
    <row r="117" spans="5:43" x14ac:dyDescent="0.25">
      <c r="E117" s="96"/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  <c r="U117" s="253"/>
      <c r="V117" s="253"/>
      <c r="W117" s="253"/>
      <c r="X117" s="253"/>
      <c r="Y117" s="253"/>
      <c r="AQ117" s="88"/>
    </row>
    <row r="118" spans="5:43" x14ac:dyDescent="0.25">
      <c r="F118" s="14" t="s">
        <v>145</v>
      </c>
      <c r="G118" s="14" t="s">
        <v>169</v>
      </c>
      <c r="J118" s="274">
        <f>'Inputs by customer type'!J29</f>
        <v>0</v>
      </c>
      <c r="K118" s="274">
        <f>'Inputs by customer type'!K29</f>
        <v>0</v>
      </c>
      <c r="L118" s="274">
        <f>'Inputs by customer type'!L29</f>
        <v>0</v>
      </c>
      <c r="M118" s="274">
        <f>'Inputs by customer type'!M29</f>
        <v>0</v>
      </c>
      <c r="N118" s="274">
        <f>'Inputs by customer type'!N29</f>
        <v>29539.140000000003</v>
      </c>
      <c r="O118" s="274">
        <f>'Inputs by customer type'!O29</f>
        <v>1042.17</v>
      </c>
      <c r="P118" s="274">
        <f>'Inputs by customer type'!P29</f>
        <v>16267.89</v>
      </c>
      <c r="Q118" s="274">
        <f>'Inputs by customer type'!Q29</f>
        <v>0</v>
      </c>
      <c r="R118" s="274">
        <f>'Inputs by customer type'!R29</f>
        <v>0</v>
      </c>
      <c r="S118" s="274">
        <f>'Inputs by customer type'!S29</f>
        <v>0</v>
      </c>
      <c r="T118" s="274">
        <f>'Inputs by customer type'!T29</f>
        <v>0</v>
      </c>
      <c r="U118" s="274">
        <f>'Inputs by customer type'!U29</f>
        <v>0</v>
      </c>
      <c r="V118" s="274">
        <f>'Inputs by customer type'!V29</f>
        <v>0</v>
      </c>
      <c r="W118" s="274">
        <f>'Inputs by customer type'!W29</f>
        <v>0</v>
      </c>
      <c r="X118" s="274">
        <f>'Inputs by customer type'!X29</f>
        <v>0</v>
      </c>
      <c r="Y118" s="274">
        <f>'Inputs by customer type'!Y29</f>
        <v>0</v>
      </c>
      <c r="AQ118" s="88"/>
    </row>
    <row r="119" spans="5:43" x14ac:dyDescent="0.25">
      <c r="F119" s="14" t="s">
        <v>146</v>
      </c>
      <c r="G119" s="14" t="s">
        <v>169</v>
      </c>
      <c r="J119" s="274">
        <f>'Inputs by customer type'!J38</f>
        <v>0</v>
      </c>
      <c r="K119" s="274">
        <f>'Inputs by customer type'!K38</f>
        <v>0</v>
      </c>
      <c r="L119" s="274">
        <f>'Inputs by customer type'!L38</f>
        <v>0</v>
      </c>
      <c r="M119" s="274">
        <f>'Inputs by customer type'!M38</f>
        <v>0</v>
      </c>
      <c r="N119" s="274">
        <f>'Inputs by customer type'!N38</f>
        <v>41.612000000000002</v>
      </c>
      <c r="O119" s="274">
        <f>'Inputs by customer type'!O38</f>
        <v>0</v>
      </c>
      <c r="P119" s="274">
        <f>'Inputs by customer type'!P38</f>
        <v>0</v>
      </c>
      <c r="Q119" s="274">
        <f>'Inputs by customer type'!Q38</f>
        <v>0</v>
      </c>
      <c r="R119" s="274">
        <f>'Inputs by customer type'!R38</f>
        <v>0</v>
      </c>
      <c r="S119" s="274">
        <f>'Inputs by customer type'!S38</f>
        <v>0</v>
      </c>
      <c r="T119" s="274">
        <f>'Inputs by customer type'!T38</f>
        <v>0</v>
      </c>
      <c r="U119" s="274">
        <f>'Inputs by customer type'!U38</f>
        <v>0</v>
      </c>
      <c r="V119" s="274">
        <f>'Inputs by customer type'!V38</f>
        <v>0</v>
      </c>
      <c r="W119" s="274">
        <f>'Inputs by customer type'!W38</f>
        <v>0</v>
      </c>
      <c r="X119" s="274">
        <f>'Inputs by customer type'!X38</f>
        <v>0</v>
      </c>
      <c r="Y119" s="274">
        <f>'Inputs by customer type'!Y38</f>
        <v>0</v>
      </c>
      <c r="AQ119" s="88"/>
    </row>
    <row r="120" spans="5:43" x14ac:dyDescent="0.25">
      <c r="F120" s="14" t="s">
        <v>147</v>
      </c>
      <c r="G120" s="14" t="s">
        <v>169</v>
      </c>
      <c r="J120" s="274">
        <f>'Inputs by customer type'!J47</f>
        <v>0</v>
      </c>
      <c r="K120" s="274">
        <f>'Inputs by customer type'!K47</f>
        <v>0</v>
      </c>
      <c r="L120" s="274">
        <f>'Inputs by customer type'!L47</f>
        <v>0</v>
      </c>
      <c r="M120" s="274">
        <f>'Inputs by customer type'!M47</f>
        <v>0</v>
      </c>
      <c r="N120" s="274">
        <f>'Inputs by customer type'!N47</f>
        <v>175.22800000000001</v>
      </c>
      <c r="O120" s="274">
        <f>'Inputs by customer type'!O47</f>
        <v>0</v>
      </c>
      <c r="P120" s="274">
        <f>'Inputs by customer type'!P47</f>
        <v>14.309000000000001</v>
      </c>
      <c r="Q120" s="274">
        <f>'Inputs by customer type'!Q47</f>
        <v>0</v>
      </c>
      <c r="R120" s="274">
        <f>'Inputs by customer type'!R47</f>
        <v>0</v>
      </c>
      <c r="S120" s="274">
        <f>'Inputs by customer type'!S47</f>
        <v>0</v>
      </c>
      <c r="T120" s="274">
        <f>'Inputs by customer type'!T47</f>
        <v>0</v>
      </c>
      <c r="U120" s="274">
        <f>'Inputs by customer type'!U47</f>
        <v>0</v>
      </c>
      <c r="V120" s="274">
        <f>'Inputs by customer type'!V47</f>
        <v>0</v>
      </c>
      <c r="W120" s="274">
        <f>'Inputs by customer type'!W47</f>
        <v>0</v>
      </c>
      <c r="X120" s="274">
        <f>'Inputs by customer type'!X47</f>
        <v>0</v>
      </c>
      <c r="Y120" s="274">
        <f>'Inputs by customer type'!Y47</f>
        <v>0</v>
      </c>
      <c r="AQ120" s="88"/>
    </row>
    <row r="121" spans="5:43" x14ac:dyDescent="0.25">
      <c r="F121" s="14" t="s">
        <v>178</v>
      </c>
      <c r="G121" s="14" t="s">
        <v>94</v>
      </c>
      <c r="J121" s="17">
        <f t="shared" ref="J121:Y121" si="23">IF(J$42, J$48, J$34)</f>
        <v>0.39067242808448932</v>
      </c>
      <c r="K121" s="17">
        <f t="shared" si="23"/>
        <v>0.39067242808448932</v>
      </c>
      <c r="L121" s="17">
        <f t="shared" si="23"/>
        <v>0.39067242808448932</v>
      </c>
      <c r="M121" s="17">
        <f t="shared" si="23"/>
        <v>0.39067242808448932</v>
      </c>
      <c r="N121" s="17">
        <f t="shared" si="23"/>
        <v>0.39067242808448932</v>
      </c>
      <c r="O121" s="17">
        <f t="shared" si="23"/>
        <v>0</v>
      </c>
      <c r="P121" s="17">
        <f t="shared" si="23"/>
        <v>0</v>
      </c>
      <c r="Q121" s="17">
        <f t="shared" si="23"/>
        <v>0.39067242808448932</v>
      </c>
      <c r="R121" s="17">
        <f t="shared" si="23"/>
        <v>0</v>
      </c>
      <c r="S121" s="17">
        <f t="shared" si="23"/>
        <v>0</v>
      </c>
      <c r="T121" s="17">
        <f t="shared" si="23"/>
        <v>0</v>
      </c>
      <c r="U121" s="17">
        <f t="shared" si="23"/>
        <v>0</v>
      </c>
      <c r="V121" s="17">
        <f t="shared" si="23"/>
        <v>0</v>
      </c>
      <c r="W121" s="17">
        <f t="shared" si="23"/>
        <v>0</v>
      </c>
      <c r="X121" s="17">
        <f t="shared" si="23"/>
        <v>0</v>
      </c>
      <c r="Y121" s="17">
        <f t="shared" si="23"/>
        <v>0</v>
      </c>
      <c r="AQ121" s="88"/>
    </row>
    <row r="122" spans="5:43" x14ac:dyDescent="0.25">
      <c r="F122" s="14" t="s">
        <v>179</v>
      </c>
      <c r="G122" s="14" t="s">
        <v>94</v>
      </c>
      <c r="J122" s="17">
        <f t="shared" ref="J122:Y122" si="24">IF(J$42, J$48, J$35)</f>
        <v>0.60361788113874959</v>
      </c>
      <c r="K122" s="17">
        <f t="shared" si="24"/>
        <v>0.60361788113874959</v>
      </c>
      <c r="L122" s="17">
        <f t="shared" si="24"/>
        <v>0.60361788113874959</v>
      </c>
      <c r="M122" s="17">
        <f t="shared" si="24"/>
        <v>0.60361788113874959</v>
      </c>
      <c r="N122" s="17">
        <f t="shared" si="24"/>
        <v>0.60361788113874959</v>
      </c>
      <c r="O122" s="17">
        <f t="shared" si="24"/>
        <v>0.34819248571328243</v>
      </c>
      <c r="P122" s="17">
        <f t="shared" si="24"/>
        <v>0.25174009320591562</v>
      </c>
      <c r="Q122" s="17">
        <f t="shared" si="24"/>
        <v>0.60361788113874959</v>
      </c>
      <c r="R122" s="17">
        <f t="shared" si="24"/>
        <v>0</v>
      </c>
      <c r="S122" s="17">
        <f t="shared" si="24"/>
        <v>0</v>
      </c>
      <c r="T122" s="17">
        <f t="shared" si="24"/>
        <v>0</v>
      </c>
      <c r="U122" s="17">
        <f t="shared" si="24"/>
        <v>0</v>
      </c>
      <c r="V122" s="17">
        <f t="shared" si="24"/>
        <v>0</v>
      </c>
      <c r="W122" s="17">
        <f t="shared" si="24"/>
        <v>0</v>
      </c>
      <c r="X122" s="17">
        <f t="shared" si="24"/>
        <v>0</v>
      </c>
      <c r="Y122" s="17">
        <f t="shared" si="24"/>
        <v>0</v>
      </c>
      <c r="AQ122" s="88"/>
    </row>
    <row r="123" spans="5:43" x14ac:dyDescent="0.25">
      <c r="F123" s="14" t="s">
        <v>166</v>
      </c>
      <c r="G123" s="14" t="s">
        <v>169</v>
      </c>
      <c r="J123" s="276">
        <f t="shared" ref="J123:Y124" si="25">J119 * (1 - J121)</f>
        <v>0</v>
      </c>
      <c r="K123" s="276">
        <f t="shared" si="25"/>
        <v>0</v>
      </c>
      <c r="L123" s="276">
        <f t="shared" si="25"/>
        <v>0</v>
      </c>
      <c r="M123" s="276">
        <f t="shared" si="25"/>
        <v>0</v>
      </c>
      <c r="N123" s="276">
        <f t="shared" si="25"/>
        <v>25.355338922548231</v>
      </c>
      <c r="O123" s="276">
        <f t="shared" si="25"/>
        <v>0</v>
      </c>
      <c r="P123" s="276">
        <f t="shared" si="25"/>
        <v>0</v>
      </c>
      <c r="Q123" s="276">
        <f t="shared" si="25"/>
        <v>0</v>
      </c>
      <c r="R123" s="276">
        <f t="shared" si="25"/>
        <v>0</v>
      </c>
      <c r="S123" s="276">
        <f t="shared" si="25"/>
        <v>0</v>
      </c>
      <c r="T123" s="276">
        <f t="shared" si="25"/>
        <v>0</v>
      </c>
      <c r="U123" s="276">
        <f t="shared" si="25"/>
        <v>0</v>
      </c>
      <c r="V123" s="276">
        <f t="shared" si="25"/>
        <v>0</v>
      </c>
      <c r="W123" s="276">
        <f t="shared" si="25"/>
        <v>0</v>
      </c>
      <c r="X123" s="276">
        <f t="shared" si="25"/>
        <v>0</v>
      </c>
      <c r="Y123" s="276">
        <f t="shared" si="25"/>
        <v>0</v>
      </c>
      <c r="AQ123" s="88"/>
    </row>
    <row r="124" spans="5:43" x14ac:dyDescent="0.25">
      <c r="F124" s="15" t="s">
        <v>177</v>
      </c>
      <c r="G124" s="15" t="s">
        <v>169</v>
      </c>
      <c r="H124" s="93"/>
      <c r="I124" s="93"/>
      <c r="J124" s="269">
        <f t="shared" si="25"/>
        <v>0</v>
      </c>
      <c r="K124" s="269">
        <f t="shared" si="25"/>
        <v>0</v>
      </c>
      <c r="L124" s="269">
        <f t="shared" si="25"/>
        <v>0</v>
      </c>
      <c r="M124" s="269">
        <f t="shared" si="25"/>
        <v>0</v>
      </c>
      <c r="N124" s="269">
        <f t="shared" si="25"/>
        <v>69.457245923819187</v>
      </c>
      <c r="O124" s="269">
        <f t="shared" si="25"/>
        <v>0</v>
      </c>
      <c r="P124" s="269">
        <f t="shared" si="25"/>
        <v>10.706851006316555</v>
      </c>
      <c r="Q124" s="269">
        <f t="shared" si="25"/>
        <v>0</v>
      </c>
      <c r="R124" s="269">
        <f t="shared" si="25"/>
        <v>0</v>
      </c>
      <c r="S124" s="269">
        <f t="shared" si="25"/>
        <v>0</v>
      </c>
      <c r="T124" s="269">
        <f t="shared" si="25"/>
        <v>0</v>
      </c>
      <c r="U124" s="269">
        <f t="shared" si="25"/>
        <v>0</v>
      </c>
      <c r="V124" s="269">
        <f t="shared" si="25"/>
        <v>0</v>
      </c>
      <c r="W124" s="269">
        <f t="shared" si="25"/>
        <v>0</v>
      </c>
      <c r="X124" s="269">
        <f t="shared" si="25"/>
        <v>0</v>
      </c>
      <c r="Y124" s="269">
        <f t="shared" si="25"/>
        <v>0</v>
      </c>
      <c r="AQ124" s="88"/>
    </row>
    <row r="125" spans="5:43" x14ac:dyDescent="0.25">
      <c r="F125" s="14" t="s">
        <v>167</v>
      </c>
      <c r="G125" s="14" t="s">
        <v>169</v>
      </c>
      <c r="J125" s="257">
        <f t="shared" ref="J125:Y125" si="26">J118 + J123 + J124</f>
        <v>0</v>
      </c>
      <c r="K125" s="257">
        <f t="shared" si="26"/>
        <v>0</v>
      </c>
      <c r="L125" s="257">
        <f t="shared" si="26"/>
        <v>0</v>
      </c>
      <c r="M125" s="257">
        <f t="shared" si="26"/>
        <v>0</v>
      </c>
      <c r="N125" s="257">
        <f t="shared" si="26"/>
        <v>29633.952584846371</v>
      </c>
      <c r="O125" s="257">
        <f t="shared" si="26"/>
        <v>1042.17</v>
      </c>
      <c r="P125" s="257">
        <f t="shared" si="26"/>
        <v>16278.596851006316</v>
      </c>
      <c r="Q125" s="257">
        <f t="shared" si="26"/>
        <v>0</v>
      </c>
      <c r="R125" s="257">
        <f t="shared" si="26"/>
        <v>0</v>
      </c>
      <c r="S125" s="257">
        <f t="shared" si="26"/>
        <v>0</v>
      </c>
      <c r="T125" s="257">
        <f t="shared" si="26"/>
        <v>0</v>
      </c>
      <c r="U125" s="257">
        <f t="shared" si="26"/>
        <v>0</v>
      </c>
      <c r="V125" s="257">
        <f t="shared" si="26"/>
        <v>0</v>
      </c>
      <c r="W125" s="257">
        <f t="shared" si="26"/>
        <v>0</v>
      </c>
      <c r="X125" s="257">
        <f t="shared" si="26"/>
        <v>0</v>
      </c>
      <c r="Y125" s="257">
        <f t="shared" si="26"/>
        <v>0</v>
      </c>
      <c r="AQ125" s="88"/>
    </row>
    <row r="126" spans="5:43" x14ac:dyDescent="0.25">
      <c r="E126" s="96"/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  <c r="U126" s="253"/>
      <c r="V126" s="253"/>
      <c r="W126" s="253"/>
      <c r="X126" s="253"/>
      <c r="Y126" s="253"/>
      <c r="AQ126" s="88"/>
    </row>
    <row r="127" spans="5:43" x14ac:dyDescent="0.25">
      <c r="E127" s="96" t="s">
        <v>261</v>
      </c>
      <c r="I127" s="295" t="s">
        <v>431</v>
      </c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  <c r="U127" s="253"/>
      <c r="V127" s="253"/>
      <c r="W127" s="253"/>
      <c r="X127" s="253"/>
      <c r="Y127" s="253"/>
      <c r="AA127" s="295" t="s">
        <v>801</v>
      </c>
      <c r="AQ127" s="88"/>
    </row>
    <row r="128" spans="5:43" x14ac:dyDescent="0.25">
      <c r="E128" s="96"/>
      <c r="J128" s="253"/>
      <c r="K128" s="253"/>
      <c r="L128" s="253"/>
      <c r="M128" s="253"/>
      <c r="N128" s="253"/>
      <c r="O128" s="253"/>
      <c r="P128" s="253"/>
      <c r="Q128" s="253"/>
      <c r="R128" s="253"/>
      <c r="S128" s="253"/>
      <c r="T128" s="253"/>
      <c r="U128" s="253"/>
      <c r="V128" s="253"/>
      <c r="W128" s="253"/>
      <c r="X128" s="253"/>
      <c r="Y128" s="253"/>
      <c r="AQ128" s="88"/>
    </row>
    <row r="129" spans="2:43" x14ac:dyDescent="0.25">
      <c r="F129" s="14" t="s">
        <v>145</v>
      </c>
      <c r="G129" s="14" t="s">
        <v>170</v>
      </c>
      <c r="J129" s="274">
        <f>'Inputs by customer type'!J30</f>
        <v>0</v>
      </c>
      <c r="K129" s="274">
        <f>'Inputs by customer type'!K30</f>
        <v>0</v>
      </c>
      <c r="L129" s="274">
        <f>'Inputs by customer type'!L30</f>
        <v>0</v>
      </c>
      <c r="M129" s="274">
        <f>'Inputs by customer type'!M30</f>
        <v>0</v>
      </c>
      <c r="N129" s="274">
        <f>'Inputs by customer type'!N30</f>
        <v>241920</v>
      </c>
      <c r="O129" s="274">
        <f>'Inputs by customer type'!O30</f>
        <v>19020</v>
      </c>
      <c r="P129" s="274">
        <f>'Inputs by customer type'!P30</f>
        <v>250200</v>
      </c>
      <c r="Q129" s="274">
        <f>'Inputs by customer type'!Q30</f>
        <v>0</v>
      </c>
      <c r="R129" s="274">
        <f>'Inputs by customer type'!R30</f>
        <v>0</v>
      </c>
      <c r="S129" s="274">
        <f>'Inputs by customer type'!S30</f>
        <v>0</v>
      </c>
      <c r="T129" s="274">
        <f>'Inputs by customer type'!T30</f>
        <v>4452</v>
      </c>
      <c r="U129" s="274">
        <f>'Inputs by customer type'!U30</f>
        <v>0</v>
      </c>
      <c r="V129" s="274">
        <f>'Inputs by customer type'!V30</f>
        <v>408</v>
      </c>
      <c r="W129" s="274">
        <f>'Inputs by customer type'!W30</f>
        <v>0</v>
      </c>
      <c r="X129" s="274">
        <f>'Inputs by customer type'!X30</f>
        <v>16464</v>
      </c>
      <c r="Y129" s="274">
        <f>'Inputs by customer type'!Y30</f>
        <v>0</v>
      </c>
      <c r="AQ129" s="88"/>
    </row>
    <row r="130" spans="2:43" x14ac:dyDescent="0.25">
      <c r="F130" s="14" t="s">
        <v>146</v>
      </c>
      <c r="G130" s="14" t="s">
        <v>170</v>
      </c>
      <c r="J130" s="274">
        <f>'Inputs by customer type'!J39</f>
        <v>0</v>
      </c>
      <c r="K130" s="274">
        <f>'Inputs by customer type'!K39</f>
        <v>0</v>
      </c>
      <c r="L130" s="274">
        <f>'Inputs by customer type'!L39</f>
        <v>0</v>
      </c>
      <c r="M130" s="274">
        <f>'Inputs by customer type'!M39</f>
        <v>0</v>
      </c>
      <c r="N130" s="274">
        <f>'Inputs by customer type'!N39</f>
        <v>936</v>
      </c>
      <c r="O130" s="274">
        <f>'Inputs by customer type'!O39</f>
        <v>0</v>
      </c>
      <c r="P130" s="274">
        <f>'Inputs by customer type'!P39</f>
        <v>0</v>
      </c>
      <c r="Q130" s="274">
        <f>'Inputs by customer type'!Q39</f>
        <v>0</v>
      </c>
      <c r="R130" s="274">
        <f>'Inputs by customer type'!R39</f>
        <v>0</v>
      </c>
      <c r="S130" s="274">
        <f>'Inputs by customer type'!S39</f>
        <v>0</v>
      </c>
      <c r="T130" s="274">
        <f>'Inputs by customer type'!T39</f>
        <v>0</v>
      </c>
      <c r="U130" s="274">
        <f>'Inputs by customer type'!U39</f>
        <v>0</v>
      </c>
      <c r="V130" s="274">
        <f>'Inputs by customer type'!V39</f>
        <v>0</v>
      </c>
      <c r="W130" s="274">
        <f>'Inputs by customer type'!W39</f>
        <v>0</v>
      </c>
      <c r="X130" s="274">
        <f>'Inputs by customer type'!X39</f>
        <v>0</v>
      </c>
      <c r="Y130" s="274">
        <f>'Inputs by customer type'!Y39</f>
        <v>0</v>
      </c>
      <c r="AQ130" s="88"/>
    </row>
    <row r="131" spans="2:43" x14ac:dyDescent="0.25">
      <c r="F131" s="14" t="s">
        <v>147</v>
      </c>
      <c r="G131" s="14" t="s">
        <v>170</v>
      </c>
      <c r="J131" s="274">
        <f>'Inputs by customer type'!J48</f>
        <v>0</v>
      </c>
      <c r="K131" s="274">
        <f>'Inputs by customer type'!K48</f>
        <v>0</v>
      </c>
      <c r="L131" s="274">
        <f>'Inputs by customer type'!L48</f>
        <v>0</v>
      </c>
      <c r="M131" s="274">
        <f>'Inputs by customer type'!M48</f>
        <v>0</v>
      </c>
      <c r="N131" s="274">
        <f>'Inputs by customer type'!N48</f>
        <v>9000</v>
      </c>
      <c r="O131" s="274">
        <f>'Inputs by customer type'!O48</f>
        <v>1320</v>
      </c>
      <c r="P131" s="274">
        <f>'Inputs by customer type'!P48</f>
        <v>1908</v>
      </c>
      <c r="Q131" s="274">
        <f>'Inputs by customer type'!Q48</f>
        <v>0</v>
      </c>
      <c r="R131" s="274">
        <f>'Inputs by customer type'!R48</f>
        <v>0</v>
      </c>
      <c r="S131" s="274">
        <f>'Inputs by customer type'!S48</f>
        <v>0</v>
      </c>
      <c r="T131" s="274">
        <f>'Inputs by customer type'!T48</f>
        <v>0</v>
      </c>
      <c r="U131" s="274">
        <f>'Inputs by customer type'!U48</f>
        <v>0</v>
      </c>
      <c r="V131" s="274">
        <f>'Inputs by customer type'!V48</f>
        <v>0</v>
      </c>
      <c r="W131" s="274">
        <f>'Inputs by customer type'!W48</f>
        <v>0</v>
      </c>
      <c r="X131" s="274">
        <f>'Inputs by customer type'!X48</f>
        <v>0</v>
      </c>
      <c r="Y131" s="274">
        <f>'Inputs by customer type'!Y48</f>
        <v>0</v>
      </c>
      <c r="AQ131" s="88"/>
    </row>
    <row r="132" spans="2:43" x14ac:dyDescent="0.25">
      <c r="F132" s="14" t="s">
        <v>178</v>
      </c>
      <c r="G132" s="14" t="s">
        <v>94</v>
      </c>
      <c r="J132" s="17">
        <f t="shared" ref="J132:Y132" si="27">IF(J$43, J$49, J$34)</f>
        <v>0.39067242808448932</v>
      </c>
      <c r="K132" s="17">
        <f t="shared" si="27"/>
        <v>0.39067242808448932</v>
      </c>
      <c r="L132" s="17">
        <f t="shared" si="27"/>
        <v>0.39067242808448932</v>
      </c>
      <c r="M132" s="17">
        <f t="shared" si="27"/>
        <v>0.39067242808448932</v>
      </c>
      <c r="N132" s="17">
        <f t="shared" si="27"/>
        <v>0.39067242808448932</v>
      </c>
      <c r="O132" s="17">
        <f t="shared" si="27"/>
        <v>0</v>
      </c>
      <c r="P132" s="17">
        <f t="shared" si="27"/>
        <v>0</v>
      </c>
      <c r="Q132" s="17">
        <f t="shared" si="27"/>
        <v>0.39067242808448932</v>
      </c>
      <c r="R132" s="17">
        <f t="shared" si="27"/>
        <v>0</v>
      </c>
      <c r="S132" s="17">
        <f t="shared" si="27"/>
        <v>0</v>
      </c>
      <c r="T132" s="17">
        <f t="shared" si="27"/>
        <v>0</v>
      </c>
      <c r="U132" s="17">
        <f t="shared" si="27"/>
        <v>0</v>
      </c>
      <c r="V132" s="17">
        <f t="shared" si="27"/>
        <v>0</v>
      </c>
      <c r="W132" s="17">
        <f t="shared" si="27"/>
        <v>0</v>
      </c>
      <c r="X132" s="17">
        <f t="shared" si="27"/>
        <v>0</v>
      </c>
      <c r="Y132" s="17">
        <f t="shared" si="27"/>
        <v>0</v>
      </c>
      <c r="AQ132" s="88"/>
    </row>
    <row r="133" spans="2:43" x14ac:dyDescent="0.25">
      <c r="F133" s="14" t="s">
        <v>179</v>
      </c>
      <c r="G133" s="14" t="s">
        <v>94</v>
      </c>
      <c r="J133" s="17">
        <f t="shared" ref="J133:Y133" si="28">IF(J$43, J$49, J$35)</f>
        <v>0.60361788113874959</v>
      </c>
      <c r="K133" s="17">
        <f t="shared" si="28"/>
        <v>0.60361788113874959</v>
      </c>
      <c r="L133" s="17">
        <f t="shared" si="28"/>
        <v>0.60361788113874959</v>
      </c>
      <c r="M133" s="17">
        <f t="shared" si="28"/>
        <v>0.60361788113874959</v>
      </c>
      <c r="N133" s="17">
        <f t="shared" si="28"/>
        <v>0.60361788113874959</v>
      </c>
      <c r="O133" s="17">
        <f t="shared" si="28"/>
        <v>0.34819248571328243</v>
      </c>
      <c r="P133" s="17">
        <f t="shared" si="28"/>
        <v>0.25174009320591562</v>
      </c>
      <c r="Q133" s="17">
        <f t="shared" si="28"/>
        <v>0.60361788113874959</v>
      </c>
      <c r="R133" s="17">
        <f t="shared" si="28"/>
        <v>0</v>
      </c>
      <c r="S133" s="17">
        <f t="shared" si="28"/>
        <v>0</v>
      </c>
      <c r="T133" s="17">
        <f t="shared" si="28"/>
        <v>0</v>
      </c>
      <c r="U133" s="17">
        <f t="shared" si="28"/>
        <v>0</v>
      </c>
      <c r="V133" s="17">
        <f t="shared" si="28"/>
        <v>0</v>
      </c>
      <c r="W133" s="17">
        <f t="shared" si="28"/>
        <v>0</v>
      </c>
      <c r="X133" s="17">
        <f t="shared" si="28"/>
        <v>0</v>
      </c>
      <c r="Y133" s="17">
        <f t="shared" si="28"/>
        <v>0</v>
      </c>
      <c r="AQ133" s="88"/>
    </row>
    <row r="134" spans="2:43" x14ac:dyDescent="0.25">
      <c r="F134" s="14" t="s">
        <v>166</v>
      </c>
      <c r="G134" s="14" t="s">
        <v>170</v>
      </c>
      <c r="J134" s="276">
        <f t="shared" ref="J134:Y135" si="29">J130 * (1 - J132)</f>
        <v>0</v>
      </c>
      <c r="K134" s="276">
        <f t="shared" si="29"/>
        <v>0</v>
      </c>
      <c r="L134" s="276">
        <f t="shared" si="29"/>
        <v>0</v>
      </c>
      <c r="M134" s="276">
        <f t="shared" si="29"/>
        <v>0</v>
      </c>
      <c r="N134" s="276">
        <f t="shared" si="29"/>
        <v>570.330607312918</v>
      </c>
      <c r="O134" s="276">
        <f t="shared" si="29"/>
        <v>0</v>
      </c>
      <c r="P134" s="276">
        <f t="shared" si="29"/>
        <v>0</v>
      </c>
      <c r="Q134" s="276">
        <f t="shared" si="29"/>
        <v>0</v>
      </c>
      <c r="R134" s="276">
        <f t="shared" si="29"/>
        <v>0</v>
      </c>
      <c r="S134" s="276">
        <f t="shared" si="29"/>
        <v>0</v>
      </c>
      <c r="T134" s="276">
        <f t="shared" si="29"/>
        <v>0</v>
      </c>
      <c r="U134" s="276">
        <f t="shared" si="29"/>
        <v>0</v>
      </c>
      <c r="V134" s="276">
        <f t="shared" si="29"/>
        <v>0</v>
      </c>
      <c r="W134" s="276">
        <f t="shared" si="29"/>
        <v>0</v>
      </c>
      <c r="X134" s="276">
        <f t="shared" si="29"/>
        <v>0</v>
      </c>
      <c r="Y134" s="276">
        <f t="shared" si="29"/>
        <v>0</v>
      </c>
      <c r="AQ134" s="88"/>
    </row>
    <row r="135" spans="2:43" x14ac:dyDescent="0.25">
      <c r="F135" s="15" t="s">
        <v>177</v>
      </c>
      <c r="G135" s="15" t="s">
        <v>170</v>
      </c>
      <c r="H135" s="93"/>
      <c r="I135" s="93"/>
      <c r="J135" s="269">
        <f t="shared" si="29"/>
        <v>0</v>
      </c>
      <c r="K135" s="269">
        <f t="shared" si="29"/>
        <v>0</v>
      </c>
      <c r="L135" s="269">
        <f t="shared" si="29"/>
        <v>0</v>
      </c>
      <c r="M135" s="269">
        <f t="shared" si="29"/>
        <v>0</v>
      </c>
      <c r="N135" s="269">
        <f t="shared" si="29"/>
        <v>3567.4390697512536</v>
      </c>
      <c r="O135" s="269">
        <f t="shared" si="29"/>
        <v>860.38591885846722</v>
      </c>
      <c r="P135" s="269">
        <f t="shared" si="29"/>
        <v>1427.679902163113</v>
      </c>
      <c r="Q135" s="269">
        <f t="shared" si="29"/>
        <v>0</v>
      </c>
      <c r="R135" s="269">
        <f t="shared" si="29"/>
        <v>0</v>
      </c>
      <c r="S135" s="269">
        <f t="shared" si="29"/>
        <v>0</v>
      </c>
      <c r="T135" s="269">
        <f t="shared" si="29"/>
        <v>0</v>
      </c>
      <c r="U135" s="269">
        <f t="shared" si="29"/>
        <v>0</v>
      </c>
      <c r="V135" s="269">
        <f t="shared" si="29"/>
        <v>0</v>
      </c>
      <c r="W135" s="269">
        <f t="shared" si="29"/>
        <v>0</v>
      </c>
      <c r="X135" s="269">
        <f t="shared" si="29"/>
        <v>0</v>
      </c>
      <c r="Y135" s="269">
        <f t="shared" si="29"/>
        <v>0</v>
      </c>
      <c r="AQ135" s="88"/>
    </row>
    <row r="136" spans="2:43" x14ac:dyDescent="0.25">
      <c r="F136" s="14" t="s">
        <v>167</v>
      </c>
      <c r="G136" s="14" t="s">
        <v>170</v>
      </c>
      <c r="J136" s="257">
        <f t="shared" ref="J136:Y136" si="30">J129 + J134 + J135</f>
        <v>0</v>
      </c>
      <c r="K136" s="257">
        <f t="shared" si="30"/>
        <v>0</v>
      </c>
      <c r="L136" s="257">
        <f t="shared" si="30"/>
        <v>0</v>
      </c>
      <c r="M136" s="257">
        <f t="shared" si="30"/>
        <v>0</v>
      </c>
      <c r="N136" s="257">
        <f t="shared" si="30"/>
        <v>246057.76967706415</v>
      </c>
      <c r="O136" s="257">
        <f t="shared" si="30"/>
        <v>19880.385918858468</v>
      </c>
      <c r="P136" s="257">
        <f t="shared" si="30"/>
        <v>251627.6799021631</v>
      </c>
      <c r="Q136" s="257">
        <f t="shared" si="30"/>
        <v>0</v>
      </c>
      <c r="R136" s="257">
        <f t="shared" si="30"/>
        <v>0</v>
      </c>
      <c r="S136" s="257">
        <f t="shared" si="30"/>
        <v>0</v>
      </c>
      <c r="T136" s="257">
        <f t="shared" si="30"/>
        <v>4452</v>
      </c>
      <c r="U136" s="257">
        <f t="shared" si="30"/>
        <v>0</v>
      </c>
      <c r="V136" s="257">
        <f t="shared" si="30"/>
        <v>408</v>
      </c>
      <c r="W136" s="257">
        <f t="shared" si="30"/>
        <v>0</v>
      </c>
      <c r="X136" s="257">
        <f t="shared" si="30"/>
        <v>16464</v>
      </c>
      <c r="Y136" s="257">
        <f t="shared" si="30"/>
        <v>0</v>
      </c>
      <c r="AQ136" s="88"/>
    </row>
    <row r="137" spans="2:43" x14ac:dyDescent="0.25">
      <c r="D137" s="96"/>
      <c r="AQ137" s="88"/>
    </row>
    <row r="138" spans="2:43" x14ac:dyDescent="0.25">
      <c r="B138" s="95" t="s">
        <v>109</v>
      </c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Q138" s="95"/>
    </row>
    <row r="140" spans="2:43" x14ac:dyDescent="0.25">
      <c r="E140" s="295" t="s">
        <v>516</v>
      </c>
      <c r="G140" s="122" t="s">
        <v>692</v>
      </c>
      <c r="H140" s="152">
        <f t="array" ref="H140">SUM(IF(ISERROR(H22:Y137), 1))</f>
        <v>0</v>
      </c>
    </row>
    <row r="142" spans="2:43" x14ac:dyDescent="0.25">
      <c r="B142" s="95" t="s">
        <v>110</v>
      </c>
      <c r="C142" s="95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C142" s="95"/>
      <c r="AD142" s="95"/>
      <c r="AE142" s="95"/>
      <c r="AF142" s="95"/>
      <c r="AG142" s="95"/>
      <c r="AH142" s="95"/>
      <c r="AI142" s="95"/>
      <c r="AJ142" s="95"/>
      <c r="AK142" s="95"/>
      <c r="AL142" s="95"/>
      <c r="AM142" s="95"/>
      <c r="AN142" s="95"/>
      <c r="AO142" s="95"/>
      <c r="AQ142" s="95"/>
    </row>
  </sheetData>
  <sheetProtection sheet="1" objects="1" formatCells="0" formatColumns="0" formatRows="0" sort="0" autoFilter="0"/>
  <conditionalFormatting sqref="H140">
    <cfRule type="cellIs" dxfId="164" priority="10" operator="greaterThan">
      <formula>0</formula>
    </cfRule>
  </conditionalFormatting>
  <conditionalFormatting sqref="A4:I4 Z4:XFD4">
    <cfRule type="expression" dxfId="163" priority="9">
      <formula>LEFT($A$4,1) &lt;&gt; "0"</formula>
    </cfRule>
  </conditionalFormatting>
  <conditionalFormatting sqref="N4:P4">
    <cfRule type="expression" dxfId="162" priority="8">
      <formula>LEFT($A$4,1) &lt;&gt; "0"</formula>
    </cfRule>
  </conditionalFormatting>
  <conditionalFormatting sqref="L4:M4">
    <cfRule type="expression" dxfId="161" priority="7">
      <formula>LEFT($A$4,1) &lt;&gt; "0"</formula>
    </cfRule>
  </conditionalFormatting>
  <conditionalFormatting sqref="J4:K4">
    <cfRule type="expression" dxfId="160" priority="6">
      <formula>LEFT($A$4,1) &lt;&gt; "0"</formula>
    </cfRule>
  </conditionalFormatting>
  <conditionalFormatting sqref="Q4">
    <cfRule type="expression" dxfId="159" priority="5">
      <formula>LEFT($A$4,1) &lt;&gt; "0"</formula>
    </cfRule>
  </conditionalFormatting>
  <conditionalFormatting sqref="R4:S4">
    <cfRule type="expression" dxfId="158" priority="4">
      <formula>LEFT($A$4,1) &lt;&gt; "0"</formula>
    </cfRule>
  </conditionalFormatting>
  <conditionalFormatting sqref="T4:U4">
    <cfRule type="expression" dxfId="157" priority="3">
      <formula>LEFT($A$4,1) &lt;&gt; "0"</formula>
    </cfRule>
  </conditionalFormatting>
  <conditionalFormatting sqref="V4:W4">
    <cfRule type="expression" dxfId="156" priority="2">
      <formula>LEFT($A$4,1) &lt;&gt; "0"</formula>
    </cfRule>
  </conditionalFormatting>
  <conditionalFormatting sqref="X4:Y4">
    <cfRule type="expression" dxfId="155" priority="1">
      <formula>LEFT($A$4,1) &lt;&gt; "0"</formula>
    </cfRule>
  </conditionalFormatting>
  <hyperlinks>
    <hyperlink ref="B5:F5" location="'Model map'!A1" display="Click here to return to model map" xr:uid="{00000000-0004-0000-14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>
    <tabColor theme="4" tint="0.59999389629810485"/>
    <pageSetUpPr fitToPage="1"/>
  </sheetPr>
  <dimension ref="A1:KQ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03" width="24.5703125" style="295" hidden="1" customWidth="1"/>
    <col min="304" max="16384" width="8.85546875" style="295" hidden="1"/>
  </cols>
  <sheetData>
    <row r="1" spans="1:27" s="10" customFormat="1" x14ac:dyDescent="0.25">
      <c r="A1" s="10" t="str">
        <f ca="1">MID(CELL("filename",A1),FIND("]",CELL("filename",A1))+1,255)</f>
        <v>Pseudo-load coefficients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1" t="str">
        <f>H306 &amp; IF(H306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2" t="s">
        <v>552</v>
      </c>
      <c r="C5" s="373"/>
      <c r="D5" s="373"/>
      <c r="E5" s="373"/>
      <c r="F5" s="373"/>
      <c r="G5" s="373" t="s">
        <v>91</v>
      </c>
      <c r="H5" s="388" t="s">
        <v>92</v>
      </c>
      <c r="I5" s="111"/>
      <c r="J5" s="388" t="s">
        <v>1038</v>
      </c>
      <c r="K5" s="388" t="s">
        <v>1039</v>
      </c>
      <c r="L5" s="388" t="s">
        <v>1040</v>
      </c>
      <c r="M5" s="388" t="s">
        <v>1041</v>
      </c>
      <c r="N5" s="388" t="s">
        <v>1042</v>
      </c>
      <c r="O5" s="388" t="s">
        <v>1043</v>
      </c>
      <c r="P5" s="388" t="s">
        <v>1044</v>
      </c>
      <c r="Q5" s="388" t="s">
        <v>1045</v>
      </c>
      <c r="R5" s="388" t="s">
        <v>1046</v>
      </c>
      <c r="S5" s="388" t="s">
        <v>1047</v>
      </c>
      <c r="T5" s="388" t="s">
        <v>1048</v>
      </c>
      <c r="U5" s="388" t="s">
        <v>1049</v>
      </c>
      <c r="V5" s="388" t="s">
        <v>1050</v>
      </c>
      <c r="W5" s="388" t="s">
        <v>1051</v>
      </c>
      <c r="X5" s="388" t="s">
        <v>1052</v>
      </c>
      <c r="Y5" s="388" t="s">
        <v>1053</v>
      </c>
      <c r="AA5" s="373" t="s">
        <v>93</v>
      </c>
    </row>
    <row r="7" spans="1:27" x14ac:dyDescent="0.25">
      <c r="B7" s="95" t="s">
        <v>90</v>
      </c>
      <c r="C7" s="72"/>
      <c r="D7" s="71"/>
      <c r="E7" s="71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25">
      <c r="C9" s="82" t="s">
        <v>1118</v>
      </c>
    </row>
    <row r="10" spans="1:27" x14ac:dyDescent="0.25">
      <c r="C10" s="82" t="s">
        <v>871</v>
      </c>
    </row>
    <row r="11" spans="1:27" x14ac:dyDescent="0.25">
      <c r="C11" s="82" t="s">
        <v>872</v>
      </c>
    </row>
    <row r="13" spans="1:27" x14ac:dyDescent="0.25">
      <c r="B13" s="95" t="s">
        <v>868</v>
      </c>
      <c r="C13" s="72"/>
      <c r="D13" s="71"/>
      <c r="E13" s="71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</row>
    <row r="15" spans="1:27" x14ac:dyDescent="0.25">
      <c r="C15" s="82" t="s">
        <v>1058</v>
      </c>
      <c r="I15" s="295" t="s">
        <v>431</v>
      </c>
      <c r="AA15" s="295" t="s">
        <v>1059</v>
      </c>
    </row>
    <row r="16" spans="1:27" x14ac:dyDescent="0.25">
      <c r="C16" s="82" t="s">
        <v>873</v>
      </c>
    </row>
    <row r="18" spans="3:27" x14ac:dyDescent="0.25">
      <c r="C18" s="7" t="str">
        <f ca="1">INDEX('Version control'!$H$34:$H$58,MATCH($A$1,'Version control'!$F$34:$F$58,0),1)&amp;"-A: Flags and hours in timebands"</f>
        <v>Section 508-A: Flags and hours in timebands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20" spans="3:27" x14ac:dyDescent="0.25">
      <c r="E20" s="453" t="s">
        <v>302</v>
      </c>
      <c r="F20" s="14"/>
      <c r="G20" s="14" t="s">
        <v>271</v>
      </c>
      <c r="J20" s="402" t="b">
        <f>'Fixed inputs'!J127</f>
        <v>0</v>
      </c>
      <c r="K20" s="402" t="b">
        <f>'Fixed inputs'!K127</f>
        <v>0</v>
      </c>
      <c r="L20" s="402" t="b">
        <f>'Fixed inputs'!L127</f>
        <v>0</v>
      </c>
      <c r="M20" s="402" t="b">
        <f>'Fixed inputs'!M127</f>
        <v>0</v>
      </c>
      <c r="N20" s="402" t="b">
        <f>'Fixed inputs'!N127</f>
        <v>0</v>
      </c>
      <c r="O20" s="402" t="b">
        <f>'Fixed inputs'!O127</f>
        <v>0</v>
      </c>
      <c r="P20" s="402" t="b">
        <f>'Fixed inputs'!P127</f>
        <v>0</v>
      </c>
      <c r="Q20" s="402" t="b">
        <f>'Fixed inputs'!Q127</f>
        <v>1</v>
      </c>
      <c r="R20" s="402" t="b">
        <f>'Fixed inputs'!R127</f>
        <v>0</v>
      </c>
      <c r="S20" s="402" t="b">
        <f>'Fixed inputs'!S127</f>
        <v>0</v>
      </c>
      <c r="T20" s="402" t="b">
        <f>'Fixed inputs'!T127</f>
        <v>0</v>
      </c>
      <c r="U20" s="402" t="b">
        <f>'Fixed inputs'!U127</f>
        <v>0</v>
      </c>
      <c r="V20" s="402" t="b">
        <f>'Fixed inputs'!V127</f>
        <v>0</v>
      </c>
      <c r="W20" s="402" t="b">
        <f>'Fixed inputs'!W127</f>
        <v>0</v>
      </c>
      <c r="X20" s="402" t="b">
        <f>'Fixed inputs'!X127</f>
        <v>0</v>
      </c>
      <c r="Y20" s="402" t="b">
        <f>'Fixed inputs'!Y127</f>
        <v>0</v>
      </c>
    </row>
    <row r="22" spans="3:27" x14ac:dyDescent="0.25">
      <c r="E22" s="96" t="s">
        <v>297</v>
      </c>
      <c r="I22" s="295" t="s">
        <v>431</v>
      </c>
      <c r="AA22" s="295" t="s">
        <v>822</v>
      </c>
    </row>
    <row r="23" spans="3:27" x14ac:dyDescent="0.25">
      <c r="E23" s="82" t="s">
        <v>412</v>
      </c>
      <c r="F23" s="82"/>
    </row>
    <row r="24" spans="3:27" x14ac:dyDescent="0.25">
      <c r="F24" s="16" t="s">
        <v>300</v>
      </c>
      <c r="G24" s="16" t="s">
        <v>267</v>
      </c>
      <c r="H24" s="104"/>
      <c r="I24" s="104"/>
      <c r="J24" s="273">
        <f>IF(J$20, 'General inputs'!$H19, 'General inputs'!$H24)</f>
        <v>783</v>
      </c>
      <c r="K24" s="273">
        <f>IF(K$20, 'General inputs'!$H19, 'General inputs'!$H24)</f>
        <v>783</v>
      </c>
      <c r="L24" s="273">
        <f>IF(L$20, 'General inputs'!$H19, 'General inputs'!$H24)</f>
        <v>783</v>
      </c>
      <c r="M24" s="273">
        <f>IF(M$20, 'General inputs'!$H19, 'General inputs'!$H24)</f>
        <v>783</v>
      </c>
      <c r="N24" s="273">
        <f>IF(N$20, 'General inputs'!$H19, 'General inputs'!$H24)</f>
        <v>783</v>
      </c>
      <c r="O24" s="273">
        <f>IF(O$20, 'General inputs'!$H19, 'General inputs'!$H24)</f>
        <v>783</v>
      </c>
      <c r="P24" s="273">
        <f>IF(P$20, 'General inputs'!$H19, 'General inputs'!$H24)</f>
        <v>783</v>
      </c>
      <c r="Q24" s="273">
        <f>IF(Q$20, 'General inputs'!$H19, 'General inputs'!$H24)</f>
        <v>258</v>
      </c>
      <c r="R24" s="273">
        <f>IF(R$20, 'General inputs'!$H19, 'General inputs'!$H24)</f>
        <v>783</v>
      </c>
      <c r="S24" s="273">
        <f>IF(S$20, 'General inputs'!$H19, 'General inputs'!$H24)</f>
        <v>783</v>
      </c>
      <c r="T24" s="273">
        <f>IF(T$20, 'General inputs'!$H19, 'General inputs'!$H24)</f>
        <v>783</v>
      </c>
      <c r="U24" s="273">
        <f>IF(U$20, 'General inputs'!$H19, 'General inputs'!$H24)</f>
        <v>783</v>
      </c>
      <c r="V24" s="273">
        <f>IF(V$20, 'General inputs'!$H19, 'General inputs'!$H24)</f>
        <v>783</v>
      </c>
      <c r="W24" s="273">
        <f>IF(W$20, 'General inputs'!$H19, 'General inputs'!$H24)</f>
        <v>783</v>
      </c>
      <c r="X24" s="273">
        <f>IF(X$20, 'General inputs'!$H19, 'General inputs'!$H24)</f>
        <v>783</v>
      </c>
      <c r="Y24" s="273">
        <f>IF(Y$20, 'General inputs'!$H19, 'General inputs'!$H24)</f>
        <v>783</v>
      </c>
    </row>
    <row r="25" spans="3:27" x14ac:dyDescent="0.25">
      <c r="F25" s="14" t="s">
        <v>301</v>
      </c>
      <c r="G25" s="295" t="s">
        <v>267</v>
      </c>
      <c r="H25" s="398"/>
      <c r="I25" s="398"/>
      <c r="J25" s="274">
        <f>IF(J$20, 'General inputs'!$H20, 'General inputs'!$H25)</f>
        <v>3417.5</v>
      </c>
      <c r="K25" s="274">
        <f>IF(K$20, 'General inputs'!$H20, 'General inputs'!$H25)</f>
        <v>3417.5</v>
      </c>
      <c r="L25" s="274">
        <f>IF(L$20, 'General inputs'!$H20, 'General inputs'!$H25)</f>
        <v>3417.5</v>
      </c>
      <c r="M25" s="274">
        <f>IF(M$20, 'General inputs'!$H20, 'General inputs'!$H25)</f>
        <v>3417.5</v>
      </c>
      <c r="N25" s="274">
        <f>IF(N$20, 'General inputs'!$H20, 'General inputs'!$H25)</f>
        <v>3417.5</v>
      </c>
      <c r="O25" s="274">
        <f>IF(O$20, 'General inputs'!$H20, 'General inputs'!$H25)</f>
        <v>3417.5</v>
      </c>
      <c r="P25" s="274">
        <f>IF(P$20, 'General inputs'!$H20, 'General inputs'!$H25)</f>
        <v>3417.5</v>
      </c>
      <c r="Q25" s="274">
        <f>IF(Q$20, 'General inputs'!$H20, 'General inputs'!$H25)</f>
        <v>3942.5</v>
      </c>
      <c r="R25" s="274">
        <f>IF(R$20, 'General inputs'!$H20, 'General inputs'!$H25)</f>
        <v>3417.5</v>
      </c>
      <c r="S25" s="274">
        <f>IF(S$20, 'General inputs'!$H20, 'General inputs'!$H25)</f>
        <v>3417.5</v>
      </c>
      <c r="T25" s="274">
        <f>IF(T$20, 'General inputs'!$H20, 'General inputs'!$H25)</f>
        <v>3417.5</v>
      </c>
      <c r="U25" s="274">
        <f>IF(U$20, 'General inputs'!$H20, 'General inputs'!$H25)</f>
        <v>3417.5</v>
      </c>
      <c r="V25" s="274">
        <f>IF(V$20, 'General inputs'!$H20, 'General inputs'!$H25)</f>
        <v>3417.5</v>
      </c>
      <c r="W25" s="274">
        <f>IF(W$20, 'General inputs'!$H20, 'General inputs'!$H25)</f>
        <v>3417.5</v>
      </c>
      <c r="X25" s="274">
        <f>IF(X$20, 'General inputs'!$H20, 'General inputs'!$H25)</f>
        <v>3417.5</v>
      </c>
      <c r="Y25" s="274">
        <f>IF(Y$20, 'General inputs'!$H20, 'General inputs'!$H25)</f>
        <v>3417.5</v>
      </c>
    </row>
    <row r="26" spans="3:27" x14ac:dyDescent="0.25">
      <c r="F26" s="15" t="s">
        <v>86</v>
      </c>
      <c r="G26" s="93" t="s">
        <v>267</v>
      </c>
      <c r="H26" s="105"/>
      <c r="I26" s="105"/>
      <c r="J26" s="275">
        <f>IF(J$20, 'General inputs'!$H21, 'General inputs'!$H26)</f>
        <v>4559.5</v>
      </c>
      <c r="K26" s="275">
        <f>IF(K$20, 'General inputs'!$H21, 'General inputs'!$H26)</f>
        <v>4559.5</v>
      </c>
      <c r="L26" s="275">
        <f>IF(L$20, 'General inputs'!$H21, 'General inputs'!$H26)</f>
        <v>4559.5</v>
      </c>
      <c r="M26" s="275">
        <f>IF(M$20, 'General inputs'!$H21, 'General inputs'!$H26)</f>
        <v>4559.5</v>
      </c>
      <c r="N26" s="275">
        <f>IF(N$20, 'General inputs'!$H21, 'General inputs'!$H26)</f>
        <v>4559.5</v>
      </c>
      <c r="O26" s="275">
        <f>IF(O$20, 'General inputs'!$H21, 'General inputs'!$H26)</f>
        <v>4559.5</v>
      </c>
      <c r="P26" s="275">
        <f>IF(P$20, 'General inputs'!$H21, 'General inputs'!$H26)</f>
        <v>4559.5</v>
      </c>
      <c r="Q26" s="275">
        <f>IF(Q$20, 'General inputs'!$H21, 'General inputs'!$H26)</f>
        <v>4559.5</v>
      </c>
      <c r="R26" s="275">
        <f>IF(R$20, 'General inputs'!$H21, 'General inputs'!$H26)</f>
        <v>4559.5</v>
      </c>
      <c r="S26" s="275">
        <f>IF(S$20, 'General inputs'!$H21, 'General inputs'!$H26)</f>
        <v>4559.5</v>
      </c>
      <c r="T26" s="275">
        <f>IF(T$20, 'General inputs'!$H21, 'General inputs'!$H26)</f>
        <v>4559.5</v>
      </c>
      <c r="U26" s="275">
        <f>IF(U$20, 'General inputs'!$H21, 'General inputs'!$H26)</f>
        <v>4559.5</v>
      </c>
      <c r="V26" s="275">
        <f>IF(V$20, 'General inputs'!$H21, 'General inputs'!$H26)</f>
        <v>4559.5</v>
      </c>
      <c r="W26" s="275">
        <f>IF(W$20, 'General inputs'!$H21, 'General inputs'!$H26)</f>
        <v>4559.5</v>
      </c>
      <c r="X26" s="275">
        <f>IF(X$20, 'General inputs'!$H21, 'General inputs'!$H26)</f>
        <v>4559.5</v>
      </c>
      <c r="Y26" s="275">
        <f>IF(Y$20, 'General inputs'!$H21, 'General inputs'!$H26)</f>
        <v>4559.5</v>
      </c>
    </row>
    <row r="27" spans="3:27" x14ac:dyDescent="0.25">
      <c r="J27" s="253"/>
      <c r="K27" s="253"/>
      <c r="L27" s="253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</row>
    <row r="28" spans="3:27" x14ac:dyDescent="0.25">
      <c r="C28" s="7" t="str">
        <f ca="1">INDEX('Version control'!$H$34:$H$58,MATCH($A$1,'Version control'!$F$34:$F$58,0),1)&amp;"-B: Average load by timeband"</f>
        <v>Section 508-B: Average load by timeband</v>
      </c>
      <c r="D28" s="7"/>
      <c r="E28" s="7"/>
      <c r="F28" s="7"/>
      <c r="G28" s="7"/>
      <c r="H28" s="7"/>
      <c r="I28" s="7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7"/>
      <c r="AA28" s="7"/>
    </row>
    <row r="29" spans="3:27" x14ac:dyDescent="0.25"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</row>
    <row r="30" spans="3:27" x14ac:dyDescent="0.25">
      <c r="E30" s="96" t="s">
        <v>298</v>
      </c>
      <c r="J30" s="253"/>
      <c r="K30" s="253"/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</row>
    <row r="31" spans="3:27" x14ac:dyDescent="0.25">
      <c r="F31" s="16" t="s">
        <v>134</v>
      </c>
      <c r="G31" s="16" t="s">
        <v>120</v>
      </c>
      <c r="H31" s="91"/>
      <c r="I31" s="91"/>
      <c r="J31" s="273">
        <f>'Volume adjustments'!J66</f>
        <v>744507.47595921555</v>
      </c>
      <c r="K31" s="273">
        <f>'Volume adjustments'!K66</f>
        <v>1327.5662846544521</v>
      </c>
      <c r="L31" s="273">
        <f>'Volume adjustments'!L66</f>
        <v>188973.52230875273</v>
      </c>
      <c r="M31" s="273">
        <f>'Volume adjustments'!M66</f>
        <v>4172.2410596369182</v>
      </c>
      <c r="N31" s="273">
        <f>'Volume adjustments'!N66</f>
        <v>282075.14358760114</v>
      </c>
      <c r="O31" s="273">
        <f>'Volume adjustments'!O66</f>
        <v>23010.444191422164</v>
      </c>
      <c r="P31" s="273">
        <f>'Volume adjustments'!P66</f>
        <v>326311.94038013439</v>
      </c>
      <c r="Q31" s="273">
        <f>'Volume adjustments'!Q66</f>
        <v>13868.974697310709</v>
      </c>
      <c r="R31" s="273">
        <f>'Volume adjustments'!R66</f>
        <v>140.04079826565675</v>
      </c>
      <c r="S31" s="273">
        <f>'Volume adjustments'!S66</f>
        <v>2.8776284544589532</v>
      </c>
      <c r="T31" s="273">
        <f>'Volume adjustments'!T66</f>
        <v>6131.3814104814819</v>
      </c>
      <c r="U31" s="273">
        <f>'Volume adjustments'!U66</f>
        <v>0</v>
      </c>
      <c r="V31" s="273">
        <f>'Volume adjustments'!V66</f>
        <v>144.6141525623608</v>
      </c>
      <c r="W31" s="273">
        <f>'Volume adjustments'!W66</f>
        <v>0</v>
      </c>
      <c r="X31" s="273">
        <f>'Volume adjustments'!X66</f>
        <v>116075.81817719914</v>
      </c>
      <c r="Y31" s="273">
        <f>'Volume adjustments'!Y66</f>
        <v>0</v>
      </c>
    </row>
    <row r="32" spans="3:27" x14ac:dyDescent="0.25">
      <c r="F32" s="14" t="s">
        <v>135</v>
      </c>
      <c r="G32" s="14" t="s">
        <v>120</v>
      </c>
      <c r="J32" s="274">
        <f>'Volume adjustments'!J77</f>
        <v>2645097.8394225296</v>
      </c>
      <c r="K32" s="274">
        <f>'Volume adjustments'!K77</f>
        <v>24035.071762789463</v>
      </c>
      <c r="L32" s="274">
        <f>'Volume adjustments'!L77</f>
        <v>1023624.1876166349</v>
      </c>
      <c r="M32" s="274">
        <f>'Volume adjustments'!M77</f>
        <v>25319.415482001521</v>
      </c>
      <c r="N32" s="274">
        <f>'Volume adjustments'!N77</f>
        <v>1350126.3314036345</v>
      </c>
      <c r="O32" s="274">
        <f>'Volume adjustments'!O77</f>
        <v>107501.34408049645</v>
      </c>
      <c r="P32" s="274">
        <f>'Volume adjustments'!P77</f>
        <v>1514334.2001053796</v>
      </c>
      <c r="Q32" s="274">
        <f>'Volume adjustments'!Q77</f>
        <v>52882.399972899948</v>
      </c>
      <c r="R32" s="274">
        <f>'Volume adjustments'!R77</f>
        <v>628.61483547885325</v>
      </c>
      <c r="S32" s="274">
        <f>'Volume adjustments'!S77</f>
        <v>11.85801478940583</v>
      </c>
      <c r="T32" s="274">
        <f>'Volume adjustments'!T77</f>
        <v>27525.456251959484</v>
      </c>
      <c r="U32" s="274">
        <f>'Volume adjustments'!U77</f>
        <v>0</v>
      </c>
      <c r="V32" s="274">
        <f>'Volume adjustments'!V77</f>
        <v>597.34783091345412</v>
      </c>
      <c r="W32" s="274">
        <f>'Volume adjustments'!W77</f>
        <v>0</v>
      </c>
      <c r="X32" s="274">
        <f>'Volume adjustments'!X77</f>
        <v>445212.43930388504</v>
      </c>
      <c r="Y32" s="274">
        <f>'Volume adjustments'!Y77</f>
        <v>0</v>
      </c>
    </row>
    <row r="33" spans="3:27" x14ac:dyDescent="0.25">
      <c r="F33" s="14" t="s">
        <v>136</v>
      </c>
      <c r="G33" s="14" t="s">
        <v>120</v>
      </c>
      <c r="J33" s="274">
        <f>'Volume adjustments'!J88</f>
        <v>2435994.0010482869</v>
      </c>
      <c r="K33" s="274">
        <f>'Volume adjustments'!K88</f>
        <v>245515.14232274992</v>
      </c>
      <c r="L33" s="274">
        <f>'Volume adjustments'!L88</f>
        <v>988714.59609282145</v>
      </c>
      <c r="M33" s="274">
        <f>'Volume adjustments'!M88</f>
        <v>52561.158034119573</v>
      </c>
      <c r="N33" s="274">
        <f>'Volume adjustments'!N88</f>
        <v>1179031.4355710328</v>
      </c>
      <c r="O33" s="274">
        <f>'Volume adjustments'!O88</f>
        <v>106315.97183163626</v>
      </c>
      <c r="P33" s="274">
        <f>'Volume adjustments'!P88</f>
        <v>1621310.6751782417</v>
      </c>
      <c r="Q33" s="274">
        <f>'Volume adjustments'!Q88</f>
        <v>189423.97703070924</v>
      </c>
      <c r="R33" s="274">
        <f>'Volume adjustments'!R88</f>
        <v>700.98374497632642</v>
      </c>
      <c r="S33" s="274">
        <f>'Volume adjustments'!S88</f>
        <v>16.006356756135215</v>
      </c>
      <c r="T33" s="274">
        <f>'Volume adjustments'!T88</f>
        <v>30981.276337559029</v>
      </c>
      <c r="U33" s="274">
        <f>'Volume adjustments'!U88</f>
        <v>0</v>
      </c>
      <c r="V33" s="274">
        <f>'Volume adjustments'!V88</f>
        <v>807.27901652418518</v>
      </c>
      <c r="W33" s="274">
        <f>'Volume adjustments'!W88</f>
        <v>0</v>
      </c>
      <c r="X33" s="274">
        <f>'Volume adjustments'!X88</f>
        <v>507559.16751891578</v>
      </c>
      <c r="Y33" s="274">
        <f>'Volume adjustments'!Y88</f>
        <v>0</v>
      </c>
    </row>
    <row r="34" spans="3:27" x14ac:dyDescent="0.25">
      <c r="F34" s="77" t="s">
        <v>142</v>
      </c>
      <c r="G34" s="77" t="s">
        <v>120</v>
      </c>
      <c r="H34" s="73"/>
      <c r="I34" s="73"/>
      <c r="J34" s="271">
        <f t="shared" ref="J34:Y34" si="0">SUM(J31:J33)</f>
        <v>5825599.3164300323</v>
      </c>
      <c r="K34" s="271">
        <f t="shared" si="0"/>
        <v>270877.78037019382</v>
      </c>
      <c r="L34" s="271">
        <f t="shared" si="0"/>
        <v>2201312.3060182091</v>
      </c>
      <c r="M34" s="271">
        <f t="shared" si="0"/>
        <v>82052.814575758006</v>
      </c>
      <c r="N34" s="271">
        <f t="shared" si="0"/>
        <v>2811232.9105622685</v>
      </c>
      <c r="O34" s="271">
        <f t="shared" si="0"/>
        <v>236827.76010355487</v>
      </c>
      <c r="P34" s="271">
        <f t="shared" si="0"/>
        <v>3461956.8156637559</v>
      </c>
      <c r="Q34" s="271">
        <f t="shared" si="0"/>
        <v>256175.35170091991</v>
      </c>
      <c r="R34" s="271">
        <f t="shared" si="0"/>
        <v>1469.6393787208362</v>
      </c>
      <c r="S34" s="271">
        <f t="shared" si="0"/>
        <v>30.741999999999997</v>
      </c>
      <c r="T34" s="271">
        <f t="shared" si="0"/>
        <v>64638.113999999994</v>
      </c>
      <c r="U34" s="271">
        <f t="shared" si="0"/>
        <v>0</v>
      </c>
      <c r="V34" s="271">
        <f t="shared" si="0"/>
        <v>1549.241</v>
      </c>
      <c r="W34" s="271">
        <f t="shared" si="0"/>
        <v>0</v>
      </c>
      <c r="X34" s="271">
        <f t="shared" si="0"/>
        <v>1068847.425</v>
      </c>
      <c r="Y34" s="271">
        <f t="shared" si="0"/>
        <v>0</v>
      </c>
    </row>
    <row r="35" spans="3:27" x14ac:dyDescent="0.25">
      <c r="F35" s="14"/>
      <c r="G35" s="14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</row>
    <row r="36" spans="3:27" x14ac:dyDescent="0.25">
      <c r="C36" s="7" t="str">
        <f ca="1">INDEX('Version control'!$H$34:$H$58,MATCH($A$1,'Version control'!$F$34:$F$58,0),1)&amp;"-C: Aggregated groups for pseudo-load coefficients"</f>
        <v>Section 508-C: Aggregated groups for pseudo-load coefficients</v>
      </c>
      <c r="D36" s="7"/>
      <c r="E36" s="7"/>
      <c r="F36" s="7"/>
      <c r="G36" s="7"/>
      <c r="H36" s="7"/>
      <c r="I36" s="7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7"/>
      <c r="AA36" s="7"/>
    </row>
    <row r="37" spans="3:27" x14ac:dyDescent="0.25">
      <c r="J37" s="253"/>
      <c r="K37" s="253"/>
      <c r="L37" s="253"/>
      <c r="M37" s="253"/>
      <c r="N37" s="253"/>
      <c r="O37" s="253"/>
      <c r="P37" s="253"/>
      <c r="Q37" s="253"/>
      <c r="R37" s="253"/>
      <c r="S37" s="253"/>
      <c r="T37" s="253"/>
      <c r="U37" s="253"/>
      <c r="V37" s="253"/>
      <c r="W37" s="253"/>
      <c r="X37" s="253"/>
      <c r="Y37" s="253"/>
    </row>
    <row r="38" spans="3:27" x14ac:dyDescent="0.25">
      <c r="E38" s="14" t="s">
        <v>1057</v>
      </c>
      <c r="F38" s="14"/>
      <c r="G38" s="14" t="s">
        <v>527</v>
      </c>
      <c r="I38" s="295" t="s">
        <v>431</v>
      </c>
      <c r="J38" s="399">
        <f>'Fixed inputs'!J149</f>
        <v>1</v>
      </c>
      <c r="K38" s="399">
        <f>'Fixed inputs'!K149</f>
        <v>1</v>
      </c>
      <c r="L38" s="399">
        <f>'Fixed inputs'!L149</f>
        <v>2</v>
      </c>
      <c r="M38" s="399">
        <f>'Fixed inputs'!M149</f>
        <v>2</v>
      </c>
      <c r="N38" s="400"/>
      <c r="O38" s="400"/>
      <c r="P38" s="400"/>
      <c r="Q38" s="400"/>
      <c r="R38" s="400"/>
      <c r="S38" s="400"/>
      <c r="T38" s="400"/>
      <c r="U38" s="400"/>
      <c r="V38" s="400"/>
      <c r="W38" s="400"/>
      <c r="X38" s="400"/>
      <c r="Y38" s="400"/>
      <c r="AA38" s="295" t="s">
        <v>1060</v>
      </c>
    </row>
    <row r="39" spans="3:27" x14ac:dyDescent="0.25">
      <c r="J39" s="253"/>
      <c r="K39" s="253"/>
      <c r="L39" s="253"/>
      <c r="M39" s="253"/>
      <c r="N39" s="253"/>
      <c r="O39" s="253"/>
      <c r="P39" s="253"/>
      <c r="Q39" s="253"/>
      <c r="R39" s="253"/>
      <c r="S39" s="253"/>
      <c r="T39" s="253"/>
      <c r="U39" s="253"/>
      <c r="V39" s="253"/>
      <c r="W39" s="253"/>
      <c r="X39" s="253"/>
      <c r="Y39" s="253"/>
    </row>
    <row r="40" spans="3:27" x14ac:dyDescent="0.25">
      <c r="E40" s="96" t="s">
        <v>1061</v>
      </c>
      <c r="J40" s="253"/>
      <c r="K40" s="253"/>
      <c r="L40" s="253"/>
      <c r="M40" s="253"/>
      <c r="N40" s="253"/>
      <c r="O40" s="253"/>
      <c r="P40" s="253"/>
      <c r="Q40" s="253"/>
      <c r="R40" s="253"/>
      <c r="S40" s="253"/>
      <c r="T40" s="253"/>
      <c r="U40" s="253"/>
      <c r="V40" s="253"/>
      <c r="W40" s="253"/>
      <c r="X40" s="253"/>
      <c r="Y40" s="253"/>
    </row>
    <row r="41" spans="3:27" x14ac:dyDescent="0.25">
      <c r="E41" s="82" t="s">
        <v>412</v>
      </c>
    </row>
    <row r="42" spans="3:27" x14ac:dyDescent="0.25">
      <c r="F42" s="16" t="s">
        <v>300</v>
      </c>
      <c r="G42" s="16" t="s">
        <v>94</v>
      </c>
      <c r="H42" s="91"/>
      <c r="I42" s="91"/>
      <c r="J42" s="180">
        <f t="shared" ref="J42:M44" si="1">SUMIF($J$38:$Y$38, J$38, $J31:$Y31) / SUMIF($J$38:$Y$38, J$38, $J$34:$Y$34)</f>
        <v>0.12233869338003847</v>
      </c>
      <c r="K42" s="180">
        <f t="shared" si="1"/>
        <v>0.12233869338003847</v>
      </c>
      <c r="L42" s="180">
        <f t="shared" si="1"/>
        <v>8.4588207828166811E-2</v>
      </c>
      <c r="M42" s="180">
        <f t="shared" si="1"/>
        <v>8.4588207828166811E-2</v>
      </c>
      <c r="N42" s="132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</row>
    <row r="43" spans="3:27" x14ac:dyDescent="0.25">
      <c r="F43" s="14" t="s">
        <v>301</v>
      </c>
      <c r="G43" s="14" t="s">
        <v>94</v>
      </c>
      <c r="J43" s="396">
        <f t="shared" si="1"/>
        <v>0.43781562184269179</v>
      </c>
      <c r="K43" s="396">
        <f t="shared" si="1"/>
        <v>0.43781562184269179</v>
      </c>
      <c r="L43" s="396">
        <f t="shared" si="1"/>
        <v>0.4593849637265971</v>
      </c>
      <c r="M43" s="396">
        <f t="shared" si="1"/>
        <v>0.4593849637265971</v>
      </c>
      <c r="N43" s="375"/>
      <c r="O43" s="375"/>
      <c r="P43" s="375"/>
      <c r="Q43" s="375"/>
      <c r="R43" s="375"/>
      <c r="S43" s="375"/>
      <c r="T43" s="375"/>
      <c r="U43" s="375"/>
      <c r="V43" s="375"/>
      <c r="W43" s="375"/>
      <c r="X43" s="375"/>
      <c r="Y43" s="375"/>
    </row>
    <row r="44" spans="3:27" x14ac:dyDescent="0.25">
      <c r="F44" s="15" t="s">
        <v>86</v>
      </c>
      <c r="G44" s="15" t="s">
        <v>94</v>
      </c>
      <c r="H44" s="93"/>
      <c r="I44" s="93"/>
      <c r="J44" s="181">
        <f t="shared" si="1"/>
        <v>0.43984568477726976</v>
      </c>
      <c r="K44" s="181">
        <f t="shared" si="1"/>
        <v>0.43984568477726976</v>
      </c>
      <c r="L44" s="181">
        <f t="shared" si="1"/>
        <v>0.45602682844523618</v>
      </c>
      <c r="M44" s="181">
        <f t="shared" si="1"/>
        <v>0.45602682844523618</v>
      </c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</row>
    <row r="45" spans="3:27" x14ac:dyDescent="0.25">
      <c r="J45" s="253"/>
      <c r="K45" s="253"/>
      <c r="L45" s="253"/>
      <c r="M45" s="253"/>
      <c r="N45" s="253"/>
      <c r="O45" s="253"/>
      <c r="P45" s="253"/>
      <c r="Q45" s="253"/>
      <c r="R45" s="253"/>
      <c r="S45" s="253"/>
      <c r="T45" s="253"/>
      <c r="U45" s="253"/>
      <c r="V45" s="253"/>
      <c r="W45" s="253"/>
      <c r="X45" s="253"/>
      <c r="Y45" s="253"/>
    </row>
    <row r="46" spans="3:27" x14ac:dyDescent="0.25">
      <c r="E46" s="96" t="s">
        <v>1062</v>
      </c>
      <c r="F46" s="14"/>
      <c r="G46" s="14"/>
    </row>
    <row r="47" spans="3:27" x14ac:dyDescent="0.25">
      <c r="E47" s="82" t="s">
        <v>412</v>
      </c>
    </row>
    <row r="48" spans="3:27" x14ac:dyDescent="0.25">
      <c r="F48" s="16" t="s">
        <v>300</v>
      </c>
      <c r="G48" s="16" t="s">
        <v>94</v>
      </c>
      <c r="H48" s="91"/>
      <c r="I48" s="91"/>
      <c r="J48" s="180">
        <f>IF(ISNUMBER(J$38), J42, IF(J$34 = 0, 0, J31 / J$34))</f>
        <v>0.12233869338003847</v>
      </c>
      <c r="K48" s="180">
        <f t="shared" ref="K48:Y48" si="2">IF(ISNUMBER(K$38), K42, IF(K$34 = 0, 0, K31 / K$34))</f>
        <v>0.12233869338003847</v>
      </c>
      <c r="L48" s="180">
        <f t="shared" si="2"/>
        <v>8.4588207828166811E-2</v>
      </c>
      <c r="M48" s="180">
        <f t="shared" si="2"/>
        <v>8.4588207828166811E-2</v>
      </c>
      <c r="N48" s="180">
        <f t="shared" si="2"/>
        <v>0.10033858899694793</v>
      </c>
      <c r="O48" s="180">
        <f t="shared" si="2"/>
        <v>9.7161093705233958E-2</v>
      </c>
      <c r="P48" s="180">
        <f t="shared" si="2"/>
        <v>9.4256502248590612E-2</v>
      </c>
      <c r="Q48" s="180">
        <f t="shared" si="2"/>
        <v>5.4138599225980515E-2</v>
      </c>
      <c r="R48" s="180">
        <f t="shared" si="2"/>
        <v>9.528922557011725E-2</v>
      </c>
      <c r="S48" s="180">
        <f t="shared" si="2"/>
        <v>9.360576587271334E-2</v>
      </c>
      <c r="T48" s="180">
        <f t="shared" si="2"/>
        <v>9.4857059265087501E-2</v>
      </c>
      <c r="U48" s="180">
        <f t="shared" si="2"/>
        <v>0</v>
      </c>
      <c r="V48" s="180">
        <f t="shared" si="2"/>
        <v>9.3345162284215827E-2</v>
      </c>
      <c r="W48" s="180">
        <f t="shared" si="2"/>
        <v>0</v>
      </c>
      <c r="X48" s="180">
        <f t="shared" si="2"/>
        <v>0.10859905301937658</v>
      </c>
      <c r="Y48" s="180">
        <f t="shared" si="2"/>
        <v>0</v>
      </c>
    </row>
    <row r="49" spans="2:27" x14ac:dyDescent="0.25">
      <c r="F49" s="14" t="s">
        <v>301</v>
      </c>
      <c r="G49" s="14" t="s">
        <v>94</v>
      </c>
      <c r="J49" s="396">
        <f t="shared" ref="J49:Y50" si="3">IF(ISNUMBER(J$38), J43, IF(J$34 = 0, 0, J32 / J$34))</f>
        <v>0.43781562184269179</v>
      </c>
      <c r="K49" s="396">
        <f t="shared" si="3"/>
        <v>0.43781562184269179</v>
      </c>
      <c r="L49" s="396">
        <f t="shared" si="3"/>
        <v>0.4593849637265971</v>
      </c>
      <c r="M49" s="396">
        <f t="shared" si="3"/>
        <v>0.4593849637265971</v>
      </c>
      <c r="N49" s="396">
        <f t="shared" si="3"/>
        <v>0.48026128547762298</v>
      </c>
      <c r="O49" s="396">
        <f t="shared" si="3"/>
        <v>0.45392205725161022</v>
      </c>
      <c r="P49" s="396">
        <f t="shared" si="3"/>
        <v>0.43742145865416826</v>
      </c>
      <c r="Q49" s="396">
        <f t="shared" si="3"/>
        <v>0.20643047670971559</v>
      </c>
      <c r="R49" s="396">
        <f t="shared" si="3"/>
        <v>0.42773407175983214</v>
      </c>
      <c r="S49" s="396">
        <f t="shared" si="3"/>
        <v>0.38572684891698106</v>
      </c>
      <c r="T49" s="396">
        <f t="shared" si="3"/>
        <v>0.42583940880390608</v>
      </c>
      <c r="U49" s="396">
        <f t="shared" si="3"/>
        <v>0</v>
      </c>
      <c r="V49" s="396">
        <f t="shared" si="3"/>
        <v>0.38557450449184738</v>
      </c>
      <c r="W49" s="396">
        <f t="shared" si="3"/>
        <v>0</v>
      </c>
      <c r="X49" s="396">
        <f t="shared" si="3"/>
        <v>0.41653507216325569</v>
      </c>
      <c r="Y49" s="396">
        <f t="shared" si="3"/>
        <v>0</v>
      </c>
    </row>
    <row r="50" spans="2:27" x14ac:dyDescent="0.25">
      <c r="F50" s="15" t="s">
        <v>86</v>
      </c>
      <c r="G50" s="15" t="s">
        <v>94</v>
      </c>
      <c r="H50" s="93"/>
      <c r="I50" s="93"/>
      <c r="J50" s="181">
        <f t="shared" si="3"/>
        <v>0.43984568477726976</v>
      </c>
      <c r="K50" s="181">
        <f t="shared" si="3"/>
        <v>0.43984568477726976</v>
      </c>
      <c r="L50" s="181">
        <f t="shared" si="3"/>
        <v>0.45602682844523618</v>
      </c>
      <c r="M50" s="181">
        <f t="shared" si="3"/>
        <v>0.45602682844523618</v>
      </c>
      <c r="N50" s="181">
        <f t="shared" si="3"/>
        <v>0.4194001255254291</v>
      </c>
      <c r="O50" s="181">
        <f t="shared" si="3"/>
        <v>0.44891684904315576</v>
      </c>
      <c r="P50" s="181">
        <f t="shared" si="3"/>
        <v>0.46832203909724107</v>
      </c>
      <c r="Q50" s="181">
        <f t="shared" si="3"/>
        <v>0.73943092406430388</v>
      </c>
      <c r="R50" s="181">
        <f t="shared" si="3"/>
        <v>0.47697670267005077</v>
      </c>
      <c r="S50" s="181">
        <f t="shared" si="3"/>
        <v>0.52066738521030564</v>
      </c>
      <c r="T50" s="181">
        <f t="shared" si="3"/>
        <v>0.47930353193100639</v>
      </c>
      <c r="U50" s="181">
        <f t="shared" si="3"/>
        <v>0</v>
      </c>
      <c r="V50" s="181">
        <f t="shared" si="3"/>
        <v>0.52108033322393688</v>
      </c>
      <c r="W50" s="181">
        <f t="shared" si="3"/>
        <v>0</v>
      </c>
      <c r="X50" s="181">
        <f t="shared" si="3"/>
        <v>0.47486587481736764</v>
      </c>
      <c r="Y50" s="181">
        <f t="shared" si="3"/>
        <v>0</v>
      </c>
    </row>
    <row r="52" spans="2:27" x14ac:dyDescent="0.25">
      <c r="C52" s="7" t="str">
        <f ca="1">INDEX('Version control'!$H$34:$H$58,MATCH($A$1,'Version control'!$F$34:$F$58,0),1)&amp;"-D: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4" spans="2:27" x14ac:dyDescent="0.25">
      <c r="E54" s="295" t="s">
        <v>269</v>
      </c>
      <c r="G54" s="295" t="s">
        <v>528</v>
      </c>
      <c r="H54" s="253"/>
      <c r="I54" s="253"/>
      <c r="J54" s="253">
        <f t="shared" ref="J54:Y54" si="4">J48 * hours_in_year / J24</f>
        <v>1.3686934278533041</v>
      </c>
      <c r="K54" s="253">
        <f t="shared" si="4"/>
        <v>1.3686934278533041</v>
      </c>
      <c r="L54" s="253">
        <f t="shared" si="4"/>
        <v>0.94635083087451</v>
      </c>
      <c r="M54" s="253">
        <f t="shared" si="4"/>
        <v>0.94635083087451</v>
      </c>
      <c r="N54" s="253">
        <f t="shared" si="4"/>
        <v>1.122561991843249</v>
      </c>
      <c r="O54" s="253">
        <f t="shared" si="4"/>
        <v>1.0870130023727325</v>
      </c>
      <c r="P54" s="253">
        <f t="shared" si="4"/>
        <v>1.0545171899076038</v>
      </c>
      <c r="Q54" s="253">
        <f t="shared" si="4"/>
        <v>1.8381942993007336</v>
      </c>
      <c r="R54" s="253">
        <f t="shared" si="4"/>
        <v>1.066071029366829</v>
      </c>
      <c r="S54" s="253">
        <f t="shared" si="4"/>
        <v>1.0472369208748007</v>
      </c>
      <c r="T54" s="253">
        <f t="shared" si="4"/>
        <v>1.0612360653412087</v>
      </c>
      <c r="U54" s="253">
        <f t="shared" si="4"/>
        <v>0</v>
      </c>
      <c r="V54" s="253">
        <f t="shared" si="4"/>
        <v>1.0443213558234108</v>
      </c>
      <c r="W54" s="253">
        <f t="shared" si="4"/>
        <v>0</v>
      </c>
      <c r="X54" s="253">
        <f t="shared" si="4"/>
        <v>1.2149779111746346</v>
      </c>
      <c r="Y54" s="253">
        <f t="shared" si="4"/>
        <v>0</v>
      </c>
    </row>
    <row r="55" spans="2:27" x14ac:dyDescent="0.25"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</row>
    <row r="56" spans="2:27" x14ac:dyDescent="0.25">
      <c r="B56" s="95" t="s">
        <v>943</v>
      </c>
      <c r="C56" s="72"/>
      <c r="D56" s="71"/>
      <c r="E56" s="71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25">
      <c r="F57" s="14"/>
      <c r="G57" s="14"/>
    </row>
    <row r="58" spans="2:27" x14ac:dyDescent="0.25">
      <c r="C58" s="82" t="s">
        <v>927</v>
      </c>
      <c r="F58" s="14"/>
      <c r="G58" s="14"/>
    </row>
    <row r="59" spans="2:27" x14ac:dyDescent="0.25">
      <c r="F59" s="14"/>
      <c r="G59" s="14"/>
    </row>
    <row r="60" spans="2:27" x14ac:dyDescent="0.25">
      <c r="C60" s="7" t="str">
        <f ca="1">INDEX('Version control'!$H$34:$H$58,MATCH($A$1,'Version control'!$F$34:$F$58,0),1)&amp;"-E: Load characteristics for all customers"</f>
        <v>Section 508-E: Load characteristics for all customers</v>
      </c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25">
      <c r="D61" s="96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</row>
    <row r="62" spans="2:27" x14ac:dyDescent="0.25">
      <c r="E62" s="14" t="s">
        <v>71</v>
      </c>
      <c r="G62" s="14" t="s">
        <v>94</v>
      </c>
      <c r="J62" s="143">
        <f>'Inputs by customer type'!J18</f>
        <v>0.44866666666666671</v>
      </c>
      <c r="K62" s="143">
        <f>'Inputs by customer type'!K18</f>
        <v>9.9666666666666667E-2</v>
      </c>
      <c r="L62" s="143">
        <f>'Inputs by customer type'!L18</f>
        <v>0.41666666666666669</v>
      </c>
      <c r="M62" s="143">
        <f>'Inputs by customer type'!M18</f>
        <v>0.32</v>
      </c>
      <c r="N62" s="143">
        <f>'Inputs by customer type'!N18</f>
        <v>0.55600000000000005</v>
      </c>
      <c r="O62" s="143">
        <f>'Inputs by customer type'!O18</f>
        <v>0.67266666666666675</v>
      </c>
      <c r="P62" s="143">
        <f>'Inputs by customer type'!P18</f>
        <v>0.73533333333333328</v>
      </c>
      <c r="Q62" s="143">
        <f>'Inputs by customer type'!Q18</f>
        <v>0.45833333333333331</v>
      </c>
      <c r="R62" s="143">
        <f>'Inputs by customer type'!R18</f>
        <v>0</v>
      </c>
      <c r="S62" s="143">
        <f>'Inputs by customer type'!S18</f>
        <v>0</v>
      </c>
      <c r="T62" s="143">
        <f>'Inputs by customer type'!T18</f>
        <v>0</v>
      </c>
      <c r="U62" s="143">
        <f>'Inputs by customer type'!U18</f>
        <v>0</v>
      </c>
      <c r="V62" s="143">
        <f>'Inputs by customer type'!V18</f>
        <v>0</v>
      </c>
      <c r="W62" s="143">
        <f>'Inputs by customer type'!W18</f>
        <v>0</v>
      </c>
      <c r="X62" s="143">
        <f>'Inputs by customer type'!X18</f>
        <v>0</v>
      </c>
      <c r="Y62" s="143">
        <f>'Inputs by customer type'!Y18</f>
        <v>0</v>
      </c>
    </row>
    <row r="63" spans="2:27" x14ac:dyDescent="0.25">
      <c r="E63" s="14" t="s">
        <v>70</v>
      </c>
      <c r="G63" s="14" t="s">
        <v>94</v>
      </c>
      <c r="J63" s="143">
        <f>'Inputs by customer type'!J19</f>
        <v>0.89866666666666661</v>
      </c>
      <c r="K63" s="143">
        <f>'Inputs by customer type'!K19</f>
        <v>0</v>
      </c>
      <c r="L63" s="143">
        <f>'Inputs by customer type'!L19</f>
        <v>0.66433333333333333</v>
      </c>
      <c r="M63" s="143">
        <f>'Inputs by customer type'!M19</f>
        <v>0</v>
      </c>
      <c r="N63" s="143">
        <f>'Inputs by customer type'!N19</f>
        <v>0.78366666666666662</v>
      </c>
      <c r="O63" s="143">
        <f>'Inputs by customer type'!O19</f>
        <v>0.78533333333333333</v>
      </c>
      <c r="P63" s="143">
        <f>'Inputs by customer type'!P19</f>
        <v>0.84533333333333338</v>
      </c>
      <c r="Q63" s="143">
        <f>'Inputs by customer type'!Q19</f>
        <v>0.92600000000000016</v>
      </c>
      <c r="R63" s="143">
        <f>'Inputs by customer type'!R19</f>
        <v>0</v>
      </c>
      <c r="S63" s="143">
        <f>'Inputs by customer type'!S19</f>
        <v>0</v>
      </c>
      <c r="T63" s="143">
        <f>'Inputs by customer type'!T19</f>
        <v>0</v>
      </c>
      <c r="U63" s="143">
        <f>'Inputs by customer type'!U19</f>
        <v>0</v>
      </c>
      <c r="V63" s="143">
        <f>'Inputs by customer type'!V19</f>
        <v>0</v>
      </c>
      <c r="W63" s="143">
        <f>'Inputs by customer type'!W19</f>
        <v>0</v>
      </c>
      <c r="X63" s="143">
        <f>'Inputs by customer type'!X19</f>
        <v>0</v>
      </c>
      <c r="Y63" s="143">
        <f>'Inputs by customer type'!Y19</f>
        <v>0</v>
      </c>
    </row>
    <row r="64" spans="2:27" x14ac:dyDescent="0.25">
      <c r="F64" s="14"/>
      <c r="G64" s="14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</row>
    <row r="65" spans="3:27" x14ac:dyDescent="0.25">
      <c r="C65" s="7" t="str">
        <f ca="1">INDEX('Version control'!$H$34:$H$58,MATCH($A$1,'Version control'!$F$34:$F$58,0),1)&amp;"-F: Aggregated load characteristics for grouped customers"</f>
        <v>Section 508-F: Aggregated load characteristics for grouped customers</v>
      </c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7" spans="3:27" x14ac:dyDescent="0.25">
      <c r="D67" s="96" t="s">
        <v>303</v>
      </c>
      <c r="E67" s="14"/>
      <c r="F67" s="14"/>
      <c r="G67" s="14"/>
    </row>
    <row r="68" spans="3:27" x14ac:dyDescent="0.25">
      <c r="D68" s="96"/>
      <c r="E68" s="14"/>
      <c r="F68" s="14"/>
      <c r="G68" s="14"/>
    </row>
    <row r="69" spans="3:27" x14ac:dyDescent="0.25">
      <c r="D69" s="96"/>
      <c r="E69" s="14" t="s">
        <v>395</v>
      </c>
      <c r="F69" s="14"/>
      <c r="G69" s="14" t="s">
        <v>102</v>
      </c>
      <c r="J69" s="253">
        <f>J34 / hours_in_year</f>
        <v>665.022753017127</v>
      </c>
      <c r="K69" s="253">
        <f>K34 / hours_in_year</f>
        <v>30.922121046825779</v>
      </c>
      <c r="L69" s="253">
        <f>L34 / hours_in_year</f>
        <v>251.29135913449875</v>
      </c>
      <c r="M69" s="253">
        <f>M34 / hours_in_year</f>
        <v>9.366759654766895</v>
      </c>
      <c r="N69" s="400"/>
      <c r="O69" s="400"/>
      <c r="P69" s="400"/>
      <c r="Q69" s="400"/>
      <c r="R69" s="400"/>
      <c r="S69" s="400"/>
      <c r="T69" s="400"/>
      <c r="U69" s="400"/>
      <c r="V69" s="400"/>
      <c r="W69" s="400"/>
      <c r="X69" s="400"/>
      <c r="Y69" s="400"/>
    </row>
    <row r="70" spans="3:27" x14ac:dyDescent="0.25">
      <c r="D70" s="96"/>
      <c r="E70" s="14"/>
      <c r="F70" s="14"/>
      <c r="G70" s="14"/>
    </row>
    <row r="71" spans="3:27" x14ac:dyDescent="0.25">
      <c r="D71" s="96"/>
      <c r="E71" s="14" t="s">
        <v>304</v>
      </c>
      <c r="F71" s="14"/>
      <c r="G71" s="14" t="s">
        <v>102</v>
      </c>
      <c r="J71" s="253">
        <f>IF(J62 = 0, 0, J34 / (J62 * hours_in_year))</f>
        <v>1482.2201033071178</v>
      </c>
      <c r="K71" s="253">
        <f>IF(K62 = 0, 0, K34 / (K62 * hours_in_year))</f>
        <v>310.25539511865327</v>
      </c>
      <c r="L71" s="253">
        <f>IF(L62 = 0, 0, L34 / (L62 * hours_in_year))</f>
        <v>603.09926192279704</v>
      </c>
      <c r="M71" s="253">
        <f>IF(M62 = 0, 0, M34 / (M62 * hours_in_year))</f>
        <v>29.271123921146547</v>
      </c>
      <c r="N71" s="400"/>
      <c r="O71" s="400"/>
      <c r="P71" s="400"/>
      <c r="Q71" s="400"/>
      <c r="R71" s="400"/>
      <c r="S71" s="400"/>
      <c r="T71" s="400"/>
      <c r="U71" s="400"/>
      <c r="V71" s="400"/>
      <c r="W71" s="400"/>
      <c r="X71" s="400"/>
      <c r="Y71" s="400"/>
    </row>
    <row r="72" spans="3:27" x14ac:dyDescent="0.25">
      <c r="D72" s="96"/>
      <c r="E72" s="14"/>
      <c r="F72" s="14"/>
      <c r="G72" s="14"/>
    </row>
    <row r="73" spans="3:27" x14ac:dyDescent="0.25">
      <c r="D73" s="96"/>
      <c r="E73" s="14" t="s">
        <v>394</v>
      </c>
      <c r="F73" s="14"/>
      <c r="G73" s="14" t="s">
        <v>102</v>
      </c>
      <c r="J73" s="253">
        <f>J71 * J63</f>
        <v>1332.0217995053299</v>
      </c>
      <c r="K73" s="253">
        <f t="shared" ref="K73:M73" si="5">K71 * K63</f>
        <v>0</v>
      </c>
      <c r="L73" s="253">
        <f t="shared" si="5"/>
        <v>400.65894300404483</v>
      </c>
      <c r="M73" s="253">
        <f t="shared" si="5"/>
        <v>0</v>
      </c>
      <c r="N73" s="400"/>
      <c r="O73" s="400"/>
      <c r="P73" s="400"/>
      <c r="Q73" s="400"/>
      <c r="R73" s="400"/>
      <c r="S73" s="400"/>
      <c r="T73" s="400"/>
      <c r="U73" s="400"/>
      <c r="V73" s="400"/>
      <c r="W73" s="400"/>
      <c r="X73" s="400"/>
      <c r="Y73" s="400"/>
    </row>
    <row r="74" spans="3:27" x14ac:dyDescent="0.25">
      <c r="D74" s="96"/>
      <c r="E74" s="14"/>
      <c r="F74" s="14"/>
      <c r="G74" s="14"/>
    </row>
    <row r="75" spans="3:27" x14ac:dyDescent="0.25">
      <c r="D75" s="96" t="s">
        <v>1063</v>
      </c>
      <c r="E75" s="14"/>
      <c r="F75" s="14"/>
      <c r="G75" s="14"/>
    </row>
    <row r="76" spans="3:27" x14ac:dyDescent="0.25">
      <c r="D76" s="96"/>
      <c r="E76" s="14"/>
      <c r="F76" s="14"/>
      <c r="G76" s="14"/>
    </row>
    <row r="77" spans="3:27" x14ac:dyDescent="0.25">
      <c r="D77" s="96"/>
      <c r="E77" s="14" t="s">
        <v>71</v>
      </c>
      <c r="F77" s="14"/>
      <c r="G77" s="14" t="s">
        <v>94</v>
      </c>
      <c r="J77" s="396">
        <f>SUMIF($J$38:$Y$38, J$38, $J$69:$Y$69) / SUMIF($J$38:$Y$38, J$38, $J$71:$Y$71)</f>
        <v>0.38825907225798145</v>
      </c>
      <c r="K77" s="396">
        <f t="shared" ref="K77:M77" si="6">SUMIF($J$38:$Y$38, K$38, $J$69:$Y$69) / SUMIF($J$38:$Y$38, K$38, $J$71:$Y$71)</f>
        <v>0.38825907225798145</v>
      </c>
      <c r="L77" s="396">
        <f t="shared" si="6"/>
        <v>0.41219216557935218</v>
      </c>
      <c r="M77" s="396">
        <f t="shared" si="6"/>
        <v>0.41219216557935218</v>
      </c>
      <c r="N77" s="400"/>
      <c r="O77" s="400"/>
      <c r="P77" s="400"/>
      <c r="Q77" s="400"/>
      <c r="R77" s="400"/>
      <c r="S77" s="400"/>
      <c r="T77" s="400"/>
      <c r="U77" s="400"/>
      <c r="V77" s="400"/>
      <c r="W77" s="400"/>
      <c r="X77" s="400"/>
      <c r="Y77" s="400"/>
    </row>
    <row r="78" spans="3:27" x14ac:dyDescent="0.25">
      <c r="D78" s="96"/>
      <c r="E78" s="14"/>
      <c r="F78" s="14"/>
      <c r="G78" s="14"/>
    </row>
    <row r="79" spans="3:27" x14ac:dyDescent="0.25">
      <c r="D79" s="96"/>
      <c r="E79" s="14" t="s">
        <v>70</v>
      </c>
      <c r="F79" s="14"/>
      <c r="G79" s="14" t="s">
        <v>94</v>
      </c>
      <c r="J79" s="396">
        <f>SUMIF($J$38:$Y$38, J$38, $J$73:$Y$73) / SUMIF($J$38:$Y$38, J$38, $J$71:$Y$71)</f>
        <v>0.74311855346149425</v>
      </c>
      <c r="K79" s="396">
        <f t="shared" ref="K79:M79" si="7">SUMIF($J$38:$Y$38, K$38, $J$73:$Y$73) / SUMIF($J$38:$Y$38, K$38, $J$71:$Y$71)</f>
        <v>0.74311855346149425</v>
      </c>
      <c r="L79" s="396">
        <f t="shared" si="7"/>
        <v>0.63358271034361724</v>
      </c>
      <c r="M79" s="396">
        <f t="shared" si="7"/>
        <v>0.63358271034361724</v>
      </c>
      <c r="N79" s="400"/>
      <c r="O79" s="400"/>
      <c r="P79" s="400"/>
      <c r="Q79" s="400"/>
      <c r="R79" s="400"/>
      <c r="S79" s="400"/>
      <c r="T79" s="400"/>
      <c r="U79" s="400"/>
      <c r="V79" s="400"/>
      <c r="W79" s="400"/>
      <c r="X79" s="400"/>
      <c r="Y79" s="400"/>
    </row>
    <row r="80" spans="3:27" x14ac:dyDescent="0.25">
      <c r="D80" s="96"/>
      <c r="E80" s="14"/>
      <c r="F80" s="14"/>
      <c r="G80" s="14"/>
    </row>
    <row r="81" spans="2:27" x14ac:dyDescent="0.25">
      <c r="D81" s="96" t="s">
        <v>1064</v>
      </c>
      <c r="E81" s="14"/>
      <c r="F81" s="14"/>
      <c r="G81" s="14"/>
    </row>
    <row r="82" spans="2:27" x14ac:dyDescent="0.25">
      <c r="D82" s="14"/>
      <c r="E82" s="14"/>
      <c r="F82" s="14"/>
      <c r="G82" s="14"/>
    </row>
    <row r="83" spans="2:27" x14ac:dyDescent="0.25">
      <c r="D83" s="14"/>
      <c r="E83" s="14" t="s">
        <v>71</v>
      </c>
      <c r="F83" s="14"/>
      <c r="G83" s="14" t="s">
        <v>94</v>
      </c>
      <c r="J83" s="396">
        <f>IF(J$38 = 0, J62, J77)</f>
        <v>0.38825907225798145</v>
      </c>
      <c r="K83" s="396">
        <f t="shared" ref="K83:Y83" si="8">IF(K$38 = 0, K62, K77)</f>
        <v>0.38825907225798145</v>
      </c>
      <c r="L83" s="396">
        <f t="shared" si="8"/>
        <v>0.41219216557935218</v>
      </c>
      <c r="M83" s="396">
        <f t="shared" si="8"/>
        <v>0.41219216557935218</v>
      </c>
      <c r="N83" s="396">
        <f t="shared" si="8"/>
        <v>0.55600000000000005</v>
      </c>
      <c r="O83" s="396">
        <f t="shared" si="8"/>
        <v>0.67266666666666675</v>
      </c>
      <c r="P83" s="396">
        <f t="shared" si="8"/>
        <v>0.73533333333333328</v>
      </c>
      <c r="Q83" s="396">
        <f t="shared" si="8"/>
        <v>0.45833333333333331</v>
      </c>
      <c r="R83" s="396">
        <f t="shared" si="8"/>
        <v>0</v>
      </c>
      <c r="S83" s="396">
        <f t="shared" si="8"/>
        <v>0</v>
      </c>
      <c r="T83" s="396">
        <f t="shared" si="8"/>
        <v>0</v>
      </c>
      <c r="U83" s="396">
        <f t="shared" si="8"/>
        <v>0</v>
      </c>
      <c r="V83" s="396">
        <f t="shared" si="8"/>
        <v>0</v>
      </c>
      <c r="W83" s="396">
        <f t="shared" si="8"/>
        <v>0</v>
      </c>
      <c r="X83" s="396">
        <f t="shared" si="8"/>
        <v>0</v>
      </c>
      <c r="Y83" s="396">
        <f t="shared" si="8"/>
        <v>0</v>
      </c>
    </row>
    <row r="84" spans="2:27" x14ac:dyDescent="0.25">
      <c r="D84" s="14"/>
      <c r="E84" s="14"/>
      <c r="F84" s="14"/>
      <c r="G84" s="14"/>
    </row>
    <row r="85" spans="2:27" x14ac:dyDescent="0.25">
      <c r="D85" s="14"/>
      <c r="E85" s="14" t="s">
        <v>70</v>
      </c>
      <c r="F85" s="14"/>
      <c r="G85" s="14" t="s">
        <v>94</v>
      </c>
      <c r="J85" s="396">
        <f>IF(J38 = 0, J63, J79)</f>
        <v>0.74311855346149425</v>
      </c>
      <c r="K85" s="396">
        <f t="shared" ref="K85:Y85" si="9">IF(K38 = 0, K63, K79)</f>
        <v>0.74311855346149425</v>
      </c>
      <c r="L85" s="396">
        <f t="shared" si="9"/>
        <v>0.63358271034361724</v>
      </c>
      <c r="M85" s="396">
        <f t="shared" si="9"/>
        <v>0.63358271034361724</v>
      </c>
      <c r="N85" s="396">
        <f t="shared" si="9"/>
        <v>0.78366666666666662</v>
      </c>
      <c r="O85" s="396">
        <f t="shared" si="9"/>
        <v>0.78533333333333333</v>
      </c>
      <c r="P85" s="396">
        <f t="shared" si="9"/>
        <v>0.84533333333333338</v>
      </c>
      <c r="Q85" s="396">
        <f t="shared" si="9"/>
        <v>0.92600000000000016</v>
      </c>
      <c r="R85" s="396">
        <f t="shared" si="9"/>
        <v>0</v>
      </c>
      <c r="S85" s="396">
        <f t="shared" si="9"/>
        <v>0</v>
      </c>
      <c r="T85" s="396">
        <f t="shared" si="9"/>
        <v>0</v>
      </c>
      <c r="U85" s="396">
        <f t="shared" si="9"/>
        <v>0</v>
      </c>
      <c r="V85" s="396">
        <f t="shared" si="9"/>
        <v>0</v>
      </c>
      <c r="W85" s="396">
        <f t="shared" si="9"/>
        <v>0</v>
      </c>
      <c r="X85" s="396">
        <f t="shared" si="9"/>
        <v>0</v>
      </c>
      <c r="Y85" s="396">
        <f t="shared" si="9"/>
        <v>0</v>
      </c>
    </row>
    <row r="87" spans="2:27" x14ac:dyDescent="0.25">
      <c r="C87" s="7" t="str">
        <f ca="1">INDEX('Version control'!$H$34:$H$58,MATCH($A$1,'Version control'!$F$34:$F$58,0),1)&amp;"-G: Calculation of correction factor"</f>
        <v>Section 508-G: Calculation of correction factor</v>
      </c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9" spans="2:27" x14ac:dyDescent="0.25">
      <c r="E89" s="14" t="s">
        <v>143</v>
      </c>
      <c r="G89" s="14" t="s">
        <v>528</v>
      </c>
      <c r="J89" s="253">
        <f t="shared" ref="J89:Y89" si="10">IF(AND(J62 = 0, J63 = 0), 1, J63 / J62)</f>
        <v>2.0029717682020798</v>
      </c>
      <c r="K89" s="253">
        <f t="shared" si="10"/>
        <v>0</v>
      </c>
      <c r="L89" s="253">
        <f t="shared" si="10"/>
        <v>1.5943999999999998</v>
      </c>
      <c r="M89" s="253">
        <f t="shared" si="10"/>
        <v>0</v>
      </c>
      <c r="N89" s="253">
        <f t="shared" si="10"/>
        <v>1.40947242206235</v>
      </c>
      <c r="O89" s="253">
        <f t="shared" si="10"/>
        <v>1.1674925668979186</v>
      </c>
      <c r="P89" s="253">
        <f t="shared" si="10"/>
        <v>1.1495920217588396</v>
      </c>
      <c r="Q89" s="253">
        <f t="shared" si="10"/>
        <v>2.0203636363636366</v>
      </c>
      <c r="R89" s="253">
        <f t="shared" si="10"/>
        <v>1</v>
      </c>
      <c r="S89" s="253">
        <f t="shared" si="10"/>
        <v>1</v>
      </c>
      <c r="T89" s="253">
        <f t="shared" si="10"/>
        <v>1</v>
      </c>
      <c r="U89" s="253">
        <f t="shared" si="10"/>
        <v>1</v>
      </c>
      <c r="V89" s="253">
        <f t="shared" si="10"/>
        <v>1</v>
      </c>
      <c r="W89" s="253">
        <f t="shared" si="10"/>
        <v>1</v>
      </c>
      <c r="X89" s="253">
        <f t="shared" si="10"/>
        <v>1</v>
      </c>
      <c r="Y89" s="253">
        <f t="shared" si="10"/>
        <v>1</v>
      </c>
    </row>
    <row r="90" spans="2:27" x14ac:dyDescent="0.25">
      <c r="D90" s="96"/>
      <c r="J90" s="274"/>
      <c r="K90" s="274"/>
      <c r="L90" s="274"/>
      <c r="M90" s="274"/>
      <c r="N90" s="274"/>
      <c r="O90" s="274"/>
      <c r="P90" s="274"/>
      <c r="Q90" s="274"/>
      <c r="R90" s="274"/>
      <c r="S90" s="274"/>
      <c r="T90" s="274"/>
      <c r="U90" s="274"/>
      <c r="V90" s="274"/>
      <c r="W90" s="274"/>
      <c r="X90" s="274"/>
      <c r="Y90" s="274"/>
    </row>
    <row r="91" spans="2:27" x14ac:dyDescent="0.25">
      <c r="E91" s="14" t="s">
        <v>1065</v>
      </c>
      <c r="G91" s="14" t="s">
        <v>528</v>
      </c>
      <c r="I91" s="295" t="s">
        <v>431</v>
      </c>
      <c r="J91" s="253">
        <f>IF(AND(J83 = 0, J85 = 0), 1, J85 / J83)</f>
        <v>1.9139760190013639</v>
      </c>
      <c r="K91" s="253">
        <f t="shared" ref="K91:Y91" si="11">IF(AND(K83 = 0, K85 = 0), 1, K85 / K83)</f>
        <v>1.9139760190013639</v>
      </c>
      <c r="L91" s="253">
        <f t="shared" si="11"/>
        <v>1.5371051738770727</v>
      </c>
      <c r="M91" s="253">
        <f t="shared" si="11"/>
        <v>1.5371051738770727</v>
      </c>
      <c r="N91" s="253">
        <f t="shared" si="11"/>
        <v>1.40947242206235</v>
      </c>
      <c r="O91" s="253">
        <f t="shared" si="11"/>
        <v>1.1674925668979186</v>
      </c>
      <c r="P91" s="253">
        <f t="shared" si="11"/>
        <v>1.1495920217588396</v>
      </c>
      <c r="Q91" s="253">
        <f t="shared" si="11"/>
        <v>2.0203636363636366</v>
      </c>
      <c r="R91" s="253">
        <f t="shared" si="11"/>
        <v>1</v>
      </c>
      <c r="S91" s="253">
        <f t="shared" si="11"/>
        <v>1</v>
      </c>
      <c r="T91" s="253">
        <f t="shared" si="11"/>
        <v>1</v>
      </c>
      <c r="U91" s="253">
        <f t="shared" si="11"/>
        <v>1</v>
      </c>
      <c r="V91" s="253">
        <f t="shared" si="11"/>
        <v>1</v>
      </c>
      <c r="W91" s="253">
        <f t="shared" si="11"/>
        <v>1</v>
      </c>
      <c r="X91" s="253">
        <f t="shared" si="11"/>
        <v>1</v>
      </c>
      <c r="Y91" s="253">
        <f t="shared" si="11"/>
        <v>1</v>
      </c>
      <c r="Z91" s="253"/>
      <c r="AA91" s="295" t="s">
        <v>1060</v>
      </c>
    </row>
    <row r="92" spans="2:27" x14ac:dyDescent="0.25">
      <c r="D92" s="96"/>
      <c r="J92" s="274"/>
      <c r="K92" s="274"/>
      <c r="L92" s="274"/>
      <c r="M92" s="274"/>
      <c r="N92" s="274"/>
      <c r="O92" s="274"/>
      <c r="P92" s="274"/>
      <c r="Q92" s="274"/>
      <c r="R92" s="274"/>
      <c r="S92" s="274"/>
      <c r="T92" s="274"/>
      <c r="U92" s="274"/>
      <c r="V92" s="274"/>
      <c r="W92" s="274"/>
      <c r="X92" s="274"/>
      <c r="Y92" s="274"/>
    </row>
    <row r="93" spans="2:27" x14ac:dyDescent="0.25">
      <c r="E93" s="14" t="s">
        <v>696</v>
      </c>
      <c r="G93" s="14" t="s">
        <v>528</v>
      </c>
      <c r="I93" s="295" t="s">
        <v>431</v>
      </c>
      <c r="J93" s="253">
        <f>IF(OR(J54 = 0, J85 = 0), 1, J91 / J54)</f>
        <v>1.3983964414904044</v>
      </c>
      <c r="K93" s="253">
        <f t="shared" ref="K93:Y93" si="12">IF(OR(K54 = 0, K85 = 0), 1, K91 / K54)</f>
        <v>1.3983964414904044</v>
      </c>
      <c r="L93" s="253">
        <f t="shared" si="12"/>
        <v>1.6242445441260454</v>
      </c>
      <c r="M93" s="253">
        <f t="shared" si="12"/>
        <v>1.6242445441260454</v>
      </c>
      <c r="N93" s="253">
        <f t="shared" si="12"/>
        <v>1.255585377292165</v>
      </c>
      <c r="O93" s="253">
        <f t="shared" si="12"/>
        <v>1.0740373522207327</v>
      </c>
      <c r="P93" s="253">
        <f t="shared" si="12"/>
        <v>1.0901595846527321</v>
      </c>
      <c r="Q93" s="253">
        <f t="shared" si="12"/>
        <v>1.0991023294611466</v>
      </c>
      <c r="R93" s="253">
        <f t="shared" si="12"/>
        <v>1</v>
      </c>
      <c r="S93" s="253">
        <f t="shared" si="12"/>
        <v>1</v>
      </c>
      <c r="T93" s="253">
        <f t="shared" si="12"/>
        <v>1</v>
      </c>
      <c r="U93" s="253">
        <f t="shared" si="12"/>
        <v>1</v>
      </c>
      <c r="V93" s="253">
        <f t="shared" si="12"/>
        <v>1</v>
      </c>
      <c r="W93" s="253">
        <f t="shared" si="12"/>
        <v>1</v>
      </c>
      <c r="X93" s="253">
        <f t="shared" si="12"/>
        <v>1</v>
      </c>
      <c r="Y93" s="253">
        <f t="shared" si="12"/>
        <v>1</v>
      </c>
      <c r="AA93" s="295" t="s">
        <v>860</v>
      </c>
    </row>
    <row r="94" spans="2:27" x14ac:dyDescent="0.25">
      <c r="F94" s="14"/>
      <c r="G94" s="14"/>
    </row>
    <row r="95" spans="2:27" x14ac:dyDescent="0.25">
      <c r="B95" s="95" t="s">
        <v>906</v>
      </c>
      <c r="C95" s="72"/>
      <c r="D95" s="71"/>
      <c r="E95" s="71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</row>
    <row r="97" spans="3:27" x14ac:dyDescent="0.25">
      <c r="C97" s="82" t="s">
        <v>907</v>
      </c>
      <c r="I97" s="295" t="s">
        <v>431</v>
      </c>
      <c r="AA97" s="295" t="s">
        <v>861</v>
      </c>
    </row>
    <row r="98" spans="3:27" x14ac:dyDescent="0.25">
      <c r="C98" s="82" t="s">
        <v>744</v>
      </c>
    </row>
    <row r="100" spans="3:27" x14ac:dyDescent="0.25">
      <c r="C100" s="7" t="str">
        <f ca="1">INDEX('Version control'!$H$34:$H$58,MATCH($A$1,'Version control'!$F$34:$F$58,0),1)&amp;"-H: Peaking probabilities, by network level"</f>
        <v>Section 508-H: Peaking probabilities, by network level</v>
      </c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2" spans="3:27" x14ac:dyDescent="0.25">
      <c r="E102" s="96" t="s">
        <v>683</v>
      </c>
      <c r="G102" s="14"/>
    </row>
    <row r="103" spans="3:27" x14ac:dyDescent="0.25">
      <c r="F103" s="40" t="s">
        <v>84</v>
      </c>
      <c r="G103" s="16" t="s">
        <v>94</v>
      </c>
      <c r="H103" s="137">
        <f>'Inputs by network level'!K43</f>
        <v>0.73685290844250551</v>
      </c>
    </row>
    <row r="104" spans="3:27" x14ac:dyDescent="0.25">
      <c r="F104" s="109" t="s">
        <v>85</v>
      </c>
      <c r="G104" s="14" t="s">
        <v>94</v>
      </c>
      <c r="H104" s="143">
        <f>'Inputs by network level'!K44</f>
        <v>0.25763649230764868</v>
      </c>
    </row>
    <row r="105" spans="3:27" x14ac:dyDescent="0.25">
      <c r="F105" s="36" t="s">
        <v>86</v>
      </c>
      <c r="G105" s="15" t="s">
        <v>94</v>
      </c>
      <c r="H105" s="395">
        <f>'Inputs by network level'!K45</f>
        <v>5.5105992498457714E-3</v>
      </c>
    </row>
    <row r="106" spans="3:27" x14ac:dyDescent="0.25">
      <c r="F106" s="40" t="s">
        <v>87</v>
      </c>
      <c r="G106" s="16" t="s">
        <v>94</v>
      </c>
      <c r="H106" s="137">
        <f>'Inputs by network level'!K46</f>
        <v>0.67055113994438198</v>
      </c>
    </row>
    <row r="107" spans="3:27" x14ac:dyDescent="0.25">
      <c r="F107" s="109" t="s">
        <v>88</v>
      </c>
      <c r="G107" s="14" t="s">
        <v>94</v>
      </c>
      <c r="H107" s="63">
        <f>SUM(H103:H104) - H106</f>
        <v>0.32393826080577215</v>
      </c>
    </row>
    <row r="108" spans="3:27" x14ac:dyDescent="0.25">
      <c r="F108" s="36" t="s">
        <v>86</v>
      </c>
      <c r="G108" s="15" t="s">
        <v>94</v>
      </c>
      <c r="H108" s="182">
        <f>H105</f>
        <v>5.5105992498457714E-3</v>
      </c>
    </row>
    <row r="109" spans="3:27" x14ac:dyDescent="0.25">
      <c r="F109" s="82"/>
      <c r="G109" s="14"/>
    </row>
    <row r="110" spans="3:27" x14ac:dyDescent="0.25">
      <c r="E110" s="96" t="s">
        <v>684</v>
      </c>
      <c r="G110" s="14"/>
    </row>
    <row r="111" spans="3:27" x14ac:dyDescent="0.25">
      <c r="F111" s="40" t="s">
        <v>300</v>
      </c>
      <c r="G111" s="16" t="s">
        <v>94</v>
      </c>
      <c r="H111" s="137">
        <f>'Inputs by network level'!L43</f>
        <v>0</v>
      </c>
    </row>
    <row r="112" spans="3:27" x14ac:dyDescent="0.25">
      <c r="F112" s="109" t="s">
        <v>301</v>
      </c>
      <c r="G112" s="14" t="s">
        <v>94</v>
      </c>
      <c r="H112" s="143">
        <f>'Inputs by network level'!L44</f>
        <v>0</v>
      </c>
    </row>
    <row r="113" spans="5:8" x14ac:dyDescent="0.25">
      <c r="F113" s="36" t="s">
        <v>86</v>
      </c>
      <c r="G113" s="15" t="s">
        <v>94</v>
      </c>
      <c r="H113" s="395">
        <f>'Inputs by network level'!L45</f>
        <v>0</v>
      </c>
    </row>
    <row r="114" spans="5:8" x14ac:dyDescent="0.25">
      <c r="F114" s="40" t="s">
        <v>87</v>
      </c>
      <c r="G114" s="16" t="s">
        <v>94</v>
      </c>
      <c r="H114" s="137">
        <f>'Inputs by network level'!L46</f>
        <v>0</v>
      </c>
    </row>
    <row r="115" spans="5:8" x14ac:dyDescent="0.25">
      <c r="F115" s="109" t="s">
        <v>88</v>
      </c>
      <c r="G115" s="14" t="s">
        <v>94</v>
      </c>
      <c r="H115" s="63">
        <f>SUM(H111:H112) - H114</f>
        <v>0</v>
      </c>
    </row>
    <row r="116" spans="5:8" x14ac:dyDescent="0.25">
      <c r="F116" s="36" t="s">
        <v>86</v>
      </c>
      <c r="G116" s="15" t="s">
        <v>94</v>
      </c>
      <c r="H116" s="182">
        <f>H113</f>
        <v>0</v>
      </c>
    </row>
    <row r="117" spans="5:8" x14ac:dyDescent="0.25">
      <c r="F117" s="82"/>
      <c r="G117" s="14"/>
    </row>
    <row r="118" spans="5:8" x14ac:dyDescent="0.25">
      <c r="E118" s="96" t="s">
        <v>685</v>
      </c>
      <c r="G118" s="14"/>
    </row>
    <row r="119" spans="5:8" x14ac:dyDescent="0.25">
      <c r="F119" s="40" t="s">
        <v>300</v>
      </c>
      <c r="G119" s="16" t="s">
        <v>94</v>
      </c>
      <c r="H119" s="137">
        <f>'Inputs by network level'!M43</f>
        <v>0</v>
      </c>
    </row>
    <row r="120" spans="5:8" x14ac:dyDescent="0.25">
      <c r="F120" s="109" t="s">
        <v>301</v>
      </c>
      <c r="G120" s="14" t="s">
        <v>94</v>
      </c>
      <c r="H120" s="143">
        <f>'Inputs by network level'!M44</f>
        <v>0</v>
      </c>
    </row>
    <row r="121" spans="5:8" x14ac:dyDescent="0.25">
      <c r="F121" s="36" t="s">
        <v>86</v>
      </c>
      <c r="G121" s="15" t="s">
        <v>94</v>
      </c>
      <c r="H121" s="395">
        <f>'Inputs by network level'!M45</f>
        <v>0</v>
      </c>
    </row>
    <row r="122" spans="5:8" x14ac:dyDescent="0.25">
      <c r="F122" s="40" t="s">
        <v>87</v>
      </c>
      <c r="G122" s="16" t="s">
        <v>94</v>
      </c>
      <c r="H122" s="137">
        <f>'Inputs by network level'!M46</f>
        <v>0</v>
      </c>
    </row>
    <row r="123" spans="5:8" x14ac:dyDescent="0.25">
      <c r="F123" s="109" t="s">
        <v>88</v>
      </c>
      <c r="G123" s="14" t="s">
        <v>94</v>
      </c>
      <c r="H123" s="63">
        <f>SUM(H119:H120) - H122</f>
        <v>0</v>
      </c>
    </row>
    <row r="124" spans="5:8" x14ac:dyDescent="0.25">
      <c r="F124" s="36" t="s">
        <v>86</v>
      </c>
      <c r="G124" s="15" t="s">
        <v>94</v>
      </c>
      <c r="H124" s="182">
        <f>H121</f>
        <v>0</v>
      </c>
    </row>
    <row r="125" spans="5:8" x14ac:dyDescent="0.25">
      <c r="F125" s="82"/>
      <c r="G125" s="14"/>
    </row>
    <row r="126" spans="5:8" x14ac:dyDescent="0.25">
      <c r="E126" s="96" t="s">
        <v>686</v>
      </c>
      <c r="G126" s="14"/>
    </row>
    <row r="127" spans="5:8" x14ac:dyDescent="0.25">
      <c r="F127" s="40" t="s">
        <v>300</v>
      </c>
      <c r="G127" s="16" t="s">
        <v>94</v>
      </c>
      <c r="H127" s="137">
        <f>'Inputs by network level'!N43</f>
        <v>0.73685290844250551</v>
      </c>
    </row>
    <row r="128" spans="5:8" x14ac:dyDescent="0.25">
      <c r="F128" s="109" t="s">
        <v>301</v>
      </c>
      <c r="G128" s="14" t="s">
        <v>94</v>
      </c>
      <c r="H128" s="143">
        <f>'Inputs by network level'!N44</f>
        <v>0.25763649230764868</v>
      </c>
    </row>
    <row r="129" spans="5:8" x14ac:dyDescent="0.25">
      <c r="F129" s="36" t="s">
        <v>86</v>
      </c>
      <c r="G129" s="15" t="s">
        <v>94</v>
      </c>
      <c r="H129" s="395">
        <f>'Inputs by network level'!N45</f>
        <v>5.5105992498457714E-3</v>
      </c>
    </row>
    <row r="130" spans="5:8" x14ac:dyDescent="0.25">
      <c r="F130" s="40" t="s">
        <v>87</v>
      </c>
      <c r="G130" s="16" t="s">
        <v>94</v>
      </c>
      <c r="H130" s="137">
        <f>'Inputs by network level'!N46</f>
        <v>0.67055113994438198</v>
      </c>
    </row>
    <row r="131" spans="5:8" x14ac:dyDescent="0.25">
      <c r="F131" s="109" t="s">
        <v>88</v>
      </c>
      <c r="G131" s="14" t="s">
        <v>94</v>
      </c>
      <c r="H131" s="63">
        <f>SUM(H127:H128) - H130</f>
        <v>0.32393826080577215</v>
      </c>
    </row>
    <row r="132" spans="5:8" x14ac:dyDescent="0.25">
      <c r="F132" s="36" t="s">
        <v>86</v>
      </c>
      <c r="G132" s="15" t="s">
        <v>94</v>
      </c>
      <c r="H132" s="182">
        <f>H129</f>
        <v>5.5105992498457714E-3</v>
      </c>
    </row>
    <row r="133" spans="5:8" x14ac:dyDescent="0.25">
      <c r="F133" s="82"/>
      <c r="G133" s="14"/>
    </row>
    <row r="134" spans="5:8" x14ac:dyDescent="0.25">
      <c r="E134" s="96" t="s">
        <v>687</v>
      </c>
      <c r="G134" s="14"/>
    </row>
    <row r="135" spans="5:8" x14ac:dyDescent="0.25">
      <c r="F135" s="40" t="s">
        <v>300</v>
      </c>
      <c r="G135" s="16" t="s">
        <v>94</v>
      </c>
      <c r="H135" s="137">
        <f>'Inputs by network level'!O43</f>
        <v>0.64549570804091005</v>
      </c>
    </row>
    <row r="136" spans="5:8" x14ac:dyDescent="0.25">
      <c r="F136" s="109" t="s">
        <v>301</v>
      </c>
      <c r="G136" s="14" t="s">
        <v>94</v>
      </c>
      <c r="H136" s="143">
        <f>'Inputs by network level'!O44</f>
        <v>0.33912381234136874</v>
      </c>
    </row>
    <row r="137" spans="5:8" x14ac:dyDescent="0.25">
      <c r="F137" s="36" t="s">
        <v>86</v>
      </c>
      <c r="G137" s="15" t="s">
        <v>94</v>
      </c>
      <c r="H137" s="395">
        <f>'Inputs by network level'!O45</f>
        <v>1.5380479617721122E-2</v>
      </c>
    </row>
    <row r="138" spans="5:8" x14ac:dyDescent="0.25">
      <c r="F138" s="40" t="s">
        <v>87</v>
      </c>
      <c r="G138" s="16" t="s">
        <v>94</v>
      </c>
      <c r="H138" s="137">
        <f>'Inputs by network level'!O46</f>
        <v>0.60511449175300125</v>
      </c>
    </row>
    <row r="139" spans="5:8" x14ac:dyDescent="0.25">
      <c r="F139" s="109" t="s">
        <v>88</v>
      </c>
      <c r="G139" s="14" t="s">
        <v>94</v>
      </c>
      <c r="H139" s="63">
        <f>SUM(H135:H136) - H138</f>
        <v>0.37950502862927749</v>
      </c>
    </row>
    <row r="140" spans="5:8" x14ac:dyDescent="0.25">
      <c r="F140" s="36" t="s">
        <v>86</v>
      </c>
      <c r="G140" s="15" t="s">
        <v>94</v>
      </c>
      <c r="H140" s="182">
        <f>H137</f>
        <v>1.5380479617721122E-2</v>
      </c>
    </row>
    <row r="141" spans="5:8" x14ac:dyDescent="0.25">
      <c r="F141" s="82"/>
      <c r="G141" s="14"/>
    </row>
    <row r="142" spans="5:8" x14ac:dyDescent="0.25">
      <c r="E142" s="96" t="s">
        <v>688</v>
      </c>
      <c r="G142" s="14"/>
    </row>
    <row r="143" spans="5:8" x14ac:dyDescent="0.25">
      <c r="F143" s="40" t="s">
        <v>300</v>
      </c>
      <c r="G143" s="16" t="s">
        <v>94</v>
      </c>
      <c r="H143" s="137">
        <f>'Inputs by network level'!P43</f>
        <v>0</v>
      </c>
    </row>
    <row r="144" spans="5:8" x14ac:dyDescent="0.25">
      <c r="F144" s="109" t="s">
        <v>301</v>
      </c>
      <c r="G144" s="14" t="s">
        <v>94</v>
      </c>
      <c r="H144" s="143">
        <f>'Inputs by network level'!P44</f>
        <v>0</v>
      </c>
    </row>
    <row r="145" spans="5:8" x14ac:dyDescent="0.25">
      <c r="F145" s="36" t="s">
        <v>86</v>
      </c>
      <c r="G145" s="15" t="s">
        <v>94</v>
      </c>
      <c r="H145" s="395">
        <f>'Inputs by network level'!P45</f>
        <v>0</v>
      </c>
    </row>
    <row r="146" spans="5:8" x14ac:dyDescent="0.25">
      <c r="F146" s="40" t="s">
        <v>87</v>
      </c>
      <c r="G146" s="16" t="s">
        <v>94</v>
      </c>
      <c r="H146" s="137">
        <f>'Inputs by network level'!P46</f>
        <v>0</v>
      </c>
    </row>
    <row r="147" spans="5:8" x14ac:dyDescent="0.25">
      <c r="F147" s="109" t="s">
        <v>88</v>
      </c>
      <c r="G147" s="14" t="s">
        <v>94</v>
      </c>
      <c r="H147" s="63">
        <f>SUM(H143:H144) - H146</f>
        <v>0</v>
      </c>
    </row>
    <row r="148" spans="5:8" x14ac:dyDescent="0.25">
      <c r="F148" s="36" t="s">
        <v>86</v>
      </c>
      <c r="G148" s="15" t="s">
        <v>94</v>
      </c>
      <c r="H148" s="182">
        <f>H145</f>
        <v>0</v>
      </c>
    </row>
    <row r="149" spans="5:8" x14ac:dyDescent="0.25">
      <c r="F149" s="82"/>
      <c r="G149" s="14"/>
    </row>
    <row r="150" spans="5:8" x14ac:dyDescent="0.25">
      <c r="E150" s="96" t="s">
        <v>689</v>
      </c>
      <c r="G150" s="14"/>
    </row>
    <row r="151" spans="5:8" x14ac:dyDescent="0.25">
      <c r="F151" s="40" t="s">
        <v>300</v>
      </c>
      <c r="G151" s="16" t="s">
        <v>94</v>
      </c>
      <c r="H151" s="137">
        <f>'Inputs by network level'!Q43</f>
        <v>0.64549570804091005</v>
      </c>
    </row>
    <row r="152" spans="5:8" x14ac:dyDescent="0.25">
      <c r="F152" s="109" t="s">
        <v>301</v>
      </c>
      <c r="G152" s="14" t="s">
        <v>94</v>
      </c>
      <c r="H152" s="143">
        <f>'Inputs by network level'!Q44</f>
        <v>0.33912381234136874</v>
      </c>
    </row>
    <row r="153" spans="5:8" x14ac:dyDescent="0.25">
      <c r="F153" s="36" t="s">
        <v>86</v>
      </c>
      <c r="G153" s="15" t="s">
        <v>94</v>
      </c>
      <c r="H153" s="395">
        <f>'Inputs by network level'!Q45</f>
        <v>1.5380479617721122E-2</v>
      </c>
    </row>
    <row r="154" spans="5:8" x14ac:dyDescent="0.25">
      <c r="F154" s="40" t="s">
        <v>87</v>
      </c>
      <c r="G154" s="16" t="s">
        <v>94</v>
      </c>
      <c r="H154" s="137">
        <f>'Inputs by network level'!Q46</f>
        <v>0.60511449175300125</v>
      </c>
    </row>
    <row r="155" spans="5:8" x14ac:dyDescent="0.25">
      <c r="F155" s="109" t="s">
        <v>88</v>
      </c>
      <c r="G155" s="14" t="s">
        <v>94</v>
      </c>
      <c r="H155" s="63">
        <f>SUM(H151:H152) - H154</f>
        <v>0.37950502862927749</v>
      </c>
    </row>
    <row r="156" spans="5:8" x14ac:dyDescent="0.25">
      <c r="F156" s="36" t="s">
        <v>86</v>
      </c>
      <c r="G156" s="15" t="s">
        <v>94</v>
      </c>
      <c r="H156" s="182">
        <f>H153</f>
        <v>1.5380479617721122E-2</v>
      </c>
    </row>
    <row r="157" spans="5:8" x14ac:dyDescent="0.25">
      <c r="F157" s="82"/>
      <c r="G157" s="14"/>
    </row>
    <row r="158" spans="5:8" x14ac:dyDescent="0.25">
      <c r="E158" s="96" t="s">
        <v>690</v>
      </c>
      <c r="G158" s="14"/>
    </row>
    <row r="159" spans="5:8" x14ac:dyDescent="0.25">
      <c r="F159" s="40" t="s">
        <v>300</v>
      </c>
      <c r="G159" s="16" t="s">
        <v>94</v>
      </c>
      <c r="H159" s="137">
        <f>'Inputs by network level'!R43</f>
        <v>0.64549570804091005</v>
      </c>
    </row>
    <row r="160" spans="5:8" x14ac:dyDescent="0.25">
      <c r="F160" s="109" t="s">
        <v>301</v>
      </c>
      <c r="G160" s="14" t="s">
        <v>94</v>
      </c>
      <c r="H160" s="143">
        <f>'Inputs by network level'!R44</f>
        <v>0.33912381234136874</v>
      </c>
    </row>
    <row r="161" spans="3:27" x14ac:dyDescent="0.25">
      <c r="F161" s="36" t="s">
        <v>86</v>
      </c>
      <c r="G161" s="15" t="s">
        <v>94</v>
      </c>
      <c r="H161" s="395">
        <f>'Inputs by network level'!R45</f>
        <v>1.5380479617721122E-2</v>
      </c>
    </row>
    <row r="162" spans="3:27" x14ac:dyDescent="0.25">
      <c r="F162" s="40" t="s">
        <v>87</v>
      </c>
      <c r="G162" s="16" t="s">
        <v>94</v>
      </c>
      <c r="H162" s="137">
        <f>'Inputs by network level'!R46</f>
        <v>0.60511449175300125</v>
      </c>
    </row>
    <row r="163" spans="3:27" x14ac:dyDescent="0.25">
      <c r="F163" s="109" t="s">
        <v>88</v>
      </c>
      <c r="G163" s="14" t="s">
        <v>94</v>
      </c>
      <c r="H163" s="63">
        <f>SUM(H159:H160) - H162</f>
        <v>0.37950502862927749</v>
      </c>
    </row>
    <row r="164" spans="3:27" x14ac:dyDescent="0.25">
      <c r="F164" s="36" t="s">
        <v>86</v>
      </c>
      <c r="G164" s="15" t="s">
        <v>94</v>
      </c>
      <c r="H164" s="182">
        <f>H161</f>
        <v>1.5380479617721122E-2</v>
      </c>
    </row>
    <row r="165" spans="3:27" x14ac:dyDescent="0.25">
      <c r="F165" s="82"/>
      <c r="G165" s="14"/>
    </row>
    <row r="166" spans="3:27" x14ac:dyDescent="0.25">
      <c r="E166" s="96" t="s">
        <v>691</v>
      </c>
      <c r="G166" s="14"/>
    </row>
    <row r="167" spans="3:27" x14ac:dyDescent="0.25">
      <c r="F167" s="40" t="s">
        <v>300</v>
      </c>
      <c r="G167" s="16" t="s">
        <v>94</v>
      </c>
      <c r="H167" s="137">
        <f>'Inputs by network level'!S43</f>
        <v>0.64549570804091005</v>
      </c>
    </row>
    <row r="168" spans="3:27" x14ac:dyDescent="0.25">
      <c r="F168" s="109" t="s">
        <v>301</v>
      </c>
      <c r="G168" s="14" t="s">
        <v>94</v>
      </c>
      <c r="H168" s="143">
        <f>'Inputs by network level'!S44</f>
        <v>0.33912381234136874</v>
      </c>
    </row>
    <row r="169" spans="3:27" x14ac:dyDescent="0.25">
      <c r="F169" s="36" t="s">
        <v>86</v>
      </c>
      <c r="G169" s="15" t="s">
        <v>94</v>
      </c>
      <c r="H169" s="395">
        <f>'Inputs by network level'!S45</f>
        <v>1.5380479617721122E-2</v>
      </c>
    </row>
    <row r="170" spans="3:27" x14ac:dyDescent="0.25">
      <c r="F170" s="40" t="s">
        <v>87</v>
      </c>
      <c r="G170" s="16" t="s">
        <v>94</v>
      </c>
      <c r="H170" s="137">
        <f>'Inputs by network level'!S46</f>
        <v>0.60511449175300125</v>
      </c>
    </row>
    <row r="171" spans="3:27" x14ac:dyDescent="0.25">
      <c r="F171" s="109" t="s">
        <v>88</v>
      </c>
      <c r="G171" s="14" t="s">
        <v>94</v>
      </c>
      <c r="H171" s="63">
        <f>SUM(H167:H168) - H170</f>
        <v>0.37950502862927749</v>
      </c>
    </row>
    <row r="172" spans="3:27" x14ac:dyDescent="0.25">
      <c r="F172" s="36" t="s">
        <v>86</v>
      </c>
      <c r="G172" s="15" t="s">
        <v>94</v>
      </c>
      <c r="H172" s="182">
        <f>H169</f>
        <v>1.5380479617721122E-2</v>
      </c>
    </row>
    <row r="173" spans="3:27" x14ac:dyDescent="0.25">
      <c r="E173" s="82"/>
      <c r="F173" s="14"/>
      <c r="G173" s="14"/>
    </row>
    <row r="174" spans="3:27" x14ac:dyDescent="0.25">
      <c r="C174" s="7" t="str">
        <f ca="1">INDEX('Version control'!$H$34:$H$58,MATCH($A$1,'Version control'!$F$34:$F$58,0),1)&amp;"-I: Peaking probabilities, by network level and customer type"</f>
        <v>Section 508-I: Peaking probabilities, by network level and customer type</v>
      </c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6" spans="3:27" x14ac:dyDescent="0.25">
      <c r="E176" s="96" t="s">
        <v>683</v>
      </c>
      <c r="G176" s="14"/>
    </row>
    <row r="177" spans="5:25" x14ac:dyDescent="0.25">
      <c r="E177" s="82"/>
      <c r="F177" s="40" t="s">
        <v>300</v>
      </c>
      <c r="G177" s="16" t="s">
        <v>94</v>
      </c>
      <c r="H177" s="137"/>
      <c r="I177" s="91"/>
      <c r="J177" s="180">
        <f t="shared" ref="J177:Y179" si="13">IF(J$20, $H106, $H103)</f>
        <v>0.73685290844250551</v>
      </c>
      <c r="K177" s="180">
        <f t="shared" si="13"/>
        <v>0.73685290844250551</v>
      </c>
      <c r="L177" s="180">
        <f t="shared" si="13"/>
        <v>0.73685290844250551</v>
      </c>
      <c r="M177" s="180">
        <f t="shared" si="13"/>
        <v>0.73685290844250551</v>
      </c>
      <c r="N177" s="180">
        <f t="shared" si="13"/>
        <v>0.73685290844250551</v>
      </c>
      <c r="O177" s="180">
        <f t="shared" si="13"/>
        <v>0.73685290844250551</v>
      </c>
      <c r="P177" s="180">
        <f t="shared" si="13"/>
        <v>0.73685290844250551</v>
      </c>
      <c r="Q177" s="180">
        <f t="shared" si="13"/>
        <v>0.67055113994438198</v>
      </c>
      <c r="R177" s="180">
        <f t="shared" si="13"/>
        <v>0.73685290844250551</v>
      </c>
      <c r="S177" s="180">
        <f t="shared" si="13"/>
        <v>0.73685290844250551</v>
      </c>
      <c r="T177" s="180">
        <f t="shared" si="13"/>
        <v>0.73685290844250551</v>
      </c>
      <c r="U177" s="180">
        <f t="shared" si="13"/>
        <v>0.73685290844250551</v>
      </c>
      <c r="V177" s="180">
        <f t="shared" si="13"/>
        <v>0.73685290844250551</v>
      </c>
      <c r="W177" s="180">
        <f t="shared" si="13"/>
        <v>0.73685290844250551</v>
      </c>
      <c r="X177" s="180">
        <f t="shared" si="13"/>
        <v>0.73685290844250551</v>
      </c>
      <c r="Y177" s="180">
        <f t="shared" si="13"/>
        <v>0.73685290844250551</v>
      </c>
    </row>
    <row r="178" spans="5:25" x14ac:dyDescent="0.25">
      <c r="E178" s="82"/>
      <c r="F178" s="109" t="s">
        <v>301</v>
      </c>
      <c r="G178" s="14" t="s">
        <v>94</v>
      </c>
      <c r="H178" s="143"/>
      <c r="J178" s="396">
        <f t="shared" si="13"/>
        <v>0.25763649230764868</v>
      </c>
      <c r="K178" s="396">
        <f t="shared" si="13"/>
        <v>0.25763649230764868</v>
      </c>
      <c r="L178" s="396">
        <f t="shared" si="13"/>
        <v>0.25763649230764868</v>
      </c>
      <c r="M178" s="396">
        <f t="shared" si="13"/>
        <v>0.25763649230764868</v>
      </c>
      <c r="N178" s="396">
        <f t="shared" si="13"/>
        <v>0.25763649230764868</v>
      </c>
      <c r="O178" s="396">
        <f t="shared" si="13"/>
        <v>0.25763649230764868</v>
      </c>
      <c r="P178" s="396">
        <f t="shared" si="13"/>
        <v>0.25763649230764868</v>
      </c>
      <c r="Q178" s="396">
        <f t="shared" si="13"/>
        <v>0.32393826080577215</v>
      </c>
      <c r="R178" s="396">
        <f t="shared" si="13"/>
        <v>0.25763649230764868</v>
      </c>
      <c r="S178" s="396">
        <f t="shared" si="13"/>
        <v>0.25763649230764868</v>
      </c>
      <c r="T178" s="396">
        <f t="shared" si="13"/>
        <v>0.25763649230764868</v>
      </c>
      <c r="U178" s="396">
        <f t="shared" si="13"/>
        <v>0.25763649230764868</v>
      </c>
      <c r="V178" s="396">
        <f t="shared" si="13"/>
        <v>0.25763649230764868</v>
      </c>
      <c r="W178" s="396">
        <f t="shared" si="13"/>
        <v>0.25763649230764868</v>
      </c>
      <c r="X178" s="396">
        <f t="shared" si="13"/>
        <v>0.25763649230764868</v>
      </c>
      <c r="Y178" s="396">
        <f t="shared" si="13"/>
        <v>0.25763649230764868</v>
      </c>
    </row>
    <row r="179" spans="5:25" x14ac:dyDescent="0.25">
      <c r="E179" s="82"/>
      <c r="F179" s="36" t="s">
        <v>86</v>
      </c>
      <c r="G179" s="15" t="s">
        <v>94</v>
      </c>
      <c r="H179" s="395"/>
      <c r="I179" s="93"/>
      <c r="J179" s="181">
        <f t="shared" si="13"/>
        <v>5.5105992498457714E-3</v>
      </c>
      <c r="K179" s="181">
        <f t="shared" si="13"/>
        <v>5.5105992498457714E-3</v>
      </c>
      <c r="L179" s="181">
        <f t="shared" si="13"/>
        <v>5.5105992498457714E-3</v>
      </c>
      <c r="M179" s="181">
        <f t="shared" si="13"/>
        <v>5.5105992498457714E-3</v>
      </c>
      <c r="N179" s="181">
        <f t="shared" si="13"/>
        <v>5.5105992498457714E-3</v>
      </c>
      <c r="O179" s="181">
        <f t="shared" si="13"/>
        <v>5.5105992498457714E-3</v>
      </c>
      <c r="P179" s="181">
        <f t="shared" si="13"/>
        <v>5.5105992498457714E-3</v>
      </c>
      <c r="Q179" s="181">
        <f t="shared" si="13"/>
        <v>5.5105992498457714E-3</v>
      </c>
      <c r="R179" s="181">
        <f t="shared" si="13"/>
        <v>5.5105992498457714E-3</v>
      </c>
      <c r="S179" s="181">
        <f t="shared" si="13"/>
        <v>5.5105992498457714E-3</v>
      </c>
      <c r="T179" s="181">
        <f t="shared" si="13"/>
        <v>5.5105992498457714E-3</v>
      </c>
      <c r="U179" s="181">
        <f t="shared" si="13"/>
        <v>5.5105992498457714E-3</v>
      </c>
      <c r="V179" s="181">
        <f t="shared" si="13"/>
        <v>5.5105992498457714E-3</v>
      </c>
      <c r="W179" s="181">
        <f t="shared" si="13"/>
        <v>5.5105992498457714E-3</v>
      </c>
      <c r="X179" s="181">
        <f t="shared" si="13"/>
        <v>5.5105992498457714E-3</v>
      </c>
      <c r="Y179" s="181">
        <f t="shared" si="13"/>
        <v>5.5105992498457714E-3</v>
      </c>
    </row>
    <row r="180" spans="5:25" x14ac:dyDescent="0.25">
      <c r="E180" s="82"/>
      <c r="F180" s="109"/>
      <c r="G180" s="14"/>
      <c r="H180" s="143"/>
      <c r="J180" s="396"/>
      <c r="K180" s="396"/>
      <c r="L180" s="396"/>
      <c r="M180" s="396"/>
      <c r="N180" s="396"/>
      <c r="O180" s="396"/>
      <c r="P180" s="396"/>
      <c r="Q180" s="396"/>
      <c r="R180" s="396"/>
      <c r="S180" s="396"/>
      <c r="T180" s="396"/>
      <c r="U180" s="396"/>
      <c r="V180" s="396"/>
      <c r="W180" s="396"/>
      <c r="X180" s="396"/>
      <c r="Y180" s="396"/>
    </row>
    <row r="181" spans="5:25" x14ac:dyDescent="0.25">
      <c r="E181" s="96" t="s">
        <v>684</v>
      </c>
      <c r="G181" s="14"/>
    </row>
    <row r="182" spans="5:25" x14ac:dyDescent="0.25">
      <c r="E182" s="82"/>
      <c r="F182" s="40" t="s">
        <v>300</v>
      </c>
      <c r="G182" s="16" t="s">
        <v>94</v>
      </c>
      <c r="H182" s="137"/>
      <c r="I182" s="91"/>
      <c r="J182" s="180">
        <f t="shared" ref="J182:Y184" si="14">IF(J$20, $H114, $H111)</f>
        <v>0</v>
      </c>
      <c r="K182" s="180">
        <f t="shared" si="14"/>
        <v>0</v>
      </c>
      <c r="L182" s="180">
        <f t="shared" si="14"/>
        <v>0</v>
      </c>
      <c r="M182" s="180">
        <f t="shared" si="14"/>
        <v>0</v>
      </c>
      <c r="N182" s="180">
        <f t="shared" si="14"/>
        <v>0</v>
      </c>
      <c r="O182" s="180">
        <f t="shared" si="14"/>
        <v>0</v>
      </c>
      <c r="P182" s="180">
        <f t="shared" si="14"/>
        <v>0</v>
      </c>
      <c r="Q182" s="180">
        <f t="shared" si="14"/>
        <v>0</v>
      </c>
      <c r="R182" s="180">
        <f t="shared" si="14"/>
        <v>0</v>
      </c>
      <c r="S182" s="180">
        <f t="shared" si="14"/>
        <v>0</v>
      </c>
      <c r="T182" s="180">
        <f t="shared" si="14"/>
        <v>0</v>
      </c>
      <c r="U182" s="180">
        <f t="shared" si="14"/>
        <v>0</v>
      </c>
      <c r="V182" s="180">
        <f t="shared" si="14"/>
        <v>0</v>
      </c>
      <c r="W182" s="180">
        <f t="shared" si="14"/>
        <v>0</v>
      </c>
      <c r="X182" s="180">
        <f t="shared" si="14"/>
        <v>0</v>
      </c>
      <c r="Y182" s="180">
        <f t="shared" si="14"/>
        <v>0</v>
      </c>
    </row>
    <row r="183" spans="5:25" x14ac:dyDescent="0.25">
      <c r="E183" s="82"/>
      <c r="F183" s="109" t="s">
        <v>301</v>
      </c>
      <c r="G183" s="14" t="s">
        <v>94</v>
      </c>
      <c r="H183" s="143"/>
      <c r="J183" s="396">
        <f t="shared" si="14"/>
        <v>0</v>
      </c>
      <c r="K183" s="396">
        <f t="shared" si="14"/>
        <v>0</v>
      </c>
      <c r="L183" s="396">
        <f t="shared" si="14"/>
        <v>0</v>
      </c>
      <c r="M183" s="396">
        <f t="shared" si="14"/>
        <v>0</v>
      </c>
      <c r="N183" s="396">
        <f t="shared" si="14"/>
        <v>0</v>
      </c>
      <c r="O183" s="396">
        <f t="shared" si="14"/>
        <v>0</v>
      </c>
      <c r="P183" s="396">
        <f t="shared" si="14"/>
        <v>0</v>
      </c>
      <c r="Q183" s="396">
        <f t="shared" si="14"/>
        <v>0</v>
      </c>
      <c r="R183" s="396">
        <f t="shared" si="14"/>
        <v>0</v>
      </c>
      <c r="S183" s="396">
        <f t="shared" si="14"/>
        <v>0</v>
      </c>
      <c r="T183" s="396">
        <f t="shared" si="14"/>
        <v>0</v>
      </c>
      <c r="U183" s="396">
        <f t="shared" si="14"/>
        <v>0</v>
      </c>
      <c r="V183" s="396">
        <f t="shared" si="14"/>
        <v>0</v>
      </c>
      <c r="W183" s="396">
        <f t="shared" si="14"/>
        <v>0</v>
      </c>
      <c r="X183" s="396">
        <f t="shared" si="14"/>
        <v>0</v>
      </c>
      <c r="Y183" s="396">
        <f t="shared" si="14"/>
        <v>0</v>
      </c>
    </row>
    <row r="184" spans="5:25" x14ac:dyDescent="0.25">
      <c r="E184" s="82"/>
      <c r="F184" s="36" t="s">
        <v>86</v>
      </c>
      <c r="G184" s="15" t="s">
        <v>94</v>
      </c>
      <c r="H184" s="395"/>
      <c r="I184" s="93"/>
      <c r="J184" s="181">
        <f t="shared" si="14"/>
        <v>0</v>
      </c>
      <c r="K184" s="181">
        <f t="shared" si="14"/>
        <v>0</v>
      </c>
      <c r="L184" s="181">
        <f t="shared" si="14"/>
        <v>0</v>
      </c>
      <c r="M184" s="181">
        <f t="shared" si="14"/>
        <v>0</v>
      </c>
      <c r="N184" s="181">
        <f t="shared" si="14"/>
        <v>0</v>
      </c>
      <c r="O184" s="181">
        <f t="shared" si="14"/>
        <v>0</v>
      </c>
      <c r="P184" s="181">
        <f t="shared" si="14"/>
        <v>0</v>
      </c>
      <c r="Q184" s="181">
        <f t="shared" si="14"/>
        <v>0</v>
      </c>
      <c r="R184" s="181">
        <f t="shared" si="14"/>
        <v>0</v>
      </c>
      <c r="S184" s="181">
        <f t="shared" si="14"/>
        <v>0</v>
      </c>
      <c r="T184" s="181">
        <f t="shared" si="14"/>
        <v>0</v>
      </c>
      <c r="U184" s="181">
        <f t="shared" si="14"/>
        <v>0</v>
      </c>
      <c r="V184" s="181">
        <f t="shared" si="14"/>
        <v>0</v>
      </c>
      <c r="W184" s="181">
        <f t="shared" si="14"/>
        <v>0</v>
      </c>
      <c r="X184" s="181">
        <f t="shared" si="14"/>
        <v>0</v>
      </c>
      <c r="Y184" s="181">
        <f t="shared" si="14"/>
        <v>0</v>
      </c>
    </row>
    <row r="185" spans="5:25" x14ac:dyDescent="0.25">
      <c r="E185" s="82"/>
      <c r="F185" s="109"/>
      <c r="G185" s="14"/>
      <c r="H185" s="143"/>
      <c r="J185" s="396"/>
      <c r="K185" s="396"/>
      <c r="L185" s="396"/>
      <c r="M185" s="396"/>
      <c r="N185" s="396"/>
      <c r="O185" s="396"/>
      <c r="P185" s="396"/>
      <c r="Q185" s="396"/>
      <c r="R185" s="396"/>
      <c r="S185" s="396"/>
      <c r="T185" s="396"/>
      <c r="U185" s="396"/>
      <c r="V185" s="396"/>
      <c r="W185" s="396"/>
      <c r="X185" s="396"/>
      <c r="Y185" s="396"/>
    </row>
    <row r="186" spans="5:25" x14ac:dyDescent="0.25">
      <c r="E186" s="96" t="s">
        <v>685</v>
      </c>
      <c r="G186" s="14"/>
    </row>
    <row r="187" spans="5:25" x14ac:dyDescent="0.25">
      <c r="E187" s="82"/>
      <c r="F187" s="40" t="s">
        <v>300</v>
      </c>
      <c r="G187" s="16" t="s">
        <v>94</v>
      </c>
      <c r="H187" s="137"/>
      <c r="I187" s="91"/>
      <c r="J187" s="180">
        <f t="shared" ref="J187:Y189" si="15">IF(J$20, $H122, $H119)</f>
        <v>0</v>
      </c>
      <c r="K187" s="180">
        <f t="shared" si="15"/>
        <v>0</v>
      </c>
      <c r="L187" s="180">
        <f t="shared" si="15"/>
        <v>0</v>
      </c>
      <c r="M187" s="180">
        <f t="shared" si="15"/>
        <v>0</v>
      </c>
      <c r="N187" s="180">
        <f t="shared" si="15"/>
        <v>0</v>
      </c>
      <c r="O187" s="180">
        <f t="shared" si="15"/>
        <v>0</v>
      </c>
      <c r="P187" s="180">
        <f t="shared" si="15"/>
        <v>0</v>
      </c>
      <c r="Q187" s="180">
        <f t="shared" si="15"/>
        <v>0</v>
      </c>
      <c r="R187" s="180">
        <f t="shared" si="15"/>
        <v>0</v>
      </c>
      <c r="S187" s="180">
        <f t="shared" si="15"/>
        <v>0</v>
      </c>
      <c r="T187" s="180">
        <f t="shared" si="15"/>
        <v>0</v>
      </c>
      <c r="U187" s="180">
        <f t="shared" si="15"/>
        <v>0</v>
      </c>
      <c r="V187" s="180">
        <f t="shared" si="15"/>
        <v>0</v>
      </c>
      <c r="W187" s="180">
        <f t="shared" si="15"/>
        <v>0</v>
      </c>
      <c r="X187" s="180">
        <f t="shared" si="15"/>
        <v>0</v>
      </c>
      <c r="Y187" s="180">
        <f t="shared" si="15"/>
        <v>0</v>
      </c>
    </row>
    <row r="188" spans="5:25" x14ac:dyDescent="0.25">
      <c r="E188" s="82"/>
      <c r="F188" s="109" t="s">
        <v>301</v>
      </c>
      <c r="G188" s="14" t="s">
        <v>94</v>
      </c>
      <c r="H188" s="143"/>
      <c r="J188" s="396">
        <f t="shared" si="15"/>
        <v>0</v>
      </c>
      <c r="K188" s="396">
        <f t="shared" si="15"/>
        <v>0</v>
      </c>
      <c r="L188" s="396">
        <f t="shared" si="15"/>
        <v>0</v>
      </c>
      <c r="M188" s="396">
        <f t="shared" si="15"/>
        <v>0</v>
      </c>
      <c r="N188" s="396">
        <f t="shared" si="15"/>
        <v>0</v>
      </c>
      <c r="O188" s="396">
        <f t="shared" si="15"/>
        <v>0</v>
      </c>
      <c r="P188" s="396">
        <f t="shared" si="15"/>
        <v>0</v>
      </c>
      <c r="Q188" s="396">
        <f t="shared" si="15"/>
        <v>0</v>
      </c>
      <c r="R188" s="396">
        <f t="shared" si="15"/>
        <v>0</v>
      </c>
      <c r="S188" s="396">
        <f t="shared" si="15"/>
        <v>0</v>
      </c>
      <c r="T188" s="396">
        <f t="shared" si="15"/>
        <v>0</v>
      </c>
      <c r="U188" s="396">
        <f t="shared" si="15"/>
        <v>0</v>
      </c>
      <c r="V188" s="396">
        <f t="shared" si="15"/>
        <v>0</v>
      </c>
      <c r="W188" s="396">
        <f t="shared" si="15"/>
        <v>0</v>
      </c>
      <c r="X188" s="396">
        <f t="shared" si="15"/>
        <v>0</v>
      </c>
      <c r="Y188" s="396">
        <f t="shared" si="15"/>
        <v>0</v>
      </c>
    </row>
    <row r="189" spans="5:25" x14ac:dyDescent="0.25">
      <c r="E189" s="82"/>
      <c r="F189" s="36" t="s">
        <v>86</v>
      </c>
      <c r="G189" s="15" t="s">
        <v>94</v>
      </c>
      <c r="H189" s="395"/>
      <c r="I189" s="93"/>
      <c r="J189" s="181">
        <f t="shared" si="15"/>
        <v>0</v>
      </c>
      <c r="K189" s="181">
        <f t="shared" si="15"/>
        <v>0</v>
      </c>
      <c r="L189" s="181">
        <f t="shared" si="15"/>
        <v>0</v>
      </c>
      <c r="M189" s="181">
        <f t="shared" si="15"/>
        <v>0</v>
      </c>
      <c r="N189" s="181">
        <f t="shared" si="15"/>
        <v>0</v>
      </c>
      <c r="O189" s="181">
        <f t="shared" si="15"/>
        <v>0</v>
      </c>
      <c r="P189" s="181">
        <f t="shared" si="15"/>
        <v>0</v>
      </c>
      <c r="Q189" s="181">
        <f t="shared" si="15"/>
        <v>0</v>
      </c>
      <c r="R189" s="181">
        <f t="shared" si="15"/>
        <v>0</v>
      </c>
      <c r="S189" s="181">
        <f t="shared" si="15"/>
        <v>0</v>
      </c>
      <c r="T189" s="181">
        <f t="shared" si="15"/>
        <v>0</v>
      </c>
      <c r="U189" s="181">
        <f t="shared" si="15"/>
        <v>0</v>
      </c>
      <c r="V189" s="181">
        <f t="shared" si="15"/>
        <v>0</v>
      </c>
      <c r="W189" s="181">
        <f t="shared" si="15"/>
        <v>0</v>
      </c>
      <c r="X189" s="181">
        <f t="shared" si="15"/>
        <v>0</v>
      </c>
      <c r="Y189" s="181">
        <f t="shared" si="15"/>
        <v>0</v>
      </c>
    </row>
    <row r="190" spans="5:25" x14ac:dyDescent="0.25">
      <c r="E190" s="82"/>
      <c r="F190" s="109"/>
      <c r="G190" s="14"/>
      <c r="H190" s="143"/>
      <c r="J190" s="396"/>
      <c r="K190" s="396"/>
      <c r="L190" s="396"/>
      <c r="M190" s="396"/>
      <c r="N190" s="396"/>
      <c r="O190" s="396"/>
      <c r="P190" s="396"/>
      <c r="Q190" s="396"/>
      <c r="R190" s="396"/>
      <c r="S190" s="396"/>
      <c r="T190" s="396"/>
      <c r="U190" s="396"/>
      <c r="V190" s="396"/>
      <c r="W190" s="396"/>
      <c r="X190" s="396"/>
      <c r="Y190" s="396"/>
    </row>
    <row r="191" spans="5:25" x14ac:dyDescent="0.25">
      <c r="E191" s="96" t="s">
        <v>686</v>
      </c>
      <c r="G191" s="14"/>
    </row>
    <row r="192" spans="5:25" x14ac:dyDescent="0.25">
      <c r="E192" s="82"/>
      <c r="F192" s="40" t="s">
        <v>300</v>
      </c>
      <c r="G192" s="16" t="s">
        <v>94</v>
      </c>
      <c r="H192" s="137"/>
      <c r="I192" s="91"/>
      <c r="J192" s="180">
        <f t="shared" ref="J192:Y194" si="16">IF(J$20, $H130, $H127)</f>
        <v>0.73685290844250551</v>
      </c>
      <c r="K192" s="180">
        <f t="shared" si="16"/>
        <v>0.73685290844250551</v>
      </c>
      <c r="L192" s="180">
        <f t="shared" si="16"/>
        <v>0.73685290844250551</v>
      </c>
      <c r="M192" s="180">
        <f t="shared" si="16"/>
        <v>0.73685290844250551</v>
      </c>
      <c r="N192" s="180">
        <f t="shared" si="16"/>
        <v>0.73685290844250551</v>
      </c>
      <c r="O192" s="180">
        <f t="shared" si="16"/>
        <v>0.73685290844250551</v>
      </c>
      <c r="P192" s="180">
        <f t="shared" si="16"/>
        <v>0.73685290844250551</v>
      </c>
      <c r="Q192" s="180">
        <f t="shared" si="16"/>
        <v>0.67055113994438198</v>
      </c>
      <c r="R192" s="180">
        <f t="shared" si="16"/>
        <v>0.73685290844250551</v>
      </c>
      <c r="S192" s="180">
        <f t="shared" si="16"/>
        <v>0.73685290844250551</v>
      </c>
      <c r="T192" s="180">
        <f t="shared" si="16"/>
        <v>0.73685290844250551</v>
      </c>
      <c r="U192" s="180">
        <f t="shared" si="16"/>
        <v>0.73685290844250551</v>
      </c>
      <c r="V192" s="180">
        <f t="shared" si="16"/>
        <v>0.73685290844250551</v>
      </c>
      <c r="W192" s="180">
        <f t="shared" si="16"/>
        <v>0.73685290844250551</v>
      </c>
      <c r="X192" s="180">
        <f t="shared" si="16"/>
        <v>0.73685290844250551</v>
      </c>
      <c r="Y192" s="180">
        <f t="shared" si="16"/>
        <v>0.73685290844250551</v>
      </c>
    </row>
    <row r="193" spans="5:25" x14ac:dyDescent="0.25">
      <c r="E193" s="82"/>
      <c r="F193" s="109" t="s">
        <v>301</v>
      </c>
      <c r="G193" s="14" t="s">
        <v>94</v>
      </c>
      <c r="H193" s="143"/>
      <c r="J193" s="396">
        <f t="shared" si="16"/>
        <v>0.25763649230764868</v>
      </c>
      <c r="K193" s="396">
        <f t="shared" si="16"/>
        <v>0.25763649230764868</v>
      </c>
      <c r="L193" s="396">
        <f t="shared" si="16"/>
        <v>0.25763649230764868</v>
      </c>
      <c r="M193" s="396">
        <f t="shared" si="16"/>
        <v>0.25763649230764868</v>
      </c>
      <c r="N193" s="396">
        <f t="shared" si="16"/>
        <v>0.25763649230764868</v>
      </c>
      <c r="O193" s="396">
        <f t="shared" si="16"/>
        <v>0.25763649230764868</v>
      </c>
      <c r="P193" s="396">
        <f t="shared" si="16"/>
        <v>0.25763649230764868</v>
      </c>
      <c r="Q193" s="396">
        <f t="shared" si="16"/>
        <v>0.32393826080577215</v>
      </c>
      <c r="R193" s="396">
        <f t="shared" si="16"/>
        <v>0.25763649230764868</v>
      </c>
      <c r="S193" s="396">
        <f t="shared" si="16"/>
        <v>0.25763649230764868</v>
      </c>
      <c r="T193" s="396">
        <f t="shared" si="16"/>
        <v>0.25763649230764868</v>
      </c>
      <c r="U193" s="396">
        <f t="shared" si="16"/>
        <v>0.25763649230764868</v>
      </c>
      <c r="V193" s="396">
        <f t="shared" si="16"/>
        <v>0.25763649230764868</v>
      </c>
      <c r="W193" s="396">
        <f t="shared" si="16"/>
        <v>0.25763649230764868</v>
      </c>
      <c r="X193" s="396">
        <f t="shared" si="16"/>
        <v>0.25763649230764868</v>
      </c>
      <c r="Y193" s="396">
        <f t="shared" si="16"/>
        <v>0.25763649230764868</v>
      </c>
    </row>
    <row r="194" spans="5:25" x14ac:dyDescent="0.25">
      <c r="E194" s="82"/>
      <c r="F194" s="36" t="s">
        <v>86</v>
      </c>
      <c r="G194" s="15" t="s">
        <v>94</v>
      </c>
      <c r="H194" s="395"/>
      <c r="I194" s="93"/>
      <c r="J194" s="181">
        <f t="shared" si="16"/>
        <v>5.5105992498457714E-3</v>
      </c>
      <c r="K194" s="181">
        <f t="shared" si="16"/>
        <v>5.5105992498457714E-3</v>
      </c>
      <c r="L194" s="181">
        <f t="shared" si="16"/>
        <v>5.5105992498457714E-3</v>
      </c>
      <c r="M194" s="181">
        <f t="shared" si="16"/>
        <v>5.5105992498457714E-3</v>
      </c>
      <c r="N194" s="181">
        <f t="shared" si="16"/>
        <v>5.5105992498457714E-3</v>
      </c>
      <c r="O194" s="181">
        <f t="shared" si="16"/>
        <v>5.5105992498457714E-3</v>
      </c>
      <c r="P194" s="181">
        <f t="shared" si="16"/>
        <v>5.5105992498457714E-3</v>
      </c>
      <c r="Q194" s="181">
        <f t="shared" si="16"/>
        <v>5.5105992498457714E-3</v>
      </c>
      <c r="R194" s="181">
        <f t="shared" si="16"/>
        <v>5.5105992498457714E-3</v>
      </c>
      <c r="S194" s="181">
        <f t="shared" si="16"/>
        <v>5.5105992498457714E-3</v>
      </c>
      <c r="T194" s="181">
        <f t="shared" si="16"/>
        <v>5.5105992498457714E-3</v>
      </c>
      <c r="U194" s="181">
        <f t="shared" si="16"/>
        <v>5.5105992498457714E-3</v>
      </c>
      <c r="V194" s="181">
        <f t="shared" si="16"/>
        <v>5.5105992498457714E-3</v>
      </c>
      <c r="W194" s="181">
        <f t="shared" si="16"/>
        <v>5.5105992498457714E-3</v>
      </c>
      <c r="X194" s="181">
        <f t="shared" si="16"/>
        <v>5.5105992498457714E-3</v>
      </c>
      <c r="Y194" s="181">
        <f t="shared" si="16"/>
        <v>5.5105992498457714E-3</v>
      </c>
    </row>
    <row r="195" spans="5:25" x14ac:dyDescent="0.25">
      <c r="E195" s="82"/>
      <c r="F195" s="109"/>
      <c r="G195" s="14"/>
      <c r="H195" s="143"/>
      <c r="J195" s="396"/>
      <c r="K195" s="396"/>
      <c r="L195" s="396"/>
      <c r="M195" s="396"/>
      <c r="N195" s="396"/>
      <c r="O195" s="396"/>
      <c r="P195" s="396"/>
      <c r="Q195" s="396"/>
      <c r="R195" s="396"/>
      <c r="S195" s="396"/>
      <c r="T195" s="396"/>
      <c r="U195" s="396"/>
      <c r="V195" s="396"/>
      <c r="W195" s="396"/>
      <c r="X195" s="396"/>
      <c r="Y195" s="396"/>
    </row>
    <row r="196" spans="5:25" x14ac:dyDescent="0.25">
      <c r="E196" s="96" t="s">
        <v>687</v>
      </c>
      <c r="G196" s="14"/>
    </row>
    <row r="197" spans="5:25" x14ac:dyDescent="0.25">
      <c r="E197" s="82"/>
      <c r="F197" s="40" t="s">
        <v>300</v>
      </c>
      <c r="G197" s="16" t="s">
        <v>94</v>
      </c>
      <c r="H197" s="137"/>
      <c r="I197" s="91"/>
      <c r="J197" s="180">
        <f t="shared" ref="J197:Y199" si="17">IF(J$20, $H138, $H135)</f>
        <v>0.64549570804091005</v>
      </c>
      <c r="K197" s="180">
        <f t="shared" si="17"/>
        <v>0.64549570804091005</v>
      </c>
      <c r="L197" s="180">
        <f t="shared" si="17"/>
        <v>0.64549570804091005</v>
      </c>
      <c r="M197" s="180">
        <f t="shared" si="17"/>
        <v>0.64549570804091005</v>
      </c>
      <c r="N197" s="180">
        <f t="shared" si="17"/>
        <v>0.64549570804091005</v>
      </c>
      <c r="O197" s="180">
        <f t="shared" si="17"/>
        <v>0.64549570804091005</v>
      </c>
      <c r="P197" s="180">
        <f t="shared" si="17"/>
        <v>0.64549570804091005</v>
      </c>
      <c r="Q197" s="180">
        <f t="shared" si="17"/>
        <v>0.60511449175300125</v>
      </c>
      <c r="R197" s="180">
        <f t="shared" si="17"/>
        <v>0.64549570804091005</v>
      </c>
      <c r="S197" s="180">
        <f t="shared" si="17"/>
        <v>0.64549570804091005</v>
      </c>
      <c r="T197" s="180">
        <f t="shared" si="17"/>
        <v>0.64549570804091005</v>
      </c>
      <c r="U197" s="180">
        <f t="shared" si="17"/>
        <v>0.64549570804091005</v>
      </c>
      <c r="V197" s="180">
        <f t="shared" si="17"/>
        <v>0.64549570804091005</v>
      </c>
      <c r="W197" s="180">
        <f t="shared" si="17"/>
        <v>0.64549570804091005</v>
      </c>
      <c r="X197" s="180">
        <f t="shared" si="17"/>
        <v>0.64549570804091005</v>
      </c>
      <c r="Y197" s="180">
        <f t="shared" si="17"/>
        <v>0.64549570804091005</v>
      </c>
    </row>
    <row r="198" spans="5:25" x14ac:dyDescent="0.25">
      <c r="E198" s="82"/>
      <c r="F198" s="109" t="s">
        <v>301</v>
      </c>
      <c r="G198" s="14" t="s">
        <v>94</v>
      </c>
      <c r="H198" s="143"/>
      <c r="J198" s="396">
        <f t="shared" si="17"/>
        <v>0.33912381234136874</v>
      </c>
      <c r="K198" s="396">
        <f t="shared" si="17"/>
        <v>0.33912381234136874</v>
      </c>
      <c r="L198" s="396">
        <f t="shared" si="17"/>
        <v>0.33912381234136874</v>
      </c>
      <c r="M198" s="396">
        <f t="shared" si="17"/>
        <v>0.33912381234136874</v>
      </c>
      <c r="N198" s="396">
        <f t="shared" si="17"/>
        <v>0.33912381234136874</v>
      </c>
      <c r="O198" s="396">
        <f t="shared" si="17"/>
        <v>0.33912381234136874</v>
      </c>
      <c r="P198" s="396">
        <f t="shared" si="17"/>
        <v>0.33912381234136874</v>
      </c>
      <c r="Q198" s="396">
        <f t="shared" si="17"/>
        <v>0.37950502862927749</v>
      </c>
      <c r="R198" s="396">
        <f t="shared" si="17"/>
        <v>0.33912381234136874</v>
      </c>
      <c r="S198" s="396">
        <f t="shared" si="17"/>
        <v>0.33912381234136874</v>
      </c>
      <c r="T198" s="396">
        <f t="shared" si="17"/>
        <v>0.33912381234136874</v>
      </c>
      <c r="U198" s="396">
        <f t="shared" si="17"/>
        <v>0.33912381234136874</v>
      </c>
      <c r="V198" s="396">
        <f t="shared" si="17"/>
        <v>0.33912381234136874</v>
      </c>
      <c r="W198" s="396">
        <f t="shared" si="17"/>
        <v>0.33912381234136874</v>
      </c>
      <c r="X198" s="396">
        <f t="shared" si="17"/>
        <v>0.33912381234136874</v>
      </c>
      <c r="Y198" s="396">
        <f t="shared" si="17"/>
        <v>0.33912381234136874</v>
      </c>
    </row>
    <row r="199" spans="5:25" x14ac:dyDescent="0.25">
      <c r="E199" s="82"/>
      <c r="F199" s="36" t="s">
        <v>86</v>
      </c>
      <c r="G199" s="15" t="s">
        <v>94</v>
      </c>
      <c r="H199" s="395"/>
      <c r="I199" s="93"/>
      <c r="J199" s="181">
        <f t="shared" si="17"/>
        <v>1.5380479617721122E-2</v>
      </c>
      <c r="K199" s="181">
        <f t="shared" si="17"/>
        <v>1.5380479617721122E-2</v>
      </c>
      <c r="L199" s="181">
        <f t="shared" si="17"/>
        <v>1.5380479617721122E-2</v>
      </c>
      <c r="M199" s="181">
        <f t="shared" si="17"/>
        <v>1.5380479617721122E-2</v>
      </c>
      <c r="N199" s="181">
        <f t="shared" si="17"/>
        <v>1.5380479617721122E-2</v>
      </c>
      <c r="O199" s="181">
        <f t="shared" si="17"/>
        <v>1.5380479617721122E-2</v>
      </c>
      <c r="P199" s="181">
        <f t="shared" si="17"/>
        <v>1.5380479617721122E-2</v>
      </c>
      <c r="Q199" s="181">
        <f t="shared" si="17"/>
        <v>1.5380479617721122E-2</v>
      </c>
      <c r="R199" s="181">
        <f t="shared" si="17"/>
        <v>1.5380479617721122E-2</v>
      </c>
      <c r="S199" s="181">
        <f t="shared" si="17"/>
        <v>1.5380479617721122E-2</v>
      </c>
      <c r="T199" s="181">
        <f t="shared" si="17"/>
        <v>1.5380479617721122E-2</v>
      </c>
      <c r="U199" s="181">
        <f t="shared" si="17"/>
        <v>1.5380479617721122E-2</v>
      </c>
      <c r="V199" s="181">
        <f t="shared" si="17"/>
        <v>1.5380479617721122E-2</v>
      </c>
      <c r="W199" s="181">
        <f t="shared" si="17"/>
        <v>1.5380479617721122E-2</v>
      </c>
      <c r="X199" s="181">
        <f t="shared" si="17"/>
        <v>1.5380479617721122E-2</v>
      </c>
      <c r="Y199" s="181">
        <f t="shared" si="17"/>
        <v>1.5380479617721122E-2</v>
      </c>
    </row>
    <row r="200" spans="5:25" x14ac:dyDescent="0.25">
      <c r="E200" s="82"/>
      <c r="F200" s="109"/>
      <c r="G200" s="14"/>
      <c r="H200" s="143"/>
      <c r="J200" s="396"/>
      <c r="K200" s="396"/>
      <c r="L200" s="396"/>
      <c r="M200" s="396"/>
      <c r="N200" s="396"/>
      <c r="O200" s="396"/>
      <c r="P200" s="396"/>
      <c r="Q200" s="396"/>
      <c r="R200" s="396"/>
      <c r="S200" s="396"/>
      <c r="T200" s="396"/>
      <c r="U200" s="396"/>
      <c r="V200" s="396"/>
      <c r="W200" s="396"/>
      <c r="X200" s="396"/>
      <c r="Y200" s="396"/>
    </row>
    <row r="201" spans="5:25" x14ac:dyDescent="0.25">
      <c r="E201" s="96" t="s">
        <v>688</v>
      </c>
      <c r="G201" s="14"/>
    </row>
    <row r="202" spans="5:25" x14ac:dyDescent="0.25">
      <c r="E202" s="82"/>
      <c r="F202" s="40" t="s">
        <v>300</v>
      </c>
      <c r="G202" s="16" t="s">
        <v>94</v>
      </c>
      <c r="H202" s="137"/>
      <c r="I202" s="91"/>
      <c r="J202" s="180">
        <f t="shared" ref="J202:Y204" si="18">IF(J$20, $H146, $H143)</f>
        <v>0</v>
      </c>
      <c r="K202" s="180">
        <f t="shared" si="18"/>
        <v>0</v>
      </c>
      <c r="L202" s="180">
        <f t="shared" si="18"/>
        <v>0</v>
      </c>
      <c r="M202" s="180">
        <f t="shared" si="18"/>
        <v>0</v>
      </c>
      <c r="N202" s="180">
        <f t="shared" si="18"/>
        <v>0</v>
      </c>
      <c r="O202" s="180">
        <f t="shared" si="18"/>
        <v>0</v>
      </c>
      <c r="P202" s="180">
        <f t="shared" si="18"/>
        <v>0</v>
      </c>
      <c r="Q202" s="180">
        <f t="shared" si="18"/>
        <v>0</v>
      </c>
      <c r="R202" s="180">
        <f t="shared" si="18"/>
        <v>0</v>
      </c>
      <c r="S202" s="180">
        <f t="shared" si="18"/>
        <v>0</v>
      </c>
      <c r="T202" s="180">
        <f t="shared" si="18"/>
        <v>0</v>
      </c>
      <c r="U202" s="180">
        <f t="shared" si="18"/>
        <v>0</v>
      </c>
      <c r="V202" s="180">
        <f t="shared" si="18"/>
        <v>0</v>
      </c>
      <c r="W202" s="180">
        <f t="shared" si="18"/>
        <v>0</v>
      </c>
      <c r="X202" s="180">
        <f t="shared" si="18"/>
        <v>0</v>
      </c>
      <c r="Y202" s="180">
        <f t="shared" si="18"/>
        <v>0</v>
      </c>
    </row>
    <row r="203" spans="5:25" x14ac:dyDescent="0.25">
      <c r="E203" s="82"/>
      <c r="F203" s="109" t="s">
        <v>301</v>
      </c>
      <c r="G203" s="14" t="s">
        <v>94</v>
      </c>
      <c r="H203" s="143"/>
      <c r="J203" s="396">
        <f t="shared" si="18"/>
        <v>0</v>
      </c>
      <c r="K203" s="396">
        <f t="shared" si="18"/>
        <v>0</v>
      </c>
      <c r="L203" s="396">
        <f t="shared" si="18"/>
        <v>0</v>
      </c>
      <c r="M203" s="396">
        <f t="shared" si="18"/>
        <v>0</v>
      </c>
      <c r="N203" s="396">
        <f t="shared" si="18"/>
        <v>0</v>
      </c>
      <c r="O203" s="396">
        <f t="shared" si="18"/>
        <v>0</v>
      </c>
      <c r="P203" s="396">
        <f t="shared" si="18"/>
        <v>0</v>
      </c>
      <c r="Q203" s="396">
        <f t="shared" si="18"/>
        <v>0</v>
      </c>
      <c r="R203" s="396">
        <f t="shared" si="18"/>
        <v>0</v>
      </c>
      <c r="S203" s="396">
        <f t="shared" si="18"/>
        <v>0</v>
      </c>
      <c r="T203" s="396">
        <f t="shared" si="18"/>
        <v>0</v>
      </c>
      <c r="U203" s="396">
        <f t="shared" si="18"/>
        <v>0</v>
      </c>
      <c r="V203" s="396">
        <f t="shared" si="18"/>
        <v>0</v>
      </c>
      <c r="W203" s="396">
        <f t="shared" si="18"/>
        <v>0</v>
      </c>
      <c r="X203" s="396">
        <f t="shared" si="18"/>
        <v>0</v>
      </c>
      <c r="Y203" s="396">
        <f t="shared" si="18"/>
        <v>0</v>
      </c>
    </row>
    <row r="204" spans="5:25" x14ac:dyDescent="0.25">
      <c r="E204" s="82"/>
      <c r="F204" s="36" t="s">
        <v>86</v>
      </c>
      <c r="G204" s="15" t="s">
        <v>94</v>
      </c>
      <c r="H204" s="395"/>
      <c r="I204" s="93"/>
      <c r="J204" s="181">
        <f t="shared" si="18"/>
        <v>0</v>
      </c>
      <c r="K204" s="181">
        <f t="shared" si="18"/>
        <v>0</v>
      </c>
      <c r="L204" s="181">
        <f t="shared" si="18"/>
        <v>0</v>
      </c>
      <c r="M204" s="181">
        <f t="shared" si="18"/>
        <v>0</v>
      </c>
      <c r="N204" s="181">
        <f t="shared" si="18"/>
        <v>0</v>
      </c>
      <c r="O204" s="181">
        <f t="shared" si="18"/>
        <v>0</v>
      </c>
      <c r="P204" s="181">
        <f t="shared" si="18"/>
        <v>0</v>
      </c>
      <c r="Q204" s="181">
        <f t="shared" si="18"/>
        <v>0</v>
      </c>
      <c r="R204" s="181">
        <f t="shared" si="18"/>
        <v>0</v>
      </c>
      <c r="S204" s="181">
        <f t="shared" si="18"/>
        <v>0</v>
      </c>
      <c r="T204" s="181">
        <f t="shared" si="18"/>
        <v>0</v>
      </c>
      <c r="U204" s="181">
        <f t="shared" si="18"/>
        <v>0</v>
      </c>
      <c r="V204" s="181">
        <f t="shared" si="18"/>
        <v>0</v>
      </c>
      <c r="W204" s="181">
        <f t="shared" si="18"/>
        <v>0</v>
      </c>
      <c r="X204" s="181">
        <f t="shared" si="18"/>
        <v>0</v>
      </c>
      <c r="Y204" s="181">
        <f t="shared" si="18"/>
        <v>0</v>
      </c>
    </row>
    <row r="205" spans="5:25" x14ac:dyDescent="0.25">
      <c r="E205" s="82"/>
      <c r="F205" s="109"/>
      <c r="G205" s="14"/>
      <c r="H205" s="143"/>
      <c r="J205" s="396"/>
      <c r="K205" s="396"/>
      <c r="L205" s="396"/>
      <c r="M205" s="396"/>
      <c r="N205" s="396"/>
      <c r="O205" s="396"/>
      <c r="P205" s="396"/>
      <c r="Q205" s="396"/>
      <c r="R205" s="396"/>
      <c r="S205" s="396"/>
      <c r="T205" s="396"/>
      <c r="U205" s="396"/>
      <c r="V205" s="396"/>
      <c r="W205" s="396"/>
      <c r="X205" s="396"/>
      <c r="Y205" s="396"/>
    </row>
    <row r="206" spans="5:25" x14ac:dyDescent="0.25">
      <c r="E206" s="96" t="s">
        <v>689</v>
      </c>
      <c r="G206" s="14"/>
    </row>
    <row r="207" spans="5:25" x14ac:dyDescent="0.25">
      <c r="E207" s="82"/>
      <c r="F207" s="40" t="s">
        <v>300</v>
      </c>
      <c r="G207" s="16" t="s">
        <v>94</v>
      </c>
      <c r="H207" s="137"/>
      <c r="I207" s="91"/>
      <c r="J207" s="180">
        <f t="shared" ref="J207:Y209" si="19">IF(J$20, $H154, $H151)</f>
        <v>0.64549570804091005</v>
      </c>
      <c r="K207" s="180">
        <f t="shared" si="19"/>
        <v>0.64549570804091005</v>
      </c>
      <c r="L207" s="180">
        <f t="shared" si="19"/>
        <v>0.64549570804091005</v>
      </c>
      <c r="M207" s="180">
        <f t="shared" si="19"/>
        <v>0.64549570804091005</v>
      </c>
      <c r="N207" s="180">
        <f t="shared" si="19"/>
        <v>0.64549570804091005</v>
      </c>
      <c r="O207" s="180">
        <f t="shared" si="19"/>
        <v>0.64549570804091005</v>
      </c>
      <c r="P207" s="180">
        <f t="shared" si="19"/>
        <v>0.64549570804091005</v>
      </c>
      <c r="Q207" s="180">
        <f t="shared" si="19"/>
        <v>0.60511449175300125</v>
      </c>
      <c r="R207" s="180">
        <f t="shared" si="19"/>
        <v>0.64549570804091005</v>
      </c>
      <c r="S207" s="180">
        <f t="shared" si="19"/>
        <v>0.64549570804091005</v>
      </c>
      <c r="T207" s="180">
        <f t="shared" si="19"/>
        <v>0.64549570804091005</v>
      </c>
      <c r="U207" s="180">
        <f t="shared" si="19"/>
        <v>0.64549570804091005</v>
      </c>
      <c r="V207" s="180">
        <f t="shared" si="19"/>
        <v>0.64549570804091005</v>
      </c>
      <c r="W207" s="180">
        <f t="shared" si="19"/>
        <v>0.64549570804091005</v>
      </c>
      <c r="X207" s="180">
        <f t="shared" si="19"/>
        <v>0.64549570804091005</v>
      </c>
      <c r="Y207" s="180">
        <f t="shared" si="19"/>
        <v>0.64549570804091005</v>
      </c>
    </row>
    <row r="208" spans="5:25" x14ac:dyDescent="0.25">
      <c r="E208" s="82"/>
      <c r="F208" s="109" t="s">
        <v>301</v>
      </c>
      <c r="G208" s="14" t="s">
        <v>94</v>
      </c>
      <c r="H208" s="143"/>
      <c r="J208" s="396">
        <f t="shared" si="19"/>
        <v>0.33912381234136874</v>
      </c>
      <c r="K208" s="396">
        <f t="shared" si="19"/>
        <v>0.33912381234136874</v>
      </c>
      <c r="L208" s="396">
        <f t="shared" si="19"/>
        <v>0.33912381234136874</v>
      </c>
      <c r="M208" s="396">
        <f t="shared" si="19"/>
        <v>0.33912381234136874</v>
      </c>
      <c r="N208" s="396">
        <f t="shared" si="19"/>
        <v>0.33912381234136874</v>
      </c>
      <c r="O208" s="396">
        <f t="shared" si="19"/>
        <v>0.33912381234136874</v>
      </c>
      <c r="P208" s="396">
        <f t="shared" si="19"/>
        <v>0.33912381234136874</v>
      </c>
      <c r="Q208" s="396">
        <f t="shared" si="19"/>
        <v>0.37950502862927749</v>
      </c>
      <c r="R208" s="396">
        <f t="shared" si="19"/>
        <v>0.33912381234136874</v>
      </c>
      <c r="S208" s="396">
        <f t="shared" si="19"/>
        <v>0.33912381234136874</v>
      </c>
      <c r="T208" s="396">
        <f t="shared" si="19"/>
        <v>0.33912381234136874</v>
      </c>
      <c r="U208" s="396">
        <f t="shared" si="19"/>
        <v>0.33912381234136874</v>
      </c>
      <c r="V208" s="396">
        <f t="shared" si="19"/>
        <v>0.33912381234136874</v>
      </c>
      <c r="W208" s="396">
        <f t="shared" si="19"/>
        <v>0.33912381234136874</v>
      </c>
      <c r="X208" s="396">
        <f t="shared" si="19"/>
        <v>0.33912381234136874</v>
      </c>
      <c r="Y208" s="396">
        <f t="shared" si="19"/>
        <v>0.33912381234136874</v>
      </c>
    </row>
    <row r="209" spans="3:27" x14ac:dyDescent="0.25">
      <c r="E209" s="82"/>
      <c r="F209" s="36" t="s">
        <v>86</v>
      </c>
      <c r="G209" s="15" t="s">
        <v>94</v>
      </c>
      <c r="H209" s="395"/>
      <c r="I209" s="93"/>
      <c r="J209" s="181">
        <f t="shared" si="19"/>
        <v>1.5380479617721122E-2</v>
      </c>
      <c r="K209" s="181">
        <f t="shared" si="19"/>
        <v>1.5380479617721122E-2</v>
      </c>
      <c r="L209" s="181">
        <f t="shared" si="19"/>
        <v>1.5380479617721122E-2</v>
      </c>
      <c r="M209" s="181">
        <f t="shared" si="19"/>
        <v>1.5380479617721122E-2</v>
      </c>
      <c r="N209" s="181">
        <f t="shared" si="19"/>
        <v>1.5380479617721122E-2</v>
      </c>
      <c r="O209" s="181">
        <f t="shared" si="19"/>
        <v>1.5380479617721122E-2</v>
      </c>
      <c r="P209" s="181">
        <f t="shared" si="19"/>
        <v>1.5380479617721122E-2</v>
      </c>
      <c r="Q209" s="181">
        <f t="shared" si="19"/>
        <v>1.5380479617721122E-2</v>
      </c>
      <c r="R209" s="181">
        <f t="shared" si="19"/>
        <v>1.5380479617721122E-2</v>
      </c>
      <c r="S209" s="181">
        <f t="shared" si="19"/>
        <v>1.5380479617721122E-2</v>
      </c>
      <c r="T209" s="181">
        <f t="shared" si="19"/>
        <v>1.5380479617721122E-2</v>
      </c>
      <c r="U209" s="181">
        <f t="shared" si="19"/>
        <v>1.5380479617721122E-2</v>
      </c>
      <c r="V209" s="181">
        <f t="shared" si="19"/>
        <v>1.5380479617721122E-2</v>
      </c>
      <c r="W209" s="181">
        <f t="shared" si="19"/>
        <v>1.5380479617721122E-2</v>
      </c>
      <c r="X209" s="181">
        <f t="shared" si="19"/>
        <v>1.5380479617721122E-2</v>
      </c>
      <c r="Y209" s="181">
        <f t="shared" si="19"/>
        <v>1.5380479617721122E-2</v>
      </c>
    </row>
    <row r="210" spans="3:27" x14ac:dyDescent="0.25">
      <c r="E210" s="82"/>
      <c r="F210" s="109"/>
      <c r="G210" s="14"/>
      <c r="H210" s="143"/>
      <c r="J210" s="396"/>
      <c r="K210" s="396"/>
      <c r="L210" s="396"/>
      <c r="M210" s="396"/>
      <c r="N210" s="396"/>
      <c r="O210" s="396"/>
      <c r="P210" s="396"/>
      <c r="Q210" s="396"/>
      <c r="R210" s="396"/>
      <c r="S210" s="396"/>
      <c r="T210" s="396"/>
      <c r="U210" s="396"/>
      <c r="V210" s="396"/>
      <c r="W210" s="396"/>
      <c r="X210" s="396"/>
      <c r="Y210" s="396"/>
    </row>
    <row r="211" spans="3:27" x14ac:dyDescent="0.25">
      <c r="E211" s="96" t="s">
        <v>690</v>
      </c>
      <c r="G211" s="14"/>
    </row>
    <row r="212" spans="3:27" x14ac:dyDescent="0.25">
      <c r="E212" s="82"/>
      <c r="F212" s="40" t="s">
        <v>300</v>
      </c>
      <c r="G212" s="16" t="s">
        <v>94</v>
      </c>
      <c r="H212" s="137"/>
      <c r="I212" s="91"/>
      <c r="J212" s="180">
        <f t="shared" ref="J212:Y214" si="20">IF(J$20, $H162, $H159)</f>
        <v>0.64549570804091005</v>
      </c>
      <c r="K212" s="180">
        <f t="shared" si="20"/>
        <v>0.64549570804091005</v>
      </c>
      <c r="L212" s="180">
        <f t="shared" si="20"/>
        <v>0.64549570804091005</v>
      </c>
      <c r="M212" s="180">
        <f t="shared" si="20"/>
        <v>0.64549570804091005</v>
      </c>
      <c r="N212" s="180">
        <f t="shared" si="20"/>
        <v>0.64549570804091005</v>
      </c>
      <c r="O212" s="180">
        <f t="shared" si="20"/>
        <v>0.64549570804091005</v>
      </c>
      <c r="P212" s="180">
        <f t="shared" si="20"/>
        <v>0.64549570804091005</v>
      </c>
      <c r="Q212" s="180">
        <f t="shared" si="20"/>
        <v>0.60511449175300125</v>
      </c>
      <c r="R212" s="180">
        <f t="shared" si="20"/>
        <v>0.64549570804091005</v>
      </c>
      <c r="S212" s="180">
        <f t="shared" si="20"/>
        <v>0.64549570804091005</v>
      </c>
      <c r="T212" s="180">
        <f t="shared" si="20"/>
        <v>0.64549570804091005</v>
      </c>
      <c r="U212" s="180">
        <f t="shared" si="20"/>
        <v>0.64549570804091005</v>
      </c>
      <c r="V212" s="180">
        <f t="shared" si="20"/>
        <v>0.64549570804091005</v>
      </c>
      <c r="W212" s="180">
        <f t="shared" si="20"/>
        <v>0.64549570804091005</v>
      </c>
      <c r="X212" s="180">
        <f t="shared" si="20"/>
        <v>0.64549570804091005</v>
      </c>
      <c r="Y212" s="180">
        <f t="shared" si="20"/>
        <v>0.64549570804091005</v>
      </c>
    </row>
    <row r="213" spans="3:27" x14ac:dyDescent="0.25">
      <c r="E213" s="82"/>
      <c r="F213" s="109" t="s">
        <v>301</v>
      </c>
      <c r="G213" s="14" t="s">
        <v>94</v>
      </c>
      <c r="H213" s="143"/>
      <c r="J213" s="396">
        <f t="shared" si="20"/>
        <v>0.33912381234136874</v>
      </c>
      <c r="K213" s="396">
        <f t="shared" si="20"/>
        <v>0.33912381234136874</v>
      </c>
      <c r="L213" s="396">
        <f t="shared" si="20"/>
        <v>0.33912381234136874</v>
      </c>
      <c r="M213" s="396">
        <f t="shared" si="20"/>
        <v>0.33912381234136874</v>
      </c>
      <c r="N213" s="396">
        <f t="shared" si="20"/>
        <v>0.33912381234136874</v>
      </c>
      <c r="O213" s="396">
        <f t="shared" si="20"/>
        <v>0.33912381234136874</v>
      </c>
      <c r="P213" s="396">
        <f t="shared" si="20"/>
        <v>0.33912381234136874</v>
      </c>
      <c r="Q213" s="396">
        <f t="shared" si="20"/>
        <v>0.37950502862927749</v>
      </c>
      <c r="R213" s="396">
        <f t="shared" si="20"/>
        <v>0.33912381234136874</v>
      </c>
      <c r="S213" s="396">
        <f t="shared" si="20"/>
        <v>0.33912381234136874</v>
      </c>
      <c r="T213" s="396">
        <f t="shared" si="20"/>
        <v>0.33912381234136874</v>
      </c>
      <c r="U213" s="396">
        <f t="shared" si="20"/>
        <v>0.33912381234136874</v>
      </c>
      <c r="V213" s="396">
        <f t="shared" si="20"/>
        <v>0.33912381234136874</v>
      </c>
      <c r="W213" s="396">
        <f t="shared" si="20"/>
        <v>0.33912381234136874</v>
      </c>
      <c r="X213" s="396">
        <f t="shared" si="20"/>
        <v>0.33912381234136874</v>
      </c>
      <c r="Y213" s="396">
        <f t="shared" si="20"/>
        <v>0.33912381234136874</v>
      </c>
    </row>
    <row r="214" spans="3:27" x14ac:dyDescent="0.25">
      <c r="E214" s="82"/>
      <c r="F214" s="36" t="s">
        <v>86</v>
      </c>
      <c r="G214" s="15" t="s">
        <v>94</v>
      </c>
      <c r="H214" s="395"/>
      <c r="I214" s="93"/>
      <c r="J214" s="181">
        <f t="shared" si="20"/>
        <v>1.5380479617721122E-2</v>
      </c>
      <c r="K214" s="181">
        <f t="shared" si="20"/>
        <v>1.5380479617721122E-2</v>
      </c>
      <c r="L214" s="181">
        <f t="shared" si="20"/>
        <v>1.5380479617721122E-2</v>
      </c>
      <c r="M214" s="181">
        <f t="shared" si="20"/>
        <v>1.5380479617721122E-2</v>
      </c>
      <c r="N214" s="181">
        <f t="shared" si="20"/>
        <v>1.5380479617721122E-2</v>
      </c>
      <c r="O214" s="181">
        <f t="shared" si="20"/>
        <v>1.5380479617721122E-2</v>
      </c>
      <c r="P214" s="181">
        <f t="shared" si="20"/>
        <v>1.5380479617721122E-2</v>
      </c>
      <c r="Q214" s="181">
        <f t="shared" si="20"/>
        <v>1.5380479617721122E-2</v>
      </c>
      <c r="R214" s="181">
        <f t="shared" si="20"/>
        <v>1.5380479617721122E-2</v>
      </c>
      <c r="S214" s="181">
        <f t="shared" si="20"/>
        <v>1.5380479617721122E-2</v>
      </c>
      <c r="T214" s="181">
        <f t="shared" si="20"/>
        <v>1.5380479617721122E-2</v>
      </c>
      <c r="U214" s="181">
        <f t="shared" si="20"/>
        <v>1.5380479617721122E-2</v>
      </c>
      <c r="V214" s="181">
        <f t="shared" si="20"/>
        <v>1.5380479617721122E-2</v>
      </c>
      <c r="W214" s="181">
        <f t="shared" si="20"/>
        <v>1.5380479617721122E-2</v>
      </c>
      <c r="X214" s="181">
        <f t="shared" si="20"/>
        <v>1.5380479617721122E-2</v>
      </c>
      <c r="Y214" s="181">
        <f t="shared" si="20"/>
        <v>1.5380479617721122E-2</v>
      </c>
    </row>
    <row r="215" spans="3:27" x14ac:dyDescent="0.25">
      <c r="E215" s="82"/>
      <c r="F215" s="109"/>
      <c r="G215" s="14"/>
      <c r="H215" s="143"/>
      <c r="J215" s="396"/>
      <c r="K215" s="396"/>
      <c r="L215" s="396"/>
      <c r="M215" s="396"/>
      <c r="N215" s="396"/>
      <c r="O215" s="396"/>
      <c r="P215" s="396"/>
      <c r="Q215" s="396"/>
      <c r="R215" s="396"/>
      <c r="S215" s="396"/>
      <c r="T215" s="396"/>
      <c r="U215" s="396"/>
      <c r="V215" s="396"/>
      <c r="W215" s="396"/>
      <c r="X215" s="396"/>
      <c r="Y215" s="396"/>
    </row>
    <row r="216" spans="3:27" x14ac:dyDescent="0.25">
      <c r="E216" s="96" t="s">
        <v>691</v>
      </c>
      <c r="G216" s="14"/>
    </row>
    <row r="217" spans="3:27" x14ac:dyDescent="0.25">
      <c r="E217" s="82"/>
      <c r="F217" s="40" t="s">
        <v>300</v>
      </c>
      <c r="G217" s="16" t="s">
        <v>94</v>
      </c>
      <c r="H217" s="137"/>
      <c r="I217" s="91"/>
      <c r="J217" s="180">
        <f t="shared" ref="J217:Y219" si="21">IF(J$20, $H170, $H167)</f>
        <v>0.64549570804091005</v>
      </c>
      <c r="K217" s="180">
        <f t="shared" si="21"/>
        <v>0.64549570804091005</v>
      </c>
      <c r="L217" s="180">
        <f t="shared" si="21"/>
        <v>0.64549570804091005</v>
      </c>
      <c r="M217" s="180">
        <f t="shared" si="21"/>
        <v>0.64549570804091005</v>
      </c>
      <c r="N217" s="180">
        <f t="shared" si="21"/>
        <v>0.64549570804091005</v>
      </c>
      <c r="O217" s="180">
        <f t="shared" si="21"/>
        <v>0.64549570804091005</v>
      </c>
      <c r="P217" s="180">
        <f t="shared" si="21"/>
        <v>0.64549570804091005</v>
      </c>
      <c r="Q217" s="180">
        <f t="shared" si="21"/>
        <v>0.60511449175300125</v>
      </c>
      <c r="R217" s="180">
        <f t="shared" si="21"/>
        <v>0.64549570804091005</v>
      </c>
      <c r="S217" s="180">
        <f t="shared" si="21"/>
        <v>0.64549570804091005</v>
      </c>
      <c r="T217" s="180">
        <f t="shared" si="21"/>
        <v>0.64549570804091005</v>
      </c>
      <c r="U217" s="180">
        <f t="shared" si="21"/>
        <v>0.64549570804091005</v>
      </c>
      <c r="V217" s="180">
        <f t="shared" si="21"/>
        <v>0.64549570804091005</v>
      </c>
      <c r="W217" s="180">
        <f t="shared" si="21"/>
        <v>0.64549570804091005</v>
      </c>
      <c r="X217" s="180">
        <f t="shared" si="21"/>
        <v>0.64549570804091005</v>
      </c>
      <c r="Y217" s="180">
        <f t="shared" si="21"/>
        <v>0.64549570804091005</v>
      </c>
    </row>
    <row r="218" spans="3:27" x14ac:dyDescent="0.25">
      <c r="E218" s="82"/>
      <c r="F218" s="109" t="s">
        <v>301</v>
      </c>
      <c r="G218" s="14" t="s">
        <v>94</v>
      </c>
      <c r="H218" s="143"/>
      <c r="J218" s="396">
        <f t="shared" si="21"/>
        <v>0.33912381234136874</v>
      </c>
      <c r="K218" s="396">
        <f t="shared" si="21"/>
        <v>0.33912381234136874</v>
      </c>
      <c r="L218" s="396">
        <f t="shared" si="21"/>
        <v>0.33912381234136874</v>
      </c>
      <c r="M218" s="396">
        <f t="shared" si="21"/>
        <v>0.33912381234136874</v>
      </c>
      <c r="N218" s="396">
        <f t="shared" si="21"/>
        <v>0.33912381234136874</v>
      </c>
      <c r="O218" s="396">
        <f t="shared" si="21"/>
        <v>0.33912381234136874</v>
      </c>
      <c r="P218" s="396">
        <f t="shared" si="21"/>
        <v>0.33912381234136874</v>
      </c>
      <c r="Q218" s="396">
        <f t="shared" si="21"/>
        <v>0.37950502862927749</v>
      </c>
      <c r="R218" s="396">
        <f t="shared" si="21"/>
        <v>0.33912381234136874</v>
      </c>
      <c r="S218" s="396">
        <f t="shared" si="21"/>
        <v>0.33912381234136874</v>
      </c>
      <c r="T218" s="396">
        <f t="shared" si="21"/>
        <v>0.33912381234136874</v>
      </c>
      <c r="U218" s="396">
        <f t="shared" si="21"/>
        <v>0.33912381234136874</v>
      </c>
      <c r="V218" s="396">
        <f t="shared" si="21"/>
        <v>0.33912381234136874</v>
      </c>
      <c r="W218" s="396">
        <f t="shared" si="21"/>
        <v>0.33912381234136874</v>
      </c>
      <c r="X218" s="396">
        <f t="shared" si="21"/>
        <v>0.33912381234136874</v>
      </c>
      <c r="Y218" s="396">
        <f t="shared" si="21"/>
        <v>0.33912381234136874</v>
      </c>
    </row>
    <row r="219" spans="3:27" x14ac:dyDescent="0.25">
      <c r="E219" s="82"/>
      <c r="F219" s="36" t="s">
        <v>86</v>
      </c>
      <c r="G219" s="15" t="s">
        <v>94</v>
      </c>
      <c r="H219" s="395"/>
      <c r="I219" s="93"/>
      <c r="J219" s="181">
        <f t="shared" si="21"/>
        <v>1.5380479617721122E-2</v>
      </c>
      <c r="K219" s="181">
        <f t="shared" si="21"/>
        <v>1.5380479617721122E-2</v>
      </c>
      <c r="L219" s="181">
        <f t="shared" si="21"/>
        <v>1.5380479617721122E-2</v>
      </c>
      <c r="M219" s="181">
        <f t="shared" si="21"/>
        <v>1.5380479617721122E-2</v>
      </c>
      <c r="N219" s="181">
        <f t="shared" si="21"/>
        <v>1.5380479617721122E-2</v>
      </c>
      <c r="O219" s="181">
        <f t="shared" si="21"/>
        <v>1.5380479617721122E-2</v>
      </c>
      <c r="P219" s="181">
        <f t="shared" si="21"/>
        <v>1.5380479617721122E-2</v>
      </c>
      <c r="Q219" s="181">
        <f t="shared" si="21"/>
        <v>1.5380479617721122E-2</v>
      </c>
      <c r="R219" s="181">
        <f t="shared" si="21"/>
        <v>1.5380479617721122E-2</v>
      </c>
      <c r="S219" s="181">
        <f t="shared" si="21"/>
        <v>1.5380479617721122E-2</v>
      </c>
      <c r="T219" s="181">
        <f t="shared" si="21"/>
        <v>1.5380479617721122E-2</v>
      </c>
      <c r="U219" s="181">
        <f t="shared" si="21"/>
        <v>1.5380479617721122E-2</v>
      </c>
      <c r="V219" s="181">
        <f t="shared" si="21"/>
        <v>1.5380479617721122E-2</v>
      </c>
      <c r="W219" s="181">
        <f t="shared" si="21"/>
        <v>1.5380479617721122E-2</v>
      </c>
      <c r="X219" s="181">
        <f t="shared" si="21"/>
        <v>1.5380479617721122E-2</v>
      </c>
      <c r="Y219" s="181">
        <f t="shared" si="21"/>
        <v>1.5380479617721122E-2</v>
      </c>
    </row>
    <row r="220" spans="3:27" x14ac:dyDescent="0.25">
      <c r="D220" s="82"/>
      <c r="E220" s="109"/>
      <c r="G220" s="14"/>
      <c r="H220" s="143"/>
      <c r="J220" s="396"/>
      <c r="K220" s="396"/>
      <c r="L220" s="396"/>
      <c r="M220" s="396"/>
      <c r="N220" s="396"/>
      <c r="O220" s="396"/>
      <c r="P220" s="396"/>
      <c r="Q220" s="396"/>
      <c r="R220" s="396"/>
      <c r="S220" s="396"/>
      <c r="T220" s="396"/>
      <c r="U220" s="396"/>
      <c r="V220" s="396"/>
      <c r="W220" s="396"/>
      <c r="X220" s="396"/>
      <c r="Y220" s="396"/>
    </row>
    <row r="221" spans="3:27" x14ac:dyDescent="0.25">
      <c r="C221" s="7" t="str">
        <f ca="1">INDEX('Version control'!$H$34:$H$58,MATCH($A$1,'Version control'!$F$34:$F$58,0),1)&amp;"-J: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3:27" x14ac:dyDescent="0.25">
      <c r="D222" s="82"/>
      <c r="E222" s="109"/>
      <c r="G222" s="14"/>
      <c r="H222" s="143"/>
      <c r="J222" s="396"/>
      <c r="K222" s="396"/>
      <c r="L222" s="396"/>
      <c r="M222" s="396"/>
      <c r="N222" s="396"/>
      <c r="O222" s="396"/>
      <c r="P222" s="396"/>
      <c r="Q222" s="396"/>
      <c r="R222" s="396"/>
      <c r="S222" s="396"/>
      <c r="T222" s="396"/>
      <c r="U222" s="396"/>
      <c r="V222" s="396"/>
      <c r="W222" s="396"/>
      <c r="X222" s="396"/>
      <c r="Y222" s="396"/>
    </row>
    <row r="223" spans="3:27" x14ac:dyDescent="0.25">
      <c r="E223" s="96" t="s">
        <v>393</v>
      </c>
      <c r="G223" s="14"/>
    </row>
    <row r="224" spans="3:27" x14ac:dyDescent="0.25">
      <c r="F224" s="16" t="s">
        <v>300</v>
      </c>
      <c r="G224" s="16" t="s">
        <v>623</v>
      </c>
      <c r="H224" s="91"/>
      <c r="I224" s="91"/>
      <c r="J224" s="278">
        <f t="shared" ref="J224:Y226" si="22">1 / J24</f>
        <v>1.277139208173691E-3</v>
      </c>
      <c r="K224" s="278">
        <f t="shared" si="22"/>
        <v>1.277139208173691E-3</v>
      </c>
      <c r="L224" s="278">
        <f t="shared" si="22"/>
        <v>1.277139208173691E-3</v>
      </c>
      <c r="M224" s="278">
        <f t="shared" si="22"/>
        <v>1.277139208173691E-3</v>
      </c>
      <c r="N224" s="278">
        <f t="shared" si="22"/>
        <v>1.277139208173691E-3</v>
      </c>
      <c r="O224" s="278">
        <f t="shared" si="22"/>
        <v>1.277139208173691E-3</v>
      </c>
      <c r="P224" s="278">
        <f t="shared" si="22"/>
        <v>1.277139208173691E-3</v>
      </c>
      <c r="Q224" s="278">
        <f t="shared" si="22"/>
        <v>3.875968992248062E-3</v>
      </c>
      <c r="R224" s="278">
        <f t="shared" si="22"/>
        <v>1.277139208173691E-3</v>
      </c>
      <c r="S224" s="278">
        <f t="shared" si="22"/>
        <v>1.277139208173691E-3</v>
      </c>
      <c r="T224" s="278">
        <f t="shared" si="22"/>
        <v>1.277139208173691E-3</v>
      </c>
      <c r="U224" s="278">
        <f t="shared" si="22"/>
        <v>1.277139208173691E-3</v>
      </c>
      <c r="V224" s="278">
        <f t="shared" si="22"/>
        <v>1.277139208173691E-3</v>
      </c>
      <c r="W224" s="278">
        <f t="shared" si="22"/>
        <v>1.277139208173691E-3</v>
      </c>
      <c r="X224" s="278">
        <f t="shared" si="22"/>
        <v>1.277139208173691E-3</v>
      </c>
      <c r="Y224" s="278">
        <f t="shared" si="22"/>
        <v>1.277139208173691E-3</v>
      </c>
    </row>
    <row r="225" spans="5:25" x14ac:dyDescent="0.25">
      <c r="F225" s="14" t="s">
        <v>301</v>
      </c>
      <c r="G225" s="14" t="s">
        <v>623</v>
      </c>
      <c r="J225" s="253">
        <f t="shared" si="22"/>
        <v>2.9261155815654721E-4</v>
      </c>
      <c r="K225" s="253">
        <f t="shared" si="22"/>
        <v>2.9261155815654721E-4</v>
      </c>
      <c r="L225" s="253">
        <f t="shared" si="22"/>
        <v>2.9261155815654721E-4</v>
      </c>
      <c r="M225" s="253">
        <f t="shared" si="22"/>
        <v>2.9261155815654721E-4</v>
      </c>
      <c r="N225" s="253">
        <f t="shared" si="22"/>
        <v>2.9261155815654721E-4</v>
      </c>
      <c r="O225" s="253">
        <f t="shared" si="22"/>
        <v>2.9261155815654721E-4</v>
      </c>
      <c r="P225" s="253">
        <f t="shared" si="22"/>
        <v>2.9261155815654721E-4</v>
      </c>
      <c r="Q225" s="253">
        <f t="shared" si="22"/>
        <v>2.5364616360177552E-4</v>
      </c>
      <c r="R225" s="253">
        <f t="shared" si="22"/>
        <v>2.9261155815654721E-4</v>
      </c>
      <c r="S225" s="253">
        <f t="shared" si="22"/>
        <v>2.9261155815654721E-4</v>
      </c>
      <c r="T225" s="253">
        <f t="shared" si="22"/>
        <v>2.9261155815654721E-4</v>
      </c>
      <c r="U225" s="253">
        <f t="shared" si="22"/>
        <v>2.9261155815654721E-4</v>
      </c>
      <c r="V225" s="253">
        <f t="shared" si="22"/>
        <v>2.9261155815654721E-4</v>
      </c>
      <c r="W225" s="253">
        <f t="shared" si="22"/>
        <v>2.9261155815654721E-4</v>
      </c>
      <c r="X225" s="253">
        <f t="shared" si="22"/>
        <v>2.9261155815654721E-4</v>
      </c>
      <c r="Y225" s="253">
        <f t="shared" si="22"/>
        <v>2.9261155815654721E-4</v>
      </c>
    </row>
    <row r="226" spans="5:25" x14ac:dyDescent="0.25">
      <c r="F226" s="15" t="s">
        <v>86</v>
      </c>
      <c r="G226" s="15" t="s">
        <v>623</v>
      </c>
      <c r="H226" s="93"/>
      <c r="I226" s="93"/>
      <c r="J226" s="272">
        <f t="shared" si="22"/>
        <v>2.193222941111964E-4</v>
      </c>
      <c r="K226" s="272">
        <f t="shared" si="22"/>
        <v>2.193222941111964E-4</v>
      </c>
      <c r="L226" s="272">
        <f t="shared" si="22"/>
        <v>2.193222941111964E-4</v>
      </c>
      <c r="M226" s="272">
        <f t="shared" si="22"/>
        <v>2.193222941111964E-4</v>
      </c>
      <c r="N226" s="272">
        <f t="shared" si="22"/>
        <v>2.193222941111964E-4</v>
      </c>
      <c r="O226" s="272">
        <f t="shared" si="22"/>
        <v>2.193222941111964E-4</v>
      </c>
      <c r="P226" s="272">
        <f t="shared" si="22"/>
        <v>2.193222941111964E-4</v>
      </c>
      <c r="Q226" s="272">
        <f t="shared" si="22"/>
        <v>2.193222941111964E-4</v>
      </c>
      <c r="R226" s="272">
        <f t="shared" si="22"/>
        <v>2.193222941111964E-4</v>
      </c>
      <c r="S226" s="272">
        <f t="shared" si="22"/>
        <v>2.193222941111964E-4</v>
      </c>
      <c r="T226" s="272">
        <f t="shared" si="22"/>
        <v>2.193222941111964E-4</v>
      </c>
      <c r="U226" s="272">
        <f t="shared" si="22"/>
        <v>2.193222941111964E-4</v>
      </c>
      <c r="V226" s="272">
        <f t="shared" si="22"/>
        <v>2.193222941111964E-4</v>
      </c>
      <c r="W226" s="272">
        <f t="shared" si="22"/>
        <v>2.193222941111964E-4</v>
      </c>
      <c r="X226" s="272">
        <f t="shared" si="22"/>
        <v>2.193222941111964E-4</v>
      </c>
      <c r="Y226" s="272">
        <f t="shared" si="22"/>
        <v>2.193222941111964E-4</v>
      </c>
    </row>
    <row r="227" spans="5:25" x14ac:dyDescent="0.25">
      <c r="G227" s="14"/>
      <c r="J227" s="253"/>
      <c r="K227" s="253"/>
      <c r="L227" s="253"/>
      <c r="M227" s="253"/>
      <c r="N227" s="253"/>
      <c r="O227" s="253"/>
      <c r="P227" s="253"/>
      <c r="Q227" s="253"/>
      <c r="R227" s="253"/>
      <c r="S227" s="253"/>
      <c r="T227" s="253"/>
      <c r="U227" s="253"/>
      <c r="V227" s="253"/>
      <c r="W227" s="253"/>
      <c r="X227" s="253"/>
      <c r="Y227" s="253"/>
    </row>
    <row r="228" spans="5:25" x14ac:dyDescent="0.25">
      <c r="E228" s="96" t="s">
        <v>134</v>
      </c>
      <c r="G228" s="14"/>
      <c r="J228" s="253"/>
      <c r="K228" s="253"/>
      <c r="L228" s="253"/>
      <c r="M228" s="253"/>
      <c r="N228" s="253"/>
      <c r="O228" s="253"/>
      <c r="P228" s="253"/>
      <c r="Q228" s="253"/>
      <c r="R228" s="253"/>
      <c r="S228" s="253"/>
      <c r="T228" s="253"/>
      <c r="U228" s="253"/>
      <c r="V228" s="253"/>
      <c r="W228" s="253"/>
      <c r="X228" s="253"/>
      <c r="Y228" s="253"/>
    </row>
    <row r="229" spans="5:25" x14ac:dyDescent="0.25">
      <c r="F229" s="107" t="s">
        <v>43</v>
      </c>
      <c r="G229" s="16" t="s">
        <v>528</v>
      </c>
      <c r="H229" s="91"/>
      <c r="I229" s="91"/>
      <c r="J229" s="271">
        <f t="shared" ref="J229:Y229" si="23">J177 * J$224 * hours_in_year</f>
        <v>8.2437183626517871</v>
      </c>
      <c r="K229" s="271">
        <f t="shared" si="23"/>
        <v>8.2437183626517871</v>
      </c>
      <c r="L229" s="271">
        <f t="shared" si="23"/>
        <v>8.2437183626517871</v>
      </c>
      <c r="M229" s="271">
        <f t="shared" si="23"/>
        <v>8.2437183626517871</v>
      </c>
      <c r="N229" s="271">
        <f t="shared" si="23"/>
        <v>8.2437183626517871</v>
      </c>
      <c r="O229" s="271">
        <f t="shared" si="23"/>
        <v>8.2437183626517871</v>
      </c>
      <c r="P229" s="271">
        <f t="shared" si="23"/>
        <v>8.2437183626517871</v>
      </c>
      <c r="Q229" s="271">
        <f t="shared" si="23"/>
        <v>22.767550332995295</v>
      </c>
      <c r="R229" s="271">
        <f t="shared" si="23"/>
        <v>8.2437183626517871</v>
      </c>
      <c r="S229" s="271">
        <f t="shared" si="23"/>
        <v>8.2437183626517871</v>
      </c>
      <c r="T229" s="271">
        <f t="shared" si="23"/>
        <v>8.2437183626517871</v>
      </c>
      <c r="U229" s="271">
        <f t="shared" si="23"/>
        <v>8.2437183626517871</v>
      </c>
      <c r="V229" s="271">
        <f t="shared" si="23"/>
        <v>8.2437183626517871</v>
      </c>
      <c r="W229" s="271">
        <f t="shared" si="23"/>
        <v>8.2437183626517871</v>
      </c>
      <c r="X229" s="271">
        <f t="shared" si="23"/>
        <v>8.2437183626517871</v>
      </c>
      <c r="Y229" s="271">
        <f t="shared" si="23"/>
        <v>8.2437183626517871</v>
      </c>
    </row>
    <row r="230" spans="5:25" x14ac:dyDescent="0.25">
      <c r="F230" s="401" t="s">
        <v>44</v>
      </c>
      <c r="G230" s="14" t="s">
        <v>528</v>
      </c>
      <c r="J230" s="271">
        <f t="shared" ref="J230:Y230" si="24">J182 * J224 * hours_in_year</f>
        <v>0</v>
      </c>
      <c r="K230" s="271">
        <f t="shared" si="24"/>
        <v>0</v>
      </c>
      <c r="L230" s="271">
        <f t="shared" si="24"/>
        <v>0</v>
      </c>
      <c r="M230" s="271">
        <f t="shared" si="24"/>
        <v>0</v>
      </c>
      <c r="N230" s="271">
        <f t="shared" si="24"/>
        <v>0</v>
      </c>
      <c r="O230" s="271">
        <f t="shared" si="24"/>
        <v>0</v>
      </c>
      <c r="P230" s="271">
        <f t="shared" si="24"/>
        <v>0</v>
      </c>
      <c r="Q230" s="271">
        <f t="shared" si="24"/>
        <v>0</v>
      </c>
      <c r="R230" s="271">
        <f t="shared" si="24"/>
        <v>0</v>
      </c>
      <c r="S230" s="271">
        <f t="shared" si="24"/>
        <v>0</v>
      </c>
      <c r="T230" s="271">
        <f t="shared" si="24"/>
        <v>0</v>
      </c>
      <c r="U230" s="271">
        <f t="shared" si="24"/>
        <v>0</v>
      </c>
      <c r="V230" s="271">
        <f t="shared" si="24"/>
        <v>0</v>
      </c>
      <c r="W230" s="271">
        <f t="shared" si="24"/>
        <v>0</v>
      </c>
      <c r="X230" s="271">
        <f t="shared" si="24"/>
        <v>0</v>
      </c>
      <c r="Y230" s="271">
        <f t="shared" si="24"/>
        <v>0</v>
      </c>
    </row>
    <row r="231" spans="5:25" x14ac:dyDescent="0.25">
      <c r="F231" s="401" t="s">
        <v>45</v>
      </c>
      <c r="G231" s="14" t="s">
        <v>528</v>
      </c>
      <c r="J231" s="271">
        <f t="shared" ref="J231:Y231" si="25">J187 * J224 * hours_in_year</f>
        <v>0</v>
      </c>
      <c r="K231" s="271">
        <f t="shared" si="25"/>
        <v>0</v>
      </c>
      <c r="L231" s="271">
        <f t="shared" si="25"/>
        <v>0</v>
      </c>
      <c r="M231" s="271">
        <f t="shared" si="25"/>
        <v>0</v>
      </c>
      <c r="N231" s="271">
        <f t="shared" si="25"/>
        <v>0</v>
      </c>
      <c r="O231" s="271">
        <f t="shared" si="25"/>
        <v>0</v>
      </c>
      <c r="P231" s="271">
        <f t="shared" si="25"/>
        <v>0</v>
      </c>
      <c r="Q231" s="271">
        <f t="shared" si="25"/>
        <v>0</v>
      </c>
      <c r="R231" s="271">
        <f t="shared" si="25"/>
        <v>0</v>
      </c>
      <c r="S231" s="271">
        <f t="shared" si="25"/>
        <v>0</v>
      </c>
      <c r="T231" s="271">
        <f t="shared" si="25"/>
        <v>0</v>
      </c>
      <c r="U231" s="271">
        <f t="shared" si="25"/>
        <v>0</v>
      </c>
      <c r="V231" s="271">
        <f t="shared" si="25"/>
        <v>0</v>
      </c>
      <c r="W231" s="271">
        <f t="shared" si="25"/>
        <v>0</v>
      </c>
      <c r="X231" s="271">
        <f t="shared" si="25"/>
        <v>0</v>
      </c>
      <c r="Y231" s="271">
        <f t="shared" si="25"/>
        <v>0</v>
      </c>
    </row>
    <row r="232" spans="5:25" x14ac:dyDescent="0.25">
      <c r="F232" s="401" t="s">
        <v>46</v>
      </c>
      <c r="G232" s="14" t="s">
        <v>528</v>
      </c>
      <c r="J232" s="271">
        <f t="shared" ref="J232:Y232" si="26">J192 * J224 * hours_in_year</f>
        <v>8.2437183626517871</v>
      </c>
      <c r="K232" s="271">
        <f t="shared" si="26"/>
        <v>8.2437183626517871</v>
      </c>
      <c r="L232" s="271">
        <f t="shared" si="26"/>
        <v>8.2437183626517871</v>
      </c>
      <c r="M232" s="271">
        <f t="shared" si="26"/>
        <v>8.2437183626517871</v>
      </c>
      <c r="N232" s="271">
        <f t="shared" si="26"/>
        <v>8.2437183626517871</v>
      </c>
      <c r="O232" s="271">
        <f t="shared" si="26"/>
        <v>8.2437183626517871</v>
      </c>
      <c r="P232" s="271">
        <f t="shared" si="26"/>
        <v>8.2437183626517871</v>
      </c>
      <c r="Q232" s="271">
        <f t="shared" si="26"/>
        <v>22.767550332995295</v>
      </c>
      <c r="R232" s="271">
        <f t="shared" si="26"/>
        <v>8.2437183626517871</v>
      </c>
      <c r="S232" s="271">
        <f t="shared" si="26"/>
        <v>8.2437183626517871</v>
      </c>
      <c r="T232" s="271">
        <f t="shared" si="26"/>
        <v>8.2437183626517871</v>
      </c>
      <c r="U232" s="271">
        <f t="shared" si="26"/>
        <v>8.2437183626517871</v>
      </c>
      <c r="V232" s="271">
        <f t="shared" si="26"/>
        <v>8.2437183626517871</v>
      </c>
      <c r="W232" s="271">
        <f t="shared" si="26"/>
        <v>8.2437183626517871</v>
      </c>
      <c r="X232" s="271">
        <f t="shared" si="26"/>
        <v>8.2437183626517871</v>
      </c>
      <c r="Y232" s="271">
        <f t="shared" si="26"/>
        <v>8.2437183626517871</v>
      </c>
    </row>
    <row r="233" spans="5:25" x14ac:dyDescent="0.25">
      <c r="F233" s="401" t="s">
        <v>47</v>
      </c>
      <c r="G233" s="14" t="s">
        <v>528</v>
      </c>
      <c r="J233" s="271">
        <f t="shared" ref="J233:Y233" si="27">J197 * J224 * hours_in_year</f>
        <v>7.2216378064347033</v>
      </c>
      <c r="K233" s="271">
        <f t="shared" si="27"/>
        <v>7.2216378064347033</v>
      </c>
      <c r="L233" s="271">
        <f t="shared" si="27"/>
        <v>7.2216378064347033</v>
      </c>
      <c r="M233" s="271">
        <f t="shared" si="27"/>
        <v>7.2216378064347033</v>
      </c>
      <c r="N233" s="271">
        <f t="shared" si="27"/>
        <v>7.2216378064347033</v>
      </c>
      <c r="O233" s="271">
        <f t="shared" si="27"/>
        <v>7.2216378064347033</v>
      </c>
      <c r="P233" s="271">
        <f t="shared" si="27"/>
        <v>7.2216378064347033</v>
      </c>
      <c r="Q233" s="271">
        <f t="shared" si="27"/>
        <v>20.545747859520507</v>
      </c>
      <c r="R233" s="271">
        <f t="shared" si="27"/>
        <v>7.2216378064347033</v>
      </c>
      <c r="S233" s="271">
        <f t="shared" si="27"/>
        <v>7.2216378064347033</v>
      </c>
      <c r="T233" s="271">
        <f t="shared" si="27"/>
        <v>7.2216378064347033</v>
      </c>
      <c r="U233" s="271">
        <f t="shared" si="27"/>
        <v>7.2216378064347033</v>
      </c>
      <c r="V233" s="271">
        <f t="shared" si="27"/>
        <v>7.2216378064347033</v>
      </c>
      <c r="W233" s="271">
        <f t="shared" si="27"/>
        <v>7.2216378064347033</v>
      </c>
      <c r="X233" s="271">
        <f t="shared" si="27"/>
        <v>7.2216378064347033</v>
      </c>
      <c r="Y233" s="271">
        <f t="shared" si="27"/>
        <v>7.2216378064347033</v>
      </c>
    </row>
    <row r="234" spans="5:25" x14ac:dyDescent="0.25">
      <c r="F234" s="401" t="s">
        <v>51</v>
      </c>
      <c r="G234" s="14" t="s">
        <v>528</v>
      </c>
      <c r="J234" s="271">
        <f t="shared" ref="J234:Y234" si="28">J202 * J224 * hours_in_year</f>
        <v>0</v>
      </c>
      <c r="K234" s="271">
        <f t="shared" si="28"/>
        <v>0</v>
      </c>
      <c r="L234" s="271">
        <f t="shared" si="28"/>
        <v>0</v>
      </c>
      <c r="M234" s="271">
        <f t="shared" si="28"/>
        <v>0</v>
      </c>
      <c r="N234" s="271">
        <f t="shared" si="28"/>
        <v>0</v>
      </c>
      <c r="O234" s="271">
        <f t="shared" si="28"/>
        <v>0</v>
      </c>
      <c r="P234" s="271">
        <f t="shared" si="28"/>
        <v>0</v>
      </c>
      <c r="Q234" s="271">
        <f t="shared" si="28"/>
        <v>0</v>
      </c>
      <c r="R234" s="271">
        <f t="shared" si="28"/>
        <v>0</v>
      </c>
      <c r="S234" s="271">
        <f t="shared" si="28"/>
        <v>0</v>
      </c>
      <c r="T234" s="271">
        <f t="shared" si="28"/>
        <v>0</v>
      </c>
      <c r="U234" s="271">
        <f t="shared" si="28"/>
        <v>0</v>
      </c>
      <c r="V234" s="271">
        <f t="shared" si="28"/>
        <v>0</v>
      </c>
      <c r="W234" s="271">
        <f t="shared" si="28"/>
        <v>0</v>
      </c>
      <c r="X234" s="271">
        <f t="shared" si="28"/>
        <v>0</v>
      </c>
      <c r="Y234" s="271">
        <f t="shared" si="28"/>
        <v>0</v>
      </c>
    </row>
    <row r="235" spans="5:25" x14ac:dyDescent="0.25">
      <c r="F235" s="401" t="s">
        <v>48</v>
      </c>
      <c r="G235" s="14" t="s">
        <v>528</v>
      </c>
      <c r="J235" s="271">
        <f t="shared" ref="J235:Y235" si="29">J207 * J224 * hours_in_year</f>
        <v>7.2216378064347033</v>
      </c>
      <c r="K235" s="271">
        <f t="shared" si="29"/>
        <v>7.2216378064347033</v>
      </c>
      <c r="L235" s="271">
        <f t="shared" si="29"/>
        <v>7.2216378064347033</v>
      </c>
      <c r="M235" s="271">
        <f t="shared" si="29"/>
        <v>7.2216378064347033</v>
      </c>
      <c r="N235" s="271">
        <f t="shared" si="29"/>
        <v>7.2216378064347033</v>
      </c>
      <c r="O235" s="271">
        <f t="shared" si="29"/>
        <v>7.2216378064347033</v>
      </c>
      <c r="P235" s="271">
        <f t="shared" si="29"/>
        <v>7.2216378064347033</v>
      </c>
      <c r="Q235" s="271">
        <f t="shared" si="29"/>
        <v>20.545747859520507</v>
      </c>
      <c r="R235" s="271">
        <f t="shared" si="29"/>
        <v>7.2216378064347033</v>
      </c>
      <c r="S235" s="271">
        <f t="shared" si="29"/>
        <v>7.2216378064347033</v>
      </c>
      <c r="T235" s="271">
        <f t="shared" si="29"/>
        <v>7.2216378064347033</v>
      </c>
      <c r="U235" s="271">
        <f t="shared" si="29"/>
        <v>7.2216378064347033</v>
      </c>
      <c r="V235" s="271">
        <f t="shared" si="29"/>
        <v>7.2216378064347033</v>
      </c>
      <c r="W235" s="271">
        <f t="shared" si="29"/>
        <v>7.2216378064347033</v>
      </c>
      <c r="X235" s="271">
        <f t="shared" si="29"/>
        <v>7.2216378064347033</v>
      </c>
      <c r="Y235" s="271">
        <f t="shared" si="29"/>
        <v>7.2216378064347033</v>
      </c>
    </row>
    <row r="236" spans="5:25" x14ac:dyDescent="0.25">
      <c r="F236" s="401" t="s">
        <v>49</v>
      </c>
      <c r="G236" s="14" t="s">
        <v>528</v>
      </c>
      <c r="J236" s="271">
        <f t="shared" ref="J236:Y236" si="30">J212 * J224 * hours_in_year</f>
        <v>7.2216378064347033</v>
      </c>
      <c r="K236" s="271">
        <f t="shared" si="30"/>
        <v>7.2216378064347033</v>
      </c>
      <c r="L236" s="271">
        <f t="shared" si="30"/>
        <v>7.2216378064347033</v>
      </c>
      <c r="M236" s="271">
        <f t="shared" si="30"/>
        <v>7.2216378064347033</v>
      </c>
      <c r="N236" s="271">
        <f t="shared" si="30"/>
        <v>7.2216378064347033</v>
      </c>
      <c r="O236" s="271">
        <f t="shared" si="30"/>
        <v>7.2216378064347033</v>
      </c>
      <c r="P236" s="271">
        <f t="shared" si="30"/>
        <v>7.2216378064347033</v>
      </c>
      <c r="Q236" s="271">
        <f t="shared" si="30"/>
        <v>20.545747859520507</v>
      </c>
      <c r="R236" s="271">
        <f t="shared" si="30"/>
        <v>7.2216378064347033</v>
      </c>
      <c r="S236" s="271">
        <f t="shared" si="30"/>
        <v>7.2216378064347033</v>
      </c>
      <c r="T236" s="271">
        <f t="shared" si="30"/>
        <v>7.2216378064347033</v>
      </c>
      <c r="U236" s="271">
        <f t="shared" si="30"/>
        <v>7.2216378064347033</v>
      </c>
      <c r="V236" s="271">
        <f t="shared" si="30"/>
        <v>7.2216378064347033</v>
      </c>
      <c r="W236" s="271">
        <f t="shared" si="30"/>
        <v>7.2216378064347033</v>
      </c>
      <c r="X236" s="271">
        <f t="shared" si="30"/>
        <v>7.2216378064347033</v>
      </c>
      <c r="Y236" s="271">
        <f t="shared" si="30"/>
        <v>7.2216378064347033</v>
      </c>
    </row>
    <row r="237" spans="5:25" x14ac:dyDescent="0.25">
      <c r="F237" s="116" t="s">
        <v>50</v>
      </c>
      <c r="G237" s="15" t="s">
        <v>528</v>
      </c>
      <c r="H237" s="93"/>
      <c r="I237" s="93"/>
      <c r="J237" s="271">
        <f t="shared" ref="J237:Y237" si="31">J217 * J224 * hours_in_year</f>
        <v>7.2216378064347033</v>
      </c>
      <c r="K237" s="271">
        <f t="shared" si="31"/>
        <v>7.2216378064347033</v>
      </c>
      <c r="L237" s="271">
        <f t="shared" si="31"/>
        <v>7.2216378064347033</v>
      </c>
      <c r="M237" s="271">
        <f t="shared" si="31"/>
        <v>7.2216378064347033</v>
      </c>
      <c r="N237" s="271">
        <f t="shared" si="31"/>
        <v>7.2216378064347033</v>
      </c>
      <c r="O237" s="271">
        <f t="shared" si="31"/>
        <v>7.2216378064347033</v>
      </c>
      <c r="P237" s="271">
        <f t="shared" si="31"/>
        <v>7.2216378064347033</v>
      </c>
      <c r="Q237" s="271">
        <f t="shared" si="31"/>
        <v>20.545747859520507</v>
      </c>
      <c r="R237" s="271">
        <f t="shared" si="31"/>
        <v>7.2216378064347033</v>
      </c>
      <c r="S237" s="271">
        <f t="shared" si="31"/>
        <v>7.2216378064347033</v>
      </c>
      <c r="T237" s="271">
        <f t="shared" si="31"/>
        <v>7.2216378064347033</v>
      </c>
      <c r="U237" s="271">
        <f t="shared" si="31"/>
        <v>7.2216378064347033</v>
      </c>
      <c r="V237" s="271">
        <f t="shared" si="31"/>
        <v>7.2216378064347033</v>
      </c>
      <c r="W237" s="271">
        <f t="shared" si="31"/>
        <v>7.2216378064347033</v>
      </c>
      <c r="X237" s="271">
        <f t="shared" si="31"/>
        <v>7.2216378064347033</v>
      </c>
      <c r="Y237" s="271">
        <f t="shared" si="31"/>
        <v>7.2216378064347033</v>
      </c>
    </row>
    <row r="238" spans="5:25" x14ac:dyDescent="0.25">
      <c r="G238" s="14"/>
      <c r="J238" s="276"/>
      <c r="K238" s="276"/>
      <c r="L238" s="276"/>
      <c r="M238" s="276"/>
      <c r="N238" s="276"/>
      <c r="O238" s="276"/>
      <c r="P238" s="276"/>
      <c r="Q238" s="276"/>
      <c r="R238" s="276"/>
      <c r="S238" s="276"/>
      <c r="T238" s="276"/>
      <c r="U238" s="276"/>
      <c r="V238" s="276"/>
      <c r="W238" s="276"/>
      <c r="X238" s="276"/>
      <c r="Y238" s="276"/>
    </row>
    <row r="239" spans="5:25" x14ac:dyDescent="0.25">
      <c r="E239" s="96" t="s">
        <v>135</v>
      </c>
      <c r="G239" s="14"/>
      <c r="J239" s="253"/>
      <c r="K239" s="253"/>
      <c r="L239" s="253"/>
      <c r="M239" s="253"/>
      <c r="N239" s="253"/>
      <c r="O239" s="253"/>
      <c r="P239" s="253"/>
      <c r="Q239" s="253"/>
      <c r="R239" s="253"/>
      <c r="S239" s="253"/>
      <c r="T239" s="253"/>
      <c r="U239" s="253"/>
      <c r="V239" s="253"/>
      <c r="W239" s="253"/>
      <c r="X239" s="253"/>
      <c r="Y239" s="253"/>
    </row>
    <row r="240" spans="5:25" x14ac:dyDescent="0.25">
      <c r="F240" s="16" t="s">
        <v>43</v>
      </c>
      <c r="G240" s="16" t="s">
        <v>528</v>
      </c>
      <c r="H240" s="91"/>
      <c r="I240" s="91"/>
      <c r="J240" s="271">
        <f t="shared" ref="J240:Y240" si="32">J178 * J225 * hours_in_year</f>
        <v>0.66039375936064448</v>
      </c>
      <c r="K240" s="271">
        <f t="shared" si="32"/>
        <v>0.66039375936064448</v>
      </c>
      <c r="L240" s="271">
        <f t="shared" si="32"/>
        <v>0.66039375936064448</v>
      </c>
      <c r="M240" s="271">
        <f t="shared" si="32"/>
        <v>0.66039375936064448</v>
      </c>
      <c r="N240" s="271">
        <f t="shared" si="32"/>
        <v>0.66039375936064448</v>
      </c>
      <c r="O240" s="271">
        <f t="shared" si="32"/>
        <v>0.66039375936064448</v>
      </c>
      <c r="P240" s="271">
        <f t="shared" si="32"/>
        <v>0.66039375936064448</v>
      </c>
      <c r="Q240" s="271">
        <f t="shared" si="32"/>
        <v>0.71977150657160782</v>
      </c>
      <c r="R240" s="271">
        <f t="shared" si="32"/>
        <v>0.66039375936064448</v>
      </c>
      <c r="S240" s="271">
        <f t="shared" si="32"/>
        <v>0.66039375936064448</v>
      </c>
      <c r="T240" s="271">
        <f t="shared" si="32"/>
        <v>0.66039375936064448</v>
      </c>
      <c r="U240" s="271">
        <f t="shared" si="32"/>
        <v>0.66039375936064448</v>
      </c>
      <c r="V240" s="271">
        <f t="shared" si="32"/>
        <v>0.66039375936064448</v>
      </c>
      <c r="W240" s="271">
        <f t="shared" si="32"/>
        <v>0.66039375936064448</v>
      </c>
      <c r="X240" s="271">
        <f t="shared" si="32"/>
        <v>0.66039375936064448</v>
      </c>
      <c r="Y240" s="271">
        <f t="shared" si="32"/>
        <v>0.66039375936064448</v>
      </c>
    </row>
    <row r="241" spans="5:25" x14ac:dyDescent="0.25">
      <c r="F241" s="14" t="s">
        <v>44</v>
      </c>
      <c r="G241" s="14" t="s">
        <v>528</v>
      </c>
      <c r="J241" s="271">
        <f t="shared" ref="J241:Y241" si="33">J183 * J225 * hours_in_year</f>
        <v>0</v>
      </c>
      <c r="K241" s="271">
        <f t="shared" si="33"/>
        <v>0</v>
      </c>
      <c r="L241" s="271">
        <f t="shared" si="33"/>
        <v>0</v>
      </c>
      <c r="M241" s="271">
        <f t="shared" si="33"/>
        <v>0</v>
      </c>
      <c r="N241" s="271">
        <f t="shared" si="33"/>
        <v>0</v>
      </c>
      <c r="O241" s="271">
        <f t="shared" si="33"/>
        <v>0</v>
      </c>
      <c r="P241" s="271">
        <f t="shared" si="33"/>
        <v>0</v>
      </c>
      <c r="Q241" s="271">
        <f t="shared" si="33"/>
        <v>0</v>
      </c>
      <c r="R241" s="271">
        <f t="shared" si="33"/>
        <v>0</v>
      </c>
      <c r="S241" s="271">
        <f t="shared" si="33"/>
        <v>0</v>
      </c>
      <c r="T241" s="271">
        <f t="shared" si="33"/>
        <v>0</v>
      </c>
      <c r="U241" s="271">
        <f t="shared" si="33"/>
        <v>0</v>
      </c>
      <c r="V241" s="271">
        <f t="shared" si="33"/>
        <v>0</v>
      </c>
      <c r="W241" s="271">
        <f t="shared" si="33"/>
        <v>0</v>
      </c>
      <c r="X241" s="271">
        <f t="shared" si="33"/>
        <v>0</v>
      </c>
      <c r="Y241" s="271">
        <f t="shared" si="33"/>
        <v>0</v>
      </c>
    </row>
    <row r="242" spans="5:25" x14ac:dyDescent="0.25">
      <c r="F242" s="14" t="s">
        <v>45</v>
      </c>
      <c r="G242" s="14" t="s">
        <v>528</v>
      </c>
      <c r="J242" s="271">
        <f t="shared" ref="J242:Y242" si="34">J188 * J225 * hours_in_year</f>
        <v>0</v>
      </c>
      <c r="K242" s="271">
        <f t="shared" si="34"/>
        <v>0</v>
      </c>
      <c r="L242" s="271">
        <f t="shared" si="34"/>
        <v>0</v>
      </c>
      <c r="M242" s="271">
        <f t="shared" si="34"/>
        <v>0</v>
      </c>
      <c r="N242" s="271">
        <f t="shared" si="34"/>
        <v>0</v>
      </c>
      <c r="O242" s="271">
        <f t="shared" si="34"/>
        <v>0</v>
      </c>
      <c r="P242" s="271">
        <f t="shared" si="34"/>
        <v>0</v>
      </c>
      <c r="Q242" s="271">
        <f t="shared" si="34"/>
        <v>0</v>
      </c>
      <c r="R242" s="271">
        <f t="shared" si="34"/>
        <v>0</v>
      </c>
      <c r="S242" s="271">
        <f t="shared" si="34"/>
        <v>0</v>
      </c>
      <c r="T242" s="271">
        <f t="shared" si="34"/>
        <v>0</v>
      </c>
      <c r="U242" s="271">
        <f t="shared" si="34"/>
        <v>0</v>
      </c>
      <c r="V242" s="271">
        <f t="shared" si="34"/>
        <v>0</v>
      </c>
      <c r="W242" s="271">
        <f t="shared" si="34"/>
        <v>0</v>
      </c>
      <c r="X242" s="271">
        <f t="shared" si="34"/>
        <v>0</v>
      </c>
      <c r="Y242" s="271">
        <f t="shared" si="34"/>
        <v>0</v>
      </c>
    </row>
    <row r="243" spans="5:25" x14ac:dyDescent="0.25">
      <c r="F243" s="14" t="s">
        <v>46</v>
      </c>
      <c r="G243" s="14" t="s">
        <v>528</v>
      </c>
      <c r="J243" s="271">
        <f t="shared" ref="J243:Y243" si="35">J193 * J225 * hours_in_year</f>
        <v>0.66039375936064448</v>
      </c>
      <c r="K243" s="271">
        <f t="shared" si="35"/>
        <v>0.66039375936064448</v>
      </c>
      <c r="L243" s="271">
        <f t="shared" si="35"/>
        <v>0.66039375936064448</v>
      </c>
      <c r="M243" s="271">
        <f t="shared" si="35"/>
        <v>0.66039375936064448</v>
      </c>
      <c r="N243" s="271">
        <f t="shared" si="35"/>
        <v>0.66039375936064448</v>
      </c>
      <c r="O243" s="271">
        <f t="shared" si="35"/>
        <v>0.66039375936064448</v>
      </c>
      <c r="P243" s="271">
        <f t="shared" si="35"/>
        <v>0.66039375936064448</v>
      </c>
      <c r="Q243" s="271">
        <f t="shared" si="35"/>
        <v>0.71977150657160782</v>
      </c>
      <c r="R243" s="271">
        <f t="shared" si="35"/>
        <v>0.66039375936064448</v>
      </c>
      <c r="S243" s="271">
        <f t="shared" si="35"/>
        <v>0.66039375936064448</v>
      </c>
      <c r="T243" s="271">
        <f t="shared" si="35"/>
        <v>0.66039375936064448</v>
      </c>
      <c r="U243" s="271">
        <f t="shared" si="35"/>
        <v>0.66039375936064448</v>
      </c>
      <c r="V243" s="271">
        <f t="shared" si="35"/>
        <v>0.66039375936064448</v>
      </c>
      <c r="W243" s="271">
        <f t="shared" si="35"/>
        <v>0.66039375936064448</v>
      </c>
      <c r="X243" s="271">
        <f t="shared" si="35"/>
        <v>0.66039375936064448</v>
      </c>
      <c r="Y243" s="271">
        <f t="shared" si="35"/>
        <v>0.66039375936064448</v>
      </c>
    </row>
    <row r="244" spans="5:25" x14ac:dyDescent="0.25">
      <c r="F244" s="14" t="s">
        <v>47</v>
      </c>
      <c r="G244" s="14" t="s">
        <v>528</v>
      </c>
      <c r="J244" s="271">
        <f t="shared" ref="J244:Y244" si="36">J198 * J225 * hours_in_year</f>
        <v>0.86926835292184057</v>
      </c>
      <c r="K244" s="271">
        <f t="shared" si="36"/>
        <v>0.86926835292184057</v>
      </c>
      <c r="L244" s="271">
        <f t="shared" si="36"/>
        <v>0.86926835292184057</v>
      </c>
      <c r="M244" s="271">
        <f t="shared" si="36"/>
        <v>0.86926835292184057</v>
      </c>
      <c r="N244" s="271">
        <f t="shared" si="36"/>
        <v>0.86926835292184057</v>
      </c>
      <c r="O244" s="271">
        <f t="shared" si="36"/>
        <v>0.86926835292184057</v>
      </c>
      <c r="P244" s="271">
        <f t="shared" si="36"/>
        <v>0.86926835292184057</v>
      </c>
      <c r="Q244" s="271">
        <f t="shared" si="36"/>
        <v>0.84323755251552845</v>
      </c>
      <c r="R244" s="271">
        <f t="shared" si="36"/>
        <v>0.86926835292184057</v>
      </c>
      <c r="S244" s="271">
        <f t="shared" si="36"/>
        <v>0.86926835292184057</v>
      </c>
      <c r="T244" s="271">
        <f t="shared" si="36"/>
        <v>0.86926835292184057</v>
      </c>
      <c r="U244" s="271">
        <f t="shared" si="36"/>
        <v>0.86926835292184057</v>
      </c>
      <c r="V244" s="271">
        <f t="shared" si="36"/>
        <v>0.86926835292184057</v>
      </c>
      <c r="W244" s="271">
        <f t="shared" si="36"/>
        <v>0.86926835292184057</v>
      </c>
      <c r="X244" s="271">
        <f t="shared" si="36"/>
        <v>0.86926835292184057</v>
      </c>
      <c r="Y244" s="271">
        <f t="shared" si="36"/>
        <v>0.86926835292184057</v>
      </c>
    </row>
    <row r="245" spans="5:25" x14ac:dyDescent="0.25">
      <c r="F245" s="14" t="s">
        <v>51</v>
      </c>
      <c r="G245" s="14" t="s">
        <v>528</v>
      </c>
      <c r="J245" s="271">
        <f t="shared" ref="J245:Y245" si="37">J203 * J225 * hours_in_year</f>
        <v>0</v>
      </c>
      <c r="K245" s="271">
        <f t="shared" si="37"/>
        <v>0</v>
      </c>
      <c r="L245" s="271">
        <f t="shared" si="37"/>
        <v>0</v>
      </c>
      <c r="M245" s="271">
        <f t="shared" si="37"/>
        <v>0</v>
      </c>
      <c r="N245" s="271">
        <f t="shared" si="37"/>
        <v>0</v>
      </c>
      <c r="O245" s="271">
        <f t="shared" si="37"/>
        <v>0</v>
      </c>
      <c r="P245" s="271">
        <f t="shared" si="37"/>
        <v>0</v>
      </c>
      <c r="Q245" s="271">
        <f t="shared" si="37"/>
        <v>0</v>
      </c>
      <c r="R245" s="271">
        <f t="shared" si="37"/>
        <v>0</v>
      </c>
      <c r="S245" s="271">
        <f t="shared" si="37"/>
        <v>0</v>
      </c>
      <c r="T245" s="271">
        <f t="shared" si="37"/>
        <v>0</v>
      </c>
      <c r="U245" s="271">
        <f t="shared" si="37"/>
        <v>0</v>
      </c>
      <c r="V245" s="271">
        <f t="shared" si="37"/>
        <v>0</v>
      </c>
      <c r="W245" s="271">
        <f t="shared" si="37"/>
        <v>0</v>
      </c>
      <c r="X245" s="271">
        <f t="shared" si="37"/>
        <v>0</v>
      </c>
      <c r="Y245" s="271">
        <f t="shared" si="37"/>
        <v>0</v>
      </c>
    </row>
    <row r="246" spans="5:25" x14ac:dyDescent="0.25">
      <c r="F246" s="14" t="s">
        <v>48</v>
      </c>
      <c r="G246" s="14" t="s">
        <v>528</v>
      </c>
      <c r="J246" s="271">
        <f t="shared" ref="J246:Y246" si="38">J208 * J225 * hours_in_year</f>
        <v>0.86926835292184057</v>
      </c>
      <c r="K246" s="271">
        <f t="shared" si="38"/>
        <v>0.86926835292184057</v>
      </c>
      <c r="L246" s="271">
        <f t="shared" si="38"/>
        <v>0.86926835292184057</v>
      </c>
      <c r="M246" s="271">
        <f t="shared" si="38"/>
        <v>0.86926835292184057</v>
      </c>
      <c r="N246" s="271">
        <f t="shared" si="38"/>
        <v>0.86926835292184057</v>
      </c>
      <c r="O246" s="271">
        <f t="shared" si="38"/>
        <v>0.86926835292184057</v>
      </c>
      <c r="P246" s="271">
        <f t="shared" si="38"/>
        <v>0.86926835292184057</v>
      </c>
      <c r="Q246" s="271">
        <f t="shared" si="38"/>
        <v>0.84323755251552845</v>
      </c>
      <c r="R246" s="271">
        <f t="shared" si="38"/>
        <v>0.86926835292184057</v>
      </c>
      <c r="S246" s="271">
        <f t="shared" si="38"/>
        <v>0.86926835292184057</v>
      </c>
      <c r="T246" s="271">
        <f t="shared" si="38"/>
        <v>0.86926835292184057</v>
      </c>
      <c r="U246" s="271">
        <f t="shared" si="38"/>
        <v>0.86926835292184057</v>
      </c>
      <c r="V246" s="271">
        <f t="shared" si="38"/>
        <v>0.86926835292184057</v>
      </c>
      <c r="W246" s="271">
        <f t="shared" si="38"/>
        <v>0.86926835292184057</v>
      </c>
      <c r="X246" s="271">
        <f t="shared" si="38"/>
        <v>0.86926835292184057</v>
      </c>
      <c r="Y246" s="271">
        <f t="shared" si="38"/>
        <v>0.86926835292184057</v>
      </c>
    </row>
    <row r="247" spans="5:25" x14ac:dyDescent="0.25">
      <c r="F247" s="14" t="s">
        <v>49</v>
      </c>
      <c r="G247" s="14" t="s">
        <v>528</v>
      </c>
      <c r="J247" s="271">
        <f t="shared" ref="J247:Y247" si="39">J213 * J225 * hours_in_year</f>
        <v>0.86926835292184057</v>
      </c>
      <c r="K247" s="271">
        <f t="shared" si="39"/>
        <v>0.86926835292184057</v>
      </c>
      <c r="L247" s="271">
        <f t="shared" si="39"/>
        <v>0.86926835292184057</v>
      </c>
      <c r="M247" s="271">
        <f t="shared" si="39"/>
        <v>0.86926835292184057</v>
      </c>
      <c r="N247" s="271">
        <f t="shared" si="39"/>
        <v>0.86926835292184057</v>
      </c>
      <c r="O247" s="271">
        <f t="shared" si="39"/>
        <v>0.86926835292184057</v>
      </c>
      <c r="P247" s="271">
        <f t="shared" si="39"/>
        <v>0.86926835292184057</v>
      </c>
      <c r="Q247" s="271">
        <f t="shared" si="39"/>
        <v>0.84323755251552845</v>
      </c>
      <c r="R247" s="271">
        <f t="shared" si="39"/>
        <v>0.86926835292184057</v>
      </c>
      <c r="S247" s="271">
        <f t="shared" si="39"/>
        <v>0.86926835292184057</v>
      </c>
      <c r="T247" s="271">
        <f t="shared" si="39"/>
        <v>0.86926835292184057</v>
      </c>
      <c r="U247" s="271">
        <f t="shared" si="39"/>
        <v>0.86926835292184057</v>
      </c>
      <c r="V247" s="271">
        <f t="shared" si="39"/>
        <v>0.86926835292184057</v>
      </c>
      <c r="W247" s="271">
        <f t="shared" si="39"/>
        <v>0.86926835292184057</v>
      </c>
      <c r="X247" s="271">
        <f t="shared" si="39"/>
        <v>0.86926835292184057</v>
      </c>
      <c r="Y247" s="271">
        <f t="shared" si="39"/>
        <v>0.86926835292184057</v>
      </c>
    </row>
    <row r="248" spans="5:25" x14ac:dyDescent="0.25">
      <c r="F248" s="15" t="s">
        <v>50</v>
      </c>
      <c r="G248" s="15" t="s">
        <v>528</v>
      </c>
      <c r="H248" s="93"/>
      <c r="I248" s="93"/>
      <c r="J248" s="271">
        <f t="shared" ref="J248:Y248" si="40">J218 * J225 * hours_in_year</f>
        <v>0.86926835292184057</v>
      </c>
      <c r="K248" s="271">
        <f t="shared" si="40"/>
        <v>0.86926835292184057</v>
      </c>
      <c r="L248" s="271">
        <f t="shared" si="40"/>
        <v>0.86926835292184057</v>
      </c>
      <c r="M248" s="271">
        <f t="shared" si="40"/>
        <v>0.86926835292184057</v>
      </c>
      <c r="N248" s="271">
        <f t="shared" si="40"/>
        <v>0.86926835292184057</v>
      </c>
      <c r="O248" s="271">
        <f t="shared" si="40"/>
        <v>0.86926835292184057</v>
      </c>
      <c r="P248" s="271">
        <f t="shared" si="40"/>
        <v>0.86926835292184057</v>
      </c>
      <c r="Q248" s="271">
        <f t="shared" si="40"/>
        <v>0.84323755251552845</v>
      </c>
      <c r="R248" s="271">
        <f t="shared" si="40"/>
        <v>0.86926835292184057</v>
      </c>
      <c r="S248" s="271">
        <f t="shared" si="40"/>
        <v>0.86926835292184057</v>
      </c>
      <c r="T248" s="271">
        <f t="shared" si="40"/>
        <v>0.86926835292184057</v>
      </c>
      <c r="U248" s="271">
        <f t="shared" si="40"/>
        <v>0.86926835292184057</v>
      </c>
      <c r="V248" s="271">
        <f t="shared" si="40"/>
        <v>0.86926835292184057</v>
      </c>
      <c r="W248" s="271">
        <f t="shared" si="40"/>
        <v>0.86926835292184057</v>
      </c>
      <c r="X248" s="271">
        <f t="shared" si="40"/>
        <v>0.86926835292184057</v>
      </c>
      <c r="Y248" s="271">
        <f t="shared" si="40"/>
        <v>0.86926835292184057</v>
      </c>
    </row>
    <row r="249" spans="5:25" x14ac:dyDescent="0.25">
      <c r="J249" s="253"/>
      <c r="K249" s="253"/>
      <c r="L249" s="253"/>
      <c r="M249" s="253"/>
      <c r="N249" s="253"/>
      <c r="O249" s="253"/>
      <c r="P249" s="253"/>
      <c r="Q249" s="253"/>
      <c r="R249" s="253"/>
      <c r="S249" s="253"/>
      <c r="T249" s="253"/>
      <c r="U249" s="253"/>
      <c r="V249" s="253"/>
      <c r="W249" s="253"/>
      <c r="X249" s="253"/>
      <c r="Y249" s="253"/>
    </row>
    <row r="250" spans="5:25" x14ac:dyDescent="0.25">
      <c r="E250" s="96" t="s">
        <v>136</v>
      </c>
      <c r="G250" s="14"/>
      <c r="J250" s="253"/>
      <c r="K250" s="253"/>
      <c r="L250" s="253"/>
      <c r="M250" s="253"/>
      <c r="N250" s="253"/>
      <c r="O250" s="253"/>
      <c r="P250" s="253"/>
      <c r="Q250" s="253"/>
      <c r="R250" s="253"/>
      <c r="S250" s="253"/>
      <c r="T250" s="253"/>
      <c r="U250" s="253"/>
      <c r="V250" s="253"/>
      <c r="W250" s="253"/>
      <c r="X250" s="253"/>
      <c r="Y250" s="253"/>
    </row>
    <row r="251" spans="5:25" x14ac:dyDescent="0.25">
      <c r="F251" s="16" t="s">
        <v>43</v>
      </c>
      <c r="G251" s="16" t="s">
        <v>528</v>
      </c>
      <c r="H251" s="91"/>
      <c r="I251" s="91"/>
      <c r="J251" s="271">
        <f t="shared" ref="J251:Y251" si="41">J179 * J226 * hours_in_year</f>
        <v>1.0587312079975646E-2</v>
      </c>
      <c r="K251" s="271">
        <f t="shared" si="41"/>
        <v>1.0587312079975646E-2</v>
      </c>
      <c r="L251" s="271">
        <f t="shared" si="41"/>
        <v>1.0587312079975646E-2</v>
      </c>
      <c r="M251" s="271">
        <f t="shared" si="41"/>
        <v>1.0587312079975646E-2</v>
      </c>
      <c r="N251" s="271">
        <f t="shared" si="41"/>
        <v>1.0587312079975646E-2</v>
      </c>
      <c r="O251" s="271">
        <f t="shared" si="41"/>
        <v>1.0587312079975646E-2</v>
      </c>
      <c r="P251" s="271">
        <f t="shared" si="41"/>
        <v>1.0587312079975646E-2</v>
      </c>
      <c r="Q251" s="271">
        <f t="shared" si="41"/>
        <v>1.0587312079975646E-2</v>
      </c>
      <c r="R251" s="271">
        <f t="shared" si="41"/>
        <v>1.0587312079975646E-2</v>
      </c>
      <c r="S251" s="271">
        <f t="shared" si="41"/>
        <v>1.0587312079975646E-2</v>
      </c>
      <c r="T251" s="271">
        <f t="shared" si="41"/>
        <v>1.0587312079975646E-2</v>
      </c>
      <c r="U251" s="271">
        <f t="shared" si="41"/>
        <v>1.0587312079975646E-2</v>
      </c>
      <c r="V251" s="271">
        <f t="shared" si="41"/>
        <v>1.0587312079975646E-2</v>
      </c>
      <c r="W251" s="271">
        <f t="shared" si="41"/>
        <v>1.0587312079975646E-2</v>
      </c>
      <c r="X251" s="271">
        <f t="shared" si="41"/>
        <v>1.0587312079975646E-2</v>
      </c>
      <c r="Y251" s="271">
        <f t="shared" si="41"/>
        <v>1.0587312079975646E-2</v>
      </c>
    </row>
    <row r="252" spans="5:25" x14ac:dyDescent="0.25">
      <c r="F252" s="14" t="s">
        <v>44</v>
      </c>
      <c r="G252" s="14" t="s">
        <v>528</v>
      </c>
      <c r="J252" s="271">
        <f t="shared" ref="J252:Y252" si="42">J184 * J226 * hours_in_year</f>
        <v>0</v>
      </c>
      <c r="K252" s="271">
        <f t="shared" si="42"/>
        <v>0</v>
      </c>
      <c r="L252" s="271">
        <f t="shared" si="42"/>
        <v>0</v>
      </c>
      <c r="M252" s="271">
        <f t="shared" si="42"/>
        <v>0</v>
      </c>
      <c r="N252" s="271">
        <f t="shared" si="42"/>
        <v>0</v>
      </c>
      <c r="O252" s="271">
        <f t="shared" si="42"/>
        <v>0</v>
      </c>
      <c r="P252" s="271">
        <f t="shared" si="42"/>
        <v>0</v>
      </c>
      <c r="Q252" s="271">
        <f t="shared" si="42"/>
        <v>0</v>
      </c>
      <c r="R252" s="271">
        <f t="shared" si="42"/>
        <v>0</v>
      </c>
      <c r="S252" s="271">
        <f t="shared" si="42"/>
        <v>0</v>
      </c>
      <c r="T252" s="271">
        <f t="shared" si="42"/>
        <v>0</v>
      </c>
      <c r="U252" s="271">
        <f t="shared" si="42"/>
        <v>0</v>
      </c>
      <c r="V252" s="271">
        <f t="shared" si="42"/>
        <v>0</v>
      </c>
      <c r="W252" s="271">
        <f t="shared" si="42"/>
        <v>0</v>
      </c>
      <c r="X252" s="271">
        <f t="shared" si="42"/>
        <v>0</v>
      </c>
      <c r="Y252" s="271">
        <f t="shared" si="42"/>
        <v>0</v>
      </c>
    </row>
    <row r="253" spans="5:25" x14ac:dyDescent="0.25">
      <c r="F253" s="14" t="s">
        <v>45</v>
      </c>
      <c r="G253" s="14" t="s">
        <v>528</v>
      </c>
      <c r="J253" s="271">
        <f t="shared" ref="J253:Y253" si="43">J189 * J226 * hours_in_year</f>
        <v>0</v>
      </c>
      <c r="K253" s="271">
        <f t="shared" si="43"/>
        <v>0</v>
      </c>
      <c r="L253" s="271">
        <f t="shared" si="43"/>
        <v>0</v>
      </c>
      <c r="M253" s="271">
        <f t="shared" si="43"/>
        <v>0</v>
      </c>
      <c r="N253" s="271">
        <f t="shared" si="43"/>
        <v>0</v>
      </c>
      <c r="O253" s="271">
        <f t="shared" si="43"/>
        <v>0</v>
      </c>
      <c r="P253" s="271">
        <f t="shared" si="43"/>
        <v>0</v>
      </c>
      <c r="Q253" s="271">
        <f t="shared" si="43"/>
        <v>0</v>
      </c>
      <c r="R253" s="271">
        <f t="shared" si="43"/>
        <v>0</v>
      </c>
      <c r="S253" s="271">
        <f t="shared" si="43"/>
        <v>0</v>
      </c>
      <c r="T253" s="271">
        <f t="shared" si="43"/>
        <v>0</v>
      </c>
      <c r="U253" s="271">
        <f t="shared" si="43"/>
        <v>0</v>
      </c>
      <c r="V253" s="271">
        <f t="shared" si="43"/>
        <v>0</v>
      </c>
      <c r="W253" s="271">
        <f t="shared" si="43"/>
        <v>0</v>
      </c>
      <c r="X253" s="271">
        <f t="shared" si="43"/>
        <v>0</v>
      </c>
      <c r="Y253" s="271">
        <f t="shared" si="43"/>
        <v>0</v>
      </c>
    </row>
    <row r="254" spans="5:25" x14ac:dyDescent="0.25">
      <c r="F254" s="14" t="s">
        <v>46</v>
      </c>
      <c r="G254" s="14" t="s">
        <v>528</v>
      </c>
      <c r="J254" s="271">
        <f t="shared" ref="J254:Y254" si="44">J194 * J226 * hours_in_year</f>
        <v>1.0587312079975646E-2</v>
      </c>
      <c r="K254" s="271">
        <f t="shared" si="44"/>
        <v>1.0587312079975646E-2</v>
      </c>
      <c r="L254" s="271">
        <f t="shared" si="44"/>
        <v>1.0587312079975646E-2</v>
      </c>
      <c r="M254" s="271">
        <f t="shared" si="44"/>
        <v>1.0587312079975646E-2</v>
      </c>
      <c r="N254" s="271">
        <f t="shared" si="44"/>
        <v>1.0587312079975646E-2</v>
      </c>
      <c r="O254" s="271">
        <f t="shared" si="44"/>
        <v>1.0587312079975646E-2</v>
      </c>
      <c r="P254" s="271">
        <f t="shared" si="44"/>
        <v>1.0587312079975646E-2</v>
      </c>
      <c r="Q254" s="271">
        <f t="shared" si="44"/>
        <v>1.0587312079975646E-2</v>
      </c>
      <c r="R254" s="271">
        <f t="shared" si="44"/>
        <v>1.0587312079975646E-2</v>
      </c>
      <c r="S254" s="271">
        <f t="shared" si="44"/>
        <v>1.0587312079975646E-2</v>
      </c>
      <c r="T254" s="271">
        <f t="shared" si="44"/>
        <v>1.0587312079975646E-2</v>
      </c>
      <c r="U254" s="271">
        <f t="shared" si="44"/>
        <v>1.0587312079975646E-2</v>
      </c>
      <c r="V254" s="271">
        <f t="shared" si="44"/>
        <v>1.0587312079975646E-2</v>
      </c>
      <c r="W254" s="271">
        <f t="shared" si="44"/>
        <v>1.0587312079975646E-2</v>
      </c>
      <c r="X254" s="271">
        <f t="shared" si="44"/>
        <v>1.0587312079975646E-2</v>
      </c>
      <c r="Y254" s="271">
        <f t="shared" si="44"/>
        <v>1.0587312079975646E-2</v>
      </c>
    </row>
    <row r="255" spans="5:25" x14ac:dyDescent="0.25">
      <c r="F255" s="14" t="s">
        <v>47</v>
      </c>
      <c r="G255" s="14" t="s">
        <v>528</v>
      </c>
      <c r="J255" s="271">
        <f t="shared" ref="J255:Y255" si="45">J199 * J226 * hours_in_year</f>
        <v>2.9549950970772461E-2</v>
      </c>
      <c r="K255" s="271">
        <f t="shared" si="45"/>
        <v>2.9549950970772461E-2</v>
      </c>
      <c r="L255" s="271">
        <f t="shared" si="45"/>
        <v>2.9549950970772461E-2</v>
      </c>
      <c r="M255" s="271">
        <f t="shared" si="45"/>
        <v>2.9549950970772461E-2</v>
      </c>
      <c r="N255" s="271">
        <f t="shared" si="45"/>
        <v>2.9549950970772461E-2</v>
      </c>
      <c r="O255" s="271">
        <f t="shared" si="45"/>
        <v>2.9549950970772461E-2</v>
      </c>
      <c r="P255" s="271">
        <f t="shared" si="45"/>
        <v>2.9549950970772461E-2</v>
      </c>
      <c r="Q255" s="271">
        <f t="shared" si="45"/>
        <v>2.9549950970772461E-2</v>
      </c>
      <c r="R255" s="271">
        <f t="shared" si="45"/>
        <v>2.9549950970772461E-2</v>
      </c>
      <c r="S255" s="271">
        <f t="shared" si="45"/>
        <v>2.9549950970772461E-2</v>
      </c>
      <c r="T255" s="271">
        <f t="shared" si="45"/>
        <v>2.9549950970772461E-2</v>
      </c>
      <c r="U255" s="271">
        <f t="shared" si="45"/>
        <v>2.9549950970772461E-2</v>
      </c>
      <c r="V255" s="271">
        <f t="shared" si="45"/>
        <v>2.9549950970772461E-2</v>
      </c>
      <c r="W255" s="271">
        <f t="shared" si="45"/>
        <v>2.9549950970772461E-2</v>
      </c>
      <c r="X255" s="271">
        <f t="shared" si="45"/>
        <v>2.9549950970772461E-2</v>
      </c>
      <c r="Y255" s="271">
        <f t="shared" si="45"/>
        <v>2.9549950970772461E-2</v>
      </c>
    </row>
    <row r="256" spans="5:25" x14ac:dyDescent="0.25">
      <c r="F256" s="14" t="s">
        <v>51</v>
      </c>
      <c r="G256" s="14" t="s">
        <v>528</v>
      </c>
      <c r="J256" s="271">
        <f t="shared" ref="J256:Y256" si="46">J204 * J226 * hours_in_year</f>
        <v>0</v>
      </c>
      <c r="K256" s="271">
        <f t="shared" si="46"/>
        <v>0</v>
      </c>
      <c r="L256" s="271">
        <f t="shared" si="46"/>
        <v>0</v>
      </c>
      <c r="M256" s="271">
        <f t="shared" si="46"/>
        <v>0</v>
      </c>
      <c r="N256" s="271">
        <f t="shared" si="46"/>
        <v>0</v>
      </c>
      <c r="O256" s="271">
        <f t="shared" si="46"/>
        <v>0</v>
      </c>
      <c r="P256" s="271">
        <f t="shared" si="46"/>
        <v>0</v>
      </c>
      <c r="Q256" s="271">
        <f t="shared" si="46"/>
        <v>0</v>
      </c>
      <c r="R256" s="271">
        <f t="shared" si="46"/>
        <v>0</v>
      </c>
      <c r="S256" s="271">
        <f t="shared" si="46"/>
        <v>0</v>
      </c>
      <c r="T256" s="271">
        <f t="shared" si="46"/>
        <v>0</v>
      </c>
      <c r="U256" s="271">
        <f t="shared" si="46"/>
        <v>0</v>
      </c>
      <c r="V256" s="271">
        <f t="shared" si="46"/>
        <v>0</v>
      </c>
      <c r="W256" s="271">
        <f t="shared" si="46"/>
        <v>0</v>
      </c>
      <c r="X256" s="271">
        <f t="shared" si="46"/>
        <v>0</v>
      </c>
      <c r="Y256" s="271">
        <f t="shared" si="46"/>
        <v>0</v>
      </c>
    </row>
    <row r="257" spans="2:27" x14ac:dyDescent="0.25">
      <c r="F257" s="14" t="s">
        <v>48</v>
      </c>
      <c r="G257" s="14" t="s">
        <v>528</v>
      </c>
      <c r="J257" s="271">
        <f t="shared" ref="J257:Y257" si="47">J209 * J226 * hours_in_year</f>
        <v>2.9549950970772461E-2</v>
      </c>
      <c r="K257" s="271">
        <f t="shared" si="47"/>
        <v>2.9549950970772461E-2</v>
      </c>
      <c r="L257" s="271">
        <f t="shared" si="47"/>
        <v>2.9549950970772461E-2</v>
      </c>
      <c r="M257" s="271">
        <f t="shared" si="47"/>
        <v>2.9549950970772461E-2</v>
      </c>
      <c r="N257" s="271">
        <f t="shared" si="47"/>
        <v>2.9549950970772461E-2</v>
      </c>
      <c r="O257" s="271">
        <f t="shared" si="47"/>
        <v>2.9549950970772461E-2</v>
      </c>
      <c r="P257" s="271">
        <f t="shared" si="47"/>
        <v>2.9549950970772461E-2</v>
      </c>
      <c r="Q257" s="271">
        <f t="shared" si="47"/>
        <v>2.9549950970772461E-2</v>
      </c>
      <c r="R257" s="271">
        <f t="shared" si="47"/>
        <v>2.9549950970772461E-2</v>
      </c>
      <c r="S257" s="271">
        <f t="shared" si="47"/>
        <v>2.9549950970772461E-2</v>
      </c>
      <c r="T257" s="271">
        <f t="shared" si="47"/>
        <v>2.9549950970772461E-2</v>
      </c>
      <c r="U257" s="271">
        <f t="shared" si="47"/>
        <v>2.9549950970772461E-2</v>
      </c>
      <c r="V257" s="271">
        <f t="shared" si="47"/>
        <v>2.9549950970772461E-2</v>
      </c>
      <c r="W257" s="271">
        <f t="shared" si="47"/>
        <v>2.9549950970772461E-2</v>
      </c>
      <c r="X257" s="271">
        <f t="shared" si="47"/>
        <v>2.9549950970772461E-2</v>
      </c>
      <c r="Y257" s="271">
        <f t="shared" si="47"/>
        <v>2.9549950970772461E-2</v>
      </c>
    </row>
    <row r="258" spans="2:27" x14ac:dyDescent="0.25">
      <c r="F258" s="14" t="s">
        <v>49</v>
      </c>
      <c r="G258" s="14" t="s">
        <v>528</v>
      </c>
      <c r="J258" s="271">
        <f t="shared" ref="J258:Y258" si="48">J214 * J226 * hours_in_year</f>
        <v>2.9549950970772461E-2</v>
      </c>
      <c r="K258" s="271">
        <f t="shared" si="48"/>
        <v>2.9549950970772461E-2</v>
      </c>
      <c r="L258" s="271">
        <f t="shared" si="48"/>
        <v>2.9549950970772461E-2</v>
      </c>
      <c r="M258" s="271">
        <f t="shared" si="48"/>
        <v>2.9549950970772461E-2</v>
      </c>
      <c r="N258" s="271">
        <f t="shared" si="48"/>
        <v>2.9549950970772461E-2</v>
      </c>
      <c r="O258" s="271">
        <f t="shared" si="48"/>
        <v>2.9549950970772461E-2</v>
      </c>
      <c r="P258" s="271">
        <f t="shared" si="48"/>
        <v>2.9549950970772461E-2</v>
      </c>
      <c r="Q258" s="271">
        <f t="shared" si="48"/>
        <v>2.9549950970772461E-2</v>
      </c>
      <c r="R258" s="271">
        <f t="shared" si="48"/>
        <v>2.9549950970772461E-2</v>
      </c>
      <c r="S258" s="271">
        <f t="shared" si="48"/>
        <v>2.9549950970772461E-2</v>
      </c>
      <c r="T258" s="271">
        <f t="shared" si="48"/>
        <v>2.9549950970772461E-2</v>
      </c>
      <c r="U258" s="271">
        <f t="shared" si="48"/>
        <v>2.9549950970772461E-2</v>
      </c>
      <c r="V258" s="271">
        <f t="shared" si="48"/>
        <v>2.9549950970772461E-2</v>
      </c>
      <c r="W258" s="271">
        <f t="shared" si="48"/>
        <v>2.9549950970772461E-2</v>
      </c>
      <c r="X258" s="271">
        <f t="shared" si="48"/>
        <v>2.9549950970772461E-2</v>
      </c>
      <c r="Y258" s="271">
        <f t="shared" si="48"/>
        <v>2.9549950970772461E-2</v>
      </c>
    </row>
    <row r="259" spans="2:27" x14ac:dyDescent="0.25">
      <c r="F259" s="15" t="s">
        <v>50</v>
      </c>
      <c r="G259" s="15" t="s">
        <v>528</v>
      </c>
      <c r="H259" s="93"/>
      <c r="I259" s="93"/>
      <c r="J259" s="271">
        <f t="shared" ref="J259:Y259" si="49">J219 * J226 * hours_in_year</f>
        <v>2.9549950970772461E-2</v>
      </c>
      <c r="K259" s="271">
        <f t="shared" si="49"/>
        <v>2.9549950970772461E-2</v>
      </c>
      <c r="L259" s="271">
        <f t="shared" si="49"/>
        <v>2.9549950970772461E-2</v>
      </c>
      <c r="M259" s="271">
        <f t="shared" si="49"/>
        <v>2.9549950970772461E-2</v>
      </c>
      <c r="N259" s="271">
        <f t="shared" si="49"/>
        <v>2.9549950970772461E-2</v>
      </c>
      <c r="O259" s="271">
        <f t="shared" si="49"/>
        <v>2.9549950970772461E-2</v>
      </c>
      <c r="P259" s="271">
        <f t="shared" si="49"/>
        <v>2.9549950970772461E-2</v>
      </c>
      <c r="Q259" s="271">
        <f t="shared" si="49"/>
        <v>2.9549950970772461E-2</v>
      </c>
      <c r="R259" s="271">
        <f t="shared" si="49"/>
        <v>2.9549950970772461E-2</v>
      </c>
      <c r="S259" s="271">
        <f t="shared" si="49"/>
        <v>2.9549950970772461E-2</v>
      </c>
      <c r="T259" s="271">
        <f t="shared" si="49"/>
        <v>2.9549950970772461E-2</v>
      </c>
      <c r="U259" s="271">
        <f t="shared" si="49"/>
        <v>2.9549950970772461E-2</v>
      </c>
      <c r="V259" s="271">
        <f t="shared" si="49"/>
        <v>2.9549950970772461E-2</v>
      </c>
      <c r="W259" s="271">
        <f t="shared" si="49"/>
        <v>2.9549950970772461E-2</v>
      </c>
      <c r="X259" s="271">
        <f t="shared" si="49"/>
        <v>2.9549950970772461E-2</v>
      </c>
      <c r="Y259" s="271">
        <f t="shared" si="49"/>
        <v>2.9549950970772461E-2</v>
      </c>
    </row>
    <row r="260" spans="2:27" x14ac:dyDescent="0.25">
      <c r="J260" s="253"/>
      <c r="K260" s="253"/>
      <c r="L260" s="253"/>
      <c r="M260" s="253"/>
      <c r="N260" s="253"/>
      <c r="O260" s="253"/>
      <c r="P260" s="253"/>
      <c r="Q260" s="253"/>
      <c r="R260" s="253"/>
      <c r="S260" s="253"/>
      <c r="T260" s="253"/>
      <c r="U260" s="253"/>
      <c r="V260" s="253"/>
      <c r="W260" s="253"/>
      <c r="X260" s="253"/>
      <c r="Y260" s="253"/>
    </row>
    <row r="261" spans="2:27" x14ac:dyDescent="0.25">
      <c r="B261" s="95" t="s">
        <v>1066</v>
      </c>
      <c r="C261" s="72"/>
      <c r="D261" s="71"/>
      <c r="E261" s="71"/>
      <c r="F261" s="72"/>
      <c r="G261" s="72"/>
      <c r="H261" s="72"/>
      <c r="I261" s="72"/>
      <c r="J261" s="279"/>
      <c r="K261" s="279"/>
      <c r="L261" s="279"/>
      <c r="M261" s="279"/>
      <c r="N261" s="279"/>
      <c r="O261" s="279"/>
      <c r="P261" s="279"/>
      <c r="Q261" s="279"/>
      <c r="R261" s="279"/>
      <c r="S261" s="279"/>
      <c r="T261" s="279"/>
      <c r="U261" s="279"/>
      <c r="V261" s="279"/>
      <c r="W261" s="279"/>
      <c r="X261" s="279"/>
      <c r="Y261" s="279"/>
      <c r="Z261" s="72"/>
      <c r="AA261" s="72"/>
    </row>
    <row r="262" spans="2:27" x14ac:dyDescent="0.25">
      <c r="F262" s="14"/>
      <c r="G262" s="14"/>
      <c r="J262" s="253"/>
      <c r="K262" s="253"/>
      <c r="L262" s="253"/>
      <c r="M262" s="253"/>
      <c r="N262" s="253"/>
      <c r="O262" s="253"/>
      <c r="P262" s="253"/>
      <c r="Q262" s="253"/>
      <c r="R262" s="253"/>
      <c r="S262" s="253"/>
      <c r="T262" s="253"/>
      <c r="U262" s="253"/>
      <c r="V262" s="253"/>
      <c r="W262" s="253"/>
      <c r="X262" s="253"/>
      <c r="Y262" s="253"/>
    </row>
    <row r="263" spans="2:27" x14ac:dyDescent="0.25">
      <c r="C263" s="82" t="s">
        <v>1119</v>
      </c>
      <c r="F263" s="14"/>
      <c r="G263" s="14"/>
      <c r="J263" s="253"/>
      <c r="K263" s="253"/>
      <c r="L263" s="253"/>
      <c r="M263" s="253"/>
      <c r="N263" s="253"/>
      <c r="O263" s="253"/>
      <c r="P263" s="253"/>
      <c r="Q263" s="253"/>
      <c r="R263" s="253"/>
      <c r="S263" s="253"/>
      <c r="T263" s="253"/>
      <c r="U263" s="253"/>
      <c r="V263" s="253"/>
      <c r="W263" s="253"/>
      <c r="X263" s="253"/>
      <c r="Y263" s="253"/>
    </row>
    <row r="264" spans="2:27" x14ac:dyDescent="0.25">
      <c r="F264" s="14"/>
      <c r="G264" s="14"/>
      <c r="J264" s="253"/>
      <c r="K264" s="253"/>
      <c r="L264" s="253"/>
      <c r="M264" s="253"/>
      <c r="N264" s="253"/>
      <c r="O264" s="253"/>
      <c r="P264" s="253"/>
      <c r="Q264" s="253"/>
      <c r="R264" s="253"/>
      <c r="S264" s="253"/>
      <c r="T264" s="253"/>
      <c r="U264" s="253"/>
      <c r="V264" s="253"/>
      <c r="W264" s="253"/>
      <c r="X264" s="253"/>
      <c r="Y264" s="253"/>
    </row>
    <row r="265" spans="2:27" x14ac:dyDescent="0.25">
      <c r="C265" s="7" t="str">
        <f ca="1">INDEX('Version control'!$H$34:$H$58,MATCH($A$1,'Version control'!$F$34:$F$58,0),1)&amp;"-K: Load coefficient"</f>
        <v>Section 508-K: Load coefficient</v>
      </c>
      <c r="D265" s="7"/>
      <c r="E265" s="7"/>
      <c r="F265" s="7"/>
      <c r="G265" s="7"/>
      <c r="H265" s="7"/>
      <c r="I265" s="7"/>
      <c r="J265" s="243"/>
      <c r="K265" s="243"/>
      <c r="L265" s="243"/>
      <c r="M265" s="243"/>
      <c r="N265" s="243"/>
      <c r="O265" s="243"/>
      <c r="P265" s="243"/>
      <c r="Q265" s="243"/>
      <c r="R265" s="243"/>
      <c r="S265" s="243"/>
      <c r="T265" s="243"/>
      <c r="U265" s="243"/>
      <c r="V265" s="243"/>
      <c r="W265" s="243"/>
      <c r="X265" s="243"/>
      <c r="Y265" s="243"/>
      <c r="Z265" s="7"/>
      <c r="AA265" s="7"/>
    </row>
    <row r="266" spans="2:27" x14ac:dyDescent="0.25">
      <c r="F266" s="14"/>
      <c r="G266" s="14"/>
      <c r="J266" s="253"/>
      <c r="K266" s="253"/>
      <c r="L266" s="253"/>
      <c r="M266" s="253"/>
      <c r="N266" s="253"/>
      <c r="O266" s="253"/>
      <c r="P266" s="253"/>
      <c r="Q266" s="253"/>
      <c r="R266" s="253"/>
      <c r="S266" s="253"/>
      <c r="T266" s="253"/>
      <c r="U266" s="253"/>
      <c r="V266" s="253"/>
      <c r="W266" s="253"/>
      <c r="X266" s="253"/>
      <c r="Y266" s="253"/>
    </row>
    <row r="267" spans="2:27" x14ac:dyDescent="0.25">
      <c r="E267" s="14" t="s">
        <v>143</v>
      </c>
      <c r="G267" s="14" t="s">
        <v>528</v>
      </c>
      <c r="J267" s="257">
        <f>J89</f>
        <v>2.0029717682020798</v>
      </c>
      <c r="K267" s="257">
        <f t="shared" ref="K267:Y267" si="50">K89</f>
        <v>0</v>
      </c>
      <c r="L267" s="257">
        <f t="shared" si="50"/>
        <v>1.5943999999999998</v>
      </c>
      <c r="M267" s="257">
        <f t="shared" si="50"/>
        <v>0</v>
      </c>
      <c r="N267" s="257">
        <f t="shared" si="50"/>
        <v>1.40947242206235</v>
      </c>
      <c r="O267" s="257">
        <f t="shared" si="50"/>
        <v>1.1674925668979186</v>
      </c>
      <c r="P267" s="257">
        <f t="shared" si="50"/>
        <v>1.1495920217588396</v>
      </c>
      <c r="Q267" s="257">
        <f t="shared" si="50"/>
        <v>2.0203636363636366</v>
      </c>
      <c r="R267" s="257">
        <f t="shared" si="50"/>
        <v>1</v>
      </c>
      <c r="S267" s="257">
        <f t="shared" si="50"/>
        <v>1</v>
      </c>
      <c r="T267" s="257">
        <f t="shared" si="50"/>
        <v>1</v>
      </c>
      <c r="U267" s="257">
        <f t="shared" si="50"/>
        <v>1</v>
      </c>
      <c r="V267" s="257">
        <f t="shared" si="50"/>
        <v>1</v>
      </c>
      <c r="W267" s="257">
        <f t="shared" si="50"/>
        <v>1</v>
      </c>
      <c r="X267" s="257">
        <f t="shared" si="50"/>
        <v>1</v>
      </c>
      <c r="Y267" s="257">
        <f t="shared" si="50"/>
        <v>1</v>
      </c>
    </row>
    <row r="268" spans="2:27" x14ac:dyDescent="0.25">
      <c r="F268" s="14"/>
      <c r="G268" s="14"/>
      <c r="J268" s="253"/>
      <c r="K268" s="253"/>
      <c r="L268" s="253"/>
      <c r="M268" s="253"/>
      <c r="N268" s="253"/>
      <c r="O268" s="253"/>
      <c r="P268" s="253"/>
      <c r="Q268" s="253"/>
      <c r="R268" s="253"/>
      <c r="S268" s="253"/>
      <c r="T268" s="253"/>
      <c r="U268" s="253"/>
      <c r="V268" s="253"/>
      <c r="W268" s="253"/>
      <c r="X268" s="253"/>
      <c r="Y268" s="253"/>
    </row>
    <row r="269" spans="2:27" x14ac:dyDescent="0.25">
      <c r="C269" s="7" t="str">
        <f ca="1">INDEX('Version control'!$H$34:$H$58,MATCH($A$1,'Version control'!$F$34:$F$58,0),1)&amp;"-L: Pseudo load coefficients, by unit rate"</f>
        <v>Section 508-L: Pseudo load coefficients, by unit rate</v>
      </c>
      <c r="D269" s="7"/>
      <c r="E269" s="7"/>
      <c r="F269" s="7"/>
      <c r="G269" s="7"/>
      <c r="H269" s="7"/>
      <c r="I269" s="7"/>
      <c r="J269" s="243"/>
      <c r="K269" s="243"/>
      <c r="L269" s="243"/>
      <c r="M269" s="243"/>
      <c r="N269" s="243"/>
      <c r="O269" s="243"/>
      <c r="P269" s="243"/>
      <c r="Q269" s="243"/>
      <c r="R269" s="243"/>
      <c r="S269" s="243"/>
      <c r="T269" s="243"/>
      <c r="U269" s="243"/>
      <c r="V269" s="243"/>
      <c r="W269" s="243"/>
      <c r="X269" s="243"/>
      <c r="Y269" s="243"/>
      <c r="Z269" s="7"/>
      <c r="AA269" s="7"/>
    </row>
    <row r="270" spans="2:27" x14ac:dyDescent="0.25">
      <c r="F270" s="14"/>
      <c r="G270" s="14"/>
      <c r="J270" s="253"/>
      <c r="K270" s="253"/>
      <c r="L270" s="253"/>
      <c r="M270" s="253"/>
      <c r="N270" s="253"/>
      <c r="O270" s="253"/>
      <c r="P270" s="253"/>
      <c r="Q270" s="253"/>
      <c r="R270" s="253"/>
      <c r="S270" s="253"/>
      <c r="T270" s="253"/>
      <c r="U270" s="253"/>
      <c r="V270" s="253"/>
      <c r="W270" s="253"/>
      <c r="X270" s="253"/>
      <c r="Y270" s="253"/>
    </row>
    <row r="271" spans="2:27" x14ac:dyDescent="0.25">
      <c r="E271" s="96" t="s">
        <v>134</v>
      </c>
      <c r="G271" s="14"/>
      <c r="J271" s="253"/>
      <c r="K271" s="253"/>
      <c r="L271" s="253"/>
      <c r="M271" s="253"/>
      <c r="N271" s="253"/>
      <c r="O271" s="253"/>
      <c r="P271" s="253"/>
      <c r="Q271" s="253"/>
      <c r="R271" s="253"/>
      <c r="S271" s="253"/>
      <c r="T271" s="253"/>
      <c r="U271" s="253"/>
      <c r="V271" s="253"/>
      <c r="W271" s="253"/>
      <c r="X271" s="253"/>
      <c r="Y271" s="253"/>
    </row>
    <row r="272" spans="2:27" x14ac:dyDescent="0.25">
      <c r="F272" s="16" t="s">
        <v>43</v>
      </c>
      <c r="G272" s="16" t="s">
        <v>528</v>
      </c>
      <c r="H272" s="91"/>
      <c r="I272" s="91"/>
      <c r="J272" s="255">
        <f>J229 * J$93</f>
        <v>11.527986422981362</v>
      </c>
      <c r="K272" s="255">
        <f t="shared" ref="K272:Y272" si="51">K229 * K$93</f>
        <v>11.527986422981362</v>
      </c>
      <c r="L272" s="255">
        <f t="shared" si="51"/>
        <v>13.389814573848861</v>
      </c>
      <c r="M272" s="255">
        <f t="shared" si="51"/>
        <v>13.389814573848861</v>
      </c>
      <c r="N272" s="255">
        <f t="shared" si="51"/>
        <v>10.350692230660494</v>
      </c>
      <c r="O272" s="255">
        <f t="shared" si="51"/>
        <v>8.8540614426759596</v>
      </c>
      <c r="P272" s="255">
        <f t="shared" si="51"/>
        <v>8.9869685862225737</v>
      </c>
      <c r="Q272" s="255">
        <f t="shared" si="51"/>
        <v>25.023867607119033</v>
      </c>
      <c r="R272" s="255">
        <f t="shared" si="51"/>
        <v>8.2437183626517871</v>
      </c>
      <c r="S272" s="255">
        <f t="shared" si="51"/>
        <v>8.2437183626517871</v>
      </c>
      <c r="T272" s="255">
        <f t="shared" si="51"/>
        <v>8.2437183626517871</v>
      </c>
      <c r="U272" s="255">
        <f t="shared" si="51"/>
        <v>8.2437183626517871</v>
      </c>
      <c r="V272" s="255">
        <f t="shared" si="51"/>
        <v>8.2437183626517871</v>
      </c>
      <c r="W272" s="255">
        <f t="shared" si="51"/>
        <v>8.2437183626517871</v>
      </c>
      <c r="X272" s="255">
        <f t="shared" si="51"/>
        <v>8.2437183626517871</v>
      </c>
      <c r="Y272" s="255">
        <f t="shared" si="51"/>
        <v>8.2437183626517871</v>
      </c>
    </row>
    <row r="273" spans="5:25" x14ac:dyDescent="0.25">
      <c r="F273" s="14" t="s">
        <v>44</v>
      </c>
      <c r="G273" s="14" t="s">
        <v>528</v>
      </c>
      <c r="J273" s="257">
        <f t="shared" ref="J273:Y280" si="52">J230 * J$93</f>
        <v>0</v>
      </c>
      <c r="K273" s="257">
        <f t="shared" si="52"/>
        <v>0</v>
      </c>
      <c r="L273" s="257">
        <f t="shared" si="52"/>
        <v>0</v>
      </c>
      <c r="M273" s="257">
        <f t="shared" si="52"/>
        <v>0</v>
      </c>
      <c r="N273" s="257">
        <f t="shared" si="52"/>
        <v>0</v>
      </c>
      <c r="O273" s="257">
        <f t="shared" si="52"/>
        <v>0</v>
      </c>
      <c r="P273" s="257">
        <f t="shared" si="52"/>
        <v>0</v>
      </c>
      <c r="Q273" s="257">
        <f t="shared" si="52"/>
        <v>0</v>
      </c>
      <c r="R273" s="257">
        <f t="shared" si="52"/>
        <v>0</v>
      </c>
      <c r="S273" s="257">
        <f t="shared" si="52"/>
        <v>0</v>
      </c>
      <c r="T273" s="257">
        <f t="shared" si="52"/>
        <v>0</v>
      </c>
      <c r="U273" s="257">
        <f t="shared" si="52"/>
        <v>0</v>
      </c>
      <c r="V273" s="257">
        <f t="shared" si="52"/>
        <v>0</v>
      </c>
      <c r="W273" s="257">
        <f t="shared" si="52"/>
        <v>0</v>
      </c>
      <c r="X273" s="257">
        <f t="shared" si="52"/>
        <v>0</v>
      </c>
      <c r="Y273" s="257">
        <f t="shared" si="52"/>
        <v>0</v>
      </c>
    </row>
    <row r="274" spans="5:25" x14ac:dyDescent="0.25">
      <c r="F274" s="14" t="s">
        <v>45</v>
      </c>
      <c r="G274" s="14" t="s">
        <v>528</v>
      </c>
      <c r="J274" s="257">
        <f t="shared" si="52"/>
        <v>0</v>
      </c>
      <c r="K274" s="257">
        <f t="shared" si="52"/>
        <v>0</v>
      </c>
      <c r="L274" s="257">
        <f t="shared" si="52"/>
        <v>0</v>
      </c>
      <c r="M274" s="257">
        <f t="shared" si="52"/>
        <v>0</v>
      </c>
      <c r="N274" s="257">
        <f t="shared" si="52"/>
        <v>0</v>
      </c>
      <c r="O274" s="257">
        <f t="shared" si="52"/>
        <v>0</v>
      </c>
      <c r="P274" s="257">
        <f t="shared" si="52"/>
        <v>0</v>
      </c>
      <c r="Q274" s="257">
        <f t="shared" si="52"/>
        <v>0</v>
      </c>
      <c r="R274" s="257">
        <f t="shared" si="52"/>
        <v>0</v>
      </c>
      <c r="S274" s="257">
        <f t="shared" si="52"/>
        <v>0</v>
      </c>
      <c r="T274" s="257">
        <f t="shared" si="52"/>
        <v>0</v>
      </c>
      <c r="U274" s="257">
        <f t="shared" si="52"/>
        <v>0</v>
      </c>
      <c r="V274" s="257">
        <f t="shared" si="52"/>
        <v>0</v>
      </c>
      <c r="W274" s="257">
        <f t="shared" si="52"/>
        <v>0</v>
      </c>
      <c r="X274" s="257">
        <f t="shared" si="52"/>
        <v>0</v>
      </c>
      <c r="Y274" s="257">
        <f t="shared" si="52"/>
        <v>0</v>
      </c>
    </row>
    <row r="275" spans="5:25" x14ac:dyDescent="0.25">
      <c r="F275" s="14" t="s">
        <v>46</v>
      </c>
      <c r="G275" s="14" t="s">
        <v>528</v>
      </c>
      <c r="J275" s="257">
        <f t="shared" si="52"/>
        <v>11.527986422981362</v>
      </c>
      <c r="K275" s="257">
        <f t="shared" si="52"/>
        <v>11.527986422981362</v>
      </c>
      <c r="L275" s="257">
        <f t="shared" si="52"/>
        <v>13.389814573848861</v>
      </c>
      <c r="M275" s="257">
        <f t="shared" si="52"/>
        <v>13.389814573848861</v>
      </c>
      <c r="N275" s="257">
        <f t="shared" si="52"/>
        <v>10.350692230660494</v>
      </c>
      <c r="O275" s="257">
        <f t="shared" si="52"/>
        <v>8.8540614426759596</v>
      </c>
      <c r="P275" s="257">
        <f t="shared" si="52"/>
        <v>8.9869685862225737</v>
      </c>
      <c r="Q275" s="257">
        <f t="shared" si="52"/>
        <v>25.023867607119033</v>
      </c>
      <c r="R275" s="257">
        <f t="shared" si="52"/>
        <v>8.2437183626517871</v>
      </c>
      <c r="S275" s="257">
        <f t="shared" si="52"/>
        <v>8.2437183626517871</v>
      </c>
      <c r="T275" s="257">
        <f t="shared" si="52"/>
        <v>8.2437183626517871</v>
      </c>
      <c r="U275" s="257">
        <f t="shared" si="52"/>
        <v>8.2437183626517871</v>
      </c>
      <c r="V275" s="257">
        <f t="shared" si="52"/>
        <v>8.2437183626517871</v>
      </c>
      <c r="W275" s="257">
        <f t="shared" si="52"/>
        <v>8.2437183626517871</v>
      </c>
      <c r="X275" s="257">
        <f t="shared" si="52"/>
        <v>8.2437183626517871</v>
      </c>
      <c r="Y275" s="257">
        <f t="shared" si="52"/>
        <v>8.2437183626517871</v>
      </c>
    </row>
    <row r="276" spans="5:25" x14ac:dyDescent="0.25">
      <c r="F276" s="14" t="s">
        <v>47</v>
      </c>
      <c r="G276" s="14" t="s">
        <v>528</v>
      </c>
      <c r="J276" s="257">
        <f t="shared" si="52"/>
        <v>10.098712610250859</v>
      </c>
      <c r="K276" s="257">
        <f t="shared" si="52"/>
        <v>10.098712610250859</v>
      </c>
      <c r="L276" s="257">
        <f t="shared" si="52"/>
        <v>11.729705806755948</v>
      </c>
      <c r="M276" s="257">
        <f t="shared" si="52"/>
        <v>11.729705806755948</v>
      </c>
      <c r="N276" s="257">
        <f t="shared" si="52"/>
        <v>9.0673828298596799</v>
      </c>
      <c r="O276" s="257">
        <f t="shared" si="52"/>
        <v>7.7563087483202686</v>
      </c>
      <c r="P276" s="257">
        <f t="shared" si="52"/>
        <v>7.8727376715753232</v>
      </c>
      <c r="Q276" s="257">
        <f t="shared" si="52"/>
        <v>22.581879332920355</v>
      </c>
      <c r="R276" s="257">
        <f t="shared" si="52"/>
        <v>7.2216378064347033</v>
      </c>
      <c r="S276" s="257">
        <f t="shared" si="52"/>
        <v>7.2216378064347033</v>
      </c>
      <c r="T276" s="257">
        <f t="shared" si="52"/>
        <v>7.2216378064347033</v>
      </c>
      <c r="U276" s="257">
        <f t="shared" si="52"/>
        <v>7.2216378064347033</v>
      </c>
      <c r="V276" s="257">
        <f t="shared" si="52"/>
        <v>7.2216378064347033</v>
      </c>
      <c r="W276" s="257">
        <f t="shared" si="52"/>
        <v>7.2216378064347033</v>
      </c>
      <c r="X276" s="257">
        <f t="shared" si="52"/>
        <v>7.2216378064347033</v>
      </c>
      <c r="Y276" s="257">
        <f t="shared" si="52"/>
        <v>7.2216378064347033</v>
      </c>
    </row>
    <row r="277" spans="5:25" x14ac:dyDescent="0.25">
      <c r="F277" s="14" t="s">
        <v>51</v>
      </c>
      <c r="G277" s="14" t="s">
        <v>528</v>
      </c>
      <c r="J277" s="257">
        <f t="shared" si="52"/>
        <v>0</v>
      </c>
      <c r="K277" s="257">
        <f t="shared" si="52"/>
        <v>0</v>
      </c>
      <c r="L277" s="257">
        <f t="shared" si="52"/>
        <v>0</v>
      </c>
      <c r="M277" s="257">
        <f t="shared" si="52"/>
        <v>0</v>
      </c>
      <c r="N277" s="257">
        <f t="shared" si="52"/>
        <v>0</v>
      </c>
      <c r="O277" s="257">
        <f t="shared" si="52"/>
        <v>0</v>
      </c>
      <c r="P277" s="257">
        <f t="shared" si="52"/>
        <v>0</v>
      </c>
      <c r="Q277" s="257">
        <f t="shared" si="52"/>
        <v>0</v>
      </c>
      <c r="R277" s="257">
        <f t="shared" si="52"/>
        <v>0</v>
      </c>
      <c r="S277" s="257">
        <f t="shared" si="52"/>
        <v>0</v>
      </c>
      <c r="T277" s="257">
        <f t="shared" si="52"/>
        <v>0</v>
      </c>
      <c r="U277" s="257">
        <f t="shared" si="52"/>
        <v>0</v>
      </c>
      <c r="V277" s="257">
        <f t="shared" si="52"/>
        <v>0</v>
      </c>
      <c r="W277" s="257">
        <f t="shared" si="52"/>
        <v>0</v>
      </c>
      <c r="X277" s="257">
        <f t="shared" si="52"/>
        <v>0</v>
      </c>
      <c r="Y277" s="257">
        <f t="shared" si="52"/>
        <v>0</v>
      </c>
    </row>
    <row r="278" spans="5:25" x14ac:dyDescent="0.25">
      <c r="F278" s="14" t="s">
        <v>48</v>
      </c>
      <c r="G278" s="14" t="s">
        <v>528</v>
      </c>
      <c r="J278" s="257">
        <f t="shared" si="52"/>
        <v>10.098712610250859</v>
      </c>
      <c r="K278" s="257">
        <f t="shared" si="52"/>
        <v>10.098712610250859</v>
      </c>
      <c r="L278" s="257">
        <f t="shared" si="52"/>
        <v>11.729705806755948</v>
      </c>
      <c r="M278" s="257">
        <f t="shared" si="52"/>
        <v>11.729705806755948</v>
      </c>
      <c r="N278" s="257">
        <f t="shared" si="52"/>
        <v>9.0673828298596799</v>
      </c>
      <c r="O278" s="257">
        <f t="shared" si="52"/>
        <v>7.7563087483202686</v>
      </c>
      <c r="P278" s="257">
        <f t="shared" si="52"/>
        <v>7.8727376715753232</v>
      </c>
      <c r="Q278" s="257">
        <f t="shared" si="52"/>
        <v>22.581879332920355</v>
      </c>
      <c r="R278" s="257">
        <f t="shared" si="52"/>
        <v>7.2216378064347033</v>
      </c>
      <c r="S278" s="257">
        <f t="shared" si="52"/>
        <v>7.2216378064347033</v>
      </c>
      <c r="T278" s="257">
        <f t="shared" si="52"/>
        <v>7.2216378064347033</v>
      </c>
      <c r="U278" s="257">
        <f t="shared" si="52"/>
        <v>7.2216378064347033</v>
      </c>
      <c r="V278" s="257">
        <f t="shared" si="52"/>
        <v>7.2216378064347033</v>
      </c>
      <c r="W278" s="257">
        <f t="shared" si="52"/>
        <v>7.2216378064347033</v>
      </c>
      <c r="X278" s="257">
        <f t="shared" si="52"/>
        <v>7.2216378064347033</v>
      </c>
      <c r="Y278" s="257">
        <f t="shared" si="52"/>
        <v>7.2216378064347033</v>
      </c>
    </row>
    <row r="279" spans="5:25" x14ac:dyDescent="0.25">
      <c r="F279" s="14" t="s">
        <v>49</v>
      </c>
      <c r="G279" s="14" t="s">
        <v>528</v>
      </c>
      <c r="J279" s="257">
        <f t="shared" si="52"/>
        <v>10.098712610250859</v>
      </c>
      <c r="K279" s="257">
        <f t="shared" si="52"/>
        <v>10.098712610250859</v>
      </c>
      <c r="L279" s="257">
        <f t="shared" si="52"/>
        <v>11.729705806755948</v>
      </c>
      <c r="M279" s="257">
        <f t="shared" si="52"/>
        <v>11.729705806755948</v>
      </c>
      <c r="N279" s="257">
        <f t="shared" si="52"/>
        <v>9.0673828298596799</v>
      </c>
      <c r="O279" s="257">
        <f t="shared" si="52"/>
        <v>7.7563087483202686</v>
      </c>
      <c r="P279" s="257">
        <f t="shared" si="52"/>
        <v>7.8727376715753232</v>
      </c>
      <c r="Q279" s="257">
        <f t="shared" si="52"/>
        <v>22.581879332920355</v>
      </c>
      <c r="R279" s="257">
        <f t="shared" si="52"/>
        <v>7.2216378064347033</v>
      </c>
      <c r="S279" s="257">
        <f t="shared" si="52"/>
        <v>7.2216378064347033</v>
      </c>
      <c r="T279" s="257">
        <f t="shared" si="52"/>
        <v>7.2216378064347033</v>
      </c>
      <c r="U279" s="257">
        <f t="shared" si="52"/>
        <v>7.2216378064347033</v>
      </c>
      <c r="V279" s="257">
        <f t="shared" si="52"/>
        <v>7.2216378064347033</v>
      </c>
      <c r="W279" s="257">
        <f t="shared" si="52"/>
        <v>7.2216378064347033</v>
      </c>
      <c r="X279" s="257">
        <f t="shared" si="52"/>
        <v>7.2216378064347033</v>
      </c>
      <c r="Y279" s="257">
        <f t="shared" si="52"/>
        <v>7.2216378064347033</v>
      </c>
    </row>
    <row r="280" spans="5:25" x14ac:dyDescent="0.25">
      <c r="F280" s="15" t="s">
        <v>50</v>
      </c>
      <c r="G280" s="15" t="s">
        <v>528</v>
      </c>
      <c r="H280" s="93"/>
      <c r="I280" s="93"/>
      <c r="J280" s="259">
        <f t="shared" si="52"/>
        <v>10.098712610250859</v>
      </c>
      <c r="K280" s="259">
        <f t="shared" si="52"/>
        <v>10.098712610250859</v>
      </c>
      <c r="L280" s="259">
        <f t="shared" si="52"/>
        <v>11.729705806755948</v>
      </c>
      <c r="M280" s="259">
        <f t="shared" si="52"/>
        <v>11.729705806755948</v>
      </c>
      <c r="N280" s="259">
        <f t="shared" si="52"/>
        <v>9.0673828298596799</v>
      </c>
      <c r="O280" s="259">
        <f t="shared" si="52"/>
        <v>7.7563087483202686</v>
      </c>
      <c r="P280" s="259">
        <f t="shared" si="52"/>
        <v>7.8727376715753232</v>
      </c>
      <c r="Q280" s="259">
        <f t="shared" si="52"/>
        <v>22.581879332920355</v>
      </c>
      <c r="R280" s="259">
        <f t="shared" si="52"/>
        <v>7.2216378064347033</v>
      </c>
      <c r="S280" s="259">
        <f t="shared" si="52"/>
        <v>7.2216378064347033</v>
      </c>
      <c r="T280" s="259">
        <f t="shared" si="52"/>
        <v>7.2216378064347033</v>
      </c>
      <c r="U280" s="259">
        <f t="shared" si="52"/>
        <v>7.2216378064347033</v>
      </c>
      <c r="V280" s="259">
        <f t="shared" si="52"/>
        <v>7.2216378064347033</v>
      </c>
      <c r="W280" s="259">
        <f t="shared" si="52"/>
        <v>7.2216378064347033</v>
      </c>
      <c r="X280" s="259">
        <f t="shared" si="52"/>
        <v>7.2216378064347033</v>
      </c>
      <c r="Y280" s="259">
        <f t="shared" si="52"/>
        <v>7.2216378064347033</v>
      </c>
    </row>
    <row r="281" spans="5:25" x14ac:dyDescent="0.25">
      <c r="J281" s="253"/>
      <c r="K281" s="253"/>
      <c r="L281" s="253"/>
      <c r="M281" s="253"/>
      <c r="N281" s="253"/>
      <c r="O281" s="253"/>
      <c r="P281" s="253"/>
      <c r="Q281" s="253"/>
      <c r="R281" s="253"/>
      <c r="S281" s="253"/>
      <c r="T281" s="253"/>
      <c r="U281" s="253"/>
      <c r="V281" s="253"/>
      <c r="W281" s="253"/>
      <c r="X281" s="253"/>
      <c r="Y281" s="253"/>
    </row>
    <row r="282" spans="5:25" x14ac:dyDescent="0.25">
      <c r="E282" s="96" t="s">
        <v>135</v>
      </c>
      <c r="F282" s="14"/>
      <c r="G282" s="14"/>
      <c r="J282" s="253"/>
      <c r="K282" s="253"/>
      <c r="L282" s="253"/>
      <c r="M282" s="253"/>
      <c r="N282" s="253"/>
      <c r="O282" s="253"/>
      <c r="P282" s="253"/>
      <c r="Q282" s="253"/>
      <c r="R282" s="253"/>
      <c r="S282" s="253"/>
      <c r="T282" s="253"/>
      <c r="U282" s="253"/>
      <c r="V282" s="253"/>
      <c r="W282" s="253"/>
      <c r="X282" s="253"/>
      <c r="Y282" s="253"/>
    </row>
    <row r="283" spans="5:25" x14ac:dyDescent="0.25">
      <c r="F283" s="16" t="s">
        <v>43</v>
      </c>
      <c r="G283" s="16" t="s">
        <v>528</v>
      </c>
      <c r="H283" s="91"/>
      <c r="I283" s="91"/>
      <c r="J283" s="255">
        <f>J240 * J$93</f>
        <v>0.92349228307239573</v>
      </c>
      <c r="K283" s="255">
        <f t="shared" ref="K283:Y283" si="53">K240 * K$93</f>
        <v>0.92349228307239573</v>
      </c>
      <c r="L283" s="255">
        <f t="shared" si="53"/>
        <v>1.0726409606164153</v>
      </c>
      <c r="M283" s="255">
        <f t="shared" si="53"/>
        <v>1.0726409606164153</v>
      </c>
      <c r="N283" s="255">
        <f t="shared" si="53"/>
        <v>0.82918074750822601</v>
      </c>
      <c r="O283" s="255">
        <f t="shared" si="53"/>
        <v>0.70928756472680232</v>
      </c>
      <c r="P283" s="255">
        <f t="shared" si="53"/>
        <v>0.71993458641185648</v>
      </c>
      <c r="Q283" s="255">
        <f t="shared" si="53"/>
        <v>0.79110253955261312</v>
      </c>
      <c r="R283" s="255">
        <f t="shared" si="53"/>
        <v>0.66039375936064448</v>
      </c>
      <c r="S283" s="255">
        <f t="shared" si="53"/>
        <v>0.66039375936064448</v>
      </c>
      <c r="T283" s="255">
        <f t="shared" si="53"/>
        <v>0.66039375936064448</v>
      </c>
      <c r="U283" s="255">
        <f t="shared" si="53"/>
        <v>0.66039375936064448</v>
      </c>
      <c r="V283" s="255">
        <f t="shared" si="53"/>
        <v>0.66039375936064448</v>
      </c>
      <c r="W283" s="255">
        <f t="shared" si="53"/>
        <v>0.66039375936064448</v>
      </c>
      <c r="X283" s="255">
        <f t="shared" si="53"/>
        <v>0.66039375936064448</v>
      </c>
      <c r="Y283" s="255">
        <f t="shared" si="53"/>
        <v>0.66039375936064448</v>
      </c>
    </row>
    <row r="284" spans="5:25" x14ac:dyDescent="0.25">
      <c r="F284" s="14" t="s">
        <v>44</v>
      </c>
      <c r="G284" s="14" t="s">
        <v>528</v>
      </c>
      <c r="J284" s="257">
        <f t="shared" ref="J284:Y291" si="54">J241 * J$93</f>
        <v>0</v>
      </c>
      <c r="K284" s="257">
        <f t="shared" si="54"/>
        <v>0</v>
      </c>
      <c r="L284" s="257">
        <f t="shared" si="54"/>
        <v>0</v>
      </c>
      <c r="M284" s="257">
        <f t="shared" si="54"/>
        <v>0</v>
      </c>
      <c r="N284" s="257">
        <f t="shared" si="54"/>
        <v>0</v>
      </c>
      <c r="O284" s="257">
        <f t="shared" si="54"/>
        <v>0</v>
      </c>
      <c r="P284" s="257">
        <f t="shared" si="54"/>
        <v>0</v>
      </c>
      <c r="Q284" s="257">
        <f t="shared" si="54"/>
        <v>0</v>
      </c>
      <c r="R284" s="257">
        <f t="shared" si="54"/>
        <v>0</v>
      </c>
      <c r="S284" s="257">
        <f t="shared" si="54"/>
        <v>0</v>
      </c>
      <c r="T284" s="257">
        <f t="shared" si="54"/>
        <v>0</v>
      </c>
      <c r="U284" s="257">
        <f t="shared" si="54"/>
        <v>0</v>
      </c>
      <c r="V284" s="257">
        <f t="shared" si="54"/>
        <v>0</v>
      </c>
      <c r="W284" s="257">
        <f t="shared" si="54"/>
        <v>0</v>
      </c>
      <c r="X284" s="257">
        <f t="shared" si="54"/>
        <v>0</v>
      </c>
      <c r="Y284" s="257">
        <f t="shared" si="54"/>
        <v>0</v>
      </c>
    </row>
    <row r="285" spans="5:25" x14ac:dyDescent="0.25">
      <c r="F285" s="14" t="s">
        <v>45</v>
      </c>
      <c r="G285" s="14" t="s">
        <v>528</v>
      </c>
      <c r="J285" s="257">
        <f t="shared" si="54"/>
        <v>0</v>
      </c>
      <c r="K285" s="257">
        <f t="shared" si="54"/>
        <v>0</v>
      </c>
      <c r="L285" s="257">
        <f t="shared" si="54"/>
        <v>0</v>
      </c>
      <c r="M285" s="257">
        <f t="shared" si="54"/>
        <v>0</v>
      </c>
      <c r="N285" s="257">
        <f t="shared" si="54"/>
        <v>0</v>
      </c>
      <c r="O285" s="257">
        <f t="shared" si="54"/>
        <v>0</v>
      </c>
      <c r="P285" s="257">
        <f t="shared" si="54"/>
        <v>0</v>
      </c>
      <c r="Q285" s="257">
        <f t="shared" si="54"/>
        <v>0</v>
      </c>
      <c r="R285" s="257">
        <f t="shared" si="54"/>
        <v>0</v>
      </c>
      <c r="S285" s="257">
        <f t="shared" si="54"/>
        <v>0</v>
      </c>
      <c r="T285" s="257">
        <f t="shared" si="54"/>
        <v>0</v>
      </c>
      <c r="U285" s="257">
        <f t="shared" si="54"/>
        <v>0</v>
      </c>
      <c r="V285" s="257">
        <f t="shared" si="54"/>
        <v>0</v>
      </c>
      <c r="W285" s="257">
        <f t="shared" si="54"/>
        <v>0</v>
      </c>
      <c r="X285" s="257">
        <f t="shared" si="54"/>
        <v>0</v>
      </c>
      <c r="Y285" s="257">
        <f t="shared" si="54"/>
        <v>0</v>
      </c>
    </row>
    <row r="286" spans="5:25" x14ac:dyDescent="0.25">
      <c r="F286" s="14" t="s">
        <v>46</v>
      </c>
      <c r="G286" s="14" t="s">
        <v>528</v>
      </c>
      <c r="J286" s="257">
        <f t="shared" si="54"/>
        <v>0.92349228307239573</v>
      </c>
      <c r="K286" s="257">
        <f t="shared" si="54"/>
        <v>0.92349228307239573</v>
      </c>
      <c r="L286" s="257">
        <f t="shared" si="54"/>
        <v>1.0726409606164153</v>
      </c>
      <c r="M286" s="257">
        <f t="shared" si="54"/>
        <v>1.0726409606164153</v>
      </c>
      <c r="N286" s="257">
        <f t="shared" si="54"/>
        <v>0.82918074750822601</v>
      </c>
      <c r="O286" s="257">
        <f t="shared" si="54"/>
        <v>0.70928756472680232</v>
      </c>
      <c r="P286" s="257">
        <f t="shared" si="54"/>
        <v>0.71993458641185648</v>
      </c>
      <c r="Q286" s="257">
        <f t="shared" si="54"/>
        <v>0.79110253955261312</v>
      </c>
      <c r="R286" s="257">
        <f t="shared" si="54"/>
        <v>0.66039375936064448</v>
      </c>
      <c r="S286" s="257">
        <f t="shared" si="54"/>
        <v>0.66039375936064448</v>
      </c>
      <c r="T286" s="257">
        <f t="shared" si="54"/>
        <v>0.66039375936064448</v>
      </c>
      <c r="U286" s="257">
        <f t="shared" si="54"/>
        <v>0.66039375936064448</v>
      </c>
      <c r="V286" s="257">
        <f t="shared" si="54"/>
        <v>0.66039375936064448</v>
      </c>
      <c r="W286" s="257">
        <f t="shared" si="54"/>
        <v>0.66039375936064448</v>
      </c>
      <c r="X286" s="257">
        <f t="shared" si="54"/>
        <v>0.66039375936064448</v>
      </c>
      <c r="Y286" s="257">
        <f t="shared" si="54"/>
        <v>0.66039375936064448</v>
      </c>
    </row>
    <row r="287" spans="5:25" x14ac:dyDescent="0.25">
      <c r="F287" s="14" t="s">
        <v>47</v>
      </c>
      <c r="G287" s="14" t="s">
        <v>528</v>
      </c>
      <c r="J287" s="257">
        <f t="shared" si="54"/>
        <v>1.2155817714261268</v>
      </c>
      <c r="K287" s="257">
        <f t="shared" si="54"/>
        <v>1.2155817714261268</v>
      </c>
      <c r="L287" s="257">
        <f t="shared" si="54"/>
        <v>1.4119043796147333</v>
      </c>
      <c r="M287" s="257">
        <f t="shared" si="54"/>
        <v>1.4119043796147333</v>
      </c>
      <c r="N287" s="257">
        <f t="shared" si="54"/>
        <v>1.0914406328715081</v>
      </c>
      <c r="O287" s="257">
        <f t="shared" si="54"/>
        <v>0.93362668014145112</v>
      </c>
      <c r="P287" s="257">
        <f t="shared" si="54"/>
        <v>0.94764122657303829</v>
      </c>
      <c r="Q287" s="257">
        <f t="shared" si="54"/>
        <v>0.92680435825893326</v>
      </c>
      <c r="R287" s="257">
        <f t="shared" si="54"/>
        <v>0.86926835292184057</v>
      </c>
      <c r="S287" s="257">
        <f t="shared" si="54"/>
        <v>0.86926835292184057</v>
      </c>
      <c r="T287" s="257">
        <f t="shared" si="54"/>
        <v>0.86926835292184057</v>
      </c>
      <c r="U287" s="257">
        <f t="shared" si="54"/>
        <v>0.86926835292184057</v>
      </c>
      <c r="V287" s="257">
        <f t="shared" si="54"/>
        <v>0.86926835292184057</v>
      </c>
      <c r="W287" s="257">
        <f t="shared" si="54"/>
        <v>0.86926835292184057</v>
      </c>
      <c r="X287" s="257">
        <f t="shared" si="54"/>
        <v>0.86926835292184057</v>
      </c>
      <c r="Y287" s="257">
        <f t="shared" si="54"/>
        <v>0.86926835292184057</v>
      </c>
    </row>
    <row r="288" spans="5:25" x14ac:dyDescent="0.25">
      <c r="F288" s="14" t="s">
        <v>51</v>
      </c>
      <c r="G288" s="14" t="s">
        <v>528</v>
      </c>
      <c r="J288" s="257">
        <f t="shared" si="54"/>
        <v>0</v>
      </c>
      <c r="K288" s="257">
        <f t="shared" si="54"/>
        <v>0</v>
      </c>
      <c r="L288" s="257">
        <f t="shared" si="54"/>
        <v>0</v>
      </c>
      <c r="M288" s="257">
        <f t="shared" si="54"/>
        <v>0</v>
      </c>
      <c r="N288" s="257">
        <f t="shared" si="54"/>
        <v>0</v>
      </c>
      <c r="O288" s="257">
        <f t="shared" si="54"/>
        <v>0</v>
      </c>
      <c r="P288" s="257">
        <f t="shared" si="54"/>
        <v>0</v>
      </c>
      <c r="Q288" s="257">
        <f t="shared" si="54"/>
        <v>0</v>
      </c>
      <c r="R288" s="257">
        <f t="shared" si="54"/>
        <v>0</v>
      </c>
      <c r="S288" s="257">
        <f t="shared" si="54"/>
        <v>0</v>
      </c>
      <c r="T288" s="257">
        <f t="shared" si="54"/>
        <v>0</v>
      </c>
      <c r="U288" s="257">
        <f t="shared" si="54"/>
        <v>0</v>
      </c>
      <c r="V288" s="257">
        <f t="shared" si="54"/>
        <v>0</v>
      </c>
      <c r="W288" s="257">
        <f t="shared" si="54"/>
        <v>0</v>
      </c>
      <c r="X288" s="257">
        <f t="shared" si="54"/>
        <v>0</v>
      </c>
      <c r="Y288" s="257">
        <f t="shared" si="54"/>
        <v>0</v>
      </c>
    </row>
    <row r="289" spans="2:27" x14ac:dyDescent="0.25">
      <c r="F289" s="14" t="s">
        <v>48</v>
      </c>
      <c r="G289" s="14" t="s">
        <v>528</v>
      </c>
      <c r="J289" s="257">
        <f t="shared" si="54"/>
        <v>1.2155817714261268</v>
      </c>
      <c r="K289" s="257">
        <f t="shared" si="54"/>
        <v>1.2155817714261268</v>
      </c>
      <c r="L289" s="257">
        <f t="shared" si="54"/>
        <v>1.4119043796147333</v>
      </c>
      <c r="M289" s="257">
        <f t="shared" si="54"/>
        <v>1.4119043796147333</v>
      </c>
      <c r="N289" s="257">
        <f t="shared" si="54"/>
        <v>1.0914406328715081</v>
      </c>
      <c r="O289" s="257">
        <f t="shared" si="54"/>
        <v>0.93362668014145112</v>
      </c>
      <c r="P289" s="257">
        <f t="shared" si="54"/>
        <v>0.94764122657303829</v>
      </c>
      <c r="Q289" s="257">
        <f t="shared" si="54"/>
        <v>0.92680435825893326</v>
      </c>
      <c r="R289" s="257">
        <f t="shared" si="54"/>
        <v>0.86926835292184057</v>
      </c>
      <c r="S289" s="257">
        <f t="shared" si="54"/>
        <v>0.86926835292184057</v>
      </c>
      <c r="T289" s="257">
        <f t="shared" si="54"/>
        <v>0.86926835292184057</v>
      </c>
      <c r="U289" s="257">
        <f t="shared" si="54"/>
        <v>0.86926835292184057</v>
      </c>
      <c r="V289" s="257">
        <f t="shared" si="54"/>
        <v>0.86926835292184057</v>
      </c>
      <c r="W289" s="257">
        <f t="shared" si="54"/>
        <v>0.86926835292184057</v>
      </c>
      <c r="X289" s="257">
        <f t="shared" si="54"/>
        <v>0.86926835292184057</v>
      </c>
      <c r="Y289" s="257">
        <f t="shared" si="54"/>
        <v>0.86926835292184057</v>
      </c>
    </row>
    <row r="290" spans="2:27" x14ac:dyDescent="0.25">
      <c r="F290" s="14" t="s">
        <v>49</v>
      </c>
      <c r="G290" s="14" t="s">
        <v>528</v>
      </c>
      <c r="J290" s="257">
        <f t="shared" si="54"/>
        <v>1.2155817714261268</v>
      </c>
      <c r="K290" s="257">
        <f t="shared" si="54"/>
        <v>1.2155817714261268</v>
      </c>
      <c r="L290" s="257">
        <f t="shared" si="54"/>
        <v>1.4119043796147333</v>
      </c>
      <c r="M290" s="257">
        <f t="shared" si="54"/>
        <v>1.4119043796147333</v>
      </c>
      <c r="N290" s="257">
        <f t="shared" si="54"/>
        <v>1.0914406328715081</v>
      </c>
      <c r="O290" s="257">
        <f t="shared" si="54"/>
        <v>0.93362668014145112</v>
      </c>
      <c r="P290" s="257">
        <f t="shared" si="54"/>
        <v>0.94764122657303829</v>
      </c>
      <c r="Q290" s="257">
        <f t="shared" si="54"/>
        <v>0.92680435825893326</v>
      </c>
      <c r="R290" s="257">
        <f t="shared" si="54"/>
        <v>0.86926835292184057</v>
      </c>
      <c r="S290" s="257">
        <f t="shared" si="54"/>
        <v>0.86926835292184057</v>
      </c>
      <c r="T290" s="257">
        <f t="shared" si="54"/>
        <v>0.86926835292184057</v>
      </c>
      <c r="U290" s="257">
        <f t="shared" si="54"/>
        <v>0.86926835292184057</v>
      </c>
      <c r="V290" s="257">
        <f t="shared" si="54"/>
        <v>0.86926835292184057</v>
      </c>
      <c r="W290" s="257">
        <f t="shared" si="54"/>
        <v>0.86926835292184057</v>
      </c>
      <c r="X290" s="257">
        <f t="shared" si="54"/>
        <v>0.86926835292184057</v>
      </c>
      <c r="Y290" s="257">
        <f t="shared" si="54"/>
        <v>0.86926835292184057</v>
      </c>
    </row>
    <row r="291" spans="2:27" x14ac:dyDescent="0.25">
      <c r="F291" s="15" t="s">
        <v>50</v>
      </c>
      <c r="G291" s="15" t="s">
        <v>528</v>
      </c>
      <c r="H291" s="93"/>
      <c r="I291" s="93"/>
      <c r="J291" s="259">
        <f t="shared" si="54"/>
        <v>1.2155817714261268</v>
      </c>
      <c r="K291" s="259">
        <f t="shared" si="54"/>
        <v>1.2155817714261268</v>
      </c>
      <c r="L291" s="259">
        <f t="shared" si="54"/>
        <v>1.4119043796147333</v>
      </c>
      <c r="M291" s="259">
        <f t="shared" si="54"/>
        <v>1.4119043796147333</v>
      </c>
      <c r="N291" s="259">
        <f t="shared" si="54"/>
        <v>1.0914406328715081</v>
      </c>
      <c r="O291" s="259">
        <f t="shared" si="54"/>
        <v>0.93362668014145112</v>
      </c>
      <c r="P291" s="259">
        <f t="shared" si="54"/>
        <v>0.94764122657303829</v>
      </c>
      <c r="Q291" s="259">
        <f t="shared" si="54"/>
        <v>0.92680435825893326</v>
      </c>
      <c r="R291" s="259">
        <f t="shared" si="54"/>
        <v>0.86926835292184057</v>
      </c>
      <c r="S291" s="259">
        <f t="shared" si="54"/>
        <v>0.86926835292184057</v>
      </c>
      <c r="T291" s="259">
        <f t="shared" si="54"/>
        <v>0.86926835292184057</v>
      </c>
      <c r="U291" s="259">
        <f t="shared" si="54"/>
        <v>0.86926835292184057</v>
      </c>
      <c r="V291" s="259">
        <f t="shared" si="54"/>
        <v>0.86926835292184057</v>
      </c>
      <c r="W291" s="259">
        <f t="shared" si="54"/>
        <v>0.86926835292184057</v>
      </c>
      <c r="X291" s="259">
        <f t="shared" si="54"/>
        <v>0.86926835292184057</v>
      </c>
      <c r="Y291" s="259">
        <f t="shared" si="54"/>
        <v>0.86926835292184057</v>
      </c>
    </row>
    <row r="292" spans="2:27" x14ac:dyDescent="0.25">
      <c r="J292" s="253"/>
      <c r="K292" s="253"/>
      <c r="L292" s="253"/>
      <c r="M292" s="253"/>
      <c r="N292" s="253"/>
      <c r="O292" s="253"/>
      <c r="P292" s="253"/>
      <c r="Q292" s="253"/>
      <c r="R292" s="253"/>
      <c r="S292" s="253"/>
      <c r="T292" s="253"/>
      <c r="U292" s="253"/>
      <c r="V292" s="253"/>
      <c r="W292" s="253"/>
      <c r="X292" s="253"/>
      <c r="Y292" s="253"/>
    </row>
    <row r="293" spans="2:27" x14ac:dyDescent="0.25">
      <c r="E293" s="96" t="s">
        <v>136</v>
      </c>
      <c r="F293" s="14"/>
      <c r="G293" s="14"/>
      <c r="J293" s="253"/>
      <c r="K293" s="253"/>
      <c r="L293" s="253"/>
      <c r="M293" s="253"/>
      <c r="N293" s="253"/>
      <c r="O293" s="253"/>
      <c r="P293" s="253"/>
      <c r="Q293" s="253"/>
      <c r="R293" s="253"/>
      <c r="S293" s="253"/>
      <c r="T293" s="253"/>
      <c r="U293" s="253"/>
      <c r="V293" s="253"/>
      <c r="W293" s="253"/>
      <c r="X293" s="253"/>
      <c r="Y293" s="253"/>
    </row>
    <row r="294" spans="2:27" x14ac:dyDescent="0.25">
      <c r="F294" s="16" t="s">
        <v>43</v>
      </c>
      <c r="G294" s="16" t="s">
        <v>528</v>
      </c>
      <c r="H294" s="91"/>
      <c r="I294" s="91"/>
      <c r="J294" s="255">
        <f>J251 * J$93</f>
        <v>1.4805259537586315E-2</v>
      </c>
      <c r="K294" s="255">
        <f t="shared" ref="K294:Y294" si="55">K251 * K$93</f>
        <v>1.4805259537586315E-2</v>
      </c>
      <c r="L294" s="255">
        <f t="shared" si="55"/>
        <v>1.7196383882860215E-2</v>
      </c>
      <c r="M294" s="255">
        <f t="shared" si="55"/>
        <v>1.7196383882860215E-2</v>
      </c>
      <c r="N294" s="255">
        <f t="shared" si="55"/>
        <v>1.3293274232446117E-2</v>
      </c>
      <c r="O294" s="255">
        <f t="shared" si="55"/>
        <v>1.1371168633511621E-2</v>
      </c>
      <c r="P294" s="255">
        <f t="shared" si="55"/>
        <v>1.1541859739695104E-2</v>
      </c>
      <c r="Q294" s="255">
        <f t="shared" si="55"/>
        <v>1.163653936983337E-2</v>
      </c>
      <c r="R294" s="255">
        <f t="shared" si="55"/>
        <v>1.0587312079975646E-2</v>
      </c>
      <c r="S294" s="255">
        <f t="shared" si="55"/>
        <v>1.0587312079975646E-2</v>
      </c>
      <c r="T294" s="255">
        <f t="shared" si="55"/>
        <v>1.0587312079975646E-2</v>
      </c>
      <c r="U294" s="255">
        <f t="shared" si="55"/>
        <v>1.0587312079975646E-2</v>
      </c>
      <c r="V294" s="255">
        <f t="shared" si="55"/>
        <v>1.0587312079975646E-2</v>
      </c>
      <c r="W294" s="255">
        <f t="shared" si="55"/>
        <v>1.0587312079975646E-2</v>
      </c>
      <c r="X294" s="255">
        <f t="shared" si="55"/>
        <v>1.0587312079975646E-2</v>
      </c>
      <c r="Y294" s="255">
        <f t="shared" si="55"/>
        <v>1.0587312079975646E-2</v>
      </c>
    </row>
    <row r="295" spans="2:27" x14ac:dyDescent="0.25">
      <c r="F295" s="14" t="s">
        <v>44</v>
      </c>
      <c r="G295" s="14" t="s">
        <v>528</v>
      </c>
      <c r="J295" s="257">
        <f t="shared" ref="J295:Y302" si="56">J252 * J$93</f>
        <v>0</v>
      </c>
      <c r="K295" s="257">
        <f t="shared" si="56"/>
        <v>0</v>
      </c>
      <c r="L295" s="257">
        <f t="shared" si="56"/>
        <v>0</v>
      </c>
      <c r="M295" s="257">
        <f t="shared" si="56"/>
        <v>0</v>
      </c>
      <c r="N295" s="257">
        <f t="shared" si="56"/>
        <v>0</v>
      </c>
      <c r="O295" s="257">
        <f t="shared" si="56"/>
        <v>0</v>
      </c>
      <c r="P295" s="257">
        <f t="shared" si="56"/>
        <v>0</v>
      </c>
      <c r="Q295" s="257">
        <f t="shared" si="56"/>
        <v>0</v>
      </c>
      <c r="R295" s="257">
        <f t="shared" si="56"/>
        <v>0</v>
      </c>
      <c r="S295" s="257">
        <f t="shared" si="56"/>
        <v>0</v>
      </c>
      <c r="T295" s="257">
        <f t="shared" si="56"/>
        <v>0</v>
      </c>
      <c r="U295" s="257">
        <f t="shared" si="56"/>
        <v>0</v>
      </c>
      <c r="V295" s="257">
        <f t="shared" si="56"/>
        <v>0</v>
      </c>
      <c r="W295" s="257">
        <f t="shared" si="56"/>
        <v>0</v>
      </c>
      <c r="X295" s="257">
        <f t="shared" si="56"/>
        <v>0</v>
      </c>
      <c r="Y295" s="257">
        <f t="shared" si="56"/>
        <v>0</v>
      </c>
    </row>
    <row r="296" spans="2:27" x14ac:dyDescent="0.25">
      <c r="F296" s="14" t="s">
        <v>45</v>
      </c>
      <c r="G296" s="14" t="s">
        <v>528</v>
      </c>
      <c r="J296" s="257">
        <f t="shared" si="56"/>
        <v>0</v>
      </c>
      <c r="K296" s="257">
        <f t="shared" si="56"/>
        <v>0</v>
      </c>
      <c r="L296" s="257">
        <f t="shared" si="56"/>
        <v>0</v>
      </c>
      <c r="M296" s="257">
        <f t="shared" si="56"/>
        <v>0</v>
      </c>
      <c r="N296" s="257">
        <f t="shared" si="56"/>
        <v>0</v>
      </c>
      <c r="O296" s="257">
        <f t="shared" si="56"/>
        <v>0</v>
      </c>
      <c r="P296" s="257">
        <f t="shared" si="56"/>
        <v>0</v>
      </c>
      <c r="Q296" s="257">
        <f t="shared" si="56"/>
        <v>0</v>
      </c>
      <c r="R296" s="257">
        <f t="shared" si="56"/>
        <v>0</v>
      </c>
      <c r="S296" s="257">
        <f t="shared" si="56"/>
        <v>0</v>
      </c>
      <c r="T296" s="257">
        <f t="shared" si="56"/>
        <v>0</v>
      </c>
      <c r="U296" s="257">
        <f t="shared" si="56"/>
        <v>0</v>
      </c>
      <c r="V296" s="257">
        <f t="shared" si="56"/>
        <v>0</v>
      </c>
      <c r="W296" s="257">
        <f t="shared" si="56"/>
        <v>0</v>
      </c>
      <c r="X296" s="257">
        <f t="shared" si="56"/>
        <v>0</v>
      </c>
      <c r="Y296" s="257">
        <f t="shared" si="56"/>
        <v>0</v>
      </c>
    </row>
    <row r="297" spans="2:27" x14ac:dyDescent="0.25">
      <c r="F297" s="14" t="s">
        <v>46</v>
      </c>
      <c r="G297" s="14" t="s">
        <v>528</v>
      </c>
      <c r="J297" s="257">
        <f t="shared" si="56"/>
        <v>1.4805259537586315E-2</v>
      </c>
      <c r="K297" s="257">
        <f t="shared" si="56"/>
        <v>1.4805259537586315E-2</v>
      </c>
      <c r="L297" s="257">
        <f t="shared" si="56"/>
        <v>1.7196383882860215E-2</v>
      </c>
      <c r="M297" s="257">
        <f t="shared" si="56"/>
        <v>1.7196383882860215E-2</v>
      </c>
      <c r="N297" s="257">
        <f t="shared" si="56"/>
        <v>1.3293274232446117E-2</v>
      </c>
      <c r="O297" s="257">
        <f t="shared" si="56"/>
        <v>1.1371168633511621E-2</v>
      </c>
      <c r="P297" s="257">
        <f t="shared" si="56"/>
        <v>1.1541859739695104E-2</v>
      </c>
      <c r="Q297" s="257">
        <f t="shared" si="56"/>
        <v>1.163653936983337E-2</v>
      </c>
      <c r="R297" s="257">
        <f t="shared" si="56"/>
        <v>1.0587312079975646E-2</v>
      </c>
      <c r="S297" s="257">
        <f t="shared" si="56"/>
        <v>1.0587312079975646E-2</v>
      </c>
      <c r="T297" s="257">
        <f t="shared" si="56"/>
        <v>1.0587312079975646E-2</v>
      </c>
      <c r="U297" s="257">
        <f t="shared" si="56"/>
        <v>1.0587312079975646E-2</v>
      </c>
      <c r="V297" s="257">
        <f t="shared" si="56"/>
        <v>1.0587312079975646E-2</v>
      </c>
      <c r="W297" s="257">
        <f t="shared" si="56"/>
        <v>1.0587312079975646E-2</v>
      </c>
      <c r="X297" s="257">
        <f t="shared" si="56"/>
        <v>1.0587312079975646E-2</v>
      </c>
      <c r="Y297" s="257">
        <f t="shared" si="56"/>
        <v>1.0587312079975646E-2</v>
      </c>
    </row>
    <row r="298" spans="2:27" x14ac:dyDescent="0.25">
      <c r="F298" s="14" t="s">
        <v>47</v>
      </c>
      <c r="G298" s="14" t="s">
        <v>528</v>
      </c>
      <c r="J298" s="257">
        <f t="shared" si="56"/>
        <v>4.1322546283744134E-2</v>
      </c>
      <c r="K298" s="257">
        <f t="shared" si="56"/>
        <v>4.1322546283744134E-2</v>
      </c>
      <c r="L298" s="257">
        <f t="shared" si="56"/>
        <v>4.7996346643469308E-2</v>
      </c>
      <c r="M298" s="257">
        <f t="shared" si="56"/>
        <v>4.7996346643469308E-2</v>
      </c>
      <c r="N298" s="257">
        <f t="shared" si="56"/>
        <v>3.7102486338602317E-2</v>
      </c>
      <c r="O298" s="257">
        <f t="shared" si="56"/>
        <v>3.1737751098900924E-2</v>
      </c>
      <c r="P298" s="257">
        <f t="shared" si="56"/>
        <v>3.2214162276805902E-2</v>
      </c>
      <c r="Q298" s="257">
        <f t="shared" si="56"/>
        <v>3.2478419947438684E-2</v>
      </c>
      <c r="R298" s="257">
        <f t="shared" si="56"/>
        <v>2.9549950970772461E-2</v>
      </c>
      <c r="S298" s="257">
        <f t="shared" si="56"/>
        <v>2.9549950970772461E-2</v>
      </c>
      <c r="T298" s="257">
        <f t="shared" si="56"/>
        <v>2.9549950970772461E-2</v>
      </c>
      <c r="U298" s="257">
        <f t="shared" si="56"/>
        <v>2.9549950970772461E-2</v>
      </c>
      <c r="V298" s="257">
        <f t="shared" si="56"/>
        <v>2.9549950970772461E-2</v>
      </c>
      <c r="W298" s="257">
        <f t="shared" si="56"/>
        <v>2.9549950970772461E-2</v>
      </c>
      <c r="X298" s="257">
        <f t="shared" si="56"/>
        <v>2.9549950970772461E-2</v>
      </c>
      <c r="Y298" s="257">
        <f t="shared" si="56"/>
        <v>2.9549950970772461E-2</v>
      </c>
    </row>
    <row r="299" spans="2:27" x14ac:dyDescent="0.25">
      <c r="F299" s="14" t="s">
        <v>51</v>
      </c>
      <c r="G299" s="14" t="s">
        <v>528</v>
      </c>
      <c r="J299" s="257">
        <f t="shared" si="56"/>
        <v>0</v>
      </c>
      <c r="K299" s="257">
        <f t="shared" si="56"/>
        <v>0</v>
      </c>
      <c r="L299" s="257">
        <f t="shared" si="56"/>
        <v>0</v>
      </c>
      <c r="M299" s="257">
        <f t="shared" si="56"/>
        <v>0</v>
      </c>
      <c r="N299" s="257">
        <f t="shared" si="56"/>
        <v>0</v>
      </c>
      <c r="O299" s="257">
        <f t="shared" si="56"/>
        <v>0</v>
      </c>
      <c r="P299" s="257">
        <f t="shared" si="56"/>
        <v>0</v>
      </c>
      <c r="Q299" s="257">
        <f t="shared" si="56"/>
        <v>0</v>
      </c>
      <c r="R299" s="257">
        <f t="shared" si="56"/>
        <v>0</v>
      </c>
      <c r="S299" s="257">
        <f t="shared" si="56"/>
        <v>0</v>
      </c>
      <c r="T299" s="257">
        <f t="shared" si="56"/>
        <v>0</v>
      </c>
      <c r="U299" s="257">
        <f t="shared" si="56"/>
        <v>0</v>
      </c>
      <c r="V299" s="257">
        <f t="shared" si="56"/>
        <v>0</v>
      </c>
      <c r="W299" s="257">
        <f t="shared" si="56"/>
        <v>0</v>
      </c>
      <c r="X299" s="257">
        <f t="shared" si="56"/>
        <v>0</v>
      </c>
      <c r="Y299" s="257">
        <f t="shared" si="56"/>
        <v>0</v>
      </c>
    </row>
    <row r="300" spans="2:27" x14ac:dyDescent="0.25">
      <c r="F300" s="14" t="s">
        <v>48</v>
      </c>
      <c r="G300" s="14" t="s">
        <v>528</v>
      </c>
      <c r="J300" s="257">
        <f t="shared" si="56"/>
        <v>4.1322546283744134E-2</v>
      </c>
      <c r="K300" s="257">
        <f t="shared" si="56"/>
        <v>4.1322546283744134E-2</v>
      </c>
      <c r="L300" s="257">
        <f t="shared" si="56"/>
        <v>4.7996346643469308E-2</v>
      </c>
      <c r="M300" s="257">
        <f t="shared" si="56"/>
        <v>4.7996346643469308E-2</v>
      </c>
      <c r="N300" s="257">
        <f t="shared" si="56"/>
        <v>3.7102486338602317E-2</v>
      </c>
      <c r="O300" s="257">
        <f t="shared" si="56"/>
        <v>3.1737751098900924E-2</v>
      </c>
      <c r="P300" s="257">
        <f t="shared" si="56"/>
        <v>3.2214162276805902E-2</v>
      </c>
      <c r="Q300" s="257">
        <f t="shared" si="56"/>
        <v>3.2478419947438684E-2</v>
      </c>
      <c r="R300" s="257">
        <f t="shared" si="56"/>
        <v>2.9549950970772461E-2</v>
      </c>
      <c r="S300" s="257">
        <f t="shared" si="56"/>
        <v>2.9549950970772461E-2</v>
      </c>
      <c r="T300" s="257">
        <f t="shared" si="56"/>
        <v>2.9549950970772461E-2</v>
      </c>
      <c r="U300" s="257">
        <f t="shared" si="56"/>
        <v>2.9549950970772461E-2</v>
      </c>
      <c r="V300" s="257">
        <f t="shared" si="56"/>
        <v>2.9549950970772461E-2</v>
      </c>
      <c r="W300" s="257">
        <f t="shared" si="56"/>
        <v>2.9549950970772461E-2</v>
      </c>
      <c r="X300" s="257">
        <f t="shared" si="56"/>
        <v>2.9549950970772461E-2</v>
      </c>
      <c r="Y300" s="257">
        <f t="shared" si="56"/>
        <v>2.9549950970772461E-2</v>
      </c>
    </row>
    <row r="301" spans="2:27" x14ac:dyDescent="0.25">
      <c r="F301" s="14" t="s">
        <v>49</v>
      </c>
      <c r="G301" s="14" t="s">
        <v>528</v>
      </c>
      <c r="J301" s="257">
        <f t="shared" si="56"/>
        <v>4.1322546283744134E-2</v>
      </c>
      <c r="K301" s="257">
        <f t="shared" si="56"/>
        <v>4.1322546283744134E-2</v>
      </c>
      <c r="L301" s="257">
        <f t="shared" si="56"/>
        <v>4.7996346643469308E-2</v>
      </c>
      <c r="M301" s="257">
        <f t="shared" si="56"/>
        <v>4.7996346643469308E-2</v>
      </c>
      <c r="N301" s="257">
        <f t="shared" si="56"/>
        <v>3.7102486338602317E-2</v>
      </c>
      <c r="O301" s="257">
        <f t="shared" si="56"/>
        <v>3.1737751098900924E-2</v>
      </c>
      <c r="P301" s="257">
        <f t="shared" si="56"/>
        <v>3.2214162276805902E-2</v>
      </c>
      <c r="Q301" s="257">
        <f t="shared" si="56"/>
        <v>3.2478419947438684E-2</v>
      </c>
      <c r="R301" s="257">
        <f t="shared" si="56"/>
        <v>2.9549950970772461E-2</v>
      </c>
      <c r="S301" s="257">
        <f t="shared" si="56"/>
        <v>2.9549950970772461E-2</v>
      </c>
      <c r="T301" s="257">
        <f t="shared" si="56"/>
        <v>2.9549950970772461E-2</v>
      </c>
      <c r="U301" s="257">
        <f t="shared" si="56"/>
        <v>2.9549950970772461E-2</v>
      </c>
      <c r="V301" s="257">
        <f t="shared" si="56"/>
        <v>2.9549950970772461E-2</v>
      </c>
      <c r="W301" s="257">
        <f t="shared" si="56"/>
        <v>2.9549950970772461E-2</v>
      </c>
      <c r="X301" s="257">
        <f t="shared" si="56"/>
        <v>2.9549950970772461E-2</v>
      </c>
      <c r="Y301" s="257">
        <f t="shared" si="56"/>
        <v>2.9549950970772461E-2</v>
      </c>
    </row>
    <row r="302" spans="2:27" x14ac:dyDescent="0.25">
      <c r="F302" s="15" t="s">
        <v>50</v>
      </c>
      <c r="G302" s="15" t="s">
        <v>528</v>
      </c>
      <c r="H302" s="93"/>
      <c r="I302" s="93"/>
      <c r="J302" s="259">
        <f t="shared" si="56"/>
        <v>4.1322546283744134E-2</v>
      </c>
      <c r="K302" s="259">
        <f t="shared" si="56"/>
        <v>4.1322546283744134E-2</v>
      </c>
      <c r="L302" s="259">
        <f t="shared" si="56"/>
        <v>4.7996346643469308E-2</v>
      </c>
      <c r="M302" s="259">
        <f t="shared" si="56"/>
        <v>4.7996346643469308E-2</v>
      </c>
      <c r="N302" s="259">
        <f t="shared" si="56"/>
        <v>3.7102486338602317E-2</v>
      </c>
      <c r="O302" s="259">
        <f t="shared" si="56"/>
        <v>3.1737751098900924E-2</v>
      </c>
      <c r="P302" s="259">
        <f t="shared" si="56"/>
        <v>3.2214162276805902E-2</v>
      </c>
      <c r="Q302" s="259">
        <f t="shared" si="56"/>
        <v>3.2478419947438684E-2</v>
      </c>
      <c r="R302" s="259">
        <f t="shared" si="56"/>
        <v>2.9549950970772461E-2</v>
      </c>
      <c r="S302" s="259">
        <f t="shared" si="56"/>
        <v>2.9549950970772461E-2</v>
      </c>
      <c r="T302" s="259">
        <f t="shared" si="56"/>
        <v>2.9549950970772461E-2</v>
      </c>
      <c r="U302" s="259">
        <f t="shared" si="56"/>
        <v>2.9549950970772461E-2</v>
      </c>
      <c r="V302" s="259">
        <f t="shared" si="56"/>
        <v>2.9549950970772461E-2</v>
      </c>
      <c r="W302" s="259">
        <f t="shared" si="56"/>
        <v>2.9549950970772461E-2</v>
      </c>
      <c r="X302" s="259">
        <f t="shared" si="56"/>
        <v>2.9549950970772461E-2</v>
      </c>
      <c r="Y302" s="259">
        <f t="shared" si="56"/>
        <v>2.9549950970772461E-2</v>
      </c>
    </row>
    <row r="304" spans="2:27" x14ac:dyDescent="0.25">
      <c r="B304" s="95" t="s">
        <v>109</v>
      </c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6" spans="2:27" x14ac:dyDescent="0.25">
      <c r="E306" s="295" t="s">
        <v>516</v>
      </c>
      <c r="G306" s="122" t="s">
        <v>692</v>
      </c>
      <c r="H306" s="152">
        <f t="array" ref="H306">SUM(IF(ISERROR(H20:Y302), 1))</f>
        <v>0</v>
      </c>
    </row>
    <row r="308" spans="2:27" x14ac:dyDescent="0.25">
      <c r="B308" s="95" t="s">
        <v>110</v>
      </c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</sheetData>
  <sheetProtection sheet="1" objects="1" formatCells="0" formatColumns="0" formatRows="0" sort="0" autoFilter="0"/>
  <conditionalFormatting sqref="H306">
    <cfRule type="cellIs" dxfId="154" priority="10" operator="greaterThan">
      <formula>0</formula>
    </cfRule>
  </conditionalFormatting>
  <conditionalFormatting sqref="A4:I4 Z4:XFD4">
    <cfRule type="expression" dxfId="153" priority="9">
      <formula>LEFT($A$4,1) &lt;&gt; "0"</formula>
    </cfRule>
  </conditionalFormatting>
  <conditionalFormatting sqref="N4:P4">
    <cfRule type="expression" dxfId="152" priority="8">
      <formula>LEFT($A$4,1) &lt;&gt; "0"</formula>
    </cfRule>
  </conditionalFormatting>
  <conditionalFormatting sqref="L4:M4">
    <cfRule type="expression" dxfId="151" priority="7">
      <formula>LEFT($A$4,1) &lt;&gt; "0"</formula>
    </cfRule>
  </conditionalFormatting>
  <conditionalFormatting sqref="J4:K4">
    <cfRule type="expression" dxfId="150" priority="6">
      <formula>LEFT($A$4,1) &lt;&gt; "0"</formula>
    </cfRule>
  </conditionalFormatting>
  <conditionalFormatting sqref="Q4">
    <cfRule type="expression" dxfId="149" priority="5">
      <formula>LEFT($A$4,1) &lt;&gt; "0"</formula>
    </cfRule>
  </conditionalFormatting>
  <conditionalFormatting sqref="R4:S4">
    <cfRule type="expression" dxfId="148" priority="4">
      <formula>LEFT($A$4,1) &lt;&gt; "0"</formula>
    </cfRule>
  </conditionalFormatting>
  <conditionalFormatting sqref="T4:U4">
    <cfRule type="expression" dxfId="147" priority="3">
      <formula>LEFT($A$4,1) &lt;&gt; "0"</formula>
    </cfRule>
  </conditionalFormatting>
  <conditionalFormatting sqref="V4:W4">
    <cfRule type="expression" dxfId="146" priority="2">
      <formula>LEFT($A$4,1) &lt;&gt; "0"</formula>
    </cfRule>
  </conditionalFormatting>
  <conditionalFormatting sqref="X4:Y4">
    <cfRule type="expression" dxfId="145" priority="1">
      <formula>LEFT($A$4,1) &lt;&gt; "0"</formula>
    </cfRule>
  </conditionalFormatting>
  <hyperlinks>
    <hyperlink ref="B5:F5" location="'Model map'!A1" display="Click here to return to model map" xr:uid="{00000000-0004-0000-15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2">
    <tabColor theme="4" tint="0.59999389629810485"/>
    <pageSetUpPr fitToPage="1"/>
  </sheetPr>
  <dimension ref="A1:LH32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41" width="17" style="295" hidden="1" customWidth="1"/>
    <col min="42" max="42" width="3.5703125" style="295" hidden="1" customWidth="1"/>
    <col min="43" max="43" width="18.42578125" style="295" hidden="1" customWidth="1"/>
    <col min="44" max="44" width="4.42578125" style="295" hidden="1" customWidth="1"/>
    <col min="45" max="45" width="24.5703125" style="295" hidden="1" customWidth="1"/>
    <col min="46" max="46" width="3.5703125" style="295" hidden="1" customWidth="1"/>
    <col min="47" max="47" width="15.42578125" style="295" hidden="1" customWidth="1"/>
    <col min="48" max="320" width="24.5703125" style="295" hidden="1" customWidth="1"/>
    <col min="321" max="16384" width="8.85546875" style="295" hidden="1"/>
  </cols>
  <sheetData>
    <row r="1" spans="1:43" s="10" customFormat="1" x14ac:dyDescent="0.25">
      <c r="A1" s="10" t="str">
        <f ca="1">MID(CELL("filename",A1),FIND("]",CELL("filename",A1))+1,255)</f>
        <v>System peak demand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43" x14ac:dyDescent="0.25">
      <c r="A4" s="371" t="str">
        <f>H281 &amp; IF(H281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72" t="s">
        <v>552</v>
      </c>
      <c r="C5" s="373"/>
      <c r="D5" s="373"/>
      <c r="E5" s="373"/>
      <c r="F5" s="373"/>
      <c r="G5" s="1" t="s">
        <v>91</v>
      </c>
      <c r="H5" s="2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416</v>
      </c>
      <c r="D9" s="82"/>
    </row>
    <row r="10" spans="1:43" x14ac:dyDescent="0.25">
      <c r="C10" s="82" t="s">
        <v>413</v>
      </c>
      <c r="D10" s="82"/>
    </row>
    <row r="11" spans="1:43" x14ac:dyDescent="0.25">
      <c r="C11" s="82" t="s">
        <v>362</v>
      </c>
      <c r="D11" s="82"/>
    </row>
    <row r="12" spans="1:43" x14ac:dyDescent="0.25">
      <c r="C12" s="82"/>
      <c r="D12" s="82" t="s">
        <v>363</v>
      </c>
    </row>
    <row r="13" spans="1:43" x14ac:dyDescent="0.25">
      <c r="C13" s="82"/>
      <c r="D13" s="82" t="s">
        <v>364</v>
      </c>
    </row>
    <row r="14" spans="1:43" x14ac:dyDescent="0.25">
      <c r="C14" s="82"/>
      <c r="D14" s="82" t="s">
        <v>365</v>
      </c>
    </row>
    <row r="16" spans="1:43" x14ac:dyDescent="0.25">
      <c r="B16" s="95" t="s">
        <v>773</v>
      </c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Q16" s="95"/>
    </row>
    <row r="17" spans="3:43" x14ac:dyDescent="0.25">
      <c r="C17" s="96"/>
      <c r="AQ17" s="88"/>
    </row>
    <row r="18" spans="3:43" x14ac:dyDescent="0.25">
      <c r="C18" s="7" t="str">
        <f ca="1">INDEX('Version control'!$H$34:$H$58,MATCH($A$1,'Version control'!$F$34:$F$58,0),1)&amp;"-A: Common inputs for chargeable load calculations"</f>
        <v>Section 509-A: Common inputs for chargeable load calculations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Q18" s="88"/>
    </row>
    <row r="19" spans="3:43" x14ac:dyDescent="0.25">
      <c r="H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</row>
    <row r="20" spans="3:43" x14ac:dyDescent="0.25">
      <c r="D20" s="82" t="s">
        <v>415</v>
      </c>
      <c r="AQ20" s="88"/>
    </row>
    <row r="21" spans="3:43" x14ac:dyDescent="0.25">
      <c r="C21" s="96"/>
      <c r="AQ21" s="88"/>
    </row>
    <row r="22" spans="3:43" x14ac:dyDescent="0.25">
      <c r="E22" s="96" t="s">
        <v>618</v>
      </c>
      <c r="H22" s="111"/>
      <c r="J22" s="90"/>
      <c r="L22" s="90"/>
      <c r="AQ22" s="88"/>
    </row>
    <row r="23" spans="3:43" x14ac:dyDescent="0.25">
      <c r="E23" s="96"/>
      <c r="F23" s="91" t="s">
        <v>43</v>
      </c>
      <c r="G23" s="91" t="s">
        <v>94</v>
      </c>
      <c r="H23" s="74"/>
      <c r="I23" s="91"/>
      <c r="J23" s="137">
        <f>'Standing charge factors'!J44</f>
        <v>0</v>
      </c>
      <c r="K23" s="137">
        <f>'Standing charge factors'!K44</f>
        <v>0</v>
      </c>
      <c r="L23" s="137">
        <f>'Standing charge factors'!L44</f>
        <v>0</v>
      </c>
      <c r="M23" s="137">
        <f>'Standing charge factors'!M44</f>
        <v>0</v>
      </c>
      <c r="N23" s="137">
        <f>'Standing charge factors'!N44</f>
        <v>0</v>
      </c>
      <c r="O23" s="137">
        <f>'Standing charge factors'!O44</f>
        <v>0</v>
      </c>
      <c r="P23" s="137">
        <f>'Standing charge factors'!P44</f>
        <v>0</v>
      </c>
      <c r="Q23" s="137">
        <f>'Standing charge factors'!Q44</f>
        <v>0</v>
      </c>
      <c r="R23" s="137">
        <f>'Standing charge factors'!R44</f>
        <v>0</v>
      </c>
      <c r="S23" s="137">
        <f>'Standing charge factors'!S44</f>
        <v>0</v>
      </c>
      <c r="T23" s="137">
        <f>'Standing charge factors'!T44</f>
        <v>0</v>
      </c>
      <c r="U23" s="137">
        <f>'Standing charge factors'!U44</f>
        <v>0</v>
      </c>
      <c r="V23" s="137">
        <f>'Standing charge factors'!V44</f>
        <v>0</v>
      </c>
      <c r="W23" s="137">
        <f>'Standing charge factors'!W44</f>
        <v>0</v>
      </c>
      <c r="X23" s="137">
        <f>'Standing charge factors'!X44</f>
        <v>0</v>
      </c>
      <c r="Y23" s="137">
        <f>'Standing charge factors'!Y44</f>
        <v>0</v>
      </c>
      <c r="AQ23" s="88"/>
    </row>
    <row r="24" spans="3:43" x14ac:dyDescent="0.25">
      <c r="E24" s="96"/>
      <c r="F24" s="295" t="s">
        <v>44</v>
      </c>
      <c r="G24" s="295" t="s">
        <v>94</v>
      </c>
      <c r="H24" s="90"/>
      <c r="J24" s="143">
        <f>'Standing charge factors'!J45</f>
        <v>0</v>
      </c>
      <c r="K24" s="143">
        <f>'Standing charge factors'!K45</f>
        <v>0</v>
      </c>
      <c r="L24" s="143">
        <f>'Standing charge factors'!L45</f>
        <v>0</v>
      </c>
      <c r="M24" s="143">
        <f>'Standing charge factors'!M45</f>
        <v>0</v>
      </c>
      <c r="N24" s="143">
        <f>'Standing charge factors'!N45</f>
        <v>0</v>
      </c>
      <c r="O24" s="143">
        <f>'Standing charge factors'!O45</f>
        <v>0</v>
      </c>
      <c r="P24" s="143">
        <f>'Standing charge factors'!P45</f>
        <v>0</v>
      </c>
      <c r="Q24" s="143">
        <f>'Standing charge factors'!Q45</f>
        <v>0</v>
      </c>
      <c r="R24" s="143">
        <f>'Standing charge factors'!R45</f>
        <v>0</v>
      </c>
      <c r="S24" s="143">
        <f>'Standing charge factors'!S45</f>
        <v>0</v>
      </c>
      <c r="T24" s="143">
        <f>'Standing charge factors'!T45</f>
        <v>0</v>
      </c>
      <c r="U24" s="143">
        <f>'Standing charge factors'!U45</f>
        <v>0</v>
      </c>
      <c r="V24" s="143">
        <f>'Standing charge factors'!V45</f>
        <v>0</v>
      </c>
      <c r="W24" s="143">
        <f>'Standing charge factors'!W45</f>
        <v>0</v>
      </c>
      <c r="X24" s="143">
        <f>'Standing charge factors'!X45</f>
        <v>0</v>
      </c>
      <c r="Y24" s="143">
        <f>'Standing charge factors'!Y45</f>
        <v>0</v>
      </c>
      <c r="AQ24" s="88"/>
    </row>
    <row r="25" spans="3:43" x14ac:dyDescent="0.25">
      <c r="E25" s="96"/>
      <c r="F25" s="295" t="s">
        <v>45</v>
      </c>
      <c r="G25" s="295" t="s">
        <v>94</v>
      </c>
      <c r="H25" s="90"/>
      <c r="J25" s="143">
        <f>'Standing charge factors'!J46</f>
        <v>0</v>
      </c>
      <c r="K25" s="143">
        <f>'Standing charge factors'!K46</f>
        <v>0</v>
      </c>
      <c r="L25" s="143">
        <f>'Standing charge factors'!L46</f>
        <v>0</v>
      </c>
      <c r="M25" s="143">
        <f>'Standing charge factors'!M46</f>
        <v>0</v>
      </c>
      <c r="N25" s="143">
        <f>'Standing charge factors'!N46</f>
        <v>0</v>
      </c>
      <c r="O25" s="143">
        <f>'Standing charge factors'!O46</f>
        <v>0</v>
      </c>
      <c r="P25" s="143">
        <f>'Standing charge factors'!P46</f>
        <v>0</v>
      </c>
      <c r="Q25" s="143">
        <f>'Standing charge factors'!Q46</f>
        <v>0</v>
      </c>
      <c r="R25" s="143">
        <f>'Standing charge factors'!R46</f>
        <v>0</v>
      </c>
      <c r="S25" s="143">
        <f>'Standing charge factors'!S46</f>
        <v>0</v>
      </c>
      <c r="T25" s="143">
        <f>'Standing charge factors'!T46</f>
        <v>0</v>
      </c>
      <c r="U25" s="143">
        <f>'Standing charge factors'!U46</f>
        <v>0</v>
      </c>
      <c r="V25" s="143">
        <f>'Standing charge factors'!V46</f>
        <v>0</v>
      </c>
      <c r="W25" s="143">
        <f>'Standing charge factors'!W46</f>
        <v>0</v>
      </c>
      <c r="X25" s="143">
        <f>'Standing charge factors'!X46</f>
        <v>0</v>
      </c>
      <c r="Y25" s="143">
        <f>'Standing charge factors'!Y46</f>
        <v>0</v>
      </c>
      <c r="AQ25" s="88"/>
    </row>
    <row r="26" spans="3:43" x14ac:dyDescent="0.25">
      <c r="E26" s="96"/>
      <c r="F26" s="295" t="s">
        <v>46</v>
      </c>
      <c r="G26" s="295" t="s">
        <v>94</v>
      </c>
      <c r="H26" s="90"/>
      <c r="J26" s="143">
        <f>'Standing charge factors'!J47</f>
        <v>0</v>
      </c>
      <c r="K26" s="143">
        <f>'Standing charge factors'!K47</f>
        <v>0</v>
      </c>
      <c r="L26" s="143">
        <f>'Standing charge factors'!L47</f>
        <v>0</v>
      </c>
      <c r="M26" s="143">
        <f>'Standing charge factors'!M47</f>
        <v>0</v>
      </c>
      <c r="N26" s="143">
        <f>'Standing charge factors'!N47</f>
        <v>0</v>
      </c>
      <c r="O26" s="143">
        <f>'Standing charge factors'!O47</f>
        <v>0</v>
      </c>
      <c r="P26" s="143">
        <f>'Standing charge factors'!P47</f>
        <v>0.2</v>
      </c>
      <c r="Q26" s="143">
        <f>'Standing charge factors'!Q47</f>
        <v>0</v>
      </c>
      <c r="R26" s="143">
        <f>'Standing charge factors'!R47</f>
        <v>0</v>
      </c>
      <c r="S26" s="143">
        <f>'Standing charge factors'!S47</f>
        <v>0</v>
      </c>
      <c r="T26" s="143">
        <f>'Standing charge factors'!T47</f>
        <v>0</v>
      </c>
      <c r="U26" s="143">
        <f>'Standing charge factors'!U47</f>
        <v>0</v>
      </c>
      <c r="V26" s="143">
        <f>'Standing charge factors'!V47</f>
        <v>0</v>
      </c>
      <c r="W26" s="143">
        <f>'Standing charge factors'!W47</f>
        <v>0</v>
      </c>
      <c r="X26" s="143">
        <f>'Standing charge factors'!X47</f>
        <v>0</v>
      </c>
      <c r="Y26" s="143">
        <f>'Standing charge factors'!Y47</f>
        <v>0</v>
      </c>
      <c r="AQ26" s="88"/>
    </row>
    <row r="27" spans="3:43" x14ac:dyDescent="0.25">
      <c r="E27" s="96"/>
      <c r="F27" s="295" t="s">
        <v>47</v>
      </c>
      <c r="G27" s="295" t="s">
        <v>94</v>
      </c>
      <c r="H27" s="90"/>
      <c r="J27" s="143">
        <f>'Standing charge factors'!J48</f>
        <v>0</v>
      </c>
      <c r="K27" s="143">
        <f>'Standing charge factors'!K48</f>
        <v>0</v>
      </c>
      <c r="L27" s="143">
        <f>'Standing charge factors'!L48</f>
        <v>0</v>
      </c>
      <c r="M27" s="143">
        <f>'Standing charge factors'!M48</f>
        <v>0</v>
      </c>
      <c r="N27" s="143">
        <f>'Standing charge factors'!N48</f>
        <v>0</v>
      </c>
      <c r="O27" s="143">
        <f>'Standing charge factors'!O48</f>
        <v>0</v>
      </c>
      <c r="P27" s="143">
        <f>'Standing charge factors'!P48</f>
        <v>1</v>
      </c>
      <c r="Q27" s="143">
        <f>'Standing charge factors'!Q48</f>
        <v>0</v>
      </c>
      <c r="R27" s="143">
        <f>'Standing charge factors'!R48</f>
        <v>0</v>
      </c>
      <c r="S27" s="143">
        <f>'Standing charge factors'!S48</f>
        <v>0</v>
      </c>
      <c r="T27" s="143">
        <f>'Standing charge factors'!T48</f>
        <v>0</v>
      </c>
      <c r="U27" s="143">
        <f>'Standing charge factors'!U48</f>
        <v>0</v>
      </c>
      <c r="V27" s="143">
        <f>'Standing charge factors'!V48</f>
        <v>0</v>
      </c>
      <c r="W27" s="143">
        <f>'Standing charge factors'!W48</f>
        <v>0</v>
      </c>
      <c r="X27" s="143">
        <f>'Standing charge factors'!X48</f>
        <v>0</v>
      </c>
      <c r="Y27" s="143">
        <f>'Standing charge factors'!Y48</f>
        <v>0</v>
      </c>
      <c r="AQ27" s="88"/>
    </row>
    <row r="28" spans="3:43" x14ac:dyDescent="0.25">
      <c r="E28" s="96"/>
      <c r="F28" s="295" t="s">
        <v>51</v>
      </c>
      <c r="G28" s="295" t="s">
        <v>94</v>
      </c>
      <c r="H28" s="90"/>
      <c r="J28" s="143">
        <f>'Standing charge factors'!J49</f>
        <v>0</v>
      </c>
      <c r="K28" s="143">
        <f>'Standing charge factors'!K49</f>
        <v>0</v>
      </c>
      <c r="L28" s="143">
        <f>'Standing charge factors'!L49</f>
        <v>0</v>
      </c>
      <c r="M28" s="143">
        <f>'Standing charge factors'!M49</f>
        <v>0</v>
      </c>
      <c r="N28" s="143">
        <f>'Standing charge factors'!N49</f>
        <v>0</v>
      </c>
      <c r="O28" s="143">
        <f>'Standing charge factors'!O49</f>
        <v>0</v>
      </c>
      <c r="P28" s="143">
        <f>'Standing charge factors'!P49</f>
        <v>1</v>
      </c>
      <c r="Q28" s="143">
        <f>'Standing charge factors'!Q49</f>
        <v>0</v>
      </c>
      <c r="R28" s="143">
        <f>'Standing charge factors'!R49</f>
        <v>0</v>
      </c>
      <c r="S28" s="143">
        <f>'Standing charge factors'!S49</f>
        <v>0</v>
      </c>
      <c r="T28" s="143">
        <f>'Standing charge factors'!T49</f>
        <v>0</v>
      </c>
      <c r="U28" s="143">
        <f>'Standing charge factors'!U49</f>
        <v>0</v>
      </c>
      <c r="V28" s="143">
        <f>'Standing charge factors'!V49</f>
        <v>0</v>
      </c>
      <c r="W28" s="143">
        <f>'Standing charge factors'!W49</f>
        <v>0</v>
      </c>
      <c r="X28" s="143">
        <f>'Standing charge factors'!X49</f>
        <v>0</v>
      </c>
      <c r="Y28" s="143">
        <f>'Standing charge factors'!Y49</f>
        <v>0</v>
      </c>
      <c r="AQ28" s="88"/>
    </row>
    <row r="29" spans="3:43" x14ac:dyDescent="0.25">
      <c r="E29" s="96"/>
      <c r="F29" s="295" t="s">
        <v>48</v>
      </c>
      <c r="G29" s="295" t="s">
        <v>94</v>
      </c>
      <c r="H29" s="90"/>
      <c r="J29" s="143">
        <f>'Standing charge factors'!J50</f>
        <v>0</v>
      </c>
      <c r="K29" s="143">
        <f>'Standing charge factors'!K50</f>
        <v>0</v>
      </c>
      <c r="L29" s="143">
        <f>'Standing charge factors'!L50</f>
        <v>0</v>
      </c>
      <c r="M29" s="143">
        <f>'Standing charge factors'!M50</f>
        <v>0</v>
      </c>
      <c r="N29" s="143">
        <f>'Standing charge factors'!N50</f>
        <v>0.2</v>
      </c>
      <c r="O29" s="143">
        <f>'Standing charge factors'!O50</f>
        <v>1</v>
      </c>
      <c r="P29" s="143">
        <f>'Standing charge factors'!P50</f>
        <v>1</v>
      </c>
      <c r="Q29" s="143">
        <f>'Standing charge factors'!Q50</f>
        <v>0</v>
      </c>
      <c r="R29" s="143">
        <f>'Standing charge factors'!R50</f>
        <v>0</v>
      </c>
      <c r="S29" s="143">
        <f>'Standing charge factors'!S50</f>
        <v>0</v>
      </c>
      <c r="T29" s="143">
        <f>'Standing charge factors'!T50</f>
        <v>0</v>
      </c>
      <c r="U29" s="143">
        <f>'Standing charge factors'!U50</f>
        <v>0</v>
      </c>
      <c r="V29" s="143">
        <f>'Standing charge factors'!V50</f>
        <v>0</v>
      </c>
      <c r="W29" s="143">
        <f>'Standing charge factors'!W50</f>
        <v>0</v>
      </c>
      <c r="X29" s="143">
        <f>'Standing charge factors'!X50</f>
        <v>0</v>
      </c>
      <c r="Y29" s="143">
        <f>'Standing charge factors'!Y50</f>
        <v>0</v>
      </c>
      <c r="AQ29" s="88"/>
    </row>
    <row r="30" spans="3:43" x14ac:dyDescent="0.25">
      <c r="E30" s="96"/>
      <c r="F30" s="295" t="s">
        <v>49</v>
      </c>
      <c r="G30" s="295" t="s">
        <v>94</v>
      </c>
      <c r="H30" s="90"/>
      <c r="J30" s="143">
        <f>'Standing charge factors'!J51</f>
        <v>0</v>
      </c>
      <c r="K30" s="143">
        <f>'Standing charge factors'!K51</f>
        <v>0</v>
      </c>
      <c r="L30" s="143">
        <f>'Standing charge factors'!L51</f>
        <v>0</v>
      </c>
      <c r="M30" s="143">
        <f>'Standing charge factors'!M51</f>
        <v>0</v>
      </c>
      <c r="N30" s="143">
        <f>'Standing charge factors'!N51</f>
        <v>1</v>
      </c>
      <c r="O30" s="143">
        <f>'Standing charge factors'!O51</f>
        <v>1</v>
      </c>
      <c r="P30" s="143">
        <f>'Standing charge factors'!P51</f>
        <v>0</v>
      </c>
      <c r="Q30" s="143">
        <f>'Standing charge factors'!Q51</f>
        <v>0</v>
      </c>
      <c r="R30" s="143">
        <f>'Standing charge factors'!R51</f>
        <v>0</v>
      </c>
      <c r="S30" s="143">
        <f>'Standing charge factors'!S51</f>
        <v>0</v>
      </c>
      <c r="T30" s="143">
        <f>'Standing charge factors'!T51</f>
        <v>0</v>
      </c>
      <c r="U30" s="143">
        <f>'Standing charge factors'!U51</f>
        <v>0</v>
      </c>
      <c r="V30" s="143">
        <f>'Standing charge factors'!V51</f>
        <v>0</v>
      </c>
      <c r="W30" s="143">
        <f>'Standing charge factors'!W51</f>
        <v>0</v>
      </c>
      <c r="X30" s="143">
        <f>'Standing charge factors'!X51</f>
        <v>0</v>
      </c>
      <c r="Y30" s="143">
        <f>'Standing charge factors'!Y51</f>
        <v>0</v>
      </c>
      <c r="AQ30" s="88"/>
    </row>
    <row r="31" spans="3:43" x14ac:dyDescent="0.25">
      <c r="E31" s="96"/>
      <c r="F31" s="93" t="s">
        <v>50</v>
      </c>
      <c r="G31" s="93" t="s">
        <v>94</v>
      </c>
      <c r="H31" s="187"/>
      <c r="I31" s="93"/>
      <c r="J31" s="395">
        <f>'Standing charge factors'!J52</f>
        <v>1</v>
      </c>
      <c r="K31" s="395">
        <f>'Standing charge factors'!K52</f>
        <v>1</v>
      </c>
      <c r="L31" s="395">
        <f>'Standing charge factors'!L52</f>
        <v>1</v>
      </c>
      <c r="M31" s="395">
        <f>'Standing charge factors'!M52</f>
        <v>1</v>
      </c>
      <c r="N31" s="395">
        <f>'Standing charge factors'!N52</f>
        <v>1</v>
      </c>
      <c r="O31" s="395">
        <f>'Standing charge factors'!O52</f>
        <v>0</v>
      </c>
      <c r="P31" s="395">
        <f>'Standing charge factors'!P52</f>
        <v>0</v>
      </c>
      <c r="Q31" s="395">
        <f>'Standing charge factors'!Q52</f>
        <v>0</v>
      </c>
      <c r="R31" s="395">
        <f>'Standing charge factors'!R52</f>
        <v>0</v>
      </c>
      <c r="S31" s="395">
        <f>'Standing charge factors'!S52</f>
        <v>0</v>
      </c>
      <c r="T31" s="395">
        <f>'Standing charge factors'!T52</f>
        <v>0</v>
      </c>
      <c r="U31" s="395">
        <f>'Standing charge factors'!U52</f>
        <v>0</v>
      </c>
      <c r="V31" s="395">
        <f>'Standing charge factors'!V52</f>
        <v>0</v>
      </c>
      <c r="W31" s="395">
        <f>'Standing charge factors'!W52</f>
        <v>0</v>
      </c>
      <c r="X31" s="395">
        <f>'Standing charge factors'!X52</f>
        <v>0</v>
      </c>
      <c r="Y31" s="395">
        <f>'Standing charge factors'!Y52</f>
        <v>0</v>
      </c>
      <c r="AQ31" s="88"/>
    </row>
    <row r="32" spans="3:43" x14ac:dyDescent="0.25">
      <c r="E32" s="96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AQ32" s="88"/>
    </row>
    <row r="33" spans="5:43" x14ac:dyDescent="0.25">
      <c r="E33" s="96" t="s">
        <v>619</v>
      </c>
      <c r="I33" s="295" t="s">
        <v>431</v>
      </c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AA33" s="295" t="s">
        <v>862</v>
      </c>
      <c r="AQ33" s="88"/>
    </row>
    <row r="34" spans="5:43" x14ac:dyDescent="0.25">
      <c r="E34" s="96"/>
      <c r="F34" s="91" t="s">
        <v>43</v>
      </c>
      <c r="G34" s="91" t="s">
        <v>528</v>
      </c>
      <c r="H34" s="278"/>
      <c r="I34" s="278"/>
      <c r="J34" s="273">
        <f t="array" ref="J34:Y42">TRANSPOSE('Load &amp; loss characteristics'!K145:S160)</f>
        <v>1.0980000000000001</v>
      </c>
      <c r="K34" s="273">
        <v>1.0980000000000001</v>
      </c>
      <c r="L34" s="273">
        <v>1.0980000000000001</v>
      </c>
      <c r="M34" s="273">
        <v>1.0980000000000001</v>
      </c>
      <c r="N34" s="273">
        <v>1.0980000000000001</v>
      </c>
      <c r="O34" s="273">
        <v>1.044</v>
      </c>
      <c r="P34" s="273">
        <v>1.026</v>
      </c>
      <c r="Q34" s="273">
        <v>1.0980000000000001</v>
      </c>
      <c r="R34" s="273">
        <v>-1.0980000000000001</v>
      </c>
      <c r="S34" s="273">
        <v>-1.044</v>
      </c>
      <c r="T34" s="273">
        <v>-1.0980000000000001</v>
      </c>
      <c r="U34" s="273">
        <v>-1.0980000000000001</v>
      </c>
      <c r="V34" s="273">
        <v>-1.044</v>
      </c>
      <c r="W34" s="273">
        <v>-1.044</v>
      </c>
      <c r="X34" s="273">
        <v>-1.026</v>
      </c>
      <c r="Y34" s="273">
        <v>-1.026</v>
      </c>
      <c r="AQ34" s="88"/>
    </row>
    <row r="35" spans="5:43" x14ac:dyDescent="0.25">
      <c r="E35" s="96"/>
      <c r="F35" s="295" t="s">
        <v>44</v>
      </c>
      <c r="G35" s="295" t="s">
        <v>528</v>
      </c>
      <c r="H35" s="253"/>
      <c r="I35" s="253"/>
      <c r="J35" s="274">
        <v>1.0980000000000001</v>
      </c>
      <c r="K35" s="274">
        <v>1.0980000000000001</v>
      </c>
      <c r="L35" s="274">
        <v>1.0980000000000001</v>
      </c>
      <c r="M35" s="274">
        <v>1.0980000000000001</v>
      </c>
      <c r="N35" s="274">
        <v>1.0980000000000001</v>
      </c>
      <c r="O35" s="274">
        <v>1.044</v>
      </c>
      <c r="P35" s="274">
        <v>1.026</v>
      </c>
      <c r="Q35" s="274">
        <v>1.0980000000000001</v>
      </c>
      <c r="R35" s="274">
        <v>-1.0980000000000001</v>
      </c>
      <c r="S35" s="274">
        <v>-1.044</v>
      </c>
      <c r="T35" s="274">
        <v>-1.0980000000000001</v>
      </c>
      <c r="U35" s="274">
        <v>-1.0980000000000001</v>
      </c>
      <c r="V35" s="274">
        <v>-1.044</v>
      </c>
      <c r="W35" s="274">
        <v>-1.044</v>
      </c>
      <c r="X35" s="274">
        <v>-1.026</v>
      </c>
      <c r="Y35" s="274">
        <v>-1.026</v>
      </c>
      <c r="AQ35" s="88"/>
    </row>
    <row r="36" spans="5:43" x14ac:dyDescent="0.25">
      <c r="E36" s="96"/>
      <c r="F36" s="295" t="s">
        <v>45</v>
      </c>
      <c r="G36" s="295" t="s">
        <v>528</v>
      </c>
      <c r="H36" s="253"/>
      <c r="I36" s="253"/>
      <c r="J36" s="274">
        <v>1.0980000000000001</v>
      </c>
      <c r="K36" s="274">
        <v>1.0980000000000001</v>
      </c>
      <c r="L36" s="274">
        <v>1.0980000000000001</v>
      </c>
      <c r="M36" s="274">
        <v>1.0980000000000001</v>
      </c>
      <c r="N36" s="274">
        <v>1.0980000000000001</v>
      </c>
      <c r="O36" s="274">
        <v>1.044</v>
      </c>
      <c r="P36" s="274">
        <v>1.026</v>
      </c>
      <c r="Q36" s="274">
        <v>1.0980000000000001</v>
      </c>
      <c r="R36" s="274">
        <v>-1.0980000000000001</v>
      </c>
      <c r="S36" s="274">
        <v>-1.044</v>
      </c>
      <c r="T36" s="274">
        <v>-1.0980000000000001</v>
      </c>
      <c r="U36" s="274">
        <v>-1.0980000000000001</v>
      </c>
      <c r="V36" s="274">
        <v>-1.044</v>
      </c>
      <c r="W36" s="274">
        <v>-1.044</v>
      </c>
      <c r="X36" s="274">
        <v>-1.026</v>
      </c>
      <c r="Y36" s="274">
        <v>-1.026</v>
      </c>
      <c r="AQ36" s="88"/>
    </row>
    <row r="37" spans="5:43" x14ac:dyDescent="0.25">
      <c r="E37" s="96"/>
      <c r="F37" s="295" t="s">
        <v>46</v>
      </c>
      <c r="G37" s="295" t="s">
        <v>528</v>
      </c>
      <c r="H37" s="253"/>
      <c r="I37" s="253"/>
      <c r="J37" s="274">
        <v>1.0980000000000001</v>
      </c>
      <c r="K37" s="274">
        <v>1.0980000000000001</v>
      </c>
      <c r="L37" s="274">
        <v>1.0980000000000001</v>
      </c>
      <c r="M37" s="274">
        <v>1.0980000000000001</v>
      </c>
      <c r="N37" s="274">
        <v>1.0980000000000001</v>
      </c>
      <c r="O37" s="274">
        <v>1.044</v>
      </c>
      <c r="P37" s="274">
        <v>1.026</v>
      </c>
      <c r="Q37" s="274">
        <v>1.0980000000000001</v>
      </c>
      <c r="R37" s="274">
        <v>-1.0980000000000001</v>
      </c>
      <c r="S37" s="274">
        <v>-1.044</v>
      </c>
      <c r="T37" s="274">
        <v>-1.0980000000000001</v>
      </c>
      <c r="U37" s="274">
        <v>-1.0980000000000001</v>
      </c>
      <c r="V37" s="274">
        <v>-1.044</v>
      </c>
      <c r="W37" s="274">
        <v>-1.044</v>
      </c>
      <c r="X37" s="274">
        <v>-1.026</v>
      </c>
      <c r="Y37" s="274">
        <v>-1.026</v>
      </c>
      <c r="AQ37" s="88"/>
    </row>
    <row r="38" spans="5:43" x14ac:dyDescent="0.25">
      <c r="E38" s="96"/>
      <c r="F38" s="295" t="s">
        <v>47</v>
      </c>
      <c r="G38" s="295" t="s">
        <v>528</v>
      </c>
      <c r="H38" s="253"/>
      <c r="I38" s="253"/>
      <c r="J38" s="274">
        <v>1.0980000000000001</v>
      </c>
      <c r="K38" s="274">
        <v>1.0980000000000001</v>
      </c>
      <c r="L38" s="274">
        <v>1.0980000000000001</v>
      </c>
      <c r="M38" s="274">
        <v>1.0980000000000001</v>
      </c>
      <c r="N38" s="274">
        <v>1.0980000000000001</v>
      </c>
      <c r="O38" s="274">
        <v>1.044</v>
      </c>
      <c r="P38" s="274">
        <v>1.026</v>
      </c>
      <c r="Q38" s="274">
        <v>1.0980000000000001</v>
      </c>
      <c r="R38" s="274">
        <v>-1.0980000000000001</v>
      </c>
      <c r="S38" s="274">
        <v>-1.044</v>
      </c>
      <c r="T38" s="274">
        <v>-1.0980000000000001</v>
      </c>
      <c r="U38" s="274">
        <v>-1.0980000000000001</v>
      </c>
      <c r="V38" s="274">
        <v>-1.044</v>
      </c>
      <c r="W38" s="274">
        <v>-1.044</v>
      </c>
      <c r="X38" s="274">
        <v>-1.026</v>
      </c>
      <c r="Y38" s="274">
        <v>-1.026</v>
      </c>
      <c r="AQ38" s="88"/>
    </row>
    <row r="39" spans="5:43" x14ac:dyDescent="0.25">
      <c r="E39" s="96"/>
      <c r="F39" s="295" t="s">
        <v>51</v>
      </c>
      <c r="G39" s="295" t="s">
        <v>528</v>
      </c>
      <c r="H39" s="253"/>
      <c r="I39" s="253"/>
      <c r="J39" s="274">
        <v>0</v>
      </c>
      <c r="K39" s="274">
        <v>0</v>
      </c>
      <c r="L39" s="274">
        <v>0</v>
      </c>
      <c r="M39" s="274">
        <v>0</v>
      </c>
      <c r="N39" s="274">
        <v>0</v>
      </c>
      <c r="O39" s="274">
        <v>0</v>
      </c>
      <c r="P39" s="274">
        <v>0</v>
      </c>
      <c r="Q39" s="274">
        <v>0</v>
      </c>
      <c r="R39" s="274">
        <v>0</v>
      </c>
      <c r="S39" s="274">
        <v>0</v>
      </c>
      <c r="T39" s="274">
        <v>0</v>
      </c>
      <c r="U39" s="274">
        <v>0</v>
      </c>
      <c r="V39" s="274">
        <v>0</v>
      </c>
      <c r="W39" s="274">
        <v>0</v>
      </c>
      <c r="X39" s="274">
        <v>0</v>
      </c>
      <c r="Y39" s="274">
        <v>0</v>
      </c>
      <c r="AQ39" s="88"/>
    </row>
    <row r="40" spans="5:43" x14ac:dyDescent="0.25">
      <c r="E40" s="96"/>
      <c r="F40" s="295" t="s">
        <v>48</v>
      </c>
      <c r="G40" s="295" t="s">
        <v>528</v>
      </c>
      <c r="H40" s="253"/>
      <c r="I40" s="253"/>
      <c r="J40" s="274">
        <v>1.0980000000000001</v>
      </c>
      <c r="K40" s="274">
        <v>1.0980000000000001</v>
      </c>
      <c r="L40" s="274">
        <v>1.0980000000000001</v>
      </c>
      <c r="M40" s="274">
        <v>1.0980000000000001</v>
      </c>
      <c r="N40" s="274">
        <v>1.0980000000000001</v>
      </c>
      <c r="O40" s="274">
        <v>1.044</v>
      </c>
      <c r="P40" s="274">
        <v>1.026</v>
      </c>
      <c r="Q40" s="274">
        <v>1.0980000000000001</v>
      </c>
      <c r="R40" s="274">
        <v>-1.0980000000000001</v>
      </c>
      <c r="S40" s="274">
        <v>-1.044</v>
      </c>
      <c r="T40" s="274">
        <v>-1.0980000000000001</v>
      </c>
      <c r="U40" s="274">
        <v>-1.0980000000000001</v>
      </c>
      <c r="V40" s="274">
        <v>-1.044</v>
      </c>
      <c r="W40" s="274">
        <v>-1.044</v>
      </c>
      <c r="X40" s="274">
        <v>0</v>
      </c>
      <c r="Y40" s="274">
        <v>0</v>
      </c>
      <c r="AQ40" s="88"/>
    </row>
    <row r="41" spans="5:43" x14ac:dyDescent="0.25">
      <c r="E41" s="96"/>
      <c r="F41" s="295" t="s">
        <v>49</v>
      </c>
      <c r="G41" s="295" t="s">
        <v>528</v>
      </c>
      <c r="H41" s="253"/>
      <c r="I41" s="253"/>
      <c r="J41" s="274">
        <v>1.0980000000000001</v>
      </c>
      <c r="K41" s="274">
        <v>1.0980000000000001</v>
      </c>
      <c r="L41" s="274">
        <v>1.0980000000000001</v>
      </c>
      <c r="M41" s="274">
        <v>1.0980000000000001</v>
      </c>
      <c r="N41" s="274">
        <v>1.0980000000000001</v>
      </c>
      <c r="O41" s="274">
        <v>1.044</v>
      </c>
      <c r="P41" s="274">
        <v>0</v>
      </c>
      <c r="Q41" s="274">
        <v>1.0980000000000001</v>
      </c>
      <c r="R41" s="274">
        <v>-1.0980000000000001</v>
      </c>
      <c r="S41" s="274">
        <v>0</v>
      </c>
      <c r="T41" s="274">
        <v>-1.0980000000000001</v>
      </c>
      <c r="U41" s="274">
        <v>-1.0980000000000001</v>
      </c>
      <c r="V41" s="274">
        <v>0</v>
      </c>
      <c r="W41" s="274">
        <v>0</v>
      </c>
      <c r="X41" s="274">
        <v>0</v>
      </c>
      <c r="Y41" s="274">
        <v>0</v>
      </c>
      <c r="AQ41" s="88"/>
    </row>
    <row r="42" spans="5:43" x14ac:dyDescent="0.25">
      <c r="E42" s="96"/>
      <c r="F42" s="93" t="s">
        <v>50</v>
      </c>
      <c r="G42" s="93" t="s">
        <v>528</v>
      </c>
      <c r="H42" s="272"/>
      <c r="I42" s="272"/>
      <c r="J42" s="275">
        <v>1.0980000000000001</v>
      </c>
      <c r="K42" s="275">
        <v>1.0980000000000001</v>
      </c>
      <c r="L42" s="275">
        <v>1.0980000000000001</v>
      </c>
      <c r="M42" s="275">
        <v>1.0980000000000001</v>
      </c>
      <c r="N42" s="275">
        <v>1.0980000000000001</v>
      </c>
      <c r="O42" s="275">
        <v>0</v>
      </c>
      <c r="P42" s="275">
        <v>0</v>
      </c>
      <c r="Q42" s="275">
        <v>1.0980000000000001</v>
      </c>
      <c r="R42" s="275">
        <v>0</v>
      </c>
      <c r="S42" s="275">
        <v>0</v>
      </c>
      <c r="T42" s="275">
        <v>0</v>
      </c>
      <c r="U42" s="275">
        <v>0</v>
      </c>
      <c r="V42" s="275">
        <v>0</v>
      </c>
      <c r="W42" s="275">
        <v>0</v>
      </c>
      <c r="X42" s="275">
        <v>0</v>
      </c>
      <c r="Y42" s="275">
        <v>0</v>
      </c>
      <c r="AQ42" s="88"/>
    </row>
    <row r="43" spans="5:43" x14ac:dyDescent="0.25">
      <c r="E43" s="96"/>
      <c r="H43" s="253"/>
      <c r="I43" s="253"/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  <c r="U43" s="253"/>
      <c r="V43" s="253"/>
      <c r="W43" s="253"/>
      <c r="X43" s="253"/>
      <c r="Y43" s="253"/>
      <c r="AQ43" s="88"/>
    </row>
    <row r="44" spans="5:43" x14ac:dyDescent="0.25">
      <c r="E44" s="96" t="s">
        <v>620</v>
      </c>
      <c r="H44" s="253"/>
      <c r="I44" s="253"/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  <c r="U44" s="253"/>
      <c r="V44" s="253"/>
      <c r="W44" s="253"/>
      <c r="X44" s="253"/>
      <c r="Y44" s="253"/>
      <c r="AQ44" s="88"/>
    </row>
    <row r="45" spans="5:43" x14ac:dyDescent="0.25">
      <c r="E45" s="96"/>
      <c r="F45" s="91" t="s">
        <v>43</v>
      </c>
      <c r="G45" s="91" t="s">
        <v>528</v>
      </c>
      <c r="H45" s="273">
        <f>'Load &amp; loss characteristics'!K29</f>
        <v>1</v>
      </c>
      <c r="I45" s="253"/>
      <c r="J45" s="253"/>
      <c r="K45" s="253"/>
      <c r="L45" s="253"/>
      <c r="M45" s="253"/>
      <c r="N45" s="253"/>
      <c r="O45" s="253"/>
      <c r="P45" s="253"/>
      <c r="Q45" s="253"/>
      <c r="R45" s="253"/>
      <c r="S45" s="253"/>
      <c r="T45" s="253"/>
      <c r="U45" s="253"/>
      <c r="V45" s="253"/>
      <c r="W45" s="253"/>
      <c r="X45" s="253"/>
      <c r="Y45" s="253"/>
      <c r="AQ45" s="88"/>
    </row>
    <row r="46" spans="5:43" x14ac:dyDescent="0.25">
      <c r="E46" s="96"/>
      <c r="F46" s="295" t="s">
        <v>44</v>
      </c>
      <c r="G46" s="295" t="s">
        <v>528</v>
      </c>
      <c r="H46" s="274">
        <f>'Load &amp; loss characteristics'!L29</f>
        <v>1</v>
      </c>
      <c r="I46" s="253"/>
      <c r="J46" s="253"/>
      <c r="K46" s="253"/>
      <c r="L46" s="253"/>
      <c r="M46" s="253"/>
      <c r="N46" s="253"/>
      <c r="O46" s="253"/>
      <c r="P46" s="253"/>
      <c r="Q46" s="253"/>
      <c r="R46" s="253"/>
      <c r="S46" s="253"/>
      <c r="T46" s="253"/>
      <c r="U46" s="253"/>
      <c r="V46" s="253"/>
      <c r="W46" s="253"/>
      <c r="X46" s="253"/>
      <c r="Y46" s="253"/>
      <c r="AQ46" s="88"/>
    </row>
    <row r="47" spans="5:43" x14ac:dyDescent="0.25">
      <c r="E47" s="96"/>
      <c r="F47" s="295" t="s">
        <v>45</v>
      </c>
      <c r="G47" s="295" t="s">
        <v>528</v>
      </c>
      <c r="H47" s="274">
        <f>'Load &amp; loss characteristics'!M29</f>
        <v>1</v>
      </c>
      <c r="I47" s="253"/>
      <c r="J47" s="253"/>
      <c r="K47" s="253"/>
      <c r="L47" s="253"/>
      <c r="M47" s="253"/>
      <c r="N47" s="253"/>
      <c r="O47" s="253"/>
      <c r="P47" s="253"/>
      <c r="Q47" s="253"/>
      <c r="R47" s="253"/>
      <c r="S47" s="253"/>
      <c r="T47" s="253"/>
      <c r="U47" s="253"/>
      <c r="V47" s="253"/>
      <c r="W47" s="253"/>
      <c r="X47" s="253"/>
      <c r="Y47" s="253"/>
      <c r="AQ47" s="88"/>
    </row>
    <row r="48" spans="5:43" x14ac:dyDescent="0.25">
      <c r="E48" s="96"/>
      <c r="F48" s="295" t="s">
        <v>46</v>
      </c>
      <c r="G48" s="295" t="s">
        <v>528</v>
      </c>
      <c r="H48" s="274">
        <f>'Load &amp; loss characteristics'!N29</f>
        <v>1.004</v>
      </c>
      <c r="I48" s="253"/>
      <c r="J48" s="253"/>
      <c r="K48" s="253"/>
      <c r="L48" s="253"/>
      <c r="M48" s="253"/>
      <c r="N48" s="253"/>
      <c r="O48" s="253"/>
      <c r="P48" s="253"/>
      <c r="Q48" s="253"/>
      <c r="R48" s="253"/>
      <c r="S48" s="253"/>
      <c r="T48" s="253"/>
      <c r="U48" s="253"/>
      <c r="V48" s="253"/>
      <c r="W48" s="253"/>
      <c r="X48" s="253"/>
      <c r="Y48" s="253"/>
      <c r="AQ48" s="88"/>
    </row>
    <row r="49" spans="2:43" x14ac:dyDescent="0.25">
      <c r="E49" s="96"/>
      <c r="F49" s="295" t="s">
        <v>47</v>
      </c>
      <c r="G49" s="295" t="s">
        <v>528</v>
      </c>
      <c r="H49" s="274">
        <f>'Load &amp; loss characteristics'!O29</f>
        <v>1.0129999999999999</v>
      </c>
      <c r="I49" s="253"/>
      <c r="J49" s="253"/>
      <c r="K49" s="253"/>
      <c r="L49" s="253"/>
      <c r="M49" s="253"/>
      <c r="N49" s="253"/>
      <c r="O49" s="253"/>
      <c r="P49" s="253"/>
      <c r="Q49" s="253"/>
      <c r="R49" s="253"/>
      <c r="S49" s="253"/>
      <c r="T49" s="253"/>
      <c r="U49" s="253"/>
      <c r="V49" s="253"/>
      <c r="W49" s="253"/>
      <c r="X49" s="253"/>
      <c r="Y49" s="253"/>
      <c r="AQ49" s="88"/>
    </row>
    <row r="50" spans="2:43" x14ac:dyDescent="0.25">
      <c r="E50" s="96"/>
      <c r="F50" s="295" t="s">
        <v>51</v>
      </c>
      <c r="G50" s="295" t="s">
        <v>528</v>
      </c>
      <c r="H50" s="274">
        <f>'Load &amp; loss characteristics'!P29</f>
        <v>1.0129999999999999</v>
      </c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AQ50" s="88"/>
    </row>
    <row r="51" spans="2:43" x14ac:dyDescent="0.25">
      <c r="E51" s="96"/>
      <c r="F51" s="295" t="s">
        <v>48</v>
      </c>
      <c r="G51" s="295" t="s">
        <v>528</v>
      </c>
      <c r="H51" s="274">
        <f>'Load &amp; loss characteristics'!Q29</f>
        <v>1.026</v>
      </c>
      <c r="I51" s="253"/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  <c r="U51" s="253"/>
      <c r="V51" s="253"/>
      <c r="W51" s="253"/>
      <c r="X51" s="253"/>
      <c r="Y51" s="253"/>
      <c r="AQ51" s="88"/>
    </row>
    <row r="52" spans="2:43" x14ac:dyDescent="0.25">
      <c r="E52" s="96"/>
      <c r="F52" s="295" t="s">
        <v>49</v>
      </c>
      <c r="G52" s="295" t="s">
        <v>528</v>
      </c>
      <c r="H52" s="274">
        <f>'Load &amp; loss characteristics'!R29</f>
        <v>1.044</v>
      </c>
      <c r="I52" s="253"/>
      <c r="J52" s="253"/>
      <c r="K52" s="253"/>
      <c r="L52" s="253"/>
      <c r="M52" s="253"/>
      <c r="N52" s="253"/>
      <c r="O52" s="253"/>
      <c r="P52" s="253"/>
      <c r="Q52" s="253"/>
      <c r="R52" s="253"/>
      <c r="S52" s="253"/>
      <c r="T52" s="253"/>
      <c r="U52" s="253"/>
      <c r="V52" s="253"/>
      <c r="W52" s="253"/>
      <c r="X52" s="253"/>
      <c r="Y52" s="253"/>
      <c r="AQ52" s="88"/>
    </row>
    <row r="53" spans="2:43" x14ac:dyDescent="0.25">
      <c r="E53" s="96"/>
      <c r="F53" s="93" t="s">
        <v>50</v>
      </c>
      <c r="G53" s="93" t="s">
        <v>528</v>
      </c>
      <c r="H53" s="275">
        <f>'Load &amp; loss characteristics'!S29</f>
        <v>1.0980000000000001</v>
      </c>
      <c r="I53" s="253"/>
      <c r="J53" s="253"/>
      <c r="K53" s="253"/>
      <c r="L53" s="253"/>
      <c r="M53" s="253"/>
      <c r="N53" s="253"/>
      <c r="O53" s="253"/>
      <c r="P53" s="253"/>
      <c r="Q53" s="253"/>
      <c r="R53" s="253"/>
      <c r="S53" s="253"/>
      <c r="T53" s="253"/>
      <c r="U53" s="253"/>
      <c r="V53" s="253"/>
      <c r="W53" s="253"/>
      <c r="X53" s="253"/>
      <c r="Y53" s="253"/>
      <c r="AQ53" s="88"/>
    </row>
    <row r="54" spans="2:43" x14ac:dyDescent="0.25">
      <c r="E54" s="96"/>
      <c r="H54" s="253"/>
      <c r="I54" s="253"/>
      <c r="J54" s="253"/>
      <c r="K54" s="253"/>
      <c r="L54" s="253"/>
      <c r="M54" s="253"/>
      <c r="N54" s="253"/>
      <c r="O54" s="253"/>
      <c r="P54" s="253"/>
      <c r="Q54" s="253"/>
      <c r="R54" s="253"/>
      <c r="S54" s="253"/>
      <c r="T54" s="253"/>
      <c r="U54" s="253"/>
      <c r="V54" s="253"/>
      <c r="W54" s="253"/>
      <c r="X54" s="253"/>
      <c r="Y54" s="253"/>
      <c r="AQ54" s="88"/>
    </row>
    <row r="55" spans="2:43" x14ac:dyDescent="0.25">
      <c r="E55" s="96" t="s">
        <v>414</v>
      </c>
      <c r="H55" s="253"/>
      <c r="I55" s="253" t="s">
        <v>431</v>
      </c>
      <c r="J55" s="253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AA55" s="295" t="s">
        <v>863</v>
      </c>
    </row>
    <row r="56" spans="2:43" x14ac:dyDescent="0.25">
      <c r="E56" s="96"/>
      <c r="F56" s="91" t="s">
        <v>134</v>
      </c>
      <c r="G56" s="91" t="s">
        <v>120</v>
      </c>
      <c r="H56" s="278"/>
      <c r="I56" s="278"/>
      <c r="J56" s="273">
        <f>'Volume adjustments'!J66</f>
        <v>744507.47595921555</v>
      </c>
      <c r="K56" s="273">
        <f>'Volume adjustments'!K66</f>
        <v>1327.5662846544521</v>
      </c>
      <c r="L56" s="273">
        <f>'Volume adjustments'!L66</f>
        <v>188973.52230875273</v>
      </c>
      <c r="M56" s="273">
        <f>'Volume adjustments'!M66</f>
        <v>4172.2410596369182</v>
      </c>
      <c r="N56" s="273">
        <f>'Volume adjustments'!N66</f>
        <v>282075.14358760114</v>
      </c>
      <c r="O56" s="273">
        <f>'Volume adjustments'!O66</f>
        <v>23010.444191422164</v>
      </c>
      <c r="P56" s="273">
        <f>'Volume adjustments'!P66</f>
        <v>326311.94038013439</v>
      </c>
      <c r="Q56" s="273">
        <f>'Volume adjustments'!Q66</f>
        <v>13868.974697310709</v>
      </c>
      <c r="R56" s="273">
        <f>'Volume adjustments'!R66</f>
        <v>140.04079826565675</v>
      </c>
      <c r="S56" s="273">
        <f>'Volume adjustments'!S66</f>
        <v>2.8776284544589532</v>
      </c>
      <c r="T56" s="273">
        <f>'Volume adjustments'!T66</f>
        <v>6131.3814104814819</v>
      </c>
      <c r="U56" s="273">
        <f>'Volume adjustments'!U66</f>
        <v>0</v>
      </c>
      <c r="V56" s="273">
        <f>'Volume adjustments'!V66</f>
        <v>144.6141525623608</v>
      </c>
      <c r="W56" s="273">
        <f>'Volume adjustments'!W66</f>
        <v>0</v>
      </c>
      <c r="X56" s="273">
        <f>'Volume adjustments'!X66</f>
        <v>116075.81817719914</v>
      </c>
      <c r="Y56" s="273">
        <f>'Volume adjustments'!Y66</f>
        <v>0</v>
      </c>
      <c r="AQ56" s="88"/>
    </row>
    <row r="57" spans="2:43" x14ac:dyDescent="0.25">
      <c r="E57" s="96"/>
      <c r="F57" s="295" t="s">
        <v>135</v>
      </c>
      <c r="G57" s="295" t="s">
        <v>120</v>
      </c>
      <c r="H57" s="253"/>
      <c r="I57" s="253"/>
      <c r="J57" s="274">
        <f>'Volume adjustments'!J77</f>
        <v>2645097.8394225296</v>
      </c>
      <c r="K57" s="274">
        <f>'Volume adjustments'!K77</f>
        <v>24035.071762789463</v>
      </c>
      <c r="L57" s="274">
        <f>'Volume adjustments'!L77</f>
        <v>1023624.1876166349</v>
      </c>
      <c r="M57" s="274">
        <f>'Volume adjustments'!M77</f>
        <v>25319.415482001521</v>
      </c>
      <c r="N57" s="274">
        <f>'Volume adjustments'!N77</f>
        <v>1350126.3314036345</v>
      </c>
      <c r="O57" s="274">
        <f>'Volume adjustments'!O77</f>
        <v>107501.34408049645</v>
      </c>
      <c r="P57" s="274">
        <f>'Volume adjustments'!P77</f>
        <v>1514334.2001053796</v>
      </c>
      <c r="Q57" s="274">
        <f>'Volume adjustments'!Q77</f>
        <v>52882.399972899948</v>
      </c>
      <c r="R57" s="274">
        <f>'Volume adjustments'!R77</f>
        <v>628.61483547885325</v>
      </c>
      <c r="S57" s="274">
        <f>'Volume adjustments'!S77</f>
        <v>11.85801478940583</v>
      </c>
      <c r="T57" s="274">
        <f>'Volume adjustments'!T77</f>
        <v>27525.456251959484</v>
      </c>
      <c r="U57" s="274">
        <f>'Volume adjustments'!U77</f>
        <v>0</v>
      </c>
      <c r="V57" s="274">
        <f>'Volume adjustments'!V77</f>
        <v>597.34783091345412</v>
      </c>
      <c r="W57" s="274">
        <f>'Volume adjustments'!W77</f>
        <v>0</v>
      </c>
      <c r="X57" s="274">
        <f>'Volume adjustments'!X77</f>
        <v>445212.43930388504</v>
      </c>
      <c r="Y57" s="274">
        <f>'Volume adjustments'!Y77</f>
        <v>0</v>
      </c>
      <c r="AQ57" s="88"/>
    </row>
    <row r="58" spans="2:43" x14ac:dyDescent="0.25">
      <c r="E58" s="96"/>
      <c r="F58" s="93" t="s">
        <v>136</v>
      </c>
      <c r="G58" s="93" t="s">
        <v>120</v>
      </c>
      <c r="H58" s="272"/>
      <c r="I58" s="272"/>
      <c r="J58" s="275">
        <f>'Volume adjustments'!J88</f>
        <v>2435994.0010482869</v>
      </c>
      <c r="K58" s="275">
        <f>'Volume adjustments'!K88</f>
        <v>245515.14232274992</v>
      </c>
      <c r="L58" s="275">
        <f>'Volume adjustments'!L88</f>
        <v>988714.59609282145</v>
      </c>
      <c r="M58" s="275">
        <f>'Volume adjustments'!M88</f>
        <v>52561.158034119573</v>
      </c>
      <c r="N58" s="275">
        <f>'Volume adjustments'!N88</f>
        <v>1179031.4355710328</v>
      </c>
      <c r="O58" s="275">
        <f>'Volume adjustments'!O88</f>
        <v>106315.97183163626</v>
      </c>
      <c r="P58" s="275">
        <f>'Volume adjustments'!P88</f>
        <v>1621310.6751782417</v>
      </c>
      <c r="Q58" s="275">
        <f>'Volume adjustments'!Q88</f>
        <v>189423.97703070924</v>
      </c>
      <c r="R58" s="275">
        <f>'Volume adjustments'!R88</f>
        <v>700.98374497632642</v>
      </c>
      <c r="S58" s="275">
        <f>'Volume adjustments'!S88</f>
        <v>16.006356756135215</v>
      </c>
      <c r="T58" s="275">
        <f>'Volume adjustments'!T88</f>
        <v>30981.276337559029</v>
      </c>
      <c r="U58" s="275">
        <f>'Volume adjustments'!U88</f>
        <v>0</v>
      </c>
      <c r="V58" s="275">
        <f>'Volume adjustments'!V88</f>
        <v>807.27901652418518</v>
      </c>
      <c r="W58" s="275">
        <f>'Volume adjustments'!W88</f>
        <v>0</v>
      </c>
      <c r="X58" s="275">
        <f>'Volume adjustments'!X88</f>
        <v>507559.16751891578</v>
      </c>
      <c r="Y58" s="275">
        <f>'Volume adjustments'!Y88</f>
        <v>0</v>
      </c>
      <c r="AQ58" s="88"/>
    </row>
    <row r="59" spans="2:43" x14ac:dyDescent="0.25">
      <c r="E59" s="96"/>
      <c r="F59" s="73" t="s">
        <v>604</v>
      </c>
      <c r="G59" s="73" t="s">
        <v>120</v>
      </c>
      <c r="H59" s="281"/>
      <c r="I59" s="281"/>
      <c r="J59" s="281">
        <f t="shared" ref="J59:Y59" si="0">SUM(J56:J58)</f>
        <v>5825599.3164300323</v>
      </c>
      <c r="K59" s="281">
        <f t="shared" si="0"/>
        <v>270877.78037019382</v>
      </c>
      <c r="L59" s="281">
        <f t="shared" si="0"/>
        <v>2201312.3060182091</v>
      </c>
      <c r="M59" s="281">
        <f t="shared" si="0"/>
        <v>82052.814575758006</v>
      </c>
      <c r="N59" s="281">
        <f t="shared" si="0"/>
        <v>2811232.9105622685</v>
      </c>
      <c r="O59" s="281">
        <f t="shared" si="0"/>
        <v>236827.76010355487</v>
      </c>
      <c r="P59" s="281">
        <f t="shared" si="0"/>
        <v>3461956.8156637559</v>
      </c>
      <c r="Q59" s="281">
        <f t="shared" si="0"/>
        <v>256175.35170091991</v>
      </c>
      <c r="R59" s="281">
        <f t="shared" si="0"/>
        <v>1469.6393787208362</v>
      </c>
      <c r="S59" s="281">
        <f t="shared" si="0"/>
        <v>30.741999999999997</v>
      </c>
      <c r="T59" s="281">
        <f t="shared" si="0"/>
        <v>64638.113999999994</v>
      </c>
      <c r="U59" s="281">
        <f t="shared" si="0"/>
        <v>0</v>
      </c>
      <c r="V59" s="281">
        <f t="shared" si="0"/>
        <v>1549.241</v>
      </c>
      <c r="W59" s="281">
        <f t="shared" si="0"/>
        <v>0</v>
      </c>
      <c r="X59" s="281">
        <f t="shared" si="0"/>
        <v>1068847.425</v>
      </c>
      <c r="Y59" s="281">
        <f t="shared" si="0"/>
        <v>0</v>
      </c>
      <c r="AQ59" s="88"/>
    </row>
    <row r="60" spans="2:43" x14ac:dyDescent="0.25">
      <c r="D60" s="96"/>
      <c r="J60" s="90"/>
      <c r="L60" s="90"/>
      <c r="AQ60" s="88"/>
    </row>
    <row r="61" spans="2:43" x14ac:dyDescent="0.25">
      <c r="C61" s="96"/>
      <c r="E61" s="14" t="s">
        <v>71</v>
      </c>
      <c r="F61" s="14"/>
      <c r="G61" s="14" t="s">
        <v>94</v>
      </c>
      <c r="I61" s="295" t="s">
        <v>431</v>
      </c>
      <c r="J61" s="143">
        <f>'Inputs by customer type'!J18</f>
        <v>0.44866666666666671</v>
      </c>
      <c r="K61" s="143">
        <f>'Inputs by customer type'!K18</f>
        <v>9.9666666666666667E-2</v>
      </c>
      <c r="L61" s="143">
        <f>'Inputs by customer type'!L18</f>
        <v>0.41666666666666669</v>
      </c>
      <c r="M61" s="143">
        <f>'Inputs by customer type'!M18</f>
        <v>0.32</v>
      </c>
      <c r="N61" s="143">
        <f>'Inputs by customer type'!N18</f>
        <v>0.55600000000000005</v>
      </c>
      <c r="O61" s="143">
        <f>'Inputs by customer type'!O18</f>
        <v>0.67266666666666675</v>
      </c>
      <c r="P61" s="143">
        <f>'Inputs by customer type'!P18</f>
        <v>0.73533333333333328</v>
      </c>
      <c r="Q61" s="143">
        <f>'Inputs by customer type'!Q18</f>
        <v>0.45833333333333331</v>
      </c>
      <c r="R61" s="375"/>
      <c r="S61" s="375"/>
      <c r="T61" s="375"/>
      <c r="U61" s="375"/>
      <c r="V61" s="375"/>
      <c r="W61" s="375"/>
      <c r="X61" s="375"/>
      <c r="Y61" s="375"/>
      <c r="AA61" s="295" t="s">
        <v>864</v>
      </c>
      <c r="AQ61" s="88"/>
    </row>
    <row r="63" spans="2:43" x14ac:dyDescent="0.25">
      <c r="B63" s="95" t="s">
        <v>358</v>
      </c>
      <c r="C63" s="95"/>
      <c r="D63" s="95"/>
      <c r="E63" s="95"/>
      <c r="F63" s="95"/>
      <c r="G63" s="95"/>
      <c r="H63" s="95"/>
      <c r="I63" s="95"/>
      <c r="J63" s="32"/>
      <c r="K63" s="95"/>
      <c r="L63" s="32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Q63" s="88"/>
    </row>
    <row r="64" spans="2:43" x14ac:dyDescent="0.25">
      <c r="C64" s="96"/>
      <c r="J64" s="90"/>
      <c r="L64" s="90"/>
      <c r="AQ64" s="88"/>
    </row>
    <row r="65" spans="3:43" x14ac:dyDescent="0.25">
      <c r="C65" s="82" t="s">
        <v>417</v>
      </c>
      <c r="J65" s="90"/>
      <c r="L65" s="90"/>
      <c r="AQ65" s="88"/>
    </row>
    <row r="66" spans="3:43" x14ac:dyDescent="0.25">
      <c r="C66" s="96"/>
      <c r="J66" s="90"/>
      <c r="L66" s="90"/>
      <c r="AQ66" s="88"/>
    </row>
    <row r="67" spans="3:43" x14ac:dyDescent="0.25">
      <c r="C67" s="7" t="str">
        <f ca="1">INDEX('Version control'!$H$34:$H$58,MATCH($A$1,'Version control'!$F$34:$F$58,0),1)&amp;"-B: System peak load, by unit rate"</f>
        <v>Section 509-B: System peak load, by unit rate</v>
      </c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Q67" s="88"/>
    </row>
    <row r="68" spans="3:43" x14ac:dyDescent="0.25">
      <c r="H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90"/>
      <c r="X68" s="90"/>
      <c r="Y68" s="90"/>
    </row>
    <row r="69" spans="3:43" x14ac:dyDescent="0.25">
      <c r="E69" s="96" t="s">
        <v>305</v>
      </c>
      <c r="J69" s="90"/>
      <c r="L69" s="90"/>
      <c r="AQ69" s="88"/>
    </row>
    <row r="70" spans="3:43" x14ac:dyDescent="0.25">
      <c r="E70" s="96"/>
      <c r="F70" s="91" t="s">
        <v>43</v>
      </c>
      <c r="G70" s="91" t="s">
        <v>528</v>
      </c>
      <c r="H70" s="91"/>
      <c r="I70" s="91"/>
      <c r="J70" s="273">
        <f>'Pseudo-load coefficients'!J272</f>
        <v>11.527986422981362</v>
      </c>
      <c r="K70" s="273">
        <f>'Pseudo-load coefficients'!K272</f>
        <v>11.527986422981362</v>
      </c>
      <c r="L70" s="273">
        <f>'Pseudo-load coefficients'!L272</f>
        <v>13.389814573848861</v>
      </c>
      <c r="M70" s="273">
        <f>'Pseudo-load coefficients'!M272</f>
        <v>13.389814573848861</v>
      </c>
      <c r="N70" s="273">
        <f>'Pseudo-load coefficients'!N272</f>
        <v>10.350692230660494</v>
      </c>
      <c r="O70" s="273">
        <f>'Pseudo-load coefficients'!O272</f>
        <v>8.8540614426759596</v>
      </c>
      <c r="P70" s="273">
        <f>'Pseudo-load coefficients'!P272</f>
        <v>8.9869685862225737</v>
      </c>
      <c r="Q70" s="273">
        <f>'Pseudo-load coefficients'!Q272</f>
        <v>25.023867607119033</v>
      </c>
      <c r="R70" s="273">
        <f>'Pseudo-load coefficients'!R272</f>
        <v>8.2437183626517871</v>
      </c>
      <c r="S70" s="273">
        <f>'Pseudo-load coefficients'!S272</f>
        <v>8.2437183626517871</v>
      </c>
      <c r="T70" s="273">
        <f>'Pseudo-load coefficients'!T272</f>
        <v>8.2437183626517871</v>
      </c>
      <c r="U70" s="273">
        <f>'Pseudo-load coefficients'!U272</f>
        <v>8.2437183626517871</v>
      </c>
      <c r="V70" s="273">
        <f>'Pseudo-load coefficients'!V272</f>
        <v>8.2437183626517871</v>
      </c>
      <c r="W70" s="273">
        <f>'Pseudo-load coefficients'!W272</f>
        <v>8.2437183626517871</v>
      </c>
      <c r="X70" s="273">
        <f>'Pseudo-load coefficients'!X272</f>
        <v>8.2437183626517871</v>
      </c>
      <c r="Y70" s="273">
        <f>'Pseudo-load coefficients'!Y272</f>
        <v>8.2437183626517871</v>
      </c>
      <c r="AQ70" s="88"/>
    </row>
    <row r="71" spans="3:43" x14ac:dyDescent="0.25">
      <c r="E71" s="96"/>
      <c r="F71" s="295" t="s">
        <v>44</v>
      </c>
      <c r="G71" s="295" t="s">
        <v>528</v>
      </c>
      <c r="J71" s="274">
        <f>'Pseudo-load coefficients'!J273</f>
        <v>0</v>
      </c>
      <c r="K71" s="274">
        <f>'Pseudo-load coefficients'!K273</f>
        <v>0</v>
      </c>
      <c r="L71" s="274">
        <f>'Pseudo-load coefficients'!L273</f>
        <v>0</v>
      </c>
      <c r="M71" s="274">
        <f>'Pseudo-load coefficients'!M273</f>
        <v>0</v>
      </c>
      <c r="N71" s="274">
        <f>'Pseudo-load coefficients'!N273</f>
        <v>0</v>
      </c>
      <c r="O71" s="274">
        <f>'Pseudo-load coefficients'!O273</f>
        <v>0</v>
      </c>
      <c r="P71" s="274">
        <f>'Pseudo-load coefficients'!P273</f>
        <v>0</v>
      </c>
      <c r="Q71" s="274">
        <f>'Pseudo-load coefficients'!Q273</f>
        <v>0</v>
      </c>
      <c r="R71" s="274">
        <f>'Pseudo-load coefficients'!R273</f>
        <v>0</v>
      </c>
      <c r="S71" s="274">
        <f>'Pseudo-load coefficients'!S273</f>
        <v>0</v>
      </c>
      <c r="T71" s="274">
        <f>'Pseudo-load coefficients'!T273</f>
        <v>0</v>
      </c>
      <c r="U71" s="274">
        <f>'Pseudo-load coefficients'!U273</f>
        <v>0</v>
      </c>
      <c r="V71" s="274">
        <f>'Pseudo-load coefficients'!V273</f>
        <v>0</v>
      </c>
      <c r="W71" s="274">
        <f>'Pseudo-load coefficients'!W273</f>
        <v>0</v>
      </c>
      <c r="X71" s="274">
        <f>'Pseudo-load coefficients'!X273</f>
        <v>0</v>
      </c>
      <c r="Y71" s="274">
        <f>'Pseudo-load coefficients'!Y273</f>
        <v>0</v>
      </c>
      <c r="AQ71" s="88"/>
    </row>
    <row r="72" spans="3:43" x14ac:dyDescent="0.25">
      <c r="E72" s="96"/>
      <c r="F72" s="295" t="s">
        <v>45</v>
      </c>
      <c r="G72" s="295" t="s">
        <v>528</v>
      </c>
      <c r="J72" s="274">
        <f>'Pseudo-load coefficients'!J274</f>
        <v>0</v>
      </c>
      <c r="K72" s="274">
        <f>'Pseudo-load coefficients'!K274</f>
        <v>0</v>
      </c>
      <c r="L72" s="274">
        <f>'Pseudo-load coefficients'!L274</f>
        <v>0</v>
      </c>
      <c r="M72" s="274">
        <f>'Pseudo-load coefficients'!M274</f>
        <v>0</v>
      </c>
      <c r="N72" s="274">
        <f>'Pseudo-load coefficients'!N274</f>
        <v>0</v>
      </c>
      <c r="O72" s="274">
        <f>'Pseudo-load coefficients'!O274</f>
        <v>0</v>
      </c>
      <c r="P72" s="274">
        <f>'Pseudo-load coefficients'!P274</f>
        <v>0</v>
      </c>
      <c r="Q72" s="274">
        <f>'Pseudo-load coefficients'!Q274</f>
        <v>0</v>
      </c>
      <c r="R72" s="274">
        <f>'Pseudo-load coefficients'!R274</f>
        <v>0</v>
      </c>
      <c r="S72" s="274">
        <f>'Pseudo-load coefficients'!S274</f>
        <v>0</v>
      </c>
      <c r="T72" s="274">
        <f>'Pseudo-load coefficients'!T274</f>
        <v>0</v>
      </c>
      <c r="U72" s="274">
        <f>'Pseudo-load coefficients'!U274</f>
        <v>0</v>
      </c>
      <c r="V72" s="274">
        <f>'Pseudo-load coefficients'!V274</f>
        <v>0</v>
      </c>
      <c r="W72" s="274">
        <f>'Pseudo-load coefficients'!W274</f>
        <v>0</v>
      </c>
      <c r="X72" s="274">
        <f>'Pseudo-load coefficients'!X274</f>
        <v>0</v>
      </c>
      <c r="Y72" s="274">
        <f>'Pseudo-load coefficients'!Y274</f>
        <v>0</v>
      </c>
      <c r="AQ72" s="88"/>
    </row>
    <row r="73" spans="3:43" x14ac:dyDescent="0.25">
      <c r="E73" s="96"/>
      <c r="F73" s="295" t="s">
        <v>46</v>
      </c>
      <c r="G73" s="295" t="s">
        <v>528</v>
      </c>
      <c r="J73" s="274">
        <f>'Pseudo-load coefficients'!J275</f>
        <v>11.527986422981362</v>
      </c>
      <c r="K73" s="274">
        <f>'Pseudo-load coefficients'!K275</f>
        <v>11.527986422981362</v>
      </c>
      <c r="L73" s="274">
        <f>'Pseudo-load coefficients'!L275</f>
        <v>13.389814573848861</v>
      </c>
      <c r="M73" s="274">
        <f>'Pseudo-load coefficients'!M275</f>
        <v>13.389814573848861</v>
      </c>
      <c r="N73" s="274">
        <f>'Pseudo-load coefficients'!N275</f>
        <v>10.350692230660494</v>
      </c>
      <c r="O73" s="274">
        <f>'Pseudo-load coefficients'!O275</f>
        <v>8.8540614426759596</v>
      </c>
      <c r="P73" s="274">
        <f>'Pseudo-load coefficients'!P275</f>
        <v>8.9869685862225737</v>
      </c>
      <c r="Q73" s="274">
        <f>'Pseudo-load coefficients'!Q275</f>
        <v>25.023867607119033</v>
      </c>
      <c r="R73" s="274">
        <f>'Pseudo-load coefficients'!R275</f>
        <v>8.2437183626517871</v>
      </c>
      <c r="S73" s="274">
        <f>'Pseudo-load coefficients'!S275</f>
        <v>8.2437183626517871</v>
      </c>
      <c r="T73" s="274">
        <f>'Pseudo-load coefficients'!T275</f>
        <v>8.2437183626517871</v>
      </c>
      <c r="U73" s="274">
        <f>'Pseudo-load coefficients'!U275</f>
        <v>8.2437183626517871</v>
      </c>
      <c r="V73" s="274">
        <f>'Pseudo-load coefficients'!V275</f>
        <v>8.2437183626517871</v>
      </c>
      <c r="W73" s="274">
        <f>'Pseudo-load coefficients'!W275</f>
        <v>8.2437183626517871</v>
      </c>
      <c r="X73" s="274">
        <f>'Pseudo-load coefficients'!X275</f>
        <v>8.2437183626517871</v>
      </c>
      <c r="Y73" s="274">
        <f>'Pseudo-load coefficients'!Y275</f>
        <v>8.2437183626517871</v>
      </c>
      <c r="AQ73" s="88"/>
    </row>
    <row r="74" spans="3:43" x14ac:dyDescent="0.25">
      <c r="E74" s="96"/>
      <c r="F74" s="295" t="s">
        <v>47</v>
      </c>
      <c r="G74" s="295" t="s">
        <v>528</v>
      </c>
      <c r="J74" s="274">
        <f>'Pseudo-load coefficients'!J276</f>
        <v>10.098712610250859</v>
      </c>
      <c r="K74" s="274">
        <f>'Pseudo-load coefficients'!K276</f>
        <v>10.098712610250859</v>
      </c>
      <c r="L74" s="274">
        <f>'Pseudo-load coefficients'!L276</f>
        <v>11.729705806755948</v>
      </c>
      <c r="M74" s="274">
        <f>'Pseudo-load coefficients'!M276</f>
        <v>11.729705806755948</v>
      </c>
      <c r="N74" s="274">
        <f>'Pseudo-load coefficients'!N276</f>
        <v>9.0673828298596799</v>
      </c>
      <c r="O74" s="274">
        <f>'Pseudo-load coefficients'!O276</f>
        <v>7.7563087483202686</v>
      </c>
      <c r="P74" s="274">
        <f>'Pseudo-load coefficients'!P276</f>
        <v>7.8727376715753232</v>
      </c>
      <c r="Q74" s="274">
        <f>'Pseudo-load coefficients'!Q276</f>
        <v>22.581879332920355</v>
      </c>
      <c r="R74" s="274">
        <f>'Pseudo-load coefficients'!R276</f>
        <v>7.2216378064347033</v>
      </c>
      <c r="S74" s="274">
        <f>'Pseudo-load coefficients'!S276</f>
        <v>7.2216378064347033</v>
      </c>
      <c r="T74" s="274">
        <f>'Pseudo-load coefficients'!T276</f>
        <v>7.2216378064347033</v>
      </c>
      <c r="U74" s="274">
        <f>'Pseudo-load coefficients'!U276</f>
        <v>7.2216378064347033</v>
      </c>
      <c r="V74" s="274">
        <f>'Pseudo-load coefficients'!V276</f>
        <v>7.2216378064347033</v>
      </c>
      <c r="W74" s="274">
        <f>'Pseudo-load coefficients'!W276</f>
        <v>7.2216378064347033</v>
      </c>
      <c r="X74" s="274">
        <f>'Pseudo-load coefficients'!X276</f>
        <v>7.2216378064347033</v>
      </c>
      <c r="Y74" s="274">
        <f>'Pseudo-load coefficients'!Y276</f>
        <v>7.2216378064347033</v>
      </c>
      <c r="AQ74" s="88"/>
    </row>
    <row r="75" spans="3:43" x14ac:dyDescent="0.25">
      <c r="E75" s="96"/>
      <c r="F75" s="295" t="s">
        <v>51</v>
      </c>
      <c r="G75" s="295" t="s">
        <v>528</v>
      </c>
      <c r="J75" s="274">
        <f>'Pseudo-load coefficients'!J277</f>
        <v>0</v>
      </c>
      <c r="K75" s="274">
        <f>'Pseudo-load coefficients'!K277</f>
        <v>0</v>
      </c>
      <c r="L75" s="274">
        <f>'Pseudo-load coefficients'!L277</f>
        <v>0</v>
      </c>
      <c r="M75" s="274">
        <f>'Pseudo-load coefficients'!M277</f>
        <v>0</v>
      </c>
      <c r="N75" s="274">
        <f>'Pseudo-load coefficients'!N277</f>
        <v>0</v>
      </c>
      <c r="O75" s="274">
        <f>'Pseudo-load coefficients'!O277</f>
        <v>0</v>
      </c>
      <c r="P75" s="274">
        <f>'Pseudo-load coefficients'!P277</f>
        <v>0</v>
      </c>
      <c r="Q75" s="274">
        <f>'Pseudo-load coefficients'!Q277</f>
        <v>0</v>
      </c>
      <c r="R75" s="274">
        <f>'Pseudo-load coefficients'!R277</f>
        <v>0</v>
      </c>
      <c r="S75" s="274">
        <f>'Pseudo-load coefficients'!S277</f>
        <v>0</v>
      </c>
      <c r="T75" s="274">
        <f>'Pseudo-load coefficients'!T277</f>
        <v>0</v>
      </c>
      <c r="U75" s="274">
        <f>'Pseudo-load coefficients'!U277</f>
        <v>0</v>
      </c>
      <c r="V75" s="274">
        <f>'Pseudo-load coefficients'!V277</f>
        <v>0</v>
      </c>
      <c r="W75" s="274">
        <f>'Pseudo-load coefficients'!W277</f>
        <v>0</v>
      </c>
      <c r="X75" s="274">
        <f>'Pseudo-load coefficients'!X277</f>
        <v>0</v>
      </c>
      <c r="Y75" s="274">
        <f>'Pseudo-load coefficients'!Y277</f>
        <v>0</v>
      </c>
      <c r="AQ75" s="88"/>
    </row>
    <row r="76" spans="3:43" x14ac:dyDescent="0.25">
      <c r="E76" s="96"/>
      <c r="F76" s="295" t="s">
        <v>48</v>
      </c>
      <c r="G76" s="295" t="s">
        <v>528</v>
      </c>
      <c r="J76" s="274">
        <f>'Pseudo-load coefficients'!J278</f>
        <v>10.098712610250859</v>
      </c>
      <c r="K76" s="274">
        <f>'Pseudo-load coefficients'!K278</f>
        <v>10.098712610250859</v>
      </c>
      <c r="L76" s="274">
        <f>'Pseudo-load coefficients'!L278</f>
        <v>11.729705806755948</v>
      </c>
      <c r="M76" s="274">
        <f>'Pseudo-load coefficients'!M278</f>
        <v>11.729705806755948</v>
      </c>
      <c r="N76" s="274">
        <f>'Pseudo-load coefficients'!N278</f>
        <v>9.0673828298596799</v>
      </c>
      <c r="O76" s="274">
        <f>'Pseudo-load coefficients'!O278</f>
        <v>7.7563087483202686</v>
      </c>
      <c r="P76" s="274">
        <f>'Pseudo-load coefficients'!P278</f>
        <v>7.8727376715753232</v>
      </c>
      <c r="Q76" s="274">
        <f>'Pseudo-load coefficients'!Q278</f>
        <v>22.581879332920355</v>
      </c>
      <c r="R76" s="274">
        <f>'Pseudo-load coefficients'!R278</f>
        <v>7.2216378064347033</v>
      </c>
      <c r="S76" s="274">
        <f>'Pseudo-load coefficients'!S278</f>
        <v>7.2216378064347033</v>
      </c>
      <c r="T76" s="274">
        <f>'Pseudo-load coefficients'!T278</f>
        <v>7.2216378064347033</v>
      </c>
      <c r="U76" s="274">
        <f>'Pseudo-load coefficients'!U278</f>
        <v>7.2216378064347033</v>
      </c>
      <c r="V76" s="274">
        <f>'Pseudo-load coefficients'!V278</f>
        <v>7.2216378064347033</v>
      </c>
      <c r="W76" s="274">
        <f>'Pseudo-load coefficients'!W278</f>
        <v>7.2216378064347033</v>
      </c>
      <c r="X76" s="274">
        <f>'Pseudo-load coefficients'!X278</f>
        <v>7.2216378064347033</v>
      </c>
      <c r="Y76" s="274">
        <f>'Pseudo-load coefficients'!Y278</f>
        <v>7.2216378064347033</v>
      </c>
      <c r="AQ76" s="88"/>
    </row>
    <row r="77" spans="3:43" x14ac:dyDescent="0.25">
      <c r="E77" s="96"/>
      <c r="F77" s="295" t="s">
        <v>49</v>
      </c>
      <c r="G77" s="295" t="s">
        <v>528</v>
      </c>
      <c r="J77" s="274">
        <f>'Pseudo-load coefficients'!J279</f>
        <v>10.098712610250859</v>
      </c>
      <c r="K77" s="274">
        <f>'Pseudo-load coefficients'!K279</f>
        <v>10.098712610250859</v>
      </c>
      <c r="L77" s="274">
        <f>'Pseudo-load coefficients'!L279</f>
        <v>11.729705806755948</v>
      </c>
      <c r="M77" s="274">
        <f>'Pseudo-load coefficients'!M279</f>
        <v>11.729705806755948</v>
      </c>
      <c r="N77" s="274">
        <f>'Pseudo-load coefficients'!N279</f>
        <v>9.0673828298596799</v>
      </c>
      <c r="O77" s="274">
        <f>'Pseudo-load coefficients'!O279</f>
        <v>7.7563087483202686</v>
      </c>
      <c r="P77" s="274">
        <f>'Pseudo-load coefficients'!P279</f>
        <v>7.8727376715753232</v>
      </c>
      <c r="Q77" s="274">
        <f>'Pseudo-load coefficients'!Q279</f>
        <v>22.581879332920355</v>
      </c>
      <c r="R77" s="274">
        <f>'Pseudo-load coefficients'!R279</f>
        <v>7.2216378064347033</v>
      </c>
      <c r="S77" s="274">
        <f>'Pseudo-load coefficients'!S279</f>
        <v>7.2216378064347033</v>
      </c>
      <c r="T77" s="274">
        <f>'Pseudo-load coefficients'!T279</f>
        <v>7.2216378064347033</v>
      </c>
      <c r="U77" s="274">
        <f>'Pseudo-load coefficients'!U279</f>
        <v>7.2216378064347033</v>
      </c>
      <c r="V77" s="274">
        <f>'Pseudo-load coefficients'!V279</f>
        <v>7.2216378064347033</v>
      </c>
      <c r="W77" s="274">
        <f>'Pseudo-load coefficients'!W279</f>
        <v>7.2216378064347033</v>
      </c>
      <c r="X77" s="274">
        <f>'Pseudo-load coefficients'!X279</f>
        <v>7.2216378064347033</v>
      </c>
      <c r="Y77" s="274">
        <f>'Pseudo-load coefficients'!Y279</f>
        <v>7.2216378064347033</v>
      </c>
      <c r="AQ77" s="88"/>
    </row>
    <row r="78" spans="3:43" x14ac:dyDescent="0.25">
      <c r="E78" s="96"/>
      <c r="F78" s="93" t="s">
        <v>50</v>
      </c>
      <c r="G78" s="93" t="s">
        <v>528</v>
      </c>
      <c r="H78" s="93"/>
      <c r="I78" s="93"/>
      <c r="J78" s="275">
        <f>'Pseudo-load coefficients'!J280</f>
        <v>10.098712610250859</v>
      </c>
      <c r="K78" s="275">
        <f>'Pseudo-load coefficients'!K280</f>
        <v>10.098712610250859</v>
      </c>
      <c r="L78" s="275">
        <f>'Pseudo-load coefficients'!L280</f>
        <v>11.729705806755948</v>
      </c>
      <c r="M78" s="275">
        <f>'Pseudo-load coefficients'!M280</f>
        <v>11.729705806755948</v>
      </c>
      <c r="N78" s="275">
        <f>'Pseudo-load coefficients'!N280</f>
        <v>9.0673828298596799</v>
      </c>
      <c r="O78" s="275">
        <f>'Pseudo-load coefficients'!O280</f>
        <v>7.7563087483202686</v>
      </c>
      <c r="P78" s="275">
        <f>'Pseudo-load coefficients'!P280</f>
        <v>7.8727376715753232</v>
      </c>
      <c r="Q78" s="275">
        <f>'Pseudo-load coefficients'!Q280</f>
        <v>22.581879332920355</v>
      </c>
      <c r="R78" s="275">
        <f>'Pseudo-load coefficients'!R280</f>
        <v>7.2216378064347033</v>
      </c>
      <c r="S78" s="275">
        <f>'Pseudo-load coefficients'!S280</f>
        <v>7.2216378064347033</v>
      </c>
      <c r="T78" s="275">
        <f>'Pseudo-load coefficients'!T280</f>
        <v>7.2216378064347033</v>
      </c>
      <c r="U78" s="275">
        <f>'Pseudo-load coefficients'!U280</f>
        <v>7.2216378064347033</v>
      </c>
      <c r="V78" s="275">
        <f>'Pseudo-load coefficients'!V280</f>
        <v>7.2216378064347033</v>
      </c>
      <c r="W78" s="275">
        <f>'Pseudo-load coefficients'!W280</f>
        <v>7.2216378064347033</v>
      </c>
      <c r="X78" s="275">
        <f>'Pseudo-load coefficients'!X280</f>
        <v>7.2216378064347033</v>
      </c>
      <c r="Y78" s="275">
        <f>'Pseudo-load coefficients'!Y280</f>
        <v>7.2216378064347033</v>
      </c>
      <c r="AQ78" s="88"/>
    </row>
    <row r="79" spans="3:43" x14ac:dyDescent="0.25">
      <c r="E79" s="96"/>
      <c r="J79" s="253"/>
      <c r="K79" s="253"/>
      <c r="L79" s="253"/>
      <c r="M79" s="253"/>
      <c r="N79" s="253"/>
      <c r="O79" s="253"/>
      <c r="P79" s="253"/>
      <c r="Q79" s="253"/>
      <c r="R79" s="253"/>
      <c r="S79" s="253"/>
      <c r="T79" s="253"/>
      <c r="U79" s="253"/>
      <c r="V79" s="253"/>
      <c r="W79" s="253"/>
      <c r="X79" s="253"/>
      <c r="Y79" s="253"/>
      <c r="AQ79" s="88"/>
    </row>
    <row r="80" spans="3:43" x14ac:dyDescent="0.25">
      <c r="E80" s="96" t="s">
        <v>624</v>
      </c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  <c r="AQ80" s="88"/>
    </row>
    <row r="81" spans="5:43" x14ac:dyDescent="0.25">
      <c r="E81" s="82" t="s">
        <v>421</v>
      </c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  <c r="U81" s="253"/>
      <c r="V81" s="253"/>
      <c r="W81" s="253"/>
      <c r="X81" s="253"/>
      <c r="Y81" s="253"/>
      <c r="AQ81" s="88"/>
    </row>
    <row r="82" spans="5:43" x14ac:dyDescent="0.25">
      <c r="E82" s="96"/>
      <c r="F82" s="91" t="s">
        <v>43</v>
      </c>
      <c r="G82" s="91" t="s">
        <v>102</v>
      </c>
      <c r="H82" s="91"/>
      <c r="I82" s="91"/>
      <c r="J82" s="278">
        <f t="shared" ref="J82:Y82" si="1">J$56 * J34 * J70 / hours_in_year / $H45</f>
        <v>1075.7732805916924</v>
      </c>
      <c r="K82" s="278">
        <f t="shared" si="1"/>
        <v>1.9182619159137628</v>
      </c>
      <c r="L82" s="278">
        <f t="shared" si="1"/>
        <v>317.15660097525762</v>
      </c>
      <c r="M82" s="278">
        <f t="shared" si="1"/>
        <v>7.0023238004838877</v>
      </c>
      <c r="N82" s="278">
        <f t="shared" si="1"/>
        <v>365.95901266206619</v>
      </c>
      <c r="O82" s="278">
        <f t="shared" si="1"/>
        <v>24.280852249846941</v>
      </c>
      <c r="P82" s="278">
        <f t="shared" si="1"/>
        <v>343.47050132428615</v>
      </c>
      <c r="Q82" s="278">
        <f t="shared" si="1"/>
        <v>43.50077791847508</v>
      </c>
      <c r="R82" s="278">
        <f t="shared" si="1"/>
        <v>-0.14470247447499363</v>
      </c>
      <c r="S82" s="278">
        <f t="shared" si="1"/>
        <v>-2.8271851947799897E-3</v>
      </c>
      <c r="T82" s="278">
        <f t="shared" si="1"/>
        <v>-6.3354827524160724</v>
      </c>
      <c r="U82" s="278">
        <f t="shared" si="1"/>
        <v>0</v>
      </c>
      <c r="V82" s="278">
        <f t="shared" si="1"/>
        <v>-0.14207914522336507</v>
      </c>
      <c r="W82" s="278">
        <f t="shared" si="1"/>
        <v>0</v>
      </c>
      <c r="X82" s="278">
        <f t="shared" si="1"/>
        <v>-112.07484691383036</v>
      </c>
      <c r="Y82" s="278">
        <f t="shared" si="1"/>
        <v>0</v>
      </c>
      <c r="AQ82" s="88"/>
    </row>
    <row r="83" spans="5:43" x14ac:dyDescent="0.25">
      <c r="E83" s="96"/>
      <c r="F83" s="295" t="s">
        <v>44</v>
      </c>
      <c r="G83" s="295" t="s">
        <v>102</v>
      </c>
      <c r="J83" s="253">
        <f t="shared" ref="J83:Y83" si="2">J$56 * J35 * J71 / hours_in_year / $H46</f>
        <v>0</v>
      </c>
      <c r="K83" s="253">
        <f t="shared" si="2"/>
        <v>0</v>
      </c>
      <c r="L83" s="253">
        <f t="shared" si="2"/>
        <v>0</v>
      </c>
      <c r="M83" s="253">
        <f t="shared" si="2"/>
        <v>0</v>
      </c>
      <c r="N83" s="253">
        <f t="shared" si="2"/>
        <v>0</v>
      </c>
      <c r="O83" s="253">
        <f t="shared" si="2"/>
        <v>0</v>
      </c>
      <c r="P83" s="253">
        <f t="shared" si="2"/>
        <v>0</v>
      </c>
      <c r="Q83" s="253">
        <f t="shared" si="2"/>
        <v>0</v>
      </c>
      <c r="R83" s="253">
        <f t="shared" si="2"/>
        <v>0</v>
      </c>
      <c r="S83" s="253">
        <f t="shared" si="2"/>
        <v>0</v>
      </c>
      <c r="T83" s="253">
        <f t="shared" si="2"/>
        <v>0</v>
      </c>
      <c r="U83" s="253">
        <f t="shared" si="2"/>
        <v>0</v>
      </c>
      <c r="V83" s="253">
        <f t="shared" si="2"/>
        <v>0</v>
      </c>
      <c r="W83" s="253">
        <f t="shared" si="2"/>
        <v>0</v>
      </c>
      <c r="X83" s="253">
        <f t="shared" si="2"/>
        <v>0</v>
      </c>
      <c r="Y83" s="253">
        <f t="shared" si="2"/>
        <v>0</v>
      </c>
      <c r="AQ83" s="88"/>
    </row>
    <row r="84" spans="5:43" x14ac:dyDescent="0.25">
      <c r="E84" s="96"/>
      <c r="F84" s="295" t="s">
        <v>45</v>
      </c>
      <c r="G84" s="295" t="s">
        <v>102</v>
      </c>
      <c r="J84" s="253">
        <f t="shared" ref="J84:Y84" si="3">J$56 * J36 * J72 / hours_in_year / $H47</f>
        <v>0</v>
      </c>
      <c r="K84" s="253">
        <f t="shared" si="3"/>
        <v>0</v>
      </c>
      <c r="L84" s="253">
        <f t="shared" si="3"/>
        <v>0</v>
      </c>
      <c r="M84" s="253">
        <f t="shared" si="3"/>
        <v>0</v>
      </c>
      <c r="N84" s="253">
        <f t="shared" si="3"/>
        <v>0</v>
      </c>
      <c r="O84" s="253">
        <f t="shared" si="3"/>
        <v>0</v>
      </c>
      <c r="P84" s="253">
        <f t="shared" si="3"/>
        <v>0</v>
      </c>
      <c r="Q84" s="253">
        <f t="shared" si="3"/>
        <v>0</v>
      </c>
      <c r="R84" s="253">
        <f t="shared" si="3"/>
        <v>0</v>
      </c>
      <c r="S84" s="253">
        <f t="shared" si="3"/>
        <v>0</v>
      </c>
      <c r="T84" s="253">
        <f t="shared" si="3"/>
        <v>0</v>
      </c>
      <c r="U84" s="253">
        <f t="shared" si="3"/>
        <v>0</v>
      </c>
      <c r="V84" s="253">
        <f t="shared" si="3"/>
        <v>0</v>
      </c>
      <c r="W84" s="253">
        <f t="shared" si="3"/>
        <v>0</v>
      </c>
      <c r="X84" s="253">
        <f t="shared" si="3"/>
        <v>0</v>
      </c>
      <c r="Y84" s="253">
        <f t="shared" si="3"/>
        <v>0</v>
      </c>
      <c r="AQ84" s="88"/>
    </row>
    <row r="85" spans="5:43" x14ac:dyDescent="0.25">
      <c r="E85" s="96"/>
      <c r="F85" s="295" t="s">
        <v>46</v>
      </c>
      <c r="G85" s="295" t="s">
        <v>102</v>
      </c>
      <c r="J85" s="253">
        <f t="shared" ref="J85:Y85" si="4">J$56 * J37 * J73 / hours_in_year / $H48</f>
        <v>1071.4873312666259</v>
      </c>
      <c r="K85" s="253">
        <f t="shared" si="4"/>
        <v>1.9106194381611183</v>
      </c>
      <c r="L85" s="253">
        <f t="shared" si="4"/>
        <v>315.89302885981834</v>
      </c>
      <c r="M85" s="253">
        <f t="shared" si="4"/>
        <v>6.9744260960994895</v>
      </c>
      <c r="N85" s="253">
        <f t="shared" si="4"/>
        <v>364.50100862755596</v>
      </c>
      <c r="O85" s="253">
        <f t="shared" si="4"/>
        <v>24.18411578670014</v>
      </c>
      <c r="P85" s="253">
        <f t="shared" si="4"/>
        <v>342.10209295247626</v>
      </c>
      <c r="Q85" s="253">
        <f t="shared" si="4"/>
        <v>43.327468046289923</v>
      </c>
      <c r="R85" s="253">
        <f t="shared" si="4"/>
        <v>-0.14412597059262314</v>
      </c>
      <c r="S85" s="253">
        <f t="shared" si="4"/>
        <v>-2.8159215087450095E-3</v>
      </c>
      <c r="T85" s="253">
        <f t="shared" si="4"/>
        <v>-6.3102417852749726</v>
      </c>
      <c r="U85" s="253">
        <f t="shared" si="4"/>
        <v>0</v>
      </c>
      <c r="V85" s="253">
        <f t="shared" si="4"/>
        <v>-0.14151309285195723</v>
      </c>
      <c r="W85" s="253">
        <f t="shared" si="4"/>
        <v>0</v>
      </c>
      <c r="X85" s="253">
        <f t="shared" si="4"/>
        <v>-111.6283335795123</v>
      </c>
      <c r="Y85" s="253">
        <f t="shared" si="4"/>
        <v>0</v>
      </c>
      <c r="AQ85" s="88"/>
    </row>
    <row r="86" spans="5:43" x14ac:dyDescent="0.25">
      <c r="E86" s="96"/>
      <c r="F86" s="295" t="s">
        <v>47</v>
      </c>
      <c r="G86" s="295" t="s">
        <v>102</v>
      </c>
      <c r="J86" s="253">
        <f t="shared" ref="J86:Y86" si="5">J$56 * J38 * J74 / hours_in_year / $H49</f>
        <v>930.30180771129608</v>
      </c>
      <c r="K86" s="253">
        <f t="shared" si="5"/>
        <v>1.658864893034683</v>
      </c>
      <c r="L86" s="253">
        <f t="shared" si="5"/>
        <v>274.26909046539015</v>
      </c>
      <c r="M86" s="253">
        <f t="shared" si="5"/>
        <v>6.0554343627005114</v>
      </c>
      <c r="N86" s="253">
        <f t="shared" si="5"/>
        <v>316.47219462497441</v>
      </c>
      <c r="O86" s="253">
        <f t="shared" si="5"/>
        <v>20.997473304393147</v>
      </c>
      <c r="P86" s="253">
        <f t="shared" si="5"/>
        <v>297.02469288114435</v>
      </c>
      <c r="Q86" s="253">
        <f t="shared" si="5"/>
        <v>38.751920171156669</v>
      </c>
      <c r="R86" s="253">
        <f t="shared" si="5"/>
        <v>-0.12513507819263067</v>
      </c>
      <c r="S86" s="253">
        <f t="shared" si="5"/>
        <v>-2.4448789953137899E-3</v>
      </c>
      <c r="T86" s="253">
        <f t="shared" si="5"/>
        <v>-5.4787669145813567</v>
      </c>
      <c r="U86" s="253">
        <f t="shared" si="5"/>
        <v>0</v>
      </c>
      <c r="V86" s="253">
        <f t="shared" si="5"/>
        <v>-0.1228664887146789</v>
      </c>
      <c r="W86" s="253">
        <f t="shared" si="5"/>
        <v>0</v>
      </c>
      <c r="X86" s="253">
        <f t="shared" si="5"/>
        <v>-96.91952250901474</v>
      </c>
      <c r="Y86" s="253">
        <f t="shared" si="5"/>
        <v>0</v>
      </c>
      <c r="AQ86" s="88"/>
    </row>
    <row r="87" spans="5:43" x14ac:dyDescent="0.25">
      <c r="E87" s="96"/>
      <c r="F87" s="295" t="s">
        <v>51</v>
      </c>
      <c r="G87" s="295" t="s">
        <v>102</v>
      </c>
      <c r="J87" s="253">
        <f t="shared" ref="J87:Y87" si="6">J$56 * J39 * J75 / hours_in_year / $H50</f>
        <v>0</v>
      </c>
      <c r="K87" s="253">
        <f t="shared" si="6"/>
        <v>0</v>
      </c>
      <c r="L87" s="253">
        <f t="shared" si="6"/>
        <v>0</v>
      </c>
      <c r="M87" s="253">
        <f t="shared" si="6"/>
        <v>0</v>
      </c>
      <c r="N87" s="253">
        <f t="shared" si="6"/>
        <v>0</v>
      </c>
      <c r="O87" s="253">
        <f t="shared" si="6"/>
        <v>0</v>
      </c>
      <c r="P87" s="253">
        <f t="shared" si="6"/>
        <v>0</v>
      </c>
      <c r="Q87" s="253">
        <f t="shared" si="6"/>
        <v>0</v>
      </c>
      <c r="R87" s="253">
        <f t="shared" si="6"/>
        <v>0</v>
      </c>
      <c r="S87" s="253">
        <f t="shared" si="6"/>
        <v>0</v>
      </c>
      <c r="T87" s="253">
        <f t="shared" si="6"/>
        <v>0</v>
      </c>
      <c r="U87" s="253">
        <f t="shared" si="6"/>
        <v>0</v>
      </c>
      <c r="V87" s="253">
        <f t="shared" si="6"/>
        <v>0</v>
      </c>
      <c r="W87" s="253">
        <f t="shared" si="6"/>
        <v>0</v>
      </c>
      <c r="X87" s="253">
        <f t="shared" si="6"/>
        <v>0</v>
      </c>
      <c r="Y87" s="253">
        <f t="shared" si="6"/>
        <v>0</v>
      </c>
      <c r="AQ87" s="88"/>
    </row>
    <row r="88" spans="5:43" x14ac:dyDescent="0.25">
      <c r="E88" s="96"/>
      <c r="F88" s="295" t="s">
        <v>48</v>
      </c>
      <c r="G88" s="295" t="s">
        <v>102</v>
      </c>
      <c r="J88" s="253">
        <f t="shared" ref="J88:Y88" si="7">J$56 * J40 * J76 / hours_in_year / $H51</f>
        <v>918.51435790598714</v>
      </c>
      <c r="K88" s="253">
        <f t="shared" si="7"/>
        <v>1.6378461370800523</v>
      </c>
      <c r="L88" s="253">
        <f t="shared" si="7"/>
        <v>270.79394604428865</v>
      </c>
      <c r="M88" s="253">
        <f t="shared" si="7"/>
        <v>5.978708586175066</v>
      </c>
      <c r="N88" s="253">
        <f>N$56 * N40 * N76 / hours_in_year / $H51</f>
        <v>312.46231301666575</v>
      </c>
      <c r="O88" s="253">
        <f t="shared" si="7"/>
        <v>20.731423447709798</v>
      </c>
      <c r="P88" s="253">
        <f t="shared" si="7"/>
        <v>293.26122211364441</v>
      </c>
      <c r="Q88" s="253">
        <f t="shared" si="7"/>
        <v>38.260911436044537</v>
      </c>
      <c r="R88" s="253">
        <f t="shared" si="7"/>
        <v>-0.12354954601280201</v>
      </c>
      <c r="S88" s="253">
        <f t="shared" si="7"/>
        <v>-2.4139009963478255E-3</v>
      </c>
      <c r="T88" s="253">
        <f t="shared" si="7"/>
        <v>-5.4093478406149256</v>
      </c>
      <c r="U88" s="253">
        <f t="shared" si="7"/>
        <v>0</v>
      </c>
      <c r="V88" s="253">
        <f t="shared" si="7"/>
        <v>-0.12130970084597437</v>
      </c>
      <c r="W88" s="253">
        <f t="shared" si="7"/>
        <v>0</v>
      </c>
      <c r="X88" s="253">
        <f t="shared" si="7"/>
        <v>0</v>
      </c>
      <c r="Y88" s="253">
        <f t="shared" si="7"/>
        <v>0</v>
      </c>
      <c r="AQ88" s="88"/>
    </row>
    <row r="89" spans="5:43" x14ac:dyDescent="0.25">
      <c r="E89" s="96"/>
      <c r="F89" s="295" t="s">
        <v>49</v>
      </c>
      <c r="G89" s="295" t="s">
        <v>102</v>
      </c>
      <c r="J89" s="253">
        <f t="shared" ref="J89:Y89" si="8">J$56 * J41 * J77 / hours_in_year / $H52</f>
        <v>902.67790345933224</v>
      </c>
      <c r="K89" s="253">
        <f t="shared" si="8"/>
        <v>1.609607410578672</v>
      </c>
      <c r="L89" s="253">
        <f t="shared" si="8"/>
        <v>266.12508490559401</v>
      </c>
      <c r="M89" s="253">
        <f t="shared" si="8"/>
        <v>5.8756274036548062</v>
      </c>
      <c r="N89" s="253">
        <f t="shared" si="8"/>
        <v>307.0750317577577</v>
      </c>
      <c r="O89" s="253">
        <f t="shared" si="8"/>
        <v>20.373985112404458</v>
      </c>
      <c r="P89" s="253">
        <f t="shared" si="8"/>
        <v>0</v>
      </c>
      <c r="Q89" s="253">
        <f t="shared" si="8"/>
        <v>37.601240549216186</v>
      </c>
      <c r="R89" s="253">
        <f t="shared" si="8"/>
        <v>-0.12141938142637439</v>
      </c>
      <c r="S89" s="253">
        <f t="shared" si="8"/>
        <v>0</v>
      </c>
      <c r="T89" s="253">
        <f t="shared" si="8"/>
        <v>-5.3160832226732886</v>
      </c>
      <c r="U89" s="253">
        <f t="shared" si="8"/>
        <v>0</v>
      </c>
      <c r="V89" s="253">
        <f t="shared" si="8"/>
        <v>0</v>
      </c>
      <c r="W89" s="253">
        <f t="shared" si="8"/>
        <v>0</v>
      </c>
      <c r="X89" s="253">
        <f t="shared" si="8"/>
        <v>0</v>
      </c>
      <c r="Y89" s="253">
        <f t="shared" si="8"/>
        <v>0</v>
      </c>
      <c r="AQ89" s="88"/>
    </row>
    <row r="90" spans="5:43" x14ac:dyDescent="0.25">
      <c r="E90" s="96"/>
      <c r="F90" s="93" t="s">
        <v>50</v>
      </c>
      <c r="G90" s="93" t="s">
        <v>102</v>
      </c>
      <c r="H90" s="93"/>
      <c r="I90" s="93"/>
      <c r="J90" s="272">
        <f t="shared" ref="J90:Y90" si="9">J$56 * J42 * J78 / hours_in_year / $H53</f>
        <v>858.28390820723382</v>
      </c>
      <c r="K90" s="272">
        <f t="shared" si="9"/>
        <v>1.5304463903862782</v>
      </c>
      <c r="L90" s="272">
        <f t="shared" si="9"/>
        <v>253.03696597581072</v>
      </c>
      <c r="M90" s="272">
        <f t="shared" si="9"/>
        <v>5.5866621215078478</v>
      </c>
      <c r="N90" s="272">
        <f t="shared" si="9"/>
        <v>291.97298101557288</v>
      </c>
      <c r="O90" s="272">
        <f t="shared" si="9"/>
        <v>0</v>
      </c>
      <c r="P90" s="272">
        <f t="shared" si="9"/>
        <v>0</v>
      </c>
      <c r="Q90" s="272">
        <f t="shared" si="9"/>
        <v>35.751999210730141</v>
      </c>
      <c r="R90" s="272">
        <f t="shared" si="9"/>
        <v>0</v>
      </c>
      <c r="S90" s="272">
        <f t="shared" si="9"/>
        <v>0</v>
      </c>
      <c r="T90" s="272">
        <f t="shared" si="9"/>
        <v>0</v>
      </c>
      <c r="U90" s="272">
        <f t="shared" si="9"/>
        <v>0</v>
      </c>
      <c r="V90" s="272">
        <f t="shared" si="9"/>
        <v>0</v>
      </c>
      <c r="W90" s="272">
        <f t="shared" si="9"/>
        <v>0</v>
      </c>
      <c r="X90" s="272">
        <f t="shared" si="9"/>
        <v>0</v>
      </c>
      <c r="Y90" s="272">
        <f t="shared" si="9"/>
        <v>0</v>
      </c>
      <c r="AQ90" s="88"/>
    </row>
    <row r="91" spans="5:43" x14ac:dyDescent="0.25">
      <c r="E91" s="96"/>
      <c r="J91" s="253"/>
      <c r="K91" s="253"/>
      <c r="L91" s="253"/>
      <c r="M91" s="253"/>
      <c r="N91" s="253"/>
      <c r="O91" s="253"/>
      <c r="P91" s="253"/>
      <c r="Q91" s="253"/>
      <c r="R91" s="253"/>
      <c r="S91" s="253"/>
      <c r="T91" s="253"/>
      <c r="U91" s="253"/>
      <c r="V91" s="253"/>
      <c r="W91" s="253"/>
      <c r="X91" s="253"/>
      <c r="Y91" s="253"/>
      <c r="AQ91" s="88"/>
    </row>
    <row r="92" spans="5:43" x14ac:dyDescent="0.25">
      <c r="E92" s="96" t="s">
        <v>306</v>
      </c>
      <c r="J92" s="253"/>
      <c r="K92" s="253"/>
      <c r="L92" s="253"/>
      <c r="M92" s="253"/>
      <c r="N92" s="253"/>
      <c r="O92" s="253"/>
      <c r="P92" s="253"/>
      <c r="Q92" s="253"/>
      <c r="R92" s="253"/>
      <c r="S92" s="253"/>
      <c r="T92" s="253"/>
      <c r="U92" s="253"/>
      <c r="V92" s="253"/>
      <c r="W92" s="253"/>
      <c r="X92" s="253"/>
      <c r="Y92" s="253"/>
      <c r="AQ92" s="88"/>
    </row>
    <row r="93" spans="5:43" x14ac:dyDescent="0.25">
      <c r="E93" s="96"/>
      <c r="F93" s="91" t="s">
        <v>43</v>
      </c>
      <c r="G93" s="91" t="s">
        <v>528</v>
      </c>
      <c r="H93" s="91"/>
      <c r="I93" s="91"/>
      <c r="J93" s="273">
        <f>'Pseudo-load coefficients'!J283</f>
        <v>0.92349228307239573</v>
      </c>
      <c r="K93" s="273">
        <f>'Pseudo-load coefficients'!K283</f>
        <v>0.92349228307239573</v>
      </c>
      <c r="L93" s="273">
        <f>'Pseudo-load coefficients'!L283</f>
        <v>1.0726409606164153</v>
      </c>
      <c r="M93" s="273">
        <f>'Pseudo-load coefficients'!M283</f>
        <v>1.0726409606164153</v>
      </c>
      <c r="N93" s="273">
        <f>'Pseudo-load coefficients'!N283</f>
        <v>0.82918074750822601</v>
      </c>
      <c r="O93" s="273">
        <f>'Pseudo-load coefficients'!O283</f>
        <v>0.70928756472680232</v>
      </c>
      <c r="P93" s="273">
        <f>'Pseudo-load coefficients'!P283</f>
        <v>0.71993458641185648</v>
      </c>
      <c r="Q93" s="273">
        <f>'Pseudo-load coefficients'!Q283</f>
        <v>0.79110253955261312</v>
      </c>
      <c r="R93" s="273">
        <f>'Pseudo-load coefficients'!R283</f>
        <v>0.66039375936064448</v>
      </c>
      <c r="S93" s="273">
        <f>'Pseudo-load coefficients'!S283</f>
        <v>0.66039375936064448</v>
      </c>
      <c r="T93" s="273">
        <f>'Pseudo-load coefficients'!T283</f>
        <v>0.66039375936064448</v>
      </c>
      <c r="U93" s="273">
        <f>'Pseudo-load coefficients'!U283</f>
        <v>0.66039375936064448</v>
      </c>
      <c r="V93" s="273">
        <f>'Pseudo-load coefficients'!V283</f>
        <v>0.66039375936064448</v>
      </c>
      <c r="W93" s="273">
        <f>'Pseudo-load coefficients'!W283</f>
        <v>0.66039375936064448</v>
      </c>
      <c r="X93" s="273">
        <f>'Pseudo-load coefficients'!X283</f>
        <v>0.66039375936064448</v>
      </c>
      <c r="Y93" s="273">
        <f>'Pseudo-load coefficients'!Y283</f>
        <v>0.66039375936064448</v>
      </c>
      <c r="AQ93" s="88"/>
    </row>
    <row r="94" spans="5:43" x14ac:dyDescent="0.25">
      <c r="E94" s="96"/>
      <c r="F94" s="295" t="s">
        <v>44</v>
      </c>
      <c r="G94" s="295" t="s">
        <v>528</v>
      </c>
      <c r="J94" s="274">
        <f>'Pseudo-load coefficients'!J284</f>
        <v>0</v>
      </c>
      <c r="K94" s="274">
        <f>'Pseudo-load coefficients'!K284</f>
        <v>0</v>
      </c>
      <c r="L94" s="274">
        <f>'Pseudo-load coefficients'!L284</f>
        <v>0</v>
      </c>
      <c r="M94" s="274">
        <f>'Pseudo-load coefficients'!M284</f>
        <v>0</v>
      </c>
      <c r="N94" s="274">
        <f>'Pseudo-load coefficients'!N284</f>
        <v>0</v>
      </c>
      <c r="O94" s="274">
        <f>'Pseudo-load coefficients'!O284</f>
        <v>0</v>
      </c>
      <c r="P94" s="274">
        <f>'Pseudo-load coefficients'!P284</f>
        <v>0</v>
      </c>
      <c r="Q94" s="274">
        <f>'Pseudo-load coefficients'!Q284</f>
        <v>0</v>
      </c>
      <c r="R94" s="274">
        <f>'Pseudo-load coefficients'!R284</f>
        <v>0</v>
      </c>
      <c r="S94" s="274">
        <f>'Pseudo-load coefficients'!S284</f>
        <v>0</v>
      </c>
      <c r="T94" s="274">
        <f>'Pseudo-load coefficients'!T284</f>
        <v>0</v>
      </c>
      <c r="U94" s="274">
        <f>'Pseudo-load coefficients'!U284</f>
        <v>0</v>
      </c>
      <c r="V94" s="274">
        <f>'Pseudo-load coefficients'!V284</f>
        <v>0</v>
      </c>
      <c r="W94" s="274">
        <f>'Pseudo-load coefficients'!W284</f>
        <v>0</v>
      </c>
      <c r="X94" s="274">
        <f>'Pseudo-load coefficients'!X284</f>
        <v>0</v>
      </c>
      <c r="Y94" s="274">
        <f>'Pseudo-load coefficients'!Y284</f>
        <v>0</v>
      </c>
      <c r="AQ94" s="88"/>
    </row>
    <row r="95" spans="5:43" x14ac:dyDescent="0.25">
      <c r="E95" s="96"/>
      <c r="F95" s="295" t="s">
        <v>45</v>
      </c>
      <c r="G95" s="295" t="s">
        <v>528</v>
      </c>
      <c r="J95" s="274">
        <f>'Pseudo-load coefficients'!J285</f>
        <v>0</v>
      </c>
      <c r="K95" s="274">
        <f>'Pseudo-load coefficients'!K285</f>
        <v>0</v>
      </c>
      <c r="L95" s="274">
        <f>'Pseudo-load coefficients'!L285</f>
        <v>0</v>
      </c>
      <c r="M95" s="274">
        <f>'Pseudo-load coefficients'!M285</f>
        <v>0</v>
      </c>
      <c r="N95" s="274">
        <f>'Pseudo-load coefficients'!N285</f>
        <v>0</v>
      </c>
      <c r="O95" s="274">
        <f>'Pseudo-load coefficients'!O285</f>
        <v>0</v>
      </c>
      <c r="P95" s="274">
        <f>'Pseudo-load coefficients'!P285</f>
        <v>0</v>
      </c>
      <c r="Q95" s="274">
        <f>'Pseudo-load coefficients'!Q285</f>
        <v>0</v>
      </c>
      <c r="R95" s="274">
        <f>'Pseudo-load coefficients'!R285</f>
        <v>0</v>
      </c>
      <c r="S95" s="274">
        <f>'Pseudo-load coefficients'!S285</f>
        <v>0</v>
      </c>
      <c r="T95" s="274">
        <f>'Pseudo-load coefficients'!T285</f>
        <v>0</v>
      </c>
      <c r="U95" s="274">
        <f>'Pseudo-load coefficients'!U285</f>
        <v>0</v>
      </c>
      <c r="V95" s="274">
        <f>'Pseudo-load coefficients'!V285</f>
        <v>0</v>
      </c>
      <c r="W95" s="274">
        <f>'Pseudo-load coefficients'!W285</f>
        <v>0</v>
      </c>
      <c r="X95" s="274">
        <f>'Pseudo-load coefficients'!X285</f>
        <v>0</v>
      </c>
      <c r="Y95" s="274">
        <f>'Pseudo-load coefficients'!Y285</f>
        <v>0</v>
      </c>
      <c r="AQ95" s="88"/>
    </row>
    <row r="96" spans="5:43" x14ac:dyDescent="0.25">
      <c r="E96" s="96"/>
      <c r="F96" s="295" t="s">
        <v>46</v>
      </c>
      <c r="G96" s="295" t="s">
        <v>528</v>
      </c>
      <c r="J96" s="274">
        <f>'Pseudo-load coefficients'!J286</f>
        <v>0.92349228307239573</v>
      </c>
      <c r="K96" s="274">
        <f>'Pseudo-load coefficients'!K286</f>
        <v>0.92349228307239573</v>
      </c>
      <c r="L96" s="274">
        <f>'Pseudo-load coefficients'!L286</f>
        <v>1.0726409606164153</v>
      </c>
      <c r="M96" s="274">
        <f>'Pseudo-load coefficients'!M286</f>
        <v>1.0726409606164153</v>
      </c>
      <c r="N96" s="274">
        <f>'Pseudo-load coefficients'!N286</f>
        <v>0.82918074750822601</v>
      </c>
      <c r="O96" s="274">
        <f>'Pseudo-load coefficients'!O286</f>
        <v>0.70928756472680232</v>
      </c>
      <c r="P96" s="274">
        <f>'Pseudo-load coefficients'!P286</f>
        <v>0.71993458641185648</v>
      </c>
      <c r="Q96" s="274">
        <f>'Pseudo-load coefficients'!Q286</f>
        <v>0.79110253955261312</v>
      </c>
      <c r="R96" s="274">
        <f>'Pseudo-load coefficients'!R286</f>
        <v>0.66039375936064448</v>
      </c>
      <c r="S96" s="274">
        <f>'Pseudo-load coefficients'!S286</f>
        <v>0.66039375936064448</v>
      </c>
      <c r="T96" s="274">
        <f>'Pseudo-load coefficients'!T286</f>
        <v>0.66039375936064448</v>
      </c>
      <c r="U96" s="274">
        <f>'Pseudo-load coefficients'!U286</f>
        <v>0.66039375936064448</v>
      </c>
      <c r="V96" s="274">
        <f>'Pseudo-load coefficients'!V286</f>
        <v>0.66039375936064448</v>
      </c>
      <c r="W96" s="274">
        <f>'Pseudo-load coefficients'!W286</f>
        <v>0.66039375936064448</v>
      </c>
      <c r="X96" s="274">
        <f>'Pseudo-load coefficients'!X286</f>
        <v>0.66039375936064448</v>
      </c>
      <c r="Y96" s="274">
        <f>'Pseudo-load coefficients'!Y286</f>
        <v>0.66039375936064448</v>
      </c>
      <c r="AQ96" s="88"/>
    </row>
    <row r="97" spans="5:43" x14ac:dyDescent="0.25">
      <c r="E97" s="96"/>
      <c r="F97" s="295" t="s">
        <v>47</v>
      </c>
      <c r="G97" s="295" t="s">
        <v>528</v>
      </c>
      <c r="J97" s="274">
        <f>'Pseudo-load coefficients'!J287</f>
        <v>1.2155817714261268</v>
      </c>
      <c r="K97" s="274">
        <f>'Pseudo-load coefficients'!K287</f>
        <v>1.2155817714261268</v>
      </c>
      <c r="L97" s="274">
        <f>'Pseudo-load coefficients'!L287</f>
        <v>1.4119043796147333</v>
      </c>
      <c r="M97" s="274">
        <f>'Pseudo-load coefficients'!M287</f>
        <v>1.4119043796147333</v>
      </c>
      <c r="N97" s="274">
        <f>'Pseudo-load coefficients'!N287</f>
        <v>1.0914406328715081</v>
      </c>
      <c r="O97" s="274">
        <f>'Pseudo-load coefficients'!O287</f>
        <v>0.93362668014145112</v>
      </c>
      <c r="P97" s="274">
        <f>'Pseudo-load coefficients'!P287</f>
        <v>0.94764122657303829</v>
      </c>
      <c r="Q97" s="274">
        <f>'Pseudo-load coefficients'!Q287</f>
        <v>0.92680435825893326</v>
      </c>
      <c r="R97" s="274">
        <f>'Pseudo-load coefficients'!R287</f>
        <v>0.86926835292184057</v>
      </c>
      <c r="S97" s="274">
        <f>'Pseudo-load coefficients'!S287</f>
        <v>0.86926835292184057</v>
      </c>
      <c r="T97" s="274">
        <f>'Pseudo-load coefficients'!T287</f>
        <v>0.86926835292184057</v>
      </c>
      <c r="U97" s="274">
        <f>'Pseudo-load coefficients'!U287</f>
        <v>0.86926835292184057</v>
      </c>
      <c r="V97" s="274">
        <f>'Pseudo-load coefficients'!V287</f>
        <v>0.86926835292184057</v>
      </c>
      <c r="W97" s="274">
        <f>'Pseudo-load coefficients'!W287</f>
        <v>0.86926835292184057</v>
      </c>
      <c r="X97" s="274">
        <f>'Pseudo-load coefficients'!X287</f>
        <v>0.86926835292184057</v>
      </c>
      <c r="Y97" s="274">
        <f>'Pseudo-load coefficients'!Y287</f>
        <v>0.86926835292184057</v>
      </c>
      <c r="AQ97" s="88"/>
    </row>
    <row r="98" spans="5:43" x14ac:dyDescent="0.25">
      <c r="E98" s="96"/>
      <c r="F98" s="295" t="s">
        <v>51</v>
      </c>
      <c r="G98" s="295" t="s">
        <v>528</v>
      </c>
      <c r="J98" s="274">
        <f>'Pseudo-load coefficients'!J288</f>
        <v>0</v>
      </c>
      <c r="K98" s="274">
        <f>'Pseudo-load coefficients'!K288</f>
        <v>0</v>
      </c>
      <c r="L98" s="274">
        <f>'Pseudo-load coefficients'!L288</f>
        <v>0</v>
      </c>
      <c r="M98" s="274">
        <f>'Pseudo-load coefficients'!M288</f>
        <v>0</v>
      </c>
      <c r="N98" s="274">
        <f>'Pseudo-load coefficients'!N288</f>
        <v>0</v>
      </c>
      <c r="O98" s="274">
        <f>'Pseudo-load coefficients'!O288</f>
        <v>0</v>
      </c>
      <c r="P98" s="274">
        <f>'Pseudo-load coefficients'!P288</f>
        <v>0</v>
      </c>
      <c r="Q98" s="274">
        <f>'Pseudo-load coefficients'!Q288</f>
        <v>0</v>
      </c>
      <c r="R98" s="274">
        <f>'Pseudo-load coefficients'!R288</f>
        <v>0</v>
      </c>
      <c r="S98" s="274">
        <f>'Pseudo-load coefficients'!S288</f>
        <v>0</v>
      </c>
      <c r="T98" s="274">
        <f>'Pseudo-load coefficients'!T288</f>
        <v>0</v>
      </c>
      <c r="U98" s="274">
        <f>'Pseudo-load coefficients'!U288</f>
        <v>0</v>
      </c>
      <c r="V98" s="274">
        <f>'Pseudo-load coefficients'!V288</f>
        <v>0</v>
      </c>
      <c r="W98" s="274">
        <f>'Pseudo-load coefficients'!W288</f>
        <v>0</v>
      </c>
      <c r="X98" s="274">
        <f>'Pseudo-load coefficients'!X288</f>
        <v>0</v>
      </c>
      <c r="Y98" s="274">
        <f>'Pseudo-load coefficients'!Y288</f>
        <v>0</v>
      </c>
      <c r="AQ98" s="88"/>
    </row>
    <row r="99" spans="5:43" x14ac:dyDescent="0.25">
      <c r="E99" s="96"/>
      <c r="F99" s="295" t="s">
        <v>48</v>
      </c>
      <c r="G99" s="295" t="s">
        <v>528</v>
      </c>
      <c r="J99" s="274">
        <f>'Pseudo-load coefficients'!J289</f>
        <v>1.2155817714261268</v>
      </c>
      <c r="K99" s="274">
        <f>'Pseudo-load coefficients'!K289</f>
        <v>1.2155817714261268</v>
      </c>
      <c r="L99" s="274">
        <f>'Pseudo-load coefficients'!L289</f>
        <v>1.4119043796147333</v>
      </c>
      <c r="M99" s="274">
        <f>'Pseudo-load coefficients'!M289</f>
        <v>1.4119043796147333</v>
      </c>
      <c r="N99" s="274">
        <f>'Pseudo-load coefficients'!N289</f>
        <v>1.0914406328715081</v>
      </c>
      <c r="O99" s="274">
        <f>'Pseudo-load coefficients'!O289</f>
        <v>0.93362668014145112</v>
      </c>
      <c r="P99" s="274">
        <f>'Pseudo-load coefficients'!P289</f>
        <v>0.94764122657303829</v>
      </c>
      <c r="Q99" s="274">
        <f>'Pseudo-load coefficients'!Q289</f>
        <v>0.92680435825893326</v>
      </c>
      <c r="R99" s="274">
        <f>'Pseudo-load coefficients'!R289</f>
        <v>0.86926835292184057</v>
      </c>
      <c r="S99" s="274">
        <f>'Pseudo-load coefficients'!S289</f>
        <v>0.86926835292184057</v>
      </c>
      <c r="T99" s="274">
        <f>'Pseudo-load coefficients'!T289</f>
        <v>0.86926835292184057</v>
      </c>
      <c r="U99" s="274">
        <f>'Pseudo-load coefficients'!U289</f>
        <v>0.86926835292184057</v>
      </c>
      <c r="V99" s="274">
        <f>'Pseudo-load coefficients'!V289</f>
        <v>0.86926835292184057</v>
      </c>
      <c r="W99" s="274">
        <f>'Pseudo-load coefficients'!W289</f>
        <v>0.86926835292184057</v>
      </c>
      <c r="X99" s="274">
        <f>'Pseudo-load coefficients'!X289</f>
        <v>0.86926835292184057</v>
      </c>
      <c r="Y99" s="274">
        <f>'Pseudo-load coefficients'!Y289</f>
        <v>0.86926835292184057</v>
      </c>
      <c r="AQ99" s="88"/>
    </row>
    <row r="100" spans="5:43" x14ac:dyDescent="0.25">
      <c r="E100" s="96"/>
      <c r="F100" s="295" t="s">
        <v>49</v>
      </c>
      <c r="G100" s="295" t="s">
        <v>528</v>
      </c>
      <c r="J100" s="274">
        <f>'Pseudo-load coefficients'!J290</f>
        <v>1.2155817714261268</v>
      </c>
      <c r="K100" s="274">
        <f>'Pseudo-load coefficients'!K290</f>
        <v>1.2155817714261268</v>
      </c>
      <c r="L100" s="274">
        <f>'Pseudo-load coefficients'!L290</f>
        <v>1.4119043796147333</v>
      </c>
      <c r="M100" s="274">
        <f>'Pseudo-load coefficients'!M290</f>
        <v>1.4119043796147333</v>
      </c>
      <c r="N100" s="274">
        <f>'Pseudo-load coefficients'!N290</f>
        <v>1.0914406328715081</v>
      </c>
      <c r="O100" s="274">
        <f>'Pseudo-load coefficients'!O290</f>
        <v>0.93362668014145112</v>
      </c>
      <c r="P100" s="274">
        <f>'Pseudo-load coefficients'!P290</f>
        <v>0.94764122657303829</v>
      </c>
      <c r="Q100" s="274">
        <f>'Pseudo-load coefficients'!Q290</f>
        <v>0.92680435825893326</v>
      </c>
      <c r="R100" s="274">
        <f>'Pseudo-load coefficients'!R290</f>
        <v>0.86926835292184057</v>
      </c>
      <c r="S100" s="274">
        <f>'Pseudo-load coefficients'!S290</f>
        <v>0.86926835292184057</v>
      </c>
      <c r="T100" s="274">
        <f>'Pseudo-load coefficients'!T290</f>
        <v>0.86926835292184057</v>
      </c>
      <c r="U100" s="274">
        <f>'Pseudo-load coefficients'!U290</f>
        <v>0.86926835292184057</v>
      </c>
      <c r="V100" s="274">
        <f>'Pseudo-load coefficients'!V290</f>
        <v>0.86926835292184057</v>
      </c>
      <c r="W100" s="274">
        <f>'Pseudo-load coefficients'!W290</f>
        <v>0.86926835292184057</v>
      </c>
      <c r="X100" s="274">
        <f>'Pseudo-load coefficients'!X290</f>
        <v>0.86926835292184057</v>
      </c>
      <c r="Y100" s="274">
        <f>'Pseudo-load coefficients'!Y290</f>
        <v>0.86926835292184057</v>
      </c>
      <c r="AQ100" s="88"/>
    </row>
    <row r="101" spans="5:43" x14ac:dyDescent="0.25">
      <c r="E101" s="96"/>
      <c r="F101" s="93" t="s">
        <v>50</v>
      </c>
      <c r="G101" s="93" t="s">
        <v>528</v>
      </c>
      <c r="H101" s="93"/>
      <c r="I101" s="93"/>
      <c r="J101" s="275">
        <f>'Pseudo-load coefficients'!J291</f>
        <v>1.2155817714261268</v>
      </c>
      <c r="K101" s="275">
        <f>'Pseudo-load coefficients'!K291</f>
        <v>1.2155817714261268</v>
      </c>
      <c r="L101" s="275">
        <f>'Pseudo-load coefficients'!L291</f>
        <v>1.4119043796147333</v>
      </c>
      <c r="M101" s="275">
        <f>'Pseudo-load coefficients'!M291</f>
        <v>1.4119043796147333</v>
      </c>
      <c r="N101" s="275">
        <f>'Pseudo-load coefficients'!N291</f>
        <v>1.0914406328715081</v>
      </c>
      <c r="O101" s="275">
        <f>'Pseudo-load coefficients'!O291</f>
        <v>0.93362668014145112</v>
      </c>
      <c r="P101" s="275">
        <f>'Pseudo-load coefficients'!P291</f>
        <v>0.94764122657303829</v>
      </c>
      <c r="Q101" s="275">
        <f>'Pseudo-load coefficients'!Q291</f>
        <v>0.92680435825893326</v>
      </c>
      <c r="R101" s="275">
        <f>'Pseudo-load coefficients'!R291</f>
        <v>0.86926835292184057</v>
      </c>
      <c r="S101" s="275">
        <f>'Pseudo-load coefficients'!S291</f>
        <v>0.86926835292184057</v>
      </c>
      <c r="T101" s="275">
        <f>'Pseudo-load coefficients'!T291</f>
        <v>0.86926835292184057</v>
      </c>
      <c r="U101" s="275">
        <f>'Pseudo-load coefficients'!U291</f>
        <v>0.86926835292184057</v>
      </c>
      <c r="V101" s="275">
        <f>'Pseudo-load coefficients'!V291</f>
        <v>0.86926835292184057</v>
      </c>
      <c r="W101" s="275">
        <f>'Pseudo-load coefficients'!W291</f>
        <v>0.86926835292184057</v>
      </c>
      <c r="X101" s="275">
        <f>'Pseudo-load coefficients'!X291</f>
        <v>0.86926835292184057</v>
      </c>
      <c r="Y101" s="275">
        <f>'Pseudo-load coefficients'!Y291</f>
        <v>0.86926835292184057</v>
      </c>
      <c r="AQ101" s="88"/>
    </row>
    <row r="102" spans="5:43" x14ac:dyDescent="0.25">
      <c r="E102" s="96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  <c r="V102" s="253"/>
      <c r="W102" s="253"/>
      <c r="X102" s="253"/>
      <c r="Y102" s="253"/>
      <c r="AQ102" s="88"/>
    </row>
    <row r="103" spans="5:43" x14ac:dyDescent="0.25">
      <c r="E103" s="96" t="s">
        <v>625</v>
      </c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  <c r="V103" s="253"/>
      <c r="W103" s="253"/>
      <c r="X103" s="253"/>
      <c r="Y103" s="253"/>
      <c r="AQ103" s="88"/>
    </row>
    <row r="104" spans="5:43" x14ac:dyDescent="0.25">
      <c r="E104" s="82" t="s">
        <v>420</v>
      </c>
      <c r="J104" s="253"/>
      <c r="K104" s="253"/>
      <c r="L104" s="253"/>
      <c r="M104" s="253"/>
      <c r="N104" s="253"/>
      <c r="O104" s="253"/>
      <c r="P104" s="253"/>
      <c r="Q104" s="253"/>
      <c r="R104" s="253"/>
      <c r="S104" s="253"/>
      <c r="T104" s="253"/>
      <c r="U104" s="253"/>
      <c r="V104" s="253"/>
      <c r="W104" s="253"/>
      <c r="X104" s="253"/>
      <c r="Y104" s="253"/>
      <c r="AQ104" s="88"/>
    </row>
    <row r="105" spans="5:43" x14ac:dyDescent="0.25">
      <c r="E105" s="96"/>
      <c r="F105" s="91" t="s">
        <v>43</v>
      </c>
      <c r="G105" s="91" t="s">
        <v>102</v>
      </c>
      <c r="H105" s="91"/>
      <c r="I105" s="91"/>
      <c r="J105" s="278">
        <f t="shared" ref="J105:Y105" si="10">J$57 * J34 * J93 / hours_in_year / $H45</f>
        <v>306.17748082883958</v>
      </c>
      <c r="K105" s="278">
        <f t="shared" si="10"/>
        <v>2.7821268514883548</v>
      </c>
      <c r="L105" s="278">
        <f t="shared" si="10"/>
        <v>137.62367495924715</v>
      </c>
      <c r="M105" s="278">
        <f t="shared" si="10"/>
        <v>3.4041311729516619</v>
      </c>
      <c r="N105" s="278">
        <f t="shared" si="10"/>
        <v>140.32073507451798</v>
      </c>
      <c r="O105" s="278">
        <f t="shared" si="10"/>
        <v>9.087253273494607</v>
      </c>
      <c r="P105" s="278">
        <f t="shared" si="10"/>
        <v>127.69033410494212</v>
      </c>
      <c r="Q105" s="278">
        <f t="shared" si="10"/>
        <v>5.2437523066193616</v>
      </c>
      <c r="R105" s="278">
        <f t="shared" si="10"/>
        <v>-5.2033833242253968E-2</v>
      </c>
      <c r="S105" s="278">
        <f t="shared" si="10"/>
        <v>-9.3327867121054239E-4</v>
      </c>
      <c r="T105" s="278">
        <f t="shared" si="10"/>
        <v>-2.2784301605614874</v>
      </c>
      <c r="U105" s="278">
        <f t="shared" si="10"/>
        <v>0</v>
      </c>
      <c r="V105" s="278">
        <f t="shared" si="10"/>
        <v>-4.7013939498834312E-2</v>
      </c>
      <c r="W105" s="278">
        <f t="shared" si="10"/>
        <v>0</v>
      </c>
      <c r="X105" s="278">
        <f t="shared" si="10"/>
        <v>-34.436063919540167</v>
      </c>
      <c r="Y105" s="278">
        <f t="shared" si="10"/>
        <v>0</v>
      </c>
      <c r="AQ105" s="88"/>
    </row>
    <row r="106" spans="5:43" x14ac:dyDescent="0.25">
      <c r="E106" s="96"/>
      <c r="F106" s="295" t="s">
        <v>44</v>
      </c>
      <c r="G106" s="295" t="s">
        <v>102</v>
      </c>
      <c r="J106" s="253">
        <f t="shared" ref="J106:Y106" si="11">J$57 * J35 * J94 / hours_in_year / $H46</f>
        <v>0</v>
      </c>
      <c r="K106" s="253">
        <f t="shared" si="11"/>
        <v>0</v>
      </c>
      <c r="L106" s="253">
        <f t="shared" si="11"/>
        <v>0</v>
      </c>
      <c r="M106" s="253">
        <f t="shared" si="11"/>
        <v>0</v>
      </c>
      <c r="N106" s="253">
        <f t="shared" si="11"/>
        <v>0</v>
      </c>
      <c r="O106" s="253">
        <f t="shared" si="11"/>
        <v>0</v>
      </c>
      <c r="P106" s="253">
        <f t="shared" si="11"/>
        <v>0</v>
      </c>
      <c r="Q106" s="253">
        <f t="shared" si="11"/>
        <v>0</v>
      </c>
      <c r="R106" s="253">
        <f t="shared" si="11"/>
        <v>0</v>
      </c>
      <c r="S106" s="253">
        <f t="shared" si="11"/>
        <v>0</v>
      </c>
      <c r="T106" s="253">
        <f t="shared" si="11"/>
        <v>0</v>
      </c>
      <c r="U106" s="253">
        <f t="shared" si="11"/>
        <v>0</v>
      </c>
      <c r="V106" s="253">
        <f t="shared" si="11"/>
        <v>0</v>
      </c>
      <c r="W106" s="253">
        <f t="shared" si="11"/>
        <v>0</v>
      </c>
      <c r="X106" s="253">
        <f t="shared" si="11"/>
        <v>0</v>
      </c>
      <c r="Y106" s="253">
        <f t="shared" si="11"/>
        <v>0</v>
      </c>
      <c r="AQ106" s="88"/>
    </row>
    <row r="107" spans="5:43" x14ac:dyDescent="0.25">
      <c r="E107" s="96"/>
      <c r="F107" s="295" t="s">
        <v>45</v>
      </c>
      <c r="G107" s="295" t="s">
        <v>102</v>
      </c>
      <c r="J107" s="253">
        <f t="shared" ref="J107:Y107" si="12">J$57 * J36 * J95 / hours_in_year / $H47</f>
        <v>0</v>
      </c>
      <c r="K107" s="253">
        <f t="shared" si="12"/>
        <v>0</v>
      </c>
      <c r="L107" s="253">
        <f t="shared" si="12"/>
        <v>0</v>
      </c>
      <c r="M107" s="253">
        <f t="shared" si="12"/>
        <v>0</v>
      </c>
      <c r="N107" s="253">
        <f t="shared" si="12"/>
        <v>0</v>
      </c>
      <c r="O107" s="253">
        <f t="shared" si="12"/>
        <v>0</v>
      </c>
      <c r="P107" s="253">
        <f t="shared" si="12"/>
        <v>0</v>
      </c>
      <c r="Q107" s="253">
        <f t="shared" si="12"/>
        <v>0</v>
      </c>
      <c r="R107" s="253">
        <f t="shared" si="12"/>
        <v>0</v>
      </c>
      <c r="S107" s="253">
        <f t="shared" si="12"/>
        <v>0</v>
      </c>
      <c r="T107" s="253">
        <f t="shared" si="12"/>
        <v>0</v>
      </c>
      <c r="U107" s="253">
        <f t="shared" si="12"/>
        <v>0</v>
      </c>
      <c r="V107" s="253">
        <f t="shared" si="12"/>
        <v>0</v>
      </c>
      <c r="W107" s="253">
        <f t="shared" si="12"/>
        <v>0</v>
      </c>
      <c r="X107" s="253">
        <f t="shared" si="12"/>
        <v>0</v>
      </c>
      <c r="Y107" s="253">
        <f t="shared" si="12"/>
        <v>0</v>
      </c>
      <c r="AQ107" s="88"/>
    </row>
    <row r="108" spans="5:43" x14ac:dyDescent="0.25">
      <c r="E108" s="96"/>
      <c r="F108" s="295" t="s">
        <v>46</v>
      </c>
      <c r="G108" s="295" t="s">
        <v>102</v>
      </c>
      <c r="J108" s="253">
        <f t="shared" ref="J108:Y108" si="13">J$57 * J37 * J96 / hours_in_year / $H48</f>
        <v>304.95765022792784</v>
      </c>
      <c r="K108" s="253">
        <f t="shared" si="13"/>
        <v>2.7710426807652935</v>
      </c>
      <c r="L108" s="253">
        <f t="shared" si="13"/>
        <v>137.07537346538561</v>
      </c>
      <c r="M108" s="253">
        <f t="shared" si="13"/>
        <v>3.390568897362213</v>
      </c>
      <c r="N108" s="253">
        <f t="shared" si="13"/>
        <v>139.76168832123304</v>
      </c>
      <c r="O108" s="253">
        <f t="shared" si="13"/>
        <v>9.0510490771858638</v>
      </c>
      <c r="P108" s="253">
        <f t="shared" si="13"/>
        <v>127.18160767424514</v>
      </c>
      <c r="Q108" s="253">
        <f t="shared" si="13"/>
        <v>5.2228608631666953</v>
      </c>
      <c r="R108" s="253">
        <f t="shared" si="13"/>
        <v>-5.1826527133719089E-2</v>
      </c>
      <c r="S108" s="253">
        <f t="shared" si="13"/>
        <v>-9.2956042949257211E-4</v>
      </c>
      <c r="T108" s="253">
        <f t="shared" si="13"/>
        <v>-2.2693527495632346</v>
      </c>
      <c r="U108" s="253">
        <f t="shared" si="13"/>
        <v>0</v>
      </c>
      <c r="V108" s="253">
        <f t="shared" si="13"/>
        <v>-4.6826632966966444E-2</v>
      </c>
      <c r="W108" s="253">
        <f t="shared" si="13"/>
        <v>0</v>
      </c>
      <c r="X108" s="253">
        <f t="shared" si="13"/>
        <v>-34.298868445757137</v>
      </c>
      <c r="Y108" s="253">
        <f t="shared" si="13"/>
        <v>0</v>
      </c>
      <c r="AQ108" s="88"/>
    </row>
    <row r="109" spans="5:43" x14ac:dyDescent="0.25">
      <c r="E109" s="96"/>
      <c r="F109" s="295" t="s">
        <v>47</v>
      </c>
      <c r="G109" s="295" t="s">
        <v>102</v>
      </c>
      <c r="J109" s="253">
        <f t="shared" ref="J109:Y109" si="14">J$57 * J38 * J97 / hours_in_year / $H49</f>
        <v>397.84573642310295</v>
      </c>
      <c r="K109" s="253">
        <f t="shared" si="14"/>
        <v>3.6150839802344334</v>
      </c>
      <c r="L109" s="253">
        <f t="shared" si="14"/>
        <v>178.8276269214706</v>
      </c>
      <c r="M109" s="253">
        <f t="shared" si="14"/>
        <v>4.4233137908038751</v>
      </c>
      <c r="N109" s="253">
        <f t="shared" si="14"/>
        <v>182.33217554089418</v>
      </c>
      <c r="O109" s="253">
        <f t="shared" si="14"/>
        <v>11.80793884929038</v>
      </c>
      <c r="P109" s="253">
        <f t="shared" si="14"/>
        <v>165.92028541279871</v>
      </c>
      <c r="Q109" s="253">
        <f t="shared" si="14"/>
        <v>6.0644024225641084</v>
      </c>
      <c r="R109" s="253">
        <f t="shared" si="14"/>
        <v>-6.7612545015203321E-2</v>
      </c>
      <c r="S109" s="253">
        <f t="shared" si="14"/>
        <v>-1.2126983971211757E-3</v>
      </c>
      <c r="T109" s="253">
        <f t="shared" si="14"/>
        <v>-2.9605826093524117</v>
      </c>
      <c r="U109" s="253">
        <f t="shared" si="14"/>
        <v>0</v>
      </c>
      <c r="V109" s="253">
        <f t="shared" si="14"/>
        <v>-6.1089716106590766E-2</v>
      </c>
      <c r="W109" s="253">
        <f t="shared" si="14"/>
        <v>0</v>
      </c>
      <c r="X109" s="253">
        <f t="shared" si="14"/>
        <v>-44.746077250669067</v>
      </c>
      <c r="Y109" s="253">
        <f t="shared" si="14"/>
        <v>0</v>
      </c>
      <c r="AQ109" s="88"/>
    </row>
    <row r="110" spans="5:43" x14ac:dyDescent="0.25">
      <c r="E110" s="96"/>
      <c r="F110" s="295" t="s">
        <v>51</v>
      </c>
      <c r="G110" s="295" t="s">
        <v>102</v>
      </c>
      <c r="J110" s="253">
        <f t="shared" ref="J110:Y110" si="15">J$57 * J39 * J98 / hours_in_year / $H50</f>
        <v>0</v>
      </c>
      <c r="K110" s="253">
        <f t="shared" si="15"/>
        <v>0</v>
      </c>
      <c r="L110" s="253">
        <f t="shared" si="15"/>
        <v>0</v>
      </c>
      <c r="M110" s="253">
        <f t="shared" si="15"/>
        <v>0</v>
      </c>
      <c r="N110" s="253">
        <f t="shared" si="15"/>
        <v>0</v>
      </c>
      <c r="O110" s="253">
        <f t="shared" si="15"/>
        <v>0</v>
      </c>
      <c r="P110" s="253">
        <f t="shared" si="15"/>
        <v>0</v>
      </c>
      <c r="Q110" s="253">
        <f t="shared" si="15"/>
        <v>0</v>
      </c>
      <c r="R110" s="253">
        <f t="shared" si="15"/>
        <v>0</v>
      </c>
      <c r="S110" s="253">
        <f t="shared" si="15"/>
        <v>0</v>
      </c>
      <c r="T110" s="253">
        <f t="shared" si="15"/>
        <v>0</v>
      </c>
      <c r="U110" s="253">
        <f t="shared" si="15"/>
        <v>0</v>
      </c>
      <c r="V110" s="253">
        <f t="shared" si="15"/>
        <v>0</v>
      </c>
      <c r="W110" s="253">
        <f t="shared" si="15"/>
        <v>0</v>
      </c>
      <c r="X110" s="253">
        <f t="shared" si="15"/>
        <v>0</v>
      </c>
      <c r="Y110" s="253">
        <f t="shared" si="15"/>
        <v>0</v>
      </c>
      <c r="AQ110" s="88"/>
    </row>
    <row r="111" spans="5:43" x14ac:dyDescent="0.25">
      <c r="E111" s="96"/>
      <c r="F111" s="295" t="s">
        <v>48</v>
      </c>
      <c r="G111" s="295" t="s">
        <v>102</v>
      </c>
      <c r="J111" s="253">
        <f t="shared" ref="J111:Y111" si="16">J$57 * J40 * J99 / hours_in_year / $H51</f>
        <v>392.80480603957432</v>
      </c>
      <c r="K111" s="253">
        <f t="shared" si="16"/>
        <v>3.5692788225901371</v>
      </c>
      <c r="L111" s="253">
        <f t="shared" si="16"/>
        <v>176.56177979673458</v>
      </c>
      <c r="M111" s="253">
        <f t="shared" si="16"/>
        <v>4.3672679045656189</v>
      </c>
      <c r="N111" s="253">
        <f t="shared" si="16"/>
        <v>180.02192380402124</v>
      </c>
      <c r="O111" s="253">
        <f t="shared" si="16"/>
        <v>11.658325589016719</v>
      </c>
      <c r="P111" s="253">
        <f t="shared" si="16"/>
        <v>163.81798160152542</v>
      </c>
      <c r="Q111" s="253">
        <f t="shared" si="16"/>
        <v>5.9875630156505277</v>
      </c>
      <c r="R111" s="253">
        <f t="shared" si="16"/>
        <v>-6.6755855848344009E-2</v>
      </c>
      <c r="S111" s="253">
        <f t="shared" si="16"/>
        <v>-1.1973328228886461E-3</v>
      </c>
      <c r="T111" s="253">
        <f t="shared" si="16"/>
        <v>-2.9230703540682188</v>
      </c>
      <c r="U111" s="253">
        <f t="shared" si="16"/>
        <v>0</v>
      </c>
      <c r="V111" s="253">
        <f t="shared" si="16"/>
        <v>-6.0315674869372747E-2</v>
      </c>
      <c r="W111" s="253">
        <f t="shared" si="16"/>
        <v>0</v>
      </c>
      <c r="X111" s="253">
        <f t="shared" si="16"/>
        <v>0</v>
      </c>
      <c r="Y111" s="253">
        <f t="shared" si="16"/>
        <v>0</v>
      </c>
      <c r="AQ111" s="88"/>
    </row>
    <row r="112" spans="5:43" x14ac:dyDescent="0.25">
      <c r="E112" s="96"/>
      <c r="F112" s="295" t="s">
        <v>49</v>
      </c>
      <c r="G112" s="295" t="s">
        <v>102</v>
      </c>
      <c r="J112" s="253">
        <f t="shared" ref="J112:Y112" si="17">J$57 * J41 * J100 / hours_in_year / $H52</f>
        <v>386.03230938371956</v>
      </c>
      <c r="K112" s="253">
        <f t="shared" si="17"/>
        <v>3.5077395325454797</v>
      </c>
      <c r="L112" s="253">
        <f t="shared" si="17"/>
        <v>173.5176111795495</v>
      </c>
      <c r="M112" s="253">
        <f t="shared" si="17"/>
        <v>4.2919701820731087</v>
      </c>
      <c r="N112" s="253">
        <f t="shared" si="17"/>
        <v>176.91809753153811</v>
      </c>
      <c r="O112" s="253">
        <f t="shared" si="17"/>
        <v>11.457319975412982</v>
      </c>
      <c r="P112" s="253">
        <f t="shared" si="17"/>
        <v>0</v>
      </c>
      <c r="Q112" s="253">
        <f t="shared" si="17"/>
        <v>5.8843291705531042</v>
      </c>
      <c r="R112" s="253">
        <f t="shared" si="17"/>
        <v>-6.560489281647601E-2</v>
      </c>
      <c r="S112" s="253">
        <f t="shared" si="17"/>
        <v>0</v>
      </c>
      <c r="T112" s="253">
        <f t="shared" si="17"/>
        <v>-2.8726725893429048</v>
      </c>
      <c r="U112" s="253">
        <f t="shared" si="17"/>
        <v>0</v>
      </c>
      <c r="V112" s="253">
        <f t="shared" si="17"/>
        <v>0</v>
      </c>
      <c r="W112" s="253">
        <f t="shared" si="17"/>
        <v>0</v>
      </c>
      <c r="X112" s="253">
        <f t="shared" si="17"/>
        <v>0</v>
      </c>
      <c r="Y112" s="253">
        <f t="shared" si="17"/>
        <v>0</v>
      </c>
      <c r="AQ112" s="88"/>
    </row>
    <row r="113" spans="5:43" x14ac:dyDescent="0.25">
      <c r="E113" s="96"/>
      <c r="F113" s="93" t="s">
        <v>50</v>
      </c>
      <c r="G113" s="93" t="s">
        <v>102</v>
      </c>
      <c r="H113" s="93"/>
      <c r="I113" s="93"/>
      <c r="J113" s="272">
        <f t="shared" ref="J113:Y113" si="18">J$57 * J42 * J101 / hours_in_year / $H53</f>
        <v>367.04711384025791</v>
      </c>
      <c r="K113" s="272">
        <f t="shared" si="18"/>
        <v>3.3352277522563574</v>
      </c>
      <c r="L113" s="272">
        <f t="shared" si="18"/>
        <v>164.98395817071918</v>
      </c>
      <c r="M113" s="272">
        <f t="shared" si="18"/>
        <v>4.0808896813154147</v>
      </c>
      <c r="N113" s="272">
        <f t="shared" si="18"/>
        <v>168.21720748900344</v>
      </c>
      <c r="O113" s="272">
        <f t="shared" si="18"/>
        <v>0</v>
      </c>
      <c r="P113" s="272">
        <f t="shared" si="18"/>
        <v>0</v>
      </c>
      <c r="Q113" s="272">
        <f t="shared" si="18"/>
        <v>5.5949359326570498</v>
      </c>
      <c r="R113" s="272">
        <f t="shared" si="18"/>
        <v>0</v>
      </c>
      <c r="S113" s="272">
        <f t="shared" si="18"/>
        <v>0</v>
      </c>
      <c r="T113" s="272">
        <f t="shared" si="18"/>
        <v>0</v>
      </c>
      <c r="U113" s="272">
        <f t="shared" si="18"/>
        <v>0</v>
      </c>
      <c r="V113" s="272">
        <f t="shared" si="18"/>
        <v>0</v>
      </c>
      <c r="W113" s="272">
        <f t="shared" si="18"/>
        <v>0</v>
      </c>
      <c r="X113" s="272">
        <f t="shared" si="18"/>
        <v>0</v>
      </c>
      <c r="Y113" s="272">
        <f t="shared" si="18"/>
        <v>0</v>
      </c>
      <c r="AQ113" s="88"/>
    </row>
    <row r="114" spans="5:43" x14ac:dyDescent="0.25">
      <c r="E114" s="96"/>
      <c r="J114" s="253"/>
      <c r="K114" s="253"/>
      <c r="L114" s="253"/>
      <c r="M114" s="253"/>
      <c r="N114" s="253"/>
      <c r="O114" s="253"/>
      <c r="P114" s="253"/>
      <c r="Q114" s="253"/>
      <c r="R114" s="253"/>
      <c r="S114" s="253"/>
      <c r="T114" s="253"/>
      <c r="U114" s="253"/>
      <c r="V114" s="253"/>
      <c r="W114" s="253"/>
      <c r="X114" s="253"/>
      <c r="Y114" s="253"/>
      <c r="AQ114" s="88"/>
    </row>
    <row r="115" spans="5:43" x14ac:dyDescent="0.25">
      <c r="E115" s="96" t="s">
        <v>307</v>
      </c>
      <c r="J115" s="253"/>
      <c r="K115" s="253"/>
      <c r="L115" s="253"/>
      <c r="M115" s="253"/>
      <c r="N115" s="253"/>
      <c r="O115" s="253"/>
      <c r="P115" s="253"/>
      <c r="Q115" s="253"/>
      <c r="R115" s="253"/>
      <c r="S115" s="253"/>
      <c r="T115" s="253"/>
      <c r="U115" s="253"/>
      <c r="V115" s="253"/>
      <c r="W115" s="253"/>
      <c r="X115" s="253"/>
      <c r="Y115" s="253"/>
      <c r="AQ115" s="88"/>
    </row>
    <row r="116" spans="5:43" x14ac:dyDescent="0.25">
      <c r="E116" s="96"/>
      <c r="F116" s="91" t="s">
        <v>43</v>
      </c>
      <c r="G116" s="91" t="s">
        <v>528</v>
      </c>
      <c r="H116" s="91"/>
      <c r="I116" s="91"/>
      <c r="J116" s="273">
        <f>'Pseudo-load coefficients'!J294</f>
        <v>1.4805259537586315E-2</v>
      </c>
      <c r="K116" s="273">
        <f>'Pseudo-load coefficients'!K294</f>
        <v>1.4805259537586315E-2</v>
      </c>
      <c r="L116" s="273">
        <f>'Pseudo-load coefficients'!L294</f>
        <v>1.7196383882860215E-2</v>
      </c>
      <c r="M116" s="273">
        <f>'Pseudo-load coefficients'!M294</f>
        <v>1.7196383882860215E-2</v>
      </c>
      <c r="N116" s="273">
        <f>'Pseudo-load coefficients'!N294</f>
        <v>1.3293274232446117E-2</v>
      </c>
      <c r="O116" s="273">
        <f>'Pseudo-load coefficients'!O294</f>
        <v>1.1371168633511621E-2</v>
      </c>
      <c r="P116" s="273">
        <f>'Pseudo-load coefficients'!P294</f>
        <v>1.1541859739695104E-2</v>
      </c>
      <c r="Q116" s="273">
        <f>'Pseudo-load coefficients'!Q294</f>
        <v>1.163653936983337E-2</v>
      </c>
      <c r="R116" s="273">
        <f>'Pseudo-load coefficients'!R294</f>
        <v>1.0587312079975646E-2</v>
      </c>
      <c r="S116" s="273">
        <f>'Pseudo-load coefficients'!S294</f>
        <v>1.0587312079975646E-2</v>
      </c>
      <c r="T116" s="273">
        <f>'Pseudo-load coefficients'!T294</f>
        <v>1.0587312079975646E-2</v>
      </c>
      <c r="U116" s="273">
        <f>'Pseudo-load coefficients'!U294</f>
        <v>1.0587312079975646E-2</v>
      </c>
      <c r="V116" s="273">
        <f>'Pseudo-load coefficients'!V294</f>
        <v>1.0587312079975646E-2</v>
      </c>
      <c r="W116" s="273">
        <f>'Pseudo-load coefficients'!W294</f>
        <v>1.0587312079975646E-2</v>
      </c>
      <c r="X116" s="273">
        <f>'Pseudo-load coefficients'!X294</f>
        <v>1.0587312079975646E-2</v>
      </c>
      <c r="Y116" s="273">
        <f>'Pseudo-load coefficients'!Y294</f>
        <v>1.0587312079975646E-2</v>
      </c>
      <c r="AQ116" s="88"/>
    </row>
    <row r="117" spans="5:43" x14ac:dyDescent="0.25">
      <c r="E117" s="96"/>
      <c r="F117" s="295" t="s">
        <v>44</v>
      </c>
      <c r="G117" s="295" t="s">
        <v>528</v>
      </c>
      <c r="J117" s="274">
        <f>'Pseudo-load coefficients'!J295</f>
        <v>0</v>
      </c>
      <c r="K117" s="274">
        <f>'Pseudo-load coefficients'!K295</f>
        <v>0</v>
      </c>
      <c r="L117" s="274">
        <f>'Pseudo-load coefficients'!L295</f>
        <v>0</v>
      </c>
      <c r="M117" s="274">
        <f>'Pseudo-load coefficients'!M295</f>
        <v>0</v>
      </c>
      <c r="N117" s="274">
        <f>'Pseudo-load coefficients'!N295</f>
        <v>0</v>
      </c>
      <c r="O117" s="274">
        <f>'Pseudo-load coefficients'!O295</f>
        <v>0</v>
      </c>
      <c r="P117" s="274">
        <f>'Pseudo-load coefficients'!P295</f>
        <v>0</v>
      </c>
      <c r="Q117" s="274">
        <f>'Pseudo-load coefficients'!Q295</f>
        <v>0</v>
      </c>
      <c r="R117" s="274">
        <f>'Pseudo-load coefficients'!R295</f>
        <v>0</v>
      </c>
      <c r="S117" s="274">
        <f>'Pseudo-load coefficients'!S295</f>
        <v>0</v>
      </c>
      <c r="T117" s="274">
        <f>'Pseudo-load coefficients'!T295</f>
        <v>0</v>
      </c>
      <c r="U117" s="274">
        <f>'Pseudo-load coefficients'!U295</f>
        <v>0</v>
      </c>
      <c r="V117" s="274">
        <f>'Pseudo-load coefficients'!V295</f>
        <v>0</v>
      </c>
      <c r="W117" s="274">
        <f>'Pseudo-load coefficients'!W295</f>
        <v>0</v>
      </c>
      <c r="X117" s="274">
        <f>'Pseudo-load coefficients'!X295</f>
        <v>0</v>
      </c>
      <c r="Y117" s="274">
        <f>'Pseudo-load coefficients'!Y295</f>
        <v>0</v>
      </c>
      <c r="AQ117" s="88"/>
    </row>
    <row r="118" spans="5:43" x14ac:dyDescent="0.25">
      <c r="E118" s="96"/>
      <c r="F118" s="295" t="s">
        <v>45</v>
      </c>
      <c r="G118" s="295" t="s">
        <v>528</v>
      </c>
      <c r="J118" s="274">
        <f>'Pseudo-load coefficients'!J296</f>
        <v>0</v>
      </c>
      <c r="K118" s="274">
        <f>'Pseudo-load coefficients'!K296</f>
        <v>0</v>
      </c>
      <c r="L118" s="274">
        <f>'Pseudo-load coefficients'!L296</f>
        <v>0</v>
      </c>
      <c r="M118" s="274">
        <f>'Pseudo-load coefficients'!M296</f>
        <v>0</v>
      </c>
      <c r="N118" s="274">
        <f>'Pseudo-load coefficients'!N296</f>
        <v>0</v>
      </c>
      <c r="O118" s="274">
        <f>'Pseudo-load coefficients'!O296</f>
        <v>0</v>
      </c>
      <c r="P118" s="274">
        <f>'Pseudo-load coefficients'!P296</f>
        <v>0</v>
      </c>
      <c r="Q118" s="274">
        <f>'Pseudo-load coefficients'!Q296</f>
        <v>0</v>
      </c>
      <c r="R118" s="274">
        <f>'Pseudo-load coefficients'!R296</f>
        <v>0</v>
      </c>
      <c r="S118" s="274">
        <f>'Pseudo-load coefficients'!S296</f>
        <v>0</v>
      </c>
      <c r="T118" s="274">
        <f>'Pseudo-load coefficients'!T296</f>
        <v>0</v>
      </c>
      <c r="U118" s="274">
        <f>'Pseudo-load coefficients'!U296</f>
        <v>0</v>
      </c>
      <c r="V118" s="274">
        <f>'Pseudo-load coefficients'!V296</f>
        <v>0</v>
      </c>
      <c r="W118" s="274">
        <f>'Pseudo-load coefficients'!W296</f>
        <v>0</v>
      </c>
      <c r="X118" s="274">
        <f>'Pseudo-load coefficients'!X296</f>
        <v>0</v>
      </c>
      <c r="Y118" s="274">
        <f>'Pseudo-load coefficients'!Y296</f>
        <v>0</v>
      </c>
      <c r="AQ118" s="88"/>
    </row>
    <row r="119" spans="5:43" x14ac:dyDescent="0.25">
      <c r="E119" s="96"/>
      <c r="F119" s="295" t="s">
        <v>46</v>
      </c>
      <c r="G119" s="295" t="s">
        <v>528</v>
      </c>
      <c r="J119" s="274">
        <f>'Pseudo-load coefficients'!J297</f>
        <v>1.4805259537586315E-2</v>
      </c>
      <c r="K119" s="274">
        <f>'Pseudo-load coefficients'!K297</f>
        <v>1.4805259537586315E-2</v>
      </c>
      <c r="L119" s="274">
        <f>'Pseudo-load coefficients'!L297</f>
        <v>1.7196383882860215E-2</v>
      </c>
      <c r="M119" s="274">
        <f>'Pseudo-load coefficients'!M297</f>
        <v>1.7196383882860215E-2</v>
      </c>
      <c r="N119" s="274">
        <f>'Pseudo-load coefficients'!N297</f>
        <v>1.3293274232446117E-2</v>
      </c>
      <c r="O119" s="274">
        <f>'Pseudo-load coefficients'!O297</f>
        <v>1.1371168633511621E-2</v>
      </c>
      <c r="P119" s="274">
        <f>'Pseudo-load coefficients'!P297</f>
        <v>1.1541859739695104E-2</v>
      </c>
      <c r="Q119" s="274">
        <f>'Pseudo-load coefficients'!Q297</f>
        <v>1.163653936983337E-2</v>
      </c>
      <c r="R119" s="274">
        <f>'Pseudo-load coefficients'!R297</f>
        <v>1.0587312079975646E-2</v>
      </c>
      <c r="S119" s="274">
        <f>'Pseudo-load coefficients'!S297</f>
        <v>1.0587312079975646E-2</v>
      </c>
      <c r="T119" s="274">
        <f>'Pseudo-load coefficients'!T297</f>
        <v>1.0587312079975646E-2</v>
      </c>
      <c r="U119" s="274">
        <f>'Pseudo-load coefficients'!U297</f>
        <v>1.0587312079975646E-2</v>
      </c>
      <c r="V119" s="274">
        <f>'Pseudo-load coefficients'!V297</f>
        <v>1.0587312079975646E-2</v>
      </c>
      <c r="W119" s="274">
        <f>'Pseudo-load coefficients'!W297</f>
        <v>1.0587312079975646E-2</v>
      </c>
      <c r="X119" s="274">
        <f>'Pseudo-load coefficients'!X297</f>
        <v>1.0587312079975646E-2</v>
      </c>
      <c r="Y119" s="274">
        <f>'Pseudo-load coefficients'!Y297</f>
        <v>1.0587312079975646E-2</v>
      </c>
      <c r="AQ119" s="88"/>
    </row>
    <row r="120" spans="5:43" x14ac:dyDescent="0.25">
      <c r="E120" s="96"/>
      <c r="F120" s="295" t="s">
        <v>47</v>
      </c>
      <c r="G120" s="295" t="s">
        <v>528</v>
      </c>
      <c r="J120" s="274">
        <f>'Pseudo-load coefficients'!J298</f>
        <v>4.1322546283744134E-2</v>
      </c>
      <c r="K120" s="274">
        <f>'Pseudo-load coefficients'!K298</f>
        <v>4.1322546283744134E-2</v>
      </c>
      <c r="L120" s="274">
        <f>'Pseudo-load coefficients'!L298</f>
        <v>4.7996346643469308E-2</v>
      </c>
      <c r="M120" s="274">
        <f>'Pseudo-load coefficients'!M298</f>
        <v>4.7996346643469308E-2</v>
      </c>
      <c r="N120" s="274">
        <f>'Pseudo-load coefficients'!N298</f>
        <v>3.7102486338602317E-2</v>
      </c>
      <c r="O120" s="274">
        <f>'Pseudo-load coefficients'!O298</f>
        <v>3.1737751098900924E-2</v>
      </c>
      <c r="P120" s="274">
        <f>'Pseudo-load coefficients'!P298</f>
        <v>3.2214162276805902E-2</v>
      </c>
      <c r="Q120" s="274">
        <f>'Pseudo-load coefficients'!Q298</f>
        <v>3.2478419947438684E-2</v>
      </c>
      <c r="R120" s="274">
        <f>'Pseudo-load coefficients'!R298</f>
        <v>2.9549950970772461E-2</v>
      </c>
      <c r="S120" s="274">
        <f>'Pseudo-load coefficients'!S298</f>
        <v>2.9549950970772461E-2</v>
      </c>
      <c r="T120" s="274">
        <f>'Pseudo-load coefficients'!T298</f>
        <v>2.9549950970772461E-2</v>
      </c>
      <c r="U120" s="274">
        <f>'Pseudo-load coefficients'!U298</f>
        <v>2.9549950970772461E-2</v>
      </c>
      <c r="V120" s="274">
        <f>'Pseudo-load coefficients'!V298</f>
        <v>2.9549950970772461E-2</v>
      </c>
      <c r="W120" s="274">
        <f>'Pseudo-load coefficients'!W298</f>
        <v>2.9549950970772461E-2</v>
      </c>
      <c r="X120" s="274">
        <f>'Pseudo-load coefficients'!X298</f>
        <v>2.9549950970772461E-2</v>
      </c>
      <c r="Y120" s="274">
        <f>'Pseudo-load coefficients'!Y298</f>
        <v>2.9549950970772461E-2</v>
      </c>
      <c r="AQ120" s="88"/>
    </row>
    <row r="121" spans="5:43" x14ac:dyDescent="0.25">
      <c r="E121" s="96"/>
      <c r="F121" s="295" t="s">
        <v>51</v>
      </c>
      <c r="G121" s="295" t="s">
        <v>528</v>
      </c>
      <c r="J121" s="274">
        <f>'Pseudo-load coefficients'!J299</f>
        <v>0</v>
      </c>
      <c r="K121" s="274">
        <f>'Pseudo-load coefficients'!K299</f>
        <v>0</v>
      </c>
      <c r="L121" s="274">
        <f>'Pseudo-load coefficients'!L299</f>
        <v>0</v>
      </c>
      <c r="M121" s="274">
        <f>'Pseudo-load coefficients'!M299</f>
        <v>0</v>
      </c>
      <c r="N121" s="274">
        <f>'Pseudo-load coefficients'!N299</f>
        <v>0</v>
      </c>
      <c r="O121" s="274">
        <f>'Pseudo-load coefficients'!O299</f>
        <v>0</v>
      </c>
      <c r="P121" s="274">
        <f>'Pseudo-load coefficients'!P299</f>
        <v>0</v>
      </c>
      <c r="Q121" s="274">
        <f>'Pseudo-load coefficients'!Q299</f>
        <v>0</v>
      </c>
      <c r="R121" s="274">
        <f>'Pseudo-load coefficients'!R299</f>
        <v>0</v>
      </c>
      <c r="S121" s="274">
        <f>'Pseudo-load coefficients'!S299</f>
        <v>0</v>
      </c>
      <c r="T121" s="274">
        <f>'Pseudo-load coefficients'!T299</f>
        <v>0</v>
      </c>
      <c r="U121" s="274">
        <f>'Pseudo-load coefficients'!U299</f>
        <v>0</v>
      </c>
      <c r="V121" s="274">
        <f>'Pseudo-load coefficients'!V299</f>
        <v>0</v>
      </c>
      <c r="W121" s="274">
        <f>'Pseudo-load coefficients'!W299</f>
        <v>0</v>
      </c>
      <c r="X121" s="274">
        <f>'Pseudo-load coefficients'!X299</f>
        <v>0</v>
      </c>
      <c r="Y121" s="274">
        <f>'Pseudo-load coefficients'!Y299</f>
        <v>0</v>
      </c>
      <c r="AQ121" s="88"/>
    </row>
    <row r="122" spans="5:43" x14ac:dyDescent="0.25">
      <c r="E122" s="96"/>
      <c r="F122" s="295" t="s">
        <v>48</v>
      </c>
      <c r="G122" s="295" t="s">
        <v>528</v>
      </c>
      <c r="J122" s="274">
        <f>'Pseudo-load coefficients'!J300</f>
        <v>4.1322546283744134E-2</v>
      </c>
      <c r="K122" s="274">
        <f>'Pseudo-load coefficients'!K300</f>
        <v>4.1322546283744134E-2</v>
      </c>
      <c r="L122" s="274">
        <f>'Pseudo-load coefficients'!L300</f>
        <v>4.7996346643469308E-2</v>
      </c>
      <c r="M122" s="274">
        <f>'Pseudo-load coefficients'!M300</f>
        <v>4.7996346643469308E-2</v>
      </c>
      <c r="N122" s="274">
        <f>'Pseudo-load coefficients'!N300</f>
        <v>3.7102486338602317E-2</v>
      </c>
      <c r="O122" s="274">
        <f>'Pseudo-load coefficients'!O300</f>
        <v>3.1737751098900924E-2</v>
      </c>
      <c r="P122" s="274">
        <f>'Pseudo-load coefficients'!P300</f>
        <v>3.2214162276805902E-2</v>
      </c>
      <c r="Q122" s="274">
        <f>'Pseudo-load coefficients'!Q300</f>
        <v>3.2478419947438684E-2</v>
      </c>
      <c r="R122" s="274">
        <f>'Pseudo-load coefficients'!R300</f>
        <v>2.9549950970772461E-2</v>
      </c>
      <c r="S122" s="274">
        <f>'Pseudo-load coefficients'!S300</f>
        <v>2.9549950970772461E-2</v>
      </c>
      <c r="T122" s="274">
        <f>'Pseudo-load coefficients'!T300</f>
        <v>2.9549950970772461E-2</v>
      </c>
      <c r="U122" s="274">
        <f>'Pseudo-load coefficients'!U300</f>
        <v>2.9549950970772461E-2</v>
      </c>
      <c r="V122" s="274">
        <f>'Pseudo-load coefficients'!V300</f>
        <v>2.9549950970772461E-2</v>
      </c>
      <c r="W122" s="274">
        <f>'Pseudo-load coefficients'!W300</f>
        <v>2.9549950970772461E-2</v>
      </c>
      <c r="X122" s="274">
        <f>'Pseudo-load coefficients'!X300</f>
        <v>2.9549950970772461E-2</v>
      </c>
      <c r="Y122" s="274">
        <f>'Pseudo-load coefficients'!Y300</f>
        <v>2.9549950970772461E-2</v>
      </c>
      <c r="AQ122" s="88"/>
    </row>
    <row r="123" spans="5:43" x14ac:dyDescent="0.25">
      <c r="E123" s="96"/>
      <c r="F123" s="295" t="s">
        <v>49</v>
      </c>
      <c r="G123" s="295" t="s">
        <v>528</v>
      </c>
      <c r="J123" s="274">
        <f>'Pseudo-load coefficients'!J301</f>
        <v>4.1322546283744134E-2</v>
      </c>
      <c r="K123" s="274">
        <f>'Pseudo-load coefficients'!K301</f>
        <v>4.1322546283744134E-2</v>
      </c>
      <c r="L123" s="274">
        <f>'Pseudo-load coefficients'!L301</f>
        <v>4.7996346643469308E-2</v>
      </c>
      <c r="M123" s="274">
        <f>'Pseudo-load coefficients'!M301</f>
        <v>4.7996346643469308E-2</v>
      </c>
      <c r="N123" s="274">
        <f>'Pseudo-load coefficients'!N301</f>
        <v>3.7102486338602317E-2</v>
      </c>
      <c r="O123" s="274">
        <f>'Pseudo-load coefficients'!O301</f>
        <v>3.1737751098900924E-2</v>
      </c>
      <c r="P123" s="274">
        <f>'Pseudo-load coefficients'!P301</f>
        <v>3.2214162276805902E-2</v>
      </c>
      <c r="Q123" s="274">
        <f>'Pseudo-load coefficients'!Q301</f>
        <v>3.2478419947438684E-2</v>
      </c>
      <c r="R123" s="274">
        <f>'Pseudo-load coefficients'!R301</f>
        <v>2.9549950970772461E-2</v>
      </c>
      <c r="S123" s="274">
        <f>'Pseudo-load coefficients'!S301</f>
        <v>2.9549950970772461E-2</v>
      </c>
      <c r="T123" s="274">
        <f>'Pseudo-load coefficients'!T301</f>
        <v>2.9549950970772461E-2</v>
      </c>
      <c r="U123" s="274">
        <f>'Pseudo-load coefficients'!U301</f>
        <v>2.9549950970772461E-2</v>
      </c>
      <c r="V123" s="274">
        <f>'Pseudo-load coefficients'!V301</f>
        <v>2.9549950970772461E-2</v>
      </c>
      <c r="W123" s="274">
        <f>'Pseudo-load coefficients'!W301</f>
        <v>2.9549950970772461E-2</v>
      </c>
      <c r="X123" s="274">
        <f>'Pseudo-load coefficients'!X301</f>
        <v>2.9549950970772461E-2</v>
      </c>
      <c r="Y123" s="274">
        <f>'Pseudo-load coefficients'!Y301</f>
        <v>2.9549950970772461E-2</v>
      </c>
      <c r="AQ123" s="88"/>
    </row>
    <row r="124" spans="5:43" x14ac:dyDescent="0.25">
      <c r="E124" s="96"/>
      <c r="F124" s="93" t="s">
        <v>50</v>
      </c>
      <c r="G124" s="93" t="s">
        <v>528</v>
      </c>
      <c r="H124" s="93"/>
      <c r="I124" s="93"/>
      <c r="J124" s="275">
        <f>'Pseudo-load coefficients'!J302</f>
        <v>4.1322546283744134E-2</v>
      </c>
      <c r="K124" s="275">
        <f>'Pseudo-load coefficients'!K302</f>
        <v>4.1322546283744134E-2</v>
      </c>
      <c r="L124" s="275">
        <f>'Pseudo-load coefficients'!L302</f>
        <v>4.7996346643469308E-2</v>
      </c>
      <c r="M124" s="275">
        <f>'Pseudo-load coefficients'!M302</f>
        <v>4.7996346643469308E-2</v>
      </c>
      <c r="N124" s="275">
        <f>'Pseudo-load coefficients'!N302</f>
        <v>3.7102486338602317E-2</v>
      </c>
      <c r="O124" s="275">
        <f>'Pseudo-load coefficients'!O302</f>
        <v>3.1737751098900924E-2</v>
      </c>
      <c r="P124" s="275">
        <f>'Pseudo-load coefficients'!P302</f>
        <v>3.2214162276805902E-2</v>
      </c>
      <c r="Q124" s="275">
        <f>'Pseudo-load coefficients'!Q302</f>
        <v>3.2478419947438684E-2</v>
      </c>
      <c r="R124" s="275">
        <f>'Pseudo-load coefficients'!R302</f>
        <v>2.9549950970772461E-2</v>
      </c>
      <c r="S124" s="275">
        <f>'Pseudo-load coefficients'!S302</f>
        <v>2.9549950970772461E-2</v>
      </c>
      <c r="T124" s="275">
        <f>'Pseudo-load coefficients'!T302</f>
        <v>2.9549950970772461E-2</v>
      </c>
      <c r="U124" s="275">
        <f>'Pseudo-load coefficients'!U302</f>
        <v>2.9549950970772461E-2</v>
      </c>
      <c r="V124" s="275">
        <f>'Pseudo-load coefficients'!V302</f>
        <v>2.9549950970772461E-2</v>
      </c>
      <c r="W124" s="275">
        <f>'Pseudo-load coefficients'!W302</f>
        <v>2.9549950970772461E-2</v>
      </c>
      <c r="X124" s="275">
        <f>'Pseudo-load coefficients'!X302</f>
        <v>2.9549950970772461E-2</v>
      </c>
      <c r="Y124" s="275">
        <f>'Pseudo-load coefficients'!Y302</f>
        <v>2.9549950970772461E-2</v>
      </c>
      <c r="AQ124" s="88"/>
    </row>
    <row r="125" spans="5:43" x14ac:dyDescent="0.25">
      <c r="E125" s="96"/>
      <c r="J125" s="253"/>
      <c r="K125" s="253"/>
      <c r="L125" s="253"/>
      <c r="M125" s="253"/>
      <c r="N125" s="253"/>
      <c r="O125" s="253"/>
      <c r="P125" s="253"/>
      <c r="Q125" s="253"/>
      <c r="R125" s="253"/>
      <c r="S125" s="253"/>
      <c r="T125" s="253"/>
      <c r="U125" s="253"/>
      <c r="V125" s="253"/>
      <c r="W125" s="253"/>
      <c r="X125" s="253"/>
      <c r="Y125" s="253"/>
      <c r="AQ125" s="88"/>
    </row>
    <row r="126" spans="5:43" x14ac:dyDescent="0.25">
      <c r="E126" s="96" t="s">
        <v>626</v>
      </c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  <c r="U126" s="253"/>
      <c r="V126" s="253"/>
      <c r="W126" s="253"/>
      <c r="X126" s="253"/>
      <c r="Y126" s="253"/>
      <c r="AQ126" s="88"/>
    </row>
    <row r="127" spans="5:43" x14ac:dyDescent="0.25">
      <c r="E127" s="82" t="s">
        <v>419</v>
      </c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  <c r="U127" s="253"/>
      <c r="V127" s="253"/>
      <c r="W127" s="253"/>
      <c r="X127" s="253"/>
      <c r="Y127" s="253"/>
      <c r="AQ127" s="88"/>
    </row>
    <row r="128" spans="5:43" x14ac:dyDescent="0.25">
      <c r="E128" s="96"/>
      <c r="F128" s="91" t="s">
        <v>43</v>
      </c>
      <c r="G128" s="91" t="s">
        <v>102</v>
      </c>
      <c r="H128" s="91"/>
      <c r="I128" s="91"/>
      <c r="J128" s="278">
        <f t="shared" ref="J128:Y128" si="19">J$58 * J34 * J116 / hours_in_year / $H45</f>
        <v>4.5205416338402369</v>
      </c>
      <c r="K128" s="278">
        <f t="shared" si="19"/>
        <v>0.45560925935391994</v>
      </c>
      <c r="L128" s="278">
        <f t="shared" si="19"/>
        <v>2.1311121789964806</v>
      </c>
      <c r="M128" s="278">
        <f t="shared" si="19"/>
        <v>0.11329227309005457</v>
      </c>
      <c r="N128" s="278">
        <f t="shared" si="19"/>
        <v>1.9645160554211145</v>
      </c>
      <c r="O128" s="278">
        <f t="shared" si="19"/>
        <v>0.14407877457477949</v>
      </c>
      <c r="P128" s="278">
        <f t="shared" si="19"/>
        <v>2.1917211025079286</v>
      </c>
      <c r="Q128" s="278">
        <f t="shared" si="19"/>
        <v>0.2762848223523367</v>
      </c>
      <c r="R128" s="278">
        <f t="shared" si="19"/>
        <v>-9.3023333000202759E-4</v>
      </c>
      <c r="S128" s="278">
        <f t="shared" si="19"/>
        <v>-2.0196429587581949E-5</v>
      </c>
      <c r="T128" s="278">
        <f t="shared" si="19"/>
        <v>-4.1113386810665425E-2</v>
      </c>
      <c r="U128" s="278">
        <f t="shared" si="19"/>
        <v>0</v>
      </c>
      <c r="V128" s="278">
        <f t="shared" si="19"/>
        <v>-1.0186049244787544E-3</v>
      </c>
      <c r="W128" s="278">
        <f t="shared" si="19"/>
        <v>0</v>
      </c>
      <c r="X128" s="278">
        <f t="shared" si="19"/>
        <v>-0.62938392414615973</v>
      </c>
      <c r="Y128" s="278">
        <f t="shared" si="19"/>
        <v>0</v>
      </c>
      <c r="AQ128" s="88"/>
    </row>
    <row r="129" spans="3:43" x14ac:dyDescent="0.25">
      <c r="E129" s="96"/>
      <c r="F129" s="295" t="s">
        <v>44</v>
      </c>
      <c r="G129" s="295" t="s">
        <v>102</v>
      </c>
      <c r="J129" s="253">
        <f t="shared" ref="J129:Y129" si="20">J$58 * J35 * J117 / hours_in_year / $H46</f>
        <v>0</v>
      </c>
      <c r="K129" s="253">
        <f t="shared" si="20"/>
        <v>0</v>
      </c>
      <c r="L129" s="253">
        <f t="shared" si="20"/>
        <v>0</v>
      </c>
      <c r="M129" s="253">
        <f t="shared" si="20"/>
        <v>0</v>
      </c>
      <c r="N129" s="253">
        <f t="shared" si="20"/>
        <v>0</v>
      </c>
      <c r="O129" s="253">
        <f t="shared" si="20"/>
        <v>0</v>
      </c>
      <c r="P129" s="253">
        <f t="shared" si="20"/>
        <v>0</v>
      </c>
      <c r="Q129" s="253">
        <f t="shared" si="20"/>
        <v>0</v>
      </c>
      <c r="R129" s="253">
        <f t="shared" si="20"/>
        <v>0</v>
      </c>
      <c r="S129" s="253">
        <f t="shared" si="20"/>
        <v>0</v>
      </c>
      <c r="T129" s="253">
        <f t="shared" si="20"/>
        <v>0</v>
      </c>
      <c r="U129" s="253">
        <f t="shared" si="20"/>
        <v>0</v>
      </c>
      <c r="V129" s="253">
        <f t="shared" si="20"/>
        <v>0</v>
      </c>
      <c r="W129" s="253">
        <f t="shared" si="20"/>
        <v>0</v>
      </c>
      <c r="X129" s="253">
        <f t="shared" si="20"/>
        <v>0</v>
      </c>
      <c r="Y129" s="253">
        <f t="shared" si="20"/>
        <v>0</v>
      </c>
      <c r="AQ129" s="88"/>
    </row>
    <row r="130" spans="3:43" x14ac:dyDescent="0.25">
      <c r="E130" s="96"/>
      <c r="F130" s="295" t="s">
        <v>45</v>
      </c>
      <c r="G130" s="295" t="s">
        <v>102</v>
      </c>
      <c r="J130" s="253">
        <f t="shared" ref="J130:Y130" si="21">J$58 * J36 * J118 / hours_in_year / $H47</f>
        <v>0</v>
      </c>
      <c r="K130" s="253">
        <f t="shared" si="21"/>
        <v>0</v>
      </c>
      <c r="L130" s="253">
        <f t="shared" si="21"/>
        <v>0</v>
      </c>
      <c r="M130" s="253">
        <f t="shared" si="21"/>
        <v>0</v>
      </c>
      <c r="N130" s="253">
        <f t="shared" si="21"/>
        <v>0</v>
      </c>
      <c r="O130" s="253">
        <f t="shared" si="21"/>
        <v>0</v>
      </c>
      <c r="P130" s="253">
        <f t="shared" si="21"/>
        <v>0</v>
      </c>
      <c r="Q130" s="253">
        <f t="shared" si="21"/>
        <v>0</v>
      </c>
      <c r="R130" s="253">
        <f t="shared" si="21"/>
        <v>0</v>
      </c>
      <c r="S130" s="253">
        <f t="shared" si="21"/>
        <v>0</v>
      </c>
      <c r="T130" s="253">
        <f t="shared" si="21"/>
        <v>0</v>
      </c>
      <c r="U130" s="253">
        <f t="shared" si="21"/>
        <v>0</v>
      </c>
      <c r="V130" s="253">
        <f t="shared" si="21"/>
        <v>0</v>
      </c>
      <c r="W130" s="253">
        <f t="shared" si="21"/>
        <v>0</v>
      </c>
      <c r="X130" s="253">
        <f t="shared" si="21"/>
        <v>0</v>
      </c>
      <c r="Y130" s="253">
        <f t="shared" si="21"/>
        <v>0</v>
      </c>
      <c r="AQ130" s="88"/>
    </row>
    <row r="131" spans="3:43" x14ac:dyDescent="0.25">
      <c r="E131" s="96"/>
      <c r="F131" s="295" t="s">
        <v>46</v>
      </c>
      <c r="G131" s="295" t="s">
        <v>102</v>
      </c>
      <c r="J131" s="253">
        <f t="shared" ref="J131:Y131" si="22">J$58 * J37 * J119 / hours_in_year / $H48</f>
        <v>4.5025315078090005</v>
      </c>
      <c r="K131" s="253">
        <f t="shared" si="22"/>
        <v>0.45379408302183261</v>
      </c>
      <c r="L131" s="253">
        <f t="shared" si="22"/>
        <v>2.1226216922275705</v>
      </c>
      <c r="M131" s="253">
        <f t="shared" si="22"/>
        <v>0.11284090945224559</v>
      </c>
      <c r="N131" s="253">
        <f t="shared" si="22"/>
        <v>1.9566892982282018</v>
      </c>
      <c r="O131" s="253">
        <f t="shared" si="22"/>
        <v>0.14350475555256922</v>
      </c>
      <c r="P131" s="253">
        <f t="shared" si="22"/>
        <v>2.1829891459242319</v>
      </c>
      <c r="Q131" s="253">
        <f t="shared" si="22"/>
        <v>0.27518408600830346</v>
      </c>
      <c r="R131" s="253">
        <f t="shared" si="22"/>
        <v>-9.2652722111755733E-4</v>
      </c>
      <c r="S131" s="253">
        <f t="shared" si="22"/>
        <v>-2.0115965724683215E-5</v>
      </c>
      <c r="T131" s="253">
        <f t="shared" si="22"/>
        <v>-4.0949588456838076E-2</v>
      </c>
      <c r="U131" s="253">
        <f t="shared" si="22"/>
        <v>0</v>
      </c>
      <c r="V131" s="253">
        <f t="shared" si="22"/>
        <v>-1.0145467375286398E-3</v>
      </c>
      <c r="W131" s="253">
        <f t="shared" si="22"/>
        <v>0</v>
      </c>
      <c r="X131" s="253">
        <f t="shared" si="22"/>
        <v>-0.6268764184722706</v>
      </c>
      <c r="Y131" s="253">
        <f t="shared" si="22"/>
        <v>0</v>
      </c>
      <c r="AQ131" s="88"/>
    </row>
    <row r="132" spans="3:43" x14ac:dyDescent="0.25">
      <c r="E132" s="96"/>
      <c r="F132" s="295" t="s">
        <v>47</v>
      </c>
      <c r="G132" s="295" t="s">
        <v>102</v>
      </c>
      <c r="J132" s="253">
        <f t="shared" ref="J132:Y132" si="23">J$58 * J38 * J120 / hours_in_year / $H49</f>
        <v>12.455239353141412</v>
      </c>
      <c r="K132" s="253">
        <f t="shared" si="23"/>
        <v>1.2553191268675106</v>
      </c>
      <c r="L132" s="253">
        <f t="shared" si="23"/>
        <v>5.8717548532446511</v>
      </c>
      <c r="M132" s="253">
        <f t="shared" si="23"/>
        <v>0.31214896189317154</v>
      </c>
      <c r="N132" s="253">
        <f t="shared" si="23"/>
        <v>5.4127402566521647</v>
      </c>
      <c r="O132" s="253">
        <f t="shared" si="23"/>
        <v>0.39697358599741761</v>
      </c>
      <c r="P132" s="253">
        <f t="shared" si="23"/>
        <v>6.0387478178974332</v>
      </c>
      <c r="Q132" s="253">
        <f t="shared" si="23"/>
        <v>0.76123479679473427</v>
      </c>
      <c r="R132" s="253">
        <f t="shared" si="23"/>
        <v>-2.5630288841300636E-3</v>
      </c>
      <c r="S132" s="253">
        <f t="shared" si="23"/>
        <v>-5.5646288645837635E-5</v>
      </c>
      <c r="T132" s="253">
        <f t="shared" si="23"/>
        <v>-0.11327781377164567</v>
      </c>
      <c r="U132" s="253">
        <f t="shared" si="23"/>
        <v>0</v>
      </c>
      <c r="V132" s="253">
        <f t="shared" si="23"/>
        <v>-2.8065150524659E-3</v>
      </c>
      <c r="W132" s="253">
        <f t="shared" si="23"/>
        <v>0</v>
      </c>
      <c r="X132" s="253">
        <f t="shared" si="23"/>
        <v>-1.734112426169697</v>
      </c>
      <c r="Y132" s="253">
        <f t="shared" si="23"/>
        <v>0</v>
      </c>
      <c r="AQ132" s="88"/>
    </row>
    <row r="133" spans="3:43" x14ac:dyDescent="0.25">
      <c r="E133" s="96"/>
      <c r="F133" s="295" t="s">
        <v>51</v>
      </c>
      <c r="G133" s="295" t="s">
        <v>102</v>
      </c>
      <c r="J133" s="253">
        <f t="shared" ref="J133:Y133" si="24">J$58 * J39 * J121 / hours_in_year / $H50</f>
        <v>0</v>
      </c>
      <c r="K133" s="253">
        <f t="shared" si="24"/>
        <v>0</v>
      </c>
      <c r="L133" s="253">
        <f t="shared" si="24"/>
        <v>0</v>
      </c>
      <c r="M133" s="253">
        <f t="shared" si="24"/>
        <v>0</v>
      </c>
      <c r="N133" s="253">
        <f t="shared" si="24"/>
        <v>0</v>
      </c>
      <c r="O133" s="253">
        <f t="shared" si="24"/>
        <v>0</v>
      </c>
      <c r="P133" s="253">
        <f t="shared" si="24"/>
        <v>0</v>
      </c>
      <c r="Q133" s="253">
        <f t="shared" si="24"/>
        <v>0</v>
      </c>
      <c r="R133" s="253">
        <f t="shared" si="24"/>
        <v>0</v>
      </c>
      <c r="S133" s="253">
        <f t="shared" si="24"/>
        <v>0</v>
      </c>
      <c r="T133" s="253">
        <f t="shared" si="24"/>
        <v>0</v>
      </c>
      <c r="U133" s="253">
        <f t="shared" si="24"/>
        <v>0</v>
      </c>
      <c r="V133" s="253">
        <f t="shared" si="24"/>
        <v>0</v>
      </c>
      <c r="W133" s="253">
        <f t="shared" si="24"/>
        <v>0</v>
      </c>
      <c r="X133" s="253">
        <f t="shared" si="24"/>
        <v>0</v>
      </c>
      <c r="Y133" s="253">
        <f t="shared" si="24"/>
        <v>0</v>
      </c>
      <c r="AQ133" s="88"/>
    </row>
    <row r="134" spans="3:43" x14ac:dyDescent="0.25">
      <c r="E134" s="96"/>
      <c r="F134" s="295" t="s">
        <v>48</v>
      </c>
      <c r="G134" s="295" t="s">
        <v>102</v>
      </c>
      <c r="J134" s="253">
        <f t="shared" ref="J134:Y134" si="25">J$58 * J40 * J122 / hours_in_year / $H51</f>
        <v>12.297424429563597</v>
      </c>
      <c r="K134" s="253">
        <f t="shared" si="25"/>
        <v>1.2394135238955049</v>
      </c>
      <c r="L134" s="253">
        <f t="shared" si="25"/>
        <v>5.7973563999384314</v>
      </c>
      <c r="M134" s="253">
        <f t="shared" si="25"/>
        <v>0.30819385808750754</v>
      </c>
      <c r="N134" s="253">
        <f t="shared" si="25"/>
        <v>5.344157777766708</v>
      </c>
      <c r="O134" s="253">
        <f t="shared" si="25"/>
        <v>0.39194370625281089</v>
      </c>
      <c r="P134" s="253">
        <f t="shared" si="25"/>
        <v>5.9622334693275816</v>
      </c>
      <c r="Q134" s="253">
        <f t="shared" si="25"/>
        <v>0.75158952159168202</v>
      </c>
      <c r="R134" s="253">
        <f t="shared" si="25"/>
        <v>-2.5305538592824113E-3</v>
      </c>
      <c r="S134" s="253">
        <f t="shared" si="25"/>
        <v>-5.4941218711728573E-5</v>
      </c>
      <c r="T134" s="253">
        <f t="shared" si="25"/>
        <v>-0.11184251983496787</v>
      </c>
      <c r="U134" s="253">
        <f t="shared" si="25"/>
        <v>0</v>
      </c>
      <c r="V134" s="253">
        <f t="shared" si="25"/>
        <v>-2.7709549202221797E-3</v>
      </c>
      <c r="W134" s="253">
        <f t="shared" si="25"/>
        <v>0</v>
      </c>
      <c r="X134" s="253">
        <f t="shared" si="25"/>
        <v>0</v>
      </c>
      <c r="Y134" s="253">
        <f t="shared" si="25"/>
        <v>0</v>
      </c>
      <c r="AQ134" s="88"/>
    </row>
    <row r="135" spans="3:43" x14ac:dyDescent="0.25">
      <c r="E135" s="96"/>
      <c r="F135" s="295" t="s">
        <v>49</v>
      </c>
      <c r="G135" s="295" t="s">
        <v>102</v>
      </c>
      <c r="J135" s="253">
        <f t="shared" ref="J135:Y135" si="26">J$58 * J41 * J123 / hours_in_year / $H52</f>
        <v>12.085399870433189</v>
      </c>
      <c r="K135" s="253">
        <f t="shared" si="26"/>
        <v>1.2180443252076514</v>
      </c>
      <c r="L135" s="253">
        <f t="shared" si="26"/>
        <v>5.6974019792498378</v>
      </c>
      <c r="M135" s="253">
        <f t="shared" si="26"/>
        <v>0.30288017087910224</v>
      </c>
      <c r="N135" s="253">
        <f t="shared" si="26"/>
        <v>5.2520171264259021</v>
      </c>
      <c r="O135" s="253">
        <f t="shared" si="26"/>
        <v>0.38518605614500384</v>
      </c>
      <c r="P135" s="253">
        <f t="shared" si="26"/>
        <v>0</v>
      </c>
      <c r="Q135" s="253">
        <f t="shared" si="26"/>
        <v>0.73863108156423918</v>
      </c>
      <c r="R135" s="253">
        <f t="shared" si="26"/>
        <v>-2.4869236203292661E-3</v>
      </c>
      <c r="S135" s="253">
        <f t="shared" si="26"/>
        <v>0</v>
      </c>
      <c r="T135" s="253">
        <f t="shared" si="26"/>
        <v>-0.10991420052746843</v>
      </c>
      <c r="U135" s="253">
        <f t="shared" si="26"/>
        <v>0</v>
      </c>
      <c r="V135" s="253">
        <f t="shared" si="26"/>
        <v>0</v>
      </c>
      <c r="W135" s="253">
        <f t="shared" si="26"/>
        <v>0</v>
      </c>
      <c r="X135" s="253">
        <f t="shared" si="26"/>
        <v>0</v>
      </c>
      <c r="Y135" s="253">
        <f t="shared" si="26"/>
        <v>0</v>
      </c>
      <c r="AQ135" s="88"/>
    </row>
    <row r="136" spans="3:43" x14ac:dyDescent="0.25">
      <c r="E136" s="96"/>
      <c r="F136" s="93" t="s">
        <v>50</v>
      </c>
      <c r="G136" s="93" t="s">
        <v>102</v>
      </c>
      <c r="H136" s="93"/>
      <c r="I136" s="93"/>
      <c r="J136" s="272">
        <f t="shared" ref="J136:Y136" si="27">J$58 * J42 * J124 / hours_in_year / $H53</f>
        <v>11.491035942379098</v>
      </c>
      <c r="K136" s="272">
        <f t="shared" si="27"/>
        <v>1.1581405059351439</v>
      </c>
      <c r="L136" s="272">
        <f t="shared" si="27"/>
        <v>5.4172018819096817</v>
      </c>
      <c r="M136" s="272">
        <f t="shared" si="27"/>
        <v>0.28798442477029396</v>
      </c>
      <c r="N136" s="272">
        <f t="shared" si="27"/>
        <v>4.9937212021754478</v>
      </c>
      <c r="O136" s="272">
        <f t="shared" si="27"/>
        <v>0</v>
      </c>
      <c r="P136" s="272">
        <f t="shared" si="27"/>
        <v>0</v>
      </c>
      <c r="Q136" s="272">
        <f t="shared" si="27"/>
        <v>0.70230496279878474</v>
      </c>
      <c r="R136" s="272">
        <f t="shared" si="27"/>
        <v>0</v>
      </c>
      <c r="S136" s="272">
        <f t="shared" si="27"/>
        <v>0</v>
      </c>
      <c r="T136" s="272">
        <f t="shared" si="27"/>
        <v>0</v>
      </c>
      <c r="U136" s="272">
        <f t="shared" si="27"/>
        <v>0</v>
      </c>
      <c r="V136" s="272">
        <f t="shared" si="27"/>
        <v>0</v>
      </c>
      <c r="W136" s="272">
        <f t="shared" si="27"/>
        <v>0</v>
      </c>
      <c r="X136" s="272">
        <f t="shared" si="27"/>
        <v>0</v>
      </c>
      <c r="Y136" s="272">
        <f t="shared" si="27"/>
        <v>0</v>
      </c>
      <c r="AQ136" s="88"/>
    </row>
    <row r="137" spans="3:43" x14ac:dyDescent="0.25">
      <c r="D137" s="96"/>
      <c r="J137" s="253"/>
      <c r="K137" s="253"/>
      <c r="L137" s="253"/>
      <c r="M137" s="253"/>
      <c r="N137" s="253"/>
      <c r="O137" s="253"/>
      <c r="P137" s="253"/>
      <c r="Q137" s="253"/>
      <c r="R137" s="253"/>
      <c r="S137" s="253"/>
      <c r="T137" s="253"/>
      <c r="U137" s="253"/>
      <c r="V137" s="253"/>
      <c r="W137" s="253"/>
      <c r="X137" s="253"/>
      <c r="Y137" s="253"/>
      <c r="AQ137" s="88"/>
    </row>
    <row r="138" spans="3:43" x14ac:dyDescent="0.25">
      <c r="C138" s="7" t="str">
        <f ca="1">INDEX('Version control'!$H$34:$H$58,MATCH($A$1,'Version control'!$F$34:$F$58,0),1)&amp;"-C: System peak load, all unit rates"</f>
        <v>Section 509-C: System peak load, all unit rates</v>
      </c>
      <c r="D138" s="7"/>
      <c r="E138" s="7"/>
      <c r="F138" s="7"/>
      <c r="G138" s="7"/>
      <c r="H138" s="7"/>
      <c r="I138" s="7"/>
      <c r="J138" s="243"/>
      <c r="K138" s="243"/>
      <c r="L138" s="243"/>
      <c r="M138" s="243"/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43"/>
      <c r="Y138" s="243"/>
      <c r="Z138" s="7"/>
      <c r="AA138" s="7"/>
      <c r="AQ138" s="88"/>
    </row>
    <row r="139" spans="3:43" x14ac:dyDescent="0.25">
      <c r="H139" s="90"/>
      <c r="J139" s="253"/>
      <c r="K139" s="253"/>
      <c r="L139" s="253"/>
      <c r="M139" s="253"/>
      <c r="N139" s="253"/>
      <c r="O139" s="253"/>
      <c r="P139" s="253"/>
      <c r="Q139" s="253"/>
      <c r="R139" s="253"/>
      <c r="S139" s="253"/>
      <c r="T139" s="253"/>
      <c r="U139" s="253"/>
      <c r="V139" s="253"/>
      <c r="W139" s="253"/>
      <c r="X139" s="253"/>
      <c r="Y139" s="253"/>
    </row>
    <row r="140" spans="3:43" x14ac:dyDescent="0.25">
      <c r="E140" s="96" t="s">
        <v>775</v>
      </c>
      <c r="J140" s="253"/>
      <c r="K140" s="253"/>
      <c r="L140" s="253"/>
      <c r="M140" s="253"/>
      <c r="N140" s="253"/>
      <c r="O140" s="253"/>
      <c r="P140" s="253"/>
      <c r="Q140" s="253"/>
      <c r="R140" s="253"/>
      <c r="S140" s="253"/>
      <c r="T140" s="253"/>
      <c r="U140" s="253"/>
      <c r="V140" s="253"/>
      <c r="W140" s="253"/>
      <c r="X140" s="253"/>
      <c r="Y140" s="253"/>
      <c r="AQ140" s="88"/>
    </row>
    <row r="141" spans="3:43" x14ac:dyDescent="0.25">
      <c r="E141" s="82" t="s">
        <v>418</v>
      </c>
      <c r="J141" s="253"/>
      <c r="K141" s="253"/>
      <c r="L141" s="253"/>
      <c r="M141" s="253"/>
      <c r="N141" s="253"/>
      <c r="O141" s="253"/>
      <c r="P141" s="253"/>
      <c r="Q141" s="253"/>
      <c r="R141" s="253"/>
      <c r="S141" s="253"/>
      <c r="T141" s="253"/>
      <c r="U141" s="253"/>
      <c r="V141" s="253"/>
      <c r="W141" s="253"/>
      <c r="X141" s="253"/>
      <c r="Y141" s="253"/>
      <c r="AQ141" s="88"/>
    </row>
    <row r="142" spans="3:43" x14ac:dyDescent="0.25">
      <c r="C142" s="96"/>
      <c r="F142" s="91" t="s">
        <v>43</v>
      </c>
      <c r="G142" s="91" t="s">
        <v>102</v>
      </c>
      <c r="H142" s="91"/>
      <c r="I142" s="91"/>
      <c r="J142" s="278">
        <f t="shared" ref="J142:Y150" si="28">J82 + J105 + J128</f>
        <v>1386.4713030543721</v>
      </c>
      <c r="K142" s="278">
        <f t="shared" si="28"/>
        <v>5.1559980267560368</v>
      </c>
      <c r="L142" s="278">
        <f t="shared" si="28"/>
        <v>456.91138811350123</v>
      </c>
      <c r="M142" s="278">
        <f t="shared" si="28"/>
        <v>10.519747246525604</v>
      </c>
      <c r="N142" s="278">
        <f t="shared" si="28"/>
        <v>508.24426379200531</v>
      </c>
      <c r="O142" s="278">
        <f t="shared" si="28"/>
        <v>33.512184297916328</v>
      </c>
      <c r="P142" s="278">
        <f t="shared" si="28"/>
        <v>473.35255653173618</v>
      </c>
      <c r="Q142" s="278">
        <f t="shared" si="28"/>
        <v>49.020815047446781</v>
      </c>
      <c r="R142" s="278">
        <f t="shared" si="28"/>
        <v>-0.19766654104724962</v>
      </c>
      <c r="S142" s="278">
        <f t="shared" si="28"/>
        <v>-3.780660295578114E-3</v>
      </c>
      <c r="T142" s="278">
        <f t="shared" si="28"/>
        <v>-8.6550262997882239</v>
      </c>
      <c r="U142" s="278">
        <f t="shared" si="28"/>
        <v>0</v>
      </c>
      <c r="V142" s="278">
        <f t="shared" si="28"/>
        <v>-0.19011168964667813</v>
      </c>
      <c r="W142" s="278">
        <f t="shared" si="28"/>
        <v>0</v>
      </c>
      <c r="X142" s="278">
        <f t="shared" si="28"/>
        <v>-147.1402947575167</v>
      </c>
      <c r="Y142" s="278">
        <f t="shared" si="28"/>
        <v>0</v>
      </c>
      <c r="AQ142" s="88"/>
    </row>
    <row r="143" spans="3:43" x14ac:dyDescent="0.25">
      <c r="C143" s="96"/>
      <c r="F143" s="295" t="s">
        <v>44</v>
      </c>
      <c r="G143" s="295" t="s">
        <v>102</v>
      </c>
      <c r="J143" s="253">
        <f t="shared" si="28"/>
        <v>0</v>
      </c>
      <c r="K143" s="253">
        <f t="shared" si="28"/>
        <v>0</v>
      </c>
      <c r="L143" s="253">
        <f t="shared" si="28"/>
        <v>0</v>
      </c>
      <c r="M143" s="253">
        <f t="shared" si="28"/>
        <v>0</v>
      </c>
      <c r="N143" s="253">
        <f t="shared" si="28"/>
        <v>0</v>
      </c>
      <c r="O143" s="253">
        <f t="shared" si="28"/>
        <v>0</v>
      </c>
      <c r="P143" s="253">
        <f t="shared" si="28"/>
        <v>0</v>
      </c>
      <c r="Q143" s="253">
        <f t="shared" si="28"/>
        <v>0</v>
      </c>
      <c r="R143" s="253">
        <f t="shared" si="28"/>
        <v>0</v>
      </c>
      <c r="S143" s="253">
        <f t="shared" si="28"/>
        <v>0</v>
      </c>
      <c r="T143" s="253">
        <f t="shared" si="28"/>
        <v>0</v>
      </c>
      <c r="U143" s="253">
        <f t="shared" si="28"/>
        <v>0</v>
      </c>
      <c r="V143" s="253">
        <f t="shared" si="28"/>
        <v>0</v>
      </c>
      <c r="W143" s="253">
        <f t="shared" si="28"/>
        <v>0</v>
      </c>
      <c r="X143" s="253">
        <f t="shared" si="28"/>
        <v>0</v>
      </c>
      <c r="Y143" s="253">
        <f t="shared" si="28"/>
        <v>0</v>
      </c>
      <c r="AQ143" s="88"/>
    </row>
    <row r="144" spans="3:43" x14ac:dyDescent="0.25">
      <c r="C144" s="96"/>
      <c r="F144" s="295" t="s">
        <v>45</v>
      </c>
      <c r="G144" s="295" t="s">
        <v>102</v>
      </c>
      <c r="J144" s="253">
        <f t="shared" si="28"/>
        <v>0</v>
      </c>
      <c r="K144" s="253">
        <f t="shared" si="28"/>
        <v>0</v>
      </c>
      <c r="L144" s="253">
        <f t="shared" si="28"/>
        <v>0</v>
      </c>
      <c r="M144" s="253">
        <f t="shared" si="28"/>
        <v>0</v>
      </c>
      <c r="N144" s="253">
        <f t="shared" si="28"/>
        <v>0</v>
      </c>
      <c r="O144" s="253">
        <f t="shared" si="28"/>
        <v>0</v>
      </c>
      <c r="P144" s="253">
        <f t="shared" si="28"/>
        <v>0</v>
      </c>
      <c r="Q144" s="253">
        <f t="shared" si="28"/>
        <v>0</v>
      </c>
      <c r="R144" s="253">
        <f t="shared" si="28"/>
        <v>0</v>
      </c>
      <c r="S144" s="253">
        <f t="shared" si="28"/>
        <v>0</v>
      </c>
      <c r="T144" s="253">
        <f t="shared" si="28"/>
        <v>0</v>
      </c>
      <c r="U144" s="253">
        <f t="shared" si="28"/>
        <v>0</v>
      </c>
      <c r="V144" s="253">
        <f t="shared" si="28"/>
        <v>0</v>
      </c>
      <c r="W144" s="253">
        <f t="shared" si="28"/>
        <v>0</v>
      </c>
      <c r="X144" s="253">
        <f t="shared" si="28"/>
        <v>0</v>
      </c>
      <c r="Y144" s="253">
        <f t="shared" si="28"/>
        <v>0</v>
      </c>
      <c r="AQ144" s="88"/>
    </row>
    <row r="145" spans="3:43" x14ac:dyDescent="0.25">
      <c r="C145" s="96"/>
      <c r="F145" s="295" t="s">
        <v>46</v>
      </c>
      <c r="G145" s="295" t="s">
        <v>102</v>
      </c>
      <c r="J145" s="253">
        <f t="shared" si="28"/>
        <v>1380.9475130023627</v>
      </c>
      <c r="K145" s="253">
        <f t="shared" si="28"/>
        <v>5.1354562019482444</v>
      </c>
      <c r="L145" s="253">
        <f t="shared" si="28"/>
        <v>455.09102401743155</v>
      </c>
      <c r="M145" s="253">
        <f t="shared" si="28"/>
        <v>10.477835902913949</v>
      </c>
      <c r="N145" s="253">
        <f t="shared" si="28"/>
        <v>506.21938624701716</v>
      </c>
      <c r="O145" s="253">
        <f t="shared" si="28"/>
        <v>33.378669619438575</v>
      </c>
      <c r="P145" s="253">
        <f t="shared" si="28"/>
        <v>471.46668977264562</v>
      </c>
      <c r="Q145" s="253">
        <f t="shared" si="28"/>
        <v>48.825512995464919</v>
      </c>
      <c r="R145" s="253">
        <f t="shared" si="28"/>
        <v>-0.19687902494745976</v>
      </c>
      <c r="S145" s="253">
        <f t="shared" si="28"/>
        <v>-3.7655979039622647E-3</v>
      </c>
      <c r="T145" s="253">
        <f t="shared" si="28"/>
        <v>-8.6205441232950459</v>
      </c>
      <c r="U145" s="253">
        <f t="shared" si="28"/>
        <v>0</v>
      </c>
      <c r="V145" s="253">
        <f t="shared" si="28"/>
        <v>-0.18935427255645229</v>
      </c>
      <c r="W145" s="253">
        <f t="shared" si="28"/>
        <v>0</v>
      </c>
      <c r="X145" s="253">
        <f t="shared" si="28"/>
        <v>-146.5540784437417</v>
      </c>
      <c r="Y145" s="253">
        <f t="shared" si="28"/>
        <v>0</v>
      </c>
      <c r="AQ145" s="88"/>
    </row>
    <row r="146" spans="3:43" x14ac:dyDescent="0.25">
      <c r="C146" s="96"/>
      <c r="F146" s="295" t="s">
        <v>47</v>
      </c>
      <c r="G146" s="295" t="s">
        <v>102</v>
      </c>
      <c r="J146" s="253">
        <f t="shared" si="28"/>
        <v>1340.6027834875406</v>
      </c>
      <c r="K146" s="253">
        <f t="shared" si="28"/>
        <v>6.5292680001366268</v>
      </c>
      <c r="L146" s="253">
        <f t="shared" si="28"/>
        <v>458.96847224010537</v>
      </c>
      <c r="M146" s="253">
        <f t="shared" si="28"/>
        <v>10.790897115397559</v>
      </c>
      <c r="N146" s="253">
        <f t="shared" si="28"/>
        <v>504.21711042252076</v>
      </c>
      <c r="O146" s="253">
        <f t="shared" si="28"/>
        <v>33.202385739680942</v>
      </c>
      <c r="P146" s="253">
        <f t="shared" si="28"/>
        <v>468.9837261118405</v>
      </c>
      <c r="Q146" s="253">
        <f t="shared" si="28"/>
        <v>45.577557390515508</v>
      </c>
      <c r="R146" s="253">
        <f t="shared" si="28"/>
        <v>-0.19531065209196408</v>
      </c>
      <c r="S146" s="253">
        <f t="shared" si="28"/>
        <v>-3.7132236810808032E-3</v>
      </c>
      <c r="T146" s="253">
        <f t="shared" si="28"/>
        <v>-8.5526273377054132</v>
      </c>
      <c r="U146" s="253">
        <f t="shared" si="28"/>
        <v>0</v>
      </c>
      <c r="V146" s="253">
        <f t="shared" si="28"/>
        <v>-0.18676271987373558</v>
      </c>
      <c r="W146" s="253">
        <f t="shared" si="28"/>
        <v>0</v>
      </c>
      <c r="X146" s="253">
        <f t="shared" si="28"/>
        <v>-143.3997121858535</v>
      </c>
      <c r="Y146" s="253">
        <f t="shared" si="28"/>
        <v>0</v>
      </c>
      <c r="AQ146" s="88"/>
    </row>
    <row r="147" spans="3:43" x14ac:dyDescent="0.25">
      <c r="C147" s="96"/>
      <c r="F147" s="295" t="s">
        <v>51</v>
      </c>
      <c r="G147" s="295" t="s">
        <v>102</v>
      </c>
      <c r="H147" s="90"/>
      <c r="J147" s="253">
        <f t="shared" si="28"/>
        <v>0</v>
      </c>
      <c r="K147" s="253">
        <f t="shared" si="28"/>
        <v>0</v>
      </c>
      <c r="L147" s="253">
        <f t="shared" si="28"/>
        <v>0</v>
      </c>
      <c r="M147" s="253">
        <f t="shared" si="28"/>
        <v>0</v>
      </c>
      <c r="N147" s="253">
        <f t="shared" si="28"/>
        <v>0</v>
      </c>
      <c r="O147" s="253">
        <f t="shared" si="28"/>
        <v>0</v>
      </c>
      <c r="P147" s="253">
        <f t="shared" si="28"/>
        <v>0</v>
      </c>
      <c r="Q147" s="253">
        <f t="shared" si="28"/>
        <v>0</v>
      </c>
      <c r="R147" s="253">
        <f t="shared" si="28"/>
        <v>0</v>
      </c>
      <c r="S147" s="253">
        <f t="shared" si="28"/>
        <v>0</v>
      </c>
      <c r="T147" s="253">
        <f t="shared" si="28"/>
        <v>0</v>
      </c>
      <c r="U147" s="253">
        <f t="shared" si="28"/>
        <v>0</v>
      </c>
      <c r="V147" s="253">
        <f t="shared" si="28"/>
        <v>0</v>
      </c>
      <c r="W147" s="253">
        <f t="shared" si="28"/>
        <v>0</v>
      </c>
      <c r="X147" s="253">
        <f t="shared" si="28"/>
        <v>0</v>
      </c>
      <c r="Y147" s="253">
        <f t="shared" si="28"/>
        <v>0</v>
      </c>
      <c r="AQ147" s="88"/>
    </row>
    <row r="148" spans="3:43" x14ac:dyDescent="0.25">
      <c r="C148" s="96"/>
      <c r="F148" s="295" t="s">
        <v>48</v>
      </c>
      <c r="G148" s="295" t="s">
        <v>102</v>
      </c>
      <c r="J148" s="253">
        <f t="shared" si="28"/>
        <v>1323.616588375125</v>
      </c>
      <c r="K148" s="253">
        <f t="shared" si="28"/>
        <v>6.4465384835656936</v>
      </c>
      <c r="L148" s="253">
        <f t="shared" si="28"/>
        <v>453.15308224096168</v>
      </c>
      <c r="M148" s="253">
        <f t="shared" si="28"/>
        <v>10.654170348828194</v>
      </c>
      <c r="N148" s="253">
        <f>N88 + N111 + N134</f>
        <v>497.82839459845371</v>
      </c>
      <c r="O148" s="253">
        <f t="shared" si="28"/>
        <v>32.781692742979324</v>
      </c>
      <c r="P148" s="253">
        <f t="shared" si="28"/>
        <v>463.0414371844974</v>
      </c>
      <c r="Q148" s="253">
        <f t="shared" si="28"/>
        <v>45.00006397328675</v>
      </c>
      <c r="R148" s="253">
        <f t="shared" si="28"/>
        <v>-0.19283595572042844</v>
      </c>
      <c r="S148" s="253">
        <f t="shared" si="28"/>
        <v>-3.6661750379482E-3</v>
      </c>
      <c r="T148" s="253">
        <f t="shared" si="28"/>
        <v>-8.4442607145181121</v>
      </c>
      <c r="U148" s="253">
        <f t="shared" si="28"/>
        <v>0</v>
      </c>
      <c r="V148" s="253">
        <f t="shared" si="28"/>
        <v>-0.18439633063556929</v>
      </c>
      <c r="W148" s="253">
        <f t="shared" si="28"/>
        <v>0</v>
      </c>
      <c r="X148" s="253">
        <f t="shared" si="28"/>
        <v>0</v>
      </c>
      <c r="Y148" s="253">
        <f t="shared" si="28"/>
        <v>0</v>
      </c>
      <c r="AQ148" s="88"/>
    </row>
    <row r="149" spans="3:43" x14ac:dyDescent="0.25">
      <c r="C149" s="96"/>
      <c r="F149" s="295" t="s">
        <v>49</v>
      </c>
      <c r="G149" s="295" t="s">
        <v>102</v>
      </c>
      <c r="J149" s="253">
        <f t="shared" si="28"/>
        <v>1300.7956127134848</v>
      </c>
      <c r="K149" s="253">
        <f t="shared" si="28"/>
        <v>6.3353912683318026</v>
      </c>
      <c r="L149" s="253">
        <f t="shared" si="28"/>
        <v>445.34009806439332</v>
      </c>
      <c r="M149" s="253">
        <f t="shared" si="28"/>
        <v>10.470477756607018</v>
      </c>
      <c r="N149" s="253">
        <f t="shared" si="28"/>
        <v>489.24514641572171</v>
      </c>
      <c r="O149" s="253">
        <f t="shared" si="28"/>
        <v>32.216491143962443</v>
      </c>
      <c r="P149" s="253">
        <f t="shared" si="28"/>
        <v>0</v>
      </c>
      <c r="Q149" s="253">
        <f t="shared" si="28"/>
        <v>44.224200801333524</v>
      </c>
      <c r="R149" s="253">
        <f t="shared" si="28"/>
        <v>-0.18951119786317966</v>
      </c>
      <c r="S149" s="253">
        <f t="shared" si="28"/>
        <v>0</v>
      </c>
      <c r="T149" s="253">
        <f t="shared" si="28"/>
        <v>-8.2986700125436617</v>
      </c>
      <c r="U149" s="253">
        <f t="shared" si="28"/>
        <v>0</v>
      </c>
      <c r="V149" s="253">
        <f t="shared" si="28"/>
        <v>0</v>
      </c>
      <c r="W149" s="253">
        <f t="shared" si="28"/>
        <v>0</v>
      </c>
      <c r="X149" s="253">
        <f t="shared" si="28"/>
        <v>0</v>
      </c>
      <c r="Y149" s="253">
        <f t="shared" si="28"/>
        <v>0</v>
      </c>
      <c r="AQ149" s="88"/>
    </row>
    <row r="150" spans="3:43" x14ac:dyDescent="0.25">
      <c r="C150" s="96"/>
      <c r="F150" s="93" t="s">
        <v>50</v>
      </c>
      <c r="G150" s="93" t="s">
        <v>102</v>
      </c>
      <c r="H150" s="93"/>
      <c r="I150" s="93"/>
      <c r="J150" s="272">
        <f t="shared" si="28"/>
        <v>1236.8220579898709</v>
      </c>
      <c r="K150" s="272">
        <f t="shared" si="28"/>
        <v>6.0238146485777797</v>
      </c>
      <c r="L150" s="272">
        <f t="shared" si="28"/>
        <v>423.43812602843957</v>
      </c>
      <c r="M150" s="272">
        <f t="shared" si="28"/>
        <v>9.9555362275935551</v>
      </c>
      <c r="N150" s="272">
        <f t="shared" si="28"/>
        <v>465.18390970675176</v>
      </c>
      <c r="O150" s="272">
        <f t="shared" si="28"/>
        <v>0</v>
      </c>
      <c r="P150" s="272">
        <f t="shared" si="28"/>
        <v>0</v>
      </c>
      <c r="Q150" s="272">
        <f t="shared" si="28"/>
        <v>42.049240106185977</v>
      </c>
      <c r="R150" s="272">
        <f t="shared" si="28"/>
        <v>0</v>
      </c>
      <c r="S150" s="272">
        <f t="shared" si="28"/>
        <v>0</v>
      </c>
      <c r="T150" s="272">
        <f t="shared" si="28"/>
        <v>0</v>
      </c>
      <c r="U150" s="272">
        <f t="shared" si="28"/>
        <v>0</v>
      </c>
      <c r="V150" s="272">
        <f t="shared" si="28"/>
        <v>0</v>
      </c>
      <c r="W150" s="272">
        <f t="shared" si="28"/>
        <v>0</v>
      </c>
      <c r="X150" s="272">
        <f t="shared" si="28"/>
        <v>0</v>
      </c>
      <c r="Y150" s="272">
        <f t="shared" si="28"/>
        <v>0</v>
      </c>
      <c r="AQ150" s="88"/>
    </row>
    <row r="151" spans="3:43" x14ac:dyDescent="0.25">
      <c r="C151" s="96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AQ151" s="88"/>
    </row>
    <row r="152" spans="3:43" x14ac:dyDescent="0.25">
      <c r="E152" s="96" t="s">
        <v>774</v>
      </c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AQ152" s="88"/>
    </row>
    <row r="153" spans="3:43" x14ac:dyDescent="0.25">
      <c r="E153" s="82" t="s">
        <v>718</v>
      </c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AQ153" s="88"/>
    </row>
    <row r="154" spans="3:43" x14ac:dyDescent="0.25">
      <c r="C154" s="96"/>
      <c r="F154" s="91" t="s">
        <v>43</v>
      </c>
      <c r="G154" s="91" t="s">
        <v>113</v>
      </c>
      <c r="H154" s="255">
        <f t="shared" ref="H154:H162" si="29">SUM(J142:Y142) * thousand</f>
        <v>2767001.376161966</v>
      </c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AQ154" s="88"/>
    </row>
    <row r="155" spans="3:43" x14ac:dyDescent="0.25">
      <c r="C155" s="96"/>
      <c r="F155" s="295" t="s">
        <v>44</v>
      </c>
      <c r="G155" s="295" t="s">
        <v>113</v>
      </c>
      <c r="H155" s="257">
        <f t="shared" si="29"/>
        <v>0</v>
      </c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AQ155" s="88"/>
    </row>
    <row r="156" spans="3:43" x14ac:dyDescent="0.25">
      <c r="C156" s="96"/>
      <c r="F156" s="295" t="s">
        <v>45</v>
      </c>
      <c r="G156" s="295" t="s">
        <v>113</v>
      </c>
      <c r="H156" s="257">
        <f t="shared" si="29"/>
        <v>0</v>
      </c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AQ156" s="88"/>
    </row>
    <row r="157" spans="3:43" x14ac:dyDescent="0.25">
      <c r="C157" s="96"/>
      <c r="F157" s="295" t="s">
        <v>46</v>
      </c>
      <c r="G157" s="295" t="s">
        <v>113</v>
      </c>
      <c r="H157" s="257">
        <f t="shared" si="29"/>
        <v>2755977.4662967776</v>
      </c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AQ157" s="88"/>
    </row>
    <row r="158" spans="3:43" x14ac:dyDescent="0.25">
      <c r="C158" s="96"/>
      <c r="F158" s="295" t="s">
        <v>47</v>
      </c>
      <c r="G158" s="295" t="s">
        <v>113</v>
      </c>
      <c r="H158" s="257">
        <f t="shared" si="29"/>
        <v>2716534.0743885324</v>
      </c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AQ158" s="88"/>
    </row>
    <row r="159" spans="3:43" x14ac:dyDescent="0.25">
      <c r="C159" s="96"/>
      <c r="F159" s="295" t="s">
        <v>51</v>
      </c>
      <c r="G159" s="295" t="s">
        <v>113</v>
      </c>
      <c r="H159" s="257">
        <f t="shared" si="29"/>
        <v>0</v>
      </c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AQ159" s="88"/>
    </row>
    <row r="160" spans="3:43" x14ac:dyDescent="0.25">
      <c r="C160" s="96"/>
      <c r="F160" s="295" t="s">
        <v>48</v>
      </c>
      <c r="G160" s="295" t="s">
        <v>113</v>
      </c>
      <c r="H160" s="257">
        <f t="shared" si="29"/>
        <v>2823696.8087717858</v>
      </c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AQ160" s="88"/>
    </row>
    <row r="161" spans="3:43" x14ac:dyDescent="0.25">
      <c r="C161" s="96"/>
      <c r="F161" s="295" t="s">
        <v>49</v>
      </c>
      <c r="G161" s="295" t="s">
        <v>113</v>
      </c>
      <c r="H161" s="257">
        <f t="shared" si="29"/>
        <v>2320139.2369534275</v>
      </c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AQ161" s="88"/>
    </row>
    <row r="162" spans="3:43" x14ac:dyDescent="0.25">
      <c r="C162" s="96"/>
      <c r="F162" s="93" t="s">
        <v>50</v>
      </c>
      <c r="G162" s="93" t="s">
        <v>113</v>
      </c>
      <c r="H162" s="259">
        <f t="shared" si="29"/>
        <v>2183472.6847074195</v>
      </c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AQ162" s="88"/>
    </row>
    <row r="163" spans="3:43" x14ac:dyDescent="0.25">
      <c r="C163" s="96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AQ163" s="88"/>
    </row>
    <row r="164" spans="3:43" x14ac:dyDescent="0.25">
      <c r="C164" s="7" t="str">
        <f ca="1">INDEX('Version control'!$H$34:$H$58,MATCH($A$1,'Version control'!$F$34:$F$58,0),1)&amp;"-D: Unit rate contributions to chargeable peak load"</f>
        <v>Section 509-D: Unit rate contributions to chargeable peak load</v>
      </c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Q164" s="88"/>
    </row>
    <row r="165" spans="3:43" x14ac:dyDescent="0.25">
      <c r="H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</row>
    <row r="166" spans="3:43" x14ac:dyDescent="0.25">
      <c r="E166" s="96" t="s">
        <v>908</v>
      </c>
      <c r="H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</row>
    <row r="167" spans="3:43" x14ac:dyDescent="0.25">
      <c r="E167" s="82" t="s">
        <v>627</v>
      </c>
      <c r="F167" s="82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AQ167" s="88"/>
    </row>
    <row r="168" spans="3:43" x14ac:dyDescent="0.25">
      <c r="C168" s="96"/>
      <c r="F168" s="91" t="s">
        <v>43</v>
      </c>
      <c r="G168" s="91" t="s">
        <v>102</v>
      </c>
      <c r="H168" s="74"/>
      <c r="I168" s="91"/>
      <c r="J168" s="278">
        <f t="shared" ref="J168:Y176" si="30">J142 * (1 - J23)</f>
        <v>1386.4713030543721</v>
      </c>
      <c r="K168" s="278">
        <f t="shared" si="30"/>
        <v>5.1559980267560368</v>
      </c>
      <c r="L168" s="278">
        <f t="shared" si="30"/>
        <v>456.91138811350123</v>
      </c>
      <c r="M168" s="278">
        <f t="shared" si="30"/>
        <v>10.519747246525604</v>
      </c>
      <c r="N168" s="278">
        <f t="shared" si="30"/>
        <v>508.24426379200531</v>
      </c>
      <c r="O168" s="278">
        <f t="shared" si="30"/>
        <v>33.512184297916328</v>
      </c>
      <c r="P168" s="278">
        <f t="shared" si="30"/>
        <v>473.35255653173618</v>
      </c>
      <c r="Q168" s="278">
        <f t="shared" si="30"/>
        <v>49.020815047446781</v>
      </c>
      <c r="R168" s="278">
        <f t="shared" si="30"/>
        <v>-0.19766654104724962</v>
      </c>
      <c r="S168" s="278">
        <f t="shared" si="30"/>
        <v>-3.780660295578114E-3</v>
      </c>
      <c r="T168" s="278">
        <f t="shared" si="30"/>
        <v>-8.6550262997882239</v>
      </c>
      <c r="U168" s="278">
        <f t="shared" si="30"/>
        <v>0</v>
      </c>
      <c r="V168" s="278">
        <f t="shared" si="30"/>
        <v>-0.19011168964667813</v>
      </c>
      <c r="W168" s="278">
        <f t="shared" si="30"/>
        <v>0</v>
      </c>
      <c r="X168" s="278">
        <f t="shared" si="30"/>
        <v>-147.1402947575167</v>
      </c>
      <c r="Y168" s="278">
        <f t="shared" si="30"/>
        <v>0</v>
      </c>
      <c r="AQ168" s="88"/>
    </row>
    <row r="169" spans="3:43" x14ac:dyDescent="0.25">
      <c r="C169" s="96"/>
      <c r="F169" s="295" t="s">
        <v>44</v>
      </c>
      <c r="G169" s="295" t="s">
        <v>102</v>
      </c>
      <c r="H169" s="90"/>
      <c r="J169" s="253">
        <f t="shared" si="30"/>
        <v>0</v>
      </c>
      <c r="K169" s="253">
        <f t="shared" si="30"/>
        <v>0</v>
      </c>
      <c r="L169" s="253">
        <f t="shared" si="30"/>
        <v>0</v>
      </c>
      <c r="M169" s="253">
        <f t="shared" si="30"/>
        <v>0</v>
      </c>
      <c r="N169" s="253">
        <f t="shared" si="30"/>
        <v>0</v>
      </c>
      <c r="O169" s="253">
        <f t="shared" si="30"/>
        <v>0</v>
      </c>
      <c r="P169" s="253">
        <f t="shared" si="30"/>
        <v>0</v>
      </c>
      <c r="Q169" s="253">
        <f t="shared" si="30"/>
        <v>0</v>
      </c>
      <c r="R169" s="253">
        <f t="shared" si="30"/>
        <v>0</v>
      </c>
      <c r="S169" s="253">
        <f t="shared" si="30"/>
        <v>0</v>
      </c>
      <c r="T169" s="253">
        <f t="shared" si="30"/>
        <v>0</v>
      </c>
      <c r="U169" s="253">
        <f t="shared" si="30"/>
        <v>0</v>
      </c>
      <c r="V169" s="253">
        <f t="shared" si="30"/>
        <v>0</v>
      </c>
      <c r="W169" s="253">
        <f t="shared" si="30"/>
        <v>0</v>
      </c>
      <c r="X169" s="253">
        <f t="shared" si="30"/>
        <v>0</v>
      </c>
      <c r="Y169" s="253">
        <f t="shared" si="30"/>
        <v>0</v>
      </c>
      <c r="AQ169" s="88"/>
    </row>
    <row r="170" spans="3:43" x14ac:dyDescent="0.25">
      <c r="C170" s="96"/>
      <c r="F170" s="295" t="s">
        <v>45</v>
      </c>
      <c r="G170" s="295" t="s">
        <v>102</v>
      </c>
      <c r="H170" s="90"/>
      <c r="J170" s="253">
        <f t="shared" si="30"/>
        <v>0</v>
      </c>
      <c r="K170" s="253">
        <f t="shared" si="30"/>
        <v>0</v>
      </c>
      <c r="L170" s="253">
        <f t="shared" si="30"/>
        <v>0</v>
      </c>
      <c r="M170" s="253">
        <f t="shared" si="30"/>
        <v>0</v>
      </c>
      <c r="N170" s="253">
        <f t="shared" si="30"/>
        <v>0</v>
      </c>
      <c r="O170" s="253">
        <f t="shared" si="30"/>
        <v>0</v>
      </c>
      <c r="P170" s="253">
        <f t="shared" si="30"/>
        <v>0</v>
      </c>
      <c r="Q170" s="253">
        <f t="shared" si="30"/>
        <v>0</v>
      </c>
      <c r="R170" s="253">
        <f t="shared" si="30"/>
        <v>0</v>
      </c>
      <c r="S170" s="253">
        <f t="shared" si="30"/>
        <v>0</v>
      </c>
      <c r="T170" s="253">
        <f t="shared" si="30"/>
        <v>0</v>
      </c>
      <c r="U170" s="253">
        <f t="shared" si="30"/>
        <v>0</v>
      </c>
      <c r="V170" s="253">
        <f t="shared" si="30"/>
        <v>0</v>
      </c>
      <c r="W170" s="253">
        <f t="shared" si="30"/>
        <v>0</v>
      </c>
      <c r="X170" s="253">
        <f t="shared" si="30"/>
        <v>0</v>
      </c>
      <c r="Y170" s="253">
        <f t="shared" si="30"/>
        <v>0</v>
      </c>
      <c r="AQ170" s="88"/>
    </row>
    <row r="171" spans="3:43" x14ac:dyDescent="0.25">
      <c r="C171" s="96"/>
      <c r="F171" s="295" t="s">
        <v>46</v>
      </c>
      <c r="G171" s="295" t="s">
        <v>102</v>
      </c>
      <c r="H171" s="90"/>
      <c r="J171" s="253">
        <f t="shared" si="30"/>
        <v>1380.9475130023627</v>
      </c>
      <c r="K171" s="253">
        <f t="shared" si="30"/>
        <v>5.1354562019482444</v>
      </c>
      <c r="L171" s="253">
        <f t="shared" si="30"/>
        <v>455.09102401743155</v>
      </c>
      <c r="M171" s="253">
        <f t="shared" si="30"/>
        <v>10.477835902913949</v>
      </c>
      <c r="N171" s="253">
        <f t="shared" si="30"/>
        <v>506.21938624701716</v>
      </c>
      <c r="O171" s="253">
        <f t="shared" si="30"/>
        <v>33.378669619438575</v>
      </c>
      <c r="P171" s="253">
        <f t="shared" si="30"/>
        <v>377.17335181811654</v>
      </c>
      <c r="Q171" s="253">
        <f t="shared" si="30"/>
        <v>48.825512995464919</v>
      </c>
      <c r="R171" s="253">
        <f t="shared" si="30"/>
        <v>-0.19687902494745976</v>
      </c>
      <c r="S171" s="253">
        <f t="shared" si="30"/>
        <v>-3.7655979039622647E-3</v>
      </c>
      <c r="T171" s="253">
        <f t="shared" si="30"/>
        <v>-8.6205441232950459</v>
      </c>
      <c r="U171" s="253">
        <f t="shared" si="30"/>
        <v>0</v>
      </c>
      <c r="V171" s="253">
        <f t="shared" si="30"/>
        <v>-0.18935427255645229</v>
      </c>
      <c r="W171" s="253">
        <f t="shared" si="30"/>
        <v>0</v>
      </c>
      <c r="X171" s="253">
        <f t="shared" si="30"/>
        <v>-146.5540784437417</v>
      </c>
      <c r="Y171" s="253">
        <f t="shared" si="30"/>
        <v>0</v>
      </c>
      <c r="AQ171" s="88"/>
    </row>
    <row r="172" spans="3:43" x14ac:dyDescent="0.25">
      <c r="C172" s="96"/>
      <c r="F172" s="295" t="s">
        <v>47</v>
      </c>
      <c r="G172" s="295" t="s">
        <v>102</v>
      </c>
      <c r="H172" s="90"/>
      <c r="J172" s="253">
        <f t="shared" si="30"/>
        <v>1340.6027834875406</v>
      </c>
      <c r="K172" s="253">
        <f t="shared" si="30"/>
        <v>6.5292680001366268</v>
      </c>
      <c r="L172" s="253">
        <f t="shared" si="30"/>
        <v>458.96847224010537</v>
      </c>
      <c r="M172" s="253">
        <f t="shared" si="30"/>
        <v>10.790897115397559</v>
      </c>
      <c r="N172" s="253">
        <f t="shared" si="30"/>
        <v>504.21711042252076</v>
      </c>
      <c r="O172" s="253">
        <f t="shared" si="30"/>
        <v>33.202385739680942</v>
      </c>
      <c r="P172" s="253">
        <f t="shared" si="30"/>
        <v>0</v>
      </c>
      <c r="Q172" s="253">
        <f t="shared" si="30"/>
        <v>45.577557390515508</v>
      </c>
      <c r="R172" s="253">
        <f t="shared" si="30"/>
        <v>-0.19531065209196408</v>
      </c>
      <c r="S172" s="253">
        <f t="shared" si="30"/>
        <v>-3.7132236810808032E-3</v>
      </c>
      <c r="T172" s="253">
        <f t="shared" si="30"/>
        <v>-8.5526273377054132</v>
      </c>
      <c r="U172" s="253">
        <f t="shared" si="30"/>
        <v>0</v>
      </c>
      <c r="V172" s="253">
        <f t="shared" si="30"/>
        <v>-0.18676271987373558</v>
      </c>
      <c r="W172" s="253">
        <f t="shared" si="30"/>
        <v>0</v>
      </c>
      <c r="X172" s="253">
        <f t="shared" si="30"/>
        <v>-143.3997121858535</v>
      </c>
      <c r="Y172" s="253">
        <f t="shared" si="30"/>
        <v>0</v>
      </c>
      <c r="AQ172" s="88"/>
    </row>
    <row r="173" spans="3:43" x14ac:dyDescent="0.25">
      <c r="C173" s="96"/>
      <c r="F173" s="295" t="s">
        <v>51</v>
      </c>
      <c r="G173" s="295" t="s">
        <v>102</v>
      </c>
      <c r="H173" s="90"/>
      <c r="J173" s="253">
        <f t="shared" si="30"/>
        <v>0</v>
      </c>
      <c r="K173" s="253">
        <f t="shared" si="30"/>
        <v>0</v>
      </c>
      <c r="L173" s="253">
        <f t="shared" si="30"/>
        <v>0</v>
      </c>
      <c r="M173" s="253">
        <f t="shared" si="30"/>
        <v>0</v>
      </c>
      <c r="N173" s="253">
        <f t="shared" si="30"/>
        <v>0</v>
      </c>
      <c r="O173" s="253">
        <f t="shared" si="30"/>
        <v>0</v>
      </c>
      <c r="P173" s="253">
        <f t="shared" si="30"/>
        <v>0</v>
      </c>
      <c r="Q173" s="253">
        <f t="shared" si="30"/>
        <v>0</v>
      </c>
      <c r="R173" s="253">
        <f t="shared" si="30"/>
        <v>0</v>
      </c>
      <c r="S173" s="253">
        <f t="shared" si="30"/>
        <v>0</v>
      </c>
      <c r="T173" s="253">
        <f t="shared" si="30"/>
        <v>0</v>
      </c>
      <c r="U173" s="253">
        <f t="shared" si="30"/>
        <v>0</v>
      </c>
      <c r="V173" s="253">
        <f t="shared" si="30"/>
        <v>0</v>
      </c>
      <c r="W173" s="253">
        <f t="shared" si="30"/>
        <v>0</v>
      </c>
      <c r="X173" s="253">
        <f t="shared" si="30"/>
        <v>0</v>
      </c>
      <c r="Y173" s="253">
        <f t="shared" si="30"/>
        <v>0</v>
      </c>
      <c r="AQ173" s="88"/>
    </row>
    <row r="174" spans="3:43" x14ac:dyDescent="0.25">
      <c r="C174" s="96"/>
      <c r="F174" s="295" t="s">
        <v>48</v>
      </c>
      <c r="G174" s="295" t="s">
        <v>102</v>
      </c>
      <c r="H174" s="90"/>
      <c r="J174" s="253">
        <f t="shared" si="30"/>
        <v>1323.616588375125</v>
      </c>
      <c r="K174" s="253">
        <f t="shared" si="30"/>
        <v>6.4465384835656936</v>
      </c>
      <c r="L174" s="253">
        <f t="shared" si="30"/>
        <v>453.15308224096168</v>
      </c>
      <c r="M174" s="253">
        <f t="shared" si="30"/>
        <v>10.654170348828194</v>
      </c>
      <c r="N174" s="253">
        <f t="shared" si="30"/>
        <v>398.26271567876302</v>
      </c>
      <c r="O174" s="253">
        <f t="shared" si="30"/>
        <v>0</v>
      </c>
      <c r="P174" s="253">
        <f t="shared" si="30"/>
        <v>0</v>
      </c>
      <c r="Q174" s="253">
        <f t="shared" si="30"/>
        <v>45.00006397328675</v>
      </c>
      <c r="R174" s="253">
        <f t="shared" si="30"/>
        <v>-0.19283595572042844</v>
      </c>
      <c r="S174" s="253">
        <f t="shared" si="30"/>
        <v>-3.6661750379482E-3</v>
      </c>
      <c r="T174" s="253">
        <f t="shared" si="30"/>
        <v>-8.4442607145181121</v>
      </c>
      <c r="U174" s="253">
        <f t="shared" si="30"/>
        <v>0</v>
      </c>
      <c r="V174" s="253">
        <f t="shared" si="30"/>
        <v>-0.18439633063556929</v>
      </c>
      <c r="W174" s="253">
        <f t="shared" si="30"/>
        <v>0</v>
      </c>
      <c r="X174" s="253">
        <f t="shared" si="30"/>
        <v>0</v>
      </c>
      <c r="Y174" s="253">
        <f t="shared" si="30"/>
        <v>0</v>
      </c>
      <c r="AQ174" s="88"/>
    </row>
    <row r="175" spans="3:43" x14ac:dyDescent="0.25">
      <c r="C175" s="96"/>
      <c r="F175" s="295" t="s">
        <v>49</v>
      </c>
      <c r="G175" s="295" t="s">
        <v>102</v>
      </c>
      <c r="H175" s="90"/>
      <c r="J175" s="253">
        <f t="shared" si="30"/>
        <v>1300.7956127134848</v>
      </c>
      <c r="K175" s="253">
        <f t="shared" si="30"/>
        <v>6.3353912683318026</v>
      </c>
      <c r="L175" s="253">
        <f t="shared" si="30"/>
        <v>445.34009806439332</v>
      </c>
      <c r="M175" s="253">
        <f t="shared" si="30"/>
        <v>10.470477756607018</v>
      </c>
      <c r="N175" s="253">
        <f t="shared" si="30"/>
        <v>0</v>
      </c>
      <c r="O175" s="253">
        <f t="shared" si="30"/>
        <v>0</v>
      </c>
      <c r="P175" s="253">
        <f t="shared" si="30"/>
        <v>0</v>
      </c>
      <c r="Q175" s="253">
        <f t="shared" si="30"/>
        <v>44.224200801333524</v>
      </c>
      <c r="R175" s="253">
        <f t="shared" si="30"/>
        <v>-0.18951119786317966</v>
      </c>
      <c r="S175" s="253">
        <f t="shared" si="30"/>
        <v>0</v>
      </c>
      <c r="T175" s="253">
        <f t="shared" si="30"/>
        <v>-8.2986700125436617</v>
      </c>
      <c r="U175" s="253">
        <f t="shared" si="30"/>
        <v>0</v>
      </c>
      <c r="V175" s="253">
        <f t="shared" si="30"/>
        <v>0</v>
      </c>
      <c r="W175" s="253">
        <f t="shared" si="30"/>
        <v>0</v>
      </c>
      <c r="X175" s="253">
        <f t="shared" si="30"/>
        <v>0</v>
      </c>
      <c r="Y175" s="253">
        <f t="shared" si="30"/>
        <v>0</v>
      </c>
      <c r="AQ175" s="88"/>
    </row>
    <row r="176" spans="3:43" x14ac:dyDescent="0.25">
      <c r="C176" s="96"/>
      <c r="F176" s="93" t="s">
        <v>50</v>
      </c>
      <c r="G176" s="93" t="s">
        <v>102</v>
      </c>
      <c r="H176" s="187"/>
      <c r="I176" s="93"/>
      <c r="J176" s="272">
        <f t="shared" si="30"/>
        <v>0</v>
      </c>
      <c r="K176" s="272">
        <f t="shared" si="30"/>
        <v>0</v>
      </c>
      <c r="L176" s="272">
        <f t="shared" si="30"/>
        <v>0</v>
      </c>
      <c r="M176" s="272">
        <f t="shared" si="30"/>
        <v>0</v>
      </c>
      <c r="N176" s="272">
        <f t="shared" si="30"/>
        <v>0</v>
      </c>
      <c r="O176" s="272">
        <f t="shared" si="30"/>
        <v>0</v>
      </c>
      <c r="P176" s="272">
        <f t="shared" si="30"/>
        <v>0</v>
      </c>
      <c r="Q176" s="272">
        <f t="shared" si="30"/>
        <v>42.049240106185977</v>
      </c>
      <c r="R176" s="272">
        <f t="shared" si="30"/>
        <v>0</v>
      </c>
      <c r="S176" s="272">
        <f t="shared" si="30"/>
        <v>0</v>
      </c>
      <c r="T176" s="272">
        <f t="shared" si="30"/>
        <v>0</v>
      </c>
      <c r="U176" s="272">
        <f t="shared" si="30"/>
        <v>0</v>
      </c>
      <c r="V176" s="272">
        <f t="shared" si="30"/>
        <v>0</v>
      </c>
      <c r="W176" s="272">
        <f t="shared" si="30"/>
        <v>0</v>
      </c>
      <c r="X176" s="272">
        <f t="shared" si="30"/>
        <v>0</v>
      </c>
      <c r="Y176" s="272">
        <f t="shared" si="30"/>
        <v>0</v>
      </c>
      <c r="AQ176" s="88"/>
    </row>
    <row r="177" spans="2:43" x14ac:dyDescent="0.25">
      <c r="C177" s="96"/>
      <c r="F177" s="73" t="s">
        <v>111</v>
      </c>
      <c r="G177" s="73" t="s">
        <v>102</v>
      </c>
      <c r="H177" s="70"/>
      <c r="I177" s="73"/>
      <c r="J177" s="281">
        <f t="shared" ref="J177:Y177" si="31">SUM(J168:J176)</f>
        <v>6732.4338006328844</v>
      </c>
      <c r="K177" s="281">
        <f t="shared" si="31"/>
        <v>29.602651980738401</v>
      </c>
      <c r="L177" s="281">
        <f t="shared" si="31"/>
        <v>2269.4640646763933</v>
      </c>
      <c r="M177" s="281">
        <f t="shared" si="31"/>
        <v>52.913128370272325</v>
      </c>
      <c r="N177" s="281">
        <f t="shared" si="31"/>
        <v>1916.9434761403063</v>
      </c>
      <c r="O177" s="281">
        <f t="shared" si="31"/>
        <v>100.09323965703584</v>
      </c>
      <c r="P177" s="281">
        <f t="shared" si="31"/>
        <v>850.52590834985267</v>
      </c>
      <c r="Q177" s="281">
        <f t="shared" si="31"/>
        <v>274.69739031423342</v>
      </c>
      <c r="R177" s="281">
        <f t="shared" si="31"/>
        <v>-0.97220337167028159</v>
      </c>
      <c r="S177" s="281">
        <f t="shared" si="31"/>
        <v>-1.4925656918569383E-2</v>
      </c>
      <c r="T177" s="281">
        <f t="shared" si="31"/>
        <v>-42.571128487850451</v>
      </c>
      <c r="U177" s="281">
        <f t="shared" si="31"/>
        <v>0</v>
      </c>
      <c r="V177" s="281">
        <f t="shared" si="31"/>
        <v>-0.75062501271243531</v>
      </c>
      <c r="W177" s="281">
        <f t="shared" si="31"/>
        <v>0</v>
      </c>
      <c r="X177" s="281">
        <f t="shared" si="31"/>
        <v>-437.09408538711187</v>
      </c>
      <c r="Y177" s="281">
        <f t="shared" si="31"/>
        <v>0</v>
      </c>
      <c r="AQ177" s="88"/>
    </row>
    <row r="178" spans="2:43" x14ac:dyDescent="0.25">
      <c r="H178" s="83"/>
    </row>
    <row r="179" spans="2:43" x14ac:dyDescent="0.25">
      <c r="B179" s="95" t="s">
        <v>360</v>
      </c>
      <c r="C179" s="95"/>
      <c r="D179" s="95"/>
      <c r="E179" s="95"/>
      <c r="F179" s="95"/>
      <c r="G179" s="95"/>
      <c r="H179" s="95"/>
      <c r="I179" s="95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95"/>
      <c r="AA179" s="95"/>
      <c r="AQ179" s="88"/>
    </row>
    <row r="180" spans="2:43" x14ac:dyDescent="0.25">
      <c r="C180" s="96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AQ180" s="88"/>
    </row>
    <row r="181" spans="2:43" x14ac:dyDescent="0.25">
      <c r="C181" s="82" t="s">
        <v>422</v>
      </c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AQ181" s="88"/>
    </row>
    <row r="182" spans="2:43" x14ac:dyDescent="0.25">
      <c r="C182" s="82" t="s">
        <v>823</v>
      </c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AQ182" s="88"/>
    </row>
    <row r="183" spans="2:43" x14ac:dyDescent="0.25">
      <c r="C183" s="96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AQ183" s="88"/>
    </row>
    <row r="184" spans="2:43" x14ac:dyDescent="0.25">
      <c r="C184" s="7" t="str">
        <f ca="1">INDEX('Version control'!$H$34:$H$58,MATCH($A$1,'Version control'!$F$34:$F$58,0),1)&amp;"-E: Adjustment of import and exceeded capacity"</f>
        <v>Section 509-E: Adjustment of import and exceeded capacity</v>
      </c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Q184" s="88"/>
    </row>
    <row r="185" spans="2:43" x14ac:dyDescent="0.25">
      <c r="C185" s="96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AQ185" s="88"/>
    </row>
    <row r="186" spans="2:43" x14ac:dyDescent="0.25">
      <c r="D186" s="82" t="s">
        <v>423</v>
      </c>
      <c r="E186" s="82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AQ186" s="88"/>
    </row>
    <row r="187" spans="2:43" x14ac:dyDescent="0.25"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AQ187" s="88"/>
    </row>
    <row r="188" spans="2:43" x14ac:dyDescent="0.25">
      <c r="C188" s="96"/>
      <c r="E188" s="295" t="s">
        <v>259</v>
      </c>
      <c r="G188" s="295" t="s">
        <v>169</v>
      </c>
      <c r="J188" s="274">
        <f>'Volume adjustments'!J114</f>
        <v>0</v>
      </c>
      <c r="K188" s="274">
        <f>'Volume adjustments'!K114</f>
        <v>0</v>
      </c>
      <c r="L188" s="274">
        <f>'Volume adjustments'!L114</f>
        <v>0</v>
      </c>
      <c r="M188" s="274">
        <f>'Volume adjustments'!M114</f>
        <v>0</v>
      </c>
      <c r="N188" s="274">
        <f>'Volume adjustments'!N114</f>
        <v>1506481.4576925465</v>
      </c>
      <c r="O188" s="274">
        <f>'Volume adjustments'!O114</f>
        <v>101792.04616244261</v>
      </c>
      <c r="P188" s="274">
        <f>'Volume adjustments'!P114</f>
        <v>1304272.7020126332</v>
      </c>
      <c r="Q188" s="274">
        <f>'Volume adjustments'!Q114</f>
        <v>0</v>
      </c>
      <c r="R188" s="274">
        <f>'Volume adjustments'!R114</f>
        <v>0</v>
      </c>
      <c r="S188" s="274">
        <f>'Volume adjustments'!S114</f>
        <v>0</v>
      </c>
      <c r="T188" s="274">
        <f>'Volume adjustments'!T114</f>
        <v>0</v>
      </c>
      <c r="U188" s="274">
        <f>'Volume adjustments'!U114</f>
        <v>0</v>
      </c>
      <c r="V188" s="274">
        <f>'Volume adjustments'!V114</f>
        <v>0</v>
      </c>
      <c r="W188" s="274">
        <f>'Volume adjustments'!W114</f>
        <v>0</v>
      </c>
      <c r="X188" s="274">
        <f>'Volume adjustments'!X114</f>
        <v>0</v>
      </c>
      <c r="Y188" s="274">
        <f>'Volume adjustments'!Y114</f>
        <v>0</v>
      </c>
      <c r="AQ188" s="88"/>
    </row>
    <row r="189" spans="2:43" x14ac:dyDescent="0.25">
      <c r="C189" s="96"/>
      <c r="E189" s="295" t="s">
        <v>260</v>
      </c>
      <c r="G189" s="295" t="s">
        <v>169</v>
      </c>
      <c r="J189" s="274">
        <f>'Volume adjustments'!J125</f>
        <v>0</v>
      </c>
      <c r="K189" s="274">
        <f>'Volume adjustments'!K125</f>
        <v>0</v>
      </c>
      <c r="L189" s="274">
        <f>'Volume adjustments'!L125</f>
        <v>0</v>
      </c>
      <c r="M189" s="274">
        <f>'Volume adjustments'!M125</f>
        <v>0</v>
      </c>
      <c r="N189" s="274">
        <f>'Volume adjustments'!N125</f>
        <v>29633.952584846371</v>
      </c>
      <c r="O189" s="274">
        <f>'Volume adjustments'!O125</f>
        <v>1042.17</v>
      </c>
      <c r="P189" s="274">
        <f>'Volume adjustments'!P125</f>
        <v>16278.596851006316</v>
      </c>
      <c r="Q189" s="274">
        <f>'Volume adjustments'!Q125</f>
        <v>0</v>
      </c>
      <c r="R189" s="274">
        <f>'Volume adjustments'!R125</f>
        <v>0</v>
      </c>
      <c r="S189" s="274">
        <f>'Volume adjustments'!S125</f>
        <v>0</v>
      </c>
      <c r="T189" s="274">
        <f>'Volume adjustments'!T125</f>
        <v>0</v>
      </c>
      <c r="U189" s="274">
        <f>'Volume adjustments'!U125</f>
        <v>0</v>
      </c>
      <c r="V189" s="274">
        <f>'Volume adjustments'!V125</f>
        <v>0</v>
      </c>
      <c r="W189" s="274">
        <f>'Volume adjustments'!W125</f>
        <v>0</v>
      </c>
      <c r="X189" s="274">
        <f>'Volume adjustments'!X125</f>
        <v>0</v>
      </c>
      <c r="Y189" s="274">
        <f>'Volume adjustments'!Y125</f>
        <v>0</v>
      </c>
      <c r="AQ189" s="88"/>
    </row>
    <row r="190" spans="2:43" x14ac:dyDescent="0.25">
      <c r="C190" s="96"/>
      <c r="J190" s="274"/>
      <c r="K190" s="274"/>
      <c r="L190" s="274"/>
      <c r="M190" s="274"/>
      <c r="N190" s="274"/>
      <c r="O190" s="274"/>
      <c r="P190" s="274"/>
      <c r="Q190" s="274"/>
      <c r="R190" s="274"/>
      <c r="S190" s="274"/>
      <c r="T190" s="274"/>
      <c r="U190" s="274"/>
      <c r="V190" s="274"/>
      <c r="W190" s="274"/>
      <c r="X190" s="274"/>
      <c r="Y190" s="274"/>
      <c r="AQ190" s="88"/>
    </row>
    <row r="191" spans="2:43" x14ac:dyDescent="0.25">
      <c r="C191" s="96"/>
      <c r="E191" s="295" t="s">
        <v>321</v>
      </c>
      <c r="G191" s="295" t="s">
        <v>169</v>
      </c>
      <c r="J191" s="253">
        <f t="shared" ref="J191:Y191" si="32">SUM(J188:J189)</f>
        <v>0</v>
      </c>
      <c r="K191" s="253">
        <f t="shared" si="32"/>
        <v>0</v>
      </c>
      <c r="L191" s="253">
        <f t="shared" si="32"/>
        <v>0</v>
      </c>
      <c r="M191" s="253">
        <f t="shared" si="32"/>
        <v>0</v>
      </c>
      <c r="N191" s="253">
        <f t="shared" si="32"/>
        <v>1536115.4102773929</v>
      </c>
      <c r="O191" s="253">
        <f t="shared" si="32"/>
        <v>102834.21616244261</v>
      </c>
      <c r="P191" s="253">
        <f t="shared" si="32"/>
        <v>1320551.2988636396</v>
      </c>
      <c r="Q191" s="253">
        <f t="shared" si="32"/>
        <v>0</v>
      </c>
      <c r="R191" s="253">
        <f t="shared" si="32"/>
        <v>0</v>
      </c>
      <c r="S191" s="253">
        <f t="shared" si="32"/>
        <v>0</v>
      </c>
      <c r="T191" s="253">
        <f t="shared" si="32"/>
        <v>0</v>
      </c>
      <c r="U191" s="253">
        <f t="shared" si="32"/>
        <v>0</v>
      </c>
      <c r="V191" s="253">
        <f t="shared" si="32"/>
        <v>0</v>
      </c>
      <c r="W191" s="253">
        <f t="shared" si="32"/>
        <v>0</v>
      </c>
      <c r="X191" s="253">
        <f t="shared" si="32"/>
        <v>0</v>
      </c>
      <c r="Y191" s="253">
        <f t="shared" si="32"/>
        <v>0</v>
      </c>
      <c r="AQ191" s="88"/>
    </row>
    <row r="192" spans="2:43" x14ac:dyDescent="0.25">
      <c r="C192" s="96"/>
      <c r="E192" s="295" t="s">
        <v>322</v>
      </c>
      <c r="G192" s="295" t="s">
        <v>102</v>
      </c>
      <c r="J192" s="253">
        <f t="shared" ref="J192:Y192" si="33">J191 * PowerFactor / thousand</f>
        <v>0</v>
      </c>
      <c r="K192" s="253">
        <f t="shared" si="33"/>
        <v>0</v>
      </c>
      <c r="L192" s="253">
        <f t="shared" si="33"/>
        <v>0</v>
      </c>
      <c r="M192" s="253">
        <f t="shared" si="33"/>
        <v>0</v>
      </c>
      <c r="N192" s="253">
        <f t="shared" si="33"/>
        <v>1459.3096397635231</v>
      </c>
      <c r="O192" s="253">
        <f t="shared" si="33"/>
        <v>97.692505354320474</v>
      </c>
      <c r="P192" s="253">
        <f t="shared" si="33"/>
        <v>1254.5237339204575</v>
      </c>
      <c r="Q192" s="253">
        <f t="shared" si="33"/>
        <v>0</v>
      </c>
      <c r="R192" s="253">
        <f t="shared" si="33"/>
        <v>0</v>
      </c>
      <c r="S192" s="253">
        <f t="shared" si="33"/>
        <v>0</v>
      </c>
      <c r="T192" s="253">
        <f t="shared" si="33"/>
        <v>0</v>
      </c>
      <c r="U192" s="253">
        <f t="shared" si="33"/>
        <v>0</v>
      </c>
      <c r="V192" s="253">
        <f t="shared" si="33"/>
        <v>0</v>
      </c>
      <c r="W192" s="253">
        <f t="shared" si="33"/>
        <v>0</v>
      </c>
      <c r="X192" s="253">
        <f t="shared" si="33"/>
        <v>0</v>
      </c>
      <c r="Y192" s="253">
        <f t="shared" si="33"/>
        <v>0</v>
      </c>
      <c r="AQ192" s="88"/>
    </row>
    <row r="193" spans="3:43" x14ac:dyDescent="0.25">
      <c r="C193" s="96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AQ193" s="88"/>
    </row>
    <row r="194" spans="3:43" x14ac:dyDescent="0.25">
      <c r="C194" s="7" t="str">
        <f ca="1">INDEX('Version control'!$H$34:$H$58,MATCH($A$1,'Version control'!$F$34:$F$58,0),1)&amp;"-F: Calculation of LV circuit diversity factor"</f>
        <v>Section 509-F: Calculation of LV circuit diversity factor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Q194" s="88"/>
    </row>
    <row r="195" spans="3:43" x14ac:dyDescent="0.25">
      <c r="C195" s="96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AQ195" s="88"/>
    </row>
    <row r="196" spans="3:43" x14ac:dyDescent="0.25">
      <c r="C196" s="96"/>
      <c r="D196" s="82" t="s">
        <v>824</v>
      </c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AQ196" s="88"/>
    </row>
    <row r="197" spans="3:43" x14ac:dyDescent="0.25">
      <c r="D197" s="96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AQ197" s="88"/>
    </row>
    <row r="198" spans="3:43" x14ac:dyDescent="0.25">
      <c r="E198" s="295" t="s">
        <v>548</v>
      </c>
      <c r="G198" s="295" t="s">
        <v>174</v>
      </c>
      <c r="H198" s="83"/>
      <c r="I198" s="295" t="s">
        <v>431</v>
      </c>
      <c r="J198" s="402" t="b">
        <f>'Fixed inputs'!J131</f>
        <v>1</v>
      </c>
      <c r="K198" s="402" t="b">
        <f>'Fixed inputs'!K131</f>
        <v>0</v>
      </c>
      <c r="L198" s="402" t="b">
        <f>'Fixed inputs'!L131</f>
        <v>1</v>
      </c>
      <c r="M198" s="402" t="b">
        <f>'Fixed inputs'!M131</f>
        <v>0</v>
      </c>
      <c r="N198" s="402" t="b">
        <f>'Fixed inputs'!N131</f>
        <v>1</v>
      </c>
      <c r="O198" s="402" t="b">
        <f>'Fixed inputs'!O131</f>
        <v>1</v>
      </c>
      <c r="P198" s="402" t="b">
        <f>'Fixed inputs'!P131</f>
        <v>1</v>
      </c>
      <c r="Q198" s="402" t="b">
        <f>'Fixed inputs'!Q131</f>
        <v>1</v>
      </c>
      <c r="R198" s="402" t="b">
        <f>'Fixed inputs'!R131</f>
        <v>1</v>
      </c>
      <c r="S198" s="402" t="b">
        <f>'Fixed inputs'!S131</f>
        <v>1</v>
      </c>
      <c r="T198" s="402" t="b">
        <f>'Fixed inputs'!T131</f>
        <v>1</v>
      </c>
      <c r="U198" s="402" t="b">
        <f>'Fixed inputs'!U131</f>
        <v>1</v>
      </c>
      <c r="V198" s="402" t="b">
        <f>'Fixed inputs'!V131</f>
        <v>1</v>
      </c>
      <c r="W198" s="402" t="b">
        <f>'Fixed inputs'!W131</f>
        <v>1</v>
      </c>
      <c r="X198" s="402" t="b">
        <f>'Fixed inputs'!X131</f>
        <v>1</v>
      </c>
      <c r="Y198" s="402" t="b">
        <f>'Fixed inputs'!Y131</f>
        <v>1</v>
      </c>
      <c r="AA198" s="295" t="s">
        <v>825</v>
      </c>
    </row>
    <row r="199" spans="3:43" x14ac:dyDescent="0.25">
      <c r="D199" s="96"/>
      <c r="H199" s="403"/>
      <c r="J199" s="90"/>
      <c r="L199" s="90"/>
      <c r="AQ199" s="88"/>
    </row>
    <row r="200" spans="3:43" x14ac:dyDescent="0.25">
      <c r="C200" s="96"/>
      <c r="E200" s="295" t="s">
        <v>398</v>
      </c>
      <c r="G200" s="295" t="s">
        <v>102</v>
      </c>
      <c r="H200" s="90"/>
      <c r="I200" s="295" t="s">
        <v>431</v>
      </c>
      <c r="J200" s="257">
        <f t="shared" ref="J200:Q200" si="34">IF(J61 = 0, 0, J59 / (hours_in_year * J61))</f>
        <v>1482.2201033071178</v>
      </c>
      <c r="K200" s="257">
        <f t="shared" si="34"/>
        <v>310.25539511865327</v>
      </c>
      <c r="L200" s="257">
        <f t="shared" si="34"/>
        <v>603.09926192279704</v>
      </c>
      <c r="M200" s="257">
        <f t="shared" si="34"/>
        <v>29.271123921146547</v>
      </c>
      <c r="N200" s="257">
        <f t="shared" si="34"/>
        <v>577.18884698315355</v>
      </c>
      <c r="O200" s="257">
        <f t="shared" si="34"/>
        <v>40.190979829404341</v>
      </c>
      <c r="P200" s="257">
        <f t="shared" si="34"/>
        <v>537.444083952818</v>
      </c>
      <c r="Q200" s="257">
        <f t="shared" si="34"/>
        <v>63.804570784787025</v>
      </c>
      <c r="R200" s="379"/>
      <c r="S200" s="379"/>
      <c r="T200" s="379"/>
      <c r="U200" s="379"/>
      <c r="V200" s="379"/>
      <c r="W200" s="379"/>
      <c r="X200" s="379"/>
      <c r="Y200" s="379"/>
      <c r="AA200" s="295" t="s">
        <v>825</v>
      </c>
      <c r="AQ200" s="88"/>
    </row>
    <row r="201" spans="3:43" x14ac:dyDescent="0.25">
      <c r="C201" s="96"/>
      <c r="H201" s="90"/>
      <c r="J201" s="253"/>
      <c r="K201" s="253"/>
      <c r="L201" s="253"/>
      <c r="M201" s="253"/>
      <c r="N201" s="253"/>
      <c r="O201" s="253"/>
      <c r="P201" s="253"/>
      <c r="Q201" s="253"/>
      <c r="R201" s="90"/>
      <c r="S201" s="90"/>
      <c r="T201" s="90"/>
      <c r="U201" s="90"/>
      <c r="V201" s="90"/>
      <c r="W201" s="90"/>
      <c r="X201" s="90"/>
      <c r="Y201" s="90"/>
      <c r="AQ201" s="88"/>
    </row>
    <row r="202" spans="3:43" x14ac:dyDescent="0.25">
      <c r="E202" s="295" t="s">
        <v>384</v>
      </c>
      <c r="G202" s="295" t="s">
        <v>102</v>
      </c>
      <c r="H202" s="90"/>
      <c r="I202" s="295" t="s">
        <v>431</v>
      </c>
      <c r="J202" s="253">
        <f t="shared" ref="J202:Y202" si="35">J192 * J42 / $H53</f>
        <v>0</v>
      </c>
      <c r="K202" s="253">
        <f t="shared" si="35"/>
        <v>0</v>
      </c>
      <c r="L202" s="253">
        <f t="shared" si="35"/>
        <v>0</v>
      </c>
      <c r="M202" s="253">
        <f t="shared" si="35"/>
        <v>0</v>
      </c>
      <c r="N202" s="253">
        <f t="shared" si="35"/>
        <v>1459.3096397635231</v>
      </c>
      <c r="O202" s="253">
        <f t="shared" si="35"/>
        <v>0</v>
      </c>
      <c r="P202" s="253">
        <f t="shared" si="35"/>
        <v>0</v>
      </c>
      <c r="Q202" s="253">
        <f t="shared" si="35"/>
        <v>0</v>
      </c>
      <c r="R202" s="253">
        <f t="shared" si="35"/>
        <v>0</v>
      </c>
      <c r="S202" s="253">
        <f t="shared" si="35"/>
        <v>0</v>
      </c>
      <c r="T202" s="253">
        <f t="shared" si="35"/>
        <v>0</v>
      </c>
      <c r="U202" s="253">
        <f t="shared" si="35"/>
        <v>0</v>
      </c>
      <c r="V202" s="253">
        <f t="shared" si="35"/>
        <v>0</v>
      </c>
      <c r="W202" s="253">
        <f t="shared" si="35"/>
        <v>0</v>
      </c>
      <c r="X202" s="253">
        <f t="shared" si="35"/>
        <v>0</v>
      </c>
      <c r="Y202" s="253">
        <f t="shared" si="35"/>
        <v>0</v>
      </c>
      <c r="AA202" s="295" t="s">
        <v>825</v>
      </c>
    </row>
    <row r="203" spans="3:43" x14ac:dyDescent="0.25">
      <c r="H203" s="90"/>
      <c r="J203" s="253"/>
      <c r="K203" s="253"/>
      <c r="L203" s="253"/>
      <c r="M203" s="253"/>
      <c r="N203" s="253"/>
      <c r="O203" s="253"/>
      <c r="P203" s="253"/>
      <c r="Q203" s="253"/>
      <c r="R203" s="253"/>
      <c r="S203" s="253"/>
      <c r="T203" s="253"/>
      <c r="U203" s="253"/>
      <c r="V203" s="253"/>
      <c r="W203" s="253"/>
      <c r="X203" s="253"/>
      <c r="Y203" s="253"/>
    </row>
    <row r="204" spans="3:43" x14ac:dyDescent="0.25">
      <c r="E204" s="295" t="s">
        <v>547</v>
      </c>
      <c r="G204" s="295" t="s">
        <v>102</v>
      </c>
      <c r="H204" s="90"/>
      <c r="J204" s="253">
        <f t="shared" ref="J204:Y204" si="36">IF(J198, J$200 * J42 / $H53, 0)</f>
        <v>1482.2201033071178</v>
      </c>
      <c r="K204" s="253">
        <f t="shared" si="36"/>
        <v>0</v>
      </c>
      <c r="L204" s="253">
        <f t="shared" si="36"/>
        <v>603.09926192279704</v>
      </c>
      <c r="M204" s="253">
        <f t="shared" si="36"/>
        <v>0</v>
      </c>
      <c r="N204" s="253">
        <f t="shared" si="36"/>
        <v>577.18884698315355</v>
      </c>
      <c r="O204" s="253">
        <f t="shared" si="36"/>
        <v>0</v>
      </c>
      <c r="P204" s="253">
        <f t="shared" si="36"/>
        <v>0</v>
      </c>
      <c r="Q204" s="253">
        <f t="shared" si="36"/>
        <v>63.804570784787018</v>
      </c>
      <c r="R204" s="253">
        <f t="shared" si="36"/>
        <v>0</v>
      </c>
      <c r="S204" s="253">
        <f t="shared" si="36"/>
        <v>0</v>
      </c>
      <c r="T204" s="253">
        <f t="shared" si="36"/>
        <v>0</v>
      </c>
      <c r="U204" s="253">
        <f t="shared" si="36"/>
        <v>0</v>
      </c>
      <c r="V204" s="253">
        <f t="shared" si="36"/>
        <v>0</v>
      </c>
      <c r="W204" s="253">
        <f t="shared" si="36"/>
        <v>0</v>
      </c>
      <c r="X204" s="253">
        <f t="shared" si="36"/>
        <v>0</v>
      </c>
      <c r="Y204" s="253">
        <f t="shared" si="36"/>
        <v>0</v>
      </c>
    </row>
    <row r="205" spans="3:43" x14ac:dyDescent="0.25">
      <c r="H205" s="90"/>
      <c r="J205" s="253"/>
      <c r="K205" s="253"/>
      <c r="L205" s="253"/>
      <c r="M205" s="253"/>
      <c r="N205" s="253"/>
      <c r="O205" s="253"/>
      <c r="P205" s="253"/>
      <c r="Q205" s="253"/>
      <c r="R205" s="253"/>
      <c r="S205" s="253"/>
      <c r="T205" s="253"/>
      <c r="U205" s="253"/>
      <c r="V205" s="253"/>
      <c r="W205" s="253"/>
      <c r="X205" s="253"/>
      <c r="Y205" s="253"/>
    </row>
    <row r="206" spans="3:43" x14ac:dyDescent="0.25">
      <c r="E206" s="295" t="s">
        <v>551</v>
      </c>
      <c r="G206" s="295" t="s">
        <v>102</v>
      </c>
      <c r="H206" s="90"/>
      <c r="J206" s="253">
        <f t="shared" ref="J206:Y206" si="37">IF(J202 = 0, J204, J202)</f>
        <v>1482.2201033071178</v>
      </c>
      <c r="K206" s="253">
        <f t="shared" si="37"/>
        <v>0</v>
      </c>
      <c r="L206" s="253">
        <f t="shared" si="37"/>
        <v>603.09926192279704</v>
      </c>
      <c r="M206" s="253">
        <f t="shared" si="37"/>
        <v>0</v>
      </c>
      <c r="N206" s="253">
        <f t="shared" si="37"/>
        <v>1459.3096397635231</v>
      </c>
      <c r="O206" s="253">
        <f t="shared" si="37"/>
        <v>0</v>
      </c>
      <c r="P206" s="253">
        <f t="shared" si="37"/>
        <v>0</v>
      </c>
      <c r="Q206" s="253">
        <f t="shared" si="37"/>
        <v>63.804570784787018</v>
      </c>
      <c r="R206" s="253">
        <f t="shared" si="37"/>
        <v>0</v>
      </c>
      <c r="S206" s="253">
        <f t="shared" si="37"/>
        <v>0</v>
      </c>
      <c r="T206" s="253">
        <f t="shared" si="37"/>
        <v>0</v>
      </c>
      <c r="U206" s="253">
        <f t="shared" si="37"/>
        <v>0</v>
      </c>
      <c r="V206" s="253">
        <f t="shared" si="37"/>
        <v>0</v>
      </c>
      <c r="W206" s="253">
        <f t="shared" si="37"/>
        <v>0</v>
      </c>
      <c r="X206" s="253">
        <f t="shared" si="37"/>
        <v>0</v>
      </c>
      <c r="Y206" s="253">
        <f t="shared" si="37"/>
        <v>0</v>
      </c>
    </row>
    <row r="207" spans="3:43" x14ac:dyDescent="0.25">
      <c r="H207" s="90"/>
      <c r="J207" s="253"/>
      <c r="K207" s="253"/>
      <c r="L207" s="253"/>
      <c r="M207" s="253"/>
      <c r="N207" s="253"/>
      <c r="O207" s="253"/>
      <c r="P207" s="253"/>
      <c r="Q207" s="253"/>
      <c r="R207" s="253"/>
      <c r="S207" s="253"/>
      <c r="T207" s="253"/>
      <c r="U207" s="253"/>
      <c r="V207" s="253"/>
      <c r="W207" s="253"/>
      <c r="X207" s="253"/>
      <c r="Y207" s="253"/>
    </row>
    <row r="208" spans="3:43" x14ac:dyDescent="0.25">
      <c r="E208" s="295" t="s">
        <v>549</v>
      </c>
      <c r="G208" s="295" t="s">
        <v>102</v>
      </c>
      <c r="H208" s="90"/>
      <c r="I208" s="295" t="s">
        <v>431</v>
      </c>
      <c r="J208" s="253">
        <f t="shared" ref="J208:Y208" si="38">J150</f>
        <v>1236.8220579898709</v>
      </c>
      <c r="K208" s="253">
        <f t="shared" si="38"/>
        <v>6.0238146485777797</v>
      </c>
      <c r="L208" s="253">
        <f t="shared" si="38"/>
        <v>423.43812602843957</v>
      </c>
      <c r="M208" s="253">
        <f t="shared" si="38"/>
        <v>9.9555362275935551</v>
      </c>
      <c r="N208" s="253">
        <f t="shared" si="38"/>
        <v>465.18390970675176</v>
      </c>
      <c r="O208" s="253">
        <f t="shared" si="38"/>
        <v>0</v>
      </c>
      <c r="P208" s="253">
        <f t="shared" si="38"/>
        <v>0</v>
      </c>
      <c r="Q208" s="253">
        <f t="shared" si="38"/>
        <v>42.049240106185977</v>
      </c>
      <c r="R208" s="253">
        <f t="shared" si="38"/>
        <v>0</v>
      </c>
      <c r="S208" s="253">
        <f t="shared" si="38"/>
        <v>0</v>
      </c>
      <c r="T208" s="253">
        <f t="shared" si="38"/>
        <v>0</v>
      </c>
      <c r="U208" s="253">
        <f t="shared" si="38"/>
        <v>0</v>
      </c>
      <c r="V208" s="253">
        <f t="shared" si="38"/>
        <v>0</v>
      </c>
      <c r="W208" s="253">
        <f t="shared" si="38"/>
        <v>0</v>
      </c>
      <c r="X208" s="253">
        <f t="shared" si="38"/>
        <v>0</v>
      </c>
      <c r="Y208" s="253">
        <f t="shared" si="38"/>
        <v>0</v>
      </c>
      <c r="AA208" s="295" t="s">
        <v>825</v>
      </c>
    </row>
    <row r="209" spans="5:43" x14ac:dyDescent="0.25">
      <c r="H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</row>
    <row r="210" spans="5:43" x14ac:dyDescent="0.25">
      <c r="E210" s="295" t="s">
        <v>550</v>
      </c>
      <c r="G210" s="295" t="s">
        <v>94</v>
      </c>
      <c r="H210" s="404">
        <f>SUM(J206:Y206) / SUM(J208:Y208) - 1</f>
        <v>0.65261219022840544</v>
      </c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</row>
    <row r="211" spans="5:43" x14ac:dyDescent="0.25">
      <c r="H211" s="83"/>
    </row>
    <row r="212" spans="5:43" x14ac:dyDescent="0.25">
      <c r="E212" s="96" t="s">
        <v>391</v>
      </c>
      <c r="J212" s="90"/>
      <c r="L212" s="90"/>
      <c r="AA212" s="295" t="s">
        <v>825</v>
      </c>
      <c r="AQ212" s="88"/>
    </row>
    <row r="213" spans="5:43" x14ac:dyDescent="0.25">
      <c r="E213" s="82" t="s">
        <v>425</v>
      </c>
      <c r="F213" s="82"/>
      <c r="J213" s="90"/>
      <c r="L213" s="90"/>
      <c r="AQ213" s="88"/>
    </row>
    <row r="214" spans="5:43" x14ac:dyDescent="0.25">
      <c r="E214" s="96"/>
      <c r="F214" s="91" t="s">
        <v>43</v>
      </c>
      <c r="G214" s="91" t="s">
        <v>94</v>
      </c>
      <c r="H214" s="137">
        <f t="array" ref="H214:H222">TRANSPOSE('Load &amp; loss characteristics'!K23:S23)</f>
        <v>0.1160000000000001</v>
      </c>
      <c r="J214" s="90"/>
      <c r="K214" s="89"/>
      <c r="L214" s="90"/>
      <c r="M214" s="89"/>
      <c r="AQ214" s="88"/>
    </row>
    <row r="215" spans="5:43" x14ac:dyDescent="0.25">
      <c r="E215" s="96"/>
      <c r="F215" s="295" t="s">
        <v>44</v>
      </c>
      <c r="G215" s="295" t="s">
        <v>94</v>
      </c>
      <c r="H215" s="143">
        <v>0.1160000000000001</v>
      </c>
      <c r="J215" s="90"/>
      <c r="L215" s="90"/>
      <c r="AQ215" s="88"/>
    </row>
    <row r="216" spans="5:43" x14ac:dyDescent="0.25">
      <c r="E216" s="96"/>
      <c r="F216" s="295" t="s">
        <v>45</v>
      </c>
      <c r="G216" s="295" t="s">
        <v>94</v>
      </c>
      <c r="H216" s="143">
        <v>0.1160000000000001</v>
      </c>
      <c r="J216" s="90"/>
      <c r="L216" s="90"/>
      <c r="AQ216" s="88"/>
    </row>
    <row r="217" spans="5:43" x14ac:dyDescent="0.25">
      <c r="E217" s="96"/>
      <c r="F217" s="295" t="s">
        <v>46</v>
      </c>
      <c r="G217" s="295" t="s">
        <v>94</v>
      </c>
      <c r="H217" s="143">
        <v>0.26107999999999998</v>
      </c>
      <c r="J217" s="90"/>
      <c r="L217" s="90"/>
      <c r="AQ217" s="88"/>
    </row>
    <row r="218" spans="5:43" x14ac:dyDescent="0.25">
      <c r="E218" s="96"/>
      <c r="F218" s="295" t="s">
        <v>47</v>
      </c>
      <c r="G218" s="295" t="s">
        <v>94</v>
      </c>
      <c r="H218" s="143">
        <v>0.26107999999999998</v>
      </c>
      <c r="J218" s="90"/>
      <c r="L218" s="90"/>
      <c r="AQ218" s="88"/>
    </row>
    <row r="219" spans="5:43" x14ac:dyDescent="0.25">
      <c r="E219" s="96"/>
      <c r="F219" s="295" t="s">
        <v>51</v>
      </c>
      <c r="G219" s="295" t="s">
        <v>94</v>
      </c>
      <c r="H219" s="143">
        <v>0.1160000000000001</v>
      </c>
      <c r="J219" s="90"/>
      <c r="L219" s="90"/>
      <c r="AQ219" s="88"/>
    </row>
    <row r="220" spans="5:43" x14ac:dyDescent="0.25">
      <c r="E220" s="96"/>
      <c r="F220" s="295" t="s">
        <v>48</v>
      </c>
      <c r="G220" s="295" t="s">
        <v>94</v>
      </c>
      <c r="H220" s="143">
        <v>0.57634999999999992</v>
      </c>
      <c r="J220" s="90"/>
      <c r="L220" s="90"/>
      <c r="AQ220" s="88"/>
    </row>
    <row r="221" spans="5:43" x14ac:dyDescent="0.25">
      <c r="E221" s="96"/>
      <c r="F221" s="295" t="s">
        <v>49</v>
      </c>
      <c r="G221" s="295" t="s">
        <v>94</v>
      </c>
      <c r="H221" s="143">
        <v>0.57634999999999992</v>
      </c>
      <c r="J221" s="90"/>
      <c r="L221" s="90"/>
      <c r="AQ221" s="88"/>
    </row>
    <row r="222" spans="5:43" x14ac:dyDescent="0.25">
      <c r="E222" s="96"/>
      <c r="F222" s="93" t="s">
        <v>50</v>
      </c>
      <c r="G222" s="93" t="s">
        <v>94</v>
      </c>
      <c r="H222" s="395">
        <v>0.57634999999999992</v>
      </c>
      <c r="J222" s="90"/>
      <c r="L222" s="90"/>
      <c r="AQ222" s="88"/>
    </row>
    <row r="223" spans="5:43" x14ac:dyDescent="0.25">
      <c r="H223" s="83"/>
    </row>
    <row r="224" spans="5:43" x14ac:dyDescent="0.25">
      <c r="E224" s="96" t="s">
        <v>361</v>
      </c>
      <c r="J224" s="90"/>
      <c r="L224" s="90"/>
      <c r="AA224" s="295" t="s">
        <v>825</v>
      </c>
      <c r="AQ224" s="88"/>
    </row>
    <row r="225" spans="3:43" x14ac:dyDescent="0.25">
      <c r="E225" s="82" t="s">
        <v>424</v>
      </c>
      <c r="F225" s="82"/>
      <c r="J225" s="90"/>
      <c r="L225" s="90"/>
      <c r="AQ225" s="88"/>
    </row>
    <row r="226" spans="3:43" x14ac:dyDescent="0.25">
      <c r="C226" s="96"/>
      <c r="F226" s="91" t="s">
        <v>43</v>
      </c>
      <c r="G226" s="91" t="s">
        <v>94</v>
      </c>
      <c r="H226" s="175">
        <f t="shared" ref="H226:H233" si="39">IF(F226 = $F$234, $H$210, H214)</f>
        <v>0.1160000000000001</v>
      </c>
      <c r="J226" s="90"/>
      <c r="L226" s="90"/>
      <c r="AQ226" s="88"/>
    </row>
    <row r="227" spans="3:43" x14ac:dyDescent="0.25">
      <c r="C227" s="96"/>
      <c r="F227" s="295" t="s">
        <v>44</v>
      </c>
      <c r="G227" s="295" t="s">
        <v>94</v>
      </c>
      <c r="H227" s="17">
        <f t="shared" si="39"/>
        <v>0.1160000000000001</v>
      </c>
      <c r="J227" s="90"/>
      <c r="L227" s="90"/>
      <c r="AQ227" s="88"/>
    </row>
    <row r="228" spans="3:43" x14ac:dyDescent="0.25">
      <c r="C228" s="96"/>
      <c r="F228" s="295" t="s">
        <v>45</v>
      </c>
      <c r="G228" s="295" t="s">
        <v>94</v>
      </c>
      <c r="H228" s="17">
        <f t="shared" si="39"/>
        <v>0.1160000000000001</v>
      </c>
      <c r="J228" s="90"/>
      <c r="L228" s="90"/>
      <c r="AQ228" s="88"/>
    </row>
    <row r="229" spans="3:43" x14ac:dyDescent="0.25">
      <c r="C229" s="96"/>
      <c r="F229" s="295" t="s">
        <v>46</v>
      </c>
      <c r="G229" s="295" t="s">
        <v>94</v>
      </c>
      <c r="H229" s="17">
        <f t="shared" si="39"/>
        <v>0.26107999999999998</v>
      </c>
      <c r="J229" s="90"/>
      <c r="L229" s="90"/>
      <c r="AQ229" s="88"/>
    </row>
    <row r="230" spans="3:43" x14ac:dyDescent="0.25">
      <c r="C230" s="96"/>
      <c r="F230" s="295" t="s">
        <v>47</v>
      </c>
      <c r="G230" s="295" t="s">
        <v>94</v>
      </c>
      <c r="H230" s="17">
        <f t="shared" si="39"/>
        <v>0.26107999999999998</v>
      </c>
      <c r="J230" s="90"/>
      <c r="L230" s="90"/>
      <c r="AQ230" s="88"/>
    </row>
    <row r="231" spans="3:43" x14ac:dyDescent="0.25">
      <c r="C231" s="96"/>
      <c r="F231" s="295" t="s">
        <v>51</v>
      </c>
      <c r="G231" s="295" t="s">
        <v>94</v>
      </c>
      <c r="H231" s="17">
        <f t="shared" si="39"/>
        <v>0.1160000000000001</v>
      </c>
      <c r="J231" s="90"/>
      <c r="L231" s="90"/>
      <c r="AQ231" s="88"/>
    </row>
    <row r="232" spans="3:43" x14ac:dyDescent="0.25">
      <c r="C232" s="96"/>
      <c r="F232" s="295" t="s">
        <v>48</v>
      </c>
      <c r="G232" s="295" t="s">
        <v>94</v>
      </c>
      <c r="H232" s="17">
        <f t="shared" si="39"/>
        <v>0.57634999999999992</v>
      </c>
      <c r="J232" s="90"/>
      <c r="L232" s="90"/>
      <c r="AQ232" s="88"/>
    </row>
    <row r="233" spans="3:43" x14ac:dyDescent="0.25">
      <c r="C233" s="96"/>
      <c r="F233" s="295" t="s">
        <v>49</v>
      </c>
      <c r="G233" s="295" t="s">
        <v>94</v>
      </c>
      <c r="H233" s="17">
        <f t="shared" si="39"/>
        <v>0.57634999999999992</v>
      </c>
      <c r="J233" s="90"/>
      <c r="L233" s="90"/>
      <c r="AQ233" s="88"/>
    </row>
    <row r="234" spans="3:43" x14ac:dyDescent="0.25">
      <c r="C234" s="96"/>
      <c r="F234" s="93" t="s">
        <v>50</v>
      </c>
      <c r="G234" s="93" t="s">
        <v>94</v>
      </c>
      <c r="H234" s="18">
        <f>IF(F234 = $F$234, $H$210, H222)</f>
        <v>0.65261219022840544</v>
      </c>
      <c r="J234" s="90"/>
      <c r="L234" s="90"/>
      <c r="AQ234" s="88"/>
    </row>
    <row r="235" spans="3:43" x14ac:dyDescent="0.25">
      <c r="H235" s="83"/>
    </row>
    <row r="236" spans="3:43" x14ac:dyDescent="0.25">
      <c r="C236" s="7" t="str">
        <f ca="1">INDEX('Version control'!$H$34:$H$58,MATCH($A$1,'Version control'!$F$34:$F$58,0),1)&amp;"-G: Import/exceeded capacity contribution to system peak"</f>
        <v>Section 509-G: Import/exceeded capacity contribution to system peak</v>
      </c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Q236" s="88"/>
    </row>
    <row r="237" spans="3:43" x14ac:dyDescent="0.25">
      <c r="H237" s="83"/>
    </row>
    <row r="238" spans="3:43" x14ac:dyDescent="0.25">
      <c r="E238" s="96" t="s">
        <v>426</v>
      </c>
      <c r="F238" s="82"/>
      <c r="H238" s="174"/>
    </row>
    <row r="239" spans="3:43" x14ac:dyDescent="0.25">
      <c r="C239" s="96"/>
      <c r="F239" s="91" t="s">
        <v>43</v>
      </c>
      <c r="G239" s="91" t="s">
        <v>102</v>
      </c>
      <c r="H239" s="74"/>
      <c r="I239" s="91"/>
      <c r="J239" s="278">
        <f t="shared" ref="J239:Y247" si="40">J$192 * J23 * J34 / (1 + $H226) / $H45</f>
        <v>0</v>
      </c>
      <c r="K239" s="278">
        <f t="shared" si="40"/>
        <v>0</v>
      </c>
      <c r="L239" s="278">
        <f t="shared" si="40"/>
        <v>0</v>
      </c>
      <c r="M239" s="278">
        <f t="shared" si="40"/>
        <v>0</v>
      </c>
      <c r="N239" s="278">
        <f t="shared" si="40"/>
        <v>0</v>
      </c>
      <c r="O239" s="278">
        <f t="shared" si="40"/>
        <v>0</v>
      </c>
      <c r="P239" s="278">
        <f t="shared" si="40"/>
        <v>0</v>
      </c>
      <c r="Q239" s="278">
        <f t="shared" si="40"/>
        <v>0</v>
      </c>
      <c r="R239" s="278">
        <f t="shared" si="40"/>
        <v>0</v>
      </c>
      <c r="S239" s="278">
        <f t="shared" si="40"/>
        <v>0</v>
      </c>
      <c r="T239" s="278">
        <f t="shared" si="40"/>
        <v>0</v>
      </c>
      <c r="U239" s="278">
        <f t="shared" si="40"/>
        <v>0</v>
      </c>
      <c r="V239" s="278">
        <f t="shared" si="40"/>
        <v>0</v>
      </c>
      <c r="W239" s="278">
        <f t="shared" si="40"/>
        <v>0</v>
      </c>
      <c r="X239" s="278">
        <f t="shared" si="40"/>
        <v>0</v>
      </c>
      <c r="Y239" s="278">
        <f t="shared" si="40"/>
        <v>0</v>
      </c>
      <c r="AQ239" s="88"/>
    </row>
    <row r="240" spans="3:43" x14ac:dyDescent="0.25">
      <c r="C240" s="96"/>
      <c r="F240" s="295" t="s">
        <v>44</v>
      </c>
      <c r="G240" s="295" t="s">
        <v>102</v>
      </c>
      <c r="H240" s="90"/>
      <c r="J240" s="253">
        <f t="shared" si="40"/>
        <v>0</v>
      </c>
      <c r="K240" s="253">
        <f t="shared" si="40"/>
        <v>0</v>
      </c>
      <c r="L240" s="253">
        <f t="shared" si="40"/>
        <v>0</v>
      </c>
      <c r="M240" s="253">
        <f t="shared" si="40"/>
        <v>0</v>
      </c>
      <c r="N240" s="253">
        <f t="shared" si="40"/>
        <v>0</v>
      </c>
      <c r="O240" s="253">
        <f t="shared" si="40"/>
        <v>0</v>
      </c>
      <c r="P240" s="253">
        <f t="shared" si="40"/>
        <v>0</v>
      </c>
      <c r="Q240" s="253">
        <f t="shared" si="40"/>
        <v>0</v>
      </c>
      <c r="R240" s="253">
        <f t="shared" si="40"/>
        <v>0</v>
      </c>
      <c r="S240" s="253">
        <f t="shared" si="40"/>
        <v>0</v>
      </c>
      <c r="T240" s="253">
        <f t="shared" si="40"/>
        <v>0</v>
      </c>
      <c r="U240" s="253">
        <f t="shared" si="40"/>
        <v>0</v>
      </c>
      <c r="V240" s="253">
        <f t="shared" si="40"/>
        <v>0</v>
      </c>
      <c r="W240" s="253">
        <f t="shared" si="40"/>
        <v>0</v>
      </c>
      <c r="X240" s="253">
        <f t="shared" si="40"/>
        <v>0</v>
      </c>
      <c r="Y240" s="253">
        <f t="shared" si="40"/>
        <v>0</v>
      </c>
      <c r="AQ240" s="88"/>
    </row>
    <row r="241" spans="3:43" x14ac:dyDescent="0.25">
      <c r="C241" s="96"/>
      <c r="F241" s="295" t="s">
        <v>45</v>
      </c>
      <c r="G241" s="295" t="s">
        <v>102</v>
      </c>
      <c r="H241" s="90"/>
      <c r="J241" s="253">
        <f t="shared" si="40"/>
        <v>0</v>
      </c>
      <c r="K241" s="253">
        <f t="shared" si="40"/>
        <v>0</v>
      </c>
      <c r="L241" s="253">
        <f t="shared" si="40"/>
        <v>0</v>
      </c>
      <c r="M241" s="253">
        <f t="shared" si="40"/>
        <v>0</v>
      </c>
      <c r="N241" s="253">
        <f t="shared" si="40"/>
        <v>0</v>
      </c>
      <c r="O241" s="253">
        <f t="shared" si="40"/>
        <v>0</v>
      </c>
      <c r="P241" s="253">
        <f t="shared" si="40"/>
        <v>0</v>
      </c>
      <c r="Q241" s="253">
        <f t="shared" si="40"/>
        <v>0</v>
      </c>
      <c r="R241" s="253">
        <f t="shared" si="40"/>
        <v>0</v>
      </c>
      <c r="S241" s="253">
        <f t="shared" si="40"/>
        <v>0</v>
      </c>
      <c r="T241" s="253">
        <f t="shared" si="40"/>
        <v>0</v>
      </c>
      <c r="U241" s="253">
        <f t="shared" si="40"/>
        <v>0</v>
      </c>
      <c r="V241" s="253">
        <f t="shared" si="40"/>
        <v>0</v>
      </c>
      <c r="W241" s="253">
        <f t="shared" si="40"/>
        <v>0</v>
      </c>
      <c r="X241" s="253">
        <f t="shared" si="40"/>
        <v>0</v>
      </c>
      <c r="Y241" s="253">
        <f t="shared" si="40"/>
        <v>0</v>
      </c>
      <c r="AQ241" s="88"/>
    </row>
    <row r="242" spans="3:43" x14ac:dyDescent="0.25">
      <c r="C242" s="96"/>
      <c r="F242" s="295" t="s">
        <v>46</v>
      </c>
      <c r="G242" s="295" t="s">
        <v>102</v>
      </c>
      <c r="H242" s="90"/>
      <c r="J242" s="253">
        <f t="shared" si="40"/>
        <v>0</v>
      </c>
      <c r="K242" s="253">
        <f t="shared" si="40"/>
        <v>0</v>
      </c>
      <c r="L242" s="253">
        <f t="shared" si="40"/>
        <v>0</v>
      </c>
      <c r="M242" s="253">
        <f t="shared" si="40"/>
        <v>0</v>
      </c>
      <c r="N242" s="253">
        <f t="shared" si="40"/>
        <v>0</v>
      </c>
      <c r="O242" s="253">
        <f t="shared" si="40"/>
        <v>0</v>
      </c>
      <c r="P242" s="253">
        <f t="shared" si="40"/>
        <v>203.31990005568957</v>
      </c>
      <c r="Q242" s="253">
        <f t="shared" si="40"/>
        <v>0</v>
      </c>
      <c r="R242" s="253">
        <f t="shared" si="40"/>
        <v>0</v>
      </c>
      <c r="S242" s="253">
        <f t="shared" si="40"/>
        <v>0</v>
      </c>
      <c r="T242" s="253">
        <f t="shared" si="40"/>
        <v>0</v>
      </c>
      <c r="U242" s="253">
        <f t="shared" si="40"/>
        <v>0</v>
      </c>
      <c r="V242" s="253">
        <f t="shared" si="40"/>
        <v>0</v>
      </c>
      <c r="W242" s="253">
        <f t="shared" si="40"/>
        <v>0</v>
      </c>
      <c r="X242" s="253">
        <f t="shared" si="40"/>
        <v>0</v>
      </c>
      <c r="Y242" s="253">
        <f t="shared" si="40"/>
        <v>0</v>
      </c>
      <c r="AQ242" s="88"/>
    </row>
    <row r="243" spans="3:43" x14ac:dyDescent="0.25">
      <c r="C243" s="96"/>
      <c r="F243" s="295" t="s">
        <v>47</v>
      </c>
      <c r="G243" s="295" t="s">
        <v>102</v>
      </c>
      <c r="H243" s="90"/>
      <c r="J243" s="253">
        <f t="shared" si="40"/>
        <v>0</v>
      </c>
      <c r="K243" s="253">
        <f t="shared" si="40"/>
        <v>0</v>
      </c>
      <c r="L243" s="253">
        <f t="shared" si="40"/>
        <v>0</v>
      </c>
      <c r="M243" s="253">
        <f t="shared" si="40"/>
        <v>0</v>
      </c>
      <c r="N243" s="253">
        <f t="shared" si="40"/>
        <v>0</v>
      </c>
      <c r="O243" s="253">
        <f t="shared" si="40"/>
        <v>0</v>
      </c>
      <c r="P243" s="253">
        <f t="shared" si="40"/>
        <v>1007.567520512894</v>
      </c>
      <c r="Q243" s="253">
        <f t="shared" si="40"/>
        <v>0</v>
      </c>
      <c r="R243" s="253">
        <f t="shared" si="40"/>
        <v>0</v>
      </c>
      <c r="S243" s="253">
        <f t="shared" si="40"/>
        <v>0</v>
      </c>
      <c r="T243" s="253">
        <f t="shared" si="40"/>
        <v>0</v>
      </c>
      <c r="U243" s="253">
        <f t="shared" si="40"/>
        <v>0</v>
      </c>
      <c r="V243" s="253">
        <f t="shared" si="40"/>
        <v>0</v>
      </c>
      <c r="W243" s="253">
        <f t="shared" si="40"/>
        <v>0</v>
      </c>
      <c r="X243" s="253">
        <f t="shared" si="40"/>
        <v>0</v>
      </c>
      <c r="Y243" s="253">
        <f t="shared" si="40"/>
        <v>0</v>
      </c>
      <c r="AQ243" s="88"/>
    </row>
    <row r="244" spans="3:43" x14ac:dyDescent="0.25">
      <c r="C244" s="96"/>
      <c r="F244" s="295" t="s">
        <v>51</v>
      </c>
      <c r="G244" s="295" t="s">
        <v>102</v>
      </c>
      <c r="H244" s="90"/>
      <c r="J244" s="253">
        <f t="shared" si="40"/>
        <v>0</v>
      </c>
      <c r="K244" s="253">
        <f t="shared" si="40"/>
        <v>0</v>
      </c>
      <c r="L244" s="253">
        <f t="shared" si="40"/>
        <v>0</v>
      </c>
      <c r="M244" s="253">
        <f t="shared" si="40"/>
        <v>0</v>
      </c>
      <c r="N244" s="253">
        <f t="shared" si="40"/>
        <v>0</v>
      </c>
      <c r="O244" s="253">
        <f t="shared" si="40"/>
        <v>0</v>
      </c>
      <c r="P244" s="253">
        <f t="shared" si="40"/>
        <v>0</v>
      </c>
      <c r="Q244" s="253">
        <f t="shared" si="40"/>
        <v>0</v>
      </c>
      <c r="R244" s="253">
        <f t="shared" si="40"/>
        <v>0</v>
      </c>
      <c r="S244" s="253">
        <f t="shared" si="40"/>
        <v>0</v>
      </c>
      <c r="T244" s="253">
        <f t="shared" si="40"/>
        <v>0</v>
      </c>
      <c r="U244" s="253">
        <f t="shared" si="40"/>
        <v>0</v>
      </c>
      <c r="V244" s="253">
        <f t="shared" si="40"/>
        <v>0</v>
      </c>
      <c r="W244" s="253">
        <f t="shared" si="40"/>
        <v>0</v>
      </c>
      <c r="X244" s="253">
        <f t="shared" si="40"/>
        <v>0</v>
      </c>
      <c r="Y244" s="253">
        <f t="shared" si="40"/>
        <v>0</v>
      </c>
      <c r="AQ244" s="88"/>
    </row>
    <row r="245" spans="3:43" x14ac:dyDescent="0.25">
      <c r="C245" s="96"/>
      <c r="F245" s="295" t="s">
        <v>48</v>
      </c>
      <c r="G245" s="295" t="s">
        <v>102</v>
      </c>
      <c r="H245" s="90"/>
      <c r="J245" s="253">
        <f t="shared" si="40"/>
        <v>0</v>
      </c>
      <c r="K245" s="253">
        <f t="shared" si="40"/>
        <v>0</v>
      </c>
      <c r="L245" s="253">
        <f t="shared" si="40"/>
        <v>0</v>
      </c>
      <c r="M245" s="253">
        <f t="shared" si="40"/>
        <v>0</v>
      </c>
      <c r="N245" s="253">
        <f t="shared" si="40"/>
        <v>198.14347496203465</v>
      </c>
      <c r="O245" s="253">
        <f t="shared" si="40"/>
        <v>63.061127894837981</v>
      </c>
      <c r="P245" s="253">
        <f t="shared" si="40"/>
        <v>795.84085635833264</v>
      </c>
      <c r="Q245" s="253">
        <f t="shared" si="40"/>
        <v>0</v>
      </c>
      <c r="R245" s="253">
        <f t="shared" si="40"/>
        <v>0</v>
      </c>
      <c r="S245" s="253">
        <f t="shared" si="40"/>
        <v>0</v>
      </c>
      <c r="T245" s="253">
        <f t="shared" si="40"/>
        <v>0</v>
      </c>
      <c r="U245" s="253">
        <f t="shared" si="40"/>
        <v>0</v>
      </c>
      <c r="V245" s="253">
        <f t="shared" si="40"/>
        <v>0</v>
      </c>
      <c r="W245" s="253">
        <f t="shared" si="40"/>
        <v>0</v>
      </c>
      <c r="X245" s="253">
        <f t="shared" si="40"/>
        <v>0</v>
      </c>
      <c r="Y245" s="253">
        <f t="shared" si="40"/>
        <v>0</v>
      </c>
      <c r="AQ245" s="88"/>
    </row>
    <row r="246" spans="3:43" x14ac:dyDescent="0.25">
      <c r="C246" s="96"/>
      <c r="F246" s="295" t="s">
        <v>49</v>
      </c>
      <c r="G246" s="295" t="s">
        <v>102</v>
      </c>
      <c r="H246" s="90"/>
      <c r="J246" s="253">
        <f t="shared" si="40"/>
        <v>0</v>
      </c>
      <c r="K246" s="253">
        <f t="shared" si="40"/>
        <v>0</v>
      </c>
      <c r="L246" s="253">
        <f t="shared" si="40"/>
        <v>0</v>
      </c>
      <c r="M246" s="253">
        <f t="shared" si="40"/>
        <v>0</v>
      </c>
      <c r="N246" s="253">
        <f t="shared" si="40"/>
        <v>973.6360407617218</v>
      </c>
      <c r="O246" s="253">
        <f t="shared" si="40"/>
        <v>61.973867069064909</v>
      </c>
      <c r="P246" s="253">
        <f t="shared" si="40"/>
        <v>0</v>
      </c>
      <c r="Q246" s="253">
        <f t="shared" si="40"/>
        <v>0</v>
      </c>
      <c r="R246" s="253">
        <f t="shared" si="40"/>
        <v>0</v>
      </c>
      <c r="S246" s="253">
        <f t="shared" si="40"/>
        <v>0</v>
      </c>
      <c r="T246" s="253">
        <f t="shared" si="40"/>
        <v>0</v>
      </c>
      <c r="U246" s="253">
        <f t="shared" si="40"/>
        <v>0</v>
      </c>
      <c r="V246" s="253">
        <f t="shared" si="40"/>
        <v>0</v>
      </c>
      <c r="W246" s="253">
        <f t="shared" si="40"/>
        <v>0</v>
      </c>
      <c r="X246" s="253">
        <f t="shared" si="40"/>
        <v>0</v>
      </c>
      <c r="Y246" s="253">
        <f t="shared" si="40"/>
        <v>0</v>
      </c>
      <c r="AQ246" s="88"/>
    </row>
    <row r="247" spans="3:43" x14ac:dyDescent="0.25">
      <c r="C247" s="96"/>
      <c r="F247" s="93" t="s">
        <v>50</v>
      </c>
      <c r="G247" s="93" t="s">
        <v>102</v>
      </c>
      <c r="H247" s="187"/>
      <c r="I247" s="93"/>
      <c r="J247" s="272">
        <f t="shared" si="40"/>
        <v>0</v>
      </c>
      <c r="K247" s="272">
        <f t="shared" si="40"/>
        <v>0</v>
      </c>
      <c r="L247" s="272">
        <f t="shared" si="40"/>
        <v>0</v>
      </c>
      <c r="M247" s="272">
        <f t="shared" si="40"/>
        <v>0</v>
      </c>
      <c r="N247" s="272">
        <f t="shared" si="40"/>
        <v>883.03211630178885</v>
      </c>
      <c r="O247" s="272">
        <f t="shared" si="40"/>
        <v>0</v>
      </c>
      <c r="P247" s="272">
        <f t="shared" si="40"/>
        <v>0</v>
      </c>
      <c r="Q247" s="272">
        <f t="shared" si="40"/>
        <v>0</v>
      </c>
      <c r="R247" s="272">
        <f t="shared" si="40"/>
        <v>0</v>
      </c>
      <c r="S247" s="272">
        <f t="shared" si="40"/>
        <v>0</v>
      </c>
      <c r="T247" s="272">
        <f t="shared" si="40"/>
        <v>0</v>
      </c>
      <c r="U247" s="272">
        <f t="shared" si="40"/>
        <v>0</v>
      </c>
      <c r="V247" s="272">
        <f t="shared" si="40"/>
        <v>0</v>
      </c>
      <c r="W247" s="272">
        <f t="shared" si="40"/>
        <v>0</v>
      </c>
      <c r="X247" s="272">
        <f t="shared" si="40"/>
        <v>0</v>
      </c>
      <c r="Y247" s="272">
        <f t="shared" si="40"/>
        <v>0</v>
      </c>
      <c r="AQ247" s="88"/>
    </row>
    <row r="248" spans="3:43" x14ac:dyDescent="0.25">
      <c r="H248" s="83"/>
      <c r="J248" s="253"/>
      <c r="K248" s="253"/>
      <c r="L248" s="253"/>
      <c r="M248" s="253"/>
      <c r="N248" s="253"/>
      <c r="O248" s="253"/>
      <c r="P248" s="253"/>
      <c r="Q248" s="253"/>
      <c r="R248" s="253"/>
      <c r="S248" s="253"/>
      <c r="T248" s="253"/>
      <c r="U248" s="253"/>
      <c r="V248" s="253"/>
      <c r="W248" s="253"/>
      <c r="X248" s="253"/>
      <c r="Y248" s="253"/>
    </row>
    <row r="249" spans="3:43" x14ac:dyDescent="0.25">
      <c r="C249" s="7" t="str">
        <f ca="1">INDEX('Version control'!$H$34:$H$58,MATCH($A$1,'Version control'!$F$34:$F$58,0),1)&amp;"-H: Estimated capacity contribution to system peak"</f>
        <v>Section 509-H: Estimated capacity contribution to system peak</v>
      </c>
      <c r="D249" s="7"/>
      <c r="E249" s="7"/>
      <c r="F249" s="7"/>
      <c r="G249" s="7"/>
      <c r="H249" s="7"/>
      <c r="I249" s="7"/>
      <c r="J249" s="243"/>
      <c r="K249" s="243"/>
      <c r="L249" s="243"/>
      <c r="M249" s="243"/>
      <c r="N249" s="243"/>
      <c r="O249" s="243"/>
      <c r="P249" s="243"/>
      <c r="Q249" s="243"/>
      <c r="R249" s="243"/>
      <c r="S249" s="243"/>
      <c r="T249" s="243"/>
      <c r="U249" s="243"/>
      <c r="V249" s="243"/>
      <c r="W249" s="243"/>
      <c r="X249" s="243"/>
      <c r="Y249" s="243"/>
      <c r="Z249" s="7"/>
      <c r="AA249" s="7"/>
      <c r="AQ249" s="88"/>
    </row>
    <row r="250" spans="3:43" x14ac:dyDescent="0.25">
      <c r="H250" s="83"/>
      <c r="J250" s="253"/>
      <c r="K250" s="253"/>
      <c r="L250" s="253"/>
      <c r="M250" s="253"/>
      <c r="N250" s="253"/>
      <c r="O250" s="253"/>
      <c r="P250" s="253"/>
      <c r="Q250" s="253"/>
      <c r="R250" s="253"/>
      <c r="S250" s="253"/>
      <c r="T250" s="253"/>
      <c r="U250" s="253"/>
      <c r="V250" s="253"/>
      <c r="W250" s="253"/>
      <c r="X250" s="253"/>
      <c r="Y250" s="253"/>
    </row>
    <row r="251" spans="3:43" x14ac:dyDescent="0.25">
      <c r="E251" s="96" t="s">
        <v>427</v>
      </c>
      <c r="F251" s="82"/>
      <c r="H251" s="83"/>
      <c r="J251" s="253"/>
      <c r="K251" s="253"/>
      <c r="L251" s="253"/>
      <c r="M251" s="253"/>
      <c r="N251" s="253"/>
      <c r="O251" s="253"/>
      <c r="P251" s="253"/>
      <c r="Q251" s="253"/>
      <c r="R251" s="253"/>
      <c r="S251" s="253"/>
      <c r="T251" s="253"/>
      <c r="U251" s="253"/>
      <c r="V251" s="253"/>
      <c r="W251" s="253"/>
      <c r="X251" s="253"/>
      <c r="Y251" s="253"/>
    </row>
    <row r="252" spans="3:43" x14ac:dyDescent="0.25">
      <c r="C252" s="96"/>
      <c r="F252" s="91" t="s">
        <v>43</v>
      </c>
      <c r="G252" s="74" t="s">
        <v>102</v>
      </c>
      <c r="H252" s="74"/>
      <c r="I252" s="91"/>
      <c r="J252" s="278">
        <f t="shared" ref="J252:Y260" si="41">IF(AND(J$192 = 0, J$198), J$200 * J23 * J34 / (1 + $H226) / $H45, 0)</f>
        <v>0</v>
      </c>
      <c r="K252" s="278">
        <f t="shared" si="41"/>
        <v>0</v>
      </c>
      <c r="L252" s="278">
        <f t="shared" si="41"/>
        <v>0</v>
      </c>
      <c r="M252" s="278">
        <f t="shared" si="41"/>
        <v>0</v>
      </c>
      <c r="N252" s="278">
        <f t="shared" si="41"/>
        <v>0</v>
      </c>
      <c r="O252" s="278">
        <f t="shared" si="41"/>
        <v>0</v>
      </c>
      <c r="P252" s="278">
        <f t="shared" si="41"/>
        <v>0</v>
      </c>
      <c r="Q252" s="278">
        <f t="shared" si="41"/>
        <v>0</v>
      </c>
      <c r="R252" s="278">
        <f t="shared" si="41"/>
        <v>0</v>
      </c>
      <c r="S252" s="278">
        <f t="shared" si="41"/>
        <v>0</v>
      </c>
      <c r="T252" s="278">
        <f t="shared" si="41"/>
        <v>0</v>
      </c>
      <c r="U252" s="278">
        <f t="shared" si="41"/>
        <v>0</v>
      </c>
      <c r="V252" s="278">
        <f t="shared" si="41"/>
        <v>0</v>
      </c>
      <c r="W252" s="278">
        <f t="shared" si="41"/>
        <v>0</v>
      </c>
      <c r="X252" s="278">
        <f t="shared" si="41"/>
        <v>0</v>
      </c>
      <c r="Y252" s="278">
        <f t="shared" si="41"/>
        <v>0</v>
      </c>
      <c r="AQ252" s="88"/>
    </row>
    <row r="253" spans="3:43" x14ac:dyDescent="0.25">
      <c r="C253" s="96"/>
      <c r="F253" s="295" t="s">
        <v>44</v>
      </c>
      <c r="G253" s="90" t="s">
        <v>102</v>
      </c>
      <c r="H253" s="90"/>
      <c r="J253" s="253">
        <f t="shared" si="41"/>
        <v>0</v>
      </c>
      <c r="K253" s="253">
        <f t="shared" si="41"/>
        <v>0</v>
      </c>
      <c r="L253" s="253">
        <f t="shared" si="41"/>
        <v>0</v>
      </c>
      <c r="M253" s="253">
        <f t="shared" si="41"/>
        <v>0</v>
      </c>
      <c r="N253" s="253">
        <f t="shared" si="41"/>
        <v>0</v>
      </c>
      <c r="O253" s="253">
        <f t="shared" si="41"/>
        <v>0</v>
      </c>
      <c r="P253" s="253">
        <f t="shared" si="41"/>
        <v>0</v>
      </c>
      <c r="Q253" s="253">
        <f t="shared" si="41"/>
        <v>0</v>
      </c>
      <c r="R253" s="253">
        <f t="shared" si="41"/>
        <v>0</v>
      </c>
      <c r="S253" s="253">
        <f t="shared" si="41"/>
        <v>0</v>
      </c>
      <c r="T253" s="253">
        <f t="shared" si="41"/>
        <v>0</v>
      </c>
      <c r="U253" s="253">
        <f t="shared" si="41"/>
        <v>0</v>
      </c>
      <c r="V253" s="253">
        <f t="shared" si="41"/>
        <v>0</v>
      </c>
      <c r="W253" s="253">
        <f t="shared" si="41"/>
        <v>0</v>
      </c>
      <c r="X253" s="253">
        <f t="shared" si="41"/>
        <v>0</v>
      </c>
      <c r="Y253" s="253">
        <f t="shared" si="41"/>
        <v>0</v>
      </c>
      <c r="AQ253" s="88"/>
    </row>
    <row r="254" spans="3:43" x14ac:dyDescent="0.25">
      <c r="C254" s="96"/>
      <c r="F254" s="295" t="s">
        <v>45</v>
      </c>
      <c r="G254" s="90" t="s">
        <v>102</v>
      </c>
      <c r="H254" s="90"/>
      <c r="J254" s="253">
        <f t="shared" si="41"/>
        <v>0</v>
      </c>
      <c r="K254" s="253">
        <f t="shared" si="41"/>
        <v>0</v>
      </c>
      <c r="L254" s="253">
        <f t="shared" si="41"/>
        <v>0</v>
      </c>
      <c r="M254" s="253">
        <f t="shared" si="41"/>
        <v>0</v>
      </c>
      <c r="N254" s="253">
        <f t="shared" si="41"/>
        <v>0</v>
      </c>
      <c r="O254" s="253">
        <f t="shared" si="41"/>
        <v>0</v>
      </c>
      <c r="P254" s="253">
        <f t="shared" si="41"/>
        <v>0</v>
      </c>
      <c r="Q254" s="253">
        <f t="shared" si="41"/>
        <v>0</v>
      </c>
      <c r="R254" s="253">
        <f t="shared" si="41"/>
        <v>0</v>
      </c>
      <c r="S254" s="253">
        <f t="shared" si="41"/>
        <v>0</v>
      </c>
      <c r="T254" s="253">
        <f t="shared" si="41"/>
        <v>0</v>
      </c>
      <c r="U254" s="253">
        <f t="shared" si="41"/>
        <v>0</v>
      </c>
      <c r="V254" s="253">
        <f t="shared" si="41"/>
        <v>0</v>
      </c>
      <c r="W254" s="253">
        <f t="shared" si="41"/>
        <v>0</v>
      </c>
      <c r="X254" s="253">
        <f t="shared" si="41"/>
        <v>0</v>
      </c>
      <c r="Y254" s="253">
        <f t="shared" si="41"/>
        <v>0</v>
      </c>
      <c r="AQ254" s="88"/>
    </row>
    <row r="255" spans="3:43" x14ac:dyDescent="0.25">
      <c r="C255" s="96"/>
      <c r="F255" s="295" t="s">
        <v>46</v>
      </c>
      <c r="G255" s="90" t="s">
        <v>102</v>
      </c>
      <c r="H255" s="90"/>
      <c r="J255" s="253">
        <f t="shared" si="41"/>
        <v>0</v>
      </c>
      <c r="K255" s="253">
        <f t="shared" si="41"/>
        <v>0</v>
      </c>
      <c r="L255" s="253">
        <f t="shared" si="41"/>
        <v>0</v>
      </c>
      <c r="M255" s="253">
        <f t="shared" si="41"/>
        <v>0</v>
      </c>
      <c r="N255" s="253">
        <f t="shared" si="41"/>
        <v>0</v>
      </c>
      <c r="O255" s="253">
        <f t="shared" si="41"/>
        <v>0</v>
      </c>
      <c r="P255" s="253">
        <f t="shared" si="41"/>
        <v>0</v>
      </c>
      <c r="Q255" s="253">
        <f t="shared" si="41"/>
        <v>0</v>
      </c>
      <c r="R255" s="253">
        <f t="shared" si="41"/>
        <v>0</v>
      </c>
      <c r="S255" s="253">
        <f t="shared" si="41"/>
        <v>0</v>
      </c>
      <c r="T255" s="253">
        <f t="shared" si="41"/>
        <v>0</v>
      </c>
      <c r="U255" s="253">
        <f t="shared" si="41"/>
        <v>0</v>
      </c>
      <c r="V255" s="253">
        <f t="shared" si="41"/>
        <v>0</v>
      </c>
      <c r="W255" s="253">
        <f t="shared" si="41"/>
        <v>0</v>
      </c>
      <c r="X255" s="253">
        <f t="shared" si="41"/>
        <v>0</v>
      </c>
      <c r="Y255" s="253">
        <f t="shared" si="41"/>
        <v>0</v>
      </c>
      <c r="AQ255" s="88"/>
    </row>
    <row r="256" spans="3:43" x14ac:dyDescent="0.25">
      <c r="C256" s="96"/>
      <c r="F256" s="295" t="s">
        <v>47</v>
      </c>
      <c r="G256" s="90" t="s">
        <v>102</v>
      </c>
      <c r="H256" s="90"/>
      <c r="J256" s="253">
        <f t="shared" si="41"/>
        <v>0</v>
      </c>
      <c r="K256" s="253">
        <f t="shared" si="41"/>
        <v>0</v>
      </c>
      <c r="L256" s="253">
        <f t="shared" si="41"/>
        <v>0</v>
      </c>
      <c r="M256" s="253">
        <f t="shared" si="41"/>
        <v>0</v>
      </c>
      <c r="N256" s="253">
        <f t="shared" si="41"/>
        <v>0</v>
      </c>
      <c r="O256" s="253">
        <f t="shared" si="41"/>
        <v>0</v>
      </c>
      <c r="P256" s="253">
        <f t="shared" si="41"/>
        <v>0</v>
      </c>
      <c r="Q256" s="253">
        <f t="shared" si="41"/>
        <v>0</v>
      </c>
      <c r="R256" s="253">
        <f t="shared" si="41"/>
        <v>0</v>
      </c>
      <c r="S256" s="253">
        <f t="shared" si="41"/>
        <v>0</v>
      </c>
      <c r="T256" s="253">
        <f t="shared" si="41"/>
        <v>0</v>
      </c>
      <c r="U256" s="253">
        <f t="shared" si="41"/>
        <v>0</v>
      </c>
      <c r="V256" s="253">
        <f t="shared" si="41"/>
        <v>0</v>
      </c>
      <c r="W256" s="253">
        <f t="shared" si="41"/>
        <v>0</v>
      </c>
      <c r="X256" s="253">
        <f t="shared" si="41"/>
        <v>0</v>
      </c>
      <c r="Y256" s="253">
        <f t="shared" si="41"/>
        <v>0</v>
      </c>
      <c r="AQ256" s="88"/>
    </row>
    <row r="257" spans="2:43" x14ac:dyDescent="0.25">
      <c r="C257" s="96"/>
      <c r="F257" s="295" t="s">
        <v>51</v>
      </c>
      <c r="G257" s="90" t="s">
        <v>102</v>
      </c>
      <c r="H257" s="90"/>
      <c r="J257" s="253">
        <f t="shared" si="41"/>
        <v>0</v>
      </c>
      <c r="K257" s="253">
        <f t="shared" si="41"/>
        <v>0</v>
      </c>
      <c r="L257" s="253">
        <f t="shared" si="41"/>
        <v>0</v>
      </c>
      <c r="M257" s="253">
        <f t="shared" si="41"/>
        <v>0</v>
      </c>
      <c r="N257" s="253">
        <f t="shared" si="41"/>
        <v>0</v>
      </c>
      <c r="O257" s="253">
        <f t="shared" si="41"/>
        <v>0</v>
      </c>
      <c r="P257" s="253">
        <f t="shared" si="41"/>
        <v>0</v>
      </c>
      <c r="Q257" s="253">
        <f t="shared" si="41"/>
        <v>0</v>
      </c>
      <c r="R257" s="253">
        <f t="shared" si="41"/>
        <v>0</v>
      </c>
      <c r="S257" s="253">
        <f t="shared" si="41"/>
        <v>0</v>
      </c>
      <c r="T257" s="253">
        <f t="shared" si="41"/>
        <v>0</v>
      </c>
      <c r="U257" s="253">
        <f t="shared" si="41"/>
        <v>0</v>
      </c>
      <c r="V257" s="253">
        <f t="shared" si="41"/>
        <v>0</v>
      </c>
      <c r="W257" s="253">
        <f t="shared" si="41"/>
        <v>0</v>
      </c>
      <c r="X257" s="253">
        <f t="shared" si="41"/>
        <v>0</v>
      </c>
      <c r="Y257" s="253">
        <f t="shared" si="41"/>
        <v>0</v>
      </c>
      <c r="AQ257" s="88"/>
    </row>
    <row r="258" spans="2:43" x14ac:dyDescent="0.25">
      <c r="C258" s="96"/>
      <c r="F258" s="295" t="s">
        <v>48</v>
      </c>
      <c r="G258" s="90" t="s">
        <v>102</v>
      </c>
      <c r="H258" s="90"/>
      <c r="J258" s="253">
        <f t="shared" si="41"/>
        <v>0</v>
      </c>
      <c r="K258" s="253">
        <f t="shared" si="41"/>
        <v>0</v>
      </c>
      <c r="L258" s="253">
        <f t="shared" si="41"/>
        <v>0</v>
      </c>
      <c r="M258" s="253">
        <f t="shared" si="41"/>
        <v>0</v>
      </c>
      <c r="N258" s="253">
        <f t="shared" si="41"/>
        <v>0</v>
      </c>
      <c r="O258" s="253">
        <f t="shared" si="41"/>
        <v>0</v>
      </c>
      <c r="P258" s="253">
        <f t="shared" si="41"/>
        <v>0</v>
      </c>
      <c r="Q258" s="253">
        <f t="shared" si="41"/>
        <v>0</v>
      </c>
      <c r="R258" s="253">
        <f t="shared" si="41"/>
        <v>0</v>
      </c>
      <c r="S258" s="253">
        <f t="shared" si="41"/>
        <v>0</v>
      </c>
      <c r="T258" s="253">
        <f t="shared" si="41"/>
        <v>0</v>
      </c>
      <c r="U258" s="253">
        <f t="shared" si="41"/>
        <v>0</v>
      </c>
      <c r="V258" s="253">
        <f t="shared" si="41"/>
        <v>0</v>
      </c>
      <c r="W258" s="253">
        <f t="shared" si="41"/>
        <v>0</v>
      </c>
      <c r="X258" s="253">
        <f t="shared" si="41"/>
        <v>0</v>
      </c>
      <c r="Y258" s="253">
        <f t="shared" si="41"/>
        <v>0</v>
      </c>
      <c r="AQ258" s="88"/>
    </row>
    <row r="259" spans="2:43" x14ac:dyDescent="0.25">
      <c r="C259" s="96"/>
      <c r="F259" s="295" t="s">
        <v>49</v>
      </c>
      <c r="G259" s="90" t="s">
        <v>102</v>
      </c>
      <c r="H259" s="90"/>
      <c r="J259" s="253">
        <f t="shared" si="41"/>
        <v>0</v>
      </c>
      <c r="K259" s="253">
        <f t="shared" si="41"/>
        <v>0</v>
      </c>
      <c r="L259" s="253">
        <f t="shared" si="41"/>
        <v>0</v>
      </c>
      <c r="M259" s="253">
        <f t="shared" si="41"/>
        <v>0</v>
      </c>
      <c r="N259" s="253">
        <f t="shared" si="41"/>
        <v>0</v>
      </c>
      <c r="O259" s="253">
        <f t="shared" si="41"/>
        <v>0</v>
      </c>
      <c r="P259" s="253">
        <f t="shared" si="41"/>
        <v>0</v>
      </c>
      <c r="Q259" s="253">
        <f t="shared" si="41"/>
        <v>0</v>
      </c>
      <c r="R259" s="253">
        <f t="shared" si="41"/>
        <v>0</v>
      </c>
      <c r="S259" s="253">
        <f t="shared" si="41"/>
        <v>0</v>
      </c>
      <c r="T259" s="253">
        <f t="shared" si="41"/>
        <v>0</v>
      </c>
      <c r="U259" s="253">
        <f t="shared" si="41"/>
        <v>0</v>
      </c>
      <c r="V259" s="253">
        <f t="shared" si="41"/>
        <v>0</v>
      </c>
      <c r="W259" s="253">
        <f t="shared" si="41"/>
        <v>0</v>
      </c>
      <c r="X259" s="253">
        <f t="shared" si="41"/>
        <v>0</v>
      </c>
      <c r="Y259" s="253">
        <f t="shared" si="41"/>
        <v>0</v>
      </c>
      <c r="AQ259" s="88"/>
    </row>
    <row r="260" spans="2:43" x14ac:dyDescent="0.25">
      <c r="C260" s="96"/>
      <c r="F260" s="93" t="s">
        <v>50</v>
      </c>
      <c r="G260" s="187" t="s">
        <v>102</v>
      </c>
      <c r="H260" s="187"/>
      <c r="I260" s="93"/>
      <c r="J260" s="272">
        <f t="shared" si="41"/>
        <v>896.89529828668515</v>
      </c>
      <c r="K260" s="272">
        <f t="shared" si="41"/>
        <v>0</v>
      </c>
      <c r="L260" s="272">
        <f t="shared" si="41"/>
        <v>364.93695586224828</v>
      </c>
      <c r="M260" s="272">
        <f t="shared" si="41"/>
        <v>0</v>
      </c>
      <c r="N260" s="272">
        <f t="shared" si="41"/>
        <v>0</v>
      </c>
      <c r="O260" s="272">
        <f t="shared" si="41"/>
        <v>0</v>
      </c>
      <c r="P260" s="272">
        <f t="shared" si="41"/>
        <v>0</v>
      </c>
      <c r="Q260" s="272">
        <f t="shared" si="41"/>
        <v>0</v>
      </c>
      <c r="R260" s="272">
        <f t="shared" si="41"/>
        <v>0</v>
      </c>
      <c r="S260" s="272">
        <f t="shared" si="41"/>
        <v>0</v>
      </c>
      <c r="T260" s="272">
        <f t="shared" si="41"/>
        <v>0</v>
      </c>
      <c r="U260" s="272">
        <f t="shared" si="41"/>
        <v>0</v>
      </c>
      <c r="V260" s="272">
        <f t="shared" si="41"/>
        <v>0</v>
      </c>
      <c r="W260" s="272">
        <f t="shared" si="41"/>
        <v>0</v>
      </c>
      <c r="X260" s="272">
        <f t="shared" si="41"/>
        <v>0</v>
      </c>
      <c r="Y260" s="272">
        <f t="shared" si="41"/>
        <v>0</v>
      </c>
      <c r="AQ260" s="88"/>
    </row>
    <row r="261" spans="2:43" x14ac:dyDescent="0.25">
      <c r="H261" s="83"/>
    </row>
    <row r="262" spans="2:43" x14ac:dyDescent="0.25">
      <c r="B262" s="95" t="s">
        <v>356</v>
      </c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Q262" s="88"/>
    </row>
    <row r="263" spans="2:43" x14ac:dyDescent="0.25">
      <c r="H263" s="8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</row>
    <row r="264" spans="2:43" x14ac:dyDescent="0.25">
      <c r="C264" s="82" t="s">
        <v>428</v>
      </c>
      <c r="H264" s="8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</row>
    <row r="265" spans="2:43" x14ac:dyDescent="0.25">
      <c r="H265" s="8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</row>
    <row r="266" spans="2:43" x14ac:dyDescent="0.25">
      <c r="C266" s="7" t="str">
        <f ca="1">INDEX('Version control'!$H$34:$H$58,MATCH($A$1,'Version control'!$F$34:$F$58,0),1)&amp;"-I: System peak based on chargeable load"</f>
        <v>Section 509-I: System peak based on chargeable load</v>
      </c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Q266" s="88"/>
    </row>
    <row r="267" spans="2:43" x14ac:dyDescent="0.25">
      <c r="H267" s="83"/>
    </row>
    <row r="268" spans="2:43" x14ac:dyDescent="0.25">
      <c r="E268" s="96" t="s">
        <v>429</v>
      </c>
      <c r="F268" s="82"/>
      <c r="H268" s="174" t="s">
        <v>272</v>
      </c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</row>
    <row r="269" spans="2:43" x14ac:dyDescent="0.25">
      <c r="C269" s="96"/>
      <c r="F269" s="91" t="s">
        <v>43</v>
      </c>
      <c r="G269" s="91" t="s">
        <v>102</v>
      </c>
      <c r="H269" s="255">
        <f t="shared" ref="H269:H277" si="42">SUM(J269:Y269)</f>
        <v>2767.0013761619662</v>
      </c>
      <c r="I269" s="278"/>
      <c r="J269" s="278">
        <f t="shared" ref="J269:Y277" si="43">J239 + J252 + J168</f>
        <v>1386.4713030543721</v>
      </c>
      <c r="K269" s="278">
        <f t="shared" si="43"/>
        <v>5.1559980267560368</v>
      </c>
      <c r="L269" s="278">
        <f t="shared" si="43"/>
        <v>456.91138811350123</v>
      </c>
      <c r="M269" s="278">
        <f t="shared" si="43"/>
        <v>10.519747246525604</v>
      </c>
      <c r="N269" s="278">
        <f t="shared" si="43"/>
        <v>508.24426379200531</v>
      </c>
      <c r="O269" s="278">
        <f t="shared" si="43"/>
        <v>33.512184297916328</v>
      </c>
      <c r="P269" s="278">
        <f t="shared" si="43"/>
        <v>473.35255653173618</v>
      </c>
      <c r="Q269" s="278">
        <f t="shared" si="43"/>
        <v>49.020815047446781</v>
      </c>
      <c r="R269" s="278">
        <f t="shared" si="43"/>
        <v>-0.19766654104724962</v>
      </c>
      <c r="S269" s="278">
        <f t="shared" si="43"/>
        <v>-3.780660295578114E-3</v>
      </c>
      <c r="T269" s="278">
        <f t="shared" si="43"/>
        <v>-8.6550262997882239</v>
      </c>
      <c r="U269" s="278">
        <f t="shared" si="43"/>
        <v>0</v>
      </c>
      <c r="V269" s="278">
        <f t="shared" si="43"/>
        <v>-0.19011168964667813</v>
      </c>
      <c r="W269" s="278">
        <f t="shared" si="43"/>
        <v>0</v>
      </c>
      <c r="X269" s="278">
        <f t="shared" si="43"/>
        <v>-147.1402947575167</v>
      </c>
      <c r="Y269" s="278">
        <f t="shared" si="43"/>
        <v>0</v>
      </c>
      <c r="AQ269" s="88"/>
    </row>
    <row r="270" spans="2:43" x14ac:dyDescent="0.25">
      <c r="C270" s="96"/>
      <c r="F270" s="295" t="s">
        <v>44</v>
      </c>
      <c r="G270" s="295" t="s">
        <v>102</v>
      </c>
      <c r="H270" s="257">
        <f t="shared" si="42"/>
        <v>0</v>
      </c>
      <c r="I270" s="253"/>
      <c r="J270" s="253">
        <f t="shared" si="43"/>
        <v>0</v>
      </c>
      <c r="K270" s="253">
        <f t="shared" si="43"/>
        <v>0</v>
      </c>
      <c r="L270" s="253">
        <f t="shared" si="43"/>
        <v>0</v>
      </c>
      <c r="M270" s="253">
        <f t="shared" si="43"/>
        <v>0</v>
      </c>
      <c r="N270" s="253">
        <f t="shared" si="43"/>
        <v>0</v>
      </c>
      <c r="O270" s="253">
        <f t="shared" si="43"/>
        <v>0</v>
      </c>
      <c r="P270" s="253">
        <f t="shared" si="43"/>
        <v>0</v>
      </c>
      <c r="Q270" s="253">
        <f t="shared" si="43"/>
        <v>0</v>
      </c>
      <c r="R270" s="253">
        <f t="shared" si="43"/>
        <v>0</v>
      </c>
      <c r="S270" s="253">
        <f t="shared" si="43"/>
        <v>0</v>
      </c>
      <c r="T270" s="253">
        <f t="shared" si="43"/>
        <v>0</v>
      </c>
      <c r="U270" s="253">
        <f t="shared" si="43"/>
        <v>0</v>
      </c>
      <c r="V270" s="253">
        <f t="shared" si="43"/>
        <v>0</v>
      </c>
      <c r="W270" s="253">
        <f t="shared" si="43"/>
        <v>0</v>
      </c>
      <c r="X270" s="253">
        <f t="shared" si="43"/>
        <v>0</v>
      </c>
      <c r="Y270" s="253">
        <f t="shared" si="43"/>
        <v>0</v>
      </c>
      <c r="AQ270" s="88"/>
    </row>
    <row r="271" spans="2:43" x14ac:dyDescent="0.25">
      <c r="C271" s="96"/>
      <c r="F271" s="295" t="s">
        <v>45</v>
      </c>
      <c r="G271" s="295" t="s">
        <v>102</v>
      </c>
      <c r="H271" s="257">
        <f t="shared" si="42"/>
        <v>0</v>
      </c>
      <c r="I271" s="253"/>
      <c r="J271" s="253">
        <f t="shared" si="43"/>
        <v>0</v>
      </c>
      <c r="K271" s="253">
        <f t="shared" si="43"/>
        <v>0</v>
      </c>
      <c r="L271" s="253">
        <f t="shared" si="43"/>
        <v>0</v>
      </c>
      <c r="M271" s="253">
        <f t="shared" si="43"/>
        <v>0</v>
      </c>
      <c r="N271" s="253">
        <f t="shared" si="43"/>
        <v>0</v>
      </c>
      <c r="O271" s="253">
        <f t="shared" si="43"/>
        <v>0</v>
      </c>
      <c r="P271" s="253">
        <f t="shared" si="43"/>
        <v>0</v>
      </c>
      <c r="Q271" s="253">
        <f t="shared" si="43"/>
        <v>0</v>
      </c>
      <c r="R271" s="253">
        <f t="shared" si="43"/>
        <v>0</v>
      </c>
      <c r="S271" s="253">
        <f t="shared" si="43"/>
        <v>0</v>
      </c>
      <c r="T271" s="253">
        <f t="shared" si="43"/>
        <v>0</v>
      </c>
      <c r="U271" s="253">
        <f t="shared" si="43"/>
        <v>0</v>
      </c>
      <c r="V271" s="253">
        <f t="shared" si="43"/>
        <v>0</v>
      </c>
      <c r="W271" s="253">
        <f t="shared" si="43"/>
        <v>0</v>
      </c>
      <c r="X271" s="253">
        <f t="shared" si="43"/>
        <v>0</v>
      </c>
      <c r="Y271" s="253">
        <f t="shared" si="43"/>
        <v>0</v>
      </c>
      <c r="AQ271" s="88"/>
    </row>
    <row r="272" spans="2:43" x14ac:dyDescent="0.25">
      <c r="C272" s="96"/>
      <c r="F272" s="295" t="s">
        <v>46</v>
      </c>
      <c r="G272" s="295" t="s">
        <v>102</v>
      </c>
      <c r="H272" s="257">
        <f t="shared" si="42"/>
        <v>2865.0040283979379</v>
      </c>
      <c r="I272" s="253"/>
      <c r="J272" s="253">
        <f t="shared" si="43"/>
        <v>1380.9475130023627</v>
      </c>
      <c r="K272" s="253">
        <f t="shared" si="43"/>
        <v>5.1354562019482444</v>
      </c>
      <c r="L272" s="253">
        <f t="shared" si="43"/>
        <v>455.09102401743155</v>
      </c>
      <c r="M272" s="253">
        <f t="shared" si="43"/>
        <v>10.477835902913949</v>
      </c>
      <c r="N272" s="253">
        <f t="shared" si="43"/>
        <v>506.21938624701716</v>
      </c>
      <c r="O272" s="253">
        <f t="shared" si="43"/>
        <v>33.378669619438575</v>
      </c>
      <c r="P272" s="253">
        <f t="shared" si="43"/>
        <v>580.49325187380612</v>
      </c>
      <c r="Q272" s="253">
        <f t="shared" si="43"/>
        <v>48.825512995464919</v>
      </c>
      <c r="R272" s="253">
        <f t="shared" si="43"/>
        <v>-0.19687902494745976</v>
      </c>
      <c r="S272" s="253">
        <f t="shared" si="43"/>
        <v>-3.7655979039622647E-3</v>
      </c>
      <c r="T272" s="253">
        <f t="shared" si="43"/>
        <v>-8.6205441232950459</v>
      </c>
      <c r="U272" s="253">
        <f t="shared" si="43"/>
        <v>0</v>
      </c>
      <c r="V272" s="253">
        <f t="shared" si="43"/>
        <v>-0.18935427255645229</v>
      </c>
      <c r="W272" s="253">
        <f t="shared" si="43"/>
        <v>0</v>
      </c>
      <c r="X272" s="253">
        <f t="shared" si="43"/>
        <v>-146.5540784437417</v>
      </c>
      <c r="Y272" s="253">
        <f t="shared" si="43"/>
        <v>0</v>
      </c>
      <c r="AQ272" s="88"/>
    </row>
    <row r="273" spans="2:43" x14ac:dyDescent="0.25">
      <c r="C273" s="96"/>
      <c r="F273" s="295" t="s">
        <v>47</v>
      </c>
      <c r="G273" s="295" t="s">
        <v>102</v>
      </c>
      <c r="H273" s="257">
        <f t="shared" si="42"/>
        <v>3255.1178687895863</v>
      </c>
      <c r="I273" s="253"/>
      <c r="J273" s="253">
        <f t="shared" si="43"/>
        <v>1340.6027834875406</v>
      </c>
      <c r="K273" s="253">
        <f t="shared" si="43"/>
        <v>6.5292680001366268</v>
      </c>
      <c r="L273" s="253">
        <f t="shared" si="43"/>
        <v>458.96847224010537</v>
      </c>
      <c r="M273" s="253">
        <f t="shared" si="43"/>
        <v>10.790897115397559</v>
      </c>
      <c r="N273" s="253">
        <f t="shared" si="43"/>
        <v>504.21711042252076</v>
      </c>
      <c r="O273" s="253">
        <f t="shared" si="43"/>
        <v>33.202385739680942</v>
      </c>
      <c r="P273" s="253">
        <f t="shared" si="43"/>
        <v>1007.567520512894</v>
      </c>
      <c r="Q273" s="253">
        <f t="shared" si="43"/>
        <v>45.577557390515508</v>
      </c>
      <c r="R273" s="253">
        <f t="shared" si="43"/>
        <v>-0.19531065209196408</v>
      </c>
      <c r="S273" s="253">
        <f t="shared" si="43"/>
        <v>-3.7132236810808032E-3</v>
      </c>
      <c r="T273" s="253">
        <f t="shared" si="43"/>
        <v>-8.5526273377054132</v>
      </c>
      <c r="U273" s="253">
        <f t="shared" si="43"/>
        <v>0</v>
      </c>
      <c r="V273" s="253">
        <f t="shared" si="43"/>
        <v>-0.18676271987373558</v>
      </c>
      <c r="W273" s="253">
        <f t="shared" si="43"/>
        <v>0</v>
      </c>
      <c r="X273" s="253">
        <f t="shared" si="43"/>
        <v>-143.3997121858535</v>
      </c>
      <c r="Y273" s="253">
        <f t="shared" si="43"/>
        <v>0</v>
      </c>
      <c r="AQ273" s="88"/>
    </row>
    <row r="274" spans="2:43" x14ac:dyDescent="0.25">
      <c r="C274" s="96"/>
      <c r="F274" s="295" t="s">
        <v>51</v>
      </c>
      <c r="G274" s="295" t="s">
        <v>102</v>
      </c>
      <c r="H274" s="257">
        <f t="shared" si="42"/>
        <v>0</v>
      </c>
      <c r="I274" s="253"/>
      <c r="J274" s="253">
        <f t="shared" si="43"/>
        <v>0</v>
      </c>
      <c r="K274" s="253">
        <f t="shared" si="43"/>
        <v>0</v>
      </c>
      <c r="L274" s="253">
        <f t="shared" si="43"/>
        <v>0</v>
      </c>
      <c r="M274" s="253">
        <f t="shared" si="43"/>
        <v>0</v>
      </c>
      <c r="N274" s="253">
        <f t="shared" si="43"/>
        <v>0</v>
      </c>
      <c r="O274" s="253">
        <f t="shared" si="43"/>
        <v>0</v>
      </c>
      <c r="P274" s="253">
        <f t="shared" si="43"/>
        <v>0</v>
      </c>
      <c r="Q274" s="253">
        <f t="shared" si="43"/>
        <v>0</v>
      </c>
      <c r="R274" s="253">
        <f t="shared" si="43"/>
        <v>0</v>
      </c>
      <c r="S274" s="253">
        <f t="shared" si="43"/>
        <v>0</v>
      </c>
      <c r="T274" s="253">
        <f t="shared" si="43"/>
        <v>0</v>
      </c>
      <c r="U274" s="253">
        <f t="shared" si="43"/>
        <v>0</v>
      </c>
      <c r="V274" s="253">
        <f t="shared" si="43"/>
        <v>0</v>
      </c>
      <c r="W274" s="253">
        <f t="shared" si="43"/>
        <v>0</v>
      </c>
      <c r="X274" s="253">
        <f t="shared" si="43"/>
        <v>0</v>
      </c>
      <c r="Y274" s="253">
        <f t="shared" si="43"/>
        <v>0</v>
      </c>
      <c r="AQ274" s="88"/>
    </row>
    <row r="275" spans="2:43" x14ac:dyDescent="0.25">
      <c r="C275" s="96"/>
      <c r="F275" s="295" t="s">
        <v>48</v>
      </c>
      <c r="G275" s="295" t="s">
        <v>102</v>
      </c>
      <c r="H275" s="257">
        <f t="shared" si="42"/>
        <v>3285.3534591398243</v>
      </c>
      <c r="I275" s="253"/>
      <c r="J275" s="253">
        <f t="shared" si="43"/>
        <v>1323.616588375125</v>
      </c>
      <c r="K275" s="253">
        <f t="shared" si="43"/>
        <v>6.4465384835656936</v>
      </c>
      <c r="L275" s="253">
        <f t="shared" si="43"/>
        <v>453.15308224096168</v>
      </c>
      <c r="M275" s="253">
        <f t="shared" si="43"/>
        <v>10.654170348828194</v>
      </c>
      <c r="N275" s="253">
        <f t="shared" si="43"/>
        <v>596.4061906407976</v>
      </c>
      <c r="O275" s="253">
        <f t="shared" si="43"/>
        <v>63.061127894837981</v>
      </c>
      <c r="P275" s="253">
        <f t="shared" si="43"/>
        <v>795.84085635833264</v>
      </c>
      <c r="Q275" s="253">
        <f t="shared" si="43"/>
        <v>45.00006397328675</v>
      </c>
      <c r="R275" s="253">
        <f t="shared" si="43"/>
        <v>-0.19283595572042844</v>
      </c>
      <c r="S275" s="253">
        <f t="shared" si="43"/>
        <v>-3.6661750379482E-3</v>
      </c>
      <c r="T275" s="253">
        <f t="shared" si="43"/>
        <v>-8.4442607145181121</v>
      </c>
      <c r="U275" s="253">
        <f t="shared" si="43"/>
        <v>0</v>
      </c>
      <c r="V275" s="253">
        <f t="shared" si="43"/>
        <v>-0.18439633063556929</v>
      </c>
      <c r="W275" s="253">
        <f t="shared" si="43"/>
        <v>0</v>
      </c>
      <c r="X275" s="253">
        <f t="shared" si="43"/>
        <v>0</v>
      </c>
      <c r="Y275" s="253">
        <f t="shared" si="43"/>
        <v>0</v>
      </c>
      <c r="AQ275" s="88"/>
    </row>
    <row r="276" spans="2:43" x14ac:dyDescent="0.25">
      <c r="C276" s="96"/>
      <c r="F276" s="295" t="s">
        <v>49</v>
      </c>
      <c r="G276" s="295" t="s">
        <v>102</v>
      </c>
      <c r="H276" s="257">
        <f t="shared" si="42"/>
        <v>2834.2875072245301</v>
      </c>
      <c r="I276" s="253"/>
      <c r="J276" s="253">
        <f t="shared" si="43"/>
        <v>1300.7956127134848</v>
      </c>
      <c r="K276" s="253">
        <f t="shared" si="43"/>
        <v>6.3353912683318026</v>
      </c>
      <c r="L276" s="253">
        <f t="shared" si="43"/>
        <v>445.34009806439332</v>
      </c>
      <c r="M276" s="253">
        <f t="shared" si="43"/>
        <v>10.470477756607018</v>
      </c>
      <c r="N276" s="253">
        <f t="shared" si="43"/>
        <v>973.6360407617218</v>
      </c>
      <c r="O276" s="253">
        <f t="shared" si="43"/>
        <v>61.973867069064909</v>
      </c>
      <c r="P276" s="253">
        <f t="shared" si="43"/>
        <v>0</v>
      </c>
      <c r="Q276" s="253">
        <f t="shared" si="43"/>
        <v>44.224200801333524</v>
      </c>
      <c r="R276" s="253">
        <f t="shared" si="43"/>
        <v>-0.18951119786317966</v>
      </c>
      <c r="S276" s="253">
        <f t="shared" si="43"/>
        <v>0</v>
      </c>
      <c r="T276" s="253">
        <f t="shared" si="43"/>
        <v>-8.2986700125436617</v>
      </c>
      <c r="U276" s="253">
        <f t="shared" si="43"/>
        <v>0</v>
      </c>
      <c r="V276" s="253">
        <f t="shared" si="43"/>
        <v>0</v>
      </c>
      <c r="W276" s="253">
        <f t="shared" si="43"/>
        <v>0</v>
      </c>
      <c r="X276" s="253">
        <f t="shared" si="43"/>
        <v>0</v>
      </c>
      <c r="Y276" s="253">
        <f t="shared" si="43"/>
        <v>0</v>
      </c>
      <c r="AQ276" s="88"/>
    </row>
    <row r="277" spans="2:43" x14ac:dyDescent="0.25">
      <c r="C277" s="96"/>
      <c r="F277" s="93" t="s">
        <v>50</v>
      </c>
      <c r="G277" s="93" t="s">
        <v>102</v>
      </c>
      <c r="H277" s="259">
        <f t="shared" si="42"/>
        <v>2186.9136105569082</v>
      </c>
      <c r="I277" s="272"/>
      <c r="J277" s="272">
        <f t="shared" si="43"/>
        <v>896.89529828668515</v>
      </c>
      <c r="K277" s="272">
        <f t="shared" si="43"/>
        <v>0</v>
      </c>
      <c r="L277" s="272">
        <f t="shared" si="43"/>
        <v>364.93695586224828</v>
      </c>
      <c r="M277" s="272">
        <f t="shared" si="43"/>
        <v>0</v>
      </c>
      <c r="N277" s="272">
        <f t="shared" si="43"/>
        <v>883.03211630178885</v>
      </c>
      <c r="O277" s="272">
        <f t="shared" si="43"/>
        <v>0</v>
      </c>
      <c r="P277" s="272">
        <f t="shared" si="43"/>
        <v>0</v>
      </c>
      <c r="Q277" s="272">
        <f t="shared" si="43"/>
        <v>42.049240106185977</v>
      </c>
      <c r="R277" s="272">
        <f t="shared" si="43"/>
        <v>0</v>
      </c>
      <c r="S277" s="272">
        <f t="shared" si="43"/>
        <v>0</v>
      </c>
      <c r="T277" s="272">
        <f t="shared" si="43"/>
        <v>0</v>
      </c>
      <c r="U277" s="272">
        <f t="shared" si="43"/>
        <v>0</v>
      </c>
      <c r="V277" s="272">
        <f t="shared" si="43"/>
        <v>0</v>
      </c>
      <c r="W277" s="272">
        <f t="shared" si="43"/>
        <v>0</v>
      </c>
      <c r="X277" s="272">
        <f t="shared" si="43"/>
        <v>0</v>
      </c>
      <c r="Y277" s="272">
        <f t="shared" si="43"/>
        <v>0</v>
      </c>
      <c r="AQ277" s="88"/>
    </row>
    <row r="278" spans="2:43" x14ac:dyDescent="0.25">
      <c r="H278" s="83"/>
    </row>
    <row r="279" spans="2:43" x14ac:dyDescent="0.25">
      <c r="B279" s="95" t="s">
        <v>109</v>
      </c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C279" s="95"/>
      <c r="AD279" s="95"/>
      <c r="AE279" s="95"/>
      <c r="AF279" s="95"/>
      <c r="AG279" s="95"/>
      <c r="AH279" s="95"/>
      <c r="AI279" s="95"/>
      <c r="AJ279" s="95"/>
      <c r="AK279" s="95"/>
      <c r="AL279" s="95"/>
      <c r="AM279" s="95"/>
      <c r="AN279" s="95"/>
      <c r="AO279" s="95"/>
      <c r="AQ279" s="95"/>
    </row>
    <row r="281" spans="2:43" x14ac:dyDescent="0.25">
      <c r="E281" s="295" t="s">
        <v>516</v>
      </c>
      <c r="G281" s="122" t="s">
        <v>692</v>
      </c>
      <c r="H281" s="152">
        <f t="array" ref="H281">SUM(IF(ISERROR(H23:Y277), 1))</f>
        <v>0</v>
      </c>
    </row>
    <row r="283" spans="2:43" x14ac:dyDescent="0.25">
      <c r="B283" s="95" t="s">
        <v>110</v>
      </c>
      <c r="C283" s="95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C283" s="95"/>
      <c r="AD283" s="95"/>
      <c r="AE283" s="95"/>
      <c r="AF283" s="95"/>
      <c r="AG283" s="95"/>
      <c r="AH283" s="95"/>
      <c r="AI283" s="95"/>
      <c r="AJ283" s="95"/>
      <c r="AK283" s="95"/>
      <c r="AL283" s="95"/>
      <c r="AM283" s="95"/>
      <c r="AN283" s="95"/>
      <c r="AO283" s="95"/>
      <c r="AQ283" s="95"/>
    </row>
    <row r="288" spans="2:43" x14ac:dyDescent="0.25">
      <c r="J288" s="90"/>
      <c r="L288" s="90"/>
    </row>
    <row r="289" spans="10:12" x14ac:dyDescent="0.25">
      <c r="J289" s="90"/>
      <c r="L289" s="90"/>
    </row>
    <row r="290" spans="10:12" x14ac:dyDescent="0.25">
      <c r="J290" s="90"/>
      <c r="L290" s="90"/>
    </row>
    <row r="291" spans="10:12" x14ac:dyDescent="0.25">
      <c r="J291" s="90"/>
      <c r="L291" s="90"/>
    </row>
    <row r="292" spans="10:12" x14ac:dyDescent="0.25">
      <c r="J292" s="90"/>
      <c r="L292" s="90"/>
    </row>
    <row r="293" spans="10:12" x14ac:dyDescent="0.25">
      <c r="J293" s="90"/>
      <c r="L293" s="90"/>
    </row>
    <row r="294" spans="10:12" x14ac:dyDescent="0.25">
      <c r="J294" s="90"/>
      <c r="L294" s="90"/>
    </row>
    <row r="295" spans="10:12" x14ac:dyDescent="0.25">
      <c r="J295" s="90"/>
      <c r="L295" s="90"/>
    </row>
    <row r="296" spans="10:12" x14ac:dyDescent="0.25">
      <c r="J296" s="90"/>
      <c r="L296" s="90"/>
    </row>
    <row r="297" spans="10:12" x14ac:dyDescent="0.25">
      <c r="J297" s="90"/>
      <c r="L297" s="90"/>
    </row>
    <row r="298" spans="10:12" x14ac:dyDescent="0.25">
      <c r="J298" s="90"/>
      <c r="L298" s="90"/>
    </row>
    <row r="299" spans="10:12" x14ac:dyDescent="0.25">
      <c r="J299" s="90"/>
      <c r="L299" s="90"/>
    </row>
    <row r="300" spans="10:12" x14ac:dyDescent="0.25">
      <c r="J300" s="90"/>
      <c r="L300" s="90"/>
    </row>
    <row r="301" spans="10:12" x14ac:dyDescent="0.25">
      <c r="J301" s="90"/>
      <c r="L301" s="90"/>
    </row>
    <row r="302" spans="10:12" x14ac:dyDescent="0.25">
      <c r="J302" s="90"/>
      <c r="L302" s="90"/>
    </row>
    <row r="303" spans="10:12" x14ac:dyDescent="0.25">
      <c r="J303" s="90"/>
      <c r="L303" s="90"/>
    </row>
    <row r="304" spans="10:12" x14ac:dyDescent="0.25">
      <c r="J304" s="90"/>
      <c r="L304" s="90"/>
    </row>
    <row r="305" spans="10:12" x14ac:dyDescent="0.25">
      <c r="J305" s="90"/>
      <c r="L305" s="90"/>
    </row>
    <row r="306" spans="10:12" x14ac:dyDescent="0.25">
      <c r="J306" s="90"/>
      <c r="L306" s="90"/>
    </row>
    <row r="307" spans="10:12" x14ac:dyDescent="0.25">
      <c r="J307" s="90"/>
      <c r="L307" s="90"/>
    </row>
    <row r="308" spans="10:12" x14ac:dyDescent="0.25">
      <c r="J308" s="90"/>
      <c r="L308" s="90"/>
    </row>
    <row r="309" spans="10:12" x14ac:dyDescent="0.25">
      <c r="J309" s="90"/>
      <c r="L309" s="90"/>
    </row>
    <row r="310" spans="10:12" x14ac:dyDescent="0.25">
      <c r="J310" s="90"/>
      <c r="L310" s="90"/>
    </row>
    <row r="311" spans="10:12" x14ac:dyDescent="0.25">
      <c r="J311" s="90"/>
      <c r="L311" s="90"/>
    </row>
    <row r="312" spans="10:12" x14ac:dyDescent="0.25">
      <c r="J312" s="90"/>
      <c r="L312" s="90"/>
    </row>
    <row r="313" spans="10:12" x14ac:dyDescent="0.25">
      <c r="J313" s="90"/>
      <c r="L313" s="90"/>
    </row>
    <row r="314" spans="10:12" x14ac:dyDescent="0.25">
      <c r="J314" s="90"/>
      <c r="L314" s="90"/>
    </row>
    <row r="315" spans="10:12" x14ac:dyDescent="0.25">
      <c r="J315" s="90"/>
      <c r="L315" s="90"/>
    </row>
    <row r="316" spans="10:12" x14ac:dyDescent="0.25">
      <c r="J316" s="90"/>
      <c r="L316" s="90"/>
    </row>
    <row r="317" spans="10:12" x14ac:dyDescent="0.25">
      <c r="J317" s="90"/>
      <c r="L317" s="90"/>
    </row>
    <row r="318" spans="10:12" x14ac:dyDescent="0.25">
      <c r="J318" s="90"/>
      <c r="L318" s="90"/>
    </row>
    <row r="319" spans="10:12" x14ac:dyDescent="0.25">
      <c r="J319" s="90"/>
      <c r="L319" s="90"/>
    </row>
    <row r="320" spans="10:12" x14ac:dyDescent="0.25">
      <c r="J320" s="90"/>
      <c r="L320" s="90"/>
    </row>
  </sheetData>
  <sheetProtection sheet="1" objects="1" formatCells="0" formatColumns="0" formatRows="0" sort="0" autoFilter="0"/>
  <conditionalFormatting sqref="H281">
    <cfRule type="cellIs" dxfId="144" priority="10" operator="greaterThan">
      <formula>0</formula>
    </cfRule>
  </conditionalFormatting>
  <conditionalFormatting sqref="A4:I4 Z4:XFD4">
    <cfRule type="expression" dxfId="143" priority="9">
      <formula>LEFT($A$4,1) &lt;&gt; "0"</formula>
    </cfRule>
  </conditionalFormatting>
  <conditionalFormatting sqref="N4:P4">
    <cfRule type="expression" dxfId="142" priority="8">
      <formula>LEFT($A$4,1) &lt;&gt; "0"</formula>
    </cfRule>
  </conditionalFormatting>
  <conditionalFormatting sqref="L4:M4">
    <cfRule type="expression" dxfId="141" priority="7">
      <formula>LEFT($A$4,1) &lt;&gt; "0"</formula>
    </cfRule>
  </conditionalFormatting>
  <conditionalFormatting sqref="J4:K4">
    <cfRule type="expression" dxfId="140" priority="6">
      <formula>LEFT($A$4,1) &lt;&gt; "0"</formula>
    </cfRule>
  </conditionalFormatting>
  <conditionalFormatting sqref="Q4">
    <cfRule type="expression" dxfId="139" priority="5">
      <formula>LEFT($A$4,1) &lt;&gt; "0"</formula>
    </cfRule>
  </conditionalFormatting>
  <conditionalFormatting sqref="R4:S4">
    <cfRule type="expression" dxfId="138" priority="4">
      <formula>LEFT($A$4,1) &lt;&gt; "0"</formula>
    </cfRule>
  </conditionalFormatting>
  <conditionalFormatting sqref="T4:U4">
    <cfRule type="expression" dxfId="137" priority="3">
      <formula>LEFT($A$4,1) &lt;&gt; "0"</formula>
    </cfRule>
  </conditionalFormatting>
  <conditionalFormatting sqref="V4:W4">
    <cfRule type="expression" dxfId="136" priority="2">
      <formula>LEFT($A$4,1) &lt;&gt; "0"</formula>
    </cfRule>
  </conditionalFormatting>
  <conditionalFormatting sqref="X4:Y4">
    <cfRule type="expression" dxfId="135" priority="1">
      <formula>LEFT($A$4,1) &lt;&gt; "0"</formula>
    </cfRule>
  </conditionalFormatting>
  <hyperlinks>
    <hyperlink ref="B5:F5" location="'Model map'!A1" display="Click here to return to model map" xr:uid="{00000000-0004-0000-16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6">
    <tabColor theme="4" tint="0.59999389629810485"/>
    <pageSetUpPr fitToPage="1"/>
  </sheetPr>
  <dimension ref="A1:LH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41" width="17" style="295" hidden="1" customWidth="1"/>
    <col min="42" max="42" width="3.5703125" style="295" hidden="1" customWidth="1"/>
    <col min="43" max="43" width="18.42578125" style="295" hidden="1" customWidth="1"/>
    <col min="44" max="44" width="4.42578125" style="295" hidden="1" customWidth="1"/>
    <col min="45" max="45" width="24.5703125" style="295" hidden="1" customWidth="1"/>
    <col min="46" max="46" width="3.5703125" style="295" hidden="1" customWidth="1"/>
    <col min="47" max="47" width="15.42578125" style="295" hidden="1" customWidth="1"/>
    <col min="48" max="320" width="24.5703125" style="295" hidden="1" customWidth="1"/>
    <col min="321" max="16384" width="8.85546875" style="295" hidden="1"/>
  </cols>
  <sheetData>
    <row r="1" spans="1:43" s="10" customFormat="1" x14ac:dyDescent="0.25">
      <c r="A1" s="10" t="str">
        <f ca="1">MID(CELL("filename",A1),FIND("]",CELL("filename",A1))+1,255)</f>
        <v>Service model assets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43" x14ac:dyDescent="0.25">
      <c r="A4" s="371" t="str">
        <f>H38 &amp; IF(H38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72" t="s">
        <v>552</v>
      </c>
      <c r="C5" s="373"/>
      <c r="D5" s="373"/>
      <c r="E5" s="373"/>
      <c r="F5" s="373"/>
      <c r="G5" s="1" t="s">
        <v>91</v>
      </c>
      <c r="H5" s="2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738</v>
      </c>
    </row>
    <row r="10" spans="1:43" x14ac:dyDescent="0.25">
      <c r="C10" s="82" t="s">
        <v>739</v>
      </c>
    </row>
    <row r="11" spans="1:43" x14ac:dyDescent="0.25">
      <c r="D11" s="96"/>
      <c r="AQ11" s="88"/>
    </row>
    <row r="12" spans="1:43" x14ac:dyDescent="0.25">
      <c r="B12" s="95" t="s">
        <v>776</v>
      </c>
      <c r="C12" s="95"/>
      <c r="D12" s="95"/>
      <c r="E12" s="95"/>
      <c r="F12" s="95"/>
      <c r="G12" s="128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43" x14ac:dyDescent="0.25">
      <c r="G13" s="108"/>
    </row>
    <row r="14" spans="1:43" x14ac:dyDescent="0.25">
      <c r="C14" s="7" t="str">
        <f ca="1">INDEX('Version control'!$H$34:$H$58,MATCH($A$1,'Version control'!$F$34:$F$58,0),1)&amp;"-A: Service model notional asset values"</f>
        <v>Section 510-A: Service model notional asset values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6" spans="1:43" x14ac:dyDescent="0.25">
      <c r="E16" s="14" t="s">
        <v>474</v>
      </c>
      <c r="G16" s="14" t="s">
        <v>74</v>
      </c>
      <c r="J16" s="274">
        <f>'Volume adjustments'!J103</f>
        <v>1900944.7731327738</v>
      </c>
      <c r="K16" s="274">
        <f>'Volume adjustments'!K103</f>
        <v>100130.921763869</v>
      </c>
      <c r="L16" s="274">
        <f>'Volume adjustments'!L103</f>
        <v>126260.16198819576</v>
      </c>
      <c r="M16" s="274">
        <f>'Volume adjustments'!M103</f>
        <v>7441</v>
      </c>
      <c r="N16" s="274">
        <f>'Volume adjustments'!N103</f>
        <v>10688.330482751717</v>
      </c>
      <c r="O16" s="274">
        <f>'Volume adjustments'!O103</f>
        <v>235.94699537145465</v>
      </c>
      <c r="P16" s="274">
        <f>'Volume adjustments'!P103</f>
        <v>1279.4477972038226</v>
      </c>
      <c r="Q16" s="274">
        <f>'Volume adjustments'!Q103</f>
        <v>4906.9507149127448</v>
      </c>
      <c r="R16" s="274">
        <f>'Volume adjustments'!R103</f>
        <v>167</v>
      </c>
      <c r="S16" s="274">
        <f>'Volume adjustments'!S103</f>
        <v>4</v>
      </c>
      <c r="T16" s="274">
        <f>'Volume adjustments'!T103</f>
        <v>472</v>
      </c>
      <c r="U16" s="274">
        <f>'Volume adjustments'!U103</f>
        <v>0</v>
      </c>
      <c r="V16" s="274">
        <f>'Volume adjustments'!V103</f>
        <v>8</v>
      </c>
      <c r="W16" s="274">
        <f>'Volume adjustments'!W103</f>
        <v>0</v>
      </c>
      <c r="X16" s="274">
        <f>'Volume adjustments'!X103</f>
        <v>255</v>
      </c>
      <c r="Y16" s="274">
        <f>'Volume adjustments'!Y103</f>
        <v>0</v>
      </c>
    </row>
    <row r="17" spans="5:27" x14ac:dyDescent="0.25">
      <c r="E17" s="14" t="s">
        <v>730</v>
      </c>
      <c r="G17" s="14" t="s">
        <v>120</v>
      </c>
      <c r="J17" s="273">
        <f>'Volume adjustments'!J92</f>
        <v>5825599.3164300323</v>
      </c>
      <c r="K17" s="273">
        <f>'Volume adjustments'!K92</f>
        <v>270877.78037019382</v>
      </c>
      <c r="L17" s="273">
        <f>'Volume adjustments'!L92</f>
        <v>2201312.3060182091</v>
      </c>
      <c r="M17" s="273">
        <f>'Volume adjustments'!M92</f>
        <v>82052.814575758006</v>
      </c>
      <c r="N17" s="273">
        <f>'Volume adjustments'!N92</f>
        <v>2811232.9105622685</v>
      </c>
      <c r="O17" s="273">
        <f>'Volume adjustments'!O92</f>
        <v>236827.76010355487</v>
      </c>
      <c r="P17" s="273">
        <f>'Volume adjustments'!P92</f>
        <v>3461956.8156637559</v>
      </c>
      <c r="Q17" s="273">
        <f>'Volume adjustments'!Q92</f>
        <v>256175.35170091991</v>
      </c>
      <c r="R17" s="273">
        <f>'Volume adjustments'!R92</f>
        <v>1469.6393787208365</v>
      </c>
      <c r="S17" s="273">
        <f>'Volume adjustments'!S92</f>
        <v>30.742000000000001</v>
      </c>
      <c r="T17" s="273">
        <f>'Volume adjustments'!T92</f>
        <v>64638.113999999994</v>
      </c>
      <c r="U17" s="273">
        <f>'Volume adjustments'!U92</f>
        <v>0</v>
      </c>
      <c r="V17" s="273">
        <f>'Volume adjustments'!V92</f>
        <v>1549.241</v>
      </c>
      <c r="W17" s="273">
        <f>'Volume adjustments'!W92</f>
        <v>0</v>
      </c>
      <c r="X17" s="273">
        <f>'Volume adjustments'!X92</f>
        <v>1068847.425</v>
      </c>
      <c r="Y17" s="273">
        <f>'Volume adjustments'!Y92</f>
        <v>0</v>
      </c>
    </row>
    <row r="18" spans="5:27" x14ac:dyDescent="0.25"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Y18" s="253"/>
    </row>
    <row r="19" spans="5:27" x14ac:dyDescent="0.25">
      <c r="E19" s="86" t="s">
        <v>732</v>
      </c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</row>
    <row r="20" spans="5:27" x14ac:dyDescent="0.25">
      <c r="E20" s="82" t="s">
        <v>731</v>
      </c>
      <c r="J20" s="253"/>
      <c r="K20" s="253"/>
      <c r="L20" s="253"/>
      <c r="M20" s="253"/>
      <c r="N20" s="253"/>
      <c r="O20" s="253"/>
      <c r="P20" s="253"/>
      <c r="Q20" s="253"/>
      <c r="R20" s="253"/>
      <c r="S20" s="253"/>
      <c r="T20" s="253"/>
      <c r="U20" s="253"/>
      <c r="V20" s="253"/>
      <c r="W20" s="253"/>
      <c r="X20" s="253"/>
      <c r="Y20" s="253"/>
    </row>
    <row r="21" spans="5:27" x14ac:dyDescent="0.25">
      <c r="E21" s="86"/>
      <c r="F21" s="91" t="s">
        <v>124</v>
      </c>
      <c r="G21" s="91" t="s">
        <v>610</v>
      </c>
      <c r="H21" s="141"/>
      <c r="I21" s="91"/>
      <c r="J21" s="273">
        <f>'Inputs by customer type'!J56</f>
        <v>377.70000000000005</v>
      </c>
      <c r="K21" s="273">
        <f>'Inputs by customer type'!K56</f>
        <v>0</v>
      </c>
      <c r="L21" s="273">
        <f>'Inputs by customer type'!L56</f>
        <v>508.75</v>
      </c>
      <c r="M21" s="273">
        <f>'Inputs by customer type'!M56</f>
        <v>0</v>
      </c>
      <c r="N21" s="273">
        <f>'Inputs by customer type'!N56</f>
        <v>2380</v>
      </c>
      <c r="O21" s="273">
        <f>'Inputs by customer type'!O56</f>
        <v>840</v>
      </c>
      <c r="P21" s="273">
        <f>'Inputs by customer type'!P56</f>
        <v>0</v>
      </c>
      <c r="Q21" s="239"/>
      <c r="R21" s="273">
        <f>'Inputs by customer type'!R56</f>
        <v>0</v>
      </c>
      <c r="S21" s="273">
        <f>'Inputs by customer type'!S56</f>
        <v>0</v>
      </c>
      <c r="T21" s="273">
        <f>'Inputs by customer type'!T56</f>
        <v>0</v>
      </c>
      <c r="U21" s="273">
        <f>'Inputs by customer type'!U56</f>
        <v>0</v>
      </c>
      <c r="V21" s="273">
        <f>'Inputs by customer type'!V56</f>
        <v>0</v>
      </c>
      <c r="W21" s="273">
        <f>'Inputs by customer type'!W56</f>
        <v>0</v>
      </c>
      <c r="X21" s="273">
        <f>'Inputs by customer type'!X56</f>
        <v>0</v>
      </c>
      <c r="Y21" s="273">
        <f>'Inputs by customer type'!Y56</f>
        <v>0</v>
      </c>
    </row>
    <row r="22" spans="5:27" x14ac:dyDescent="0.25">
      <c r="E22" s="86"/>
      <c r="F22" s="295" t="s">
        <v>123</v>
      </c>
      <c r="G22" s="295" t="s">
        <v>610</v>
      </c>
      <c r="H22" s="385"/>
      <c r="J22" s="274">
        <f>'Inputs by customer type'!J57</f>
        <v>0</v>
      </c>
      <c r="K22" s="274">
        <f>'Inputs by customer type'!K57</f>
        <v>0</v>
      </c>
      <c r="L22" s="274">
        <f>'Inputs by customer type'!L57</f>
        <v>0</v>
      </c>
      <c r="M22" s="274">
        <f>'Inputs by customer type'!M57</f>
        <v>0</v>
      </c>
      <c r="N22" s="274">
        <f>'Inputs by customer type'!N57</f>
        <v>0</v>
      </c>
      <c r="O22" s="274">
        <f>'Inputs by customer type'!O57</f>
        <v>0</v>
      </c>
      <c r="P22" s="274">
        <f>'Inputs by customer type'!P57</f>
        <v>12718.10554</v>
      </c>
      <c r="Q22" s="280"/>
      <c r="R22" s="274">
        <f>'Inputs by customer type'!R57</f>
        <v>0</v>
      </c>
      <c r="S22" s="274">
        <f>'Inputs by customer type'!S57</f>
        <v>0</v>
      </c>
      <c r="T22" s="274">
        <f>'Inputs by customer type'!T57</f>
        <v>0</v>
      </c>
      <c r="U22" s="274">
        <f>'Inputs by customer type'!U57</f>
        <v>0</v>
      </c>
      <c r="V22" s="274">
        <f>'Inputs by customer type'!V57</f>
        <v>0</v>
      </c>
      <c r="W22" s="274">
        <f>'Inputs by customer type'!W57</f>
        <v>0</v>
      </c>
      <c r="X22" s="274">
        <f>'Inputs by customer type'!X57</f>
        <v>9287</v>
      </c>
      <c r="Y22" s="274">
        <f>'Inputs by customer type'!Y57</f>
        <v>9287</v>
      </c>
    </row>
    <row r="23" spans="5:27" x14ac:dyDescent="0.25">
      <c r="E23" s="86"/>
      <c r="F23" s="93" t="s">
        <v>453</v>
      </c>
      <c r="G23" s="93" t="s">
        <v>328</v>
      </c>
      <c r="H23" s="93"/>
      <c r="I23" s="93"/>
      <c r="J23" s="437"/>
      <c r="K23" s="437"/>
      <c r="L23" s="437"/>
      <c r="M23" s="437"/>
      <c r="N23" s="437"/>
      <c r="O23" s="437"/>
      <c r="P23" s="437"/>
      <c r="Q23" s="436">
        <f>'Inputs by customer type'!Q59</f>
        <v>120.51</v>
      </c>
      <c r="R23" s="437"/>
      <c r="S23" s="437"/>
      <c r="T23" s="437"/>
      <c r="U23" s="437"/>
      <c r="V23" s="437"/>
      <c r="W23" s="437"/>
      <c r="X23" s="437"/>
      <c r="Y23" s="437"/>
    </row>
    <row r="24" spans="5:27" x14ac:dyDescent="0.25"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</row>
    <row r="25" spans="5:27" x14ac:dyDescent="0.25">
      <c r="E25" s="86" t="s">
        <v>733</v>
      </c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Y25" s="253"/>
    </row>
    <row r="26" spans="5:27" x14ac:dyDescent="0.25">
      <c r="E26" s="82" t="s">
        <v>737</v>
      </c>
      <c r="I26" s="295" t="s">
        <v>431</v>
      </c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Y26" s="253"/>
      <c r="AA26" s="295" t="s">
        <v>1123</v>
      </c>
    </row>
    <row r="27" spans="5:27" x14ac:dyDescent="0.25">
      <c r="F27" s="91" t="s">
        <v>124</v>
      </c>
      <c r="G27" s="91" t="s">
        <v>107</v>
      </c>
      <c r="H27" s="74"/>
      <c r="I27" s="91"/>
      <c r="J27" s="268">
        <f t="shared" ref="J27:Y28" si="0">J21 * J$16</f>
        <v>717986840.81224871</v>
      </c>
      <c r="K27" s="268">
        <f t="shared" si="0"/>
        <v>0</v>
      </c>
      <c r="L27" s="268">
        <f t="shared" si="0"/>
        <v>64234857.41149459</v>
      </c>
      <c r="M27" s="268">
        <f t="shared" si="0"/>
        <v>0</v>
      </c>
      <c r="N27" s="268">
        <f t="shared" si="0"/>
        <v>25438226.548949085</v>
      </c>
      <c r="O27" s="268">
        <f t="shared" si="0"/>
        <v>198195.47611202189</v>
      </c>
      <c r="P27" s="268">
        <f t="shared" si="0"/>
        <v>0</v>
      </c>
      <c r="Q27" s="268">
        <f t="shared" si="0"/>
        <v>0</v>
      </c>
      <c r="R27" s="268">
        <f t="shared" si="0"/>
        <v>0</v>
      </c>
      <c r="S27" s="268">
        <f t="shared" si="0"/>
        <v>0</v>
      </c>
      <c r="T27" s="268">
        <f t="shared" si="0"/>
        <v>0</v>
      </c>
      <c r="U27" s="268">
        <f t="shared" si="0"/>
        <v>0</v>
      </c>
      <c r="V27" s="268">
        <f t="shared" si="0"/>
        <v>0</v>
      </c>
      <c r="W27" s="268">
        <f t="shared" si="0"/>
        <v>0</v>
      </c>
      <c r="X27" s="268">
        <f t="shared" si="0"/>
        <v>0</v>
      </c>
      <c r="Y27" s="268">
        <f t="shared" si="0"/>
        <v>0</v>
      </c>
    </row>
    <row r="28" spans="5:27" x14ac:dyDescent="0.25">
      <c r="F28" s="295" t="s">
        <v>123</v>
      </c>
      <c r="G28" s="295" t="s">
        <v>107</v>
      </c>
      <c r="H28" s="90"/>
      <c r="J28" s="276">
        <f t="shared" si="0"/>
        <v>0</v>
      </c>
      <c r="K28" s="276">
        <f t="shared" si="0"/>
        <v>0</v>
      </c>
      <c r="L28" s="276">
        <f t="shared" si="0"/>
        <v>0</v>
      </c>
      <c r="M28" s="276">
        <f t="shared" si="0"/>
        <v>0</v>
      </c>
      <c r="N28" s="276">
        <f t="shared" si="0"/>
        <v>0</v>
      </c>
      <c r="O28" s="276">
        <f t="shared" si="0"/>
        <v>0</v>
      </c>
      <c r="P28" s="276">
        <f t="shared" si="0"/>
        <v>16272152.117758732</v>
      </c>
      <c r="Q28" s="276">
        <f t="shared" si="0"/>
        <v>0</v>
      </c>
      <c r="R28" s="276">
        <f t="shared" si="0"/>
        <v>0</v>
      </c>
      <c r="S28" s="276">
        <f t="shared" si="0"/>
        <v>0</v>
      </c>
      <c r="T28" s="276">
        <f t="shared" si="0"/>
        <v>0</v>
      </c>
      <c r="U28" s="276">
        <f t="shared" si="0"/>
        <v>0</v>
      </c>
      <c r="V28" s="276">
        <f t="shared" si="0"/>
        <v>0</v>
      </c>
      <c r="W28" s="276">
        <f t="shared" si="0"/>
        <v>0</v>
      </c>
      <c r="X28" s="276">
        <f t="shared" si="0"/>
        <v>2368185</v>
      </c>
      <c r="Y28" s="276">
        <f t="shared" si="0"/>
        <v>0</v>
      </c>
    </row>
    <row r="29" spans="5:27" x14ac:dyDescent="0.25">
      <c r="F29" s="93" t="s">
        <v>453</v>
      </c>
      <c r="G29" s="93" t="s">
        <v>107</v>
      </c>
      <c r="H29" s="187"/>
      <c r="I29" s="93"/>
      <c r="J29" s="437"/>
      <c r="K29" s="437"/>
      <c r="L29" s="437"/>
      <c r="M29" s="437"/>
      <c r="N29" s="437"/>
      <c r="O29" s="437"/>
      <c r="P29" s="437"/>
      <c r="Q29" s="271">
        <f t="shared" ref="Q29" si="1">Q23 * Q$17</f>
        <v>30871691.633477859</v>
      </c>
      <c r="R29" s="437"/>
      <c r="S29" s="437"/>
      <c r="T29" s="437"/>
      <c r="U29" s="437"/>
      <c r="V29" s="437"/>
      <c r="W29" s="437"/>
      <c r="X29" s="437"/>
      <c r="Y29" s="437"/>
    </row>
    <row r="30" spans="5:27" x14ac:dyDescent="0.25">
      <c r="J30" s="253"/>
      <c r="K30" s="253"/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</row>
    <row r="31" spans="5:27" x14ac:dyDescent="0.25">
      <c r="E31" s="86" t="s">
        <v>867</v>
      </c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</row>
    <row r="32" spans="5:27" x14ac:dyDescent="0.25">
      <c r="E32" s="82" t="s">
        <v>736</v>
      </c>
      <c r="H32" s="41" t="s">
        <v>272</v>
      </c>
      <c r="J32" s="253"/>
      <c r="K32" s="253"/>
      <c r="L32" s="253"/>
      <c r="M32" s="253"/>
      <c r="N32" s="253"/>
      <c r="O32" s="253"/>
      <c r="P32" s="253"/>
      <c r="Q32" s="253"/>
      <c r="R32" s="253"/>
      <c r="S32" s="253"/>
      <c r="T32" s="253"/>
      <c r="U32" s="253"/>
      <c r="V32" s="253"/>
      <c r="W32" s="253"/>
      <c r="X32" s="253"/>
      <c r="Y32" s="253"/>
    </row>
    <row r="33" spans="2:43" x14ac:dyDescent="0.25">
      <c r="F33" s="91" t="s">
        <v>734</v>
      </c>
      <c r="G33" s="91" t="s">
        <v>107</v>
      </c>
      <c r="H33" s="255">
        <f>SUM(J33:Y33)</f>
        <v>838729811.88228226</v>
      </c>
      <c r="I33" s="91"/>
      <c r="J33" s="278">
        <f t="shared" ref="J33:Y33" si="2">J27 +J29</f>
        <v>717986840.81224871</v>
      </c>
      <c r="K33" s="278">
        <f t="shared" si="2"/>
        <v>0</v>
      </c>
      <c r="L33" s="278">
        <f t="shared" si="2"/>
        <v>64234857.41149459</v>
      </c>
      <c r="M33" s="278">
        <f t="shared" si="2"/>
        <v>0</v>
      </c>
      <c r="N33" s="278">
        <f t="shared" si="2"/>
        <v>25438226.548949085</v>
      </c>
      <c r="O33" s="278">
        <f t="shared" si="2"/>
        <v>198195.47611202189</v>
      </c>
      <c r="P33" s="278">
        <f t="shared" si="2"/>
        <v>0</v>
      </c>
      <c r="Q33" s="278">
        <f t="shared" si="2"/>
        <v>30871691.633477859</v>
      </c>
      <c r="R33" s="278">
        <f t="shared" si="2"/>
        <v>0</v>
      </c>
      <c r="S33" s="278">
        <f t="shared" si="2"/>
        <v>0</v>
      </c>
      <c r="T33" s="278">
        <f t="shared" si="2"/>
        <v>0</v>
      </c>
      <c r="U33" s="278">
        <f t="shared" si="2"/>
        <v>0</v>
      </c>
      <c r="V33" s="278">
        <f t="shared" si="2"/>
        <v>0</v>
      </c>
      <c r="W33" s="278">
        <f t="shared" si="2"/>
        <v>0</v>
      </c>
      <c r="X33" s="278">
        <f t="shared" si="2"/>
        <v>0</v>
      </c>
      <c r="Y33" s="278">
        <f t="shared" si="2"/>
        <v>0</v>
      </c>
    </row>
    <row r="34" spans="2:43" x14ac:dyDescent="0.25">
      <c r="F34" s="93" t="s">
        <v>735</v>
      </c>
      <c r="G34" s="93" t="s">
        <v>107</v>
      </c>
      <c r="H34" s="259">
        <f>SUM(J34:Y34)</f>
        <v>18640337.117758732</v>
      </c>
      <c r="I34" s="93"/>
      <c r="J34" s="281">
        <f t="shared" ref="J34:Y34" si="3">J28</f>
        <v>0</v>
      </c>
      <c r="K34" s="281">
        <f t="shared" si="3"/>
        <v>0</v>
      </c>
      <c r="L34" s="281">
        <f t="shared" si="3"/>
        <v>0</v>
      </c>
      <c r="M34" s="281">
        <f t="shared" si="3"/>
        <v>0</v>
      </c>
      <c r="N34" s="281">
        <f t="shared" si="3"/>
        <v>0</v>
      </c>
      <c r="O34" s="281">
        <f t="shared" si="3"/>
        <v>0</v>
      </c>
      <c r="P34" s="281">
        <f t="shared" si="3"/>
        <v>16272152.117758732</v>
      </c>
      <c r="Q34" s="281">
        <f t="shared" si="3"/>
        <v>0</v>
      </c>
      <c r="R34" s="281">
        <f t="shared" si="3"/>
        <v>0</v>
      </c>
      <c r="S34" s="281">
        <f t="shared" si="3"/>
        <v>0</v>
      </c>
      <c r="T34" s="281">
        <f t="shared" si="3"/>
        <v>0</v>
      </c>
      <c r="U34" s="281">
        <f t="shared" si="3"/>
        <v>0</v>
      </c>
      <c r="V34" s="281">
        <f t="shared" si="3"/>
        <v>0</v>
      </c>
      <c r="W34" s="281">
        <f t="shared" si="3"/>
        <v>0</v>
      </c>
      <c r="X34" s="281">
        <f t="shared" si="3"/>
        <v>2368185</v>
      </c>
      <c r="Y34" s="281">
        <f t="shared" si="3"/>
        <v>0</v>
      </c>
    </row>
    <row r="36" spans="2:43" x14ac:dyDescent="0.25">
      <c r="B36" s="95" t="s">
        <v>109</v>
      </c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Q36" s="95"/>
    </row>
    <row r="38" spans="2:43" x14ac:dyDescent="0.25">
      <c r="E38" s="295" t="s">
        <v>516</v>
      </c>
      <c r="G38" s="122" t="s">
        <v>692</v>
      </c>
      <c r="H38" s="152">
        <f t="array" ref="H38">SUM(IF(ISERROR(H16:Y35), 1))</f>
        <v>0</v>
      </c>
    </row>
    <row r="40" spans="2:43" x14ac:dyDescent="0.25">
      <c r="B40" s="95" t="s">
        <v>110</v>
      </c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Q40" s="95"/>
    </row>
  </sheetData>
  <sheetProtection sheet="1" objects="1" formatCells="0" formatColumns="0" formatRows="0" sort="0" autoFilter="0"/>
  <conditionalFormatting sqref="H38">
    <cfRule type="cellIs" dxfId="134" priority="10" operator="greaterThan">
      <formula>0</formula>
    </cfRule>
  </conditionalFormatting>
  <conditionalFormatting sqref="A4:I4 Z4:XFD4">
    <cfRule type="expression" dxfId="133" priority="9">
      <formula>LEFT($A$4,1) &lt;&gt; "0"</formula>
    </cfRule>
  </conditionalFormatting>
  <conditionalFormatting sqref="N4:P4">
    <cfRule type="expression" dxfId="132" priority="8">
      <formula>LEFT($A$4,1) &lt;&gt; "0"</formula>
    </cfRule>
  </conditionalFormatting>
  <conditionalFormatting sqref="L4:M4">
    <cfRule type="expression" dxfId="131" priority="7">
      <formula>LEFT($A$4,1) &lt;&gt; "0"</formula>
    </cfRule>
  </conditionalFormatting>
  <conditionalFormatting sqref="J4:K4">
    <cfRule type="expression" dxfId="130" priority="6">
      <formula>LEFT($A$4,1) &lt;&gt; "0"</formula>
    </cfRule>
  </conditionalFormatting>
  <conditionalFormatting sqref="Q4">
    <cfRule type="expression" dxfId="129" priority="5">
      <formula>LEFT($A$4,1) &lt;&gt; "0"</formula>
    </cfRule>
  </conditionalFormatting>
  <conditionalFormatting sqref="R4:S4">
    <cfRule type="expression" dxfId="128" priority="4">
      <formula>LEFT($A$4,1) &lt;&gt; "0"</formula>
    </cfRule>
  </conditionalFormatting>
  <conditionalFormatting sqref="T4:U4">
    <cfRule type="expression" dxfId="127" priority="3">
      <formula>LEFT($A$4,1) &lt;&gt; "0"</formula>
    </cfRule>
  </conditionalFormatting>
  <conditionalFormatting sqref="V4:W4">
    <cfRule type="expression" dxfId="126" priority="2">
      <formula>LEFT($A$4,1) &lt;&gt; "0"</formula>
    </cfRule>
  </conditionalFormatting>
  <conditionalFormatting sqref="X4:Y4">
    <cfRule type="expression" dxfId="125" priority="1">
      <formula>LEFT($A$4,1) &lt;&gt; "0"</formula>
    </cfRule>
  </conditionalFormatting>
  <dataValidations count="2">
    <dataValidation type="textLength" operator="equal" allowBlank="1" showInputMessage="1" showErrorMessage="1" error="This cell is not in use." sqref="Y23 Y29" xr:uid="{00000000-0002-0000-1700-000000000000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16:Y17 J21:Y23" xr:uid="{00000000-0002-0000-1700-000001000000}">
      <formula1>0</formula1>
    </dataValidation>
  </dataValidations>
  <hyperlinks>
    <hyperlink ref="B5:F5" location="'Model map'!A1" display="Click here to return to model map" xr:uid="{00000000-0004-0000-17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7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1" width="17" style="295" customWidth="1"/>
    <col min="22" max="22" width="2.42578125" style="295" customWidth="1"/>
    <col min="23" max="23" width="50.5703125" style="295" customWidth="1"/>
    <col min="24" max="24" width="2.42578125" style="295" customWidth="1"/>
    <col min="25" max="42" width="17" style="295" hidden="1" customWidth="1"/>
    <col min="43" max="43" width="2.42578125" style="295" hidden="1" customWidth="1"/>
    <col min="44" max="44" width="18.42578125" style="295" hidden="1" customWidth="1"/>
    <col min="45" max="45" width="4.42578125" style="295" hidden="1" customWidth="1"/>
    <col min="46" max="266" width="24.5703125" style="295" hidden="1" customWidth="1"/>
    <col min="267" max="16384" width="8.85546875" style="295" hidden="1"/>
  </cols>
  <sheetData>
    <row r="1" spans="1:23" s="10" customFormat="1" x14ac:dyDescent="0.25">
      <c r="A1" s="10" t="str">
        <f ca="1">MID(CELL("filename",A1),FIND("]",CELL("filename",A1))+1,255)</f>
        <v>Unit costs</v>
      </c>
    </row>
    <row r="2" spans="1:23" s="10" customFormat="1" x14ac:dyDescent="0.25">
      <c r="A2" s="10" t="str">
        <f>Cover!D21&amp;" - "&amp;Cover!D23</f>
        <v>SP Distribution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3" x14ac:dyDescent="0.25">
      <c r="A4" s="371" t="str">
        <f>H131 &amp; IF(H131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72" t="s">
        <v>552</v>
      </c>
      <c r="C5" s="373"/>
      <c r="D5" s="373"/>
      <c r="E5" s="373"/>
      <c r="F5" s="373"/>
      <c r="G5" s="1" t="s">
        <v>91</v>
      </c>
      <c r="H5" s="2" t="s">
        <v>92</v>
      </c>
      <c r="I5" s="4"/>
      <c r="J5" s="8" t="s">
        <v>324</v>
      </c>
      <c r="K5" s="388" t="s">
        <v>43</v>
      </c>
      <c r="L5" s="388" t="s">
        <v>44</v>
      </c>
      <c r="M5" s="388" t="s">
        <v>45</v>
      </c>
      <c r="N5" s="388" t="s">
        <v>46</v>
      </c>
      <c r="O5" s="388" t="s">
        <v>47</v>
      </c>
      <c r="P5" s="388" t="s">
        <v>51</v>
      </c>
      <c r="Q5" s="388" t="s">
        <v>48</v>
      </c>
      <c r="R5" s="388" t="s">
        <v>49</v>
      </c>
      <c r="S5" s="388" t="s">
        <v>50</v>
      </c>
      <c r="T5" s="388" t="s">
        <v>124</v>
      </c>
      <c r="U5" s="388" t="s">
        <v>123</v>
      </c>
      <c r="W5" s="373" t="s">
        <v>93</v>
      </c>
    </row>
    <row r="6" spans="1:23" x14ac:dyDescent="0.25"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480</v>
      </c>
      <c r="D9" s="82"/>
    </row>
    <row r="10" spans="1:23" x14ac:dyDescent="0.25">
      <c r="C10" s="82" t="s">
        <v>1013</v>
      </c>
      <c r="D10" s="82"/>
    </row>
    <row r="11" spans="1:23" x14ac:dyDescent="0.25">
      <c r="C11" s="82"/>
      <c r="D11" s="82" t="s">
        <v>790</v>
      </c>
    </row>
    <row r="12" spans="1:23" x14ac:dyDescent="0.25">
      <c r="C12" s="82"/>
      <c r="D12" s="82" t="s">
        <v>430</v>
      </c>
    </row>
    <row r="13" spans="1:23" x14ac:dyDescent="0.25">
      <c r="C13" s="82" t="s">
        <v>826</v>
      </c>
      <c r="D13" s="82"/>
    </row>
    <row r="15" spans="1:23" x14ac:dyDescent="0.25">
      <c r="B15" s="95" t="s">
        <v>1017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</row>
    <row r="16" spans="1:23" x14ac:dyDescent="0.2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3:25" x14ac:dyDescent="0.25">
      <c r="C17" s="82" t="s">
        <v>1018</v>
      </c>
    </row>
    <row r="18" spans="3:25" x14ac:dyDescent="0.2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3:25" x14ac:dyDescent="0.25">
      <c r="C19" s="7" t="str">
        <f ca="1">INDEX('Version control'!$H$34:$H$58,MATCH($A$1,'Version control'!$F$34:$F$58,0),1)&amp;"-A: Financial data"</f>
        <v>Section 511-A: Financial data</v>
      </c>
      <c r="D19" s="7"/>
      <c r="E19" s="7"/>
      <c r="F19" s="7"/>
      <c r="G19" s="7"/>
      <c r="H19" s="228"/>
      <c r="I19" s="228"/>
      <c r="J19" s="228"/>
      <c r="K19" s="228"/>
      <c r="L19" s="228"/>
      <c r="M19" s="228"/>
      <c r="N19" s="228"/>
      <c r="O19" s="228"/>
      <c r="P19" s="228"/>
      <c r="Q19" s="228"/>
      <c r="R19" s="228"/>
      <c r="S19" s="228"/>
      <c r="T19" s="228"/>
      <c r="U19" s="228"/>
      <c r="V19" s="7"/>
      <c r="W19" s="228"/>
    </row>
    <row r="20" spans="3:25" x14ac:dyDescent="0.25">
      <c r="H20" s="88"/>
    </row>
    <row r="21" spans="3:25" x14ac:dyDescent="0.25">
      <c r="D21" s="82" t="s">
        <v>432</v>
      </c>
      <c r="I21" s="88" t="s">
        <v>431</v>
      </c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W21" s="88" t="s">
        <v>804</v>
      </c>
    </row>
    <row r="22" spans="3:25" x14ac:dyDescent="0.25">
      <c r="D22" s="82"/>
    </row>
    <row r="23" spans="3:25" x14ac:dyDescent="0.25">
      <c r="D23" s="86"/>
      <c r="E23" s="14" t="s">
        <v>719</v>
      </c>
      <c r="G23" s="14" t="s">
        <v>94</v>
      </c>
      <c r="H23" s="389">
        <f>'General inputs'!H94</f>
        <v>3.6900000000000002E-2</v>
      </c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</row>
    <row r="24" spans="3:25" x14ac:dyDescent="0.25">
      <c r="D24" s="86"/>
      <c r="E24" s="14" t="s">
        <v>95</v>
      </c>
      <c r="G24" s="14" t="s">
        <v>96</v>
      </c>
      <c r="H24" s="405">
        <f>'Fixed inputs'!H35</f>
        <v>40</v>
      </c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W24" s="88"/>
    </row>
    <row r="25" spans="3:25" x14ac:dyDescent="0.25">
      <c r="E25" s="14" t="s">
        <v>97</v>
      </c>
      <c r="G25" s="14" t="s">
        <v>94</v>
      </c>
      <c r="H25" s="406">
        <f>H23 / (1 - (1 + H23) ^ -H24)</f>
        <v>4.8216791977211342E-2</v>
      </c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W25" s="88"/>
    </row>
    <row r="26" spans="3:25" x14ac:dyDescent="0.2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3:25" x14ac:dyDescent="0.25">
      <c r="C27" s="7" t="str">
        <f ca="1">INDEX('Version control'!$H$34:$H$58,MATCH($A$1,'Version control'!$F$34:$F$58,0),1)&amp;"-B: Diversity and loss adjustment factors"</f>
        <v>Section 511-B: Diversity and loss adjustment factors</v>
      </c>
      <c r="D27" s="7"/>
      <c r="E27" s="7"/>
      <c r="F27" s="7"/>
      <c r="G27" s="7"/>
      <c r="H27" s="228"/>
      <c r="I27" s="228"/>
      <c r="J27" s="228"/>
      <c r="K27" s="228"/>
      <c r="L27" s="228"/>
      <c r="M27" s="228"/>
      <c r="N27" s="228"/>
      <c r="O27" s="228"/>
      <c r="P27" s="228"/>
      <c r="Q27" s="228"/>
      <c r="R27" s="228"/>
      <c r="S27" s="228"/>
      <c r="T27" s="228"/>
      <c r="U27" s="228"/>
      <c r="V27" s="7"/>
      <c r="W27" s="228"/>
    </row>
    <row r="28" spans="3:25" x14ac:dyDescent="0.25">
      <c r="E28" s="96"/>
      <c r="F28" s="87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</row>
    <row r="29" spans="3:25" x14ac:dyDescent="0.25">
      <c r="D29" s="82" t="s">
        <v>436</v>
      </c>
      <c r="F29" s="87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</row>
    <row r="30" spans="3:25" x14ac:dyDescent="0.25">
      <c r="D30" s="82"/>
      <c r="F30" s="87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</row>
    <row r="31" spans="3:25" x14ac:dyDescent="0.25">
      <c r="E31" s="295" t="s">
        <v>645</v>
      </c>
      <c r="F31" s="391"/>
      <c r="G31" s="14" t="s">
        <v>99</v>
      </c>
      <c r="H31" s="88"/>
      <c r="I31" s="88"/>
      <c r="J31" s="280"/>
      <c r="K31" s="274">
        <f>'Load &amp; loss characteristics'!K29</f>
        <v>1</v>
      </c>
      <c r="L31" s="274">
        <f>'Load &amp; loss characteristics'!L29</f>
        <v>1</v>
      </c>
      <c r="M31" s="274">
        <f>'Load &amp; loss characteristics'!M29</f>
        <v>1</v>
      </c>
      <c r="N31" s="274">
        <f>'Load &amp; loss characteristics'!N29</f>
        <v>1.004</v>
      </c>
      <c r="O31" s="274">
        <f>'Load &amp; loss characteristics'!O29</f>
        <v>1.0129999999999999</v>
      </c>
      <c r="P31" s="274">
        <f>'Load &amp; loss characteristics'!P29</f>
        <v>1.0129999999999999</v>
      </c>
      <c r="Q31" s="274">
        <f>'Load &amp; loss characteristics'!Q29</f>
        <v>1.026</v>
      </c>
      <c r="R31" s="274">
        <f>'Load &amp; loss characteristics'!R29</f>
        <v>1.044</v>
      </c>
      <c r="S31" s="274">
        <f>'Load &amp; loss characteristics'!S29</f>
        <v>1.0980000000000001</v>
      </c>
      <c r="T31" s="280"/>
      <c r="U31" s="280"/>
    </row>
    <row r="32" spans="3:25" x14ac:dyDescent="0.25">
      <c r="E32" s="295" t="s">
        <v>152</v>
      </c>
      <c r="F32" s="407"/>
      <c r="G32" s="14" t="s">
        <v>94</v>
      </c>
      <c r="H32" s="88"/>
      <c r="I32" s="88"/>
      <c r="J32" s="408"/>
      <c r="K32" s="409">
        <f>'Load &amp; loss characteristics'!$K$23</f>
        <v>0.1160000000000001</v>
      </c>
      <c r="L32" s="410"/>
      <c r="M32" s="410"/>
      <c r="N32" s="410"/>
      <c r="O32" s="410"/>
      <c r="P32" s="408"/>
      <c r="Q32" s="410"/>
      <c r="R32" s="410"/>
      <c r="S32" s="410"/>
      <c r="T32" s="408"/>
      <c r="U32" s="408"/>
      <c r="Y32" s="3"/>
    </row>
    <row r="33" spans="3:23" x14ac:dyDescent="0.25">
      <c r="E33" s="295" t="s">
        <v>151</v>
      </c>
      <c r="F33" s="391"/>
      <c r="G33" s="14" t="s">
        <v>94</v>
      </c>
      <c r="H33" s="88"/>
      <c r="I33" s="88"/>
      <c r="J33" s="375"/>
      <c r="K33" s="406">
        <f xml:space="preserve"> 1 / (1 + K32)</f>
        <v>0.8960573476702508</v>
      </c>
      <c r="L33" s="410"/>
      <c r="M33" s="410"/>
      <c r="N33" s="410"/>
      <c r="O33" s="410"/>
      <c r="P33" s="410"/>
      <c r="Q33" s="410"/>
      <c r="R33" s="410"/>
      <c r="S33" s="410"/>
      <c r="T33" s="408"/>
      <c r="U33" s="408"/>
      <c r="W33" s="88"/>
    </row>
    <row r="34" spans="3:23" x14ac:dyDescent="0.25">
      <c r="F34" s="391"/>
      <c r="G34" s="14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3:23" x14ac:dyDescent="0.25">
      <c r="C35" s="7" t="str">
        <f ca="1">INDEX('Version control'!$H$34:$H$58,MATCH($A$1,'Version control'!$F$34:$F$58,0),1)&amp;"-C: Maximum demand"</f>
        <v>Section 511-C: Maximum demand</v>
      </c>
      <c r="D35" s="7"/>
      <c r="E35" s="7"/>
      <c r="F35" s="7"/>
      <c r="G35" s="7"/>
      <c r="H35" s="228"/>
      <c r="I35" s="228"/>
      <c r="J35" s="228"/>
      <c r="K35" s="228"/>
      <c r="L35" s="228"/>
      <c r="M35" s="228"/>
      <c r="N35" s="228"/>
      <c r="O35" s="228"/>
      <c r="P35" s="228"/>
      <c r="Q35" s="228"/>
      <c r="R35" s="228"/>
      <c r="S35" s="228"/>
      <c r="T35" s="228"/>
      <c r="U35" s="228"/>
      <c r="V35" s="7"/>
      <c r="W35" s="228"/>
    </row>
    <row r="36" spans="3:23" x14ac:dyDescent="0.25">
      <c r="E36" s="96"/>
      <c r="F36" s="87"/>
      <c r="H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</row>
    <row r="37" spans="3:23" x14ac:dyDescent="0.25">
      <c r="D37" s="82" t="s">
        <v>1019</v>
      </c>
      <c r="F37" s="87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25">
      <c r="D38" s="82"/>
      <c r="F38" s="87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W38" s="88"/>
    </row>
    <row r="39" spans="3:23" x14ac:dyDescent="0.25">
      <c r="D39" s="86"/>
      <c r="E39" s="295" t="s">
        <v>101</v>
      </c>
      <c r="F39" s="391"/>
      <c r="G39" s="14" t="s">
        <v>102</v>
      </c>
      <c r="H39" s="274">
        <f>'Fixed inputs'!H41</f>
        <v>500</v>
      </c>
      <c r="I39" s="88"/>
      <c r="J39" s="280"/>
      <c r="K39" s="280"/>
      <c r="L39" s="280"/>
      <c r="M39" s="280"/>
      <c r="N39" s="280"/>
      <c r="O39" s="280"/>
      <c r="P39" s="280"/>
      <c r="Q39" s="280"/>
      <c r="R39" s="280"/>
      <c r="S39" s="280"/>
      <c r="T39" s="280"/>
      <c r="U39" s="280"/>
      <c r="W39" s="88"/>
    </row>
    <row r="40" spans="3:23" x14ac:dyDescent="0.25">
      <c r="E40" s="295" t="s">
        <v>103</v>
      </c>
      <c r="F40" s="391"/>
      <c r="G40" s="14" t="s">
        <v>102</v>
      </c>
      <c r="H40" s="88"/>
      <c r="I40" s="88" t="s">
        <v>431</v>
      </c>
      <c r="J40" s="280"/>
      <c r="K40" s="411">
        <f t="shared" ref="K40:S40" si="0">$H$39 * $K$33 / K31</f>
        <v>448.0286738351254</v>
      </c>
      <c r="L40" s="411">
        <f t="shared" si="0"/>
        <v>448.0286738351254</v>
      </c>
      <c r="M40" s="411">
        <f t="shared" si="0"/>
        <v>448.0286738351254</v>
      </c>
      <c r="N40" s="411">
        <f t="shared" si="0"/>
        <v>446.24369903896951</v>
      </c>
      <c r="O40" s="411">
        <f t="shared" si="0"/>
        <v>442.27904623408239</v>
      </c>
      <c r="P40" s="411">
        <f t="shared" si="0"/>
        <v>442.27904623408239</v>
      </c>
      <c r="Q40" s="411">
        <f t="shared" si="0"/>
        <v>436.67512069700331</v>
      </c>
      <c r="R40" s="411">
        <f t="shared" si="0"/>
        <v>429.14623930567564</v>
      </c>
      <c r="S40" s="411">
        <f t="shared" si="0"/>
        <v>408.04068655293747</v>
      </c>
      <c r="T40" s="280"/>
      <c r="U40" s="280"/>
      <c r="W40" s="88" t="s">
        <v>827</v>
      </c>
    </row>
    <row r="41" spans="3:23" x14ac:dyDescent="0.25">
      <c r="F41" s="391"/>
      <c r="G41" s="14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3:23" x14ac:dyDescent="0.25">
      <c r="C42" s="7" t="str">
        <f ca="1">INDEX('Version control'!$H$34:$H$58,MATCH($A$1,'Version control'!$F$34:$F$58,0),1)&amp;"-D: Rerouting matrix"</f>
        <v>Section 511-D: Rerouting matrix</v>
      </c>
      <c r="D42" s="7"/>
      <c r="E42" s="7"/>
      <c r="F42" s="7"/>
      <c r="G42" s="7"/>
      <c r="H42" s="228"/>
      <c r="I42" s="228"/>
      <c r="J42" s="228"/>
      <c r="K42" s="228"/>
      <c r="L42" s="228"/>
      <c r="M42" s="228"/>
      <c r="N42" s="228"/>
      <c r="O42" s="228"/>
      <c r="P42" s="228"/>
      <c r="Q42" s="228"/>
      <c r="R42" s="228"/>
      <c r="S42" s="228"/>
      <c r="T42" s="228"/>
      <c r="U42" s="228"/>
      <c r="V42" s="7"/>
      <c r="W42" s="228"/>
    </row>
    <row r="43" spans="3:23" x14ac:dyDescent="0.25">
      <c r="E43" s="96"/>
      <c r="F43" s="87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25">
      <c r="D44" s="82" t="s">
        <v>517</v>
      </c>
      <c r="F44" s="87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W44" s="88"/>
    </row>
    <row r="45" spans="3:23" x14ac:dyDescent="0.25">
      <c r="D45" s="82"/>
      <c r="F45" s="87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W45" s="88"/>
    </row>
    <row r="46" spans="3:23" x14ac:dyDescent="0.25">
      <c r="D46" s="86"/>
      <c r="E46" s="14" t="s">
        <v>642</v>
      </c>
      <c r="G46" s="14" t="s">
        <v>94</v>
      </c>
      <c r="H46" s="88"/>
      <c r="I46" s="88"/>
      <c r="J46" s="410"/>
      <c r="K46" s="410"/>
      <c r="L46" s="410"/>
      <c r="M46" s="410"/>
      <c r="N46" s="410"/>
      <c r="O46" s="410"/>
      <c r="P46" s="409">
        <f>'Inputs by network level'!P20</f>
        <v>0</v>
      </c>
      <c r="Q46" s="410"/>
      <c r="R46" s="410"/>
      <c r="S46" s="410"/>
      <c r="T46" s="410"/>
      <c r="U46" s="410"/>
      <c r="W46" s="88"/>
    </row>
    <row r="47" spans="3:23" x14ac:dyDescent="0.25">
      <c r="E47" s="14" t="s">
        <v>104</v>
      </c>
      <c r="G47" s="14" t="s">
        <v>94</v>
      </c>
      <c r="H47" s="88"/>
      <c r="I47" s="88"/>
      <c r="J47" s="410"/>
      <c r="K47" s="410"/>
      <c r="L47" s="410"/>
      <c r="M47" s="406">
        <f>IF(M46 = "", 1 - $P$46, M46)</f>
        <v>1</v>
      </c>
      <c r="N47" s="406">
        <f>IF(N46 = "", 1 - $P$46, N46)</f>
        <v>1</v>
      </c>
      <c r="O47" s="406">
        <f>IF(O46 = "", 1 - $P$46, O46)</f>
        <v>1</v>
      </c>
      <c r="P47" s="406">
        <f>IF(P46 = "", 1 - $P$46, P46)</f>
        <v>0</v>
      </c>
      <c r="Q47" s="410"/>
      <c r="R47" s="410"/>
      <c r="S47" s="410"/>
      <c r="T47" s="410"/>
      <c r="U47" s="410"/>
      <c r="W47" s="88"/>
    </row>
    <row r="48" spans="3:23" x14ac:dyDescent="0.25">
      <c r="E48" s="14" t="s">
        <v>105</v>
      </c>
      <c r="G48" s="14" t="s">
        <v>102</v>
      </c>
      <c r="H48" s="88"/>
      <c r="I48" s="88"/>
      <c r="J48" s="280"/>
      <c r="K48" s="276">
        <f t="shared" ref="K48:S48" si="1">IF(K47 = "", K40, K47 * K40)</f>
        <v>448.0286738351254</v>
      </c>
      <c r="L48" s="276">
        <f t="shared" si="1"/>
        <v>448.0286738351254</v>
      </c>
      <c r="M48" s="276">
        <f t="shared" si="1"/>
        <v>448.0286738351254</v>
      </c>
      <c r="N48" s="276">
        <f t="shared" si="1"/>
        <v>446.24369903896951</v>
      </c>
      <c r="O48" s="276">
        <f t="shared" si="1"/>
        <v>442.27904623408239</v>
      </c>
      <c r="P48" s="276">
        <f t="shared" si="1"/>
        <v>0</v>
      </c>
      <c r="Q48" s="276">
        <f t="shared" si="1"/>
        <v>436.67512069700331</v>
      </c>
      <c r="R48" s="276">
        <f t="shared" si="1"/>
        <v>429.14623930567564</v>
      </c>
      <c r="S48" s="276">
        <f t="shared" si="1"/>
        <v>408.04068655293747</v>
      </c>
      <c r="T48" s="280"/>
      <c r="U48" s="280"/>
      <c r="W48" s="88"/>
    </row>
    <row r="49" spans="2:23" x14ac:dyDescent="0.25">
      <c r="E49" s="14"/>
      <c r="G49" s="14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2:23" x14ac:dyDescent="0.25">
      <c r="C50" s="7" t="str">
        <f ca="1">INDEX('Version control'!$H$34:$H$58,MATCH($A$1,'Version control'!$F$34:$F$58,0),1)&amp;"-E: Annuitised cost of assets"</f>
        <v>Section 511-E: Annuitised cost of assets</v>
      </c>
      <c r="D50" s="7"/>
      <c r="E50" s="7"/>
      <c r="F50" s="7"/>
      <c r="G50" s="7"/>
      <c r="H50" s="228"/>
      <c r="I50" s="228"/>
      <c r="J50" s="228"/>
      <c r="K50" s="228"/>
      <c r="L50" s="228"/>
      <c r="M50" s="228"/>
      <c r="N50" s="228"/>
      <c r="O50" s="228"/>
      <c r="P50" s="228"/>
      <c r="Q50" s="228"/>
      <c r="R50" s="228"/>
      <c r="S50" s="228"/>
      <c r="T50" s="228"/>
      <c r="U50" s="228"/>
      <c r="V50" s="7"/>
      <c r="W50" s="228"/>
    </row>
    <row r="51" spans="2:23" x14ac:dyDescent="0.25">
      <c r="E51" s="96"/>
      <c r="F51" s="87"/>
      <c r="H51" s="88"/>
      <c r="J51" s="88"/>
      <c r="K51" s="88"/>
      <c r="L51" s="4"/>
      <c r="M51" s="4"/>
      <c r="N51" s="4"/>
      <c r="O51" s="4"/>
      <c r="P51" s="4"/>
      <c r="Q51" s="4"/>
      <c r="R51" s="4"/>
      <c r="S51" s="4"/>
      <c r="T51" s="4"/>
      <c r="U51" s="412"/>
    </row>
    <row r="52" spans="2:23" x14ac:dyDescent="0.25">
      <c r="D52" s="82" t="s">
        <v>1020</v>
      </c>
      <c r="F52" s="87"/>
      <c r="H52" s="88"/>
      <c r="I52" s="88"/>
      <c r="J52" s="88"/>
      <c r="K52" s="88"/>
      <c r="L52" s="4"/>
      <c r="M52" s="4"/>
      <c r="N52" s="4"/>
      <c r="O52" s="4"/>
      <c r="P52" s="4"/>
      <c r="Q52" s="4"/>
      <c r="R52" s="4"/>
      <c r="S52" s="4"/>
      <c r="T52" s="4"/>
      <c r="U52" s="412"/>
    </row>
    <row r="53" spans="2:23" x14ac:dyDescent="0.25">
      <c r="D53" s="82"/>
      <c r="F53" s="87"/>
      <c r="H53" s="88"/>
      <c r="I53" s="88"/>
      <c r="J53" s="88"/>
      <c r="K53" s="88"/>
      <c r="L53" s="4"/>
      <c r="M53" s="4"/>
      <c r="N53" s="4"/>
      <c r="O53" s="4"/>
      <c r="P53" s="4"/>
      <c r="Q53" s="4"/>
      <c r="R53" s="4"/>
      <c r="S53" s="4"/>
      <c r="T53" s="4"/>
      <c r="U53" s="412"/>
    </row>
    <row r="54" spans="2:23" x14ac:dyDescent="0.25">
      <c r="E54" s="295" t="s">
        <v>106</v>
      </c>
      <c r="F54" s="407"/>
      <c r="G54" s="14" t="s">
        <v>107</v>
      </c>
      <c r="H54" s="88"/>
      <c r="I54" s="88"/>
      <c r="J54" s="280"/>
      <c r="K54" s="280"/>
      <c r="L54" s="274">
        <f>'Inputs by network level'!L36</f>
        <v>0</v>
      </c>
      <c r="M54" s="274">
        <f>'Inputs by network level'!M36</f>
        <v>0</v>
      </c>
      <c r="N54" s="274">
        <f>'Inputs by network level'!N36</f>
        <v>115483848.7018043</v>
      </c>
      <c r="O54" s="274">
        <f>'Inputs by network level'!O36</f>
        <v>29592148.796136998</v>
      </c>
      <c r="P54" s="274">
        <f>'Inputs by network level'!P36</f>
        <v>0</v>
      </c>
      <c r="Q54" s="274">
        <f>'Inputs by network level'!Q36</f>
        <v>127306253.13245735</v>
      </c>
      <c r="R54" s="274">
        <f>'Inputs by network level'!R36</f>
        <v>31995666.142905347</v>
      </c>
      <c r="S54" s="274">
        <f>'Inputs by network level'!S36</f>
        <v>53817722.025625169</v>
      </c>
      <c r="T54" s="280"/>
      <c r="U54" s="280"/>
      <c r="W54" s="88"/>
    </row>
    <row r="55" spans="2:23" x14ac:dyDescent="0.25">
      <c r="E55" s="295" t="s">
        <v>125</v>
      </c>
      <c r="F55" s="407"/>
      <c r="G55" s="14" t="s">
        <v>1021</v>
      </c>
      <c r="H55" s="88"/>
      <c r="I55" s="88"/>
      <c r="J55" s="280"/>
      <c r="K55" s="280"/>
      <c r="L55" s="276">
        <f t="shared" ref="L55:S55" si="2">IF(L48 = 0, 0, L54 / (L48 * thousand))</f>
        <v>0</v>
      </c>
      <c r="M55" s="276">
        <f t="shared" si="2"/>
        <v>0</v>
      </c>
      <c r="N55" s="276">
        <f t="shared" si="2"/>
        <v>258.79099010363694</v>
      </c>
      <c r="O55" s="276">
        <f t="shared" si="2"/>
        <v>66.908321902446488</v>
      </c>
      <c r="P55" s="276">
        <f t="shared" si="2"/>
        <v>0</v>
      </c>
      <c r="Q55" s="276">
        <f t="shared" si="2"/>
        <v>291.53539347342758</v>
      </c>
      <c r="R55" s="276">
        <f t="shared" si="2"/>
        <v>74.556557211527206</v>
      </c>
      <c r="S55" s="276">
        <f t="shared" si="2"/>
        <v>131.89302880619255</v>
      </c>
      <c r="T55" s="280"/>
      <c r="U55" s="280"/>
      <c r="W55" s="88"/>
    </row>
    <row r="56" spans="2:23" x14ac:dyDescent="0.25">
      <c r="E56" s="295" t="s">
        <v>126</v>
      </c>
      <c r="F56" s="407"/>
      <c r="G56" s="14" t="s">
        <v>108</v>
      </c>
      <c r="H56" s="88"/>
      <c r="I56" s="88" t="s">
        <v>431</v>
      </c>
      <c r="J56" s="280"/>
      <c r="K56" s="280"/>
      <c r="L56" s="276">
        <f t="shared" ref="L56:S56" si="3">L55 * $H$25</f>
        <v>0</v>
      </c>
      <c r="M56" s="276">
        <f t="shared" si="3"/>
        <v>0</v>
      </c>
      <c r="N56" s="276">
        <f t="shared" si="3"/>
        <v>12.478071335403621</v>
      </c>
      <c r="O56" s="276">
        <f t="shared" si="3"/>
        <v>3.2261046387145558</v>
      </c>
      <c r="P56" s="276">
        <f t="shared" si="3"/>
        <v>0</v>
      </c>
      <c r="Q56" s="276">
        <f t="shared" si="3"/>
        <v>14.056901421102715</v>
      </c>
      <c r="R56" s="276">
        <f t="shared" si="3"/>
        <v>3.5948780096052633</v>
      </c>
      <c r="S56" s="276">
        <f t="shared" si="3"/>
        <v>6.359458733192529</v>
      </c>
      <c r="T56" s="280"/>
      <c r="U56" s="280"/>
      <c r="W56" s="88" t="s">
        <v>828</v>
      </c>
    </row>
    <row r="57" spans="2:23" x14ac:dyDescent="0.25">
      <c r="H57" s="88"/>
      <c r="I57" s="88"/>
      <c r="J57" s="277"/>
      <c r="K57" s="277"/>
      <c r="L57" s="277"/>
      <c r="M57" s="277"/>
      <c r="N57" s="277"/>
      <c r="O57" s="277"/>
      <c r="P57" s="277"/>
      <c r="Q57" s="277"/>
      <c r="R57" s="277"/>
      <c r="S57" s="277"/>
      <c r="T57" s="277"/>
      <c r="U57" s="277"/>
      <c r="W57" s="88"/>
    </row>
    <row r="58" spans="2:23" x14ac:dyDescent="0.25">
      <c r="B58" s="95" t="s">
        <v>144</v>
      </c>
      <c r="C58" s="95"/>
      <c r="D58" s="95"/>
      <c r="E58" s="95"/>
      <c r="F58" s="95"/>
      <c r="G58" s="95"/>
      <c r="H58" s="95"/>
      <c r="I58" s="95"/>
      <c r="J58" s="282"/>
      <c r="K58" s="282"/>
      <c r="L58" s="282"/>
      <c r="M58" s="282"/>
      <c r="N58" s="282"/>
      <c r="O58" s="282"/>
      <c r="P58" s="282"/>
      <c r="Q58" s="282"/>
      <c r="R58" s="282"/>
      <c r="S58" s="282"/>
      <c r="T58" s="282"/>
      <c r="U58" s="282"/>
      <c r="V58" s="95"/>
      <c r="W58" s="95"/>
    </row>
    <row r="59" spans="2:23" x14ac:dyDescent="0.25">
      <c r="J59" s="253"/>
      <c r="K59" s="253"/>
      <c r="L59" s="253"/>
      <c r="M59" s="253"/>
      <c r="N59" s="253"/>
      <c r="O59" s="253"/>
      <c r="P59" s="253"/>
      <c r="Q59" s="253"/>
      <c r="R59" s="253"/>
      <c r="S59" s="253"/>
      <c r="T59" s="253"/>
      <c r="U59" s="253"/>
    </row>
    <row r="60" spans="2:23" x14ac:dyDescent="0.25">
      <c r="C60" s="82" t="s">
        <v>245</v>
      </c>
      <c r="J60" s="253"/>
      <c r="K60" s="253"/>
      <c r="L60" s="253"/>
      <c r="M60" s="253"/>
      <c r="N60" s="253"/>
      <c r="O60" s="253"/>
      <c r="P60" s="253"/>
      <c r="Q60" s="253"/>
      <c r="R60" s="253"/>
      <c r="S60" s="253"/>
      <c r="T60" s="253"/>
      <c r="U60" s="253"/>
    </row>
    <row r="61" spans="2:23" x14ac:dyDescent="0.25">
      <c r="J61" s="253"/>
      <c r="K61" s="253"/>
      <c r="L61" s="253"/>
      <c r="M61" s="253"/>
      <c r="N61" s="253"/>
      <c r="O61" s="253"/>
      <c r="P61" s="253"/>
      <c r="Q61" s="253"/>
      <c r="R61" s="253"/>
      <c r="S61" s="253"/>
      <c r="T61" s="253"/>
      <c r="U61" s="253"/>
    </row>
    <row r="62" spans="2:23" x14ac:dyDescent="0.25">
      <c r="C62" s="7" t="str">
        <f ca="1">INDEX('Version control'!$H$34:$H$58,MATCH($A$1,'Version control'!$F$34:$F$58,0),1)&amp;"-F: System simultaneous peak load based on charegable units"</f>
        <v>Section 511-F: System simultaneous peak load based on charegable units</v>
      </c>
      <c r="D62" s="7"/>
      <c r="E62" s="7"/>
      <c r="F62" s="7"/>
      <c r="G62" s="7"/>
      <c r="H62" s="228"/>
      <c r="I62" s="228"/>
      <c r="J62" s="283"/>
      <c r="K62" s="283"/>
      <c r="L62" s="283"/>
      <c r="M62" s="283"/>
      <c r="N62" s="283"/>
      <c r="O62" s="283"/>
      <c r="P62" s="283"/>
      <c r="Q62" s="283"/>
      <c r="R62" s="283"/>
      <c r="S62" s="283"/>
      <c r="T62" s="283"/>
      <c r="U62" s="283"/>
      <c r="V62" s="7"/>
      <c r="W62" s="228"/>
    </row>
    <row r="63" spans="2:23" x14ac:dyDescent="0.25">
      <c r="D63" s="96"/>
      <c r="J63" s="253"/>
      <c r="K63" s="253"/>
      <c r="L63" s="253"/>
      <c r="M63" s="253"/>
      <c r="N63" s="253"/>
      <c r="O63" s="253"/>
      <c r="P63" s="253"/>
      <c r="Q63" s="253"/>
      <c r="R63" s="253"/>
      <c r="S63" s="253"/>
      <c r="T63" s="253"/>
      <c r="U63" s="253"/>
    </row>
    <row r="64" spans="2:23" x14ac:dyDescent="0.25">
      <c r="E64" s="295" t="s">
        <v>112</v>
      </c>
      <c r="G64" s="295" t="s">
        <v>102</v>
      </c>
      <c r="J64" s="280"/>
      <c r="K64" s="274">
        <f t="array" ref="K64:S64">TRANSPOSE('System peak demand'!H269:H277)</f>
        <v>2767.0013761619662</v>
      </c>
      <c r="L64" s="274">
        <v>0</v>
      </c>
      <c r="M64" s="274">
        <v>0</v>
      </c>
      <c r="N64" s="274">
        <v>2865.0040283979379</v>
      </c>
      <c r="O64" s="274">
        <v>3255.1178687895863</v>
      </c>
      <c r="P64" s="274">
        <v>0</v>
      </c>
      <c r="Q64" s="274">
        <v>3285.3534591398243</v>
      </c>
      <c r="R64" s="274">
        <v>2834.2875072245301</v>
      </c>
      <c r="S64" s="274">
        <v>2186.9136105569082</v>
      </c>
      <c r="T64" s="280"/>
      <c r="U64" s="280"/>
    </row>
    <row r="65" spans="3:24" x14ac:dyDescent="0.25">
      <c r="E65" s="14" t="s">
        <v>647</v>
      </c>
      <c r="F65" s="14"/>
      <c r="G65" s="14" t="s">
        <v>102</v>
      </c>
      <c r="H65" s="387"/>
      <c r="J65" s="276">
        <f>K64</f>
        <v>2767.0013761619662</v>
      </c>
      <c r="K65" s="280"/>
      <c r="L65" s="280"/>
      <c r="M65" s="280"/>
      <c r="N65" s="280"/>
      <c r="O65" s="280"/>
      <c r="P65" s="280"/>
      <c r="Q65" s="280"/>
      <c r="R65" s="280"/>
      <c r="S65" s="280"/>
      <c r="T65" s="280"/>
      <c r="U65" s="280"/>
      <c r="W65" s="90"/>
      <c r="X65" s="90"/>
    </row>
    <row r="66" spans="3:24" x14ac:dyDescent="0.25"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  <c r="U66" s="253"/>
      <c r="X66" s="90"/>
    </row>
    <row r="67" spans="3:24" x14ac:dyDescent="0.25">
      <c r="E67" s="14" t="s">
        <v>112</v>
      </c>
      <c r="F67" s="14"/>
      <c r="G67" s="14" t="s">
        <v>113</v>
      </c>
      <c r="H67" s="387"/>
      <c r="J67" s="276">
        <f t="shared" ref="J67:S67" si="4">SUM(J64:J65) * thousand</f>
        <v>2767001.376161966</v>
      </c>
      <c r="K67" s="276">
        <f t="shared" si="4"/>
        <v>2767001.376161966</v>
      </c>
      <c r="L67" s="276">
        <f t="shared" si="4"/>
        <v>0</v>
      </c>
      <c r="M67" s="276">
        <f t="shared" si="4"/>
        <v>0</v>
      </c>
      <c r="N67" s="276">
        <f t="shared" si="4"/>
        <v>2865004.0283979378</v>
      </c>
      <c r="O67" s="276">
        <f t="shared" si="4"/>
        <v>3255117.8687895862</v>
      </c>
      <c r="P67" s="276">
        <f t="shared" si="4"/>
        <v>0</v>
      </c>
      <c r="Q67" s="276">
        <f t="shared" si="4"/>
        <v>3285353.4591398244</v>
      </c>
      <c r="R67" s="276">
        <f t="shared" si="4"/>
        <v>2834287.50722453</v>
      </c>
      <c r="S67" s="276">
        <f t="shared" si="4"/>
        <v>2186913.6105569084</v>
      </c>
      <c r="T67" s="280"/>
      <c r="U67" s="280"/>
      <c r="W67" s="90"/>
      <c r="X67" s="90"/>
    </row>
    <row r="68" spans="3:24" x14ac:dyDescent="0.25"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</row>
    <row r="69" spans="3:24" x14ac:dyDescent="0.25">
      <c r="C69" s="7" t="str">
        <f ca="1">INDEX('Version control'!$H$34:$H$58,MATCH($A$1,'Version control'!$F$34:$F$58,0),1)&amp;"-G: Notional asset values, by network level"</f>
        <v>Section 511-G: Notional asset values, by network level</v>
      </c>
      <c r="D69" s="7"/>
      <c r="E69" s="7"/>
      <c r="F69" s="7"/>
      <c r="G69" s="7"/>
      <c r="H69" s="228"/>
      <c r="I69" s="228"/>
      <c r="J69" s="283"/>
      <c r="K69" s="283"/>
      <c r="L69" s="283"/>
      <c r="M69" s="283"/>
      <c r="N69" s="283"/>
      <c r="O69" s="283"/>
      <c r="P69" s="283"/>
      <c r="Q69" s="283"/>
      <c r="R69" s="283"/>
      <c r="S69" s="283"/>
      <c r="T69" s="283"/>
      <c r="U69" s="283"/>
      <c r="V69" s="7"/>
      <c r="W69" s="228"/>
    </row>
    <row r="70" spans="3:24" x14ac:dyDescent="0.25">
      <c r="E70" s="96"/>
      <c r="J70" s="253"/>
      <c r="K70" s="253"/>
      <c r="L70" s="253"/>
      <c r="M70" s="253"/>
      <c r="N70" s="253"/>
      <c r="O70" s="253"/>
      <c r="P70" s="253"/>
      <c r="Q70" s="253"/>
      <c r="R70" s="253"/>
      <c r="S70" s="253"/>
      <c r="T70" s="253"/>
      <c r="U70" s="253"/>
      <c r="X70" s="90"/>
    </row>
    <row r="71" spans="3:24" x14ac:dyDescent="0.25">
      <c r="D71" s="82" t="s">
        <v>909</v>
      </c>
      <c r="J71" s="253"/>
      <c r="K71" s="253"/>
      <c r="L71" s="253"/>
      <c r="M71" s="253"/>
      <c r="N71" s="253"/>
      <c r="O71" s="253"/>
      <c r="P71" s="253"/>
      <c r="Q71" s="253"/>
      <c r="R71" s="253"/>
      <c r="S71" s="253"/>
      <c r="T71" s="253"/>
      <c r="U71" s="253"/>
      <c r="X71" s="90"/>
    </row>
    <row r="72" spans="3:24" x14ac:dyDescent="0.25">
      <c r="D72" s="82"/>
      <c r="J72" s="253"/>
      <c r="K72" s="253"/>
      <c r="L72" s="253"/>
      <c r="M72" s="253"/>
      <c r="N72" s="253"/>
      <c r="O72" s="253"/>
      <c r="P72" s="253"/>
      <c r="Q72" s="253"/>
      <c r="R72" s="253"/>
      <c r="S72" s="253"/>
      <c r="T72" s="253"/>
      <c r="U72" s="253"/>
      <c r="X72" s="90"/>
    </row>
    <row r="73" spans="3:24" x14ac:dyDescent="0.25">
      <c r="E73" s="14" t="s">
        <v>114</v>
      </c>
      <c r="F73" s="14"/>
      <c r="G73" s="14" t="s">
        <v>107</v>
      </c>
      <c r="J73" s="280"/>
      <c r="K73" s="280"/>
      <c r="L73" s="276">
        <f t="shared" ref="L73:S73" si="5">L67 * L55</f>
        <v>0</v>
      </c>
      <c r="M73" s="276">
        <f t="shared" si="5"/>
        <v>0</v>
      </c>
      <c r="N73" s="276">
        <f t="shared" si="5"/>
        <v>741437229.1600107</v>
      </c>
      <c r="O73" s="276">
        <f t="shared" si="5"/>
        <v>217794474.1953792</v>
      </c>
      <c r="P73" s="276">
        <f t="shared" si="5"/>
        <v>0</v>
      </c>
      <c r="Q73" s="276">
        <f t="shared" si="5"/>
        <v>957796813.40961504</v>
      </c>
      <c r="R73" s="276">
        <f t="shared" si="5"/>
        <v>211314718.68630251</v>
      </c>
      <c r="S73" s="276">
        <f t="shared" si="5"/>
        <v>288438659.83383685</v>
      </c>
      <c r="T73" s="280"/>
      <c r="U73" s="280"/>
      <c r="X73" s="90"/>
    </row>
    <row r="74" spans="3:24" x14ac:dyDescent="0.25">
      <c r="E74" s="14" t="s">
        <v>122</v>
      </c>
      <c r="F74" s="14"/>
      <c r="G74" s="14" t="s">
        <v>107</v>
      </c>
      <c r="J74" s="280"/>
      <c r="K74" s="280"/>
      <c r="L74" s="280"/>
      <c r="M74" s="280"/>
      <c r="N74" s="280"/>
      <c r="O74" s="280"/>
      <c r="P74" s="280"/>
      <c r="Q74" s="280"/>
      <c r="R74" s="280"/>
      <c r="S74" s="280"/>
      <c r="T74" s="274">
        <f>'Service model assets'!H33</f>
        <v>838729811.88228226</v>
      </c>
      <c r="U74" s="274">
        <f>'Service model assets'!H34</f>
        <v>18640337.117758732</v>
      </c>
      <c r="X74" s="90"/>
    </row>
    <row r="75" spans="3:24" x14ac:dyDescent="0.25">
      <c r="J75" s="253"/>
      <c r="K75" s="253"/>
      <c r="L75" s="253"/>
      <c r="M75" s="253"/>
      <c r="N75" s="253"/>
      <c r="O75" s="253"/>
      <c r="P75" s="253"/>
      <c r="Q75" s="253"/>
      <c r="R75" s="253"/>
      <c r="S75" s="253"/>
      <c r="T75" s="253"/>
      <c r="U75" s="253"/>
      <c r="X75" s="90"/>
    </row>
    <row r="76" spans="3:24" x14ac:dyDescent="0.25">
      <c r="E76" s="14" t="s">
        <v>115</v>
      </c>
      <c r="F76" s="14"/>
      <c r="G76" s="14" t="s">
        <v>107</v>
      </c>
      <c r="I76" s="295" t="s">
        <v>431</v>
      </c>
      <c r="J76" s="280"/>
      <c r="K76" s="276">
        <f t="shared" ref="K76:U76" si="6">K73 + K74</f>
        <v>0</v>
      </c>
      <c r="L76" s="276">
        <f t="shared" si="6"/>
        <v>0</v>
      </c>
      <c r="M76" s="276">
        <f t="shared" si="6"/>
        <v>0</v>
      </c>
      <c r="N76" s="276">
        <f t="shared" si="6"/>
        <v>741437229.1600107</v>
      </c>
      <c r="O76" s="276">
        <f t="shared" si="6"/>
        <v>217794474.1953792</v>
      </c>
      <c r="P76" s="276">
        <f t="shared" si="6"/>
        <v>0</v>
      </c>
      <c r="Q76" s="276">
        <f t="shared" si="6"/>
        <v>957796813.40961504</v>
      </c>
      <c r="R76" s="276">
        <f t="shared" si="6"/>
        <v>211314718.68630251</v>
      </c>
      <c r="S76" s="276">
        <f t="shared" si="6"/>
        <v>288438659.83383685</v>
      </c>
      <c r="T76" s="276">
        <f t="shared" si="6"/>
        <v>838729811.88228226</v>
      </c>
      <c r="U76" s="276">
        <f t="shared" si="6"/>
        <v>18640337.117758732</v>
      </c>
      <c r="W76" s="88" t="s">
        <v>829</v>
      </c>
      <c r="X76" s="90"/>
    </row>
    <row r="77" spans="3:24" x14ac:dyDescent="0.25">
      <c r="L77" s="90"/>
      <c r="M77" s="90"/>
      <c r="N77" s="90"/>
      <c r="O77" s="90"/>
      <c r="P77" s="90"/>
      <c r="Q77" s="90"/>
      <c r="R77" s="90"/>
      <c r="S77" s="90"/>
      <c r="T77" s="90"/>
      <c r="U77" s="90"/>
      <c r="X77" s="90"/>
    </row>
    <row r="78" spans="3:24" x14ac:dyDescent="0.25">
      <c r="E78" s="14" t="s">
        <v>118</v>
      </c>
      <c r="F78" s="14"/>
      <c r="G78" s="14" t="s">
        <v>94</v>
      </c>
      <c r="J78" s="410"/>
      <c r="K78" s="396">
        <f t="shared" ref="K78:U78" si="7">K76 / SUM($K$76:$U$76)</f>
        <v>0</v>
      </c>
      <c r="L78" s="396">
        <f t="shared" si="7"/>
        <v>0</v>
      </c>
      <c r="M78" s="396">
        <f t="shared" si="7"/>
        <v>0</v>
      </c>
      <c r="N78" s="396">
        <f t="shared" si="7"/>
        <v>0.22645167943686062</v>
      </c>
      <c r="O78" s="396">
        <f t="shared" si="7"/>
        <v>6.6519352568102319E-2</v>
      </c>
      <c r="P78" s="396">
        <f t="shared" si="7"/>
        <v>0</v>
      </c>
      <c r="Q78" s="396">
        <f t="shared" si="7"/>
        <v>0.29253278420022849</v>
      </c>
      <c r="R78" s="396">
        <f t="shared" si="7"/>
        <v>6.4540288852846128E-2</v>
      </c>
      <c r="S78" s="396">
        <f t="shared" si="7"/>
        <v>8.809568276992126E-2</v>
      </c>
      <c r="T78" s="396">
        <f t="shared" si="7"/>
        <v>0.25616703211637021</v>
      </c>
      <c r="U78" s="396">
        <f t="shared" si="7"/>
        <v>5.6931800556709643E-3</v>
      </c>
      <c r="X78" s="90"/>
    </row>
    <row r="79" spans="3:24" x14ac:dyDescent="0.25">
      <c r="E79" s="96"/>
      <c r="L79" s="90"/>
      <c r="M79" s="90"/>
      <c r="N79" s="90"/>
      <c r="O79" s="90"/>
      <c r="P79" s="90"/>
      <c r="Q79" s="90"/>
      <c r="R79" s="90"/>
      <c r="S79" s="90"/>
      <c r="T79" s="90"/>
      <c r="U79" s="90"/>
    </row>
    <row r="80" spans="3:24" x14ac:dyDescent="0.25">
      <c r="C80" s="7" t="str">
        <f ca="1">INDEX('Version control'!$H$34:$H$58,MATCH($A$1,'Version control'!$F$34:$F$58,0),1)&amp;"-H: Other operating costs"</f>
        <v>Section 511-H: Other operating costs</v>
      </c>
      <c r="D80" s="7"/>
      <c r="E80" s="7"/>
      <c r="F80" s="7"/>
      <c r="G80" s="7"/>
      <c r="H80" s="228"/>
      <c r="I80" s="228"/>
      <c r="J80" s="228"/>
      <c r="K80" s="228"/>
      <c r="L80" s="228"/>
      <c r="M80" s="228"/>
      <c r="N80" s="228"/>
      <c r="O80" s="228"/>
      <c r="P80" s="228"/>
      <c r="Q80" s="228"/>
      <c r="R80" s="228"/>
      <c r="S80" s="228"/>
      <c r="T80" s="228"/>
      <c r="U80" s="228"/>
      <c r="V80" s="7"/>
      <c r="W80" s="228"/>
    </row>
    <row r="81" spans="3:23" x14ac:dyDescent="0.25">
      <c r="E81" s="96"/>
      <c r="L81" s="90"/>
      <c r="M81" s="90"/>
      <c r="N81" s="90"/>
      <c r="O81" s="90"/>
      <c r="P81" s="90"/>
      <c r="Q81" s="90"/>
      <c r="R81" s="90"/>
      <c r="S81" s="90"/>
      <c r="T81" s="90"/>
      <c r="U81" s="90"/>
    </row>
    <row r="82" spans="3:23" x14ac:dyDescent="0.25">
      <c r="D82" s="82" t="s">
        <v>433</v>
      </c>
      <c r="L82" s="90"/>
      <c r="M82" s="90"/>
      <c r="N82" s="90"/>
      <c r="O82" s="90"/>
      <c r="P82" s="90"/>
      <c r="Q82" s="90"/>
      <c r="R82" s="90"/>
      <c r="S82" s="90"/>
      <c r="T82" s="90"/>
      <c r="U82" s="90"/>
    </row>
    <row r="83" spans="3:23" x14ac:dyDescent="0.25">
      <c r="D83" s="82"/>
      <c r="L83" s="90"/>
      <c r="M83" s="90"/>
      <c r="N83" s="90"/>
      <c r="O83" s="90"/>
      <c r="P83" s="90"/>
      <c r="Q83" s="90"/>
      <c r="R83" s="90"/>
      <c r="S83" s="90"/>
      <c r="T83" s="90"/>
      <c r="U83" s="90"/>
    </row>
    <row r="84" spans="3:23" x14ac:dyDescent="0.25">
      <c r="E84" s="14" t="s">
        <v>78</v>
      </c>
      <c r="F84" s="14"/>
      <c r="G84" s="14" t="s">
        <v>94</v>
      </c>
      <c r="H84" s="143">
        <f>'Fixed inputs'!H39</f>
        <v>0.6</v>
      </c>
      <c r="L84" s="90"/>
      <c r="M84" s="90"/>
      <c r="N84" s="90"/>
      <c r="O84" s="90"/>
      <c r="P84" s="90"/>
      <c r="Q84" s="90"/>
      <c r="R84" s="90"/>
      <c r="S84" s="90"/>
      <c r="T84" s="90"/>
      <c r="U84" s="90"/>
    </row>
    <row r="85" spans="3:23" x14ac:dyDescent="0.25">
      <c r="F85" s="14"/>
      <c r="G85" s="14"/>
      <c r="H85" s="143"/>
      <c r="L85" s="90"/>
      <c r="M85" s="90"/>
      <c r="N85" s="90"/>
      <c r="O85" s="90"/>
      <c r="P85" s="90"/>
      <c r="Q85" s="90"/>
      <c r="R85" s="90"/>
      <c r="S85" s="90"/>
      <c r="T85" s="90"/>
      <c r="U85" s="90"/>
    </row>
    <row r="86" spans="3:23" x14ac:dyDescent="0.25">
      <c r="E86" s="14" t="s">
        <v>128</v>
      </c>
      <c r="F86" s="14"/>
      <c r="G86" s="14" t="s">
        <v>606</v>
      </c>
      <c r="H86" s="274">
        <f>'General inputs'!H105</f>
        <v>28803040.425109994</v>
      </c>
      <c r="L86" s="90"/>
      <c r="M86" s="90"/>
      <c r="N86" s="90"/>
      <c r="O86" s="90"/>
      <c r="P86" s="90"/>
      <c r="Q86" s="90"/>
      <c r="R86" s="90"/>
      <c r="S86" s="90"/>
      <c r="T86" s="90"/>
      <c r="U86" s="90"/>
    </row>
    <row r="87" spans="3:23" x14ac:dyDescent="0.25">
      <c r="E87" s="14" t="s">
        <v>129</v>
      </c>
      <c r="F87" s="14"/>
      <c r="G87" s="14" t="s">
        <v>606</v>
      </c>
      <c r="H87" s="274">
        <f>'General inputs'!H106</f>
        <v>83130091.179891989</v>
      </c>
      <c r="L87" s="90"/>
      <c r="M87" s="90"/>
      <c r="N87" s="90"/>
      <c r="O87" s="90"/>
      <c r="P87" s="90"/>
      <c r="Q87" s="90"/>
      <c r="R87" s="90"/>
      <c r="S87" s="90"/>
      <c r="T87" s="90"/>
      <c r="U87" s="90"/>
    </row>
    <row r="88" spans="3:23" x14ac:dyDescent="0.25">
      <c r="E88" s="14" t="s">
        <v>130</v>
      </c>
      <c r="F88" s="14"/>
      <c r="G88" s="14" t="s">
        <v>606</v>
      </c>
      <c r="H88" s="274">
        <f>'General inputs'!H107</f>
        <v>37991024.773131475</v>
      </c>
      <c r="J88" s="90"/>
      <c r="L88" s="90"/>
      <c r="M88" s="90"/>
      <c r="N88" s="90"/>
      <c r="O88" s="90"/>
      <c r="P88" s="90"/>
      <c r="Q88" s="90"/>
      <c r="R88" s="90"/>
      <c r="S88" s="90"/>
      <c r="T88" s="90"/>
      <c r="U88" s="90"/>
    </row>
    <row r="89" spans="3:23" x14ac:dyDescent="0.25">
      <c r="E89" s="14"/>
      <c r="F89" s="14"/>
      <c r="G89" s="14"/>
      <c r="H89" s="274"/>
      <c r="J89" s="90"/>
      <c r="L89" s="90"/>
      <c r="M89" s="90"/>
      <c r="N89" s="90"/>
      <c r="O89" s="90"/>
      <c r="P89" s="90"/>
      <c r="Q89" s="90"/>
      <c r="R89" s="90"/>
      <c r="S89" s="90"/>
      <c r="T89" s="90"/>
      <c r="U89" s="90"/>
    </row>
    <row r="90" spans="3:23" x14ac:dyDescent="0.25">
      <c r="E90" s="14" t="s">
        <v>131</v>
      </c>
      <c r="F90" s="14"/>
      <c r="G90" s="14" t="s">
        <v>606</v>
      </c>
      <c r="H90" s="276">
        <f>H86 + H87 * H84 + H88</f>
        <v>116672119.90617666</v>
      </c>
      <c r="L90" s="90"/>
      <c r="M90" s="90"/>
      <c r="N90" s="90"/>
      <c r="O90" s="90"/>
      <c r="P90" s="90"/>
      <c r="Q90" s="90"/>
      <c r="R90" s="90"/>
      <c r="S90" s="90"/>
      <c r="T90" s="90"/>
      <c r="U90" s="90"/>
    </row>
    <row r="91" spans="3:23" x14ac:dyDescent="0.25">
      <c r="E91" s="96"/>
      <c r="L91" s="90"/>
      <c r="M91" s="90"/>
      <c r="N91" s="90"/>
      <c r="O91" s="90"/>
      <c r="P91" s="90"/>
      <c r="Q91" s="90"/>
      <c r="R91" s="90"/>
      <c r="S91" s="90"/>
      <c r="T91" s="90"/>
      <c r="U91" s="90"/>
    </row>
    <row r="92" spans="3:23" x14ac:dyDescent="0.25">
      <c r="C92" s="7" t="str">
        <f ca="1">INDEX('Version control'!$H$34:$H$58,MATCH($A$1,'Version control'!$F$34:$F$58,0),1)&amp;"-I: Other operating costs by network level"</f>
        <v>Section 511-I: Other operating costs by network level</v>
      </c>
      <c r="D92" s="7"/>
      <c r="E92" s="7"/>
      <c r="F92" s="7"/>
      <c r="G92" s="7"/>
      <c r="H92" s="228"/>
      <c r="I92" s="228"/>
      <c r="J92" s="228"/>
      <c r="K92" s="228"/>
      <c r="L92" s="228"/>
      <c r="M92" s="228"/>
      <c r="N92" s="228"/>
      <c r="O92" s="228"/>
      <c r="P92" s="228"/>
      <c r="Q92" s="228"/>
      <c r="R92" s="228"/>
      <c r="S92" s="228"/>
      <c r="T92" s="228"/>
      <c r="U92" s="228"/>
      <c r="V92" s="7"/>
      <c r="W92" s="228"/>
    </row>
    <row r="93" spans="3:23" x14ac:dyDescent="0.25">
      <c r="E93" s="96"/>
      <c r="H93" s="90"/>
      <c r="L93" s="90"/>
      <c r="M93" s="90"/>
      <c r="N93" s="90"/>
      <c r="O93" s="90"/>
      <c r="P93" s="90"/>
      <c r="Q93" s="90"/>
      <c r="R93" s="90"/>
      <c r="S93" s="90"/>
      <c r="T93" s="90"/>
      <c r="U93" s="90"/>
    </row>
    <row r="94" spans="3:23" x14ac:dyDescent="0.25">
      <c r="D94" s="82" t="s">
        <v>434</v>
      </c>
      <c r="H94" s="90"/>
      <c r="L94" s="90"/>
      <c r="M94" s="90"/>
      <c r="N94" s="90"/>
      <c r="O94" s="90"/>
      <c r="P94" s="90"/>
      <c r="Q94" s="90"/>
      <c r="R94" s="90"/>
      <c r="S94" s="90"/>
      <c r="T94" s="90"/>
      <c r="U94" s="90"/>
    </row>
    <row r="95" spans="3:23" x14ac:dyDescent="0.25">
      <c r="D95" s="82" t="s">
        <v>435</v>
      </c>
      <c r="H95" s="90"/>
      <c r="L95" s="90"/>
      <c r="M95" s="90"/>
      <c r="N95" s="90"/>
      <c r="O95" s="90"/>
      <c r="P95" s="90"/>
      <c r="Q95" s="90"/>
      <c r="R95" s="90"/>
      <c r="S95" s="90"/>
      <c r="T95" s="90"/>
      <c r="U95" s="90"/>
    </row>
    <row r="96" spans="3:23" x14ac:dyDescent="0.25">
      <c r="D96" s="82"/>
      <c r="H96" s="90"/>
      <c r="L96" s="90"/>
      <c r="M96" s="90"/>
      <c r="N96" s="90"/>
      <c r="O96" s="90"/>
      <c r="P96" s="90"/>
      <c r="Q96" s="90"/>
      <c r="R96" s="90"/>
      <c r="S96" s="90"/>
      <c r="T96" s="90"/>
      <c r="U96" s="90"/>
    </row>
    <row r="97" spans="2:23" x14ac:dyDescent="0.25">
      <c r="E97" s="14" t="s">
        <v>119</v>
      </c>
      <c r="F97" s="14"/>
      <c r="G97" s="14" t="s">
        <v>606</v>
      </c>
      <c r="I97" s="295" t="s">
        <v>431</v>
      </c>
      <c r="J97" s="280"/>
      <c r="K97" s="276">
        <f t="shared" ref="K97:U97" si="8">K78 * $H$90</f>
        <v>0</v>
      </c>
      <c r="L97" s="276">
        <f t="shared" si="8"/>
        <v>0</v>
      </c>
      <c r="M97" s="276">
        <f t="shared" si="8"/>
        <v>0</v>
      </c>
      <c r="N97" s="276">
        <f t="shared" si="8"/>
        <v>26420597.496212482</v>
      </c>
      <c r="O97" s="276">
        <f t="shared" si="8"/>
        <v>7760953.878906874</v>
      </c>
      <c r="P97" s="276">
        <f t="shared" si="8"/>
        <v>0</v>
      </c>
      <c r="Q97" s="276">
        <f t="shared" si="8"/>
        <v>34130420.074696757</v>
      </c>
      <c r="R97" s="276">
        <f t="shared" si="8"/>
        <v>7530052.3198185405</v>
      </c>
      <c r="S97" s="276">
        <f t="shared" si="8"/>
        <v>10278310.063348753</v>
      </c>
      <c r="T97" s="276">
        <f t="shared" si="8"/>
        <v>29887550.68709055</v>
      </c>
      <c r="U97" s="276">
        <f t="shared" si="8"/>
        <v>664235.38610269618</v>
      </c>
      <c r="W97" s="88" t="s">
        <v>830</v>
      </c>
    </row>
    <row r="98" spans="2:23" x14ac:dyDescent="0.25">
      <c r="E98" s="14" t="s">
        <v>117</v>
      </c>
      <c r="F98" s="14"/>
      <c r="G98" s="14" t="s">
        <v>606</v>
      </c>
      <c r="H98" s="90"/>
      <c r="I98" s="90"/>
      <c r="J98" s="274">
        <f>'General inputs'!$H$100</f>
        <v>35908234.05777806</v>
      </c>
      <c r="K98" s="280"/>
      <c r="L98" s="280"/>
      <c r="M98" s="280"/>
      <c r="N98" s="280"/>
      <c r="O98" s="280"/>
      <c r="P98" s="280"/>
      <c r="Q98" s="280"/>
      <c r="R98" s="280"/>
      <c r="S98" s="280"/>
      <c r="T98" s="280"/>
      <c r="U98" s="280"/>
    </row>
    <row r="99" spans="2:23" x14ac:dyDescent="0.25"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</row>
    <row r="100" spans="2:23" x14ac:dyDescent="0.25">
      <c r="E100" s="14" t="s">
        <v>127</v>
      </c>
      <c r="F100" s="14"/>
      <c r="G100" s="14" t="s">
        <v>1022</v>
      </c>
      <c r="I100" s="295" t="s">
        <v>431</v>
      </c>
      <c r="J100" s="276">
        <f t="shared" ref="J100:S100" si="9">IF(J$67 = 0, 0, SUM(J97:J98) / J$67)</f>
        <v>12.977309793602421</v>
      </c>
      <c r="K100" s="276">
        <f t="shared" si="9"/>
        <v>0</v>
      </c>
      <c r="L100" s="276">
        <f t="shared" si="9"/>
        <v>0</v>
      </c>
      <c r="M100" s="276">
        <f t="shared" si="9"/>
        <v>0</v>
      </c>
      <c r="N100" s="276">
        <f t="shared" si="9"/>
        <v>9.2218360722467949</v>
      </c>
      <c r="O100" s="276">
        <f t="shared" si="9"/>
        <v>2.3842312910754226</v>
      </c>
      <c r="P100" s="276">
        <f t="shared" si="9"/>
        <v>0</v>
      </c>
      <c r="Q100" s="276">
        <f t="shared" si="9"/>
        <v>10.388660002395246</v>
      </c>
      <c r="R100" s="276">
        <f t="shared" si="9"/>
        <v>2.6567708112266732</v>
      </c>
      <c r="S100" s="276">
        <f t="shared" si="9"/>
        <v>4.6999159060203253</v>
      </c>
      <c r="T100" s="280"/>
      <c r="U100" s="280"/>
      <c r="W100" s="88" t="s">
        <v>831</v>
      </c>
    </row>
    <row r="101" spans="2:23" x14ac:dyDescent="0.25">
      <c r="J101" s="253"/>
      <c r="K101" s="253"/>
      <c r="L101" s="253"/>
      <c r="M101" s="253"/>
      <c r="N101" s="253"/>
      <c r="O101" s="253"/>
      <c r="P101" s="253"/>
      <c r="Q101" s="253"/>
      <c r="R101" s="253"/>
      <c r="S101" s="253"/>
      <c r="T101" s="253"/>
      <c r="U101" s="253"/>
    </row>
    <row r="102" spans="2:23" x14ac:dyDescent="0.25">
      <c r="B102" s="95" t="s">
        <v>366</v>
      </c>
      <c r="C102" s="95"/>
      <c r="D102" s="95"/>
      <c r="E102" s="95"/>
      <c r="F102" s="95"/>
      <c r="G102" s="95"/>
      <c r="H102" s="95"/>
      <c r="I102" s="95"/>
      <c r="J102" s="282"/>
      <c r="K102" s="282"/>
      <c r="L102" s="282"/>
      <c r="M102" s="282"/>
      <c r="N102" s="282"/>
      <c r="O102" s="282"/>
      <c r="P102" s="282"/>
      <c r="Q102" s="282"/>
      <c r="R102" s="282"/>
      <c r="S102" s="282"/>
      <c r="T102" s="282"/>
      <c r="U102" s="282"/>
      <c r="V102" s="95"/>
      <c r="W102" s="95"/>
    </row>
    <row r="103" spans="2:23" x14ac:dyDescent="0.25">
      <c r="B103" s="82"/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</row>
    <row r="104" spans="2:23" x14ac:dyDescent="0.25">
      <c r="C104" s="7" t="str">
        <f ca="1">INDEX('Version control'!$H$34:$H$58,MATCH($A$1,'Version control'!$F$34:$F$58,0),1)&amp;"-J: Notional asset values by network level"</f>
        <v>Section 511-J: Notional asset values by network level</v>
      </c>
      <c r="D104" s="7"/>
      <c r="E104" s="7"/>
      <c r="F104" s="7"/>
      <c r="G104" s="7"/>
      <c r="H104" s="228"/>
      <c r="I104" s="228"/>
      <c r="J104" s="283"/>
      <c r="K104" s="283"/>
      <c r="L104" s="283"/>
      <c r="M104" s="283"/>
      <c r="N104" s="283"/>
      <c r="O104" s="283"/>
      <c r="P104" s="283"/>
      <c r="Q104" s="283"/>
      <c r="R104" s="283"/>
      <c r="S104" s="283"/>
      <c r="T104" s="283"/>
      <c r="U104" s="283"/>
      <c r="V104" s="7"/>
      <c r="W104" s="228"/>
    </row>
    <row r="105" spans="2:23" x14ac:dyDescent="0.25">
      <c r="B105" s="82"/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  <c r="U105" s="253"/>
    </row>
    <row r="106" spans="2:23" x14ac:dyDescent="0.25">
      <c r="B106" s="82"/>
      <c r="D106" s="82" t="s">
        <v>388</v>
      </c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</row>
    <row r="107" spans="2:23" x14ac:dyDescent="0.25">
      <c r="B107" s="82"/>
      <c r="D107" s="82"/>
      <c r="J107" s="253"/>
      <c r="K107" s="253"/>
      <c r="L107" s="253"/>
      <c r="M107" s="253"/>
      <c r="N107" s="253"/>
      <c r="O107" s="253"/>
      <c r="P107" s="253"/>
      <c r="Q107" s="253"/>
      <c r="R107" s="253"/>
      <c r="S107" s="253"/>
      <c r="T107" s="253"/>
      <c r="U107" s="253"/>
    </row>
    <row r="108" spans="2:23" x14ac:dyDescent="0.25">
      <c r="B108" s="82"/>
      <c r="E108" s="14" t="s">
        <v>115</v>
      </c>
      <c r="F108" s="14"/>
      <c r="G108" s="14" t="s">
        <v>107</v>
      </c>
      <c r="J108" s="280"/>
      <c r="K108" s="257">
        <f t="shared" ref="K108:U108" si="10">K76</f>
        <v>0</v>
      </c>
      <c r="L108" s="257">
        <f t="shared" si="10"/>
        <v>0</v>
      </c>
      <c r="M108" s="257">
        <f t="shared" si="10"/>
        <v>0</v>
      </c>
      <c r="N108" s="257">
        <f t="shared" si="10"/>
        <v>741437229.1600107</v>
      </c>
      <c r="O108" s="257">
        <f t="shared" si="10"/>
        <v>217794474.1953792</v>
      </c>
      <c r="P108" s="257">
        <f t="shared" si="10"/>
        <v>0</v>
      </c>
      <c r="Q108" s="257">
        <f t="shared" si="10"/>
        <v>957796813.40961504</v>
      </c>
      <c r="R108" s="257">
        <f t="shared" si="10"/>
        <v>211314718.68630251</v>
      </c>
      <c r="S108" s="257">
        <f t="shared" si="10"/>
        <v>288438659.83383685</v>
      </c>
      <c r="T108" s="257">
        <f t="shared" si="10"/>
        <v>838729811.88228226</v>
      </c>
      <c r="U108" s="257">
        <f t="shared" si="10"/>
        <v>18640337.117758732</v>
      </c>
    </row>
    <row r="109" spans="2:23" x14ac:dyDescent="0.25">
      <c r="B109" s="82"/>
    </row>
    <row r="110" spans="2:23" x14ac:dyDescent="0.25">
      <c r="C110" s="7" t="str">
        <f ca="1">INDEX('Version control'!$H$34:$H$58,MATCH($A$1,'Version control'!$F$34:$F$58,0),1)&amp;"-K: Unit costs"</f>
        <v>Section 511-K: Unit costs</v>
      </c>
      <c r="D110" s="7"/>
      <c r="E110" s="7"/>
      <c r="F110" s="7"/>
      <c r="G110" s="7"/>
      <c r="H110" s="228"/>
      <c r="I110" s="228"/>
      <c r="J110" s="228"/>
      <c r="K110" s="228"/>
      <c r="L110" s="228"/>
      <c r="M110" s="228"/>
      <c r="N110" s="228"/>
      <c r="O110" s="228"/>
      <c r="P110" s="228"/>
      <c r="Q110" s="228"/>
      <c r="R110" s="228"/>
      <c r="S110" s="228"/>
      <c r="T110" s="228"/>
      <c r="U110" s="228"/>
      <c r="V110" s="7"/>
      <c r="W110" s="228"/>
    </row>
    <row r="111" spans="2:23" x14ac:dyDescent="0.25">
      <c r="B111" s="82"/>
    </row>
    <row r="112" spans="2:23" x14ac:dyDescent="0.25">
      <c r="B112" s="82"/>
      <c r="D112" s="82" t="s">
        <v>368</v>
      </c>
    </row>
    <row r="113" spans="2:24" x14ac:dyDescent="0.25">
      <c r="B113" s="82"/>
      <c r="D113" s="82"/>
    </row>
    <row r="114" spans="2:24" x14ac:dyDescent="0.25">
      <c r="E114" s="295" t="s">
        <v>126</v>
      </c>
      <c r="F114" s="407"/>
      <c r="G114" s="14" t="s">
        <v>1022</v>
      </c>
      <c r="H114" s="88"/>
      <c r="I114" s="88"/>
      <c r="J114" s="280"/>
      <c r="K114" s="280"/>
      <c r="L114" s="257">
        <f t="shared" ref="L114:S114" si="11">L56</f>
        <v>0</v>
      </c>
      <c r="M114" s="257">
        <f t="shared" si="11"/>
        <v>0</v>
      </c>
      <c r="N114" s="257">
        <f t="shared" si="11"/>
        <v>12.478071335403621</v>
      </c>
      <c r="O114" s="257">
        <f t="shared" si="11"/>
        <v>3.2261046387145558</v>
      </c>
      <c r="P114" s="257">
        <f t="shared" si="11"/>
        <v>0</v>
      </c>
      <c r="Q114" s="257">
        <f t="shared" si="11"/>
        <v>14.056901421102715</v>
      </c>
      <c r="R114" s="257">
        <f t="shared" si="11"/>
        <v>3.5948780096052633</v>
      </c>
      <c r="S114" s="257">
        <f t="shared" si="11"/>
        <v>6.359458733192529</v>
      </c>
      <c r="T114" s="280"/>
      <c r="U114" s="280"/>
    </row>
    <row r="115" spans="2:24" x14ac:dyDescent="0.25">
      <c r="B115" s="82"/>
      <c r="E115" s="295" t="s">
        <v>127</v>
      </c>
      <c r="F115" s="14"/>
      <c r="G115" s="14" t="s">
        <v>1022</v>
      </c>
      <c r="J115" s="257">
        <f t="shared" ref="J115:S115" si="12">J100</f>
        <v>12.977309793602421</v>
      </c>
      <c r="K115" s="257">
        <f t="shared" si="12"/>
        <v>0</v>
      </c>
      <c r="L115" s="257">
        <f t="shared" si="12"/>
        <v>0</v>
      </c>
      <c r="M115" s="257">
        <f t="shared" si="12"/>
        <v>0</v>
      </c>
      <c r="N115" s="257">
        <f t="shared" si="12"/>
        <v>9.2218360722467949</v>
      </c>
      <c r="O115" s="257">
        <f t="shared" si="12"/>
        <v>2.3842312910754226</v>
      </c>
      <c r="P115" s="257">
        <f t="shared" si="12"/>
        <v>0</v>
      </c>
      <c r="Q115" s="257">
        <f t="shared" si="12"/>
        <v>10.388660002395246</v>
      </c>
      <c r="R115" s="257">
        <f t="shared" si="12"/>
        <v>2.6567708112266732</v>
      </c>
      <c r="S115" s="257">
        <f t="shared" si="12"/>
        <v>4.6999159060203253</v>
      </c>
      <c r="T115" s="280"/>
      <c r="U115" s="280"/>
    </row>
    <row r="116" spans="2:24" x14ac:dyDescent="0.25">
      <c r="B116" s="82"/>
    </row>
    <row r="117" spans="2:24" x14ac:dyDescent="0.25">
      <c r="C117" s="7" t="str">
        <f ca="1">INDEX('Version control'!$H$34:$H$58,MATCH($A$1,'Version control'!$F$34:$F$58,0),1)&amp;"-L: Values used for allocating costs to service models"</f>
        <v>Section 511-L: Values used for allocating costs to service models</v>
      </c>
      <c r="D117" s="7"/>
      <c r="E117" s="7"/>
      <c r="F117" s="7"/>
      <c r="G117" s="7"/>
      <c r="H117" s="228"/>
      <c r="I117" s="228"/>
      <c r="J117" s="228"/>
      <c r="K117" s="228"/>
      <c r="L117" s="228"/>
      <c r="M117" s="228"/>
      <c r="N117" s="228"/>
      <c r="O117" s="228"/>
      <c r="P117" s="228"/>
      <c r="Q117" s="228"/>
      <c r="R117" s="228"/>
      <c r="S117" s="228"/>
      <c r="T117" s="228"/>
      <c r="U117" s="228"/>
      <c r="V117" s="7"/>
      <c r="W117" s="228"/>
    </row>
    <row r="118" spans="2:24" x14ac:dyDescent="0.25">
      <c r="B118" s="82"/>
    </row>
    <row r="119" spans="2:24" x14ac:dyDescent="0.25">
      <c r="B119" s="82"/>
      <c r="D119" s="82" t="s">
        <v>693</v>
      </c>
    </row>
    <row r="120" spans="2:24" x14ac:dyDescent="0.25">
      <c r="B120" s="82"/>
      <c r="D120" s="82"/>
    </row>
    <row r="121" spans="2:24" x14ac:dyDescent="0.25">
      <c r="B121" s="82"/>
      <c r="C121" s="96"/>
      <c r="E121" s="295" t="s">
        <v>97</v>
      </c>
      <c r="F121" s="14"/>
      <c r="G121" s="14" t="s">
        <v>94</v>
      </c>
      <c r="H121" s="110">
        <f>H25</f>
        <v>4.8216791977211342E-2</v>
      </c>
    </row>
    <row r="122" spans="2:24" x14ac:dyDescent="0.25">
      <c r="B122" s="82"/>
      <c r="C122" s="96"/>
      <c r="E122" s="295" t="s">
        <v>131</v>
      </c>
      <c r="F122" s="14"/>
      <c r="G122" s="14" t="s">
        <v>606</v>
      </c>
      <c r="H122" s="257">
        <f>H90</f>
        <v>116672119.90617666</v>
      </c>
    </row>
    <row r="123" spans="2:24" x14ac:dyDescent="0.25">
      <c r="E123" s="295" t="s">
        <v>115</v>
      </c>
      <c r="F123" s="14"/>
      <c r="G123" s="14" t="s">
        <v>107</v>
      </c>
      <c r="H123" s="257">
        <f>SUM(K76:U76)</f>
        <v>3274152044.2851853</v>
      </c>
      <c r="X123" s="90"/>
    </row>
    <row r="124" spans="2:24" x14ac:dyDescent="0.25">
      <c r="B124" s="82"/>
      <c r="C124" s="96"/>
    </row>
    <row r="125" spans="2:24" x14ac:dyDescent="0.25">
      <c r="B125" s="95" t="s">
        <v>109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</row>
    <row r="127" spans="2:24" x14ac:dyDescent="0.25">
      <c r="E127" s="295" t="s">
        <v>516</v>
      </c>
      <c r="G127" s="122" t="s">
        <v>692</v>
      </c>
      <c r="H127" s="413">
        <f t="array" ref="H127">SUM(IF(ISERROR(H23:U123), 1))</f>
        <v>0</v>
      </c>
    </row>
    <row r="129" spans="2:23" x14ac:dyDescent="0.25">
      <c r="E129" s="295" t="s">
        <v>646</v>
      </c>
      <c r="G129" s="122" t="s">
        <v>692</v>
      </c>
      <c r="H129" s="413">
        <f>SUM(J129:U129)</f>
        <v>0</v>
      </c>
      <c r="J129" s="414"/>
      <c r="K129" s="414"/>
      <c r="L129" s="414"/>
      <c r="M129" s="414"/>
      <c r="N129" s="413">
        <f t="shared" ref="N129:U129" si="13">IFERROR(IF(OR(AND(N54&gt;0, N48=0), AND(N48&gt;0, N54=0)), 1, 0),1)</f>
        <v>0</v>
      </c>
      <c r="O129" s="413">
        <f t="shared" si="13"/>
        <v>0</v>
      </c>
      <c r="P129" s="413">
        <f t="shared" si="13"/>
        <v>0</v>
      </c>
      <c r="Q129" s="413">
        <f t="shared" si="13"/>
        <v>0</v>
      </c>
      <c r="R129" s="413">
        <f t="shared" si="13"/>
        <v>0</v>
      </c>
      <c r="S129" s="413">
        <f t="shared" si="13"/>
        <v>0</v>
      </c>
      <c r="T129" s="413">
        <f t="shared" si="13"/>
        <v>0</v>
      </c>
      <c r="U129" s="413">
        <f t="shared" si="13"/>
        <v>0</v>
      </c>
    </row>
    <row r="131" spans="2:23" x14ac:dyDescent="0.25">
      <c r="E131" s="295" t="s">
        <v>446</v>
      </c>
      <c r="G131" s="122" t="s">
        <v>692</v>
      </c>
      <c r="H131" s="312">
        <f>H127 + H129</f>
        <v>0</v>
      </c>
    </row>
    <row r="133" spans="2:23" x14ac:dyDescent="0.25">
      <c r="B133" s="95" t="s">
        <v>110</v>
      </c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</row>
  </sheetData>
  <sheetProtection sheet="1" objects="1" formatCells="0" formatColumns="0" formatRows="0" sort="0" autoFilter="0"/>
  <conditionalFormatting sqref="H127">
    <cfRule type="cellIs" dxfId="124" priority="5" operator="greaterThan">
      <formula>0</formula>
    </cfRule>
  </conditionalFormatting>
  <conditionalFormatting sqref="H129">
    <cfRule type="cellIs" dxfId="123" priority="4" operator="greaterThan">
      <formula>0</formula>
    </cfRule>
  </conditionalFormatting>
  <conditionalFormatting sqref="J129:U129">
    <cfRule type="cellIs" dxfId="122" priority="3" operator="greaterThan">
      <formula>0</formula>
    </cfRule>
  </conditionalFormatting>
  <conditionalFormatting sqref="H131:H132">
    <cfRule type="cellIs" dxfId="121" priority="2" operator="greaterThan">
      <formula>0</formula>
    </cfRule>
  </conditionalFormatting>
  <conditionalFormatting sqref="A4:XFD4">
    <cfRule type="expression" dxfId="120" priority="1">
      <formula>LEFT($A$4,1) &lt;&gt; "0"</formula>
    </cfRule>
  </conditionalFormatting>
  <hyperlinks>
    <hyperlink ref="B5:F5" location="'Model map'!A1" display="Click here to return to model map" xr:uid="{00000000-0004-0000-18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0">
    <tabColor theme="4" tint="0.59999389629810485"/>
    <pageSetUpPr fitToPage="1"/>
  </sheetPr>
  <dimension ref="A1:JU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81" width="24.5703125" style="295" hidden="1" customWidth="1"/>
    <col min="282" max="16384" width="8.85546875" style="295" hidden="1"/>
  </cols>
  <sheetData>
    <row r="1" spans="1:27" s="10" customFormat="1" x14ac:dyDescent="0.25">
      <c r="A1" s="10" t="str">
        <f ca="1">MID(CELL("filename",A1),FIND("]",CELL("filename",A1))+1,255)</f>
        <v>Initial unit rates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1" t="str">
        <f>H241 &amp; IF(H241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2" t="s">
        <v>552</v>
      </c>
      <c r="C5" s="373"/>
      <c r="D5" s="373"/>
      <c r="E5" s="373"/>
      <c r="F5" s="373"/>
      <c r="G5" s="1" t="s">
        <v>91</v>
      </c>
      <c r="H5" s="2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6" spans="1:27" x14ac:dyDescent="0.25">
      <c r="H6" s="88"/>
      <c r="I6" s="88"/>
      <c r="J6" s="88"/>
      <c r="K6" s="88"/>
      <c r="L6" s="88"/>
      <c r="M6" s="88"/>
      <c r="N6" s="88"/>
      <c r="P6" s="88"/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616</v>
      </c>
      <c r="E9" s="14"/>
    </row>
    <row r="11" spans="1:27" x14ac:dyDescent="0.25">
      <c r="B11" s="95" t="s">
        <v>771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3" spans="1:27" x14ac:dyDescent="0.25">
      <c r="C13" s="7" t="str">
        <f ca="1">INDEX('Version control'!$H$34:$H$58,MATCH($A$1,'Version control'!$F$34:$F$58,0),1)&amp;"-A: Inputs for yardstick and unit rate calculations"</f>
        <v>Section 512-A: Inputs for yardstick and unit rate calculations</v>
      </c>
      <c r="D13" s="7"/>
      <c r="E13" s="7"/>
      <c r="F13" s="7"/>
      <c r="G13" s="7"/>
      <c r="H13" s="7"/>
      <c r="I13" s="7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7"/>
      <c r="AA13" s="7"/>
    </row>
    <row r="14" spans="1:27" x14ac:dyDescent="0.25">
      <c r="C14" s="96"/>
      <c r="D14" s="96"/>
      <c r="E14" s="96"/>
      <c r="J14" s="90"/>
      <c r="L14" s="90"/>
    </row>
    <row r="15" spans="1:27" x14ac:dyDescent="0.25">
      <c r="D15" s="82" t="s">
        <v>449</v>
      </c>
    </row>
    <row r="17" spans="5:27" x14ac:dyDescent="0.25">
      <c r="E17" s="96" t="s">
        <v>631</v>
      </c>
      <c r="G17" s="14"/>
      <c r="H17" s="88"/>
      <c r="I17" s="88" t="s">
        <v>431</v>
      </c>
      <c r="AA17" s="295" t="s">
        <v>832</v>
      </c>
    </row>
    <row r="18" spans="5:27" x14ac:dyDescent="0.25">
      <c r="F18" s="415" t="s">
        <v>324</v>
      </c>
      <c r="G18" s="16" t="s">
        <v>108</v>
      </c>
      <c r="H18" s="239"/>
    </row>
    <row r="19" spans="5:27" x14ac:dyDescent="0.25">
      <c r="F19" s="416" t="s">
        <v>43</v>
      </c>
      <c r="G19" s="14" t="s">
        <v>108</v>
      </c>
      <c r="H19" s="280"/>
    </row>
    <row r="20" spans="5:27" x14ac:dyDescent="0.25">
      <c r="F20" s="416" t="s">
        <v>44</v>
      </c>
      <c r="G20" s="14" t="s">
        <v>108</v>
      </c>
      <c r="H20" s="417">
        <f t="array" ref="H20:H27">TRANSPOSE('Unit costs'!L114:S114)</f>
        <v>0</v>
      </c>
    </row>
    <row r="21" spans="5:27" x14ac:dyDescent="0.25">
      <c r="F21" s="416" t="s">
        <v>45</v>
      </c>
      <c r="G21" s="14" t="s">
        <v>108</v>
      </c>
      <c r="H21" s="417">
        <v>0</v>
      </c>
    </row>
    <row r="22" spans="5:27" x14ac:dyDescent="0.25">
      <c r="F22" s="416" t="s">
        <v>46</v>
      </c>
      <c r="G22" s="14" t="s">
        <v>108</v>
      </c>
      <c r="H22" s="417">
        <v>12.478071335403621</v>
      </c>
    </row>
    <row r="23" spans="5:27" x14ac:dyDescent="0.25">
      <c r="F23" s="416" t="s">
        <v>47</v>
      </c>
      <c r="G23" s="14" t="s">
        <v>108</v>
      </c>
      <c r="H23" s="417">
        <v>3.2261046387145558</v>
      </c>
    </row>
    <row r="24" spans="5:27" x14ac:dyDescent="0.25">
      <c r="F24" s="416" t="s">
        <v>51</v>
      </c>
      <c r="G24" s="14" t="s">
        <v>108</v>
      </c>
      <c r="H24" s="417">
        <v>0</v>
      </c>
    </row>
    <row r="25" spans="5:27" x14ac:dyDescent="0.25">
      <c r="F25" s="416" t="s">
        <v>48</v>
      </c>
      <c r="G25" s="14" t="s">
        <v>108</v>
      </c>
      <c r="H25" s="417">
        <v>14.056901421102715</v>
      </c>
    </row>
    <row r="26" spans="5:27" x14ac:dyDescent="0.25">
      <c r="F26" s="416" t="s">
        <v>49</v>
      </c>
      <c r="G26" s="14" t="s">
        <v>108</v>
      </c>
      <c r="H26" s="417">
        <v>3.5948780096052633</v>
      </c>
    </row>
    <row r="27" spans="5:27" x14ac:dyDescent="0.25">
      <c r="F27" s="418" t="s">
        <v>50</v>
      </c>
      <c r="G27" s="15" t="s">
        <v>108</v>
      </c>
      <c r="H27" s="285">
        <v>6.359458733192529</v>
      </c>
    </row>
    <row r="28" spans="5:27" x14ac:dyDescent="0.25">
      <c r="F28" s="416"/>
      <c r="G28" s="14"/>
      <c r="H28" s="274"/>
    </row>
    <row r="29" spans="5:27" x14ac:dyDescent="0.25">
      <c r="E29" s="96" t="s">
        <v>632</v>
      </c>
      <c r="G29" s="14"/>
      <c r="H29" s="253"/>
    </row>
    <row r="30" spans="5:27" x14ac:dyDescent="0.25">
      <c r="F30" s="415" t="s">
        <v>324</v>
      </c>
      <c r="G30" s="16" t="s">
        <v>1022</v>
      </c>
      <c r="H30" s="284">
        <f t="array" ref="H30:H39">TRANSPOSE('Unit costs'!J115:S115)</f>
        <v>12.977309793602421</v>
      </c>
    </row>
    <row r="31" spans="5:27" x14ac:dyDescent="0.25">
      <c r="F31" s="416" t="s">
        <v>43</v>
      </c>
      <c r="G31" s="14" t="s">
        <v>1022</v>
      </c>
      <c r="H31" s="417">
        <v>0</v>
      </c>
    </row>
    <row r="32" spans="5:27" x14ac:dyDescent="0.25">
      <c r="F32" s="416" t="s">
        <v>44</v>
      </c>
      <c r="G32" s="14" t="s">
        <v>1022</v>
      </c>
      <c r="H32" s="417">
        <v>0</v>
      </c>
    </row>
    <row r="33" spans="5:16" x14ac:dyDescent="0.25">
      <c r="F33" s="416" t="s">
        <v>45</v>
      </c>
      <c r="G33" s="14" t="s">
        <v>1022</v>
      </c>
      <c r="H33" s="417">
        <v>0</v>
      </c>
      <c r="J33" s="90"/>
      <c r="K33" s="90"/>
      <c r="L33" s="90"/>
      <c r="M33" s="90"/>
      <c r="N33" s="90"/>
    </row>
    <row r="34" spans="5:16" x14ac:dyDescent="0.25">
      <c r="F34" s="416" t="s">
        <v>46</v>
      </c>
      <c r="G34" s="14" t="s">
        <v>1022</v>
      </c>
      <c r="H34" s="417">
        <v>9.2218360722467949</v>
      </c>
      <c r="J34" s="90"/>
      <c r="K34" s="90"/>
      <c r="L34" s="90"/>
      <c r="M34" s="90"/>
      <c r="N34" s="90"/>
    </row>
    <row r="35" spans="5:16" x14ac:dyDescent="0.25">
      <c r="F35" s="416" t="s">
        <v>47</v>
      </c>
      <c r="G35" s="14" t="s">
        <v>1022</v>
      </c>
      <c r="H35" s="417">
        <v>2.3842312910754226</v>
      </c>
      <c r="J35" s="90"/>
      <c r="K35" s="90"/>
      <c r="L35" s="90"/>
      <c r="M35" s="90"/>
      <c r="N35" s="90"/>
    </row>
    <row r="36" spans="5:16" x14ac:dyDescent="0.25">
      <c r="F36" s="416" t="s">
        <v>51</v>
      </c>
      <c r="G36" s="14" t="s">
        <v>1022</v>
      </c>
      <c r="H36" s="417">
        <v>0</v>
      </c>
      <c r="J36" s="90"/>
      <c r="K36" s="90"/>
      <c r="L36" s="90"/>
      <c r="M36" s="90"/>
      <c r="N36" s="90"/>
    </row>
    <row r="37" spans="5:16" x14ac:dyDescent="0.25">
      <c r="F37" s="416" t="s">
        <v>48</v>
      </c>
      <c r="G37" s="14" t="s">
        <v>1022</v>
      </c>
      <c r="H37" s="417">
        <v>10.388660002395246</v>
      </c>
      <c r="J37" s="90"/>
      <c r="K37" s="90"/>
      <c r="L37" s="90"/>
      <c r="M37" s="90"/>
      <c r="N37" s="90"/>
      <c r="O37" s="90"/>
    </row>
    <row r="38" spans="5:16" x14ac:dyDescent="0.25">
      <c r="F38" s="416" t="s">
        <v>49</v>
      </c>
      <c r="G38" s="14" t="s">
        <v>1022</v>
      </c>
      <c r="H38" s="417">
        <v>2.6567708112266732</v>
      </c>
      <c r="J38" s="90"/>
      <c r="K38" s="90"/>
      <c r="L38" s="90"/>
      <c r="M38" s="90"/>
      <c r="N38" s="90"/>
      <c r="O38" s="90"/>
    </row>
    <row r="39" spans="5:16" x14ac:dyDescent="0.25">
      <c r="F39" s="418" t="s">
        <v>50</v>
      </c>
      <c r="G39" s="15" t="s">
        <v>1022</v>
      </c>
      <c r="H39" s="285">
        <v>4.6999159060203253</v>
      </c>
      <c r="J39" s="90"/>
      <c r="K39" s="90"/>
      <c r="L39" s="90"/>
      <c r="M39" s="90"/>
      <c r="N39" s="90"/>
      <c r="O39" s="90"/>
    </row>
    <row r="40" spans="5:16" x14ac:dyDescent="0.25">
      <c r="G40" s="14"/>
      <c r="H40" s="253"/>
      <c r="J40" s="90"/>
      <c r="K40" s="90"/>
      <c r="L40" s="90"/>
      <c r="M40" s="90"/>
      <c r="N40" s="90"/>
      <c r="O40" s="90"/>
    </row>
    <row r="41" spans="5:16" x14ac:dyDescent="0.25">
      <c r="E41" s="96" t="s">
        <v>628</v>
      </c>
      <c r="F41" s="96"/>
      <c r="H41" s="277"/>
      <c r="I41" s="88"/>
      <c r="J41" s="90"/>
      <c r="K41" s="90"/>
      <c r="L41" s="90"/>
      <c r="M41" s="90"/>
      <c r="N41" s="90"/>
      <c r="O41" s="90"/>
      <c r="P41" s="88"/>
    </row>
    <row r="42" spans="5:16" x14ac:dyDescent="0.25">
      <c r="E42" s="82" t="s">
        <v>239</v>
      </c>
      <c r="F42" s="82"/>
      <c r="H42" s="277"/>
      <c r="I42" s="88"/>
      <c r="J42" s="90"/>
      <c r="K42" s="90"/>
      <c r="L42" s="90"/>
      <c r="M42" s="90"/>
      <c r="N42" s="90"/>
      <c r="O42" s="90"/>
      <c r="P42" s="88"/>
    </row>
    <row r="43" spans="5:16" x14ac:dyDescent="0.25">
      <c r="F43" s="91" t="s">
        <v>324</v>
      </c>
      <c r="G43" s="91" t="s">
        <v>528</v>
      </c>
      <c r="H43" s="273">
        <f t="array" ref="H43:H52">TRANSPOSE('Load &amp; loss characteristics'!J29:S29)</f>
        <v>1</v>
      </c>
      <c r="I43" s="88"/>
      <c r="J43" s="90"/>
      <c r="K43" s="90"/>
      <c r="L43" s="90"/>
      <c r="M43" s="90"/>
      <c r="N43" s="90"/>
      <c r="O43" s="90"/>
    </row>
    <row r="44" spans="5:16" x14ac:dyDescent="0.25">
      <c r="F44" s="295" t="s">
        <v>43</v>
      </c>
      <c r="G44" s="295" t="s">
        <v>528</v>
      </c>
      <c r="H44" s="274">
        <v>1</v>
      </c>
      <c r="I44" s="88"/>
      <c r="J44" s="90"/>
      <c r="K44" s="90"/>
      <c r="L44" s="90"/>
      <c r="M44" s="90"/>
      <c r="N44" s="90"/>
      <c r="O44" s="90"/>
    </row>
    <row r="45" spans="5:16" x14ac:dyDescent="0.25">
      <c r="F45" s="295" t="s">
        <v>44</v>
      </c>
      <c r="G45" s="295" t="s">
        <v>528</v>
      </c>
      <c r="H45" s="274">
        <v>1</v>
      </c>
      <c r="I45" s="88"/>
      <c r="J45" s="90"/>
      <c r="K45" s="90"/>
      <c r="L45" s="90"/>
      <c r="M45" s="90"/>
      <c r="N45" s="90"/>
      <c r="O45" s="90"/>
    </row>
    <row r="46" spans="5:16" x14ac:dyDescent="0.25">
      <c r="F46" s="295" t="s">
        <v>45</v>
      </c>
      <c r="G46" s="295" t="s">
        <v>528</v>
      </c>
      <c r="H46" s="274">
        <v>1</v>
      </c>
      <c r="J46" s="90"/>
      <c r="K46" s="90"/>
      <c r="L46" s="90"/>
      <c r="M46" s="90"/>
      <c r="N46" s="90"/>
      <c r="O46" s="90"/>
    </row>
    <row r="47" spans="5:16" x14ac:dyDescent="0.25">
      <c r="F47" s="295" t="s">
        <v>46</v>
      </c>
      <c r="G47" s="295" t="s">
        <v>528</v>
      </c>
      <c r="H47" s="274">
        <v>1.004</v>
      </c>
      <c r="I47" s="88"/>
      <c r="J47" s="90"/>
      <c r="K47" s="90"/>
      <c r="L47" s="90"/>
      <c r="M47" s="90"/>
      <c r="N47" s="90"/>
      <c r="O47" s="90"/>
    </row>
    <row r="48" spans="5:16" x14ac:dyDescent="0.25">
      <c r="F48" s="295" t="s">
        <v>47</v>
      </c>
      <c r="G48" s="295" t="s">
        <v>528</v>
      </c>
      <c r="H48" s="274">
        <v>1.0129999999999999</v>
      </c>
      <c r="I48" s="88"/>
      <c r="J48" s="90"/>
      <c r="K48" s="90"/>
      <c r="L48" s="90"/>
      <c r="M48" s="90"/>
      <c r="N48" s="90"/>
      <c r="O48" s="90"/>
    </row>
    <row r="49" spans="4:25" x14ac:dyDescent="0.25">
      <c r="F49" s="295" t="s">
        <v>51</v>
      </c>
      <c r="G49" s="295" t="s">
        <v>528</v>
      </c>
      <c r="H49" s="274">
        <v>1.0129999999999999</v>
      </c>
      <c r="I49" s="88"/>
      <c r="J49" s="90"/>
      <c r="K49" s="90"/>
      <c r="L49" s="90"/>
      <c r="M49" s="90"/>
      <c r="N49" s="90"/>
      <c r="O49" s="90"/>
    </row>
    <row r="50" spans="4:25" x14ac:dyDescent="0.25">
      <c r="F50" s="295" t="s">
        <v>48</v>
      </c>
      <c r="G50" s="295" t="s">
        <v>528</v>
      </c>
      <c r="H50" s="274">
        <v>1.026</v>
      </c>
      <c r="J50" s="90"/>
      <c r="K50" s="90"/>
      <c r="L50" s="90"/>
      <c r="M50" s="90"/>
      <c r="N50" s="90"/>
      <c r="O50" s="90"/>
    </row>
    <row r="51" spans="4:25" x14ac:dyDescent="0.25">
      <c r="F51" s="295" t="s">
        <v>49</v>
      </c>
      <c r="G51" s="295" t="s">
        <v>528</v>
      </c>
      <c r="H51" s="274">
        <v>1.044</v>
      </c>
      <c r="I51" s="88"/>
      <c r="J51" s="90"/>
      <c r="K51" s="90"/>
      <c r="L51" s="90"/>
      <c r="M51" s="90"/>
      <c r="N51" s="90"/>
      <c r="O51" s="90"/>
    </row>
    <row r="52" spans="4:25" x14ac:dyDescent="0.25">
      <c r="F52" s="93" t="s">
        <v>50</v>
      </c>
      <c r="G52" s="93" t="s">
        <v>528</v>
      </c>
      <c r="H52" s="275">
        <v>1.0980000000000001</v>
      </c>
      <c r="I52" s="88"/>
      <c r="J52" s="90"/>
      <c r="K52" s="90"/>
      <c r="L52" s="90"/>
      <c r="M52" s="90"/>
      <c r="N52" s="90"/>
      <c r="O52" s="90"/>
    </row>
    <row r="53" spans="4:25" x14ac:dyDescent="0.25">
      <c r="G53" s="14"/>
      <c r="H53" s="88"/>
      <c r="I53" s="88"/>
      <c r="J53" s="90"/>
      <c r="K53" s="90"/>
      <c r="L53" s="90"/>
      <c r="M53" s="90"/>
      <c r="N53" s="90"/>
      <c r="O53" s="90"/>
    </row>
    <row r="54" spans="4:25" x14ac:dyDescent="0.25">
      <c r="E54" s="96" t="s">
        <v>406</v>
      </c>
      <c r="F54" s="96"/>
      <c r="J54" s="90"/>
      <c r="L54" s="90"/>
    </row>
    <row r="55" spans="4:25" x14ac:dyDescent="0.25">
      <c r="D55" s="96"/>
      <c r="E55" s="96"/>
      <c r="F55" s="415" t="s">
        <v>324</v>
      </c>
      <c r="G55" s="91" t="s">
        <v>528</v>
      </c>
      <c r="H55" s="91"/>
      <c r="I55" s="91"/>
      <c r="J55" s="284">
        <f t="array" ref="J55:Y64">TRANSPOSE('Load &amp; loss characteristics'!J145:S160)</f>
        <v>1.0980000000000001</v>
      </c>
      <c r="K55" s="284">
        <v>1.0980000000000001</v>
      </c>
      <c r="L55" s="284">
        <v>1.0980000000000001</v>
      </c>
      <c r="M55" s="284">
        <v>1.0980000000000001</v>
      </c>
      <c r="N55" s="284">
        <v>1.0980000000000001</v>
      </c>
      <c r="O55" s="284">
        <v>1.044</v>
      </c>
      <c r="P55" s="284">
        <v>1.026</v>
      </c>
      <c r="Q55" s="284">
        <v>1.0980000000000001</v>
      </c>
      <c r="R55" s="284">
        <v>-1.0980000000000001</v>
      </c>
      <c r="S55" s="284">
        <v>-1.044</v>
      </c>
      <c r="T55" s="284">
        <v>-1.0980000000000001</v>
      </c>
      <c r="U55" s="284">
        <v>-1.0980000000000001</v>
      </c>
      <c r="V55" s="284">
        <v>-1.044</v>
      </c>
      <c r="W55" s="284">
        <v>-1.044</v>
      </c>
      <c r="X55" s="284">
        <v>-1.026</v>
      </c>
      <c r="Y55" s="284">
        <v>-1.026</v>
      </c>
    </row>
    <row r="56" spans="4:25" x14ac:dyDescent="0.25">
      <c r="D56" s="96"/>
      <c r="E56" s="96"/>
      <c r="F56" s="416" t="s">
        <v>43</v>
      </c>
      <c r="G56" s="295" t="s">
        <v>528</v>
      </c>
      <c r="J56" s="417">
        <v>1.0980000000000001</v>
      </c>
      <c r="K56" s="417">
        <v>1.0980000000000001</v>
      </c>
      <c r="L56" s="417">
        <v>1.0980000000000001</v>
      </c>
      <c r="M56" s="417">
        <v>1.0980000000000001</v>
      </c>
      <c r="N56" s="417">
        <v>1.0980000000000001</v>
      </c>
      <c r="O56" s="417">
        <v>1.044</v>
      </c>
      <c r="P56" s="417">
        <v>1.026</v>
      </c>
      <c r="Q56" s="417">
        <v>1.0980000000000001</v>
      </c>
      <c r="R56" s="417">
        <v>-1.0980000000000001</v>
      </c>
      <c r="S56" s="417">
        <v>-1.044</v>
      </c>
      <c r="T56" s="417">
        <v>-1.0980000000000001</v>
      </c>
      <c r="U56" s="417">
        <v>-1.0980000000000001</v>
      </c>
      <c r="V56" s="417">
        <v>-1.044</v>
      </c>
      <c r="W56" s="417">
        <v>-1.044</v>
      </c>
      <c r="X56" s="417">
        <v>-1.026</v>
      </c>
      <c r="Y56" s="417">
        <v>-1.026</v>
      </c>
    </row>
    <row r="57" spans="4:25" x14ac:dyDescent="0.25">
      <c r="D57" s="96"/>
      <c r="E57" s="96"/>
      <c r="F57" s="416" t="s">
        <v>44</v>
      </c>
      <c r="G57" s="295" t="s">
        <v>528</v>
      </c>
      <c r="J57" s="417">
        <v>1.0980000000000001</v>
      </c>
      <c r="K57" s="417">
        <v>1.0980000000000001</v>
      </c>
      <c r="L57" s="417">
        <v>1.0980000000000001</v>
      </c>
      <c r="M57" s="417">
        <v>1.0980000000000001</v>
      </c>
      <c r="N57" s="417">
        <v>1.0980000000000001</v>
      </c>
      <c r="O57" s="417">
        <v>1.044</v>
      </c>
      <c r="P57" s="417">
        <v>1.026</v>
      </c>
      <c r="Q57" s="417">
        <v>1.0980000000000001</v>
      </c>
      <c r="R57" s="417">
        <v>-1.0980000000000001</v>
      </c>
      <c r="S57" s="417">
        <v>-1.044</v>
      </c>
      <c r="T57" s="417">
        <v>-1.0980000000000001</v>
      </c>
      <c r="U57" s="417">
        <v>-1.0980000000000001</v>
      </c>
      <c r="V57" s="417">
        <v>-1.044</v>
      </c>
      <c r="W57" s="417">
        <v>-1.044</v>
      </c>
      <c r="X57" s="417">
        <v>-1.026</v>
      </c>
      <c r="Y57" s="417">
        <v>-1.026</v>
      </c>
    </row>
    <row r="58" spans="4:25" x14ac:dyDescent="0.25">
      <c r="D58" s="96"/>
      <c r="E58" s="96"/>
      <c r="F58" s="416" t="s">
        <v>45</v>
      </c>
      <c r="G58" s="295" t="s">
        <v>528</v>
      </c>
      <c r="J58" s="417">
        <v>1.0980000000000001</v>
      </c>
      <c r="K58" s="417">
        <v>1.0980000000000001</v>
      </c>
      <c r="L58" s="417">
        <v>1.0980000000000001</v>
      </c>
      <c r="M58" s="417">
        <v>1.0980000000000001</v>
      </c>
      <c r="N58" s="417">
        <v>1.0980000000000001</v>
      </c>
      <c r="O58" s="417">
        <v>1.044</v>
      </c>
      <c r="P58" s="417">
        <v>1.026</v>
      </c>
      <c r="Q58" s="417">
        <v>1.0980000000000001</v>
      </c>
      <c r="R58" s="417">
        <v>-1.0980000000000001</v>
      </c>
      <c r="S58" s="417">
        <v>-1.044</v>
      </c>
      <c r="T58" s="417">
        <v>-1.0980000000000001</v>
      </c>
      <c r="U58" s="417">
        <v>-1.0980000000000001</v>
      </c>
      <c r="V58" s="417">
        <v>-1.044</v>
      </c>
      <c r="W58" s="417">
        <v>-1.044</v>
      </c>
      <c r="X58" s="417">
        <v>-1.026</v>
      </c>
      <c r="Y58" s="417">
        <v>-1.026</v>
      </c>
    </row>
    <row r="59" spans="4:25" x14ac:dyDescent="0.25">
      <c r="D59" s="96"/>
      <c r="E59" s="96"/>
      <c r="F59" s="416" t="s">
        <v>46</v>
      </c>
      <c r="G59" s="295" t="s">
        <v>528</v>
      </c>
      <c r="J59" s="417">
        <v>1.0980000000000001</v>
      </c>
      <c r="K59" s="417">
        <v>1.0980000000000001</v>
      </c>
      <c r="L59" s="417">
        <v>1.0980000000000001</v>
      </c>
      <c r="M59" s="417">
        <v>1.0980000000000001</v>
      </c>
      <c r="N59" s="417">
        <v>1.0980000000000001</v>
      </c>
      <c r="O59" s="417">
        <v>1.044</v>
      </c>
      <c r="P59" s="417">
        <v>1.026</v>
      </c>
      <c r="Q59" s="417">
        <v>1.0980000000000001</v>
      </c>
      <c r="R59" s="417">
        <v>-1.0980000000000001</v>
      </c>
      <c r="S59" s="417">
        <v>-1.044</v>
      </c>
      <c r="T59" s="417">
        <v>-1.0980000000000001</v>
      </c>
      <c r="U59" s="417">
        <v>-1.0980000000000001</v>
      </c>
      <c r="V59" s="417">
        <v>-1.044</v>
      </c>
      <c r="W59" s="417">
        <v>-1.044</v>
      </c>
      <c r="X59" s="417">
        <v>-1.026</v>
      </c>
      <c r="Y59" s="417">
        <v>-1.026</v>
      </c>
    </row>
    <row r="60" spans="4:25" x14ac:dyDescent="0.25">
      <c r="D60" s="96"/>
      <c r="E60" s="96"/>
      <c r="F60" s="416" t="s">
        <v>47</v>
      </c>
      <c r="G60" s="295" t="s">
        <v>528</v>
      </c>
      <c r="J60" s="417">
        <v>1.0980000000000001</v>
      </c>
      <c r="K60" s="417">
        <v>1.0980000000000001</v>
      </c>
      <c r="L60" s="417">
        <v>1.0980000000000001</v>
      </c>
      <c r="M60" s="417">
        <v>1.0980000000000001</v>
      </c>
      <c r="N60" s="417">
        <v>1.0980000000000001</v>
      </c>
      <c r="O60" s="417">
        <v>1.044</v>
      </c>
      <c r="P60" s="417">
        <v>1.026</v>
      </c>
      <c r="Q60" s="417">
        <v>1.0980000000000001</v>
      </c>
      <c r="R60" s="417">
        <v>-1.0980000000000001</v>
      </c>
      <c r="S60" s="417">
        <v>-1.044</v>
      </c>
      <c r="T60" s="417">
        <v>-1.0980000000000001</v>
      </c>
      <c r="U60" s="417">
        <v>-1.0980000000000001</v>
      </c>
      <c r="V60" s="417">
        <v>-1.044</v>
      </c>
      <c r="W60" s="417">
        <v>-1.044</v>
      </c>
      <c r="X60" s="417">
        <v>-1.026</v>
      </c>
      <c r="Y60" s="417">
        <v>-1.026</v>
      </c>
    </row>
    <row r="61" spans="4:25" x14ac:dyDescent="0.25">
      <c r="D61" s="96"/>
      <c r="E61" s="96"/>
      <c r="F61" s="416" t="s">
        <v>51</v>
      </c>
      <c r="G61" s="295" t="s">
        <v>528</v>
      </c>
      <c r="J61" s="417">
        <v>0</v>
      </c>
      <c r="K61" s="417">
        <v>0</v>
      </c>
      <c r="L61" s="417">
        <v>0</v>
      </c>
      <c r="M61" s="417">
        <v>0</v>
      </c>
      <c r="N61" s="417">
        <v>0</v>
      </c>
      <c r="O61" s="417">
        <v>0</v>
      </c>
      <c r="P61" s="417">
        <v>0</v>
      </c>
      <c r="Q61" s="417">
        <v>0</v>
      </c>
      <c r="R61" s="417">
        <v>0</v>
      </c>
      <c r="S61" s="417">
        <v>0</v>
      </c>
      <c r="T61" s="417">
        <v>0</v>
      </c>
      <c r="U61" s="417">
        <v>0</v>
      </c>
      <c r="V61" s="417">
        <v>0</v>
      </c>
      <c r="W61" s="417">
        <v>0</v>
      </c>
      <c r="X61" s="417">
        <v>0</v>
      </c>
      <c r="Y61" s="417">
        <v>0</v>
      </c>
    </row>
    <row r="62" spans="4:25" x14ac:dyDescent="0.25">
      <c r="D62" s="96"/>
      <c r="E62" s="96"/>
      <c r="F62" s="416" t="s">
        <v>48</v>
      </c>
      <c r="G62" s="295" t="s">
        <v>528</v>
      </c>
      <c r="J62" s="417">
        <v>1.0980000000000001</v>
      </c>
      <c r="K62" s="417">
        <v>1.0980000000000001</v>
      </c>
      <c r="L62" s="417">
        <v>1.0980000000000001</v>
      </c>
      <c r="M62" s="417">
        <v>1.0980000000000001</v>
      </c>
      <c r="N62" s="417">
        <v>1.0980000000000001</v>
      </c>
      <c r="O62" s="417">
        <v>1.044</v>
      </c>
      <c r="P62" s="417">
        <v>1.026</v>
      </c>
      <c r="Q62" s="417">
        <v>1.0980000000000001</v>
      </c>
      <c r="R62" s="417">
        <v>-1.0980000000000001</v>
      </c>
      <c r="S62" s="417">
        <v>-1.044</v>
      </c>
      <c r="T62" s="417">
        <v>-1.0980000000000001</v>
      </c>
      <c r="U62" s="417">
        <v>-1.0980000000000001</v>
      </c>
      <c r="V62" s="417">
        <v>-1.044</v>
      </c>
      <c r="W62" s="417">
        <v>-1.044</v>
      </c>
      <c r="X62" s="417">
        <v>0</v>
      </c>
      <c r="Y62" s="417">
        <v>0</v>
      </c>
    </row>
    <row r="63" spans="4:25" x14ac:dyDescent="0.25">
      <c r="D63" s="96"/>
      <c r="E63" s="96"/>
      <c r="F63" s="416" t="s">
        <v>49</v>
      </c>
      <c r="G63" s="295" t="s">
        <v>528</v>
      </c>
      <c r="J63" s="417">
        <v>1.0980000000000001</v>
      </c>
      <c r="K63" s="417">
        <v>1.0980000000000001</v>
      </c>
      <c r="L63" s="417">
        <v>1.0980000000000001</v>
      </c>
      <c r="M63" s="417">
        <v>1.0980000000000001</v>
      </c>
      <c r="N63" s="417">
        <v>1.0980000000000001</v>
      </c>
      <c r="O63" s="417">
        <v>1.044</v>
      </c>
      <c r="P63" s="417">
        <v>0</v>
      </c>
      <c r="Q63" s="417">
        <v>1.0980000000000001</v>
      </c>
      <c r="R63" s="417">
        <v>-1.0980000000000001</v>
      </c>
      <c r="S63" s="417">
        <v>0</v>
      </c>
      <c r="T63" s="417">
        <v>-1.0980000000000001</v>
      </c>
      <c r="U63" s="417">
        <v>-1.0980000000000001</v>
      </c>
      <c r="V63" s="417">
        <v>0</v>
      </c>
      <c r="W63" s="417">
        <v>0</v>
      </c>
      <c r="X63" s="417">
        <v>0</v>
      </c>
      <c r="Y63" s="417">
        <v>0</v>
      </c>
    </row>
    <row r="64" spans="4:25" x14ac:dyDescent="0.25">
      <c r="D64" s="96"/>
      <c r="E64" s="96"/>
      <c r="F64" s="418" t="s">
        <v>50</v>
      </c>
      <c r="G64" s="93" t="s">
        <v>528</v>
      </c>
      <c r="H64" s="93"/>
      <c r="I64" s="93"/>
      <c r="J64" s="285">
        <v>1.0980000000000001</v>
      </c>
      <c r="K64" s="285">
        <v>1.0980000000000001</v>
      </c>
      <c r="L64" s="285">
        <v>1.0980000000000001</v>
      </c>
      <c r="M64" s="285">
        <v>1.0980000000000001</v>
      </c>
      <c r="N64" s="285">
        <v>1.0980000000000001</v>
      </c>
      <c r="O64" s="285">
        <v>0</v>
      </c>
      <c r="P64" s="285">
        <v>0</v>
      </c>
      <c r="Q64" s="285">
        <v>1.0980000000000001</v>
      </c>
      <c r="R64" s="285">
        <v>0</v>
      </c>
      <c r="S64" s="285">
        <v>0</v>
      </c>
      <c r="T64" s="285">
        <v>0</v>
      </c>
      <c r="U64" s="285">
        <v>0</v>
      </c>
      <c r="V64" s="285">
        <v>0</v>
      </c>
      <c r="W64" s="285">
        <v>0</v>
      </c>
      <c r="X64" s="285">
        <v>0</v>
      </c>
      <c r="Y64" s="285">
        <v>0</v>
      </c>
    </row>
    <row r="65" spans="3:25" x14ac:dyDescent="0.25">
      <c r="D65" s="96"/>
      <c r="E65" s="96"/>
      <c r="J65" s="238"/>
      <c r="K65" s="238"/>
      <c r="L65" s="238"/>
      <c r="M65" s="238"/>
      <c r="N65" s="238"/>
      <c r="O65" s="238"/>
      <c r="P65" s="238"/>
      <c r="Q65" s="238"/>
      <c r="R65" s="238"/>
      <c r="S65" s="238"/>
      <c r="T65" s="238"/>
      <c r="U65" s="238"/>
      <c r="V65" s="238"/>
      <c r="W65" s="238"/>
      <c r="X65" s="238"/>
      <c r="Y65" s="238"/>
    </row>
    <row r="66" spans="3:25" x14ac:dyDescent="0.25">
      <c r="E66" s="96" t="s">
        <v>622</v>
      </c>
      <c r="J66" s="238"/>
      <c r="K66" s="238"/>
      <c r="L66" s="238"/>
      <c r="M66" s="238"/>
      <c r="N66" s="238"/>
      <c r="O66" s="238"/>
      <c r="P66" s="238"/>
      <c r="Q66" s="238"/>
      <c r="R66" s="238"/>
      <c r="S66" s="238"/>
      <c r="T66" s="238"/>
      <c r="U66" s="238"/>
      <c r="V66" s="238"/>
      <c r="W66" s="238"/>
      <c r="X66" s="238"/>
      <c r="Y66" s="238"/>
    </row>
    <row r="67" spans="3:25" x14ac:dyDescent="0.25">
      <c r="D67" s="96"/>
      <c r="E67" s="96"/>
      <c r="F67" s="415" t="s">
        <v>324</v>
      </c>
      <c r="G67" s="16" t="s">
        <v>94</v>
      </c>
      <c r="H67" s="91"/>
      <c r="I67" s="91"/>
      <c r="J67" s="245"/>
      <c r="K67" s="245"/>
      <c r="L67" s="245"/>
      <c r="M67" s="245"/>
      <c r="N67" s="245"/>
      <c r="O67" s="245"/>
      <c r="P67" s="245"/>
      <c r="Q67" s="245"/>
      <c r="R67" s="245"/>
      <c r="S67" s="245"/>
      <c r="T67" s="245"/>
      <c r="U67" s="245"/>
      <c r="V67" s="245"/>
      <c r="W67" s="245"/>
      <c r="X67" s="245"/>
      <c r="Y67" s="245"/>
    </row>
    <row r="68" spans="3:25" x14ac:dyDescent="0.25">
      <c r="D68" s="96"/>
      <c r="E68" s="96"/>
      <c r="F68" s="416" t="s">
        <v>43</v>
      </c>
      <c r="G68" s="14" t="s">
        <v>94</v>
      </c>
      <c r="J68" s="419"/>
      <c r="K68" s="419"/>
      <c r="L68" s="419"/>
      <c r="M68" s="419"/>
      <c r="N68" s="419"/>
      <c r="O68" s="419"/>
      <c r="P68" s="419"/>
      <c r="Q68" s="419"/>
      <c r="R68" s="419"/>
      <c r="S68" s="419"/>
      <c r="T68" s="419"/>
      <c r="U68" s="419"/>
      <c r="V68" s="419"/>
      <c r="W68" s="419"/>
      <c r="X68" s="419"/>
      <c r="Y68" s="419"/>
    </row>
    <row r="69" spans="3:25" x14ac:dyDescent="0.25">
      <c r="D69" s="96"/>
      <c r="E69" s="96"/>
      <c r="F69" s="416" t="s">
        <v>44</v>
      </c>
      <c r="G69" s="14" t="s">
        <v>94</v>
      </c>
      <c r="J69" s="417">
        <f t="array" ref="J69:Y76">TRANSPOSE('Customer contributions'!L51:S66)</f>
        <v>0</v>
      </c>
      <c r="K69" s="417">
        <v>0</v>
      </c>
      <c r="L69" s="417">
        <v>0</v>
      </c>
      <c r="M69" s="417">
        <v>0</v>
      </c>
      <c r="N69" s="417">
        <v>0</v>
      </c>
      <c r="O69" s="417">
        <v>0</v>
      </c>
      <c r="P69" s="417">
        <v>0</v>
      </c>
      <c r="Q69" s="417">
        <v>0</v>
      </c>
      <c r="R69" s="417">
        <v>0</v>
      </c>
      <c r="S69" s="417">
        <v>0</v>
      </c>
      <c r="T69" s="417">
        <v>0</v>
      </c>
      <c r="U69" s="417">
        <v>0</v>
      </c>
      <c r="V69" s="417">
        <v>0</v>
      </c>
      <c r="W69" s="417">
        <v>0</v>
      </c>
      <c r="X69" s="417">
        <v>0</v>
      </c>
      <c r="Y69" s="417">
        <v>0</v>
      </c>
    </row>
    <row r="70" spans="3:25" x14ac:dyDescent="0.25">
      <c r="D70" s="96"/>
      <c r="E70" s="96"/>
      <c r="F70" s="416" t="s">
        <v>45</v>
      </c>
      <c r="G70" s="14" t="s">
        <v>94</v>
      </c>
      <c r="J70" s="417">
        <v>0</v>
      </c>
      <c r="K70" s="417">
        <v>0</v>
      </c>
      <c r="L70" s="417">
        <v>0</v>
      </c>
      <c r="M70" s="417">
        <v>0</v>
      </c>
      <c r="N70" s="417">
        <v>0</v>
      </c>
      <c r="O70" s="417">
        <v>0</v>
      </c>
      <c r="P70" s="417">
        <v>0</v>
      </c>
      <c r="Q70" s="417">
        <v>0</v>
      </c>
      <c r="R70" s="417">
        <v>0</v>
      </c>
      <c r="S70" s="417">
        <v>0</v>
      </c>
      <c r="T70" s="417">
        <v>0</v>
      </c>
      <c r="U70" s="417">
        <v>0</v>
      </c>
      <c r="V70" s="417">
        <v>0</v>
      </c>
      <c r="W70" s="417">
        <v>0</v>
      </c>
      <c r="X70" s="417">
        <v>0</v>
      </c>
      <c r="Y70" s="417">
        <v>0</v>
      </c>
    </row>
    <row r="71" spans="3:25" x14ac:dyDescent="0.25">
      <c r="D71" s="96"/>
      <c r="E71" s="96"/>
      <c r="F71" s="416" t="s">
        <v>46</v>
      </c>
      <c r="G71" s="14" t="s">
        <v>94</v>
      </c>
      <c r="J71" s="417">
        <v>0</v>
      </c>
      <c r="K71" s="417">
        <v>0</v>
      </c>
      <c r="L71" s="417">
        <v>0</v>
      </c>
      <c r="M71" s="417">
        <v>0</v>
      </c>
      <c r="N71" s="417">
        <v>0</v>
      </c>
      <c r="O71" s="417">
        <v>0</v>
      </c>
      <c r="P71" s="417">
        <v>3.11004784688995E-2</v>
      </c>
      <c r="Q71" s="417">
        <v>0</v>
      </c>
      <c r="R71" s="417">
        <v>0</v>
      </c>
      <c r="S71" s="417">
        <v>0</v>
      </c>
      <c r="T71" s="417">
        <v>0</v>
      </c>
      <c r="U71" s="417">
        <v>0</v>
      </c>
      <c r="V71" s="417">
        <v>0</v>
      </c>
      <c r="W71" s="417">
        <v>0</v>
      </c>
      <c r="X71" s="417">
        <v>3.11004784688995E-2</v>
      </c>
      <c r="Y71" s="417">
        <v>3.11004784688995E-2</v>
      </c>
    </row>
    <row r="72" spans="3:25" x14ac:dyDescent="0.25">
      <c r="D72" s="96"/>
      <c r="E72" s="96"/>
      <c r="F72" s="416" t="s">
        <v>47</v>
      </c>
      <c r="G72" s="14" t="s">
        <v>94</v>
      </c>
      <c r="J72" s="417">
        <v>0</v>
      </c>
      <c r="K72" s="417">
        <v>0</v>
      </c>
      <c r="L72" s="417">
        <v>0</v>
      </c>
      <c r="M72" s="417">
        <v>0</v>
      </c>
      <c r="N72" s="417">
        <v>0</v>
      </c>
      <c r="O72" s="417">
        <v>0</v>
      </c>
      <c r="P72" s="417">
        <v>0.14212259371833799</v>
      </c>
      <c r="Q72" s="417">
        <v>0</v>
      </c>
      <c r="R72" s="417">
        <v>0</v>
      </c>
      <c r="S72" s="417">
        <v>0</v>
      </c>
      <c r="T72" s="417">
        <v>0</v>
      </c>
      <c r="U72" s="417">
        <v>0</v>
      </c>
      <c r="V72" s="417">
        <v>0</v>
      </c>
      <c r="W72" s="417">
        <v>0</v>
      </c>
      <c r="X72" s="417">
        <v>0.14212259371833799</v>
      </c>
      <c r="Y72" s="417">
        <v>0.14212259371833799</v>
      </c>
    </row>
    <row r="73" spans="3:25" x14ac:dyDescent="0.25">
      <c r="D73" s="96"/>
      <c r="E73" s="96"/>
      <c r="F73" s="416" t="s">
        <v>51</v>
      </c>
      <c r="G73" s="14" t="s">
        <v>94</v>
      </c>
      <c r="J73" s="417">
        <v>0</v>
      </c>
      <c r="K73" s="417">
        <v>0</v>
      </c>
      <c r="L73" s="417">
        <v>0</v>
      </c>
      <c r="M73" s="417">
        <v>0</v>
      </c>
      <c r="N73" s="417">
        <v>0</v>
      </c>
      <c r="O73" s="417">
        <v>0</v>
      </c>
      <c r="P73" s="417">
        <v>0</v>
      </c>
      <c r="Q73" s="417">
        <v>0</v>
      </c>
      <c r="R73" s="417">
        <v>0</v>
      </c>
      <c r="S73" s="417">
        <v>0</v>
      </c>
      <c r="T73" s="417">
        <v>0</v>
      </c>
      <c r="U73" s="417">
        <v>0</v>
      </c>
      <c r="V73" s="417">
        <v>0</v>
      </c>
      <c r="W73" s="417">
        <v>0</v>
      </c>
      <c r="X73" s="417">
        <v>0</v>
      </c>
      <c r="Y73" s="417">
        <v>0</v>
      </c>
    </row>
    <row r="74" spans="3:25" x14ac:dyDescent="0.25">
      <c r="D74" s="96"/>
      <c r="E74" s="96"/>
      <c r="F74" s="416" t="s">
        <v>48</v>
      </c>
      <c r="G74" s="14" t="s">
        <v>94</v>
      </c>
      <c r="J74" s="417">
        <v>0.20065197841726601</v>
      </c>
      <c r="K74" s="417">
        <v>0.20065197841726601</v>
      </c>
      <c r="L74" s="417">
        <v>0.20065197841726601</v>
      </c>
      <c r="M74" s="417">
        <v>0.20065197841726601</v>
      </c>
      <c r="N74" s="417">
        <v>0.20065197841726601</v>
      </c>
      <c r="O74" s="417">
        <v>0.20065197841726601</v>
      </c>
      <c r="P74" s="417">
        <v>0.45146695143884902</v>
      </c>
      <c r="Q74" s="417">
        <v>0.20065197841726601</v>
      </c>
      <c r="R74" s="417">
        <v>0.20065197841726601</v>
      </c>
      <c r="S74" s="417">
        <v>0.20065197841726601</v>
      </c>
      <c r="T74" s="417">
        <v>0.20065197841726601</v>
      </c>
      <c r="U74" s="417">
        <v>0.20065197841726601</v>
      </c>
      <c r="V74" s="417">
        <v>0.20065197841726601</v>
      </c>
      <c r="W74" s="417">
        <v>0.20065197841726601</v>
      </c>
      <c r="X74" s="417">
        <v>0.45146695143884902</v>
      </c>
      <c r="Y74" s="417">
        <v>0.45146695143884902</v>
      </c>
    </row>
    <row r="75" spans="3:25" x14ac:dyDescent="0.25">
      <c r="D75" s="96"/>
      <c r="E75" s="96"/>
      <c r="F75" s="416" t="s">
        <v>49</v>
      </c>
      <c r="G75" s="14" t="s">
        <v>94</v>
      </c>
      <c r="J75" s="417">
        <v>0.26968503937007898</v>
      </c>
      <c r="K75" s="417">
        <v>0.26968503937007898</v>
      </c>
      <c r="L75" s="417">
        <v>0.26968503937007898</v>
      </c>
      <c r="M75" s="417">
        <v>0.26968503937007898</v>
      </c>
      <c r="N75" s="417">
        <v>0.26968503937007898</v>
      </c>
      <c r="O75" s="417">
        <v>0.26968503937007898</v>
      </c>
      <c r="P75" s="417">
        <v>0</v>
      </c>
      <c r="Q75" s="417">
        <v>0.26968503937007898</v>
      </c>
      <c r="R75" s="417">
        <v>0.26968503937007898</v>
      </c>
      <c r="S75" s="417">
        <v>0.26968503937007898</v>
      </c>
      <c r="T75" s="417">
        <v>0.26968503937007898</v>
      </c>
      <c r="U75" s="417">
        <v>0.26968503937007898</v>
      </c>
      <c r="V75" s="417">
        <v>0.26968503937007898</v>
      </c>
      <c r="W75" s="417">
        <v>0.26968503937007898</v>
      </c>
      <c r="X75" s="417">
        <v>0</v>
      </c>
      <c r="Y75" s="417">
        <v>0</v>
      </c>
    </row>
    <row r="76" spans="3:25" x14ac:dyDescent="0.25">
      <c r="D76" s="96"/>
      <c r="E76" s="96"/>
      <c r="F76" s="418" t="s">
        <v>50</v>
      </c>
      <c r="G76" s="15" t="s">
        <v>94</v>
      </c>
      <c r="H76" s="93"/>
      <c r="I76" s="93"/>
      <c r="J76" s="285">
        <v>0.92371773930088197</v>
      </c>
      <c r="K76" s="285">
        <v>0.92371773930088197</v>
      </c>
      <c r="L76" s="285">
        <v>0.92371773930088197</v>
      </c>
      <c r="M76" s="285">
        <v>0.92371773930088197</v>
      </c>
      <c r="N76" s="285">
        <v>0.92371773930088197</v>
      </c>
      <c r="O76" s="285">
        <v>0</v>
      </c>
      <c r="P76" s="285">
        <v>0</v>
      </c>
      <c r="Q76" s="285">
        <v>0.92371773930088197</v>
      </c>
      <c r="R76" s="285">
        <v>0.92371773930088197</v>
      </c>
      <c r="S76" s="285">
        <v>0</v>
      </c>
      <c r="T76" s="285">
        <v>0.92371773930088197</v>
      </c>
      <c r="U76" s="285">
        <v>0.92371773930088197</v>
      </c>
      <c r="V76" s="285">
        <v>0</v>
      </c>
      <c r="W76" s="285">
        <v>0</v>
      </c>
      <c r="X76" s="285">
        <v>0</v>
      </c>
      <c r="Y76" s="285">
        <v>0</v>
      </c>
    </row>
    <row r="77" spans="3:25" x14ac:dyDescent="0.25">
      <c r="C77" s="96"/>
      <c r="D77" s="96"/>
      <c r="J77" s="238"/>
      <c r="K77" s="238"/>
      <c r="L77" s="238"/>
      <c r="M77" s="238"/>
      <c r="N77" s="238"/>
      <c r="O77" s="238"/>
      <c r="P77" s="238"/>
      <c r="Q77" s="238"/>
      <c r="R77" s="238"/>
      <c r="S77" s="238"/>
      <c r="T77" s="238"/>
      <c r="U77" s="238"/>
      <c r="V77" s="238"/>
      <c r="W77" s="238"/>
      <c r="X77" s="238"/>
      <c r="Y77" s="238"/>
    </row>
    <row r="78" spans="3:25" x14ac:dyDescent="0.25">
      <c r="E78" s="14" t="s">
        <v>143</v>
      </c>
      <c r="F78" s="14"/>
      <c r="G78" s="14" t="s">
        <v>528</v>
      </c>
      <c r="J78" s="417">
        <f>'Pseudo-load coefficients'!J267</f>
        <v>2.0029717682020798</v>
      </c>
      <c r="K78" s="417">
        <f>'Pseudo-load coefficients'!K267</f>
        <v>0</v>
      </c>
      <c r="L78" s="417">
        <f>'Pseudo-load coefficients'!L267</f>
        <v>1.5943999999999998</v>
      </c>
      <c r="M78" s="417">
        <f>'Pseudo-load coefficients'!M267</f>
        <v>0</v>
      </c>
      <c r="N78" s="417">
        <f>'Pseudo-load coefficients'!N267</f>
        <v>1.40947242206235</v>
      </c>
      <c r="O78" s="417">
        <f>'Pseudo-load coefficients'!O267</f>
        <v>1.1674925668979186</v>
      </c>
      <c r="P78" s="417">
        <f>'Pseudo-load coefficients'!P267</f>
        <v>1.1495920217588396</v>
      </c>
      <c r="Q78" s="417">
        <f>'Pseudo-load coefficients'!Q267</f>
        <v>2.0203636363636366</v>
      </c>
      <c r="R78" s="417">
        <f>'Pseudo-load coefficients'!R267</f>
        <v>1</v>
      </c>
      <c r="S78" s="417">
        <f>'Pseudo-load coefficients'!S267</f>
        <v>1</v>
      </c>
      <c r="T78" s="417">
        <f>'Pseudo-load coefficients'!T267</f>
        <v>1</v>
      </c>
      <c r="U78" s="417">
        <f>'Pseudo-load coefficients'!U267</f>
        <v>1</v>
      </c>
      <c r="V78" s="417">
        <f>'Pseudo-load coefficients'!V267</f>
        <v>1</v>
      </c>
      <c r="W78" s="417">
        <f>'Pseudo-load coefficients'!W267</f>
        <v>1</v>
      </c>
      <c r="X78" s="417">
        <f>'Pseudo-load coefficients'!X267</f>
        <v>1</v>
      </c>
      <c r="Y78" s="417">
        <f>'Pseudo-load coefficients'!Y267</f>
        <v>1</v>
      </c>
    </row>
    <row r="79" spans="3:25" x14ac:dyDescent="0.25">
      <c r="D79" s="96"/>
      <c r="J79" s="238"/>
      <c r="K79" s="238"/>
      <c r="L79" s="238"/>
      <c r="M79" s="238"/>
      <c r="N79" s="238"/>
      <c r="O79" s="238"/>
      <c r="P79" s="238"/>
      <c r="Q79" s="238"/>
      <c r="R79" s="238"/>
      <c r="S79" s="238"/>
      <c r="T79" s="238"/>
      <c r="U79" s="238"/>
      <c r="V79" s="238"/>
      <c r="W79" s="238"/>
      <c r="X79" s="238"/>
      <c r="Y79" s="238"/>
    </row>
    <row r="80" spans="3:25" x14ac:dyDescent="0.25">
      <c r="E80" s="96" t="s">
        <v>305</v>
      </c>
      <c r="J80" s="238"/>
      <c r="K80" s="238"/>
      <c r="L80" s="238"/>
      <c r="M80" s="238"/>
      <c r="N80" s="238"/>
      <c r="O80" s="238"/>
      <c r="P80" s="238"/>
      <c r="Q80" s="238"/>
      <c r="R80" s="238"/>
      <c r="S80" s="238"/>
      <c r="T80" s="238"/>
      <c r="U80" s="238"/>
      <c r="V80" s="238"/>
      <c r="W80" s="238"/>
      <c r="X80" s="238"/>
      <c r="Y80" s="238"/>
    </row>
    <row r="81" spans="5:25" x14ac:dyDescent="0.25">
      <c r="E81" s="96"/>
      <c r="F81" s="415" t="s">
        <v>324</v>
      </c>
      <c r="G81" s="16" t="s">
        <v>528</v>
      </c>
      <c r="H81" s="91"/>
      <c r="I81" s="91"/>
      <c r="J81" s="284">
        <f>'Pseudo-load coefficients'!J272</f>
        <v>11.527986422981362</v>
      </c>
      <c r="K81" s="284">
        <f>'Pseudo-load coefficients'!K272</f>
        <v>11.527986422981362</v>
      </c>
      <c r="L81" s="284">
        <f>'Pseudo-load coefficients'!L272</f>
        <v>13.389814573848861</v>
      </c>
      <c r="M81" s="284">
        <f>'Pseudo-load coefficients'!M272</f>
        <v>13.389814573848861</v>
      </c>
      <c r="N81" s="284">
        <f>'Pseudo-load coefficients'!N272</f>
        <v>10.350692230660494</v>
      </c>
      <c r="O81" s="284">
        <f>'Pseudo-load coefficients'!O272</f>
        <v>8.8540614426759596</v>
      </c>
      <c r="P81" s="284">
        <f>'Pseudo-load coefficients'!P272</f>
        <v>8.9869685862225737</v>
      </c>
      <c r="Q81" s="284">
        <f>'Pseudo-load coefficients'!Q272</f>
        <v>25.023867607119033</v>
      </c>
      <c r="R81" s="284">
        <f>'Pseudo-load coefficients'!R272</f>
        <v>8.2437183626517871</v>
      </c>
      <c r="S81" s="284">
        <f>'Pseudo-load coefficients'!S272</f>
        <v>8.2437183626517871</v>
      </c>
      <c r="T81" s="284">
        <f>'Pseudo-load coefficients'!T272</f>
        <v>8.2437183626517871</v>
      </c>
      <c r="U81" s="284">
        <f>'Pseudo-load coefficients'!U272</f>
        <v>8.2437183626517871</v>
      </c>
      <c r="V81" s="284">
        <f>'Pseudo-load coefficients'!V272</f>
        <v>8.2437183626517871</v>
      </c>
      <c r="W81" s="284">
        <f>'Pseudo-load coefficients'!W272</f>
        <v>8.2437183626517871</v>
      </c>
      <c r="X81" s="284">
        <f>'Pseudo-load coefficients'!X272</f>
        <v>8.2437183626517871</v>
      </c>
      <c r="Y81" s="284">
        <f>'Pseudo-load coefficients'!Y272</f>
        <v>8.2437183626517871</v>
      </c>
    </row>
    <row r="82" spans="5:25" x14ac:dyDescent="0.25">
      <c r="E82" s="96"/>
      <c r="F82" s="416" t="s">
        <v>43</v>
      </c>
      <c r="G82" s="14" t="s">
        <v>528</v>
      </c>
      <c r="J82" s="417">
        <f>'Pseudo-load coefficients'!J272</f>
        <v>11.527986422981362</v>
      </c>
      <c r="K82" s="417">
        <f>'Pseudo-load coefficients'!K272</f>
        <v>11.527986422981362</v>
      </c>
      <c r="L82" s="417">
        <f>'Pseudo-load coefficients'!L272</f>
        <v>13.389814573848861</v>
      </c>
      <c r="M82" s="417">
        <f>'Pseudo-load coefficients'!M272</f>
        <v>13.389814573848861</v>
      </c>
      <c r="N82" s="417">
        <f>'Pseudo-load coefficients'!N272</f>
        <v>10.350692230660494</v>
      </c>
      <c r="O82" s="417">
        <f>'Pseudo-load coefficients'!O272</f>
        <v>8.8540614426759596</v>
      </c>
      <c r="P82" s="417">
        <f>'Pseudo-load coefficients'!P272</f>
        <v>8.9869685862225737</v>
      </c>
      <c r="Q82" s="417">
        <f>'Pseudo-load coefficients'!Q272</f>
        <v>25.023867607119033</v>
      </c>
      <c r="R82" s="417">
        <f>'Pseudo-load coefficients'!R272</f>
        <v>8.2437183626517871</v>
      </c>
      <c r="S82" s="417">
        <f>'Pseudo-load coefficients'!S272</f>
        <v>8.2437183626517871</v>
      </c>
      <c r="T82" s="417">
        <f>'Pseudo-load coefficients'!T272</f>
        <v>8.2437183626517871</v>
      </c>
      <c r="U82" s="417">
        <f>'Pseudo-load coefficients'!U272</f>
        <v>8.2437183626517871</v>
      </c>
      <c r="V82" s="417">
        <f>'Pseudo-load coefficients'!V272</f>
        <v>8.2437183626517871</v>
      </c>
      <c r="W82" s="417">
        <f>'Pseudo-load coefficients'!W272</f>
        <v>8.2437183626517871</v>
      </c>
      <c r="X82" s="417">
        <f>'Pseudo-load coefficients'!X272</f>
        <v>8.2437183626517871</v>
      </c>
      <c r="Y82" s="417">
        <f>'Pseudo-load coefficients'!Y272</f>
        <v>8.2437183626517871</v>
      </c>
    </row>
    <row r="83" spans="5:25" x14ac:dyDescent="0.25">
      <c r="E83" s="96"/>
      <c r="F83" s="416" t="s">
        <v>44</v>
      </c>
      <c r="G83" s="14" t="s">
        <v>528</v>
      </c>
      <c r="J83" s="417">
        <f>'Pseudo-load coefficients'!J273</f>
        <v>0</v>
      </c>
      <c r="K83" s="417">
        <f>'Pseudo-load coefficients'!K273</f>
        <v>0</v>
      </c>
      <c r="L83" s="417">
        <f>'Pseudo-load coefficients'!L273</f>
        <v>0</v>
      </c>
      <c r="M83" s="417">
        <f>'Pseudo-load coefficients'!M273</f>
        <v>0</v>
      </c>
      <c r="N83" s="417">
        <f>'Pseudo-load coefficients'!N273</f>
        <v>0</v>
      </c>
      <c r="O83" s="417">
        <f>'Pseudo-load coefficients'!O273</f>
        <v>0</v>
      </c>
      <c r="P83" s="417">
        <f>'Pseudo-load coefficients'!P273</f>
        <v>0</v>
      </c>
      <c r="Q83" s="417">
        <f>'Pseudo-load coefficients'!Q273</f>
        <v>0</v>
      </c>
      <c r="R83" s="417">
        <f>'Pseudo-load coefficients'!R273</f>
        <v>0</v>
      </c>
      <c r="S83" s="417">
        <f>'Pseudo-load coefficients'!S273</f>
        <v>0</v>
      </c>
      <c r="T83" s="417">
        <f>'Pseudo-load coefficients'!T273</f>
        <v>0</v>
      </c>
      <c r="U83" s="417">
        <f>'Pseudo-load coefficients'!U273</f>
        <v>0</v>
      </c>
      <c r="V83" s="417">
        <f>'Pseudo-load coefficients'!V273</f>
        <v>0</v>
      </c>
      <c r="W83" s="417">
        <f>'Pseudo-load coefficients'!W273</f>
        <v>0</v>
      </c>
      <c r="X83" s="417">
        <f>'Pseudo-load coefficients'!X273</f>
        <v>0</v>
      </c>
      <c r="Y83" s="417">
        <f>'Pseudo-load coefficients'!Y273</f>
        <v>0</v>
      </c>
    </row>
    <row r="84" spans="5:25" x14ac:dyDescent="0.25">
      <c r="E84" s="96"/>
      <c r="F84" s="416" t="s">
        <v>45</v>
      </c>
      <c r="G84" s="14" t="s">
        <v>528</v>
      </c>
      <c r="J84" s="417">
        <f>'Pseudo-load coefficients'!J274</f>
        <v>0</v>
      </c>
      <c r="K84" s="417">
        <f>'Pseudo-load coefficients'!K274</f>
        <v>0</v>
      </c>
      <c r="L84" s="417">
        <f>'Pseudo-load coefficients'!L274</f>
        <v>0</v>
      </c>
      <c r="M84" s="417">
        <f>'Pseudo-load coefficients'!M274</f>
        <v>0</v>
      </c>
      <c r="N84" s="417">
        <f>'Pseudo-load coefficients'!N274</f>
        <v>0</v>
      </c>
      <c r="O84" s="417">
        <f>'Pseudo-load coefficients'!O274</f>
        <v>0</v>
      </c>
      <c r="P84" s="417">
        <f>'Pseudo-load coefficients'!P274</f>
        <v>0</v>
      </c>
      <c r="Q84" s="417">
        <f>'Pseudo-load coefficients'!Q274</f>
        <v>0</v>
      </c>
      <c r="R84" s="417">
        <f>'Pseudo-load coefficients'!R274</f>
        <v>0</v>
      </c>
      <c r="S84" s="417">
        <f>'Pseudo-load coefficients'!S274</f>
        <v>0</v>
      </c>
      <c r="T84" s="417">
        <f>'Pseudo-load coefficients'!T274</f>
        <v>0</v>
      </c>
      <c r="U84" s="417">
        <f>'Pseudo-load coefficients'!U274</f>
        <v>0</v>
      </c>
      <c r="V84" s="417">
        <f>'Pseudo-load coefficients'!V274</f>
        <v>0</v>
      </c>
      <c r="W84" s="417">
        <f>'Pseudo-load coefficients'!W274</f>
        <v>0</v>
      </c>
      <c r="X84" s="417">
        <f>'Pseudo-load coefficients'!X274</f>
        <v>0</v>
      </c>
      <c r="Y84" s="417">
        <f>'Pseudo-load coefficients'!Y274</f>
        <v>0</v>
      </c>
    </row>
    <row r="85" spans="5:25" x14ac:dyDescent="0.25">
      <c r="E85" s="96"/>
      <c r="F85" s="416" t="s">
        <v>46</v>
      </c>
      <c r="G85" s="14" t="s">
        <v>528</v>
      </c>
      <c r="J85" s="417">
        <f>'Pseudo-load coefficients'!J275</f>
        <v>11.527986422981362</v>
      </c>
      <c r="K85" s="417">
        <f>'Pseudo-load coefficients'!K275</f>
        <v>11.527986422981362</v>
      </c>
      <c r="L85" s="417">
        <f>'Pseudo-load coefficients'!L275</f>
        <v>13.389814573848861</v>
      </c>
      <c r="M85" s="417">
        <f>'Pseudo-load coefficients'!M275</f>
        <v>13.389814573848861</v>
      </c>
      <c r="N85" s="417">
        <f>'Pseudo-load coefficients'!N275</f>
        <v>10.350692230660494</v>
      </c>
      <c r="O85" s="417">
        <f>'Pseudo-load coefficients'!O275</f>
        <v>8.8540614426759596</v>
      </c>
      <c r="P85" s="417">
        <f>'Pseudo-load coefficients'!P275</f>
        <v>8.9869685862225737</v>
      </c>
      <c r="Q85" s="417">
        <f>'Pseudo-load coefficients'!Q275</f>
        <v>25.023867607119033</v>
      </c>
      <c r="R85" s="417">
        <f>'Pseudo-load coefficients'!R275</f>
        <v>8.2437183626517871</v>
      </c>
      <c r="S85" s="417">
        <f>'Pseudo-load coefficients'!S275</f>
        <v>8.2437183626517871</v>
      </c>
      <c r="T85" s="417">
        <f>'Pseudo-load coefficients'!T275</f>
        <v>8.2437183626517871</v>
      </c>
      <c r="U85" s="417">
        <f>'Pseudo-load coefficients'!U275</f>
        <v>8.2437183626517871</v>
      </c>
      <c r="V85" s="417">
        <f>'Pseudo-load coefficients'!V275</f>
        <v>8.2437183626517871</v>
      </c>
      <c r="W85" s="417">
        <f>'Pseudo-load coefficients'!W275</f>
        <v>8.2437183626517871</v>
      </c>
      <c r="X85" s="417">
        <f>'Pseudo-load coefficients'!X275</f>
        <v>8.2437183626517871</v>
      </c>
      <c r="Y85" s="417">
        <f>'Pseudo-load coefficients'!Y275</f>
        <v>8.2437183626517871</v>
      </c>
    </row>
    <row r="86" spans="5:25" x14ac:dyDescent="0.25">
      <c r="E86" s="96"/>
      <c r="F86" s="416" t="s">
        <v>47</v>
      </c>
      <c r="G86" s="14" t="s">
        <v>528</v>
      </c>
      <c r="J86" s="417">
        <f>'Pseudo-load coefficients'!J276</f>
        <v>10.098712610250859</v>
      </c>
      <c r="K86" s="417">
        <f>'Pseudo-load coefficients'!K276</f>
        <v>10.098712610250859</v>
      </c>
      <c r="L86" s="417">
        <f>'Pseudo-load coefficients'!L276</f>
        <v>11.729705806755948</v>
      </c>
      <c r="M86" s="417">
        <f>'Pseudo-load coefficients'!M276</f>
        <v>11.729705806755948</v>
      </c>
      <c r="N86" s="417">
        <f>'Pseudo-load coefficients'!N276</f>
        <v>9.0673828298596799</v>
      </c>
      <c r="O86" s="417">
        <f>'Pseudo-load coefficients'!O276</f>
        <v>7.7563087483202686</v>
      </c>
      <c r="P86" s="417">
        <f>'Pseudo-load coefficients'!P276</f>
        <v>7.8727376715753232</v>
      </c>
      <c r="Q86" s="417">
        <f>'Pseudo-load coefficients'!Q276</f>
        <v>22.581879332920355</v>
      </c>
      <c r="R86" s="417">
        <f>'Pseudo-load coefficients'!R276</f>
        <v>7.2216378064347033</v>
      </c>
      <c r="S86" s="417">
        <f>'Pseudo-load coefficients'!S276</f>
        <v>7.2216378064347033</v>
      </c>
      <c r="T86" s="417">
        <f>'Pseudo-load coefficients'!T276</f>
        <v>7.2216378064347033</v>
      </c>
      <c r="U86" s="417">
        <f>'Pseudo-load coefficients'!U276</f>
        <v>7.2216378064347033</v>
      </c>
      <c r="V86" s="417">
        <f>'Pseudo-load coefficients'!V276</f>
        <v>7.2216378064347033</v>
      </c>
      <c r="W86" s="417">
        <f>'Pseudo-load coefficients'!W276</f>
        <v>7.2216378064347033</v>
      </c>
      <c r="X86" s="417">
        <f>'Pseudo-load coefficients'!X276</f>
        <v>7.2216378064347033</v>
      </c>
      <c r="Y86" s="417">
        <f>'Pseudo-load coefficients'!Y276</f>
        <v>7.2216378064347033</v>
      </c>
    </row>
    <row r="87" spans="5:25" x14ac:dyDescent="0.25">
      <c r="E87" s="96"/>
      <c r="F87" s="416" t="s">
        <v>51</v>
      </c>
      <c r="G87" s="14" t="s">
        <v>528</v>
      </c>
      <c r="J87" s="417">
        <f>'Pseudo-load coefficients'!J277</f>
        <v>0</v>
      </c>
      <c r="K87" s="417">
        <f>'Pseudo-load coefficients'!K277</f>
        <v>0</v>
      </c>
      <c r="L87" s="417">
        <f>'Pseudo-load coefficients'!L277</f>
        <v>0</v>
      </c>
      <c r="M87" s="417">
        <f>'Pseudo-load coefficients'!M277</f>
        <v>0</v>
      </c>
      <c r="N87" s="417">
        <f>'Pseudo-load coefficients'!N277</f>
        <v>0</v>
      </c>
      <c r="O87" s="417">
        <f>'Pseudo-load coefficients'!O277</f>
        <v>0</v>
      </c>
      <c r="P87" s="417">
        <f>'Pseudo-load coefficients'!P277</f>
        <v>0</v>
      </c>
      <c r="Q87" s="417">
        <f>'Pseudo-load coefficients'!Q277</f>
        <v>0</v>
      </c>
      <c r="R87" s="417">
        <f>'Pseudo-load coefficients'!R277</f>
        <v>0</v>
      </c>
      <c r="S87" s="417">
        <f>'Pseudo-load coefficients'!S277</f>
        <v>0</v>
      </c>
      <c r="T87" s="417">
        <f>'Pseudo-load coefficients'!T277</f>
        <v>0</v>
      </c>
      <c r="U87" s="417">
        <f>'Pseudo-load coefficients'!U277</f>
        <v>0</v>
      </c>
      <c r="V87" s="417">
        <f>'Pseudo-load coefficients'!V277</f>
        <v>0</v>
      </c>
      <c r="W87" s="417">
        <f>'Pseudo-load coefficients'!W277</f>
        <v>0</v>
      </c>
      <c r="X87" s="417">
        <f>'Pseudo-load coefficients'!X277</f>
        <v>0</v>
      </c>
      <c r="Y87" s="417">
        <f>'Pseudo-load coefficients'!Y277</f>
        <v>0</v>
      </c>
    </row>
    <row r="88" spans="5:25" x14ac:dyDescent="0.25">
      <c r="E88" s="96"/>
      <c r="F88" s="416" t="s">
        <v>48</v>
      </c>
      <c r="G88" s="14" t="s">
        <v>528</v>
      </c>
      <c r="J88" s="417">
        <f>'Pseudo-load coefficients'!J278</f>
        <v>10.098712610250859</v>
      </c>
      <c r="K88" s="417">
        <f>'Pseudo-load coefficients'!K278</f>
        <v>10.098712610250859</v>
      </c>
      <c r="L88" s="417">
        <f>'Pseudo-load coefficients'!L278</f>
        <v>11.729705806755948</v>
      </c>
      <c r="M88" s="417">
        <f>'Pseudo-load coefficients'!M278</f>
        <v>11.729705806755948</v>
      </c>
      <c r="N88" s="417">
        <f>'Pseudo-load coefficients'!N278</f>
        <v>9.0673828298596799</v>
      </c>
      <c r="O88" s="417">
        <f>'Pseudo-load coefficients'!O278</f>
        <v>7.7563087483202686</v>
      </c>
      <c r="P88" s="417">
        <f>'Pseudo-load coefficients'!P278</f>
        <v>7.8727376715753232</v>
      </c>
      <c r="Q88" s="417">
        <f>'Pseudo-load coefficients'!Q278</f>
        <v>22.581879332920355</v>
      </c>
      <c r="R88" s="417">
        <f>'Pseudo-load coefficients'!R278</f>
        <v>7.2216378064347033</v>
      </c>
      <c r="S88" s="417">
        <f>'Pseudo-load coefficients'!S278</f>
        <v>7.2216378064347033</v>
      </c>
      <c r="T88" s="417">
        <f>'Pseudo-load coefficients'!T278</f>
        <v>7.2216378064347033</v>
      </c>
      <c r="U88" s="417">
        <f>'Pseudo-load coefficients'!U278</f>
        <v>7.2216378064347033</v>
      </c>
      <c r="V88" s="417">
        <f>'Pseudo-load coefficients'!V278</f>
        <v>7.2216378064347033</v>
      </c>
      <c r="W88" s="417">
        <f>'Pseudo-load coefficients'!W278</f>
        <v>7.2216378064347033</v>
      </c>
      <c r="X88" s="417">
        <f>'Pseudo-load coefficients'!X278</f>
        <v>7.2216378064347033</v>
      </c>
      <c r="Y88" s="417">
        <f>'Pseudo-load coefficients'!Y278</f>
        <v>7.2216378064347033</v>
      </c>
    </row>
    <row r="89" spans="5:25" x14ac:dyDescent="0.25">
      <c r="E89" s="96"/>
      <c r="F89" s="416" t="s">
        <v>49</v>
      </c>
      <c r="G89" s="14" t="s">
        <v>528</v>
      </c>
      <c r="J89" s="417">
        <f>'Pseudo-load coefficients'!J279</f>
        <v>10.098712610250859</v>
      </c>
      <c r="K89" s="417">
        <f>'Pseudo-load coefficients'!K279</f>
        <v>10.098712610250859</v>
      </c>
      <c r="L89" s="417">
        <f>'Pseudo-load coefficients'!L279</f>
        <v>11.729705806755948</v>
      </c>
      <c r="M89" s="417">
        <f>'Pseudo-load coefficients'!M279</f>
        <v>11.729705806755948</v>
      </c>
      <c r="N89" s="417">
        <f>'Pseudo-load coefficients'!N279</f>
        <v>9.0673828298596799</v>
      </c>
      <c r="O89" s="417">
        <f>'Pseudo-load coefficients'!O279</f>
        <v>7.7563087483202686</v>
      </c>
      <c r="P89" s="417">
        <f>'Pseudo-load coefficients'!P279</f>
        <v>7.8727376715753232</v>
      </c>
      <c r="Q89" s="417">
        <f>'Pseudo-load coefficients'!Q279</f>
        <v>22.581879332920355</v>
      </c>
      <c r="R89" s="417">
        <f>'Pseudo-load coefficients'!R279</f>
        <v>7.2216378064347033</v>
      </c>
      <c r="S89" s="417">
        <f>'Pseudo-load coefficients'!S279</f>
        <v>7.2216378064347033</v>
      </c>
      <c r="T89" s="417">
        <f>'Pseudo-load coefficients'!T279</f>
        <v>7.2216378064347033</v>
      </c>
      <c r="U89" s="417">
        <f>'Pseudo-load coefficients'!U279</f>
        <v>7.2216378064347033</v>
      </c>
      <c r="V89" s="417">
        <f>'Pseudo-load coefficients'!V279</f>
        <v>7.2216378064347033</v>
      </c>
      <c r="W89" s="417">
        <f>'Pseudo-load coefficients'!W279</f>
        <v>7.2216378064347033</v>
      </c>
      <c r="X89" s="417">
        <f>'Pseudo-load coefficients'!X279</f>
        <v>7.2216378064347033</v>
      </c>
      <c r="Y89" s="417">
        <f>'Pseudo-load coefficients'!Y279</f>
        <v>7.2216378064347033</v>
      </c>
    </row>
    <row r="90" spans="5:25" x14ac:dyDescent="0.25">
      <c r="E90" s="96"/>
      <c r="F90" s="418" t="s">
        <v>50</v>
      </c>
      <c r="G90" s="15" t="s">
        <v>528</v>
      </c>
      <c r="H90" s="93"/>
      <c r="I90" s="93"/>
      <c r="J90" s="285">
        <f>'Pseudo-load coefficients'!J280</f>
        <v>10.098712610250859</v>
      </c>
      <c r="K90" s="285">
        <f>'Pseudo-load coefficients'!K280</f>
        <v>10.098712610250859</v>
      </c>
      <c r="L90" s="285">
        <f>'Pseudo-load coefficients'!L280</f>
        <v>11.729705806755948</v>
      </c>
      <c r="M90" s="285">
        <f>'Pseudo-load coefficients'!M280</f>
        <v>11.729705806755948</v>
      </c>
      <c r="N90" s="285">
        <f>'Pseudo-load coefficients'!N280</f>
        <v>9.0673828298596799</v>
      </c>
      <c r="O90" s="285">
        <f>'Pseudo-load coefficients'!O280</f>
        <v>7.7563087483202686</v>
      </c>
      <c r="P90" s="285">
        <f>'Pseudo-load coefficients'!P280</f>
        <v>7.8727376715753232</v>
      </c>
      <c r="Q90" s="285">
        <f>'Pseudo-load coefficients'!Q280</f>
        <v>22.581879332920355</v>
      </c>
      <c r="R90" s="285">
        <f>'Pseudo-load coefficients'!R280</f>
        <v>7.2216378064347033</v>
      </c>
      <c r="S90" s="285">
        <f>'Pseudo-load coefficients'!S280</f>
        <v>7.2216378064347033</v>
      </c>
      <c r="T90" s="285">
        <f>'Pseudo-load coefficients'!T280</f>
        <v>7.2216378064347033</v>
      </c>
      <c r="U90" s="285">
        <f>'Pseudo-load coefficients'!U280</f>
        <v>7.2216378064347033</v>
      </c>
      <c r="V90" s="285">
        <f>'Pseudo-load coefficients'!V280</f>
        <v>7.2216378064347033</v>
      </c>
      <c r="W90" s="285">
        <f>'Pseudo-load coefficients'!W280</f>
        <v>7.2216378064347033</v>
      </c>
      <c r="X90" s="285">
        <f>'Pseudo-load coefficients'!X280</f>
        <v>7.2216378064347033</v>
      </c>
      <c r="Y90" s="285">
        <f>'Pseudo-load coefficients'!Y280</f>
        <v>7.2216378064347033</v>
      </c>
    </row>
    <row r="91" spans="5:25" x14ac:dyDescent="0.25">
      <c r="E91" s="96"/>
      <c r="J91" s="238"/>
      <c r="K91" s="238"/>
      <c r="L91" s="238"/>
      <c r="M91" s="238"/>
      <c r="N91" s="238"/>
      <c r="O91" s="238"/>
      <c r="P91" s="238"/>
      <c r="Q91" s="238"/>
      <c r="R91" s="238"/>
      <c r="S91" s="238"/>
      <c r="T91" s="238"/>
      <c r="U91" s="238"/>
      <c r="V91" s="238"/>
      <c r="W91" s="238"/>
      <c r="X91" s="238"/>
      <c r="Y91" s="238"/>
    </row>
    <row r="92" spans="5:25" x14ac:dyDescent="0.25">
      <c r="E92" s="96" t="s">
        <v>306</v>
      </c>
      <c r="J92" s="238"/>
      <c r="K92" s="238"/>
      <c r="L92" s="238"/>
      <c r="M92" s="238"/>
      <c r="N92" s="238"/>
      <c r="O92" s="238"/>
      <c r="P92" s="238"/>
      <c r="Q92" s="238"/>
      <c r="R92" s="238"/>
      <c r="S92" s="238"/>
      <c r="T92" s="238"/>
      <c r="U92" s="238"/>
      <c r="V92" s="238"/>
      <c r="W92" s="238"/>
      <c r="X92" s="238"/>
      <c r="Y92" s="238"/>
    </row>
    <row r="93" spans="5:25" x14ac:dyDescent="0.25">
      <c r="E93" s="96"/>
      <c r="F93" s="415" t="s">
        <v>324</v>
      </c>
      <c r="G93" s="16" t="s">
        <v>528</v>
      </c>
      <c r="H93" s="91"/>
      <c r="I93" s="91"/>
      <c r="J93" s="284">
        <f>'Pseudo-load coefficients'!J283</f>
        <v>0.92349228307239573</v>
      </c>
      <c r="K93" s="284">
        <f>'Pseudo-load coefficients'!K283</f>
        <v>0.92349228307239573</v>
      </c>
      <c r="L93" s="284">
        <f>'Pseudo-load coefficients'!L283</f>
        <v>1.0726409606164153</v>
      </c>
      <c r="M93" s="284">
        <f>'Pseudo-load coefficients'!M283</f>
        <v>1.0726409606164153</v>
      </c>
      <c r="N93" s="284">
        <f>'Pseudo-load coefficients'!N283</f>
        <v>0.82918074750822601</v>
      </c>
      <c r="O93" s="284">
        <f>'Pseudo-load coefficients'!O283</f>
        <v>0.70928756472680232</v>
      </c>
      <c r="P93" s="284">
        <f>'Pseudo-load coefficients'!P283</f>
        <v>0.71993458641185648</v>
      </c>
      <c r="Q93" s="284">
        <f>'Pseudo-load coefficients'!Q283</f>
        <v>0.79110253955261312</v>
      </c>
      <c r="R93" s="284">
        <f>'Pseudo-load coefficients'!R283</f>
        <v>0.66039375936064448</v>
      </c>
      <c r="S93" s="284">
        <f>'Pseudo-load coefficients'!S283</f>
        <v>0.66039375936064448</v>
      </c>
      <c r="T93" s="284">
        <f>'Pseudo-load coefficients'!T283</f>
        <v>0.66039375936064448</v>
      </c>
      <c r="U93" s="284">
        <f>'Pseudo-load coefficients'!U283</f>
        <v>0.66039375936064448</v>
      </c>
      <c r="V93" s="284">
        <f>'Pseudo-load coefficients'!V283</f>
        <v>0.66039375936064448</v>
      </c>
      <c r="W93" s="284">
        <f>'Pseudo-load coefficients'!W283</f>
        <v>0.66039375936064448</v>
      </c>
      <c r="X93" s="284">
        <f>'Pseudo-load coefficients'!X283</f>
        <v>0.66039375936064448</v>
      </c>
      <c r="Y93" s="284">
        <f>'Pseudo-load coefficients'!Y283</f>
        <v>0.66039375936064448</v>
      </c>
    </row>
    <row r="94" spans="5:25" x14ac:dyDescent="0.25">
      <c r="E94" s="96"/>
      <c r="F94" s="416" t="s">
        <v>43</v>
      </c>
      <c r="G94" s="14" t="s">
        <v>528</v>
      </c>
      <c r="J94" s="417">
        <f>'Pseudo-load coefficients'!J283</f>
        <v>0.92349228307239573</v>
      </c>
      <c r="K94" s="417">
        <f>'Pseudo-load coefficients'!K283</f>
        <v>0.92349228307239573</v>
      </c>
      <c r="L94" s="417">
        <f>'Pseudo-load coefficients'!L283</f>
        <v>1.0726409606164153</v>
      </c>
      <c r="M94" s="417">
        <f>'Pseudo-load coefficients'!M283</f>
        <v>1.0726409606164153</v>
      </c>
      <c r="N94" s="417">
        <f>'Pseudo-load coefficients'!N283</f>
        <v>0.82918074750822601</v>
      </c>
      <c r="O94" s="417">
        <f>'Pseudo-load coefficients'!O283</f>
        <v>0.70928756472680232</v>
      </c>
      <c r="P94" s="417">
        <f>'Pseudo-load coefficients'!P283</f>
        <v>0.71993458641185648</v>
      </c>
      <c r="Q94" s="417">
        <f>'Pseudo-load coefficients'!Q283</f>
        <v>0.79110253955261312</v>
      </c>
      <c r="R94" s="417">
        <f>'Pseudo-load coefficients'!R283</f>
        <v>0.66039375936064448</v>
      </c>
      <c r="S94" s="417">
        <f>'Pseudo-load coefficients'!S283</f>
        <v>0.66039375936064448</v>
      </c>
      <c r="T94" s="417">
        <f>'Pseudo-load coefficients'!T283</f>
        <v>0.66039375936064448</v>
      </c>
      <c r="U94" s="417">
        <f>'Pseudo-load coefficients'!U283</f>
        <v>0.66039375936064448</v>
      </c>
      <c r="V94" s="417">
        <f>'Pseudo-load coefficients'!V283</f>
        <v>0.66039375936064448</v>
      </c>
      <c r="W94" s="417">
        <f>'Pseudo-load coefficients'!W283</f>
        <v>0.66039375936064448</v>
      </c>
      <c r="X94" s="417">
        <f>'Pseudo-load coefficients'!X283</f>
        <v>0.66039375936064448</v>
      </c>
      <c r="Y94" s="417">
        <f>'Pseudo-load coefficients'!Y283</f>
        <v>0.66039375936064448</v>
      </c>
    </row>
    <row r="95" spans="5:25" x14ac:dyDescent="0.25">
      <c r="E95" s="96"/>
      <c r="F95" s="416" t="s">
        <v>44</v>
      </c>
      <c r="G95" s="14" t="s">
        <v>528</v>
      </c>
      <c r="J95" s="417">
        <f>'Pseudo-load coefficients'!J284</f>
        <v>0</v>
      </c>
      <c r="K95" s="417">
        <f>'Pseudo-load coefficients'!K284</f>
        <v>0</v>
      </c>
      <c r="L95" s="417">
        <f>'Pseudo-load coefficients'!L284</f>
        <v>0</v>
      </c>
      <c r="M95" s="417">
        <f>'Pseudo-load coefficients'!M284</f>
        <v>0</v>
      </c>
      <c r="N95" s="417">
        <f>'Pseudo-load coefficients'!N284</f>
        <v>0</v>
      </c>
      <c r="O95" s="417">
        <f>'Pseudo-load coefficients'!O284</f>
        <v>0</v>
      </c>
      <c r="P95" s="417">
        <f>'Pseudo-load coefficients'!P284</f>
        <v>0</v>
      </c>
      <c r="Q95" s="417">
        <f>'Pseudo-load coefficients'!Q284</f>
        <v>0</v>
      </c>
      <c r="R95" s="417">
        <f>'Pseudo-load coefficients'!R284</f>
        <v>0</v>
      </c>
      <c r="S95" s="417">
        <f>'Pseudo-load coefficients'!S284</f>
        <v>0</v>
      </c>
      <c r="T95" s="417">
        <f>'Pseudo-load coefficients'!T284</f>
        <v>0</v>
      </c>
      <c r="U95" s="417">
        <f>'Pseudo-load coefficients'!U284</f>
        <v>0</v>
      </c>
      <c r="V95" s="417">
        <f>'Pseudo-load coefficients'!V284</f>
        <v>0</v>
      </c>
      <c r="W95" s="417">
        <f>'Pseudo-load coefficients'!W284</f>
        <v>0</v>
      </c>
      <c r="X95" s="417">
        <f>'Pseudo-load coefficients'!X284</f>
        <v>0</v>
      </c>
      <c r="Y95" s="417">
        <f>'Pseudo-load coefficients'!Y284</f>
        <v>0</v>
      </c>
    </row>
    <row r="96" spans="5:25" x14ac:dyDescent="0.25">
      <c r="E96" s="96"/>
      <c r="F96" s="416" t="s">
        <v>45</v>
      </c>
      <c r="G96" s="14" t="s">
        <v>528</v>
      </c>
      <c r="J96" s="417">
        <f>'Pseudo-load coefficients'!J285</f>
        <v>0</v>
      </c>
      <c r="K96" s="417">
        <f>'Pseudo-load coefficients'!K285</f>
        <v>0</v>
      </c>
      <c r="L96" s="417">
        <f>'Pseudo-load coefficients'!L285</f>
        <v>0</v>
      </c>
      <c r="M96" s="417">
        <f>'Pseudo-load coefficients'!M285</f>
        <v>0</v>
      </c>
      <c r="N96" s="417">
        <f>'Pseudo-load coefficients'!N285</f>
        <v>0</v>
      </c>
      <c r="O96" s="417">
        <f>'Pseudo-load coefficients'!O285</f>
        <v>0</v>
      </c>
      <c r="P96" s="417">
        <f>'Pseudo-load coefficients'!P285</f>
        <v>0</v>
      </c>
      <c r="Q96" s="417">
        <f>'Pseudo-load coefficients'!Q285</f>
        <v>0</v>
      </c>
      <c r="R96" s="417">
        <f>'Pseudo-load coefficients'!R285</f>
        <v>0</v>
      </c>
      <c r="S96" s="417">
        <f>'Pseudo-load coefficients'!S285</f>
        <v>0</v>
      </c>
      <c r="T96" s="417">
        <f>'Pseudo-load coefficients'!T285</f>
        <v>0</v>
      </c>
      <c r="U96" s="417">
        <f>'Pseudo-load coefficients'!U285</f>
        <v>0</v>
      </c>
      <c r="V96" s="417">
        <f>'Pseudo-load coefficients'!V285</f>
        <v>0</v>
      </c>
      <c r="W96" s="417">
        <f>'Pseudo-load coefficients'!W285</f>
        <v>0</v>
      </c>
      <c r="X96" s="417">
        <f>'Pseudo-load coefficients'!X285</f>
        <v>0</v>
      </c>
      <c r="Y96" s="417">
        <f>'Pseudo-load coefficients'!Y285</f>
        <v>0</v>
      </c>
    </row>
    <row r="97" spans="3:25" x14ac:dyDescent="0.25">
      <c r="E97" s="96"/>
      <c r="F97" s="416" t="s">
        <v>46</v>
      </c>
      <c r="G97" s="14" t="s">
        <v>528</v>
      </c>
      <c r="J97" s="417">
        <f>'Pseudo-load coefficients'!J286</f>
        <v>0.92349228307239573</v>
      </c>
      <c r="K97" s="417">
        <f>'Pseudo-load coefficients'!K286</f>
        <v>0.92349228307239573</v>
      </c>
      <c r="L97" s="417">
        <f>'Pseudo-load coefficients'!L286</f>
        <v>1.0726409606164153</v>
      </c>
      <c r="M97" s="417">
        <f>'Pseudo-load coefficients'!M286</f>
        <v>1.0726409606164153</v>
      </c>
      <c r="N97" s="417">
        <f>'Pseudo-load coefficients'!N286</f>
        <v>0.82918074750822601</v>
      </c>
      <c r="O97" s="417">
        <f>'Pseudo-load coefficients'!O286</f>
        <v>0.70928756472680232</v>
      </c>
      <c r="P97" s="417">
        <f>'Pseudo-load coefficients'!P286</f>
        <v>0.71993458641185648</v>
      </c>
      <c r="Q97" s="417">
        <f>'Pseudo-load coefficients'!Q286</f>
        <v>0.79110253955261312</v>
      </c>
      <c r="R97" s="417">
        <f>'Pseudo-load coefficients'!R286</f>
        <v>0.66039375936064448</v>
      </c>
      <c r="S97" s="417">
        <f>'Pseudo-load coefficients'!S286</f>
        <v>0.66039375936064448</v>
      </c>
      <c r="T97" s="417">
        <f>'Pseudo-load coefficients'!T286</f>
        <v>0.66039375936064448</v>
      </c>
      <c r="U97" s="417">
        <f>'Pseudo-load coefficients'!U286</f>
        <v>0.66039375936064448</v>
      </c>
      <c r="V97" s="417">
        <f>'Pseudo-load coefficients'!V286</f>
        <v>0.66039375936064448</v>
      </c>
      <c r="W97" s="417">
        <f>'Pseudo-load coefficients'!W286</f>
        <v>0.66039375936064448</v>
      </c>
      <c r="X97" s="417">
        <f>'Pseudo-load coefficients'!X286</f>
        <v>0.66039375936064448</v>
      </c>
      <c r="Y97" s="417">
        <f>'Pseudo-load coefficients'!Y286</f>
        <v>0.66039375936064448</v>
      </c>
    </row>
    <row r="98" spans="3:25" x14ac:dyDescent="0.25">
      <c r="E98" s="96"/>
      <c r="F98" s="416" t="s">
        <v>47</v>
      </c>
      <c r="G98" s="14" t="s">
        <v>528</v>
      </c>
      <c r="J98" s="417">
        <f>'Pseudo-load coefficients'!J287</f>
        <v>1.2155817714261268</v>
      </c>
      <c r="K98" s="417">
        <f>'Pseudo-load coefficients'!K287</f>
        <v>1.2155817714261268</v>
      </c>
      <c r="L98" s="417">
        <f>'Pseudo-load coefficients'!L287</f>
        <v>1.4119043796147333</v>
      </c>
      <c r="M98" s="417">
        <f>'Pseudo-load coefficients'!M287</f>
        <v>1.4119043796147333</v>
      </c>
      <c r="N98" s="417">
        <f>'Pseudo-load coefficients'!N287</f>
        <v>1.0914406328715081</v>
      </c>
      <c r="O98" s="417">
        <f>'Pseudo-load coefficients'!O287</f>
        <v>0.93362668014145112</v>
      </c>
      <c r="P98" s="417">
        <f>'Pseudo-load coefficients'!P287</f>
        <v>0.94764122657303829</v>
      </c>
      <c r="Q98" s="417">
        <f>'Pseudo-load coefficients'!Q287</f>
        <v>0.92680435825893326</v>
      </c>
      <c r="R98" s="417">
        <f>'Pseudo-load coefficients'!R287</f>
        <v>0.86926835292184057</v>
      </c>
      <c r="S98" s="417">
        <f>'Pseudo-load coefficients'!S287</f>
        <v>0.86926835292184057</v>
      </c>
      <c r="T98" s="417">
        <f>'Pseudo-load coefficients'!T287</f>
        <v>0.86926835292184057</v>
      </c>
      <c r="U98" s="417">
        <f>'Pseudo-load coefficients'!U287</f>
        <v>0.86926835292184057</v>
      </c>
      <c r="V98" s="417">
        <f>'Pseudo-load coefficients'!V287</f>
        <v>0.86926835292184057</v>
      </c>
      <c r="W98" s="417">
        <f>'Pseudo-load coefficients'!W287</f>
        <v>0.86926835292184057</v>
      </c>
      <c r="X98" s="417">
        <f>'Pseudo-load coefficients'!X287</f>
        <v>0.86926835292184057</v>
      </c>
      <c r="Y98" s="417">
        <f>'Pseudo-load coefficients'!Y287</f>
        <v>0.86926835292184057</v>
      </c>
    </row>
    <row r="99" spans="3:25" x14ac:dyDescent="0.25">
      <c r="E99" s="96"/>
      <c r="F99" s="416" t="s">
        <v>51</v>
      </c>
      <c r="G99" s="14" t="s">
        <v>528</v>
      </c>
      <c r="J99" s="417">
        <f>'Pseudo-load coefficients'!J288</f>
        <v>0</v>
      </c>
      <c r="K99" s="417">
        <f>'Pseudo-load coefficients'!K288</f>
        <v>0</v>
      </c>
      <c r="L99" s="417">
        <f>'Pseudo-load coefficients'!L288</f>
        <v>0</v>
      </c>
      <c r="M99" s="417">
        <f>'Pseudo-load coefficients'!M288</f>
        <v>0</v>
      </c>
      <c r="N99" s="417">
        <f>'Pseudo-load coefficients'!N288</f>
        <v>0</v>
      </c>
      <c r="O99" s="417">
        <f>'Pseudo-load coefficients'!O288</f>
        <v>0</v>
      </c>
      <c r="P99" s="417">
        <f>'Pseudo-load coefficients'!P288</f>
        <v>0</v>
      </c>
      <c r="Q99" s="417">
        <f>'Pseudo-load coefficients'!Q288</f>
        <v>0</v>
      </c>
      <c r="R99" s="417">
        <f>'Pseudo-load coefficients'!R288</f>
        <v>0</v>
      </c>
      <c r="S99" s="417">
        <f>'Pseudo-load coefficients'!S288</f>
        <v>0</v>
      </c>
      <c r="T99" s="417">
        <f>'Pseudo-load coefficients'!T288</f>
        <v>0</v>
      </c>
      <c r="U99" s="417">
        <f>'Pseudo-load coefficients'!U288</f>
        <v>0</v>
      </c>
      <c r="V99" s="417">
        <f>'Pseudo-load coefficients'!V288</f>
        <v>0</v>
      </c>
      <c r="W99" s="417">
        <f>'Pseudo-load coefficients'!W288</f>
        <v>0</v>
      </c>
      <c r="X99" s="417">
        <f>'Pseudo-load coefficients'!X288</f>
        <v>0</v>
      </c>
      <c r="Y99" s="417">
        <f>'Pseudo-load coefficients'!Y288</f>
        <v>0</v>
      </c>
    </row>
    <row r="100" spans="3:25" x14ac:dyDescent="0.25">
      <c r="E100" s="96"/>
      <c r="F100" s="416" t="s">
        <v>48</v>
      </c>
      <c r="G100" s="14" t="s">
        <v>528</v>
      </c>
      <c r="J100" s="417">
        <f>'Pseudo-load coefficients'!J289</f>
        <v>1.2155817714261268</v>
      </c>
      <c r="K100" s="417">
        <f>'Pseudo-load coefficients'!K289</f>
        <v>1.2155817714261268</v>
      </c>
      <c r="L100" s="417">
        <f>'Pseudo-load coefficients'!L289</f>
        <v>1.4119043796147333</v>
      </c>
      <c r="M100" s="417">
        <f>'Pseudo-load coefficients'!M289</f>
        <v>1.4119043796147333</v>
      </c>
      <c r="N100" s="417">
        <f>'Pseudo-load coefficients'!N289</f>
        <v>1.0914406328715081</v>
      </c>
      <c r="O100" s="417">
        <f>'Pseudo-load coefficients'!O289</f>
        <v>0.93362668014145112</v>
      </c>
      <c r="P100" s="417">
        <f>'Pseudo-load coefficients'!P289</f>
        <v>0.94764122657303829</v>
      </c>
      <c r="Q100" s="417">
        <f>'Pseudo-load coefficients'!Q289</f>
        <v>0.92680435825893326</v>
      </c>
      <c r="R100" s="417">
        <f>'Pseudo-load coefficients'!R289</f>
        <v>0.86926835292184057</v>
      </c>
      <c r="S100" s="417">
        <f>'Pseudo-load coefficients'!S289</f>
        <v>0.86926835292184057</v>
      </c>
      <c r="T100" s="417">
        <f>'Pseudo-load coefficients'!T289</f>
        <v>0.86926835292184057</v>
      </c>
      <c r="U100" s="417">
        <f>'Pseudo-load coefficients'!U289</f>
        <v>0.86926835292184057</v>
      </c>
      <c r="V100" s="417">
        <f>'Pseudo-load coefficients'!V289</f>
        <v>0.86926835292184057</v>
      </c>
      <c r="W100" s="417">
        <f>'Pseudo-load coefficients'!W289</f>
        <v>0.86926835292184057</v>
      </c>
      <c r="X100" s="417">
        <f>'Pseudo-load coefficients'!X289</f>
        <v>0.86926835292184057</v>
      </c>
      <c r="Y100" s="417">
        <f>'Pseudo-load coefficients'!Y289</f>
        <v>0.86926835292184057</v>
      </c>
    </row>
    <row r="101" spans="3:25" x14ac:dyDescent="0.25">
      <c r="E101" s="96"/>
      <c r="F101" s="416" t="s">
        <v>49</v>
      </c>
      <c r="G101" s="14" t="s">
        <v>528</v>
      </c>
      <c r="J101" s="417">
        <f>'Pseudo-load coefficients'!J290</f>
        <v>1.2155817714261268</v>
      </c>
      <c r="K101" s="417">
        <f>'Pseudo-load coefficients'!K290</f>
        <v>1.2155817714261268</v>
      </c>
      <c r="L101" s="417">
        <f>'Pseudo-load coefficients'!L290</f>
        <v>1.4119043796147333</v>
      </c>
      <c r="M101" s="417">
        <f>'Pseudo-load coefficients'!M290</f>
        <v>1.4119043796147333</v>
      </c>
      <c r="N101" s="417">
        <f>'Pseudo-load coefficients'!N290</f>
        <v>1.0914406328715081</v>
      </c>
      <c r="O101" s="417">
        <f>'Pseudo-load coefficients'!O290</f>
        <v>0.93362668014145112</v>
      </c>
      <c r="P101" s="417">
        <f>'Pseudo-load coefficients'!P290</f>
        <v>0.94764122657303829</v>
      </c>
      <c r="Q101" s="417">
        <f>'Pseudo-load coefficients'!Q290</f>
        <v>0.92680435825893326</v>
      </c>
      <c r="R101" s="417">
        <f>'Pseudo-load coefficients'!R290</f>
        <v>0.86926835292184057</v>
      </c>
      <c r="S101" s="417">
        <f>'Pseudo-load coefficients'!S290</f>
        <v>0.86926835292184057</v>
      </c>
      <c r="T101" s="417">
        <f>'Pseudo-load coefficients'!T290</f>
        <v>0.86926835292184057</v>
      </c>
      <c r="U101" s="417">
        <f>'Pseudo-load coefficients'!U290</f>
        <v>0.86926835292184057</v>
      </c>
      <c r="V101" s="417">
        <f>'Pseudo-load coefficients'!V290</f>
        <v>0.86926835292184057</v>
      </c>
      <c r="W101" s="417">
        <f>'Pseudo-load coefficients'!W290</f>
        <v>0.86926835292184057</v>
      </c>
      <c r="X101" s="417">
        <f>'Pseudo-load coefficients'!X290</f>
        <v>0.86926835292184057</v>
      </c>
      <c r="Y101" s="417">
        <f>'Pseudo-load coefficients'!Y290</f>
        <v>0.86926835292184057</v>
      </c>
    </row>
    <row r="102" spans="3:25" x14ac:dyDescent="0.25">
      <c r="E102" s="96"/>
      <c r="F102" s="418" t="s">
        <v>50</v>
      </c>
      <c r="G102" s="15" t="s">
        <v>528</v>
      </c>
      <c r="H102" s="93"/>
      <c r="I102" s="93"/>
      <c r="J102" s="285">
        <f>'Pseudo-load coefficients'!J291</f>
        <v>1.2155817714261268</v>
      </c>
      <c r="K102" s="285">
        <f>'Pseudo-load coefficients'!K291</f>
        <v>1.2155817714261268</v>
      </c>
      <c r="L102" s="285">
        <f>'Pseudo-load coefficients'!L291</f>
        <v>1.4119043796147333</v>
      </c>
      <c r="M102" s="285">
        <f>'Pseudo-load coefficients'!M291</f>
        <v>1.4119043796147333</v>
      </c>
      <c r="N102" s="285">
        <f>'Pseudo-load coefficients'!N291</f>
        <v>1.0914406328715081</v>
      </c>
      <c r="O102" s="285">
        <f>'Pseudo-load coefficients'!O291</f>
        <v>0.93362668014145112</v>
      </c>
      <c r="P102" s="285">
        <f>'Pseudo-load coefficients'!P291</f>
        <v>0.94764122657303829</v>
      </c>
      <c r="Q102" s="285">
        <f>'Pseudo-load coefficients'!Q291</f>
        <v>0.92680435825893326</v>
      </c>
      <c r="R102" s="285">
        <f>'Pseudo-load coefficients'!R291</f>
        <v>0.86926835292184057</v>
      </c>
      <c r="S102" s="285">
        <f>'Pseudo-load coefficients'!S291</f>
        <v>0.86926835292184057</v>
      </c>
      <c r="T102" s="285">
        <f>'Pseudo-load coefficients'!T291</f>
        <v>0.86926835292184057</v>
      </c>
      <c r="U102" s="285">
        <f>'Pseudo-load coefficients'!U291</f>
        <v>0.86926835292184057</v>
      </c>
      <c r="V102" s="285">
        <f>'Pseudo-load coefficients'!V291</f>
        <v>0.86926835292184057</v>
      </c>
      <c r="W102" s="285">
        <f>'Pseudo-load coefficients'!W291</f>
        <v>0.86926835292184057</v>
      </c>
      <c r="X102" s="285">
        <f>'Pseudo-load coefficients'!X291</f>
        <v>0.86926835292184057</v>
      </c>
      <c r="Y102" s="285">
        <f>'Pseudo-load coefficients'!Y291</f>
        <v>0.86926835292184057</v>
      </c>
    </row>
    <row r="103" spans="3:25" x14ac:dyDescent="0.25">
      <c r="E103" s="96"/>
      <c r="J103" s="238"/>
      <c r="K103" s="238"/>
      <c r="L103" s="238"/>
      <c r="M103" s="238"/>
      <c r="N103" s="238"/>
      <c r="O103" s="238"/>
      <c r="P103" s="238"/>
      <c r="Q103" s="238"/>
      <c r="R103" s="238"/>
      <c r="S103" s="238"/>
      <c r="T103" s="238"/>
      <c r="U103" s="238"/>
      <c r="V103" s="238"/>
      <c r="W103" s="238"/>
      <c r="X103" s="238"/>
      <c r="Y103" s="238"/>
    </row>
    <row r="104" spans="3:25" x14ac:dyDescent="0.25">
      <c r="E104" s="96" t="s">
        <v>307</v>
      </c>
      <c r="J104" s="238"/>
      <c r="K104" s="238"/>
      <c r="L104" s="238"/>
      <c r="M104" s="238"/>
      <c r="N104" s="238"/>
      <c r="O104" s="238"/>
      <c r="P104" s="238"/>
      <c r="Q104" s="238"/>
      <c r="R104" s="238"/>
      <c r="S104" s="238"/>
      <c r="T104" s="238"/>
      <c r="U104" s="238"/>
      <c r="V104" s="238"/>
      <c r="W104" s="238"/>
      <c r="X104" s="238"/>
      <c r="Y104" s="238"/>
    </row>
    <row r="105" spans="3:25" x14ac:dyDescent="0.25">
      <c r="C105" s="96"/>
      <c r="E105" s="96"/>
      <c r="F105" s="415" t="s">
        <v>324</v>
      </c>
      <c r="G105" s="16" t="s">
        <v>528</v>
      </c>
      <c r="H105" s="91"/>
      <c r="I105" s="91"/>
      <c r="J105" s="284">
        <f>'Pseudo-load coefficients'!J294</f>
        <v>1.4805259537586315E-2</v>
      </c>
      <c r="K105" s="284">
        <f>'Pseudo-load coefficients'!K294</f>
        <v>1.4805259537586315E-2</v>
      </c>
      <c r="L105" s="284">
        <f>'Pseudo-load coefficients'!L294</f>
        <v>1.7196383882860215E-2</v>
      </c>
      <c r="M105" s="284">
        <f>'Pseudo-load coefficients'!M294</f>
        <v>1.7196383882860215E-2</v>
      </c>
      <c r="N105" s="284">
        <f>'Pseudo-load coefficients'!N294</f>
        <v>1.3293274232446117E-2</v>
      </c>
      <c r="O105" s="284">
        <f>'Pseudo-load coefficients'!O294</f>
        <v>1.1371168633511621E-2</v>
      </c>
      <c r="P105" s="284">
        <f>'Pseudo-load coefficients'!P294</f>
        <v>1.1541859739695104E-2</v>
      </c>
      <c r="Q105" s="284">
        <f>'Pseudo-load coefficients'!Q294</f>
        <v>1.163653936983337E-2</v>
      </c>
      <c r="R105" s="284">
        <f>'Pseudo-load coefficients'!R294</f>
        <v>1.0587312079975646E-2</v>
      </c>
      <c r="S105" s="284">
        <f>'Pseudo-load coefficients'!S294</f>
        <v>1.0587312079975646E-2</v>
      </c>
      <c r="T105" s="284">
        <f>'Pseudo-load coefficients'!T294</f>
        <v>1.0587312079975646E-2</v>
      </c>
      <c r="U105" s="284">
        <f>'Pseudo-load coefficients'!U294</f>
        <v>1.0587312079975646E-2</v>
      </c>
      <c r="V105" s="284">
        <f>'Pseudo-load coefficients'!V294</f>
        <v>1.0587312079975646E-2</v>
      </c>
      <c r="W105" s="284">
        <f>'Pseudo-load coefficients'!W294</f>
        <v>1.0587312079975646E-2</v>
      </c>
      <c r="X105" s="284">
        <f>'Pseudo-load coefficients'!X294</f>
        <v>1.0587312079975646E-2</v>
      </c>
      <c r="Y105" s="284">
        <f>'Pseudo-load coefficients'!Y294</f>
        <v>1.0587312079975646E-2</v>
      </c>
    </row>
    <row r="106" spans="3:25" x14ac:dyDescent="0.25">
      <c r="C106" s="96"/>
      <c r="E106" s="96"/>
      <c r="F106" s="416" t="s">
        <v>43</v>
      </c>
      <c r="G106" s="14" t="s">
        <v>528</v>
      </c>
      <c r="J106" s="417">
        <f>'Pseudo-load coefficients'!J294</f>
        <v>1.4805259537586315E-2</v>
      </c>
      <c r="K106" s="417">
        <f>'Pseudo-load coefficients'!K294</f>
        <v>1.4805259537586315E-2</v>
      </c>
      <c r="L106" s="417">
        <f>'Pseudo-load coefficients'!L294</f>
        <v>1.7196383882860215E-2</v>
      </c>
      <c r="M106" s="417">
        <f>'Pseudo-load coefficients'!M294</f>
        <v>1.7196383882860215E-2</v>
      </c>
      <c r="N106" s="417">
        <f>'Pseudo-load coefficients'!N294</f>
        <v>1.3293274232446117E-2</v>
      </c>
      <c r="O106" s="417">
        <f>'Pseudo-load coefficients'!O294</f>
        <v>1.1371168633511621E-2</v>
      </c>
      <c r="P106" s="417">
        <f>'Pseudo-load coefficients'!P294</f>
        <v>1.1541859739695104E-2</v>
      </c>
      <c r="Q106" s="417">
        <f>'Pseudo-load coefficients'!Q294</f>
        <v>1.163653936983337E-2</v>
      </c>
      <c r="R106" s="417">
        <f>'Pseudo-load coefficients'!R294</f>
        <v>1.0587312079975646E-2</v>
      </c>
      <c r="S106" s="417">
        <f>'Pseudo-load coefficients'!S294</f>
        <v>1.0587312079975646E-2</v>
      </c>
      <c r="T106" s="417">
        <f>'Pseudo-load coefficients'!T294</f>
        <v>1.0587312079975646E-2</v>
      </c>
      <c r="U106" s="417">
        <f>'Pseudo-load coefficients'!U294</f>
        <v>1.0587312079975646E-2</v>
      </c>
      <c r="V106" s="417">
        <f>'Pseudo-load coefficients'!V294</f>
        <v>1.0587312079975646E-2</v>
      </c>
      <c r="W106" s="417">
        <f>'Pseudo-load coefficients'!W294</f>
        <v>1.0587312079975646E-2</v>
      </c>
      <c r="X106" s="417">
        <f>'Pseudo-load coefficients'!X294</f>
        <v>1.0587312079975646E-2</v>
      </c>
      <c r="Y106" s="417">
        <f>'Pseudo-load coefficients'!Y294</f>
        <v>1.0587312079975646E-2</v>
      </c>
    </row>
    <row r="107" spans="3:25" x14ac:dyDescent="0.25">
      <c r="C107" s="96"/>
      <c r="E107" s="96"/>
      <c r="F107" s="416" t="s">
        <v>44</v>
      </c>
      <c r="G107" s="14" t="s">
        <v>528</v>
      </c>
      <c r="J107" s="417">
        <f>'Pseudo-load coefficients'!J295</f>
        <v>0</v>
      </c>
      <c r="K107" s="417">
        <f>'Pseudo-load coefficients'!K295</f>
        <v>0</v>
      </c>
      <c r="L107" s="417">
        <f>'Pseudo-load coefficients'!L295</f>
        <v>0</v>
      </c>
      <c r="M107" s="417">
        <f>'Pseudo-load coefficients'!M295</f>
        <v>0</v>
      </c>
      <c r="N107" s="417">
        <f>'Pseudo-load coefficients'!N295</f>
        <v>0</v>
      </c>
      <c r="O107" s="417">
        <f>'Pseudo-load coefficients'!O295</f>
        <v>0</v>
      </c>
      <c r="P107" s="417">
        <f>'Pseudo-load coefficients'!P295</f>
        <v>0</v>
      </c>
      <c r="Q107" s="417">
        <f>'Pseudo-load coefficients'!Q295</f>
        <v>0</v>
      </c>
      <c r="R107" s="417">
        <f>'Pseudo-load coefficients'!R295</f>
        <v>0</v>
      </c>
      <c r="S107" s="417">
        <f>'Pseudo-load coefficients'!S295</f>
        <v>0</v>
      </c>
      <c r="T107" s="417">
        <f>'Pseudo-load coefficients'!T295</f>
        <v>0</v>
      </c>
      <c r="U107" s="417">
        <f>'Pseudo-load coefficients'!U295</f>
        <v>0</v>
      </c>
      <c r="V107" s="417">
        <f>'Pseudo-load coefficients'!V295</f>
        <v>0</v>
      </c>
      <c r="W107" s="417">
        <f>'Pseudo-load coefficients'!W295</f>
        <v>0</v>
      </c>
      <c r="X107" s="417">
        <f>'Pseudo-load coefficients'!X295</f>
        <v>0</v>
      </c>
      <c r="Y107" s="417">
        <f>'Pseudo-load coefficients'!Y295</f>
        <v>0</v>
      </c>
    </row>
    <row r="108" spans="3:25" x14ac:dyDescent="0.25">
      <c r="C108" s="96"/>
      <c r="E108" s="96"/>
      <c r="F108" s="416" t="s">
        <v>45</v>
      </c>
      <c r="G108" s="14" t="s">
        <v>528</v>
      </c>
      <c r="J108" s="417">
        <f>'Pseudo-load coefficients'!J296</f>
        <v>0</v>
      </c>
      <c r="K108" s="417">
        <f>'Pseudo-load coefficients'!K296</f>
        <v>0</v>
      </c>
      <c r="L108" s="417">
        <f>'Pseudo-load coefficients'!L296</f>
        <v>0</v>
      </c>
      <c r="M108" s="417">
        <f>'Pseudo-load coefficients'!M296</f>
        <v>0</v>
      </c>
      <c r="N108" s="417">
        <f>'Pseudo-load coefficients'!N296</f>
        <v>0</v>
      </c>
      <c r="O108" s="417">
        <f>'Pseudo-load coefficients'!O296</f>
        <v>0</v>
      </c>
      <c r="P108" s="417">
        <f>'Pseudo-load coefficients'!P296</f>
        <v>0</v>
      </c>
      <c r="Q108" s="417">
        <f>'Pseudo-load coefficients'!Q296</f>
        <v>0</v>
      </c>
      <c r="R108" s="417">
        <f>'Pseudo-load coefficients'!R296</f>
        <v>0</v>
      </c>
      <c r="S108" s="417">
        <f>'Pseudo-load coefficients'!S296</f>
        <v>0</v>
      </c>
      <c r="T108" s="417">
        <f>'Pseudo-load coefficients'!T296</f>
        <v>0</v>
      </c>
      <c r="U108" s="417">
        <f>'Pseudo-load coefficients'!U296</f>
        <v>0</v>
      </c>
      <c r="V108" s="417">
        <f>'Pseudo-load coefficients'!V296</f>
        <v>0</v>
      </c>
      <c r="W108" s="417">
        <f>'Pseudo-load coefficients'!W296</f>
        <v>0</v>
      </c>
      <c r="X108" s="417">
        <f>'Pseudo-load coefficients'!X296</f>
        <v>0</v>
      </c>
      <c r="Y108" s="417">
        <f>'Pseudo-load coefficients'!Y296</f>
        <v>0</v>
      </c>
    </row>
    <row r="109" spans="3:25" x14ac:dyDescent="0.25">
      <c r="C109" s="96"/>
      <c r="E109" s="96"/>
      <c r="F109" s="416" t="s">
        <v>46</v>
      </c>
      <c r="G109" s="14" t="s">
        <v>528</v>
      </c>
      <c r="J109" s="417">
        <f>'Pseudo-load coefficients'!J297</f>
        <v>1.4805259537586315E-2</v>
      </c>
      <c r="K109" s="417">
        <f>'Pseudo-load coefficients'!K297</f>
        <v>1.4805259537586315E-2</v>
      </c>
      <c r="L109" s="417">
        <f>'Pseudo-load coefficients'!L297</f>
        <v>1.7196383882860215E-2</v>
      </c>
      <c r="M109" s="417">
        <f>'Pseudo-load coefficients'!M297</f>
        <v>1.7196383882860215E-2</v>
      </c>
      <c r="N109" s="417">
        <f>'Pseudo-load coefficients'!N297</f>
        <v>1.3293274232446117E-2</v>
      </c>
      <c r="O109" s="417">
        <f>'Pseudo-load coefficients'!O297</f>
        <v>1.1371168633511621E-2</v>
      </c>
      <c r="P109" s="417">
        <f>'Pseudo-load coefficients'!P297</f>
        <v>1.1541859739695104E-2</v>
      </c>
      <c r="Q109" s="417">
        <f>'Pseudo-load coefficients'!Q297</f>
        <v>1.163653936983337E-2</v>
      </c>
      <c r="R109" s="417">
        <f>'Pseudo-load coefficients'!R297</f>
        <v>1.0587312079975646E-2</v>
      </c>
      <c r="S109" s="417">
        <f>'Pseudo-load coefficients'!S297</f>
        <v>1.0587312079975646E-2</v>
      </c>
      <c r="T109" s="417">
        <f>'Pseudo-load coefficients'!T297</f>
        <v>1.0587312079975646E-2</v>
      </c>
      <c r="U109" s="417">
        <f>'Pseudo-load coefficients'!U297</f>
        <v>1.0587312079975646E-2</v>
      </c>
      <c r="V109" s="417">
        <f>'Pseudo-load coefficients'!V297</f>
        <v>1.0587312079975646E-2</v>
      </c>
      <c r="W109" s="417">
        <f>'Pseudo-load coefficients'!W297</f>
        <v>1.0587312079975646E-2</v>
      </c>
      <c r="X109" s="417">
        <f>'Pseudo-load coefficients'!X297</f>
        <v>1.0587312079975646E-2</v>
      </c>
      <c r="Y109" s="417">
        <f>'Pseudo-load coefficients'!Y297</f>
        <v>1.0587312079975646E-2</v>
      </c>
    </row>
    <row r="110" spans="3:25" x14ac:dyDescent="0.25">
      <c r="C110" s="96"/>
      <c r="E110" s="96"/>
      <c r="F110" s="416" t="s">
        <v>47</v>
      </c>
      <c r="G110" s="14" t="s">
        <v>528</v>
      </c>
      <c r="J110" s="417">
        <f>'Pseudo-load coefficients'!J298</f>
        <v>4.1322546283744134E-2</v>
      </c>
      <c r="K110" s="417">
        <f>'Pseudo-load coefficients'!K298</f>
        <v>4.1322546283744134E-2</v>
      </c>
      <c r="L110" s="417">
        <f>'Pseudo-load coefficients'!L298</f>
        <v>4.7996346643469308E-2</v>
      </c>
      <c r="M110" s="417">
        <f>'Pseudo-load coefficients'!M298</f>
        <v>4.7996346643469308E-2</v>
      </c>
      <c r="N110" s="417">
        <f>'Pseudo-load coefficients'!N298</f>
        <v>3.7102486338602317E-2</v>
      </c>
      <c r="O110" s="417">
        <f>'Pseudo-load coefficients'!O298</f>
        <v>3.1737751098900924E-2</v>
      </c>
      <c r="P110" s="417">
        <f>'Pseudo-load coefficients'!P298</f>
        <v>3.2214162276805902E-2</v>
      </c>
      <c r="Q110" s="417">
        <f>'Pseudo-load coefficients'!Q298</f>
        <v>3.2478419947438684E-2</v>
      </c>
      <c r="R110" s="417">
        <f>'Pseudo-load coefficients'!R298</f>
        <v>2.9549950970772461E-2</v>
      </c>
      <c r="S110" s="417">
        <f>'Pseudo-load coefficients'!S298</f>
        <v>2.9549950970772461E-2</v>
      </c>
      <c r="T110" s="417">
        <f>'Pseudo-load coefficients'!T298</f>
        <v>2.9549950970772461E-2</v>
      </c>
      <c r="U110" s="417">
        <f>'Pseudo-load coefficients'!U298</f>
        <v>2.9549950970772461E-2</v>
      </c>
      <c r="V110" s="417">
        <f>'Pseudo-load coefficients'!V298</f>
        <v>2.9549950970772461E-2</v>
      </c>
      <c r="W110" s="417">
        <f>'Pseudo-load coefficients'!W298</f>
        <v>2.9549950970772461E-2</v>
      </c>
      <c r="X110" s="417">
        <f>'Pseudo-load coefficients'!X298</f>
        <v>2.9549950970772461E-2</v>
      </c>
      <c r="Y110" s="417">
        <f>'Pseudo-load coefficients'!Y298</f>
        <v>2.9549950970772461E-2</v>
      </c>
    </row>
    <row r="111" spans="3:25" x14ac:dyDescent="0.25">
      <c r="C111" s="96"/>
      <c r="E111" s="96"/>
      <c r="F111" s="416" t="s">
        <v>51</v>
      </c>
      <c r="G111" s="14" t="s">
        <v>528</v>
      </c>
      <c r="J111" s="417">
        <f>'Pseudo-load coefficients'!J299</f>
        <v>0</v>
      </c>
      <c r="K111" s="417">
        <f>'Pseudo-load coefficients'!K299</f>
        <v>0</v>
      </c>
      <c r="L111" s="417">
        <f>'Pseudo-load coefficients'!L299</f>
        <v>0</v>
      </c>
      <c r="M111" s="417">
        <f>'Pseudo-load coefficients'!M299</f>
        <v>0</v>
      </c>
      <c r="N111" s="417">
        <f>'Pseudo-load coefficients'!N299</f>
        <v>0</v>
      </c>
      <c r="O111" s="417">
        <f>'Pseudo-load coefficients'!O299</f>
        <v>0</v>
      </c>
      <c r="P111" s="417">
        <f>'Pseudo-load coefficients'!P299</f>
        <v>0</v>
      </c>
      <c r="Q111" s="417">
        <f>'Pseudo-load coefficients'!Q299</f>
        <v>0</v>
      </c>
      <c r="R111" s="417">
        <f>'Pseudo-load coefficients'!R299</f>
        <v>0</v>
      </c>
      <c r="S111" s="417">
        <f>'Pseudo-load coefficients'!S299</f>
        <v>0</v>
      </c>
      <c r="T111" s="417">
        <f>'Pseudo-load coefficients'!T299</f>
        <v>0</v>
      </c>
      <c r="U111" s="417">
        <f>'Pseudo-load coefficients'!U299</f>
        <v>0</v>
      </c>
      <c r="V111" s="417">
        <f>'Pseudo-load coefficients'!V299</f>
        <v>0</v>
      </c>
      <c r="W111" s="417">
        <f>'Pseudo-load coefficients'!W299</f>
        <v>0</v>
      </c>
      <c r="X111" s="417">
        <f>'Pseudo-load coefficients'!X299</f>
        <v>0</v>
      </c>
      <c r="Y111" s="417">
        <f>'Pseudo-load coefficients'!Y299</f>
        <v>0</v>
      </c>
    </row>
    <row r="112" spans="3:25" x14ac:dyDescent="0.25">
      <c r="C112" s="96"/>
      <c r="E112" s="96"/>
      <c r="F112" s="416" t="s">
        <v>48</v>
      </c>
      <c r="G112" s="14" t="s">
        <v>528</v>
      </c>
      <c r="J112" s="417">
        <f>'Pseudo-load coefficients'!J300</f>
        <v>4.1322546283744134E-2</v>
      </c>
      <c r="K112" s="417">
        <f>'Pseudo-load coefficients'!K300</f>
        <v>4.1322546283744134E-2</v>
      </c>
      <c r="L112" s="417">
        <f>'Pseudo-load coefficients'!L300</f>
        <v>4.7996346643469308E-2</v>
      </c>
      <c r="M112" s="417">
        <f>'Pseudo-load coefficients'!M300</f>
        <v>4.7996346643469308E-2</v>
      </c>
      <c r="N112" s="417">
        <f>'Pseudo-load coefficients'!N300</f>
        <v>3.7102486338602317E-2</v>
      </c>
      <c r="O112" s="417">
        <f>'Pseudo-load coefficients'!O300</f>
        <v>3.1737751098900924E-2</v>
      </c>
      <c r="P112" s="417">
        <f>'Pseudo-load coefficients'!P300</f>
        <v>3.2214162276805902E-2</v>
      </c>
      <c r="Q112" s="417">
        <f>'Pseudo-load coefficients'!Q300</f>
        <v>3.2478419947438684E-2</v>
      </c>
      <c r="R112" s="417">
        <f>'Pseudo-load coefficients'!R300</f>
        <v>2.9549950970772461E-2</v>
      </c>
      <c r="S112" s="417">
        <f>'Pseudo-load coefficients'!S300</f>
        <v>2.9549950970772461E-2</v>
      </c>
      <c r="T112" s="417">
        <f>'Pseudo-load coefficients'!T300</f>
        <v>2.9549950970772461E-2</v>
      </c>
      <c r="U112" s="417">
        <f>'Pseudo-load coefficients'!U300</f>
        <v>2.9549950970772461E-2</v>
      </c>
      <c r="V112" s="417">
        <f>'Pseudo-load coefficients'!V300</f>
        <v>2.9549950970772461E-2</v>
      </c>
      <c r="W112" s="417">
        <f>'Pseudo-load coefficients'!W300</f>
        <v>2.9549950970772461E-2</v>
      </c>
      <c r="X112" s="417">
        <f>'Pseudo-load coefficients'!X300</f>
        <v>2.9549950970772461E-2</v>
      </c>
      <c r="Y112" s="417">
        <f>'Pseudo-load coefficients'!Y300</f>
        <v>2.9549950970772461E-2</v>
      </c>
    </row>
    <row r="113" spans="2:27" x14ac:dyDescent="0.25">
      <c r="C113" s="96"/>
      <c r="E113" s="96"/>
      <c r="F113" s="416" t="s">
        <v>49</v>
      </c>
      <c r="G113" s="14" t="s">
        <v>528</v>
      </c>
      <c r="J113" s="417">
        <f>'Pseudo-load coefficients'!J301</f>
        <v>4.1322546283744134E-2</v>
      </c>
      <c r="K113" s="417">
        <f>'Pseudo-load coefficients'!K301</f>
        <v>4.1322546283744134E-2</v>
      </c>
      <c r="L113" s="417">
        <f>'Pseudo-load coefficients'!L301</f>
        <v>4.7996346643469308E-2</v>
      </c>
      <c r="M113" s="417">
        <f>'Pseudo-load coefficients'!M301</f>
        <v>4.7996346643469308E-2</v>
      </c>
      <c r="N113" s="417">
        <f>'Pseudo-load coefficients'!N301</f>
        <v>3.7102486338602317E-2</v>
      </c>
      <c r="O113" s="417">
        <f>'Pseudo-load coefficients'!O301</f>
        <v>3.1737751098900924E-2</v>
      </c>
      <c r="P113" s="417">
        <f>'Pseudo-load coefficients'!P301</f>
        <v>3.2214162276805902E-2</v>
      </c>
      <c r="Q113" s="417">
        <f>'Pseudo-load coefficients'!Q301</f>
        <v>3.2478419947438684E-2</v>
      </c>
      <c r="R113" s="417">
        <f>'Pseudo-load coefficients'!R301</f>
        <v>2.9549950970772461E-2</v>
      </c>
      <c r="S113" s="417">
        <f>'Pseudo-load coefficients'!S301</f>
        <v>2.9549950970772461E-2</v>
      </c>
      <c r="T113" s="417">
        <f>'Pseudo-load coefficients'!T301</f>
        <v>2.9549950970772461E-2</v>
      </c>
      <c r="U113" s="417">
        <f>'Pseudo-load coefficients'!U301</f>
        <v>2.9549950970772461E-2</v>
      </c>
      <c r="V113" s="417">
        <f>'Pseudo-load coefficients'!V301</f>
        <v>2.9549950970772461E-2</v>
      </c>
      <c r="W113" s="417">
        <f>'Pseudo-load coefficients'!W301</f>
        <v>2.9549950970772461E-2</v>
      </c>
      <c r="X113" s="417">
        <f>'Pseudo-load coefficients'!X301</f>
        <v>2.9549950970772461E-2</v>
      </c>
      <c r="Y113" s="417">
        <f>'Pseudo-load coefficients'!Y301</f>
        <v>2.9549950970772461E-2</v>
      </c>
    </row>
    <row r="114" spans="2:27" x14ac:dyDescent="0.25">
      <c r="C114" s="96"/>
      <c r="E114" s="96"/>
      <c r="F114" s="418" t="s">
        <v>50</v>
      </c>
      <c r="G114" s="15" t="s">
        <v>528</v>
      </c>
      <c r="H114" s="93"/>
      <c r="I114" s="93"/>
      <c r="J114" s="285">
        <f>'Pseudo-load coefficients'!J302</f>
        <v>4.1322546283744134E-2</v>
      </c>
      <c r="K114" s="285">
        <f>'Pseudo-load coefficients'!K302</f>
        <v>4.1322546283744134E-2</v>
      </c>
      <c r="L114" s="285">
        <f>'Pseudo-load coefficients'!L302</f>
        <v>4.7996346643469308E-2</v>
      </c>
      <c r="M114" s="285">
        <f>'Pseudo-load coefficients'!M302</f>
        <v>4.7996346643469308E-2</v>
      </c>
      <c r="N114" s="285">
        <f>'Pseudo-load coefficients'!N302</f>
        <v>3.7102486338602317E-2</v>
      </c>
      <c r="O114" s="285">
        <f>'Pseudo-load coefficients'!O302</f>
        <v>3.1737751098900924E-2</v>
      </c>
      <c r="P114" s="285">
        <f>'Pseudo-load coefficients'!P302</f>
        <v>3.2214162276805902E-2</v>
      </c>
      <c r="Q114" s="285">
        <f>'Pseudo-load coefficients'!Q302</f>
        <v>3.2478419947438684E-2</v>
      </c>
      <c r="R114" s="285">
        <f>'Pseudo-load coefficients'!R302</f>
        <v>2.9549950970772461E-2</v>
      </c>
      <c r="S114" s="285">
        <f>'Pseudo-load coefficients'!S302</f>
        <v>2.9549950970772461E-2</v>
      </c>
      <c r="T114" s="285">
        <f>'Pseudo-load coefficients'!T302</f>
        <v>2.9549950970772461E-2</v>
      </c>
      <c r="U114" s="285">
        <f>'Pseudo-load coefficients'!U302</f>
        <v>2.9549950970772461E-2</v>
      </c>
      <c r="V114" s="285">
        <f>'Pseudo-load coefficients'!V302</f>
        <v>2.9549950970772461E-2</v>
      </c>
      <c r="W114" s="285">
        <f>'Pseudo-load coefficients'!W302</f>
        <v>2.9549950970772461E-2</v>
      </c>
      <c r="X114" s="285">
        <f>'Pseudo-load coefficients'!X302</f>
        <v>2.9549950970772461E-2</v>
      </c>
      <c r="Y114" s="285">
        <f>'Pseudo-load coefficients'!Y302</f>
        <v>2.9549950970772461E-2</v>
      </c>
    </row>
    <row r="115" spans="2:27" x14ac:dyDescent="0.25">
      <c r="C115" s="96"/>
      <c r="D115" s="96"/>
      <c r="E115" s="96"/>
      <c r="J115" s="238"/>
      <c r="K115" s="238"/>
      <c r="L115" s="238"/>
      <c r="M115" s="238"/>
      <c r="N115" s="238"/>
      <c r="O115" s="238"/>
      <c r="P115" s="238"/>
      <c r="Q115" s="238"/>
      <c r="R115" s="238"/>
      <c r="S115" s="238"/>
      <c r="T115" s="238"/>
      <c r="U115" s="238"/>
      <c r="V115" s="238"/>
      <c r="W115" s="238"/>
      <c r="X115" s="238"/>
      <c r="Y115" s="238"/>
    </row>
    <row r="116" spans="2:27" x14ac:dyDescent="0.25">
      <c r="B116" s="95" t="s">
        <v>772</v>
      </c>
      <c r="C116" s="95"/>
      <c r="D116" s="95"/>
      <c r="E116" s="95"/>
      <c r="F116" s="95"/>
      <c r="G116" s="95"/>
      <c r="H116" s="95"/>
      <c r="I116" s="95"/>
      <c r="J116" s="282"/>
      <c r="K116" s="282"/>
      <c r="L116" s="282"/>
      <c r="M116" s="282"/>
      <c r="N116" s="282"/>
      <c r="O116" s="282"/>
      <c r="P116" s="282"/>
      <c r="Q116" s="282"/>
      <c r="R116" s="282"/>
      <c r="S116" s="282"/>
      <c r="T116" s="282"/>
      <c r="U116" s="282"/>
      <c r="V116" s="282"/>
      <c r="W116" s="282"/>
      <c r="X116" s="282"/>
      <c r="Y116" s="282"/>
      <c r="Z116" s="95"/>
      <c r="AA116" s="95"/>
    </row>
    <row r="117" spans="2:27" x14ac:dyDescent="0.25"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  <c r="U117" s="253"/>
      <c r="V117" s="253"/>
      <c r="W117" s="253"/>
      <c r="X117" s="253"/>
      <c r="Y117" s="253"/>
    </row>
    <row r="118" spans="2:27" x14ac:dyDescent="0.25">
      <c r="C118" s="7" t="str">
        <f ca="1">INDEX('Version control'!$H$34:$H$58,MATCH($A$1,'Version control'!$F$34:$F$58,0),1)&amp;"-B: Yardstick charges"</f>
        <v>Section 512-B: Yardstick charges</v>
      </c>
      <c r="D118" s="7"/>
      <c r="E118" s="7"/>
      <c r="F118" s="7"/>
      <c r="G118" s="7"/>
      <c r="H118" s="7"/>
      <c r="I118" s="7"/>
      <c r="J118" s="242"/>
      <c r="K118" s="242"/>
      <c r="L118" s="242"/>
      <c r="M118" s="242"/>
      <c r="N118" s="242"/>
      <c r="O118" s="242"/>
      <c r="P118" s="242"/>
      <c r="Q118" s="242"/>
      <c r="R118" s="242"/>
      <c r="S118" s="242"/>
      <c r="T118" s="242"/>
      <c r="U118" s="242"/>
      <c r="V118" s="242"/>
      <c r="W118" s="242"/>
      <c r="X118" s="242"/>
      <c r="Y118" s="242"/>
      <c r="Z118" s="7"/>
      <c r="AA118" s="7"/>
    </row>
    <row r="119" spans="2:27" x14ac:dyDescent="0.25">
      <c r="C119" s="96"/>
      <c r="D119" s="96"/>
      <c r="E119" s="96"/>
      <c r="J119" s="253"/>
      <c r="K119" s="253"/>
      <c r="L119" s="253"/>
      <c r="M119" s="253"/>
      <c r="N119" s="253"/>
      <c r="O119" s="253"/>
      <c r="P119" s="253"/>
      <c r="Q119" s="253"/>
      <c r="R119" s="253"/>
      <c r="S119" s="253"/>
      <c r="T119" s="253"/>
      <c r="U119" s="253"/>
      <c r="V119" s="253"/>
      <c r="W119" s="253"/>
      <c r="X119" s="253"/>
      <c r="Y119" s="253"/>
    </row>
    <row r="120" spans="2:27" x14ac:dyDescent="0.25">
      <c r="D120" s="82" t="s">
        <v>833</v>
      </c>
      <c r="E120" s="96"/>
      <c r="F120" s="96"/>
      <c r="J120" s="238"/>
      <c r="K120" s="238"/>
      <c r="L120" s="238"/>
      <c r="M120" s="238"/>
      <c r="N120" s="238"/>
      <c r="O120" s="238"/>
      <c r="P120" s="238"/>
      <c r="Q120" s="238"/>
      <c r="R120" s="238"/>
      <c r="S120" s="238"/>
      <c r="T120" s="238"/>
      <c r="U120" s="238"/>
      <c r="V120" s="238"/>
      <c r="W120" s="238"/>
      <c r="X120" s="238"/>
      <c r="Y120" s="238"/>
    </row>
    <row r="121" spans="2:27" x14ac:dyDescent="0.25">
      <c r="D121" s="96"/>
      <c r="E121" s="96"/>
      <c r="F121" s="96"/>
      <c r="I121" s="88" t="s">
        <v>431</v>
      </c>
      <c r="J121" s="238"/>
      <c r="K121" s="238"/>
      <c r="L121" s="238"/>
      <c r="M121" s="238"/>
      <c r="N121" s="238"/>
      <c r="O121" s="238"/>
      <c r="P121" s="238"/>
      <c r="Q121" s="238"/>
      <c r="R121" s="238"/>
      <c r="S121" s="238"/>
      <c r="T121" s="238"/>
      <c r="U121" s="238"/>
      <c r="V121" s="238"/>
      <c r="W121" s="238"/>
      <c r="X121" s="238"/>
      <c r="Y121" s="238"/>
      <c r="AA121" s="295" t="s">
        <v>832</v>
      </c>
    </row>
    <row r="122" spans="2:27" x14ac:dyDescent="0.25">
      <c r="E122" s="96" t="s">
        <v>139</v>
      </c>
      <c r="J122" s="253"/>
      <c r="K122" s="253"/>
      <c r="L122" s="253"/>
      <c r="M122" s="253"/>
      <c r="N122" s="253"/>
      <c r="O122" s="253"/>
      <c r="P122" s="253"/>
      <c r="Q122" s="253"/>
      <c r="R122" s="253"/>
      <c r="S122" s="253"/>
      <c r="T122" s="253"/>
      <c r="U122" s="253"/>
      <c r="V122" s="253"/>
      <c r="W122" s="253"/>
      <c r="X122" s="253"/>
      <c r="Y122" s="253"/>
    </row>
    <row r="123" spans="2:27" x14ac:dyDescent="0.25">
      <c r="E123" s="96"/>
      <c r="F123" s="415" t="s">
        <v>324</v>
      </c>
      <c r="G123" s="91" t="s">
        <v>183</v>
      </c>
      <c r="H123" s="350"/>
      <c r="I123" s="350"/>
      <c r="J123" s="356">
        <f t="shared" ref="J123:Y123" si="0">hundred * $H18 * J55 / $H43 * J$78 * (1 - J67) / hours_in_year</f>
        <v>0</v>
      </c>
      <c r="K123" s="356">
        <f t="shared" si="0"/>
        <v>0</v>
      </c>
      <c r="L123" s="356">
        <f t="shared" si="0"/>
        <v>0</v>
      </c>
      <c r="M123" s="356">
        <f t="shared" si="0"/>
        <v>0</v>
      </c>
      <c r="N123" s="356">
        <f t="shared" si="0"/>
        <v>0</v>
      </c>
      <c r="O123" s="356">
        <f t="shared" si="0"/>
        <v>0</v>
      </c>
      <c r="P123" s="356">
        <f t="shared" si="0"/>
        <v>0</v>
      </c>
      <c r="Q123" s="356">
        <f t="shared" si="0"/>
        <v>0</v>
      </c>
      <c r="R123" s="356">
        <f t="shared" si="0"/>
        <v>0</v>
      </c>
      <c r="S123" s="356">
        <f t="shared" si="0"/>
        <v>0</v>
      </c>
      <c r="T123" s="356">
        <f t="shared" si="0"/>
        <v>0</v>
      </c>
      <c r="U123" s="356">
        <f t="shared" si="0"/>
        <v>0</v>
      </c>
      <c r="V123" s="356">
        <f t="shared" si="0"/>
        <v>0</v>
      </c>
      <c r="W123" s="356">
        <f t="shared" si="0"/>
        <v>0</v>
      </c>
      <c r="X123" s="356">
        <f t="shared" si="0"/>
        <v>0</v>
      </c>
      <c r="Y123" s="356">
        <f t="shared" si="0"/>
        <v>0</v>
      </c>
      <c r="Z123" s="352"/>
      <c r="AA123" s="352"/>
    </row>
    <row r="124" spans="2:27" x14ac:dyDescent="0.25">
      <c r="E124" s="96"/>
      <c r="F124" s="416" t="s">
        <v>43</v>
      </c>
      <c r="G124" s="295" t="s">
        <v>183</v>
      </c>
      <c r="H124" s="352"/>
      <c r="I124" s="352"/>
      <c r="J124" s="357">
        <f t="shared" ref="J124:Y124" si="1">hundred * $H19 * J56 / $H44 * J$78 * (1 - J68) / hours_in_year</f>
        <v>0</v>
      </c>
      <c r="K124" s="357">
        <f t="shared" si="1"/>
        <v>0</v>
      </c>
      <c r="L124" s="357">
        <f t="shared" si="1"/>
        <v>0</v>
      </c>
      <c r="M124" s="357">
        <f t="shared" si="1"/>
        <v>0</v>
      </c>
      <c r="N124" s="357">
        <f t="shared" si="1"/>
        <v>0</v>
      </c>
      <c r="O124" s="357">
        <f t="shared" si="1"/>
        <v>0</v>
      </c>
      <c r="P124" s="357">
        <f t="shared" si="1"/>
        <v>0</v>
      </c>
      <c r="Q124" s="357">
        <f t="shared" si="1"/>
        <v>0</v>
      </c>
      <c r="R124" s="357">
        <f t="shared" si="1"/>
        <v>0</v>
      </c>
      <c r="S124" s="357">
        <f t="shared" si="1"/>
        <v>0</v>
      </c>
      <c r="T124" s="357">
        <f t="shared" si="1"/>
        <v>0</v>
      </c>
      <c r="U124" s="357">
        <f t="shared" si="1"/>
        <v>0</v>
      </c>
      <c r="V124" s="357">
        <f t="shared" si="1"/>
        <v>0</v>
      </c>
      <c r="W124" s="357">
        <f t="shared" si="1"/>
        <v>0</v>
      </c>
      <c r="X124" s="357">
        <f t="shared" si="1"/>
        <v>0</v>
      </c>
      <c r="Y124" s="357">
        <f t="shared" si="1"/>
        <v>0</v>
      </c>
      <c r="Z124" s="352"/>
      <c r="AA124" s="352"/>
    </row>
    <row r="125" spans="2:27" x14ac:dyDescent="0.25">
      <c r="E125" s="96"/>
      <c r="F125" s="416" t="s">
        <v>44</v>
      </c>
      <c r="G125" s="295" t="s">
        <v>183</v>
      </c>
      <c r="H125" s="352"/>
      <c r="I125" s="352"/>
      <c r="J125" s="357">
        <f t="shared" ref="J125:Y125" si="2">hundred * $H20 * J57 / $H45 * J$78 * (1 - J69) / hours_in_year</f>
        <v>0</v>
      </c>
      <c r="K125" s="357">
        <f t="shared" si="2"/>
        <v>0</v>
      </c>
      <c r="L125" s="357">
        <f t="shared" si="2"/>
        <v>0</v>
      </c>
      <c r="M125" s="357">
        <f t="shared" si="2"/>
        <v>0</v>
      </c>
      <c r="N125" s="357">
        <f t="shared" si="2"/>
        <v>0</v>
      </c>
      <c r="O125" s="357">
        <f t="shared" si="2"/>
        <v>0</v>
      </c>
      <c r="P125" s="357">
        <f t="shared" si="2"/>
        <v>0</v>
      </c>
      <c r="Q125" s="357">
        <f t="shared" si="2"/>
        <v>0</v>
      </c>
      <c r="R125" s="357">
        <f t="shared" si="2"/>
        <v>0</v>
      </c>
      <c r="S125" s="357">
        <f t="shared" si="2"/>
        <v>0</v>
      </c>
      <c r="T125" s="357">
        <f t="shared" si="2"/>
        <v>0</v>
      </c>
      <c r="U125" s="357">
        <f t="shared" si="2"/>
        <v>0</v>
      </c>
      <c r="V125" s="357">
        <f t="shared" si="2"/>
        <v>0</v>
      </c>
      <c r="W125" s="357">
        <f t="shared" si="2"/>
        <v>0</v>
      </c>
      <c r="X125" s="357">
        <f t="shared" si="2"/>
        <v>0</v>
      </c>
      <c r="Y125" s="357">
        <f t="shared" si="2"/>
        <v>0</v>
      </c>
      <c r="Z125" s="352"/>
      <c r="AA125" s="352"/>
    </row>
    <row r="126" spans="2:27" x14ac:dyDescent="0.25">
      <c r="E126" s="96"/>
      <c r="F126" s="416" t="s">
        <v>45</v>
      </c>
      <c r="G126" s="295" t="s">
        <v>183</v>
      </c>
      <c r="H126" s="352"/>
      <c r="I126" s="352"/>
      <c r="J126" s="357">
        <f t="shared" ref="J126:Y126" si="3">hundred * $H21 * J58 / $H46 * J$78 * (1 - J70) / hours_in_year</f>
        <v>0</v>
      </c>
      <c r="K126" s="357">
        <f t="shared" si="3"/>
        <v>0</v>
      </c>
      <c r="L126" s="357">
        <f t="shared" si="3"/>
        <v>0</v>
      </c>
      <c r="M126" s="357">
        <f t="shared" si="3"/>
        <v>0</v>
      </c>
      <c r="N126" s="357">
        <f t="shared" si="3"/>
        <v>0</v>
      </c>
      <c r="O126" s="357">
        <f t="shared" si="3"/>
        <v>0</v>
      </c>
      <c r="P126" s="357">
        <f t="shared" si="3"/>
        <v>0</v>
      </c>
      <c r="Q126" s="357">
        <f t="shared" si="3"/>
        <v>0</v>
      </c>
      <c r="R126" s="357">
        <f t="shared" si="3"/>
        <v>0</v>
      </c>
      <c r="S126" s="357">
        <f t="shared" si="3"/>
        <v>0</v>
      </c>
      <c r="T126" s="357">
        <f t="shared" si="3"/>
        <v>0</v>
      </c>
      <c r="U126" s="357">
        <f t="shared" si="3"/>
        <v>0</v>
      </c>
      <c r="V126" s="357">
        <f t="shared" si="3"/>
        <v>0</v>
      </c>
      <c r="W126" s="357">
        <f t="shared" si="3"/>
        <v>0</v>
      </c>
      <c r="X126" s="357">
        <f t="shared" si="3"/>
        <v>0</v>
      </c>
      <c r="Y126" s="357">
        <f t="shared" si="3"/>
        <v>0</v>
      </c>
      <c r="Z126" s="352"/>
      <c r="AA126" s="352"/>
    </row>
    <row r="127" spans="2:27" x14ac:dyDescent="0.25">
      <c r="E127" s="96"/>
      <c r="F127" s="416" t="s">
        <v>46</v>
      </c>
      <c r="G127" s="295" t="s">
        <v>183</v>
      </c>
      <c r="H127" s="352"/>
      <c r="I127" s="352"/>
      <c r="J127" s="357">
        <f t="shared" ref="J127:Y127" si="4">hundred * $H22 * J59 / $H47 * J$78 * (1 - J71) / hours_in_year</f>
        <v>0.31202314734048664</v>
      </c>
      <c r="K127" s="357">
        <f t="shared" si="4"/>
        <v>0</v>
      </c>
      <c r="L127" s="357">
        <f t="shared" si="4"/>
        <v>0.24837579541434665</v>
      </c>
      <c r="M127" s="357">
        <f t="shared" si="4"/>
        <v>0</v>
      </c>
      <c r="N127" s="357">
        <f t="shared" si="4"/>
        <v>0.21956775836949444</v>
      </c>
      <c r="O127" s="357">
        <f t="shared" si="4"/>
        <v>0.17292758164569083</v>
      </c>
      <c r="P127" s="357">
        <f t="shared" si="4"/>
        <v>0.16213601267798952</v>
      </c>
      <c r="Q127" s="357">
        <f t="shared" si="4"/>
        <v>0.31473245434523334</v>
      </c>
      <c r="R127" s="357">
        <f t="shared" si="4"/>
        <v>-0.15578010249269109</v>
      </c>
      <c r="S127" s="357">
        <f t="shared" si="4"/>
        <v>-0.14811878597665709</v>
      </c>
      <c r="T127" s="357">
        <f t="shared" si="4"/>
        <v>-0.15578010249269109</v>
      </c>
      <c r="U127" s="357">
        <f t="shared" si="4"/>
        <v>-0.15578010249269109</v>
      </c>
      <c r="V127" s="357">
        <f t="shared" si="4"/>
        <v>-0.14811878597665709</v>
      </c>
      <c r="W127" s="357">
        <f t="shared" si="4"/>
        <v>-0.14811878597665709</v>
      </c>
      <c r="X127" s="357">
        <f t="shared" si="4"/>
        <v>-0.1410378722269893</v>
      </c>
      <c r="Y127" s="357">
        <f t="shared" si="4"/>
        <v>-0.1410378722269893</v>
      </c>
      <c r="Z127" s="352"/>
      <c r="AA127" s="352"/>
    </row>
    <row r="128" spans="2:27" x14ac:dyDescent="0.25">
      <c r="E128" s="96"/>
      <c r="F128" s="416" t="s">
        <v>47</v>
      </c>
      <c r="G128" s="295" t="s">
        <v>183</v>
      </c>
      <c r="H128" s="352"/>
      <c r="I128" s="352"/>
      <c r="J128" s="357">
        <f t="shared" ref="J128:Y128" si="5">hundred * $H23 * J60 / $H48 * J$78 * (1 - J72) / hours_in_year</f>
        <v>7.9954344332433008E-2</v>
      </c>
      <c r="K128" s="357">
        <f t="shared" si="5"/>
        <v>0</v>
      </c>
      <c r="L128" s="357">
        <f t="shared" si="5"/>
        <v>6.3645034157450889E-2</v>
      </c>
      <c r="M128" s="357">
        <f t="shared" si="5"/>
        <v>0</v>
      </c>
      <c r="N128" s="357">
        <f t="shared" si="5"/>
        <v>5.6263121203050256E-2</v>
      </c>
      <c r="O128" s="357">
        <f t="shared" si="5"/>
        <v>4.4311813162973147E-2</v>
      </c>
      <c r="P128" s="357">
        <f t="shared" si="5"/>
        <v>3.6785886797316661E-2</v>
      </c>
      <c r="Q128" s="357">
        <f t="shared" si="5"/>
        <v>8.0648590470920323E-2</v>
      </c>
      <c r="R128" s="357">
        <f t="shared" si="5"/>
        <v>-3.9917858854397206E-2</v>
      </c>
      <c r="S128" s="357">
        <f t="shared" si="5"/>
        <v>-3.7954685468115375E-2</v>
      </c>
      <c r="T128" s="357">
        <f t="shared" si="5"/>
        <v>-3.9917858854397206E-2</v>
      </c>
      <c r="U128" s="357">
        <f t="shared" si="5"/>
        <v>-3.9917858854397206E-2</v>
      </c>
      <c r="V128" s="357">
        <f t="shared" si="5"/>
        <v>-3.7954685468115375E-2</v>
      </c>
      <c r="W128" s="357">
        <f t="shared" si="5"/>
        <v>-3.7954685468115375E-2</v>
      </c>
      <c r="X128" s="357">
        <f t="shared" si="5"/>
        <v>-3.1999079761388223E-2</v>
      </c>
      <c r="Y128" s="357">
        <f t="shared" si="5"/>
        <v>-3.1999079761388223E-2</v>
      </c>
      <c r="Z128" s="352"/>
      <c r="AA128" s="352"/>
    </row>
    <row r="129" spans="4:27" x14ac:dyDescent="0.25">
      <c r="E129" s="96"/>
      <c r="F129" s="416" t="s">
        <v>51</v>
      </c>
      <c r="G129" s="295" t="s">
        <v>183</v>
      </c>
      <c r="H129" s="352"/>
      <c r="I129" s="352"/>
      <c r="J129" s="357">
        <f t="shared" ref="J129:Y129" si="6">hundred * $H24 * J61 / $H49 * J$78 * (1 - J73) / hours_in_year</f>
        <v>0</v>
      </c>
      <c r="K129" s="357">
        <f t="shared" si="6"/>
        <v>0</v>
      </c>
      <c r="L129" s="357">
        <f t="shared" si="6"/>
        <v>0</v>
      </c>
      <c r="M129" s="357">
        <f t="shared" si="6"/>
        <v>0</v>
      </c>
      <c r="N129" s="357">
        <f t="shared" si="6"/>
        <v>0</v>
      </c>
      <c r="O129" s="357">
        <f t="shared" si="6"/>
        <v>0</v>
      </c>
      <c r="P129" s="357">
        <f t="shared" si="6"/>
        <v>0</v>
      </c>
      <c r="Q129" s="357">
        <f t="shared" si="6"/>
        <v>0</v>
      </c>
      <c r="R129" s="357">
        <f t="shared" si="6"/>
        <v>0</v>
      </c>
      <c r="S129" s="357">
        <f t="shared" si="6"/>
        <v>0</v>
      </c>
      <c r="T129" s="357">
        <f t="shared" si="6"/>
        <v>0</v>
      </c>
      <c r="U129" s="357">
        <f t="shared" si="6"/>
        <v>0</v>
      </c>
      <c r="V129" s="357">
        <f t="shared" si="6"/>
        <v>0</v>
      </c>
      <c r="W129" s="357">
        <f t="shared" si="6"/>
        <v>0</v>
      </c>
      <c r="X129" s="357">
        <f t="shared" si="6"/>
        <v>0</v>
      </c>
      <c r="Y129" s="357">
        <f t="shared" si="6"/>
        <v>0</v>
      </c>
      <c r="Z129" s="352"/>
      <c r="AA129" s="352"/>
    </row>
    <row r="130" spans="4:27" x14ac:dyDescent="0.25">
      <c r="E130" s="96"/>
      <c r="F130" s="416" t="s">
        <v>48</v>
      </c>
      <c r="G130" s="295" t="s">
        <v>183</v>
      </c>
      <c r="H130" s="352"/>
      <c r="I130" s="352"/>
      <c r="J130" s="357">
        <f t="shared" ref="J130:Y130" si="7">hundred * $H25 * J62 / $H50 * J$78 * (1 - J74) / hours_in_year</f>
        <v>0.27494840506717239</v>
      </c>
      <c r="K130" s="357">
        <f t="shared" si="7"/>
        <v>0</v>
      </c>
      <c r="L130" s="357">
        <f t="shared" si="7"/>
        <v>0.21886366248317066</v>
      </c>
      <c r="M130" s="357">
        <f t="shared" si="7"/>
        <v>0</v>
      </c>
      <c r="N130" s="357">
        <f t="shared" si="7"/>
        <v>0.19347861042498202</v>
      </c>
      <c r="O130" s="357">
        <f t="shared" si="7"/>
        <v>0.15238024220594915</v>
      </c>
      <c r="P130" s="357">
        <f t="shared" si="7"/>
        <v>0.1011887037750764</v>
      </c>
      <c r="Q130" s="357">
        <f t="shared" si="7"/>
        <v>0.27733579089460764</v>
      </c>
      <c r="R130" s="357">
        <f t="shared" si="7"/>
        <v>-0.13727023487404083</v>
      </c>
      <c r="S130" s="357">
        <f t="shared" si="7"/>
        <v>-0.13051923971630108</v>
      </c>
      <c r="T130" s="357">
        <f t="shared" si="7"/>
        <v>-0.13727023487404083</v>
      </c>
      <c r="U130" s="357">
        <f t="shared" si="7"/>
        <v>-0.13727023487404083</v>
      </c>
      <c r="V130" s="357">
        <f t="shared" si="7"/>
        <v>-0.13051923971630108</v>
      </c>
      <c r="W130" s="357">
        <f t="shared" si="7"/>
        <v>-0.13051923971630108</v>
      </c>
      <c r="X130" s="357">
        <f t="shared" si="7"/>
        <v>0</v>
      </c>
      <c r="Y130" s="357">
        <f t="shared" si="7"/>
        <v>0</v>
      </c>
      <c r="Z130" s="352"/>
      <c r="AA130" s="352"/>
    </row>
    <row r="131" spans="4:27" x14ac:dyDescent="0.25">
      <c r="E131" s="96"/>
      <c r="F131" s="416" t="s">
        <v>49</v>
      </c>
      <c r="G131" s="295" t="s">
        <v>183</v>
      </c>
      <c r="H131" s="352"/>
      <c r="I131" s="352"/>
      <c r="J131" s="357">
        <f t="shared" ref="J131:Y131" si="8">hundred * $H26 * J63 / $H51 * J$78 * (1 - J75) / hours_in_year</f>
        <v>6.3134525092699817E-2</v>
      </c>
      <c r="K131" s="357">
        <f t="shared" si="8"/>
        <v>0</v>
      </c>
      <c r="L131" s="357">
        <f t="shared" si="8"/>
        <v>5.0256168562054754E-2</v>
      </c>
      <c r="M131" s="357">
        <f t="shared" si="8"/>
        <v>0</v>
      </c>
      <c r="N131" s="357">
        <f t="shared" si="8"/>
        <v>4.4427172370003175E-2</v>
      </c>
      <c r="O131" s="357">
        <f t="shared" si="8"/>
        <v>3.4990034667896359E-2</v>
      </c>
      <c r="P131" s="357">
        <f t="shared" si="8"/>
        <v>0</v>
      </c>
      <c r="Q131" s="357">
        <f t="shared" si="8"/>
        <v>6.3682724200788285E-2</v>
      </c>
      <c r="R131" s="357">
        <f t="shared" si="8"/>
        <v>-3.1520426845242575E-2</v>
      </c>
      <c r="S131" s="357">
        <f t="shared" si="8"/>
        <v>0</v>
      </c>
      <c r="T131" s="357">
        <f t="shared" si="8"/>
        <v>-3.1520426845242575E-2</v>
      </c>
      <c r="U131" s="357">
        <f t="shared" si="8"/>
        <v>-3.1520426845242575E-2</v>
      </c>
      <c r="V131" s="357">
        <f t="shared" si="8"/>
        <v>0</v>
      </c>
      <c r="W131" s="357">
        <f t="shared" si="8"/>
        <v>0</v>
      </c>
      <c r="X131" s="357">
        <f t="shared" si="8"/>
        <v>0</v>
      </c>
      <c r="Y131" s="357">
        <f t="shared" si="8"/>
        <v>0</v>
      </c>
      <c r="Z131" s="352"/>
      <c r="AA131" s="352"/>
    </row>
    <row r="132" spans="4:27" x14ac:dyDescent="0.25">
      <c r="E132" s="96"/>
      <c r="F132" s="418" t="s">
        <v>50</v>
      </c>
      <c r="G132" s="93" t="s">
        <v>183</v>
      </c>
      <c r="H132" s="354"/>
      <c r="I132" s="354"/>
      <c r="J132" s="358">
        <f t="shared" ref="J132:Y132" si="9">hundred * $H27 * J64 / $H52 * J$78 * (1 - J76) / hours_in_year</f>
        <v>1.1092116712454801E-2</v>
      </c>
      <c r="K132" s="358">
        <f t="shared" si="9"/>
        <v>0</v>
      </c>
      <c r="L132" s="358">
        <f t="shared" si="9"/>
        <v>8.8295158060129313E-3</v>
      </c>
      <c r="M132" s="358">
        <f t="shared" si="9"/>
        <v>0</v>
      </c>
      <c r="N132" s="358">
        <f t="shared" si="9"/>
        <v>7.8054183572120227E-3</v>
      </c>
      <c r="O132" s="358">
        <f t="shared" si="9"/>
        <v>0</v>
      </c>
      <c r="P132" s="358">
        <f t="shared" si="9"/>
        <v>0</v>
      </c>
      <c r="Q132" s="358">
        <f t="shared" si="9"/>
        <v>1.1188429917941854E-2</v>
      </c>
      <c r="R132" s="358">
        <f t="shared" si="9"/>
        <v>0</v>
      </c>
      <c r="S132" s="358">
        <f t="shared" si="9"/>
        <v>0</v>
      </c>
      <c r="T132" s="358">
        <f t="shared" si="9"/>
        <v>0</v>
      </c>
      <c r="U132" s="358">
        <f t="shared" si="9"/>
        <v>0</v>
      </c>
      <c r="V132" s="358">
        <f t="shared" si="9"/>
        <v>0</v>
      </c>
      <c r="W132" s="358">
        <f t="shared" si="9"/>
        <v>0</v>
      </c>
      <c r="X132" s="358">
        <f t="shared" si="9"/>
        <v>0</v>
      </c>
      <c r="Y132" s="358">
        <f t="shared" si="9"/>
        <v>0</v>
      </c>
      <c r="Z132" s="352"/>
      <c r="AA132" s="352"/>
    </row>
    <row r="133" spans="4:27" x14ac:dyDescent="0.25">
      <c r="E133" s="96"/>
      <c r="F133" s="416"/>
      <c r="J133" s="253"/>
      <c r="K133" s="253"/>
      <c r="L133" s="253"/>
      <c r="M133" s="253"/>
      <c r="N133" s="253"/>
      <c r="O133" s="253"/>
      <c r="P133" s="253"/>
      <c r="Q133" s="253"/>
      <c r="R133" s="253"/>
      <c r="S133" s="253"/>
      <c r="T133" s="253"/>
      <c r="U133" s="253"/>
      <c r="V133" s="253"/>
      <c r="W133" s="253"/>
      <c r="X133" s="253"/>
      <c r="Y133" s="253"/>
    </row>
    <row r="134" spans="4:27" x14ac:dyDescent="0.25">
      <c r="E134" s="96" t="s">
        <v>116</v>
      </c>
      <c r="J134" s="253"/>
      <c r="K134" s="253"/>
      <c r="L134" s="253"/>
      <c r="M134" s="253"/>
      <c r="N134" s="253"/>
      <c r="O134" s="253"/>
      <c r="P134" s="253"/>
      <c r="Q134" s="253"/>
      <c r="R134" s="253"/>
      <c r="S134" s="253"/>
      <c r="T134" s="253"/>
      <c r="U134" s="253"/>
      <c r="V134" s="253"/>
      <c r="W134" s="253"/>
      <c r="X134" s="253"/>
      <c r="Y134" s="253"/>
    </row>
    <row r="135" spans="4:27" x14ac:dyDescent="0.25">
      <c r="D135" s="96"/>
      <c r="E135" s="96"/>
      <c r="F135" s="415" t="s">
        <v>324</v>
      </c>
      <c r="G135" s="91" t="s">
        <v>183</v>
      </c>
      <c r="H135" s="350"/>
      <c r="I135" s="350"/>
      <c r="J135" s="356">
        <f t="shared" ref="J135:Y135" si="10">hundred * $H30 * J55 / $H43 * J$78 / hours_in_year</f>
        <v>0.3258049918708929</v>
      </c>
      <c r="K135" s="356">
        <f t="shared" si="10"/>
        <v>0</v>
      </c>
      <c r="L135" s="356">
        <f t="shared" si="10"/>
        <v>0.25934638085550038</v>
      </c>
      <c r="M135" s="356">
        <f t="shared" si="10"/>
        <v>0</v>
      </c>
      <c r="N135" s="356">
        <f t="shared" si="10"/>
        <v>0.22926591293120097</v>
      </c>
      <c r="O135" s="356">
        <f t="shared" si="10"/>
        <v>0.18056567217062025</v>
      </c>
      <c r="P135" s="356">
        <f t="shared" si="10"/>
        <v>0.1747316861813501</v>
      </c>
      <c r="Q135" s="356">
        <f t="shared" si="10"/>
        <v>0.32863396707411402</v>
      </c>
      <c r="R135" s="356">
        <f t="shared" si="10"/>
        <v>-0.16266080083761941</v>
      </c>
      <c r="S135" s="356">
        <f t="shared" si="10"/>
        <v>-0.15466108932101516</v>
      </c>
      <c r="T135" s="356">
        <f t="shared" si="10"/>
        <v>-0.16266080083761941</v>
      </c>
      <c r="U135" s="356">
        <f t="shared" si="10"/>
        <v>-0.16266080083761941</v>
      </c>
      <c r="V135" s="356">
        <f t="shared" si="10"/>
        <v>-0.15466108932101516</v>
      </c>
      <c r="W135" s="356">
        <f t="shared" si="10"/>
        <v>-0.15466108932101516</v>
      </c>
      <c r="X135" s="356">
        <f t="shared" si="10"/>
        <v>-0.1519945188154804</v>
      </c>
      <c r="Y135" s="356">
        <f t="shared" si="10"/>
        <v>-0.1519945188154804</v>
      </c>
      <c r="Z135" s="352"/>
      <c r="AA135" s="352"/>
    </row>
    <row r="136" spans="4:27" x14ac:dyDescent="0.25">
      <c r="D136" s="96"/>
      <c r="E136" s="96"/>
      <c r="F136" s="416" t="s">
        <v>43</v>
      </c>
      <c r="G136" s="295" t="s">
        <v>183</v>
      </c>
      <c r="H136" s="352"/>
      <c r="I136" s="352"/>
      <c r="J136" s="357">
        <f t="shared" ref="J136:Y136" si="11">hundred * $H31 * J56 / $H44 * J$78 / hours_in_year</f>
        <v>0</v>
      </c>
      <c r="K136" s="357">
        <f t="shared" si="11"/>
        <v>0</v>
      </c>
      <c r="L136" s="357">
        <f t="shared" si="11"/>
        <v>0</v>
      </c>
      <c r="M136" s="357">
        <f t="shared" si="11"/>
        <v>0</v>
      </c>
      <c r="N136" s="357">
        <f t="shared" si="11"/>
        <v>0</v>
      </c>
      <c r="O136" s="357">
        <f t="shared" si="11"/>
        <v>0</v>
      </c>
      <c r="P136" s="357">
        <f t="shared" si="11"/>
        <v>0</v>
      </c>
      <c r="Q136" s="357">
        <f t="shared" si="11"/>
        <v>0</v>
      </c>
      <c r="R136" s="357">
        <f t="shared" si="11"/>
        <v>0</v>
      </c>
      <c r="S136" s="357">
        <f t="shared" si="11"/>
        <v>0</v>
      </c>
      <c r="T136" s="357">
        <f t="shared" si="11"/>
        <v>0</v>
      </c>
      <c r="U136" s="357">
        <f t="shared" si="11"/>
        <v>0</v>
      </c>
      <c r="V136" s="357">
        <f t="shared" si="11"/>
        <v>0</v>
      </c>
      <c r="W136" s="357">
        <f t="shared" si="11"/>
        <v>0</v>
      </c>
      <c r="X136" s="357">
        <f t="shared" si="11"/>
        <v>0</v>
      </c>
      <c r="Y136" s="357">
        <f t="shared" si="11"/>
        <v>0</v>
      </c>
      <c r="Z136" s="352"/>
      <c r="AA136" s="352"/>
    </row>
    <row r="137" spans="4:27" x14ac:dyDescent="0.25">
      <c r="D137" s="96"/>
      <c r="E137" s="96"/>
      <c r="F137" s="416" t="s">
        <v>44</v>
      </c>
      <c r="G137" s="295" t="s">
        <v>183</v>
      </c>
      <c r="H137" s="352"/>
      <c r="I137" s="352"/>
      <c r="J137" s="357">
        <f t="shared" ref="J137:Y137" si="12">hundred * $H32 * J57 / $H45 * J$78 / hours_in_year</f>
        <v>0</v>
      </c>
      <c r="K137" s="357">
        <f t="shared" si="12"/>
        <v>0</v>
      </c>
      <c r="L137" s="357">
        <f t="shared" si="12"/>
        <v>0</v>
      </c>
      <c r="M137" s="357">
        <f t="shared" si="12"/>
        <v>0</v>
      </c>
      <c r="N137" s="357">
        <f t="shared" si="12"/>
        <v>0</v>
      </c>
      <c r="O137" s="357">
        <f t="shared" si="12"/>
        <v>0</v>
      </c>
      <c r="P137" s="357">
        <f t="shared" si="12"/>
        <v>0</v>
      </c>
      <c r="Q137" s="357">
        <f t="shared" si="12"/>
        <v>0</v>
      </c>
      <c r="R137" s="357">
        <f t="shared" si="12"/>
        <v>0</v>
      </c>
      <c r="S137" s="357">
        <f t="shared" si="12"/>
        <v>0</v>
      </c>
      <c r="T137" s="357">
        <f t="shared" si="12"/>
        <v>0</v>
      </c>
      <c r="U137" s="357">
        <f t="shared" si="12"/>
        <v>0</v>
      </c>
      <c r="V137" s="357">
        <f t="shared" si="12"/>
        <v>0</v>
      </c>
      <c r="W137" s="357">
        <f t="shared" si="12"/>
        <v>0</v>
      </c>
      <c r="X137" s="357">
        <f t="shared" si="12"/>
        <v>0</v>
      </c>
      <c r="Y137" s="357">
        <f t="shared" si="12"/>
        <v>0</v>
      </c>
      <c r="Z137" s="352"/>
      <c r="AA137" s="352"/>
    </row>
    <row r="138" spans="4:27" x14ac:dyDescent="0.25">
      <c r="D138" s="96"/>
      <c r="E138" s="96"/>
      <c r="F138" s="416" t="s">
        <v>45</v>
      </c>
      <c r="G138" s="295" t="s">
        <v>183</v>
      </c>
      <c r="H138" s="352"/>
      <c r="I138" s="352"/>
      <c r="J138" s="357">
        <f t="shared" ref="J138:Y138" si="13">hundred * $H33 * J58 / $H46 * J$78 / hours_in_year</f>
        <v>0</v>
      </c>
      <c r="K138" s="357">
        <f t="shared" si="13"/>
        <v>0</v>
      </c>
      <c r="L138" s="357">
        <f t="shared" si="13"/>
        <v>0</v>
      </c>
      <c r="M138" s="357">
        <f t="shared" si="13"/>
        <v>0</v>
      </c>
      <c r="N138" s="357">
        <f t="shared" si="13"/>
        <v>0</v>
      </c>
      <c r="O138" s="357">
        <f t="shared" si="13"/>
        <v>0</v>
      </c>
      <c r="P138" s="357">
        <f t="shared" si="13"/>
        <v>0</v>
      </c>
      <c r="Q138" s="357">
        <f t="shared" si="13"/>
        <v>0</v>
      </c>
      <c r="R138" s="357">
        <f t="shared" si="13"/>
        <v>0</v>
      </c>
      <c r="S138" s="357">
        <f t="shared" si="13"/>
        <v>0</v>
      </c>
      <c r="T138" s="357">
        <f t="shared" si="13"/>
        <v>0</v>
      </c>
      <c r="U138" s="357">
        <f t="shared" si="13"/>
        <v>0</v>
      </c>
      <c r="V138" s="357">
        <f t="shared" si="13"/>
        <v>0</v>
      </c>
      <c r="W138" s="357">
        <f t="shared" si="13"/>
        <v>0</v>
      </c>
      <c r="X138" s="357">
        <f t="shared" si="13"/>
        <v>0</v>
      </c>
      <c r="Y138" s="357">
        <f t="shared" si="13"/>
        <v>0</v>
      </c>
      <c r="Z138" s="352"/>
      <c r="AA138" s="352"/>
    </row>
    <row r="139" spans="4:27" x14ac:dyDescent="0.25">
      <c r="D139" s="96"/>
      <c r="E139" s="96"/>
      <c r="F139" s="416" t="s">
        <v>46</v>
      </c>
      <c r="G139" s="295" t="s">
        <v>183</v>
      </c>
      <c r="H139" s="352"/>
      <c r="I139" s="352"/>
      <c r="J139" s="357">
        <f t="shared" ref="J139:Y139" si="14">hundred * $H34 * J59 / $H47 * J$78 / hours_in_year</f>
        <v>0.23059864286529999</v>
      </c>
      <c r="K139" s="357">
        <f t="shared" si="14"/>
        <v>0</v>
      </c>
      <c r="L139" s="357">
        <f t="shared" si="14"/>
        <v>0.18356048848080439</v>
      </c>
      <c r="M139" s="357">
        <f t="shared" si="14"/>
        <v>0</v>
      </c>
      <c r="N139" s="357">
        <f t="shared" si="14"/>
        <v>0.16227009928122646</v>
      </c>
      <c r="O139" s="357">
        <f t="shared" si="14"/>
        <v>0.12780098521972835</v>
      </c>
      <c r="P139" s="357">
        <f t="shared" si="14"/>
        <v>0.12367179970941554</v>
      </c>
      <c r="Q139" s="357">
        <f t="shared" si="14"/>
        <v>0.23260093828384559</v>
      </c>
      <c r="R139" s="357">
        <f t="shared" si="14"/>
        <v>-0.11512825419016834</v>
      </c>
      <c r="S139" s="357">
        <f t="shared" si="14"/>
        <v>-0.10946620890212727</v>
      </c>
      <c r="T139" s="357">
        <f t="shared" si="14"/>
        <v>-0.11512825419016834</v>
      </c>
      <c r="U139" s="357">
        <f t="shared" si="14"/>
        <v>-0.11512825419016834</v>
      </c>
      <c r="V139" s="357">
        <f t="shared" si="14"/>
        <v>-0.10946620890212727</v>
      </c>
      <c r="W139" s="357">
        <f t="shared" si="14"/>
        <v>-0.10946620890212727</v>
      </c>
      <c r="X139" s="357">
        <f t="shared" si="14"/>
        <v>-0.10757886047278024</v>
      </c>
      <c r="Y139" s="357">
        <f t="shared" si="14"/>
        <v>-0.10757886047278024</v>
      </c>
      <c r="Z139" s="352"/>
      <c r="AA139" s="352"/>
    </row>
    <row r="140" spans="4:27" x14ac:dyDescent="0.25">
      <c r="D140" s="96"/>
      <c r="E140" s="96"/>
      <c r="F140" s="416" t="s">
        <v>47</v>
      </c>
      <c r="G140" s="295" t="s">
        <v>183</v>
      </c>
      <c r="H140" s="352"/>
      <c r="I140" s="352"/>
      <c r="J140" s="357">
        <f t="shared" ref="J140:Y140" si="15">hundred * $H35 * J60 / $H48 * J$78 / hours_in_year</f>
        <v>5.9089729244108526E-2</v>
      </c>
      <c r="K140" s="357">
        <f t="shared" si="15"/>
        <v>0</v>
      </c>
      <c r="L140" s="357">
        <f t="shared" si="15"/>
        <v>4.703644145287899E-2</v>
      </c>
      <c r="M140" s="357">
        <f t="shared" si="15"/>
        <v>0</v>
      </c>
      <c r="N140" s="357">
        <f t="shared" si="15"/>
        <v>4.1580887518679929E-2</v>
      </c>
      <c r="O140" s="357">
        <f t="shared" si="15"/>
        <v>3.2748352375062628E-2</v>
      </c>
      <c r="P140" s="357">
        <f t="shared" si="15"/>
        <v>3.1690269592044677E-2</v>
      </c>
      <c r="Q140" s="357">
        <f t="shared" si="15"/>
        <v>5.9602807259999946E-2</v>
      </c>
      <c r="R140" s="357">
        <f t="shared" si="15"/>
        <v>-2.9501029511339059E-2</v>
      </c>
      <c r="S140" s="357">
        <f t="shared" si="15"/>
        <v>-2.8050159207502711E-2</v>
      </c>
      <c r="T140" s="357">
        <f t="shared" si="15"/>
        <v>-2.9501029511339059E-2</v>
      </c>
      <c r="U140" s="357">
        <f t="shared" si="15"/>
        <v>-2.9501029511339059E-2</v>
      </c>
      <c r="V140" s="357">
        <f t="shared" si="15"/>
        <v>-2.8050159207502711E-2</v>
      </c>
      <c r="W140" s="357">
        <f t="shared" si="15"/>
        <v>-2.8050159207502711E-2</v>
      </c>
      <c r="X140" s="357">
        <f t="shared" si="15"/>
        <v>-2.7566535772890595E-2</v>
      </c>
      <c r="Y140" s="357">
        <f t="shared" si="15"/>
        <v>-2.7566535772890595E-2</v>
      </c>
      <c r="Z140" s="352"/>
      <c r="AA140" s="352"/>
    </row>
    <row r="141" spans="4:27" x14ac:dyDescent="0.25">
      <c r="D141" s="96"/>
      <c r="E141" s="96"/>
      <c r="F141" s="416" t="s">
        <v>51</v>
      </c>
      <c r="G141" s="295" t="s">
        <v>183</v>
      </c>
      <c r="H141" s="352"/>
      <c r="I141" s="352"/>
      <c r="J141" s="357">
        <f t="shared" ref="J141:Y141" si="16">hundred * $H36 * J61 / $H49 * J$78 / hours_in_year</f>
        <v>0</v>
      </c>
      <c r="K141" s="357">
        <f t="shared" si="16"/>
        <v>0</v>
      </c>
      <c r="L141" s="357">
        <f t="shared" si="16"/>
        <v>0</v>
      </c>
      <c r="M141" s="357">
        <f t="shared" si="16"/>
        <v>0</v>
      </c>
      <c r="N141" s="357">
        <f t="shared" si="16"/>
        <v>0</v>
      </c>
      <c r="O141" s="357">
        <f t="shared" si="16"/>
        <v>0</v>
      </c>
      <c r="P141" s="357">
        <f t="shared" si="16"/>
        <v>0</v>
      </c>
      <c r="Q141" s="357">
        <f t="shared" si="16"/>
        <v>0</v>
      </c>
      <c r="R141" s="357">
        <f t="shared" si="16"/>
        <v>0</v>
      </c>
      <c r="S141" s="357">
        <f t="shared" si="16"/>
        <v>0</v>
      </c>
      <c r="T141" s="357">
        <f t="shared" si="16"/>
        <v>0</v>
      </c>
      <c r="U141" s="357">
        <f t="shared" si="16"/>
        <v>0</v>
      </c>
      <c r="V141" s="357">
        <f t="shared" si="16"/>
        <v>0</v>
      </c>
      <c r="W141" s="357">
        <f t="shared" si="16"/>
        <v>0</v>
      </c>
      <c r="X141" s="357">
        <f t="shared" si="16"/>
        <v>0</v>
      </c>
      <c r="Y141" s="357">
        <f t="shared" si="16"/>
        <v>0</v>
      </c>
      <c r="Z141" s="352"/>
      <c r="AA141" s="352"/>
    </row>
    <row r="142" spans="4:27" x14ac:dyDescent="0.25">
      <c r="D142" s="96"/>
      <c r="E142" s="96"/>
      <c r="F142" s="416" t="s">
        <v>48</v>
      </c>
      <c r="G142" s="295" t="s">
        <v>183</v>
      </c>
      <c r="H142" s="352"/>
      <c r="I142" s="352"/>
      <c r="J142" s="357">
        <f t="shared" ref="J142:Y142" si="17">hundred * $H37 * J62 / $H50 * J$78 / hours_in_year</f>
        <v>0.25420567058181481</v>
      </c>
      <c r="K142" s="357">
        <f t="shared" si="17"/>
        <v>0</v>
      </c>
      <c r="L142" s="357">
        <f t="shared" si="17"/>
        <v>0.20235208883620881</v>
      </c>
      <c r="M142" s="357">
        <f t="shared" si="17"/>
        <v>0</v>
      </c>
      <c r="N142" s="357">
        <f t="shared" si="17"/>
        <v>0.17888214297625885</v>
      </c>
      <c r="O142" s="357">
        <f t="shared" si="17"/>
        <v>0.14088432934869774</v>
      </c>
      <c r="P142" s="357">
        <f t="shared" si="17"/>
        <v>0.13633242757441488</v>
      </c>
      <c r="Q142" s="357">
        <f t="shared" si="17"/>
        <v>0.25641294657984226</v>
      </c>
      <c r="R142" s="357">
        <f t="shared" si="17"/>
        <v>-0.1269142554165886</v>
      </c>
      <c r="S142" s="357">
        <f t="shared" si="17"/>
        <v>-0.12067257072396949</v>
      </c>
      <c r="T142" s="357">
        <f t="shared" si="17"/>
        <v>-0.1269142554165886</v>
      </c>
      <c r="U142" s="357">
        <f t="shared" si="17"/>
        <v>-0.1269142554165886</v>
      </c>
      <c r="V142" s="357">
        <f t="shared" si="17"/>
        <v>-0.12067257072396949</v>
      </c>
      <c r="W142" s="357">
        <f t="shared" si="17"/>
        <v>-0.12067257072396949</v>
      </c>
      <c r="X142" s="357">
        <f t="shared" si="17"/>
        <v>0</v>
      </c>
      <c r="Y142" s="357">
        <f t="shared" si="17"/>
        <v>0</v>
      </c>
      <c r="Z142" s="352"/>
      <c r="AA142" s="352"/>
    </row>
    <row r="143" spans="4:27" x14ac:dyDescent="0.25">
      <c r="D143" s="96"/>
      <c r="E143" s="96"/>
      <c r="F143" s="416" t="s">
        <v>49</v>
      </c>
      <c r="G143" s="295" t="s">
        <v>183</v>
      </c>
      <c r="H143" s="352"/>
      <c r="I143" s="352"/>
      <c r="J143" s="357">
        <f t="shared" ref="J143:Y143" si="18">hundred * $H38 * J63 / $H51 * J$78 / hours_in_year</f>
        <v>6.3889082958922247E-2</v>
      </c>
      <c r="K143" s="357">
        <f t="shared" si="18"/>
        <v>0</v>
      </c>
      <c r="L143" s="357">
        <f t="shared" si="18"/>
        <v>5.0856809610023666E-2</v>
      </c>
      <c r="M143" s="357">
        <f t="shared" si="18"/>
        <v>0</v>
      </c>
      <c r="N143" s="357">
        <f t="shared" si="18"/>
        <v>4.495814765391612E-2</v>
      </c>
      <c r="O143" s="357">
        <f t="shared" si="18"/>
        <v>3.540822116505131E-2</v>
      </c>
      <c r="P143" s="357">
        <f t="shared" si="18"/>
        <v>0</v>
      </c>
      <c r="Q143" s="357">
        <f t="shared" si="18"/>
        <v>6.44438339171855E-2</v>
      </c>
      <c r="R143" s="357">
        <f t="shared" si="18"/>
        <v>-3.1897146017325434E-2</v>
      </c>
      <c r="S143" s="357">
        <f t="shared" si="18"/>
        <v>0</v>
      </c>
      <c r="T143" s="357">
        <f t="shared" si="18"/>
        <v>-3.1897146017325434E-2</v>
      </c>
      <c r="U143" s="357">
        <f t="shared" si="18"/>
        <v>-3.1897146017325434E-2</v>
      </c>
      <c r="V143" s="357">
        <f t="shared" si="18"/>
        <v>0</v>
      </c>
      <c r="W143" s="357">
        <f t="shared" si="18"/>
        <v>0</v>
      </c>
      <c r="X143" s="357">
        <f t="shared" si="18"/>
        <v>0</v>
      </c>
      <c r="Y143" s="357">
        <f t="shared" si="18"/>
        <v>0</v>
      </c>
      <c r="Z143" s="352"/>
      <c r="AA143" s="352"/>
    </row>
    <row r="144" spans="4:27" x14ac:dyDescent="0.25">
      <c r="D144" s="96"/>
      <c r="E144" s="96"/>
      <c r="F144" s="418" t="s">
        <v>50</v>
      </c>
      <c r="G144" s="93" t="s">
        <v>183</v>
      </c>
      <c r="H144" s="354"/>
      <c r="I144" s="354"/>
      <c r="J144" s="358">
        <f t="shared" ref="J144:Y144" si="19">hundred * $H39 * J64 / $H52 * J$78 / hours_in_year</f>
        <v>0.10746345745071476</v>
      </c>
      <c r="K144" s="358">
        <f t="shared" si="19"/>
        <v>0</v>
      </c>
      <c r="L144" s="358">
        <f t="shared" si="19"/>
        <v>8.5542761650214696E-2</v>
      </c>
      <c r="M144" s="358">
        <f t="shared" si="19"/>
        <v>0</v>
      </c>
      <c r="N144" s="358">
        <f t="shared" si="19"/>
        <v>7.5621025748262932E-2</v>
      </c>
      <c r="O144" s="358">
        <f t="shared" si="19"/>
        <v>0</v>
      </c>
      <c r="P144" s="358">
        <f t="shared" si="19"/>
        <v>0</v>
      </c>
      <c r="Q144" s="358">
        <f t="shared" si="19"/>
        <v>0.10839656610148997</v>
      </c>
      <c r="R144" s="358">
        <f t="shared" si="19"/>
        <v>0</v>
      </c>
      <c r="S144" s="358">
        <f t="shared" si="19"/>
        <v>0</v>
      </c>
      <c r="T144" s="358">
        <f t="shared" si="19"/>
        <v>0</v>
      </c>
      <c r="U144" s="358">
        <f t="shared" si="19"/>
        <v>0</v>
      </c>
      <c r="V144" s="358">
        <f t="shared" si="19"/>
        <v>0</v>
      </c>
      <c r="W144" s="358">
        <f t="shared" si="19"/>
        <v>0</v>
      </c>
      <c r="X144" s="358">
        <f t="shared" si="19"/>
        <v>0</v>
      </c>
      <c r="Y144" s="358">
        <f t="shared" si="19"/>
        <v>0</v>
      </c>
      <c r="Z144" s="352"/>
      <c r="AA144" s="352"/>
    </row>
    <row r="145" spans="3:27" x14ac:dyDescent="0.25">
      <c r="C145" s="96"/>
      <c r="D145" s="96"/>
      <c r="E145" s="96"/>
      <c r="J145" s="238"/>
      <c r="K145" s="238"/>
      <c r="L145" s="238"/>
      <c r="M145" s="238"/>
      <c r="N145" s="238"/>
      <c r="O145" s="238"/>
      <c r="P145" s="238"/>
      <c r="Q145" s="238"/>
      <c r="R145" s="238"/>
      <c r="S145" s="238"/>
      <c r="T145" s="238"/>
      <c r="U145" s="238"/>
      <c r="V145" s="238"/>
      <c r="W145" s="238"/>
      <c r="X145" s="238"/>
      <c r="Y145" s="238"/>
    </row>
    <row r="146" spans="3:27" x14ac:dyDescent="0.25">
      <c r="C146" s="7" t="str">
        <f ca="1">INDEX('Version control'!$H$34:$H$58,MATCH($A$1,'Version control'!$F$34:$F$58,0),1)&amp;"-C: Unit rate 1"</f>
        <v>Section 512-C: Unit rate 1</v>
      </c>
      <c r="D146" s="7"/>
      <c r="E146" s="7"/>
      <c r="F146" s="7"/>
      <c r="G146" s="7"/>
      <c r="H146" s="7"/>
      <c r="I146" s="7"/>
      <c r="J146" s="242"/>
      <c r="K146" s="242"/>
      <c r="L146" s="242"/>
      <c r="M146" s="242"/>
      <c r="N146" s="242"/>
      <c r="O146" s="242"/>
      <c r="P146" s="242"/>
      <c r="Q146" s="242"/>
      <c r="R146" s="242"/>
      <c r="S146" s="242"/>
      <c r="T146" s="242"/>
      <c r="U146" s="242"/>
      <c r="V146" s="242"/>
      <c r="W146" s="242"/>
      <c r="X146" s="242"/>
      <c r="Y146" s="242"/>
      <c r="Z146" s="7"/>
      <c r="AA146" s="7"/>
    </row>
    <row r="147" spans="3:27" x14ac:dyDescent="0.25">
      <c r="C147" s="96"/>
      <c r="D147" s="96"/>
      <c r="E147" s="96"/>
      <c r="J147" s="238"/>
      <c r="K147" s="238"/>
      <c r="L147" s="238"/>
      <c r="M147" s="238"/>
      <c r="N147" s="238"/>
      <c r="O147" s="238"/>
      <c r="P147" s="238"/>
      <c r="Q147" s="238"/>
      <c r="R147" s="238"/>
      <c r="S147" s="238"/>
      <c r="T147" s="238"/>
      <c r="U147" s="238"/>
      <c r="V147" s="238"/>
      <c r="W147" s="238"/>
      <c r="X147" s="238"/>
      <c r="Y147" s="238"/>
    </row>
    <row r="148" spans="3:27" x14ac:dyDescent="0.25">
      <c r="D148" s="82" t="s">
        <v>928</v>
      </c>
      <c r="E148" s="96"/>
      <c r="F148" s="96"/>
      <c r="J148" s="238"/>
      <c r="K148" s="238"/>
      <c r="L148" s="238"/>
      <c r="M148" s="238"/>
      <c r="N148" s="238"/>
      <c r="O148" s="238"/>
      <c r="P148" s="238"/>
      <c r="Q148" s="238"/>
      <c r="R148" s="238"/>
      <c r="S148" s="238"/>
      <c r="T148" s="238"/>
      <c r="U148" s="238"/>
      <c r="V148" s="238"/>
      <c r="W148" s="238"/>
      <c r="X148" s="238"/>
      <c r="Y148" s="238"/>
    </row>
    <row r="149" spans="3:27" x14ac:dyDescent="0.25">
      <c r="D149" s="82" t="s">
        <v>448</v>
      </c>
      <c r="E149" s="96"/>
      <c r="F149" s="96"/>
      <c r="J149" s="238"/>
      <c r="K149" s="238"/>
      <c r="L149" s="238"/>
      <c r="M149" s="238"/>
      <c r="N149" s="238"/>
      <c r="O149" s="238"/>
      <c r="P149" s="238"/>
      <c r="Q149" s="238"/>
      <c r="R149" s="238"/>
      <c r="S149" s="238"/>
      <c r="T149" s="238"/>
      <c r="U149" s="238"/>
      <c r="V149" s="238"/>
      <c r="W149" s="238"/>
      <c r="X149" s="238"/>
      <c r="Y149" s="238"/>
    </row>
    <row r="150" spans="3:27" x14ac:dyDescent="0.25">
      <c r="D150" s="96"/>
      <c r="E150" s="96"/>
      <c r="F150" s="96"/>
      <c r="I150" s="88" t="s">
        <v>431</v>
      </c>
      <c r="J150" s="238"/>
      <c r="K150" s="238"/>
      <c r="L150" s="238"/>
      <c r="M150" s="238"/>
      <c r="N150" s="238"/>
      <c r="O150" s="238"/>
      <c r="P150" s="238"/>
      <c r="Q150" s="238"/>
      <c r="R150" s="238"/>
      <c r="S150" s="238"/>
      <c r="T150" s="238"/>
      <c r="U150" s="238"/>
      <c r="V150" s="238"/>
      <c r="W150" s="238"/>
      <c r="X150" s="238"/>
      <c r="Y150" s="238"/>
      <c r="AA150" s="295" t="s">
        <v>834</v>
      </c>
    </row>
    <row r="151" spans="3:27" x14ac:dyDescent="0.25">
      <c r="E151" s="96" t="s">
        <v>139</v>
      </c>
      <c r="J151" s="238"/>
      <c r="K151" s="238"/>
      <c r="L151" s="238"/>
      <c r="M151" s="238"/>
      <c r="N151" s="238"/>
      <c r="O151" s="238"/>
      <c r="P151" s="238"/>
      <c r="Q151" s="238"/>
      <c r="R151" s="238"/>
      <c r="S151" s="238"/>
      <c r="T151" s="238"/>
      <c r="U151" s="238"/>
      <c r="V151" s="238"/>
      <c r="W151" s="238"/>
      <c r="X151" s="238"/>
      <c r="Y151" s="238"/>
    </row>
    <row r="152" spans="3:27" x14ac:dyDescent="0.25">
      <c r="E152" s="96"/>
      <c r="F152" s="415" t="s">
        <v>324</v>
      </c>
      <c r="G152" s="91" t="s">
        <v>183</v>
      </c>
      <c r="H152" s="350"/>
      <c r="I152" s="350"/>
      <c r="J152" s="356">
        <f t="shared" ref="J152:Y152" si="20">hundred * $H18 * J55 / $H43 * J81 * (1 - J67) / hours_in_year</f>
        <v>0</v>
      </c>
      <c r="K152" s="356">
        <f t="shared" si="20"/>
        <v>0</v>
      </c>
      <c r="L152" s="356">
        <f t="shared" si="20"/>
        <v>0</v>
      </c>
      <c r="M152" s="356">
        <f t="shared" si="20"/>
        <v>0</v>
      </c>
      <c r="N152" s="356">
        <f t="shared" si="20"/>
        <v>0</v>
      </c>
      <c r="O152" s="356">
        <f t="shared" si="20"/>
        <v>0</v>
      </c>
      <c r="P152" s="356">
        <f t="shared" si="20"/>
        <v>0</v>
      </c>
      <c r="Q152" s="356">
        <f t="shared" si="20"/>
        <v>0</v>
      </c>
      <c r="R152" s="356">
        <f t="shared" si="20"/>
        <v>0</v>
      </c>
      <c r="S152" s="356">
        <f t="shared" si="20"/>
        <v>0</v>
      </c>
      <c r="T152" s="356">
        <f t="shared" si="20"/>
        <v>0</v>
      </c>
      <c r="U152" s="356">
        <f t="shared" si="20"/>
        <v>0</v>
      </c>
      <c r="V152" s="356">
        <f t="shared" si="20"/>
        <v>0</v>
      </c>
      <c r="W152" s="356">
        <f t="shared" si="20"/>
        <v>0</v>
      </c>
      <c r="X152" s="356">
        <f t="shared" si="20"/>
        <v>0</v>
      </c>
      <c r="Y152" s="356">
        <f t="shared" si="20"/>
        <v>0</v>
      </c>
      <c r="Z152" s="352"/>
      <c r="AA152" s="352"/>
    </row>
    <row r="153" spans="3:27" x14ac:dyDescent="0.25">
      <c r="E153" s="96"/>
      <c r="F153" s="416" t="s">
        <v>43</v>
      </c>
      <c r="G153" s="295" t="s">
        <v>183</v>
      </c>
      <c r="H153" s="352"/>
      <c r="I153" s="352"/>
      <c r="J153" s="357">
        <f t="shared" ref="J153:Y153" si="21">hundred * $H19 * J56 / $H44 * J82 * (1 - J68) / hours_in_year</f>
        <v>0</v>
      </c>
      <c r="K153" s="357">
        <f t="shared" si="21"/>
        <v>0</v>
      </c>
      <c r="L153" s="357">
        <f t="shared" si="21"/>
        <v>0</v>
      </c>
      <c r="M153" s="357">
        <f t="shared" si="21"/>
        <v>0</v>
      </c>
      <c r="N153" s="357">
        <f t="shared" si="21"/>
        <v>0</v>
      </c>
      <c r="O153" s="357">
        <f t="shared" si="21"/>
        <v>0</v>
      </c>
      <c r="P153" s="357">
        <f t="shared" si="21"/>
        <v>0</v>
      </c>
      <c r="Q153" s="357">
        <f t="shared" si="21"/>
        <v>0</v>
      </c>
      <c r="R153" s="357">
        <f t="shared" si="21"/>
        <v>0</v>
      </c>
      <c r="S153" s="357">
        <f t="shared" si="21"/>
        <v>0</v>
      </c>
      <c r="T153" s="357">
        <f t="shared" si="21"/>
        <v>0</v>
      </c>
      <c r="U153" s="357">
        <f t="shared" si="21"/>
        <v>0</v>
      </c>
      <c r="V153" s="357">
        <f t="shared" si="21"/>
        <v>0</v>
      </c>
      <c r="W153" s="357">
        <f t="shared" si="21"/>
        <v>0</v>
      </c>
      <c r="X153" s="357">
        <f t="shared" si="21"/>
        <v>0</v>
      </c>
      <c r="Y153" s="357">
        <f t="shared" si="21"/>
        <v>0</v>
      </c>
      <c r="Z153" s="352"/>
      <c r="AA153" s="352"/>
    </row>
    <row r="154" spans="3:27" x14ac:dyDescent="0.25">
      <c r="E154" s="96"/>
      <c r="F154" s="416" t="s">
        <v>44</v>
      </c>
      <c r="G154" s="295" t="s">
        <v>183</v>
      </c>
      <c r="H154" s="352"/>
      <c r="I154" s="352"/>
      <c r="J154" s="357">
        <f t="shared" ref="J154:Y154" si="22">hundred * $H20 * J57 / $H45 * J83 * (1 - J69) / hours_in_year</f>
        <v>0</v>
      </c>
      <c r="K154" s="357">
        <f t="shared" si="22"/>
        <v>0</v>
      </c>
      <c r="L154" s="357">
        <f t="shared" si="22"/>
        <v>0</v>
      </c>
      <c r="M154" s="357">
        <f t="shared" si="22"/>
        <v>0</v>
      </c>
      <c r="N154" s="357">
        <f t="shared" si="22"/>
        <v>0</v>
      </c>
      <c r="O154" s="357">
        <f t="shared" si="22"/>
        <v>0</v>
      </c>
      <c r="P154" s="357">
        <f t="shared" si="22"/>
        <v>0</v>
      </c>
      <c r="Q154" s="357">
        <f t="shared" si="22"/>
        <v>0</v>
      </c>
      <c r="R154" s="357">
        <f t="shared" si="22"/>
        <v>0</v>
      </c>
      <c r="S154" s="357">
        <f t="shared" si="22"/>
        <v>0</v>
      </c>
      <c r="T154" s="357">
        <f t="shared" si="22"/>
        <v>0</v>
      </c>
      <c r="U154" s="357">
        <f t="shared" si="22"/>
        <v>0</v>
      </c>
      <c r="V154" s="357">
        <f t="shared" si="22"/>
        <v>0</v>
      </c>
      <c r="W154" s="357">
        <f t="shared" si="22"/>
        <v>0</v>
      </c>
      <c r="X154" s="357">
        <f t="shared" si="22"/>
        <v>0</v>
      </c>
      <c r="Y154" s="357">
        <f t="shared" si="22"/>
        <v>0</v>
      </c>
      <c r="Z154" s="352"/>
      <c r="AA154" s="352"/>
    </row>
    <row r="155" spans="3:27" x14ac:dyDescent="0.25">
      <c r="E155" s="96"/>
      <c r="F155" s="416" t="s">
        <v>45</v>
      </c>
      <c r="G155" s="295" t="s">
        <v>183</v>
      </c>
      <c r="H155" s="352"/>
      <c r="I155" s="352"/>
      <c r="J155" s="357">
        <f t="shared" ref="J155:Y155" si="23">hundred * $H21 * J58 / $H46 * J84 * (1 - J70) / hours_in_year</f>
        <v>0</v>
      </c>
      <c r="K155" s="357">
        <f t="shared" si="23"/>
        <v>0</v>
      </c>
      <c r="L155" s="357">
        <f t="shared" si="23"/>
        <v>0</v>
      </c>
      <c r="M155" s="357">
        <f t="shared" si="23"/>
        <v>0</v>
      </c>
      <c r="N155" s="357">
        <f t="shared" si="23"/>
        <v>0</v>
      </c>
      <c r="O155" s="357">
        <f t="shared" si="23"/>
        <v>0</v>
      </c>
      <c r="P155" s="357">
        <f t="shared" si="23"/>
        <v>0</v>
      </c>
      <c r="Q155" s="357">
        <f t="shared" si="23"/>
        <v>0</v>
      </c>
      <c r="R155" s="357">
        <f t="shared" si="23"/>
        <v>0</v>
      </c>
      <c r="S155" s="357">
        <f t="shared" si="23"/>
        <v>0</v>
      </c>
      <c r="T155" s="357">
        <f t="shared" si="23"/>
        <v>0</v>
      </c>
      <c r="U155" s="357">
        <f t="shared" si="23"/>
        <v>0</v>
      </c>
      <c r="V155" s="357">
        <f t="shared" si="23"/>
        <v>0</v>
      </c>
      <c r="W155" s="357">
        <f t="shared" si="23"/>
        <v>0</v>
      </c>
      <c r="X155" s="357">
        <f t="shared" si="23"/>
        <v>0</v>
      </c>
      <c r="Y155" s="357">
        <f t="shared" si="23"/>
        <v>0</v>
      </c>
      <c r="Z155" s="352"/>
      <c r="AA155" s="352"/>
    </row>
    <row r="156" spans="3:27" x14ac:dyDescent="0.25">
      <c r="E156" s="96"/>
      <c r="F156" s="416" t="s">
        <v>46</v>
      </c>
      <c r="G156" s="295" t="s">
        <v>183</v>
      </c>
      <c r="H156" s="352"/>
      <c r="I156" s="352"/>
      <c r="J156" s="357">
        <f t="shared" ref="J156:Y156" si="24">hundred * $H22 * J59 / $H47 * J85 * (1 - J71) / hours_in_year</f>
        <v>1.7958309065063878</v>
      </c>
      <c r="K156" s="357">
        <f t="shared" si="24"/>
        <v>1.7958309065063878</v>
      </c>
      <c r="L156" s="357">
        <f t="shared" si="24"/>
        <v>2.0858666866723046</v>
      </c>
      <c r="M156" s="357">
        <f t="shared" si="24"/>
        <v>2.0858666866723046</v>
      </c>
      <c r="N156" s="357">
        <f t="shared" si="24"/>
        <v>1.612431896562593</v>
      </c>
      <c r="O156" s="357">
        <f t="shared" si="24"/>
        <v>1.3114528318518921</v>
      </c>
      <c r="P156" s="357">
        <f t="shared" si="24"/>
        <v>1.267502927171626</v>
      </c>
      <c r="Q156" s="357">
        <f t="shared" si="24"/>
        <v>3.8982206606005354</v>
      </c>
      <c r="R156" s="357">
        <f t="shared" si="24"/>
        <v>-1.2842072914547749</v>
      </c>
      <c r="S156" s="357">
        <f t="shared" si="24"/>
        <v>-1.2210495558094581</v>
      </c>
      <c r="T156" s="357">
        <f t="shared" si="24"/>
        <v>-1.2842072914547749</v>
      </c>
      <c r="U156" s="357">
        <f t="shared" si="24"/>
        <v>-1.2842072914547749</v>
      </c>
      <c r="V156" s="357">
        <f t="shared" si="24"/>
        <v>-1.2210495558094581</v>
      </c>
      <c r="W156" s="357">
        <f t="shared" si="24"/>
        <v>-1.2210495558094581</v>
      </c>
      <c r="X156" s="357">
        <f t="shared" si="24"/>
        <v>-1.1626764971069683</v>
      </c>
      <c r="Y156" s="357">
        <f t="shared" si="24"/>
        <v>-1.1626764971069683</v>
      </c>
      <c r="Z156" s="352"/>
      <c r="AA156" s="352"/>
    </row>
    <row r="157" spans="3:27" x14ac:dyDescent="0.25">
      <c r="E157" s="96"/>
      <c r="F157" s="416" t="s">
        <v>47</v>
      </c>
      <c r="G157" s="295" t="s">
        <v>183</v>
      </c>
      <c r="H157" s="352"/>
      <c r="I157" s="352"/>
      <c r="J157" s="357">
        <f t="shared" ref="J157:Y157" si="25">hundred * $H23 * J60 / $H48 * J86 * (1 - J72) / hours_in_year</f>
        <v>0.40311898458711498</v>
      </c>
      <c r="K157" s="357">
        <f t="shared" si="25"/>
        <v>0.40311898458711498</v>
      </c>
      <c r="L157" s="357">
        <f t="shared" si="25"/>
        <v>0.46822474079768722</v>
      </c>
      <c r="M157" s="357">
        <f t="shared" si="25"/>
        <v>0.46822474079768722</v>
      </c>
      <c r="N157" s="357">
        <f t="shared" si="25"/>
        <v>0.36195050798112338</v>
      </c>
      <c r="O157" s="357">
        <f t="shared" si="25"/>
        <v>0.29438825893608744</v>
      </c>
      <c r="P157" s="357">
        <f t="shared" si="25"/>
        <v>0.2519203606932246</v>
      </c>
      <c r="Q157" s="357">
        <f t="shared" si="25"/>
        <v>0.90142027187854401</v>
      </c>
      <c r="R157" s="357">
        <f t="shared" si="25"/>
        <v>-0.28827231865483915</v>
      </c>
      <c r="S157" s="357">
        <f t="shared" si="25"/>
        <v>-0.27409499150787986</v>
      </c>
      <c r="T157" s="357">
        <f t="shared" si="25"/>
        <v>-0.28827231865483915</v>
      </c>
      <c r="U157" s="357">
        <f t="shared" si="25"/>
        <v>-0.28827231865483915</v>
      </c>
      <c r="V157" s="357">
        <f t="shared" si="25"/>
        <v>-0.27409499150787986</v>
      </c>
      <c r="W157" s="357">
        <f t="shared" si="25"/>
        <v>-0.27409499150787986</v>
      </c>
      <c r="X157" s="357">
        <f t="shared" si="25"/>
        <v>-0.23108576417596077</v>
      </c>
      <c r="Y157" s="357">
        <f t="shared" si="25"/>
        <v>-0.23108576417596077</v>
      </c>
      <c r="Z157" s="352"/>
      <c r="AA157" s="352"/>
    </row>
    <row r="158" spans="3:27" x14ac:dyDescent="0.25">
      <c r="E158" s="96"/>
      <c r="F158" s="416" t="s">
        <v>51</v>
      </c>
      <c r="G158" s="295" t="s">
        <v>183</v>
      </c>
      <c r="H158" s="352"/>
      <c r="I158" s="352"/>
      <c r="J158" s="357">
        <f t="shared" ref="J158:Y158" si="26">hundred * $H24 * J61 / $H49 * J87 * (1 - J73) / hours_in_year</f>
        <v>0</v>
      </c>
      <c r="K158" s="357">
        <f t="shared" si="26"/>
        <v>0</v>
      </c>
      <c r="L158" s="357">
        <f t="shared" si="26"/>
        <v>0</v>
      </c>
      <c r="M158" s="357">
        <f t="shared" si="26"/>
        <v>0</v>
      </c>
      <c r="N158" s="357">
        <f t="shared" si="26"/>
        <v>0</v>
      </c>
      <c r="O158" s="357">
        <f t="shared" si="26"/>
        <v>0</v>
      </c>
      <c r="P158" s="357">
        <f t="shared" si="26"/>
        <v>0</v>
      </c>
      <c r="Q158" s="357">
        <f t="shared" si="26"/>
        <v>0</v>
      </c>
      <c r="R158" s="357">
        <f t="shared" si="26"/>
        <v>0</v>
      </c>
      <c r="S158" s="357">
        <f t="shared" si="26"/>
        <v>0</v>
      </c>
      <c r="T158" s="357">
        <f t="shared" si="26"/>
        <v>0</v>
      </c>
      <c r="U158" s="357">
        <f t="shared" si="26"/>
        <v>0</v>
      </c>
      <c r="V158" s="357">
        <f t="shared" si="26"/>
        <v>0</v>
      </c>
      <c r="W158" s="357">
        <f t="shared" si="26"/>
        <v>0</v>
      </c>
      <c r="X158" s="357">
        <f t="shared" si="26"/>
        <v>0</v>
      </c>
      <c r="Y158" s="357">
        <f t="shared" si="26"/>
        <v>0</v>
      </c>
      <c r="Z158" s="352"/>
      <c r="AA158" s="352"/>
    </row>
    <row r="159" spans="3:27" x14ac:dyDescent="0.25">
      <c r="E159" s="96"/>
      <c r="F159" s="416" t="s">
        <v>48</v>
      </c>
      <c r="G159" s="295" t="s">
        <v>183</v>
      </c>
      <c r="H159" s="352"/>
      <c r="I159" s="352"/>
      <c r="J159" s="357">
        <f t="shared" ref="J159:Y159" si="27">hundred * $H25 * J62 / $H50 * J88 * (1 - J74) / hours_in_year</f>
        <v>1.3862526519345733</v>
      </c>
      <c r="K159" s="357">
        <f t="shared" si="27"/>
        <v>1.3862526519345733</v>
      </c>
      <c r="L159" s="357">
        <f t="shared" si="27"/>
        <v>1.6101394710967898</v>
      </c>
      <c r="M159" s="357">
        <f t="shared" si="27"/>
        <v>1.6101394710967898</v>
      </c>
      <c r="N159" s="357">
        <f t="shared" si="27"/>
        <v>1.2446817707476834</v>
      </c>
      <c r="O159" s="357">
        <f t="shared" si="27"/>
        <v>1.0123475208356565</v>
      </c>
      <c r="P159" s="357">
        <f t="shared" si="27"/>
        <v>0.69296942312551713</v>
      </c>
      <c r="Q159" s="357">
        <f t="shared" si="27"/>
        <v>3.0998198799272254</v>
      </c>
      <c r="R159" s="357">
        <f t="shared" si="27"/>
        <v>-0.99131591786454487</v>
      </c>
      <c r="S159" s="357">
        <f t="shared" si="27"/>
        <v>-0.94256267600235399</v>
      </c>
      <c r="T159" s="357">
        <f t="shared" si="27"/>
        <v>-0.99131591786454487</v>
      </c>
      <c r="U159" s="357">
        <f t="shared" si="27"/>
        <v>-0.99131591786454487</v>
      </c>
      <c r="V159" s="357">
        <f t="shared" si="27"/>
        <v>-0.94256267600235399</v>
      </c>
      <c r="W159" s="357">
        <f t="shared" si="27"/>
        <v>-0.94256267600235399</v>
      </c>
      <c r="X159" s="357">
        <f t="shared" si="27"/>
        <v>0</v>
      </c>
      <c r="Y159" s="357">
        <f t="shared" si="27"/>
        <v>0</v>
      </c>
      <c r="Z159" s="352"/>
      <c r="AA159" s="352"/>
    </row>
    <row r="160" spans="3:27" x14ac:dyDescent="0.25">
      <c r="E160" s="96"/>
      <c r="F160" s="416" t="s">
        <v>49</v>
      </c>
      <c r="G160" s="295" t="s">
        <v>183</v>
      </c>
      <c r="H160" s="352"/>
      <c r="I160" s="352"/>
      <c r="J160" s="357">
        <f t="shared" ref="J160:Y160" si="28">hundred * $H26 * J63 / $H51 * J89 * (1 - J75) / hours_in_year</f>
        <v>0.31831573206254088</v>
      </c>
      <c r="K160" s="357">
        <f t="shared" si="28"/>
        <v>0.31831573206254088</v>
      </c>
      <c r="L160" s="357">
        <f t="shared" si="28"/>
        <v>0.36972533379806782</v>
      </c>
      <c r="M160" s="357">
        <f t="shared" si="28"/>
        <v>0.36972533379806782</v>
      </c>
      <c r="N160" s="357">
        <f t="shared" si="28"/>
        <v>0.2858077771664006</v>
      </c>
      <c r="O160" s="357">
        <f t="shared" si="28"/>
        <v>0.23245844958117295</v>
      </c>
      <c r="P160" s="357">
        <f t="shared" si="28"/>
        <v>0</v>
      </c>
      <c r="Q160" s="357">
        <f t="shared" si="28"/>
        <v>0.71179047554141128</v>
      </c>
      <c r="R160" s="357">
        <f t="shared" si="28"/>
        <v>-0.22762910618056312</v>
      </c>
      <c r="S160" s="357">
        <f t="shared" si="28"/>
        <v>0</v>
      </c>
      <c r="T160" s="357">
        <f t="shared" si="28"/>
        <v>-0.22762910618056312</v>
      </c>
      <c r="U160" s="357">
        <f t="shared" si="28"/>
        <v>-0.22762910618056312</v>
      </c>
      <c r="V160" s="357">
        <f t="shared" si="28"/>
        <v>0</v>
      </c>
      <c r="W160" s="357">
        <f t="shared" si="28"/>
        <v>0</v>
      </c>
      <c r="X160" s="357">
        <f t="shared" si="28"/>
        <v>0</v>
      </c>
      <c r="Y160" s="357">
        <f t="shared" si="28"/>
        <v>0</v>
      </c>
      <c r="Z160" s="352"/>
      <c r="AA160" s="352"/>
    </row>
    <row r="161" spans="3:27" x14ac:dyDescent="0.25">
      <c r="E161" s="96"/>
      <c r="F161" s="418" t="s">
        <v>50</v>
      </c>
      <c r="G161" s="93" t="s">
        <v>183</v>
      </c>
      <c r="H161" s="354"/>
      <c r="I161" s="354"/>
      <c r="J161" s="358">
        <f t="shared" ref="J161:Y161" si="29">hundred * $H27 * J64 / $H52 * J90 * (1 - J76) / hours_in_year</f>
        <v>5.5924951462990508E-2</v>
      </c>
      <c r="K161" s="358">
        <f t="shared" si="29"/>
        <v>5.5924951462990508E-2</v>
      </c>
      <c r="L161" s="358">
        <f t="shared" si="29"/>
        <v>6.4957114162464455E-2</v>
      </c>
      <c r="M161" s="358">
        <f t="shared" si="29"/>
        <v>6.4957114162464455E-2</v>
      </c>
      <c r="N161" s="358">
        <f t="shared" si="29"/>
        <v>5.0213622689046861E-2</v>
      </c>
      <c r="O161" s="358">
        <f t="shared" si="29"/>
        <v>0</v>
      </c>
      <c r="P161" s="358">
        <f t="shared" si="29"/>
        <v>0</v>
      </c>
      <c r="Q161" s="358">
        <f t="shared" si="29"/>
        <v>0.12505460392592638</v>
      </c>
      <c r="R161" s="358">
        <f t="shared" si="29"/>
        <v>0</v>
      </c>
      <c r="S161" s="358">
        <f t="shared" si="29"/>
        <v>0</v>
      </c>
      <c r="T161" s="358">
        <f t="shared" si="29"/>
        <v>0</v>
      </c>
      <c r="U161" s="358">
        <f t="shared" si="29"/>
        <v>0</v>
      </c>
      <c r="V161" s="358">
        <f t="shared" si="29"/>
        <v>0</v>
      </c>
      <c r="W161" s="358">
        <f t="shared" si="29"/>
        <v>0</v>
      </c>
      <c r="X161" s="358">
        <f t="shared" si="29"/>
        <v>0</v>
      </c>
      <c r="Y161" s="358">
        <f t="shared" si="29"/>
        <v>0</v>
      </c>
      <c r="Z161" s="352"/>
      <c r="AA161" s="352"/>
    </row>
    <row r="162" spans="3:27" x14ac:dyDescent="0.25">
      <c r="E162" s="96"/>
      <c r="F162" s="416"/>
      <c r="J162" s="238"/>
      <c r="K162" s="238"/>
      <c r="L162" s="238"/>
      <c r="M162" s="238"/>
      <c r="N162" s="238"/>
      <c r="O162" s="238"/>
      <c r="P162" s="238"/>
      <c r="Q162" s="238"/>
      <c r="R162" s="238"/>
      <c r="S162" s="238"/>
      <c r="T162" s="238"/>
      <c r="U162" s="238"/>
      <c r="V162" s="238"/>
      <c r="W162" s="238"/>
      <c r="X162" s="238"/>
      <c r="Y162" s="238"/>
    </row>
    <row r="163" spans="3:27" x14ac:dyDescent="0.25">
      <c r="E163" s="96" t="s">
        <v>116</v>
      </c>
      <c r="J163" s="238"/>
      <c r="K163" s="238"/>
      <c r="L163" s="238"/>
      <c r="M163" s="238"/>
      <c r="N163" s="238"/>
      <c r="O163" s="238"/>
      <c r="P163" s="238"/>
      <c r="Q163" s="238"/>
      <c r="R163" s="238"/>
      <c r="S163" s="238"/>
      <c r="T163" s="238"/>
      <c r="U163" s="238"/>
      <c r="V163" s="238"/>
      <c r="W163" s="238"/>
      <c r="X163" s="238"/>
      <c r="Y163" s="238"/>
    </row>
    <row r="164" spans="3:27" x14ac:dyDescent="0.25">
      <c r="D164" s="96"/>
      <c r="E164" s="96"/>
      <c r="F164" s="415" t="s">
        <v>324</v>
      </c>
      <c r="G164" s="91" t="s">
        <v>183</v>
      </c>
      <c r="H164" s="350"/>
      <c r="I164" s="350"/>
      <c r="J164" s="356">
        <f t="shared" ref="J164:Y164" si="30">hundred * $H30 * J55 / $H43 * J81 / hours_in_year</f>
        <v>1.8751515036073518</v>
      </c>
      <c r="K164" s="356">
        <f t="shared" si="30"/>
        <v>1.8751515036073518</v>
      </c>
      <c r="L164" s="356">
        <f t="shared" si="30"/>
        <v>2.1779979616494836</v>
      </c>
      <c r="M164" s="356">
        <f t="shared" si="30"/>
        <v>2.1779979616494836</v>
      </c>
      <c r="N164" s="356">
        <f t="shared" si="30"/>
        <v>1.6836518874629611</v>
      </c>
      <c r="O164" s="356">
        <f t="shared" si="30"/>
        <v>1.369378787639463</v>
      </c>
      <c r="P164" s="356">
        <f t="shared" si="30"/>
        <v>1.3659699658727382</v>
      </c>
      <c r="Q164" s="356">
        <f t="shared" si="30"/>
        <v>4.0704023450285449</v>
      </c>
      <c r="R164" s="356">
        <f t="shared" si="30"/>
        <v>-1.3409298307487285</v>
      </c>
      <c r="S164" s="356">
        <f t="shared" si="30"/>
        <v>-1.2749824620233809</v>
      </c>
      <c r="T164" s="356">
        <f t="shared" si="30"/>
        <v>-1.3409298307487285</v>
      </c>
      <c r="U164" s="356">
        <f t="shared" si="30"/>
        <v>-1.3409298307487285</v>
      </c>
      <c r="V164" s="356">
        <f t="shared" si="30"/>
        <v>-1.2749824620233809</v>
      </c>
      <c r="W164" s="356">
        <f t="shared" si="30"/>
        <v>-1.2749824620233809</v>
      </c>
      <c r="X164" s="356">
        <f t="shared" si="30"/>
        <v>-1.2530000057815984</v>
      </c>
      <c r="Y164" s="356">
        <f t="shared" si="30"/>
        <v>-1.2530000057815984</v>
      </c>
      <c r="Z164" s="352"/>
      <c r="AA164" s="352"/>
    </row>
    <row r="165" spans="3:27" x14ac:dyDescent="0.25">
      <c r="D165" s="96"/>
      <c r="E165" s="96"/>
      <c r="F165" s="416" t="s">
        <v>43</v>
      </c>
      <c r="G165" s="295" t="s">
        <v>183</v>
      </c>
      <c r="H165" s="352"/>
      <c r="I165" s="352"/>
      <c r="J165" s="357">
        <f t="shared" ref="J165:Y165" si="31">hundred * $H31 * J56 / $H44 * J82 / hours_in_year</f>
        <v>0</v>
      </c>
      <c r="K165" s="357">
        <f t="shared" si="31"/>
        <v>0</v>
      </c>
      <c r="L165" s="357">
        <f t="shared" si="31"/>
        <v>0</v>
      </c>
      <c r="M165" s="357">
        <f t="shared" si="31"/>
        <v>0</v>
      </c>
      <c r="N165" s="357">
        <f t="shared" si="31"/>
        <v>0</v>
      </c>
      <c r="O165" s="357">
        <f t="shared" si="31"/>
        <v>0</v>
      </c>
      <c r="P165" s="357">
        <f t="shared" si="31"/>
        <v>0</v>
      </c>
      <c r="Q165" s="357">
        <f t="shared" si="31"/>
        <v>0</v>
      </c>
      <c r="R165" s="357">
        <f t="shared" si="31"/>
        <v>0</v>
      </c>
      <c r="S165" s="357">
        <f t="shared" si="31"/>
        <v>0</v>
      </c>
      <c r="T165" s="357">
        <f t="shared" si="31"/>
        <v>0</v>
      </c>
      <c r="U165" s="357">
        <f t="shared" si="31"/>
        <v>0</v>
      </c>
      <c r="V165" s="357">
        <f t="shared" si="31"/>
        <v>0</v>
      </c>
      <c r="W165" s="357">
        <f t="shared" si="31"/>
        <v>0</v>
      </c>
      <c r="X165" s="357">
        <f t="shared" si="31"/>
        <v>0</v>
      </c>
      <c r="Y165" s="357">
        <f t="shared" si="31"/>
        <v>0</v>
      </c>
      <c r="Z165" s="352"/>
      <c r="AA165" s="352"/>
    </row>
    <row r="166" spans="3:27" x14ac:dyDescent="0.25">
      <c r="D166" s="96"/>
      <c r="E166" s="96"/>
      <c r="F166" s="416" t="s">
        <v>44</v>
      </c>
      <c r="G166" s="295" t="s">
        <v>183</v>
      </c>
      <c r="H166" s="352"/>
      <c r="I166" s="352"/>
      <c r="J166" s="357">
        <f t="shared" ref="J166:Y166" si="32">hundred * $H32 * J57 / $H45 * J83 / hours_in_year</f>
        <v>0</v>
      </c>
      <c r="K166" s="357">
        <f t="shared" si="32"/>
        <v>0</v>
      </c>
      <c r="L166" s="357">
        <f t="shared" si="32"/>
        <v>0</v>
      </c>
      <c r="M166" s="357">
        <f t="shared" si="32"/>
        <v>0</v>
      </c>
      <c r="N166" s="357">
        <f t="shared" si="32"/>
        <v>0</v>
      </c>
      <c r="O166" s="357">
        <f t="shared" si="32"/>
        <v>0</v>
      </c>
      <c r="P166" s="357">
        <f t="shared" si="32"/>
        <v>0</v>
      </c>
      <c r="Q166" s="357">
        <f t="shared" si="32"/>
        <v>0</v>
      </c>
      <c r="R166" s="357">
        <f t="shared" si="32"/>
        <v>0</v>
      </c>
      <c r="S166" s="357">
        <f t="shared" si="32"/>
        <v>0</v>
      </c>
      <c r="T166" s="357">
        <f t="shared" si="32"/>
        <v>0</v>
      </c>
      <c r="U166" s="357">
        <f t="shared" si="32"/>
        <v>0</v>
      </c>
      <c r="V166" s="357">
        <f t="shared" si="32"/>
        <v>0</v>
      </c>
      <c r="W166" s="357">
        <f t="shared" si="32"/>
        <v>0</v>
      </c>
      <c r="X166" s="357">
        <f t="shared" si="32"/>
        <v>0</v>
      </c>
      <c r="Y166" s="357">
        <f t="shared" si="32"/>
        <v>0</v>
      </c>
      <c r="Z166" s="352"/>
      <c r="AA166" s="352"/>
    </row>
    <row r="167" spans="3:27" x14ac:dyDescent="0.25">
      <c r="D167" s="96"/>
      <c r="E167" s="96"/>
      <c r="F167" s="416" t="s">
        <v>45</v>
      </c>
      <c r="G167" s="295" t="s">
        <v>183</v>
      </c>
      <c r="H167" s="352"/>
      <c r="I167" s="352"/>
      <c r="J167" s="357">
        <f t="shared" ref="J167:Y167" si="33">hundred * $H33 * J58 / $H46 * J84 / hours_in_year</f>
        <v>0</v>
      </c>
      <c r="K167" s="357">
        <f t="shared" si="33"/>
        <v>0</v>
      </c>
      <c r="L167" s="357">
        <f t="shared" si="33"/>
        <v>0</v>
      </c>
      <c r="M167" s="357">
        <f t="shared" si="33"/>
        <v>0</v>
      </c>
      <c r="N167" s="357">
        <f t="shared" si="33"/>
        <v>0</v>
      </c>
      <c r="O167" s="357">
        <f t="shared" si="33"/>
        <v>0</v>
      </c>
      <c r="P167" s="357">
        <f t="shared" si="33"/>
        <v>0</v>
      </c>
      <c r="Q167" s="357">
        <f t="shared" si="33"/>
        <v>0</v>
      </c>
      <c r="R167" s="357">
        <f t="shared" si="33"/>
        <v>0</v>
      </c>
      <c r="S167" s="357">
        <f t="shared" si="33"/>
        <v>0</v>
      </c>
      <c r="T167" s="357">
        <f t="shared" si="33"/>
        <v>0</v>
      </c>
      <c r="U167" s="357">
        <f t="shared" si="33"/>
        <v>0</v>
      </c>
      <c r="V167" s="357">
        <f t="shared" si="33"/>
        <v>0</v>
      </c>
      <c r="W167" s="357">
        <f t="shared" si="33"/>
        <v>0</v>
      </c>
      <c r="X167" s="357">
        <f t="shared" si="33"/>
        <v>0</v>
      </c>
      <c r="Y167" s="357">
        <f t="shared" si="33"/>
        <v>0</v>
      </c>
      <c r="Z167" s="352"/>
      <c r="AA167" s="352"/>
    </row>
    <row r="168" spans="3:27" x14ac:dyDescent="0.25">
      <c r="D168" s="96"/>
      <c r="E168" s="96"/>
      <c r="F168" s="416" t="s">
        <v>46</v>
      </c>
      <c r="G168" s="295" t="s">
        <v>183</v>
      </c>
      <c r="H168" s="352"/>
      <c r="I168" s="352"/>
      <c r="J168" s="357">
        <f t="shared" ref="J168:Y168" si="34">hundred * $H34 * J59 / $H47 * J85 / hours_in_year</f>
        <v>1.3271969512058077</v>
      </c>
      <c r="K168" s="357">
        <f t="shared" si="34"/>
        <v>1.3271969512058077</v>
      </c>
      <c r="L168" s="357">
        <f t="shared" si="34"/>
        <v>1.5415459758172922</v>
      </c>
      <c r="M168" s="357">
        <f t="shared" si="34"/>
        <v>1.5415459758172922</v>
      </c>
      <c r="N168" s="357">
        <f t="shared" si="34"/>
        <v>1.1916571261756816</v>
      </c>
      <c r="O168" s="357">
        <f t="shared" si="34"/>
        <v>0.96922053951623688</v>
      </c>
      <c r="P168" s="357">
        <f t="shared" si="34"/>
        <v>0.96680783961049732</v>
      </c>
      <c r="Q168" s="357">
        <f t="shared" si="34"/>
        <v>2.8809541906935197</v>
      </c>
      <c r="R168" s="357">
        <f t="shared" si="34"/>
        <v>-0.94908490312753313</v>
      </c>
      <c r="S168" s="357">
        <f t="shared" si="34"/>
        <v>-0.90240859641634319</v>
      </c>
      <c r="T168" s="357">
        <f t="shared" si="34"/>
        <v>-0.94908490312753313</v>
      </c>
      <c r="U168" s="357">
        <f t="shared" si="34"/>
        <v>-0.94908490312753313</v>
      </c>
      <c r="V168" s="357">
        <f t="shared" si="34"/>
        <v>-0.90240859641634319</v>
      </c>
      <c r="W168" s="357">
        <f t="shared" si="34"/>
        <v>-0.90240859641634319</v>
      </c>
      <c r="X168" s="357">
        <f t="shared" si="34"/>
        <v>-0.88684982751261299</v>
      </c>
      <c r="Y168" s="357">
        <f t="shared" si="34"/>
        <v>-0.88684982751261299</v>
      </c>
      <c r="Z168" s="352"/>
      <c r="AA168" s="352"/>
    </row>
    <row r="169" spans="3:27" x14ac:dyDescent="0.25">
      <c r="D169" s="96"/>
      <c r="E169" s="96"/>
      <c r="F169" s="416" t="s">
        <v>47</v>
      </c>
      <c r="G169" s="295" t="s">
        <v>183</v>
      </c>
      <c r="H169" s="352"/>
      <c r="I169" s="352"/>
      <c r="J169" s="357">
        <f t="shared" ref="J169:Y169" si="35">hundred * $H35 * J60 / $H48 * J86 / hours_in_year</f>
        <v>0.29792241874154252</v>
      </c>
      <c r="K169" s="357">
        <f t="shared" si="35"/>
        <v>0.29792241874154252</v>
      </c>
      <c r="L169" s="357">
        <f t="shared" si="35"/>
        <v>0.34603839716443235</v>
      </c>
      <c r="M169" s="357">
        <f t="shared" si="35"/>
        <v>0.34603839716443235</v>
      </c>
      <c r="N169" s="357">
        <f t="shared" si="35"/>
        <v>0.26749712845429946</v>
      </c>
      <c r="O169" s="357">
        <f t="shared" si="35"/>
        <v>0.2175656952529296</v>
      </c>
      <c r="P169" s="357">
        <f t="shared" si="35"/>
        <v>0.21702410465406455</v>
      </c>
      <c r="Q169" s="357">
        <f t="shared" si="35"/>
        <v>0.666188688621981</v>
      </c>
      <c r="R169" s="357">
        <f t="shared" si="35"/>
        <v>-0.21304575004783205</v>
      </c>
      <c r="S169" s="357">
        <f t="shared" si="35"/>
        <v>-0.20256809020941408</v>
      </c>
      <c r="T169" s="357">
        <f t="shared" si="35"/>
        <v>-0.21304575004783205</v>
      </c>
      <c r="U169" s="357">
        <f t="shared" si="35"/>
        <v>-0.21304575004783205</v>
      </c>
      <c r="V169" s="357">
        <f t="shared" si="35"/>
        <v>-0.20256809020941408</v>
      </c>
      <c r="W169" s="357">
        <f t="shared" si="35"/>
        <v>-0.20256809020941408</v>
      </c>
      <c r="X169" s="357">
        <f t="shared" si="35"/>
        <v>-0.19907553692994143</v>
      </c>
      <c r="Y169" s="357">
        <f t="shared" si="35"/>
        <v>-0.19907553692994143</v>
      </c>
      <c r="Z169" s="352"/>
      <c r="AA169" s="352"/>
    </row>
    <row r="170" spans="3:27" x14ac:dyDescent="0.25">
      <c r="D170" s="96"/>
      <c r="E170" s="96"/>
      <c r="F170" s="416" t="s">
        <v>51</v>
      </c>
      <c r="G170" s="295" t="s">
        <v>183</v>
      </c>
      <c r="H170" s="352"/>
      <c r="I170" s="352"/>
      <c r="J170" s="357">
        <f t="shared" ref="J170:Y170" si="36">hundred * $H36 * J61 / $H49 * J87 / hours_in_year</f>
        <v>0</v>
      </c>
      <c r="K170" s="357">
        <f t="shared" si="36"/>
        <v>0</v>
      </c>
      <c r="L170" s="357">
        <f t="shared" si="36"/>
        <v>0</v>
      </c>
      <c r="M170" s="357">
        <f t="shared" si="36"/>
        <v>0</v>
      </c>
      <c r="N170" s="357">
        <f t="shared" si="36"/>
        <v>0</v>
      </c>
      <c r="O170" s="357">
        <f t="shared" si="36"/>
        <v>0</v>
      </c>
      <c r="P170" s="357">
        <f t="shared" si="36"/>
        <v>0</v>
      </c>
      <c r="Q170" s="357">
        <f t="shared" si="36"/>
        <v>0</v>
      </c>
      <c r="R170" s="357">
        <f t="shared" si="36"/>
        <v>0</v>
      </c>
      <c r="S170" s="357">
        <f t="shared" si="36"/>
        <v>0</v>
      </c>
      <c r="T170" s="357">
        <f t="shared" si="36"/>
        <v>0</v>
      </c>
      <c r="U170" s="357">
        <f t="shared" si="36"/>
        <v>0</v>
      </c>
      <c r="V170" s="357">
        <f t="shared" si="36"/>
        <v>0</v>
      </c>
      <c r="W170" s="357">
        <f t="shared" si="36"/>
        <v>0</v>
      </c>
      <c r="X170" s="357">
        <f t="shared" si="36"/>
        <v>0</v>
      </c>
      <c r="Y170" s="357">
        <f t="shared" si="36"/>
        <v>0</v>
      </c>
      <c r="Z170" s="352"/>
      <c r="AA170" s="352"/>
    </row>
    <row r="171" spans="3:27" x14ac:dyDescent="0.25">
      <c r="D171" s="96"/>
      <c r="E171" s="96"/>
      <c r="F171" s="416" t="s">
        <v>48</v>
      </c>
      <c r="G171" s="295" t="s">
        <v>183</v>
      </c>
      <c r="H171" s="352"/>
      <c r="I171" s="352"/>
      <c r="J171" s="357">
        <f t="shared" ref="J171:Y171" si="37">hundred * $H37 * J62 / $H50 * J88 / hours_in_year</f>
        <v>1.2816705915961015</v>
      </c>
      <c r="K171" s="357">
        <f t="shared" si="37"/>
        <v>1.2816705915961015</v>
      </c>
      <c r="L171" s="357">
        <f t="shared" si="37"/>
        <v>1.4886668787200668</v>
      </c>
      <c r="M171" s="357">
        <f t="shared" si="37"/>
        <v>1.4886668787200668</v>
      </c>
      <c r="N171" s="357">
        <f t="shared" si="37"/>
        <v>1.1507801404288012</v>
      </c>
      <c r="O171" s="357">
        <f t="shared" si="37"/>
        <v>0.93597371598862078</v>
      </c>
      <c r="P171" s="357">
        <f t="shared" si="37"/>
        <v>0.93364377805987264</v>
      </c>
      <c r="Q171" s="357">
        <f t="shared" si="37"/>
        <v>2.865962401444837</v>
      </c>
      <c r="R171" s="357">
        <f t="shared" si="37"/>
        <v>-0.91652878509194657</v>
      </c>
      <c r="S171" s="357">
        <f t="shared" si="37"/>
        <v>-0.87145359893988361</v>
      </c>
      <c r="T171" s="357">
        <f t="shared" si="37"/>
        <v>-0.91652878509194657</v>
      </c>
      <c r="U171" s="357">
        <f t="shared" si="37"/>
        <v>-0.91652878509194657</v>
      </c>
      <c r="V171" s="357">
        <f t="shared" si="37"/>
        <v>-0.87145359893988361</v>
      </c>
      <c r="W171" s="357">
        <f t="shared" si="37"/>
        <v>-0.87145359893988361</v>
      </c>
      <c r="X171" s="357">
        <f t="shared" si="37"/>
        <v>0</v>
      </c>
      <c r="Y171" s="357">
        <f t="shared" si="37"/>
        <v>0</v>
      </c>
      <c r="Z171" s="352"/>
      <c r="AA171" s="352"/>
    </row>
    <row r="172" spans="3:27" x14ac:dyDescent="0.25">
      <c r="D172" s="96"/>
      <c r="E172" s="96"/>
      <c r="F172" s="416" t="s">
        <v>49</v>
      </c>
      <c r="G172" s="295" t="s">
        <v>183</v>
      </c>
      <c r="H172" s="352"/>
      <c r="I172" s="352"/>
      <c r="J172" s="357">
        <f t="shared" ref="J172:Y172" si="38">hundred * $H38 * J63 / $H51 * J89 / hours_in_year</f>
        <v>0.3221201107161773</v>
      </c>
      <c r="K172" s="357">
        <f t="shared" si="38"/>
        <v>0.3221201107161773</v>
      </c>
      <c r="L172" s="357">
        <f t="shared" si="38"/>
        <v>0.37414413885836451</v>
      </c>
      <c r="M172" s="357">
        <f t="shared" si="38"/>
        <v>0.37414413885836451</v>
      </c>
      <c r="N172" s="357">
        <f t="shared" si="38"/>
        <v>0.28922363411902369</v>
      </c>
      <c r="O172" s="357">
        <f t="shared" si="38"/>
        <v>0.23523669732191077</v>
      </c>
      <c r="P172" s="357">
        <f t="shared" si="38"/>
        <v>0</v>
      </c>
      <c r="Q172" s="357">
        <f t="shared" si="38"/>
        <v>0.72029750242778401</v>
      </c>
      <c r="R172" s="357">
        <f t="shared" si="38"/>
        <v>-0.23034963559608548</v>
      </c>
      <c r="S172" s="357">
        <f t="shared" si="38"/>
        <v>0</v>
      </c>
      <c r="T172" s="357">
        <f t="shared" si="38"/>
        <v>-0.23034963559608548</v>
      </c>
      <c r="U172" s="357">
        <f t="shared" si="38"/>
        <v>-0.23034963559608548</v>
      </c>
      <c r="V172" s="357">
        <f t="shared" si="38"/>
        <v>0</v>
      </c>
      <c r="W172" s="357">
        <f t="shared" si="38"/>
        <v>0</v>
      </c>
      <c r="X172" s="357">
        <f t="shared" si="38"/>
        <v>0</v>
      </c>
      <c r="Y172" s="357">
        <f t="shared" si="38"/>
        <v>0</v>
      </c>
      <c r="Z172" s="352"/>
      <c r="AA172" s="352"/>
    </row>
    <row r="173" spans="3:27" x14ac:dyDescent="0.25">
      <c r="D173" s="96"/>
      <c r="E173" s="96"/>
      <c r="F173" s="418" t="s">
        <v>50</v>
      </c>
      <c r="G173" s="93" t="s">
        <v>183</v>
      </c>
      <c r="H173" s="354"/>
      <c r="I173" s="354"/>
      <c r="J173" s="358">
        <f t="shared" ref="J173:Y173" si="39">hundred * $H39 * J64 / $H52 * J90 / hours_in_year</f>
        <v>0.54181621035669014</v>
      </c>
      <c r="K173" s="358">
        <f t="shared" si="39"/>
        <v>0.54181621035669014</v>
      </c>
      <c r="L173" s="358">
        <f t="shared" si="39"/>
        <v>0.6293222704807222</v>
      </c>
      <c r="M173" s="358">
        <f t="shared" si="39"/>
        <v>0.6293222704807222</v>
      </c>
      <c r="N173" s="358">
        <f t="shared" si="39"/>
        <v>0.4864832966670446</v>
      </c>
      <c r="O173" s="358">
        <f t="shared" si="39"/>
        <v>0</v>
      </c>
      <c r="P173" s="358">
        <f t="shared" si="39"/>
        <v>0</v>
      </c>
      <c r="Q173" s="358">
        <f t="shared" si="39"/>
        <v>1.2115631719705942</v>
      </c>
      <c r="R173" s="358">
        <f t="shared" si="39"/>
        <v>0</v>
      </c>
      <c r="S173" s="358">
        <f t="shared" si="39"/>
        <v>0</v>
      </c>
      <c r="T173" s="358">
        <f t="shared" si="39"/>
        <v>0</v>
      </c>
      <c r="U173" s="358">
        <f t="shared" si="39"/>
        <v>0</v>
      </c>
      <c r="V173" s="358">
        <f t="shared" si="39"/>
        <v>0</v>
      </c>
      <c r="W173" s="358">
        <f t="shared" si="39"/>
        <v>0</v>
      </c>
      <c r="X173" s="358">
        <f t="shared" si="39"/>
        <v>0</v>
      </c>
      <c r="Y173" s="358">
        <f t="shared" si="39"/>
        <v>0</v>
      </c>
      <c r="Z173" s="352"/>
      <c r="AA173" s="352"/>
    </row>
    <row r="174" spans="3:27" x14ac:dyDescent="0.25">
      <c r="C174" s="96"/>
      <c r="D174" s="96"/>
      <c r="E174" s="96"/>
      <c r="J174" s="238"/>
      <c r="K174" s="238"/>
      <c r="L174" s="238"/>
      <c r="M174" s="238"/>
      <c r="N174" s="238"/>
      <c r="O174" s="238"/>
      <c r="P174" s="238"/>
      <c r="Q174" s="238"/>
      <c r="R174" s="238"/>
      <c r="S174" s="238"/>
      <c r="T174" s="238"/>
      <c r="U174" s="238"/>
      <c r="V174" s="238"/>
      <c r="W174" s="238"/>
      <c r="X174" s="238"/>
      <c r="Y174" s="238"/>
    </row>
    <row r="175" spans="3:27" x14ac:dyDescent="0.25">
      <c r="C175" s="7" t="str">
        <f ca="1">INDEX('Version control'!$H$34:$H$58,MATCH($A$1,'Version control'!$F$34:$F$58,0),1)&amp;"-D: Unit rate 2"</f>
        <v>Section 512-D: Unit rate 2</v>
      </c>
      <c r="D175" s="7"/>
      <c r="E175" s="7"/>
      <c r="F175" s="7"/>
      <c r="G175" s="7"/>
      <c r="H175" s="7"/>
      <c r="I175" s="7"/>
      <c r="J175" s="242"/>
      <c r="K175" s="242"/>
      <c r="L175" s="242"/>
      <c r="M175" s="242"/>
      <c r="N175" s="242"/>
      <c r="O175" s="242"/>
      <c r="P175" s="242"/>
      <c r="Q175" s="242"/>
      <c r="R175" s="242"/>
      <c r="S175" s="242"/>
      <c r="T175" s="242"/>
      <c r="U175" s="242"/>
      <c r="V175" s="242"/>
      <c r="W175" s="242"/>
      <c r="X175" s="242"/>
      <c r="Y175" s="242"/>
      <c r="Z175" s="7"/>
      <c r="AA175" s="7"/>
    </row>
    <row r="176" spans="3:27" x14ac:dyDescent="0.25">
      <c r="C176" s="96"/>
      <c r="D176" s="96"/>
      <c r="E176" s="96"/>
      <c r="J176" s="238"/>
      <c r="K176" s="238"/>
      <c r="L176" s="238"/>
      <c r="M176" s="238"/>
      <c r="N176" s="238"/>
      <c r="O176" s="238"/>
      <c r="P176" s="238"/>
      <c r="Q176" s="238"/>
      <c r="R176" s="238"/>
      <c r="S176" s="238"/>
      <c r="T176" s="238"/>
      <c r="U176" s="238"/>
      <c r="V176" s="238"/>
      <c r="W176" s="238"/>
      <c r="X176" s="238"/>
      <c r="Y176" s="238"/>
    </row>
    <row r="177" spans="4:27" x14ac:dyDescent="0.25">
      <c r="D177" s="82" t="s">
        <v>835</v>
      </c>
      <c r="E177" s="96"/>
      <c r="F177" s="96"/>
      <c r="J177" s="238"/>
      <c r="K177" s="238"/>
      <c r="L177" s="238"/>
      <c r="M177" s="238"/>
      <c r="N177" s="238"/>
      <c r="O177" s="238"/>
      <c r="P177" s="238"/>
      <c r="Q177" s="238"/>
      <c r="R177" s="238"/>
      <c r="S177" s="238"/>
      <c r="T177" s="238"/>
      <c r="U177" s="238"/>
      <c r="V177" s="238"/>
      <c r="W177" s="238"/>
      <c r="X177" s="238"/>
      <c r="Y177" s="238"/>
    </row>
    <row r="178" spans="4:27" x14ac:dyDescent="0.25">
      <c r="D178" s="82" t="s">
        <v>448</v>
      </c>
      <c r="E178" s="96"/>
      <c r="F178" s="96"/>
      <c r="J178" s="238"/>
      <c r="K178" s="238"/>
      <c r="L178" s="238"/>
      <c r="M178" s="238"/>
      <c r="N178" s="238"/>
      <c r="O178" s="238"/>
      <c r="P178" s="238"/>
      <c r="Q178" s="238"/>
      <c r="R178" s="238"/>
      <c r="S178" s="238"/>
      <c r="T178" s="238"/>
      <c r="U178" s="238"/>
      <c r="V178" s="238"/>
      <c r="W178" s="238"/>
      <c r="X178" s="238"/>
      <c r="Y178" s="238"/>
    </row>
    <row r="179" spans="4:27" x14ac:dyDescent="0.25">
      <c r="D179" s="96"/>
      <c r="E179" s="96"/>
      <c r="F179" s="96"/>
      <c r="I179" s="88" t="s">
        <v>431</v>
      </c>
      <c r="J179" s="238"/>
      <c r="K179" s="238"/>
      <c r="L179" s="238"/>
      <c r="M179" s="238"/>
      <c r="N179" s="238"/>
      <c r="O179" s="238"/>
      <c r="P179" s="238"/>
      <c r="Q179" s="238"/>
      <c r="R179" s="238"/>
      <c r="S179" s="238"/>
      <c r="T179" s="238"/>
      <c r="U179" s="238"/>
      <c r="V179" s="238"/>
      <c r="W179" s="238"/>
      <c r="X179" s="238"/>
      <c r="Y179" s="238"/>
      <c r="AA179" s="295" t="s">
        <v>834</v>
      </c>
    </row>
    <row r="180" spans="4:27" x14ac:dyDescent="0.25">
      <c r="E180" s="96" t="s">
        <v>139</v>
      </c>
      <c r="J180" s="238"/>
      <c r="K180" s="238"/>
      <c r="L180" s="238"/>
      <c r="M180" s="238"/>
      <c r="N180" s="238"/>
      <c r="O180" s="238"/>
      <c r="P180" s="238"/>
      <c r="Q180" s="238"/>
      <c r="R180" s="238"/>
      <c r="S180" s="238"/>
      <c r="T180" s="238"/>
      <c r="U180" s="238"/>
      <c r="V180" s="238"/>
      <c r="W180" s="238"/>
      <c r="X180" s="238"/>
      <c r="Y180" s="238"/>
    </row>
    <row r="181" spans="4:27" x14ac:dyDescent="0.25">
      <c r="E181" s="96"/>
      <c r="F181" s="415" t="s">
        <v>324</v>
      </c>
      <c r="G181" s="91" t="s">
        <v>183</v>
      </c>
      <c r="H181" s="350"/>
      <c r="I181" s="350"/>
      <c r="J181" s="356">
        <f t="shared" ref="J181:Y181" si="40">hundred * $H18 * J55 / $H43 * J93 * (1 - J67) / hours_in_year</f>
        <v>0</v>
      </c>
      <c r="K181" s="356">
        <f t="shared" si="40"/>
        <v>0</v>
      </c>
      <c r="L181" s="356">
        <f t="shared" si="40"/>
        <v>0</v>
      </c>
      <c r="M181" s="356">
        <f t="shared" si="40"/>
        <v>0</v>
      </c>
      <c r="N181" s="356">
        <f t="shared" si="40"/>
        <v>0</v>
      </c>
      <c r="O181" s="356">
        <f t="shared" si="40"/>
        <v>0</v>
      </c>
      <c r="P181" s="356">
        <f t="shared" si="40"/>
        <v>0</v>
      </c>
      <c r="Q181" s="356">
        <f t="shared" si="40"/>
        <v>0</v>
      </c>
      <c r="R181" s="356">
        <f t="shared" si="40"/>
        <v>0</v>
      </c>
      <c r="S181" s="356">
        <f t="shared" si="40"/>
        <v>0</v>
      </c>
      <c r="T181" s="356">
        <f t="shared" si="40"/>
        <v>0</v>
      </c>
      <c r="U181" s="356">
        <f t="shared" si="40"/>
        <v>0</v>
      </c>
      <c r="V181" s="356">
        <f t="shared" si="40"/>
        <v>0</v>
      </c>
      <c r="W181" s="356">
        <f t="shared" si="40"/>
        <v>0</v>
      </c>
      <c r="X181" s="356">
        <f t="shared" si="40"/>
        <v>0</v>
      </c>
      <c r="Y181" s="356">
        <f t="shared" si="40"/>
        <v>0</v>
      </c>
      <c r="Z181" s="352"/>
      <c r="AA181" s="352"/>
    </row>
    <row r="182" spans="4:27" x14ac:dyDescent="0.25">
      <c r="E182" s="96"/>
      <c r="F182" s="416" t="s">
        <v>43</v>
      </c>
      <c r="G182" s="295" t="s">
        <v>183</v>
      </c>
      <c r="H182" s="352"/>
      <c r="I182" s="352"/>
      <c r="J182" s="357">
        <f t="shared" ref="J182:Y182" si="41">hundred * $H19 * J56 / $H44 * J94 * (1 - J68) / hours_in_year</f>
        <v>0</v>
      </c>
      <c r="K182" s="357">
        <f t="shared" si="41"/>
        <v>0</v>
      </c>
      <c r="L182" s="357">
        <f t="shared" si="41"/>
        <v>0</v>
      </c>
      <c r="M182" s="357">
        <f t="shared" si="41"/>
        <v>0</v>
      </c>
      <c r="N182" s="357">
        <f t="shared" si="41"/>
        <v>0</v>
      </c>
      <c r="O182" s="357">
        <f t="shared" si="41"/>
        <v>0</v>
      </c>
      <c r="P182" s="357">
        <f t="shared" si="41"/>
        <v>0</v>
      </c>
      <c r="Q182" s="357">
        <f t="shared" si="41"/>
        <v>0</v>
      </c>
      <c r="R182" s="357">
        <f t="shared" si="41"/>
        <v>0</v>
      </c>
      <c r="S182" s="357">
        <f t="shared" si="41"/>
        <v>0</v>
      </c>
      <c r="T182" s="357">
        <f t="shared" si="41"/>
        <v>0</v>
      </c>
      <c r="U182" s="357">
        <f t="shared" si="41"/>
        <v>0</v>
      </c>
      <c r="V182" s="357">
        <f t="shared" si="41"/>
        <v>0</v>
      </c>
      <c r="W182" s="357">
        <f t="shared" si="41"/>
        <v>0</v>
      </c>
      <c r="X182" s="357">
        <f t="shared" si="41"/>
        <v>0</v>
      </c>
      <c r="Y182" s="357">
        <f t="shared" si="41"/>
        <v>0</v>
      </c>
      <c r="Z182" s="352"/>
      <c r="AA182" s="352"/>
    </row>
    <row r="183" spans="4:27" x14ac:dyDescent="0.25">
      <c r="E183" s="96"/>
      <c r="F183" s="416" t="s">
        <v>44</v>
      </c>
      <c r="G183" s="295" t="s">
        <v>183</v>
      </c>
      <c r="H183" s="352"/>
      <c r="I183" s="352"/>
      <c r="J183" s="357">
        <f t="shared" ref="J183:Y183" si="42">hundred * $H20 * J57 / $H45 * J95 * (1 - J69) / hours_in_year</f>
        <v>0</v>
      </c>
      <c r="K183" s="357">
        <f t="shared" si="42"/>
        <v>0</v>
      </c>
      <c r="L183" s="357">
        <f t="shared" si="42"/>
        <v>0</v>
      </c>
      <c r="M183" s="357">
        <f t="shared" si="42"/>
        <v>0</v>
      </c>
      <c r="N183" s="357">
        <f t="shared" si="42"/>
        <v>0</v>
      </c>
      <c r="O183" s="357">
        <f t="shared" si="42"/>
        <v>0</v>
      </c>
      <c r="P183" s="357">
        <f t="shared" si="42"/>
        <v>0</v>
      </c>
      <c r="Q183" s="357">
        <f t="shared" si="42"/>
        <v>0</v>
      </c>
      <c r="R183" s="357">
        <f t="shared" si="42"/>
        <v>0</v>
      </c>
      <c r="S183" s="357">
        <f t="shared" si="42"/>
        <v>0</v>
      </c>
      <c r="T183" s="357">
        <f t="shared" si="42"/>
        <v>0</v>
      </c>
      <c r="U183" s="357">
        <f t="shared" si="42"/>
        <v>0</v>
      </c>
      <c r="V183" s="357">
        <f t="shared" si="42"/>
        <v>0</v>
      </c>
      <c r="W183" s="357">
        <f t="shared" si="42"/>
        <v>0</v>
      </c>
      <c r="X183" s="357">
        <f t="shared" si="42"/>
        <v>0</v>
      </c>
      <c r="Y183" s="357">
        <f t="shared" si="42"/>
        <v>0</v>
      </c>
      <c r="Z183" s="352"/>
      <c r="AA183" s="352"/>
    </row>
    <row r="184" spans="4:27" x14ac:dyDescent="0.25">
      <c r="E184" s="96"/>
      <c r="F184" s="416" t="s">
        <v>45</v>
      </c>
      <c r="G184" s="295" t="s">
        <v>183</v>
      </c>
      <c r="H184" s="352"/>
      <c r="I184" s="352"/>
      <c r="J184" s="357">
        <f t="shared" ref="J184:Y184" si="43">hundred * $H21 * J58 / $H46 * J96 * (1 - J70) / hours_in_year</f>
        <v>0</v>
      </c>
      <c r="K184" s="357">
        <f t="shared" si="43"/>
        <v>0</v>
      </c>
      <c r="L184" s="357">
        <f t="shared" si="43"/>
        <v>0</v>
      </c>
      <c r="M184" s="357">
        <f t="shared" si="43"/>
        <v>0</v>
      </c>
      <c r="N184" s="357">
        <f t="shared" si="43"/>
        <v>0</v>
      </c>
      <c r="O184" s="357">
        <f t="shared" si="43"/>
        <v>0</v>
      </c>
      <c r="P184" s="357">
        <f t="shared" si="43"/>
        <v>0</v>
      </c>
      <c r="Q184" s="357">
        <f t="shared" si="43"/>
        <v>0</v>
      </c>
      <c r="R184" s="357">
        <f t="shared" si="43"/>
        <v>0</v>
      </c>
      <c r="S184" s="357">
        <f t="shared" si="43"/>
        <v>0</v>
      </c>
      <c r="T184" s="357">
        <f t="shared" si="43"/>
        <v>0</v>
      </c>
      <c r="U184" s="357">
        <f t="shared" si="43"/>
        <v>0</v>
      </c>
      <c r="V184" s="357">
        <f t="shared" si="43"/>
        <v>0</v>
      </c>
      <c r="W184" s="357">
        <f t="shared" si="43"/>
        <v>0</v>
      </c>
      <c r="X184" s="357">
        <f t="shared" si="43"/>
        <v>0</v>
      </c>
      <c r="Y184" s="357">
        <f t="shared" si="43"/>
        <v>0</v>
      </c>
      <c r="Z184" s="352"/>
      <c r="AA184" s="352"/>
    </row>
    <row r="185" spans="4:27" x14ac:dyDescent="0.25">
      <c r="E185" s="96"/>
      <c r="F185" s="416" t="s">
        <v>46</v>
      </c>
      <c r="G185" s="295" t="s">
        <v>183</v>
      </c>
      <c r="H185" s="352"/>
      <c r="I185" s="352"/>
      <c r="J185" s="357">
        <f t="shared" ref="J185:Y185" si="44">hundred * $H22 * J59 / $H47 * J97 * (1 - J71) / hours_in_year</f>
        <v>0.1438617225082271</v>
      </c>
      <c r="K185" s="357">
        <f t="shared" si="44"/>
        <v>0.1438617225082271</v>
      </c>
      <c r="L185" s="357">
        <f t="shared" si="44"/>
        <v>0.16709611878268379</v>
      </c>
      <c r="M185" s="357">
        <f t="shared" si="44"/>
        <v>0.16709611878268379</v>
      </c>
      <c r="N185" s="357">
        <f t="shared" si="44"/>
        <v>0.12916986183179766</v>
      </c>
      <c r="O185" s="357">
        <f t="shared" si="44"/>
        <v>0.10505881299567355</v>
      </c>
      <c r="P185" s="357">
        <f t="shared" si="44"/>
        <v>0.1015380422101458</v>
      </c>
      <c r="Q185" s="357">
        <f t="shared" si="44"/>
        <v>0.12323803469373426</v>
      </c>
      <c r="R185" s="357">
        <f t="shared" si="44"/>
        <v>-0.10287620751873476</v>
      </c>
      <c r="S185" s="357">
        <f t="shared" si="44"/>
        <v>-9.7816721903059289E-2</v>
      </c>
      <c r="T185" s="357">
        <f t="shared" si="44"/>
        <v>-0.10287620751873476</v>
      </c>
      <c r="U185" s="357">
        <f t="shared" si="44"/>
        <v>-0.10287620751873476</v>
      </c>
      <c r="V185" s="357">
        <f t="shared" si="44"/>
        <v>-9.7816721903059289E-2</v>
      </c>
      <c r="W185" s="357">
        <f t="shared" si="44"/>
        <v>-9.7816721903059289E-2</v>
      </c>
      <c r="X185" s="357">
        <f t="shared" si="44"/>
        <v>-9.3140530652207704E-2</v>
      </c>
      <c r="Y185" s="357">
        <f t="shared" si="44"/>
        <v>-9.3140530652207704E-2</v>
      </c>
      <c r="Z185" s="352"/>
      <c r="AA185" s="352"/>
    </row>
    <row r="186" spans="4:27" x14ac:dyDescent="0.25">
      <c r="E186" s="96"/>
      <c r="F186" s="416" t="s">
        <v>47</v>
      </c>
      <c r="G186" s="295" t="s">
        <v>183</v>
      </c>
      <c r="H186" s="352"/>
      <c r="I186" s="352"/>
      <c r="J186" s="357">
        <f t="shared" ref="J186:Y186" si="45">hundred * $H23 * J60 / $H48 * J98 * (1 - J72) / hours_in_year</f>
        <v>4.8523421577766256E-2</v>
      </c>
      <c r="K186" s="357">
        <f t="shared" si="45"/>
        <v>4.8523421577766256E-2</v>
      </c>
      <c r="L186" s="357">
        <f t="shared" si="45"/>
        <v>5.6360199741366176E-2</v>
      </c>
      <c r="M186" s="357">
        <f t="shared" si="45"/>
        <v>5.6360199741366176E-2</v>
      </c>
      <c r="N186" s="357">
        <f t="shared" si="45"/>
        <v>4.356797313091882E-2</v>
      </c>
      <c r="O186" s="357">
        <f t="shared" si="45"/>
        <v>3.5435506989409539E-2</v>
      </c>
      <c r="P186" s="357">
        <f t="shared" si="45"/>
        <v>3.0323647194290419E-2</v>
      </c>
      <c r="Q186" s="357">
        <f t="shared" si="45"/>
        <v>3.699604555862028E-2</v>
      </c>
      <c r="R186" s="357">
        <f t="shared" si="45"/>
        <v>-3.4699331418528372E-2</v>
      </c>
      <c r="S186" s="357">
        <f t="shared" si="45"/>
        <v>-3.2992806922535173E-2</v>
      </c>
      <c r="T186" s="357">
        <f t="shared" si="45"/>
        <v>-3.4699331418528372E-2</v>
      </c>
      <c r="U186" s="357">
        <f t="shared" si="45"/>
        <v>-3.4699331418528372E-2</v>
      </c>
      <c r="V186" s="357">
        <f t="shared" si="45"/>
        <v>-3.2992806922535173E-2</v>
      </c>
      <c r="W186" s="357">
        <f t="shared" si="45"/>
        <v>-3.2992806922535173E-2</v>
      </c>
      <c r="X186" s="357">
        <f t="shared" si="45"/>
        <v>-2.7815787359196549E-2</v>
      </c>
      <c r="Y186" s="357">
        <f t="shared" si="45"/>
        <v>-2.7815787359196549E-2</v>
      </c>
      <c r="Z186" s="352"/>
      <c r="AA186" s="352"/>
    </row>
    <row r="187" spans="4:27" x14ac:dyDescent="0.25">
      <c r="E187" s="96"/>
      <c r="F187" s="416" t="s">
        <v>51</v>
      </c>
      <c r="G187" s="295" t="s">
        <v>183</v>
      </c>
      <c r="H187" s="352"/>
      <c r="I187" s="352"/>
      <c r="J187" s="357">
        <f t="shared" ref="J187:Y187" si="46">hundred * $H24 * J61 / $H49 * J99 * (1 - J73) / hours_in_year</f>
        <v>0</v>
      </c>
      <c r="K187" s="357">
        <f t="shared" si="46"/>
        <v>0</v>
      </c>
      <c r="L187" s="357">
        <f t="shared" si="46"/>
        <v>0</v>
      </c>
      <c r="M187" s="357">
        <f t="shared" si="46"/>
        <v>0</v>
      </c>
      <c r="N187" s="357">
        <f t="shared" si="46"/>
        <v>0</v>
      </c>
      <c r="O187" s="357">
        <f t="shared" si="46"/>
        <v>0</v>
      </c>
      <c r="P187" s="357">
        <f t="shared" si="46"/>
        <v>0</v>
      </c>
      <c r="Q187" s="357">
        <f t="shared" si="46"/>
        <v>0</v>
      </c>
      <c r="R187" s="357">
        <f t="shared" si="46"/>
        <v>0</v>
      </c>
      <c r="S187" s="357">
        <f t="shared" si="46"/>
        <v>0</v>
      </c>
      <c r="T187" s="357">
        <f t="shared" si="46"/>
        <v>0</v>
      </c>
      <c r="U187" s="357">
        <f t="shared" si="46"/>
        <v>0</v>
      </c>
      <c r="V187" s="357">
        <f t="shared" si="46"/>
        <v>0</v>
      </c>
      <c r="W187" s="357">
        <f t="shared" si="46"/>
        <v>0</v>
      </c>
      <c r="X187" s="357">
        <f t="shared" si="46"/>
        <v>0</v>
      </c>
      <c r="Y187" s="357">
        <f t="shared" si="46"/>
        <v>0</v>
      </c>
      <c r="Z187" s="352"/>
      <c r="AA187" s="352"/>
    </row>
    <row r="188" spans="4:27" x14ac:dyDescent="0.25">
      <c r="E188" s="96"/>
      <c r="F188" s="416" t="s">
        <v>48</v>
      </c>
      <c r="G188" s="295" t="s">
        <v>183</v>
      </c>
      <c r="H188" s="352"/>
      <c r="I188" s="352"/>
      <c r="J188" s="357">
        <f t="shared" ref="J188:Y188" si="47">hundred * $H25 * J62 / $H50 * J100 * (1 - J74) / hours_in_year</f>
        <v>0.16686319527226703</v>
      </c>
      <c r="K188" s="357">
        <f t="shared" si="47"/>
        <v>0.16686319527226703</v>
      </c>
      <c r="L188" s="357">
        <f t="shared" si="47"/>
        <v>0.19381244580940135</v>
      </c>
      <c r="M188" s="357">
        <f t="shared" si="47"/>
        <v>0.19381244580940135</v>
      </c>
      <c r="N188" s="357">
        <f t="shared" si="47"/>
        <v>0.14982231202534368</v>
      </c>
      <c r="O188" s="357">
        <f t="shared" si="47"/>
        <v>0.12185624447091643</v>
      </c>
      <c r="P188" s="357">
        <f t="shared" si="47"/>
        <v>8.341271124519431E-2</v>
      </c>
      <c r="Q188" s="357">
        <f t="shared" si="47"/>
        <v>0.12722265194048846</v>
      </c>
      <c r="R188" s="357">
        <f t="shared" si="47"/>
        <v>-0.11932467097415166</v>
      </c>
      <c r="S188" s="357">
        <f t="shared" si="47"/>
        <v>-0.11345624453279995</v>
      </c>
      <c r="T188" s="357">
        <f t="shared" si="47"/>
        <v>-0.11932467097415166</v>
      </c>
      <c r="U188" s="357">
        <f t="shared" si="47"/>
        <v>-0.11932467097415166</v>
      </c>
      <c r="V188" s="357">
        <f t="shared" si="47"/>
        <v>-0.11345624453279995</v>
      </c>
      <c r="W188" s="357">
        <f t="shared" si="47"/>
        <v>-0.11345624453279995</v>
      </c>
      <c r="X188" s="357">
        <f t="shared" si="47"/>
        <v>0</v>
      </c>
      <c r="Y188" s="357">
        <f t="shared" si="47"/>
        <v>0</v>
      </c>
      <c r="Z188" s="352"/>
      <c r="AA188" s="352"/>
    </row>
    <row r="189" spans="4:27" x14ac:dyDescent="0.25">
      <c r="E189" s="96"/>
      <c r="F189" s="416" t="s">
        <v>49</v>
      </c>
      <c r="G189" s="295" t="s">
        <v>183</v>
      </c>
      <c r="H189" s="352"/>
      <c r="I189" s="352"/>
      <c r="J189" s="357">
        <f t="shared" ref="J189:Y189" si="48">hundred * $H26 * J63 / $H51 * J101 * (1 - J75) / hours_in_year</f>
        <v>3.8315656300647608E-2</v>
      </c>
      <c r="K189" s="357">
        <f t="shared" si="48"/>
        <v>3.8315656300647608E-2</v>
      </c>
      <c r="L189" s="357">
        <f t="shared" si="48"/>
        <v>4.4503828710123795E-2</v>
      </c>
      <c r="M189" s="357">
        <f t="shared" si="48"/>
        <v>4.4503828710123795E-2</v>
      </c>
      <c r="N189" s="357">
        <f t="shared" si="48"/>
        <v>3.4402674624351627E-2</v>
      </c>
      <c r="O189" s="357">
        <f t="shared" si="48"/>
        <v>2.7981017465337491E-2</v>
      </c>
      <c r="P189" s="357">
        <f t="shared" si="48"/>
        <v>0</v>
      </c>
      <c r="Q189" s="357">
        <f t="shared" si="48"/>
        <v>2.9213268974352696E-2</v>
      </c>
      <c r="R189" s="357">
        <f t="shared" si="48"/>
        <v>-2.7399709527157375E-2</v>
      </c>
      <c r="S189" s="357">
        <f t="shared" si="48"/>
        <v>0</v>
      </c>
      <c r="T189" s="357">
        <f t="shared" si="48"/>
        <v>-2.7399709527157375E-2</v>
      </c>
      <c r="U189" s="357">
        <f t="shared" si="48"/>
        <v>-2.7399709527157375E-2</v>
      </c>
      <c r="V189" s="357">
        <f t="shared" si="48"/>
        <v>0</v>
      </c>
      <c r="W189" s="357">
        <f t="shared" si="48"/>
        <v>0</v>
      </c>
      <c r="X189" s="357">
        <f t="shared" si="48"/>
        <v>0</v>
      </c>
      <c r="Y189" s="357">
        <f t="shared" si="48"/>
        <v>0</v>
      </c>
      <c r="Z189" s="352"/>
      <c r="AA189" s="352"/>
    </row>
    <row r="190" spans="4:27" x14ac:dyDescent="0.25">
      <c r="E190" s="96"/>
      <c r="F190" s="418" t="s">
        <v>50</v>
      </c>
      <c r="G190" s="93" t="s">
        <v>183</v>
      </c>
      <c r="H190" s="354"/>
      <c r="I190" s="354"/>
      <c r="J190" s="358">
        <f t="shared" ref="J190:Y190" si="49">hundred * $H27 * J64 / $H52 * J102 * (1 - J76) / hours_in_year</f>
        <v>6.7316849374737739E-3</v>
      </c>
      <c r="K190" s="358">
        <f t="shared" si="49"/>
        <v>6.7316849374737739E-3</v>
      </c>
      <c r="L190" s="358">
        <f t="shared" si="49"/>
        <v>7.8188861241765984E-3</v>
      </c>
      <c r="M190" s="358">
        <f t="shared" si="49"/>
        <v>7.8188861241765984E-3</v>
      </c>
      <c r="N190" s="358">
        <f t="shared" si="49"/>
        <v>6.0442124430906538E-3</v>
      </c>
      <c r="O190" s="358">
        <f t="shared" si="49"/>
        <v>0</v>
      </c>
      <c r="P190" s="358">
        <f t="shared" si="49"/>
        <v>0</v>
      </c>
      <c r="Q190" s="358">
        <f t="shared" si="49"/>
        <v>5.1324847781792039E-3</v>
      </c>
      <c r="R190" s="358">
        <f t="shared" si="49"/>
        <v>0</v>
      </c>
      <c r="S190" s="358">
        <f t="shared" si="49"/>
        <v>0</v>
      </c>
      <c r="T190" s="358">
        <f t="shared" si="49"/>
        <v>0</v>
      </c>
      <c r="U190" s="358">
        <f t="shared" si="49"/>
        <v>0</v>
      </c>
      <c r="V190" s="358">
        <f t="shared" si="49"/>
        <v>0</v>
      </c>
      <c r="W190" s="358">
        <f t="shared" si="49"/>
        <v>0</v>
      </c>
      <c r="X190" s="358">
        <f t="shared" si="49"/>
        <v>0</v>
      </c>
      <c r="Y190" s="358">
        <f t="shared" si="49"/>
        <v>0</v>
      </c>
      <c r="Z190" s="352"/>
      <c r="AA190" s="352"/>
    </row>
    <row r="191" spans="4:27" x14ac:dyDescent="0.25">
      <c r="E191" s="96"/>
      <c r="F191" s="416"/>
      <c r="J191" s="238"/>
      <c r="K191" s="238"/>
      <c r="L191" s="238"/>
      <c r="M191" s="238"/>
      <c r="N191" s="238"/>
      <c r="O191" s="238"/>
      <c r="P191" s="238"/>
      <c r="Q191" s="238"/>
      <c r="R191" s="238"/>
      <c r="S191" s="238"/>
      <c r="T191" s="238"/>
      <c r="U191" s="238"/>
      <c r="V191" s="238"/>
      <c r="W191" s="238"/>
      <c r="X191" s="238"/>
      <c r="Y191" s="238"/>
    </row>
    <row r="192" spans="4:27" x14ac:dyDescent="0.25">
      <c r="E192" s="96" t="s">
        <v>116</v>
      </c>
      <c r="J192" s="238"/>
      <c r="K192" s="238"/>
      <c r="L192" s="238"/>
      <c r="M192" s="238"/>
      <c r="N192" s="238"/>
      <c r="O192" s="238"/>
      <c r="P192" s="238"/>
      <c r="Q192" s="238"/>
      <c r="R192" s="238"/>
      <c r="S192" s="238"/>
      <c r="T192" s="238"/>
      <c r="U192" s="238"/>
      <c r="V192" s="238"/>
      <c r="W192" s="238"/>
      <c r="X192" s="238"/>
      <c r="Y192" s="238"/>
    </row>
    <row r="193" spans="3:27" x14ac:dyDescent="0.25">
      <c r="D193" s="96"/>
      <c r="E193" s="96"/>
      <c r="F193" s="415" t="s">
        <v>324</v>
      </c>
      <c r="G193" s="91" t="s">
        <v>183</v>
      </c>
      <c r="H193" s="350"/>
      <c r="I193" s="350"/>
      <c r="J193" s="356">
        <f t="shared" ref="J193:Y193" si="50">hundred * $H30 * J55 / $H43 * J93 / hours_in_year</f>
        <v>0.15021599433191743</v>
      </c>
      <c r="K193" s="356">
        <f t="shared" si="50"/>
        <v>0.15021599433191743</v>
      </c>
      <c r="L193" s="356">
        <f t="shared" si="50"/>
        <v>0.17447663766509949</v>
      </c>
      <c r="M193" s="356">
        <f t="shared" si="50"/>
        <v>0.17447663766509949</v>
      </c>
      <c r="N193" s="356">
        <f t="shared" si="50"/>
        <v>0.13487520442882392</v>
      </c>
      <c r="O193" s="356">
        <f t="shared" si="50"/>
        <v>0.10969918740249729</v>
      </c>
      <c r="P193" s="356">
        <f t="shared" si="50"/>
        <v>0.10942611104029204</v>
      </c>
      <c r="Q193" s="356">
        <f t="shared" si="50"/>
        <v>0.12868137262830254</v>
      </c>
      <c r="R193" s="356">
        <f t="shared" si="50"/>
        <v>-0.10742017776576855</v>
      </c>
      <c r="S193" s="356">
        <f t="shared" si="50"/>
        <v>-0.10213721820351762</v>
      </c>
      <c r="T193" s="356">
        <f t="shared" si="50"/>
        <v>-0.10742017776576855</v>
      </c>
      <c r="U193" s="356">
        <f t="shared" si="50"/>
        <v>-0.10742017776576855</v>
      </c>
      <c r="V193" s="356">
        <f t="shared" si="50"/>
        <v>-0.10213721820351762</v>
      </c>
      <c r="W193" s="356">
        <f t="shared" si="50"/>
        <v>-0.10213721820351762</v>
      </c>
      <c r="X193" s="356">
        <f t="shared" si="50"/>
        <v>-0.10037623168276731</v>
      </c>
      <c r="Y193" s="356">
        <f t="shared" si="50"/>
        <v>-0.10037623168276731</v>
      </c>
      <c r="Z193" s="352"/>
      <c r="AA193" s="352"/>
    </row>
    <row r="194" spans="3:27" x14ac:dyDescent="0.25">
      <c r="D194" s="96"/>
      <c r="E194" s="96"/>
      <c r="F194" s="416" t="s">
        <v>43</v>
      </c>
      <c r="G194" s="295" t="s">
        <v>183</v>
      </c>
      <c r="H194" s="352"/>
      <c r="I194" s="352"/>
      <c r="J194" s="357">
        <f t="shared" ref="J194:Y194" si="51">hundred * $H31 * J56 / $H44 * J94 / hours_in_year</f>
        <v>0</v>
      </c>
      <c r="K194" s="357">
        <f t="shared" si="51"/>
        <v>0</v>
      </c>
      <c r="L194" s="357">
        <f t="shared" si="51"/>
        <v>0</v>
      </c>
      <c r="M194" s="357">
        <f t="shared" si="51"/>
        <v>0</v>
      </c>
      <c r="N194" s="357">
        <f t="shared" si="51"/>
        <v>0</v>
      </c>
      <c r="O194" s="357">
        <f t="shared" si="51"/>
        <v>0</v>
      </c>
      <c r="P194" s="357">
        <f t="shared" si="51"/>
        <v>0</v>
      </c>
      <c r="Q194" s="357">
        <f t="shared" si="51"/>
        <v>0</v>
      </c>
      <c r="R194" s="357">
        <f t="shared" si="51"/>
        <v>0</v>
      </c>
      <c r="S194" s="357">
        <f t="shared" si="51"/>
        <v>0</v>
      </c>
      <c r="T194" s="357">
        <f t="shared" si="51"/>
        <v>0</v>
      </c>
      <c r="U194" s="357">
        <f t="shared" si="51"/>
        <v>0</v>
      </c>
      <c r="V194" s="357">
        <f t="shared" si="51"/>
        <v>0</v>
      </c>
      <c r="W194" s="357">
        <f t="shared" si="51"/>
        <v>0</v>
      </c>
      <c r="X194" s="357">
        <f t="shared" si="51"/>
        <v>0</v>
      </c>
      <c r="Y194" s="357">
        <f t="shared" si="51"/>
        <v>0</v>
      </c>
      <c r="Z194" s="352"/>
      <c r="AA194" s="352"/>
    </row>
    <row r="195" spans="3:27" x14ac:dyDescent="0.25">
      <c r="D195" s="96"/>
      <c r="E195" s="96"/>
      <c r="F195" s="416" t="s">
        <v>44</v>
      </c>
      <c r="G195" s="295" t="s">
        <v>183</v>
      </c>
      <c r="H195" s="352"/>
      <c r="I195" s="352"/>
      <c r="J195" s="357">
        <f t="shared" ref="J195:Y195" si="52">hundred * $H32 * J57 / $H45 * J95 / hours_in_year</f>
        <v>0</v>
      </c>
      <c r="K195" s="357">
        <f t="shared" si="52"/>
        <v>0</v>
      </c>
      <c r="L195" s="357">
        <f t="shared" si="52"/>
        <v>0</v>
      </c>
      <c r="M195" s="357">
        <f t="shared" si="52"/>
        <v>0</v>
      </c>
      <c r="N195" s="357">
        <f t="shared" si="52"/>
        <v>0</v>
      </c>
      <c r="O195" s="357">
        <f t="shared" si="52"/>
        <v>0</v>
      </c>
      <c r="P195" s="357">
        <f t="shared" si="52"/>
        <v>0</v>
      </c>
      <c r="Q195" s="357">
        <f t="shared" si="52"/>
        <v>0</v>
      </c>
      <c r="R195" s="357">
        <f t="shared" si="52"/>
        <v>0</v>
      </c>
      <c r="S195" s="357">
        <f t="shared" si="52"/>
        <v>0</v>
      </c>
      <c r="T195" s="357">
        <f t="shared" si="52"/>
        <v>0</v>
      </c>
      <c r="U195" s="357">
        <f t="shared" si="52"/>
        <v>0</v>
      </c>
      <c r="V195" s="357">
        <f t="shared" si="52"/>
        <v>0</v>
      </c>
      <c r="W195" s="357">
        <f t="shared" si="52"/>
        <v>0</v>
      </c>
      <c r="X195" s="357">
        <f t="shared" si="52"/>
        <v>0</v>
      </c>
      <c r="Y195" s="357">
        <f t="shared" si="52"/>
        <v>0</v>
      </c>
      <c r="Z195" s="352"/>
      <c r="AA195" s="352"/>
    </row>
    <row r="196" spans="3:27" x14ac:dyDescent="0.25">
      <c r="D196" s="96"/>
      <c r="E196" s="96"/>
      <c r="F196" s="416" t="s">
        <v>45</v>
      </c>
      <c r="G196" s="295" t="s">
        <v>183</v>
      </c>
      <c r="H196" s="352"/>
      <c r="I196" s="352"/>
      <c r="J196" s="357">
        <f t="shared" ref="J196:Y196" si="53">hundred * $H33 * J58 / $H46 * J96 / hours_in_year</f>
        <v>0</v>
      </c>
      <c r="K196" s="357">
        <f t="shared" si="53"/>
        <v>0</v>
      </c>
      <c r="L196" s="357">
        <f t="shared" si="53"/>
        <v>0</v>
      </c>
      <c r="M196" s="357">
        <f t="shared" si="53"/>
        <v>0</v>
      </c>
      <c r="N196" s="357">
        <f t="shared" si="53"/>
        <v>0</v>
      </c>
      <c r="O196" s="357">
        <f t="shared" si="53"/>
        <v>0</v>
      </c>
      <c r="P196" s="357">
        <f t="shared" si="53"/>
        <v>0</v>
      </c>
      <c r="Q196" s="357">
        <f t="shared" si="53"/>
        <v>0</v>
      </c>
      <c r="R196" s="357">
        <f t="shared" si="53"/>
        <v>0</v>
      </c>
      <c r="S196" s="357">
        <f t="shared" si="53"/>
        <v>0</v>
      </c>
      <c r="T196" s="357">
        <f t="shared" si="53"/>
        <v>0</v>
      </c>
      <c r="U196" s="357">
        <f t="shared" si="53"/>
        <v>0</v>
      </c>
      <c r="V196" s="357">
        <f t="shared" si="53"/>
        <v>0</v>
      </c>
      <c r="W196" s="357">
        <f t="shared" si="53"/>
        <v>0</v>
      </c>
      <c r="X196" s="357">
        <f t="shared" si="53"/>
        <v>0</v>
      </c>
      <c r="Y196" s="357">
        <f t="shared" si="53"/>
        <v>0</v>
      </c>
      <c r="Z196" s="352"/>
      <c r="AA196" s="352"/>
    </row>
    <row r="197" spans="3:27" x14ac:dyDescent="0.25">
      <c r="D197" s="96"/>
      <c r="E197" s="96"/>
      <c r="F197" s="416" t="s">
        <v>46</v>
      </c>
      <c r="G197" s="295" t="s">
        <v>183</v>
      </c>
      <c r="H197" s="352"/>
      <c r="I197" s="352"/>
      <c r="J197" s="357">
        <f t="shared" ref="J197:Y197" si="54">hundred * $H34 * J59 / $H47 * J97 / hours_in_year</f>
        <v>0.10632005430821767</v>
      </c>
      <c r="K197" s="357">
        <f t="shared" si="54"/>
        <v>0.10632005430821767</v>
      </c>
      <c r="L197" s="357">
        <f t="shared" si="54"/>
        <v>0.12349128116863302</v>
      </c>
      <c r="M197" s="357">
        <f t="shared" si="54"/>
        <v>0.12349128116863302</v>
      </c>
      <c r="N197" s="357">
        <f t="shared" si="54"/>
        <v>9.5462131868720837E-2</v>
      </c>
      <c r="O197" s="357">
        <f t="shared" si="54"/>
        <v>7.7643020732065263E-2</v>
      </c>
      <c r="P197" s="357">
        <f t="shared" si="54"/>
        <v>7.7449742421129855E-2</v>
      </c>
      <c r="Q197" s="357">
        <f t="shared" si="54"/>
        <v>9.1078254264100933E-2</v>
      </c>
      <c r="R197" s="357">
        <f t="shared" si="54"/>
        <v>-7.6029980593273136E-2</v>
      </c>
      <c r="S197" s="357">
        <f t="shared" si="54"/>
        <v>-7.2290801219833487E-2</v>
      </c>
      <c r="T197" s="357">
        <f t="shared" si="54"/>
        <v>-7.6029980593273136E-2</v>
      </c>
      <c r="U197" s="357">
        <f t="shared" si="54"/>
        <v>-7.6029980593273136E-2</v>
      </c>
      <c r="V197" s="357">
        <f t="shared" si="54"/>
        <v>-7.2290801219833487E-2</v>
      </c>
      <c r="W197" s="357">
        <f t="shared" si="54"/>
        <v>-7.2290801219833487E-2</v>
      </c>
      <c r="X197" s="357">
        <f t="shared" si="54"/>
        <v>-7.1044408095353589E-2</v>
      </c>
      <c r="Y197" s="357">
        <f t="shared" si="54"/>
        <v>-7.1044408095353589E-2</v>
      </c>
      <c r="Z197" s="352"/>
      <c r="AA197" s="352"/>
    </row>
    <row r="198" spans="3:27" x14ac:dyDescent="0.25">
      <c r="D198" s="96"/>
      <c r="E198" s="96"/>
      <c r="F198" s="416" t="s">
        <v>47</v>
      </c>
      <c r="G198" s="295" t="s">
        <v>183</v>
      </c>
      <c r="H198" s="352"/>
      <c r="I198" s="352"/>
      <c r="J198" s="357">
        <f t="shared" ref="J198:Y198" si="55">hundred * $H35 * J60 / $H48 * J98 / hours_in_year</f>
        <v>3.586091371228798E-2</v>
      </c>
      <c r="K198" s="357">
        <f t="shared" si="55"/>
        <v>3.586091371228798E-2</v>
      </c>
      <c r="L198" s="357">
        <f t="shared" si="55"/>
        <v>4.1652632770203112E-2</v>
      </c>
      <c r="M198" s="357">
        <f t="shared" si="55"/>
        <v>4.1652632770203112E-2</v>
      </c>
      <c r="N198" s="357">
        <f t="shared" si="55"/>
        <v>3.2198622320216939E-2</v>
      </c>
      <c r="O198" s="357">
        <f t="shared" si="55"/>
        <v>2.6188377018339912E-2</v>
      </c>
      <c r="P198" s="357">
        <f t="shared" si="55"/>
        <v>2.6123185772191582E-2</v>
      </c>
      <c r="Q198" s="357">
        <f t="shared" si="55"/>
        <v>2.7341682724234446E-2</v>
      </c>
      <c r="R198" s="357">
        <f t="shared" si="55"/>
        <v>-2.5644311332820316E-2</v>
      </c>
      <c r="S198" s="357">
        <f t="shared" si="55"/>
        <v>-2.4383115693501281E-2</v>
      </c>
      <c r="T198" s="357">
        <f t="shared" si="55"/>
        <v>-2.5644311332820316E-2</v>
      </c>
      <c r="U198" s="357">
        <f t="shared" si="55"/>
        <v>-2.5644311332820316E-2</v>
      </c>
      <c r="V198" s="357">
        <f t="shared" si="55"/>
        <v>-2.4383115693501281E-2</v>
      </c>
      <c r="W198" s="357">
        <f t="shared" si="55"/>
        <v>-2.4383115693501281E-2</v>
      </c>
      <c r="X198" s="357">
        <f t="shared" si="55"/>
        <v>-2.3962717147061607E-2</v>
      </c>
      <c r="Y198" s="357">
        <f t="shared" si="55"/>
        <v>-2.3962717147061607E-2</v>
      </c>
      <c r="Z198" s="352"/>
      <c r="AA198" s="352"/>
    </row>
    <row r="199" spans="3:27" x14ac:dyDescent="0.25">
      <c r="D199" s="96"/>
      <c r="E199" s="96"/>
      <c r="F199" s="416" t="s">
        <v>51</v>
      </c>
      <c r="G199" s="295" t="s">
        <v>183</v>
      </c>
      <c r="H199" s="352"/>
      <c r="I199" s="352"/>
      <c r="J199" s="357">
        <f t="shared" ref="J199:Y199" si="56">hundred * $H36 * J61 / $H49 * J99 / hours_in_year</f>
        <v>0</v>
      </c>
      <c r="K199" s="357">
        <f t="shared" si="56"/>
        <v>0</v>
      </c>
      <c r="L199" s="357">
        <f t="shared" si="56"/>
        <v>0</v>
      </c>
      <c r="M199" s="357">
        <f t="shared" si="56"/>
        <v>0</v>
      </c>
      <c r="N199" s="357">
        <f t="shared" si="56"/>
        <v>0</v>
      </c>
      <c r="O199" s="357">
        <f t="shared" si="56"/>
        <v>0</v>
      </c>
      <c r="P199" s="357">
        <f t="shared" si="56"/>
        <v>0</v>
      </c>
      <c r="Q199" s="357">
        <f t="shared" si="56"/>
        <v>0</v>
      </c>
      <c r="R199" s="357">
        <f t="shared" si="56"/>
        <v>0</v>
      </c>
      <c r="S199" s="357">
        <f t="shared" si="56"/>
        <v>0</v>
      </c>
      <c r="T199" s="357">
        <f t="shared" si="56"/>
        <v>0</v>
      </c>
      <c r="U199" s="357">
        <f t="shared" si="56"/>
        <v>0</v>
      </c>
      <c r="V199" s="357">
        <f t="shared" si="56"/>
        <v>0</v>
      </c>
      <c r="W199" s="357">
        <f t="shared" si="56"/>
        <v>0</v>
      </c>
      <c r="X199" s="357">
        <f t="shared" si="56"/>
        <v>0</v>
      </c>
      <c r="Y199" s="357">
        <f t="shared" si="56"/>
        <v>0</v>
      </c>
      <c r="Z199" s="352"/>
      <c r="AA199" s="352"/>
    </row>
    <row r="200" spans="3:27" x14ac:dyDescent="0.25">
      <c r="D200" s="96"/>
      <c r="E200" s="96"/>
      <c r="F200" s="416" t="s">
        <v>48</v>
      </c>
      <c r="G200" s="295" t="s">
        <v>183</v>
      </c>
      <c r="H200" s="352"/>
      <c r="I200" s="352"/>
      <c r="J200" s="357">
        <f t="shared" ref="J200:Y200" si="57">hundred * $H37 * J62 / $H50 * J100 / hours_in_year</f>
        <v>0.15427465541852464</v>
      </c>
      <c r="K200" s="357">
        <f t="shared" si="57"/>
        <v>0.15427465541852464</v>
      </c>
      <c r="L200" s="357">
        <f t="shared" si="57"/>
        <v>0.1791907930582243</v>
      </c>
      <c r="M200" s="357">
        <f t="shared" si="57"/>
        <v>0.1791907930582243</v>
      </c>
      <c r="N200" s="357">
        <f t="shared" si="57"/>
        <v>0.13851937525229766</v>
      </c>
      <c r="O200" s="357">
        <f t="shared" si="57"/>
        <v>0.1126631315891541</v>
      </c>
      <c r="P200" s="357">
        <f t="shared" si="57"/>
        <v>0.1123826770219189</v>
      </c>
      <c r="Q200" s="357">
        <f t="shared" si="57"/>
        <v>0.11762468504528174</v>
      </c>
      <c r="R200" s="357">
        <f t="shared" si="57"/>
        <v>-0.11032254576827975</v>
      </c>
      <c r="S200" s="357">
        <f t="shared" si="57"/>
        <v>-0.10489684679606927</v>
      </c>
      <c r="T200" s="357">
        <f t="shared" si="57"/>
        <v>-0.11032254576827975</v>
      </c>
      <c r="U200" s="357">
        <f t="shared" si="57"/>
        <v>-0.11032254576827975</v>
      </c>
      <c r="V200" s="357">
        <f t="shared" si="57"/>
        <v>-0.10489684679606927</v>
      </c>
      <c r="W200" s="357">
        <f t="shared" si="57"/>
        <v>-0.10489684679606927</v>
      </c>
      <c r="X200" s="357">
        <f t="shared" si="57"/>
        <v>0</v>
      </c>
      <c r="Y200" s="357">
        <f t="shared" si="57"/>
        <v>0</v>
      </c>
      <c r="Z200" s="352"/>
      <c r="AA200" s="352"/>
    </row>
    <row r="201" spans="3:27" x14ac:dyDescent="0.25">
      <c r="D201" s="96"/>
      <c r="E201" s="96"/>
      <c r="F201" s="416" t="s">
        <v>49</v>
      </c>
      <c r="G201" s="295" t="s">
        <v>183</v>
      </c>
      <c r="H201" s="352"/>
      <c r="I201" s="352"/>
      <c r="J201" s="357">
        <f t="shared" ref="J201:Y201" si="58">hundred * $H38 * J63 / $H51 * J101 / hours_in_year</f>
        <v>3.8773589259178273E-2</v>
      </c>
      <c r="K201" s="357">
        <f t="shared" si="58"/>
        <v>3.8773589259178273E-2</v>
      </c>
      <c r="L201" s="357">
        <f t="shared" si="58"/>
        <v>4.5035720159072423E-2</v>
      </c>
      <c r="M201" s="357">
        <f t="shared" si="58"/>
        <v>4.5035720159072423E-2</v>
      </c>
      <c r="N201" s="357">
        <f t="shared" si="58"/>
        <v>3.4813841235944575E-2</v>
      </c>
      <c r="O201" s="357">
        <f t="shared" si="58"/>
        <v>2.8315435072856953E-2</v>
      </c>
      <c r="P201" s="357">
        <f t="shared" si="58"/>
        <v>0</v>
      </c>
      <c r="Q201" s="357">
        <f t="shared" si="58"/>
        <v>2.9562413944878786E-2</v>
      </c>
      <c r="R201" s="357">
        <f t="shared" si="58"/>
        <v>-2.7727179581387928E-2</v>
      </c>
      <c r="S201" s="357">
        <f t="shared" si="58"/>
        <v>0</v>
      </c>
      <c r="T201" s="357">
        <f t="shared" si="58"/>
        <v>-2.7727179581387928E-2</v>
      </c>
      <c r="U201" s="357">
        <f t="shared" si="58"/>
        <v>-2.7727179581387928E-2</v>
      </c>
      <c r="V201" s="357">
        <f t="shared" si="58"/>
        <v>0</v>
      </c>
      <c r="W201" s="357">
        <f t="shared" si="58"/>
        <v>0</v>
      </c>
      <c r="X201" s="357">
        <f t="shared" si="58"/>
        <v>0</v>
      </c>
      <c r="Y201" s="357">
        <f t="shared" si="58"/>
        <v>0</v>
      </c>
      <c r="Z201" s="352"/>
      <c r="AA201" s="352"/>
    </row>
    <row r="202" spans="3:27" x14ac:dyDescent="0.25">
      <c r="D202" s="96"/>
      <c r="E202" s="96"/>
      <c r="F202" s="418" t="s">
        <v>50</v>
      </c>
      <c r="G202" s="93" t="s">
        <v>183</v>
      </c>
      <c r="H202" s="354"/>
      <c r="I202" s="354"/>
      <c r="J202" s="358">
        <f t="shared" ref="J202:Y202" si="59">hundred * $H39 * J64 / $H52 * J102 / hours_in_year</f>
        <v>6.5218402997648611E-2</v>
      </c>
      <c r="K202" s="358">
        <f t="shared" si="59"/>
        <v>6.5218402997648611E-2</v>
      </c>
      <c r="L202" s="358">
        <f t="shared" si="59"/>
        <v>7.575150515446398E-2</v>
      </c>
      <c r="M202" s="358">
        <f t="shared" si="59"/>
        <v>7.575150515446398E-2</v>
      </c>
      <c r="N202" s="358">
        <f t="shared" si="59"/>
        <v>5.8557981631389179E-2</v>
      </c>
      <c r="O202" s="358">
        <f t="shared" si="59"/>
        <v>0</v>
      </c>
      <c r="P202" s="358">
        <f t="shared" si="59"/>
        <v>0</v>
      </c>
      <c r="Q202" s="358">
        <f t="shared" si="59"/>
        <v>4.9724914898973988E-2</v>
      </c>
      <c r="R202" s="358">
        <f t="shared" si="59"/>
        <v>0</v>
      </c>
      <c r="S202" s="358">
        <f t="shared" si="59"/>
        <v>0</v>
      </c>
      <c r="T202" s="358">
        <f t="shared" si="59"/>
        <v>0</v>
      </c>
      <c r="U202" s="358">
        <f t="shared" si="59"/>
        <v>0</v>
      </c>
      <c r="V202" s="358">
        <f t="shared" si="59"/>
        <v>0</v>
      </c>
      <c r="W202" s="358">
        <f t="shared" si="59"/>
        <v>0</v>
      </c>
      <c r="X202" s="358">
        <f t="shared" si="59"/>
        <v>0</v>
      </c>
      <c r="Y202" s="358">
        <f t="shared" si="59"/>
        <v>0</v>
      </c>
      <c r="Z202" s="352"/>
      <c r="AA202" s="352"/>
    </row>
    <row r="203" spans="3:27" x14ac:dyDescent="0.25">
      <c r="C203" s="96"/>
      <c r="D203" s="96"/>
      <c r="E203" s="96"/>
      <c r="J203" s="238"/>
      <c r="K203" s="238"/>
      <c r="L203" s="238"/>
      <c r="M203" s="238"/>
      <c r="N203" s="238"/>
      <c r="O203" s="238"/>
      <c r="P203" s="238"/>
      <c r="Q203" s="238"/>
      <c r="R203" s="238"/>
      <c r="S203" s="238"/>
      <c r="T203" s="238"/>
      <c r="U203" s="238"/>
      <c r="V203" s="238"/>
      <c r="W203" s="238"/>
      <c r="X203" s="238"/>
      <c r="Y203" s="238"/>
    </row>
    <row r="204" spans="3:27" x14ac:dyDescent="0.25">
      <c r="C204" s="7" t="str">
        <f ca="1">INDEX('Version control'!$H$34:$H$58,MATCH($A$1,'Version control'!$F$34:$F$58,0),1)&amp;"-E: Unit rate 3"</f>
        <v>Section 512-E: Unit rate 3</v>
      </c>
      <c r="D204" s="7"/>
      <c r="E204" s="7"/>
      <c r="F204" s="7"/>
      <c r="G204" s="7"/>
      <c r="H204" s="7"/>
      <c r="I204" s="7"/>
      <c r="J204" s="242"/>
      <c r="K204" s="242"/>
      <c r="L204" s="242"/>
      <c r="M204" s="242"/>
      <c r="N204" s="242"/>
      <c r="O204" s="242"/>
      <c r="P204" s="242"/>
      <c r="Q204" s="242"/>
      <c r="R204" s="242"/>
      <c r="S204" s="242"/>
      <c r="T204" s="242"/>
      <c r="U204" s="242"/>
      <c r="V204" s="242"/>
      <c r="W204" s="242"/>
      <c r="X204" s="242"/>
      <c r="Y204" s="242"/>
      <c r="Z204" s="7"/>
      <c r="AA204" s="7"/>
    </row>
    <row r="205" spans="3:27" x14ac:dyDescent="0.25">
      <c r="C205" s="96"/>
      <c r="D205" s="96"/>
      <c r="E205" s="96"/>
      <c r="J205" s="238"/>
      <c r="K205" s="238"/>
      <c r="L205" s="238"/>
      <c r="M205" s="238"/>
      <c r="N205" s="238"/>
      <c r="O205" s="238"/>
      <c r="P205" s="238"/>
      <c r="Q205" s="238"/>
      <c r="R205" s="238"/>
      <c r="S205" s="238"/>
      <c r="T205" s="238"/>
      <c r="U205" s="238"/>
      <c r="V205" s="238"/>
      <c r="W205" s="238"/>
      <c r="X205" s="238"/>
      <c r="Y205" s="238"/>
    </row>
    <row r="206" spans="3:27" x14ac:dyDescent="0.25">
      <c r="C206" s="82" t="s">
        <v>836</v>
      </c>
      <c r="D206" s="96"/>
      <c r="E206" s="96"/>
      <c r="I206" s="88" t="s">
        <v>431</v>
      </c>
      <c r="J206" s="238"/>
      <c r="K206" s="238"/>
      <c r="L206" s="238"/>
      <c r="M206" s="238"/>
      <c r="N206" s="238"/>
      <c r="O206" s="238"/>
      <c r="P206" s="238"/>
      <c r="Q206" s="238"/>
      <c r="R206" s="238"/>
      <c r="S206" s="238"/>
      <c r="T206" s="238"/>
      <c r="U206" s="238"/>
      <c r="V206" s="238"/>
      <c r="W206" s="238"/>
      <c r="X206" s="238"/>
      <c r="Y206" s="238"/>
      <c r="AA206" s="295" t="s">
        <v>834</v>
      </c>
    </row>
    <row r="207" spans="3:27" x14ac:dyDescent="0.25">
      <c r="C207" s="82" t="s">
        <v>911</v>
      </c>
      <c r="D207" s="96"/>
      <c r="E207" s="96"/>
      <c r="J207" s="238"/>
      <c r="K207" s="238"/>
      <c r="L207" s="238"/>
      <c r="M207" s="238"/>
      <c r="N207" s="238"/>
      <c r="O207" s="238"/>
      <c r="P207" s="238"/>
      <c r="Q207" s="238"/>
      <c r="R207" s="238"/>
      <c r="S207" s="238"/>
      <c r="T207" s="238"/>
      <c r="U207" s="238"/>
      <c r="V207" s="238"/>
      <c r="W207" s="238"/>
      <c r="X207" s="238"/>
      <c r="Y207" s="238"/>
    </row>
    <row r="208" spans="3:27" x14ac:dyDescent="0.25">
      <c r="C208" s="96"/>
      <c r="D208" s="96"/>
      <c r="E208" s="96"/>
    </row>
    <row r="209" spans="3:27" x14ac:dyDescent="0.25">
      <c r="E209" s="96" t="s">
        <v>139</v>
      </c>
      <c r="J209" s="238"/>
      <c r="K209" s="238"/>
      <c r="L209" s="238"/>
      <c r="M209" s="238"/>
      <c r="N209" s="238"/>
      <c r="O209" s="238"/>
      <c r="P209" s="238"/>
      <c r="Q209" s="238"/>
      <c r="R209" s="238"/>
      <c r="S209" s="238"/>
      <c r="T209" s="238"/>
      <c r="U209" s="238"/>
      <c r="V209" s="238"/>
      <c r="W209" s="238"/>
      <c r="X209" s="238"/>
      <c r="Y209" s="238"/>
    </row>
    <row r="210" spans="3:27" x14ac:dyDescent="0.25">
      <c r="E210" s="96"/>
      <c r="F210" s="415" t="s">
        <v>324</v>
      </c>
      <c r="G210" s="91" t="s">
        <v>183</v>
      </c>
      <c r="H210" s="350"/>
      <c r="I210" s="350"/>
      <c r="J210" s="356">
        <f t="shared" ref="J210:Y210" si="60">hundred * $H18 * J55 / $H43 * J105 * (1 - J67) / hours_in_year</f>
        <v>0</v>
      </c>
      <c r="K210" s="356">
        <f t="shared" si="60"/>
        <v>0</v>
      </c>
      <c r="L210" s="356">
        <f t="shared" si="60"/>
        <v>0</v>
      </c>
      <c r="M210" s="356">
        <f t="shared" si="60"/>
        <v>0</v>
      </c>
      <c r="N210" s="356">
        <f t="shared" si="60"/>
        <v>0</v>
      </c>
      <c r="O210" s="356">
        <f t="shared" si="60"/>
        <v>0</v>
      </c>
      <c r="P210" s="356">
        <f t="shared" si="60"/>
        <v>0</v>
      </c>
      <c r="Q210" s="356">
        <f t="shared" si="60"/>
        <v>0</v>
      </c>
      <c r="R210" s="356">
        <f t="shared" si="60"/>
        <v>0</v>
      </c>
      <c r="S210" s="356">
        <f t="shared" si="60"/>
        <v>0</v>
      </c>
      <c r="T210" s="356">
        <f t="shared" si="60"/>
        <v>0</v>
      </c>
      <c r="U210" s="356">
        <f t="shared" si="60"/>
        <v>0</v>
      </c>
      <c r="V210" s="356">
        <f t="shared" si="60"/>
        <v>0</v>
      </c>
      <c r="W210" s="356">
        <f t="shared" si="60"/>
        <v>0</v>
      </c>
      <c r="X210" s="356">
        <f t="shared" si="60"/>
        <v>0</v>
      </c>
      <c r="Y210" s="356">
        <f t="shared" si="60"/>
        <v>0</v>
      </c>
      <c r="Z210" s="352"/>
      <c r="AA210" s="352"/>
    </row>
    <row r="211" spans="3:27" x14ac:dyDescent="0.25">
      <c r="E211" s="96"/>
      <c r="F211" s="416" t="s">
        <v>43</v>
      </c>
      <c r="G211" s="295" t="s">
        <v>183</v>
      </c>
      <c r="H211" s="352"/>
      <c r="I211" s="352"/>
      <c r="J211" s="357">
        <f t="shared" ref="J211:Y211" si="61">hundred * $H19 * J56 / $H44 * J106 * (1 - J68) / hours_in_year</f>
        <v>0</v>
      </c>
      <c r="K211" s="357">
        <f t="shared" si="61"/>
        <v>0</v>
      </c>
      <c r="L211" s="357">
        <f t="shared" si="61"/>
        <v>0</v>
      </c>
      <c r="M211" s="357">
        <f t="shared" si="61"/>
        <v>0</v>
      </c>
      <c r="N211" s="357">
        <f t="shared" si="61"/>
        <v>0</v>
      </c>
      <c r="O211" s="357">
        <f t="shared" si="61"/>
        <v>0</v>
      </c>
      <c r="P211" s="357">
        <f t="shared" si="61"/>
        <v>0</v>
      </c>
      <c r="Q211" s="357">
        <f t="shared" si="61"/>
        <v>0</v>
      </c>
      <c r="R211" s="357">
        <f t="shared" si="61"/>
        <v>0</v>
      </c>
      <c r="S211" s="357">
        <f t="shared" si="61"/>
        <v>0</v>
      </c>
      <c r="T211" s="357">
        <f t="shared" si="61"/>
        <v>0</v>
      </c>
      <c r="U211" s="357">
        <f t="shared" si="61"/>
        <v>0</v>
      </c>
      <c r="V211" s="357">
        <f t="shared" si="61"/>
        <v>0</v>
      </c>
      <c r="W211" s="357">
        <f t="shared" si="61"/>
        <v>0</v>
      </c>
      <c r="X211" s="357">
        <f t="shared" si="61"/>
        <v>0</v>
      </c>
      <c r="Y211" s="357">
        <f t="shared" si="61"/>
        <v>0</v>
      </c>
      <c r="Z211" s="352"/>
      <c r="AA211" s="352"/>
    </row>
    <row r="212" spans="3:27" x14ac:dyDescent="0.25">
      <c r="E212" s="96"/>
      <c r="F212" s="416" t="s">
        <v>44</v>
      </c>
      <c r="G212" s="295" t="s">
        <v>183</v>
      </c>
      <c r="H212" s="352"/>
      <c r="I212" s="352"/>
      <c r="J212" s="357">
        <f t="shared" ref="J212:Y212" si="62">hundred * $H20 * J57 / $H45 * J107 * (1 - J69) / hours_in_year</f>
        <v>0</v>
      </c>
      <c r="K212" s="357">
        <f t="shared" si="62"/>
        <v>0</v>
      </c>
      <c r="L212" s="357">
        <f t="shared" si="62"/>
        <v>0</v>
      </c>
      <c r="M212" s="357">
        <f t="shared" si="62"/>
        <v>0</v>
      </c>
      <c r="N212" s="357">
        <f t="shared" si="62"/>
        <v>0</v>
      </c>
      <c r="O212" s="357">
        <f t="shared" si="62"/>
        <v>0</v>
      </c>
      <c r="P212" s="357">
        <f t="shared" si="62"/>
        <v>0</v>
      </c>
      <c r="Q212" s="357">
        <f t="shared" si="62"/>
        <v>0</v>
      </c>
      <c r="R212" s="357">
        <f t="shared" si="62"/>
        <v>0</v>
      </c>
      <c r="S212" s="357">
        <f t="shared" si="62"/>
        <v>0</v>
      </c>
      <c r="T212" s="357">
        <f t="shared" si="62"/>
        <v>0</v>
      </c>
      <c r="U212" s="357">
        <f t="shared" si="62"/>
        <v>0</v>
      </c>
      <c r="V212" s="357">
        <f t="shared" si="62"/>
        <v>0</v>
      </c>
      <c r="W212" s="357">
        <f t="shared" si="62"/>
        <v>0</v>
      </c>
      <c r="X212" s="357">
        <f t="shared" si="62"/>
        <v>0</v>
      </c>
      <c r="Y212" s="357">
        <f t="shared" si="62"/>
        <v>0</v>
      </c>
      <c r="Z212" s="352"/>
      <c r="AA212" s="352"/>
    </row>
    <row r="213" spans="3:27" x14ac:dyDescent="0.25">
      <c r="E213" s="96"/>
      <c r="F213" s="416" t="s">
        <v>45</v>
      </c>
      <c r="G213" s="295" t="s">
        <v>183</v>
      </c>
      <c r="H213" s="352"/>
      <c r="I213" s="352"/>
      <c r="J213" s="357">
        <f t="shared" ref="J213:Y213" si="63">hundred * $H21 * J58 / $H46 * J108 * (1 - J70) / hours_in_year</f>
        <v>0</v>
      </c>
      <c r="K213" s="357">
        <f t="shared" si="63"/>
        <v>0</v>
      </c>
      <c r="L213" s="357">
        <f t="shared" si="63"/>
        <v>0</v>
      </c>
      <c r="M213" s="357">
        <f t="shared" si="63"/>
        <v>0</v>
      </c>
      <c r="N213" s="357">
        <f t="shared" si="63"/>
        <v>0</v>
      </c>
      <c r="O213" s="357">
        <f t="shared" si="63"/>
        <v>0</v>
      </c>
      <c r="P213" s="357">
        <f t="shared" si="63"/>
        <v>0</v>
      </c>
      <c r="Q213" s="357">
        <f t="shared" si="63"/>
        <v>0</v>
      </c>
      <c r="R213" s="357">
        <f t="shared" si="63"/>
        <v>0</v>
      </c>
      <c r="S213" s="357">
        <f t="shared" si="63"/>
        <v>0</v>
      </c>
      <c r="T213" s="357">
        <f t="shared" si="63"/>
        <v>0</v>
      </c>
      <c r="U213" s="357">
        <f t="shared" si="63"/>
        <v>0</v>
      </c>
      <c r="V213" s="357">
        <f t="shared" si="63"/>
        <v>0</v>
      </c>
      <c r="W213" s="357">
        <f t="shared" si="63"/>
        <v>0</v>
      </c>
      <c r="X213" s="357">
        <f t="shared" si="63"/>
        <v>0</v>
      </c>
      <c r="Y213" s="357">
        <f t="shared" si="63"/>
        <v>0</v>
      </c>
      <c r="Z213" s="352"/>
      <c r="AA213" s="352"/>
    </row>
    <row r="214" spans="3:27" x14ac:dyDescent="0.25">
      <c r="E214" s="96"/>
      <c r="F214" s="416" t="s">
        <v>46</v>
      </c>
      <c r="G214" s="295" t="s">
        <v>183</v>
      </c>
      <c r="H214" s="352"/>
      <c r="I214" s="352"/>
      <c r="J214" s="357">
        <f t="shared" ref="J214:Y214" si="64">hundred * $H22 * J59 / $H47 * J109 * (1 - J71) / hours_in_year</f>
        <v>2.3063648481960884E-3</v>
      </c>
      <c r="K214" s="357">
        <f t="shared" si="64"/>
        <v>2.3063648481960884E-3</v>
      </c>
      <c r="L214" s="357">
        <f t="shared" si="64"/>
        <v>2.6788544437756252E-3</v>
      </c>
      <c r="M214" s="357">
        <f t="shared" si="64"/>
        <v>2.6788544437756252E-3</v>
      </c>
      <c r="N214" s="357">
        <f t="shared" si="64"/>
        <v>2.0708276223939054E-3</v>
      </c>
      <c r="O214" s="357">
        <f t="shared" si="64"/>
        <v>1.684283693131584E-3</v>
      </c>
      <c r="P214" s="357">
        <f t="shared" si="64"/>
        <v>1.6278393392289501E-3</v>
      </c>
      <c r="Q214" s="357">
        <f t="shared" si="64"/>
        <v>1.8127412956928774E-3</v>
      </c>
      <c r="R214" s="357">
        <f t="shared" si="64"/>
        <v>-1.6492925609407124E-3</v>
      </c>
      <c r="S214" s="357">
        <f t="shared" si="64"/>
        <v>-1.5681798120419888E-3</v>
      </c>
      <c r="T214" s="357">
        <f t="shared" si="64"/>
        <v>-1.6492925609407124E-3</v>
      </c>
      <c r="U214" s="357">
        <f t="shared" si="64"/>
        <v>-1.6492925609407124E-3</v>
      </c>
      <c r="V214" s="357">
        <f t="shared" si="64"/>
        <v>-1.5681798120419888E-3</v>
      </c>
      <c r="W214" s="357">
        <f t="shared" si="64"/>
        <v>-1.5681798120419888E-3</v>
      </c>
      <c r="X214" s="357">
        <f t="shared" si="64"/>
        <v>-1.4932119683628653E-3</v>
      </c>
      <c r="Y214" s="357">
        <f t="shared" si="64"/>
        <v>-1.4932119683628653E-3</v>
      </c>
      <c r="Z214" s="352"/>
      <c r="AA214" s="352"/>
    </row>
    <row r="215" spans="3:27" x14ac:dyDescent="0.25">
      <c r="E215" s="96"/>
      <c r="F215" s="416" t="s">
        <v>47</v>
      </c>
      <c r="G215" s="295" t="s">
        <v>183</v>
      </c>
      <c r="H215" s="352"/>
      <c r="I215" s="352"/>
      <c r="J215" s="357">
        <f t="shared" ref="J215:Y215" si="65">hundred * $H23 * J60 / $H48 * J110 * (1 - J72) / hours_in_year</f>
        <v>1.6495075700587941E-3</v>
      </c>
      <c r="K215" s="357">
        <f t="shared" si="65"/>
        <v>1.6495075700587941E-3</v>
      </c>
      <c r="L215" s="357">
        <f t="shared" si="65"/>
        <v>1.9159113908407291E-3</v>
      </c>
      <c r="M215" s="357">
        <f t="shared" si="65"/>
        <v>1.9159113908407291E-3</v>
      </c>
      <c r="N215" s="357">
        <f t="shared" si="65"/>
        <v>1.4810518128115279E-3</v>
      </c>
      <c r="O215" s="357">
        <f t="shared" si="65"/>
        <v>1.2045963604241177E-3</v>
      </c>
      <c r="P215" s="357">
        <f t="shared" si="65"/>
        <v>1.0308235481418159E-3</v>
      </c>
      <c r="Q215" s="357">
        <f t="shared" si="65"/>
        <v>1.2964689832756962E-3</v>
      </c>
      <c r="R215" s="357">
        <f t="shared" si="65"/>
        <v>-1.1795707720056528E-3</v>
      </c>
      <c r="S215" s="357">
        <f t="shared" si="65"/>
        <v>-1.1215590946938995E-3</v>
      </c>
      <c r="T215" s="357">
        <f t="shared" si="65"/>
        <v>-1.1795707720056528E-3</v>
      </c>
      <c r="U215" s="357">
        <f t="shared" si="65"/>
        <v>-1.1795707720056528E-3</v>
      </c>
      <c r="V215" s="357">
        <f t="shared" si="65"/>
        <v>-1.1215590946938995E-3</v>
      </c>
      <c r="W215" s="357">
        <f t="shared" si="65"/>
        <v>-1.1215590946938995E-3</v>
      </c>
      <c r="X215" s="357">
        <f t="shared" si="65"/>
        <v>-9.4557123805885939E-4</v>
      </c>
      <c r="Y215" s="357">
        <f t="shared" si="65"/>
        <v>-9.4557123805885939E-4</v>
      </c>
      <c r="Z215" s="352"/>
      <c r="AA215" s="352"/>
    </row>
    <row r="216" spans="3:27" x14ac:dyDescent="0.25">
      <c r="E216" s="96"/>
      <c r="F216" s="416" t="s">
        <v>51</v>
      </c>
      <c r="G216" s="295" t="s">
        <v>183</v>
      </c>
      <c r="H216" s="352"/>
      <c r="I216" s="352"/>
      <c r="J216" s="357">
        <f t="shared" ref="J216:Y216" si="66">hundred * $H24 * J61 / $H49 * J111 * (1 - J73) / hours_in_year</f>
        <v>0</v>
      </c>
      <c r="K216" s="357">
        <f t="shared" si="66"/>
        <v>0</v>
      </c>
      <c r="L216" s="357">
        <f t="shared" si="66"/>
        <v>0</v>
      </c>
      <c r="M216" s="357">
        <f t="shared" si="66"/>
        <v>0</v>
      </c>
      <c r="N216" s="357">
        <f t="shared" si="66"/>
        <v>0</v>
      </c>
      <c r="O216" s="357">
        <f t="shared" si="66"/>
        <v>0</v>
      </c>
      <c r="P216" s="357">
        <f t="shared" si="66"/>
        <v>0</v>
      </c>
      <c r="Q216" s="357">
        <f t="shared" si="66"/>
        <v>0</v>
      </c>
      <c r="R216" s="357">
        <f t="shared" si="66"/>
        <v>0</v>
      </c>
      <c r="S216" s="357">
        <f t="shared" si="66"/>
        <v>0</v>
      </c>
      <c r="T216" s="357">
        <f t="shared" si="66"/>
        <v>0</v>
      </c>
      <c r="U216" s="357">
        <f t="shared" si="66"/>
        <v>0</v>
      </c>
      <c r="V216" s="357">
        <f t="shared" si="66"/>
        <v>0</v>
      </c>
      <c r="W216" s="357">
        <f t="shared" si="66"/>
        <v>0</v>
      </c>
      <c r="X216" s="357">
        <f t="shared" si="66"/>
        <v>0</v>
      </c>
      <c r="Y216" s="357">
        <f t="shared" si="66"/>
        <v>0</v>
      </c>
      <c r="Z216" s="352"/>
      <c r="AA216" s="352"/>
    </row>
    <row r="217" spans="3:27" x14ac:dyDescent="0.25">
      <c r="E217" s="96"/>
      <c r="F217" s="416" t="s">
        <v>48</v>
      </c>
      <c r="G217" s="295" t="s">
        <v>183</v>
      </c>
      <c r="H217" s="352"/>
      <c r="I217" s="352"/>
      <c r="J217" s="357">
        <f t="shared" ref="J217:Y217" si="67">hundred * $H25 * J62 / $H50 * J112 * (1 - J74) / hours_in_year</f>
        <v>5.6723556339629807E-3</v>
      </c>
      <c r="K217" s="357">
        <f t="shared" si="67"/>
        <v>5.6723556339629807E-3</v>
      </c>
      <c r="L217" s="357">
        <f t="shared" si="67"/>
        <v>6.5884697768449135E-3</v>
      </c>
      <c r="M217" s="357">
        <f t="shared" si="67"/>
        <v>6.5884697768449135E-3</v>
      </c>
      <c r="N217" s="357">
        <f t="shared" si="67"/>
        <v>5.093067014110832E-3</v>
      </c>
      <c r="O217" s="357">
        <f t="shared" si="67"/>
        <v>4.142387143733748E-3</v>
      </c>
      <c r="P217" s="357">
        <f t="shared" si="67"/>
        <v>2.8355357920827429E-3</v>
      </c>
      <c r="Q217" s="357">
        <f t="shared" si="67"/>
        <v>4.4583203345226413E-3</v>
      </c>
      <c r="R217" s="357">
        <f t="shared" si="67"/>
        <v>-4.0563287102743269E-3</v>
      </c>
      <c r="S217" s="357">
        <f t="shared" si="67"/>
        <v>-3.8568371343591953E-3</v>
      </c>
      <c r="T217" s="357">
        <f t="shared" si="67"/>
        <v>-4.0563287102743269E-3</v>
      </c>
      <c r="U217" s="357">
        <f t="shared" si="67"/>
        <v>-4.0563287102743269E-3</v>
      </c>
      <c r="V217" s="357">
        <f t="shared" si="67"/>
        <v>-3.8568371343591953E-3</v>
      </c>
      <c r="W217" s="357">
        <f t="shared" si="67"/>
        <v>-3.8568371343591953E-3</v>
      </c>
      <c r="X217" s="357">
        <f t="shared" si="67"/>
        <v>0</v>
      </c>
      <c r="Y217" s="357">
        <f t="shared" si="67"/>
        <v>0</v>
      </c>
      <c r="Z217" s="352"/>
      <c r="AA217" s="352"/>
    </row>
    <row r="218" spans="3:27" x14ac:dyDescent="0.25">
      <c r="E218" s="96"/>
      <c r="F218" s="416" t="s">
        <v>49</v>
      </c>
      <c r="G218" s="295" t="s">
        <v>183</v>
      </c>
      <c r="H218" s="352"/>
      <c r="I218" s="352"/>
      <c r="J218" s="357">
        <f t="shared" ref="J218:Y218" si="68">hundred * $H26 * J63 / $H51 * J113 * (1 - J75) / hours_in_year</f>
        <v>1.3025042971959073E-3</v>
      </c>
      <c r="K218" s="357">
        <f t="shared" si="68"/>
        <v>1.3025042971959073E-3</v>
      </c>
      <c r="L218" s="357">
        <f t="shared" si="68"/>
        <v>1.5128653332143784E-3</v>
      </c>
      <c r="M218" s="357">
        <f t="shared" si="68"/>
        <v>1.5128653332143784E-3</v>
      </c>
      <c r="N218" s="357">
        <f t="shared" si="68"/>
        <v>1.1694862064125261E-3</v>
      </c>
      <c r="O218" s="357">
        <f t="shared" si="68"/>
        <v>9.5118807838089449E-4</v>
      </c>
      <c r="P218" s="357">
        <f t="shared" si="68"/>
        <v>0</v>
      </c>
      <c r="Q218" s="357">
        <f t="shared" si="68"/>
        <v>1.0237336600023082E-3</v>
      </c>
      <c r="R218" s="357">
        <f t="shared" si="68"/>
        <v>-9.3142706785473818E-4</v>
      </c>
      <c r="S218" s="357">
        <f t="shared" si="68"/>
        <v>0</v>
      </c>
      <c r="T218" s="357">
        <f t="shared" si="68"/>
        <v>-9.3142706785473818E-4</v>
      </c>
      <c r="U218" s="357">
        <f t="shared" si="68"/>
        <v>-9.3142706785473818E-4</v>
      </c>
      <c r="V218" s="357">
        <f t="shared" si="68"/>
        <v>0</v>
      </c>
      <c r="W218" s="357">
        <f t="shared" si="68"/>
        <v>0</v>
      </c>
      <c r="X218" s="357">
        <f t="shared" si="68"/>
        <v>0</v>
      </c>
      <c r="Y218" s="357">
        <f t="shared" si="68"/>
        <v>0</v>
      </c>
      <c r="Z218" s="352"/>
      <c r="AA218" s="352"/>
    </row>
    <row r="219" spans="3:27" x14ac:dyDescent="0.25">
      <c r="E219" s="96"/>
      <c r="F219" s="418" t="s">
        <v>50</v>
      </c>
      <c r="G219" s="93" t="s">
        <v>183</v>
      </c>
      <c r="H219" s="354"/>
      <c r="I219" s="354"/>
      <c r="J219" s="358">
        <f t="shared" ref="J219:Y219" si="69">hundred * $H27 * J64 / $H52 * J114 * (1 - J76) / hours_in_year</f>
        <v>2.2883722751945547E-4</v>
      </c>
      <c r="K219" s="358">
        <f t="shared" si="69"/>
        <v>2.2883722751945547E-4</v>
      </c>
      <c r="L219" s="358">
        <f t="shared" si="69"/>
        <v>2.6579559791732816E-4</v>
      </c>
      <c r="M219" s="358">
        <f t="shared" si="69"/>
        <v>2.6579559791732816E-4</v>
      </c>
      <c r="N219" s="358">
        <f t="shared" si="69"/>
        <v>2.0546725386920976E-4</v>
      </c>
      <c r="O219" s="358">
        <f t="shared" si="69"/>
        <v>0</v>
      </c>
      <c r="P219" s="358">
        <f t="shared" si="69"/>
        <v>0</v>
      </c>
      <c r="Q219" s="358">
        <f t="shared" si="69"/>
        <v>1.7985996128966103E-4</v>
      </c>
      <c r="R219" s="358">
        <f t="shared" si="69"/>
        <v>0</v>
      </c>
      <c r="S219" s="358">
        <f t="shared" si="69"/>
        <v>0</v>
      </c>
      <c r="T219" s="358">
        <f t="shared" si="69"/>
        <v>0</v>
      </c>
      <c r="U219" s="358">
        <f t="shared" si="69"/>
        <v>0</v>
      </c>
      <c r="V219" s="358">
        <f t="shared" si="69"/>
        <v>0</v>
      </c>
      <c r="W219" s="358">
        <f t="shared" si="69"/>
        <v>0</v>
      </c>
      <c r="X219" s="358">
        <f t="shared" si="69"/>
        <v>0</v>
      </c>
      <c r="Y219" s="358">
        <f t="shared" si="69"/>
        <v>0</v>
      </c>
      <c r="Z219" s="352"/>
      <c r="AA219" s="352"/>
    </row>
    <row r="220" spans="3:27" x14ac:dyDescent="0.25">
      <c r="E220" s="96"/>
      <c r="F220" s="416"/>
      <c r="J220" s="238"/>
      <c r="K220" s="238"/>
      <c r="L220" s="238"/>
      <c r="M220" s="238"/>
      <c r="N220" s="238"/>
      <c r="O220" s="238"/>
      <c r="P220" s="238"/>
      <c r="Q220" s="238"/>
      <c r="R220" s="238"/>
      <c r="S220" s="238"/>
      <c r="T220" s="238"/>
      <c r="U220" s="238"/>
      <c r="V220" s="238"/>
      <c r="W220" s="238"/>
      <c r="X220" s="238"/>
      <c r="Y220" s="238"/>
    </row>
    <row r="221" spans="3:27" x14ac:dyDescent="0.25">
      <c r="E221" s="96" t="s">
        <v>116</v>
      </c>
      <c r="J221" s="238"/>
      <c r="K221" s="238"/>
      <c r="L221" s="238"/>
      <c r="M221" s="238"/>
      <c r="N221" s="238"/>
      <c r="O221" s="238"/>
      <c r="P221" s="238"/>
      <c r="Q221" s="238"/>
      <c r="R221" s="238"/>
      <c r="S221" s="238"/>
      <c r="T221" s="238"/>
      <c r="U221" s="238"/>
      <c r="V221" s="238"/>
      <c r="W221" s="238"/>
      <c r="X221" s="238"/>
      <c r="Y221" s="238"/>
    </row>
    <row r="222" spans="3:27" x14ac:dyDescent="0.25">
      <c r="C222" s="96"/>
      <c r="E222" s="96"/>
      <c r="F222" s="415" t="s">
        <v>324</v>
      </c>
      <c r="G222" s="91" t="s">
        <v>183</v>
      </c>
      <c r="H222" s="350"/>
      <c r="I222" s="350"/>
      <c r="J222" s="356">
        <f t="shared" ref="J222:Y222" si="70">hundred * $H30 * J55 / $H43 * J105 / hours_in_year</f>
        <v>2.4082353729925929E-3</v>
      </c>
      <c r="K222" s="356">
        <f t="shared" si="70"/>
        <v>2.4082353729925929E-3</v>
      </c>
      <c r="L222" s="356">
        <f t="shared" si="70"/>
        <v>2.7971775738971738E-3</v>
      </c>
      <c r="M222" s="356">
        <f t="shared" si="70"/>
        <v>2.7971775738971738E-3</v>
      </c>
      <c r="N222" s="356">
        <f t="shared" si="70"/>
        <v>2.162294632403776E-3</v>
      </c>
      <c r="O222" s="356">
        <f t="shared" si="70"/>
        <v>1.7586773277118667E-3</v>
      </c>
      <c r="P222" s="356">
        <f t="shared" si="70"/>
        <v>1.7542994173707232E-3</v>
      </c>
      <c r="Q222" s="356">
        <f t="shared" si="70"/>
        <v>1.8928088128755832E-3</v>
      </c>
      <c r="R222" s="356">
        <f t="shared" si="70"/>
        <v>-1.7221406616466405E-3</v>
      </c>
      <c r="S222" s="356">
        <f t="shared" si="70"/>
        <v>-1.637445219270576E-3</v>
      </c>
      <c r="T222" s="356">
        <f t="shared" si="70"/>
        <v>-1.7221406616466405E-3</v>
      </c>
      <c r="U222" s="356">
        <f t="shared" si="70"/>
        <v>-1.7221406616466405E-3</v>
      </c>
      <c r="V222" s="356">
        <f t="shared" si="70"/>
        <v>-1.637445219270576E-3</v>
      </c>
      <c r="W222" s="356">
        <f t="shared" si="70"/>
        <v>-1.637445219270576E-3</v>
      </c>
      <c r="X222" s="356">
        <f t="shared" si="70"/>
        <v>-1.6092134051452214E-3</v>
      </c>
      <c r="Y222" s="356">
        <f t="shared" si="70"/>
        <v>-1.6092134051452214E-3</v>
      </c>
      <c r="Z222" s="352"/>
      <c r="AA222" s="352"/>
    </row>
    <row r="223" spans="3:27" x14ac:dyDescent="0.25">
      <c r="C223" s="96"/>
      <c r="E223" s="96"/>
      <c r="F223" s="416" t="s">
        <v>43</v>
      </c>
      <c r="G223" s="295" t="s">
        <v>183</v>
      </c>
      <c r="H223" s="352"/>
      <c r="I223" s="352"/>
      <c r="J223" s="357">
        <f t="shared" ref="J223:Y223" si="71">hundred * $H31 * J56 / $H44 * J106 / hours_in_year</f>
        <v>0</v>
      </c>
      <c r="K223" s="357">
        <f t="shared" si="71"/>
        <v>0</v>
      </c>
      <c r="L223" s="357">
        <f t="shared" si="71"/>
        <v>0</v>
      </c>
      <c r="M223" s="357">
        <f t="shared" si="71"/>
        <v>0</v>
      </c>
      <c r="N223" s="357">
        <f t="shared" si="71"/>
        <v>0</v>
      </c>
      <c r="O223" s="357">
        <f t="shared" si="71"/>
        <v>0</v>
      </c>
      <c r="P223" s="357">
        <f t="shared" si="71"/>
        <v>0</v>
      </c>
      <c r="Q223" s="357">
        <f t="shared" si="71"/>
        <v>0</v>
      </c>
      <c r="R223" s="357">
        <f t="shared" si="71"/>
        <v>0</v>
      </c>
      <c r="S223" s="357">
        <f t="shared" si="71"/>
        <v>0</v>
      </c>
      <c r="T223" s="357">
        <f t="shared" si="71"/>
        <v>0</v>
      </c>
      <c r="U223" s="357">
        <f t="shared" si="71"/>
        <v>0</v>
      </c>
      <c r="V223" s="357">
        <f t="shared" si="71"/>
        <v>0</v>
      </c>
      <c r="W223" s="357">
        <f t="shared" si="71"/>
        <v>0</v>
      </c>
      <c r="X223" s="357">
        <f t="shared" si="71"/>
        <v>0</v>
      </c>
      <c r="Y223" s="357">
        <f t="shared" si="71"/>
        <v>0</v>
      </c>
      <c r="Z223" s="352"/>
      <c r="AA223" s="352"/>
    </row>
    <row r="224" spans="3:27" x14ac:dyDescent="0.25">
      <c r="C224" s="96"/>
      <c r="E224" s="96"/>
      <c r="F224" s="416" t="s">
        <v>44</v>
      </c>
      <c r="G224" s="295" t="s">
        <v>183</v>
      </c>
      <c r="H224" s="352"/>
      <c r="I224" s="352"/>
      <c r="J224" s="357">
        <f t="shared" ref="J224:Y224" si="72">hundred * $H32 * J57 / $H45 * J107 / hours_in_year</f>
        <v>0</v>
      </c>
      <c r="K224" s="357">
        <f t="shared" si="72"/>
        <v>0</v>
      </c>
      <c r="L224" s="357">
        <f t="shared" si="72"/>
        <v>0</v>
      </c>
      <c r="M224" s="357">
        <f t="shared" si="72"/>
        <v>0</v>
      </c>
      <c r="N224" s="357">
        <f t="shared" si="72"/>
        <v>0</v>
      </c>
      <c r="O224" s="357">
        <f t="shared" si="72"/>
        <v>0</v>
      </c>
      <c r="P224" s="357">
        <f t="shared" si="72"/>
        <v>0</v>
      </c>
      <c r="Q224" s="357">
        <f t="shared" si="72"/>
        <v>0</v>
      </c>
      <c r="R224" s="357">
        <f t="shared" si="72"/>
        <v>0</v>
      </c>
      <c r="S224" s="357">
        <f t="shared" si="72"/>
        <v>0</v>
      </c>
      <c r="T224" s="357">
        <f t="shared" si="72"/>
        <v>0</v>
      </c>
      <c r="U224" s="357">
        <f t="shared" si="72"/>
        <v>0</v>
      </c>
      <c r="V224" s="357">
        <f t="shared" si="72"/>
        <v>0</v>
      </c>
      <c r="W224" s="357">
        <f t="shared" si="72"/>
        <v>0</v>
      </c>
      <c r="X224" s="357">
        <f t="shared" si="72"/>
        <v>0</v>
      </c>
      <c r="Y224" s="357">
        <f t="shared" si="72"/>
        <v>0</v>
      </c>
      <c r="Z224" s="352"/>
      <c r="AA224" s="352"/>
    </row>
    <row r="225" spans="2:27" x14ac:dyDescent="0.25">
      <c r="C225" s="96"/>
      <c r="E225" s="96"/>
      <c r="F225" s="416" t="s">
        <v>45</v>
      </c>
      <c r="G225" s="295" t="s">
        <v>183</v>
      </c>
      <c r="H225" s="352"/>
      <c r="I225" s="352"/>
      <c r="J225" s="357">
        <f t="shared" ref="J225:Y225" si="73">hundred * $H33 * J58 / $H46 * J108 / hours_in_year</f>
        <v>0</v>
      </c>
      <c r="K225" s="357">
        <f t="shared" si="73"/>
        <v>0</v>
      </c>
      <c r="L225" s="357">
        <f t="shared" si="73"/>
        <v>0</v>
      </c>
      <c r="M225" s="357">
        <f t="shared" si="73"/>
        <v>0</v>
      </c>
      <c r="N225" s="357">
        <f t="shared" si="73"/>
        <v>0</v>
      </c>
      <c r="O225" s="357">
        <f t="shared" si="73"/>
        <v>0</v>
      </c>
      <c r="P225" s="357">
        <f t="shared" si="73"/>
        <v>0</v>
      </c>
      <c r="Q225" s="357">
        <f t="shared" si="73"/>
        <v>0</v>
      </c>
      <c r="R225" s="357">
        <f t="shared" si="73"/>
        <v>0</v>
      </c>
      <c r="S225" s="357">
        <f t="shared" si="73"/>
        <v>0</v>
      </c>
      <c r="T225" s="357">
        <f t="shared" si="73"/>
        <v>0</v>
      </c>
      <c r="U225" s="357">
        <f t="shared" si="73"/>
        <v>0</v>
      </c>
      <c r="V225" s="357">
        <f t="shared" si="73"/>
        <v>0</v>
      </c>
      <c r="W225" s="357">
        <f t="shared" si="73"/>
        <v>0</v>
      </c>
      <c r="X225" s="357">
        <f t="shared" si="73"/>
        <v>0</v>
      </c>
      <c r="Y225" s="357">
        <f t="shared" si="73"/>
        <v>0</v>
      </c>
      <c r="Z225" s="352"/>
      <c r="AA225" s="352"/>
    </row>
    <row r="226" spans="2:27" x14ac:dyDescent="0.25">
      <c r="C226" s="96"/>
      <c r="E226" s="96"/>
      <c r="F226" s="416" t="s">
        <v>46</v>
      </c>
      <c r="G226" s="295" t="s">
        <v>183</v>
      </c>
      <c r="H226" s="352"/>
      <c r="I226" s="352"/>
      <c r="J226" s="357">
        <f t="shared" ref="J226:Y226" si="74">hundred * $H34 * J59 / $H47 * J109 / hours_in_year</f>
        <v>1.7045036833946514E-3</v>
      </c>
      <c r="K226" s="357">
        <f t="shared" si="74"/>
        <v>1.7045036833946514E-3</v>
      </c>
      <c r="L226" s="357">
        <f t="shared" si="74"/>
        <v>1.979789654817645E-3</v>
      </c>
      <c r="M226" s="357">
        <f t="shared" si="74"/>
        <v>1.979789654817645E-3</v>
      </c>
      <c r="N226" s="357">
        <f t="shared" si="74"/>
        <v>1.5304314548526714E-3</v>
      </c>
      <c r="O226" s="357">
        <f t="shared" si="74"/>
        <v>1.2447587210973002E-3</v>
      </c>
      <c r="P226" s="357">
        <f t="shared" si="74"/>
        <v>1.2416601185330591E-3</v>
      </c>
      <c r="Q226" s="357">
        <f t="shared" si="74"/>
        <v>1.3396944624640774E-3</v>
      </c>
      <c r="R226" s="357">
        <f t="shared" si="74"/>
        <v>-1.218898756334076E-3</v>
      </c>
      <c r="S226" s="357">
        <f t="shared" si="74"/>
        <v>-1.1589529158586296E-3</v>
      </c>
      <c r="T226" s="357">
        <f t="shared" si="74"/>
        <v>-1.218898756334076E-3</v>
      </c>
      <c r="U226" s="357">
        <f t="shared" si="74"/>
        <v>-1.218898756334076E-3</v>
      </c>
      <c r="V226" s="357">
        <f t="shared" si="74"/>
        <v>-1.1589529158586296E-3</v>
      </c>
      <c r="W226" s="357">
        <f t="shared" si="74"/>
        <v>-1.1589529158586296E-3</v>
      </c>
      <c r="X226" s="357">
        <f t="shared" si="74"/>
        <v>-1.1389709690334806E-3</v>
      </c>
      <c r="Y226" s="357">
        <f t="shared" si="74"/>
        <v>-1.1389709690334806E-3</v>
      </c>
      <c r="Z226" s="352"/>
      <c r="AA226" s="352"/>
    </row>
    <row r="227" spans="2:27" x14ac:dyDescent="0.25">
      <c r="C227" s="96"/>
      <c r="E227" s="96"/>
      <c r="F227" s="416" t="s">
        <v>47</v>
      </c>
      <c r="G227" s="295" t="s">
        <v>183</v>
      </c>
      <c r="H227" s="352"/>
      <c r="I227" s="352"/>
      <c r="J227" s="357">
        <f t="shared" ref="J227:Y227" si="75">hundred * $H35 * J60 / $H48 * J110 / hours_in_year</f>
        <v>1.2190576574004099E-3</v>
      </c>
      <c r="K227" s="357">
        <f t="shared" si="75"/>
        <v>1.2190576574004099E-3</v>
      </c>
      <c r="L227" s="357">
        <f t="shared" si="75"/>
        <v>1.4159416387654474E-3</v>
      </c>
      <c r="M227" s="357">
        <f t="shared" si="75"/>
        <v>1.4159416387654474E-3</v>
      </c>
      <c r="N227" s="357">
        <f t="shared" si="75"/>
        <v>1.0945615444191612E-3</v>
      </c>
      <c r="O227" s="357">
        <f t="shared" si="75"/>
        <v>8.9024897121226508E-4</v>
      </c>
      <c r="P227" s="357">
        <f t="shared" si="75"/>
        <v>8.8803285679727264E-4</v>
      </c>
      <c r="Q227" s="357">
        <f t="shared" si="75"/>
        <v>9.5814682535105193E-4</v>
      </c>
      <c r="R227" s="357">
        <f t="shared" si="75"/>
        <v>-8.7175397564738066E-4</v>
      </c>
      <c r="S227" s="357">
        <f t="shared" si="75"/>
        <v>-8.2888082930406676E-4</v>
      </c>
      <c r="T227" s="357">
        <f t="shared" si="75"/>
        <v>-8.7175397564738066E-4</v>
      </c>
      <c r="U227" s="357">
        <f t="shared" si="75"/>
        <v>-8.7175397564738066E-4</v>
      </c>
      <c r="V227" s="357">
        <f t="shared" si="75"/>
        <v>-8.2888082930406676E-4</v>
      </c>
      <c r="W227" s="357">
        <f t="shared" si="75"/>
        <v>-8.2888082930406676E-4</v>
      </c>
      <c r="X227" s="357">
        <f t="shared" si="75"/>
        <v>-8.1458978052296213E-4</v>
      </c>
      <c r="Y227" s="357">
        <f t="shared" si="75"/>
        <v>-8.1458978052296213E-4</v>
      </c>
      <c r="Z227" s="352"/>
      <c r="AA227" s="352"/>
    </row>
    <row r="228" spans="2:27" x14ac:dyDescent="0.25">
      <c r="C228" s="96"/>
      <c r="E228" s="96"/>
      <c r="F228" s="416" t="s">
        <v>51</v>
      </c>
      <c r="G228" s="295" t="s">
        <v>183</v>
      </c>
      <c r="H228" s="352"/>
      <c r="I228" s="352"/>
      <c r="J228" s="357">
        <f t="shared" ref="J228:Y228" si="76">hundred * $H36 * J61 / $H49 * J111 / hours_in_year</f>
        <v>0</v>
      </c>
      <c r="K228" s="357">
        <f t="shared" si="76"/>
        <v>0</v>
      </c>
      <c r="L228" s="357">
        <f t="shared" si="76"/>
        <v>0</v>
      </c>
      <c r="M228" s="357">
        <f t="shared" si="76"/>
        <v>0</v>
      </c>
      <c r="N228" s="357">
        <f t="shared" si="76"/>
        <v>0</v>
      </c>
      <c r="O228" s="357">
        <f t="shared" si="76"/>
        <v>0</v>
      </c>
      <c r="P228" s="357">
        <f t="shared" si="76"/>
        <v>0</v>
      </c>
      <c r="Q228" s="357">
        <f t="shared" si="76"/>
        <v>0</v>
      </c>
      <c r="R228" s="357">
        <f t="shared" si="76"/>
        <v>0</v>
      </c>
      <c r="S228" s="357">
        <f t="shared" si="76"/>
        <v>0</v>
      </c>
      <c r="T228" s="357">
        <f t="shared" si="76"/>
        <v>0</v>
      </c>
      <c r="U228" s="357">
        <f t="shared" si="76"/>
        <v>0</v>
      </c>
      <c r="V228" s="357">
        <f t="shared" si="76"/>
        <v>0</v>
      </c>
      <c r="W228" s="357">
        <f t="shared" si="76"/>
        <v>0</v>
      </c>
      <c r="X228" s="357">
        <f t="shared" si="76"/>
        <v>0</v>
      </c>
      <c r="Y228" s="357">
        <f t="shared" si="76"/>
        <v>0</v>
      </c>
      <c r="Z228" s="352"/>
      <c r="AA228" s="352"/>
    </row>
    <row r="229" spans="2:27" x14ac:dyDescent="0.25">
      <c r="C229" s="96"/>
      <c r="E229" s="96"/>
      <c r="F229" s="416" t="s">
        <v>48</v>
      </c>
      <c r="G229" s="295" t="s">
        <v>183</v>
      </c>
      <c r="H229" s="352"/>
      <c r="I229" s="352"/>
      <c r="J229" s="357">
        <f t="shared" ref="J229:Y229" si="77">hundred * $H37 * J62 / $H50 * J112 / hours_in_year</f>
        <v>5.2444201935189071E-3</v>
      </c>
      <c r="K229" s="357">
        <f t="shared" si="77"/>
        <v>5.2444201935189071E-3</v>
      </c>
      <c r="L229" s="357">
        <f t="shared" si="77"/>
        <v>6.0914205969723884E-3</v>
      </c>
      <c r="M229" s="357">
        <f t="shared" si="77"/>
        <v>6.0914205969723884E-3</v>
      </c>
      <c r="N229" s="357">
        <f t="shared" si="77"/>
        <v>4.7088344277678631E-3</v>
      </c>
      <c r="O229" s="357">
        <f t="shared" si="77"/>
        <v>3.8298760141018623E-3</v>
      </c>
      <c r="P229" s="357">
        <f t="shared" si="77"/>
        <v>3.8203422278050604E-3</v>
      </c>
      <c r="Q229" s="357">
        <f t="shared" si="77"/>
        <v>4.1219744847364589E-3</v>
      </c>
      <c r="R229" s="357">
        <f t="shared" si="77"/>
        <v>-3.750310025052286E-3</v>
      </c>
      <c r="S229" s="357">
        <f t="shared" si="77"/>
        <v>-3.5658685484103703E-3</v>
      </c>
      <c r="T229" s="357">
        <f t="shared" si="77"/>
        <v>-3.750310025052286E-3</v>
      </c>
      <c r="U229" s="357">
        <f t="shared" si="77"/>
        <v>-3.750310025052286E-3</v>
      </c>
      <c r="V229" s="357">
        <f t="shared" si="77"/>
        <v>-3.5658685484103703E-3</v>
      </c>
      <c r="W229" s="357">
        <f t="shared" si="77"/>
        <v>-3.5658685484103703E-3</v>
      </c>
      <c r="X229" s="357">
        <f t="shared" si="77"/>
        <v>0</v>
      </c>
      <c r="Y229" s="357">
        <f t="shared" si="77"/>
        <v>0</v>
      </c>
      <c r="Z229" s="352"/>
      <c r="AA229" s="352"/>
    </row>
    <row r="230" spans="2:27" x14ac:dyDescent="0.25">
      <c r="C230" s="96"/>
      <c r="E230" s="96"/>
      <c r="F230" s="416" t="s">
        <v>49</v>
      </c>
      <c r="G230" s="295" t="s">
        <v>183</v>
      </c>
      <c r="H230" s="352"/>
      <c r="I230" s="352"/>
      <c r="J230" s="357">
        <f t="shared" ref="J230:Y230" si="78">hundred * $H38 * J63 / $H51 * J113 / hours_in_year</f>
        <v>1.3180712926202751E-3</v>
      </c>
      <c r="K230" s="357">
        <f t="shared" si="78"/>
        <v>1.3180712926202751E-3</v>
      </c>
      <c r="L230" s="357">
        <f t="shared" si="78"/>
        <v>1.530946477184908E-3</v>
      </c>
      <c r="M230" s="357">
        <f t="shared" si="78"/>
        <v>1.530946477184908E-3</v>
      </c>
      <c r="N230" s="357">
        <f t="shared" si="78"/>
        <v>1.1834634243482202E-3</v>
      </c>
      <c r="O230" s="357">
        <f t="shared" si="78"/>
        <v>9.6255628691252568E-4</v>
      </c>
      <c r="P230" s="357">
        <f t="shared" si="78"/>
        <v>0</v>
      </c>
      <c r="Q230" s="357">
        <f t="shared" si="78"/>
        <v>1.0359689034754667E-3</v>
      </c>
      <c r="R230" s="357">
        <f t="shared" si="78"/>
        <v>-9.4255910091953666E-4</v>
      </c>
      <c r="S230" s="357">
        <f t="shared" si="78"/>
        <v>0</v>
      </c>
      <c r="T230" s="357">
        <f t="shared" si="78"/>
        <v>-9.4255910091953666E-4</v>
      </c>
      <c r="U230" s="357">
        <f t="shared" si="78"/>
        <v>-9.4255910091953666E-4</v>
      </c>
      <c r="V230" s="357">
        <f t="shared" si="78"/>
        <v>0</v>
      </c>
      <c r="W230" s="357">
        <f t="shared" si="78"/>
        <v>0</v>
      </c>
      <c r="X230" s="357">
        <f t="shared" si="78"/>
        <v>0</v>
      </c>
      <c r="Y230" s="357">
        <f t="shared" si="78"/>
        <v>0</v>
      </c>
      <c r="Z230" s="352"/>
      <c r="AA230" s="352"/>
    </row>
    <row r="231" spans="2:27" x14ac:dyDescent="0.25">
      <c r="C231" s="96"/>
      <c r="E231" s="96"/>
      <c r="F231" s="418" t="s">
        <v>50</v>
      </c>
      <c r="G231" s="93" t="s">
        <v>183</v>
      </c>
      <c r="H231" s="354"/>
      <c r="I231" s="354"/>
      <c r="J231" s="358">
        <f t="shared" ref="J231:Y231" si="79">hundred * $H39 * J64 / $H52 * J114 / hours_in_year</f>
        <v>2.2170375862583351E-3</v>
      </c>
      <c r="K231" s="358">
        <f t="shared" si="79"/>
        <v>2.2170375862583351E-3</v>
      </c>
      <c r="L231" s="358">
        <f t="shared" si="79"/>
        <v>2.5751003769464232E-3</v>
      </c>
      <c r="M231" s="358">
        <f t="shared" si="79"/>
        <v>2.5751003769464232E-3</v>
      </c>
      <c r="N231" s="358">
        <f t="shared" si="79"/>
        <v>1.9906228960696218E-3</v>
      </c>
      <c r="O231" s="358">
        <f t="shared" si="79"/>
        <v>0</v>
      </c>
      <c r="P231" s="358">
        <f t="shared" si="79"/>
        <v>0</v>
      </c>
      <c r="Q231" s="358">
        <f t="shared" si="79"/>
        <v>1.7425324487828188E-3</v>
      </c>
      <c r="R231" s="358">
        <f t="shared" si="79"/>
        <v>0</v>
      </c>
      <c r="S231" s="358">
        <f t="shared" si="79"/>
        <v>0</v>
      </c>
      <c r="T231" s="358">
        <f t="shared" si="79"/>
        <v>0</v>
      </c>
      <c r="U231" s="358">
        <f t="shared" si="79"/>
        <v>0</v>
      </c>
      <c r="V231" s="358">
        <f t="shared" si="79"/>
        <v>0</v>
      </c>
      <c r="W231" s="358">
        <f t="shared" si="79"/>
        <v>0</v>
      </c>
      <c r="X231" s="358">
        <f t="shared" si="79"/>
        <v>0</v>
      </c>
      <c r="Y231" s="358">
        <f t="shared" si="79"/>
        <v>0</v>
      </c>
      <c r="Z231" s="352"/>
      <c r="AA231" s="352"/>
    </row>
    <row r="232" spans="2:27" x14ac:dyDescent="0.25"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</row>
    <row r="233" spans="2:27" x14ac:dyDescent="0.25">
      <c r="B233" s="95" t="s">
        <v>109</v>
      </c>
      <c r="C233" s="95"/>
      <c r="D233" s="95"/>
      <c r="E233" s="95"/>
      <c r="F233" s="95"/>
      <c r="G233" s="95"/>
      <c r="H233" s="95"/>
      <c r="I233" s="95"/>
      <c r="J233" s="160"/>
      <c r="K233" s="160"/>
      <c r="L233" s="160"/>
      <c r="M233" s="160"/>
      <c r="N233" s="160"/>
      <c r="O233" s="160"/>
      <c r="P233" s="160"/>
      <c r="Q233" s="160"/>
      <c r="R233" s="160"/>
      <c r="S233" s="160"/>
      <c r="T233" s="160"/>
      <c r="U233" s="160"/>
      <c r="V233" s="160"/>
      <c r="W233" s="160"/>
      <c r="X233" s="160"/>
      <c r="Y233" s="160"/>
      <c r="Z233" s="95"/>
      <c r="AA233" s="95"/>
    </row>
    <row r="234" spans="2:27" x14ac:dyDescent="0.25">
      <c r="C234" s="96"/>
      <c r="D234" s="96"/>
      <c r="E234" s="96"/>
      <c r="J234" s="173"/>
      <c r="K234" s="111"/>
      <c r="L234" s="173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</row>
    <row r="235" spans="2:27" x14ac:dyDescent="0.25">
      <c r="D235" s="96" t="s">
        <v>910</v>
      </c>
      <c r="E235" s="96"/>
      <c r="J235" s="173"/>
      <c r="K235" s="111"/>
      <c r="L235" s="173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</row>
    <row r="236" spans="2:27" x14ac:dyDescent="0.25">
      <c r="C236" s="96"/>
      <c r="D236" s="96"/>
      <c r="E236" s="96"/>
      <c r="J236" s="173"/>
      <c r="K236" s="111"/>
      <c r="L236" s="173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</row>
    <row r="237" spans="2:27" x14ac:dyDescent="0.25">
      <c r="C237" s="96"/>
      <c r="D237" s="96"/>
      <c r="E237" s="295" t="s">
        <v>516</v>
      </c>
      <c r="G237" s="122" t="s">
        <v>692</v>
      </c>
      <c r="H237" s="420">
        <f t="array" ref="H237">SUM(IF(ISERROR(H18:Y232), 1))</f>
        <v>0</v>
      </c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</row>
    <row r="238" spans="2:27" x14ac:dyDescent="0.25">
      <c r="C238" s="96"/>
      <c r="D238" s="96"/>
      <c r="E238" s="96"/>
      <c r="J238" s="90"/>
      <c r="L238" s="90"/>
    </row>
    <row r="239" spans="2:27" x14ac:dyDescent="0.25">
      <c r="C239" s="96"/>
      <c r="D239" s="96"/>
      <c r="E239" s="295" t="s">
        <v>445</v>
      </c>
      <c r="G239" s="122" t="s">
        <v>692</v>
      </c>
      <c r="H239" s="420">
        <f>SUM(J239:Y239)</f>
        <v>0</v>
      </c>
      <c r="I239" s="133"/>
      <c r="J239" s="420">
        <f t="shared" ref="J239:K239" si="80">IF(ABS(IFERROR(SUM(J152:J231), 1)) &gt; 0, 0, 1)</f>
        <v>0</v>
      </c>
      <c r="K239" s="420">
        <f t="shared" si="80"/>
        <v>0</v>
      </c>
      <c r="L239" s="420">
        <f t="shared" ref="L239:Y239" si="81">IF(ABS(IFERROR(SUM(L152:L231), 1)) &gt; 0, 0, 1)</f>
        <v>0</v>
      </c>
      <c r="M239" s="420">
        <f t="shared" si="81"/>
        <v>0</v>
      </c>
      <c r="N239" s="420">
        <f t="shared" si="81"/>
        <v>0</v>
      </c>
      <c r="O239" s="420">
        <f t="shared" si="81"/>
        <v>0</v>
      </c>
      <c r="P239" s="420">
        <f t="shared" si="81"/>
        <v>0</v>
      </c>
      <c r="Q239" s="420">
        <f t="shared" si="81"/>
        <v>0</v>
      </c>
      <c r="R239" s="420">
        <f t="shared" si="81"/>
        <v>0</v>
      </c>
      <c r="S239" s="420">
        <f t="shared" si="81"/>
        <v>0</v>
      </c>
      <c r="T239" s="420">
        <f t="shared" si="81"/>
        <v>0</v>
      </c>
      <c r="U239" s="420">
        <f t="shared" si="81"/>
        <v>0</v>
      </c>
      <c r="V239" s="420">
        <f t="shared" si="81"/>
        <v>0</v>
      </c>
      <c r="W239" s="420">
        <f t="shared" si="81"/>
        <v>0</v>
      </c>
      <c r="X239" s="420">
        <f t="shared" si="81"/>
        <v>0</v>
      </c>
      <c r="Y239" s="420">
        <f t="shared" si="81"/>
        <v>0</v>
      </c>
    </row>
    <row r="240" spans="2:27" x14ac:dyDescent="0.25">
      <c r="C240" s="96"/>
      <c r="D240" s="96"/>
      <c r="E240" s="96"/>
      <c r="J240" s="173"/>
      <c r="K240" s="111"/>
      <c r="L240" s="173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</row>
    <row r="241" spans="2:27" x14ac:dyDescent="0.25">
      <c r="C241" s="96"/>
      <c r="D241" s="96"/>
      <c r="E241" s="295" t="s">
        <v>447</v>
      </c>
      <c r="G241" s="122" t="s">
        <v>692</v>
      </c>
      <c r="H241" s="312">
        <f>SUM(H239, H237)</f>
        <v>0</v>
      </c>
      <c r="J241" s="173"/>
      <c r="K241" s="111"/>
      <c r="L241" s="173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</row>
    <row r="242" spans="2:27" x14ac:dyDescent="0.25">
      <c r="C242" s="96"/>
      <c r="D242" s="96"/>
      <c r="E242" s="96"/>
      <c r="J242" s="90"/>
      <c r="L242" s="90"/>
    </row>
    <row r="243" spans="2:27" x14ac:dyDescent="0.25">
      <c r="B243" s="95" t="s">
        <v>110</v>
      </c>
      <c r="C243" s="95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</sheetData>
  <sheetProtection sheet="1" objects="1" formatCells="0" formatColumns="0" formatRows="0" sort="0" autoFilter="0"/>
  <conditionalFormatting sqref="H239:H241">
    <cfRule type="cellIs" dxfId="119" priority="20" operator="greaterThan">
      <formula>0</formula>
    </cfRule>
  </conditionalFormatting>
  <conditionalFormatting sqref="H237">
    <cfRule type="cellIs" dxfId="118" priority="19" operator="greaterThan">
      <formula>0</formula>
    </cfRule>
  </conditionalFormatting>
  <conditionalFormatting sqref="H241">
    <cfRule type="cellIs" dxfId="117" priority="18" operator="greaterThan">
      <formula>0</formula>
    </cfRule>
  </conditionalFormatting>
  <conditionalFormatting sqref="A4:I4 Z4:XFD4">
    <cfRule type="expression" dxfId="116" priority="17">
      <formula>LEFT($A$4,1) &lt;&gt; "0"</formula>
    </cfRule>
  </conditionalFormatting>
  <conditionalFormatting sqref="N239:P241">
    <cfRule type="cellIs" dxfId="115" priority="16" operator="greaterThan">
      <formula>0</formula>
    </cfRule>
  </conditionalFormatting>
  <conditionalFormatting sqref="N4:P4">
    <cfRule type="expression" dxfId="114" priority="15">
      <formula>LEFT($A$4,1) &lt;&gt; "0"</formula>
    </cfRule>
  </conditionalFormatting>
  <conditionalFormatting sqref="L239:M241">
    <cfRule type="cellIs" dxfId="113" priority="14" operator="greaterThan">
      <formula>0</formula>
    </cfRule>
  </conditionalFormatting>
  <conditionalFormatting sqref="L4:M4">
    <cfRule type="expression" dxfId="112" priority="13">
      <formula>LEFT($A$4,1) &lt;&gt; "0"</formula>
    </cfRule>
  </conditionalFormatting>
  <conditionalFormatting sqref="J239:K241">
    <cfRule type="cellIs" dxfId="111" priority="12" operator="greaterThan">
      <formula>0</formula>
    </cfRule>
  </conditionalFormatting>
  <conditionalFormatting sqref="J4:K4">
    <cfRule type="expression" dxfId="110" priority="11">
      <formula>LEFT($A$4,1) &lt;&gt; "0"</formula>
    </cfRule>
  </conditionalFormatting>
  <conditionalFormatting sqref="Q239:Q241">
    <cfRule type="cellIs" dxfId="109" priority="10" operator="greaterThan">
      <formula>0</formula>
    </cfRule>
  </conditionalFormatting>
  <conditionalFormatting sqref="Q4">
    <cfRule type="expression" dxfId="108" priority="9">
      <formula>LEFT($A$4,1) &lt;&gt; "0"</formula>
    </cfRule>
  </conditionalFormatting>
  <conditionalFormatting sqref="R239:S241">
    <cfRule type="cellIs" dxfId="107" priority="8" operator="greaterThan">
      <formula>0</formula>
    </cfRule>
  </conditionalFormatting>
  <conditionalFormatting sqref="R4:S4">
    <cfRule type="expression" dxfId="106" priority="7">
      <formula>LEFT($A$4,1) &lt;&gt; "0"</formula>
    </cfRule>
  </conditionalFormatting>
  <conditionalFormatting sqref="T239:U241">
    <cfRule type="cellIs" dxfId="105" priority="6" operator="greaterThan">
      <formula>0</formula>
    </cfRule>
  </conditionalFormatting>
  <conditionalFormatting sqref="T4:U4">
    <cfRule type="expression" dxfId="104" priority="5">
      <formula>LEFT($A$4,1) &lt;&gt; "0"</formula>
    </cfRule>
  </conditionalFormatting>
  <conditionalFormatting sqref="V239:W241">
    <cfRule type="cellIs" dxfId="103" priority="4" operator="greaterThan">
      <formula>0</formula>
    </cfRule>
  </conditionalFormatting>
  <conditionalFormatting sqref="V4:W4">
    <cfRule type="expression" dxfId="102" priority="3">
      <formula>LEFT($A$4,1) &lt;&gt; "0"</formula>
    </cfRule>
  </conditionalFormatting>
  <conditionalFormatting sqref="X239:Y241">
    <cfRule type="cellIs" dxfId="101" priority="2" operator="greaterThan">
      <formula>0</formula>
    </cfRule>
  </conditionalFormatting>
  <conditionalFormatting sqref="X4:Y4">
    <cfRule type="expression" dxfId="100" priority="1">
      <formula>LEFT($A$4,1) &lt;&gt; "0"</formula>
    </cfRule>
  </conditionalFormatting>
  <hyperlinks>
    <hyperlink ref="B5:F5" location="'Model map'!A1" display="Click here to return to model map" xr:uid="{00000000-0004-0000-19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8">
    <tabColor theme="4" tint="0.59999389629810485"/>
    <pageSetUpPr fitToPage="1"/>
  </sheetPr>
  <dimension ref="A1:KZ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12" width="24.5703125" style="295" hidden="1" customWidth="1"/>
    <col min="313" max="16384" width="8.5703125" style="295" hidden="1"/>
  </cols>
  <sheetData>
    <row r="1" spans="1:27" s="10" customFormat="1" x14ac:dyDescent="0.25">
      <c r="A1" s="10" t="str">
        <f ca="1">MID(CELL("filename",A1),FIND("]",CELL("filename",A1))+1,255)</f>
        <v>Service model charges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1" t="str">
        <f>H48 &amp; IF(H48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2" t="s">
        <v>552</v>
      </c>
      <c r="C5" s="373"/>
      <c r="D5" s="373"/>
      <c r="E5" s="373"/>
      <c r="F5" s="373"/>
      <c r="G5" s="1" t="s">
        <v>91</v>
      </c>
      <c r="H5" s="2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450</v>
      </c>
      <c r="D9" s="295"/>
      <c r="F9" s="82"/>
    </row>
    <row r="10" spans="1:27" x14ac:dyDescent="0.25">
      <c r="C10" s="82" t="s">
        <v>451</v>
      </c>
      <c r="D10" s="295"/>
      <c r="E10" s="295"/>
      <c r="F10" s="82"/>
    </row>
    <row r="11" spans="1:27" x14ac:dyDescent="0.25">
      <c r="C11" s="82" t="s">
        <v>479</v>
      </c>
    </row>
    <row r="13" spans="1:27" x14ac:dyDescent="0.25">
      <c r="B13" s="95" t="s">
        <v>770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x14ac:dyDescent="0.25">
      <c r="C14" s="86"/>
    </row>
    <row r="15" spans="1:27" x14ac:dyDescent="0.25">
      <c r="B15" s="98"/>
      <c r="C15" s="82" t="s">
        <v>452</v>
      </c>
    </row>
    <row r="16" spans="1:27" x14ac:dyDescent="0.25">
      <c r="C16" s="86"/>
    </row>
    <row r="17" spans="2:27" x14ac:dyDescent="0.25">
      <c r="C17" s="7" t="str">
        <f ca="1">INDEX('Version control'!$H$34:$H$58,MATCH($A$1,'Version control'!$F$34:$F$58,0),1)&amp;"-A: Inputs to service model charge calculation"</f>
        <v>Section 513-A: Inputs to service model charge calculation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25">
      <c r="C18" s="86"/>
    </row>
    <row r="19" spans="2:27" x14ac:dyDescent="0.25">
      <c r="D19" s="295"/>
      <c r="E19" s="14" t="s">
        <v>97</v>
      </c>
      <c r="F19" s="14"/>
      <c r="G19" s="14" t="s">
        <v>94</v>
      </c>
      <c r="H19" s="409">
        <f>'Unit costs'!$H$121</f>
        <v>4.8216791977211342E-2</v>
      </c>
      <c r="I19" s="88"/>
      <c r="J19" s="88"/>
      <c r="K19" s="88"/>
      <c r="L19" s="88"/>
      <c r="M19" s="88"/>
      <c r="N19" s="88"/>
      <c r="P19" s="88"/>
    </row>
    <row r="20" spans="2:27" x14ac:dyDescent="0.25">
      <c r="C20" s="86"/>
      <c r="E20" s="295" t="s">
        <v>131</v>
      </c>
      <c r="G20" s="295" t="s">
        <v>606</v>
      </c>
      <c r="H20" s="274">
        <f>'Unit costs'!$H$122</f>
        <v>116672119.90617666</v>
      </c>
    </row>
    <row r="21" spans="2:27" x14ac:dyDescent="0.25">
      <c r="C21" s="86"/>
      <c r="E21" s="295" t="s">
        <v>121</v>
      </c>
      <c r="G21" s="295" t="s">
        <v>606</v>
      </c>
      <c r="H21" s="274">
        <f>'Unit costs'!$H$123</f>
        <v>3274152044.2851853</v>
      </c>
    </row>
    <row r="22" spans="2:27" x14ac:dyDescent="0.25">
      <c r="D22" s="86"/>
      <c r="E22" s="295"/>
    </row>
    <row r="23" spans="2:27" x14ac:dyDescent="0.25">
      <c r="D23" s="295"/>
      <c r="E23" s="96" t="s">
        <v>454</v>
      </c>
      <c r="H23" s="90"/>
      <c r="J23" s="90"/>
      <c r="K23" s="90"/>
      <c r="L23" s="90"/>
      <c r="M23" s="90"/>
      <c r="N23" s="90"/>
    </row>
    <row r="24" spans="2:27" x14ac:dyDescent="0.25">
      <c r="D24" s="295"/>
      <c r="E24" s="82" t="s">
        <v>455</v>
      </c>
      <c r="H24" s="90"/>
    </row>
    <row r="25" spans="2:27" x14ac:dyDescent="0.25">
      <c r="E25" s="86"/>
      <c r="F25" s="91" t="s">
        <v>124</v>
      </c>
      <c r="G25" s="91" t="s">
        <v>610</v>
      </c>
      <c r="H25" s="141"/>
      <c r="I25" s="91"/>
      <c r="J25" s="273">
        <f>'Inputs by customer type'!J56</f>
        <v>377.70000000000005</v>
      </c>
      <c r="K25" s="273">
        <f>'Inputs by customer type'!K56</f>
        <v>0</v>
      </c>
      <c r="L25" s="273">
        <f>'Inputs by customer type'!L56</f>
        <v>508.75</v>
      </c>
      <c r="M25" s="273">
        <f>'Inputs by customer type'!M56</f>
        <v>0</v>
      </c>
      <c r="N25" s="273">
        <f>'Inputs by customer type'!N56</f>
        <v>2380</v>
      </c>
      <c r="O25" s="273">
        <f>'Inputs by customer type'!O56</f>
        <v>840</v>
      </c>
      <c r="P25" s="273">
        <f>'Inputs by customer type'!P56</f>
        <v>0</v>
      </c>
      <c r="Q25" s="239"/>
      <c r="R25" s="273">
        <f>'Inputs by customer type'!R56</f>
        <v>0</v>
      </c>
      <c r="S25" s="273">
        <f>'Inputs by customer type'!S56</f>
        <v>0</v>
      </c>
      <c r="T25" s="273">
        <f>'Inputs by customer type'!T56</f>
        <v>0</v>
      </c>
      <c r="U25" s="273">
        <f>'Inputs by customer type'!U56</f>
        <v>0</v>
      </c>
      <c r="V25" s="273">
        <f>'Inputs by customer type'!V56</f>
        <v>0</v>
      </c>
      <c r="W25" s="273">
        <f>'Inputs by customer type'!W56</f>
        <v>0</v>
      </c>
      <c r="X25" s="273">
        <f>'Inputs by customer type'!X56</f>
        <v>0</v>
      </c>
      <c r="Y25" s="273">
        <f>'Inputs by customer type'!Y56</f>
        <v>0</v>
      </c>
    </row>
    <row r="26" spans="2:27" x14ac:dyDescent="0.25">
      <c r="E26" s="86"/>
      <c r="F26" s="295" t="s">
        <v>123</v>
      </c>
      <c r="G26" s="295" t="s">
        <v>610</v>
      </c>
      <c r="H26" s="385"/>
      <c r="J26" s="274">
        <f>'Inputs by customer type'!J57</f>
        <v>0</v>
      </c>
      <c r="K26" s="274">
        <f>'Inputs by customer type'!K57</f>
        <v>0</v>
      </c>
      <c r="L26" s="274">
        <f>'Inputs by customer type'!L57</f>
        <v>0</v>
      </c>
      <c r="M26" s="274">
        <f>'Inputs by customer type'!M57</f>
        <v>0</v>
      </c>
      <c r="N26" s="274">
        <f>'Inputs by customer type'!N57</f>
        <v>0</v>
      </c>
      <c r="O26" s="274">
        <f>'Inputs by customer type'!O57</f>
        <v>0</v>
      </c>
      <c r="P26" s="274">
        <f>'Inputs by customer type'!P57</f>
        <v>12718.10554</v>
      </c>
      <c r="Q26" s="280"/>
      <c r="R26" s="274">
        <f>'Inputs by customer type'!R57</f>
        <v>0</v>
      </c>
      <c r="S26" s="274">
        <f>'Inputs by customer type'!S57</f>
        <v>0</v>
      </c>
      <c r="T26" s="274">
        <f>'Inputs by customer type'!T57</f>
        <v>0</v>
      </c>
      <c r="U26" s="274">
        <f>'Inputs by customer type'!U57</f>
        <v>0</v>
      </c>
      <c r="V26" s="274">
        <f>'Inputs by customer type'!V57</f>
        <v>0</v>
      </c>
      <c r="W26" s="274">
        <f>'Inputs by customer type'!W57</f>
        <v>0</v>
      </c>
      <c r="X26" s="274">
        <f>'Inputs by customer type'!X57</f>
        <v>9287</v>
      </c>
      <c r="Y26" s="274">
        <f>'Inputs by customer type'!Y57</f>
        <v>9287</v>
      </c>
    </row>
    <row r="27" spans="2:27" x14ac:dyDescent="0.25">
      <c r="E27" s="86"/>
      <c r="F27" s="93" t="s">
        <v>453</v>
      </c>
      <c r="G27" s="93" t="s">
        <v>328</v>
      </c>
      <c r="H27" s="93"/>
      <c r="I27" s="93"/>
      <c r="J27" s="241"/>
      <c r="K27" s="241"/>
      <c r="L27" s="241"/>
      <c r="M27" s="241"/>
      <c r="N27" s="241"/>
      <c r="O27" s="241"/>
      <c r="P27" s="241"/>
      <c r="Q27" s="275">
        <f>'Inputs by customer type'!Q59</f>
        <v>120.51</v>
      </c>
      <c r="R27" s="241"/>
      <c r="S27" s="241"/>
      <c r="T27" s="241"/>
      <c r="U27" s="241"/>
      <c r="V27" s="241"/>
      <c r="W27" s="241"/>
      <c r="X27" s="241"/>
      <c r="Y27" s="241"/>
    </row>
    <row r="28" spans="2:27" x14ac:dyDescent="0.25">
      <c r="D28" s="86"/>
      <c r="E28" s="295"/>
    </row>
    <row r="29" spans="2:27" x14ac:dyDescent="0.25">
      <c r="B29" s="95" t="s">
        <v>518</v>
      </c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2:27" x14ac:dyDescent="0.25">
      <c r="C30" s="86"/>
    </row>
    <row r="31" spans="2:27" x14ac:dyDescent="0.25">
      <c r="C31" s="82" t="s">
        <v>456</v>
      </c>
    </row>
    <row r="32" spans="2:27" x14ac:dyDescent="0.25">
      <c r="C32" s="86"/>
    </row>
    <row r="33" spans="2:27" x14ac:dyDescent="0.25">
      <c r="C33" s="7" t="str">
        <f ca="1">INDEX('Version control'!$H$34:$H$58,MATCH($A$1,'Version control'!$F$34:$F$58,0),1)&amp;"-B: Calculation of other operating expenditure per £ of notional asset value"</f>
        <v>Section 513-B: Calculation of other operating expenditure per £ of notional asset value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27" x14ac:dyDescent="0.25">
      <c r="C34" s="86"/>
    </row>
    <row r="35" spans="2:27" x14ac:dyDescent="0.25">
      <c r="D35" s="295"/>
      <c r="E35" s="295" t="s">
        <v>457</v>
      </c>
      <c r="G35" s="295" t="s">
        <v>107</v>
      </c>
      <c r="H35" s="276">
        <f>IF(H21 &lt;&gt; 0, H20  /H21, 0)</f>
        <v>3.5634301134493764E-2</v>
      </c>
      <c r="I35" s="295" t="s">
        <v>431</v>
      </c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AA35" s="295" t="s">
        <v>912</v>
      </c>
    </row>
    <row r="36" spans="2:27" x14ac:dyDescent="0.25">
      <c r="D36" s="86"/>
      <c r="E36" s="295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</row>
    <row r="37" spans="2:27" x14ac:dyDescent="0.25">
      <c r="C37" s="7" t="str">
        <f ca="1">INDEX('Version control'!$H$34:$H$58,MATCH($A$1,'Version control'!$F$34:$F$58,0),1)&amp;"-C: Calculation of service model charges"</f>
        <v>Section 513-C: Calculation of service model charges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2:27" x14ac:dyDescent="0.25">
      <c r="C38" s="86"/>
    </row>
    <row r="39" spans="2:27" x14ac:dyDescent="0.25">
      <c r="D39" s="295"/>
      <c r="E39" s="82" t="s">
        <v>914</v>
      </c>
      <c r="H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</row>
    <row r="40" spans="2:27" x14ac:dyDescent="0.25">
      <c r="D40" s="295"/>
      <c r="E40" s="82"/>
      <c r="H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</row>
    <row r="41" spans="2:27" x14ac:dyDescent="0.25">
      <c r="D41" s="295"/>
      <c r="E41" s="96" t="s">
        <v>769</v>
      </c>
      <c r="H41" s="90"/>
      <c r="I41" s="295" t="s">
        <v>431</v>
      </c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AA41" s="295" t="s">
        <v>913</v>
      </c>
    </row>
    <row r="42" spans="2:27" x14ac:dyDescent="0.25">
      <c r="D42" s="295"/>
      <c r="E42" s="86"/>
      <c r="F42" s="91" t="s">
        <v>124</v>
      </c>
      <c r="G42" s="91" t="s">
        <v>309</v>
      </c>
      <c r="H42" s="141"/>
      <c r="I42" s="91"/>
      <c r="J42" s="255">
        <f t="shared" ref="J42:K42" si="0">J25 * $H$35 / days_in_year * hundred</f>
        <v>3.6874179557529576</v>
      </c>
      <c r="K42" s="255">
        <f t="shared" si="0"/>
        <v>0</v>
      </c>
      <c r="L42" s="255">
        <f t="shared" ref="L42:M42" si="1">L25 * $H$35 / days_in_year * hundred</f>
        <v>4.9668358088147135</v>
      </c>
      <c r="M42" s="255">
        <f t="shared" si="1"/>
        <v>0</v>
      </c>
      <c r="N42" s="255">
        <f t="shared" ref="N42:P42" si="2">N25 * $H$35 / days_in_year * hundred</f>
        <v>23.235516904135658</v>
      </c>
      <c r="O42" s="255">
        <f t="shared" si="2"/>
        <v>8.2007706720478808</v>
      </c>
      <c r="P42" s="255">
        <f t="shared" si="2"/>
        <v>0</v>
      </c>
      <c r="Q42" s="255">
        <f t="shared" ref="Q42:S42" si="3">Q25 * $H$35 / days_in_year * hundred</f>
        <v>0</v>
      </c>
      <c r="R42" s="255">
        <f t="shared" si="3"/>
        <v>0</v>
      </c>
      <c r="S42" s="255">
        <f t="shared" si="3"/>
        <v>0</v>
      </c>
      <c r="T42" s="255">
        <f t="shared" ref="T42:U42" si="4">T25 * $H$35 / days_in_year * hundred</f>
        <v>0</v>
      </c>
      <c r="U42" s="255">
        <f t="shared" si="4"/>
        <v>0</v>
      </c>
      <c r="V42" s="255">
        <f t="shared" ref="V42:W42" si="5">V25 * $H$35 / days_in_year * hundred</f>
        <v>0</v>
      </c>
      <c r="W42" s="255">
        <f t="shared" si="5"/>
        <v>0</v>
      </c>
      <c r="X42" s="255">
        <f t="shared" ref="X42:Y42" si="6">X25 * $H$35 / days_in_year * hundred</f>
        <v>0</v>
      </c>
      <c r="Y42" s="255">
        <f t="shared" si="6"/>
        <v>0</v>
      </c>
    </row>
    <row r="43" spans="2:27" x14ac:dyDescent="0.25">
      <c r="D43" s="295"/>
      <c r="E43" s="86"/>
      <c r="F43" s="295" t="s">
        <v>123</v>
      </c>
      <c r="G43" s="295" t="s">
        <v>309</v>
      </c>
      <c r="H43" s="385"/>
      <c r="J43" s="257">
        <f t="shared" ref="J43:K43" si="7">J26 * $H$35 / days_in_year * hundred</f>
        <v>0</v>
      </c>
      <c r="K43" s="257">
        <f t="shared" si="7"/>
        <v>0</v>
      </c>
      <c r="L43" s="257">
        <f t="shared" ref="L43:M43" si="8">L26 * $H$35 / days_in_year * hundred</f>
        <v>0</v>
      </c>
      <c r="M43" s="257">
        <f t="shared" si="8"/>
        <v>0</v>
      </c>
      <c r="N43" s="257">
        <f t="shared" ref="N43:P43" si="9">N26 * $H$35 / days_in_year * hundred</f>
        <v>0</v>
      </c>
      <c r="O43" s="257">
        <f t="shared" si="9"/>
        <v>0</v>
      </c>
      <c r="P43" s="257">
        <f t="shared" si="9"/>
        <v>124.16460347195436</v>
      </c>
      <c r="Q43" s="257">
        <f t="shared" ref="Q43:S43" si="10">Q26 * $H$35 / days_in_year * hundred</f>
        <v>0</v>
      </c>
      <c r="R43" s="257">
        <f t="shared" si="10"/>
        <v>0</v>
      </c>
      <c r="S43" s="257">
        <f t="shared" si="10"/>
        <v>0</v>
      </c>
      <c r="T43" s="257">
        <f t="shared" ref="T43:U43" si="11">T26 * $H$35 / days_in_year * hundred</f>
        <v>0</v>
      </c>
      <c r="U43" s="257">
        <f t="shared" si="11"/>
        <v>0</v>
      </c>
      <c r="V43" s="257">
        <f t="shared" ref="V43:W43" si="12">V26 * $H$35 / days_in_year * hundred</f>
        <v>0</v>
      </c>
      <c r="W43" s="257">
        <f t="shared" si="12"/>
        <v>0</v>
      </c>
      <c r="X43" s="257">
        <f t="shared" ref="X43:Y43" si="13">X26 * $H$35 / days_in_year * hundred</f>
        <v>90.667330037272208</v>
      </c>
      <c r="Y43" s="257">
        <f t="shared" si="13"/>
        <v>90.667330037272208</v>
      </c>
    </row>
    <row r="44" spans="2:27" x14ac:dyDescent="0.25">
      <c r="D44" s="295"/>
      <c r="E44" s="86"/>
      <c r="F44" s="93" t="s">
        <v>453</v>
      </c>
      <c r="G44" s="93" t="s">
        <v>183</v>
      </c>
      <c r="H44" s="354"/>
      <c r="I44" s="354"/>
      <c r="J44" s="359"/>
      <c r="K44" s="359"/>
      <c r="L44" s="359"/>
      <c r="M44" s="359"/>
      <c r="N44" s="359"/>
      <c r="O44" s="359"/>
      <c r="P44" s="359"/>
      <c r="Q44" s="360">
        <f t="shared" ref="Q44" si="14">Q27*$H$35/ten</f>
        <v>0.42942896297178434</v>
      </c>
      <c r="R44" s="359"/>
      <c r="S44" s="359"/>
      <c r="T44" s="359"/>
      <c r="U44" s="359"/>
      <c r="V44" s="359"/>
      <c r="W44" s="359"/>
      <c r="X44" s="359"/>
      <c r="Y44" s="359"/>
      <c r="Z44" s="352"/>
      <c r="AA44" s="352"/>
    </row>
    <row r="45" spans="2:27" x14ac:dyDescent="0.25">
      <c r="D45" s="86"/>
      <c r="E45" s="295"/>
    </row>
    <row r="46" spans="2:27" x14ac:dyDescent="0.25">
      <c r="B46" s="95" t="s">
        <v>109</v>
      </c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8" spans="2:27" x14ac:dyDescent="0.25">
      <c r="E48" s="295" t="s">
        <v>516</v>
      </c>
      <c r="G48" s="122" t="s">
        <v>692</v>
      </c>
      <c r="H48" s="152">
        <f t="array" ref="H48">SUM(IF(ISERROR(H19:Y45), 1))</f>
        <v>0</v>
      </c>
    </row>
    <row r="50" spans="2:27" x14ac:dyDescent="0.25">
      <c r="B50" s="95" t="s">
        <v>110</v>
      </c>
      <c r="C50" s="71"/>
      <c r="D50" s="78"/>
      <c r="E50" s="78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2"/>
      <c r="AA50" s="72"/>
    </row>
  </sheetData>
  <sheetProtection sheet="1" objects="1" formatCells="0" formatColumns="0" formatRows="0" sort="0" autoFilter="0"/>
  <conditionalFormatting sqref="H48">
    <cfRule type="cellIs" dxfId="99" priority="10" operator="greaterThan">
      <formula>0</formula>
    </cfRule>
  </conditionalFormatting>
  <conditionalFormatting sqref="A4:I4 Z4:XFD4">
    <cfRule type="expression" dxfId="98" priority="9">
      <formula>LEFT($A$4,1) &lt;&gt; "0"</formula>
    </cfRule>
  </conditionalFormatting>
  <conditionalFormatting sqref="N4:P4">
    <cfRule type="expression" dxfId="97" priority="8">
      <formula>LEFT($A$4,1) &lt;&gt; "0"</formula>
    </cfRule>
  </conditionalFormatting>
  <conditionalFormatting sqref="L4:M4">
    <cfRule type="expression" dxfId="96" priority="7">
      <formula>LEFT($A$4,1) &lt;&gt; "0"</formula>
    </cfRule>
  </conditionalFormatting>
  <conditionalFormatting sqref="J4:K4">
    <cfRule type="expression" dxfId="95" priority="6">
      <formula>LEFT($A$4,1) &lt;&gt; "0"</formula>
    </cfRule>
  </conditionalFormatting>
  <conditionalFormatting sqref="Q4">
    <cfRule type="expression" dxfId="94" priority="5">
      <formula>LEFT($A$4,1) &lt;&gt; "0"</formula>
    </cfRule>
  </conditionalFormatting>
  <conditionalFormatting sqref="R4:S4">
    <cfRule type="expression" dxfId="93" priority="4">
      <formula>LEFT($A$4,1) &lt;&gt; "0"</formula>
    </cfRule>
  </conditionalFormatting>
  <conditionalFormatting sqref="T4:U4">
    <cfRule type="expression" dxfId="92" priority="3">
      <formula>LEFT($A$4,1) &lt;&gt; "0"</formula>
    </cfRule>
  </conditionalFormatting>
  <conditionalFormatting sqref="V4:W4">
    <cfRule type="expression" dxfId="91" priority="2">
      <formula>LEFT($A$4,1) &lt;&gt; "0"</formula>
    </cfRule>
  </conditionalFormatting>
  <conditionalFormatting sqref="X4:Y4">
    <cfRule type="expression" dxfId="90" priority="1">
      <formula>LEFT($A$4,1) &lt;&gt; "0"</formula>
    </cfRule>
  </conditionalFormatting>
  <hyperlinks>
    <hyperlink ref="B5:F5" location="'Model map'!A1" display="Click here to return to model map" xr:uid="{00000000-0004-0000-1A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0">
    <tabColor theme="4" tint="0.59999389629810485"/>
    <pageSetUpPr fitToPage="1"/>
  </sheetPr>
  <dimension ref="A1:KZ2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12" width="24.5703125" style="295" hidden="1" customWidth="1"/>
    <col min="313" max="16384" width="8.5703125" style="295" hidden="1"/>
  </cols>
  <sheetData>
    <row r="1" spans="1:27" s="10" customFormat="1" x14ac:dyDescent="0.25">
      <c r="A1" s="10" t="str">
        <f ca="1">MID(CELL("filename",A1),FIND("]",CELL("filename",A1))+1,255)</f>
        <v>Unit rate charges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1" t="str">
        <f>H223 &amp; IF(H223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2" t="s">
        <v>552</v>
      </c>
      <c r="C5" s="373"/>
      <c r="D5" s="373"/>
      <c r="E5" s="373"/>
      <c r="F5" s="373"/>
      <c r="G5" s="1" t="s">
        <v>91</v>
      </c>
      <c r="H5" s="2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458</v>
      </c>
      <c r="D9" s="295"/>
    </row>
    <row r="10" spans="1:27" x14ac:dyDescent="0.25">
      <c r="C10" s="82" t="s">
        <v>459</v>
      </c>
      <c r="D10" s="295"/>
      <c r="E10" s="295"/>
    </row>
    <row r="11" spans="1:27" x14ac:dyDescent="0.25">
      <c r="C11" s="82" t="s">
        <v>461</v>
      </c>
      <c r="D11" s="295"/>
      <c r="E11" s="295"/>
    </row>
    <row r="12" spans="1:27" x14ac:dyDescent="0.25">
      <c r="C12" s="82" t="s">
        <v>460</v>
      </c>
    </row>
    <row r="13" spans="1:27" x14ac:dyDescent="0.25">
      <c r="C13" s="82" t="s">
        <v>462</v>
      </c>
      <c r="D13" s="295"/>
    </row>
    <row r="15" spans="1:27" x14ac:dyDescent="0.25">
      <c r="B15" s="95" t="s">
        <v>768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7" spans="3:27" x14ac:dyDescent="0.25">
      <c r="C17" s="82" t="s">
        <v>520</v>
      </c>
    </row>
    <row r="19" spans="3:27" x14ac:dyDescent="0.25">
      <c r="C19" s="7" t="str">
        <f ca="1">INDEX('Version control'!$H$34:$H$58,MATCH($A$1,'Version control'!$F$34:$F$58,0),1)&amp;"-A: Initial unit rate 1"</f>
        <v>Section 514-A: Initial unit rate 1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3:27" x14ac:dyDescent="0.25">
      <c r="C20" s="96"/>
      <c r="D20" s="295"/>
      <c r="E20" s="96"/>
    </row>
    <row r="21" spans="3:27" x14ac:dyDescent="0.25">
      <c r="D21" s="295"/>
      <c r="E21" s="96" t="s">
        <v>139</v>
      </c>
    </row>
    <row r="22" spans="3:27" x14ac:dyDescent="0.25">
      <c r="D22" s="295"/>
      <c r="F22" s="91" t="s">
        <v>324</v>
      </c>
      <c r="G22" s="91" t="s">
        <v>183</v>
      </c>
      <c r="H22" s="350"/>
      <c r="I22" s="350"/>
      <c r="J22" s="361">
        <f>'Initial unit rates'!J152</f>
        <v>0</v>
      </c>
      <c r="K22" s="361">
        <f>'Initial unit rates'!K152</f>
        <v>0</v>
      </c>
      <c r="L22" s="361">
        <f>'Initial unit rates'!L152</f>
        <v>0</v>
      </c>
      <c r="M22" s="361">
        <f>'Initial unit rates'!M152</f>
        <v>0</v>
      </c>
      <c r="N22" s="361">
        <f>'Initial unit rates'!N152</f>
        <v>0</v>
      </c>
      <c r="O22" s="361">
        <f>'Initial unit rates'!O152</f>
        <v>0</v>
      </c>
      <c r="P22" s="361">
        <f>'Initial unit rates'!P152</f>
        <v>0</v>
      </c>
      <c r="Q22" s="361">
        <f>'Initial unit rates'!Q152</f>
        <v>0</v>
      </c>
      <c r="R22" s="361">
        <f>'Initial unit rates'!R152</f>
        <v>0</v>
      </c>
      <c r="S22" s="361">
        <f>'Initial unit rates'!S152</f>
        <v>0</v>
      </c>
      <c r="T22" s="361">
        <f>'Initial unit rates'!T152</f>
        <v>0</v>
      </c>
      <c r="U22" s="361">
        <f>'Initial unit rates'!U152</f>
        <v>0</v>
      </c>
      <c r="V22" s="361">
        <f>'Initial unit rates'!V152</f>
        <v>0</v>
      </c>
      <c r="W22" s="361">
        <f>'Initial unit rates'!W152</f>
        <v>0</v>
      </c>
      <c r="X22" s="361">
        <f>'Initial unit rates'!X152</f>
        <v>0</v>
      </c>
      <c r="Y22" s="361">
        <f>'Initial unit rates'!Y152</f>
        <v>0</v>
      </c>
      <c r="Z22" s="352"/>
      <c r="AA22" s="352"/>
    </row>
    <row r="23" spans="3:27" x14ac:dyDescent="0.25">
      <c r="D23" s="295"/>
      <c r="F23" s="295" t="s">
        <v>43</v>
      </c>
      <c r="G23" s="295" t="s">
        <v>183</v>
      </c>
      <c r="H23" s="352"/>
      <c r="I23" s="352"/>
      <c r="J23" s="421">
        <f>'Initial unit rates'!J153</f>
        <v>0</v>
      </c>
      <c r="K23" s="421">
        <f>'Initial unit rates'!K153</f>
        <v>0</v>
      </c>
      <c r="L23" s="421">
        <f>'Initial unit rates'!L153</f>
        <v>0</v>
      </c>
      <c r="M23" s="421">
        <f>'Initial unit rates'!M153</f>
        <v>0</v>
      </c>
      <c r="N23" s="421">
        <f>'Initial unit rates'!N153</f>
        <v>0</v>
      </c>
      <c r="O23" s="421">
        <f>'Initial unit rates'!O153</f>
        <v>0</v>
      </c>
      <c r="P23" s="421">
        <f>'Initial unit rates'!P153</f>
        <v>0</v>
      </c>
      <c r="Q23" s="421">
        <f>'Initial unit rates'!Q153</f>
        <v>0</v>
      </c>
      <c r="R23" s="421">
        <f>'Initial unit rates'!R153</f>
        <v>0</v>
      </c>
      <c r="S23" s="421">
        <f>'Initial unit rates'!S153</f>
        <v>0</v>
      </c>
      <c r="T23" s="421">
        <f>'Initial unit rates'!T153</f>
        <v>0</v>
      </c>
      <c r="U23" s="421">
        <f>'Initial unit rates'!U153</f>
        <v>0</v>
      </c>
      <c r="V23" s="421">
        <f>'Initial unit rates'!V153</f>
        <v>0</v>
      </c>
      <c r="W23" s="421">
        <f>'Initial unit rates'!W153</f>
        <v>0</v>
      </c>
      <c r="X23" s="421">
        <f>'Initial unit rates'!X153</f>
        <v>0</v>
      </c>
      <c r="Y23" s="421">
        <f>'Initial unit rates'!Y153</f>
        <v>0</v>
      </c>
      <c r="Z23" s="352"/>
      <c r="AA23" s="352"/>
    </row>
    <row r="24" spans="3:27" x14ac:dyDescent="0.25">
      <c r="D24" s="295"/>
      <c r="F24" s="295" t="s">
        <v>44</v>
      </c>
      <c r="G24" s="295" t="s">
        <v>183</v>
      </c>
      <c r="H24" s="352"/>
      <c r="I24" s="352"/>
      <c r="J24" s="421">
        <f>'Initial unit rates'!J154</f>
        <v>0</v>
      </c>
      <c r="K24" s="421">
        <f>'Initial unit rates'!K154</f>
        <v>0</v>
      </c>
      <c r="L24" s="421">
        <f>'Initial unit rates'!L154</f>
        <v>0</v>
      </c>
      <c r="M24" s="421">
        <f>'Initial unit rates'!M154</f>
        <v>0</v>
      </c>
      <c r="N24" s="421">
        <f>'Initial unit rates'!N154</f>
        <v>0</v>
      </c>
      <c r="O24" s="421">
        <f>'Initial unit rates'!O154</f>
        <v>0</v>
      </c>
      <c r="P24" s="421">
        <f>'Initial unit rates'!P154</f>
        <v>0</v>
      </c>
      <c r="Q24" s="421">
        <f>'Initial unit rates'!Q154</f>
        <v>0</v>
      </c>
      <c r="R24" s="421">
        <f>'Initial unit rates'!R154</f>
        <v>0</v>
      </c>
      <c r="S24" s="421">
        <f>'Initial unit rates'!S154</f>
        <v>0</v>
      </c>
      <c r="T24" s="421">
        <f>'Initial unit rates'!T154</f>
        <v>0</v>
      </c>
      <c r="U24" s="421">
        <f>'Initial unit rates'!U154</f>
        <v>0</v>
      </c>
      <c r="V24" s="421">
        <f>'Initial unit rates'!V154</f>
        <v>0</v>
      </c>
      <c r="W24" s="421">
        <f>'Initial unit rates'!W154</f>
        <v>0</v>
      </c>
      <c r="X24" s="421">
        <f>'Initial unit rates'!X154</f>
        <v>0</v>
      </c>
      <c r="Y24" s="421">
        <f>'Initial unit rates'!Y154</f>
        <v>0</v>
      </c>
      <c r="Z24" s="352"/>
      <c r="AA24" s="352"/>
    </row>
    <row r="25" spans="3:27" x14ac:dyDescent="0.25">
      <c r="D25" s="295"/>
      <c r="F25" s="295" t="s">
        <v>45</v>
      </c>
      <c r="G25" s="295" t="s">
        <v>183</v>
      </c>
      <c r="H25" s="352"/>
      <c r="I25" s="352"/>
      <c r="J25" s="421">
        <f>'Initial unit rates'!J155</f>
        <v>0</v>
      </c>
      <c r="K25" s="421">
        <f>'Initial unit rates'!K155</f>
        <v>0</v>
      </c>
      <c r="L25" s="421">
        <f>'Initial unit rates'!L155</f>
        <v>0</v>
      </c>
      <c r="M25" s="421">
        <f>'Initial unit rates'!M155</f>
        <v>0</v>
      </c>
      <c r="N25" s="421">
        <f>'Initial unit rates'!N155</f>
        <v>0</v>
      </c>
      <c r="O25" s="421">
        <f>'Initial unit rates'!O155</f>
        <v>0</v>
      </c>
      <c r="P25" s="421">
        <f>'Initial unit rates'!P155</f>
        <v>0</v>
      </c>
      <c r="Q25" s="421">
        <f>'Initial unit rates'!Q155</f>
        <v>0</v>
      </c>
      <c r="R25" s="421">
        <f>'Initial unit rates'!R155</f>
        <v>0</v>
      </c>
      <c r="S25" s="421">
        <f>'Initial unit rates'!S155</f>
        <v>0</v>
      </c>
      <c r="T25" s="421">
        <f>'Initial unit rates'!T155</f>
        <v>0</v>
      </c>
      <c r="U25" s="421">
        <f>'Initial unit rates'!U155</f>
        <v>0</v>
      </c>
      <c r="V25" s="421">
        <f>'Initial unit rates'!V155</f>
        <v>0</v>
      </c>
      <c r="W25" s="421">
        <f>'Initial unit rates'!W155</f>
        <v>0</v>
      </c>
      <c r="X25" s="421">
        <f>'Initial unit rates'!X155</f>
        <v>0</v>
      </c>
      <c r="Y25" s="421">
        <f>'Initial unit rates'!Y155</f>
        <v>0</v>
      </c>
      <c r="Z25" s="352"/>
      <c r="AA25" s="352"/>
    </row>
    <row r="26" spans="3:27" x14ac:dyDescent="0.25">
      <c r="D26" s="295"/>
      <c r="F26" s="295" t="s">
        <v>46</v>
      </c>
      <c r="G26" s="295" t="s">
        <v>183</v>
      </c>
      <c r="H26" s="352"/>
      <c r="I26" s="352"/>
      <c r="J26" s="421">
        <f>'Initial unit rates'!J156</f>
        <v>1.7958309065063878</v>
      </c>
      <c r="K26" s="421">
        <f>'Initial unit rates'!K156</f>
        <v>1.7958309065063878</v>
      </c>
      <c r="L26" s="421">
        <f>'Initial unit rates'!L156</f>
        <v>2.0858666866723046</v>
      </c>
      <c r="M26" s="421">
        <f>'Initial unit rates'!M156</f>
        <v>2.0858666866723046</v>
      </c>
      <c r="N26" s="421">
        <f>'Initial unit rates'!N156</f>
        <v>1.612431896562593</v>
      </c>
      <c r="O26" s="421">
        <f>'Initial unit rates'!O156</f>
        <v>1.3114528318518921</v>
      </c>
      <c r="P26" s="421">
        <f>'Initial unit rates'!P156</f>
        <v>1.267502927171626</v>
      </c>
      <c r="Q26" s="421">
        <f>'Initial unit rates'!Q156</f>
        <v>3.8982206606005354</v>
      </c>
      <c r="R26" s="421">
        <f>'Initial unit rates'!R156</f>
        <v>-1.2842072914547749</v>
      </c>
      <c r="S26" s="421">
        <f>'Initial unit rates'!S156</f>
        <v>-1.2210495558094581</v>
      </c>
      <c r="T26" s="421">
        <f>'Initial unit rates'!T156</f>
        <v>-1.2842072914547749</v>
      </c>
      <c r="U26" s="421">
        <f>'Initial unit rates'!U156</f>
        <v>-1.2842072914547749</v>
      </c>
      <c r="V26" s="421">
        <f>'Initial unit rates'!V156</f>
        <v>-1.2210495558094581</v>
      </c>
      <c r="W26" s="421">
        <f>'Initial unit rates'!W156</f>
        <v>-1.2210495558094581</v>
      </c>
      <c r="X26" s="421">
        <f>'Initial unit rates'!X156</f>
        <v>-1.1626764971069683</v>
      </c>
      <c r="Y26" s="421">
        <f>'Initial unit rates'!Y156</f>
        <v>-1.1626764971069683</v>
      </c>
      <c r="Z26" s="352"/>
      <c r="AA26" s="352"/>
    </row>
    <row r="27" spans="3:27" x14ac:dyDescent="0.25">
      <c r="D27" s="295"/>
      <c r="F27" s="295" t="s">
        <v>47</v>
      </c>
      <c r="G27" s="295" t="s">
        <v>183</v>
      </c>
      <c r="H27" s="352"/>
      <c r="I27" s="352"/>
      <c r="J27" s="421">
        <f>'Initial unit rates'!J157</f>
        <v>0.40311898458711498</v>
      </c>
      <c r="K27" s="421">
        <f>'Initial unit rates'!K157</f>
        <v>0.40311898458711498</v>
      </c>
      <c r="L27" s="421">
        <f>'Initial unit rates'!L157</f>
        <v>0.46822474079768722</v>
      </c>
      <c r="M27" s="421">
        <f>'Initial unit rates'!M157</f>
        <v>0.46822474079768722</v>
      </c>
      <c r="N27" s="421">
        <f>'Initial unit rates'!N157</f>
        <v>0.36195050798112338</v>
      </c>
      <c r="O27" s="421">
        <f>'Initial unit rates'!O157</f>
        <v>0.29438825893608744</v>
      </c>
      <c r="P27" s="421">
        <f>'Initial unit rates'!P157</f>
        <v>0.2519203606932246</v>
      </c>
      <c r="Q27" s="421">
        <f>'Initial unit rates'!Q157</f>
        <v>0.90142027187854401</v>
      </c>
      <c r="R27" s="421">
        <f>'Initial unit rates'!R157</f>
        <v>-0.28827231865483915</v>
      </c>
      <c r="S27" s="421">
        <f>'Initial unit rates'!S157</f>
        <v>-0.27409499150787986</v>
      </c>
      <c r="T27" s="421">
        <f>'Initial unit rates'!T157</f>
        <v>-0.28827231865483915</v>
      </c>
      <c r="U27" s="421">
        <f>'Initial unit rates'!U157</f>
        <v>-0.28827231865483915</v>
      </c>
      <c r="V27" s="421">
        <f>'Initial unit rates'!V157</f>
        <v>-0.27409499150787986</v>
      </c>
      <c r="W27" s="421">
        <f>'Initial unit rates'!W157</f>
        <v>-0.27409499150787986</v>
      </c>
      <c r="X27" s="421">
        <f>'Initial unit rates'!X157</f>
        <v>-0.23108576417596077</v>
      </c>
      <c r="Y27" s="421">
        <f>'Initial unit rates'!Y157</f>
        <v>-0.23108576417596077</v>
      </c>
      <c r="Z27" s="352"/>
      <c r="AA27" s="352"/>
    </row>
    <row r="28" spans="3:27" x14ac:dyDescent="0.25">
      <c r="D28" s="295"/>
      <c r="F28" s="295" t="s">
        <v>51</v>
      </c>
      <c r="G28" s="295" t="s">
        <v>183</v>
      </c>
      <c r="H28" s="352"/>
      <c r="I28" s="352"/>
      <c r="J28" s="421">
        <f>'Initial unit rates'!J158</f>
        <v>0</v>
      </c>
      <c r="K28" s="421">
        <f>'Initial unit rates'!K158</f>
        <v>0</v>
      </c>
      <c r="L28" s="421">
        <f>'Initial unit rates'!L158</f>
        <v>0</v>
      </c>
      <c r="M28" s="421">
        <f>'Initial unit rates'!M158</f>
        <v>0</v>
      </c>
      <c r="N28" s="421">
        <f>'Initial unit rates'!N158</f>
        <v>0</v>
      </c>
      <c r="O28" s="421">
        <f>'Initial unit rates'!O158</f>
        <v>0</v>
      </c>
      <c r="P28" s="421">
        <f>'Initial unit rates'!P158</f>
        <v>0</v>
      </c>
      <c r="Q28" s="421">
        <f>'Initial unit rates'!Q158</f>
        <v>0</v>
      </c>
      <c r="R28" s="421">
        <f>'Initial unit rates'!R158</f>
        <v>0</v>
      </c>
      <c r="S28" s="421">
        <f>'Initial unit rates'!S158</f>
        <v>0</v>
      </c>
      <c r="T28" s="421">
        <f>'Initial unit rates'!T158</f>
        <v>0</v>
      </c>
      <c r="U28" s="421">
        <f>'Initial unit rates'!U158</f>
        <v>0</v>
      </c>
      <c r="V28" s="421">
        <f>'Initial unit rates'!V158</f>
        <v>0</v>
      </c>
      <c r="W28" s="421">
        <f>'Initial unit rates'!W158</f>
        <v>0</v>
      </c>
      <c r="X28" s="421">
        <f>'Initial unit rates'!X158</f>
        <v>0</v>
      </c>
      <c r="Y28" s="421">
        <f>'Initial unit rates'!Y158</f>
        <v>0</v>
      </c>
      <c r="Z28" s="352"/>
      <c r="AA28" s="352"/>
    </row>
    <row r="29" spans="3:27" x14ac:dyDescent="0.25">
      <c r="D29" s="295"/>
      <c r="F29" s="295" t="s">
        <v>48</v>
      </c>
      <c r="G29" s="295" t="s">
        <v>183</v>
      </c>
      <c r="H29" s="352"/>
      <c r="I29" s="352"/>
      <c r="J29" s="421">
        <f>'Initial unit rates'!J159</f>
        <v>1.3862526519345733</v>
      </c>
      <c r="K29" s="421">
        <f>'Initial unit rates'!K159</f>
        <v>1.3862526519345733</v>
      </c>
      <c r="L29" s="421">
        <f>'Initial unit rates'!L159</f>
        <v>1.6101394710967898</v>
      </c>
      <c r="M29" s="421">
        <f>'Initial unit rates'!M159</f>
        <v>1.6101394710967898</v>
      </c>
      <c r="N29" s="421">
        <f>'Initial unit rates'!N159</f>
        <v>1.2446817707476834</v>
      </c>
      <c r="O29" s="421">
        <f>'Initial unit rates'!O159</f>
        <v>1.0123475208356565</v>
      </c>
      <c r="P29" s="421">
        <f>'Initial unit rates'!P159</f>
        <v>0.69296942312551713</v>
      </c>
      <c r="Q29" s="421">
        <f>'Initial unit rates'!Q159</f>
        <v>3.0998198799272254</v>
      </c>
      <c r="R29" s="421">
        <f>'Initial unit rates'!R159</f>
        <v>-0.99131591786454487</v>
      </c>
      <c r="S29" s="421">
        <f>'Initial unit rates'!S159</f>
        <v>-0.94256267600235399</v>
      </c>
      <c r="T29" s="421">
        <f>'Initial unit rates'!T159</f>
        <v>-0.99131591786454487</v>
      </c>
      <c r="U29" s="421">
        <f>'Initial unit rates'!U159</f>
        <v>-0.99131591786454487</v>
      </c>
      <c r="V29" s="421">
        <f>'Initial unit rates'!V159</f>
        <v>-0.94256267600235399</v>
      </c>
      <c r="W29" s="421">
        <f>'Initial unit rates'!W159</f>
        <v>-0.94256267600235399</v>
      </c>
      <c r="X29" s="421">
        <f>'Initial unit rates'!X159</f>
        <v>0</v>
      </c>
      <c r="Y29" s="421">
        <f>'Initial unit rates'!Y159</f>
        <v>0</v>
      </c>
      <c r="Z29" s="352"/>
      <c r="AA29" s="352"/>
    </row>
    <row r="30" spans="3:27" x14ac:dyDescent="0.25">
      <c r="D30" s="295"/>
      <c r="F30" s="295" t="s">
        <v>49</v>
      </c>
      <c r="G30" s="295" t="s">
        <v>183</v>
      </c>
      <c r="H30" s="352"/>
      <c r="I30" s="352"/>
      <c r="J30" s="421">
        <f>'Initial unit rates'!J160</f>
        <v>0.31831573206254088</v>
      </c>
      <c r="K30" s="421">
        <f>'Initial unit rates'!K160</f>
        <v>0.31831573206254088</v>
      </c>
      <c r="L30" s="421">
        <f>'Initial unit rates'!L160</f>
        <v>0.36972533379806782</v>
      </c>
      <c r="M30" s="421">
        <f>'Initial unit rates'!M160</f>
        <v>0.36972533379806782</v>
      </c>
      <c r="N30" s="421">
        <f>'Initial unit rates'!N160</f>
        <v>0.2858077771664006</v>
      </c>
      <c r="O30" s="421">
        <f>'Initial unit rates'!O160</f>
        <v>0.23245844958117295</v>
      </c>
      <c r="P30" s="421">
        <f>'Initial unit rates'!P160</f>
        <v>0</v>
      </c>
      <c r="Q30" s="421">
        <f>'Initial unit rates'!Q160</f>
        <v>0.71179047554141128</v>
      </c>
      <c r="R30" s="421">
        <f>'Initial unit rates'!R160</f>
        <v>-0.22762910618056312</v>
      </c>
      <c r="S30" s="421">
        <f>'Initial unit rates'!S160</f>
        <v>0</v>
      </c>
      <c r="T30" s="421">
        <f>'Initial unit rates'!T160</f>
        <v>-0.22762910618056312</v>
      </c>
      <c r="U30" s="421">
        <f>'Initial unit rates'!U160</f>
        <v>-0.22762910618056312</v>
      </c>
      <c r="V30" s="421">
        <f>'Initial unit rates'!V160</f>
        <v>0</v>
      </c>
      <c r="W30" s="421">
        <f>'Initial unit rates'!W160</f>
        <v>0</v>
      </c>
      <c r="X30" s="421">
        <f>'Initial unit rates'!X160</f>
        <v>0</v>
      </c>
      <c r="Y30" s="421">
        <f>'Initial unit rates'!Y160</f>
        <v>0</v>
      </c>
      <c r="Z30" s="352"/>
      <c r="AA30" s="352"/>
    </row>
    <row r="31" spans="3:27" x14ac:dyDescent="0.25">
      <c r="D31" s="295"/>
      <c r="F31" s="295" t="s">
        <v>50</v>
      </c>
      <c r="G31" s="295" t="s">
        <v>183</v>
      </c>
      <c r="H31" s="352"/>
      <c r="I31" s="352"/>
      <c r="J31" s="421">
        <f>'Initial unit rates'!J161</f>
        <v>5.5924951462990508E-2</v>
      </c>
      <c r="K31" s="421">
        <f>'Initial unit rates'!K161</f>
        <v>5.5924951462990508E-2</v>
      </c>
      <c r="L31" s="421">
        <f>'Initial unit rates'!L161</f>
        <v>6.4957114162464455E-2</v>
      </c>
      <c r="M31" s="421">
        <f>'Initial unit rates'!M161</f>
        <v>6.4957114162464455E-2</v>
      </c>
      <c r="N31" s="421">
        <f>'Initial unit rates'!N161</f>
        <v>5.0213622689046861E-2</v>
      </c>
      <c r="O31" s="421">
        <f>'Initial unit rates'!O161</f>
        <v>0</v>
      </c>
      <c r="P31" s="421">
        <f>'Initial unit rates'!P161</f>
        <v>0</v>
      </c>
      <c r="Q31" s="421">
        <f>'Initial unit rates'!Q161</f>
        <v>0.12505460392592638</v>
      </c>
      <c r="R31" s="421">
        <f>'Initial unit rates'!R161</f>
        <v>0</v>
      </c>
      <c r="S31" s="421">
        <f>'Initial unit rates'!S161</f>
        <v>0</v>
      </c>
      <c r="T31" s="421">
        <f>'Initial unit rates'!T161</f>
        <v>0</v>
      </c>
      <c r="U31" s="421">
        <f>'Initial unit rates'!U161</f>
        <v>0</v>
      </c>
      <c r="V31" s="421">
        <f>'Initial unit rates'!V161</f>
        <v>0</v>
      </c>
      <c r="W31" s="421">
        <f>'Initial unit rates'!W161</f>
        <v>0</v>
      </c>
      <c r="X31" s="421">
        <f>'Initial unit rates'!X161</f>
        <v>0</v>
      </c>
      <c r="Y31" s="421">
        <f>'Initial unit rates'!Y161</f>
        <v>0</v>
      </c>
      <c r="Z31" s="352"/>
      <c r="AA31" s="352"/>
    </row>
    <row r="32" spans="3:27" x14ac:dyDescent="0.25">
      <c r="D32" s="295"/>
      <c r="F32" s="91" t="s">
        <v>124</v>
      </c>
      <c r="G32" s="91" t="s">
        <v>183</v>
      </c>
      <c r="H32" s="350"/>
      <c r="I32" s="350"/>
      <c r="J32" s="362"/>
      <c r="K32" s="362"/>
      <c r="L32" s="362"/>
      <c r="M32" s="362"/>
      <c r="N32" s="362"/>
      <c r="O32" s="362"/>
      <c r="P32" s="362"/>
      <c r="Q32" s="362"/>
      <c r="R32" s="362"/>
      <c r="S32" s="362"/>
      <c r="T32" s="362"/>
      <c r="U32" s="362"/>
      <c r="V32" s="362"/>
      <c r="W32" s="362"/>
      <c r="X32" s="362"/>
      <c r="Y32" s="362"/>
      <c r="Z32" s="352"/>
      <c r="AA32" s="352"/>
    </row>
    <row r="33" spans="4:27" x14ac:dyDescent="0.25">
      <c r="D33" s="295"/>
      <c r="F33" s="93" t="s">
        <v>123</v>
      </c>
      <c r="G33" s="93" t="s">
        <v>183</v>
      </c>
      <c r="H33" s="354"/>
      <c r="I33" s="354"/>
      <c r="J33" s="359"/>
      <c r="K33" s="359"/>
      <c r="L33" s="359"/>
      <c r="M33" s="359"/>
      <c r="N33" s="359"/>
      <c r="O33" s="359"/>
      <c r="P33" s="359"/>
      <c r="Q33" s="359"/>
      <c r="R33" s="359"/>
      <c r="S33" s="359"/>
      <c r="T33" s="359"/>
      <c r="U33" s="359"/>
      <c r="V33" s="359"/>
      <c r="W33" s="359"/>
      <c r="X33" s="359"/>
      <c r="Y33" s="359"/>
      <c r="Z33" s="352"/>
      <c r="AA33" s="352"/>
    </row>
    <row r="34" spans="4:27" x14ac:dyDescent="0.25">
      <c r="D34" s="295"/>
      <c r="J34" s="253"/>
      <c r="K34" s="253"/>
      <c r="L34" s="253"/>
      <c r="M34" s="253"/>
      <c r="N34" s="253"/>
      <c r="O34" s="253"/>
      <c r="P34" s="253"/>
      <c r="Q34" s="253"/>
      <c r="R34" s="253"/>
      <c r="S34" s="253"/>
      <c r="T34" s="253"/>
      <c r="U34" s="253"/>
      <c r="V34" s="253"/>
      <c r="W34" s="253"/>
      <c r="X34" s="253"/>
      <c r="Y34" s="253"/>
    </row>
    <row r="35" spans="4:27" x14ac:dyDescent="0.25">
      <c r="D35" s="295"/>
      <c r="E35" s="96" t="s">
        <v>116</v>
      </c>
      <c r="J35" s="253"/>
      <c r="K35" s="253"/>
      <c r="L35" s="253"/>
      <c r="M35" s="253"/>
      <c r="N35" s="253"/>
      <c r="O35" s="253"/>
      <c r="P35" s="253"/>
      <c r="Q35" s="253"/>
      <c r="R35" s="253"/>
      <c r="S35" s="253"/>
      <c r="T35" s="253"/>
      <c r="U35" s="253"/>
      <c r="V35" s="253"/>
      <c r="W35" s="253"/>
      <c r="X35" s="253"/>
      <c r="Y35" s="253"/>
    </row>
    <row r="36" spans="4:27" x14ac:dyDescent="0.25">
      <c r="D36" s="295"/>
      <c r="F36" s="91" t="s">
        <v>324</v>
      </c>
      <c r="G36" s="91" t="s">
        <v>183</v>
      </c>
      <c r="H36" s="350"/>
      <c r="I36" s="350"/>
      <c r="J36" s="361">
        <f>'Initial unit rates'!J164</f>
        <v>1.8751515036073518</v>
      </c>
      <c r="K36" s="361">
        <f>'Initial unit rates'!K164</f>
        <v>1.8751515036073518</v>
      </c>
      <c r="L36" s="361">
        <f>'Initial unit rates'!L164</f>
        <v>2.1779979616494836</v>
      </c>
      <c r="M36" s="361">
        <f>'Initial unit rates'!M164</f>
        <v>2.1779979616494836</v>
      </c>
      <c r="N36" s="361">
        <f>'Initial unit rates'!N164</f>
        <v>1.6836518874629611</v>
      </c>
      <c r="O36" s="361">
        <f>'Initial unit rates'!O164</f>
        <v>1.369378787639463</v>
      </c>
      <c r="P36" s="361">
        <f>'Initial unit rates'!P164</f>
        <v>1.3659699658727382</v>
      </c>
      <c r="Q36" s="361">
        <f>'Initial unit rates'!Q164</f>
        <v>4.0704023450285449</v>
      </c>
      <c r="R36" s="361">
        <f>'Initial unit rates'!R164</f>
        <v>-1.3409298307487285</v>
      </c>
      <c r="S36" s="361">
        <f>'Initial unit rates'!S164</f>
        <v>-1.2749824620233809</v>
      </c>
      <c r="T36" s="361">
        <f>'Initial unit rates'!T164</f>
        <v>-1.3409298307487285</v>
      </c>
      <c r="U36" s="361">
        <f>'Initial unit rates'!U164</f>
        <v>-1.3409298307487285</v>
      </c>
      <c r="V36" s="361">
        <f>'Initial unit rates'!V164</f>
        <v>-1.2749824620233809</v>
      </c>
      <c r="W36" s="361">
        <f>'Initial unit rates'!W164</f>
        <v>-1.2749824620233809</v>
      </c>
      <c r="X36" s="361">
        <f>'Initial unit rates'!X164</f>
        <v>-1.2530000057815984</v>
      </c>
      <c r="Y36" s="361">
        <f>'Initial unit rates'!Y164</f>
        <v>-1.2530000057815984</v>
      </c>
      <c r="Z36" s="352"/>
      <c r="AA36" s="352"/>
    </row>
    <row r="37" spans="4:27" x14ac:dyDescent="0.25">
      <c r="D37" s="295"/>
      <c r="F37" s="295" t="s">
        <v>43</v>
      </c>
      <c r="G37" s="295" t="s">
        <v>183</v>
      </c>
      <c r="H37" s="352"/>
      <c r="I37" s="352"/>
      <c r="J37" s="421">
        <f>'Initial unit rates'!J165</f>
        <v>0</v>
      </c>
      <c r="K37" s="421">
        <f>'Initial unit rates'!K165</f>
        <v>0</v>
      </c>
      <c r="L37" s="421">
        <f>'Initial unit rates'!L165</f>
        <v>0</v>
      </c>
      <c r="M37" s="421">
        <f>'Initial unit rates'!M165</f>
        <v>0</v>
      </c>
      <c r="N37" s="421">
        <f>'Initial unit rates'!N165</f>
        <v>0</v>
      </c>
      <c r="O37" s="421">
        <f>'Initial unit rates'!O165</f>
        <v>0</v>
      </c>
      <c r="P37" s="421">
        <f>'Initial unit rates'!P165</f>
        <v>0</v>
      </c>
      <c r="Q37" s="421">
        <f>'Initial unit rates'!Q165</f>
        <v>0</v>
      </c>
      <c r="R37" s="421">
        <f>'Initial unit rates'!R165</f>
        <v>0</v>
      </c>
      <c r="S37" s="421">
        <f>'Initial unit rates'!S165</f>
        <v>0</v>
      </c>
      <c r="T37" s="421">
        <f>'Initial unit rates'!T165</f>
        <v>0</v>
      </c>
      <c r="U37" s="421">
        <f>'Initial unit rates'!U165</f>
        <v>0</v>
      </c>
      <c r="V37" s="421">
        <f>'Initial unit rates'!V165</f>
        <v>0</v>
      </c>
      <c r="W37" s="421">
        <f>'Initial unit rates'!W165</f>
        <v>0</v>
      </c>
      <c r="X37" s="421">
        <f>'Initial unit rates'!X165</f>
        <v>0</v>
      </c>
      <c r="Y37" s="421">
        <f>'Initial unit rates'!Y165</f>
        <v>0</v>
      </c>
      <c r="Z37" s="352"/>
      <c r="AA37" s="352"/>
    </row>
    <row r="38" spans="4:27" x14ac:dyDescent="0.25">
      <c r="D38" s="295"/>
      <c r="F38" s="295" t="s">
        <v>44</v>
      </c>
      <c r="G38" s="295" t="s">
        <v>183</v>
      </c>
      <c r="H38" s="352"/>
      <c r="I38" s="352"/>
      <c r="J38" s="421">
        <f>'Initial unit rates'!J166</f>
        <v>0</v>
      </c>
      <c r="K38" s="421">
        <f>'Initial unit rates'!K166</f>
        <v>0</v>
      </c>
      <c r="L38" s="421">
        <f>'Initial unit rates'!L166</f>
        <v>0</v>
      </c>
      <c r="M38" s="421">
        <f>'Initial unit rates'!M166</f>
        <v>0</v>
      </c>
      <c r="N38" s="421">
        <f>'Initial unit rates'!N166</f>
        <v>0</v>
      </c>
      <c r="O38" s="421">
        <f>'Initial unit rates'!O166</f>
        <v>0</v>
      </c>
      <c r="P38" s="421">
        <f>'Initial unit rates'!P166</f>
        <v>0</v>
      </c>
      <c r="Q38" s="421">
        <f>'Initial unit rates'!Q166</f>
        <v>0</v>
      </c>
      <c r="R38" s="421">
        <f>'Initial unit rates'!R166</f>
        <v>0</v>
      </c>
      <c r="S38" s="421">
        <f>'Initial unit rates'!S166</f>
        <v>0</v>
      </c>
      <c r="T38" s="421">
        <f>'Initial unit rates'!T166</f>
        <v>0</v>
      </c>
      <c r="U38" s="421">
        <f>'Initial unit rates'!U166</f>
        <v>0</v>
      </c>
      <c r="V38" s="421">
        <f>'Initial unit rates'!V166</f>
        <v>0</v>
      </c>
      <c r="W38" s="421">
        <f>'Initial unit rates'!W166</f>
        <v>0</v>
      </c>
      <c r="X38" s="421">
        <f>'Initial unit rates'!X166</f>
        <v>0</v>
      </c>
      <c r="Y38" s="421">
        <f>'Initial unit rates'!Y166</f>
        <v>0</v>
      </c>
      <c r="Z38" s="352"/>
      <c r="AA38" s="352"/>
    </row>
    <row r="39" spans="4:27" x14ac:dyDescent="0.25">
      <c r="D39" s="295"/>
      <c r="F39" s="295" t="s">
        <v>45</v>
      </c>
      <c r="G39" s="295" t="s">
        <v>183</v>
      </c>
      <c r="H39" s="352"/>
      <c r="I39" s="352"/>
      <c r="J39" s="421">
        <f>'Initial unit rates'!J167</f>
        <v>0</v>
      </c>
      <c r="K39" s="421">
        <f>'Initial unit rates'!K167</f>
        <v>0</v>
      </c>
      <c r="L39" s="421">
        <f>'Initial unit rates'!L167</f>
        <v>0</v>
      </c>
      <c r="M39" s="421">
        <f>'Initial unit rates'!M167</f>
        <v>0</v>
      </c>
      <c r="N39" s="421">
        <f>'Initial unit rates'!N167</f>
        <v>0</v>
      </c>
      <c r="O39" s="421">
        <f>'Initial unit rates'!O167</f>
        <v>0</v>
      </c>
      <c r="P39" s="421">
        <f>'Initial unit rates'!P167</f>
        <v>0</v>
      </c>
      <c r="Q39" s="421">
        <f>'Initial unit rates'!Q167</f>
        <v>0</v>
      </c>
      <c r="R39" s="421">
        <f>'Initial unit rates'!R167</f>
        <v>0</v>
      </c>
      <c r="S39" s="421">
        <f>'Initial unit rates'!S167</f>
        <v>0</v>
      </c>
      <c r="T39" s="421">
        <f>'Initial unit rates'!T167</f>
        <v>0</v>
      </c>
      <c r="U39" s="421">
        <f>'Initial unit rates'!U167</f>
        <v>0</v>
      </c>
      <c r="V39" s="421">
        <f>'Initial unit rates'!V167</f>
        <v>0</v>
      </c>
      <c r="W39" s="421">
        <f>'Initial unit rates'!W167</f>
        <v>0</v>
      </c>
      <c r="X39" s="421">
        <f>'Initial unit rates'!X167</f>
        <v>0</v>
      </c>
      <c r="Y39" s="421">
        <f>'Initial unit rates'!Y167</f>
        <v>0</v>
      </c>
      <c r="Z39" s="352"/>
      <c r="AA39" s="352"/>
    </row>
    <row r="40" spans="4:27" x14ac:dyDescent="0.25">
      <c r="D40" s="295"/>
      <c r="F40" s="295" t="s">
        <v>46</v>
      </c>
      <c r="G40" s="295" t="s">
        <v>183</v>
      </c>
      <c r="H40" s="352"/>
      <c r="I40" s="352"/>
      <c r="J40" s="421">
        <f>'Initial unit rates'!J168</f>
        <v>1.3271969512058077</v>
      </c>
      <c r="K40" s="421">
        <f>'Initial unit rates'!K168</f>
        <v>1.3271969512058077</v>
      </c>
      <c r="L40" s="421">
        <f>'Initial unit rates'!L168</f>
        <v>1.5415459758172922</v>
      </c>
      <c r="M40" s="421">
        <f>'Initial unit rates'!M168</f>
        <v>1.5415459758172922</v>
      </c>
      <c r="N40" s="421">
        <f>'Initial unit rates'!N168</f>
        <v>1.1916571261756816</v>
      </c>
      <c r="O40" s="421">
        <f>'Initial unit rates'!O168</f>
        <v>0.96922053951623688</v>
      </c>
      <c r="P40" s="421">
        <f>'Initial unit rates'!P168</f>
        <v>0.96680783961049732</v>
      </c>
      <c r="Q40" s="421">
        <f>'Initial unit rates'!Q168</f>
        <v>2.8809541906935197</v>
      </c>
      <c r="R40" s="421">
        <f>'Initial unit rates'!R168</f>
        <v>-0.94908490312753313</v>
      </c>
      <c r="S40" s="421">
        <f>'Initial unit rates'!S168</f>
        <v>-0.90240859641634319</v>
      </c>
      <c r="T40" s="421">
        <f>'Initial unit rates'!T168</f>
        <v>-0.94908490312753313</v>
      </c>
      <c r="U40" s="421">
        <f>'Initial unit rates'!U168</f>
        <v>-0.94908490312753313</v>
      </c>
      <c r="V40" s="421">
        <f>'Initial unit rates'!V168</f>
        <v>-0.90240859641634319</v>
      </c>
      <c r="W40" s="421">
        <f>'Initial unit rates'!W168</f>
        <v>-0.90240859641634319</v>
      </c>
      <c r="X40" s="421">
        <f>'Initial unit rates'!X168</f>
        <v>-0.88684982751261299</v>
      </c>
      <c r="Y40" s="421">
        <f>'Initial unit rates'!Y168</f>
        <v>-0.88684982751261299</v>
      </c>
      <c r="Z40" s="352"/>
      <c r="AA40" s="352"/>
    </row>
    <row r="41" spans="4:27" x14ac:dyDescent="0.25">
      <c r="D41" s="295"/>
      <c r="F41" s="295" t="s">
        <v>47</v>
      </c>
      <c r="G41" s="295" t="s">
        <v>183</v>
      </c>
      <c r="H41" s="352"/>
      <c r="I41" s="352"/>
      <c r="J41" s="421">
        <f>'Initial unit rates'!J169</f>
        <v>0.29792241874154252</v>
      </c>
      <c r="K41" s="421">
        <f>'Initial unit rates'!K169</f>
        <v>0.29792241874154252</v>
      </c>
      <c r="L41" s="421">
        <f>'Initial unit rates'!L169</f>
        <v>0.34603839716443235</v>
      </c>
      <c r="M41" s="421">
        <f>'Initial unit rates'!M169</f>
        <v>0.34603839716443235</v>
      </c>
      <c r="N41" s="421">
        <f>'Initial unit rates'!N169</f>
        <v>0.26749712845429946</v>
      </c>
      <c r="O41" s="421">
        <f>'Initial unit rates'!O169</f>
        <v>0.2175656952529296</v>
      </c>
      <c r="P41" s="421">
        <f>'Initial unit rates'!P169</f>
        <v>0.21702410465406455</v>
      </c>
      <c r="Q41" s="421">
        <f>'Initial unit rates'!Q169</f>
        <v>0.666188688621981</v>
      </c>
      <c r="R41" s="421">
        <f>'Initial unit rates'!R169</f>
        <v>-0.21304575004783205</v>
      </c>
      <c r="S41" s="421">
        <f>'Initial unit rates'!S169</f>
        <v>-0.20256809020941408</v>
      </c>
      <c r="T41" s="421">
        <f>'Initial unit rates'!T169</f>
        <v>-0.21304575004783205</v>
      </c>
      <c r="U41" s="421">
        <f>'Initial unit rates'!U169</f>
        <v>-0.21304575004783205</v>
      </c>
      <c r="V41" s="421">
        <f>'Initial unit rates'!V169</f>
        <v>-0.20256809020941408</v>
      </c>
      <c r="W41" s="421">
        <f>'Initial unit rates'!W169</f>
        <v>-0.20256809020941408</v>
      </c>
      <c r="X41" s="421">
        <f>'Initial unit rates'!X169</f>
        <v>-0.19907553692994143</v>
      </c>
      <c r="Y41" s="421">
        <f>'Initial unit rates'!Y169</f>
        <v>-0.19907553692994143</v>
      </c>
      <c r="Z41" s="352"/>
      <c r="AA41" s="352"/>
    </row>
    <row r="42" spans="4:27" x14ac:dyDescent="0.25">
      <c r="D42" s="295"/>
      <c r="F42" s="295" t="s">
        <v>51</v>
      </c>
      <c r="G42" s="295" t="s">
        <v>183</v>
      </c>
      <c r="H42" s="352"/>
      <c r="I42" s="352"/>
      <c r="J42" s="421">
        <f>'Initial unit rates'!J170</f>
        <v>0</v>
      </c>
      <c r="K42" s="421">
        <f>'Initial unit rates'!K170</f>
        <v>0</v>
      </c>
      <c r="L42" s="421">
        <f>'Initial unit rates'!L170</f>
        <v>0</v>
      </c>
      <c r="M42" s="421">
        <f>'Initial unit rates'!M170</f>
        <v>0</v>
      </c>
      <c r="N42" s="421">
        <f>'Initial unit rates'!N170</f>
        <v>0</v>
      </c>
      <c r="O42" s="421">
        <f>'Initial unit rates'!O170</f>
        <v>0</v>
      </c>
      <c r="P42" s="421">
        <f>'Initial unit rates'!P170</f>
        <v>0</v>
      </c>
      <c r="Q42" s="421">
        <f>'Initial unit rates'!Q170</f>
        <v>0</v>
      </c>
      <c r="R42" s="421">
        <f>'Initial unit rates'!R170</f>
        <v>0</v>
      </c>
      <c r="S42" s="421">
        <f>'Initial unit rates'!S170</f>
        <v>0</v>
      </c>
      <c r="T42" s="421">
        <f>'Initial unit rates'!T170</f>
        <v>0</v>
      </c>
      <c r="U42" s="421">
        <f>'Initial unit rates'!U170</f>
        <v>0</v>
      </c>
      <c r="V42" s="421">
        <f>'Initial unit rates'!V170</f>
        <v>0</v>
      </c>
      <c r="W42" s="421">
        <f>'Initial unit rates'!W170</f>
        <v>0</v>
      </c>
      <c r="X42" s="421">
        <f>'Initial unit rates'!X170</f>
        <v>0</v>
      </c>
      <c r="Y42" s="421">
        <f>'Initial unit rates'!Y170</f>
        <v>0</v>
      </c>
      <c r="Z42" s="352"/>
      <c r="AA42" s="352"/>
    </row>
    <row r="43" spans="4:27" x14ac:dyDescent="0.25">
      <c r="D43" s="295"/>
      <c r="F43" s="295" t="s">
        <v>48</v>
      </c>
      <c r="G43" s="295" t="s">
        <v>183</v>
      </c>
      <c r="H43" s="352"/>
      <c r="I43" s="352"/>
      <c r="J43" s="421">
        <f>'Initial unit rates'!J171</f>
        <v>1.2816705915961015</v>
      </c>
      <c r="K43" s="421">
        <f>'Initial unit rates'!K171</f>
        <v>1.2816705915961015</v>
      </c>
      <c r="L43" s="421">
        <f>'Initial unit rates'!L171</f>
        <v>1.4886668787200668</v>
      </c>
      <c r="M43" s="421">
        <f>'Initial unit rates'!M171</f>
        <v>1.4886668787200668</v>
      </c>
      <c r="N43" s="421">
        <f>'Initial unit rates'!N171</f>
        <v>1.1507801404288012</v>
      </c>
      <c r="O43" s="421">
        <f>'Initial unit rates'!O171</f>
        <v>0.93597371598862078</v>
      </c>
      <c r="P43" s="421">
        <f>'Initial unit rates'!P171</f>
        <v>0.93364377805987264</v>
      </c>
      <c r="Q43" s="421">
        <f>'Initial unit rates'!Q171</f>
        <v>2.865962401444837</v>
      </c>
      <c r="R43" s="421">
        <f>'Initial unit rates'!R171</f>
        <v>-0.91652878509194657</v>
      </c>
      <c r="S43" s="421">
        <f>'Initial unit rates'!S171</f>
        <v>-0.87145359893988361</v>
      </c>
      <c r="T43" s="421">
        <f>'Initial unit rates'!T171</f>
        <v>-0.91652878509194657</v>
      </c>
      <c r="U43" s="421">
        <f>'Initial unit rates'!U171</f>
        <v>-0.91652878509194657</v>
      </c>
      <c r="V43" s="421">
        <f>'Initial unit rates'!V171</f>
        <v>-0.87145359893988361</v>
      </c>
      <c r="W43" s="421">
        <f>'Initial unit rates'!W171</f>
        <v>-0.87145359893988361</v>
      </c>
      <c r="X43" s="421">
        <f>'Initial unit rates'!X171</f>
        <v>0</v>
      </c>
      <c r="Y43" s="421">
        <f>'Initial unit rates'!Y171</f>
        <v>0</v>
      </c>
      <c r="Z43" s="352"/>
      <c r="AA43" s="352"/>
    </row>
    <row r="44" spans="4:27" x14ac:dyDescent="0.25">
      <c r="D44" s="295"/>
      <c r="F44" s="295" t="s">
        <v>49</v>
      </c>
      <c r="G44" s="295" t="s">
        <v>183</v>
      </c>
      <c r="H44" s="352"/>
      <c r="I44" s="352"/>
      <c r="J44" s="421">
        <f>'Initial unit rates'!J172</f>
        <v>0.3221201107161773</v>
      </c>
      <c r="K44" s="421">
        <f>'Initial unit rates'!K172</f>
        <v>0.3221201107161773</v>
      </c>
      <c r="L44" s="421">
        <f>'Initial unit rates'!L172</f>
        <v>0.37414413885836451</v>
      </c>
      <c r="M44" s="421">
        <f>'Initial unit rates'!M172</f>
        <v>0.37414413885836451</v>
      </c>
      <c r="N44" s="421">
        <f>'Initial unit rates'!N172</f>
        <v>0.28922363411902369</v>
      </c>
      <c r="O44" s="421">
        <f>'Initial unit rates'!O172</f>
        <v>0.23523669732191077</v>
      </c>
      <c r="P44" s="421">
        <f>'Initial unit rates'!P172</f>
        <v>0</v>
      </c>
      <c r="Q44" s="421">
        <f>'Initial unit rates'!Q172</f>
        <v>0.72029750242778401</v>
      </c>
      <c r="R44" s="421">
        <f>'Initial unit rates'!R172</f>
        <v>-0.23034963559608548</v>
      </c>
      <c r="S44" s="421">
        <f>'Initial unit rates'!S172</f>
        <v>0</v>
      </c>
      <c r="T44" s="421">
        <f>'Initial unit rates'!T172</f>
        <v>-0.23034963559608548</v>
      </c>
      <c r="U44" s="421">
        <f>'Initial unit rates'!U172</f>
        <v>-0.23034963559608548</v>
      </c>
      <c r="V44" s="421">
        <f>'Initial unit rates'!V172</f>
        <v>0</v>
      </c>
      <c r="W44" s="421">
        <f>'Initial unit rates'!W172</f>
        <v>0</v>
      </c>
      <c r="X44" s="421">
        <f>'Initial unit rates'!X172</f>
        <v>0</v>
      </c>
      <c r="Y44" s="421">
        <f>'Initial unit rates'!Y172</f>
        <v>0</v>
      </c>
      <c r="Z44" s="352"/>
      <c r="AA44" s="352"/>
    </row>
    <row r="45" spans="4:27" x14ac:dyDescent="0.25">
      <c r="D45" s="295"/>
      <c r="F45" s="295" t="s">
        <v>50</v>
      </c>
      <c r="G45" s="295" t="s">
        <v>183</v>
      </c>
      <c r="H45" s="352"/>
      <c r="I45" s="352"/>
      <c r="J45" s="421">
        <f>'Initial unit rates'!J173</f>
        <v>0.54181621035669014</v>
      </c>
      <c r="K45" s="421">
        <f>'Initial unit rates'!K173</f>
        <v>0.54181621035669014</v>
      </c>
      <c r="L45" s="421">
        <f>'Initial unit rates'!L173</f>
        <v>0.6293222704807222</v>
      </c>
      <c r="M45" s="421">
        <f>'Initial unit rates'!M173</f>
        <v>0.6293222704807222</v>
      </c>
      <c r="N45" s="421">
        <f>'Initial unit rates'!N173</f>
        <v>0.4864832966670446</v>
      </c>
      <c r="O45" s="421">
        <f>'Initial unit rates'!O173</f>
        <v>0</v>
      </c>
      <c r="P45" s="421">
        <f>'Initial unit rates'!P173</f>
        <v>0</v>
      </c>
      <c r="Q45" s="421">
        <f>'Initial unit rates'!Q173</f>
        <v>1.2115631719705942</v>
      </c>
      <c r="R45" s="421">
        <f>'Initial unit rates'!R173</f>
        <v>0</v>
      </c>
      <c r="S45" s="421">
        <f>'Initial unit rates'!S173</f>
        <v>0</v>
      </c>
      <c r="T45" s="421">
        <f>'Initial unit rates'!T173</f>
        <v>0</v>
      </c>
      <c r="U45" s="421">
        <f>'Initial unit rates'!U173</f>
        <v>0</v>
      </c>
      <c r="V45" s="421">
        <f>'Initial unit rates'!V173</f>
        <v>0</v>
      </c>
      <c r="W45" s="421">
        <f>'Initial unit rates'!W173</f>
        <v>0</v>
      </c>
      <c r="X45" s="421">
        <f>'Initial unit rates'!X173</f>
        <v>0</v>
      </c>
      <c r="Y45" s="421">
        <f>'Initial unit rates'!Y173</f>
        <v>0</v>
      </c>
      <c r="Z45" s="352"/>
      <c r="AA45" s="352"/>
    </row>
    <row r="46" spans="4:27" x14ac:dyDescent="0.25">
      <c r="D46" s="295"/>
      <c r="F46" s="91" t="s">
        <v>124</v>
      </c>
      <c r="G46" s="91" t="s">
        <v>183</v>
      </c>
      <c r="H46" s="350"/>
      <c r="I46" s="350" t="s">
        <v>431</v>
      </c>
      <c r="J46" s="362"/>
      <c r="K46" s="362"/>
      <c r="L46" s="362"/>
      <c r="M46" s="362"/>
      <c r="N46" s="362"/>
      <c r="O46" s="362"/>
      <c r="P46" s="362"/>
      <c r="Q46" s="361">
        <f>'Service model charges'!$Q$44</f>
        <v>0.42942896297178434</v>
      </c>
      <c r="R46" s="362"/>
      <c r="S46" s="362"/>
      <c r="T46" s="362"/>
      <c r="U46" s="362"/>
      <c r="V46" s="362"/>
      <c r="W46" s="362"/>
      <c r="X46" s="362"/>
      <c r="Y46" s="362"/>
      <c r="Z46" s="352"/>
      <c r="AA46" s="352" t="s">
        <v>837</v>
      </c>
    </row>
    <row r="47" spans="4:27" x14ac:dyDescent="0.25">
      <c r="D47" s="295"/>
      <c r="F47" s="93" t="s">
        <v>123</v>
      </c>
      <c r="G47" s="93" t="s">
        <v>183</v>
      </c>
      <c r="H47" s="354"/>
      <c r="I47" s="354"/>
      <c r="J47" s="359"/>
      <c r="K47" s="359"/>
      <c r="L47" s="359"/>
      <c r="M47" s="359"/>
      <c r="N47" s="359"/>
      <c r="O47" s="359"/>
      <c r="P47" s="359"/>
      <c r="Q47" s="359"/>
      <c r="R47" s="359"/>
      <c r="S47" s="359"/>
      <c r="T47" s="359"/>
      <c r="U47" s="359"/>
      <c r="V47" s="359"/>
      <c r="W47" s="359"/>
      <c r="X47" s="359"/>
      <c r="Y47" s="359"/>
      <c r="Z47" s="352"/>
      <c r="AA47" s="352"/>
    </row>
    <row r="48" spans="4:27" x14ac:dyDescent="0.25">
      <c r="J48" s="253"/>
      <c r="K48" s="253"/>
      <c r="L48" s="253"/>
      <c r="M48" s="253"/>
      <c r="N48" s="253"/>
      <c r="O48" s="253"/>
      <c r="P48" s="253"/>
      <c r="Q48" s="253"/>
      <c r="R48" s="253"/>
      <c r="S48" s="253"/>
      <c r="T48" s="253"/>
      <c r="U48" s="253"/>
      <c r="V48" s="253"/>
      <c r="W48" s="253"/>
      <c r="X48" s="253"/>
      <c r="Y48" s="253"/>
    </row>
    <row r="49" spans="3:27" x14ac:dyDescent="0.25">
      <c r="C49" s="7" t="str">
        <f ca="1">INDEX('Version control'!$H$34:$H$58,MATCH($A$1,'Version control'!$F$34:$F$58,0),1)&amp;"-B: Initial unit rate 2"</f>
        <v>Section 514-B: Initial unit rate 2</v>
      </c>
      <c r="D49" s="7"/>
      <c r="E49" s="7"/>
      <c r="F49" s="7"/>
      <c r="G49" s="7"/>
      <c r="H49" s="7"/>
      <c r="I49" s="7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7"/>
      <c r="AA49" s="7"/>
    </row>
    <row r="50" spans="3:27" x14ac:dyDescent="0.25">
      <c r="C50" s="96"/>
      <c r="D50" s="295"/>
      <c r="E50" s="96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</row>
    <row r="51" spans="3:27" x14ac:dyDescent="0.25">
      <c r="D51" s="295"/>
      <c r="E51" s="96" t="s">
        <v>139</v>
      </c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  <c r="U51" s="253"/>
      <c r="V51" s="253"/>
      <c r="W51" s="253"/>
      <c r="X51" s="253"/>
      <c r="Y51" s="253"/>
    </row>
    <row r="52" spans="3:27" x14ac:dyDescent="0.25">
      <c r="D52" s="295"/>
      <c r="F52" s="91" t="s">
        <v>324</v>
      </c>
      <c r="G52" s="91" t="s">
        <v>183</v>
      </c>
      <c r="H52" s="350"/>
      <c r="I52" s="350"/>
      <c r="J52" s="361">
        <f>'Initial unit rates'!J181</f>
        <v>0</v>
      </c>
      <c r="K52" s="361">
        <f>'Initial unit rates'!K181</f>
        <v>0</v>
      </c>
      <c r="L52" s="361">
        <f>'Initial unit rates'!L181</f>
        <v>0</v>
      </c>
      <c r="M52" s="361">
        <f>'Initial unit rates'!M181</f>
        <v>0</v>
      </c>
      <c r="N52" s="361">
        <f>'Initial unit rates'!N181</f>
        <v>0</v>
      </c>
      <c r="O52" s="361">
        <f>'Initial unit rates'!O181</f>
        <v>0</v>
      </c>
      <c r="P52" s="361">
        <f>'Initial unit rates'!P181</f>
        <v>0</v>
      </c>
      <c r="Q52" s="361">
        <f>'Initial unit rates'!Q181</f>
        <v>0</v>
      </c>
      <c r="R52" s="361">
        <f>'Initial unit rates'!R181</f>
        <v>0</v>
      </c>
      <c r="S52" s="361">
        <f>'Initial unit rates'!S181</f>
        <v>0</v>
      </c>
      <c r="T52" s="361">
        <f>'Initial unit rates'!T181</f>
        <v>0</v>
      </c>
      <c r="U52" s="361">
        <f>'Initial unit rates'!U181</f>
        <v>0</v>
      </c>
      <c r="V52" s="361">
        <f>'Initial unit rates'!V181</f>
        <v>0</v>
      </c>
      <c r="W52" s="361">
        <f>'Initial unit rates'!W181</f>
        <v>0</v>
      </c>
      <c r="X52" s="361">
        <f>'Initial unit rates'!X181</f>
        <v>0</v>
      </c>
      <c r="Y52" s="361">
        <f>'Initial unit rates'!Y181</f>
        <v>0</v>
      </c>
      <c r="Z52" s="352"/>
      <c r="AA52" s="352"/>
    </row>
    <row r="53" spans="3:27" x14ac:dyDescent="0.25">
      <c r="D53" s="295"/>
      <c r="F53" s="295" t="s">
        <v>43</v>
      </c>
      <c r="G53" s="295" t="s">
        <v>183</v>
      </c>
      <c r="H53" s="352"/>
      <c r="I53" s="352"/>
      <c r="J53" s="421">
        <f>'Initial unit rates'!J182</f>
        <v>0</v>
      </c>
      <c r="K53" s="421">
        <f>'Initial unit rates'!K182</f>
        <v>0</v>
      </c>
      <c r="L53" s="421">
        <f>'Initial unit rates'!L182</f>
        <v>0</v>
      </c>
      <c r="M53" s="421">
        <f>'Initial unit rates'!M182</f>
        <v>0</v>
      </c>
      <c r="N53" s="421">
        <f>'Initial unit rates'!N182</f>
        <v>0</v>
      </c>
      <c r="O53" s="421">
        <f>'Initial unit rates'!O182</f>
        <v>0</v>
      </c>
      <c r="P53" s="421">
        <f>'Initial unit rates'!P182</f>
        <v>0</v>
      </c>
      <c r="Q53" s="421">
        <f>'Initial unit rates'!Q182</f>
        <v>0</v>
      </c>
      <c r="R53" s="421">
        <f>'Initial unit rates'!R182</f>
        <v>0</v>
      </c>
      <c r="S53" s="421">
        <f>'Initial unit rates'!S182</f>
        <v>0</v>
      </c>
      <c r="T53" s="421">
        <f>'Initial unit rates'!T182</f>
        <v>0</v>
      </c>
      <c r="U53" s="421">
        <f>'Initial unit rates'!U182</f>
        <v>0</v>
      </c>
      <c r="V53" s="421">
        <f>'Initial unit rates'!V182</f>
        <v>0</v>
      </c>
      <c r="W53" s="421">
        <f>'Initial unit rates'!W182</f>
        <v>0</v>
      </c>
      <c r="X53" s="421">
        <f>'Initial unit rates'!X182</f>
        <v>0</v>
      </c>
      <c r="Y53" s="421">
        <f>'Initial unit rates'!Y182</f>
        <v>0</v>
      </c>
      <c r="Z53" s="352"/>
      <c r="AA53" s="352"/>
    </row>
    <row r="54" spans="3:27" x14ac:dyDescent="0.25">
      <c r="D54" s="295"/>
      <c r="F54" s="295" t="s">
        <v>44</v>
      </c>
      <c r="G54" s="295" t="s">
        <v>183</v>
      </c>
      <c r="H54" s="352"/>
      <c r="I54" s="352"/>
      <c r="J54" s="421">
        <f>'Initial unit rates'!J183</f>
        <v>0</v>
      </c>
      <c r="K54" s="421">
        <f>'Initial unit rates'!K183</f>
        <v>0</v>
      </c>
      <c r="L54" s="421">
        <f>'Initial unit rates'!L183</f>
        <v>0</v>
      </c>
      <c r="M54" s="421">
        <f>'Initial unit rates'!M183</f>
        <v>0</v>
      </c>
      <c r="N54" s="421">
        <f>'Initial unit rates'!N183</f>
        <v>0</v>
      </c>
      <c r="O54" s="421">
        <f>'Initial unit rates'!O183</f>
        <v>0</v>
      </c>
      <c r="P54" s="421">
        <f>'Initial unit rates'!P183</f>
        <v>0</v>
      </c>
      <c r="Q54" s="421">
        <f>'Initial unit rates'!Q183</f>
        <v>0</v>
      </c>
      <c r="R54" s="421">
        <f>'Initial unit rates'!R183</f>
        <v>0</v>
      </c>
      <c r="S54" s="421">
        <f>'Initial unit rates'!S183</f>
        <v>0</v>
      </c>
      <c r="T54" s="421">
        <f>'Initial unit rates'!T183</f>
        <v>0</v>
      </c>
      <c r="U54" s="421">
        <f>'Initial unit rates'!U183</f>
        <v>0</v>
      </c>
      <c r="V54" s="421">
        <f>'Initial unit rates'!V183</f>
        <v>0</v>
      </c>
      <c r="W54" s="421">
        <f>'Initial unit rates'!W183</f>
        <v>0</v>
      </c>
      <c r="X54" s="421">
        <f>'Initial unit rates'!X183</f>
        <v>0</v>
      </c>
      <c r="Y54" s="421">
        <f>'Initial unit rates'!Y183</f>
        <v>0</v>
      </c>
      <c r="Z54" s="352"/>
      <c r="AA54" s="352"/>
    </row>
    <row r="55" spans="3:27" x14ac:dyDescent="0.25">
      <c r="D55" s="295"/>
      <c r="F55" s="295" t="s">
        <v>45</v>
      </c>
      <c r="G55" s="295" t="s">
        <v>183</v>
      </c>
      <c r="H55" s="352"/>
      <c r="I55" s="352"/>
      <c r="J55" s="421">
        <f>'Initial unit rates'!J184</f>
        <v>0</v>
      </c>
      <c r="K55" s="421">
        <f>'Initial unit rates'!K184</f>
        <v>0</v>
      </c>
      <c r="L55" s="421">
        <f>'Initial unit rates'!L184</f>
        <v>0</v>
      </c>
      <c r="M55" s="421">
        <f>'Initial unit rates'!M184</f>
        <v>0</v>
      </c>
      <c r="N55" s="421">
        <f>'Initial unit rates'!N184</f>
        <v>0</v>
      </c>
      <c r="O55" s="421">
        <f>'Initial unit rates'!O184</f>
        <v>0</v>
      </c>
      <c r="P55" s="421">
        <f>'Initial unit rates'!P184</f>
        <v>0</v>
      </c>
      <c r="Q55" s="421">
        <f>'Initial unit rates'!Q184</f>
        <v>0</v>
      </c>
      <c r="R55" s="421">
        <f>'Initial unit rates'!R184</f>
        <v>0</v>
      </c>
      <c r="S55" s="421">
        <f>'Initial unit rates'!S184</f>
        <v>0</v>
      </c>
      <c r="T55" s="421">
        <f>'Initial unit rates'!T184</f>
        <v>0</v>
      </c>
      <c r="U55" s="421">
        <f>'Initial unit rates'!U184</f>
        <v>0</v>
      </c>
      <c r="V55" s="421">
        <f>'Initial unit rates'!V184</f>
        <v>0</v>
      </c>
      <c r="W55" s="421">
        <f>'Initial unit rates'!W184</f>
        <v>0</v>
      </c>
      <c r="X55" s="421">
        <f>'Initial unit rates'!X184</f>
        <v>0</v>
      </c>
      <c r="Y55" s="421">
        <f>'Initial unit rates'!Y184</f>
        <v>0</v>
      </c>
      <c r="Z55" s="352"/>
      <c r="AA55" s="352"/>
    </row>
    <row r="56" spans="3:27" x14ac:dyDescent="0.25">
      <c r="D56" s="295"/>
      <c r="F56" s="295" t="s">
        <v>46</v>
      </c>
      <c r="G56" s="295" t="s">
        <v>183</v>
      </c>
      <c r="H56" s="352"/>
      <c r="I56" s="352"/>
      <c r="J56" s="421">
        <f>'Initial unit rates'!J185</f>
        <v>0.1438617225082271</v>
      </c>
      <c r="K56" s="421">
        <f>'Initial unit rates'!K185</f>
        <v>0.1438617225082271</v>
      </c>
      <c r="L56" s="421">
        <f>'Initial unit rates'!L185</f>
        <v>0.16709611878268379</v>
      </c>
      <c r="M56" s="421">
        <f>'Initial unit rates'!M185</f>
        <v>0.16709611878268379</v>
      </c>
      <c r="N56" s="421">
        <f>'Initial unit rates'!N185</f>
        <v>0.12916986183179766</v>
      </c>
      <c r="O56" s="421">
        <f>'Initial unit rates'!O185</f>
        <v>0.10505881299567355</v>
      </c>
      <c r="P56" s="421">
        <f>'Initial unit rates'!P185</f>
        <v>0.1015380422101458</v>
      </c>
      <c r="Q56" s="421">
        <f>'Initial unit rates'!Q185</f>
        <v>0.12323803469373426</v>
      </c>
      <c r="R56" s="421">
        <f>'Initial unit rates'!R185</f>
        <v>-0.10287620751873476</v>
      </c>
      <c r="S56" s="421">
        <f>'Initial unit rates'!S185</f>
        <v>-9.7816721903059289E-2</v>
      </c>
      <c r="T56" s="421">
        <f>'Initial unit rates'!T185</f>
        <v>-0.10287620751873476</v>
      </c>
      <c r="U56" s="421">
        <f>'Initial unit rates'!U185</f>
        <v>-0.10287620751873476</v>
      </c>
      <c r="V56" s="421">
        <f>'Initial unit rates'!V185</f>
        <v>-9.7816721903059289E-2</v>
      </c>
      <c r="W56" s="421">
        <f>'Initial unit rates'!W185</f>
        <v>-9.7816721903059289E-2</v>
      </c>
      <c r="X56" s="421">
        <f>'Initial unit rates'!X185</f>
        <v>-9.3140530652207704E-2</v>
      </c>
      <c r="Y56" s="421">
        <f>'Initial unit rates'!Y185</f>
        <v>-9.3140530652207704E-2</v>
      </c>
      <c r="Z56" s="352"/>
      <c r="AA56" s="352"/>
    </row>
    <row r="57" spans="3:27" x14ac:dyDescent="0.25">
      <c r="D57" s="295"/>
      <c r="F57" s="295" t="s">
        <v>47</v>
      </c>
      <c r="G57" s="295" t="s">
        <v>183</v>
      </c>
      <c r="H57" s="352"/>
      <c r="I57" s="352"/>
      <c r="J57" s="421">
        <f>'Initial unit rates'!J186</f>
        <v>4.8523421577766256E-2</v>
      </c>
      <c r="K57" s="421">
        <f>'Initial unit rates'!K186</f>
        <v>4.8523421577766256E-2</v>
      </c>
      <c r="L57" s="421">
        <f>'Initial unit rates'!L186</f>
        <v>5.6360199741366176E-2</v>
      </c>
      <c r="M57" s="421">
        <f>'Initial unit rates'!M186</f>
        <v>5.6360199741366176E-2</v>
      </c>
      <c r="N57" s="421">
        <f>'Initial unit rates'!N186</f>
        <v>4.356797313091882E-2</v>
      </c>
      <c r="O57" s="421">
        <f>'Initial unit rates'!O186</f>
        <v>3.5435506989409539E-2</v>
      </c>
      <c r="P57" s="421">
        <f>'Initial unit rates'!P186</f>
        <v>3.0323647194290419E-2</v>
      </c>
      <c r="Q57" s="421">
        <f>'Initial unit rates'!Q186</f>
        <v>3.699604555862028E-2</v>
      </c>
      <c r="R57" s="421">
        <f>'Initial unit rates'!R186</f>
        <v>-3.4699331418528372E-2</v>
      </c>
      <c r="S57" s="421">
        <f>'Initial unit rates'!S186</f>
        <v>-3.2992806922535173E-2</v>
      </c>
      <c r="T57" s="421">
        <f>'Initial unit rates'!T186</f>
        <v>-3.4699331418528372E-2</v>
      </c>
      <c r="U57" s="421">
        <f>'Initial unit rates'!U186</f>
        <v>-3.4699331418528372E-2</v>
      </c>
      <c r="V57" s="421">
        <f>'Initial unit rates'!V186</f>
        <v>-3.2992806922535173E-2</v>
      </c>
      <c r="W57" s="421">
        <f>'Initial unit rates'!W186</f>
        <v>-3.2992806922535173E-2</v>
      </c>
      <c r="X57" s="421">
        <f>'Initial unit rates'!X186</f>
        <v>-2.7815787359196549E-2</v>
      </c>
      <c r="Y57" s="421">
        <f>'Initial unit rates'!Y186</f>
        <v>-2.7815787359196549E-2</v>
      </c>
      <c r="Z57" s="352"/>
      <c r="AA57" s="352"/>
    </row>
    <row r="58" spans="3:27" x14ac:dyDescent="0.25">
      <c r="D58" s="295"/>
      <c r="F58" s="295" t="s">
        <v>51</v>
      </c>
      <c r="G58" s="295" t="s">
        <v>183</v>
      </c>
      <c r="H58" s="352"/>
      <c r="I58" s="352"/>
      <c r="J58" s="421">
        <f>'Initial unit rates'!J187</f>
        <v>0</v>
      </c>
      <c r="K58" s="421">
        <f>'Initial unit rates'!K187</f>
        <v>0</v>
      </c>
      <c r="L58" s="421">
        <f>'Initial unit rates'!L187</f>
        <v>0</v>
      </c>
      <c r="M58" s="421">
        <f>'Initial unit rates'!M187</f>
        <v>0</v>
      </c>
      <c r="N58" s="421">
        <f>'Initial unit rates'!N187</f>
        <v>0</v>
      </c>
      <c r="O58" s="421">
        <f>'Initial unit rates'!O187</f>
        <v>0</v>
      </c>
      <c r="P58" s="421">
        <f>'Initial unit rates'!P187</f>
        <v>0</v>
      </c>
      <c r="Q58" s="421">
        <f>'Initial unit rates'!Q187</f>
        <v>0</v>
      </c>
      <c r="R58" s="421">
        <f>'Initial unit rates'!R187</f>
        <v>0</v>
      </c>
      <c r="S58" s="421">
        <f>'Initial unit rates'!S187</f>
        <v>0</v>
      </c>
      <c r="T58" s="421">
        <f>'Initial unit rates'!T187</f>
        <v>0</v>
      </c>
      <c r="U58" s="421">
        <f>'Initial unit rates'!U187</f>
        <v>0</v>
      </c>
      <c r="V58" s="421">
        <f>'Initial unit rates'!V187</f>
        <v>0</v>
      </c>
      <c r="W58" s="421">
        <f>'Initial unit rates'!W187</f>
        <v>0</v>
      </c>
      <c r="X58" s="421">
        <f>'Initial unit rates'!X187</f>
        <v>0</v>
      </c>
      <c r="Y58" s="421">
        <f>'Initial unit rates'!Y187</f>
        <v>0</v>
      </c>
      <c r="Z58" s="352"/>
      <c r="AA58" s="352"/>
    </row>
    <row r="59" spans="3:27" x14ac:dyDescent="0.25">
      <c r="D59" s="295"/>
      <c r="F59" s="295" t="s">
        <v>48</v>
      </c>
      <c r="G59" s="295" t="s">
        <v>183</v>
      </c>
      <c r="H59" s="352"/>
      <c r="I59" s="352"/>
      <c r="J59" s="421">
        <f>'Initial unit rates'!J188</f>
        <v>0.16686319527226703</v>
      </c>
      <c r="K59" s="421">
        <f>'Initial unit rates'!K188</f>
        <v>0.16686319527226703</v>
      </c>
      <c r="L59" s="421">
        <f>'Initial unit rates'!L188</f>
        <v>0.19381244580940135</v>
      </c>
      <c r="M59" s="421">
        <f>'Initial unit rates'!M188</f>
        <v>0.19381244580940135</v>
      </c>
      <c r="N59" s="421">
        <f>'Initial unit rates'!N188</f>
        <v>0.14982231202534368</v>
      </c>
      <c r="O59" s="421">
        <f>'Initial unit rates'!O188</f>
        <v>0.12185624447091643</v>
      </c>
      <c r="P59" s="421">
        <f>'Initial unit rates'!P188</f>
        <v>8.341271124519431E-2</v>
      </c>
      <c r="Q59" s="421">
        <f>'Initial unit rates'!Q188</f>
        <v>0.12722265194048846</v>
      </c>
      <c r="R59" s="421">
        <f>'Initial unit rates'!R188</f>
        <v>-0.11932467097415166</v>
      </c>
      <c r="S59" s="421">
        <f>'Initial unit rates'!S188</f>
        <v>-0.11345624453279995</v>
      </c>
      <c r="T59" s="421">
        <f>'Initial unit rates'!T188</f>
        <v>-0.11932467097415166</v>
      </c>
      <c r="U59" s="421">
        <f>'Initial unit rates'!U188</f>
        <v>-0.11932467097415166</v>
      </c>
      <c r="V59" s="421">
        <f>'Initial unit rates'!V188</f>
        <v>-0.11345624453279995</v>
      </c>
      <c r="W59" s="421">
        <f>'Initial unit rates'!W188</f>
        <v>-0.11345624453279995</v>
      </c>
      <c r="X59" s="421">
        <f>'Initial unit rates'!X188</f>
        <v>0</v>
      </c>
      <c r="Y59" s="421">
        <f>'Initial unit rates'!Y188</f>
        <v>0</v>
      </c>
      <c r="Z59" s="352"/>
      <c r="AA59" s="352"/>
    </row>
    <row r="60" spans="3:27" x14ac:dyDescent="0.25">
      <c r="D60" s="295"/>
      <c r="F60" s="295" t="s">
        <v>49</v>
      </c>
      <c r="G60" s="295" t="s">
        <v>183</v>
      </c>
      <c r="H60" s="352"/>
      <c r="I60" s="352"/>
      <c r="J60" s="421">
        <f>'Initial unit rates'!J189</f>
        <v>3.8315656300647608E-2</v>
      </c>
      <c r="K60" s="421">
        <f>'Initial unit rates'!K189</f>
        <v>3.8315656300647608E-2</v>
      </c>
      <c r="L60" s="421">
        <f>'Initial unit rates'!L189</f>
        <v>4.4503828710123795E-2</v>
      </c>
      <c r="M60" s="421">
        <f>'Initial unit rates'!M189</f>
        <v>4.4503828710123795E-2</v>
      </c>
      <c r="N60" s="421">
        <f>'Initial unit rates'!N189</f>
        <v>3.4402674624351627E-2</v>
      </c>
      <c r="O60" s="421">
        <f>'Initial unit rates'!O189</f>
        <v>2.7981017465337491E-2</v>
      </c>
      <c r="P60" s="421">
        <f>'Initial unit rates'!P189</f>
        <v>0</v>
      </c>
      <c r="Q60" s="421">
        <f>'Initial unit rates'!Q189</f>
        <v>2.9213268974352696E-2</v>
      </c>
      <c r="R60" s="421">
        <f>'Initial unit rates'!R189</f>
        <v>-2.7399709527157375E-2</v>
      </c>
      <c r="S60" s="421">
        <f>'Initial unit rates'!S189</f>
        <v>0</v>
      </c>
      <c r="T60" s="421">
        <f>'Initial unit rates'!T189</f>
        <v>-2.7399709527157375E-2</v>
      </c>
      <c r="U60" s="421">
        <f>'Initial unit rates'!U189</f>
        <v>-2.7399709527157375E-2</v>
      </c>
      <c r="V60" s="421">
        <f>'Initial unit rates'!V189</f>
        <v>0</v>
      </c>
      <c r="W60" s="421">
        <f>'Initial unit rates'!W189</f>
        <v>0</v>
      </c>
      <c r="X60" s="421">
        <f>'Initial unit rates'!X189</f>
        <v>0</v>
      </c>
      <c r="Y60" s="421">
        <f>'Initial unit rates'!Y189</f>
        <v>0</v>
      </c>
      <c r="Z60" s="352"/>
      <c r="AA60" s="352"/>
    </row>
    <row r="61" spans="3:27" x14ac:dyDescent="0.25">
      <c r="D61" s="295"/>
      <c r="F61" s="295" t="s">
        <v>50</v>
      </c>
      <c r="G61" s="295" t="s">
        <v>183</v>
      </c>
      <c r="H61" s="352"/>
      <c r="I61" s="352"/>
      <c r="J61" s="421">
        <f>'Initial unit rates'!J190</f>
        <v>6.7316849374737739E-3</v>
      </c>
      <c r="K61" s="421">
        <f>'Initial unit rates'!K190</f>
        <v>6.7316849374737739E-3</v>
      </c>
      <c r="L61" s="421">
        <f>'Initial unit rates'!L190</f>
        <v>7.8188861241765984E-3</v>
      </c>
      <c r="M61" s="421">
        <f>'Initial unit rates'!M190</f>
        <v>7.8188861241765984E-3</v>
      </c>
      <c r="N61" s="421">
        <f>'Initial unit rates'!N190</f>
        <v>6.0442124430906538E-3</v>
      </c>
      <c r="O61" s="421">
        <f>'Initial unit rates'!O190</f>
        <v>0</v>
      </c>
      <c r="P61" s="421">
        <f>'Initial unit rates'!P190</f>
        <v>0</v>
      </c>
      <c r="Q61" s="421">
        <f>'Initial unit rates'!Q190</f>
        <v>5.1324847781792039E-3</v>
      </c>
      <c r="R61" s="421">
        <f>'Initial unit rates'!R190</f>
        <v>0</v>
      </c>
      <c r="S61" s="421">
        <f>'Initial unit rates'!S190</f>
        <v>0</v>
      </c>
      <c r="T61" s="421">
        <f>'Initial unit rates'!T190</f>
        <v>0</v>
      </c>
      <c r="U61" s="421">
        <f>'Initial unit rates'!U190</f>
        <v>0</v>
      </c>
      <c r="V61" s="421">
        <f>'Initial unit rates'!V190</f>
        <v>0</v>
      </c>
      <c r="W61" s="421">
        <f>'Initial unit rates'!W190</f>
        <v>0</v>
      </c>
      <c r="X61" s="421">
        <f>'Initial unit rates'!X190</f>
        <v>0</v>
      </c>
      <c r="Y61" s="421">
        <f>'Initial unit rates'!Y190</f>
        <v>0</v>
      </c>
      <c r="Z61" s="352"/>
      <c r="AA61" s="352"/>
    </row>
    <row r="62" spans="3:27" x14ac:dyDescent="0.25">
      <c r="D62" s="295"/>
      <c r="F62" s="91" t="s">
        <v>124</v>
      </c>
      <c r="G62" s="91" t="s">
        <v>183</v>
      </c>
      <c r="H62" s="350"/>
      <c r="I62" s="350"/>
      <c r="J62" s="362"/>
      <c r="K62" s="362"/>
      <c r="L62" s="362"/>
      <c r="M62" s="362"/>
      <c r="N62" s="362"/>
      <c r="O62" s="362"/>
      <c r="P62" s="362"/>
      <c r="Q62" s="362"/>
      <c r="R62" s="362"/>
      <c r="S62" s="362"/>
      <c r="T62" s="362"/>
      <c r="U62" s="362"/>
      <c r="V62" s="362"/>
      <c r="W62" s="362"/>
      <c r="X62" s="362"/>
      <c r="Y62" s="362"/>
      <c r="Z62" s="352"/>
      <c r="AA62" s="352"/>
    </row>
    <row r="63" spans="3:27" x14ac:dyDescent="0.25">
      <c r="D63" s="295"/>
      <c r="F63" s="93" t="s">
        <v>123</v>
      </c>
      <c r="G63" s="93" t="s">
        <v>183</v>
      </c>
      <c r="H63" s="354"/>
      <c r="I63" s="354"/>
      <c r="J63" s="359"/>
      <c r="K63" s="359"/>
      <c r="L63" s="359"/>
      <c r="M63" s="359"/>
      <c r="N63" s="359"/>
      <c r="O63" s="359"/>
      <c r="P63" s="359"/>
      <c r="Q63" s="359"/>
      <c r="R63" s="359"/>
      <c r="S63" s="359"/>
      <c r="T63" s="359"/>
      <c r="U63" s="359"/>
      <c r="V63" s="359"/>
      <c r="W63" s="359"/>
      <c r="X63" s="359"/>
      <c r="Y63" s="359"/>
      <c r="Z63" s="352"/>
      <c r="AA63" s="352"/>
    </row>
    <row r="64" spans="3:27" x14ac:dyDescent="0.25">
      <c r="D64" s="295"/>
      <c r="J64" s="253"/>
      <c r="K64" s="253"/>
      <c r="L64" s="253"/>
      <c r="M64" s="253"/>
      <c r="N64" s="253"/>
      <c r="O64" s="253"/>
      <c r="P64" s="253"/>
      <c r="Q64" s="253"/>
      <c r="R64" s="253"/>
      <c r="S64" s="253"/>
      <c r="T64" s="253"/>
      <c r="U64" s="253"/>
      <c r="V64" s="253"/>
      <c r="W64" s="253"/>
      <c r="X64" s="253"/>
      <c r="Y64" s="253"/>
    </row>
    <row r="65" spans="3:27" x14ac:dyDescent="0.25">
      <c r="D65" s="295"/>
      <c r="E65" s="96" t="s">
        <v>116</v>
      </c>
      <c r="J65" s="253"/>
      <c r="K65" s="253"/>
      <c r="L65" s="253"/>
      <c r="M65" s="253"/>
      <c r="N65" s="253"/>
      <c r="O65" s="253"/>
      <c r="P65" s="253"/>
      <c r="Q65" s="253"/>
      <c r="R65" s="253"/>
      <c r="S65" s="253"/>
      <c r="T65" s="253"/>
      <c r="U65" s="253"/>
      <c r="V65" s="253"/>
      <c r="W65" s="253"/>
      <c r="X65" s="253"/>
      <c r="Y65" s="253"/>
    </row>
    <row r="66" spans="3:27" x14ac:dyDescent="0.25">
      <c r="D66" s="295"/>
      <c r="F66" s="91" t="s">
        <v>324</v>
      </c>
      <c r="G66" s="91" t="s">
        <v>183</v>
      </c>
      <c r="H66" s="350"/>
      <c r="I66" s="350"/>
      <c r="J66" s="361">
        <f>'Initial unit rates'!J193</f>
        <v>0.15021599433191743</v>
      </c>
      <c r="K66" s="361">
        <f>'Initial unit rates'!K193</f>
        <v>0.15021599433191743</v>
      </c>
      <c r="L66" s="361">
        <f>'Initial unit rates'!L193</f>
        <v>0.17447663766509949</v>
      </c>
      <c r="M66" s="361">
        <f>'Initial unit rates'!M193</f>
        <v>0.17447663766509949</v>
      </c>
      <c r="N66" s="361">
        <f>'Initial unit rates'!N193</f>
        <v>0.13487520442882392</v>
      </c>
      <c r="O66" s="361">
        <f>'Initial unit rates'!O193</f>
        <v>0.10969918740249729</v>
      </c>
      <c r="P66" s="361">
        <f>'Initial unit rates'!P193</f>
        <v>0.10942611104029204</v>
      </c>
      <c r="Q66" s="361">
        <f>'Initial unit rates'!Q193</f>
        <v>0.12868137262830254</v>
      </c>
      <c r="R66" s="361">
        <f>'Initial unit rates'!R193</f>
        <v>-0.10742017776576855</v>
      </c>
      <c r="S66" s="361">
        <f>'Initial unit rates'!S193</f>
        <v>-0.10213721820351762</v>
      </c>
      <c r="T66" s="361">
        <f>'Initial unit rates'!T193</f>
        <v>-0.10742017776576855</v>
      </c>
      <c r="U66" s="361">
        <f>'Initial unit rates'!U193</f>
        <v>-0.10742017776576855</v>
      </c>
      <c r="V66" s="361">
        <f>'Initial unit rates'!V193</f>
        <v>-0.10213721820351762</v>
      </c>
      <c r="W66" s="361">
        <f>'Initial unit rates'!W193</f>
        <v>-0.10213721820351762</v>
      </c>
      <c r="X66" s="361">
        <f>'Initial unit rates'!X193</f>
        <v>-0.10037623168276731</v>
      </c>
      <c r="Y66" s="361">
        <f>'Initial unit rates'!Y193</f>
        <v>-0.10037623168276731</v>
      </c>
      <c r="Z66" s="352"/>
      <c r="AA66" s="352"/>
    </row>
    <row r="67" spans="3:27" x14ac:dyDescent="0.25">
      <c r="D67" s="295"/>
      <c r="F67" s="295" t="s">
        <v>43</v>
      </c>
      <c r="G67" s="295" t="s">
        <v>183</v>
      </c>
      <c r="H67" s="352"/>
      <c r="I67" s="352"/>
      <c r="J67" s="421">
        <f>'Initial unit rates'!J194</f>
        <v>0</v>
      </c>
      <c r="K67" s="421">
        <f>'Initial unit rates'!K194</f>
        <v>0</v>
      </c>
      <c r="L67" s="421">
        <f>'Initial unit rates'!L194</f>
        <v>0</v>
      </c>
      <c r="M67" s="421">
        <f>'Initial unit rates'!M194</f>
        <v>0</v>
      </c>
      <c r="N67" s="421">
        <f>'Initial unit rates'!N194</f>
        <v>0</v>
      </c>
      <c r="O67" s="421">
        <f>'Initial unit rates'!O194</f>
        <v>0</v>
      </c>
      <c r="P67" s="421">
        <f>'Initial unit rates'!P194</f>
        <v>0</v>
      </c>
      <c r="Q67" s="421">
        <f>'Initial unit rates'!Q194</f>
        <v>0</v>
      </c>
      <c r="R67" s="421">
        <f>'Initial unit rates'!R194</f>
        <v>0</v>
      </c>
      <c r="S67" s="421">
        <f>'Initial unit rates'!S194</f>
        <v>0</v>
      </c>
      <c r="T67" s="421">
        <f>'Initial unit rates'!T194</f>
        <v>0</v>
      </c>
      <c r="U67" s="421">
        <f>'Initial unit rates'!U194</f>
        <v>0</v>
      </c>
      <c r="V67" s="421">
        <f>'Initial unit rates'!V194</f>
        <v>0</v>
      </c>
      <c r="W67" s="421">
        <f>'Initial unit rates'!W194</f>
        <v>0</v>
      </c>
      <c r="X67" s="421">
        <f>'Initial unit rates'!X194</f>
        <v>0</v>
      </c>
      <c r="Y67" s="421">
        <f>'Initial unit rates'!Y194</f>
        <v>0</v>
      </c>
      <c r="Z67" s="352"/>
      <c r="AA67" s="352"/>
    </row>
    <row r="68" spans="3:27" x14ac:dyDescent="0.25">
      <c r="D68" s="295"/>
      <c r="F68" s="295" t="s">
        <v>44</v>
      </c>
      <c r="G68" s="295" t="s">
        <v>183</v>
      </c>
      <c r="H68" s="352"/>
      <c r="I68" s="352"/>
      <c r="J68" s="421">
        <f>'Initial unit rates'!J195</f>
        <v>0</v>
      </c>
      <c r="K68" s="421">
        <f>'Initial unit rates'!K195</f>
        <v>0</v>
      </c>
      <c r="L68" s="421">
        <f>'Initial unit rates'!L195</f>
        <v>0</v>
      </c>
      <c r="M68" s="421">
        <f>'Initial unit rates'!M195</f>
        <v>0</v>
      </c>
      <c r="N68" s="421">
        <f>'Initial unit rates'!N195</f>
        <v>0</v>
      </c>
      <c r="O68" s="421">
        <f>'Initial unit rates'!O195</f>
        <v>0</v>
      </c>
      <c r="P68" s="421">
        <f>'Initial unit rates'!P195</f>
        <v>0</v>
      </c>
      <c r="Q68" s="421">
        <f>'Initial unit rates'!Q195</f>
        <v>0</v>
      </c>
      <c r="R68" s="421">
        <f>'Initial unit rates'!R195</f>
        <v>0</v>
      </c>
      <c r="S68" s="421">
        <f>'Initial unit rates'!S195</f>
        <v>0</v>
      </c>
      <c r="T68" s="421">
        <f>'Initial unit rates'!T195</f>
        <v>0</v>
      </c>
      <c r="U68" s="421">
        <f>'Initial unit rates'!U195</f>
        <v>0</v>
      </c>
      <c r="V68" s="421">
        <f>'Initial unit rates'!V195</f>
        <v>0</v>
      </c>
      <c r="W68" s="421">
        <f>'Initial unit rates'!W195</f>
        <v>0</v>
      </c>
      <c r="X68" s="421">
        <f>'Initial unit rates'!X195</f>
        <v>0</v>
      </c>
      <c r="Y68" s="421">
        <f>'Initial unit rates'!Y195</f>
        <v>0</v>
      </c>
      <c r="Z68" s="352"/>
      <c r="AA68" s="352"/>
    </row>
    <row r="69" spans="3:27" x14ac:dyDescent="0.25">
      <c r="D69" s="295"/>
      <c r="F69" s="295" t="s">
        <v>45</v>
      </c>
      <c r="G69" s="295" t="s">
        <v>183</v>
      </c>
      <c r="H69" s="352"/>
      <c r="I69" s="352"/>
      <c r="J69" s="421">
        <f>'Initial unit rates'!J196</f>
        <v>0</v>
      </c>
      <c r="K69" s="421">
        <f>'Initial unit rates'!K196</f>
        <v>0</v>
      </c>
      <c r="L69" s="421">
        <f>'Initial unit rates'!L196</f>
        <v>0</v>
      </c>
      <c r="M69" s="421">
        <f>'Initial unit rates'!M196</f>
        <v>0</v>
      </c>
      <c r="N69" s="421">
        <f>'Initial unit rates'!N196</f>
        <v>0</v>
      </c>
      <c r="O69" s="421">
        <f>'Initial unit rates'!O196</f>
        <v>0</v>
      </c>
      <c r="P69" s="421">
        <f>'Initial unit rates'!P196</f>
        <v>0</v>
      </c>
      <c r="Q69" s="421">
        <f>'Initial unit rates'!Q196</f>
        <v>0</v>
      </c>
      <c r="R69" s="421">
        <f>'Initial unit rates'!R196</f>
        <v>0</v>
      </c>
      <c r="S69" s="421">
        <f>'Initial unit rates'!S196</f>
        <v>0</v>
      </c>
      <c r="T69" s="421">
        <f>'Initial unit rates'!T196</f>
        <v>0</v>
      </c>
      <c r="U69" s="421">
        <f>'Initial unit rates'!U196</f>
        <v>0</v>
      </c>
      <c r="V69" s="421">
        <f>'Initial unit rates'!V196</f>
        <v>0</v>
      </c>
      <c r="W69" s="421">
        <f>'Initial unit rates'!W196</f>
        <v>0</v>
      </c>
      <c r="X69" s="421">
        <f>'Initial unit rates'!X196</f>
        <v>0</v>
      </c>
      <c r="Y69" s="421">
        <f>'Initial unit rates'!Y196</f>
        <v>0</v>
      </c>
      <c r="Z69" s="352"/>
      <c r="AA69" s="352"/>
    </row>
    <row r="70" spans="3:27" x14ac:dyDescent="0.25">
      <c r="D70" s="295"/>
      <c r="F70" s="295" t="s">
        <v>46</v>
      </c>
      <c r="G70" s="295" t="s">
        <v>183</v>
      </c>
      <c r="H70" s="352"/>
      <c r="I70" s="352"/>
      <c r="J70" s="421">
        <f>'Initial unit rates'!J197</f>
        <v>0.10632005430821767</v>
      </c>
      <c r="K70" s="421">
        <f>'Initial unit rates'!K197</f>
        <v>0.10632005430821767</v>
      </c>
      <c r="L70" s="421">
        <f>'Initial unit rates'!L197</f>
        <v>0.12349128116863302</v>
      </c>
      <c r="M70" s="421">
        <f>'Initial unit rates'!M197</f>
        <v>0.12349128116863302</v>
      </c>
      <c r="N70" s="421">
        <f>'Initial unit rates'!N197</f>
        <v>9.5462131868720837E-2</v>
      </c>
      <c r="O70" s="421">
        <f>'Initial unit rates'!O197</f>
        <v>7.7643020732065263E-2</v>
      </c>
      <c r="P70" s="421">
        <f>'Initial unit rates'!P197</f>
        <v>7.7449742421129855E-2</v>
      </c>
      <c r="Q70" s="421">
        <f>'Initial unit rates'!Q197</f>
        <v>9.1078254264100933E-2</v>
      </c>
      <c r="R70" s="421">
        <f>'Initial unit rates'!R197</f>
        <v>-7.6029980593273136E-2</v>
      </c>
      <c r="S70" s="421">
        <f>'Initial unit rates'!S197</f>
        <v>-7.2290801219833487E-2</v>
      </c>
      <c r="T70" s="421">
        <f>'Initial unit rates'!T197</f>
        <v>-7.6029980593273136E-2</v>
      </c>
      <c r="U70" s="421">
        <f>'Initial unit rates'!U197</f>
        <v>-7.6029980593273136E-2</v>
      </c>
      <c r="V70" s="421">
        <f>'Initial unit rates'!V197</f>
        <v>-7.2290801219833487E-2</v>
      </c>
      <c r="W70" s="421">
        <f>'Initial unit rates'!W197</f>
        <v>-7.2290801219833487E-2</v>
      </c>
      <c r="X70" s="421">
        <f>'Initial unit rates'!X197</f>
        <v>-7.1044408095353589E-2</v>
      </c>
      <c r="Y70" s="421">
        <f>'Initial unit rates'!Y197</f>
        <v>-7.1044408095353589E-2</v>
      </c>
      <c r="Z70" s="352"/>
      <c r="AA70" s="352"/>
    </row>
    <row r="71" spans="3:27" x14ac:dyDescent="0.25">
      <c r="D71" s="295"/>
      <c r="F71" s="295" t="s">
        <v>47</v>
      </c>
      <c r="G71" s="295" t="s">
        <v>183</v>
      </c>
      <c r="H71" s="352"/>
      <c r="I71" s="352"/>
      <c r="J71" s="421">
        <f>'Initial unit rates'!J198</f>
        <v>3.586091371228798E-2</v>
      </c>
      <c r="K71" s="421">
        <f>'Initial unit rates'!K198</f>
        <v>3.586091371228798E-2</v>
      </c>
      <c r="L71" s="421">
        <f>'Initial unit rates'!L198</f>
        <v>4.1652632770203112E-2</v>
      </c>
      <c r="M71" s="421">
        <f>'Initial unit rates'!M198</f>
        <v>4.1652632770203112E-2</v>
      </c>
      <c r="N71" s="421">
        <f>'Initial unit rates'!N198</f>
        <v>3.2198622320216939E-2</v>
      </c>
      <c r="O71" s="421">
        <f>'Initial unit rates'!O198</f>
        <v>2.6188377018339912E-2</v>
      </c>
      <c r="P71" s="421">
        <f>'Initial unit rates'!P198</f>
        <v>2.6123185772191582E-2</v>
      </c>
      <c r="Q71" s="421">
        <f>'Initial unit rates'!Q198</f>
        <v>2.7341682724234446E-2</v>
      </c>
      <c r="R71" s="421">
        <f>'Initial unit rates'!R198</f>
        <v>-2.5644311332820316E-2</v>
      </c>
      <c r="S71" s="421">
        <f>'Initial unit rates'!S198</f>
        <v>-2.4383115693501281E-2</v>
      </c>
      <c r="T71" s="421">
        <f>'Initial unit rates'!T198</f>
        <v>-2.5644311332820316E-2</v>
      </c>
      <c r="U71" s="421">
        <f>'Initial unit rates'!U198</f>
        <v>-2.5644311332820316E-2</v>
      </c>
      <c r="V71" s="421">
        <f>'Initial unit rates'!V198</f>
        <v>-2.4383115693501281E-2</v>
      </c>
      <c r="W71" s="421">
        <f>'Initial unit rates'!W198</f>
        <v>-2.4383115693501281E-2</v>
      </c>
      <c r="X71" s="421">
        <f>'Initial unit rates'!X198</f>
        <v>-2.3962717147061607E-2</v>
      </c>
      <c r="Y71" s="421">
        <f>'Initial unit rates'!Y198</f>
        <v>-2.3962717147061607E-2</v>
      </c>
      <c r="Z71" s="352"/>
      <c r="AA71" s="352"/>
    </row>
    <row r="72" spans="3:27" x14ac:dyDescent="0.25">
      <c r="D72" s="295"/>
      <c r="F72" s="295" t="s">
        <v>51</v>
      </c>
      <c r="G72" s="295" t="s">
        <v>183</v>
      </c>
      <c r="H72" s="352"/>
      <c r="I72" s="352"/>
      <c r="J72" s="421">
        <f>'Initial unit rates'!J199</f>
        <v>0</v>
      </c>
      <c r="K72" s="421">
        <f>'Initial unit rates'!K199</f>
        <v>0</v>
      </c>
      <c r="L72" s="421">
        <f>'Initial unit rates'!L199</f>
        <v>0</v>
      </c>
      <c r="M72" s="421">
        <f>'Initial unit rates'!M199</f>
        <v>0</v>
      </c>
      <c r="N72" s="421">
        <f>'Initial unit rates'!N199</f>
        <v>0</v>
      </c>
      <c r="O72" s="421">
        <f>'Initial unit rates'!O199</f>
        <v>0</v>
      </c>
      <c r="P72" s="421">
        <f>'Initial unit rates'!P199</f>
        <v>0</v>
      </c>
      <c r="Q72" s="421">
        <f>'Initial unit rates'!Q199</f>
        <v>0</v>
      </c>
      <c r="R72" s="421">
        <f>'Initial unit rates'!R199</f>
        <v>0</v>
      </c>
      <c r="S72" s="421">
        <f>'Initial unit rates'!S199</f>
        <v>0</v>
      </c>
      <c r="T72" s="421">
        <f>'Initial unit rates'!T199</f>
        <v>0</v>
      </c>
      <c r="U72" s="421">
        <f>'Initial unit rates'!U199</f>
        <v>0</v>
      </c>
      <c r="V72" s="421">
        <f>'Initial unit rates'!V199</f>
        <v>0</v>
      </c>
      <c r="W72" s="421">
        <f>'Initial unit rates'!W199</f>
        <v>0</v>
      </c>
      <c r="X72" s="421">
        <f>'Initial unit rates'!X199</f>
        <v>0</v>
      </c>
      <c r="Y72" s="421">
        <f>'Initial unit rates'!Y199</f>
        <v>0</v>
      </c>
      <c r="Z72" s="352"/>
      <c r="AA72" s="352"/>
    </row>
    <row r="73" spans="3:27" x14ac:dyDescent="0.25">
      <c r="D73" s="295"/>
      <c r="F73" s="295" t="s">
        <v>48</v>
      </c>
      <c r="G73" s="295" t="s">
        <v>183</v>
      </c>
      <c r="H73" s="352"/>
      <c r="I73" s="352"/>
      <c r="J73" s="421">
        <f>'Initial unit rates'!J200</f>
        <v>0.15427465541852464</v>
      </c>
      <c r="K73" s="421">
        <f>'Initial unit rates'!K200</f>
        <v>0.15427465541852464</v>
      </c>
      <c r="L73" s="421">
        <f>'Initial unit rates'!L200</f>
        <v>0.1791907930582243</v>
      </c>
      <c r="M73" s="421">
        <f>'Initial unit rates'!M200</f>
        <v>0.1791907930582243</v>
      </c>
      <c r="N73" s="421">
        <f>'Initial unit rates'!N200</f>
        <v>0.13851937525229766</v>
      </c>
      <c r="O73" s="421">
        <f>'Initial unit rates'!O200</f>
        <v>0.1126631315891541</v>
      </c>
      <c r="P73" s="421">
        <f>'Initial unit rates'!P200</f>
        <v>0.1123826770219189</v>
      </c>
      <c r="Q73" s="421">
        <f>'Initial unit rates'!Q200</f>
        <v>0.11762468504528174</v>
      </c>
      <c r="R73" s="421">
        <f>'Initial unit rates'!R200</f>
        <v>-0.11032254576827975</v>
      </c>
      <c r="S73" s="421">
        <f>'Initial unit rates'!S200</f>
        <v>-0.10489684679606927</v>
      </c>
      <c r="T73" s="421">
        <f>'Initial unit rates'!T200</f>
        <v>-0.11032254576827975</v>
      </c>
      <c r="U73" s="421">
        <f>'Initial unit rates'!U200</f>
        <v>-0.11032254576827975</v>
      </c>
      <c r="V73" s="421">
        <f>'Initial unit rates'!V200</f>
        <v>-0.10489684679606927</v>
      </c>
      <c r="W73" s="421">
        <f>'Initial unit rates'!W200</f>
        <v>-0.10489684679606927</v>
      </c>
      <c r="X73" s="421">
        <f>'Initial unit rates'!X200</f>
        <v>0</v>
      </c>
      <c r="Y73" s="421">
        <f>'Initial unit rates'!Y200</f>
        <v>0</v>
      </c>
      <c r="Z73" s="352"/>
      <c r="AA73" s="352"/>
    </row>
    <row r="74" spans="3:27" x14ac:dyDescent="0.25">
      <c r="D74" s="295"/>
      <c r="F74" s="295" t="s">
        <v>49</v>
      </c>
      <c r="G74" s="295" t="s">
        <v>183</v>
      </c>
      <c r="H74" s="352"/>
      <c r="I74" s="352"/>
      <c r="J74" s="421">
        <f>'Initial unit rates'!J201</f>
        <v>3.8773589259178273E-2</v>
      </c>
      <c r="K74" s="421">
        <f>'Initial unit rates'!K201</f>
        <v>3.8773589259178273E-2</v>
      </c>
      <c r="L74" s="421">
        <f>'Initial unit rates'!L201</f>
        <v>4.5035720159072423E-2</v>
      </c>
      <c r="M74" s="421">
        <f>'Initial unit rates'!M201</f>
        <v>4.5035720159072423E-2</v>
      </c>
      <c r="N74" s="421">
        <f>'Initial unit rates'!N201</f>
        <v>3.4813841235944575E-2</v>
      </c>
      <c r="O74" s="421">
        <f>'Initial unit rates'!O201</f>
        <v>2.8315435072856953E-2</v>
      </c>
      <c r="P74" s="421">
        <f>'Initial unit rates'!P201</f>
        <v>0</v>
      </c>
      <c r="Q74" s="421">
        <f>'Initial unit rates'!Q201</f>
        <v>2.9562413944878786E-2</v>
      </c>
      <c r="R74" s="421">
        <f>'Initial unit rates'!R201</f>
        <v>-2.7727179581387928E-2</v>
      </c>
      <c r="S74" s="421">
        <f>'Initial unit rates'!S201</f>
        <v>0</v>
      </c>
      <c r="T74" s="421">
        <f>'Initial unit rates'!T201</f>
        <v>-2.7727179581387928E-2</v>
      </c>
      <c r="U74" s="421">
        <f>'Initial unit rates'!U201</f>
        <v>-2.7727179581387928E-2</v>
      </c>
      <c r="V74" s="421">
        <f>'Initial unit rates'!V201</f>
        <v>0</v>
      </c>
      <c r="W74" s="421">
        <f>'Initial unit rates'!W201</f>
        <v>0</v>
      </c>
      <c r="X74" s="421">
        <f>'Initial unit rates'!X201</f>
        <v>0</v>
      </c>
      <c r="Y74" s="421">
        <f>'Initial unit rates'!Y201</f>
        <v>0</v>
      </c>
      <c r="Z74" s="352"/>
      <c r="AA74" s="352"/>
    </row>
    <row r="75" spans="3:27" x14ac:dyDescent="0.25">
      <c r="D75" s="295"/>
      <c r="F75" s="295" t="s">
        <v>50</v>
      </c>
      <c r="G75" s="295" t="s">
        <v>183</v>
      </c>
      <c r="H75" s="352"/>
      <c r="I75" s="352"/>
      <c r="J75" s="421">
        <f>'Initial unit rates'!J202</f>
        <v>6.5218402997648611E-2</v>
      </c>
      <c r="K75" s="421">
        <f>'Initial unit rates'!K202</f>
        <v>6.5218402997648611E-2</v>
      </c>
      <c r="L75" s="421">
        <f>'Initial unit rates'!L202</f>
        <v>7.575150515446398E-2</v>
      </c>
      <c r="M75" s="421">
        <f>'Initial unit rates'!M202</f>
        <v>7.575150515446398E-2</v>
      </c>
      <c r="N75" s="421">
        <f>'Initial unit rates'!N202</f>
        <v>5.8557981631389179E-2</v>
      </c>
      <c r="O75" s="421">
        <f>'Initial unit rates'!O202</f>
        <v>0</v>
      </c>
      <c r="P75" s="421">
        <f>'Initial unit rates'!P202</f>
        <v>0</v>
      </c>
      <c r="Q75" s="421">
        <f>'Initial unit rates'!Q202</f>
        <v>4.9724914898973988E-2</v>
      </c>
      <c r="R75" s="421">
        <f>'Initial unit rates'!R202</f>
        <v>0</v>
      </c>
      <c r="S75" s="421">
        <f>'Initial unit rates'!S202</f>
        <v>0</v>
      </c>
      <c r="T75" s="421">
        <f>'Initial unit rates'!T202</f>
        <v>0</v>
      </c>
      <c r="U75" s="421">
        <f>'Initial unit rates'!U202</f>
        <v>0</v>
      </c>
      <c r="V75" s="421">
        <f>'Initial unit rates'!V202</f>
        <v>0</v>
      </c>
      <c r="W75" s="421">
        <f>'Initial unit rates'!W202</f>
        <v>0</v>
      </c>
      <c r="X75" s="421">
        <f>'Initial unit rates'!X202</f>
        <v>0</v>
      </c>
      <c r="Y75" s="421">
        <f>'Initial unit rates'!Y202</f>
        <v>0</v>
      </c>
      <c r="Z75" s="352"/>
      <c r="AA75" s="352"/>
    </row>
    <row r="76" spans="3:27" x14ac:dyDescent="0.25">
      <c r="D76" s="295"/>
      <c r="F76" s="91" t="s">
        <v>124</v>
      </c>
      <c r="G76" s="91" t="s">
        <v>183</v>
      </c>
      <c r="H76" s="350"/>
      <c r="I76" s="350" t="s">
        <v>431</v>
      </c>
      <c r="J76" s="362"/>
      <c r="K76" s="362"/>
      <c r="L76" s="362"/>
      <c r="M76" s="362"/>
      <c r="N76" s="362"/>
      <c r="O76" s="362"/>
      <c r="P76" s="362"/>
      <c r="Q76" s="361">
        <f>'Service model charges'!$Q$44</f>
        <v>0.42942896297178434</v>
      </c>
      <c r="R76" s="362"/>
      <c r="S76" s="362"/>
      <c r="T76" s="362"/>
      <c r="U76" s="362"/>
      <c r="V76" s="362"/>
      <c r="W76" s="362"/>
      <c r="X76" s="362"/>
      <c r="Y76" s="362"/>
      <c r="Z76" s="352"/>
      <c r="AA76" s="352" t="s">
        <v>837</v>
      </c>
    </row>
    <row r="77" spans="3:27" x14ac:dyDescent="0.25">
      <c r="D77" s="295"/>
      <c r="F77" s="93" t="s">
        <v>123</v>
      </c>
      <c r="G77" s="93" t="s">
        <v>183</v>
      </c>
      <c r="H77" s="354"/>
      <c r="I77" s="354"/>
      <c r="J77" s="359"/>
      <c r="K77" s="359"/>
      <c r="L77" s="359"/>
      <c r="M77" s="359"/>
      <c r="N77" s="359"/>
      <c r="O77" s="359"/>
      <c r="P77" s="359"/>
      <c r="Q77" s="359"/>
      <c r="R77" s="359"/>
      <c r="S77" s="359"/>
      <c r="T77" s="359"/>
      <c r="U77" s="359"/>
      <c r="V77" s="359"/>
      <c r="W77" s="359"/>
      <c r="X77" s="359"/>
      <c r="Y77" s="359"/>
      <c r="Z77" s="352"/>
      <c r="AA77" s="352"/>
    </row>
    <row r="78" spans="3:27" x14ac:dyDescent="0.25"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  <c r="V78" s="253"/>
      <c r="W78" s="253"/>
      <c r="X78" s="253"/>
      <c r="Y78" s="253"/>
    </row>
    <row r="79" spans="3:27" x14ac:dyDescent="0.25">
      <c r="C79" s="7" t="str">
        <f ca="1">INDEX('Version control'!$H$34:$H$58,MATCH($A$1,'Version control'!$F$34:$F$58,0),1)&amp;"-C: Initial unit rate 3"</f>
        <v>Section 514-C: Initial unit rate 3</v>
      </c>
      <c r="D79" s="7"/>
      <c r="E79" s="7"/>
      <c r="F79" s="7"/>
      <c r="G79" s="7"/>
      <c r="H79" s="7"/>
      <c r="I79" s="7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3"/>
      <c r="U79" s="243"/>
      <c r="V79" s="243"/>
      <c r="W79" s="243"/>
      <c r="X79" s="243"/>
      <c r="Y79" s="243"/>
      <c r="Z79" s="7"/>
      <c r="AA79" s="7"/>
    </row>
    <row r="80" spans="3:27" x14ac:dyDescent="0.25">
      <c r="D80" s="96"/>
      <c r="E80" s="96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</row>
    <row r="81" spans="4:27" x14ac:dyDescent="0.25">
      <c r="D81" s="295"/>
      <c r="E81" s="96" t="s">
        <v>139</v>
      </c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  <c r="U81" s="253"/>
      <c r="V81" s="253"/>
      <c r="W81" s="253"/>
      <c r="X81" s="253"/>
      <c r="Y81" s="253"/>
    </row>
    <row r="82" spans="4:27" x14ac:dyDescent="0.25">
      <c r="D82" s="295"/>
      <c r="F82" s="91" t="s">
        <v>324</v>
      </c>
      <c r="G82" s="91" t="s">
        <v>183</v>
      </c>
      <c r="H82" s="350"/>
      <c r="I82" s="350"/>
      <c r="J82" s="361">
        <f>'Initial unit rates'!J210</f>
        <v>0</v>
      </c>
      <c r="K82" s="361">
        <f>'Initial unit rates'!K210</f>
        <v>0</v>
      </c>
      <c r="L82" s="361">
        <f>'Initial unit rates'!L210</f>
        <v>0</v>
      </c>
      <c r="M82" s="361">
        <f>'Initial unit rates'!M210</f>
        <v>0</v>
      </c>
      <c r="N82" s="361">
        <f>'Initial unit rates'!N210</f>
        <v>0</v>
      </c>
      <c r="O82" s="361">
        <f>'Initial unit rates'!O210</f>
        <v>0</v>
      </c>
      <c r="P82" s="361">
        <f>'Initial unit rates'!P210</f>
        <v>0</v>
      </c>
      <c r="Q82" s="361">
        <f>'Initial unit rates'!Q210</f>
        <v>0</v>
      </c>
      <c r="R82" s="361">
        <f>'Initial unit rates'!R210</f>
        <v>0</v>
      </c>
      <c r="S82" s="361">
        <f>'Initial unit rates'!S210</f>
        <v>0</v>
      </c>
      <c r="T82" s="361">
        <f>'Initial unit rates'!T210</f>
        <v>0</v>
      </c>
      <c r="U82" s="361">
        <f>'Initial unit rates'!U210</f>
        <v>0</v>
      </c>
      <c r="V82" s="361">
        <f>'Initial unit rates'!V210</f>
        <v>0</v>
      </c>
      <c r="W82" s="361">
        <f>'Initial unit rates'!W210</f>
        <v>0</v>
      </c>
      <c r="X82" s="361">
        <f>'Initial unit rates'!X210</f>
        <v>0</v>
      </c>
      <c r="Y82" s="361">
        <f>'Initial unit rates'!Y210</f>
        <v>0</v>
      </c>
      <c r="Z82" s="352"/>
      <c r="AA82" s="352"/>
    </row>
    <row r="83" spans="4:27" x14ac:dyDescent="0.25">
      <c r="D83" s="295"/>
      <c r="F83" s="295" t="s">
        <v>43</v>
      </c>
      <c r="G83" s="295" t="s">
        <v>183</v>
      </c>
      <c r="H83" s="352"/>
      <c r="I83" s="352"/>
      <c r="J83" s="421">
        <f>'Initial unit rates'!J211</f>
        <v>0</v>
      </c>
      <c r="K83" s="421">
        <f>'Initial unit rates'!K211</f>
        <v>0</v>
      </c>
      <c r="L83" s="421">
        <f>'Initial unit rates'!L211</f>
        <v>0</v>
      </c>
      <c r="M83" s="421">
        <f>'Initial unit rates'!M211</f>
        <v>0</v>
      </c>
      <c r="N83" s="421">
        <f>'Initial unit rates'!N211</f>
        <v>0</v>
      </c>
      <c r="O83" s="421">
        <f>'Initial unit rates'!O211</f>
        <v>0</v>
      </c>
      <c r="P83" s="421">
        <f>'Initial unit rates'!P211</f>
        <v>0</v>
      </c>
      <c r="Q83" s="421">
        <f>'Initial unit rates'!Q211</f>
        <v>0</v>
      </c>
      <c r="R83" s="421">
        <f>'Initial unit rates'!R211</f>
        <v>0</v>
      </c>
      <c r="S83" s="421">
        <f>'Initial unit rates'!S211</f>
        <v>0</v>
      </c>
      <c r="T83" s="421">
        <f>'Initial unit rates'!T211</f>
        <v>0</v>
      </c>
      <c r="U83" s="421">
        <f>'Initial unit rates'!U211</f>
        <v>0</v>
      </c>
      <c r="V83" s="421">
        <f>'Initial unit rates'!V211</f>
        <v>0</v>
      </c>
      <c r="W83" s="421">
        <f>'Initial unit rates'!W211</f>
        <v>0</v>
      </c>
      <c r="X83" s="421">
        <f>'Initial unit rates'!X211</f>
        <v>0</v>
      </c>
      <c r="Y83" s="421">
        <f>'Initial unit rates'!Y211</f>
        <v>0</v>
      </c>
      <c r="Z83" s="352"/>
      <c r="AA83" s="352"/>
    </row>
    <row r="84" spans="4:27" x14ac:dyDescent="0.25">
      <c r="D84" s="295"/>
      <c r="F84" s="295" t="s">
        <v>44</v>
      </c>
      <c r="G84" s="295" t="s">
        <v>183</v>
      </c>
      <c r="H84" s="352"/>
      <c r="I84" s="352"/>
      <c r="J84" s="421">
        <f>'Initial unit rates'!J212</f>
        <v>0</v>
      </c>
      <c r="K84" s="421">
        <f>'Initial unit rates'!K212</f>
        <v>0</v>
      </c>
      <c r="L84" s="421">
        <f>'Initial unit rates'!L212</f>
        <v>0</v>
      </c>
      <c r="M84" s="421">
        <f>'Initial unit rates'!M212</f>
        <v>0</v>
      </c>
      <c r="N84" s="421">
        <f>'Initial unit rates'!N212</f>
        <v>0</v>
      </c>
      <c r="O84" s="421">
        <f>'Initial unit rates'!O212</f>
        <v>0</v>
      </c>
      <c r="P84" s="421">
        <f>'Initial unit rates'!P212</f>
        <v>0</v>
      </c>
      <c r="Q84" s="421">
        <f>'Initial unit rates'!Q212</f>
        <v>0</v>
      </c>
      <c r="R84" s="421">
        <f>'Initial unit rates'!R212</f>
        <v>0</v>
      </c>
      <c r="S84" s="421">
        <f>'Initial unit rates'!S212</f>
        <v>0</v>
      </c>
      <c r="T84" s="421">
        <f>'Initial unit rates'!T212</f>
        <v>0</v>
      </c>
      <c r="U84" s="421">
        <f>'Initial unit rates'!U212</f>
        <v>0</v>
      </c>
      <c r="V84" s="421">
        <f>'Initial unit rates'!V212</f>
        <v>0</v>
      </c>
      <c r="W84" s="421">
        <f>'Initial unit rates'!W212</f>
        <v>0</v>
      </c>
      <c r="X84" s="421">
        <f>'Initial unit rates'!X212</f>
        <v>0</v>
      </c>
      <c r="Y84" s="421">
        <f>'Initial unit rates'!Y212</f>
        <v>0</v>
      </c>
      <c r="Z84" s="352"/>
      <c r="AA84" s="352"/>
    </row>
    <row r="85" spans="4:27" x14ac:dyDescent="0.25">
      <c r="D85" s="295"/>
      <c r="F85" s="295" t="s">
        <v>45</v>
      </c>
      <c r="G85" s="295" t="s">
        <v>183</v>
      </c>
      <c r="H85" s="352"/>
      <c r="I85" s="352"/>
      <c r="J85" s="421">
        <f>'Initial unit rates'!J213</f>
        <v>0</v>
      </c>
      <c r="K85" s="421">
        <f>'Initial unit rates'!K213</f>
        <v>0</v>
      </c>
      <c r="L85" s="421">
        <f>'Initial unit rates'!L213</f>
        <v>0</v>
      </c>
      <c r="M85" s="421">
        <f>'Initial unit rates'!M213</f>
        <v>0</v>
      </c>
      <c r="N85" s="421">
        <f>'Initial unit rates'!N213</f>
        <v>0</v>
      </c>
      <c r="O85" s="421">
        <f>'Initial unit rates'!O213</f>
        <v>0</v>
      </c>
      <c r="P85" s="421">
        <f>'Initial unit rates'!P213</f>
        <v>0</v>
      </c>
      <c r="Q85" s="421">
        <f>'Initial unit rates'!Q213</f>
        <v>0</v>
      </c>
      <c r="R85" s="421">
        <f>'Initial unit rates'!R213</f>
        <v>0</v>
      </c>
      <c r="S85" s="421">
        <f>'Initial unit rates'!S213</f>
        <v>0</v>
      </c>
      <c r="T85" s="421">
        <f>'Initial unit rates'!T213</f>
        <v>0</v>
      </c>
      <c r="U85" s="421">
        <f>'Initial unit rates'!U213</f>
        <v>0</v>
      </c>
      <c r="V85" s="421">
        <f>'Initial unit rates'!V213</f>
        <v>0</v>
      </c>
      <c r="W85" s="421">
        <f>'Initial unit rates'!W213</f>
        <v>0</v>
      </c>
      <c r="X85" s="421">
        <f>'Initial unit rates'!X213</f>
        <v>0</v>
      </c>
      <c r="Y85" s="421">
        <f>'Initial unit rates'!Y213</f>
        <v>0</v>
      </c>
      <c r="Z85" s="352"/>
      <c r="AA85" s="352"/>
    </row>
    <row r="86" spans="4:27" x14ac:dyDescent="0.25">
      <c r="D86" s="295"/>
      <c r="F86" s="295" t="s">
        <v>46</v>
      </c>
      <c r="G86" s="295" t="s">
        <v>183</v>
      </c>
      <c r="H86" s="352"/>
      <c r="I86" s="352"/>
      <c r="J86" s="421">
        <f>'Initial unit rates'!J214</f>
        <v>2.3063648481960884E-3</v>
      </c>
      <c r="K86" s="421">
        <f>'Initial unit rates'!K214</f>
        <v>2.3063648481960884E-3</v>
      </c>
      <c r="L86" s="421">
        <f>'Initial unit rates'!L214</f>
        <v>2.6788544437756252E-3</v>
      </c>
      <c r="M86" s="421">
        <f>'Initial unit rates'!M214</f>
        <v>2.6788544437756252E-3</v>
      </c>
      <c r="N86" s="421">
        <f>'Initial unit rates'!N214</f>
        <v>2.0708276223939054E-3</v>
      </c>
      <c r="O86" s="421">
        <f>'Initial unit rates'!O214</f>
        <v>1.684283693131584E-3</v>
      </c>
      <c r="P86" s="421">
        <f>'Initial unit rates'!P214</f>
        <v>1.6278393392289501E-3</v>
      </c>
      <c r="Q86" s="421">
        <f>'Initial unit rates'!Q214</f>
        <v>1.8127412956928774E-3</v>
      </c>
      <c r="R86" s="421">
        <f>'Initial unit rates'!R214</f>
        <v>-1.6492925609407124E-3</v>
      </c>
      <c r="S86" s="421">
        <f>'Initial unit rates'!S214</f>
        <v>-1.5681798120419888E-3</v>
      </c>
      <c r="T86" s="421">
        <f>'Initial unit rates'!T214</f>
        <v>-1.6492925609407124E-3</v>
      </c>
      <c r="U86" s="421">
        <f>'Initial unit rates'!U214</f>
        <v>-1.6492925609407124E-3</v>
      </c>
      <c r="V86" s="421">
        <f>'Initial unit rates'!V214</f>
        <v>-1.5681798120419888E-3</v>
      </c>
      <c r="W86" s="421">
        <f>'Initial unit rates'!W214</f>
        <v>-1.5681798120419888E-3</v>
      </c>
      <c r="X86" s="421">
        <f>'Initial unit rates'!X214</f>
        <v>-1.4932119683628653E-3</v>
      </c>
      <c r="Y86" s="421">
        <f>'Initial unit rates'!Y214</f>
        <v>-1.4932119683628653E-3</v>
      </c>
      <c r="Z86" s="352"/>
      <c r="AA86" s="352"/>
    </row>
    <row r="87" spans="4:27" x14ac:dyDescent="0.25">
      <c r="D87" s="295"/>
      <c r="F87" s="295" t="s">
        <v>47</v>
      </c>
      <c r="G87" s="295" t="s">
        <v>183</v>
      </c>
      <c r="H87" s="352"/>
      <c r="I87" s="352"/>
      <c r="J87" s="421">
        <f>'Initial unit rates'!J215</f>
        <v>1.6495075700587941E-3</v>
      </c>
      <c r="K87" s="421">
        <f>'Initial unit rates'!K215</f>
        <v>1.6495075700587941E-3</v>
      </c>
      <c r="L87" s="421">
        <f>'Initial unit rates'!L215</f>
        <v>1.9159113908407291E-3</v>
      </c>
      <c r="M87" s="421">
        <f>'Initial unit rates'!M215</f>
        <v>1.9159113908407291E-3</v>
      </c>
      <c r="N87" s="421">
        <f>'Initial unit rates'!N215</f>
        <v>1.4810518128115279E-3</v>
      </c>
      <c r="O87" s="421">
        <f>'Initial unit rates'!O215</f>
        <v>1.2045963604241177E-3</v>
      </c>
      <c r="P87" s="421">
        <f>'Initial unit rates'!P215</f>
        <v>1.0308235481418159E-3</v>
      </c>
      <c r="Q87" s="421">
        <f>'Initial unit rates'!Q215</f>
        <v>1.2964689832756962E-3</v>
      </c>
      <c r="R87" s="421">
        <f>'Initial unit rates'!R215</f>
        <v>-1.1795707720056528E-3</v>
      </c>
      <c r="S87" s="421">
        <f>'Initial unit rates'!S215</f>
        <v>-1.1215590946938995E-3</v>
      </c>
      <c r="T87" s="421">
        <f>'Initial unit rates'!T215</f>
        <v>-1.1795707720056528E-3</v>
      </c>
      <c r="U87" s="421">
        <f>'Initial unit rates'!U215</f>
        <v>-1.1795707720056528E-3</v>
      </c>
      <c r="V87" s="421">
        <f>'Initial unit rates'!V215</f>
        <v>-1.1215590946938995E-3</v>
      </c>
      <c r="W87" s="421">
        <f>'Initial unit rates'!W215</f>
        <v>-1.1215590946938995E-3</v>
      </c>
      <c r="X87" s="421">
        <f>'Initial unit rates'!X215</f>
        <v>-9.4557123805885939E-4</v>
      </c>
      <c r="Y87" s="421">
        <f>'Initial unit rates'!Y215</f>
        <v>-9.4557123805885939E-4</v>
      </c>
      <c r="Z87" s="352"/>
      <c r="AA87" s="352"/>
    </row>
    <row r="88" spans="4:27" x14ac:dyDescent="0.25">
      <c r="D88" s="295"/>
      <c r="F88" s="295" t="s">
        <v>51</v>
      </c>
      <c r="G88" s="295" t="s">
        <v>183</v>
      </c>
      <c r="H88" s="352"/>
      <c r="I88" s="352"/>
      <c r="J88" s="421">
        <f>'Initial unit rates'!J216</f>
        <v>0</v>
      </c>
      <c r="K88" s="421">
        <f>'Initial unit rates'!K216</f>
        <v>0</v>
      </c>
      <c r="L88" s="421">
        <f>'Initial unit rates'!L216</f>
        <v>0</v>
      </c>
      <c r="M88" s="421">
        <f>'Initial unit rates'!M216</f>
        <v>0</v>
      </c>
      <c r="N88" s="421">
        <f>'Initial unit rates'!N216</f>
        <v>0</v>
      </c>
      <c r="O88" s="421">
        <f>'Initial unit rates'!O216</f>
        <v>0</v>
      </c>
      <c r="P88" s="421">
        <f>'Initial unit rates'!P216</f>
        <v>0</v>
      </c>
      <c r="Q88" s="421">
        <f>'Initial unit rates'!Q216</f>
        <v>0</v>
      </c>
      <c r="R88" s="421">
        <f>'Initial unit rates'!R216</f>
        <v>0</v>
      </c>
      <c r="S88" s="421">
        <f>'Initial unit rates'!S216</f>
        <v>0</v>
      </c>
      <c r="T88" s="421">
        <f>'Initial unit rates'!T216</f>
        <v>0</v>
      </c>
      <c r="U88" s="421">
        <f>'Initial unit rates'!U216</f>
        <v>0</v>
      </c>
      <c r="V88" s="421">
        <f>'Initial unit rates'!V216</f>
        <v>0</v>
      </c>
      <c r="W88" s="421">
        <f>'Initial unit rates'!W216</f>
        <v>0</v>
      </c>
      <c r="X88" s="421">
        <f>'Initial unit rates'!X216</f>
        <v>0</v>
      </c>
      <c r="Y88" s="421">
        <f>'Initial unit rates'!Y216</f>
        <v>0</v>
      </c>
      <c r="Z88" s="352"/>
      <c r="AA88" s="352"/>
    </row>
    <row r="89" spans="4:27" x14ac:dyDescent="0.25">
      <c r="D89" s="295"/>
      <c r="F89" s="295" t="s">
        <v>48</v>
      </c>
      <c r="G89" s="295" t="s">
        <v>183</v>
      </c>
      <c r="H89" s="352"/>
      <c r="I89" s="352"/>
      <c r="J89" s="421">
        <f>'Initial unit rates'!J217</f>
        <v>5.6723556339629807E-3</v>
      </c>
      <c r="K89" s="421">
        <f>'Initial unit rates'!K217</f>
        <v>5.6723556339629807E-3</v>
      </c>
      <c r="L89" s="421">
        <f>'Initial unit rates'!L217</f>
        <v>6.5884697768449135E-3</v>
      </c>
      <c r="M89" s="421">
        <f>'Initial unit rates'!M217</f>
        <v>6.5884697768449135E-3</v>
      </c>
      <c r="N89" s="421">
        <f>'Initial unit rates'!N217</f>
        <v>5.093067014110832E-3</v>
      </c>
      <c r="O89" s="421">
        <f>'Initial unit rates'!O217</f>
        <v>4.142387143733748E-3</v>
      </c>
      <c r="P89" s="421">
        <f>'Initial unit rates'!P217</f>
        <v>2.8355357920827429E-3</v>
      </c>
      <c r="Q89" s="421">
        <f>'Initial unit rates'!Q217</f>
        <v>4.4583203345226413E-3</v>
      </c>
      <c r="R89" s="421">
        <f>'Initial unit rates'!R217</f>
        <v>-4.0563287102743269E-3</v>
      </c>
      <c r="S89" s="421">
        <f>'Initial unit rates'!S217</f>
        <v>-3.8568371343591953E-3</v>
      </c>
      <c r="T89" s="421">
        <f>'Initial unit rates'!T217</f>
        <v>-4.0563287102743269E-3</v>
      </c>
      <c r="U89" s="421">
        <f>'Initial unit rates'!U217</f>
        <v>-4.0563287102743269E-3</v>
      </c>
      <c r="V89" s="421">
        <f>'Initial unit rates'!V217</f>
        <v>-3.8568371343591953E-3</v>
      </c>
      <c r="W89" s="421">
        <f>'Initial unit rates'!W217</f>
        <v>-3.8568371343591953E-3</v>
      </c>
      <c r="X89" s="421">
        <f>'Initial unit rates'!X217</f>
        <v>0</v>
      </c>
      <c r="Y89" s="421">
        <f>'Initial unit rates'!Y217</f>
        <v>0</v>
      </c>
      <c r="Z89" s="352"/>
      <c r="AA89" s="352"/>
    </row>
    <row r="90" spans="4:27" x14ac:dyDescent="0.25">
      <c r="D90" s="295"/>
      <c r="F90" s="295" t="s">
        <v>49</v>
      </c>
      <c r="G90" s="295" t="s">
        <v>183</v>
      </c>
      <c r="H90" s="352"/>
      <c r="I90" s="352"/>
      <c r="J90" s="421">
        <f>'Initial unit rates'!J218</f>
        <v>1.3025042971959073E-3</v>
      </c>
      <c r="K90" s="421">
        <f>'Initial unit rates'!K218</f>
        <v>1.3025042971959073E-3</v>
      </c>
      <c r="L90" s="421">
        <f>'Initial unit rates'!L218</f>
        <v>1.5128653332143784E-3</v>
      </c>
      <c r="M90" s="421">
        <f>'Initial unit rates'!M218</f>
        <v>1.5128653332143784E-3</v>
      </c>
      <c r="N90" s="421">
        <f>'Initial unit rates'!N218</f>
        <v>1.1694862064125261E-3</v>
      </c>
      <c r="O90" s="421">
        <f>'Initial unit rates'!O218</f>
        <v>9.5118807838089449E-4</v>
      </c>
      <c r="P90" s="421">
        <f>'Initial unit rates'!P218</f>
        <v>0</v>
      </c>
      <c r="Q90" s="421">
        <f>'Initial unit rates'!Q218</f>
        <v>1.0237336600023082E-3</v>
      </c>
      <c r="R90" s="421">
        <f>'Initial unit rates'!R218</f>
        <v>-9.3142706785473818E-4</v>
      </c>
      <c r="S90" s="421">
        <f>'Initial unit rates'!S218</f>
        <v>0</v>
      </c>
      <c r="T90" s="421">
        <f>'Initial unit rates'!T218</f>
        <v>-9.3142706785473818E-4</v>
      </c>
      <c r="U90" s="421">
        <f>'Initial unit rates'!U218</f>
        <v>-9.3142706785473818E-4</v>
      </c>
      <c r="V90" s="421">
        <f>'Initial unit rates'!V218</f>
        <v>0</v>
      </c>
      <c r="W90" s="421">
        <f>'Initial unit rates'!W218</f>
        <v>0</v>
      </c>
      <c r="X90" s="421">
        <f>'Initial unit rates'!X218</f>
        <v>0</v>
      </c>
      <c r="Y90" s="421">
        <f>'Initial unit rates'!Y218</f>
        <v>0</v>
      </c>
      <c r="Z90" s="352"/>
      <c r="AA90" s="352"/>
    </row>
    <row r="91" spans="4:27" x14ac:dyDescent="0.25">
      <c r="D91" s="295"/>
      <c r="F91" s="295" t="s">
        <v>50</v>
      </c>
      <c r="G91" s="295" t="s">
        <v>183</v>
      </c>
      <c r="H91" s="352"/>
      <c r="I91" s="352"/>
      <c r="J91" s="421">
        <f>'Initial unit rates'!J219</f>
        <v>2.2883722751945547E-4</v>
      </c>
      <c r="K91" s="421">
        <f>'Initial unit rates'!K219</f>
        <v>2.2883722751945547E-4</v>
      </c>
      <c r="L91" s="421">
        <f>'Initial unit rates'!L219</f>
        <v>2.6579559791732816E-4</v>
      </c>
      <c r="M91" s="421">
        <f>'Initial unit rates'!M219</f>
        <v>2.6579559791732816E-4</v>
      </c>
      <c r="N91" s="421">
        <f>'Initial unit rates'!N219</f>
        <v>2.0546725386920976E-4</v>
      </c>
      <c r="O91" s="421">
        <f>'Initial unit rates'!O219</f>
        <v>0</v>
      </c>
      <c r="P91" s="421">
        <f>'Initial unit rates'!P219</f>
        <v>0</v>
      </c>
      <c r="Q91" s="421">
        <f>'Initial unit rates'!Q219</f>
        <v>1.7985996128966103E-4</v>
      </c>
      <c r="R91" s="421">
        <f>'Initial unit rates'!R219</f>
        <v>0</v>
      </c>
      <c r="S91" s="421">
        <f>'Initial unit rates'!S219</f>
        <v>0</v>
      </c>
      <c r="T91" s="421">
        <f>'Initial unit rates'!T219</f>
        <v>0</v>
      </c>
      <c r="U91" s="421">
        <f>'Initial unit rates'!U219</f>
        <v>0</v>
      </c>
      <c r="V91" s="421">
        <f>'Initial unit rates'!V219</f>
        <v>0</v>
      </c>
      <c r="W91" s="421">
        <f>'Initial unit rates'!W219</f>
        <v>0</v>
      </c>
      <c r="X91" s="421">
        <f>'Initial unit rates'!X219</f>
        <v>0</v>
      </c>
      <c r="Y91" s="421">
        <f>'Initial unit rates'!Y219</f>
        <v>0</v>
      </c>
      <c r="Z91" s="352"/>
      <c r="AA91" s="352"/>
    </row>
    <row r="92" spans="4:27" x14ac:dyDescent="0.25">
      <c r="D92" s="295"/>
      <c r="F92" s="91" t="s">
        <v>124</v>
      </c>
      <c r="G92" s="91" t="s">
        <v>183</v>
      </c>
      <c r="H92" s="350"/>
      <c r="I92" s="350"/>
      <c r="J92" s="362"/>
      <c r="K92" s="362"/>
      <c r="L92" s="362"/>
      <c r="M92" s="362"/>
      <c r="N92" s="362"/>
      <c r="O92" s="362"/>
      <c r="P92" s="362"/>
      <c r="Q92" s="362"/>
      <c r="R92" s="362"/>
      <c r="S92" s="362"/>
      <c r="T92" s="362"/>
      <c r="U92" s="362"/>
      <c r="V92" s="362"/>
      <c r="W92" s="362"/>
      <c r="X92" s="362"/>
      <c r="Y92" s="362"/>
      <c r="Z92" s="352"/>
      <c r="AA92" s="352"/>
    </row>
    <row r="93" spans="4:27" x14ac:dyDescent="0.25">
      <c r="D93" s="295"/>
      <c r="F93" s="93" t="s">
        <v>123</v>
      </c>
      <c r="G93" s="93" t="s">
        <v>183</v>
      </c>
      <c r="H93" s="354"/>
      <c r="I93" s="354"/>
      <c r="J93" s="359"/>
      <c r="K93" s="359"/>
      <c r="L93" s="359"/>
      <c r="M93" s="359"/>
      <c r="N93" s="359"/>
      <c r="O93" s="359"/>
      <c r="P93" s="359"/>
      <c r="Q93" s="359"/>
      <c r="R93" s="359"/>
      <c r="S93" s="359"/>
      <c r="T93" s="359"/>
      <c r="U93" s="359"/>
      <c r="V93" s="359"/>
      <c r="W93" s="359"/>
      <c r="X93" s="359"/>
      <c r="Y93" s="359"/>
      <c r="Z93" s="352"/>
      <c r="AA93" s="352"/>
    </row>
    <row r="94" spans="4:27" x14ac:dyDescent="0.25">
      <c r="D94" s="295"/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  <c r="U94" s="253"/>
      <c r="V94" s="253"/>
      <c r="W94" s="253"/>
      <c r="X94" s="253"/>
      <c r="Y94" s="253"/>
    </row>
    <row r="95" spans="4:27" x14ac:dyDescent="0.25">
      <c r="D95" s="295"/>
      <c r="E95" s="96" t="s">
        <v>116</v>
      </c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  <c r="U95" s="253"/>
      <c r="V95" s="253"/>
      <c r="W95" s="253"/>
      <c r="X95" s="253"/>
      <c r="Y95" s="253"/>
    </row>
    <row r="96" spans="4:27" x14ac:dyDescent="0.25">
      <c r="D96" s="295"/>
      <c r="F96" s="91" t="s">
        <v>324</v>
      </c>
      <c r="G96" s="91" t="s">
        <v>183</v>
      </c>
      <c r="H96" s="350"/>
      <c r="I96" s="350"/>
      <c r="J96" s="361">
        <f>'Initial unit rates'!J222</f>
        <v>2.4082353729925929E-3</v>
      </c>
      <c r="K96" s="361">
        <f>'Initial unit rates'!K222</f>
        <v>2.4082353729925929E-3</v>
      </c>
      <c r="L96" s="361">
        <f>'Initial unit rates'!L222</f>
        <v>2.7971775738971738E-3</v>
      </c>
      <c r="M96" s="361">
        <f>'Initial unit rates'!M222</f>
        <v>2.7971775738971738E-3</v>
      </c>
      <c r="N96" s="361">
        <f>'Initial unit rates'!N222</f>
        <v>2.162294632403776E-3</v>
      </c>
      <c r="O96" s="361">
        <f>'Initial unit rates'!O222</f>
        <v>1.7586773277118667E-3</v>
      </c>
      <c r="P96" s="361">
        <f>'Initial unit rates'!P222</f>
        <v>1.7542994173707232E-3</v>
      </c>
      <c r="Q96" s="361">
        <f>'Initial unit rates'!Q222</f>
        <v>1.8928088128755832E-3</v>
      </c>
      <c r="R96" s="361">
        <f>'Initial unit rates'!R222</f>
        <v>-1.7221406616466405E-3</v>
      </c>
      <c r="S96" s="361">
        <f>'Initial unit rates'!S222</f>
        <v>-1.637445219270576E-3</v>
      </c>
      <c r="T96" s="361">
        <f>'Initial unit rates'!T222</f>
        <v>-1.7221406616466405E-3</v>
      </c>
      <c r="U96" s="361">
        <f>'Initial unit rates'!U222</f>
        <v>-1.7221406616466405E-3</v>
      </c>
      <c r="V96" s="361">
        <f>'Initial unit rates'!V222</f>
        <v>-1.637445219270576E-3</v>
      </c>
      <c r="W96" s="361">
        <f>'Initial unit rates'!W222</f>
        <v>-1.637445219270576E-3</v>
      </c>
      <c r="X96" s="361">
        <f>'Initial unit rates'!X222</f>
        <v>-1.6092134051452214E-3</v>
      </c>
      <c r="Y96" s="361">
        <f>'Initial unit rates'!Y222</f>
        <v>-1.6092134051452214E-3</v>
      </c>
      <c r="Z96" s="352"/>
      <c r="AA96" s="352"/>
    </row>
    <row r="97" spans="3:42" x14ac:dyDescent="0.25">
      <c r="D97" s="295"/>
      <c r="F97" s="295" t="s">
        <v>43</v>
      </c>
      <c r="G97" s="295" t="s">
        <v>183</v>
      </c>
      <c r="H97" s="352"/>
      <c r="I97" s="352"/>
      <c r="J97" s="421">
        <f>'Initial unit rates'!J223</f>
        <v>0</v>
      </c>
      <c r="K97" s="421">
        <f>'Initial unit rates'!K223</f>
        <v>0</v>
      </c>
      <c r="L97" s="421">
        <f>'Initial unit rates'!L223</f>
        <v>0</v>
      </c>
      <c r="M97" s="421">
        <f>'Initial unit rates'!M223</f>
        <v>0</v>
      </c>
      <c r="N97" s="421">
        <f>'Initial unit rates'!N223</f>
        <v>0</v>
      </c>
      <c r="O97" s="421">
        <f>'Initial unit rates'!O223</f>
        <v>0</v>
      </c>
      <c r="P97" s="421">
        <f>'Initial unit rates'!P223</f>
        <v>0</v>
      </c>
      <c r="Q97" s="421">
        <f>'Initial unit rates'!Q223</f>
        <v>0</v>
      </c>
      <c r="R97" s="421">
        <f>'Initial unit rates'!R223</f>
        <v>0</v>
      </c>
      <c r="S97" s="421">
        <f>'Initial unit rates'!S223</f>
        <v>0</v>
      </c>
      <c r="T97" s="421">
        <f>'Initial unit rates'!T223</f>
        <v>0</v>
      </c>
      <c r="U97" s="421">
        <f>'Initial unit rates'!U223</f>
        <v>0</v>
      </c>
      <c r="V97" s="421">
        <f>'Initial unit rates'!V223</f>
        <v>0</v>
      </c>
      <c r="W97" s="421">
        <f>'Initial unit rates'!W223</f>
        <v>0</v>
      </c>
      <c r="X97" s="421">
        <f>'Initial unit rates'!X223</f>
        <v>0</v>
      </c>
      <c r="Y97" s="421">
        <f>'Initial unit rates'!Y223</f>
        <v>0</v>
      </c>
      <c r="Z97" s="352"/>
      <c r="AA97" s="352"/>
    </row>
    <row r="98" spans="3:42" x14ac:dyDescent="0.25">
      <c r="D98" s="295"/>
      <c r="F98" s="295" t="s">
        <v>44</v>
      </c>
      <c r="G98" s="295" t="s">
        <v>183</v>
      </c>
      <c r="H98" s="352"/>
      <c r="I98" s="352"/>
      <c r="J98" s="421">
        <f>'Initial unit rates'!J224</f>
        <v>0</v>
      </c>
      <c r="K98" s="421">
        <f>'Initial unit rates'!K224</f>
        <v>0</v>
      </c>
      <c r="L98" s="421">
        <f>'Initial unit rates'!L224</f>
        <v>0</v>
      </c>
      <c r="M98" s="421">
        <f>'Initial unit rates'!M224</f>
        <v>0</v>
      </c>
      <c r="N98" s="421">
        <f>'Initial unit rates'!N224</f>
        <v>0</v>
      </c>
      <c r="O98" s="421">
        <f>'Initial unit rates'!O224</f>
        <v>0</v>
      </c>
      <c r="P98" s="421">
        <f>'Initial unit rates'!P224</f>
        <v>0</v>
      </c>
      <c r="Q98" s="421">
        <f>'Initial unit rates'!Q224</f>
        <v>0</v>
      </c>
      <c r="R98" s="421">
        <f>'Initial unit rates'!R224</f>
        <v>0</v>
      </c>
      <c r="S98" s="421">
        <f>'Initial unit rates'!S224</f>
        <v>0</v>
      </c>
      <c r="T98" s="421">
        <f>'Initial unit rates'!T224</f>
        <v>0</v>
      </c>
      <c r="U98" s="421">
        <f>'Initial unit rates'!U224</f>
        <v>0</v>
      </c>
      <c r="V98" s="421">
        <f>'Initial unit rates'!V224</f>
        <v>0</v>
      </c>
      <c r="W98" s="421">
        <f>'Initial unit rates'!W224</f>
        <v>0</v>
      </c>
      <c r="X98" s="421">
        <f>'Initial unit rates'!X224</f>
        <v>0</v>
      </c>
      <c r="Y98" s="421">
        <f>'Initial unit rates'!Y224</f>
        <v>0</v>
      </c>
      <c r="Z98" s="352"/>
      <c r="AA98" s="352"/>
    </row>
    <row r="99" spans="3:42" x14ac:dyDescent="0.25">
      <c r="D99" s="295"/>
      <c r="F99" s="295" t="s">
        <v>45</v>
      </c>
      <c r="G99" s="295" t="s">
        <v>183</v>
      </c>
      <c r="H99" s="352"/>
      <c r="I99" s="352"/>
      <c r="J99" s="421">
        <f>'Initial unit rates'!J225</f>
        <v>0</v>
      </c>
      <c r="K99" s="421">
        <f>'Initial unit rates'!K225</f>
        <v>0</v>
      </c>
      <c r="L99" s="421">
        <f>'Initial unit rates'!L225</f>
        <v>0</v>
      </c>
      <c r="M99" s="421">
        <f>'Initial unit rates'!M225</f>
        <v>0</v>
      </c>
      <c r="N99" s="421">
        <f>'Initial unit rates'!N225</f>
        <v>0</v>
      </c>
      <c r="O99" s="421">
        <f>'Initial unit rates'!O225</f>
        <v>0</v>
      </c>
      <c r="P99" s="421">
        <f>'Initial unit rates'!P225</f>
        <v>0</v>
      </c>
      <c r="Q99" s="421">
        <f>'Initial unit rates'!Q225</f>
        <v>0</v>
      </c>
      <c r="R99" s="421">
        <f>'Initial unit rates'!R225</f>
        <v>0</v>
      </c>
      <c r="S99" s="421">
        <f>'Initial unit rates'!S225</f>
        <v>0</v>
      </c>
      <c r="T99" s="421">
        <f>'Initial unit rates'!T225</f>
        <v>0</v>
      </c>
      <c r="U99" s="421">
        <f>'Initial unit rates'!U225</f>
        <v>0</v>
      </c>
      <c r="V99" s="421">
        <f>'Initial unit rates'!V225</f>
        <v>0</v>
      </c>
      <c r="W99" s="421">
        <f>'Initial unit rates'!W225</f>
        <v>0</v>
      </c>
      <c r="X99" s="421">
        <f>'Initial unit rates'!X225</f>
        <v>0</v>
      </c>
      <c r="Y99" s="421">
        <f>'Initial unit rates'!Y225</f>
        <v>0</v>
      </c>
      <c r="Z99" s="352"/>
      <c r="AA99" s="352"/>
    </row>
    <row r="100" spans="3:42" x14ac:dyDescent="0.25">
      <c r="D100" s="295"/>
      <c r="F100" s="295" t="s">
        <v>46</v>
      </c>
      <c r="G100" s="295" t="s">
        <v>183</v>
      </c>
      <c r="H100" s="352"/>
      <c r="I100" s="352"/>
      <c r="J100" s="421">
        <f>'Initial unit rates'!J226</f>
        <v>1.7045036833946514E-3</v>
      </c>
      <c r="K100" s="421">
        <f>'Initial unit rates'!K226</f>
        <v>1.7045036833946514E-3</v>
      </c>
      <c r="L100" s="421">
        <f>'Initial unit rates'!L226</f>
        <v>1.979789654817645E-3</v>
      </c>
      <c r="M100" s="421">
        <f>'Initial unit rates'!M226</f>
        <v>1.979789654817645E-3</v>
      </c>
      <c r="N100" s="421">
        <f>'Initial unit rates'!N226</f>
        <v>1.5304314548526714E-3</v>
      </c>
      <c r="O100" s="421">
        <f>'Initial unit rates'!O226</f>
        <v>1.2447587210973002E-3</v>
      </c>
      <c r="P100" s="421">
        <f>'Initial unit rates'!P226</f>
        <v>1.2416601185330591E-3</v>
      </c>
      <c r="Q100" s="421">
        <f>'Initial unit rates'!Q226</f>
        <v>1.3396944624640774E-3</v>
      </c>
      <c r="R100" s="421">
        <f>'Initial unit rates'!R226</f>
        <v>-1.218898756334076E-3</v>
      </c>
      <c r="S100" s="421">
        <f>'Initial unit rates'!S226</f>
        <v>-1.1589529158586296E-3</v>
      </c>
      <c r="T100" s="421">
        <f>'Initial unit rates'!T226</f>
        <v>-1.218898756334076E-3</v>
      </c>
      <c r="U100" s="421">
        <f>'Initial unit rates'!U226</f>
        <v>-1.218898756334076E-3</v>
      </c>
      <c r="V100" s="421">
        <f>'Initial unit rates'!V226</f>
        <v>-1.1589529158586296E-3</v>
      </c>
      <c r="W100" s="421">
        <f>'Initial unit rates'!W226</f>
        <v>-1.1589529158586296E-3</v>
      </c>
      <c r="X100" s="421">
        <f>'Initial unit rates'!X226</f>
        <v>-1.1389709690334806E-3</v>
      </c>
      <c r="Y100" s="421">
        <f>'Initial unit rates'!Y226</f>
        <v>-1.1389709690334806E-3</v>
      </c>
      <c r="Z100" s="352"/>
      <c r="AA100" s="352"/>
    </row>
    <row r="101" spans="3:42" x14ac:dyDescent="0.25">
      <c r="D101" s="295"/>
      <c r="F101" s="295" t="s">
        <v>47</v>
      </c>
      <c r="G101" s="295" t="s">
        <v>183</v>
      </c>
      <c r="H101" s="352"/>
      <c r="I101" s="352"/>
      <c r="J101" s="421">
        <f>'Initial unit rates'!J227</f>
        <v>1.2190576574004099E-3</v>
      </c>
      <c r="K101" s="421">
        <f>'Initial unit rates'!K227</f>
        <v>1.2190576574004099E-3</v>
      </c>
      <c r="L101" s="421">
        <f>'Initial unit rates'!L227</f>
        <v>1.4159416387654474E-3</v>
      </c>
      <c r="M101" s="421">
        <f>'Initial unit rates'!M227</f>
        <v>1.4159416387654474E-3</v>
      </c>
      <c r="N101" s="421">
        <f>'Initial unit rates'!N227</f>
        <v>1.0945615444191612E-3</v>
      </c>
      <c r="O101" s="421">
        <f>'Initial unit rates'!O227</f>
        <v>8.9024897121226508E-4</v>
      </c>
      <c r="P101" s="421">
        <f>'Initial unit rates'!P227</f>
        <v>8.8803285679727264E-4</v>
      </c>
      <c r="Q101" s="421">
        <f>'Initial unit rates'!Q227</f>
        <v>9.5814682535105193E-4</v>
      </c>
      <c r="R101" s="421">
        <f>'Initial unit rates'!R227</f>
        <v>-8.7175397564738066E-4</v>
      </c>
      <c r="S101" s="421">
        <f>'Initial unit rates'!S227</f>
        <v>-8.2888082930406676E-4</v>
      </c>
      <c r="T101" s="421">
        <f>'Initial unit rates'!T227</f>
        <v>-8.7175397564738066E-4</v>
      </c>
      <c r="U101" s="421">
        <f>'Initial unit rates'!U227</f>
        <v>-8.7175397564738066E-4</v>
      </c>
      <c r="V101" s="421">
        <f>'Initial unit rates'!V227</f>
        <v>-8.2888082930406676E-4</v>
      </c>
      <c r="W101" s="421">
        <f>'Initial unit rates'!W227</f>
        <v>-8.2888082930406676E-4</v>
      </c>
      <c r="X101" s="421">
        <f>'Initial unit rates'!X227</f>
        <v>-8.1458978052296213E-4</v>
      </c>
      <c r="Y101" s="421">
        <f>'Initial unit rates'!Y227</f>
        <v>-8.1458978052296213E-4</v>
      </c>
      <c r="Z101" s="352"/>
      <c r="AA101" s="352"/>
    </row>
    <row r="102" spans="3:42" x14ac:dyDescent="0.25">
      <c r="D102" s="295"/>
      <c r="F102" s="295" t="s">
        <v>51</v>
      </c>
      <c r="G102" s="295" t="s">
        <v>183</v>
      </c>
      <c r="H102" s="352"/>
      <c r="I102" s="352"/>
      <c r="J102" s="421">
        <f>'Initial unit rates'!J228</f>
        <v>0</v>
      </c>
      <c r="K102" s="421">
        <f>'Initial unit rates'!K228</f>
        <v>0</v>
      </c>
      <c r="L102" s="421">
        <f>'Initial unit rates'!L228</f>
        <v>0</v>
      </c>
      <c r="M102" s="421">
        <f>'Initial unit rates'!M228</f>
        <v>0</v>
      </c>
      <c r="N102" s="421">
        <f>'Initial unit rates'!N228</f>
        <v>0</v>
      </c>
      <c r="O102" s="421">
        <f>'Initial unit rates'!O228</f>
        <v>0</v>
      </c>
      <c r="P102" s="421">
        <f>'Initial unit rates'!P228</f>
        <v>0</v>
      </c>
      <c r="Q102" s="421">
        <f>'Initial unit rates'!Q228</f>
        <v>0</v>
      </c>
      <c r="R102" s="421">
        <f>'Initial unit rates'!R228</f>
        <v>0</v>
      </c>
      <c r="S102" s="421">
        <f>'Initial unit rates'!S228</f>
        <v>0</v>
      </c>
      <c r="T102" s="421">
        <f>'Initial unit rates'!T228</f>
        <v>0</v>
      </c>
      <c r="U102" s="421">
        <f>'Initial unit rates'!U228</f>
        <v>0</v>
      </c>
      <c r="V102" s="421">
        <f>'Initial unit rates'!V228</f>
        <v>0</v>
      </c>
      <c r="W102" s="421">
        <f>'Initial unit rates'!W228</f>
        <v>0</v>
      </c>
      <c r="X102" s="421">
        <f>'Initial unit rates'!X228</f>
        <v>0</v>
      </c>
      <c r="Y102" s="421">
        <f>'Initial unit rates'!Y228</f>
        <v>0</v>
      </c>
      <c r="Z102" s="352"/>
      <c r="AA102" s="352"/>
    </row>
    <row r="103" spans="3:42" x14ac:dyDescent="0.25">
      <c r="D103" s="295"/>
      <c r="F103" s="295" t="s">
        <v>48</v>
      </c>
      <c r="G103" s="295" t="s">
        <v>183</v>
      </c>
      <c r="H103" s="352"/>
      <c r="I103" s="352"/>
      <c r="J103" s="421">
        <f>'Initial unit rates'!J229</f>
        <v>5.2444201935189071E-3</v>
      </c>
      <c r="K103" s="421">
        <f>'Initial unit rates'!K229</f>
        <v>5.2444201935189071E-3</v>
      </c>
      <c r="L103" s="421">
        <f>'Initial unit rates'!L229</f>
        <v>6.0914205969723884E-3</v>
      </c>
      <c r="M103" s="421">
        <f>'Initial unit rates'!M229</f>
        <v>6.0914205969723884E-3</v>
      </c>
      <c r="N103" s="421">
        <f>'Initial unit rates'!N229</f>
        <v>4.7088344277678631E-3</v>
      </c>
      <c r="O103" s="421">
        <f>'Initial unit rates'!O229</f>
        <v>3.8298760141018623E-3</v>
      </c>
      <c r="P103" s="421">
        <f>'Initial unit rates'!P229</f>
        <v>3.8203422278050604E-3</v>
      </c>
      <c r="Q103" s="421">
        <f>'Initial unit rates'!Q229</f>
        <v>4.1219744847364589E-3</v>
      </c>
      <c r="R103" s="421">
        <f>'Initial unit rates'!R229</f>
        <v>-3.750310025052286E-3</v>
      </c>
      <c r="S103" s="421">
        <f>'Initial unit rates'!S229</f>
        <v>-3.5658685484103703E-3</v>
      </c>
      <c r="T103" s="421">
        <f>'Initial unit rates'!T229</f>
        <v>-3.750310025052286E-3</v>
      </c>
      <c r="U103" s="421">
        <f>'Initial unit rates'!U229</f>
        <v>-3.750310025052286E-3</v>
      </c>
      <c r="V103" s="421">
        <f>'Initial unit rates'!V229</f>
        <v>-3.5658685484103703E-3</v>
      </c>
      <c r="W103" s="421">
        <f>'Initial unit rates'!W229</f>
        <v>-3.5658685484103703E-3</v>
      </c>
      <c r="X103" s="421">
        <f>'Initial unit rates'!X229</f>
        <v>0</v>
      </c>
      <c r="Y103" s="421">
        <f>'Initial unit rates'!Y229</f>
        <v>0</v>
      </c>
      <c r="Z103" s="352"/>
      <c r="AA103" s="352"/>
    </row>
    <row r="104" spans="3:42" x14ac:dyDescent="0.25">
      <c r="D104" s="295"/>
      <c r="F104" s="295" t="s">
        <v>49</v>
      </c>
      <c r="G104" s="295" t="s">
        <v>183</v>
      </c>
      <c r="H104" s="352"/>
      <c r="I104" s="352"/>
      <c r="J104" s="421">
        <f>'Initial unit rates'!J230</f>
        <v>1.3180712926202751E-3</v>
      </c>
      <c r="K104" s="421">
        <f>'Initial unit rates'!K230</f>
        <v>1.3180712926202751E-3</v>
      </c>
      <c r="L104" s="421">
        <f>'Initial unit rates'!L230</f>
        <v>1.530946477184908E-3</v>
      </c>
      <c r="M104" s="421">
        <f>'Initial unit rates'!M230</f>
        <v>1.530946477184908E-3</v>
      </c>
      <c r="N104" s="421">
        <f>'Initial unit rates'!N230</f>
        <v>1.1834634243482202E-3</v>
      </c>
      <c r="O104" s="421">
        <f>'Initial unit rates'!O230</f>
        <v>9.6255628691252568E-4</v>
      </c>
      <c r="P104" s="421">
        <f>'Initial unit rates'!P230</f>
        <v>0</v>
      </c>
      <c r="Q104" s="421">
        <f>'Initial unit rates'!Q230</f>
        <v>1.0359689034754667E-3</v>
      </c>
      <c r="R104" s="421">
        <f>'Initial unit rates'!R230</f>
        <v>-9.4255910091953666E-4</v>
      </c>
      <c r="S104" s="421">
        <f>'Initial unit rates'!S230</f>
        <v>0</v>
      </c>
      <c r="T104" s="421">
        <f>'Initial unit rates'!T230</f>
        <v>-9.4255910091953666E-4</v>
      </c>
      <c r="U104" s="421">
        <f>'Initial unit rates'!U230</f>
        <v>-9.4255910091953666E-4</v>
      </c>
      <c r="V104" s="421">
        <f>'Initial unit rates'!V230</f>
        <v>0</v>
      </c>
      <c r="W104" s="421">
        <f>'Initial unit rates'!W230</f>
        <v>0</v>
      </c>
      <c r="X104" s="421">
        <f>'Initial unit rates'!X230</f>
        <v>0</v>
      </c>
      <c r="Y104" s="421">
        <f>'Initial unit rates'!Y230</f>
        <v>0</v>
      </c>
      <c r="Z104" s="352"/>
      <c r="AA104" s="352"/>
    </row>
    <row r="105" spans="3:42" x14ac:dyDescent="0.25">
      <c r="D105" s="295"/>
      <c r="F105" s="295" t="s">
        <v>50</v>
      </c>
      <c r="G105" s="295" t="s">
        <v>183</v>
      </c>
      <c r="H105" s="352"/>
      <c r="I105" s="352"/>
      <c r="J105" s="421">
        <f>'Initial unit rates'!J231</f>
        <v>2.2170375862583351E-3</v>
      </c>
      <c r="K105" s="421">
        <f>'Initial unit rates'!K231</f>
        <v>2.2170375862583351E-3</v>
      </c>
      <c r="L105" s="421">
        <f>'Initial unit rates'!L231</f>
        <v>2.5751003769464232E-3</v>
      </c>
      <c r="M105" s="421">
        <f>'Initial unit rates'!M231</f>
        <v>2.5751003769464232E-3</v>
      </c>
      <c r="N105" s="421">
        <f>'Initial unit rates'!N231</f>
        <v>1.9906228960696218E-3</v>
      </c>
      <c r="O105" s="421">
        <f>'Initial unit rates'!O231</f>
        <v>0</v>
      </c>
      <c r="P105" s="421">
        <f>'Initial unit rates'!P231</f>
        <v>0</v>
      </c>
      <c r="Q105" s="421">
        <f>'Initial unit rates'!Q231</f>
        <v>1.7425324487828188E-3</v>
      </c>
      <c r="R105" s="421">
        <f>'Initial unit rates'!R231</f>
        <v>0</v>
      </c>
      <c r="S105" s="421">
        <f>'Initial unit rates'!S231</f>
        <v>0</v>
      </c>
      <c r="T105" s="421">
        <f>'Initial unit rates'!T231</f>
        <v>0</v>
      </c>
      <c r="U105" s="421">
        <f>'Initial unit rates'!U231</f>
        <v>0</v>
      </c>
      <c r="V105" s="421">
        <f>'Initial unit rates'!V231</f>
        <v>0</v>
      </c>
      <c r="W105" s="421">
        <f>'Initial unit rates'!W231</f>
        <v>0</v>
      </c>
      <c r="X105" s="421">
        <f>'Initial unit rates'!X231</f>
        <v>0</v>
      </c>
      <c r="Y105" s="421">
        <f>'Initial unit rates'!Y231</f>
        <v>0</v>
      </c>
      <c r="Z105" s="352"/>
      <c r="AA105" s="352"/>
    </row>
    <row r="106" spans="3:42" x14ac:dyDescent="0.25">
      <c r="D106" s="295"/>
      <c r="F106" s="91" t="s">
        <v>124</v>
      </c>
      <c r="G106" s="91" t="s">
        <v>183</v>
      </c>
      <c r="H106" s="350"/>
      <c r="I106" s="350" t="s">
        <v>431</v>
      </c>
      <c r="J106" s="362"/>
      <c r="K106" s="362"/>
      <c r="L106" s="362"/>
      <c r="M106" s="362"/>
      <c r="N106" s="362"/>
      <c r="O106" s="362"/>
      <c r="P106" s="362"/>
      <c r="Q106" s="361">
        <f>'Service model charges'!$Q$44</f>
        <v>0.42942896297178434</v>
      </c>
      <c r="R106" s="362"/>
      <c r="S106" s="362"/>
      <c r="T106" s="362"/>
      <c r="U106" s="362"/>
      <c r="V106" s="362"/>
      <c r="W106" s="362"/>
      <c r="X106" s="362"/>
      <c r="Y106" s="362"/>
      <c r="Z106" s="352"/>
      <c r="AA106" s="352" t="s">
        <v>837</v>
      </c>
    </row>
    <row r="107" spans="3:42" x14ac:dyDescent="0.25">
      <c r="D107" s="295"/>
      <c r="F107" s="93" t="s">
        <v>123</v>
      </c>
      <c r="G107" s="93" t="s">
        <v>183</v>
      </c>
      <c r="H107" s="354"/>
      <c r="I107" s="354"/>
      <c r="J107" s="359"/>
      <c r="K107" s="359"/>
      <c r="L107" s="359"/>
      <c r="M107" s="359"/>
      <c r="N107" s="359"/>
      <c r="O107" s="359"/>
      <c r="P107" s="359"/>
      <c r="Q107" s="359"/>
      <c r="R107" s="359"/>
      <c r="S107" s="359"/>
      <c r="T107" s="359"/>
      <c r="U107" s="359"/>
      <c r="V107" s="359"/>
      <c r="W107" s="359"/>
      <c r="X107" s="359"/>
      <c r="Y107" s="359"/>
      <c r="Z107" s="352"/>
      <c r="AA107" s="352"/>
    </row>
    <row r="109" spans="3:42" x14ac:dyDescent="0.25">
      <c r="C109" s="7" t="str">
        <f ca="1">INDEX('Version control'!$H$34:$H$58,MATCH($A$1,'Version control'!$F$34:$F$58,0),1)&amp;"-D: Standing charge factors"</f>
        <v>Section 514-D: Standing charge factors</v>
      </c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3:42" x14ac:dyDescent="0.25">
      <c r="D110" s="96"/>
      <c r="E110" s="96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</row>
    <row r="111" spans="3:42" x14ac:dyDescent="0.25">
      <c r="D111" s="295"/>
      <c r="E111" s="96" t="s">
        <v>320</v>
      </c>
      <c r="H111" s="111"/>
      <c r="I111" s="295" t="s">
        <v>431</v>
      </c>
      <c r="J111" s="90"/>
      <c r="L111" s="90"/>
      <c r="AA111" s="295" t="s">
        <v>811</v>
      </c>
      <c r="AP111" s="88"/>
    </row>
    <row r="112" spans="3:42" x14ac:dyDescent="0.25">
      <c r="C112" s="96"/>
      <c r="D112" s="295"/>
      <c r="E112" s="295"/>
      <c r="F112" s="91" t="s">
        <v>43</v>
      </c>
      <c r="G112" s="91" t="s">
        <v>94</v>
      </c>
      <c r="H112" s="74"/>
      <c r="I112" s="91"/>
      <c r="J112" s="137">
        <f>'Standing charge factors'!J44</f>
        <v>0</v>
      </c>
      <c r="K112" s="137">
        <f>'Standing charge factors'!K44</f>
        <v>0</v>
      </c>
      <c r="L112" s="137">
        <f>'Standing charge factors'!L44</f>
        <v>0</v>
      </c>
      <c r="M112" s="137">
        <f>'Standing charge factors'!M44</f>
        <v>0</v>
      </c>
      <c r="N112" s="137">
        <f>'Standing charge factors'!N44</f>
        <v>0</v>
      </c>
      <c r="O112" s="137">
        <f>'Standing charge factors'!O44</f>
        <v>0</v>
      </c>
      <c r="P112" s="137">
        <f>'Standing charge factors'!P44</f>
        <v>0</v>
      </c>
      <c r="Q112" s="137">
        <f>'Standing charge factors'!Q44</f>
        <v>0</v>
      </c>
      <c r="R112" s="137">
        <f>'Standing charge factors'!R44</f>
        <v>0</v>
      </c>
      <c r="S112" s="137">
        <f>'Standing charge factors'!S44</f>
        <v>0</v>
      </c>
      <c r="T112" s="137">
        <f>'Standing charge factors'!T44</f>
        <v>0</v>
      </c>
      <c r="U112" s="137">
        <f>'Standing charge factors'!U44</f>
        <v>0</v>
      </c>
      <c r="V112" s="137">
        <f>'Standing charge factors'!V44</f>
        <v>0</v>
      </c>
      <c r="W112" s="137">
        <f>'Standing charge factors'!W44</f>
        <v>0</v>
      </c>
      <c r="X112" s="137">
        <f>'Standing charge factors'!X44</f>
        <v>0</v>
      </c>
      <c r="Y112" s="137">
        <f>'Standing charge factors'!Y44</f>
        <v>0</v>
      </c>
      <c r="AP112" s="88"/>
    </row>
    <row r="113" spans="2:42" x14ac:dyDescent="0.25">
      <c r="C113" s="96"/>
      <c r="D113" s="295"/>
      <c r="E113" s="295"/>
      <c r="F113" s="295" t="s">
        <v>44</v>
      </c>
      <c r="G113" s="295" t="s">
        <v>94</v>
      </c>
      <c r="H113" s="90"/>
      <c r="J113" s="143">
        <f>'Standing charge factors'!J45</f>
        <v>0</v>
      </c>
      <c r="K113" s="143">
        <f>'Standing charge factors'!K45</f>
        <v>0</v>
      </c>
      <c r="L113" s="143">
        <f>'Standing charge factors'!L45</f>
        <v>0</v>
      </c>
      <c r="M113" s="143">
        <f>'Standing charge factors'!M45</f>
        <v>0</v>
      </c>
      <c r="N113" s="143">
        <f>'Standing charge factors'!N45</f>
        <v>0</v>
      </c>
      <c r="O113" s="143">
        <f>'Standing charge factors'!O45</f>
        <v>0</v>
      </c>
      <c r="P113" s="143">
        <f>'Standing charge factors'!P45</f>
        <v>0</v>
      </c>
      <c r="Q113" s="143">
        <f>'Standing charge factors'!Q45</f>
        <v>0</v>
      </c>
      <c r="R113" s="143">
        <f>'Standing charge factors'!R45</f>
        <v>0</v>
      </c>
      <c r="S113" s="143">
        <f>'Standing charge factors'!S45</f>
        <v>0</v>
      </c>
      <c r="T113" s="143">
        <f>'Standing charge factors'!T45</f>
        <v>0</v>
      </c>
      <c r="U113" s="143">
        <f>'Standing charge factors'!U45</f>
        <v>0</v>
      </c>
      <c r="V113" s="143">
        <f>'Standing charge factors'!V45</f>
        <v>0</v>
      </c>
      <c r="W113" s="143">
        <f>'Standing charge factors'!W45</f>
        <v>0</v>
      </c>
      <c r="X113" s="143">
        <f>'Standing charge factors'!X45</f>
        <v>0</v>
      </c>
      <c r="Y113" s="143">
        <f>'Standing charge factors'!Y45</f>
        <v>0</v>
      </c>
      <c r="AP113" s="88"/>
    </row>
    <row r="114" spans="2:42" x14ac:dyDescent="0.25">
      <c r="C114" s="96"/>
      <c r="D114" s="295"/>
      <c r="E114" s="295"/>
      <c r="F114" s="295" t="s">
        <v>45</v>
      </c>
      <c r="G114" s="295" t="s">
        <v>94</v>
      </c>
      <c r="H114" s="90"/>
      <c r="J114" s="143">
        <f>'Standing charge factors'!J46</f>
        <v>0</v>
      </c>
      <c r="K114" s="143">
        <f>'Standing charge factors'!K46</f>
        <v>0</v>
      </c>
      <c r="L114" s="143">
        <f>'Standing charge factors'!L46</f>
        <v>0</v>
      </c>
      <c r="M114" s="143">
        <f>'Standing charge factors'!M46</f>
        <v>0</v>
      </c>
      <c r="N114" s="143">
        <f>'Standing charge factors'!N46</f>
        <v>0</v>
      </c>
      <c r="O114" s="143">
        <f>'Standing charge factors'!O46</f>
        <v>0</v>
      </c>
      <c r="P114" s="143">
        <f>'Standing charge factors'!P46</f>
        <v>0</v>
      </c>
      <c r="Q114" s="143">
        <f>'Standing charge factors'!Q46</f>
        <v>0</v>
      </c>
      <c r="R114" s="143">
        <f>'Standing charge factors'!R46</f>
        <v>0</v>
      </c>
      <c r="S114" s="143">
        <f>'Standing charge factors'!S46</f>
        <v>0</v>
      </c>
      <c r="T114" s="143">
        <f>'Standing charge factors'!T46</f>
        <v>0</v>
      </c>
      <c r="U114" s="143">
        <f>'Standing charge factors'!U46</f>
        <v>0</v>
      </c>
      <c r="V114" s="143">
        <f>'Standing charge factors'!V46</f>
        <v>0</v>
      </c>
      <c r="W114" s="143">
        <f>'Standing charge factors'!W46</f>
        <v>0</v>
      </c>
      <c r="X114" s="143">
        <f>'Standing charge factors'!X46</f>
        <v>0</v>
      </c>
      <c r="Y114" s="143">
        <f>'Standing charge factors'!Y46</f>
        <v>0</v>
      </c>
      <c r="AP114" s="88"/>
    </row>
    <row r="115" spans="2:42" x14ac:dyDescent="0.25">
      <c r="C115" s="96"/>
      <c r="D115" s="295"/>
      <c r="E115" s="295"/>
      <c r="F115" s="295" t="s">
        <v>46</v>
      </c>
      <c r="G115" s="295" t="s">
        <v>94</v>
      </c>
      <c r="H115" s="90"/>
      <c r="J115" s="143">
        <f>'Standing charge factors'!J47</f>
        <v>0</v>
      </c>
      <c r="K115" s="143">
        <f>'Standing charge factors'!K47</f>
        <v>0</v>
      </c>
      <c r="L115" s="143">
        <f>'Standing charge factors'!L47</f>
        <v>0</v>
      </c>
      <c r="M115" s="143">
        <f>'Standing charge factors'!M47</f>
        <v>0</v>
      </c>
      <c r="N115" s="143">
        <f>'Standing charge factors'!N47</f>
        <v>0</v>
      </c>
      <c r="O115" s="143">
        <f>'Standing charge factors'!O47</f>
        <v>0</v>
      </c>
      <c r="P115" s="143">
        <f>'Standing charge factors'!P47</f>
        <v>0.2</v>
      </c>
      <c r="Q115" s="143">
        <f>'Standing charge factors'!Q47</f>
        <v>0</v>
      </c>
      <c r="R115" s="143">
        <f>'Standing charge factors'!R47</f>
        <v>0</v>
      </c>
      <c r="S115" s="143">
        <f>'Standing charge factors'!S47</f>
        <v>0</v>
      </c>
      <c r="T115" s="143">
        <f>'Standing charge factors'!T47</f>
        <v>0</v>
      </c>
      <c r="U115" s="143">
        <f>'Standing charge factors'!U47</f>
        <v>0</v>
      </c>
      <c r="V115" s="143">
        <f>'Standing charge factors'!V47</f>
        <v>0</v>
      </c>
      <c r="W115" s="143">
        <f>'Standing charge factors'!W47</f>
        <v>0</v>
      </c>
      <c r="X115" s="143">
        <f>'Standing charge factors'!X47</f>
        <v>0</v>
      </c>
      <c r="Y115" s="143">
        <f>'Standing charge factors'!Y47</f>
        <v>0</v>
      </c>
      <c r="AP115" s="88"/>
    </row>
    <row r="116" spans="2:42" x14ac:dyDescent="0.25">
      <c r="C116" s="96"/>
      <c r="D116" s="295"/>
      <c r="E116" s="295"/>
      <c r="F116" s="295" t="s">
        <v>47</v>
      </c>
      <c r="G116" s="295" t="s">
        <v>94</v>
      </c>
      <c r="H116" s="90"/>
      <c r="J116" s="143">
        <f>'Standing charge factors'!J48</f>
        <v>0</v>
      </c>
      <c r="K116" s="143">
        <f>'Standing charge factors'!K48</f>
        <v>0</v>
      </c>
      <c r="L116" s="143">
        <f>'Standing charge factors'!L48</f>
        <v>0</v>
      </c>
      <c r="M116" s="143">
        <f>'Standing charge factors'!M48</f>
        <v>0</v>
      </c>
      <c r="N116" s="143">
        <f>'Standing charge factors'!N48</f>
        <v>0</v>
      </c>
      <c r="O116" s="143">
        <f>'Standing charge factors'!O48</f>
        <v>0</v>
      </c>
      <c r="P116" s="143">
        <f>'Standing charge factors'!P48</f>
        <v>1</v>
      </c>
      <c r="Q116" s="143">
        <f>'Standing charge factors'!Q48</f>
        <v>0</v>
      </c>
      <c r="R116" s="143">
        <f>'Standing charge factors'!R48</f>
        <v>0</v>
      </c>
      <c r="S116" s="143">
        <f>'Standing charge factors'!S48</f>
        <v>0</v>
      </c>
      <c r="T116" s="143">
        <f>'Standing charge factors'!T48</f>
        <v>0</v>
      </c>
      <c r="U116" s="143">
        <f>'Standing charge factors'!U48</f>
        <v>0</v>
      </c>
      <c r="V116" s="143">
        <f>'Standing charge factors'!V48</f>
        <v>0</v>
      </c>
      <c r="W116" s="143">
        <f>'Standing charge factors'!W48</f>
        <v>0</v>
      </c>
      <c r="X116" s="143">
        <f>'Standing charge factors'!X48</f>
        <v>0</v>
      </c>
      <c r="Y116" s="143">
        <f>'Standing charge factors'!Y48</f>
        <v>0</v>
      </c>
      <c r="AP116" s="88"/>
    </row>
    <row r="117" spans="2:42" x14ac:dyDescent="0.25">
      <c r="C117" s="96"/>
      <c r="D117" s="295"/>
      <c r="E117" s="295"/>
      <c r="F117" s="295" t="s">
        <v>51</v>
      </c>
      <c r="G117" s="295" t="s">
        <v>94</v>
      </c>
      <c r="H117" s="90"/>
      <c r="J117" s="143">
        <f>'Standing charge factors'!J49</f>
        <v>0</v>
      </c>
      <c r="K117" s="143">
        <f>'Standing charge factors'!K49</f>
        <v>0</v>
      </c>
      <c r="L117" s="143">
        <f>'Standing charge factors'!L49</f>
        <v>0</v>
      </c>
      <c r="M117" s="143">
        <f>'Standing charge factors'!M49</f>
        <v>0</v>
      </c>
      <c r="N117" s="143">
        <f>'Standing charge factors'!N49</f>
        <v>0</v>
      </c>
      <c r="O117" s="143">
        <f>'Standing charge factors'!O49</f>
        <v>0</v>
      </c>
      <c r="P117" s="143">
        <f>'Standing charge factors'!P49</f>
        <v>1</v>
      </c>
      <c r="Q117" s="143">
        <f>'Standing charge factors'!Q49</f>
        <v>0</v>
      </c>
      <c r="R117" s="143">
        <f>'Standing charge factors'!R49</f>
        <v>0</v>
      </c>
      <c r="S117" s="143">
        <f>'Standing charge factors'!S49</f>
        <v>0</v>
      </c>
      <c r="T117" s="143">
        <f>'Standing charge factors'!T49</f>
        <v>0</v>
      </c>
      <c r="U117" s="143">
        <f>'Standing charge factors'!U49</f>
        <v>0</v>
      </c>
      <c r="V117" s="143">
        <f>'Standing charge factors'!V49</f>
        <v>0</v>
      </c>
      <c r="W117" s="143">
        <f>'Standing charge factors'!W49</f>
        <v>0</v>
      </c>
      <c r="X117" s="143">
        <f>'Standing charge factors'!X49</f>
        <v>0</v>
      </c>
      <c r="Y117" s="143">
        <f>'Standing charge factors'!Y49</f>
        <v>0</v>
      </c>
      <c r="AP117" s="88"/>
    </row>
    <row r="118" spans="2:42" x14ac:dyDescent="0.25">
      <c r="C118" s="96"/>
      <c r="D118" s="295"/>
      <c r="E118" s="295"/>
      <c r="F118" s="295" t="s">
        <v>48</v>
      </c>
      <c r="G118" s="295" t="s">
        <v>94</v>
      </c>
      <c r="H118" s="90"/>
      <c r="J118" s="143">
        <f>'Standing charge factors'!J50</f>
        <v>0</v>
      </c>
      <c r="K118" s="143">
        <f>'Standing charge factors'!K50</f>
        <v>0</v>
      </c>
      <c r="L118" s="143">
        <f>'Standing charge factors'!L50</f>
        <v>0</v>
      </c>
      <c r="M118" s="143">
        <f>'Standing charge factors'!M50</f>
        <v>0</v>
      </c>
      <c r="N118" s="143">
        <f>'Standing charge factors'!N50</f>
        <v>0.2</v>
      </c>
      <c r="O118" s="143">
        <f>'Standing charge factors'!O50</f>
        <v>1</v>
      </c>
      <c r="P118" s="143">
        <f>'Standing charge factors'!P50</f>
        <v>1</v>
      </c>
      <c r="Q118" s="143">
        <f>'Standing charge factors'!Q50</f>
        <v>0</v>
      </c>
      <c r="R118" s="143">
        <f>'Standing charge factors'!R50</f>
        <v>0</v>
      </c>
      <c r="S118" s="143">
        <f>'Standing charge factors'!S50</f>
        <v>0</v>
      </c>
      <c r="T118" s="143">
        <f>'Standing charge factors'!T50</f>
        <v>0</v>
      </c>
      <c r="U118" s="143">
        <f>'Standing charge factors'!U50</f>
        <v>0</v>
      </c>
      <c r="V118" s="143">
        <f>'Standing charge factors'!V50</f>
        <v>0</v>
      </c>
      <c r="W118" s="143">
        <f>'Standing charge factors'!W50</f>
        <v>0</v>
      </c>
      <c r="X118" s="143">
        <f>'Standing charge factors'!X50</f>
        <v>0</v>
      </c>
      <c r="Y118" s="143">
        <f>'Standing charge factors'!Y50</f>
        <v>0</v>
      </c>
      <c r="AP118" s="88"/>
    </row>
    <row r="119" spans="2:42" x14ac:dyDescent="0.25">
      <c r="C119" s="96"/>
      <c r="D119" s="295"/>
      <c r="E119" s="295"/>
      <c r="F119" s="295" t="s">
        <v>49</v>
      </c>
      <c r="G119" s="295" t="s">
        <v>94</v>
      </c>
      <c r="H119" s="90"/>
      <c r="J119" s="143">
        <f>'Standing charge factors'!J51</f>
        <v>0</v>
      </c>
      <c r="K119" s="143">
        <f>'Standing charge factors'!K51</f>
        <v>0</v>
      </c>
      <c r="L119" s="143">
        <f>'Standing charge factors'!L51</f>
        <v>0</v>
      </c>
      <c r="M119" s="143">
        <f>'Standing charge factors'!M51</f>
        <v>0</v>
      </c>
      <c r="N119" s="143">
        <f>'Standing charge factors'!N51</f>
        <v>1</v>
      </c>
      <c r="O119" s="143">
        <f>'Standing charge factors'!O51</f>
        <v>1</v>
      </c>
      <c r="P119" s="143">
        <f>'Standing charge factors'!P51</f>
        <v>0</v>
      </c>
      <c r="Q119" s="143">
        <f>'Standing charge factors'!Q51</f>
        <v>0</v>
      </c>
      <c r="R119" s="143">
        <f>'Standing charge factors'!R51</f>
        <v>0</v>
      </c>
      <c r="S119" s="143">
        <f>'Standing charge factors'!S51</f>
        <v>0</v>
      </c>
      <c r="T119" s="143">
        <f>'Standing charge factors'!T51</f>
        <v>0</v>
      </c>
      <c r="U119" s="143">
        <f>'Standing charge factors'!U51</f>
        <v>0</v>
      </c>
      <c r="V119" s="143">
        <f>'Standing charge factors'!V51</f>
        <v>0</v>
      </c>
      <c r="W119" s="143">
        <f>'Standing charge factors'!W51</f>
        <v>0</v>
      </c>
      <c r="X119" s="143">
        <f>'Standing charge factors'!X51</f>
        <v>0</v>
      </c>
      <c r="Y119" s="143">
        <f>'Standing charge factors'!Y51</f>
        <v>0</v>
      </c>
      <c r="AP119" s="88"/>
    </row>
    <row r="120" spans="2:42" x14ac:dyDescent="0.25">
      <c r="C120" s="96"/>
      <c r="D120" s="295"/>
      <c r="E120" s="295"/>
      <c r="F120" s="93" t="s">
        <v>50</v>
      </c>
      <c r="G120" s="93" t="s">
        <v>94</v>
      </c>
      <c r="H120" s="187"/>
      <c r="I120" s="93"/>
      <c r="J120" s="395">
        <f>'Standing charge factors'!J52</f>
        <v>1</v>
      </c>
      <c r="K120" s="395">
        <f>'Standing charge factors'!K52</f>
        <v>1</v>
      </c>
      <c r="L120" s="395">
        <f>'Standing charge factors'!L52</f>
        <v>1</v>
      </c>
      <c r="M120" s="395">
        <f>'Standing charge factors'!M52</f>
        <v>1</v>
      </c>
      <c r="N120" s="395">
        <f>'Standing charge factors'!N52</f>
        <v>1</v>
      </c>
      <c r="O120" s="395">
        <f>'Standing charge factors'!O52</f>
        <v>0</v>
      </c>
      <c r="P120" s="395">
        <f>'Standing charge factors'!P52</f>
        <v>0</v>
      </c>
      <c r="Q120" s="395">
        <f>'Standing charge factors'!Q52</f>
        <v>0</v>
      </c>
      <c r="R120" s="395">
        <f>'Standing charge factors'!R52</f>
        <v>0</v>
      </c>
      <c r="S120" s="395">
        <f>'Standing charge factors'!S52</f>
        <v>0</v>
      </c>
      <c r="T120" s="395">
        <f>'Standing charge factors'!T52</f>
        <v>0</v>
      </c>
      <c r="U120" s="395">
        <f>'Standing charge factors'!U52</f>
        <v>0</v>
      </c>
      <c r="V120" s="395">
        <f>'Standing charge factors'!V52</f>
        <v>0</v>
      </c>
      <c r="W120" s="395">
        <f>'Standing charge factors'!W52</f>
        <v>0</v>
      </c>
      <c r="X120" s="395">
        <f>'Standing charge factors'!X52</f>
        <v>0</v>
      </c>
      <c r="Y120" s="395">
        <f>'Standing charge factors'!Y52</f>
        <v>0</v>
      </c>
      <c r="AP120" s="88"/>
    </row>
    <row r="122" spans="2:42" x14ac:dyDescent="0.25">
      <c r="B122" s="95" t="s">
        <v>519</v>
      </c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4" spans="2:42" x14ac:dyDescent="0.25">
      <c r="C124" s="7" t="str">
        <f ca="1">INDEX('Version control'!$H$34:$H$58,MATCH($A$1,'Version control'!$F$34:$F$58,0),1)&amp;"-E: Contributions to unit rate 1 p/kWh by network level (taking account of standing charges)"</f>
        <v>Section 514-E: Contributions to unit rate 1 p/kWh by network level (taking account of standing charges)</v>
      </c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2:42" x14ac:dyDescent="0.25">
      <c r="C125" s="96"/>
      <c r="D125" s="295"/>
      <c r="E125" s="96"/>
      <c r="I125" s="295" t="s">
        <v>431</v>
      </c>
      <c r="AA125" s="295" t="s">
        <v>838</v>
      </c>
    </row>
    <row r="126" spans="2:42" x14ac:dyDescent="0.25">
      <c r="E126" s="96" t="s">
        <v>139</v>
      </c>
    </row>
    <row r="127" spans="2:42" x14ac:dyDescent="0.25">
      <c r="F127" s="91" t="s">
        <v>324</v>
      </c>
      <c r="G127" s="91" t="s">
        <v>183</v>
      </c>
      <c r="H127" s="350"/>
      <c r="I127" s="350"/>
      <c r="J127" s="363">
        <f t="shared" ref="J127:Y128" si="0">J22 * (1 - J$112)</f>
        <v>0</v>
      </c>
      <c r="K127" s="363">
        <f t="shared" si="0"/>
        <v>0</v>
      </c>
      <c r="L127" s="363">
        <f t="shared" si="0"/>
        <v>0</v>
      </c>
      <c r="M127" s="363">
        <f t="shared" si="0"/>
        <v>0</v>
      </c>
      <c r="N127" s="363">
        <f t="shared" si="0"/>
        <v>0</v>
      </c>
      <c r="O127" s="363">
        <f t="shared" si="0"/>
        <v>0</v>
      </c>
      <c r="P127" s="363">
        <f t="shared" si="0"/>
        <v>0</v>
      </c>
      <c r="Q127" s="363">
        <f t="shared" si="0"/>
        <v>0</v>
      </c>
      <c r="R127" s="363">
        <f t="shared" si="0"/>
        <v>0</v>
      </c>
      <c r="S127" s="363">
        <f t="shared" si="0"/>
        <v>0</v>
      </c>
      <c r="T127" s="363">
        <f t="shared" si="0"/>
        <v>0</v>
      </c>
      <c r="U127" s="363">
        <f t="shared" si="0"/>
        <v>0</v>
      </c>
      <c r="V127" s="363">
        <f t="shared" si="0"/>
        <v>0</v>
      </c>
      <c r="W127" s="363">
        <f t="shared" si="0"/>
        <v>0</v>
      </c>
      <c r="X127" s="363">
        <f t="shared" si="0"/>
        <v>0</v>
      </c>
      <c r="Y127" s="363">
        <f t="shared" si="0"/>
        <v>0</v>
      </c>
      <c r="Z127" s="352"/>
      <c r="AA127" s="352"/>
    </row>
    <row r="128" spans="2:42" x14ac:dyDescent="0.25">
      <c r="F128" s="295" t="s">
        <v>43</v>
      </c>
      <c r="G128" s="295" t="s">
        <v>183</v>
      </c>
      <c r="H128" s="352"/>
      <c r="I128" s="352"/>
      <c r="J128" s="422">
        <f t="shared" si="0"/>
        <v>0</v>
      </c>
      <c r="K128" s="422">
        <f t="shared" si="0"/>
        <v>0</v>
      </c>
      <c r="L128" s="422">
        <f t="shared" si="0"/>
        <v>0</v>
      </c>
      <c r="M128" s="422">
        <f t="shared" si="0"/>
        <v>0</v>
      </c>
      <c r="N128" s="422">
        <f t="shared" si="0"/>
        <v>0</v>
      </c>
      <c r="O128" s="422">
        <f t="shared" si="0"/>
        <v>0</v>
      </c>
      <c r="P128" s="422">
        <f t="shared" si="0"/>
        <v>0</v>
      </c>
      <c r="Q128" s="422">
        <f t="shared" si="0"/>
        <v>0</v>
      </c>
      <c r="R128" s="422">
        <f t="shared" si="0"/>
        <v>0</v>
      </c>
      <c r="S128" s="422">
        <f t="shared" si="0"/>
        <v>0</v>
      </c>
      <c r="T128" s="422">
        <f t="shared" si="0"/>
        <v>0</v>
      </c>
      <c r="U128" s="422">
        <f t="shared" si="0"/>
        <v>0</v>
      </c>
      <c r="V128" s="422">
        <f t="shared" si="0"/>
        <v>0</v>
      </c>
      <c r="W128" s="422">
        <f t="shared" si="0"/>
        <v>0</v>
      </c>
      <c r="X128" s="422">
        <f t="shared" si="0"/>
        <v>0</v>
      </c>
      <c r="Y128" s="422">
        <f t="shared" si="0"/>
        <v>0</v>
      </c>
      <c r="Z128" s="352"/>
      <c r="AA128" s="352"/>
    </row>
    <row r="129" spans="4:27" x14ac:dyDescent="0.25">
      <c r="F129" s="295" t="s">
        <v>44</v>
      </c>
      <c r="G129" s="295" t="s">
        <v>183</v>
      </c>
      <c r="H129" s="352"/>
      <c r="I129" s="352"/>
      <c r="J129" s="422">
        <f t="shared" ref="J129:Y129" si="1">J24 * (1 - J$113)</f>
        <v>0</v>
      </c>
      <c r="K129" s="422">
        <f t="shared" si="1"/>
        <v>0</v>
      </c>
      <c r="L129" s="422">
        <f t="shared" si="1"/>
        <v>0</v>
      </c>
      <c r="M129" s="422">
        <f t="shared" si="1"/>
        <v>0</v>
      </c>
      <c r="N129" s="422">
        <f t="shared" si="1"/>
        <v>0</v>
      </c>
      <c r="O129" s="422">
        <f t="shared" si="1"/>
        <v>0</v>
      </c>
      <c r="P129" s="422">
        <f t="shared" si="1"/>
        <v>0</v>
      </c>
      <c r="Q129" s="422">
        <f t="shared" si="1"/>
        <v>0</v>
      </c>
      <c r="R129" s="422">
        <f t="shared" si="1"/>
        <v>0</v>
      </c>
      <c r="S129" s="422">
        <f t="shared" si="1"/>
        <v>0</v>
      </c>
      <c r="T129" s="422">
        <f t="shared" si="1"/>
        <v>0</v>
      </c>
      <c r="U129" s="422">
        <f t="shared" si="1"/>
        <v>0</v>
      </c>
      <c r="V129" s="422">
        <f t="shared" si="1"/>
        <v>0</v>
      </c>
      <c r="W129" s="422">
        <f t="shared" si="1"/>
        <v>0</v>
      </c>
      <c r="X129" s="422">
        <f t="shared" si="1"/>
        <v>0</v>
      </c>
      <c r="Y129" s="422">
        <f t="shared" si="1"/>
        <v>0</v>
      </c>
      <c r="Z129" s="352"/>
      <c r="AA129" s="352"/>
    </row>
    <row r="130" spans="4:27" x14ac:dyDescent="0.25">
      <c r="F130" s="295" t="s">
        <v>45</v>
      </c>
      <c r="G130" s="295" t="s">
        <v>183</v>
      </c>
      <c r="H130" s="352"/>
      <c r="I130" s="352"/>
      <c r="J130" s="422">
        <f t="shared" ref="J130:Y130" si="2">J25 * (1 - J$114)</f>
        <v>0</v>
      </c>
      <c r="K130" s="422">
        <f t="shared" si="2"/>
        <v>0</v>
      </c>
      <c r="L130" s="422">
        <f t="shared" si="2"/>
        <v>0</v>
      </c>
      <c r="M130" s="422">
        <f t="shared" si="2"/>
        <v>0</v>
      </c>
      <c r="N130" s="422">
        <f t="shared" si="2"/>
        <v>0</v>
      </c>
      <c r="O130" s="422">
        <f t="shared" si="2"/>
        <v>0</v>
      </c>
      <c r="P130" s="422">
        <f t="shared" si="2"/>
        <v>0</v>
      </c>
      <c r="Q130" s="422">
        <f t="shared" si="2"/>
        <v>0</v>
      </c>
      <c r="R130" s="422">
        <f t="shared" si="2"/>
        <v>0</v>
      </c>
      <c r="S130" s="422">
        <f t="shared" si="2"/>
        <v>0</v>
      </c>
      <c r="T130" s="422">
        <f t="shared" si="2"/>
        <v>0</v>
      </c>
      <c r="U130" s="422">
        <f t="shared" si="2"/>
        <v>0</v>
      </c>
      <c r="V130" s="422">
        <f t="shared" si="2"/>
        <v>0</v>
      </c>
      <c r="W130" s="422">
        <f t="shared" si="2"/>
        <v>0</v>
      </c>
      <c r="X130" s="422">
        <f t="shared" si="2"/>
        <v>0</v>
      </c>
      <c r="Y130" s="422">
        <f t="shared" si="2"/>
        <v>0</v>
      </c>
      <c r="Z130" s="352"/>
      <c r="AA130" s="352"/>
    </row>
    <row r="131" spans="4:27" x14ac:dyDescent="0.25">
      <c r="F131" s="295" t="s">
        <v>46</v>
      </c>
      <c r="G131" s="295" t="s">
        <v>183</v>
      </c>
      <c r="H131" s="352"/>
      <c r="I131" s="352"/>
      <c r="J131" s="422">
        <f t="shared" ref="J131:Y131" si="3">J26 * (1 - J$115)</f>
        <v>1.7958309065063878</v>
      </c>
      <c r="K131" s="422">
        <f t="shared" si="3"/>
        <v>1.7958309065063878</v>
      </c>
      <c r="L131" s="422">
        <f t="shared" si="3"/>
        <v>2.0858666866723046</v>
      </c>
      <c r="M131" s="422">
        <f t="shared" si="3"/>
        <v>2.0858666866723046</v>
      </c>
      <c r="N131" s="422">
        <f t="shared" si="3"/>
        <v>1.612431896562593</v>
      </c>
      <c r="O131" s="422">
        <f t="shared" si="3"/>
        <v>1.3114528318518921</v>
      </c>
      <c r="P131" s="422">
        <f t="shared" si="3"/>
        <v>1.014002341737301</v>
      </c>
      <c r="Q131" s="422">
        <f t="shared" si="3"/>
        <v>3.8982206606005354</v>
      </c>
      <c r="R131" s="422">
        <f t="shared" si="3"/>
        <v>-1.2842072914547749</v>
      </c>
      <c r="S131" s="422">
        <f t="shared" si="3"/>
        <v>-1.2210495558094581</v>
      </c>
      <c r="T131" s="422">
        <f t="shared" si="3"/>
        <v>-1.2842072914547749</v>
      </c>
      <c r="U131" s="422">
        <f t="shared" si="3"/>
        <v>-1.2842072914547749</v>
      </c>
      <c r="V131" s="422">
        <f t="shared" si="3"/>
        <v>-1.2210495558094581</v>
      </c>
      <c r="W131" s="422">
        <f t="shared" si="3"/>
        <v>-1.2210495558094581</v>
      </c>
      <c r="X131" s="422">
        <f t="shared" si="3"/>
        <v>-1.1626764971069683</v>
      </c>
      <c r="Y131" s="422">
        <f t="shared" si="3"/>
        <v>-1.1626764971069683</v>
      </c>
      <c r="Z131" s="352"/>
      <c r="AA131" s="352"/>
    </row>
    <row r="132" spans="4:27" x14ac:dyDescent="0.25">
      <c r="F132" s="295" t="s">
        <v>47</v>
      </c>
      <c r="G132" s="295" t="s">
        <v>183</v>
      </c>
      <c r="H132" s="352"/>
      <c r="I132" s="352"/>
      <c r="J132" s="422">
        <f t="shared" ref="J132:Y132" si="4">J27 * (1 - J$116)</f>
        <v>0.40311898458711498</v>
      </c>
      <c r="K132" s="422">
        <f t="shared" si="4"/>
        <v>0.40311898458711498</v>
      </c>
      <c r="L132" s="422">
        <f t="shared" si="4"/>
        <v>0.46822474079768722</v>
      </c>
      <c r="M132" s="422">
        <f t="shared" si="4"/>
        <v>0.46822474079768722</v>
      </c>
      <c r="N132" s="422">
        <f t="shared" si="4"/>
        <v>0.36195050798112338</v>
      </c>
      <c r="O132" s="422">
        <f t="shared" si="4"/>
        <v>0.29438825893608744</v>
      </c>
      <c r="P132" s="422">
        <f t="shared" si="4"/>
        <v>0</v>
      </c>
      <c r="Q132" s="422">
        <f t="shared" si="4"/>
        <v>0.90142027187854401</v>
      </c>
      <c r="R132" s="422">
        <f t="shared" si="4"/>
        <v>-0.28827231865483915</v>
      </c>
      <c r="S132" s="422">
        <f t="shared" si="4"/>
        <v>-0.27409499150787986</v>
      </c>
      <c r="T132" s="422">
        <f t="shared" si="4"/>
        <v>-0.28827231865483915</v>
      </c>
      <c r="U132" s="422">
        <f t="shared" si="4"/>
        <v>-0.28827231865483915</v>
      </c>
      <c r="V132" s="422">
        <f t="shared" si="4"/>
        <v>-0.27409499150787986</v>
      </c>
      <c r="W132" s="422">
        <f t="shared" si="4"/>
        <v>-0.27409499150787986</v>
      </c>
      <c r="X132" s="422">
        <f t="shared" si="4"/>
        <v>-0.23108576417596077</v>
      </c>
      <c r="Y132" s="422">
        <f t="shared" si="4"/>
        <v>-0.23108576417596077</v>
      </c>
      <c r="Z132" s="352"/>
      <c r="AA132" s="352"/>
    </row>
    <row r="133" spans="4:27" x14ac:dyDescent="0.25">
      <c r="F133" s="295" t="s">
        <v>51</v>
      </c>
      <c r="G133" s="295" t="s">
        <v>183</v>
      </c>
      <c r="H133" s="352"/>
      <c r="I133" s="352"/>
      <c r="J133" s="422">
        <f t="shared" ref="J133:Y133" si="5">J28 * (1 - J$117)</f>
        <v>0</v>
      </c>
      <c r="K133" s="422">
        <f t="shared" si="5"/>
        <v>0</v>
      </c>
      <c r="L133" s="422">
        <f t="shared" si="5"/>
        <v>0</v>
      </c>
      <c r="M133" s="422">
        <f t="shared" si="5"/>
        <v>0</v>
      </c>
      <c r="N133" s="422">
        <f t="shared" si="5"/>
        <v>0</v>
      </c>
      <c r="O133" s="422">
        <f t="shared" si="5"/>
        <v>0</v>
      </c>
      <c r="P133" s="422">
        <f t="shared" si="5"/>
        <v>0</v>
      </c>
      <c r="Q133" s="422">
        <f t="shared" si="5"/>
        <v>0</v>
      </c>
      <c r="R133" s="422">
        <f t="shared" si="5"/>
        <v>0</v>
      </c>
      <c r="S133" s="422">
        <f t="shared" si="5"/>
        <v>0</v>
      </c>
      <c r="T133" s="422">
        <f t="shared" si="5"/>
        <v>0</v>
      </c>
      <c r="U133" s="422">
        <f t="shared" si="5"/>
        <v>0</v>
      </c>
      <c r="V133" s="422">
        <f t="shared" si="5"/>
        <v>0</v>
      </c>
      <c r="W133" s="422">
        <f t="shared" si="5"/>
        <v>0</v>
      </c>
      <c r="X133" s="422">
        <f t="shared" si="5"/>
        <v>0</v>
      </c>
      <c r="Y133" s="422">
        <f t="shared" si="5"/>
        <v>0</v>
      </c>
      <c r="Z133" s="352"/>
      <c r="AA133" s="352"/>
    </row>
    <row r="134" spans="4:27" x14ac:dyDescent="0.25">
      <c r="F134" s="295" t="s">
        <v>48</v>
      </c>
      <c r="G134" s="295" t="s">
        <v>183</v>
      </c>
      <c r="H134" s="352"/>
      <c r="I134" s="352"/>
      <c r="J134" s="422">
        <f t="shared" ref="J134:Y134" si="6">J29 * (1 - J$118)</f>
        <v>1.3862526519345733</v>
      </c>
      <c r="K134" s="422">
        <f t="shared" si="6"/>
        <v>1.3862526519345733</v>
      </c>
      <c r="L134" s="422">
        <f t="shared" si="6"/>
        <v>1.6101394710967898</v>
      </c>
      <c r="M134" s="422">
        <f t="shared" si="6"/>
        <v>1.6101394710967898</v>
      </c>
      <c r="N134" s="422">
        <f t="shared" si="6"/>
        <v>0.99574541659814675</v>
      </c>
      <c r="O134" s="422">
        <f t="shared" si="6"/>
        <v>0</v>
      </c>
      <c r="P134" s="422">
        <f t="shared" si="6"/>
        <v>0</v>
      </c>
      <c r="Q134" s="422">
        <f t="shared" si="6"/>
        <v>3.0998198799272254</v>
      </c>
      <c r="R134" s="422">
        <f t="shared" si="6"/>
        <v>-0.99131591786454487</v>
      </c>
      <c r="S134" s="422">
        <f t="shared" si="6"/>
        <v>-0.94256267600235399</v>
      </c>
      <c r="T134" s="422">
        <f t="shared" si="6"/>
        <v>-0.99131591786454487</v>
      </c>
      <c r="U134" s="422">
        <f t="shared" si="6"/>
        <v>-0.99131591786454487</v>
      </c>
      <c r="V134" s="422">
        <f t="shared" si="6"/>
        <v>-0.94256267600235399</v>
      </c>
      <c r="W134" s="422">
        <f t="shared" si="6"/>
        <v>-0.94256267600235399</v>
      </c>
      <c r="X134" s="422">
        <f t="shared" si="6"/>
        <v>0</v>
      </c>
      <c r="Y134" s="422">
        <f t="shared" si="6"/>
        <v>0</v>
      </c>
      <c r="Z134" s="352"/>
      <c r="AA134" s="352"/>
    </row>
    <row r="135" spans="4:27" x14ac:dyDescent="0.25">
      <c r="F135" s="295" t="s">
        <v>49</v>
      </c>
      <c r="G135" s="295" t="s">
        <v>183</v>
      </c>
      <c r="H135" s="352"/>
      <c r="I135" s="352"/>
      <c r="J135" s="422">
        <f t="shared" ref="J135:Y135" si="7">J30 * (1 - J$119)</f>
        <v>0.31831573206254088</v>
      </c>
      <c r="K135" s="422">
        <f t="shared" si="7"/>
        <v>0.31831573206254088</v>
      </c>
      <c r="L135" s="422">
        <f t="shared" si="7"/>
        <v>0.36972533379806782</v>
      </c>
      <c r="M135" s="422">
        <f t="shared" si="7"/>
        <v>0.36972533379806782</v>
      </c>
      <c r="N135" s="422">
        <f t="shared" si="7"/>
        <v>0</v>
      </c>
      <c r="O135" s="422">
        <f t="shared" si="7"/>
        <v>0</v>
      </c>
      <c r="P135" s="422">
        <f t="shared" si="7"/>
        <v>0</v>
      </c>
      <c r="Q135" s="422">
        <f t="shared" si="7"/>
        <v>0.71179047554141128</v>
      </c>
      <c r="R135" s="422">
        <f t="shared" si="7"/>
        <v>-0.22762910618056312</v>
      </c>
      <c r="S135" s="422">
        <f t="shared" si="7"/>
        <v>0</v>
      </c>
      <c r="T135" s="422">
        <f t="shared" si="7"/>
        <v>-0.22762910618056312</v>
      </c>
      <c r="U135" s="422">
        <f t="shared" si="7"/>
        <v>-0.22762910618056312</v>
      </c>
      <c r="V135" s="422">
        <f t="shared" si="7"/>
        <v>0</v>
      </c>
      <c r="W135" s="422">
        <f t="shared" si="7"/>
        <v>0</v>
      </c>
      <c r="X135" s="422">
        <f t="shared" si="7"/>
        <v>0</v>
      </c>
      <c r="Y135" s="422">
        <f t="shared" si="7"/>
        <v>0</v>
      </c>
      <c r="Z135" s="352"/>
      <c r="AA135" s="352"/>
    </row>
    <row r="136" spans="4:27" x14ac:dyDescent="0.25">
      <c r="F136" s="295" t="s">
        <v>50</v>
      </c>
      <c r="G136" s="295" t="s">
        <v>183</v>
      </c>
      <c r="H136" s="352"/>
      <c r="I136" s="352"/>
      <c r="J136" s="422">
        <f t="shared" ref="J136:Y136" si="8">J31 * (1 - J$120)</f>
        <v>0</v>
      </c>
      <c r="K136" s="422">
        <f t="shared" si="8"/>
        <v>0</v>
      </c>
      <c r="L136" s="422">
        <f t="shared" si="8"/>
        <v>0</v>
      </c>
      <c r="M136" s="422">
        <f t="shared" si="8"/>
        <v>0</v>
      </c>
      <c r="N136" s="422">
        <f t="shared" si="8"/>
        <v>0</v>
      </c>
      <c r="O136" s="422">
        <f t="shared" si="8"/>
        <v>0</v>
      </c>
      <c r="P136" s="422">
        <f t="shared" si="8"/>
        <v>0</v>
      </c>
      <c r="Q136" s="422">
        <f t="shared" si="8"/>
        <v>0.12505460392592638</v>
      </c>
      <c r="R136" s="422">
        <f t="shared" si="8"/>
        <v>0</v>
      </c>
      <c r="S136" s="422">
        <f t="shared" si="8"/>
        <v>0</v>
      </c>
      <c r="T136" s="422">
        <f t="shared" si="8"/>
        <v>0</v>
      </c>
      <c r="U136" s="422">
        <f t="shared" si="8"/>
        <v>0</v>
      </c>
      <c r="V136" s="422">
        <f t="shared" si="8"/>
        <v>0</v>
      </c>
      <c r="W136" s="422">
        <f t="shared" si="8"/>
        <v>0</v>
      </c>
      <c r="X136" s="422">
        <f t="shared" si="8"/>
        <v>0</v>
      </c>
      <c r="Y136" s="422">
        <f t="shared" si="8"/>
        <v>0</v>
      </c>
      <c r="Z136" s="352"/>
      <c r="AA136" s="352"/>
    </row>
    <row r="137" spans="4:27" x14ac:dyDescent="0.25">
      <c r="D137" s="295"/>
      <c r="F137" s="91" t="s">
        <v>124</v>
      </c>
      <c r="G137" s="91" t="s">
        <v>183</v>
      </c>
      <c r="H137" s="350"/>
      <c r="I137" s="350"/>
      <c r="J137" s="362"/>
      <c r="K137" s="362"/>
      <c r="L137" s="362"/>
      <c r="M137" s="362"/>
      <c r="N137" s="362"/>
      <c r="O137" s="362"/>
      <c r="P137" s="362"/>
      <c r="Q137" s="362"/>
      <c r="R137" s="362"/>
      <c r="S137" s="362"/>
      <c r="T137" s="362"/>
      <c r="U137" s="362"/>
      <c r="V137" s="362"/>
      <c r="W137" s="362"/>
      <c r="X137" s="362"/>
      <c r="Y137" s="362"/>
      <c r="Z137" s="352"/>
      <c r="AA137" s="352"/>
    </row>
    <row r="138" spans="4:27" x14ac:dyDescent="0.25">
      <c r="D138" s="295"/>
      <c r="F138" s="93" t="s">
        <v>123</v>
      </c>
      <c r="G138" s="93" t="s">
        <v>183</v>
      </c>
      <c r="H138" s="354"/>
      <c r="I138" s="354"/>
      <c r="J138" s="359"/>
      <c r="K138" s="359"/>
      <c r="L138" s="359"/>
      <c r="M138" s="359"/>
      <c r="N138" s="359"/>
      <c r="O138" s="359"/>
      <c r="P138" s="359"/>
      <c r="Q138" s="359"/>
      <c r="R138" s="359"/>
      <c r="S138" s="359"/>
      <c r="T138" s="359"/>
      <c r="U138" s="359"/>
      <c r="V138" s="359"/>
      <c r="W138" s="359"/>
      <c r="X138" s="359"/>
      <c r="Y138" s="359"/>
      <c r="Z138" s="352"/>
      <c r="AA138" s="352"/>
    </row>
    <row r="139" spans="4:27" x14ac:dyDescent="0.25">
      <c r="E139" s="295"/>
      <c r="J139" s="253"/>
      <c r="K139" s="253"/>
      <c r="L139" s="253"/>
      <c r="M139" s="253"/>
      <c r="N139" s="253"/>
      <c r="O139" s="253"/>
      <c r="P139" s="253"/>
      <c r="Q139" s="253"/>
      <c r="R139" s="253"/>
      <c r="S139" s="253"/>
      <c r="T139" s="253"/>
      <c r="U139" s="253"/>
      <c r="V139" s="253"/>
      <c r="W139" s="253"/>
      <c r="X139" s="253"/>
      <c r="Y139" s="253"/>
    </row>
    <row r="140" spans="4:27" x14ac:dyDescent="0.25">
      <c r="E140" s="96" t="s">
        <v>116</v>
      </c>
      <c r="J140" s="253"/>
      <c r="K140" s="253"/>
      <c r="L140" s="253"/>
      <c r="M140" s="253"/>
      <c r="N140" s="253"/>
      <c r="O140" s="253"/>
      <c r="P140" s="253"/>
      <c r="Q140" s="253"/>
      <c r="R140" s="253"/>
      <c r="S140" s="253"/>
      <c r="T140" s="253"/>
      <c r="U140" s="253"/>
      <c r="V140" s="253"/>
      <c r="W140" s="253"/>
      <c r="X140" s="253"/>
      <c r="Y140" s="253"/>
    </row>
    <row r="141" spans="4:27" x14ac:dyDescent="0.25">
      <c r="F141" s="91" t="s">
        <v>324</v>
      </c>
      <c r="G141" s="91" t="s">
        <v>183</v>
      </c>
      <c r="H141" s="350"/>
      <c r="I141" s="350"/>
      <c r="J141" s="363">
        <f t="shared" ref="J141:Y142" si="9">J36 * (1 - J$112)</f>
        <v>1.8751515036073518</v>
      </c>
      <c r="K141" s="363">
        <f t="shared" si="9"/>
        <v>1.8751515036073518</v>
      </c>
      <c r="L141" s="363">
        <f t="shared" si="9"/>
        <v>2.1779979616494836</v>
      </c>
      <c r="M141" s="363">
        <f t="shared" si="9"/>
        <v>2.1779979616494836</v>
      </c>
      <c r="N141" s="363">
        <f t="shared" si="9"/>
        <v>1.6836518874629611</v>
      </c>
      <c r="O141" s="363">
        <f t="shared" si="9"/>
        <v>1.369378787639463</v>
      </c>
      <c r="P141" s="363">
        <f t="shared" si="9"/>
        <v>1.3659699658727382</v>
      </c>
      <c r="Q141" s="363">
        <f t="shared" si="9"/>
        <v>4.0704023450285449</v>
      </c>
      <c r="R141" s="363">
        <f t="shared" si="9"/>
        <v>-1.3409298307487285</v>
      </c>
      <c r="S141" s="363">
        <f t="shared" si="9"/>
        <v>-1.2749824620233809</v>
      </c>
      <c r="T141" s="363">
        <f t="shared" si="9"/>
        <v>-1.3409298307487285</v>
      </c>
      <c r="U141" s="363">
        <f t="shared" si="9"/>
        <v>-1.3409298307487285</v>
      </c>
      <c r="V141" s="363">
        <f t="shared" si="9"/>
        <v>-1.2749824620233809</v>
      </c>
      <c r="W141" s="363">
        <f t="shared" si="9"/>
        <v>-1.2749824620233809</v>
      </c>
      <c r="X141" s="363">
        <f t="shared" si="9"/>
        <v>-1.2530000057815984</v>
      </c>
      <c r="Y141" s="363">
        <f t="shared" si="9"/>
        <v>-1.2530000057815984</v>
      </c>
      <c r="Z141" s="352"/>
      <c r="AA141" s="352"/>
    </row>
    <row r="142" spans="4:27" x14ac:dyDescent="0.25">
      <c r="F142" s="295" t="s">
        <v>43</v>
      </c>
      <c r="G142" s="295" t="s">
        <v>183</v>
      </c>
      <c r="H142" s="352"/>
      <c r="I142" s="352"/>
      <c r="J142" s="422">
        <f t="shared" si="9"/>
        <v>0</v>
      </c>
      <c r="K142" s="422">
        <f t="shared" si="9"/>
        <v>0</v>
      </c>
      <c r="L142" s="422">
        <f t="shared" si="9"/>
        <v>0</v>
      </c>
      <c r="M142" s="422">
        <f t="shared" si="9"/>
        <v>0</v>
      </c>
      <c r="N142" s="422">
        <f t="shared" si="9"/>
        <v>0</v>
      </c>
      <c r="O142" s="422">
        <f t="shared" si="9"/>
        <v>0</v>
      </c>
      <c r="P142" s="422">
        <f t="shared" si="9"/>
        <v>0</v>
      </c>
      <c r="Q142" s="422">
        <f t="shared" si="9"/>
        <v>0</v>
      </c>
      <c r="R142" s="422">
        <f t="shared" si="9"/>
        <v>0</v>
      </c>
      <c r="S142" s="422">
        <f t="shared" si="9"/>
        <v>0</v>
      </c>
      <c r="T142" s="422">
        <f t="shared" si="9"/>
        <v>0</v>
      </c>
      <c r="U142" s="422">
        <f t="shared" si="9"/>
        <v>0</v>
      </c>
      <c r="V142" s="422">
        <f t="shared" si="9"/>
        <v>0</v>
      </c>
      <c r="W142" s="422">
        <f t="shared" si="9"/>
        <v>0</v>
      </c>
      <c r="X142" s="422">
        <f t="shared" si="9"/>
        <v>0</v>
      </c>
      <c r="Y142" s="422">
        <f t="shared" si="9"/>
        <v>0</v>
      </c>
      <c r="Z142" s="352"/>
      <c r="AA142" s="352"/>
    </row>
    <row r="143" spans="4:27" x14ac:dyDescent="0.25">
      <c r="F143" s="295" t="s">
        <v>44</v>
      </c>
      <c r="G143" s="295" t="s">
        <v>183</v>
      </c>
      <c r="H143" s="352"/>
      <c r="I143" s="352"/>
      <c r="J143" s="422">
        <f t="shared" ref="J143:Y143" si="10">J38 * (1 - J$113)</f>
        <v>0</v>
      </c>
      <c r="K143" s="422">
        <f t="shared" si="10"/>
        <v>0</v>
      </c>
      <c r="L143" s="422">
        <f t="shared" si="10"/>
        <v>0</v>
      </c>
      <c r="M143" s="422">
        <f t="shared" si="10"/>
        <v>0</v>
      </c>
      <c r="N143" s="422">
        <f t="shared" si="10"/>
        <v>0</v>
      </c>
      <c r="O143" s="422">
        <f t="shared" si="10"/>
        <v>0</v>
      </c>
      <c r="P143" s="422">
        <f t="shared" si="10"/>
        <v>0</v>
      </c>
      <c r="Q143" s="422">
        <f t="shared" si="10"/>
        <v>0</v>
      </c>
      <c r="R143" s="422">
        <f t="shared" si="10"/>
        <v>0</v>
      </c>
      <c r="S143" s="422">
        <f t="shared" si="10"/>
        <v>0</v>
      </c>
      <c r="T143" s="422">
        <f t="shared" si="10"/>
        <v>0</v>
      </c>
      <c r="U143" s="422">
        <f t="shared" si="10"/>
        <v>0</v>
      </c>
      <c r="V143" s="422">
        <f t="shared" si="10"/>
        <v>0</v>
      </c>
      <c r="W143" s="422">
        <f t="shared" si="10"/>
        <v>0</v>
      </c>
      <c r="X143" s="422">
        <f t="shared" si="10"/>
        <v>0</v>
      </c>
      <c r="Y143" s="422">
        <f t="shared" si="10"/>
        <v>0</v>
      </c>
      <c r="Z143" s="352"/>
      <c r="AA143" s="352"/>
    </row>
    <row r="144" spans="4:27" x14ac:dyDescent="0.25">
      <c r="F144" s="295" t="s">
        <v>45</v>
      </c>
      <c r="G144" s="295" t="s">
        <v>183</v>
      </c>
      <c r="H144" s="352"/>
      <c r="I144" s="352"/>
      <c r="J144" s="422">
        <f t="shared" ref="J144:Y144" si="11">J39 * (1 - J$114)</f>
        <v>0</v>
      </c>
      <c r="K144" s="422">
        <f t="shared" si="11"/>
        <v>0</v>
      </c>
      <c r="L144" s="422">
        <f t="shared" si="11"/>
        <v>0</v>
      </c>
      <c r="M144" s="422">
        <f t="shared" si="11"/>
        <v>0</v>
      </c>
      <c r="N144" s="422">
        <f t="shared" si="11"/>
        <v>0</v>
      </c>
      <c r="O144" s="422">
        <f t="shared" si="11"/>
        <v>0</v>
      </c>
      <c r="P144" s="422">
        <f t="shared" si="11"/>
        <v>0</v>
      </c>
      <c r="Q144" s="422">
        <f t="shared" si="11"/>
        <v>0</v>
      </c>
      <c r="R144" s="422">
        <f t="shared" si="11"/>
        <v>0</v>
      </c>
      <c r="S144" s="422">
        <f t="shared" si="11"/>
        <v>0</v>
      </c>
      <c r="T144" s="422">
        <f t="shared" si="11"/>
        <v>0</v>
      </c>
      <c r="U144" s="422">
        <f t="shared" si="11"/>
        <v>0</v>
      </c>
      <c r="V144" s="422">
        <f t="shared" si="11"/>
        <v>0</v>
      </c>
      <c r="W144" s="422">
        <f t="shared" si="11"/>
        <v>0</v>
      </c>
      <c r="X144" s="422">
        <f t="shared" si="11"/>
        <v>0</v>
      </c>
      <c r="Y144" s="422">
        <f t="shared" si="11"/>
        <v>0</v>
      </c>
      <c r="Z144" s="352"/>
      <c r="AA144" s="352"/>
    </row>
    <row r="145" spans="3:27" x14ac:dyDescent="0.25">
      <c r="F145" s="295" t="s">
        <v>46</v>
      </c>
      <c r="G145" s="295" t="s">
        <v>183</v>
      </c>
      <c r="H145" s="352"/>
      <c r="I145" s="352"/>
      <c r="J145" s="422">
        <f t="shared" ref="J145:Y145" si="12">J40 * (1 - J$115)</f>
        <v>1.3271969512058077</v>
      </c>
      <c r="K145" s="422">
        <f t="shared" si="12"/>
        <v>1.3271969512058077</v>
      </c>
      <c r="L145" s="422">
        <f t="shared" si="12"/>
        <v>1.5415459758172922</v>
      </c>
      <c r="M145" s="422">
        <f t="shared" si="12"/>
        <v>1.5415459758172922</v>
      </c>
      <c r="N145" s="422">
        <f t="shared" si="12"/>
        <v>1.1916571261756816</v>
      </c>
      <c r="O145" s="422">
        <f t="shared" si="12"/>
        <v>0.96922053951623688</v>
      </c>
      <c r="P145" s="422">
        <f t="shared" si="12"/>
        <v>0.77344627168839786</v>
      </c>
      <c r="Q145" s="422">
        <f t="shared" si="12"/>
        <v>2.8809541906935197</v>
      </c>
      <c r="R145" s="422">
        <f t="shared" si="12"/>
        <v>-0.94908490312753313</v>
      </c>
      <c r="S145" s="422">
        <f t="shared" si="12"/>
        <v>-0.90240859641634319</v>
      </c>
      <c r="T145" s="422">
        <f t="shared" si="12"/>
        <v>-0.94908490312753313</v>
      </c>
      <c r="U145" s="422">
        <f t="shared" si="12"/>
        <v>-0.94908490312753313</v>
      </c>
      <c r="V145" s="422">
        <f t="shared" si="12"/>
        <v>-0.90240859641634319</v>
      </c>
      <c r="W145" s="422">
        <f t="shared" si="12"/>
        <v>-0.90240859641634319</v>
      </c>
      <c r="X145" s="422">
        <f t="shared" si="12"/>
        <v>-0.88684982751261299</v>
      </c>
      <c r="Y145" s="422">
        <f t="shared" si="12"/>
        <v>-0.88684982751261299</v>
      </c>
      <c r="Z145" s="352"/>
      <c r="AA145" s="352"/>
    </row>
    <row r="146" spans="3:27" x14ac:dyDescent="0.25">
      <c r="F146" s="295" t="s">
        <v>47</v>
      </c>
      <c r="G146" s="295" t="s">
        <v>183</v>
      </c>
      <c r="H146" s="352"/>
      <c r="I146" s="352"/>
      <c r="J146" s="422">
        <f t="shared" ref="J146:Y146" si="13">J41 * (1 - J$116)</f>
        <v>0.29792241874154252</v>
      </c>
      <c r="K146" s="422">
        <f t="shared" si="13"/>
        <v>0.29792241874154252</v>
      </c>
      <c r="L146" s="422">
        <f t="shared" si="13"/>
        <v>0.34603839716443235</v>
      </c>
      <c r="M146" s="422">
        <f t="shared" si="13"/>
        <v>0.34603839716443235</v>
      </c>
      <c r="N146" s="422">
        <f t="shared" si="13"/>
        <v>0.26749712845429946</v>
      </c>
      <c r="O146" s="422">
        <f t="shared" si="13"/>
        <v>0.2175656952529296</v>
      </c>
      <c r="P146" s="422">
        <f t="shared" si="13"/>
        <v>0</v>
      </c>
      <c r="Q146" s="422">
        <f t="shared" si="13"/>
        <v>0.666188688621981</v>
      </c>
      <c r="R146" s="422">
        <f t="shared" si="13"/>
        <v>-0.21304575004783205</v>
      </c>
      <c r="S146" s="422">
        <f t="shared" si="13"/>
        <v>-0.20256809020941408</v>
      </c>
      <c r="T146" s="422">
        <f t="shared" si="13"/>
        <v>-0.21304575004783205</v>
      </c>
      <c r="U146" s="422">
        <f t="shared" si="13"/>
        <v>-0.21304575004783205</v>
      </c>
      <c r="V146" s="422">
        <f t="shared" si="13"/>
        <v>-0.20256809020941408</v>
      </c>
      <c r="W146" s="422">
        <f t="shared" si="13"/>
        <v>-0.20256809020941408</v>
      </c>
      <c r="X146" s="422">
        <f t="shared" si="13"/>
        <v>-0.19907553692994143</v>
      </c>
      <c r="Y146" s="422">
        <f t="shared" si="13"/>
        <v>-0.19907553692994143</v>
      </c>
      <c r="Z146" s="352"/>
      <c r="AA146" s="352"/>
    </row>
    <row r="147" spans="3:27" x14ac:dyDescent="0.25">
      <c r="F147" s="295" t="s">
        <v>51</v>
      </c>
      <c r="G147" s="295" t="s">
        <v>183</v>
      </c>
      <c r="H147" s="352"/>
      <c r="I147" s="352"/>
      <c r="J147" s="422">
        <f t="shared" ref="J147:Y147" si="14">J42 * (1 - J$117)</f>
        <v>0</v>
      </c>
      <c r="K147" s="422">
        <f t="shared" si="14"/>
        <v>0</v>
      </c>
      <c r="L147" s="422">
        <f t="shared" si="14"/>
        <v>0</v>
      </c>
      <c r="M147" s="422">
        <f t="shared" si="14"/>
        <v>0</v>
      </c>
      <c r="N147" s="422">
        <f t="shared" si="14"/>
        <v>0</v>
      </c>
      <c r="O147" s="422">
        <f t="shared" si="14"/>
        <v>0</v>
      </c>
      <c r="P147" s="422">
        <f t="shared" si="14"/>
        <v>0</v>
      </c>
      <c r="Q147" s="422">
        <f t="shared" si="14"/>
        <v>0</v>
      </c>
      <c r="R147" s="422">
        <f t="shared" si="14"/>
        <v>0</v>
      </c>
      <c r="S147" s="422">
        <f t="shared" si="14"/>
        <v>0</v>
      </c>
      <c r="T147" s="422">
        <f t="shared" si="14"/>
        <v>0</v>
      </c>
      <c r="U147" s="422">
        <f t="shared" si="14"/>
        <v>0</v>
      </c>
      <c r="V147" s="422">
        <f t="shared" si="14"/>
        <v>0</v>
      </c>
      <c r="W147" s="422">
        <f t="shared" si="14"/>
        <v>0</v>
      </c>
      <c r="X147" s="422">
        <f t="shared" si="14"/>
        <v>0</v>
      </c>
      <c r="Y147" s="422">
        <f t="shared" si="14"/>
        <v>0</v>
      </c>
      <c r="Z147" s="352"/>
      <c r="AA147" s="352"/>
    </row>
    <row r="148" spans="3:27" x14ac:dyDescent="0.25">
      <c r="F148" s="295" t="s">
        <v>48</v>
      </c>
      <c r="G148" s="295" t="s">
        <v>183</v>
      </c>
      <c r="H148" s="352"/>
      <c r="I148" s="352"/>
      <c r="J148" s="422">
        <f t="shared" ref="J148:Y148" si="15">J43 * (1 - J$118)</f>
        <v>1.2816705915961015</v>
      </c>
      <c r="K148" s="422">
        <f t="shared" si="15"/>
        <v>1.2816705915961015</v>
      </c>
      <c r="L148" s="422">
        <f t="shared" si="15"/>
        <v>1.4886668787200668</v>
      </c>
      <c r="M148" s="422">
        <f t="shared" si="15"/>
        <v>1.4886668787200668</v>
      </c>
      <c r="N148" s="422">
        <f t="shared" si="15"/>
        <v>0.92062411234304098</v>
      </c>
      <c r="O148" s="422">
        <f t="shared" si="15"/>
        <v>0</v>
      </c>
      <c r="P148" s="422">
        <f t="shared" si="15"/>
        <v>0</v>
      </c>
      <c r="Q148" s="422">
        <f t="shared" si="15"/>
        <v>2.865962401444837</v>
      </c>
      <c r="R148" s="422">
        <f t="shared" si="15"/>
        <v>-0.91652878509194657</v>
      </c>
      <c r="S148" s="422">
        <f t="shared" si="15"/>
        <v>-0.87145359893988361</v>
      </c>
      <c r="T148" s="422">
        <f t="shared" si="15"/>
        <v>-0.91652878509194657</v>
      </c>
      <c r="U148" s="422">
        <f t="shared" si="15"/>
        <v>-0.91652878509194657</v>
      </c>
      <c r="V148" s="422">
        <f t="shared" si="15"/>
        <v>-0.87145359893988361</v>
      </c>
      <c r="W148" s="422">
        <f t="shared" si="15"/>
        <v>-0.87145359893988361</v>
      </c>
      <c r="X148" s="422">
        <f t="shared" si="15"/>
        <v>0</v>
      </c>
      <c r="Y148" s="422">
        <f t="shared" si="15"/>
        <v>0</v>
      </c>
      <c r="Z148" s="352"/>
      <c r="AA148" s="352"/>
    </row>
    <row r="149" spans="3:27" x14ac:dyDescent="0.25">
      <c r="F149" s="295" t="s">
        <v>49</v>
      </c>
      <c r="G149" s="295" t="s">
        <v>183</v>
      </c>
      <c r="H149" s="352"/>
      <c r="I149" s="352"/>
      <c r="J149" s="422">
        <f t="shared" ref="J149:Y149" si="16">J44 * (1 - J$119)</f>
        <v>0.3221201107161773</v>
      </c>
      <c r="K149" s="422">
        <f t="shared" si="16"/>
        <v>0.3221201107161773</v>
      </c>
      <c r="L149" s="422">
        <f t="shared" si="16"/>
        <v>0.37414413885836451</v>
      </c>
      <c r="M149" s="422">
        <f t="shared" si="16"/>
        <v>0.37414413885836451</v>
      </c>
      <c r="N149" s="422">
        <f t="shared" si="16"/>
        <v>0</v>
      </c>
      <c r="O149" s="422">
        <f t="shared" si="16"/>
        <v>0</v>
      </c>
      <c r="P149" s="422">
        <f t="shared" si="16"/>
        <v>0</v>
      </c>
      <c r="Q149" s="422">
        <f t="shared" si="16"/>
        <v>0.72029750242778401</v>
      </c>
      <c r="R149" s="422">
        <f t="shared" si="16"/>
        <v>-0.23034963559608548</v>
      </c>
      <c r="S149" s="422">
        <f t="shared" si="16"/>
        <v>0</v>
      </c>
      <c r="T149" s="422">
        <f t="shared" si="16"/>
        <v>-0.23034963559608548</v>
      </c>
      <c r="U149" s="422">
        <f t="shared" si="16"/>
        <v>-0.23034963559608548</v>
      </c>
      <c r="V149" s="422">
        <f t="shared" si="16"/>
        <v>0</v>
      </c>
      <c r="W149" s="422">
        <f t="shared" si="16"/>
        <v>0</v>
      </c>
      <c r="X149" s="422">
        <f t="shared" si="16"/>
        <v>0</v>
      </c>
      <c r="Y149" s="422">
        <f t="shared" si="16"/>
        <v>0</v>
      </c>
      <c r="Z149" s="352"/>
      <c r="AA149" s="352"/>
    </row>
    <row r="150" spans="3:27" x14ac:dyDescent="0.25">
      <c r="F150" s="295" t="s">
        <v>50</v>
      </c>
      <c r="G150" s="295" t="s">
        <v>183</v>
      </c>
      <c r="H150" s="352"/>
      <c r="I150" s="352"/>
      <c r="J150" s="422">
        <f t="shared" ref="J150:Y150" si="17">J45 * (1 - J$120)</f>
        <v>0</v>
      </c>
      <c r="K150" s="422">
        <f t="shared" si="17"/>
        <v>0</v>
      </c>
      <c r="L150" s="422">
        <f t="shared" si="17"/>
        <v>0</v>
      </c>
      <c r="M150" s="422">
        <f t="shared" si="17"/>
        <v>0</v>
      </c>
      <c r="N150" s="422">
        <f t="shared" si="17"/>
        <v>0</v>
      </c>
      <c r="O150" s="422">
        <f t="shared" si="17"/>
        <v>0</v>
      </c>
      <c r="P150" s="422">
        <f t="shared" si="17"/>
        <v>0</v>
      </c>
      <c r="Q150" s="422">
        <f t="shared" si="17"/>
        <v>1.2115631719705942</v>
      </c>
      <c r="R150" s="422">
        <f t="shared" si="17"/>
        <v>0</v>
      </c>
      <c r="S150" s="422">
        <f t="shared" si="17"/>
        <v>0</v>
      </c>
      <c r="T150" s="422">
        <f t="shared" si="17"/>
        <v>0</v>
      </c>
      <c r="U150" s="422">
        <f t="shared" si="17"/>
        <v>0</v>
      </c>
      <c r="V150" s="422">
        <f t="shared" si="17"/>
        <v>0</v>
      </c>
      <c r="W150" s="422">
        <f t="shared" si="17"/>
        <v>0</v>
      </c>
      <c r="X150" s="422">
        <f t="shared" si="17"/>
        <v>0</v>
      </c>
      <c r="Y150" s="422">
        <f t="shared" si="17"/>
        <v>0</v>
      </c>
      <c r="Z150" s="352"/>
      <c r="AA150" s="352"/>
    </row>
    <row r="151" spans="3:27" x14ac:dyDescent="0.25">
      <c r="D151" s="295"/>
      <c r="F151" s="91" t="s">
        <v>124</v>
      </c>
      <c r="G151" s="91" t="s">
        <v>183</v>
      </c>
      <c r="H151" s="350"/>
      <c r="I151" s="350" t="s">
        <v>431</v>
      </c>
      <c r="J151" s="362"/>
      <c r="K151" s="362"/>
      <c r="L151" s="362"/>
      <c r="M151" s="362"/>
      <c r="N151" s="362"/>
      <c r="O151" s="362"/>
      <c r="P151" s="362"/>
      <c r="Q151" s="363">
        <f t="shared" ref="Q151" si="18">Q46</f>
        <v>0.42942896297178434</v>
      </c>
      <c r="R151" s="362"/>
      <c r="S151" s="362"/>
      <c r="T151" s="362"/>
      <c r="U151" s="362"/>
      <c r="V151" s="362"/>
      <c r="W151" s="362"/>
      <c r="X151" s="362"/>
      <c r="Y151" s="362"/>
      <c r="Z151" s="352"/>
      <c r="AA151" s="352" t="s">
        <v>837</v>
      </c>
    </row>
    <row r="152" spans="3:27" x14ac:dyDescent="0.25">
      <c r="D152" s="295"/>
      <c r="F152" s="93" t="s">
        <v>123</v>
      </c>
      <c r="G152" s="93" t="s">
        <v>183</v>
      </c>
      <c r="H152" s="354"/>
      <c r="I152" s="354"/>
      <c r="J152" s="359"/>
      <c r="K152" s="359"/>
      <c r="L152" s="359"/>
      <c r="M152" s="359"/>
      <c r="N152" s="359"/>
      <c r="O152" s="359"/>
      <c r="P152" s="359"/>
      <c r="Q152" s="359"/>
      <c r="R152" s="359"/>
      <c r="S152" s="359"/>
      <c r="T152" s="359"/>
      <c r="U152" s="359"/>
      <c r="V152" s="359"/>
      <c r="W152" s="359"/>
      <c r="X152" s="359"/>
      <c r="Y152" s="359"/>
      <c r="Z152" s="352"/>
      <c r="AA152" s="352"/>
    </row>
    <row r="153" spans="3:27" x14ac:dyDescent="0.25">
      <c r="E153" s="295"/>
      <c r="J153" s="253"/>
      <c r="K153" s="253"/>
      <c r="L153" s="253"/>
      <c r="M153" s="253"/>
      <c r="N153" s="253"/>
      <c r="O153" s="253"/>
      <c r="P153" s="253"/>
      <c r="Q153" s="253"/>
      <c r="R153" s="253"/>
      <c r="S153" s="253"/>
      <c r="T153" s="253"/>
      <c r="U153" s="253"/>
      <c r="V153" s="253"/>
      <c r="W153" s="253"/>
      <c r="X153" s="253"/>
      <c r="Y153" s="253"/>
    </row>
    <row r="154" spans="3:27" x14ac:dyDescent="0.25">
      <c r="C154" s="7" t="str">
        <f ca="1">INDEX('Version control'!$H$34:$H$58,MATCH($A$1,'Version control'!$F$34:$F$58,0),1)&amp;"-F: Contributions to unit rate 2 p/kWh by network level (taking account of standing charges)"</f>
        <v>Section 514-F: Contributions to unit rate 2 p/kWh by network level (taking account of standing charges)</v>
      </c>
      <c r="D154" s="7"/>
      <c r="E154" s="7"/>
      <c r="F154" s="7"/>
      <c r="G154" s="7"/>
      <c r="H154" s="7"/>
      <c r="I154" s="7"/>
      <c r="J154" s="243"/>
      <c r="K154" s="243"/>
      <c r="L154" s="243"/>
      <c r="M154" s="243"/>
      <c r="N154" s="243"/>
      <c r="O154" s="243"/>
      <c r="P154" s="243"/>
      <c r="Q154" s="243"/>
      <c r="R154" s="243"/>
      <c r="S154" s="243"/>
      <c r="T154" s="243"/>
      <c r="U154" s="243"/>
      <c r="V154" s="243"/>
      <c r="W154" s="243"/>
      <c r="X154" s="243"/>
      <c r="Y154" s="243"/>
      <c r="Z154" s="7"/>
      <c r="AA154" s="7"/>
    </row>
    <row r="155" spans="3:27" x14ac:dyDescent="0.25">
      <c r="C155" s="96"/>
      <c r="D155" s="96"/>
      <c r="E155" s="295"/>
      <c r="I155" s="295" t="s">
        <v>431</v>
      </c>
      <c r="J155" s="253"/>
      <c r="K155" s="253"/>
      <c r="L155" s="253"/>
      <c r="M155" s="253"/>
      <c r="N155" s="253"/>
      <c r="O155" s="253"/>
      <c r="P155" s="253"/>
      <c r="Q155" s="253"/>
      <c r="R155" s="253"/>
      <c r="S155" s="253"/>
      <c r="T155" s="253"/>
      <c r="U155" s="253"/>
      <c r="V155" s="253"/>
      <c r="W155" s="253"/>
      <c r="X155" s="253"/>
      <c r="Y155" s="253"/>
      <c r="AA155" s="295" t="s">
        <v>838</v>
      </c>
    </row>
    <row r="156" spans="3:27" x14ac:dyDescent="0.25">
      <c r="E156" s="96" t="s">
        <v>139</v>
      </c>
      <c r="J156" s="253"/>
      <c r="K156" s="253"/>
      <c r="L156" s="253"/>
      <c r="M156" s="253"/>
      <c r="N156" s="253"/>
      <c r="O156" s="253"/>
      <c r="P156" s="253"/>
      <c r="Q156" s="253"/>
      <c r="R156" s="253"/>
      <c r="S156" s="253"/>
      <c r="T156" s="253"/>
      <c r="U156" s="253"/>
      <c r="V156" s="253"/>
      <c r="W156" s="253"/>
      <c r="X156" s="253"/>
      <c r="Y156" s="253"/>
    </row>
    <row r="157" spans="3:27" x14ac:dyDescent="0.25">
      <c r="F157" s="91" t="s">
        <v>324</v>
      </c>
      <c r="G157" s="91" t="s">
        <v>183</v>
      </c>
      <c r="H157" s="350"/>
      <c r="I157" s="350"/>
      <c r="J157" s="363">
        <f t="shared" ref="J157:Y158" si="19">J52 * (1 - J$112)</f>
        <v>0</v>
      </c>
      <c r="K157" s="363">
        <f t="shared" si="19"/>
        <v>0</v>
      </c>
      <c r="L157" s="363">
        <f t="shared" si="19"/>
        <v>0</v>
      </c>
      <c r="M157" s="363">
        <f t="shared" si="19"/>
        <v>0</v>
      </c>
      <c r="N157" s="363">
        <f t="shared" si="19"/>
        <v>0</v>
      </c>
      <c r="O157" s="363">
        <f t="shared" si="19"/>
        <v>0</v>
      </c>
      <c r="P157" s="363">
        <f t="shared" si="19"/>
        <v>0</v>
      </c>
      <c r="Q157" s="363">
        <f t="shared" si="19"/>
        <v>0</v>
      </c>
      <c r="R157" s="363">
        <f t="shared" si="19"/>
        <v>0</v>
      </c>
      <c r="S157" s="363">
        <f t="shared" si="19"/>
        <v>0</v>
      </c>
      <c r="T157" s="363">
        <f t="shared" si="19"/>
        <v>0</v>
      </c>
      <c r="U157" s="363">
        <f t="shared" si="19"/>
        <v>0</v>
      </c>
      <c r="V157" s="363">
        <f t="shared" si="19"/>
        <v>0</v>
      </c>
      <c r="W157" s="363">
        <f t="shared" si="19"/>
        <v>0</v>
      </c>
      <c r="X157" s="363">
        <f t="shared" si="19"/>
        <v>0</v>
      </c>
      <c r="Y157" s="363">
        <f t="shared" si="19"/>
        <v>0</v>
      </c>
      <c r="Z157" s="352"/>
      <c r="AA157" s="352"/>
    </row>
    <row r="158" spans="3:27" x14ac:dyDescent="0.25">
      <c r="F158" s="295" t="s">
        <v>43</v>
      </c>
      <c r="G158" s="295" t="s">
        <v>183</v>
      </c>
      <c r="H158" s="352"/>
      <c r="I158" s="352"/>
      <c r="J158" s="422">
        <f t="shared" si="19"/>
        <v>0</v>
      </c>
      <c r="K158" s="422">
        <f t="shared" si="19"/>
        <v>0</v>
      </c>
      <c r="L158" s="422">
        <f t="shared" si="19"/>
        <v>0</v>
      </c>
      <c r="M158" s="422">
        <f t="shared" si="19"/>
        <v>0</v>
      </c>
      <c r="N158" s="422">
        <f t="shared" si="19"/>
        <v>0</v>
      </c>
      <c r="O158" s="422">
        <f t="shared" si="19"/>
        <v>0</v>
      </c>
      <c r="P158" s="422">
        <f t="shared" si="19"/>
        <v>0</v>
      </c>
      <c r="Q158" s="422">
        <f t="shared" si="19"/>
        <v>0</v>
      </c>
      <c r="R158" s="422">
        <f t="shared" si="19"/>
        <v>0</v>
      </c>
      <c r="S158" s="422">
        <f t="shared" si="19"/>
        <v>0</v>
      </c>
      <c r="T158" s="422">
        <f t="shared" si="19"/>
        <v>0</v>
      </c>
      <c r="U158" s="422">
        <f t="shared" si="19"/>
        <v>0</v>
      </c>
      <c r="V158" s="422">
        <f t="shared" si="19"/>
        <v>0</v>
      </c>
      <c r="W158" s="422">
        <f t="shared" si="19"/>
        <v>0</v>
      </c>
      <c r="X158" s="422">
        <f t="shared" si="19"/>
        <v>0</v>
      </c>
      <c r="Y158" s="422">
        <f t="shared" si="19"/>
        <v>0</v>
      </c>
      <c r="Z158" s="352"/>
      <c r="AA158" s="352"/>
    </row>
    <row r="159" spans="3:27" x14ac:dyDescent="0.25">
      <c r="F159" s="295" t="s">
        <v>44</v>
      </c>
      <c r="G159" s="295" t="s">
        <v>183</v>
      </c>
      <c r="H159" s="352"/>
      <c r="I159" s="352"/>
      <c r="J159" s="422">
        <f t="shared" ref="J159:Y159" si="20">J54 * (1 - J$113)</f>
        <v>0</v>
      </c>
      <c r="K159" s="422">
        <f t="shared" si="20"/>
        <v>0</v>
      </c>
      <c r="L159" s="422">
        <f t="shared" si="20"/>
        <v>0</v>
      </c>
      <c r="M159" s="422">
        <f t="shared" si="20"/>
        <v>0</v>
      </c>
      <c r="N159" s="422">
        <f t="shared" si="20"/>
        <v>0</v>
      </c>
      <c r="O159" s="422">
        <f t="shared" si="20"/>
        <v>0</v>
      </c>
      <c r="P159" s="422">
        <f t="shared" si="20"/>
        <v>0</v>
      </c>
      <c r="Q159" s="422">
        <f t="shared" si="20"/>
        <v>0</v>
      </c>
      <c r="R159" s="422">
        <f t="shared" si="20"/>
        <v>0</v>
      </c>
      <c r="S159" s="422">
        <f t="shared" si="20"/>
        <v>0</v>
      </c>
      <c r="T159" s="422">
        <f t="shared" si="20"/>
        <v>0</v>
      </c>
      <c r="U159" s="422">
        <f t="shared" si="20"/>
        <v>0</v>
      </c>
      <c r="V159" s="422">
        <f t="shared" si="20"/>
        <v>0</v>
      </c>
      <c r="W159" s="422">
        <f t="shared" si="20"/>
        <v>0</v>
      </c>
      <c r="X159" s="422">
        <f t="shared" si="20"/>
        <v>0</v>
      </c>
      <c r="Y159" s="422">
        <f t="shared" si="20"/>
        <v>0</v>
      </c>
      <c r="Z159" s="352"/>
      <c r="AA159" s="352"/>
    </row>
    <row r="160" spans="3:27" x14ac:dyDescent="0.25">
      <c r="F160" s="295" t="s">
        <v>45</v>
      </c>
      <c r="G160" s="295" t="s">
        <v>183</v>
      </c>
      <c r="H160" s="352"/>
      <c r="I160" s="352"/>
      <c r="J160" s="422">
        <f t="shared" ref="J160:Y160" si="21">J55 * (1 - J$114)</f>
        <v>0</v>
      </c>
      <c r="K160" s="422">
        <f t="shared" si="21"/>
        <v>0</v>
      </c>
      <c r="L160" s="422">
        <f t="shared" si="21"/>
        <v>0</v>
      </c>
      <c r="M160" s="422">
        <f t="shared" si="21"/>
        <v>0</v>
      </c>
      <c r="N160" s="422">
        <f t="shared" si="21"/>
        <v>0</v>
      </c>
      <c r="O160" s="422">
        <f t="shared" si="21"/>
        <v>0</v>
      </c>
      <c r="P160" s="422">
        <f t="shared" si="21"/>
        <v>0</v>
      </c>
      <c r="Q160" s="422">
        <f t="shared" si="21"/>
        <v>0</v>
      </c>
      <c r="R160" s="422">
        <f t="shared" si="21"/>
        <v>0</v>
      </c>
      <c r="S160" s="422">
        <f t="shared" si="21"/>
        <v>0</v>
      </c>
      <c r="T160" s="422">
        <f t="shared" si="21"/>
        <v>0</v>
      </c>
      <c r="U160" s="422">
        <f t="shared" si="21"/>
        <v>0</v>
      </c>
      <c r="V160" s="422">
        <f t="shared" si="21"/>
        <v>0</v>
      </c>
      <c r="W160" s="422">
        <f t="shared" si="21"/>
        <v>0</v>
      </c>
      <c r="X160" s="422">
        <f t="shared" si="21"/>
        <v>0</v>
      </c>
      <c r="Y160" s="422">
        <f t="shared" si="21"/>
        <v>0</v>
      </c>
      <c r="Z160" s="352"/>
      <c r="AA160" s="352"/>
    </row>
    <row r="161" spans="4:27" x14ac:dyDescent="0.25">
      <c r="F161" s="295" t="s">
        <v>46</v>
      </c>
      <c r="G161" s="295" t="s">
        <v>183</v>
      </c>
      <c r="H161" s="352"/>
      <c r="I161" s="352"/>
      <c r="J161" s="422">
        <f t="shared" ref="J161:Y161" si="22">J56 * (1 - J$115)</f>
        <v>0.1438617225082271</v>
      </c>
      <c r="K161" s="422">
        <f t="shared" si="22"/>
        <v>0.1438617225082271</v>
      </c>
      <c r="L161" s="422">
        <f t="shared" si="22"/>
        <v>0.16709611878268379</v>
      </c>
      <c r="M161" s="422">
        <f t="shared" si="22"/>
        <v>0.16709611878268379</v>
      </c>
      <c r="N161" s="422">
        <f t="shared" si="22"/>
        <v>0.12916986183179766</v>
      </c>
      <c r="O161" s="422">
        <f t="shared" si="22"/>
        <v>0.10505881299567355</v>
      </c>
      <c r="P161" s="422">
        <f t="shared" si="22"/>
        <v>8.1230433768116644E-2</v>
      </c>
      <c r="Q161" s="422">
        <f t="shared" si="22"/>
        <v>0.12323803469373426</v>
      </c>
      <c r="R161" s="422">
        <f t="shared" si="22"/>
        <v>-0.10287620751873476</v>
      </c>
      <c r="S161" s="422">
        <f t="shared" si="22"/>
        <v>-9.7816721903059289E-2</v>
      </c>
      <c r="T161" s="422">
        <f t="shared" si="22"/>
        <v>-0.10287620751873476</v>
      </c>
      <c r="U161" s="422">
        <f t="shared" si="22"/>
        <v>-0.10287620751873476</v>
      </c>
      <c r="V161" s="422">
        <f t="shared" si="22"/>
        <v>-9.7816721903059289E-2</v>
      </c>
      <c r="W161" s="422">
        <f t="shared" si="22"/>
        <v>-9.7816721903059289E-2</v>
      </c>
      <c r="X161" s="422">
        <f t="shared" si="22"/>
        <v>-9.3140530652207704E-2</v>
      </c>
      <c r="Y161" s="422">
        <f t="shared" si="22"/>
        <v>-9.3140530652207704E-2</v>
      </c>
      <c r="Z161" s="352"/>
      <c r="AA161" s="352"/>
    </row>
    <row r="162" spans="4:27" x14ac:dyDescent="0.25">
      <c r="F162" s="295" t="s">
        <v>47</v>
      </c>
      <c r="G162" s="295" t="s">
        <v>183</v>
      </c>
      <c r="H162" s="352"/>
      <c r="I162" s="352"/>
      <c r="J162" s="422">
        <f t="shared" ref="J162:Y162" si="23">J57 * (1 - J$116)</f>
        <v>4.8523421577766256E-2</v>
      </c>
      <c r="K162" s="422">
        <f t="shared" si="23"/>
        <v>4.8523421577766256E-2</v>
      </c>
      <c r="L162" s="422">
        <f t="shared" si="23"/>
        <v>5.6360199741366176E-2</v>
      </c>
      <c r="M162" s="422">
        <f t="shared" si="23"/>
        <v>5.6360199741366176E-2</v>
      </c>
      <c r="N162" s="422">
        <f t="shared" si="23"/>
        <v>4.356797313091882E-2</v>
      </c>
      <c r="O162" s="422">
        <f t="shared" si="23"/>
        <v>3.5435506989409539E-2</v>
      </c>
      <c r="P162" s="422">
        <f t="shared" si="23"/>
        <v>0</v>
      </c>
      <c r="Q162" s="422">
        <f t="shared" si="23"/>
        <v>3.699604555862028E-2</v>
      </c>
      <c r="R162" s="422">
        <f t="shared" si="23"/>
        <v>-3.4699331418528372E-2</v>
      </c>
      <c r="S162" s="422">
        <f t="shared" si="23"/>
        <v>-3.2992806922535173E-2</v>
      </c>
      <c r="T162" s="422">
        <f t="shared" si="23"/>
        <v>-3.4699331418528372E-2</v>
      </c>
      <c r="U162" s="422">
        <f t="shared" si="23"/>
        <v>-3.4699331418528372E-2</v>
      </c>
      <c r="V162" s="422">
        <f t="shared" si="23"/>
        <v>-3.2992806922535173E-2</v>
      </c>
      <c r="W162" s="422">
        <f t="shared" si="23"/>
        <v>-3.2992806922535173E-2</v>
      </c>
      <c r="X162" s="422">
        <f t="shared" si="23"/>
        <v>-2.7815787359196549E-2</v>
      </c>
      <c r="Y162" s="422">
        <f t="shared" si="23"/>
        <v>-2.7815787359196549E-2</v>
      </c>
      <c r="Z162" s="352"/>
      <c r="AA162" s="352"/>
    </row>
    <row r="163" spans="4:27" x14ac:dyDescent="0.25">
      <c r="F163" s="295" t="s">
        <v>51</v>
      </c>
      <c r="G163" s="295" t="s">
        <v>183</v>
      </c>
      <c r="H163" s="352"/>
      <c r="I163" s="352"/>
      <c r="J163" s="422">
        <f t="shared" ref="J163:Y163" si="24">J58 * (1 - J$117)</f>
        <v>0</v>
      </c>
      <c r="K163" s="422">
        <f t="shared" si="24"/>
        <v>0</v>
      </c>
      <c r="L163" s="422">
        <f t="shared" si="24"/>
        <v>0</v>
      </c>
      <c r="M163" s="422">
        <f t="shared" si="24"/>
        <v>0</v>
      </c>
      <c r="N163" s="422">
        <f t="shared" si="24"/>
        <v>0</v>
      </c>
      <c r="O163" s="422">
        <f t="shared" si="24"/>
        <v>0</v>
      </c>
      <c r="P163" s="422">
        <f t="shared" si="24"/>
        <v>0</v>
      </c>
      <c r="Q163" s="422">
        <f t="shared" si="24"/>
        <v>0</v>
      </c>
      <c r="R163" s="422">
        <f t="shared" si="24"/>
        <v>0</v>
      </c>
      <c r="S163" s="422">
        <f t="shared" si="24"/>
        <v>0</v>
      </c>
      <c r="T163" s="422">
        <f t="shared" si="24"/>
        <v>0</v>
      </c>
      <c r="U163" s="422">
        <f t="shared" si="24"/>
        <v>0</v>
      </c>
      <c r="V163" s="422">
        <f t="shared" si="24"/>
        <v>0</v>
      </c>
      <c r="W163" s="422">
        <f t="shared" si="24"/>
        <v>0</v>
      </c>
      <c r="X163" s="422">
        <f t="shared" si="24"/>
        <v>0</v>
      </c>
      <c r="Y163" s="422">
        <f t="shared" si="24"/>
        <v>0</v>
      </c>
      <c r="Z163" s="352"/>
      <c r="AA163" s="352"/>
    </row>
    <row r="164" spans="4:27" x14ac:dyDescent="0.25">
      <c r="F164" s="295" t="s">
        <v>48</v>
      </c>
      <c r="G164" s="295" t="s">
        <v>183</v>
      </c>
      <c r="H164" s="352"/>
      <c r="I164" s="352"/>
      <c r="J164" s="422">
        <f t="shared" ref="J164:Y164" si="25">J59 * (1 - J$118)</f>
        <v>0.16686319527226703</v>
      </c>
      <c r="K164" s="422">
        <f t="shared" si="25"/>
        <v>0.16686319527226703</v>
      </c>
      <c r="L164" s="422">
        <f t="shared" si="25"/>
        <v>0.19381244580940135</v>
      </c>
      <c r="M164" s="422">
        <f t="shared" si="25"/>
        <v>0.19381244580940135</v>
      </c>
      <c r="N164" s="422">
        <f t="shared" si="25"/>
        <v>0.11985784962027496</v>
      </c>
      <c r="O164" s="422">
        <f t="shared" si="25"/>
        <v>0</v>
      </c>
      <c r="P164" s="422">
        <f t="shared" si="25"/>
        <v>0</v>
      </c>
      <c r="Q164" s="422">
        <f t="shared" si="25"/>
        <v>0.12722265194048846</v>
      </c>
      <c r="R164" s="422">
        <f t="shared" si="25"/>
        <v>-0.11932467097415166</v>
      </c>
      <c r="S164" s="422">
        <f t="shared" si="25"/>
        <v>-0.11345624453279995</v>
      </c>
      <c r="T164" s="422">
        <f t="shared" si="25"/>
        <v>-0.11932467097415166</v>
      </c>
      <c r="U164" s="422">
        <f t="shared" si="25"/>
        <v>-0.11932467097415166</v>
      </c>
      <c r="V164" s="422">
        <f t="shared" si="25"/>
        <v>-0.11345624453279995</v>
      </c>
      <c r="W164" s="422">
        <f t="shared" si="25"/>
        <v>-0.11345624453279995</v>
      </c>
      <c r="X164" s="422">
        <f t="shared" si="25"/>
        <v>0</v>
      </c>
      <c r="Y164" s="422">
        <f t="shared" si="25"/>
        <v>0</v>
      </c>
      <c r="Z164" s="352"/>
      <c r="AA164" s="352"/>
    </row>
    <row r="165" spans="4:27" x14ac:dyDescent="0.25">
      <c r="F165" s="295" t="s">
        <v>49</v>
      </c>
      <c r="G165" s="295" t="s">
        <v>183</v>
      </c>
      <c r="H165" s="352"/>
      <c r="I165" s="352"/>
      <c r="J165" s="422">
        <f t="shared" ref="J165:Y165" si="26">J60 * (1 - J$119)</f>
        <v>3.8315656300647608E-2</v>
      </c>
      <c r="K165" s="422">
        <f t="shared" si="26"/>
        <v>3.8315656300647608E-2</v>
      </c>
      <c r="L165" s="422">
        <f t="shared" si="26"/>
        <v>4.4503828710123795E-2</v>
      </c>
      <c r="M165" s="422">
        <f t="shared" si="26"/>
        <v>4.4503828710123795E-2</v>
      </c>
      <c r="N165" s="422">
        <f t="shared" si="26"/>
        <v>0</v>
      </c>
      <c r="O165" s="422">
        <f t="shared" si="26"/>
        <v>0</v>
      </c>
      <c r="P165" s="422">
        <f t="shared" si="26"/>
        <v>0</v>
      </c>
      <c r="Q165" s="422">
        <f t="shared" si="26"/>
        <v>2.9213268974352696E-2</v>
      </c>
      <c r="R165" s="422">
        <f t="shared" si="26"/>
        <v>-2.7399709527157375E-2</v>
      </c>
      <c r="S165" s="422">
        <f t="shared" si="26"/>
        <v>0</v>
      </c>
      <c r="T165" s="422">
        <f t="shared" si="26"/>
        <v>-2.7399709527157375E-2</v>
      </c>
      <c r="U165" s="422">
        <f t="shared" si="26"/>
        <v>-2.7399709527157375E-2</v>
      </c>
      <c r="V165" s="422">
        <f t="shared" si="26"/>
        <v>0</v>
      </c>
      <c r="W165" s="422">
        <f t="shared" si="26"/>
        <v>0</v>
      </c>
      <c r="X165" s="422">
        <f t="shared" si="26"/>
        <v>0</v>
      </c>
      <c r="Y165" s="422">
        <f t="shared" si="26"/>
        <v>0</v>
      </c>
      <c r="Z165" s="352"/>
      <c r="AA165" s="352"/>
    </row>
    <row r="166" spans="4:27" x14ac:dyDescent="0.25">
      <c r="F166" s="295" t="s">
        <v>50</v>
      </c>
      <c r="G166" s="295" t="s">
        <v>183</v>
      </c>
      <c r="H166" s="352"/>
      <c r="I166" s="352"/>
      <c r="J166" s="422">
        <f t="shared" ref="J166:Y166" si="27">J61 * (1 - J$120)</f>
        <v>0</v>
      </c>
      <c r="K166" s="422">
        <f t="shared" si="27"/>
        <v>0</v>
      </c>
      <c r="L166" s="422">
        <f t="shared" si="27"/>
        <v>0</v>
      </c>
      <c r="M166" s="422">
        <f t="shared" si="27"/>
        <v>0</v>
      </c>
      <c r="N166" s="422">
        <f t="shared" si="27"/>
        <v>0</v>
      </c>
      <c r="O166" s="422">
        <f t="shared" si="27"/>
        <v>0</v>
      </c>
      <c r="P166" s="422">
        <f t="shared" si="27"/>
        <v>0</v>
      </c>
      <c r="Q166" s="422">
        <f t="shared" si="27"/>
        <v>5.1324847781792039E-3</v>
      </c>
      <c r="R166" s="422">
        <f t="shared" si="27"/>
        <v>0</v>
      </c>
      <c r="S166" s="422">
        <f t="shared" si="27"/>
        <v>0</v>
      </c>
      <c r="T166" s="422">
        <f t="shared" si="27"/>
        <v>0</v>
      </c>
      <c r="U166" s="422">
        <f t="shared" si="27"/>
        <v>0</v>
      </c>
      <c r="V166" s="422">
        <f t="shared" si="27"/>
        <v>0</v>
      </c>
      <c r="W166" s="422">
        <f t="shared" si="27"/>
        <v>0</v>
      </c>
      <c r="X166" s="422">
        <f t="shared" si="27"/>
        <v>0</v>
      </c>
      <c r="Y166" s="422">
        <f t="shared" si="27"/>
        <v>0</v>
      </c>
      <c r="Z166" s="352"/>
      <c r="AA166" s="352"/>
    </row>
    <row r="167" spans="4:27" x14ac:dyDescent="0.25">
      <c r="D167" s="295"/>
      <c r="F167" s="91" t="s">
        <v>124</v>
      </c>
      <c r="G167" s="91" t="s">
        <v>183</v>
      </c>
      <c r="H167" s="350"/>
      <c r="I167" s="350"/>
      <c r="J167" s="362"/>
      <c r="K167" s="362"/>
      <c r="L167" s="362"/>
      <c r="M167" s="362"/>
      <c r="N167" s="362"/>
      <c r="O167" s="362"/>
      <c r="P167" s="362"/>
      <c r="Q167" s="362"/>
      <c r="R167" s="362"/>
      <c r="S167" s="362"/>
      <c r="T167" s="362"/>
      <c r="U167" s="362"/>
      <c r="V167" s="362"/>
      <c r="W167" s="362"/>
      <c r="X167" s="362"/>
      <c r="Y167" s="362"/>
      <c r="Z167" s="352"/>
      <c r="AA167" s="352"/>
    </row>
    <row r="168" spans="4:27" x14ac:dyDescent="0.25">
      <c r="D168" s="295"/>
      <c r="F168" s="93" t="s">
        <v>123</v>
      </c>
      <c r="G168" s="93" t="s">
        <v>183</v>
      </c>
      <c r="H168" s="354"/>
      <c r="I168" s="354"/>
      <c r="J168" s="359"/>
      <c r="K168" s="359"/>
      <c r="L168" s="359"/>
      <c r="M168" s="359"/>
      <c r="N168" s="359"/>
      <c r="O168" s="359"/>
      <c r="P168" s="359"/>
      <c r="Q168" s="359"/>
      <c r="R168" s="359"/>
      <c r="S168" s="359"/>
      <c r="T168" s="359"/>
      <c r="U168" s="359"/>
      <c r="V168" s="359"/>
      <c r="W168" s="359"/>
      <c r="X168" s="359"/>
      <c r="Y168" s="359"/>
      <c r="Z168" s="352"/>
      <c r="AA168" s="352"/>
    </row>
    <row r="169" spans="4:27" x14ac:dyDescent="0.25">
      <c r="D169" s="295"/>
      <c r="J169" s="253"/>
      <c r="K169" s="253"/>
      <c r="L169" s="253"/>
      <c r="M169" s="253"/>
      <c r="N169" s="253"/>
      <c r="O169" s="253"/>
      <c r="P169" s="253"/>
      <c r="Q169" s="253"/>
      <c r="R169" s="253"/>
      <c r="S169" s="253"/>
      <c r="T169" s="253"/>
      <c r="U169" s="253"/>
      <c r="V169" s="253"/>
      <c r="W169" s="253"/>
      <c r="X169" s="253"/>
      <c r="Y169" s="253"/>
    </row>
    <row r="170" spans="4:27" x14ac:dyDescent="0.25">
      <c r="E170" s="96" t="s">
        <v>116</v>
      </c>
      <c r="J170" s="253"/>
      <c r="K170" s="253"/>
      <c r="L170" s="253"/>
      <c r="M170" s="253"/>
      <c r="N170" s="253"/>
      <c r="O170" s="253"/>
      <c r="P170" s="253"/>
      <c r="Q170" s="253"/>
      <c r="R170" s="253"/>
      <c r="S170" s="253"/>
      <c r="T170" s="253"/>
      <c r="U170" s="253"/>
      <c r="V170" s="253"/>
      <c r="W170" s="253"/>
      <c r="X170" s="253"/>
      <c r="Y170" s="253"/>
    </row>
    <row r="171" spans="4:27" x14ac:dyDescent="0.25">
      <c r="F171" s="91" t="s">
        <v>324</v>
      </c>
      <c r="G171" s="91" t="s">
        <v>183</v>
      </c>
      <c r="H171" s="350"/>
      <c r="I171" s="350"/>
      <c r="J171" s="363">
        <f t="shared" ref="J171:Y172" si="28">J66 * (1 - J$112)</f>
        <v>0.15021599433191743</v>
      </c>
      <c r="K171" s="363">
        <f t="shared" si="28"/>
        <v>0.15021599433191743</v>
      </c>
      <c r="L171" s="363">
        <f t="shared" si="28"/>
        <v>0.17447663766509949</v>
      </c>
      <c r="M171" s="363">
        <f t="shared" si="28"/>
        <v>0.17447663766509949</v>
      </c>
      <c r="N171" s="363">
        <f t="shared" si="28"/>
        <v>0.13487520442882392</v>
      </c>
      <c r="O171" s="363">
        <f t="shared" si="28"/>
        <v>0.10969918740249729</v>
      </c>
      <c r="P171" s="363">
        <f t="shared" si="28"/>
        <v>0.10942611104029204</v>
      </c>
      <c r="Q171" s="363">
        <f t="shared" si="28"/>
        <v>0.12868137262830254</v>
      </c>
      <c r="R171" s="363">
        <f t="shared" si="28"/>
        <v>-0.10742017776576855</v>
      </c>
      <c r="S171" s="363">
        <f t="shared" si="28"/>
        <v>-0.10213721820351762</v>
      </c>
      <c r="T171" s="363">
        <f t="shared" si="28"/>
        <v>-0.10742017776576855</v>
      </c>
      <c r="U171" s="363">
        <f t="shared" si="28"/>
        <v>-0.10742017776576855</v>
      </c>
      <c r="V171" s="363">
        <f t="shared" si="28"/>
        <v>-0.10213721820351762</v>
      </c>
      <c r="W171" s="363">
        <f t="shared" si="28"/>
        <v>-0.10213721820351762</v>
      </c>
      <c r="X171" s="363">
        <f t="shared" si="28"/>
        <v>-0.10037623168276731</v>
      </c>
      <c r="Y171" s="363">
        <f t="shared" si="28"/>
        <v>-0.10037623168276731</v>
      </c>
      <c r="Z171" s="352"/>
      <c r="AA171" s="352"/>
    </row>
    <row r="172" spans="4:27" x14ac:dyDescent="0.25">
      <c r="F172" s="295" t="s">
        <v>43</v>
      </c>
      <c r="G172" s="295" t="s">
        <v>183</v>
      </c>
      <c r="H172" s="352"/>
      <c r="I172" s="352"/>
      <c r="J172" s="422">
        <f t="shared" si="28"/>
        <v>0</v>
      </c>
      <c r="K172" s="422">
        <f t="shared" si="28"/>
        <v>0</v>
      </c>
      <c r="L172" s="422">
        <f t="shared" si="28"/>
        <v>0</v>
      </c>
      <c r="M172" s="422">
        <f t="shared" si="28"/>
        <v>0</v>
      </c>
      <c r="N172" s="422">
        <f t="shared" si="28"/>
        <v>0</v>
      </c>
      <c r="O172" s="422">
        <f t="shared" si="28"/>
        <v>0</v>
      </c>
      <c r="P172" s="422">
        <f t="shared" si="28"/>
        <v>0</v>
      </c>
      <c r="Q172" s="422">
        <f t="shared" si="28"/>
        <v>0</v>
      </c>
      <c r="R172" s="422">
        <f t="shared" si="28"/>
        <v>0</v>
      </c>
      <c r="S172" s="422">
        <f t="shared" si="28"/>
        <v>0</v>
      </c>
      <c r="T172" s="422">
        <f t="shared" si="28"/>
        <v>0</v>
      </c>
      <c r="U172" s="422">
        <f t="shared" si="28"/>
        <v>0</v>
      </c>
      <c r="V172" s="422">
        <f t="shared" si="28"/>
        <v>0</v>
      </c>
      <c r="W172" s="422">
        <f t="shared" si="28"/>
        <v>0</v>
      </c>
      <c r="X172" s="422">
        <f t="shared" si="28"/>
        <v>0</v>
      </c>
      <c r="Y172" s="422">
        <f t="shared" si="28"/>
        <v>0</v>
      </c>
      <c r="Z172" s="352"/>
      <c r="AA172" s="352"/>
    </row>
    <row r="173" spans="4:27" x14ac:dyDescent="0.25">
      <c r="F173" s="295" t="s">
        <v>44</v>
      </c>
      <c r="G173" s="295" t="s">
        <v>183</v>
      </c>
      <c r="H173" s="352"/>
      <c r="I173" s="352"/>
      <c r="J173" s="422">
        <f t="shared" ref="J173:Y173" si="29">J68 * (1 - J$113)</f>
        <v>0</v>
      </c>
      <c r="K173" s="422">
        <f t="shared" si="29"/>
        <v>0</v>
      </c>
      <c r="L173" s="422">
        <f t="shared" si="29"/>
        <v>0</v>
      </c>
      <c r="M173" s="422">
        <f t="shared" si="29"/>
        <v>0</v>
      </c>
      <c r="N173" s="422">
        <f t="shared" si="29"/>
        <v>0</v>
      </c>
      <c r="O173" s="422">
        <f t="shared" si="29"/>
        <v>0</v>
      </c>
      <c r="P173" s="422">
        <f t="shared" si="29"/>
        <v>0</v>
      </c>
      <c r="Q173" s="422">
        <f t="shared" si="29"/>
        <v>0</v>
      </c>
      <c r="R173" s="422">
        <f t="shared" si="29"/>
        <v>0</v>
      </c>
      <c r="S173" s="422">
        <f t="shared" si="29"/>
        <v>0</v>
      </c>
      <c r="T173" s="422">
        <f t="shared" si="29"/>
        <v>0</v>
      </c>
      <c r="U173" s="422">
        <f t="shared" si="29"/>
        <v>0</v>
      </c>
      <c r="V173" s="422">
        <f t="shared" si="29"/>
        <v>0</v>
      </c>
      <c r="W173" s="422">
        <f t="shared" si="29"/>
        <v>0</v>
      </c>
      <c r="X173" s="422">
        <f t="shared" si="29"/>
        <v>0</v>
      </c>
      <c r="Y173" s="422">
        <f t="shared" si="29"/>
        <v>0</v>
      </c>
      <c r="Z173" s="352"/>
      <c r="AA173" s="352"/>
    </row>
    <row r="174" spans="4:27" x14ac:dyDescent="0.25">
      <c r="F174" s="295" t="s">
        <v>45</v>
      </c>
      <c r="G174" s="295" t="s">
        <v>183</v>
      </c>
      <c r="H174" s="352"/>
      <c r="I174" s="352"/>
      <c r="J174" s="422">
        <f t="shared" ref="J174:Y174" si="30">J69 * (1 - J$114)</f>
        <v>0</v>
      </c>
      <c r="K174" s="422">
        <f t="shared" si="30"/>
        <v>0</v>
      </c>
      <c r="L174" s="422">
        <f t="shared" si="30"/>
        <v>0</v>
      </c>
      <c r="M174" s="422">
        <f t="shared" si="30"/>
        <v>0</v>
      </c>
      <c r="N174" s="422">
        <f t="shared" si="30"/>
        <v>0</v>
      </c>
      <c r="O174" s="422">
        <f t="shared" si="30"/>
        <v>0</v>
      </c>
      <c r="P174" s="422">
        <f t="shared" si="30"/>
        <v>0</v>
      </c>
      <c r="Q174" s="422">
        <f t="shared" si="30"/>
        <v>0</v>
      </c>
      <c r="R174" s="422">
        <f t="shared" si="30"/>
        <v>0</v>
      </c>
      <c r="S174" s="422">
        <f t="shared" si="30"/>
        <v>0</v>
      </c>
      <c r="T174" s="422">
        <f t="shared" si="30"/>
        <v>0</v>
      </c>
      <c r="U174" s="422">
        <f t="shared" si="30"/>
        <v>0</v>
      </c>
      <c r="V174" s="422">
        <f t="shared" si="30"/>
        <v>0</v>
      </c>
      <c r="W174" s="422">
        <f t="shared" si="30"/>
        <v>0</v>
      </c>
      <c r="X174" s="422">
        <f t="shared" si="30"/>
        <v>0</v>
      </c>
      <c r="Y174" s="422">
        <f t="shared" si="30"/>
        <v>0</v>
      </c>
      <c r="Z174" s="352"/>
      <c r="AA174" s="352"/>
    </row>
    <row r="175" spans="4:27" x14ac:dyDescent="0.25">
      <c r="F175" s="295" t="s">
        <v>46</v>
      </c>
      <c r="G175" s="295" t="s">
        <v>183</v>
      </c>
      <c r="H175" s="352"/>
      <c r="I175" s="352"/>
      <c r="J175" s="422">
        <f t="shared" ref="J175:Y175" si="31">J70 * (1 - J$115)</f>
        <v>0.10632005430821767</v>
      </c>
      <c r="K175" s="422">
        <f t="shared" si="31"/>
        <v>0.10632005430821767</v>
      </c>
      <c r="L175" s="422">
        <f t="shared" si="31"/>
        <v>0.12349128116863302</v>
      </c>
      <c r="M175" s="422">
        <f t="shared" si="31"/>
        <v>0.12349128116863302</v>
      </c>
      <c r="N175" s="422">
        <f t="shared" si="31"/>
        <v>9.5462131868720837E-2</v>
      </c>
      <c r="O175" s="422">
        <f t="shared" si="31"/>
        <v>7.7643020732065263E-2</v>
      </c>
      <c r="P175" s="422">
        <f t="shared" si="31"/>
        <v>6.1959793936903887E-2</v>
      </c>
      <c r="Q175" s="422">
        <f t="shared" si="31"/>
        <v>9.1078254264100933E-2</v>
      </c>
      <c r="R175" s="422">
        <f t="shared" si="31"/>
        <v>-7.6029980593273136E-2</v>
      </c>
      <c r="S175" s="422">
        <f t="shared" si="31"/>
        <v>-7.2290801219833487E-2</v>
      </c>
      <c r="T175" s="422">
        <f t="shared" si="31"/>
        <v>-7.6029980593273136E-2</v>
      </c>
      <c r="U175" s="422">
        <f t="shared" si="31"/>
        <v>-7.6029980593273136E-2</v>
      </c>
      <c r="V175" s="422">
        <f t="shared" si="31"/>
        <v>-7.2290801219833487E-2</v>
      </c>
      <c r="W175" s="422">
        <f t="shared" si="31"/>
        <v>-7.2290801219833487E-2</v>
      </c>
      <c r="X175" s="422">
        <f t="shared" si="31"/>
        <v>-7.1044408095353589E-2</v>
      </c>
      <c r="Y175" s="422">
        <f t="shared" si="31"/>
        <v>-7.1044408095353589E-2</v>
      </c>
      <c r="Z175" s="352"/>
      <c r="AA175" s="352"/>
    </row>
    <row r="176" spans="4:27" x14ac:dyDescent="0.25">
      <c r="F176" s="295" t="s">
        <v>47</v>
      </c>
      <c r="G176" s="295" t="s">
        <v>183</v>
      </c>
      <c r="H176" s="352"/>
      <c r="I176" s="352"/>
      <c r="J176" s="422">
        <f t="shared" ref="J176:Y176" si="32">J71 * (1 - J$116)</f>
        <v>3.586091371228798E-2</v>
      </c>
      <c r="K176" s="422">
        <f t="shared" si="32"/>
        <v>3.586091371228798E-2</v>
      </c>
      <c r="L176" s="422">
        <f t="shared" si="32"/>
        <v>4.1652632770203112E-2</v>
      </c>
      <c r="M176" s="422">
        <f t="shared" si="32"/>
        <v>4.1652632770203112E-2</v>
      </c>
      <c r="N176" s="422">
        <f t="shared" si="32"/>
        <v>3.2198622320216939E-2</v>
      </c>
      <c r="O176" s="422">
        <f t="shared" si="32"/>
        <v>2.6188377018339912E-2</v>
      </c>
      <c r="P176" s="422">
        <f t="shared" si="32"/>
        <v>0</v>
      </c>
      <c r="Q176" s="422">
        <f t="shared" si="32"/>
        <v>2.7341682724234446E-2</v>
      </c>
      <c r="R176" s="422">
        <f t="shared" si="32"/>
        <v>-2.5644311332820316E-2</v>
      </c>
      <c r="S176" s="422">
        <f t="shared" si="32"/>
        <v>-2.4383115693501281E-2</v>
      </c>
      <c r="T176" s="422">
        <f t="shared" si="32"/>
        <v>-2.5644311332820316E-2</v>
      </c>
      <c r="U176" s="422">
        <f t="shared" si="32"/>
        <v>-2.5644311332820316E-2</v>
      </c>
      <c r="V176" s="422">
        <f t="shared" si="32"/>
        <v>-2.4383115693501281E-2</v>
      </c>
      <c r="W176" s="422">
        <f t="shared" si="32"/>
        <v>-2.4383115693501281E-2</v>
      </c>
      <c r="X176" s="422">
        <f t="shared" si="32"/>
        <v>-2.3962717147061607E-2</v>
      </c>
      <c r="Y176" s="422">
        <f t="shared" si="32"/>
        <v>-2.3962717147061607E-2</v>
      </c>
      <c r="Z176" s="352"/>
      <c r="AA176" s="352"/>
    </row>
    <row r="177" spans="3:27" x14ac:dyDescent="0.25">
      <c r="F177" s="295" t="s">
        <v>51</v>
      </c>
      <c r="G177" s="295" t="s">
        <v>183</v>
      </c>
      <c r="H177" s="352"/>
      <c r="I177" s="352"/>
      <c r="J177" s="422">
        <f t="shared" ref="J177:Y177" si="33">J72 * (1 - J$117)</f>
        <v>0</v>
      </c>
      <c r="K177" s="422">
        <f t="shared" si="33"/>
        <v>0</v>
      </c>
      <c r="L177" s="422">
        <f t="shared" si="33"/>
        <v>0</v>
      </c>
      <c r="M177" s="422">
        <f t="shared" si="33"/>
        <v>0</v>
      </c>
      <c r="N177" s="422">
        <f t="shared" si="33"/>
        <v>0</v>
      </c>
      <c r="O177" s="422">
        <f t="shared" si="33"/>
        <v>0</v>
      </c>
      <c r="P177" s="422">
        <f t="shared" si="33"/>
        <v>0</v>
      </c>
      <c r="Q177" s="422">
        <f t="shared" si="33"/>
        <v>0</v>
      </c>
      <c r="R177" s="422">
        <f t="shared" si="33"/>
        <v>0</v>
      </c>
      <c r="S177" s="422">
        <f t="shared" si="33"/>
        <v>0</v>
      </c>
      <c r="T177" s="422">
        <f t="shared" si="33"/>
        <v>0</v>
      </c>
      <c r="U177" s="422">
        <f t="shared" si="33"/>
        <v>0</v>
      </c>
      <c r="V177" s="422">
        <f t="shared" si="33"/>
        <v>0</v>
      </c>
      <c r="W177" s="422">
        <f t="shared" si="33"/>
        <v>0</v>
      </c>
      <c r="X177" s="422">
        <f t="shared" si="33"/>
        <v>0</v>
      </c>
      <c r="Y177" s="422">
        <f t="shared" si="33"/>
        <v>0</v>
      </c>
      <c r="Z177" s="352"/>
      <c r="AA177" s="352"/>
    </row>
    <row r="178" spans="3:27" x14ac:dyDescent="0.25">
      <c r="F178" s="295" t="s">
        <v>48</v>
      </c>
      <c r="G178" s="295" t="s">
        <v>183</v>
      </c>
      <c r="H178" s="352"/>
      <c r="I178" s="352"/>
      <c r="J178" s="422">
        <f t="shared" ref="J178:Y178" si="34">J73 * (1 - J$118)</f>
        <v>0.15427465541852464</v>
      </c>
      <c r="K178" s="422">
        <f t="shared" si="34"/>
        <v>0.15427465541852464</v>
      </c>
      <c r="L178" s="422">
        <f t="shared" si="34"/>
        <v>0.1791907930582243</v>
      </c>
      <c r="M178" s="422">
        <f t="shared" si="34"/>
        <v>0.1791907930582243</v>
      </c>
      <c r="N178" s="422">
        <f t="shared" si="34"/>
        <v>0.11081550020183813</v>
      </c>
      <c r="O178" s="422">
        <f t="shared" si="34"/>
        <v>0</v>
      </c>
      <c r="P178" s="422">
        <f t="shared" si="34"/>
        <v>0</v>
      </c>
      <c r="Q178" s="422">
        <f t="shared" si="34"/>
        <v>0.11762468504528174</v>
      </c>
      <c r="R178" s="422">
        <f t="shared" si="34"/>
        <v>-0.11032254576827975</v>
      </c>
      <c r="S178" s="422">
        <f t="shared" si="34"/>
        <v>-0.10489684679606927</v>
      </c>
      <c r="T178" s="422">
        <f t="shared" si="34"/>
        <v>-0.11032254576827975</v>
      </c>
      <c r="U178" s="422">
        <f t="shared" si="34"/>
        <v>-0.11032254576827975</v>
      </c>
      <c r="V178" s="422">
        <f t="shared" si="34"/>
        <v>-0.10489684679606927</v>
      </c>
      <c r="W178" s="422">
        <f t="shared" si="34"/>
        <v>-0.10489684679606927</v>
      </c>
      <c r="X178" s="422">
        <f t="shared" si="34"/>
        <v>0</v>
      </c>
      <c r="Y178" s="422">
        <f t="shared" si="34"/>
        <v>0</v>
      </c>
      <c r="Z178" s="352"/>
      <c r="AA178" s="352"/>
    </row>
    <row r="179" spans="3:27" x14ac:dyDescent="0.25">
      <c r="F179" s="295" t="s">
        <v>49</v>
      </c>
      <c r="G179" s="295" t="s">
        <v>183</v>
      </c>
      <c r="H179" s="352"/>
      <c r="I179" s="352"/>
      <c r="J179" s="422">
        <f t="shared" ref="J179:Y179" si="35">J74 * (1 - J$119)</f>
        <v>3.8773589259178273E-2</v>
      </c>
      <c r="K179" s="422">
        <f t="shared" si="35"/>
        <v>3.8773589259178273E-2</v>
      </c>
      <c r="L179" s="422">
        <f t="shared" si="35"/>
        <v>4.5035720159072423E-2</v>
      </c>
      <c r="M179" s="422">
        <f t="shared" si="35"/>
        <v>4.5035720159072423E-2</v>
      </c>
      <c r="N179" s="422">
        <f t="shared" si="35"/>
        <v>0</v>
      </c>
      <c r="O179" s="422">
        <f t="shared" si="35"/>
        <v>0</v>
      </c>
      <c r="P179" s="422">
        <f t="shared" si="35"/>
        <v>0</v>
      </c>
      <c r="Q179" s="422">
        <f t="shared" si="35"/>
        <v>2.9562413944878786E-2</v>
      </c>
      <c r="R179" s="422">
        <f t="shared" si="35"/>
        <v>-2.7727179581387928E-2</v>
      </c>
      <c r="S179" s="422">
        <f t="shared" si="35"/>
        <v>0</v>
      </c>
      <c r="T179" s="422">
        <f t="shared" si="35"/>
        <v>-2.7727179581387928E-2</v>
      </c>
      <c r="U179" s="422">
        <f t="shared" si="35"/>
        <v>-2.7727179581387928E-2</v>
      </c>
      <c r="V179" s="422">
        <f t="shared" si="35"/>
        <v>0</v>
      </c>
      <c r="W179" s="422">
        <f t="shared" si="35"/>
        <v>0</v>
      </c>
      <c r="X179" s="422">
        <f t="shared" si="35"/>
        <v>0</v>
      </c>
      <c r="Y179" s="422">
        <f t="shared" si="35"/>
        <v>0</v>
      </c>
      <c r="Z179" s="352"/>
      <c r="AA179" s="352"/>
    </row>
    <row r="180" spans="3:27" x14ac:dyDescent="0.25">
      <c r="F180" s="295" t="s">
        <v>50</v>
      </c>
      <c r="G180" s="295" t="s">
        <v>183</v>
      </c>
      <c r="H180" s="352"/>
      <c r="I180" s="352"/>
      <c r="J180" s="422">
        <f t="shared" ref="J180:Y180" si="36">J75 * (1 - J$120)</f>
        <v>0</v>
      </c>
      <c r="K180" s="422">
        <f t="shared" si="36"/>
        <v>0</v>
      </c>
      <c r="L180" s="422">
        <f t="shared" si="36"/>
        <v>0</v>
      </c>
      <c r="M180" s="422">
        <f t="shared" si="36"/>
        <v>0</v>
      </c>
      <c r="N180" s="422">
        <f t="shared" si="36"/>
        <v>0</v>
      </c>
      <c r="O180" s="422">
        <f t="shared" si="36"/>
        <v>0</v>
      </c>
      <c r="P180" s="422">
        <f t="shared" si="36"/>
        <v>0</v>
      </c>
      <c r="Q180" s="422">
        <f t="shared" si="36"/>
        <v>4.9724914898973988E-2</v>
      </c>
      <c r="R180" s="422">
        <f t="shared" si="36"/>
        <v>0</v>
      </c>
      <c r="S180" s="422">
        <f t="shared" si="36"/>
        <v>0</v>
      </c>
      <c r="T180" s="422">
        <f t="shared" si="36"/>
        <v>0</v>
      </c>
      <c r="U180" s="422">
        <f t="shared" si="36"/>
        <v>0</v>
      </c>
      <c r="V180" s="422">
        <f t="shared" si="36"/>
        <v>0</v>
      </c>
      <c r="W180" s="422">
        <f t="shared" si="36"/>
        <v>0</v>
      </c>
      <c r="X180" s="422">
        <f t="shared" si="36"/>
        <v>0</v>
      </c>
      <c r="Y180" s="422">
        <f t="shared" si="36"/>
        <v>0</v>
      </c>
      <c r="Z180" s="352"/>
      <c r="AA180" s="352"/>
    </row>
    <row r="181" spans="3:27" x14ac:dyDescent="0.25">
      <c r="F181" s="91" t="s">
        <v>124</v>
      </c>
      <c r="G181" s="91" t="s">
        <v>183</v>
      </c>
      <c r="H181" s="350"/>
      <c r="I181" s="350" t="s">
        <v>431</v>
      </c>
      <c r="J181" s="362"/>
      <c r="K181" s="362"/>
      <c r="L181" s="362"/>
      <c r="M181" s="362"/>
      <c r="N181" s="362"/>
      <c r="O181" s="362"/>
      <c r="P181" s="362"/>
      <c r="Q181" s="363">
        <f>Q76</f>
        <v>0.42942896297178434</v>
      </c>
      <c r="R181" s="362"/>
      <c r="S181" s="362"/>
      <c r="T181" s="362"/>
      <c r="U181" s="362"/>
      <c r="V181" s="362"/>
      <c r="W181" s="362"/>
      <c r="X181" s="362"/>
      <c r="Y181" s="362"/>
      <c r="Z181" s="352"/>
      <c r="AA181" s="352" t="s">
        <v>837</v>
      </c>
    </row>
    <row r="182" spans="3:27" x14ac:dyDescent="0.25">
      <c r="F182" s="93" t="s">
        <v>123</v>
      </c>
      <c r="G182" s="93" t="s">
        <v>183</v>
      </c>
      <c r="H182" s="354"/>
      <c r="I182" s="354"/>
      <c r="J182" s="359"/>
      <c r="K182" s="359"/>
      <c r="L182" s="359"/>
      <c r="M182" s="359"/>
      <c r="N182" s="359"/>
      <c r="O182" s="359"/>
      <c r="P182" s="359"/>
      <c r="Q182" s="359"/>
      <c r="R182" s="359"/>
      <c r="S182" s="359"/>
      <c r="T182" s="359"/>
      <c r="U182" s="359"/>
      <c r="V182" s="359"/>
      <c r="W182" s="359"/>
      <c r="X182" s="359"/>
      <c r="Y182" s="359"/>
      <c r="Z182" s="352"/>
      <c r="AA182" s="352"/>
    </row>
    <row r="183" spans="3:27" x14ac:dyDescent="0.25">
      <c r="E183" s="295"/>
      <c r="J183" s="253"/>
      <c r="K183" s="253"/>
      <c r="L183" s="253"/>
      <c r="M183" s="253"/>
      <c r="N183" s="253"/>
      <c r="O183" s="253"/>
      <c r="P183" s="253"/>
      <c r="Q183" s="253"/>
      <c r="R183" s="253"/>
      <c r="S183" s="253"/>
      <c r="T183" s="253"/>
      <c r="U183" s="253"/>
      <c r="V183" s="253"/>
      <c r="W183" s="253"/>
      <c r="X183" s="253"/>
      <c r="Y183" s="253"/>
    </row>
    <row r="184" spans="3:27" x14ac:dyDescent="0.25">
      <c r="C184" s="7" t="str">
        <f ca="1">INDEX('Version control'!$H$34:$H$58,MATCH($A$1,'Version control'!$F$34:$F$58,0),1)&amp;"-G: Contributions to unit rate 3 p/kWh by network level (taking account of standing charges)"</f>
        <v>Section 514-G: Contributions to unit rate 3 p/kWh by network level (taking account of standing charges)</v>
      </c>
      <c r="D184" s="7"/>
      <c r="E184" s="7"/>
      <c r="F184" s="7"/>
      <c r="G184" s="7"/>
      <c r="H184" s="7"/>
      <c r="I184" s="7"/>
      <c r="J184" s="243"/>
      <c r="K184" s="243"/>
      <c r="L184" s="243"/>
      <c r="M184" s="243"/>
      <c r="N184" s="243"/>
      <c r="O184" s="243"/>
      <c r="P184" s="243"/>
      <c r="Q184" s="243"/>
      <c r="R184" s="243"/>
      <c r="S184" s="243"/>
      <c r="T184" s="243"/>
      <c r="U184" s="243"/>
      <c r="V184" s="243"/>
      <c r="W184" s="243"/>
      <c r="X184" s="243"/>
      <c r="Y184" s="243"/>
      <c r="Z184" s="7"/>
      <c r="AA184" s="7"/>
    </row>
    <row r="185" spans="3:27" x14ac:dyDescent="0.25">
      <c r="C185" s="96"/>
      <c r="D185" s="96"/>
      <c r="E185" s="295"/>
      <c r="I185" s="295" t="s">
        <v>431</v>
      </c>
      <c r="J185" s="253"/>
      <c r="K185" s="253"/>
      <c r="L185" s="253"/>
      <c r="M185" s="253"/>
      <c r="N185" s="253"/>
      <c r="O185" s="253"/>
      <c r="P185" s="253"/>
      <c r="Q185" s="253"/>
      <c r="R185" s="253"/>
      <c r="S185" s="253"/>
      <c r="T185" s="253"/>
      <c r="U185" s="253"/>
      <c r="V185" s="253"/>
      <c r="W185" s="253"/>
      <c r="X185" s="253"/>
      <c r="Y185" s="253"/>
      <c r="AA185" s="295" t="s">
        <v>838</v>
      </c>
    </row>
    <row r="186" spans="3:27" x14ac:dyDescent="0.25">
      <c r="E186" s="96" t="s">
        <v>139</v>
      </c>
      <c r="J186" s="253"/>
      <c r="K186" s="253"/>
      <c r="L186" s="253"/>
      <c r="M186" s="253"/>
      <c r="N186" s="253"/>
      <c r="O186" s="253"/>
      <c r="P186" s="253"/>
      <c r="Q186" s="253"/>
      <c r="R186" s="253"/>
      <c r="S186" s="253"/>
      <c r="T186" s="253"/>
      <c r="U186" s="253"/>
      <c r="V186" s="253"/>
      <c r="W186" s="253"/>
      <c r="X186" s="253"/>
      <c r="Y186" s="253"/>
    </row>
    <row r="187" spans="3:27" x14ac:dyDescent="0.25">
      <c r="F187" s="91" t="s">
        <v>324</v>
      </c>
      <c r="G187" s="91" t="s">
        <v>183</v>
      </c>
      <c r="H187" s="350"/>
      <c r="I187" s="350"/>
      <c r="J187" s="363">
        <f t="shared" ref="J187:Y188" si="37">J82 * (1 - J$112)</f>
        <v>0</v>
      </c>
      <c r="K187" s="363">
        <f t="shared" si="37"/>
        <v>0</v>
      </c>
      <c r="L187" s="363">
        <f t="shared" si="37"/>
        <v>0</v>
      </c>
      <c r="M187" s="363">
        <f t="shared" si="37"/>
        <v>0</v>
      </c>
      <c r="N187" s="363">
        <f t="shared" si="37"/>
        <v>0</v>
      </c>
      <c r="O187" s="363">
        <f t="shared" si="37"/>
        <v>0</v>
      </c>
      <c r="P187" s="363">
        <f t="shared" si="37"/>
        <v>0</v>
      </c>
      <c r="Q187" s="363">
        <f t="shared" si="37"/>
        <v>0</v>
      </c>
      <c r="R187" s="363">
        <f t="shared" si="37"/>
        <v>0</v>
      </c>
      <c r="S187" s="363">
        <f t="shared" si="37"/>
        <v>0</v>
      </c>
      <c r="T187" s="363">
        <f t="shared" si="37"/>
        <v>0</v>
      </c>
      <c r="U187" s="363">
        <f t="shared" si="37"/>
        <v>0</v>
      </c>
      <c r="V187" s="363">
        <f t="shared" si="37"/>
        <v>0</v>
      </c>
      <c r="W187" s="363">
        <f t="shared" si="37"/>
        <v>0</v>
      </c>
      <c r="X187" s="363">
        <f t="shared" si="37"/>
        <v>0</v>
      </c>
      <c r="Y187" s="363">
        <f t="shared" si="37"/>
        <v>0</v>
      </c>
      <c r="Z187" s="352"/>
      <c r="AA187" s="352"/>
    </row>
    <row r="188" spans="3:27" x14ac:dyDescent="0.25">
      <c r="F188" s="295" t="s">
        <v>43</v>
      </c>
      <c r="G188" s="295" t="s">
        <v>183</v>
      </c>
      <c r="H188" s="352"/>
      <c r="I188" s="352"/>
      <c r="J188" s="422">
        <f t="shared" si="37"/>
        <v>0</v>
      </c>
      <c r="K188" s="422">
        <f t="shared" si="37"/>
        <v>0</v>
      </c>
      <c r="L188" s="422">
        <f t="shared" si="37"/>
        <v>0</v>
      </c>
      <c r="M188" s="422">
        <f t="shared" si="37"/>
        <v>0</v>
      </c>
      <c r="N188" s="422">
        <f t="shared" si="37"/>
        <v>0</v>
      </c>
      <c r="O188" s="422">
        <f t="shared" si="37"/>
        <v>0</v>
      </c>
      <c r="P188" s="422">
        <f t="shared" si="37"/>
        <v>0</v>
      </c>
      <c r="Q188" s="422">
        <f t="shared" si="37"/>
        <v>0</v>
      </c>
      <c r="R188" s="422">
        <f t="shared" si="37"/>
        <v>0</v>
      </c>
      <c r="S188" s="422">
        <f t="shared" si="37"/>
        <v>0</v>
      </c>
      <c r="T188" s="422">
        <f t="shared" si="37"/>
        <v>0</v>
      </c>
      <c r="U188" s="422">
        <f t="shared" si="37"/>
        <v>0</v>
      </c>
      <c r="V188" s="422">
        <f t="shared" si="37"/>
        <v>0</v>
      </c>
      <c r="W188" s="422">
        <f t="shared" si="37"/>
        <v>0</v>
      </c>
      <c r="X188" s="422">
        <f t="shared" si="37"/>
        <v>0</v>
      </c>
      <c r="Y188" s="422">
        <f t="shared" si="37"/>
        <v>0</v>
      </c>
      <c r="Z188" s="352"/>
      <c r="AA188" s="352"/>
    </row>
    <row r="189" spans="3:27" x14ac:dyDescent="0.25">
      <c r="F189" s="295" t="s">
        <v>44</v>
      </c>
      <c r="G189" s="295" t="s">
        <v>183</v>
      </c>
      <c r="H189" s="352"/>
      <c r="I189" s="352"/>
      <c r="J189" s="422">
        <f t="shared" ref="J189:Y189" si="38">J84 * (1 - J$113)</f>
        <v>0</v>
      </c>
      <c r="K189" s="422">
        <f t="shared" si="38"/>
        <v>0</v>
      </c>
      <c r="L189" s="422">
        <f t="shared" si="38"/>
        <v>0</v>
      </c>
      <c r="M189" s="422">
        <f t="shared" si="38"/>
        <v>0</v>
      </c>
      <c r="N189" s="422">
        <f t="shared" si="38"/>
        <v>0</v>
      </c>
      <c r="O189" s="422">
        <f t="shared" si="38"/>
        <v>0</v>
      </c>
      <c r="P189" s="422">
        <f t="shared" si="38"/>
        <v>0</v>
      </c>
      <c r="Q189" s="422">
        <f t="shared" si="38"/>
        <v>0</v>
      </c>
      <c r="R189" s="422">
        <f t="shared" si="38"/>
        <v>0</v>
      </c>
      <c r="S189" s="422">
        <f t="shared" si="38"/>
        <v>0</v>
      </c>
      <c r="T189" s="422">
        <f t="shared" si="38"/>
        <v>0</v>
      </c>
      <c r="U189" s="422">
        <f t="shared" si="38"/>
        <v>0</v>
      </c>
      <c r="V189" s="422">
        <f t="shared" si="38"/>
        <v>0</v>
      </c>
      <c r="W189" s="422">
        <f t="shared" si="38"/>
        <v>0</v>
      </c>
      <c r="X189" s="422">
        <f t="shared" si="38"/>
        <v>0</v>
      </c>
      <c r="Y189" s="422">
        <f t="shared" si="38"/>
        <v>0</v>
      </c>
      <c r="Z189" s="352"/>
      <c r="AA189" s="352"/>
    </row>
    <row r="190" spans="3:27" x14ac:dyDescent="0.25">
      <c r="F190" s="295" t="s">
        <v>45</v>
      </c>
      <c r="G190" s="295" t="s">
        <v>183</v>
      </c>
      <c r="H190" s="352"/>
      <c r="I190" s="352"/>
      <c r="J190" s="422">
        <f t="shared" ref="J190:Y190" si="39">J85 * (1 - J$114)</f>
        <v>0</v>
      </c>
      <c r="K190" s="422">
        <f t="shared" si="39"/>
        <v>0</v>
      </c>
      <c r="L190" s="422">
        <f t="shared" si="39"/>
        <v>0</v>
      </c>
      <c r="M190" s="422">
        <f t="shared" si="39"/>
        <v>0</v>
      </c>
      <c r="N190" s="422">
        <f t="shared" si="39"/>
        <v>0</v>
      </c>
      <c r="O190" s="422">
        <f t="shared" si="39"/>
        <v>0</v>
      </c>
      <c r="P190" s="422">
        <f t="shared" si="39"/>
        <v>0</v>
      </c>
      <c r="Q190" s="422">
        <f t="shared" si="39"/>
        <v>0</v>
      </c>
      <c r="R190" s="422">
        <f t="shared" si="39"/>
        <v>0</v>
      </c>
      <c r="S190" s="422">
        <f t="shared" si="39"/>
        <v>0</v>
      </c>
      <c r="T190" s="422">
        <f t="shared" si="39"/>
        <v>0</v>
      </c>
      <c r="U190" s="422">
        <f t="shared" si="39"/>
        <v>0</v>
      </c>
      <c r="V190" s="422">
        <f t="shared" si="39"/>
        <v>0</v>
      </c>
      <c r="W190" s="422">
        <f t="shared" si="39"/>
        <v>0</v>
      </c>
      <c r="X190" s="422">
        <f t="shared" si="39"/>
        <v>0</v>
      </c>
      <c r="Y190" s="422">
        <f t="shared" si="39"/>
        <v>0</v>
      </c>
      <c r="Z190" s="352"/>
      <c r="AA190" s="352"/>
    </row>
    <row r="191" spans="3:27" x14ac:dyDescent="0.25">
      <c r="F191" s="295" t="s">
        <v>46</v>
      </c>
      <c r="G191" s="295" t="s">
        <v>183</v>
      </c>
      <c r="H191" s="352"/>
      <c r="I191" s="352"/>
      <c r="J191" s="422">
        <f t="shared" ref="J191:Y191" si="40">J86 * (1 - J$115)</f>
        <v>2.3063648481960884E-3</v>
      </c>
      <c r="K191" s="422">
        <f t="shared" si="40"/>
        <v>2.3063648481960884E-3</v>
      </c>
      <c r="L191" s="422">
        <f t="shared" si="40"/>
        <v>2.6788544437756252E-3</v>
      </c>
      <c r="M191" s="422">
        <f t="shared" si="40"/>
        <v>2.6788544437756252E-3</v>
      </c>
      <c r="N191" s="422">
        <f t="shared" si="40"/>
        <v>2.0708276223939054E-3</v>
      </c>
      <c r="O191" s="422">
        <f t="shared" si="40"/>
        <v>1.684283693131584E-3</v>
      </c>
      <c r="P191" s="422">
        <f t="shared" si="40"/>
        <v>1.3022714713831602E-3</v>
      </c>
      <c r="Q191" s="422">
        <f t="shared" si="40"/>
        <v>1.8127412956928774E-3</v>
      </c>
      <c r="R191" s="422">
        <f t="shared" si="40"/>
        <v>-1.6492925609407124E-3</v>
      </c>
      <c r="S191" s="422">
        <f t="shared" si="40"/>
        <v>-1.5681798120419888E-3</v>
      </c>
      <c r="T191" s="422">
        <f t="shared" si="40"/>
        <v>-1.6492925609407124E-3</v>
      </c>
      <c r="U191" s="422">
        <f t="shared" si="40"/>
        <v>-1.6492925609407124E-3</v>
      </c>
      <c r="V191" s="422">
        <f t="shared" si="40"/>
        <v>-1.5681798120419888E-3</v>
      </c>
      <c r="W191" s="422">
        <f t="shared" si="40"/>
        <v>-1.5681798120419888E-3</v>
      </c>
      <c r="X191" s="422">
        <f t="shared" si="40"/>
        <v>-1.4932119683628653E-3</v>
      </c>
      <c r="Y191" s="422">
        <f t="shared" si="40"/>
        <v>-1.4932119683628653E-3</v>
      </c>
      <c r="Z191" s="352"/>
      <c r="AA191" s="352"/>
    </row>
    <row r="192" spans="3:27" x14ac:dyDescent="0.25">
      <c r="F192" s="295" t="s">
        <v>47</v>
      </c>
      <c r="G192" s="295" t="s">
        <v>183</v>
      </c>
      <c r="H192" s="352"/>
      <c r="I192" s="352"/>
      <c r="J192" s="422">
        <f t="shared" ref="J192:Y192" si="41">J87 * (1 - J$116)</f>
        <v>1.6495075700587941E-3</v>
      </c>
      <c r="K192" s="422">
        <f t="shared" si="41"/>
        <v>1.6495075700587941E-3</v>
      </c>
      <c r="L192" s="422">
        <f t="shared" si="41"/>
        <v>1.9159113908407291E-3</v>
      </c>
      <c r="M192" s="422">
        <f t="shared" si="41"/>
        <v>1.9159113908407291E-3</v>
      </c>
      <c r="N192" s="422">
        <f t="shared" si="41"/>
        <v>1.4810518128115279E-3</v>
      </c>
      <c r="O192" s="422">
        <f t="shared" si="41"/>
        <v>1.2045963604241177E-3</v>
      </c>
      <c r="P192" s="422">
        <f t="shared" si="41"/>
        <v>0</v>
      </c>
      <c r="Q192" s="422">
        <f t="shared" si="41"/>
        <v>1.2964689832756962E-3</v>
      </c>
      <c r="R192" s="422">
        <f t="shared" si="41"/>
        <v>-1.1795707720056528E-3</v>
      </c>
      <c r="S192" s="422">
        <f t="shared" si="41"/>
        <v>-1.1215590946938995E-3</v>
      </c>
      <c r="T192" s="422">
        <f t="shared" si="41"/>
        <v>-1.1795707720056528E-3</v>
      </c>
      <c r="U192" s="422">
        <f t="shared" si="41"/>
        <v>-1.1795707720056528E-3</v>
      </c>
      <c r="V192" s="422">
        <f t="shared" si="41"/>
        <v>-1.1215590946938995E-3</v>
      </c>
      <c r="W192" s="422">
        <f t="shared" si="41"/>
        <v>-1.1215590946938995E-3</v>
      </c>
      <c r="X192" s="422">
        <f t="shared" si="41"/>
        <v>-9.4557123805885939E-4</v>
      </c>
      <c r="Y192" s="422">
        <f t="shared" si="41"/>
        <v>-9.4557123805885939E-4</v>
      </c>
      <c r="Z192" s="352"/>
      <c r="AA192" s="352"/>
    </row>
    <row r="193" spans="4:27" x14ac:dyDescent="0.25">
      <c r="F193" s="295" t="s">
        <v>51</v>
      </c>
      <c r="G193" s="295" t="s">
        <v>183</v>
      </c>
      <c r="H193" s="352"/>
      <c r="I193" s="352"/>
      <c r="J193" s="422">
        <f t="shared" ref="J193:Y193" si="42">J88 * (1 - J$117)</f>
        <v>0</v>
      </c>
      <c r="K193" s="422">
        <f t="shared" si="42"/>
        <v>0</v>
      </c>
      <c r="L193" s="422">
        <f t="shared" si="42"/>
        <v>0</v>
      </c>
      <c r="M193" s="422">
        <f t="shared" si="42"/>
        <v>0</v>
      </c>
      <c r="N193" s="422">
        <f t="shared" si="42"/>
        <v>0</v>
      </c>
      <c r="O193" s="422">
        <f t="shared" si="42"/>
        <v>0</v>
      </c>
      <c r="P193" s="422">
        <f t="shared" si="42"/>
        <v>0</v>
      </c>
      <c r="Q193" s="422">
        <f t="shared" si="42"/>
        <v>0</v>
      </c>
      <c r="R193" s="422">
        <f t="shared" si="42"/>
        <v>0</v>
      </c>
      <c r="S193" s="422">
        <f t="shared" si="42"/>
        <v>0</v>
      </c>
      <c r="T193" s="422">
        <f t="shared" si="42"/>
        <v>0</v>
      </c>
      <c r="U193" s="422">
        <f t="shared" si="42"/>
        <v>0</v>
      </c>
      <c r="V193" s="422">
        <f t="shared" si="42"/>
        <v>0</v>
      </c>
      <c r="W193" s="422">
        <f t="shared" si="42"/>
        <v>0</v>
      </c>
      <c r="X193" s="422">
        <f t="shared" si="42"/>
        <v>0</v>
      </c>
      <c r="Y193" s="422">
        <f t="shared" si="42"/>
        <v>0</v>
      </c>
      <c r="Z193" s="352"/>
      <c r="AA193" s="352"/>
    </row>
    <row r="194" spans="4:27" x14ac:dyDescent="0.25">
      <c r="F194" s="295" t="s">
        <v>48</v>
      </c>
      <c r="G194" s="295" t="s">
        <v>183</v>
      </c>
      <c r="H194" s="352"/>
      <c r="I194" s="352"/>
      <c r="J194" s="422">
        <f t="shared" ref="J194:Y194" si="43">J89 * (1 - J$118)</f>
        <v>5.6723556339629807E-3</v>
      </c>
      <c r="K194" s="422">
        <f t="shared" si="43"/>
        <v>5.6723556339629807E-3</v>
      </c>
      <c r="L194" s="422">
        <f t="shared" si="43"/>
        <v>6.5884697768449135E-3</v>
      </c>
      <c r="M194" s="422">
        <f t="shared" si="43"/>
        <v>6.5884697768449135E-3</v>
      </c>
      <c r="N194" s="422">
        <f t="shared" si="43"/>
        <v>4.074453611288666E-3</v>
      </c>
      <c r="O194" s="422">
        <f t="shared" si="43"/>
        <v>0</v>
      </c>
      <c r="P194" s="422">
        <f t="shared" si="43"/>
        <v>0</v>
      </c>
      <c r="Q194" s="422">
        <f t="shared" si="43"/>
        <v>4.4583203345226413E-3</v>
      </c>
      <c r="R194" s="422">
        <f t="shared" si="43"/>
        <v>-4.0563287102743269E-3</v>
      </c>
      <c r="S194" s="422">
        <f t="shared" si="43"/>
        <v>-3.8568371343591953E-3</v>
      </c>
      <c r="T194" s="422">
        <f t="shared" si="43"/>
        <v>-4.0563287102743269E-3</v>
      </c>
      <c r="U194" s="422">
        <f t="shared" si="43"/>
        <v>-4.0563287102743269E-3</v>
      </c>
      <c r="V194" s="422">
        <f t="shared" si="43"/>
        <v>-3.8568371343591953E-3</v>
      </c>
      <c r="W194" s="422">
        <f t="shared" si="43"/>
        <v>-3.8568371343591953E-3</v>
      </c>
      <c r="X194" s="422">
        <f t="shared" si="43"/>
        <v>0</v>
      </c>
      <c r="Y194" s="422">
        <f t="shared" si="43"/>
        <v>0</v>
      </c>
      <c r="Z194" s="352"/>
      <c r="AA194" s="352"/>
    </row>
    <row r="195" spans="4:27" x14ac:dyDescent="0.25">
      <c r="F195" s="295" t="s">
        <v>49</v>
      </c>
      <c r="G195" s="295" t="s">
        <v>183</v>
      </c>
      <c r="H195" s="352"/>
      <c r="I195" s="352"/>
      <c r="J195" s="422">
        <f t="shared" ref="J195:Y195" si="44">J90 * (1 - J$119)</f>
        <v>1.3025042971959073E-3</v>
      </c>
      <c r="K195" s="422">
        <f t="shared" si="44"/>
        <v>1.3025042971959073E-3</v>
      </c>
      <c r="L195" s="422">
        <f t="shared" si="44"/>
        <v>1.5128653332143784E-3</v>
      </c>
      <c r="M195" s="422">
        <f t="shared" si="44"/>
        <v>1.5128653332143784E-3</v>
      </c>
      <c r="N195" s="422">
        <f t="shared" si="44"/>
        <v>0</v>
      </c>
      <c r="O195" s="422">
        <f t="shared" si="44"/>
        <v>0</v>
      </c>
      <c r="P195" s="422">
        <f t="shared" si="44"/>
        <v>0</v>
      </c>
      <c r="Q195" s="422">
        <f t="shared" si="44"/>
        <v>1.0237336600023082E-3</v>
      </c>
      <c r="R195" s="422">
        <f t="shared" si="44"/>
        <v>-9.3142706785473818E-4</v>
      </c>
      <c r="S195" s="422">
        <f t="shared" si="44"/>
        <v>0</v>
      </c>
      <c r="T195" s="422">
        <f t="shared" si="44"/>
        <v>-9.3142706785473818E-4</v>
      </c>
      <c r="U195" s="422">
        <f t="shared" si="44"/>
        <v>-9.3142706785473818E-4</v>
      </c>
      <c r="V195" s="422">
        <f t="shared" si="44"/>
        <v>0</v>
      </c>
      <c r="W195" s="422">
        <f t="shared" si="44"/>
        <v>0</v>
      </c>
      <c r="X195" s="422">
        <f t="shared" si="44"/>
        <v>0</v>
      </c>
      <c r="Y195" s="422">
        <f t="shared" si="44"/>
        <v>0</v>
      </c>
      <c r="Z195" s="352"/>
      <c r="AA195" s="352"/>
    </row>
    <row r="196" spans="4:27" x14ac:dyDescent="0.25">
      <c r="F196" s="295" t="s">
        <v>50</v>
      </c>
      <c r="G196" s="295" t="s">
        <v>183</v>
      </c>
      <c r="H196" s="352"/>
      <c r="I196" s="352"/>
      <c r="J196" s="422">
        <f t="shared" ref="J196:Y196" si="45">J91 * (1 - J$120)</f>
        <v>0</v>
      </c>
      <c r="K196" s="422">
        <f t="shared" si="45"/>
        <v>0</v>
      </c>
      <c r="L196" s="422">
        <f t="shared" si="45"/>
        <v>0</v>
      </c>
      <c r="M196" s="422">
        <f t="shared" si="45"/>
        <v>0</v>
      </c>
      <c r="N196" s="422">
        <f t="shared" si="45"/>
        <v>0</v>
      </c>
      <c r="O196" s="422">
        <f t="shared" si="45"/>
        <v>0</v>
      </c>
      <c r="P196" s="422">
        <f t="shared" si="45"/>
        <v>0</v>
      </c>
      <c r="Q196" s="422">
        <f t="shared" si="45"/>
        <v>1.7985996128966103E-4</v>
      </c>
      <c r="R196" s="422">
        <f t="shared" si="45"/>
        <v>0</v>
      </c>
      <c r="S196" s="422">
        <f t="shared" si="45"/>
        <v>0</v>
      </c>
      <c r="T196" s="422">
        <f t="shared" si="45"/>
        <v>0</v>
      </c>
      <c r="U196" s="422">
        <f t="shared" si="45"/>
        <v>0</v>
      </c>
      <c r="V196" s="422">
        <f t="shared" si="45"/>
        <v>0</v>
      </c>
      <c r="W196" s="422">
        <f t="shared" si="45"/>
        <v>0</v>
      </c>
      <c r="X196" s="422">
        <f t="shared" si="45"/>
        <v>0</v>
      </c>
      <c r="Y196" s="422">
        <f t="shared" si="45"/>
        <v>0</v>
      </c>
      <c r="Z196" s="352"/>
      <c r="AA196" s="352"/>
    </row>
    <row r="197" spans="4:27" x14ac:dyDescent="0.25">
      <c r="D197" s="295"/>
      <c r="F197" s="91" t="s">
        <v>124</v>
      </c>
      <c r="G197" s="91" t="s">
        <v>183</v>
      </c>
      <c r="H197" s="350"/>
      <c r="I197" s="350"/>
      <c r="J197" s="362"/>
      <c r="K197" s="362"/>
      <c r="L197" s="362"/>
      <c r="M197" s="362"/>
      <c r="N197" s="362"/>
      <c r="O197" s="362"/>
      <c r="P197" s="362"/>
      <c r="Q197" s="362"/>
      <c r="R197" s="362"/>
      <c r="S197" s="362"/>
      <c r="T197" s="362"/>
      <c r="U197" s="362"/>
      <c r="V197" s="362"/>
      <c r="W197" s="362"/>
      <c r="X197" s="362"/>
      <c r="Y197" s="362"/>
      <c r="Z197" s="352"/>
      <c r="AA197" s="352"/>
    </row>
    <row r="198" spans="4:27" x14ac:dyDescent="0.25">
      <c r="D198" s="295"/>
      <c r="F198" s="93" t="s">
        <v>123</v>
      </c>
      <c r="G198" s="93" t="s">
        <v>183</v>
      </c>
      <c r="H198" s="354"/>
      <c r="I198" s="354"/>
      <c r="J198" s="359"/>
      <c r="K198" s="359"/>
      <c r="L198" s="359"/>
      <c r="M198" s="359"/>
      <c r="N198" s="359"/>
      <c r="O198" s="359"/>
      <c r="P198" s="359"/>
      <c r="Q198" s="359"/>
      <c r="R198" s="359"/>
      <c r="S198" s="359"/>
      <c r="T198" s="359"/>
      <c r="U198" s="359"/>
      <c r="V198" s="359"/>
      <c r="W198" s="359"/>
      <c r="X198" s="359"/>
      <c r="Y198" s="359"/>
      <c r="Z198" s="352"/>
      <c r="AA198" s="352"/>
    </row>
    <row r="199" spans="4:27" x14ac:dyDescent="0.25">
      <c r="D199" s="295"/>
      <c r="J199" s="253"/>
      <c r="K199" s="253"/>
      <c r="L199" s="253"/>
      <c r="M199" s="253"/>
      <c r="N199" s="253"/>
      <c r="O199" s="253"/>
      <c r="P199" s="253"/>
      <c r="Q199" s="253"/>
      <c r="R199" s="253"/>
      <c r="S199" s="253"/>
      <c r="T199" s="253"/>
      <c r="U199" s="253"/>
      <c r="V199" s="253"/>
      <c r="W199" s="253"/>
      <c r="X199" s="253"/>
      <c r="Y199" s="253"/>
    </row>
    <row r="200" spans="4:27" x14ac:dyDescent="0.25">
      <c r="E200" s="96" t="s">
        <v>116</v>
      </c>
      <c r="J200" s="253"/>
      <c r="K200" s="253"/>
      <c r="L200" s="253"/>
      <c r="M200" s="253"/>
      <c r="N200" s="253"/>
      <c r="O200" s="253"/>
      <c r="P200" s="253"/>
      <c r="Q200" s="253"/>
      <c r="R200" s="253"/>
      <c r="S200" s="253"/>
      <c r="T200" s="253"/>
      <c r="U200" s="253"/>
      <c r="V200" s="253"/>
      <c r="W200" s="253"/>
      <c r="X200" s="253"/>
      <c r="Y200" s="253"/>
    </row>
    <row r="201" spans="4:27" x14ac:dyDescent="0.25">
      <c r="F201" s="91" t="s">
        <v>324</v>
      </c>
      <c r="G201" s="91" t="s">
        <v>183</v>
      </c>
      <c r="H201" s="350"/>
      <c r="I201" s="350"/>
      <c r="J201" s="363">
        <f t="shared" ref="J201:Y202" si="46">J96 * (1 - J$112)</f>
        <v>2.4082353729925929E-3</v>
      </c>
      <c r="K201" s="363">
        <f t="shared" si="46"/>
        <v>2.4082353729925929E-3</v>
      </c>
      <c r="L201" s="363">
        <f t="shared" si="46"/>
        <v>2.7971775738971738E-3</v>
      </c>
      <c r="M201" s="363">
        <f t="shared" si="46"/>
        <v>2.7971775738971738E-3</v>
      </c>
      <c r="N201" s="363">
        <f t="shared" si="46"/>
        <v>2.162294632403776E-3</v>
      </c>
      <c r="O201" s="363">
        <f t="shared" si="46"/>
        <v>1.7586773277118667E-3</v>
      </c>
      <c r="P201" s="363">
        <f t="shared" si="46"/>
        <v>1.7542994173707232E-3</v>
      </c>
      <c r="Q201" s="363">
        <f t="shared" si="46"/>
        <v>1.8928088128755832E-3</v>
      </c>
      <c r="R201" s="363">
        <f t="shared" si="46"/>
        <v>-1.7221406616466405E-3</v>
      </c>
      <c r="S201" s="363">
        <f t="shared" si="46"/>
        <v>-1.637445219270576E-3</v>
      </c>
      <c r="T201" s="363">
        <f t="shared" si="46"/>
        <v>-1.7221406616466405E-3</v>
      </c>
      <c r="U201" s="363">
        <f t="shared" si="46"/>
        <v>-1.7221406616466405E-3</v>
      </c>
      <c r="V201" s="363">
        <f t="shared" si="46"/>
        <v>-1.637445219270576E-3</v>
      </c>
      <c r="W201" s="363">
        <f t="shared" si="46"/>
        <v>-1.637445219270576E-3</v>
      </c>
      <c r="X201" s="363">
        <f t="shared" si="46"/>
        <v>-1.6092134051452214E-3</v>
      </c>
      <c r="Y201" s="363">
        <f t="shared" si="46"/>
        <v>-1.6092134051452214E-3</v>
      </c>
      <c r="Z201" s="352"/>
      <c r="AA201" s="352"/>
    </row>
    <row r="202" spans="4:27" x14ac:dyDescent="0.25">
      <c r="F202" s="295" t="s">
        <v>43</v>
      </c>
      <c r="G202" s="295" t="s">
        <v>183</v>
      </c>
      <c r="H202" s="352"/>
      <c r="I202" s="352"/>
      <c r="J202" s="422">
        <f t="shared" si="46"/>
        <v>0</v>
      </c>
      <c r="K202" s="422">
        <f t="shared" si="46"/>
        <v>0</v>
      </c>
      <c r="L202" s="422">
        <f t="shared" si="46"/>
        <v>0</v>
      </c>
      <c r="M202" s="422">
        <f t="shared" si="46"/>
        <v>0</v>
      </c>
      <c r="N202" s="422">
        <f t="shared" si="46"/>
        <v>0</v>
      </c>
      <c r="O202" s="422">
        <f t="shared" si="46"/>
        <v>0</v>
      </c>
      <c r="P202" s="422">
        <f t="shared" si="46"/>
        <v>0</v>
      </c>
      <c r="Q202" s="422">
        <f t="shared" si="46"/>
        <v>0</v>
      </c>
      <c r="R202" s="422">
        <f t="shared" si="46"/>
        <v>0</v>
      </c>
      <c r="S202" s="422">
        <f t="shared" si="46"/>
        <v>0</v>
      </c>
      <c r="T202" s="422">
        <f t="shared" si="46"/>
        <v>0</v>
      </c>
      <c r="U202" s="422">
        <f t="shared" si="46"/>
        <v>0</v>
      </c>
      <c r="V202" s="422">
        <f t="shared" si="46"/>
        <v>0</v>
      </c>
      <c r="W202" s="422">
        <f t="shared" si="46"/>
        <v>0</v>
      </c>
      <c r="X202" s="422">
        <f t="shared" si="46"/>
        <v>0</v>
      </c>
      <c r="Y202" s="422">
        <f t="shared" si="46"/>
        <v>0</v>
      </c>
      <c r="Z202" s="352"/>
      <c r="AA202" s="352"/>
    </row>
    <row r="203" spans="4:27" x14ac:dyDescent="0.25">
      <c r="F203" s="295" t="s">
        <v>44</v>
      </c>
      <c r="G203" s="295" t="s">
        <v>183</v>
      </c>
      <c r="H203" s="352"/>
      <c r="I203" s="352"/>
      <c r="J203" s="422">
        <f t="shared" ref="J203:Y203" si="47">J98 * (1 - J$113)</f>
        <v>0</v>
      </c>
      <c r="K203" s="422">
        <f t="shared" si="47"/>
        <v>0</v>
      </c>
      <c r="L203" s="422">
        <f t="shared" si="47"/>
        <v>0</v>
      </c>
      <c r="M203" s="422">
        <f t="shared" si="47"/>
        <v>0</v>
      </c>
      <c r="N203" s="422">
        <f t="shared" si="47"/>
        <v>0</v>
      </c>
      <c r="O203" s="422">
        <f t="shared" si="47"/>
        <v>0</v>
      </c>
      <c r="P203" s="422">
        <f t="shared" si="47"/>
        <v>0</v>
      </c>
      <c r="Q203" s="422">
        <f t="shared" si="47"/>
        <v>0</v>
      </c>
      <c r="R203" s="422">
        <f t="shared" si="47"/>
        <v>0</v>
      </c>
      <c r="S203" s="422">
        <f t="shared" si="47"/>
        <v>0</v>
      </c>
      <c r="T203" s="422">
        <f t="shared" si="47"/>
        <v>0</v>
      </c>
      <c r="U203" s="422">
        <f t="shared" si="47"/>
        <v>0</v>
      </c>
      <c r="V203" s="422">
        <f t="shared" si="47"/>
        <v>0</v>
      </c>
      <c r="W203" s="422">
        <f t="shared" si="47"/>
        <v>0</v>
      </c>
      <c r="X203" s="422">
        <f t="shared" si="47"/>
        <v>0</v>
      </c>
      <c r="Y203" s="422">
        <f t="shared" si="47"/>
        <v>0</v>
      </c>
      <c r="Z203" s="352"/>
      <c r="AA203" s="352"/>
    </row>
    <row r="204" spans="4:27" x14ac:dyDescent="0.25">
      <c r="F204" s="295" t="s">
        <v>45</v>
      </c>
      <c r="G204" s="295" t="s">
        <v>183</v>
      </c>
      <c r="H204" s="352"/>
      <c r="I204" s="352"/>
      <c r="J204" s="422">
        <f t="shared" ref="J204:Y204" si="48">J99 * (1 - J$114)</f>
        <v>0</v>
      </c>
      <c r="K204" s="422">
        <f t="shared" si="48"/>
        <v>0</v>
      </c>
      <c r="L204" s="422">
        <f t="shared" si="48"/>
        <v>0</v>
      </c>
      <c r="M204" s="422">
        <f t="shared" si="48"/>
        <v>0</v>
      </c>
      <c r="N204" s="422">
        <f t="shared" si="48"/>
        <v>0</v>
      </c>
      <c r="O204" s="422">
        <f t="shared" si="48"/>
        <v>0</v>
      </c>
      <c r="P204" s="422">
        <f t="shared" si="48"/>
        <v>0</v>
      </c>
      <c r="Q204" s="422">
        <f t="shared" si="48"/>
        <v>0</v>
      </c>
      <c r="R204" s="422">
        <f t="shared" si="48"/>
        <v>0</v>
      </c>
      <c r="S204" s="422">
        <f t="shared" si="48"/>
        <v>0</v>
      </c>
      <c r="T204" s="422">
        <f t="shared" si="48"/>
        <v>0</v>
      </c>
      <c r="U204" s="422">
        <f t="shared" si="48"/>
        <v>0</v>
      </c>
      <c r="V204" s="422">
        <f t="shared" si="48"/>
        <v>0</v>
      </c>
      <c r="W204" s="422">
        <f t="shared" si="48"/>
        <v>0</v>
      </c>
      <c r="X204" s="422">
        <f t="shared" si="48"/>
        <v>0</v>
      </c>
      <c r="Y204" s="422">
        <f t="shared" si="48"/>
        <v>0</v>
      </c>
      <c r="Z204" s="352"/>
      <c r="AA204" s="352"/>
    </row>
    <row r="205" spans="4:27" x14ac:dyDescent="0.25">
      <c r="F205" s="295" t="s">
        <v>46</v>
      </c>
      <c r="G205" s="295" t="s">
        <v>183</v>
      </c>
      <c r="H205" s="352"/>
      <c r="I205" s="352"/>
      <c r="J205" s="422">
        <f t="shared" ref="J205:Y205" si="49">J100 * (1 - J$115)</f>
        <v>1.7045036833946514E-3</v>
      </c>
      <c r="K205" s="422">
        <f t="shared" si="49"/>
        <v>1.7045036833946514E-3</v>
      </c>
      <c r="L205" s="422">
        <f t="shared" si="49"/>
        <v>1.979789654817645E-3</v>
      </c>
      <c r="M205" s="422">
        <f t="shared" si="49"/>
        <v>1.979789654817645E-3</v>
      </c>
      <c r="N205" s="422">
        <f t="shared" si="49"/>
        <v>1.5304314548526714E-3</v>
      </c>
      <c r="O205" s="422">
        <f t="shared" si="49"/>
        <v>1.2447587210973002E-3</v>
      </c>
      <c r="P205" s="422">
        <f t="shared" si="49"/>
        <v>9.9332809482644739E-4</v>
      </c>
      <c r="Q205" s="422">
        <f t="shared" si="49"/>
        <v>1.3396944624640774E-3</v>
      </c>
      <c r="R205" s="422">
        <f t="shared" si="49"/>
        <v>-1.218898756334076E-3</v>
      </c>
      <c r="S205" s="422">
        <f t="shared" si="49"/>
        <v>-1.1589529158586296E-3</v>
      </c>
      <c r="T205" s="422">
        <f t="shared" si="49"/>
        <v>-1.218898756334076E-3</v>
      </c>
      <c r="U205" s="422">
        <f t="shared" si="49"/>
        <v>-1.218898756334076E-3</v>
      </c>
      <c r="V205" s="422">
        <f t="shared" si="49"/>
        <v>-1.1589529158586296E-3</v>
      </c>
      <c r="W205" s="422">
        <f t="shared" si="49"/>
        <v>-1.1589529158586296E-3</v>
      </c>
      <c r="X205" s="422">
        <f t="shared" si="49"/>
        <v>-1.1389709690334806E-3</v>
      </c>
      <c r="Y205" s="422">
        <f t="shared" si="49"/>
        <v>-1.1389709690334806E-3</v>
      </c>
      <c r="Z205" s="352"/>
      <c r="AA205" s="352"/>
    </row>
    <row r="206" spans="4:27" x14ac:dyDescent="0.25">
      <c r="F206" s="295" t="s">
        <v>47</v>
      </c>
      <c r="G206" s="295" t="s">
        <v>183</v>
      </c>
      <c r="H206" s="352"/>
      <c r="I206" s="352"/>
      <c r="J206" s="422">
        <f t="shared" ref="J206:Y206" si="50">J101 * (1 - J$116)</f>
        <v>1.2190576574004099E-3</v>
      </c>
      <c r="K206" s="422">
        <f t="shared" si="50"/>
        <v>1.2190576574004099E-3</v>
      </c>
      <c r="L206" s="422">
        <f t="shared" si="50"/>
        <v>1.4159416387654474E-3</v>
      </c>
      <c r="M206" s="422">
        <f t="shared" si="50"/>
        <v>1.4159416387654474E-3</v>
      </c>
      <c r="N206" s="422">
        <f t="shared" si="50"/>
        <v>1.0945615444191612E-3</v>
      </c>
      <c r="O206" s="422">
        <f t="shared" si="50"/>
        <v>8.9024897121226508E-4</v>
      </c>
      <c r="P206" s="422">
        <f t="shared" si="50"/>
        <v>0</v>
      </c>
      <c r="Q206" s="422">
        <f t="shared" si="50"/>
        <v>9.5814682535105193E-4</v>
      </c>
      <c r="R206" s="422">
        <f t="shared" si="50"/>
        <v>-8.7175397564738066E-4</v>
      </c>
      <c r="S206" s="422">
        <f t="shared" si="50"/>
        <v>-8.2888082930406676E-4</v>
      </c>
      <c r="T206" s="422">
        <f t="shared" si="50"/>
        <v>-8.7175397564738066E-4</v>
      </c>
      <c r="U206" s="422">
        <f t="shared" si="50"/>
        <v>-8.7175397564738066E-4</v>
      </c>
      <c r="V206" s="422">
        <f t="shared" si="50"/>
        <v>-8.2888082930406676E-4</v>
      </c>
      <c r="W206" s="422">
        <f t="shared" si="50"/>
        <v>-8.2888082930406676E-4</v>
      </c>
      <c r="X206" s="422">
        <f t="shared" si="50"/>
        <v>-8.1458978052296213E-4</v>
      </c>
      <c r="Y206" s="422">
        <f t="shared" si="50"/>
        <v>-8.1458978052296213E-4</v>
      </c>
      <c r="Z206" s="352"/>
      <c r="AA206" s="352"/>
    </row>
    <row r="207" spans="4:27" x14ac:dyDescent="0.25">
      <c r="F207" s="295" t="s">
        <v>51</v>
      </c>
      <c r="G207" s="295" t="s">
        <v>183</v>
      </c>
      <c r="H207" s="352"/>
      <c r="I207" s="352"/>
      <c r="J207" s="422">
        <f t="shared" ref="J207:Y207" si="51">J102 * (1 - J$117)</f>
        <v>0</v>
      </c>
      <c r="K207" s="422">
        <f t="shared" si="51"/>
        <v>0</v>
      </c>
      <c r="L207" s="422">
        <f t="shared" si="51"/>
        <v>0</v>
      </c>
      <c r="M207" s="422">
        <f t="shared" si="51"/>
        <v>0</v>
      </c>
      <c r="N207" s="422">
        <f t="shared" si="51"/>
        <v>0</v>
      </c>
      <c r="O207" s="422">
        <f t="shared" si="51"/>
        <v>0</v>
      </c>
      <c r="P207" s="422">
        <f t="shared" si="51"/>
        <v>0</v>
      </c>
      <c r="Q207" s="422">
        <f t="shared" si="51"/>
        <v>0</v>
      </c>
      <c r="R207" s="422">
        <f t="shared" si="51"/>
        <v>0</v>
      </c>
      <c r="S207" s="422">
        <f t="shared" si="51"/>
        <v>0</v>
      </c>
      <c r="T207" s="422">
        <f t="shared" si="51"/>
        <v>0</v>
      </c>
      <c r="U207" s="422">
        <f t="shared" si="51"/>
        <v>0</v>
      </c>
      <c r="V207" s="422">
        <f t="shared" si="51"/>
        <v>0</v>
      </c>
      <c r="W207" s="422">
        <f t="shared" si="51"/>
        <v>0</v>
      </c>
      <c r="X207" s="422">
        <f t="shared" si="51"/>
        <v>0</v>
      </c>
      <c r="Y207" s="422">
        <f t="shared" si="51"/>
        <v>0</v>
      </c>
      <c r="Z207" s="352"/>
      <c r="AA207" s="352"/>
    </row>
    <row r="208" spans="4:27" x14ac:dyDescent="0.25">
      <c r="F208" s="295" t="s">
        <v>48</v>
      </c>
      <c r="G208" s="295" t="s">
        <v>183</v>
      </c>
      <c r="H208" s="352"/>
      <c r="I208" s="352"/>
      <c r="J208" s="422">
        <f t="shared" ref="J208:Y208" si="52">J103 * (1 - J$118)</f>
        <v>5.2444201935189071E-3</v>
      </c>
      <c r="K208" s="422">
        <f t="shared" si="52"/>
        <v>5.2444201935189071E-3</v>
      </c>
      <c r="L208" s="422">
        <f t="shared" si="52"/>
        <v>6.0914205969723884E-3</v>
      </c>
      <c r="M208" s="422">
        <f t="shared" si="52"/>
        <v>6.0914205969723884E-3</v>
      </c>
      <c r="N208" s="422">
        <f t="shared" si="52"/>
        <v>3.7670675422142906E-3</v>
      </c>
      <c r="O208" s="422">
        <f t="shared" si="52"/>
        <v>0</v>
      </c>
      <c r="P208" s="422">
        <f t="shared" si="52"/>
        <v>0</v>
      </c>
      <c r="Q208" s="422">
        <f t="shared" si="52"/>
        <v>4.1219744847364589E-3</v>
      </c>
      <c r="R208" s="422">
        <f t="shared" si="52"/>
        <v>-3.750310025052286E-3</v>
      </c>
      <c r="S208" s="422">
        <f t="shared" si="52"/>
        <v>-3.5658685484103703E-3</v>
      </c>
      <c r="T208" s="422">
        <f t="shared" si="52"/>
        <v>-3.750310025052286E-3</v>
      </c>
      <c r="U208" s="422">
        <f t="shared" si="52"/>
        <v>-3.750310025052286E-3</v>
      </c>
      <c r="V208" s="422">
        <f t="shared" si="52"/>
        <v>-3.5658685484103703E-3</v>
      </c>
      <c r="W208" s="422">
        <f t="shared" si="52"/>
        <v>-3.5658685484103703E-3</v>
      </c>
      <c r="X208" s="422">
        <f t="shared" si="52"/>
        <v>0</v>
      </c>
      <c r="Y208" s="422">
        <f t="shared" si="52"/>
        <v>0</v>
      </c>
      <c r="Z208" s="352"/>
      <c r="AA208" s="352"/>
    </row>
    <row r="209" spans="2:27" x14ac:dyDescent="0.25">
      <c r="F209" s="295" t="s">
        <v>49</v>
      </c>
      <c r="G209" s="295" t="s">
        <v>183</v>
      </c>
      <c r="H209" s="352"/>
      <c r="I209" s="352"/>
      <c r="J209" s="422">
        <f t="shared" ref="J209:Y209" si="53">J104 * (1 - J$119)</f>
        <v>1.3180712926202751E-3</v>
      </c>
      <c r="K209" s="422">
        <f t="shared" si="53"/>
        <v>1.3180712926202751E-3</v>
      </c>
      <c r="L209" s="422">
        <f t="shared" si="53"/>
        <v>1.530946477184908E-3</v>
      </c>
      <c r="M209" s="422">
        <f t="shared" si="53"/>
        <v>1.530946477184908E-3</v>
      </c>
      <c r="N209" s="422">
        <f t="shared" si="53"/>
        <v>0</v>
      </c>
      <c r="O209" s="422">
        <f t="shared" si="53"/>
        <v>0</v>
      </c>
      <c r="P209" s="422">
        <f t="shared" si="53"/>
        <v>0</v>
      </c>
      <c r="Q209" s="422">
        <f t="shared" si="53"/>
        <v>1.0359689034754667E-3</v>
      </c>
      <c r="R209" s="422">
        <f t="shared" si="53"/>
        <v>-9.4255910091953666E-4</v>
      </c>
      <c r="S209" s="422">
        <f t="shared" si="53"/>
        <v>0</v>
      </c>
      <c r="T209" s="422">
        <f t="shared" si="53"/>
        <v>-9.4255910091953666E-4</v>
      </c>
      <c r="U209" s="422">
        <f t="shared" si="53"/>
        <v>-9.4255910091953666E-4</v>
      </c>
      <c r="V209" s="422">
        <f t="shared" si="53"/>
        <v>0</v>
      </c>
      <c r="W209" s="422">
        <f t="shared" si="53"/>
        <v>0</v>
      </c>
      <c r="X209" s="422">
        <f t="shared" si="53"/>
        <v>0</v>
      </c>
      <c r="Y209" s="422">
        <f t="shared" si="53"/>
        <v>0</v>
      </c>
      <c r="Z209" s="352"/>
      <c r="AA209" s="352"/>
    </row>
    <row r="210" spans="2:27" x14ac:dyDescent="0.25">
      <c r="F210" s="295" t="s">
        <v>50</v>
      </c>
      <c r="G210" s="295" t="s">
        <v>183</v>
      </c>
      <c r="H210" s="352"/>
      <c r="I210" s="352"/>
      <c r="J210" s="422">
        <f t="shared" ref="J210:Y210" si="54">J105 * (1 - J$120)</f>
        <v>0</v>
      </c>
      <c r="K210" s="422">
        <f t="shared" si="54"/>
        <v>0</v>
      </c>
      <c r="L210" s="422">
        <f t="shared" si="54"/>
        <v>0</v>
      </c>
      <c r="M210" s="422">
        <f t="shared" si="54"/>
        <v>0</v>
      </c>
      <c r="N210" s="422">
        <f t="shared" si="54"/>
        <v>0</v>
      </c>
      <c r="O210" s="422">
        <f t="shared" si="54"/>
        <v>0</v>
      </c>
      <c r="P210" s="422">
        <f t="shared" si="54"/>
        <v>0</v>
      </c>
      <c r="Q210" s="422">
        <f t="shared" si="54"/>
        <v>1.7425324487828188E-3</v>
      </c>
      <c r="R210" s="422">
        <f t="shared" si="54"/>
        <v>0</v>
      </c>
      <c r="S210" s="422">
        <f t="shared" si="54"/>
        <v>0</v>
      </c>
      <c r="T210" s="422">
        <f t="shared" si="54"/>
        <v>0</v>
      </c>
      <c r="U210" s="422">
        <f t="shared" si="54"/>
        <v>0</v>
      </c>
      <c r="V210" s="422">
        <f t="shared" si="54"/>
        <v>0</v>
      </c>
      <c r="W210" s="422">
        <f t="shared" si="54"/>
        <v>0</v>
      </c>
      <c r="X210" s="422">
        <f t="shared" si="54"/>
        <v>0</v>
      </c>
      <c r="Y210" s="422">
        <f t="shared" si="54"/>
        <v>0</v>
      </c>
      <c r="Z210" s="352"/>
      <c r="AA210" s="352"/>
    </row>
    <row r="211" spans="2:27" x14ac:dyDescent="0.25">
      <c r="D211" s="295"/>
      <c r="F211" s="91" t="s">
        <v>124</v>
      </c>
      <c r="G211" s="91" t="s">
        <v>183</v>
      </c>
      <c r="H211" s="350"/>
      <c r="I211" s="350" t="s">
        <v>431</v>
      </c>
      <c r="J211" s="362"/>
      <c r="K211" s="362"/>
      <c r="L211" s="362"/>
      <c r="M211" s="362"/>
      <c r="N211" s="362"/>
      <c r="O211" s="362"/>
      <c r="P211" s="362"/>
      <c r="Q211" s="363">
        <f>Q106</f>
        <v>0.42942896297178434</v>
      </c>
      <c r="R211" s="362"/>
      <c r="S211" s="362"/>
      <c r="T211" s="362"/>
      <c r="U211" s="362"/>
      <c r="V211" s="362"/>
      <c r="W211" s="362"/>
      <c r="X211" s="362"/>
      <c r="Y211" s="362"/>
      <c r="Z211" s="352"/>
      <c r="AA211" s="352" t="s">
        <v>837</v>
      </c>
    </row>
    <row r="212" spans="2:27" x14ac:dyDescent="0.25">
      <c r="D212" s="295"/>
      <c r="F212" s="93" t="s">
        <v>123</v>
      </c>
      <c r="G212" s="93" t="s">
        <v>183</v>
      </c>
      <c r="H212" s="354"/>
      <c r="I212" s="354"/>
      <c r="J212" s="359"/>
      <c r="K212" s="359"/>
      <c r="L212" s="359"/>
      <c r="M212" s="359"/>
      <c r="N212" s="359"/>
      <c r="O212" s="359"/>
      <c r="P212" s="359"/>
      <c r="Q212" s="359"/>
      <c r="R212" s="359"/>
      <c r="S212" s="359"/>
      <c r="T212" s="359"/>
      <c r="U212" s="359"/>
      <c r="V212" s="359"/>
      <c r="W212" s="359"/>
      <c r="X212" s="359"/>
      <c r="Y212" s="359"/>
      <c r="Z212" s="352"/>
      <c r="AA212" s="352"/>
    </row>
    <row r="213" spans="2:27" x14ac:dyDescent="0.25">
      <c r="J213" s="253"/>
      <c r="K213" s="253"/>
      <c r="L213" s="253"/>
      <c r="M213" s="253"/>
      <c r="N213" s="253"/>
      <c r="O213" s="253"/>
      <c r="P213" s="253"/>
      <c r="Q213" s="253"/>
      <c r="R213" s="253"/>
      <c r="S213" s="253"/>
      <c r="T213" s="253"/>
      <c r="U213" s="253"/>
      <c r="V213" s="253"/>
      <c r="W213" s="253"/>
      <c r="X213" s="253"/>
      <c r="Y213" s="253"/>
    </row>
    <row r="214" spans="2:27" x14ac:dyDescent="0.25">
      <c r="C214" s="7" t="str">
        <f ca="1">INDEX('Version control'!$H$34:$H$58,MATCH($A$1,'Version control'!$F$34:$F$58,0),1)&amp;"-H: Unit rates, post application of standing charges"</f>
        <v>Section 514-H: Unit rates, post application of standing charges</v>
      </c>
      <c r="D214" s="7"/>
      <c r="E214" s="7"/>
      <c r="F214" s="7"/>
      <c r="G214" s="7"/>
      <c r="H214" s="7"/>
      <c r="I214" s="7"/>
      <c r="J214" s="243"/>
      <c r="K214" s="243"/>
      <c r="L214" s="243"/>
      <c r="M214" s="243"/>
      <c r="N214" s="243"/>
      <c r="O214" s="243"/>
      <c r="P214" s="243"/>
      <c r="Q214" s="243"/>
      <c r="R214" s="243"/>
      <c r="S214" s="243"/>
      <c r="T214" s="243"/>
      <c r="U214" s="243"/>
      <c r="V214" s="243"/>
      <c r="W214" s="243"/>
      <c r="X214" s="243"/>
      <c r="Y214" s="243"/>
      <c r="Z214" s="7"/>
      <c r="AA214" s="7"/>
    </row>
    <row r="215" spans="2:27" x14ac:dyDescent="0.25">
      <c r="J215" s="253"/>
      <c r="K215" s="253"/>
      <c r="L215" s="253"/>
      <c r="M215" s="253"/>
      <c r="N215" s="253"/>
      <c r="O215" s="253"/>
      <c r="P215" s="253"/>
      <c r="Q215" s="253"/>
      <c r="R215" s="253"/>
      <c r="S215" s="253"/>
      <c r="T215" s="253"/>
      <c r="U215" s="253"/>
      <c r="V215" s="253"/>
      <c r="W215" s="253"/>
      <c r="X215" s="253"/>
      <c r="Y215" s="253"/>
      <c r="AA215" s="88"/>
    </row>
    <row r="216" spans="2:27" x14ac:dyDescent="0.25">
      <c r="D216" s="295"/>
      <c r="E216" s="96" t="s">
        <v>292</v>
      </c>
      <c r="F216" s="98"/>
      <c r="J216" s="253"/>
      <c r="K216" s="253"/>
      <c r="L216" s="253"/>
      <c r="M216" s="253"/>
      <c r="N216" s="253"/>
      <c r="O216" s="253"/>
      <c r="P216" s="253"/>
      <c r="Q216" s="253"/>
      <c r="R216" s="253"/>
      <c r="S216" s="253"/>
      <c r="T216" s="253"/>
      <c r="U216" s="253"/>
      <c r="V216" s="253"/>
      <c r="W216" s="253"/>
      <c r="X216" s="253"/>
      <c r="Y216" s="253"/>
      <c r="AA216" s="88"/>
    </row>
    <row r="217" spans="2:27" x14ac:dyDescent="0.25">
      <c r="D217" s="295"/>
      <c r="F217" s="91" t="s">
        <v>369</v>
      </c>
      <c r="G217" s="91" t="s">
        <v>183</v>
      </c>
      <c r="H217" s="350"/>
      <c r="I217" s="350"/>
      <c r="J217" s="351">
        <f t="shared" ref="J217:Y217" si="55">SUM(J127:J138,J141:J152)</f>
        <v>9.0075798509575993</v>
      </c>
      <c r="K217" s="351">
        <f t="shared" si="55"/>
        <v>9.0075798509575993</v>
      </c>
      <c r="L217" s="351">
        <f t="shared" si="55"/>
        <v>10.462349584574492</v>
      </c>
      <c r="M217" s="351">
        <f t="shared" si="55"/>
        <v>10.462349584574492</v>
      </c>
      <c r="N217" s="351">
        <f t="shared" si="55"/>
        <v>7.0335580755778464</v>
      </c>
      <c r="O217" s="351">
        <f t="shared" si="55"/>
        <v>4.1620061131966093</v>
      </c>
      <c r="P217" s="351">
        <f t="shared" si="55"/>
        <v>3.1534185792984371</v>
      </c>
      <c r="Q217" s="351">
        <f t="shared" si="55"/>
        <v>21.581103155032686</v>
      </c>
      <c r="R217" s="351">
        <f t="shared" si="55"/>
        <v>-6.4413635387668471</v>
      </c>
      <c r="S217" s="351">
        <f t="shared" si="55"/>
        <v>-5.6891199709087141</v>
      </c>
      <c r="T217" s="351">
        <f t="shared" si="55"/>
        <v>-6.4413635387668471</v>
      </c>
      <c r="U217" s="351">
        <f t="shared" si="55"/>
        <v>-6.4413635387668471</v>
      </c>
      <c r="V217" s="351">
        <f t="shared" si="55"/>
        <v>-5.6891199709087141</v>
      </c>
      <c r="W217" s="351">
        <f t="shared" si="55"/>
        <v>-5.6891199709087141</v>
      </c>
      <c r="X217" s="351">
        <f t="shared" si="55"/>
        <v>-3.732687631507082</v>
      </c>
      <c r="Y217" s="351">
        <f t="shared" si="55"/>
        <v>-3.732687631507082</v>
      </c>
      <c r="Z217" s="352"/>
      <c r="AA217" s="352"/>
    </row>
    <row r="218" spans="2:27" x14ac:dyDescent="0.25">
      <c r="D218" s="295"/>
      <c r="F218" s="295" t="s">
        <v>370</v>
      </c>
      <c r="G218" s="295" t="s">
        <v>183</v>
      </c>
      <c r="H218" s="352"/>
      <c r="I218" s="352"/>
      <c r="J218" s="353">
        <f t="shared" ref="J218:Y218" si="56">SUM(J157:J168,J171:J182)</f>
        <v>0.88300920268903393</v>
      </c>
      <c r="K218" s="353">
        <f t="shared" si="56"/>
        <v>0.88300920268903393</v>
      </c>
      <c r="L218" s="353">
        <f t="shared" si="56"/>
        <v>1.0256196578648074</v>
      </c>
      <c r="M218" s="353">
        <f t="shared" si="56"/>
        <v>1.0256196578648074</v>
      </c>
      <c r="N218" s="353">
        <f t="shared" si="56"/>
        <v>0.66594714340259142</v>
      </c>
      <c r="O218" s="353">
        <f t="shared" si="56"/>
        <v>0.35402490513798557</v>
      </c>
      <c r="P218" s="353">
        <f t="shared" si="56"/>
        <v>0.25261633874531259</v>
      </c>
      <c r="Q218" s="353">
        <f t="shared" si="56"/>
        <v>1.1952447724229316</v>
      </c>
      <c r="R218" s="353">
        <f t="shared" si="56"/>
        <v>-0.63144411448010185</v>
      </c>
      <c r="S218" s="353">
        <f t="shared" si="56"/>
        <v>-0.54797375527131609</v>
      </c>
      <c r="T218" s="353">
        <f t="shared" si="56"/>
        <v>-0.63144411448010185</v>
      </c>
      <c r="U218" s="353">
        <f t="shared" si="56"/>
        <v>-0.63144411448010185</v>
      </c>
      <c r="V218" s="353">
        <f t="shared" si="56"/>
        <v>-0.54797375527131609</v>
      </c>
      <c r="W218" s="353">
        <f t="shared" si="56"/>
        <v>-0.54797375527131609</v>
      </c>
      <c r="X218" s="353">
        <f t="shared" si="56"/>
        <v>-0.31633967493658671</v>
      </c>
      <c r="Y218" s="353">
        <f t="shared" si="56"/>
        <v>-0.31633967493658671</v>
      </c>
      <c r="Z218" s="352"/>
      <c r="AA218" s="352"/>
    </row>
    <row r="219" spans="2:27" x14ac:dyDescent="0.25">
      <c r="D219" s="295"/>
      <c r="F219" s="93" t="s">
        <v>371</v>
      </c>
      <c r="G219" s="93" t="s">
        <v>183</v>
      </c>
      <c r="H219" s="354"/>
      <c r="I219" s="354"/>
      <c r="J219" s="355">
        <f t="shared" ref="J219:Y219" si="57">SUM(J187:J198,J201:J212)</f>
        <v>2.2825020549340613E-2</v>
      </c>
      <c r="K219" s="355">
        <f t="shared" si="57"/>
        <v>2.2825020549340613E-2</v>
      </c>
      <c r="L219" s="355">
        <f t="shared" si="57"/>
        <v>2.6511376886313207E-2</v>
      </c>
      <c r="M219" s="355">
        <f t="shared" si="57"/>
        <v>2.6511376886313207E-2</v>
      </c>
      <c r="N219" s="355">
        <f t="shared" si="57"/>
        <v>1.6180688220383998E-2</v>
      </c>
      <c r="O219" s="355">
        <f t="shared" si="57"/>
        <v>6.782565073577133E-3</v>
      </c>
      <c r="P219" s="355">
        <f t="shared" si="57"/>
        <v>4.0498989835803315E-3</v>
      </c>
      <c r="Q219" s="355">
        <f t="shared" si="57"/>
        <v>0.44929121314425297</v>
      </c>
      <c r="R219" s="355">
        <f t="shared" si="57"/>
        <v>-1.632228163067535E-2</v>
      </c>
      <c r="S219" s="355">
        <f t="shared" si="57"/>
        <v>-1.3737723553938727E-2</v>
      </c>
      <c r="T219" s="355">
        <f t="shared" si="57"/>
        <v>-1.632228163067535E-2</v>
      </c>
      <c r="U219" s="355">
        <f t="shared" si="57"/>
        <v>-1.632228163067535E-2</v>
      </c>
      <c r="V219" s="355">
        <f t="shared" si="57"/>
        <v>-1.3737723553938727E-2</v>
      </c>
      <c r="W219" s="355">
        <f t="shared" si="57"/>
        <v>-1.3737723553938727E-2</v>
      </c>
      <c r="X219" s="355">
        <f t="shared" si="57"/>
        <v>-6.0015573611233893E-3</v>
      </c>
      <c r="Y219" s="355">
        <f t="shared" si="57"/>
        <v>-6.0015573611233893E-3</v>
      </c>
      <c r="Z219" s="352"/>
      <c r="AA219" s="352"/>
    </row>
    <row r="221" spans="2:27" x14ac:dyDescent="0.25">
      <c r="B221" s="95" t="s">
        <v>109</v>
      </c>
      <c r="C221" s="95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2:27" x14ac:dyDescent="0.25">
      <c r="AA222" s="88"/>
    </row>
    <row r="223" spans="2:27" x14ac:dyDescent="0.25">
      <c r="E223" s="295" t="s">
        <v>516</v>
      </c>
      <c r="G223" s="122" t="s">
        <v>692</v>
      </c>
      <c r="H223" s="152">
        <f t="array" ref="H223">SUM(IF(ISERROR(H22:Y219), 1))</f>
        <v>0</v>
      </c>
      <c r="AA223" s="88"/>
    </row>
    <row r="225" spans="2:27" x14ac:dyDescent="0.25">
      <c r="B225" s="95" t="s">
        <v>110</v>
      </c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2:27" x14ac:dyDescent="0.25">
      <c r="AA226" s="88"/>
    </row>
    <row r="228" spans="2:27" x14ac:dyDescent="0.25">
      <c r="AA228" s="88"/>
    </row>
    <row r="229" spans="2:27" x14ac:dyDescent="0.25">
      <c r="J229" s="90"/>
      <c r="L229" s="90"/>
    </row>
    <row r="230" spans="2:27" x14ac:dyDescent="0.25">
      <c r="J230" s="90"/>
      <c r="L230" s="90"/>
    </row>
    <row r="231" spans="2:27" x14ac:dyDescent="0.25">
      <c r="J231" s="90"/>
      <c r="L231" s="90"/>
    </row>
    <row r="232" spans="2:27" x14ac:dyDescent="0.25">
      <c r="J232" s="90"/>
      <c r="L232" s="90"/>
    </row>
    <row r="233" spans="2:27" x14ac:dyDescent="0.25">
      <c r="J233" s="90"/>
      <c r="L233" s="90"/>
    </row>
    <row r="234" spans="2:27" x14ac:dyDescent="0.25">
      <c r="J234" s="90"/>
      <c r="L234" s="90"/>
    </row>
    <row r="235" spans="2:27" x14ac:dyDescent="0.25">
      <c r="J235" s="90"/>
      <c r="L235" s="90"/>
    </row>
    <row r="236" spans="2:27" x14ac:dyDescent="0.25">
      <c r="J236" s="90"/>
      <c r="L236" s="90"/>
    </row>
    <row r="237" spans="2:27" x14ac:dyDescent="0.25">
      <c r="J237" s="90"/>
      <c r="L237" s="90"/>
    </row>
    <row r="238" spans="2:27" x14ac:dyDescent="0.25">
      <c r="J238" s="90"/>
      <c r="L238" s="90"/>
    </row>
    <row r="239" spans="2:27" x14ac:dyDescent="0.25">
      <c r="J239" s="90"/>
      <c r="L239" s="90"/>
    </row>
    <row r="240" spans="2:27" x14ac:dyDescent="0.25">
      <c r="J240" s="90"/>
      <c r="L240" s="90"/>
    </row>
    <row r="241" spans="10:12" x14ac:dyDescent="0.25">
      <c r="J241" s="90"/>
      <c r="L241" s="90"/>
    </row>
    <row r="242" spans="10:12" x14ac:dyDescent="0.25">
      <c r="J242" s="90"/>
      <c r="L242" s="90"/>
    </row>
    <row r="243" spans="10:12" x14ac:dyDescent="0.25">
      <c r="J243" s="90"/>
      <c r="L243" s="90"/>
    </row>
    <row r="244" spans="10:12" x14ac:dyDescent="0.25">
      <c r="J244" s="90"/>
      <c r="L244" s="90"/>
    </row>
    <row r="245" spans="10:12" x14ac:dyDescent="0.25">
      <c r="J245" s="90"/>
      <c r="L245" s="90"/>
    </row>
    <row r="246" spans="10:12" x14ac:dyDescent="0.25">
      <c r="J246" s="90"/>
      <c r="L246" s="90"/>
    </row>
    <row r="247" spans="10:12" x14ac:dyDescent="0.25">
      <c r="J247" s="90"/>
      <c r="L247" s="90"/>
    </row>
    <row r="248" spans="10:12" x14ac:dyDescent="0.25">
      <c r="J248" s="90"/>
      <c r="L248" s="90"/>
    </row>
    <row r="249" spans="10:12" x14ac:dyDescent="0.25">
      <c r="J249" s="90"/>
      <c r="L249" s="90"/>
    </row>
    <row r="250" spans="10:12" x14ac:dyDescent="0.25">
      <c r="J250" s="90"/>
      <c r="L250" s="90"/>
    </row>
    <row r="251" spans="10:12" x14ac:dyDescent="0.25">
      <c r="J251" s="90"/>
      <c r="L251" s="90"/>
    </row>
    <row r="252" spans="10:12" x14ac:dyDescent="0.25">
      <c r="J252" s="90"/>
      <c r="L252" s="90"/>
    </row>
    <row r="253" spans="10:12" x14ac:dyDescent="0.25">
      <c r="J253" s="90"/>
      <c r="L253" s="90"/>
    </row>
    <row r="254" spans="10:12" x14ac:dyDescent="0.25">
      <c r="J254" s="90"/>
      <c r="L254" s="90"/>
    </row>
    <row r="255" spans="10:12" x14ac:dyDescent="0.25">
      <c r="J255" s="90"/>
      <c r="L255" s="90"/>
    </row>
    <row r="256" spans="10:12" x14ac:dyDescent="0.25">
      <c r="J256" s="90"/>
      <c r="L256" s="90"/>
    </row>
    <row r="257" spans="10:12" x14ac:dyDescent="0.25">
      <c r="J257" s="90"/>
      <c r="L257" s="90"/>
    </row>
    <row r="258" spans="10:12" x14ac:dyDescent="0.25">
      <c r="J258" s="90"/>
      <c r="L258" s="90"/>
    </row>
    <row r="259" spans="10:12" x14ac:dyDescent="0.25">
      <c r="J259" s="90"/>
      <c r="L259" s="90"/>
    </row>
    <row r="260" spans="10:12" x14ac:dyDescent="0.25">
      <c r="J260" s="90"/>
      <c r="L260" s="90"/>
    </row>
    <row r="261" spans="10:12" x14ac:dyDescent="0.25">
      <c r="J261" s="90"/>
      <c r="L261" s="90"/>
    </row>
  </sheetData>
  <sheetProtection sheet="1" objects="1" formatCells="0" formatColumns="0" formatRows="0" sort="0" autoFilter="0"/>
  <conditionalFormatting sqref="H223">
    <cfRule type="cellIs" dxfId="89" priority="10" operator="greaterThan">
      <formula>0</formula>
    </cfRule>
  </conditionalFormatting>
  <conditionalFormatting sqref="A4:I4 Z4:XFD4">
    <cfRule type="expression" dxfId="88" priority="9">
      <formula>LEFT($A$4,1) &lt;&gt; "0"</formula>
    </cfRule>
  </conditionalFormatting>
  <conditionalFormatting sqref="N4:P4">
    <cfRule type="expression" dxfId="87" priority="8">
      <formula>LEFT($A$4,1) &lt;&gt; "0"</formula>
    </cfRule>
  </conditionalFormatting>
  <conditionalFormatting sqref="L4:M4">
    <cfRule type="expression" dxfId="86" priority="7">
      <formula>LEFT($A$4,1) &lt;&gt; "0"</formula>
    </cfRule>
  </conditionalFormatting>
  <conditionalFormatting sqref="J4:K4">
    <cfRule type="expression" dxfId="85" priority="6">
      <formula>LEFT($A$4,1) &lt;&gt; "0"</formula>
    </cfRule>
  </conditionalFormatting>
  <conditionalFormatting sqref="Q4">
    <cfRule type="expression" dxfId="84" priority="5">
      <formula>LEFT($A$4,1) &lt;&gt; "0"</formula>
    </cfRule>
  </conditionalFormatting>
  <conditionalFormatting sqref="R4:S4">
    <cfRule type="expression" dxfId="83" priority="4">
      <formula>LEFT($A$4,1) &lt;&gt; "0"</formula>
    </cfRule>
  </conditionalFormatting>
  <conditionalFormatting sqref="T4:U4">
    <cfRule type="expression" dxfId="82" priority="3">
      <formula>LEFT($A$4,1) &lt;&gt; "0"</formula>
    </cfRule>
  </conditionalFormatting>
  <conditionalFormatting sqref="V4:W4">
    <cfRule type="expression" dxfId="81" priority="2">
      <formula>LEFT($A$4,1) &lt;&gt; "0"</formula>
    </cfRule>
  </conditionalFormatting>
  <conditionalFormatting sqref="X4:Y4">
    <cfRule type="expression" dxfId="80" priority="1">
      <formula>LEFT($A$4,1) &lt;&gt; "0"</formula>
    </cfRule>
  </conditionalFormatting>
  <hyperlinks>
    <hyperlink ref="B5:F5" location="'Model map'!A1" display="Click here to return to model map" xr:uid="{00000000-0004-0000-1B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1">
    <tabColor theme="4" tint="0.59999389629810485"/>
    <pageSetUpPr fitToPage="1"/>
  </sheetPr>
  <dimension ref="A1:KY29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11" width="24.5703125" style="295" hidden="1" customWidth="1"/>
    <col min="312" max="16384" width="8.5703125" style="295" hidden="1"/>
  </cols>
  <sheetData>
    <row r="1" spans="1:27" s="10" customFormat="1" x14ac:dyDescent="0.25">
      <c r="A1" s="10" t="str">
        <f ca="1">MID(CELL("filename",A1),FIND("]",CELL("filename",A1))+1,255)</f>
        <v>Reactive power charges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1" t="str">
        <f>H254 &amp; IF(H254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2" t="s">
        <v>552</v>
      </c>
      <c r="C5" s="373"/>
      <c r="D5" s="373"/>
      <c r="E5" s="373"/>
      <c r="F5" s="373"/>
      <c r="G5" s="1" t="s">
        <v>91</v>
      </c>
      <c r="H5" s="2" t="s">
        <v>92</v>
      </c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869</v>
      </c>
      <c r="D9" s="295"/>
    </row>
    <row r="10" spans="1:27" x14ac:dyDescent="0.25">
      <c r="C10" s="82" t="s">
        <v>463</v>
      </c>
      <c r="D10" s="295"/>
      <c r="E10" s="295"/>
    </row>
    <row r="11" spans="1:27" x14ac:dyDescent="0.25">
      <c r="C11" s="301" t="s">
        <v>870</v>
      </c>
    </row>
    <row r="13" spans="1:27" x14ac:dyDescent="0.25">
      <c r="B13" s="95" t="s">
        <v>766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5" spans="1:27" x14ac:dyDescent="0.25">
      <c r="C15" s="82" t="s">
        <v>521</v>
      </c>
    </row>
    <row r="17" spans="3:27" x14ac:dyDescent="0.25">
      <c r="C17" s="7" t="str">
        <f ca="1">INDEX('Version control'!$H$34:$H$58,MATCH($A$1,'Version control'!$F$34:$F$58,0),1)&amp;"-A: Inputs to reactive power charge calculations"</f>
        <v>Section 515-A: Inputs to reactive power charge calculations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3:27" x14ac:dyDescent="0.25">
      <c r="C18" s="96"/>
      <c r="D18" s="295"/>
      <c r="E18" s="96"/>
    </row>
    <row r="19" spans="3:27" x14ac:dyDescent="0.25">
      <c r="D19" s="96" t="s">
        <v>89</v>
      </c>
    </row>
    <row r="20" spans="3:27" x14ac:dyDescent="0.25">
      <c r="D20" s="82" t="s">
        <v>327</v>
      </c>
      <c r="E20" s="295"/>
    </row>
    <row r="21" spans="3:27" x14ac:dyDescent="0.25">
      <c r="C21" s="86"/>
      <c r="E21" s="91" t="s">
        <v>324</v>
      </c>
      <c r="F21" s="91"/>
      <c r="G21" s="91" t="s">
        <v>266</v>
      </c>
      <c r="H21" s="239"/>
    </row>
    <row r="22" spans="3:27" x14ac:dyDescent="0.25">
      <c r="C22" s="86"/>
      <c r="E22" s="295" t="s">
        <v>43</v>
      </c>
      <c r="G22" s="295" t="s">
        <v>266</v>
      </c>
      <c r="H22" s="274">
        <f t="array" ref="H22:H30">TRANSPOSE('Inputs by network level'!K24:S24)</f>
        <v>0.26509994640061324</v>
      </c>
    </row>
    <row r="23" spans="3:27" x14ac:dyDescent="0.25">
      <c r="C23" s="86"/>
      <c r="E23" s="295" t="s">
        <v>44</v>
      </c>
      <c r="G23" s="295" t="s">
        <v>266</v>
      </c>
      <c r="H23" s="274">
        <v>0</v>
      </c>
    </row>
    <row r="24" spans="3:27" x14ac:dyDescent="0.25">
      <c r="C24" s="86"/>
      <c r="E24" s="295" t="s">
        <v>45</v>
      </c>
      <c r="G24" s="295" t="s">
        <v>266</v>
      </c>
      <c r="H24" s="274">
        <v>0</v>
      </c>
    </row>
    <row r="25" spans="3:27" x14ac:dyDescent="0.25">
      <c r="C25" s="86"/>
      <c r="E25" s="295" t="s">
        <v>46</v>
      </c>
      <c r="G25" s="295" t="s">
        <v>266</v>
      </c>
      <c r="H25" s="274">
        <v>0.26509994640061324</v>
      </c>
    </row>
    <row r="26" spans="3:27" x14ac:dyDescent="0.25">
      <c r="C26" s="86"/>
      <c r="E26" s="295" t="s">
        <v>47</v>
      </c>
      <c r="G26" s="295" t="s">
        <v>266</v>
      </c>
      <c r="H26" s="274">
        <v>0.21690566590786087</v>
      </c>
    </row>
    <row r="27" spans="3:27" x14ac:dyDescent="0.25">
      <c r="C27" s="86"/>
      <c r="E27" s="295" t="s">
        <v>51</v>
      </c>
      <c r="G27" s="295" t="s">
        <v>266</v>
      </c>
      <c r="H27" s="274">
        <v>0</v>
      </c>
    </row>
    <row r="28" spans="3:27" x14ac:dyDescent="0.25">
      <c r="C28" s="86"/>
      <c r="E28" s="295" t="s">
        <v>48</v>
      </c>
      <c r="G28" s="295" t="s">
        <v>266</v>
      </c>
      <c r="H28" s="274">
        <v>0.21690566590786087</v>
      </c>
    </row>
    <row r="29" spans="3:27" x14ac:dyDescent="0.25">
      <c r="C29" s="86"/>
      <c r="E29" s="295" t="s">
        <v>49</v>
      </c>
      <c r="G29" s="295" t="s">
        <v>266</v>
      </c>
      <c r="H29" s="274">
        <v>0.21690566590786087</v>
      </c>
    </row>
    <row r="30" spans="3:27" x14ac:dyDescent="0.25">
      <c r="C30" s="86"/>
      <c r="E30" s="295" t="s">
        <v>50</v>
      </c>
      <c r="G30" s="295" t="s">
        <v>266</v>
      </c>
      <c r="H30" s="274">
        <v>0.21690566590786087</v>
      </c>
    </row>
    <row r="31" spans="3:27" x14ac:dyDescent="0.25">
      <c r="C31" s="86"/>
      <c r="E31" s="295" t="s">
        <v>124</v>
      </c>
      <c r="G31" s="295" t="s">
        <v>266</v>
      </c>
      <c r="H31" s="280"/>
    </row>
    <row r="32" spans="3:27" x14ac:dyDescent="0.25">
      <c r="C32" s="86"/>
      <c r="E32" s="93" t="s">
        <v>123</v>
      </c>
      <c r="F32" s="93"/>
      <c r="G32" s="93" t="s">
        <v>266</v>
      </c>
      <c r="H32" s="241"/>
    </row>
    <row r="33" spans="3:8" x14ac:dyDescent="0.25">
      <c r="C33" s="86"/>
      <c r="H33" s="253"/>
    </row>
    <row r="34" spans="3:8" x14ac:dyDescent="0.25">
      <c r="D34" s="86" t="s">
        <v>100</v>
      </c>
      <c r="H34" s="253"/>
    </row>
    <row r="35" spans="3:8" x14ac:dyDescent="0.25">
      <c r="C35" s="86"/>
      <c r="E35" s="91" t="s">
        <v>324</v>
      </c>
      <c r="F35" s="91"/>
      <c r="G35" s="16" t="s">
        <v>528</v>
      </c>
      <c r="H35" s="273">
        <f t="array" ref="H35:H44">TRANSPOSE('Load &amp; loss characteristics'!J29:S29)</f>
        <v>1</v>
      </c>
    </row>
    <row r="36" spans="3:8" x14ac:dyDescent="0.25">
      <c r="C36" s="86"/>
      <c r="E36" s="295" t="s">
        <v>43</v>
      </c>
      <c r="G36" s="14" t="s">
        <v>528</v>
      </c>
      <c r="H36" s="274">
        <v>1</v>
      </c>
    </row>
    <row r="37" spans="3:8" x14ac:dyDescent="0.25">
      <c r="C37" s="86"/>
      <c r="E37" s="295" t="s">
        <v>44</v>
      </c>
      <c r="G37" s="14" t="s">
        <v>528</v>
      </c>
      <c r="H37" s="274">
        <v>1</v>
      </c>
    </row>
    <row r="38" spans="3:8" x14ac:dyDescent="0.25">
      <c r="C38" s="86"/>
      <c r="E38" s="295" t="s">
        <v>45</v>
      </c>
      <c r="G38" s="14" t="s">
        <v>528</v>
      </c>
      <c r="H38" s="274">
        <v>1</v>
      </c>
    </row>
    <row r="39" spans="3:8" x14ac:dyDescent="0.25">
      <c r="C39" s="86"/>
      <c r="E39" s="295" t="s">
        <v>46</v>
      </c>
      <c r="G39" s="14" t="s">
        <v>528</v>
      </c>
      <c r="H39" s="274">
        <v>1.004</v>
      </c>
    </row>
    <row r="40" spans="3:8" x14ac:dyDescent="0.25">
      <c r="C40" s="86"/>
      <c r="E40" s="295" t="s">
        <v>47</v>
      </c>
      <c r="G40" s="14" t="s">
        <v>528</v>
      </c>
      <c r="H40" s="274">
        <v>1.0129999999999999</v>
      </c>
    </row>
    <row r="41" spans="3:8" x14ac:dyDescent="0.25">
      <c r="C41" s="86"/>
      <c r="E41" s="295" t="s">
        <v>51</v>
      </c>
      <c r="G41" s="14" t="s">
        <v>528</v>
      </c>
      <c r="H41" s="274">
        <v>1.0129999999999999</v>
      </c>
    </row>
    <row r="42" spans="3:8" x14ac:dyDescent="0.25">
      <c r="C42" s="86"/>
      <c r="E42" s="295" t="s">
        <v>48</v>
      </c>
      <c r="G42" s="14" t="s">
        <v>528</v>
      </c>
      <c r="H42" s="274">
        <v>1.026</v>
      </c>
    </row>
    <row r="43" spans="3:8" x14ac:dyDescent="0.25">
      <c r="C43" s="86"/>
      <c r="E43" s="295" t="s">
        <v>49</v>
      </c>
      <c r="G43" s="14" t="s">
        <v>528</v>
      </c>
      <c r="H43" s="274">
        <v>1.044</v>
      </c>
    </row>
    <row r="44" spans="3:8" x14ac:dyDescent="0.25">
      <c r="C44" s="86"/>
      <c r="E44" s="295" t="s">
        <v>50</v>
      </c>
      <c r="G44" s="14" t="s">
        <v>528</v>
      </c>
      <c r="H44" s="274">
        <v>1.0980000000000001</v>
      </c>
    </row>
    <row r="45" spans="3:8" x14ac:dyDescent="0.25">
      <c r="C45" s="86"/>
      <c r="E45" s="295" t="s">
        <v>124</v>
      </c>
      <c r="G45" s="14" t="s">
        <v>528</v>
      </c>
      <c r="H45" s="280"/>
    </row>
    <row r="46" spans="3:8" x14ac:dyDescent="0.25">
      <c r="C46" s="86"/>
      <c r="E46" s="93" t="s">
        <v>123</v>
      </c>
      <c r="F46" s="93"/>
      <c r="G46" s="15" t="s">
        <v>528</v>
      </c>
      <c r="H46" s="241"/>
    </row>
    <row r="47" spans="3:8" x14ac:dyDescent="0.25">
      <c r="C47" s="86"/>
      <c r="H47" s="253"/>
    </row>
    <row r="48" spans="3:8" x14ac:dyDescent="0.25">
      <c r="D48" s="96" t="s">
        <v>764</v>
      </c>
      <c r="H48" s="253"/>
    </row>
    <row r="49" spans="3:8" x14ac:dyDescent="0.25">
      <c r="C49" s="86"/>
      <c r="E49" s="91" t="s">
        <v>324</v>
      </c>
      <c r="F49" s="91"/>
      <c r="G49" s="91" t="s">
        <v>108</v>
      </c>
      <c r="H49" s="239"/>
    </row>
    <row r="50" spans="3:8" x14ac:dyDescent="0.25">
      <c r="C50" s="86"/>
      <c r="E50" s="295" t="s">
        <v>43</v>
      </c>
      <c r="G50" s="295" t="s">
        <v>108</v>
      </c>
      <c r="H50" s="280"/>
    </row>
    <row r="51" spans="3:8" x14ac:dyDescent="0.25">
      <c r="C51" s="86"/>
      <c r="E51" s="295" t="s">
        <v>44</v>
      </c>
      <c r="G51" s="295" t="s">
        <v>108</v>
      </c>
      <c r="H51" s="274">
        <f t="array" ref="H51:H58">TRANSPOSE('Unit costs'!L114:S114)</f>
        <v>0</v>
      </c>
    </row>
    <row r="52" spans="3:8" x14ac:dyDescent="0.25">
      <c r="C52" s="86"/>
      <c r="E52" s="295" t="s">
        <v>45</v>
      </c>
      <c r="G52" s="295" t="s">
        <v>108</v>
      </c>
      <c r="H52" s="274">
        <v>0</v>
      </c>
    </row>
    <row r="53" spans="3:8" x14ac:dyDescent="0.25">
      <c r="C53" s="86"/>
      <c r="E53" s="295" t="s">
        <v>46</v>
      </c>
      <c r="G53" s="295" t="s">
        <v>108</v>
      </c>
      <c r="H53" s="274">
        <v>12.478071335403621</v>
      </c>
    </row>
    <row r="54" spans="3:8" x14ac:dyDescent="0.25">
      <c r="C54" s="86"/>
      <c r="E54" s="295" t="s">
        <v>47</v>
      </c>
      <c r="G54" s="295" t="s">
        <v>108</v>
      </c>
      <c r="H54" s="274">
        <v>3.2261046387145558</v>
      </c>
    </row>
    <row r="55" spans="3:8" x14ac:dyDescent="0.25">
      <c r="C55" s="86"/>
      <c r="E55" s="295" t="s">
        <v>51</v>
      </c>
      <c r="G55" s="295" t="s">
        <v>108</v>
      </c>
      <c r="H55" s="274">
        <v>0</v>
      </c>
    </row>
    <row r="56" spans="3:8" x14ac:dyDescent="0.25">
      <c r="C56" s="86"/>
      <c r="E56" s="295" t="s">
        <v>48</v>
      </c>
      <c r="G56" s="295" t="s">
        <v>108</v>
      </c>
      <c r="H56" s="274">
        <v>14.056901421102715</v>
      </c>
    </row>
    <row r="57" spans="3:8" x14ac:dyDescent="0.25">
      <c r="C57" s="86"/>
      <c r="E57" s="295" t="s">
        <v>49</v>
      </c>
      <c r="G57" s="295" t="s">
        <v>108</v>
      </c>
      <c r="H57" s="274">
        <v>3.5948780096052633</v>
      </c>
    </row>
    <row r="58" spans="3:8" x14ac:dyDescent="0.25">
      <c r="C58" s="86"/>
      <c r="E58" s="295" t="s">
        <v>50</v>
      </c>
      <c r="G58" s="295" t="s">
        <v>108</v>
      </c>
      <c r="H58" s="274">
        <v>6.359458733192529</v>
      </c>
    </row>
    <row r="59" spans="3:8" x14ac:dyDescent="0.25">
      <c r="C59" s="86"/>
      <c r="E59" s="295" t="s">
        <v>124</v>
      </c>
      <c r="G59" s="295" t="s">
        <v>108</v>
      </c>
      <c r="H59" s="280"/>
    </row>
    <row r="60" spans="3:8" x14ac:dyDescent="0.25">
      <c r="C60" s="86"/>
      <c r="E60" s="93" t="s">
        <v>123</v>
      </c>
      <c r="F60" s="93"/>
      <c r="G60" s="93" t="s">
        <v>108</v>
      </c>
      <c r="H60" s="241"/>
    </row>
    <row r="61" spans="3:8" x14ac:dyDescent="0.25">
      <c r="C61" s="86"/>
      <c r="H61" s="253"/>
    </row>
    <row r="62" spans="3:8" x14ac:dyDescent="0.25">
      <c r="C62" s="86"/>
      <c r="D62" s="96" t="s">
        <v>765</v>
      </c>
      <c r="E62" s="295"/>
      <c r="H62" s="253"/>
    </row>
    <row r="63" spans="3:8" x14ac:dyDescent="0.25">
      <c r="C63" s="86"/>
      <c r="E63" s="91" t="s">
        <v>324</v>
      </c>
      <c r="F63" s="91"/>
      <c r="G63" s="91" t="s">
        <v>108</v>
      </c>
      <c r="H63" s="273">
        <f t="array" ref="H63:H72">TRANSPOSE('Unit costs'!J115:S115)</f>
        <v>12.977309793602421</v>
      </c>
    </row>
    <row r="64" spans="3:8" x14ac:dyDescent="0.25">
      <c r="C64" s="86"/>
      <c r="E64" s="295" t="s">
        <v>43</v>
      </c>
      <c r="G64" s="295" t="s">
        <v>108</v>
      </c>
      <c r="H64" s="274">
        <v>0</v>
      </c>
    </row>
    <row r="65" spans="3:42" x14ac:dyDescent="0.25">
      <c r="C65" s="86"/>
      <c r="E65" s="295" t="s">
        <v>44</v>
      </c>
      <c r="G65" s="295" t="s">
        <v>108</v>
      </c>
      <c r="H65" s="274">
        <v>0</v>
      </c>
    </row>
    <row r="66" spans="3:42" x14ac:dyDescent="0.25">
      <c r="C66" s="86"/>
      <c r="E66" s="295" t="s">
        <v>45</v>
      </c>
      <c r="G66" s="295" t="s">
        <v>108</v>
      </c>
      <c r="H66" s="274">
        <v>0</v>
      </c>
    </row>
    <row r="67" spans="3:42" x14ac:dyDescent="0.25">
      <c r="C67" s="86"/>
      <c r="E67" s="295" t="s">
        <v>46</v>
      </c>
      <c r="G67" s="295" t="s">
        <v>108</v>
      </c>
      <c r="H67" s="274">
        <v>9.2218360722467949</v>
      </c>
    </row>
    <row r="68" spans="3:42" x14ac:dyDescent="0.25">
      <c r="C68" s="86"/>
      <c r="E68" s="295" t="s">
        <v>47</v>
      </c>
      <c r="G68" s="295" t="s">
        <v>108</v>
      </c>
      <c r="H68" s="274">
        <v>2.3842312910754226</v>
      </c>
    </row>
    <row r="69" spans="3:42" x14ac:dyDescent="0.25">
      <c r="C69" s="86"/>
      <c r="E69" s="295" t="s">
        <v>51</v>
      </c>
      <c r="G69" s="295" t="s">
        <v>108</v>
      </c>
      <c r="H69" s="274">
        <v>0</v>
      </c>
    </row>
    <row r="70" spans="3:42" x14ac:dyDescent="0.25">
      <c r="C70" s="86"/>
      <c r="E70" s="295" t="s">
        <v>48</v>
      </c>
      <c r="G70" s="295" t="s">
        <v>108</v>
      </c>
      <c r="H70" s="274">
        <v>10.388660002395246</v>
      </c>
    </row>
    <row r="71" spans="3:42" x14ac:dyDescent="0.25">
      <c r="C71" s="86"/>
      <c r="E71" s="295" t="s">
        <v>49</v>
      </c>
      <c r="G71" s="295" t="s">
        <v>108</v>
      </c>
      <c r="H71" s="274">
        <v>2.6567708112266732</v>
      </c>
    </row>
    <row r="72" spans="3:42" x14ac:dyDescent="0.25">
      <c r="C72" s="86"/>
      <c r="E72" s="295" t="s">
        <v>50</v>
      </c>
      <c r="G72" s="295" t="s">
        <v>108</v>
      </c>
      <c r="H72" s="274">
        <v>4.6999159060203253</v>
      </c>
    </row>
    <row r="73" spans="3:42" x14ac:dyDescent="0.25">
      <c r="C73" s="86"/>
      <c r="E73" s="295" t="s">
        <v>124</v>
      </c>
      <c r="G73" s="295" t="s">
        <v>108</v>
      </c>
      <c r="H73" s="280"/>
    </row>
    <row r="74" spans="3:42" x14ac:dyDescent="0.25">
      <c r="C74" s="86"/>
      <c r="E74" s="93" t="s">
        <v>123</v>
      </c>
      <c r="F74" s="93"/>
      <c r="G74" s="93" t="s">
        <v>108</v>
      </c>
      <c r="H74" s="241"/>
    </row>
    <row r="75" spans="3:42" x14ac:dyDescent="0.25">
      <c r="C75" s="86"/>
      <c r="H75" s="90"/>
    </row>
    <row r="76" spans="3:42" x14ac:dyDescent="0.25">
      <c r="D76" s="86" t="s">
        <v>374</v>
      </c>
    </row>
    <row r="77" spans="3:42" x14ac:dyDescent="0.25">
      <c r="D77" s="82" t="s">
        <v>467</v>
      </c>
      <c r="E77" s="67"/>
    </row>
    <row r="78" spans="3:42" x14ac:dyDescent="0.25">
      <c r="C78" s="86"/>
      <c r="E78" s="295" t="s">
        <v>375</v>
      </c>
      <c r="G78" s="295" t="s">
        <v>155</v>
      </c>
      <c r="I78" s="295" t="s">
        <v>431</v>
      </c>
      <c r="J78" s="402">
        <f>'Fixed inputs'!J138</f>
        <v>0</v>
      </c>
      <c r="K78" s="402">
        <f>'Fixed inputs'!K138</f>
        <v>0</v>
      </c>
      <c r="L78" s="402">
        <f>'Fixed inputs'!L138</f>
        <v>0</v>
      </c>
      <c r="M78" s="402">
        <f>'Fixed inputs'!M138</f>
        <v>0</v>
      </c>
      <c r="N78" s="402">
        <f>'Fixed inputs'!N138</f>
        <v>1</v>
      </c>
      <c r="O78" s="402">
        <f>'Fixed inputs'!O138</f>
        <v>1</v>
      </c>
      <c r="P78" s="402">
        <f>'Fixed inputs'!P138</f>
        <v>1</v>
      </c>
      <c r="Q78" s="402">
        <f>'Fixed inputs'!Q138</f>
        <v>0</v>
      </c>
      <c r="R78" s="402">
        <f>'Fixed inputs'!R138</f>
        <v>0</v>
      </c>
      <c r="S78" s="402">
        <f>'Fixed inputs'!S138</f>
        <v>0</v>
      </c>
      <c r="T78" s="402">
        <f>'Fixed inputs'!T138</f>
        <v>1</v>
      </c>
      <c r="U78" s="402">
        <f>'Fixed inputs'!U138</f>
        <v>0</v>
      </c>
      <c r="V78" s="402">
        <f>'Fixed inputs'!V138</f>
        <v>1</v>
      </c>
      <c r="W78" s="402">
        <f>'Fixed inputs'!W138</f>
        <v>0</v>
      </c>
      <c r="X78" s="402">
        <f>'Fixed inputs'!X138</f>
        <v>1</v>
      </c>
      <c r="Y78" s="402">
        <f>'Fixed inputs'!Y138</f>
        <v>0</v>
      </c>
      <c r="AA78" s="295" t="s">
        <v>839</v>
      </c>
    </row>
    <row r="79" spans="3:42" x14ac:dyDescent="0.25">
      <c r="C79" s="86"/>
    </row>
    <row r="80" spans="3:42" x14ac:dyDescent="0.25">
      <c r="D80" s="96" t="s">
        <v>320</v>
      </c>
      <c r="E80" s="295"/>
      <c r="H80" s="111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AP80" s="88"/>
    </row>
    <row r="81" spans="3:42" x14ac:dyDescent="0.25">
      <c r="C81" s="96"/>
      <c r="D81" s="295"/>
      <c r="E81" s="91" t="s">
        <v>43</v>
      </c>
      <c r="F81" s="91"/>
      <c r="G81" s="91" t="s">
        <v>94</v>
      </c>
      <c r="H81" s="74"/>
      <c r="I81" s="91"/>
      <c r="J81" s="137">
        <f>'Standing charge factors'!J44</f>
        <v>0</v>
      </c>
      <c r="K81" s="137">
        <f>'Standing charge factors'!K44</f>
        <v>0</v>
      </c>
      <c r="L81" s="137">
        <f>'Standing charge factors'!L44</f>
        <v>0</v>
      </c>
      <c r="M81" s="137">
        <f>'Standing charge factors'!M44</f>
        <v>0</v>
      </c>
      <c r="N81" s="137">
        <f>'Standing charge factors'!N44</f>
        <v>0</v>
      </c>
      <c r="O81" s="137">
        <f>'Standing charge factors'!O44</f>
        <v>0</v>
      </c>
      <c r="P81" s="137">
        <f>'Standing charge factors'!P44</f>
        <v>0</v>
      </c>
      <c r="Q81" s="137">
        <f>'Standing charge factors'!Q44</f>
        <v>0</v>
      </c>
      <c r="R81" s="137">
        <f>'Standing charge factors'!R44</f>
        <v>0</v>
      </c>
      <c r="S81" s="137">
        <f>'Standing charge factors'!S44</f>
        <v>0</v>
      </c>
      <c r="T81" s="137">
        <f>'Standing charge factors'!T44</f>
        <v>0</v>
      </c>
      <c r="U81" s="137">
        <f>'Standing charge factors'!U44</f>
        <v>0</v>
      </c>
      <c r="V81" s="137">
        <f>'Standing charge factors'!V44</f>
        <v>0</v>
      </c>
      <c r="W81" s="137">
        <f>'Standing charge factors'!W44</f>
        <v>0</v>
      </c>
      <c r="X81" s="137">
        <f>'Standing charge factors'!X44</f>
        <v>0</v>
      </c>
      <c r="Y81" s="137">
        <f>'Standing charge factors'!Y44</f>
        <v>0</v>
      </c>
      <c r="AP81" s="88"/>
    </row>
    <row r="82" spans="3:42" x14ac:dyDescent="0.25">
      <c r="C82" s="96"/>
      <c r="D82" s="295"/>
      <c r="E82" s="295" t="s">
        <v>44</v>
      </c>
      <c r="G82" s="295" t="s">
        <v>94</v>
      </c>
      <c r="H82" s="90"/>
      <c r="J82" s="143">
        <f>'Standing charge factors'!J45</f>
        <v>0</v>
      </c>
      <c r="K82" s="143">
        <f>'Standing charge factors'!K45</f>
        <v>0</v>
      </c>
      <c r="L82" s="143">
        <f>'Standing charge factors'!L45</f>
        <v>0</v>
      </c>
      <c r="M82" s="143">
        <f>'Standing charge factors'!M45</f>
        <v>0</v>
      </c>
      <c r="N82" s="143">
        <f>'Standing charge factors'!N45</f>
        <v>0</v>
      </c>
      <c r="O82" s="143">
        <f>'Standing charge factors'!O45</f>
        <v>0</v>
      </c>
      <c r="P82" s="143">
        <f>'Standing charge factors'!P45</f>
        <v>0</v>
      </c>
      <c r="Q82" s="143">
        <f>'Standing charge factors'!Q45</f>
        <v>0</v>
      </c>
      <c r="R82" s="143">
        <f>'Standing charge factors'!R45</f>
        <v>0</v>
      </c>
      <c r="S82" s="143">
        <f>'Standing charge factors'!S45</f>
        <v>0</v>
      </c>
      <c r="T82" s="143">
        <f>'Standing charge factors'!T45</f>
        <v>0</v>
      </c>
      <c r="U82" s="143">
        <f>'Standing charge factors'!U45</f>
        <v>0</v>
      </c>
      <c r="V82" s="143">
        <f>'Standing charge factors'!V45</f>
        <v>0</v>
      </c>
      <c r="W82" s="143">
        <f>'Standing charge factors'!W45</f>
        <v>0</v>
      </c>
      <c r="X82" s="143">
        <f>'Standing charge factors'!X45</f>
        <v>0</v>
      </c>
      <c r="Y82" s="143">
        <f>'Standing charge factors'!Y45</f>
        <v>0</v>
      </c>
      <c r="AP82" s="88"/>
    </row>
    <row r="83" spans="3:42" x14ac:dyDescent="0.25">
      <c r="C83" s="96"/>
      <c r="D83" s="295"/>
      <c r="E83" s="295" t="s">
        <v>45</v>
      </c>
      <c r="G83" s="295" t="s">
        <v>94</v>
      </c>
      <c r="H83" s="90"/>
      <c r="J83" s="143">
        <f>'Standing charge factors'!J46</f>
        <v>0</v>
      </c>
      <c r="K83" s="143">
        <f>'Standing charge factors'!K46</f>
        <v>0</v>
      </c>
      <c r="L83" s="143">
        <f>'Standing charge factors'!L46</f>
        <v>0</v>
      </c>
      <c r="M83" s="143">
        <f>'Standing charge factors'!M46</f>
        <v>0</v>
      </c>
      <c r="N83" s="143">
        <f>'Standing charge factors'!N46</f>
        <v>0</v>
      </c>
      <c r="O83" s="143">
        <f>'Standing charge factors'!O46</f>
        <v>0</v>
      </c>
      <c r="P83" s="143">
        <f>'Standing charge factors'!P46</f>
        <v>0</v>
      </c>
      <c r="Q83" s="143">
        <f>'Standing charge factors'!Q46</f>
        <v>0</v>
      </c>
      <c r="R83" s="143">
        <f>'Standing charge factors'!R46</f>
        <v>0</v>
      </c>
      <c r="S83" s="143">
        <f>'Standing charge factors'!S46</f>
        <v>0</v>
      </c>
      <c r="T83" s="143">
        <f>'Standing charge factors'!T46</f>
        <v>0</v>
      </c>
      <c r="U83" s="143">
        <f>'Standing charge factors'!U46</f>
        <v>0</v>
      </c>
      <c r="V83" s="143">
        <f>'Standing charge factors'!V46</f>
        <v>0</v>
      </c>
      <c r="W83" s="143">
        <f>'Standing charge factors'!W46</f>
        <v>0</v>
      </c>
      <c r="X83" s="143">
        <f>'Standing charge factors'!X46</f>
        <v>0</v>
      </c>
      <c r="Y83" s="143">
        <f>'Standing charge factors'!Y46</f>
        <v>0</v>
      </c>
      <c r="AP83" s="88"/>
    </row>
    <row r="84" spans="3:42" x14ac:dyDescent="0.25">
      <c r="C84" s="96"/>
      <c r="D84" s="295"/>
      <c r="E84" s="295" t="s">
        <v>46</v>
      </c>
      <c r="G84" s="295" t="s">
        <v>94</v>
      </c>
      <c r="H84" s="90"/>
      <c r="J84" s="143">
        <f>'Standing charge factors'!J47</f>
        <v>0</v>
      </c>
      <c r="K84" s="143">
        <f>'Standing charge factors'!K47</f>
        <v>0</v>
      </c>
      <c r="L84" s="143">
        <f>'Standing charge factors'!L47</f>
        <v>0</v>
      </c>
      <c r="M84" s="143">
        <f>'Standing charge factors'!M47</f>
        <v>0</v>
      </c>
      <c r="N84" s="143">
        <f>'Standing charge factors'!N47</f>
        <v>0</v>
      </c>
      <c r="O84" s="143">
        <f>'Standing charge factors'!O47</f>
        <v>0</v>
      </c>
      <c r="P84" s="143">
        <f>'Standing charge factors'!P47</f>
        <v>0.2</v>
      </c>
      <c r="Q84" s="143">
        <f>'Standing charge factors'!Q47</f>
        <v>0</v>
      </c>
      <c r="R84" s="143">
        <f>'Standing charge factors'!R47</f>
        <v>0</v>
      </c>
      <c r="S84" s="143">
        <f>'Standing charge factors'!S47</f>
        <v>0</v>
      </c>
      <c r="T84" s="143">
        <f>'Standing charge factors'!T47</f>
        <v>0</v>
      </c>
      <c r="U84" s="143">
        <f>'Standing charge factors'!U47</f>
        <v>0</v>
      </c>
      <c r="V84" s="143">
        <f>'Standing charge factors'!V47</f>
        <v>0</v>
      </c>
      <c r="W84" s="143">
        <f>'Standing charge factors'!W47</f>
        <v>0</v>
      </c>
      <c r="X84" s="143">
        <f>'Standing charge factors'!X47</f>
        <v>0</v>
      </c>
      <c r="Y84" s="143">
        <f>'Standing charge factors'!Y47</f>
        <v>0</v>
      </c>
      <c r="AP84" s="88"/>
    </row>
    <row r="85" spans="3:42" x14ac:dyDescent="0.25">
      <c r="C85" s="96"/>
      <c r="D85" s="295"/>
      <c r="E85" s="295" t="s">
        <v>47</v>
      </c>
      <c r="G85" s="295" t="s">
        <v>94</v>
      </c>
      <c r="H85" s="90"/>
      <c r="J85" s="143">
        <f>'Standing charge factors'!J48</f>
        <v>0</v>
      </c>
      <c r="K85" s="143">
        <f>'Standing charge factors'!K48</f>
        <v>0</v>
      </c>
      <c r="L85" s="143">
        <f>'Standing charge factors'!L48</f>
        <v>0</v>
      </c>
      <c r="M85" s="143">
        <f>'Standing charge factors'!M48</f>
        <v>0</v>
      </c>
      <c r="N85" s="143">
        <f>'Standing charge factors'!N48</f>
        <v>0</v>
      </c>
      <c r="O85" s="143">
        <f>'Standing charge factors'!O48</f>
        <v>0</v>
      </c>
      <c r="P85" s="143">
        <f>'Standing charge factors'!P48</f>
        <v>1</v>
      </c>
      <c r="Q85" s="143">
        <f>'Standing charge factors'!Q48</f>
        <v>0</v>
      </c>
      <c r="R85" s="143">
        <f>'Standing charge factors'!R48</f>
        <v>0</v>
      </c>
      <c r="S85" s="143">
        <f>'Standing charge factors'!S48</f>
        <v>0</v>
      </c>
      <c r="T85" s="143">
        <f>'Standing charge factors'!T48</f>
        <v>0</v>
      </c>
      <c r="U85" s="143">
        <f>'Standing charge factors'!U48</f>
        <v>0</v>
      </c>
      <c r="V85" s="143">
        <f>'Standing charge factors'!V48</f>
        <v>0</v>
      </c>
      <c r="W85" s="143">
        <f>'Standing charge factors'!W48</f>
        <v>0</v>
      </c>
      <c r="X85" s="143">
        <f>'Standing charge factors'!X48</f>
        <v>0</v>
      </c>
      <c r="Y85" s="143">
        <f>'Standing charge factors'!Y48</f>
        <v>0</v>
      </c>
      <c r="AP85" s="88"/>
    </row>
    <row r="86" spans="3:42" x14ac:dyDescent="0.25">
      <c r="C86" s="96"/>
      <c r="D86" s="295"/>
      <c r="E86" s="295" t="s">
        <v>51</v>
      </c>
      <c r="G86" s="295" t="s">
        <v>94</v>
      </c>
      <c r="H86" s="90"/>
      <c r="J86" s="143">
        <f>'Standing charge factors'!J49</f>
        <v>0</v>
      </c>
      <c r="K86" s="143">
        <f>'Standing charge factors'!K49</f>
        <v>0</v>
      </c>
      <c r="L86" s="143">
        <f>'Standing charge factors'!L49</f>
        <v>0</v>
      </c>
      <c r="M86" s="143">
        <f>'Standing charge factors'!M49</f>
        <v>0</v>
      </c>
      <c r="N86" s="143">
        <f>'Standing charge factors'!N49</f>
        <v>0</v>
      </c>
      <c r="O86" s="143">
        <f>'Standing charge factors'!O49</f>
        <v>0</v>
      </c>
      <c r="P86" s="143">
        <f>'Standing charge factors'!P49</f>
        <v>1</v>
      </c>
      <c r="Q86" s="143">
        <f>'Standing charge factors'!Q49</f>
        <v>0</v>
      </c>
      <c r="R86" s="143">
        <f>'Standing charge factors'!R49</f>
        <v>0</v>
      </c>
      <c r="S86" s="143">
        <f>'Standing charge factors'!S49</f>
        <v>0</v>
      </c>
      <c r="T86" s="143">
        <f>'Standing charge factors'!T49</f>
        <v>0</v>
      </c>
      <c r="U86" s="143">
        <f>'Standing charge factors'!U49</f>
        <v>0</v>
      </c>
      <c r="V86" s="143">
        <f>'Standing charge factors'!V49</f>
        <v>0</v>
      </c>
      <c r="W86" s="143">
        <f>'Standing charge factors'!W49</f>
        <v>0</v>
      </c>
      <c r="X86" s="143">
        <f>'Standing charge factors'!X49</f>
        <v>0</v>
      </c>
      <c r="Y86" s="143">
        <f>'Standing charge factors'!Y49</f>
        <v>0</v>
      </c>
      <c r="AP86" s="88"/>
    </row>
    <row r="87" spans="3:42" x14ac:dyDescent="0.25">
      <c r="C87" s="96"/>
      <c r="D87" s="295"/>
      <c r="E87" s="295" t="s">
        <v>48</v>
      </c>
      <c r="G87" s="295" t="s">
        <v>94</v>
      </c>
      <c r="H87" s="90"/>
      <c r="J87" s="143">
        <f>'Standing charge factors'!J50</f>
        <v>0</v>
      </c>
      <c r="K87" s="143">
        <f>'Standing charge factors'!K50</f>
        <v>0</v>
      </c>
      <c r="L87" s="143">
        <f>'Standing charge factors'!L50</f>
        <v>0</v>
      </c>
      <c r="M87" s="143">
        <f>'Standing charge factors'!M50</f>
        <v>0</v>
      </c>
      <c r="N87" s="143">
        <f>'Standing charge factors'!N50</f>
        <v>0.2</v>
      </c>
      <c r="O87" s="143">
        <f>'Standing charge factors'!O50</f>
        <v>1</v>
      </c>
      <c r="P87" s="143">
        <f>'Standing charge factors'!P50</f>
        <v>1</v>
      </c>
      <c r="Q87" s="143">
        <f>'Standing charge factors'!Q50</f>
        <v>0</v>
      </c>
      <c r="R87" s="143">
        <f>'Standing charge factors'!R50</f>
        <v>0</v>
      </c>
      <c r="S87" s="143">
        <f>'Standing charge factors'!S50</f>
        <v>0</v>
      </c>
      <c r="T87" s="143">
        <f>'Standing charge factors'!T50</f>
        <v>0</v>
      </c>
      <c r="U87" s="143">
        <f>'Standing charge factors'!U50</f>
        <v>0</v>
      </c>
      <c r="V87" s="143">
        <f>'Standing charge factors'!V50</f>
        <v>0</v>
      </c>
      <c r="W87" s="143">
        <f>'Standing charge factors'!W50</f>
        <v>0</v>
      </c>
      <c r="X87" s="143">
        <f>'Standing charge factors'!X50</f>
        <v>0</v>
      </c>
      <c r="Y87" s="143">
        <f>'Standing charge factors'!Y50</f>
        <v>0</v>
      </c>
      <c r="AP87" s="88"/>
    </row>
    <row r="88" spans="3:42" x14ac:dyDescent="0.25">
      <c r="C88" s="96"/>
      <c r="D88" s="295"/>
      <c r="E88" s="295" t="s">
        <v>49</v>
      </c>
      <c r="G88" s="295" t="s">
        <v>94</v>
      </c>
      <c r="H88" s="90"/>
      <c r="J88" s="143">
        <f>'Standing charge factors'!J51</f>
        <v>0</v>
      </c>
      <c r="K88" s="143">
        <f>'Standing charge factors'!K51</f>
        <v>0</v>
      </c>
      <c r="L88" s="143">
        <f>'Standing charge factors'!L51</f>
        <v>0</v>
      </c>
      <c r="M88" s="143">
        <f>'Standing charge factors'!M51</f>
        <v>0</v>
      </c>
      <c r="N88" s="143">
        <f>'Standing charge factors'!N51</f>
        <v>1</v>
      </c>
      <c r="O88" s="143">
        <f>'Standing charge factors'!O51</f>
        <v>1</v>
      </c>
      <c r="P88" s="143">
        <f>'Standing charge factors'!P51</f>
        <v>0</v>
      </c>
      <c r="Q88" s="143">
        <f>'Standing charge factors'!Q51</f>
        <v>0</v>
      </c>
      <c r="R88" s="143">
        <f>'Standing charge factors'!R51</f>
        <v>0</v>
      </c>
      <c r="S88" s="143">
        <f>'Standing charge factors'!S51</f>
        <v>0</v>
      </c>
      <c r="T88" s="143">
        <f>'Standing charge factors'!T51</f>
        <v>0</v>
      </c>
      <c r="U88" s="143">
        <f>'Standing charge factors'!U51</f>
        <v>0</v>
      </c>
      <c r="V88" s="143">
        <f>'Standing charge factors'!V51</f>
        <v>0</v>
      </c>
      <c r="W88" s="143">
        <f>'Standing charge factors'!W51</f>
        <v>0</v>
      </c>
      <c r="X88" s="143">
        <f>'Standing charge factors'!X51</f>
        <v>0</v>
      </c>
      <c r="Y88" s="143">
        <f>'Standing charge factors'!Y51</f>
        <v>0</v>
      </c>
      <c r="AP88" s="88"/>
    </row>
    <row r="89" spans="3:42" x14ac:dyDescent="0.25">
      <c r="C89" s="96"/>
      <c r="D89" s="295"/>
      <c r="E89" s="93" t="s">
        <v>50</v>
      </c>
      <c r="F89" s="93"/>
      <c r="G89" s="93" t="s">
        <v>94</v>
      </c>
      <c r="H89" s="187"/>
      <c r="I89" s="93"/>
      <c r="J89" s="395">
        <f>'Standing charge factors'!J52</f>
        <v>1</v>
      </c>
      <c r="K89" s="395">
        <f>'Standing charge factors'!K52</f>
        <v>1</v>
      </c>
      <c r="L89" s="395">
        <f>'Standing charge factors'!L52</f>
        <v>1</v>
      </c>
      <c r="M89" s="395">
        <f>'Standing charge factors'!M52</f>
        <v>1</v>
      </c>
      <c r="N89" s="395">
        <f>'Standing charge factors'!N52</f>
        <v>1</v>
      </c>
      <c r="O89" s="395">
        <f>'Standing charge factors'!O52</f>
        <v>0</v>
      </c>
      <c r="P89" s="395">
        <f>'Standing charge factors'!P52</f>
        <v>0</v>
      </c>
      <c r="Q89" s="395">
        <f>'Standing charge factors'!Q52</f>
        <v>0</v>
      </c>
      <c r="R89" s="395">
        <f>'Standing charge factors'!R52</f>
        <v>0</v>
      </c>
      <c r="S89" s="395">
        <f>'Standing charge factors'!S52</f>
        <v>0</v>
      </c>
      <c r="T89" s="395">
        <f>'Standing charge factors'!T52</f>
        <v>0</v>
      </c>
      <c r="U89" s="395">
        <f>'Standing charge factors'!U52</f>
        <v>0</v>
      </c>
      <c r="V89" s="395">
        <f>'Standing charge factors'!V52</f>
        <v>0</v>
      </c>
      <c r="W89" s="395">
        <f>'Standing charge factors'!W52</f>
        <v>0</v>
      </c>
      <c r="X89" s="395">
        <f>'Standing charge factors'!X52</f>
        <v>0</v>
      </c>
      <c r="Y89" s="395">
        <f>'Standing charge factors'!Y52</f>
        <v>0</v>
      </c>
      <c r="AP89" s="88"/>
    </row>
    <row r="90" spans="3:42" x14ac:dyDescent="0.25">
      <c r="C90" s="86"/>
    </row>
    <row r="91" spans="3:42" x14ac:dyDescent="0.25">
      <c r="D91" s="96" t="s">
        <v>405</v>
      </c>
      <c r="E91" s="96"/>
      <c r="I91" s="295" t="s">
        <v>431</v>
      </c>
      <c r="AA91" s="295" t="s">
        <v>929</v>
      </c>
    </row>
    <row r="92" spans="3:42" x14ac:dyDescent="0.25">
      <c r="D92" s="82" t="s">
        <v>397</v>
      </c>
      <c r="E92" s="295"/>
      <c r="AA92" s="68"/>
    </row>
    <row r="93" spans="3:42" x14ac:dyDescent="0.25">
      <c r="D93" s="295"/>
      <c r="E93" s="91" t="s">
        <v>324</v>
      </c>
      <c r="F93" s="91"/>
      <c r="G93" s="16" t="s">
        <v>528</v>
      </c>
      <c r="H93" s="91"/>
      <c r="I93" s="91"/>
      <c r="J93" s="239"/>
      <c r="K93" s="239"/>
      <c r="L93" s="239"/>
      <c r="M93" s="239"/>
      <c r="N93" s="239"/>
      <c r="O93" s="239"/>
      <c r="P93" s="239"/>
      <c r="Q93" s="239"/>
      <c r="R93" s="273">
        <f t="array" ref="R93:Y102">TRANSPOSE('Load &amp; loss characteristics'!J172:S179)</f>
        <v>-1.0980000000000001</v>
      </c>
      <c r="S93" s="273">
        <v>-1.044</v>
      </c>
      <c r="T93" s="273">
        <v>-1.0980000000000001</v>
      </c>
      <c r="U93" s="273">
        <v>-1.0980000000000001</v>
      </c>
      <c r="V93" s="273">
        <v>-1.044</v>
      </c>
      <c r="W93" s="273">
        <v>-1.044</v>
      </c>
      <c r="X93" s="273">
        <v>-1.026</v>
      </c>
      <c r="Y93" s="273">
        <v>-1.026</v>
      </c>
    </row>
    <row r="94" spans="3:42" x14ac:dyDescent="0.25">
      <c r="D94" s="295"/>
      <c r="E94" s="295" t="s">
        <v>43</v>
      </c>
      <c r="G94" s="14" t="s">
        <v>528</v>
      </c>
      <c r="J94" s="280"/>
      <c r="K94" s="280"/>
      <c r="L94" s="280"/>
      <c r="M94" s="280"/>
      <c r="N94" s="280"/>
      <c r="O94" s="280"/>
      <c r="P94" s="280"/>
      <c r="Q94" s="280"/>
      <c r="R94" s="274">
        <v>-1.0980000000000001</v>
      </c>
      <c r="S94" s="274">
        <v>-1.044</v>
      </c>
      <c r="T94" s="274">
        <v>-1.0980000000000001</v>
      </c>
      <c r="U94" s="274">
        <v>-1.0980000000000001</v>
      </c>
      <c r="V94" s="274">
        <v>-1.044</v>
      </c>
      <c r="W94" s="274">
        <v>-1.044</v>
      </c>
      <c r="X94" s="274">
        <v>-1.026</v>
      </c>
      <c r="Y94" s="274">
        <v>-1.026</v>
      </c>
    </row>
    <row r="95" spans="3:42" x14ac:dyDescent="0.25">
      <c r="D95" s="295"/>
      <c r="E95" s="295" t="s">
        <v>44</v>
      </c>
      <c r="G95" s="14" t="s">
        <v>528</v>
      </c>
      <c r="J95" s="280"/>
      <c r="K95" s="280"/>
      <c r="L95" s="280"/>
      <c r="M95" s="280"/>
      <c r="N95" s="280"/>
      <c r="O95" s="280"/>
      <c r="P95" s="280"/>
      <c r="Q95" s="280"/>
      <c r="R95" s="274">
        <v>-1.0980000000000001</v>
      </c>
      <c r="S95" s="274">
        <v>-1.044</v>
      </c>
      <c r="T95" s="274">
        <v>-1.0980000000000001</v>
      </c>
      <c r="U95" s="274">
        <v>-1.0980000000000001</v>
      </c>
      <c r="V95" s="274">
        <v>-1.044</v>
      </c>
      <c r="W95" s="274">
        <v>-1.044</v>
      </c>
      <c r="X95" s="274">
        <v>-1.026</v>
      </c>
      <c r="Y95" s="274">
        <v>-1.026</v>
      </c>
    </row>
    <row r="96" spans="3:42" x14ac:dyDescent="0.25">
      <c r="D96" s="295"/>
      <c r="E96" s="295" t="s">
        <v>45</v>
      </c>
      <c r="G96" s="14" t="s">
        <v>528</v>
      </c>
      <c r="J96" s="280"/>
      <c r="K96" s="280"/>
      <c r="L96" s="280"/>
      <c r="M96" s="280"/>
      <c r="N96" s="280"/>
      <c r="O96" s="280"/>
      <c r="P96" s="280"/>
      <c r="Q96" s="280"/>
      <c r="R96" s="274">
        <v>-1.0980000000000001</v>
      </c>
      <c r="S96" s="274">
        <v>-1.044</v>
      </c>
      <c r="T96" s="274">
        <v>-1.0980000000000001</v>
      </c>
      <c r="U96" s="274">
        <v>-1.0980000000000001</v>
      </c>
      <c r="V96" s="274">
        <v>-1.044</v>
      </c>
      <c r="W96" s="274">
        <v>-1.044</v>
      </c>
      <c r="X96" s="274">
        <v>-1.026</v>
      </c>
      <c r="Y96" s="274">
        <v>-1.026</v>
      </c>
    </row>
    <row r="97" spans="3:25" x14ac:dyDescent="0.25">
      <c r="D97" s="295"/>
      <c r="E97" s="295" t="s">
        <v>46</v>
      </c>
      <c r="G97" s="14" t="s">
        <v>528</v>
      </c>
      <c r="J97" s="280"/>
      <c r="K97" s="280"/>
      <c r="L97" s="280"/>
      <c r="M97" s="280"/>
      <c r="N97" s="280"/>
      <c r="O97" s="280"/>
      <c r="P97" s="280"/>
      <c r="Q97" s="280"/>
      <c r="R97" s="274">
        <v>-1.0980000000000001</v>
      </c>
      <c r="S97" s="274">
        <v>-1.044</v>
      </c>
      <c r="T97" s="274">
        <v>-1.0980000000000001</v>
      </c>
      <c r="U97" s="274">
        <v>-1.0980000000000001</v>
      </c>
      <c r="V97" s="274">
        <v>-1.044</v>
      </c>
      <c r="W97" s="274">
        <v>-1.044</v>
      </c>
      <c r="X97" s="274">
        <v>-1.026</v>
      </c>
      <c r="Y97" s="274">
        <v>-1.026</v>
      </c>
    </row>
    <row r="98" spans="3:25" x14ac:dyDescent="0.25">
      <c r="D98" s="295"/>
      <c r="E98" s="295" t="s">
        <v>47</v>
      </c>
      <c r="G98" s="14" t="s">
        <v>528</v>
      </c>
      <c r="J98" s="280"/>
      <c r="K98" s="280"/>
      <c r="L98" s="280"/>
      <c r="M98" s="280"/>
      <c r="N98" s="280"/>
      <c r="O98" s="280"/>
      <c r="P98" s="280"/>
      <c r="Q98" s="280"/>
      <c r="R98" s="274">
        <v>-1.0980000000000001</v>
      </c>
      <c r="S98" s="274">
        <v>-1.044</v>
      </c>
      <c r="T98" s="274">
        <v>-1.0980000000000001</v>
      </c>
      <c r="U98" s="274">
        <v>-1.0980000000000001</v>
      </c>
      <c r="V98" s="274">
        <v>-1.044</v>
      </c>
      <c r="W98" s="274">
        <v>-1.044</v>
      </c>
      <c r="X98" s="274">
        <v>-1.026</v>
      </c>
      <c r="Y98" s="274">
        <v>-1.026</v>
      </c>
    </row>
    <row r="99" spans="3:25" x14ac:dyDescent="0.25">
      <c r="D99" s="295"/>
      <c r="E99" s="295" t="s">
        <v>51</v>
      </c>
      <c r="G99" s="14" t="s">
        <v>528</v>
      </c>
      <c r="J99" s="280"/>
      <c r="K99" s="280"/>
      <c r="L99" s="280"/>
      <c r="M99" s="280"/>
      <c r="N99" s="280"/>
      <c r="O99" s="280"/>
      <c r="P99" s="280"/>
      <c r="Q99" s="280"/>
      <c r="R99" s="274">
        <v>0</v>
      </c>
      <c r="S99" s="274">
        <v>0</v>
      </c>
      <c r="T99" s="274">
        <v>0</v>
      </c>
      <c r="U99" s="274">
        <v>0</v>
      </c>
      <c r="V99" s="274">
        <v>0</v>
      </c>
      <c r="W99" s="274">
        <v>0</v>
      </c>
      <c r="X99" s="274">
        <v>0</v>
      </c>
      <c r="Y99" s="274">
        <v>0</v>
      </c>
    </row>
    <row r="100" spans="3:25" x14ac:dyDescent="0.25">
      <c r="D100" s="295"/>
      <c r="E100" s="295" t="s">
        <v>48</v>
      </c>
      <c r="G100" s="14" t="s">
        <v>528</v>
      </c>
      <c r="J100" s="280"/>
      <c r="K100" s="280"/>
      <c r="L100" s="280"/>
      <c r="M100" s="280"/>
      <c r="N100" s="280"/>
      <c r="O100" s="280"/>
      <c r="P100" s="280"/>
      <c r="Q100" s="280"/>
      <c r="R100" s="274">
        <v>-1.0980000000000001</v>
      </c>
      <c r="S100" s="274">
        <v>-1.044</v>
      </c>
      <c r="T100" s="274">
        <v>-1.0980000000000001</v>
      </c>
      <c r="U100" s="274">
        <v>-1.0980000000000001</v>
      </c>
      <c r="V100" s="274">
        <v>-1.044</v>
      </c>
      <c r="W100" s="274">
        <v>-1.044</v>
      </c>
      <c r="X100" s="274">
        <v>-1.026</v>
      </c>
      <c r="Y100" s="274">
        <v>-1.026</v>
      </c>
    </row>
    <row r="101" spans="3:25" x14ac:dyDescent="0.25">
      <c r="D101" s="295"/>
      <c r="E101" s="295" t="s">
        <v>49</v>
      </c>
      <c r="G101" s="14" t="s">
        <v>528</v>
      </c>
      <c r="J101" s="280"/>
      <c r="K101" s="280"/>
      <c r="L101" s="280"/>
      <c r="M101" s="280"/>
      <c r="N101" s="280"/>
      <c r="O101" s="280"/>
      <c r="P101" s="280"/>
      <c r="Q101" s="280"/>
      <c r="R101" s="274">
        <v>-1.0980000000000001</v>
      </c>
      <c r="S101" s="274">
        <v>-1.044</v>
      </c>
      <c r="T101" s="274">
        <v>-1.0980000000000001</v>
      </c>
      <c r="U101" s="274">
        <v>-1.0980000000000001</v>
      </c>
      <c r="V101" s="274">
        <v>-1.044</v>
      </c>
      <c r="W101" s="274">
        <v>-1.044</v>
      </c>
      <c r="X101" s="274">
        <v>0</v>
      </c>
      <c r="Y101" s="274">
        <v>0</v>
      </c>
    </row>
    <row r="102" spans="3:25" x14ac:dyDescent="0.25">
      <c r="D102" s="295"/>
      <c r="E102" s="295" t="s">
        <v>50</v>
      </c>
      <c r="G102" s="14" t="s">
        <v>528</v>
      </c>
      <c r="J102" s="280"/>
      <c r="K102" s="280"/>
      <c r="L102" s="280"/>
      <c r="M102" s="280"/>
      <c r="N102" s="280"/>
      <c r="O102" s="280"/>
      <c r="P102" s="280"/>
      <c r="Q102" s="280"/>
      <c r="R102" s="274">
        <v>-1.0980000000000001</v>
      </c>
      <c r="S102" s="274">
        <v>0</v>
      </c>
      <c r="T102" s="274">
        <v>-1.0980000000000001</v>
      </c>
      <c r="U102" s="274">
        <v>-1.0980000000000001</v>
      </c>
      <c r="V102" s="274">
        <v>0</v>
      </c>
      <c r="W102" s="274">
        <v>0</v>
      </c>
      <c r="X102" s="274">
        <v>0</v>
      </c>
      <c r="Y102" s="274">
        <v>0</v>
      </c>
    </row>
    <row r="103" spans="3:25" x14ac:dyDescent="0.25">
      <c r="D103" s="295"/>
      <c r="E103" s="295" t="s">
        <v>124</v>
      </c>
      <c r="G103" s="14" t="s">
        <v>528</v>
      </c>
      <c r="J103" s="280"/>
      <c r="K103" s="280"/>
      <c r="L103" s="280"/>
      <c r="M103" s="280"/>
      <c r="N103" s="280"/>
      <c r="O103" s="280"/>
      <c r="P103" s="280"/>
      <c r="Q103" s="280"/>
      <c r="R103" s="280"/>
      <c r="S103" s="280"/>
      <c r="T103" s="280"/>
      <c r="U103" s="280"/>
      <c r="V103" s="280"/>
      <c r="W103" s="280"/>
      <c r="X103" s="280"/>
      <c r="Y103" s="280"/>
    </row>
    <row r="104" spans="3:25" x14ac:dyDescent="0.25">
      <c r="D104" s="295"/>
      <c r="E104" s="93" t="s">
        <v>123</v>
      </c>
      <c r="F104" s="93"/>
      <c r="G104" s="15" t="s">
        <v>528</v>
      </c>
      <c r="H104" s="93"/>
      <c r="I104" s="93"/>
      <c r="J104" s="241"/>
      <c r="K104" s="241"/>
      <c r="L104" s="241"/>
      <c r="M104" s="241"/>
      <c r="N104" s="241"/>
      <c r="O104" s="241"/>
      <c r="P104" s="241"/>
      <c r="Q104" s="241"/>
      <c r="R104" s="241"/>
      <c r="S104" s="241"/>
      <c r="T104" s="241"/>
      <c r="U104" s="241"/>
      <c r="V104" s="241"/>
      <c r="W104" s="241"/>
      <c r="X104" s="241"/>
      <c r="Y104" s="241"/>
    </row>
    <row r="105" spans="3:25" x14ac:dyDescent="0.25">
      <c r="C105" s="86"/>
    </row>
    <row r="106" spans="3:25" x14ac:dyDescent="0.25">
      <c r="D106" s="96" t="s">
        <v>622</v>
      </c>
      <c r="E106" s="295"/>
    </row>
    <row r="107" spans="3:25" x14ac:dyDescent="0.25">
      <c r="C107" s="86"/>
      <c r="E107" s="91" t="s">
        <v>324</v>
      </c>
      <c r="F107" s="91"/>
      <c r="G107" s="91" t="s">
        <v>94</v>
      </c>
      <c r="H107" s="91"/>
      <c r="I107" s="91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</row>
    <row r="108" spans="3:25" x14ac:dyDescent="0.25">
      <c r="C108" s="86"/>
      <c r="E108" s="295" t="s">
        <v>43</v>
      </c>
      <c r="G108" s="295" t="s">
        <v>94</v>
      </c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</row>
    <row r="109" spans="3:25" x14ac:dyDescent="0.25">
      <c r="C109" s="86"/>
      <c r="E109" s="295" t="s">
        <v>44</v>
      </c>
      <c r="G109" s="295" t="s">
        <v>94</v>
      </c>
      <c r="J109" s="143">
        <f t="array" ref="J109:Y116">TRANSPOSE('Customer contributions'!L51:S66)</f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143">
        <v>0</v>
      </c>
    </row>
    <row r="110" spans="3:25" x14ac:dyDescent="0.25">
      <c r="C110" s="86"/>
      <c r="E110" s="295" t="s">
        <v>45</v>
      </c>
      <c r="G110" s="295" t="s">
        <v>94</v>
      </c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</v>
      </c>
      <c r="Y110" s="143">
        <v>0</v>
      </c>
    </row>
    <row r="111" spans="3:25" x14ac:dyDescent="0.25">
      <c r="C111" s="86"/>
      <c r="E111" s="295" t="s">
        <v>46</v>
      </c>
      <c r="G111" s="295" t="s">
        <v>94</v>
      </c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3.11004784688995E-2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3.11004784688995E-2</v>
      </c>
      <c r="Y111" s="143">
        <v>3.11004784688995E-2</v>
      </c>
    </row>
    <row r="112" spans="3:25" x14ac:dyDescent="0.25">
      <c r="C112" s="86"/>
      <c r="E112" s="295" t="s">
        <v>47</v>
      </c>
      <c r="G112" s="295" t="s">
        <v>94</v>
      </c>
      <c r="J112" s="143">
        <v>0</v>
      </c>
      <c r="K112" s="143">
        <v>0</v>
      </c>
      <c r="L112" s="143">
        <v>0</v>
      </c>
      <c r="M112" s="143">
        <v>0</v>
      </c>
      <c r="N112" s="143">
        <v>0</v>
      </c>
      <c r="O112" s="143">
        <v>0</v>
      </c>
      <c r="P112" s="143">
        <v>0.14212259371833799</v>
      </c>
      <c r="Q112" s="143">
        <v>0</v>
      </c>
      <c r="R112" s="143">
        <v>0</v>
      </c>
      <c r="S112" s="143">
        <v>0</v>
      </c>
      <c r="T112" s="143">
        <v>0</v>
      </c>
      <c r="U112" s="143">
        <v>0</v>
      </c>
      <c r="V112" s="143">
        <v>0</v>
      </c>
      <c r="W112" s="143">
        <v>0</v>
      </c>
      <c r="X112" s="143">
        <v>0.14212259371833799</v>
      </c>
      <c r="Y112" s="143">
        <v>0.14212259371833799</v>
      </c>
    </row>
    <row r="113" spans="3:27" x14ac:dyDescent="0.25">
      <c r="C113" s="86"/>
      <c r="E113" s="295" t="s">
        <v>51</v>
      </c>
      <c r="G113" s="295" t="s">
        <v>94</v>
      </c>
      <c r="J113" s="143">
        <v>0</v>
      </c>
      <c r="K113" s="143">
        <v>0</v>
      </c>
      <c r="L113" s="143">
        <v>0</v>
      </c>
      <c r="M113" s="143">
        <v>0</v>
      </c>
      <c r="N113" s="143">
        <v>0</v>
      </c>
      <c r="O113" s="143">
        <v>0</v>
      </c>
      <c r="P113" s="143">
        <v>0</v>
      </c>
      <c r="Q113" s="143">
        <v>0</v>
      </c>
      <c r="R113" s="143">
        <v>0</v>
      </c>
      <c r="S113" s="143">
        <v>0</v>
      </c>
      <c r="T113" s="143">
        <v>0</v>
      </c>
      <c r="U113" s="143">
        <v>0</v>
      </c>
      <c r="V113" s="143">
        <v>0</v>
      </c>
      <c r="W113" s="143">
        <v>0</v>
      </c>
      <c r="X113" s="143">
        <v>0</v>
      </c>
      <c r="Y113" s="143">
        <v>0</v>
      </c>
    </row>
    <row r="114" spans="3:27" x14ac:dyDescent="0.25">
      <c r="C114" s="86"/>
      <c r="E114" s="295" t="s">
        <v>48</v>
      </c>
      <c r="G114" s="295" t="s">
        <v>94</v>
      </c>
      <c r="J114" s="143">
        <v>0.20065197841726601</v>
      </c>
      <c r="K114" s="143">
        <v>0.20065197841726601</v>
      </c>
      <c r="L114" s="143">
        <v>0.20065197841726601</v>
      </c>
      <c r="M114" s="143">
        <v>0.20065197841726601</v>
      </c>
      <c r="N114" s="143">
        <v>0.20065197841726601</v>
      </c>
      <c r="O114" s="143">
        <v>0.20065197841726601</v>
      </c>
      <c r="P114" s="143">
        <v>0.45146695143884902</v>
      </c>
      <c r="Q114" s="143">
        <v>0.20065197841726601</v>
      </c>
      <c r="R114" s="143">
        <v>0.20065197841726601</v>
      </c>
      <c r="S114" s="143">
        <v>0.20065197841726601</v>
      </c>
      <c r="T114" s="143">
        <v>0.20065197841726601</v>
      </c>
      <c r="U114" s="143">
        <v>0.20065197841726601</v>
      </c>
      <c r="V114" s="143">
        <v>0.20065197841726601</v>
      </c>
      <c r="W114" s="143">
        <v>0.20065197841726601</v>
      </c>
      <c r="X114" s="143">
        <v>0.45146695143884902</v>
      </c>
      <c r="Y114" s="143">
        <v>0.45146695143884902</v>
      </c>
    </row>
    <row r="115" spans="3:27" x14ac:dyDescent="0.25">
      <c r="C115" s="86"/>
      <c r="E115" s="295" t="s">
        <v>49</v>
      </c>
      <c r="G115" s="295" t="s">
        <v>94</v>
      </c>
      <c r="J115" s="143">
        <v>0.26968503937007898</v>
      </c>
      <c r="K115" s="143">
        <v>0.26968503937007898</v>
      </c>
      <c r="L115" s="143">
        <v>0.26968503937007898</v>
      </c>
      <c r="M115" s="143">
        <v>0.26968503937007898</v>
      </c>
      <c r="N115" s="143">
        <v>0.26968503937007898</v>
      </c>
      <c r="O115" s="143">
        <v>0.26968503937007898</v>
      </c>
      <c r="P115" s="143">
        <v>0</v>
      </c>
      <c r="Q115" s="143">
        <v>0.26968503937007898</v>
      </c>
      <c r="R115" s="143">
        <v>0.26968503937007898</v>
      </c>
      <c r="S115" s="143">
        <v>0.26968503937007898</v>
      </c>
      <c r="T115" s="143">
        <v>0.26968503937007898</v>
      </c>
      <c r="U115" s="143">
        <v>0.26968503937007898</v>
      </c>
      <c r="V115" s="143">
        <v>0.26968503937007898</v>
      </c>
      <c r="W115" s="143">
        <v>0.26968503937007898</v>
      </c>
      <c r="X115" s="143">
        <v>0</v>
      </c>
      <c r="Y115" s="143">
        <v>0</v>
      </c>
    </row>
    <row r="116" spans="3:27" x14ac:dyDescent="0.25">
      <c r="C116" s="86"/>
      <c r="E116" s="295" t="s">
        <v>50</v>
      </c>
      <c r="G116" s="295" t="s">
        <v>94</v>
      </c>
      <c r="J116" s="143">
        <v>0.92371773930088197</v>
      </c>
      <c r="K116" s="143">
        <v>0.92371773930088197</v>
      </c>
      <c r="L116" s="143">
        <v>0.92371773930088197</v>
      </c>
      <c r="M116" s="143">
        <v>0.92371773930088197</v>
      </c>
      <c r="N116" s="143">
        <v>0.92371773930088197</v>
      </c>
      <c r="O116" s="143">
        <v>0</v>
      </c>
      <c r="P116" s="143">
        <v>0</v>
      </c>
      <c r="Q116" s="143">
        <v>0.92371773930088197</v>
      </c>
      <c r="R116" s="143">
        <v>0.92371773930088197</v>
      </c>
      <c r="S116" s="143">
        <v>0</v>
      </c>
      <c r="T116" s="143">
        <v>0.92371773930088197</v>
      </c>
      <c r="U116" s="143">
        <v>0.92371773930088197</v>
      </c>
      <c r="V116" s="143">
        <v>0</v>
      </c>
      <c r="W116" s="143">
        <v>0</v>
      </c>
      <c r="X116" s="143">
        <v>0</v>
      </c>
      <c r="Y116" s="143">
        <v>0</v>
      </c>
    </row>
    <row r="117" spans="3:27" x14ac:dyDescent="0.25">
      <c r="C117" s="86"/>
      <c r="E117" s="295" t="s">
        <v>124</v>
      </c>
      <c r="G117" s="295" t="s">
        <v>94</v>
      </c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</row>
    <row r="118" spans="3:27" x14ac:dyDescent="0.25">
      <c r="C118" s="86"/>
      <c r="E118" s="93" t="s">
        <v>123</v>
      </c>
      <c r="F118" s="93"/>
      <c r="G118" s="93" t="s">
        <v>94</v>
      </c>
      <c r="H118" s="93"/>
      <c r="I118" s="93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</row>
    <row r="120" spans="3:27" x14ac:dyDescent="0.25">
      <c r="C120" s="7" t="str">
        <f ca="1">INDEX('Version control'!$H$34:$H$58,MATCH($A$1,'Version control'!$F$34:$F$58,0),1)&amp;"-B: Yardstick charge (demand)"</f>
        <v>Section 515-B: Yardstick charge (demand)</v>
      </c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3:27" x14ac:dyDescent="0.25">
      <c r="C121" s="96"/>
      <c r="D121" s="295"/>
      <c r="E121" s="96"/>
    </row>
    <row r="122" spans="3:27" x14ac:dyDescent="0.25">
      <c r="D122" s="96" t="s">
        <v>139</v>
      </c>
      <c r="E122" s="295"/>
    </row>
    <row r="123" spans="3:27" x14ac:dyDescent="0.25">
      <c r="E123" s="91" t="s">
        <v>324</v>
      </c>
      <c r="F123" s="91"/>
      <c r="G123" s="91" t="s">
        <v>183</v>
      </c>
      <c r="H123" s="350"/>
      <c r="I123" s="350"/>
      <c r="J123" s="362"/>
      <c r="K123" s="362"/>
      <c r="L123" s="362"/>
      <c r="M123" s="362"/>
      <c r="N123" s="362"/>
      <c r="O123" s="362"/>
      <c r="P123" s="362"/>
      <c r="Q123" s="362"/>
      <c r="R123" s="362"/>
      <c r="S123" s="362"/>
      <c r="T123" s="362"/>
      <c r="U123" s="362"/>
      <c r="V123" s="362"/>
      <c r="W123" s="362"/>
      <c r="X123" s="362"/>
      <c r="Y123" s="362"/>
      <c r="Z123" s="352"/>
      <c r="AA123" s="352"/>
    </row>
    <row r="124" spans="3:27" x14ac:dyDescent="0.25">
      <c r="E124" s="295" t="s">
        <v>43</v>
      </c>
      <c r="G124" s="295" t="s">
        <v>183</v>
      </c>
      <c r="H124" s="352"/>
      <c r="I124" s="352"/>
      <c r="J124" s="423"/>
      <c r="K124" s="423"/>
      <c r="L124" s="423"/>
      <c r="M124" s="423"/>
      <c r="N124" s="423"/>
      <c r="O124" s="423"/>
      <c r="P124" s="423"/>
      <c r="Q124" s="423"/>
      <c r="R124" s="423"/>
      <c r="S124" s="423"/>
      <c r="T124" s="423"/>
      <c r="U124" s="423"/>
      <c r="V124" s="423"/>
      <c r="W124" s="423"/>
      <c r="X124" s="423"/>
      <c r="Y124" s="423"/>
      <c r="Z124" s="352"/>
      <c r="AA124" s="352"/>
    </row>
    <row r="125" spans="3:27" x14ac:dyDescent="0.25">
      <c r="E125" s="295" t="s">
        <v>44</v>
      </c>
      <c r="G125" s="295" t="s">
        <v>183</v>
      </c>
      <c r="H125" s="352"/>
      <c r="I125" s="352"/>
      <c r="J125" s="421">
        <f>'Initial unit rates'!J125</f>
        <v>0</v>
      </c>
      <c r="K125" s="421">
        <f>'Initial unit rates'!K125</f>
        <v>0</v>
      </c>
      <c r="L125" s="421">
        <f>'Initial unit rates'!L125</f>
        <v>0</v>
      </c>
      <c r="M125" s="421">
        <f>'Initial unit rates'!M125</f>
        <v>0</v>
      </c>
      <c r="N125" s="421">
        <f>'Initial unit rates'!N125</f>
        <v>0</v>
      </c>
      <c r="O125" s="421">
        <f>'Initial unit rates'!O125</f>
        <v>0</v>
      </c>
      <c r="P125" s="421">
        <f>'Initial unit rates'!P125</f>
        <v>0</v>
      </c>
      <c r="Q125" s="421">
        <f>'Initial unit rates'!Q125</f>
        <v>0</v>
      </c>
      <c r="R125" s="423"/>
      <c r="S125" s="423"/>
      <c r="T125" s="423"/>
      <c r="U125" s="423"/>
      <c r="V125" s="423"/>
      <c r="W125" s="423"/>
      <c r="X125" s="423"/>
      <c r="Y125" s="423"/>
      <c r="Z125" s="352"/>
      <c r="AA125" s="352"/>
    </row>
    <row r="126" spans="3:27" x14ac:dyDescent="0.25">
      <c r="E126" s="295" t="s">
        <v>45</v>
      </c>
      <c r="G126" s="295" t="s">
        <v>183</v>
      </c>
      <c r="H126" s="352"/>
      <c r="I126" s="352"/>
      <c r="J126" s="421">
        <f>'Initial unit rates'!J126</f>
        <v>0</v>
      </c>
      <c r="K126" s="421">
        <f>'Initial unit rates'!K126</f>
        <v>0</v>
      </c>
      <c r="L126" s="421">
        <f>'Initial unit rates'!L126</f>
        <v>0</v>
      </c>
      <c r="M126" s="421">
        <f>'Initial unit rates'!M126</f>
        <v>0</v>
      </c>
      <c r="N126" s="421">
        <f>'Initial unit rates'!N126</f>
        <v>0</v>
      </c>
      <c r="O126" s="421">
        <f>'Initial unit rates'!O126</f>
        <v>0</v>
      </c>
      <c r="P126" s="421">
        <f>'Initial unit rates'!P126</f>
        <v>0</v>
      </c>
      <c r="Q126" s="421">
        <f>'Initial unit rates'!Q126</f>
        <v>0</v>
      </c>
      <c r="R126" s="423"/>
      <c r="S126" s="423"/>
      <c r="T126" s="423"/>
      <c r="U126" s="423"/>
      <c r="V126" s="423"/>
      <c r="W126" s="423"/>
      <c r="X126" s="423"/>
      <c r="Y126" s="423"/>
      <c r="Z126" s="352"/>
      <c r="AA126" s="352"/>
    </row>
    <row r="127" spans="3:27" x14ac:dyDescent="0.25">
      <c r="E127" s="295" t="s">
        <v>46</v>
      </c>
      <c r="G127" s="295" t="s">
        <v>183</v>
      </c>
      <c r="H127" s="352"/>
      <c r="I127" s="352"/>
      <c r="J127" s="421">
        <f>'Initial unit rates'!J127</f>
        <v>0.31202314734048664</v>
      </c>
      <c r="K127" s="421">
        <f>'Initial unit rates'!K127</f>
        <v>0</v>
      </c>
      <c r="L127" s="421">
        <f>'Initial unit rates'!L127</f>
        <v>0.24837579541434665</v>
      </c>
      <c r="M127" s="421">
        <f>'Initial unit rates'!M127</f>
        <v>0</v>
      </c>
      <c r="N127" s="421">
        <f>'Initial unit rates'!N127</f>
        <v>0.21956775836949444</v>
      </c>
      <c r="O127" s="421">
        <f>'Initial unit rates'!O127</f>
        <v>0.17292758164569083</v>
      </c>
      <c r="P127" s="421">
        <f>'Initial unit rates'!P127</f>
        <v>0.16213601267798952</v>
      </c>
      <c r="Q127" s="421">
        <f>'Initial unit rates'!Q127</f>
        <v>0.31473245434523334</v>
      </c>
      <c r="R127" s="423"/>
      <c r="S127" s="423"/>
      <c r="T127" s="423"/>
      <c r="U127" s="423"/>
      <c r="V127" s="423"/>
      <c r="W127" s="423"/>
      <c r="X127" s="423"/>
      <c r="Y127" s="423"/>
      <c r="Z127" s="352"/>
      <c r="AA127" s="352"/>
    </row>
    <row r="128" spans="3:27" x14ac:dyDescent="0.25">
      <c r="E128" s="295" t="s">
        <v>47</v>
      </c>
      <c r="G128" s="295" t="s">
        <v>183</v>
      </c>
      <c r="H128" s="352"/>
      <c r="I128" s="352"/>
      <c r="J128" s="421">
        <f>'Initial unit rates'!J128</f>
        <v>7.9954344332433008E-2</v>
      </c>
      <c r="K128" s="421">
        <f>'Initial unit rates'!K128</f>
        <v>0</v>
      </c>
      <c r="L128" s="421">
        <f>'Initial unit rates'!L128</f>
        <v>6.3645034157450889E-2</v>
      </c>
      <c r="M128" s="421">
        <f>'Initial unit rates'!M128</f>
        <v>0</v>
      </c>
      <c r="N128" s="421">
        <f>'Initial unit rates'!N128</f>
        <v>5.6263121203050256E-2</v>
      </c>
      <c r="O128" s="421">
        <f>'Initial unit rates'!O128</f>
        <v>4.4311813162973147E-2</v>
      </c>
      <c r="P128" s="421">
        <f>'Initial unit rates'!P128</f>
        <v>3.6785886797316661E-2</v>
      </c>
      <c r="Q128" s="421">
        <f>'Initial unit rates'!Q128</f>
        <v>8.0648590470920323E-2</v>
      </c>
      <c r="R128" s="423"/>
      <c r="S128" s="423"/>
      <c r="T128" s="423"/>
      <c r="U128" s="423"/>
      <c r="V128" s="423"/>
      <c r="W128" s="423"/>
      <c r="X128" s="423"/>
      <c r="Y128" s="423"/>
      <c r="Z128" s="352"/>
      <c r="AA128" s="352"/>
    </row>
    <row r="129" spans="4:27" x14ac:dyDescent="0.25">
      <c r="E129" s="295" t="s">
        <v>51</v>
      </c>
      <c r="G129" s="295" t="s">
        <v>183</v>
      </c>
      <c r="H129" s="352"/>
      <c r="I129" s="352"/>
      <c r="J129" s="421">
        <f>'Initial unit rates'!J129</f>
        <v>0</v>
      </c>
      <c r="K129" s="421">
        <f>'Initial unit rates'!K129</f>
        <v>0</v>
      </c>
      <c r="L129" s="421">
        <f>'Initial unit rates'!L129</f>
        <v>0</v>
      </c>
      <c r="M129" s="421">
        <f>'Initial unit rates'!M129</f>
        <v>0</v>
      </c>
      <c r="N129" s="421">
        <f>'Initial unit rates'!N129</f>
        <v>0</v>
      </c>
      <c r="O129" s="421">
        <f>'Initial unit rates'!O129</f>
        <v>0</v>
      </c>
      <c r="P129" s="421">
        <f>'Initial unit rates'!P129</f>
        <v>0</v>
      </c>
      <c r="Q129" s="421">
        <f>'Initial unit rates'!Q129</f>
        <v>0</v>
      </c>
      <c r="R129" s="423"/>
      <c r="S129" s="423"/>
      <c r="T129" s="423"/>
      <c r="U129" s="423"/>
      <c r="V129" s="423"/>
      <c r="W129" s="423"/>
      <c r="X129" s="423"/>
      <c r="Y129" s="423"/>
      <c r="Z129" s="352"/>
      <c r="AA129" s="352"/>
    </row>
    <row r="130" spans="4:27" x14ac:dyDescent="0.25">
      <c r="E130" s="295" t="s">
        <v>48</v>
      </c>
      <c r="G130" s="295" t="s">
        <v>183</v>
      </c>
      <c r="H130" s="352"/>
      <c r="I130" s="352"/>
      <c r="J130" s="421">
        <f>'Initial unit rates'!J130</f>
        <v>0.27494840506717239</v>
      </c>
      <c r="K130" s="421">
        <f>'Initial unit rates'!K130</f>
        <v>0</v>
      </c>
      <c r="L130" s="421">
        <f>'Initial unit rates'!L130</f>
        <v>0.21886366248317066</v>
      </c>
      <c r="M130" s="421">
        <f>'Initial unit rates'!M130</f>
        <v>0</v>
      </c>
      <c r="N130" s="421">
        <f>'Initial unit rates'!N130</f>
        <v>0.19347861042498202</v>
      </c>
      <c r="O130" s="421">
        <f>'Initial unit rates'!O130</f>
        <v>0.15238024220594915</v>
      </c>
      <c r="P130" s="421">
        <f>'Initial unit rates'!P130</f>
        <v>0.1011887037750764</v>
      </c>
      <c r="Q130" s="421">
        <f>'Initial unit rates'!Q130</f>
        <v>0.27733579089460764</v>
      </c>
      <c r="R130" s="423"/>
      <c r="S130" s="423"/>
      <c r="T130" s="423"/>
      <c r="U130" s="423"/>
      <c r="V130" s="423"/>
      <c r="W130" s="423"/>
      <c r="X130" s="423"/>
      <c r="Y130" s="423"/>
      <c r="Z130" s="352"/>
      <c r="AA130" s="352"/>
    </row>
    <row r="131" spans="4:27" x14ac:dyDescent="0.25">
      <c r="E131" s="295" t="s">
        <v>49</v>
      </c>
      <c r="G131" s="295" t="s">
        <v>183</v>
      </c>
      <c r="H131" s="352"/>
      <c r="I131" s="352"/>
      <c r="J131" s="421">
        <f>'Initial unit rates'!J131</f>
        <v>6.3134525092699817E-2</v>
      </c>
      <c r="K131" s="421">
        <f>'Initial unit rates'!K131</f>
        <v>0</v>
      </c>
      <c r="L131" s="421">
        <f>'Initial unit rates'!L131</f>
        <v>5.0256168562054754E-2</v>
      </c>
      <c r="M131" s="421">
        <f>'Initial unit rates'!M131</f>
        <v>0</v>
      </c>
      <c r="N131" s="421">
        <f>'Initial unit rates'!N131</f>
        <v>4.4427172370003175E-2</v>
      </c>
      <c r="O131" s="421">
        <f>'Initial unit rates'!O131</f>
        <v>3.4990034667896359E-2</v>
      </c>
      <c r="P131" s="421">
        <f>'Initial unit rates'!P131</f>
        <v>0</v>
      </c>
      <c r="Q131" s="421">
        <f>'Initial unit rates'!Q131</f>
        <v>6.3682724200788285E-2</v>
      </c>
      <c r="R131" s="423"/>
      <c r="S131" s="423"/>
      <c r="T131" s="423"/>
      <c r="U131" s="423"/>
      <c r="V131" s="423"/>
      <c r="W131" s="423"/>
      <c r="X131" s="423"/>
      <c r="Y131" s="423"/>
      <c r="Z131" s="352"/>
      <c r="AA131" s="352"/>
    </row>
    <row r="132" spans="4:27" x14ac:dyDescent="0.25">
      <c r="E132" s="295" t="s">
        <v>50</v>
      </c>
      <c r="G132" s="295" t="s">
        <v>183</v>
      </c>
      <c r="H132" s="352"/>
      <c r="I132" s="352"/>
      <c r="J132" s="421">
        <f>'Initial unit rates'!J132</f>
        <v>1.1092116712454801E-2</v>
      </c>
      <c r="K132" s="421">
        <f>'Initial unit rates'!K132</f>
        <v>0</v>
      </c>
      <c r="L132" s="421">
        <f>'Initial unit rates'!L132</f>
        <v>8.8295158060129313E-3</v>
      </c>
      <c r="M132" s="421">
        <f>'Initial unit rates'!M132</f>
        <v>0</v>
      </c>
      <c r="N132" s="421">
        <f>'Initial unit rates'!N132</f>
        <v>7.8054183572120227E-3</v>
      </c>
      <c r="O132" s="421">
        <f>'Initial unit rates'!O132</f>
        <v>0</v>
      </c>
      <c r="P132" s="421">
        <f>'Initial unit rates'!P132</f>
        <v>0</v>
      </c>
      <c r="Q132" s="421">
        <f>'Initial unit rates'!Q132</f>
        <v>1.1188429917941854E-2</v>
      </c>
      <c r="R132" s="423"/>
      <c r="S132" s="423"/>
      <c r="T132" s="423"/>
      <c r="U132" s="423"/>
      <c r="V132" s="423"/>
      <c r="W132" s="423"/>
      <c r="X132" s="423"/>
      <c r="Y132" s="423"/>
      <c r="Z132" s="352"/>
      <c r="AA132" s="352"/>
    </row>
    <row r="133" spans="4:27" x14ac:dyDescent="0.25">
      <c r="E133" s="295" t="s">
        <v>124</v>
      </c>
      <c r="G133" s="295" t="s">
        <v>183</v>
      </c>
      <c r="H133" s="352"/>
      <c r="I133" s="352"/>
      <c r="J133" s="423"/>
      <c r="K133" s="423"/>
      <c r="L133" s="423"/>
      <c r="M133" s="423"/>
      <c r="N133" s="423"/>
      <c r="O133" s="423"/>
      <c r="P133" s="423"/>
      <c r="Q133" s="423"/>
      <c r="R133" s="423"/>
      <c r="S133" s="423"/>
      <c r="T133" s="423"/>
      <c r="U133" s="423"/>
      <c r="V133" s="423"/>
      <c r="W133" s="423"/>
      <c r="X133" s="423"/>
      <c r="Y133" s="423"/>
      <c r="Z133" s="352"/>
      <c r="AA133" s="352"/>
    </row>
    <row r="134" spans="4:27" x14ac:dyDescent="0.25">
      <c r="E134" s="93" t="s">
        <v>123</v>
      </c>
      <c r="F134" s="93"/>
      <c r="G134" s="93" t="s">
        <v>183</v>
      </c>
      <c r="H134" s="354"/>
      <c r="I134" s="354"/>
      <c r="J134" s="359"/>
      <c r="K134" s="359"/>
      <c r="L134" s="359"/>
      <c r="M134" s="359"/>
      <c r="N134" s="359"/>
      <c r="O134" s="359"/>
      <c r="P134" s="359"/>
      <c r="Q134" s="359"/>
      <c r="R134" s="359"/>
      <c r="S134" s="359"/>
      <c r="T134" s="359"/>
      <c r="U134" s="359"/>
      <c r="V134" s="359"/>
      <c r="W134" s="359"/>
      <c r="X134" s="359"/>
      <c r="Y134" s="359"/>
      <c r="Z134" s="352"/>
      <c r="AA134" s="352"/>
    </row>
    <row r="135" spans="4:27" x14ac:dyDescent="0.25">
      <c r="E135" s="295"/>
      <c r="J135" s="253"/>
      <c r="K135" s="253"/>
      <c r="L135" s="253"/>
      <c r="M135" s="253"/>
      <c r="N135" s="253"/>
      <c r="O135" s="253"/>
      <c r="P135" s="253"/>
      <c r="Q135" s="253"/>
      <c r="R135" s="253"/>
      <c r="S135" s="253"/>
      <c r="T135" s="253"/>
      <c r="U135" s="253"/>
      <c r="V135" s="253"/>
      <c r="W135" s="253"/>
      <c r="X135" s="253"/>
      <c r="Y135" s="253"/>
    </row>
    <row r="136" spans="4:27" x14ac:dyDescent="0.25">
      <c r="D136" s="96" t="s">
        <v>116</v>
      </c>
      <c r="E136" s="295"/>
      <c r="J136" s="253"/>
      <c r="K136" s="253"/>
      <c r="L136" s="253"/>
      <c r="M136" s="253"/>
      <c r="N136" s="253"/>
      <c r="O136" s="253"/>
      <c r="P136" s="253"/>
      <c r="Q136" s="253"/>
      <c r="R136" s="253"/>
      <c r="S136" s="253"/>
      <c r="T136" s="253"/>
      <c r="U136" s="253"/>
      <c r="V136" s="253"/>
      <c r="W136" s="253"/>
      <c r="X136" s="253"/>
      <c r="Y136" s="253"/>
    </row>
    <row r="137" spans="4:27" x14ac:dyDescent="0.25">
      <c r="E137" s="91" t="s">
        <v>324</v>
      </c>
      <c r="F137" s="91"/>
      <c r="G137" s="91" t="s">
        <v>183</v>
      </c>
      <c r="H137" s="350"/>
      <c r="I137" s="350"/>
      <c r="J137" s="361">
        <f>'Initial unit rates'!J135</f>
        <v>0.3258049918708929</v>
      </c>
      <c r="K137" s="361">
        <f>'Initial unit rates'!K135</f>
        <v>0</v>
      </c>
      <c r="L137" s="361">
        <f>'Initial unit rates'!L135</f>
        <v>0.25934638085550038</v>
      </c>
      <c r="M137" s="361">
        <f>'Initial unit rates'!M135</f>
        <v>0</v>
      </c>
      <c r="N137" s="361">
        <f>'Initial unit rates'!N135</f>
        <v>0.22926591293120097</v>
      </c>
      <c r="O137" s="361">
        <f>'Initial unit rates'!O135</f>
        <v>0.18056567217062025</v>
      </c>
      <c r="P137" s="361">
        <f>'Initial unit rates'!P135</f>
        <v>0.1747316861813501</v>
      </c>
      <c r="Q137" s="361">
        <f>'Initial unit rates'!Q135</f>
        <v>0.32863396707411402</v>
      </c>
      <c r="R137" s="362"/>
      <c r="S137" s="362"/>
      <c r="T137" s="362"/>
      <c r="U137" s="362"/>
      <c r="V137" s="362"/>
      <c r="W137" s="362"/>
      <c r="X137" s="362"/>
      <c r="Y137" s="362"/>
      <c r="Z137" s="352"/>
      <c r="AA137" s="352"/>
    </row>
    <row r="138" spans="4:27" x14ac:dyDescent="0.25">
      <c r="E138" s="295" t="s">
        <v>43</v>
      </c>
      <c r="G138" s="295" t="s">
        <v>183</v>
      </c>
      <c r="H138" s="352"/>
      <c r="I138" s="352"/>
      <c r="J138" s="421">
        <f>'Initial unit rates'!J136</f>
        <v>0</v>
      </c>
      <c r="K138" s="421">
        <f>'Initial unit rates'!K136</f>
        <v>0</v>
      </c>
      <c r="L138" s="421">
        <f>'Initial unit rates'!L136</f>
        <v>0</v>
      </c>
      <c r="M138" s="421">
        <f>'Initial unit rates'!M136</f>
        <v>0</v>
      </c>
      <c r="N138" s="421">
        <f>'Initial unit rates'!N136</f>
        <v>0</v>
      </c>
      <c r="O138" s="421">
        <f>'Initial unit rates'!O136</f>
        <v>0</v>
      </c>
      <c r="P138" s="421">
        <f>'Initial unit rates'!P136</f>
        <v>0</v>
      </c>
      <c r="Q138" s="421">
        <f>'Initial unit rates'!Q136</f>
        <v>0</v>
      </c>
      <c r="R138" s="423"/>
      <c r="S138" s="423"/>
      <c r="T138" s="423"/>
      <c r="U138" s="423"/>
      <c r="V138" s="423"/>
      <c r="W138" s="423"/>
      <c r="X138" s="423"/>
      <c r="Y138" s="423"/>
      <c r="Z138" s="352"/>
      <c r="AA138" s="352"/>
    </row>
    <row r="139" spans="4:27" x14ac:dyDescent="0.25">
      <c r="E139" s="295" t="s">
        <v>44</v>
      </c>
      <c r="G139" s="295" t="s">
        <v>183</v>
      </c>
      <c r="H139" s="352"/>
      <c r="I139" s="352"/>
      <c r="J139" s="421">
        <f>'Initial unit rates'!J137</f>
        <v>0</v>
      </c>
      <c r="K139" s="421">
        <f>'Initial unit rates'!K137</f>
        <v>0</v>
      </c>
      <c r="L139" s="421">
        <f>'Initial unit rates'!L137</f>
        <v>0</v>
      </c>
      <c r="M139" s="421">
        <f>'Initial unit rates'!M137</f>
        <v>0</v>
      </c>
      <c r="N139" s="421">
        <f>'Initial unit rates'!N137</f>
        <v>0</v>
      </c>
      <c r="O139" s="421">
        <f>'Initial unit rates'!O137</f>
        <v>0</v>
      </c>
      <c r="P139" s="421">
        <f>'Initial unit rates'!P137</f>
        <v>0</v>
      </c>
      <c r="Q139" s="421">
        <f>'Initial unit rates'!Q137</f>
        <v>0</v>
      </c>
      <c r="R139" s="423"/>
      <c r="S139" s="423"/>
      <c r="T139" s="423"/>
      <c r="U139" s="423"/>
      <c r="V139" s="423"/>
      <c r="W139" s="423"/>
      <c r="X139" s="423"/>
      <c r="Y139" s="423"/>
      <c r="Z139" s="352"/>
      <c r="AA139" s="352"/>
    </row>
    <row r="140" spans="4:27" x14ac:dyDescent="0.25">
      <c r="E140" s="295" t="s">
        <v>45</v>
      </c>
      <c r="G140" s="295" t="s">
        <v>183</v>
      </c>
      <c r="H140" s="352"/>
      <c r="I140" s="352"/>
      <c r="J140" s="421">
        <f>'Initial unit rates'!J138</f>
        <v>0</v>
      </c>
      <c r="K140" s="421">
        <f>'Initial unit rates'!K138</f>
        <v>0</v>
      </c>
      <c r="L140" s="421">
        <f>'Initial unit rates'!L138</f>
        <v>0</v>
      </c>
      <c r="M140" s="421">
        <f>'Initial unit rates'!M138</f>
        <v>0</v>
      </c>
      <c r="N140" s="421">
        <f>'Initial unit rates'!N138</f>
        <v>0</v>
      </c>
      <c r="O140" s="421">
        <f>'Initial unit rates'!O138</f>
        <v>0</v>
      </c>
      <c r="P140" s="421">
        <f>'Initial unit rates'!P138</f>
        <v>0</v>
      </c>
      <c r="Q140" s="421">
        <f>'Initial unit rates'!Q138</f>
        <v>0</v>
      </c>
      <c r="R140" s="423"/>
      <c r="S140" s="423"/>
      <c r="T140" s="423"/>
      <c r="U140" s="423"/>
      <c r="V140" s="423"/>
      <c r="W140" s="423"/>
      <c r="X140" s="423"/>
      <c r="Y140" s="423"/>
      <c r="Z140" s="352"/>
      <c r="AA140" s="352"/>
    </row>
    <row r="141" spans="4:27" x14ac:dyDescent="0.25">
      <c r="E141" s="295" t="s">
        <v>46</v>
      </c>
      <c r="G141" s="295" t="s">
        <v>183</v>
      </c>
      <c r="H141" s="352"/>
      <c r="I141" s="352"/>
      <c r="J141" s="421">
        <f>'Initial unit rates'!J139</f>
        <v>0.23059864286529999</v>
      </c>
      <c r="K141" s="421">
        <f>'Initial unit rates'!K139</f>
        <v>0</v>
      </c>
      <c r="L141" s="421">
        <f>'Initial unit rates'!L139</f>
        <v>0.18356048848080439</v>
      </c>
      <c r="M141" s="421">
        <f>'Initial unit rates'!M139</f>
        <v>0</v>
      </c>
      <c r="N141" s="421">
        <f>'Initial unit rates'!N139</f>
        <v>0.16227009928122646</v>
      </c>
      <c r="O141" s="421">
        <f>'Initial unit rates'!O139</f>
        <v>0.12780098521972835</v>
      </c>
      <c r="P141" s="421">
        <f>'Initial unit rates'!P139</f>
        <v>0.12367179970941554</v>
      </c>
      <c r="Q141" s="421">
        <f>'Initial unit rates'!Q139</f>
        <v>0.23260093828384559</v>
      </c>
      <c r="R141" s="423"/>
      <c r="S141" s="423"/>
      <c r="T141" s="423"/>
      <c r="U141" s="423"/>
      <c r="V141" s="423"/>
      <c r="W141" s="423"/>
      <c r="X141" s="423"/>
      <c r="Y141" s="423"/>
      <c r="Z141" s="352"/>
      <c r="AA141" s="352"/>
    </row>
    <row r="142" spans="4:27" x14ac:dyDescent="0.25">
      <c r="E142" s="295" t="s">
        <v>47</v>
      </c>
      <c r="G142" s="295" t="s">
        <v>183</v>
      </c>
      <c r="H142" s="352"/>
      <c r="I142" s="352"/>
      <c r="J142" s="421">
        <f>'Initial unit rates'!J140</f>
        <v>5.9089729244108526E-2</v>
      </c>
      <c r="K142" s="421">
        <f>'Initial unit rates'!K140</f>
        <v>0</v>
      </c>
      <c r="L142" s="421">
        <f>'Initial unit rates'!L140</f>
        <v>4.703644145287899E-2</v>
      </c>
      <c r="M142" s="421">
        <f>'Initial unit rates'!M140</f>
        <v>0</v>
      </c>
      <c r="N142" s="421">
        <f>'Initial unit rates'!N140</f>
        <v>4.1580887518679929E-2</v>
      </c>
      <c r="O142" s="421">
        <f>'Initial unit rates'!O140</f>
        <v>3.2748352375062628E-2</v>
      </c>
      <c r="P142" s="421">
        <f>'Initial unit rates'!P140</f>
        <v>3.1690269592044677E-2</v>
      </c>
      <c r="Q142" s="421">
        <f>'Initial unit rates'!Q140</f>
        <v>5.9602807259999946E-2</v>
      </c>
      <c r="R142" s="423"/>
      <c r="S142" s="423"/>
      <c r="T142" s="423"/>
      <c r="U142" s="423"/>
      <c r="V142" s="423"/>
      <c r="W142" s="423"/>
      <c r="X142" s="423"/>
      <c r="Y142" s="423"/>
      <c r="Z142" s="352"/>
      <c r="AA142" s="352"/>
    </row>
    <row r="143" spans="4:27" x14ac:dyDescent="0.25">
      <c r="E143" s="295" t="s">
        <v>51</v>
      </c>
      <c r="G143" s="295" t="s">
        <v>183</v>
      </c>
      <c r="H143" s="352"/>
      <c r="I143" s="352"/>
      <c r="J143" s="421">
        <f>'Initial unit rates'!J141</f>
        <v>0</v>
      </c>
      <c r="K143" s="421">
        <f>'Initial unit rates'!K141</f>
        <v>0</v>
      </c>
      <c r="L143" s="421">
        <f>'Initial unit rates'!L141</f>
        <v>0</v>
      </c>
      <c r="M143" s="421">
        <f>'Initial unit rates'!M141</f>
        <v>0</v>
      </c>
      <c r="N143" s="421">
        <f>'Initial unit rates'!N141</f>
        <v>0</v>
      </c>
      <c r="O143" s="421">
        <f>'Initial unit rates'!O141</f>
        <v>0</v>
      </c>
      <c r="P143" s="421">
        <f>'Initial unit rates'!P141</f>
        <v>0</v>
      </c>
      <c r="Q143" s="421">
        <f>'Initial unit rates'!Q141</f>
        <v>0</v>
      </c>
      <c r="R143" s="423"/>
      <c r="S143" s="423"/>
      <c r="T143" s="423"/>
      <c r="U143" s="423"/>
      <c r="V143" s="423"/>
      <c r="W143" s="423"/>
      <c r="X143" s="423"/>
      <c r="Y143" s="423"/>
      <c r="Z143" s="352"/>
      <c r="AA143" s="352"/>
    </row>
    <row r="144" spans="4:27" x14ac:dyDescent="0.25">
      <c r="E144" s="295" t="s">
        <v>48</v>
      </c>
      <c r="G144" s="295" t="s">
        <v>183</v>
      </c>
      <c r="H144" s="352"/>
      <c r="I144" s="352"/>
      <c r="J144" s="421">
        <f>'Initial unit rates'!J142</f>
        <v>0.25420567058181481</v>
      </c>
      <c r="K144" s="421">
        <f>'Initial unit rates'!K142</f>
        <v>0</v>
      </c>
      <c r="L144" s="421">
        <f>'Initial unit rates'!L142</f>
        <v>0.20235208883620881</v>
      </c>
      <c r="M144" s="421">
        <f>'Initial unit rates'!M142</f>
        <v>0</v>
      </c>
      <c r="N144" s="421">
        <f>'Initial unit rates'!N142</f>
        <v>0.17888214297625885</v>
      </c>
      <c r="O144" s="421">
        <f>'Initial unit rates'!O142</f>
        <v>0.14088432934869774</v>
      </c>
      <c r="P144" s="421">
        <f>'Initial unit rates'!P142</f>
        <v>0.13633242757441488</v>
      </c>
      <c r="Q144" s="421">
        <f>'Initial unit rates'!Q142</f>
        <v>0.25641294657984226</v>
      </c>
      <c r="R144" s="423"/>
      <c r="S144" s="423"/>
      <c r="T144" s="423"/>
      <c r="U144" s="423"/>
      <c r="V144" s="423"/>
      <c r="W144" s="423"/>
      <c r="X144" s="423"/>
      <c r="Y144" s="423"/>
      <c r="Z144" s="352"/>
      <c r="AA144" s="352"/>
    </row>
    <row r="145" spans="2:27" x14ac:dyDescent="0.25">
      <c r="E145" s="295" t="s">
        <v>49</v>
      </c>
      <c r="G145" s="295" t="s">
        <v>183</v>
      </c>
      <c r="H145" s="352"/>
      <c r="I145" s="352"/>
      <c r="J145" s="421">
        <f>'Initial unit rates'!J143</f>
        <v>6.3889082958922247E-2</v>
      </c>
      <c r="K145" s="421">
        <f>'Initial unit rates'!K143</f>
        <v>0</v>
      </c>
      <c r="L145" s="421">
        <f>'Initial unit rates'!L143</f>
        <v>5.0856809610023666E-2</v>
      </c>
      <c r="M145" s="421">
        <f>'Initial unit rates'!M143</f>
        <v>0</v>
      </c>
      <c r="N145" s="421">
        <f>'Initial unit rates'!N143</f>
        <v>4.495814765391612E-2</v>
      </c>
      <c r="O145" s="421">
        <f>'Initial unit rates'!O143</f>
        <v>3.540822116505131E-2</v>
      </c>
      <c r="P145" s="421">
        <f>'Initial unit rates'!P143</f>
        <v>0</v>
      </c>
      <c r="Q145" s="421">
        <f>'Initial unit rates'!Q143</f>
        <v>6.44438339171855E-2</v>
      </c>
      <c r="R145" s="423"/>
      <c r="S145" s="423"/>
      <c r="T145" s="423"/>
      <c r="U145" s="423"/>
      <c r="V145" s="423"/>
      <c r="W145" s="423"/>
      <c r="X145" s="423"/>
      <c r="Y145" s="423"/>
      <c r="Z145" s="352"/>
      <c r="AA145" s="352"/>
    </row>
    <row r="146" spans="2:27" x14ac:dyDescent="0.25">
      <c r="E146" s="295" t="s">
        <v>50</v>
      </c>
      <c r="G146" s="295" t="s">
        <v>183</v>
      </c>
      <c r="H146" s="352"/>
      <c r="I146" s="352"/>
      <c r="J146" s="421">
        <f>'Initial unit rates'!J144</f>
        <v>0.10746345745071476</v>
      </c>
      <c r="K146" s="421">
        <f>'Initial unit rates'!K144</f>
        <v>0</v>
      </c>
      <c r="L146" s="421">
        <f>'Initial unit rates'!L144</f>
        <v>8.5542761650214696E-2</v>
      </c>
      <c r="M146" s="421">
        <f>'Initial unit rates'!M144</f>
        <v>0</v>
      </c>
      <c r="N146" s="421">
        <f>'Initial unit rates'!N144</f>
        <v>7.5621025748262932E-2</v>
      </c>
      <c r="O146" s="421">
        <f>'Initial unit rates'!O144</f>
        <v>0</v>
      </c>
      <c r="P146" s="421">
        <f>'Initial unit rates'!P144</f>
        <v>0</v>
      </c>
      <c r="Q146" s="421">
        <f>'Initial unit rates'!Q144</f>
        <v>0.10839656610148997</v>
      </c>
      <c r="R146" s="423"/>
      <c r="S146" s="423"/>
      <c r="T146" s="423"/>
      <c r="U146" s="423"/>
      <c r="V146" s="423"/>
      <c r="W146" s="423"/>
      <c r="X146" s="423"/>
      <c r="Y146" s="423"/>
      <c r="Z146" s="352"/>
      <c r="AA146" s="352"/>
    </row>
    <row r="147" spans="2:27" x14ac:dyDescent="0.25">
      <c r="E147" s="295" t="s">
        <v>124</v>
      </c>
      <c r="G147" s="295" t="s">
        <v>183</v>
      </c>
      <c r="H147" s="352"/>
      <c r="I147" s="352"/>
      <c r="J147" s="423"/>
      <c r="K147" s="423"/>
      <c r="L147" s="423"/>
      <c r="M147" s="423"/>
      <c r="N147" s="423"/>
      <c r="O147" s="423"/>
      <c r="P147" s="423"/>
      <c r="Q147" s="423"/>
      <c r="R147" s="423"/>
      <c r="S147" s="423"/>
      <c r="T147" s="423"/>
      <c r="U147" s="423"/>
      <c r="V147" s="423"/>
      <c r="W147" s="423"/>
      <c r="X147" s="423"/>
      <c r="Y147" s="423"/>
      <c r="Z147" s="352"/>
      <c r="AA147" s="352"/>
    </row>
    <row r="148" spans="2:27" x14ac:dyDescent="0.25">
      <c r="E148" s="93" t="s">
        <v>123</v>
      </c>
      <c r="F148" s="93"/>
      <c r="G148" s="93" t="s">
        <v>183</v>
      </c>
      <c r="H148" s="354"/>
      <c r="I148" s="354"/>
      <c r="J148" s="359"/>
      <c r="K148" s="359"/>
      <c r="L148" s="359"/>
      <c r="M148" s="359"/>
      <c r="N148" s="359"/>
      <c r="O148" s="359"/>
      <c r="P148" s="359"/>
      <c r="Q148" s="359"/>
      <c r="R148" s="359"/>
      <c r="S148" s="359"/>
      <c r="T148" s="359"/>
      <c r="U148" s="359"/>
      <c r="V148" s="359"/>
      <c r="W148" s="359"/>
      <c r="X148" s="359"/>
      <c r="Y148" s="359"/>
      <c r="Z148" s="352"/>
      <c r="AA148" s="352"/>
    </row>
    <row r="149" spans="2:27" x14ac:dyDescent="0.25">
      <c r="D149" s="295"/>
      <c r="E149" s="295"/>
      <c r="J149" s="253"/>
      <c r="K149" s="253"/>
      <c r="L149" s="253"/>
      <c r="M149" s="253"/>
      <c r="N149" s="253"/>
      <c r="O149" s="253"/>
      <c r="P149" s="253"/>
      <c r="Q149" s="253"/>
      <c r="R149" s="253"/>
      <c r="S149" s="253"/>
      <c r="T149" s="253"/>
      <c r="U149" s="253"/>
      <c r="V149" s="253"/>
      <c r="W149" s="253"/>
      <c r="X149" s="253"/>
      <c r="Y149" s="253"/>
    </row>
    <row r="150" spans="2:27" x14ac:dyDescent="0.25">
      <c r="B150" s="95" t="s">
        <v>464</v>
      </c>
      <c r="C150" s="95"/>
      <c r="D150" s="95"/>
      <c r="E150" s="95"/>
      <c r="F150" s="95"/>
      <c r="G150" s="95"/>
      <c r="H150" s="95"/>
      <c r="I150" s="95"/>
      <c r="J150" s="282"/>
      <c r="K150" s="282"/>
      <c r="L150" s="282"/>
      <c r="M150" s="282"/>
      <c r="N150" s="282"/>
      <c r="O150" s="282"/>
      <c r="P150" s="282"/>
      <c r="Q150" s="282"/>
      <c r="R150" s="282"/>
      <c r="S150" s="282"/>
      <c r="T150" s="282"/>
      <c r="U150" s="282"/>
      <c r="V150" s="282"/>
      <c r="W150" s="282"/>
      <c r="X150" s="282"/>
      <c r="Y150" s="282"/>
      <c r="Z150" s="95"/>
      <c r="AA150" s="95"/>
    </row>
    <row r="151" spans="2:27" x14ac:dyDescent="0.25">
      <c r="C151" s="69"/>
      <c r="D151" s="295"/>
      <c r="E151" s="295"/>
      <c r="J151" s="253"/>
      <c r="K151" s="253"/>
      <c r="L151" s="253"/>
      <c r="M151" s="253"/>
      <c r="N151" s="253"/>
      <c r="O151" s="253"/>
      <c r="P151" s="253"/>
      <c r="Q151" s="253"/>
      <c r="R151" s="253"/>
      <c r="S151" s="253"/>
      <c r="T151" s="253"/>
      <c r="U151" s="253"/>
      <c r="V151" s="253"/>
      <c r="W151" s="253"/>
      <c r="X151" s="253"/>
      <c r="Y151" s="253"/>
    </row>
    <row r="152" spans="2:27" x14ac:dyDescent="0.25">
      <c r="C152" s="82" t="s">
        <v>648</v>
      </c>
      <c r="D152" s="295"/>
      <c r="E152" s="295"/>
      <c r="J152" s="253"/>
      <c r="K152" s="253"/>
      <c r="L152" s="253"/>
      <c r="M152" s="253"/>
      <c r="N152" s="253"/>
      <c r="O152" s="253"/>
      <c r="P152" s="253"/>
      <c r="Q152" s="253"/>
      <c r="R152" s="253"/>
      <c r="S152" s="253"/>
      <c r="T152" s="253"/>
      <c r="U152" s="253"/>
      <c r="V152" s="253"/>
      <c r="W152" s="253"/>
      <c r="X152" s="253"/>
      <c r="Y152" s="253"/>
    </row>
    <row r="153" spans="2:27" x14ac:dyDescent="0.25">
      <c r="C153" s="82" t="s">
        <v>649</v>
      </c>
      <c r="D153" s="295"/>
      <c r="E153" s="295"/>
      <c r="J153" s="253"/>
      <c r="K153" s="253"/>
      <c r="L153" s="253"/>
      <c r="M153" s="253"/>
      <c r="N153" s="253"/>
      <c r="O153" s="253"/>
      <c r="P153" s="253"/>
      <c r="Q153" s="253"/>
      <c r="R153" s="253"/>
      <c r="S153" s="253"/>
      <c r="T153" s="253"/>
      <c r="U153" s="253"/>
      <c r="V153" s="253"/>
      <c r="W153" s="253"/>
      <c r="X153" s="253"/>
      <c r="Y153" s="253"/>
    </row>
    <row r="154" spans="2:27" x14ac:dyDescent="0.25">
      <c r="C154" s="69"/>
      <c r="D154" s="295"/>
      <c r="E154" s="295"/>
      <c r="J154" s="253"/>
      <c r="K154" s="253"/>
      <c r="L154" s="253"/>
      <c r="M154" s="253"/>
      <c r="N154" s="253"/>
      <c r="O154" s="253"/>
      <c r="P154" s="253"/>
      <c r="Q154" s="253"/>
      <c r="R154" s="253"/>
      <c r="S154" s="253"/>
      <c r="T154" s="253"/>
      <c r="U154" s="253"/>
      <c r="V154" s="253"/>
      <c r="W154" s="253"/>
      <c r="X154" s="253"/>
      <c r="Y154" s="253"/>
    </row>
    <row r="155" spans="2:27" x14ac:dyDescent="0.25">
      <c r="C155" s="7" t="str">
        <f ca="1">INDEX('Version control'!$H$34:$H$58,MATCH($A$1,'Version control'!$F$34:$F$58,0),1)&amp;"-C: Yardstick charge used for generation"</f>
        <v>Section 515-C: Yardstick charge used for generation</v>
      </c>
      <c r="D155" s="7"/>
      <c r="E155" s="7"/>
      <c r="F155" s="7"/>
      <c r="G155" s="7"/>
      <c r="H155" s="7"/>
      <c r="I155" s="7"/>
      <c r="J155" s="243"/>
      <c r="K155" s="243"/>
      <c r="L155" s="243"/>
      <c r="M155" s="243"/>
      <c r="N155" s="243"/>
      <c r="O155" s="243"/>
      <c r="P155" s="243"/>
      <c r="Q155" s="243"/>
      <c r="R155" s="243"/>
      <c r="S155" s="243"/>
      <c r="T155" s="243"/>
      <c r="U155" s="243"/>
      <c r="V155" s="243"/>
      <c r="W155" s="243"/>
      <c r="X155" s="243"/>
      <c r="Y155" s="243"/>
      <c r="Z155" s="7"/>
      <c r="AA155" s="7"/>
    </row>
    <row r="156" spans="2:27" x14ac:dyDescent="0.25">
      <c r="D156" s="96"/>
      <c r="E156" s="96"/>
      <c r="I156" s="295" t="s">
        <v>431</v>
      </c>
      <c r="J156" s="253"/>
      <c r="K156" s="253"/>
      <c r="L156" s="253"/>
      <c r="M156" s="253"/>
      <c r="N156" s="253"/>
      <c r="O156" s="253"/>
      <c r="P156" s="253"/>
      <c r="Q156" s="253"/>
      <c r="R156" s="253"/>
      <c r="S156" s="253"/>
      <c r="T156" s="253"/>
      <c r="U156" s="253"/>
      <c r="V156" s="253"/>
      <c r="W156" s="253"/>
      <c r="X156" s="253"/>
      <c r="Y156" s="253"/>
      <c r="AA156" s="295" t="s">
        <v>840</v>
      </c>
    </row>
    <row r="157" spans="2:27" x14ac:dyDescent="0.25">
      <c r="D157" s="295"/>
      <c r="E157" s="96" t="s">
        <v>139</v>
      </c>
      <c r="J157" s="253"/>
      <c r="K157" s="253"/>
      <c r="L157" s="253"/>
      <c r="M157" s="253"/>
      <c r="N157" s="253"/>
      <c r="O157" s="253"/>
      <c r="P157" s="253"/>
      <c r="Q157" s="253"/>
      <c r="R157" s="253"/>
      <c r="S157" s="253"/>
      <c r="T157" s="253"/>
      <c r="U157" s="253"/>
      <c r="V157" s="253"/>
      <c r="W157" s="253"/>
      <c r="X157" s="253"/>
      <c r="Y157" s="253"/>
    </row>
    <row r="158" spans="2:27" x14ac:dyDescent="0.25">
      <c r="D158" s="295"/>
      <c r="F158" s="91" t="s">
        <v>324</v>
      </c>
      <c r="G158" s="91" t="s">
        <v>183</v>
      </c>
      <c r="H158" s="350"/>
      <c r="I158" s="350"/>
      <c r="J158" s="362"/>
      <c r="K158" s="362"/>
      <c r="L158" s="362"/>
      <c r="M158" s="362"/>
      <c r="N158" s="362"/>
      <c r="O158" s="362"/>
      <c r="P158" s="362"/>
      <c r="Q158" s="362"/>
      <c r="R158" s="362"/>
      <c r="S158" s="362"/>
      <c r="T158" s="362"/>
      <c r="U158" s="362"/>
      <c r="V158" s="362"/>
      <c r="W158" s="362"/>
      <c r="X158" s="362"/>
      <c r="Y158" s="362"/>
      <c r="Z158" s="352"/>
      <c r="AA158" s="352"/>
    </row>
    <row r="159" spans="2:27" x14ac:dyDescent="0.25">
      <c r="D159" s="295"/>
      <c r="F159" s="295" t="s">
        <v>43</v>
      </c>
      <c r="G159" s="295" t="s">
        <v>183</v>
      </c>
      <c r="H159" s="352"/>
      <c r="I159" s="352"/>
      <c r="J159" s="423"/>
      <c r="K159" s="423"/>
      <c r="L159" s="423"/>
      <c r="M159" s="423"/>
      <c r="N159" s="423"/>
      <c r="O159" s="423"/>
      <c r="P159" s="423"/>
      <c r="Q159" s="423"/>
      <c r="R159" s="423"/>
      <c r="S159" s="423"/>
      <c r="T159" s="423"/>
      <c r="U159" s="423"/>
      <c r="V159" s="423"/>
      <c r="W159" s="423"/>
      <c r="X159" s="423"/>
      <c r="Y159" s="423"/>
      <c r="Z159" s="352"/>
      <c r="AA159" s="352"/>
    </row>
    <row r="160" spans="2:27" x14ac:dyDescent="0.25">
      <c r="D160" s="295"/>
      <c r="F160" s="295" t="s">
        <v>44</v>
      </c>
      <c r="G160" s="295" t="s">
        <v>183</v>
      </c>
      <c r="H160" s="352"/>
      <c r="I160" s="352"/>
      <c r="J160" s="423"/>
      <c r="K160" s="423"/>
      <c r="L160" s="423"/>
      <c r="M160" s="423"/>
      <c r="N160" s="423"/>
      <c r="O160" s="423"/>
      <c r="P160" s="423"/>
      <c r="Q160" s="423"/>
      <c r="R160" s="422">
        <f t="shared" ref="R160:S160" si="0">hundred * $H51 * R95 / $H37 * (1 - R109) / hours_in_year</f>
        <v>0</v>
      </c>
      <c r="S160" s="422">
        <f t="shared" si="0"/>
        <v>0</v>
      </c>
      <c r="T160" s="422">
        <f t="shared" ref="T160:U160" si="1">hundred * $H51 * T95 / $H37 * (1 - T109) / hours_in_year</f>
        <v>0</v>
      </c>
      <c r="U160" s="422">
        <f t="shared" si="1"/>
        <v>0</v>
      </c>
      <c r="V160" s="422">
        <f t="shared" ref="V160:W160" si="2">hundred * $H51 * V95 / $H37 * (1 - V109) / hours_in_year</f>
        <v>0</v>
      </c>
      <c r="W160" s="422">
        <f t="shared" si="2"/>
        <v>0</v>
      </c>
      <c r="X160" s="422">
        <f t="shared" ref="X160:Y160" si="3">hundred * $H51 * X95 / $H37 * (1 - X109) / hours_in_year</f>
        <v>0</v>
      </c>
      <c r="Y160" s="422">
        <f t="shared" si="3"/>
        <v>0</v>
      </c>
      <c r="Z160" s="352"/>
      <c r="AA160" s="352"/>
    </row>
    <row r="161" spans="5:27" s="295" customFormat="1" x14ac:dyDescent="0.25">
      <c r="E161" s="98"/>
      <c r="F161" s="295" t="s">
        <v>45</v>
      </c>
      <c r="G161" s="295" t="s">
        <v>183</v>
      </c>
      <c r="H161" s="352"/>
      <c r="I161" s="352"/>
      <c r="J161" s="423"/>
      <c r="K161" s="423"/>
      <c r="L161" s="423"/>
      <c r="M161" s="423"/>
      <c r="N161" s="423"/>
      <c r="O161" s="423"/>
      <c r="P161" s="423"/>
      <c r="Q161" s="423"/>
      <c r="R161" s="422">
        <f t="shared" ref="R161:S161" si="4">hundred * $H52 * R96 / $H38 * (1 - R110) / hours_in_year</f>
        <v>0</v>
      </c>
      <c r="S161" s="422">
        <f t="shared" si="4"/>
        <v>0</v>
      </c>
      <c r="T161" s="422">
        <f t="shared" ref="T161:U161" si="5">hundred * $H52 * T96 / $H38 * (1 - T110) / hours_in_year</f>
        <v>0</v>
      </c>
      <c r="U161" s="422">
        <f t="shared" si="5"/>
        <v>0</v>
      </c>
      <c r="V161" s="422">
        <f t="shared" ref="V161:W161" si="6">hundred * $H52 * V96 / $H38 * (1 - V110) / hours_in_year</f>
        <v>0</v>
      </c>
      <c r="W161" s="422">
        <f t="shared" si="6"/>
        <v>0</v>
      </c>
      <c r="X161" s="422">
        <f t="shared" ref="X161:Y161" si="7">hundred * $H52 * X96 / $H38 * (1 - X110) / hours_in_year</f>
        <v>0</v>
      </c>
      <c r="Y161" s="422">
        <f t="shared" si="7"/>
        <v>0</v>
      </c>
      <c r="Z161" s="352"/>
      <c r="AA161" s="352"/>
    </row>
    <row r="162" spans="5:27" s="295" customFormat="1" x14ac:dyDescent="0.25">
      <c r="E162" s="98"/>
      <c r="F162" s="295" t="s">
        <v>46</v>
      </c>
      <c r="G162" s="295" t="s">
        <v>183</v>
      </c>
      <c r="H162" s="352"/>
      <c r="I162" s="352"/>
      <c r="J162" s="423"/>
      <c r="K162" s="423"/>
      <c r="L162" s="423"/>
      <c r="M162" s="423"/>
      <c r="N162" s="423"/>
      <c r="O162" s="423"/>
      <c r="P162" s="423"/>
      <c r="Q162" s="423"/>
      <c r="R162" s="422">
        <f t="shared" ref="R162:S162" si="8">hundred * $H53 * R97 / $H39 * (1 - R111) / hours_in_year</f>
        <v>-0.15578010249269109</v>
      </c>
      <c r="S162" s="422">
        <f t="shared" si="8"/>
        <v>-0.14811878597665709</v>
      </c>
      <c r="T162" s="422">
        <f t="shared" ref="T162:U162" si="9">hundred * $H53 * T97 / $H39 * (1 - T111) / hours_in_year</f>
        <v>-0.15578010249269109</v>
      </c>
      <c r="U162" s="422">
        <f t="shared" si="9"/>
        <v>-0.15578010249269109</v>
      </c>
      <c r="V162" s="422">
        <f t="shared" ref="V162:W162" si="10">hundred * $H53 * V97 / $H39 * (1 - V111) / hours_in_year</f>
        <v>-0.14811878597665709</v>
      </c>
      <c r="W162" s="422">
        <f t="shared" si="10"/>
        <v>-0.14811878597665709</v>
      </c>
      <c r="X162" s="422">
        <f t="shared" ref="X162:Y162" si="11">hundred * $H53 * X97 / $H39 * (1 - X111) / hours_in_year</f>
        <v>-0.1410378722269893</v>
      </c>
      <c r="Y162" s="422">
        <f t="shared" si="11"/>
        <v>-0.1410378722269893</v>
      </c>
      <c r="Z162" s="352"/>
      <c r="AA162" s="352"/>
    </row>
    <row r="163" spans="5:27" s="295" customFormat="1" x14ac:dyDescent="0.25">
      <c r="E163" s="98"/>
      <c r="F163" s="295" t="s">
        <v>47</v>
      </c>
      <c r="G163" s="295" t="s">
        <v>183</v>
      </c>
      <c r="H163" s="352"/>
      <c r="I163" s="352"/>
      <c r="J163" s="423"/>
      <c r="K163" s="423"/>
      <c r="L163" s="423"/>
      <c r="M163" s="423"/>
      <c r="N163" s="423"/>
      <c r="O163" s="423"/>
      <c r="P163" s="423"/>
      <c r="Q163" s="423"/>
      <c r="R163" s="422">
        <f t="shared" ref="R163:S163" si="12">hundred * $H54 * R98 / $H40 * (1 - R112) / hours_in_year</f>
        <v>-3.9917858854397206E-2</v>
      </c>
      <c r="S163" s="422">
        <f t="shared" si="12"/>
        <v>-3.7954685468115375E-2</v>
      </c>
      <c r="T163" s="422">
        <f t="shared" ref="T163:U163" si="13">hundred * $H54 * T98 / $H40 * (1 - T112) / hours_in_year</f>
        <v>-3.9917858854397206E-2</v>
      </c>
      <c r="U163" s="422">
        <f t="shared" si="13"/>
        <v>-3.9917858854397206E-2</v>
      </c>
      <c r="V163" s="422">
        <f t="shared" ref="V163:W163" si="14">hundred * $H54 * V98 / $H40 * (1 - V112) / hours_in_year</f>
        <v>-3.7954685468115375E-2</v>
      </c>
      <c r="W163" s="422">
        <f t="shared" si="14"/>
        <v>-3.7954685468115375E-2</v>
      </c>
      <c r="X163" s="422">
        <f t="shared" ref="X163:Y163" si="15">hundred * $H54 * X98 / $H40 * (1 - X112) / hours_in_year</f>
        <v>-3.1999079761388223E-2</v>
      </c>
      <c r="Y163" s="422">
        <f t="shared" si="15"/>
        <v>-3.1999079761388223E-2</v>
      </c>
      <c r="Z163" s="352"/>
      <c r="AA163" s="352"/>
    </row>
    <row r="164" spans="5:27" s="295" customFormat="1" x14ac:dyDescent="0.25">
      <c r="E164" s="98"/>
      <c r="F164" s="295" t="s">
        <v>51</v>
      </c>
      <c r="G164" s="295" t="s">
        <v>183</v>
      </c>
      <c r="H164" s="352"/>
      <c r="I164" s="352"/>
      <c r="J164" s="423"/>
      <c r="K164" s="423"/>
      <c r="L164" s="423"/>
      <c r="M164" s="423"/>
      <c r="N164" s="423"/>
      <c r="O164" s="423"/>
      <c r="P164" s="423"/>
      <c r="Q164" s="423"/>
      <c r="R164" s="422">
        <f t="shared" ref="R164:S164" si="16">hundred * $H55 * R99 / $H41 * (1 - R113) / hours_in_year</f>
        <v>0</v>
      </c>
      <c r="S164" s="422">
        <f t="shared" si="16"/>
        <v>0</v>
      </c>
      <c r="T164" s="422">
        <f t="shared" ref="T164:U164" si="17">hundred * $H55 * T99 / $H41 * (1 - T113) / hours_in_year</f>
        <v>0</v>
      </c>
      <c r="U164" s="422">
        <f t="shared" si="17"/>
        <v>0</v>
      </c>
      <c r="V164" s="422">
        <f t="shared" ref="V164:W164" si="18">hundred * $H55 * V99 / $H41 * (1 - V113) / hours_in_year</f>
        <v>0</v>
      </c>
      <c r="W164" s="422">
        <f t="shared" si="18"/>
        <v>0</v>
      </c>
      <c r="X164" s="422">
        <f t="shared" ref="X164:Y164" si="19">hundred * $H55 * X99 / $H41 * (1 - X113) / hours_in_year</f>
        <v>0</v>
      </c>
      <c r="Y164" s="422">
        <f t="shared" si="19"/>
        <v>0</v>
      </c>
      <c r="Z164" s="352"/>
      <c r="AA164" s="352"/>
    </row>
    <row r="165" spans="5:27" s="295" customFormat="1" x14ac:dyDescent="0.25">
      <c r="E165" s="98"/>
      <c r="F165" s="295" t="s">
        <v>48</v>
      </c>
      <c r="G165" s="295" t="s">
        <v>183</v>
      </c>
      <c r="H165" s="352"/>
      <c r="I165" s="352"/>
      <c r="J165" s="423"/>
      <c r="K165" s="423"/>
      <c r="L165" s="423"/>
      <c r="M165" s="423"/>
      <c r="N165" s="423"/>
      <c r="O165" s="423"/>
      <c r="P165" s="423"/>
      <c r="Q165" s="423"/>
      <c r="R165" s="422">
        <f t="shared" ref="R165:S165" si="20">hundred * $H56 * R100 / $H42 * (1 - R114) / hours_in_year</f>
        <v>-0.13727023487404083</v>
      </c>
      <c r="S165" s="422">
        <f t="shared" si="20"/>
        <v>-0.13051923971630108</v>
      </c>
      <c r="T165" s="422">
        <f t="shared" ref="T165:U165" si="21">hundred * $H56 * T100 / $H42 * (1 - T114) / hours_in_year</f>
        <v>-0.13727023487404083</v>
      </c>
      <c r="U165" s="422">
        <f t="shared" si="21"/>
        <v>-0.13727023487404083</v>
      </c>
      <c r="V165" s="422">
        <f t="shared" ref="V165:W165" si="22">hundred * $H56 * V100 / $H42 * (1 - V114) / hours_in_year</f>
        <v>-0.13051923971630108</v>
      </c>
      <c r="W165" s="422">
        <f t="shared" si="22"/>
        <v>-0.13051923971630108</v>
      </c>
      <c r="X165" s="422">
        <f t="shared" ref="X165:Y165" si="23">hundred * $H56 * X100 / $H42 * (1 - X114) / hours_in_year</f>
        <v>-8.8021403993619282E-2</v>
      </c>
      <c r="Y165" s="422">
        <f t="shared" si="23"/>
        <v>-8.8021403993619282E-2</v>
      </c>
      <c r="Z165" s="352"/>
      <c r="AA165" s="352"/>
    </row>
    <row r="166" spans="5:27" s="295" customFormat="1" x14ac:dyDescent="0.25">
      <c r="E166" s="98"/>
      <c r="F166" s="295" t="s">
        <v>49</v>
      </c>
      <c r="G166" s="295" t="s">
        <v>183</v>
      </c>
      <c r="H166" s="352"/>
      <c r="I166" s="352"/>
      <c r="J166" s="423"/>
      <c r="K166" s="423"/>
      <c r="L166" s="423"/>
      <c r="M166" s="423"/>
      <c r="N166" s="423"/>
      <c r="O166" s="423"/>
      <c r="P166" s="423"/>
      <c r="Q166" s="423"/>
      <c r="R166" s="422">
        <f t="shared" ref="R166:S166" si="24">hundred * $H57 * R101 / $H43 * (1 - R115) / hours_in_year</f>
        <v>-3.1520426845242575E-2</v>
      </c>
      <c r="S166" s="422">
        <f t="shared" si="24"/>
        <v>-2.997024191842736E-2</v>
      </c>
      <c r="T166" s="422">
        <f t="shared" ref="T166:U166" si="25">hundred * $H57 * T101 / $H43 * (1 - T115) / hours_in_year</f>
        <v>-3.1520426845242575E-2</v>
      </c>
      <c r="U166" s="422">
        <f t="shared" si="25"/>
        <v>-3.1520426845242575E-2</v>
      </c>
      <c r="V166" s="422">
        <f t="shared" ref="V166:W166" si="26">hundred * $H57 * V101 / $H43 * (1 - V115) / hours_in_year</f>
        <v>-2.997024191842736E-2</v>
      </c>
      <c r="W166" s="422">
        <f t="shared" si="26"/>
        <v>-2.997024191842736E-2</v>
      </c>
      <c r="X166" s="422">
        <f t="shared" ref="X166:Y166" si="27">hundred * $H57 * X101 / $H43 * (1 - X115) / hours_in_year</f>
        <v>0</v>
      </c>
      <c r="Y166" s="422">
        <f t="shared" si="27"/>
        <v>0</v>
      </c>
      <c r="Z166" s="352"/>
      <c r="AA166" s="352"/>
    </row>
    <row r="167" spans="5:27" s="295" customFormat="1" x14ac:dyDescent="0.25">
      <c r="E167" s="98"/>
      <c r="F167" s="295" t="s">
        <v>50</v>
      </c>
      <c r="G167" s="295" t="s">
        <v>183</v>
      </c>
      <c r="H167" s="352"/>
      <c r="I167" s="352"/>
      <c r="J167" s="423"/>
      <c r="K167" s="423"/>
      <c r="L167" s="423"/>
      <c r="M167" s="423"/>
      <c r="N167" s="423"/>
      <c r="O167" s="423"/>
      <c r="P167" s="423"/>
      <c r="Q167" s="423"/>
      <c r="R167" s="422">
        <f t="shared" ref="R167:S167" si="28">hundred * $H58 * R102 / $H44 * (1 - R116) / hours_in_year</f>
        <v>-5.5378297829985776E-3</v>
      </c>
      <c r="S167" s="422">
        <f t="shared" si="28"/>
        <v>0</v>
      </c>
      <c r="T167" s="422">
        <f t="shared" ref="T167:U167" si="29">hundred * $H58 * T102 / $H44 * (1 - T116) / hours_in_year</f>
        <v>-5.5378297829985776E-3</v>
      </c>
      <c r="U167" s="422">
        <f t="shared" si="29"/>
        <v>-5.5378297829985776E-3</v>
      </c>
      <c r="V167" s="422">
        <f t="shared" ref="V167:W167" si="30">hundred * $H58 * V102 / $H44 * (1 - V116) / hours_in_year</f>
        <v>0</v>
      </c>
      <c r="W167" s="422">
        <f t="shared" si="30"/>
        <v>0</v>
      </c>
      <c r="X167" s="422">
        <f t="shared" ref="X167:Y167" si="31">hundred * $H58 * X102 / $H44 * (1 - X116) / hours_in_year</f>
        <v>0</v>
      </c>
      <c r="Y167" s="422">
        <f t="shared" si="31"/>
        <v>0</v>
      </c>
      <c r="Z167" s="352"/>
      <c r="AA167" s="352"/>
    </row>
    <row r="168" spans="5:27" s="295" customFormat="1" x14ac:dyDescent="0.25">
      <c r="E168" s="98"/>
      <c r="F168" s="295" t="s">
        <v>124</v>
      </c>
      <c r="G168" s="295" t="s">
        <v>183</v>
      </c>
      <c r="H168" s="352"/>
      <c r="I168" s="352"/>
      <c r="J168" s="423"/>
      <c r="K168" s="423"/>
      <c r="L168" s="423"/>
      <c r="M168" s="423"/>
      <c r="N168" s="423"/>
      <c r="O168" s="423"/>
      <c r="P168" s="423"/>
      <c r="Q168" s="423"/>
      <c r="R168" s="423"/>
      <c r="S168" s="423"/>
      <c r="T168" s="423"/>
      <c r="U168" s="423"/>
      <c r="V168" s="423"/>
      <c r="W168" s="423"/>
      <c r="X168" s="423"/>
      <c r="Y168" s="423"/>
      <c r="Z168" s="352"/>
      <c r="AA168" s="352"/>
    </row>
    <row r="169" spans="5:27" s="295" customFormat="1" x14ac:dyDescent="0.25">
      <c r="E169" s="98"/>
      <c r="F169" s="93" t="s">
        <v>123</v>
      </c>
      <c r="G169" s="93" t="s">
        <v>183</v>
      </c>
      <c r="H169" s="354"/>
      <c r="I169" s="354"/>
      <c r="J169" s="359"/>
      <c r="K169" s="359"/>
      <c r="L169" s="359"/>
      <c r="M169" s="359"/>
      <c r="N169" s="359"/>
      <c r="O169" s="359"/>
      <c r="P169" s="359"/>
      <c r="Q169" s="359"/>
      <c r="R169" s="359"/>
      <c r="S169" s="359"/>
      <c r="T169" s="359"/>
      <c r="U169" s="359"/>
      <c r="V169" s="359"/>
      <c r="W169" s="359"/>
      <c r="X169" s="359"/>
      <c r="Y169" s="359"/>
      <c r="Z169" s="352"/>
      <c r="AA169" s="352"/>
    </row>
    <row r="170" spans="5:27" s="295" customFormat="1" x14ac:dyDescent="0.25">
      <c r="E170" s="98"/>
      <c r="J170" s="253"/>
      <c r="K170" s="253"/>
      <c r="L170" s="253"/>
      <c r="M170" s="253"/>
      <c r="N170" s="253"/>
      <c r="O170" s="253"/>
      <c r="P170" s="253"/>
      <c r="Q170" s="253"/>
      <c r="R170" s="253"/>
      <c r="S170" s="253"/>
      <c r="T170" s="253"/>
      <c r="U170" s="253"/>
      <c r="V170" s="253"/>
      <c r="W170" s="253"/>
      <c r="X170" s="253"/>
      <c r="Y170" s="253"/>
    </row>
    <row r="171" spans="5:27" s="295" customFormat="1" x14ac:dyDescent="0.25">
      <c r="E171" s="96" t="s">
        <v>116</v>
      </c>
      <c r="J171" s="253"/>
      <c r="K171" s="253"/>
      <c r="L171" s="253"/>
      <c r="M171" s="253"/>
      <c r="N171" s="253"/>
      <c r="O171" s="253"/>
      <c r="P171" s="253"/>
      <c r="Q171" s="253"/>
      <c r="R171" s="253"/>
      <c r="S171" s="253"/>
      <c r="T171" s="253"/>
      <c r="U171" s="253"/>
      <c r="V171" s="253"/>
      <c r="W171" s="253"/>
      <c r="X171" s="253"/>
      <c r="Y171" s="253"/>
    </row>
    <row r="172" spans="5:27" s="295" customFormat="1" x14ac:dyDescent="0.25">
      <c r="E172" s="98"/>
      <c r="F172" s="91" t="s">
        <v>324</v>
      </c>
      <c r="G172" s="91" t="s">
        <v>183</v>
      </c>
      <c r="H172" s="350"/>
      <c r="I172" s="350"/>
      <c r="J172" s="362"/>
      <c r="K172" s="362"/>
      <c r="L172" s="362"/>
      <c r="M172" s="362"/>
      <c r="N172" s="362"/>
      <c r="O172" s="362"/>
      <c r="P172" s="362"/>
      <c r="Q172" s="362"/>
      <c r="R172" s="363">
        <f t="shared" ref="R172:S172" si="32">hundred * $H63 * R93 / $H35 / hours_in_year</f>
        <v>-0.16266080083761941</v>
      </c>
      <c r="S172" s="363">
        <f t="shared" si="32"/>
        <v>-0.15466108932101516</v>
      </c>
      <c r="T172" s="363">
        <f t="shared" ref="T172:U172" si="33">hundred * $H63 * T93 / $H35 / hours_in_year</f>
        <v>-0.16266080083761941</v>
      </c>
      <c r="U172" s="363">
        <f t="shared" si="33"/>
        <v>-0.16266080083761941</v>
      </c>
      <c r="V172" s="363">
        <f t="shared" ref="V172:W172" si="34">hundred * $H63 * V93 / $H35 / hours_in_year</f>
        <v>-0.15466108932101516</v>
      </c>
      <c r="W172" s="363">
        <f t="shared" si="34"/>
        <v>-0.15466108932101516</v>
      </c>
      <c r="X172" s="363">
        <f t="shared" ref="X172:Y172" si="35">hundred * $H63 * X93 / $H35 / hours_in_year</f>
        <v>-0.1519945188154804</v>
      </c>
      <c r="Y172" s="363">
        <f t="shared" si="35"/>
        <v>-0.1519945188154804</v>
      </c>
      <c r="Z172" s="352"/>
      <c r="AA172" s="352"/>
    </row>
    <row r="173" spans="5:27" s="295" customFormat="1" x14ac:dyDescent="0.25">
      <c r="E173" s="98"/>
      <c r="F173" s="295" t="s">
        <v>43</v>
      </c>
      <c r="G173" s="295" t="s">
        <v>183</v>
      </c>
      <c r="H173" s="352"/>
      <c r="I173" s="352"/>
      <c r="J173" s="423"/>
      <c r="K173" s="423"/>
      <c r="L173" s="423"/>
      <c r="M173" s="423"/>
      <c r="N173" s="423"/>
      <c r="O173" s="423"/>
      <c r="P173" s="423"/>
      <c r="Q173" s="423"/>
      <c r="R173" s="422">
        <f t="shared" ref="R173:S173" si="36">hundred * $H64 * R94 / $H36 / hours_in_year</f>
        <v>0</v>
      </c>
      <c r="S173" s="422">
        <f t="shared" si="36"/>
        <v>0</v>
      </c>
      <c r="T173" s="422">
        <f t="shared" ref="T173:U173" si="37">hundred * $H64 * T94 / $H36 / hours_in_year</f>
        <v>0</v>
      </c>
      <c r="U173" s="422">
        <f t="shared" si="37"/>
        <v>0</v>
      </c>
      <c r="V173" s="422">
        <f t="shared" ref="V173:W173" si="38">hundred * $H64 * V94 / $H36 / hours_in_year</f>
        <v>0</v>
      </c>
      <c r="W173" s="422">
        <f t="shared" si="38"/>
        <v>0</v>
      </c>
      <c r="X173" s="422">
        <f t="shared" ref="X173:Y173" si="39">hundred * $H64 * X94 / $H36 / hours_in_year</f>
        <v>0</v>
      </c>
      <c r="Y173" s="422">
        <f t="shared" si="39"/>
        <v>0</v>
      </c>
      <c r="Z173" s="352"/>
      <c r="AA173" s="352"/>
    </row>
    <row r="174" spans="5:27" s="295" customFormat="1" x14ac:dyDescent="0.25">
      <c r="E174" s="98"/>
      <c r="F174" s="295" t="s">
        <v>44</v>
      </c>
      <c r="G174" s="295" t="s">
        <v>183</v>
      </c>
      <c r="H174" s="352"/>
      <c r="I174" s="352"/>
      <c r="J174" s="423"/>
      <c r="K174" s="423"/>
      <c r="L174" s="423"/>
      <c r="M174" s="423"/>
      <c r="N174" s="423"/>
      <c r="O174" s="423"/>
      <c r="P174" s="423"/>
      <c r="Q174" s="423"/>
      <c r="R174" s="422">
        <f t="shared" ref="R174:S174" si="40">hundred * $H65 * R95 / $H37 / hours_in_year</f>
        <v>0</v>
      </c>
      <c r="S174" s="422">
        <f t="shared" si="40"/>
        <v>0</v>
      </c>
      <c r="T174" s="422">
        <f t="shared" ref="T174:U174" si="41">hundred * $H65 * T95 / $H37 / hours_in_year</f>
        <v>0</v>
      </c>
      <c r="U174" s="422">
        <f t="shared" si="41"/>
        <v>0</v>
      </c>
      <c r="V174" s="422">
        <f t="shared" ref="V174:W174" si="42">hundred * $H65 * V95 / $H37 / hours_in_year</f>
        <v>0</v>
      </c>
      <c r="W174" s="422">
        <f t="shared" si="42"/>
        <v>0</v>
      </c>
      <c r="X174" s="422">
        <f t="shared" ref="X174:Y174" si="43">hundred * $H65 * X95 / $H37 / hours_in_year</f>
        <v>0</v>
      </c>
      <c r="Y174" s="422">
        <f t="shared" si="43"/>
        <v>0</v>
      </c>
      <c r="Z174" s="352"/>
      <c r="AA174" s="352"/>
    </row>
    <row r="175" spans="5:27" s="295" customFormat="1" x14ac:dyDescent="0.25">
      <c r="E175" s="98"/>
      <c r="F175" s="295" t="s">
        <v>45</v>
      </c>
      <c r="G175" s="295" t="s">
        <v>183</v>
      </c>
      <c r="H175" s="352"/>
      <c r="I175" s="352"/>
      <c r="J175" s="423"/>
      <c r="K175" s="423"/>
      <c r="L175" s="423"/>
      <c r="M175" s="423"/>
      <c r="N175" s="423"/>
      <c r="O175" s="423"/>
      <c r="P175" s="423"/>
      <c r="Q175" s="423"/>
      <c r="R175" s="422">
        <f t="shared" ref="R175:S175" si="44">hundred * $H66 * R96 / $H38 / hours_in_year</f>
        <v>0</v>
      </c>
      <c r="S175" s="422">
        <f t="shared" si="44"/>
        <v>0</v>
      </c>
      <c r="T175" s="422">
        <f t="shared" ref="T175:U175" si="45">hundred * $H66 * T96 / $H38 / hours_in_year</f>
        <v>0</v>
      </c>
      <c r="U175" s="422">
        <f t="shared" si="45"/>
        <v>0</v>
      </c>
      <c r="V175" s="422">
        <f t="shared" ref="V175:W175" si="46">hundred * $H66 * V96 / $H38 / hours_in_year</f>
        <v>0</v>
      </c>
      <c r="W175" s="422">
        <f t="shared" si="46"/>
        <v>0</v>
      </c>
      <c r="X175" s="422">
        <f t="shared" ref="X175:Y175" si="47">hundred * $H66 * X96 / $H38 / hours_in_year</f>
        <v>0</v>
      </c>
      <c r="Y175" s="422">
        <f t="shared" si="47"/>
        <v>0</v>
      </c>
      <c r="Z175" s="352"/>
      <c r="AA175" s="352"/>
    </row>
    <row r="176" spans="5:27" s="295" customFormat="1" x14ac:dyDescent="0.25">
      <c r="E176" s="98"/>
      <c r="F176" s="295" t="s">
        <v>46</v>
      </c>
      <c r="G176" s="295" t="s">
        <v>183</v>
      </c>
      <c r="H176" s="352"/>
      <c r="I176" s="352"/>
      <c r="J176" s="423"/>
      <c r="K176" s="423"/>
      <c r="L176" s="423"/>
      <c r="M176" s="423"/>
      <c r="N176" s="423"/>
      <c r="O176" s="423"/>
      <c r="P176" s="423"/>
      <c r="Q176" s="423"/>
      <c r="R176" s="422">
        <f t="shared" ref="R176:S176" si="48">hundred * $H67 * R97 / $H39 / hours_in_year</f>
        <v>-0.11512825419016834</v>
      </c>
      <c r="S176" s="422">
        <f t="shared" si="48"/>
        <v>-0.10946620890212727</v>
      </c>
      <c r="T176" s="422">
        <f t="shared" ref="T176:U176" si="49">hundred * $H67 * T97 / $H39 / hours_in_year</f>
        <v>-0.11512825419016834</v>
      </c>
      <c r="U176" s="422">
        <f t="shared" si="49"/>
        <v>-0.11512825419016834</v>
      </c>
      <c r="V176" s="422">
        <f t="shared" ref="V176:W176" si="50">hundred * $H67 * V97 / $H39 / hours_in_year</f>
        <v>-0.10946620890212727</v>
      </c>
      <c r="W176" s="422">
        <f t="shared" si="50"/>
        <v>-0.10946620890212727</v>
      </c>
      <c r="X176" s="422">
        <f t="shared" ref="X176:Y176" si="51">hundred * $H67 * X97 / $H39 / hours_in_year</f>
        <v>-0.10757886047278024</v>
      </c>
      <c r="Y176" s="422">
        <f t="shared" si="51"/>
        <v>-0.10757886047278024</v>
      </c>
      <c r="Z176" s="352"/>
      <c r="AA176" s="352"/>
    </row>
    <row r="177" spans="2:27" x14ac:dyDescent="0.25">
      <c r="D177" s="295"/>
      <c r="F177" s="295" t="s">
        <v>47</v>
      </c>
      <c r="G177" s="295" t="s">
        <v>183</v>
      </c>
      <c r="H177" s="352"/>
      <c r="I177" s="352"/>
      <c r="J177" s="423"/>
      <c r="K177" s="423"/>
      <c r="L177" s="423"/>
      <c r="M177" s="423"/>
      <c r="N177" s="423"/>
      <c r="O177" s="423"/>
      <c r="P177" s="423"/>
      <c r="Q177" s="423"/>
      <c r="R177" s="422">
        <f t="shared" ref="R177:S177" si="52">hundred * $H68 * R98 / $H40 / hours_in_year</f>
        <v>-2.9501029511339059E-2</v>
      </c>
      <c r="S177" s="422">
        <f t="shared" si="52"/>
        <v>-2.8050159207502711E-2</v>
      </c>
      <c r="T177" s="422">
        <f t="shared" ref="T177:U177" si="53">hundred * $H68 * T98 / $H40 / hours_in_year</f>
        <v>-2.9501029511339059E-2</v>
      </c>
      <c r="U177" s="422">
        <f t="shared" si="53"/>
        <v>-2.9501029511339059E-2</v>
      </c>
      <c r="V177" s="422">
        <f t="shared" ref="V177:W177" si="54">hundred * $H68 * V98 / $H40 / hours_in_year</f>
        <v>-2.8050159207502711E-2</v>
      </c>
      <c r="W177" s="422">
        <f t="shared" si="54"/>
        <v>-2.8050159207502711E-2</v>
      </c>
      <c r="X177" s="422">
        <f t="shared" ref="X177:Y177" si="55">hundred * $H68 * X98 / $H40 / hours_in_year</f>
        <v>-2.7566535772890595E-2</v>
      </c>
      <c r="Y177" s="422">
        <f t="shared" si="55"/>
        <v>-2.7566535772890595E-2</v>
      </c>
      <c r="Z177" s="352"/>
      <c r="AA177" s="352"/>
    </row>
    <row r="178" spans="2:27" x14ac:dyDescent="0.25">
      <c r="D178" s="295"/>
      <c r="F178" s="295" t="s">
        <v>51</v>
      </c>
      <c r="G178" s="295" t="s">
        <v>183</v>
      </c>
      <c r="H178" s="352"/>
      <c r="I178" s="352"/>
      <c r="J178" s="423"/>
      <c r="K178" s="423"/>
      <c r="L178" s="423"/>
      <c r="M178" s="423"/>
      <c r="N178" s="423"/>
      <c r="O178" s="423"/>
      <c r="P178" s="423"/>
      <c r="Q178" s="423"/>
      <c r="R178" s="422">
        <f t="shared" ref="R178:S178" si="56">hundred * $H69 * R99 / $H41 / hours_in_year</f>
        <v>0</v>
      </c>
      <c r="S178" s="422">
        <f t="shared" si="56"/>
        <v>0</v>
      </c>
      <c r="T178" s="422">
        <f t="shared" ref="T178:U178" si="57">hundred * $H69 * T99 / $H41 / hours_in_year</f>
        <v>0</v>
      </c>
      <c r="U178" s="422">
        <f t="shared" si="57"/>
        <v>0</v>
      </c>
      <c r="V178" s="422">
        <f t="shared" ref="V178:W178" si="58">hundred * $H69 * V99 / $H41 / hours_in_year</f>
        <v>0</v>
      </c>
      <c r="W178" s="422">
        <f t="shared" si="58"/>
        <v>0</v>
      </c>
      <c r="X178" s="422">
        <f t="shared" ref="X178:Y178" si="59">hundred * $H69 * X99 / $H41 / hours_in_year</f>
        <v>0</v>
      </c>
      <c r="Y178" s="422">
        <f t="shared" si="59"/>
        <v>0</v>
      </c>
      <c r="Z178" s="352"/>
      <c r="AA178" s="352"/>
    </row>
    <row r="179" spans="2:27" x14ac:dyDescent="0.25">
      <c r="D179" s="295"/>
      <c r="F179" s="295" t="s">
        <v>48</v>
      </c>
      <c r="G179" s="295" t="s">
        <v>183</v>
      </c>
      <c r="H179" s="352"/>
      <c r="I179" s="352"/>
      <c r="J179" s="423"/>
      <c r="K179" s="423"/>
      <c r="L179" s="423"/>
      <c r="M179" s="423"/>
      <c r="N179" s="423"/>
      <c r="O179" s="423"/>
      <c r="P179" s="423"/>
      <c r="Q179" s="423"/>
      <c r="R179" s="422">
        <f t="shared" ref="R179:S179" si="60">hundred * $H70 * R100 / $H42 / hours_in_year</f>
        <v>-0.1269142554165886</v>
      </c>
      <c r="S179" s="422">
        <f t="shared" si="60"/>
        <v>-0.12067257072396949</v>
      </c>
      <c r="T179" s="422">
        <f t="shared" ref="T179:U179" si="61">hundred * $H70 * T100 / $H42 / hours_in_year</f>
        <v>-0.1269142554165886</v>
      </c>
      <c r="U179" s="422">
        <f t="shared" si="61"/>
        <v>-0.1269142554165886</v>
      </c>
      <c r="V179" s="422">
        <f t="shared" ref="V179:W179" si="62">hundred * $H70 * V100 / $H42 / hours_in_year</f>
        <v>-0.12067257072396949</v>
      </c>
      <c r="W179" s="422">
        <f t="shared" si="62"/>
        <v>-0.12067257072396949</v>
      </c>
      <c r="X179" s="422">
        <f t="shared" ref="X179:Y179" si="63">hundred * $H70 * X100 / $H42 / hours_in_year</f>
        <v>-0.1185920091597631</v>
      </c>
      <c r="Y179" s="422">
        <f t="shared" si="63"/>
        <v>-0.1185920091597631</v>
      </c>
      <c r="Z179" s="352"/>
      <c r="AA179" s="352"/>
    </row>
    <row r="180" spans="2:27" x14ac:dyDescent="0.25">
      <c r="D180" s="295"/>
      <c r="F180" s="295" t="s">
        <v>49</v>
      </c>
      <c r="G180" s="295" t="s">
        <v>183</v>
      </c>
      <c r="H180" s="352"/>
      <c r="I180" s="352"/>
      <c r="J180" s="423"/>
      <c r="K180" s="423"/>
      <c r="L180" s="423"/>
      <c r="M180" s="423"/>
      <c r="N180" s="423"/>
      <c r="O180" s="423"/>
      <c r="P180" s="423"/>
      <c r="Q180" s="423"/>
      <c r="R180" s="422">
        <f t="shared" ref="R180:S180" si="64">hundred * $H71 * R101 / $H43 / hours_in_year</f>
        <v>-3.1897146017325434E-2</v>
      </c>
      <c r="S180" s="422">
        <f t="shared" si="64"/>
        <v>-3.0328433918112709E-2</v>
      </c>
      <c r="T180" s="422">
        <f t="shared" ref="T180:U180" si="65">hundred * $H71 * T101 / $H43 / hours_in_year</f>
        <v>-3.1897146017325434E-2</v>
      </c>
      <c r="U180" s="422">
        <f t="shared" si="65"/>
        <v>-3.1897146017325434E-2</v>
      </c>
      <c r="V180" s="422">
        <f t="shared" ref="V180:W180" si="66">hundred * $H71 * V101 / $H43 / hours_in_year</f>
        <v>-3.0328433918112709E-2</v>
      </c>
      <c r="W180" s="422">
        <f t="shared" si="66"/>
        <v>-3.0328433918112709E-2</v>
      </c>
      <c r="X180" s="422">
        <f t="shared" ref="X180:Y180" si="67">hundred * $H71 * X101 / $H43 / hours_in_year</f>
        <v>0</v>
      </c>
      <c r="Y180" s="422">
        <f t="shared" si="67"/>
        <v>0</v>
      </c>
      <c r="Z180" s="352"/>
      <c r="AA180" s="352"/>
    </row>
    <row r="181" spans="2:27" x14ac:dyDescent="0.25">
      <c r="D181" s="295"/>
      <c r="F181" s="295" t="s">
        <v>50</v>
      </c>
      <c r="G181" s="295" t="s">
        <v>183</v>
      </c>
      <c r="H181" s="352"/>
      <c r="I181" s="352"/>
      <c r="J181" s="423"/>
      <c r="K181" s="423"/>
      <c r="L181" s="423"/>
      <c r="M181" s="423"/>
      <c r="N181" s="423"/>
      <c r="O181" s="423"/>
      <c r="P181" s="423"/>
      <c r="Q181" s="423"/>
      <c r="R181" s="422">
        <f t="shared" ref="R181:S181" si="68">hundred * $H72 * R102 / $H44 / hours_in_year</f>
        <v>-5.3652008059592762E-2</v>
      </c>
      <c r="S181" s="422">
        <f t="shared" si="68"/>
        <v>0</v>
      </c>
      <c r="T181" s="422">
        <f t="shared" ref="T181:U181" si="69">hundred * $H72 * T102 / $H44 / hours_in_year</f>
        <v>-5.3652008059592762E-2</v>
      </c>
      <c r="U181" s="422">
        <f t="shared" si="69"/>
        <v>-5.3652008059592762E-2</v>
      </c>
      <c r="V181" s="422">
        <f t="shared" ref="V181:W181" si="70">hundred * $H72 * V102 / $H44 / hours_in_year</f>
        <v>0</v>
      </c>
      <c r="W181" s="422">
        <f t="shared" si="70"/>
        <v>0</v>
      </c>
      <c r="X181" s="422">
        <f t="shared" ref="X181:Y181" si="71">hundred * $H72 * X102 / $H44 / hours_in_year</f>
        <v>0</v>
      </c>
      <c r="Y181" s="422">
        <f t="shared" si="71"/>
        <v>0</v>
      </c>
      <c r="Z181" s="352"/>
      <c r="AA181" s="352"/>
    </row>
    <row r="182" spans="2:27" x14ac:dyDescent="0.25">
      <c r="D182" s="295"/>
      <c r="F182" s="295" t="s">
        <v>124</v>
      </c>
      <c r="G182" s="295" t="s">
        <v>183</v>
      </c>
      <c r="H182" s="352"/>
      <c r="I182" s="352"/>
      <c r="J182" s="423"/>
      <c r="K182" s="423"/>
      <c r="L182" s="423"/>
      <c r="M182" s="423"/>
      <c r="N182" s="423"/>
      <c r="O182" s="423"/>
      <c r="P182" s="423"/>
      <c r="Q182" s="423"/>
      <c r="R182" s="423"/>
      <c r="S182" s="423"/>
      <c r="T182" s="423"/>
      <c r="U182" s="423"/>
      <c r="V182" s="423"/>
      <c r="W182" s="423"/>
      <c r="X182" s="423"/>
      <c r="Y182" s="423"/>
      <c r="Z182" s="352"/>
      <c r="AA182" s="352"/>
    </row>
    <row r="183" spans="2:27" x14ac:dyDescent="0.25">
      <c r="D183" s="295"/>
      <c r="F183" s="93" t="s">
        <v>123</v>
      </c>
      <c r="G183" s="93" t="s">
        <v>183</v>
      </c>
      <c r="H183" s="354"/>
      <c r="I183" s="354"/>
      <c r="J183" s="359"/>
      <c r="K183" s="359"/>
      <c r="L183" s="359"/>
      <c r="M183" s="359"/>
      <c r="N183" s="359"/>
      <c r="O183" s="359"/>
      <c r="P183" s="359"/>
      <c r="Q183" s="359"/>
      <c r="R183" s="359"/>
      <c r="S183" s="359"/>
      <c r="T183" s="359"/>
      <c r="U183" s="359"/>
      <c r="V183" s="359"/>
      <c r="W183" s="359"/>
      <c r="X183" s="359"/>
      <c r="Y183" s="359"/>
      <c r="Z183" s="352"/>
      <c r="AA183" s="352"/>
    </row>
    <row r="184" spans="2:27" x14ac:dyDescent="0.25">
      <c r="D184" s="295"/>
      <c r="E184" s="295"/>
      <c r="J184" s="253"/>
      <c r="K184" s="253"/>
      <c r="L184" s="253"/>
      <c r="M184" s="253"/>
      <c r="N184" s="253"/>
      <c r="O184" s="253"/>
      <c r="P184" s="253"/>
      <c r="Q184" s="253"/>
      <c r="R184" s="253"/>
      <c r="S184" s="253"/>
      <c r="T184" s="253"/>
      <c r="U184" s="253"/>
      <c r="V184" s="253"/>
      <c r="W184" s="253"/>
      <c r="X184" s="253"/>
      <c r="Y184" s="253"/>
    </row>
    <row r="185" spans="2:27" x14ac:dyDescent="0.25">
      <c r="B185" s="95" t="s">
        <v>465</v>
      </c>
      <c r="C185" s="95"/>
      <c r="D185" s="95"/>
      <c r="E185" s="95"/>
      <c r="F185" s="95"/>
      <c r="G185" s="95"/>
      <c r="H185" s="95"/>
      <c r="I185" s="95"/>
      <c r="J185" s="282"/>
      <c r="K185" s="282"/>
      <c r="L185" s="282"/>
      <c r="M185" s="282"/>
      <c r="N185" s="282"/>
      <c r="O185" s="282"/>
      <c r="P185" s="282"/>
      <c r="Q185" s="282"/>
      <c r="R185" s="282"/>
      <c r="S185" s="282"/>
      <c r="T185" s="282"/>
      <c r="U185" s="282"/>
      <c r="V185" s="282"/>
      <c r="W185" s="282"/>
      <c r="X185" s="282"/>
      <c r="Y185" s="282"/>
      <c r="Z185" s="95"/>
      <c r="AA185" s="95"/>
    </row>
    <row r="186" spans="2:27" x14ac:dyDescent="0.25">
      <c r="B186" s="424"/>
      <c r="J186" s="253"/>
      <c r="K186" s="253"/>
      <c r="L186" s="253"/>
      <c r="M186" s="253"/>
      <c r="N186" s="253"/>
      <c r="O186" s="253"/>
      <c r="P186" s="253"/>
      <c r="Q186" s="253"/>
      <c r="R186" s="253"/>
      <c r="S186" s="253"/>
      <c r="T186" s="253"/>
      <c r="U186" s="253"/>
      <c r="V186" s="253"/>
      <c r="W186" s="253"/>
      <c r="X186" s="253"/>
      <c r="Y186" s="253"/>
    </row>
    <row r="187" spans="2:27" x14ac:dyDescent="0.25">
      <c r="B187" s="424"/>
      <c r="C187" s="82" t="s">
        <v>636</v>
      </c>
      <c r="J187" s="253"/>
      <c r="K187" s="253"/>
      <c r="L187" s="253"/>
      <c r="M187" s="253"/>
      <c r="N187" s="253"/>
      <c r="O187" s="253"/>
      <c r="P187" s="253"/>
      <c r="Q187" s="253"/>
      <c r="R187" s="253"/>
      <c r="S187" s="253"/>
      <c r="T187" s="253"/>
      <c r="U187" s="253"/>
      <c r="V187" s="253"/>
      <c r="W187" s="253"/>
      <c r="X187" s="253"/>
      <c r="Y187" s="253"/>
    </row>
    <row r="188" spans="2:27" x14ac:dyDescent="0.25">
      <c r="B188" s="424"/>
      <c r="C188" s="82" t="s">
        <v>841</v>
      </c>
      <c r="I188" s="295" t="s">
        <v>431</v>
      </c>
      <c r="J188" s="253"/>
      <c r="K188" s="253"/>
      <c r="L188" s="253"/>
      <c r="M188" s="253"/>
      <c r="N188" s="253"/>
      <c r="O188" s="253"/>
      <c r="P188" s="253"/>
      <c r="Q188" s="253"/>
      <c r="R188" s="253"/>
      <c r="S188" s="253"/>
      <c r="T188" s="253"/>
      <c r="U188" s="253"/>
      <c r="V188" s="253"/>
      <c r="W188" s="253"/>
      <c r="X188" s="253"/>
      <c r="Y188" s="253"/>
      <c r="AA188" s="295" t="s">
        <v>842</v>
      </c>
    </row>
    <row r="189" spans="2:27" x14ac:dyDescent="0.25">
      <c r="B189" s="424"/>
      <c r="J189" s="253"/>
      <c r="K189" s="253"/>
      <c r="L189" s="253"/>
      <c r="M189" s="253"/>
      <c r="N189" s="253"/>
      <c r="O189" s="253"/>
      <c r="P189" s="253"/>
      <c r="Q189" s="253"/>
      <c r="R189" s="253"/>
      <c r="S189" s="253"/>
      <c r="T189" s="253"/>
      <c r="U189" s="253"/>
      <c r="V189" s="253"/>
      <c r="W189" s="253"/>
      <c r="X189" s="253"/>
      <c r="Y189" s="253"/>
    </row>
    <row r="190" spans="2:27" x14ac:dyDescent="0.25">
      <c r="C190" s="7" t="str">
        <f ca="1">INDEX('Version control'!$H$34:$H$58,MATCH($A$1,'Version control'!$F$34:$F$58,0),1)&amp;"-D: Reactive power charges, all customer categories"</f>
        <v>Section 515-D: Reactive power charges, all customer categories</v>
      </c>
      <c r="D190" s="7"/>
      <c r="E190" s="7"/>
      <c r="F190" s="7"/>
      <c r="G190" s="7"/>
      <c r="H190" s="7"/>
      <c r="I190" s="7"/>
      <c r="J190" s="243"/>
      <c r="K190" s="243"/>
      <c r="L190" s="243"/>
      <c r="M190" s="243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43"/>
      <c r="Y190" s="243"/>
      <c r="Z190" s="7"/>
      <c r="AA190" s="7"/>
    </row>
    <row r="191" spans="2:27" x14ac:dyDescent="0.25">
      <c r="C191" s="96"/>
      <c r="D191" s="295"/>
      <c r="E191" s="96"/>
      <c r="I191" s="295" t="s">
        <v>431</v>
      </c>
      <c r="J191" s="253"/>
      <c r="K191" s="253"/>
      <c r="L191" s="253"/>
      <c r="M191" s="253"/>
      <c r="N191" s="253"/>
      <c r="O191" s="253"/>
      <c r="P191" s="253"/>
      <c r="Q191" s="253"/>
      <c r="R191" s="253"/>
      <c r="S191" s="253"/>
      <c r="T191" s="253"/>
      <c r="U191" s="253"/>
      <c r="V191" s="253"/>
      <c r="W191" s="253"/>
      <c r="X191" s="253"/>
      <c r="Y191" s="253"/>
      <c r="AA191" s="295" t="s">
        <v>915</v>
      </c>
    </row>
    <row r="192" spans="2:27" x14ac:dyDescent="0.25">
      <c r="E192" s="96" t="s">
        <v>139</v>
      </c>
      <c r="J192" s="253"/>
      <c r="K192" s="253"/>
      <c r="L192" s="253"/>
      <c r="M192" s="253"/>
      <c r="N192" s="253"/>
      <c r="O192" s="253"/>
      <c r="P192" s="253"/>
      <c r="Q192" s="253"/>
      <c r="R192" s="253"/>
      <c r="S192" s="253"/>
      <c r="T192" s="253"/>
      <c r="U192" s="253"/>
      <c r="V192" s="253"/>
      <c r="W192" s="253"/>
      <c r="X192" s="253"/>
      <c r="Y192" s="253"/>
    </row>
    <row r="193" spans="4:27" x14ac:dyDescent="0.25">
      <c r="F193" s="91" t="s">
        <v>324</v>
      </c>
      <c r="G193" s="91" t="s">
        <v>315</v>
      </c>
      <c r="H193" s="350"/>
      <c r="I193" s="350"/>
      <c r="J193" s="362"/>
      <c r="K193" s="362"/>
      <c r="L193" s="362"/>
      <c r="M193" s="362"/>
      <c r="N193" s="362"/>
      <c r="O193" s="362"/>
      <c r="P193" s="362"/>
      <c r="Q193" s="362"/>
      <c r="R193" s="362"/>
      <c r="S193" s="362"/>
      <c r="T193" s="362"/>
      <c r="U193" s="362"/>
      <c r="V193" s="362"/>
      <c r="W193" s="362"/>
      <c r="X193" s="362"/>
      <c r="Y193" s="362"/>
      <c r="Z193" s="352"/>
      <c r="AA193" s="352"/>
    </row>
    <row r="194" spans="4:27" x14ac:dyDescent="0.25">
      <c r="F194" s="295" t="s">
        <v>43</v>
      </c>
      <c r="G194" s="295" t="s">
        <v>315</v>
      </c>
      <c r="H194" s="352"/>
      <c r="I194" s="352"/>
      <c r="J194" s="423"/>
      <c r="K194" s="423"/>
      <c r="L194" s="423"/>
      <c r="M194" s="423"/>
      <c r="N194" s="423"/>
      <c r="O194" s="423"/>
      <c r="P194" s="423"/>
      <c r="Q194" s="423"/>
      <c r="R194" s="423"/>
      <c r="S194" s="423"/>
      <c r="T194" s="423"/>
      <c r="U194" s="423"/>
      <c r="V194" s="423"/>
      <c r="W194" s="423"/>
      <c r="X194" s="423"/>
      <c r="Y194" s="423"/>
      <c r="Z194" s="352"/>
      <c r="AA194" s="352"/>
    </row>
    <row r="195" spans="4:27" x14ac:dyDescent="0.25">
      <c r="F195" s="295" t="s">
        <v>44</v>
      </c>
      <c r="G195" s="295" t="s">
        <v>315</v>
      </c>
      <c r="H195" s="352"/>
      <c r="I195" s="352"/>
      <c r="J195" s="422">
        <f t="shared" ref="J195:K195" si="72">ABS(J125 + J160)*(1-J82)*PowerFactor*$H23</f>
        <v>0</v>
      </c>
      <c r="K195" s="422">
        <f t="shared" si="72"/>
        <v>0</v>
      </c>
      <c r="L195" s="422">
        <f t="shared" ref="L195:M195" si="73">ABS(L125 + L160)*(1-L82)*PowerFactor*$H23</f>
        <v>0</v>
      </c>
      <c r="M195" s="422">
        <f t="shared" si="73"/>
        <v>0</v>
      </c>
      <c r="N195" s="422">
        <f t="shared" ref="N195:P195" si="74">ABS(N125 + N160)*(1-N82)*PowerFactor*$H23</f>
        <v>0</v>
      </c>
      <c r="O195" s="422">
        <f t="shared" si="74"/>
        <v>0</v>
      </c>
      <c r="P195" s="422">
        <f t="shared" si="74"/>
        <v>0</v>
      </c>
      <c r="Q195" s="422">
        <f t="shared" ref="Q195:S195" si="75">ABS(Q125 + Q160)*(1-Q82)*PowerFactor*$H23</f>
        <v>0</v>
      </c>
      <c r="R195" s="422">
        <f t="shared" si="75"/>
        <v>0</v>
      </c>
      <c r="S195" s="422">
        <f t="shared" si="75"/>
        <v>0</v>
      </c>
      <c r="T195" s="422">
        <f t="shared" ref="T195:U195" si="76">ABS(T125 + T160)*(1-T82)*PowerFactor*$H23</f>
        <v>0</v>
      </c>
      <c r="U195" s="422">
        <f t="shared" si="76"/>
        <v>0</v>
      </c>
      <c r="V195" s="422">
        <f t="shared" ref="V195:W195" si="77">ABS(V125 + V160)*(1-V82)*PowerFactor*$H23</f>
        <v>0</v>
      </c>
      <c r="W195" s="422">
        <f t="shared" si="77"/>
        <v>0</v>
      </c>
      <c r="X195" s="422">
        <f t="shared" ref="X195:Y195" si="78">ABS(X125 + X160)*(1-X82)*PowerFactor*$H23</f>
        <v>0</v>
      </c>
      <c r="Y195" s="422">
        <f t="shared" si="78"/>
        <v>0</v>
      </c>
      <c r="Z195" s="352"/>
      <c r="AA195" s="352"/>
    </row>
    <row r="196" spans="4:27" x14ac:dyDescent="0.25">
      <c r="F196" s="295" t="s">
        <v>45</v>
      </c>
      <c r="G196" s="295" t="s">
        <v>315</v>
      </c>
      <c r="H196" s="352"/>
      <c r="I196" s="352"/>
      <c r="J196" s="422">
        <f t="shared" ref="J196:K196" si="79">ABS(J126 + J161)*(1-J83)*PowerFactor*$H24</f>
        <v>0</v>
      </c>
      <c r="K196" s="422">
        <f t="shared" si="79"/>
        <v>0</v>
      </c>
      <c r="L196" s="422">
        <f t="shared" ref="L196:M196" si="80">ABS(L126 + L161)*(1-L83)*PowerFactor*$H24</f>
        <v>0</v>
      </c>
      <c r="M196" s="422">
        <f t="shared" si="80"/>
        <v>0</v>
      </c>
      <c r="N196" s="422">
        <f t="shared" ref="N196:P196" si="81">ABS(N126 + N161)*(1-N83)*PowerFactor*$H24</f>
        <v>0</v>
      </c>
      <c r="O196" s="422">
        <f t="shared" si="81"/>
        <v>0</v>
      </c>
      <c r="P196" s="422">
        <f t="shared" si="81"/>
        <v>0</v>
      </c>
      <c r="Q196" s="422">
        <f t="shared" ref="Q196:S196" si="82">ABS(Q126 + Q161)*(1-Q83)*PowerFactor*$H24</f>
        <v>0</v>
      </c>
      <c r="R196" s="422">
        <f t="shared" si="82"/>
        <v>0</v>
      </c>
      <c r="S196" s="422">
        <f t="shared" si="82"/>
        <v>0</v>
      </c>
      <c r="T196" s="422">
        <f t="shared" ref="T196:U196" si="83">ABS(T126 + T161)*(1-T83)*PowerFactor*$H24</f>
        <v>0</v>
      </c>
      <c r="U196" s="422">
        <f t="shared" si="83"/>
        <v>0</v>
      </c>
      <c r="V196" s="422">
        <f t="shared" ref="V196:W196" si="84">ABS(V126 + V161)*(1-V83)*PowerFactor*$H24</f>
        <v>0</v>
      </c>
      <c r="W196" s="422">
        <f t="shared" si="84"/>
        <v>0</v>
      </c>
      <c r="X196" s="422">
        <f t="shared" ref="X196:Y196" si="85">ABS(X126 + X161)*(1-X83)*PowerFactor*$H24</f>
        <v>0</v>
      </c>
      <c r="Y196" s="422">
        <f t="shared" si="85"/>
        <v>0</v>
      </c>
      <c r="Z196" s="352"/>
      <c r="AA196" s="352"/>
    </row>
    <row r="197" spans="4:27" x14ac:dyDescent="0.25">
      <c r="F197" s="295" t="s">
        <v>46</v>
      </c>
      <c r="G197" s="295" t="s">
        <v>315</v>
      </c>
      <c r="H197" s="352"/>
      <c r="I197" s="352"/>
      <c r="J197" s="422">
        <f t="shared" ref="J197:K197" si="86">ABS(J127 + J162)*(1-J84)*PowerFactor*$H25</f>
        <v>7.8581453653927977E-2</v>
      </c>
      <c r="K197" s="422">
        <f t="shared" si="86"/>
        <v>0</v>
      </c>
      <c r="L197" s="422">
        <f t="shared" ref="L197:M197" si="87">ABS(L127 + L162)*(1-L84)*PowerFactor*$H25</f>
        <v>6.2552189548975332E-2</v>
      </c>
      <c r="M197" s="422">
        <f t="shared" si="87"/>
        <v>0</v>
      </c>
      <c r="N197" s="422">
        <f t="shared" ref="N197:P197" si="88">ABS(N127 + N162)*(1-N84)*PowerFactor*$H25</f>
        <v>5.529703092630299E-2</v>
      </c>
      <c r="O197" s="422">
        <f t="shared" si="88"/>
        <v>4.3550937994187293E-2</v>
      </c>
      <c r="P197" s="422">
        <f t="shared" si="88"/>
        <v>3.266650868561357E-2</v>
      </c>
      <c r="Q197" s="422">
        <f t="shared" ref="Q197:S197" si="89">ABS(Q127 + Q162)*(1-Q84)*PowerFactor*$H25</f>
        <v>7.9263778938582066E-2</v>
      </c>
      <c r="R197" s="422">
        <f t="shared" si="89"/>
        <v>3.9232431980039721E-2</v>
      </c>
      <c r="S197" s="422">
        <f t="shared" si="89"/>
        <v>3.7302968112168919E-2</v>
      </c>
      <c r="T197" s="422">
        <f t="shared" ref="T197:U197" si="90">ABS(T127 + T162)*(1-T84)*PowerFactor*$H25</f>
        <v>3.9232431980039721E-2</v>
      </c>
      <c r="U197" s="422">
        <f t="shared" si="90"/>
        <v>3.9232431980039721E-2</v>
      </c>
      <c r="V197" s="422">
        <f t="shared" ref="V197:W197" si="91">ABS(V127 + V162)*(1-V84)*PowerFactor*$H25</f>
        <v>3.7302968112168919E-2</v>
      </c>
      <c r="W197" s="422">
        <f t="shared" si="91"/>
        <v>3.7302968112168919E-2</v>
      </c>
      <c r="X197" s="422">
        <f t="shared" ref="X197:Y197" si="92">ABS(X127 + X162)*(1-X84)*PowerFactor*$H25</f>
        <v>3.551967574943983E-2</v>
      </c>
      <c r="Y197" s="422">
        <f t="shared" si="92"/>
        <v>3.551967574943983E-2</v>
      </c>
      <c r="Z197" s="352"/>
      <c r="AA197" s="352"/>
    </row>
    <row r="198" spans="4:27" x14ac:dyDescent="0.25">
      <c r="F198" s="295" t="s">
        <v>47</v>
      </c>
      <c r="G198" s="295" t="s">
        <v>315</v>
      </c>
      <c r="H198" s="352"/>
      <c r="I198" s="352"/>
      <c r="J198" s="422">
        <f t="shared" ref="J198:K198" si="93">ABS(J128 + J163)*(1-J85)*PowerFactor*$H26</f>
        <v>1.6475422784670145E-2</v>
      </c>
      <c r="K198" s="422">
        <f t="shared" si="93"/>
        <v>0</v>
      </c>
      <c r="L198" s="422">
        <f t="shared" ref="L198:M198" si="94">ABS(L128 + L163)*(1-L85)*PowerFactor*$H26</f>
        <v>1.3114720089867913E-2</v>
      </c>
      <c r="M198" s="422">
        <f t="shared" si="94"/>
        <v>0</v>
      </c>
      <c r="N198" s="422">
        <f t="shared" ref="N198:P198" si="95">ABS(N128 + N163)*(1-N85)*PowerFactor*$H26</f>
        <v>1.1593600282072188E-2</v>
      </c>
      <c r="O198" s="422">
        <f t="shared" si="95"/>
        <v>9.1309091746144353E-3</v>
      </c>
      <c r="P198" s="422">
        <f t="shared" si="95"/>
        <v>0</v>
      </c>
      <c r="Q198" s="422">
        <f t="shared" ref="Q198:S198" si="96">ABS(Q128 + Q163)*(1-Q85)*PowerFactor*$H26</f>
        <v>1.6618479409594069E-2</v>
      </c>
      <c r="R198" s="422">
        <f t="shared" si="96"/>
        <v>8.2254892686075744E-3</v>
      </c>
      <c r="S198" s="422">
        <f t="shared" si="96"/>
        <v>7.820957009495727E-3</v>
      </c>
      <c r="T198" s="422">
        <f t="shared" ref="T198:U198" si="97">ABS(T128 + T163)*(1-T85)*PowerFactor*$H26</f>
        <v>8.2254892686075744E-3</v>
      </c>
      <c r="U198" s="422">
        <f t="shared" si="97"/>
        <v>8.2254892686075744E-3</v>
      </c>
      <c r="V198" s="422">
        <f t="shared" ref="V198:W198" si="98">ABS(V128 + V163)*(1-V85)*PowerFactor*$H26</f>
        <v>7.820957009495727E-3</v>
      </c>
      <c r="W198" s="422">
        <f t="shared" si="98"/>
        <v>7.820957009495727E-3</v>
      </c>
      <c r="X198" s="422">
        <f t="shared" ref="X198:Y198" si="99">ABS(X128 + X163)*(1-X85)*PowerFactor*$H26</f>
        <v>6.5937426188785323E-3</v>
      </c>
      <c r="Y198" s="422">
        <f t="shared" si="99"/>
        <v>6.5937426188785323E-3</v>
      </c>
      <c r="Z198" s="352"/>
      <c r="AA198" s="352"/>
    </row>
    <row r="199" spans="4:27" x14ac:dyDescent="0.25">
      <c r="F199" s="295" t="s">
        <v>51</v>
      </c>
      <c r="G199" s="295" t="s">
        <v>315</v>
      </c>
      <c r="H199" s="352"/>
      <c r="I199" s="352"/>
      <c r="J199" s="422">
        <f t="shared" ref="J199:K199" si="100">ABS(J129 + J164)*(1-J86)*PowerFactor*$H27</f>
        <v>0</v>
      </c>
      <c r="K199" s="422">
        <f t="shared" si="100"/>
        <v>0</v>
      </c>
      <c r="L199" s="422">
        <f t="shared" ref="L199:M199" si="101">ABS(L129 + L164)*(1-L86)*PowerFactor*$H27</f>
        <v>0</v>
      </c>
      <c r="M199" s="422">
        <f t="shared" si="101"/>
        <v>0</v>
      </c>
      <c r="N199" s="422">
        <f t="shared" ref="N199:P199" si="102">ABS(N129 + N164)*(1-N86)*PowerFactor*$H27</f>
        <v>0</v>
      </c>
      <c r="O199" s="422">
        <f t="shared" si="102"/>
        <v>0</v>
      </c>
      <c r="P199" s="422">
        <f t="shared" si="102"/>
        <v>0</v>
      </c>
      <c r="Q199" s="422">
        <f t="shared" ref="Q199:S199" si="103">ABS(Q129 + Q164)*(1-Q86)*PowerFactor*$H27</f>
        <v>0</v>
      </c>
      <c r="R199" s="422">
        <f t="shared" si="103"/>
        <v>0</v>
      </c>
      <c r="S199" s="422">
        <f t="shared" si="103"/>
        <v>0</v>
      </c>
      <c r="T199" s="422">
        <f t="shared" ref="T199:U199" si="104">ABS(T129 + T164)*(1-T86)*PowerFactor*$H27</f>
        <v>0</v>
      </c>
      <c r="U199" s="422">
        <f t="shared" si="104"/>
        <v>0</v>
      </c>
      <c r="V199" s="422">
        <f t="shared" ref="V199:W199" si="105">ABS(V129 + V164)*(1-V86)*PowerFactor*$H27</f>
        <v>0</v>
      </c>
      <c r="W199" s="422">
        <f t="shared" si="105"/>
        <v>0</v>
      </c>
      <c r="X199" s="422">
        <f t="shared" ref="X199:Y199" si="106">ABS(X129 + X164)*(1-X86)*PowerFactor*$H27</f>
        <v>0</v>
      </c>
      <c r="Y199" s="422">
        <f t="shared" si="106"/>
        <v>0</v>
      </c>
      <c r="Z199" s="352"/>
      <c r="AA199" s="352"/>
    </row>
    <row r="200" spans="4:27" x14ac:dyDescent="0.25">
      <c r="F200" s="295" t="s">
        <v>48</v>
      </c>
      <c r="G200" s="295" t="s">
        <v>315</v>
      </c>
      <c r="H200" s="352"/>
      <c r="I200" s="352"/>
      <c r="J200" s="422">
        <f t="shared" ref="J200:K200" si="107">ABS(J130 + J165)*(1-J87)*PowerFactor*$H28</f>
        <v>5.665597354682933E-2</v>
      </c>
      <c r="K200" s="422">
        <f t="shared" si="107"/>
        <v>0</v>
      </c>
      <c r="L200" s="422">
        <f t="shared" ref="L200:M200" si="108">ABS(L130 + L165)*(1-L87)*PowerFactor*$H28</f>
        <v>4.5099130031248165E-2</v>
      </c>
      <c r="M200" s="422">
        <f t="shared" si="108"/>
        <v>0</v>
      </c>
      <c r="N200" s="422">
        <f t="shared" ref="N200:P200" si="109">ABS(N130 + N165)*(1-N87)*PowerFactor*$H28</f>
        <v>3.1894621193200322E-2</v>
      </c>
      <c r="O200" s="422">
        <f t="shared" si="109"/>
        <v>0</v>
      </c>
      <c r="P200" s="422">
        <f t="shared" si="109"/>
        <v>0</v>
      </c>
      <c r="Q200" s="422">
        <f t="shared" ref="Q200:S200" si="110">ABS(Q130 + Q165)*(1-Q87)*PowerFactor*$H28</f>
        <v>5.7147919183874213E-2</v>
      </c>
      <c r="R200" s="422">
        <f t="shared" si="110"/>
        <v>2.8285957119448174E-2</v>
      </c>
      <c r="S200" s="422">
        <f t="shared" si="110"/>
        <v>2.6894844474229407E-2</v>
      </c>
      <c r="T200" s="422">
        <f t="shared" ref="T200:U200" si="111">ABS(T130 + T165)*(1-T87)*PowerFactor*$H28</f>
        <v>2.8285957119448174E-2</v>
      </c>
      <c r="U200" s="422">
        <f t="shared" si="111"/>
        <v>2.8285957119448174E-2</v>
      </c>
      <c r="V200" s="422">
        <f t="shared" ref="V200:W200" si="112">ABS(V130 + V165)*(1-V87)*PowerFactor*$H28</f>
        <v>2.6894844474229407E-2</v>
      </c>
      <c r="W200" s="422">
        <f t="shared" si="112"/>
        <v>2.6894844474229407E-2</v>
      </c>
      <c r="X200" s="422">
        <f t="shared" ref="X200:Y200" si="113">ABS(X130 + X165)*(1-X87)*PowerFactor*$H28</f>
        <v>1.8137724185011792E-2</v>
      </c>
      <c r="Y200" s="422">
        <f t="shared" si="113"/>
        <v>1.8137724185011792E-2</v>
      </c>
      <c r="Z200" s="352"/>
      <c r="AA200" s="352"/>
    </row>
    <row r="201" spans="4:27" x14ac:dyDescent="0.25">
      <c r="F201" s="295" t="s">
        <v>49</v>
      </c>
      <c r="G201" s="295" t="s">
        <v>315</v>
      </c>
      <c r="H201" s="352"/>
      <c r="I201" s="352"/>
      <c r="J201" s="422">
        <f t="shared" ref="J201:K201" si="114">ABS(J131 + J166)*(1-J88)*PowerFactor*$H29</f>
        <v>1.3009524396658175E-2</v>
      </c>
      <c r="K201" s="422">
        <f t="shared" si="114"/>
        <v>0</v>
      </c>
      <c r="L201" s="422">
        <f t="shared" ref="L201:M201" si="115">ABS(L131 + L166)*(1-L88)*PowerFactor*$H29</f>
        <v>1.0355805322533679E-2</v>
      </c>
      <c r="M201" s="422">
        <f t="shared" si="115"/>
        <v>0</v>
      </c>
      <c r="N201" s="422">
        <f t="shared" ref="N201:P201" si="116">ABS(N131 + N166)*(1-N88)*PowerFactor*$H29</f>
        <v>0</v>
      </c>
      <c r="O201" s="422">
        <f t="shared" si="116"/>
        <v>0</v>
      </c>
      <c r="P201" s="422">
        <f t="shared" si="116"/>
        <v>0</v>
      </c>
      <c r="Q201" s="422">
        <f t="shared" ref="Q201:S201" si="117">ABS(Q131 + Q166)*(1-Q88)*PowerFactor*$H29</f>
        <v>1.3122486514618698E-2</v>
      </c>
      <c r="R201" s="422">
        <f t="shared" si="117"/>
        <v>6.4951112158389869E-3</v>
      </c>
      <c r="S201" s="422">
        <f t="shared" si="117"/>
        <v>6.1756795166993637E-3</v>
      </c>
      <c r="T201" s="422">
        <f t="shared" ref="T201:U201" si="118">ABS(T131 + T166)*(1-T88)*PowerFactor*$H29</f>
        <v>6.4951112158389869E-3</v>
      </c>
      <c r="U201" s="422">
        <f t="shared" si="118"/>
        <v>6.4951112158389869E-3</v>
      </c>
      <c r="V201" s="422">
        <f t="shared" ref="V201:W201" si="119">ABS(V131 + V166)*(1-V88)*PowerFactor*$H29</f>
        <v>6.1756795166993637E-3</v>
      </c>
      <c r="W201" s="422">
        <f t="shared" si="119"/>
        <v>6.1756795166993637E-3</v>
      </c>
      <c r="X201" s="422">
        <f t="shared" ref="X201:Y201" si="120">ABS(X131 + X166)*(1-X88)*PowerFactor*$H29</f>
        <v>0</v>
      </c>
      <c r="Y201" s="422">
        <f t="shared" si="120"/>
        <v>0</v>
      </c>
      <c r="Z201" s="352"/>
      <c r="AA201" s="352"/>
    </row>
    <row r="202" spans="4:27" x14ac:dyDescent="0.25">
      <c r="F202" s="295" t="s">
        <v>50</v>
      </c>
      <c r="G202" s="295" t="s">
        <v>315</v>
      </c>
      <c r="H202" s="352"/>
      <c r="I202" s="352"/>
      <c r="J202" s="422">
        <f t="shared" ref="J202:K202" si="121">ABS(J132 + J167)*(1-J89)*PowerFactor*$H30</f>
        <v>0</v>
      </c>
      <c r="K202" s="422">
        <f t="shared" si="121"/>
        <v>0</v>
      </c>
      <c r="L202" s="422">
        <f t="shared" ref="L202:M202" si="122">ABS(L132 + L167)*(1-L89)*PowerFactor*$H30</f>
        <v>0</v>
      </c>
      <c r="M202" s="422">
        <f t="shared" si="122"/>
        <v>0</v>
      </c>
      <c r="N202" s="422">
        <f t="shared" ref="N202:P202" si="123">ABS(N132 + N167)*(1-N89)*PowerFactor*$H30</f>
        <v>0</v>
      </c>
      <c r="O202" s="422">
        <f t="shared" si="123"/>
        <v>0</v>
      </c>
      <c r="P202" s="422">
        <f t="shared" si="123"/>
        <v>0</v>
      </c>
      <c r="Q202" s="422">
        <f t="shared" ref="Q202:S202" si="124">ABS(Q132 + Q167)*(1-Q89)*PowerFactor*$H30</f>
        <v>2.3054921497238801E-3</v>
      </c>
      <c r="R202" s="422">
        <f t="shared" si="124"/>
        <v>1.1411273239274064E-3</v>
      </c>
      <c r="S202" s="422">
        <f t="shared" si="124"/>
        <v>0</v>
      </c>
      <c r="T202" s="422">
        <f t="shared" ref="T202:U202" si="125">ABS(T132 + T167)*(1-T89)*PowerFactor*$H30</f>
        <v>1.1411273239274064E-3</v>
      </c>
      <c r="U202" s="422">
        <f t="shared" si="125"/>
        <v>1.1411273239274064E-3</v>
      </c>
      <c r="V202" s="422">
        <f t="shared" ref="V202:W202" si="126">ABS(V132 + V167)*(1-V89)*PowerFactor*$H30</f>
        <v>0</v>
      </c>
      <c r="W202" s="422">
        <f t="shared" si="126"/>
        <v>0</v>
      </c>
      <c r="X202" s="422">
        <f t="shared" ref="X202:Y202" si="127">ABS(X132 + X167)*(1-X89)*PowerFactor*$H30</f>
        <v>0</v>
      </c>
      <c r="Y202" s="422">
        <f t="shared" si="127"/>
        <v>0</v>
      </c>
      <c r="Z202" s="352"/>
      <c r="AA202" s="352"/>
    </row>
    <row r="203" spans="4:27" x14ac:dyDescent="0.25">
      <c r="F203" s="295" t="s">
        <v>124</v>
      </c>
      <c r="G203" s="295" t="s">
        <v>315</v>
      </c>
      <c r="H203" s="352"/>
      <c r="I203" s="352"/>
      <c r="J203" s="423"/>
      <c r="K203" s="423"/>
      <c r="L203" s="423"/>
      <c r="M203" s="423"/>
      <c r="N203" s="423"/>
      <c r="O203" s="423"/>
      <c r="P203" s="423"/>
      <c r="Q203" s="423"/>
      <c r="R203" s="423"/>
      <c r="S203" s="423"/>
      <c r="T203" s="423"/>
      <c r="U203" s="423"/>
      <c r="V203" s="423"/>
      <c r="W203" s="423"/>
      <c r="X203" s="423"/>
      <c r="Y203" s="423"/>
      <c r="Z203" s="352"/>
      <c r="AA203" s="352"/>
    </row>
    <row r="204" spans="4:27" x14ac:dyDescent="0.25">
      <c r="F204" s="93" t="s">
        <v>123</v>
      </c>
      <c r="G204" s="93" t="s">
        <v>315</v>
      </c>
      <c r="H204" s="354"/>
      <c r="I204" s="354"/>
      <c r="J204" s="359"/>
      <c r="K204" s="359"/>
      <c r="L204" s="359"/>
      <c r="M204" s="359"/>
      <c r="N204" s="359"/>
      <c r="O204" s="359"/>
      <c r="P204" s="359"/>
      <c r="Q204" s="359"/>
      <c r="R204" s="359"/>
      <c r="S204" s="359"/>
      <c r="T204" s="359"/>
      <c r="U204" s="359"/>
      <c r="V204" s="359"/>
      <c r="W204" s="359"/>
      <c r="X204" s="359"/>
      <c r="Y204" s="359"/>
      <c r="Z204" s="352"/>
      <c r="AA204" s="352"/>
    </row>
    <row r="205" spans="4:27" x14ac:dyDescent="0.25">
      <c r="D205" s="295"/>
      <c r="J205" s="253"/>
      <c r="K205" s="253"/>
      <c r="L205" s="253"/>
      <c r="M205" s="253"/>
      <c r="N205" s="253"/>
      <c r="O205" s="253"/>
      <c r="P205" s="253"/>
      <c r="Q205" s="253"/>
      <c r="R205" s="253"/>
      <c r="S205" s="253"/>
      <c r="T205" s="253"/>
      <c r="U205" s="253"/>
      <c r="V205" s="253"/>
      <c r="W205" s="253"/>
      <c r="X205" s="253"/>
      <c r="Y205" s="253"/>
    </row>
    <row r="206" spans="4:27" x14ac:dyDescent="0.25">
      <c r="E206" s="96" t="s">
        <v>116</v>
      </c>
      <c r="J206" s="253"/>
      <c r="K206" s="253"/>
      <c r="L206" s="253"/>
      <c r="M206" s="253"/>
      <c r="N206" s="253"/>
      <c r="O206" s="253"/>
      <c r="P206" s="253"/>
      <c r="Q206" s="253"/>
      <c r="R206" s="253"/>
      <c r="S206" s="253"/>
      <c r="T206" s="253"/>
      <c r="U206" s="253"/>
      <c r="V206" s="253"/>
      <c r="W206" s="253"/>
      <c r="X206" s="253"/>
      <c r="Y206" s="253"/>
    </row>
    <row r="207" spans="4:27" x14ac:dyDescent="0.25">
      <c r="F207" s="91" t="s">
        <v>324</v>
      </c>
      <c r="G207" s="91" t="s">
        <v>315</v>
      </c>
      <c r="H207" s="350"/>
      <c r="I207" s="350"/>
      <c r="J207" s="363">
        <f t="shared" ref="J207:K207" si="128">ABS(J137 + J172)*(1-J81)*PowerFactor*$H22</f>
        <v>8.205234158792464E-2</v>
      </c>
      <c r="K207" s="363">
        <f t="shared" si="128"/>
        <v>0</v>
      </c>
      <c r="L207" s="363">
        <f t="shared" ref="L207:M207" si="129">ABS(L137 + L172)*(1-L81)*PowerFactor*$H22</f>
        <v>6.5315076080786863E-2</v>
      </c>
      <c r="M207" s="363">
        <f t="shared" si="129"/>
        <v>0</v>
      </c>
      <c r="N207" s="363">
        <f t="shared" ref="N207:P207" si="130">ABS(N137 + N172)*(1-N81)*PowerFactor*$H22</f>
        <v>5.7739462168071583E-2</v>
      </c>
      <c r="O207" s="363">
        <f t="shared" si="130"/>
        <v>4.547455251351102E-2</v>
      </c>
      <c r="P207" s="363">
        <f t="shared" si="130"/>
        <v>4.4005292609106447E-2</v>
      </c>
      <c r="Q207" s="363">
        <f t="shared" ref="Q207:S207" si="131">ABS(Q137 + Q172)*(1-Q81)*PowerFactor*$H22</f>
        <v>8.2764804703930092E-2</v>
      </c>
      <c r="R207" s="363">
        <f t="shared" si="131"/>
        <v>4.0965301104357039E-2</v>
      </c>
      <c r="S207" s="363">
        <f t="shared" si="131"/>
        <v>3.8950614164798496E-2</v>
      </c>
      <c r="T207" s="363">
        <f t="shared" ref="T207:U207" si="132">ABS(T137 + T172)*(1-T81)*PowerFactor*$H22</f>
        <v>4.0965301104357039E-2</v>
      </c>
      <c r="U207" s="363">
        <f t="shared" si="132"/>
        <v>4.0965301104357039E-2</v>
      </c>
      <c r="V207" s="363">
        <f t="shared" ref="V207:W207" si="133">ABS(V137 + V172)*(1-V81)*PowerFactor*$H22</f>
        <v>3.8950614164798496E-2</v>
      </c>
      <c r="W207" s="363">
        <f t="shared" si="133"/>
        <v>3.8950614164798496E-2</v>
      </c>
      <c r="X207" s="363">
        <f t="shared" ref="X207:Y207" si="134">ABS(X137 + X172)*(1-X81)*PowerFactor*$H22</f>
        <v>3.827905185161231E-2</v>
      </c>
      <c r="Y207" s="363">
        <f t="shared" si="134"/>
        <v>3.827905185161231E-2</v>
      </c>
      <c r="Z207" s="352"/>
      <c r="AA207" s="352"/>
    </row>
    <row r="208" spans="4:27" x14ac:dyDescent="0.25">
      <c r="F208" s="295" t="s">
        <v>43</v>
      </c>
      <c r="G208" s="295" t="s">
        <v>315</v>
      </c>
      <c r="H208" s="352"/>
      <c r="I208" s="352"/>
      <c r="J208" s="422">
        <f t="shared" ref="J208:K208" si="135">ABS(J138 + J173)*(1-J81)*PowerFactor*$H22</f>
        <v>0</v>
      </c>
      <c r="K208" s="422">
        <f t="shared" si="135"/>
        <v>0</v>
      </c>
      <c r="L208" s="422">
        <f t="shared" ref="L208:M208" si="136">ABS(L138 + L173)*(1-L81)*PowerFactor*$H22</f>
        <v>0</v>
      </c>
      <c r="M208" s="422">
        <f t="shared" si="136"/>
        <v>0</v>
      </c>
      <c r="N208" s="422">
        <f t="shared" ref="N208:P208" si="137">ABS(N138 + N173)*(1-N81)*PowerFactor*$H22</f>
        <v>0</v>
      </c>
      <c r="O208" s="422">
        <f t="shared" si="137"/>
        <v>0</v>
      </c>
      <c r="P208" s="422">
        <f t="shared" si="137"/>
        <v>0</v>
      </c>
      <c r="Q208" s="422">
        <f t="shared" ref="Q208:S208" si="138">ABS(Q138 + Q173)*(1-Q81)*PowerFactor*$H22</f>
        <v>0</v>
      </c>
      <c r="R208" s="422">
        <f t="shared" si="138"/>
        <v>0</v>
      </c>
      <c r="S208" s="422">
        <f t="shared" si="138"/>
        <v>0</v>
      </c>
      <c r="T208" s="422">
        <f t="shared" ref="T208:U208" si="139">ABS(T138 + T173)*(1-T81)*PowerFactor*$H22</f>
        <v>0</v>
      </c>
      <c r="U208" s="422">
        <f t="shared" si="139"/>
        <v>0</v>
      </c>
      <c r="V208" s="422">
        <f t="shared" ref="V208:W208" si="140">ABS(V138 + V173)*(1-V81)*PowerFactor*$H22</f>
        <v>0</v>
      </c>
      <c r="W208" s="422">
        <f t="shared" si="140"/>
        <v>0</v>
      </c>
      <c r="X208" s="422">
        <f t="shared" ref="X208:Y208" si="141">ABS(X138 + X173)*(1-X81)*PowerFactor*$H22</f>
        <v>0</v>
      </c>
      <c r="Y208" s="422">
        <f t="shared" si="141"/>
        <v>0</v>
      </c>
      <c r="Z208" s="352"/>
      <c r="AA208" s="352"/>
    </row>
    <row r="209" spans="3:27" x14ac:dyDescent="0.25">
      <c r="F209" s="295" t="s">
        <v>44</v>
      </c>
      <c r="G209" s="295" t="s">
        <v>315</v>
      </c>
      <c r="H209" s="352"/>
      <c r="I209" s="352"/>
      <c r="J209" s="422">
        <f t="shared" ref="J209:K209" si="142">ABS(J139 + J174)*(1-J82)*PowerFactor*$H23</f>
        <v>0</v>
      </c>
      <c r="K209" s="422">
        <f t="shared" si="142"/>
        <v>0</v>
      </c>
      <c r="L209" s="422">
        <f t="shared" ref="L209:M209" si="143">ABS(L139 + L174)*(1-L82)*PowerFactor*$H23</f>
        <v>0</v>
      </c>
      <c r="M209" s="422">
        <f t="shared" si="143"/>
        <v>0</v>
      </c>
      <c r="N209" s="422">
        <f t="shared" ref="N209:P209" si="144">ABS(N139 + N174)*(1-N82)*PowerFactor*$H23</f>
        <v>0</v>
      </c>
      <c r="O209" s="422">
        <f t="shared" si="144"/>
        <v>0</v>
      </c>
      <c r="P209" s="422">
        <f t="shared" si="144"/>
        <v>0</v>
      </c>
      <c r="Q209" s="422">
        <f t="shared" ref="Q209:S209" si="145">ABS(Q139 + Q174)*(1-Q82)*PowerFactor*$H23</f>
        <v>0</v>
      </c>
      <c r="R209" s="422">
        <f t="shared" si="145"/>
        <v>0</v>
      </c>
      <c r="S209" s="422">
        <f t="shared" si="145"/>
        <v>0</v>
      </c>
      <c r="T209" s="422">
        <f t="shared" ref="T209:U209" si="146">ABS(T139 + T174)*(1-T82)*PowerFactor*$H23</f>
        <v>0</v>
      </c>
      <c r="U209" s="422">
        <f t="shared" si="146"/>
        <v>0</v>
      </c>
      <c r="V209" s="422">
        <f t="shared" ref="V209:W209" si="147">ABS(V139 + V174)*(1-V82)*PowerFactor*$H23</f>
        <v>0</v>
      </c>
      <c r="W209" s="422">
        <f t="shared" si="147"/>
        <v>0</v>
      </c>
      <c r="X209" s="422">
        <f t="shared" ref="X209:Y209" si="148">ABS(X139 + X174)*(1-X82)*PowerFactor*$H23</f>
        <v>0</v>
      </c>
      <c r="Y209" s="422">
        <f t="shared" si="148"/>
        <v>0</v>
      </c>
      <c r="Z209" s="352"/>
      <c r="AA209" s="352"/>
    </row>
    <row r="210" spans="3:27" x14ac:dyDescent="0.25">
      <c r="F210" s="295" t="s">
        <v>45</v>
      </c>
      <c r="G210" s="295" t="s">
        <v>315</v>
      </c>
      <c r="H210" s="352"/>
      <c r="I210" s="352"/>
      <c r="J210" s="422">
        <f t="shared" ref="J210:K210" si="149">ABS(J140 + J175)*(1-J83)*PowerFactor*$H24</f>
        <v>0</v>
      </c>
      <c r="K210" s="422">
        <f t="shared" si="149"/>
        <v>0</v>
      </c>
      <c r="L210" s="422">
        <f t="shared" ref="L210:M210" si="150">ABS(L140 + L175)*(1-L83)*PowerFactor*$H24</f>
        <v>0</v>
      </c>
      <c r="M210" s="422">
        <f t="shared" si="150"/>
        <v>0</v>
      </c>
      <c r="N210" s="422">
        <f t="shared" ref="N210:P210" si="151">ABS(N140 + N175)*(1-N83)*PowerFactor*$H24</f>
        <v>0</v>
      </c>
      <c r="O210" s="422">
        <f t="shared" si="151"/>
        <v>0</v>
      </c>
      <c r="P210" s="422">
        <f t="shared" si="151"/>
        <v>0</v>
      </c>
      <c r="Q210" s="422">
        <f t="shared" ref="Q210:S210" si="152">ABS(Q140 + Q175)*(1-Q83)*PowerFactor*$H24</f>
        <v>0</v>
      </c>
      <c r="R210" s="422">
        <f t="shared" si="152"/>
        <v>0</v>
      </c>
      <c r="S210" s="422">
        <f t="shared" si="152"/>
        <v>0</v>
      </c>
      <c r="T210" s="422">
        <f t="shared" ref="T210:U210" si="153">ABS(T140 + T175)*(1-T83)*PowerFactor*$H24</f>
        <v>0</v>
      </c>
      <c r="U210" s="422">
        <f t="shared" si="153"/>
        <v>0</v>
      </c>
      <c r="V210" s="422">
        <f t="shared" ref="V210:W210" si="154">ABS(V140 + V175)*(1-V83)*PowerFactor*$H24</f>
        <v>0</v>
      </c>
      <c r="W210" s="422">
        <f t="shared" si="154"/>
        <v>0</v>
      </c>
      <c r="X210" s="422">
        <f t="shared" ref="X210:Y210" si="155">ABS(X140 + X175)*(1-X83)*PowerFactor*$H24</f>
        <v>0</v>
      </c>
      <c r="Y210" s="422">
        <f t="shared" si="155"/>
        <v>0</v>
      </c>
      <c r="Z210" s="352"/>
      <c r="AA210" s="352"/>
    </row>
    <row r="211" spans="3:27" x14ac:dyDescent="0.25">
      <c r="F211" s="295" t="s">
        <v>46</v>
      </c>
      <c r="G211" s="295" t="s">
        <v>315</v>
      </c>
      <c r="H211" s="352"/>
      <c r="I211" s="352"/>
      <c r="J211" s="422">
        <f t="shared" ref="J211:K211" si="156">ABS(J141 + J176)*(1-J84)*PowerFactor*$H25</f>
        <v>5.8075103470462922E-2</v>
      </c>
      <c r="K211" s="422">
        <f t="shared" si="156"/>
        <v>0</v>
      </c>
      <c r="L211" s="422">
        <f t="shared" ref="L211:M211" si="157">ABS(L141 + L176)*(1-L84)*PowerFactor*$H25</f>
        <v>4.6228781874655046E-2</v>
      </c>
      <c r="M211" s="422">
        <f t="shared" si="157"/>
        <v>0</v>
      </c>
      <c r="N211" s="422">
        <f t="shared" ref="N211:P211" si="158">ABS(N141 + N176)*(1-N84)*PowerFactor*$H25</f>
        <v>4.0866904890781555E-2</v>
      </c>
      <c r="O211" s="422">
        <f t="shared" si="158"/>
        <v>3.2186032615110771E-2</v>
      </c>
      <c r="P211" s="422">
        <f t="shared" si="158"/>
        <v>2.4916894480417413E-2</v>
      </c>
      <c r="Q211" s="422">
        <f t="shared" ref="Q211:S211" si="159">ABS(Q141 + Q176)*(1-Q84)*PowerFactor*$H25</f>
        <v>5.8579371458190824E-2</v>
      </c>
      <c r="R211" s="422">
        <f t="shared" si="159"/>
        <v>2.8994469314259311E-2</v>
      </c>
      <c r="S211" s="422">
        <f t="shared" si="159"/>
        <v>2.7568511807000658E-2</v>
      </c>
      <c r="T211" s="422">
        <f t="shared" ref="T211:U211" si="160">ABS(T141 + T176)*(1-T84)*PowerFactor*$H25</f>
        <v>2.8994469314259311E-2</v>
      </c>
      <c r="U211" s="422">
        <f t="shared" si="160"/>
        <v>2.8994469314259311E-2</v>
      </c>
      <c r="V211" s="422">
        <f t="shared" ref="V211:W211" si="161">ABS(V141 + V176)*(1-V84)*PowerFactor*$H25</f>
        <v>2.7568511807000658E-2</v>
      </c>
      <c r="W211" s="422">
        <f t="shared" si="161"/>
        <v>2.7568511807000658E-2</v>
      </c>
      <c r="X211" s="422">
        <f t="shared" ref="X211:Y211" si="162">ABS(X141 + X176)*(1-X84)*PowerFactor*$H25</f>
        <v>2.7093192637914435E-2</v>
      </c>
      <c r="Y211" s="422">
        <f t="shared" si="162"/>
        <v>2.7093192637914435E-2</v>
      </c>
      <c r="Z211" s="352"/>
      <c r="AA211" s="352"/>
    </row>
    <row r="212" spans="3:27" x14ac:dyDescent="0.25">
      <c r="F212" s="295" t="s">
        <v>47</v>
      </c>
      <c r="G212" s="295" t="s">
        <v>315</v>
      </c>
      <c r="H212" s="352"/>
      <c r="I212" s="352"/>
      <c r="J212" s="422">
        <f t="shared" ref="J212:K212" si="163">ABS(J142 + J177)*(1-J85)*PowerFactor*$H26</f>
        <v>1.2176052216508132E-2</v>
      </c>
      <c r="K212" s="422">
        <f t="shared" si="163"/>
        <v>0</v>
      </c>
      <c r="L212" s="422">
        <f t="shared" ref="L212:M212" si="164">ABS(L142 + L177)*(1-L85)*PowerFactor*$H26</f>
        <v>9.6923471225091873E-3</v>
      </c>
      <c r="M212" s="422">
        <f t="shared" si="164"/>
        <v>0</v>
      </c>
      <c r="N212" s="422">
        <f t="shared" ref="N212:P212" si="165">ABS(N142 + N177)*(1-N85)*PowerFactor*$H26</f>
        <v>8.5681735914651738E-3</v>
      </c>
      <c r="O212" s="422">
        <f t="shared" si="165"/>
        <v>6.7481380203333243E-3</v>
      </c>
      <c r="P212" s="422">
        <f t="shared" si="165"/>
        <v>0</v>
      </c>
      <c r="Q212" s="422">
        <f t="shared" ref="Q212:S212" si="166">ABS(Q142 + Q177)*(1-Q85)*PowerFactor*$H26</f>
        <v>1.2281777268772763E-2</v>
      </c>
      <c r="R212" s="422">
        <f t="shared" si="166"/>
        <v>6.0789934285682308E-3</v>
      </c>
      <c r="S212" s="422">
        <f t="shared" si="166"/>
        <v>5.7800265386386456E-3</v>
      </c>
      <c r="T212" s="422">
        <f t="shared" ref="T212:U212" si="167">ABS(T142 + T177)*(1-T85)*PowerFactor*$H26</f>
        <v>6.0789934285682308E-3</v>
      </c>
      <c r="U212" s="422">
        <f t="shared" si="167"/>
        <v>6.0789934285682308E-3</v>
      </c>
      <c r="V212" s="422">
        <f t="shared" ref="V212:W212" si="168">ABS(V142 + V177)*(1-V85)*PowerFactor*$H26</f>
        <v>5.7800265386386456E-3</v>
      </c>
      <c r="W212" s="422">
        <f t="shared" si="168"/>
        <v>5.7800265386386456E-3</v>
      </c>
      <c r="X212" s="422">
        <f t="shared" ref="X212:Y212" si="169">ABS(X142 + X177)*(1-X85)*PowerFactor*$H26</f>
        <v>5.6803709086621175E-3</v>
      </c>
      <c r="Y212" s="422">
        <f t="shared" si="169"/>
        <v>5.6803709086621175E-3</v>
      </c>
      <c r="Z212" s="352"/>
      <c r="AA212" s="352"/>
    </row>
    <row r="213" spans="3:27" x14ac:dyDescent="0.25">
      <c r="F213" s="295" t="s">
        <v>51</v>
      </c>
      <c r="G213" s="295" t="s">
        <v>315</v>
      </c>
      <c r="H213" s="352"/>
      <c r="I213" s="352"/>
      <c r="J213" s="422">
        <f t="shared" ref="J213:K213" si="170">ABS(J143 + J178)*(1-J86)*PowerFactor*$H27</f>
        <v>0</v>
      </c>
      <c r="K213" s="422">
        <f t="shared" si="170"/>
        <v>0</v>
      </c>
      <c r="L213" s="422">
        <f t="shared" ref="L213:M213" si="171">ABS(L143 + L178)*(1-L86)*PowerFactor*$H27</f>
        <v>0</v>
      </c>
      <c r="M213" s="422">
        <f t="shared" si="171"/>
        <v>0</v>
      </c>
      <c r="N213" s="422">
        <f t="shared" ref="N213:P213" si="172">ABS(N143 + N178)*(1-N86)*PowerFactor*$H27</f>
        <v>0</v>
      </c>
      <c r="O213" s="422">
        <f t="shared" si="172"/>
        <v>0</v>
      </c>
      <c r="P213" s="422">
        <f t="shared" si="172"/>
        <v>0</v>
      </c>
      <c r="Q213" s="422">
        <f t="shared" ref="Q213:S213" si="173">ABS(Q143 + Q178)*(1-Q86)*PowerFactor*$H27</f>
        <v>0</v>
      </c>
      <c r="R213" s="422">
        <f t="shared" si="173"/>
        <v>0</v>
      </c>
      <c r="S213" s="422">
        <f t="shared" si="173"/>
        <v>0</v>
      </c>
      <c r="T213" s="422">
        <f t="shared" ref="T213:U213" si="174">ABS(T143 + T178)*(1-T86)*PowerFactor*$H27</f>
        <v>0</v>
      </c>
      <c r="U213" s="422">
        <f t="shared" si="174"/>
        <v>0</v>
      </c>
      <c r="V213" s="422">
        <f t="shared" ref="V213:W213" si="175">ABS(V143 + V178)*(1-V86)*PowerFactor*$H27</f>
        <v>0</v>
      </c>
      <c r="W213" s="422">
        <f t="shared" si="175"/>
        <v>0</v>
      </c>
      <c r="X213" s="422">
        <f t="shared" ref="X213:Y213" si="176">ABS(X143 + X178)*(1-X86)*PowerFactor*$H27</f>
        <v>0</v>
      </c>
      <c r="Y213" s="422">
        <f t="shared" si="176"/>
        <v>0</v>
      </c>
      <c r="Z213" s="352"/>
      <c r="AA213" s="352"/>
    </row>
    <row r="214" spans="3:27" x14ac:dyDescent="0.25">
      <c r="F214" s="295" t="s">
        <v>48</v>
      </c>
      <c r="G214" s="295" t="s">
        <v>315</v>
      </c>
      <c r="H214" s="352"/>
      <c r="I214" s="352"/>
      <c r="J214" s="422">
        <f t="shared" ref="J214:K214" si="177">ABS(J144 + J179)*(1-J87)*PowerFactor*$H28</f>
        <v>5.2381717742347712E-2</v>
      </c>
      <c r="K214" s="422">
        <f t="shared" si="177"/>
        <v>0</v>
      </c>
      <c r="L214" s="422">
        <f t="shared" ref="L214:M214" si="178">ABS(L144 + L179)*(1-L87)*PowerFactor*$H28</f>
        <v>4.1696748848021263E-2</v>
      </c>
      <c r="M214" s="422">
        <f t="shared" si="178"/>
        <v>0</v>
      </c>
      <c r="N214" s="422">
        <f t="shared" ref="N214:P214" si="179">ABS(N144 + N179)*(1-N87)*PowerFactor*$H28</f>
        <v>2.9488418259380856E-2</v>
      </c>
      <c r="O214" s="422">
        <f t="shared" si="179"/>
        <v>0</v>
      </c>
      <c r="P214" s="422">
        <f t="shared" si="179"/>
        <v>0</v>
      </c>
      <c r="Q214" s="422">
        <f t="shared" ref="Q214:S214" si="180">ABS(Q144 + Q179)*(1-Q87)*PowerFactor*$H28</f>
        <v>5.2836549879032566E-2</v>
      </c>
      <c r="R214" s="422">
        <f t="shared" si="180"/>
        <v>2.6152000030118715E-2</v>
      </c>
      <c r="S214" s="422">
        <f t="shared" si="180"/>
        <v>2.4865836094211235E-2</v>
      </c>
      <c r="T214" s="422">
        <f t="shared" ref="T214:U214" si="181">ABS(T144 + T179)*(1-T87)*PowerFactor*$H28</f>
        <v>2.6152000030118715E-2</v>
      </c>
      <c r="U214" s="422">
        <f t="shared" si="181"/>
        <v>2.6152000030118715E-2</v>
      </c>
      <c r="V214" s="422">
        <f t="shared" ref="V214:W214" si="182">ABS(V144 + V179)*(1-V87)*PowerFactor*$H28</f>
        <v>2.4865836094211235E-2</v>
      </c>
      <c r="W214" s="422">
        <f t="shared" si="182"/>
        <v>2.4865836094211235E-2</v>
      </c>
      <c r="X214" s="422">
        <f t="shared" ref="X214:Y214" si="183">ABS(X144 + X179)*(1-X87)*PowerFactor*$H28</f>
        <v>2.4437114782242073E-2</v>
      </c>
      <c r="Y214" s="422">
        <f t="shared" si="183"/>
        <v>2.4437114782242073E-2</v>
      </c>
      <c r="Z214" s="352"/>
      <c r="AA214" s="352"/>
    </row>
    <row r="215" spans="3:27" x14ac:dyDescent="0.25">
      <c r="F215" s="295" t="s">
        <v>49</v>
      </c>
      <c r="G215" s="295" t="s">
        <v>315</v>
      </c>
      <c r="H215" s="352"/>
      <c r="I215" s="352"/>
      <c r="J215" s="422">
        <f t="shared" ref="J215:K215" si="184">ABS(J145 + J180)*(1-J88)*PowerFactor*$H29</f>
        <v>1.3165008879275216E-2</v>
      </c>
      <c r="K215" s="422">
        <f t="shared" si="184"/>
        <v>0</v>
      </c>
      <c r="L215" s="422">
        <f t="shared" ref="L215:M215" si="185">ABS(L145 + L180)*(1-L88)*PowerFactor*$H29</f>
        <v>1.0479573646690906E-2</v>
      </c>
      <c r="M215" s="422">
        <f t="shared" si="185"/>
        <v>0</v>
      </c>
      <c r="N215" s="422">
        <f t="shared" ref="N215:P215" si="186">ABS(N145 + N180)*(1-N88)*PowerFactor*$H29</f>
        <v>0</v>
      </c>
      <c r="O215" s="422">
        <f t="shared" si="186"/>
        <v>0</v>
      </c>
      <c r="P215" s="422">
        <f t="shared" si="186"/>
        <v>0</v>
      </c>
      <c r="Q215" s="422">
        <f t="shared" ref="Q215:S215" si="187">ABS(Q145 + Q180)*(1-Q88)*PowerFactor*$H29</f>
        <v>1.3279321073989575E-2</v>
      </c>
      <c r="R215" s="422">
        <f t="shared" si="187"/>
        <v>6.5727381125758322E-3</v>
      </c>
      <c r="S215" s="422">
        <f t="shared" si="187"/>
        <v>6.2494886972032518E-3</v>
      </c>
      <c r="T215" s="422">
        <f t="shared" ref="T215:U215" si="188">ABS(T145 + T180)*(1-T88)*PowerFactor*$H29</f>
        <v>6.5727381125758322E-3</v>
      </c>
      <c r="U215" s="422">
        <f t="shared" si="188"/>
        <v>6.5727381125758322E-3</v>
      </c>
      <c r="V215" s="422">
        <f t="shared" ref="V215:W215" si="189">ABS(V145 + V180)*(1-V88)*PowerFactor*$H29</f>
        <v>6.2494886972032518E-3</v>
      </c>
      <c r="W215" s="422">
        <f t="shared" si="189"/>
        <v>6.2494886972032518E-3</v>
      </c>
      <c r="X215" s="422">
        <f t="shared" ref="X215:Y215" si="190">ABS(X145 + X180)*(1-X88)*PowerFactor*$H29</f>
        <v>0</v>
      </c>
      <c r="Y215" s="422">
        <f t="shared" si="190"/>
        <v>0</v>
      </c>
      <c r="Z215" s="352"/>
      <c r="AA215" s="352"/>
    </row>
    <row r="216" spans="3:27" x14ac:dyDescent="0.25">
      <c r="F216" s="295" t="s">
        <v>50</v>
      </c>
      <c r="G216" s="295" t="s">
        <v>315</v>
      </c>
      <c r="H216" s="352"/>
      <c r="I216" s="352"/>
      <c r="J216" s="422">
        <f t="shared" ref="J216:K216" si="191">ABS(J146 + J181)*(1-J89)*PowerFactor*$H30</f>
        <v>0</v>
      </c>
      <c r="K216" s="422">
        <f t="shared" si="191"/>
        <v>0</v>
      </c>
      <c r="L216" s="422">
        <f t="shared" ref="L216:M216" si="192">ABS(L146 + L181)*(1-L89)*PowerFactor*$H30</f>
        <v>0</v>
      </c>
      <c r="M216" s="422">
        <f t="shared" si="192"/>
        <v>0</v>
      </c>
      <c r="N216" s="422">
        <f t="shared" ref="N216:P216" si="193">ABS(N146 + N181)*(1-N89)*PowerFactor*$H30</f>
        <v>0</v>
      </c>
      <c r="O216" s="422">
        <f t="shared" si="193"/>
        <v>0</v>
      </c>
      <c r="P216" s="422">
        <f t="shared" si="193"/>
        <v>0</v>
      </c>
      <c r="Q216" s="422">
        <f t="shared" ref="Q216:S216" si="194">ABS(Q146 + Q181)*(1-Q89)*PowerFactor*$H30</f>
        <v>2.2336237884750681E-2</v>
      </c>
      <c r="R216" s="422">
        <f t="shared" si="194"/>
        <v>1.1055553308686891E-2</v>
      </c>
      <c r="S216" s="422">
        <f t="shared" si="194"/>
        <v>0</v>
      </c>
      <c r="T216" s="422">
        <f t="shared" ref="T216:U216" si="195">ABS(T146 + T181)*(1-T89)*PowerFactor*$H30</f>
        <v>1.1055553308686891E-2</v>
      </c>
      <c r="U216" s="422">
        <f t="shared" si="195"/>
        <v>1.1055553308686891E-2</v>
      </c>
      <c r="V216" s="422">
        <f t="shared" ref="V216:W216" si="196">ABS(V146 + V181)*(1-V89)*PowerFactor*$H30</f>
        <v>0</v>
      </c>
      <c r="W216" s="422">
        <f t="shared" si="196"/>
        <v>0</v>
      </c>
      <c r="X216" s="422">
        <f t="shared" ref="X216:Y216" si="197">ABS(X146 + X181)*(1-X89)*PowerFactor*$H30</f>
        <v>0</v>
      </c>
      <c r="Y216" s="422">
        <f t="shared" si="197"/>
        <v>0</v>
      </c>
      <c r="Z216" s="352"/>
      <c r="AA216" s="352"/>
    </row>
    <row r="217" spans="3:27" x14ac:dyDescent="0.25">
      <c r="F217" s="295" t="s">
        <v>124</v>
      </c>
      <c r="G217" s="295" t="s">
        <v>315</v>
      </c>
      <c r="H217" s="352"/>
      <c r="I217" s="352"/>
      <c r="J217" s="423"/>
      <c r="K217" s="423"/>
      <c r="L217" s="423"/>
      <c r="M217" s="423"/>
      <c r="N217" s="423"/>
      <c r="O217" s="423"/>
      <c r="P217" s="423"/>
      <c r="Q217" s="423"/>
      <c r="R217" s="423"/>
      <c r="S217" s="423"/>
      <c r="T217" s="423"/>
      <c r="U217" s="423"/>
      <c r="V217" s="423"/>
      <c r="W217" s="423"/>
      <c r="X217" s="423"/>
      <c r="Y217" s="423"/>
      <c r="Z217" s="352"/>
      <c r="AA217" s="352"/>
    </row>
    <row r="218" spans="3:27" x14ac:dyDescent="0.25">
      <c r="F218" s="93" t="s">
        <v>123</v>
      </c>
      <c r="G218" s="93" t="s">
        <v>315</v>
      </c>
      <c r="H218" s="354"/>
      <c r="I218" s="354"/>
      <c r="J218" s="359"/>
      <c r="K218" s="359"/>
      <c r="L218" s="359"/>
      <c r="M218" s="359"/>
      <c r="N218" s="359"/>
      <c r="O218" s="359"/>
      <c r="P218" s="359"/>
      <c r="Q218" s="359"/>
      <c r="R218" s="359"/>
      <c r="S218" s="359"/>
      <c r="T218" s="359"/>
      <c r="U218" s="359"/>
      <c r="V218" s="359"/>
      <c r="W218" s="359"/>
      <c r="X218" s="359"/>
      <c r="Y218" s="359"/>
      <c r="Z218" s="352"/>
      <c r="AA218" s="352"/>
    </row>
    <row r="219" spans="3:27" x14ac:dyDescent="0.25">
      <c r="J219" s="253"/>
      <c r="K219" s="253"/>
      <c r="L219" s="253"/>
      <c r="M219" s="253"/>
      <c r="N219" s="253"/>
      <c r="O219" s="253"/>
      <c r="P219" s="253"/>
      <c r="Q219" s="253"/>
      <c r="R219" s="253"/>
      <c r="S219" s="253"/>
      <c r="T219" s="253"/>
      <c r="U219" s="253"/>
      <c r="V219" s="253"/>
      <c r="W219" s="253"/>
      <c r="X219" s="253"/>
      <c r="Y219" s="253"/>
    </row>
    <row r="220" spans="3:27" x14ac:dyDescent="0.25">
      <c r="C220" s="7" t="str">
        <f ca="1">INDEX('Version control'!$H$34:$H$58,MATCH($A$1,'Version control'!$F$34:$F$58,0),1)&amp;"-E: Reactive power charges for applicable customers"</f>
        <v>Section 515-E: Reactive power charges for applicable customers</v>
      </c>
      <c r="D220" s="7"/>
      <c r="E220" s="7"/>
      <c r="F220" s="7"/>
      <c r="G220" s="7"/>
      <c r="H220" s="7"/>
      <c r="I220" s="7"/>
      <c r="J220" s="243"/>
      <c r="K220" s="243"/>
      <c r="L220" s="243"/>
      <c r="M220" s="243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43"/>
      <c r="Y220" s="243"/>
      <c r="Z220" s="7"/>
      <c r="AA220" s="7"/>
    </row>
    <row r="221" spans="3:27" x14ac:dyDescent="0.25">
      <c r="D221" s="96"/>
      <c r="E221" s="96"/>
      <c r="J221" s="253"/>
      <c r="K221" s="253"/>
      <c r="L221" s="253"/>
      <c r="M221" s="253"/>
      <c r="N221" s="253"/>
      <c r="O221" s="253"/>
      <c r="P221" s="253"/>
      <c r="Q221" s="253"/>
      <c r="R221" s="253"/>
      <c r="S221" s="253"/>
      <c r="T221" s="253"/>
      <c r="U221" s="253"/>
      <c r="V221" s="253"/>
      <c r="W221" s="253"/>
      <c r="X221" s="253"/>
      <c r="Y221" s="253"/>
    </row>
    <row r="222" spans="3:27" x14ac:dyDescent="0.25">
      <c r="D222" s="295"/>
      <c r="E222" s="96" t="s">
        <v>139</v>
      </c>
      <c r="J222" s="253"/>
      <c r="K222" s="253"/>
      <c r="L222" s="253"/>
      <c r="M222" s="253"/>
      <c r="N222" s="253"/>
      <c r="O222" s="253"/>
      <c r="P222" s="253"/>
      <c r="Q222" s="253"/>
      <c r="R222" s="253"/>
      <c r="S222" s="253"/>
      <c r="T222" s="253"/>
      <c r="U222" s="253"/>
      <c r="V222" s="253"/>
      <c r="W222" s="253"/>
      <c r="X222" s="253"/>
      <c r="Y222" s="253"/>
    </row>
    <row r="223" spans="3:27" x14ac:dyDescent="0.25">
      <c r="D223" s="295"/>
      <c r="F223" s="91" t="s">
        <v>324</v>
      </c>
      <c r="G223" s="91" t="s">
        <v>315</v>
      </c>
      <c r="H223" s="350"/>
      <c r="I223" s="350"/>
      <c r="J223" s="362"/>
      <c r="K223" s="362"/>
      <c r="L223" s="362"/>
      <c r="M223" s="362"/>
      <c r="N223" s="362"/>
      <c r="O223" s="362"/>
      <c r="P223" s="362"/>
      <c r="Q223" s="362"/>
      <c r="R223" s="362"/>
      <c r="S223" s="362"/>
      <c r="T223" s="362"/>
      <c r="U223" s="362"/>
      <c r="V223" s="362"/>
      <c r="W223" s="362"/>
      <c r="X223" s="362"/>
      <c r="Y223" s="362"/>
      <c r="Z223" s="352"/>
      <c r="AA223" s="352"/>
    </row>
    <row r="224" spans="3:27" x14ac:dyDescent="0.25">
      <c r="D224" s="295"/>
      <c r="F224" s="295" t="s">
        <v>43</v>
      </c>
      <c r="G224" s="295" t="s">
        <v>315</v>
      </c>
      <c r="H224" s="352"/>
      <c r="I224" s="352"/>
      <c r="J224" s="423"/>
      <c r="K224" s="423"/>
      <c r="L224" s="423"/>
      <c r="M224" s="423"/>
      <c r="N224" s="423"/>
      <c r="O224" s="423"/>
      <c r="P224" s="423"/>
      <c r="Q224" s="423"/>
      <c r="R224" s="423"/>
      <c r="S224" s="423"/>
      <c r="T224" s="423"/>
      <c r="U224" s="423"/>
      <c r="V224" s="423"/>
      <c r="W224" s="423"/>
      <c r="X224" s="423"/>
      <c r="Y224" s="423"/>
      <c r="Z224" s="352"/>
      <c r="AA224" s="352"/>
    </row>
    <row r="225" spans="5:27" s="295" customFormat="1" x14ac:dyDescent="0.25">
      <c r="E225" s="98"/>
      <c r="F225" s="295" t="s">
        <v>44</v>
      </c>
      <c r="G225" s="295" t="s">
        <v>315</v>
      </c>
      <c r="H225" s="352"/>
      <c r="I225" s="352"/>
      <c r="J225" s="422">
        <f t="shared" ref="J225:Y232" si="198">J$78 * J195</f>
        <v>0</v>
      </c>
      <c r="K225" s="422">
        <f t="shared" si="198"/>
        <v>0</v>
      </c>
      <c r="L225" s="422">
        <f t="shared" si="198"/>
        <v>0</v>
      </c>
      <c r="M225" s="422">
        <f t="shared" si="198"/>
        <v>0</v>
      </c>
      <c r="N225" s="422">
        <f t="shared" si="198"/>
        <v>0</v>
      </c>
      <c r="O225" s="422">
        <f t="shared" si="198"/>
        <v>0</v>
      </c>
      <c r="P225" s="422">
        <f t="shared" si="198"/>
        <v>0</v>
      </c>
      <c r="Q225" s="422">
        <f t="shared" si="198"/>
        <v>0</v>
      </c>
      <c r="R225" s="422">
        <f t="shared" si="198"/>
        <v>0</v>
      </c>
      <c r="S225" s="422">
        <f t="shared" si="198"/>
        <v>0</v>
      </c>
      <c r="T225" s="422">
        <f t="shared" si="198"/>
        <v>0</v>
      </c>
      <c r="U225" s="422">
        <f t="shared" si="198"/>
        <v>0</v>
      </c>
      <c r="V225" s="422">
        <f t="shared" si="198"/>
        <v>0</v>
      </c>
      <c r="W225" s="422">
        <f t="shared" si="198"/>
        <v>0</v>
      </c>
      <c r="X225" s="422">
        <f t="shared" si="198"/>
        <v>0</v>
      </c>
      <c r="Y225" s="422">
        <f t="shared" si="198"/>
        <v>0</v>
      </c>
      <c r="Z225" s="352"/>
      <c r="AA225" s="352"/>
    </row>
    <row r="226" spans="5:27" s="295" customFormat="1" x14ac:dyDescent="0.25">
      <c r="E226" s="98"/>
      <c r="F226" s="295" t="s">
        <v>45</v>
      </c>
      <c r="G226" s="295" t="s">
        <v>315</v>
      </c>
      <c r="H226" s="352"/>
      <c r="I226" s="352"/>
      <c r="J226" s="422">
        <f t="shared" si="198"/>
        <v>0</v>
      </c>
      <c r="K226" s="422">
        <f t="shared" si="198"/>
        <v>0</v>
      </c>
      <c r="L226" s="422">
        <f t="shared" si="198"/>
        <v>0</v>
      </c>
      <c r="M226" s="422">
        <f t="shared" si="198"/>
        <v>0</v>
      </c>
      <c r="N226" s="422">
        <f t="shared" si="198"/>
        <v>0</v>
      </c>
      <c r="O226" s="422">
        <f t="shared" si="198"/>
        <v>0</v>
      </c>
      <c r="P226" s="422">
        <f t="shared" si="198"/>
        <v>0</v>
      </c>
      <c r="Q226" s="422">
        <f t="shared" si="198"/>
        <v>0</v>
      </c>
      <c r="R226" s="422">
        <f t="shared" si="198"/>
        <v>0</v>
      </c>
      <c r="S226" s="422">
        <f t="shared" si="198"/>
        <v>0</v>
      </c>
      <c r="T226" s="422">
        <f t="shared" si="198"/>
        <v>0</v>
      </c>
      <c r="U226" s="422">
        <f t="shared" si="198"/>
        <v>0</v>
      </c>
      <c r="V226" s="422">
        <f t="shared" si="198"/>
        <v>0</v>
      </c>
      <c r="W226" s="422">
        <f t="shared" si="198"/>
        <v>0</v>
      </c>
      <c r="X226" s="422">
        <f t="shared" si="198"/>
        <v>0</v>
      </c>
      <c r="Y226" s="422">
        <f t="shared" si="198"/>
        <v>0</v>
      </c>
      <c r="Z226" s="352"/>
      <c r="AA226" s="352"/>
    </row>
    <row r="227" spans="5:27" s="295" customFormat="1" x14ac:dyDescent="0.25">
      <c r="E227" s="98"/>
      <c r="F227" s="295" t="s">
        <v>46</v>
      </c>
      <c r="G227" s="295" t="s">
        <v>315</v>
      </c>
      <c r="H227" s="352"/>
      <c r="I227" s="352"/>
      <c r="J227" s="422">
        <f t="shared" si="198"/>
        <v>0</v>
      </c>
      <c r="K227" s="422">
        <f t="shared" si="198"/>
        <v>0</v>
      </c>
      <c r="L227" s="422">
        <f t="shared" si="198"/>
        <v>0</v>
      </c>
      <c r="M227" s="422">
        <f t="shared" si="198"/>
        <v>0</v>
      </c>
      <c r="N227" s="422">
        <f t="shared" si="198"/>
        <v>5.529703092630299E-2</v>
      </c>
      <c r="O227" s="422">
        <f t="shared" si="198"/>
        <v>4.3550937994187293E-2</v>
      </c>
      <c r="P227" s="422">
        <f t="shared" si="198"/>
        <v>3.266650868561357E-2</v>
      </c>
      <c r="Q227" s="422">
        <f t="shared" si="198"/>
        <v>0</v>
      </c>
      <c r="R227" s="422">
        <f t="shared" si="198"/>
        <v>0</v>
      </c>
      <c r="S227" s="422">
        <f t="shared" si="198"/>
        <v>0</v>
      </c>
      <c r="T227" s="422">
        <f t="shared" si="198"/>
        <v>3.9232431980039721E-2</v>
      </c>
      <c r="U227" s="422">
        <f t="shared" si="198"/>
        <v>0</v>
      </c>
      <c r="V227" s="422">
        <f t="shared" si="198"/>
        <v>3.7302968112168919E-2</v>
      </c>
      <c r="W227" s="422">
        <f t="shared" si="198"/>
        <v>0</v>
      </c>
      <c r="X227" s="422">
        <f t="shared" si="198"/>
        <v>3.551967574943983E-2</v>
      </c>
      <c r="Y227" s="422">
        <f t="shared" si="198"/>
        <v>0</v>
      </c>
      <c r="Z227" s="352"/>
      <c r="AA227" s="352"/>
    </row>
    <row r="228" spans="5:27" s="295" customFormat="1" x14ac:dyDescent="0.25">
      <c r="E228" s="98"/>
      <c r="F228" s="295" t="s">
        <v>47</v>
      </c>
      <c r="G228" s="295" t="s">
        <v>315</v>
      </c>
      <c r="H228" s="352"/>
      <c r="I228" s="352"/>
      <c r="J228" s="422">
        <f t="shared" si="198"/>
        <v>0</v>
      </c>
      <c r="K228" s="422">
        <f t="shared" si="198"/>
        <v>0</v>
      </c>
      <c r="L228" s="422">
        <f t="shared" si="198"/>
        <v>0</v>
      </c>
      <c r="M228" s="422">
        <f t="shared" si="198"/>
        <v>0</v>
      </c>
      <c r="N228" s="422">
        <f t="shared" si="198"/>
        <v>1.1593600282072188E-2</v>
      </c>
      <c r="O228" s="422">
        <f t="shared" si="198"/>
        <v>9.1309091746144353E-3</v>
      </c>
      <c r="P228" s="422">
        <f t="shared" si="198"/>
        <v>0</v>
      </c>
      <c r="Q228" s="422">
        <f t="shared" si="198"/>
        <v>0</v>
      </c>
      <c r="R228" s="422">
        <f t="shared" si="198"/>
        <v>0</v>
      </c>
      <c r="S228" s="422">
        <f t="shared" si="198"/>
        <v>0</v>
      </c>
      <c r="T228" s="422">
        <f t="shared" si="198"/>
        <v>8.2254892686075744E-3</v>
      </c>
      <c r="U228" s="422">
        <f t="shared" si="198"/>
        <v>0</v>
      </c>
      <c r="V228" s="422">
        <f t="shared" si="198"/>
        <v>7.820957009495727E-3</v>
      </c>
      <c r="W228" s="422">
        <f t="shared" si="198"/>
        <v>0</v>
      </c>
      <c r="X228" s="422">
        <f t="shared" si="198"/>
        <v>6.5937426188785323E-3</v>
      </c>
      <c r="Y228" s="422">
        <f t="shared" si="198"/>
        <v>0</v>
      </c>
      <c r="Z228" s="352"/>
      <c r="AA228" s="352"/>
    </row>
    <row r="229" spans="5:27" s="295" customFormat="1" x14ac:dyDescent="0.25">
      <c r="E229" s="98"/>
      <c r="F229" s="295" t="s">
        <v>51</v>
      </c>
      <c r="G229" s="295" t="s">
        <v>315</v>
      </c>
      <c r="H229" s="352"/>
      <c r="I229" s="352"/>
      <c r="J229" s="422">
        <f t="shared" si="198"/>
        <v>0</v>
      </c>
      <c r="K229" s="422">
        <f t="shared" si="198"/>
        <v>0</v>
      </c>
      <c r="L229" s="422">
        <f t="shared" si="198"/>
        <v>0</v>
      </c>
      <c r="M229" s="422">
        <f t="shared" si="198"/>
        <v>0</v>
      </c>
      <c r="N229" s="422">
        <f t="shared" si="198"/>
        <v>0</v>
      </c>
      <c r="O229" s="422">
        <f t="shared" si="198"/>
        <v>0</v>
      </c>
      <c r="P229" s="422">
        <f t="shared" si="198"/>
        <v>0</v>
      </c>
      <c r="Q229" s="422">
        <f t="shared" si="198"/>
        <v>0</v>
      </c>
      <c r="R229" s="422">
        <f t="shared" si="198"/>
        <v>0</v>
      </c>
      <c r="S229" s="422">
        <f t="shared" si="198"/>
        <v>0</v>
      </c>
      <c r="T229" s="422">
        <f t="shared" si="198"/>
        <v>0</v>
      </c>
      <c r="U229" s="422">
        <f t="shared" si="198"/>
        <v>0</v>
      </c>
      <c r="V229" s="422">
        <f t="shared" si="198"/>
        <v>0</v>
      </c>
      <c r="W229" s="422">
        <f t="shared" si="198"/>
        <v>0</v>
      </c>
      <c r="X229" s="422">
        <f t="shared" si="198"/>
        <v>0</v>
      </c>
      <c r="Y229" s="422">
        <f t="shared" si="198"/>
        <v>0</v>
      </c>
      <c r="Z229" s="352"/>
      <c r="AA229" s="352"/>
    </row>
    <row r="230" spans="5:27" s="295" customFormat="1" x14ac:dyDescent="0.25">
      <c r="E230" s="98"/>
      <c r="F230" s="295" t="s">
        <v>48</v>
      </c>
      <c r="G230" s="295" t="s">
        <v>315</v>
      </c>
      <c r="H230" s="352"/>
      <c r="I230" s="352"/>
      <c r="J230" s="422">
        <f t="shared" si="198"/>
        <v>0</v>
      </c>
      <c r="K230" s="422">
        <f t="shared" si="198"/>
        <v>0</v>
      </c>
      <c r="L230" s="422">
        <f t="shared" si="198"/>
        <v>0</v>
      </c>
      <c r="M230" s="422">
        <f t="shared" si="198"/>
        <v>0</v>
      </c>
      <c r="N230" s="422">
        <f t="shared" si="198"/>
        <v>3.1894621193200322E-2</v>
      </c>
      <c r="O230" s="422">
        <f t="shared" si="198"/>
        <v>0</v>
      </c>
      <c r="P230" s="422">
        <f t="shared" si="198"/>
        <v>0</v>
      </c>
      <c r="Q230" s="422">
        <f t="shared" si="198"/>
        <v>0</v>
      </c>
      <c r="R230" s="422">
        <f t="shared" si="198"/>
        <v>0</v>
      </c>
      <c r="S230" s="422">
        <f t="shared" si="198"/>
        <v>0</v>
      </c>
      <c r="T230" s="422">
        <f t="shared" si="198"/>
        <v>2.8285957119448174E-2</v>
      </c>
      <c r="U230" s="422">
        <f t="shared" si="198"/>
        <v>0</v>
      </c>
      <c r="V230" s="422">
        <f t="shared" si="198"/>
        <v>2.6894844474229407E-2</v>
      </c>
      <c r="W230" s="422">
        <f t="shared" si="198"/>
        <v>0</v>
      </c>
      <c r="X230" s="422">
        <f t="shared" si="198"/>
        <v>1.8137724185011792E-2</v>
      </c>
      <c r="Y230" s="422">
        <f t="shared" si="198"/>
        <v>0</v>
      </c>
      <c r="Z230" s="352"/>
      <c r="AA230" s="352"/>
    </row>
    <row r="231" spans="5:27" s="295" customFormat="1" x14ac:dyDescent="0.25">
      <c r="E231" s="98"/>
      <c r="F231" s="295" t="s">
        <v>49</v>
      </c>
      <c r="G231" s="295" t="s">
        <v>315</v>
      </c>
      <c r="H231" s="352"/>
      <c r="I231" s="352"/>
      <c r="J231" s="422">
        <f t="shared" si="198"/>
        <v>0</v>
      </c>
      <c r="K231" s="422">
        <f t="shared" si="198"/>
        <v>0</v>
      </c>
      <c r="L231" s="422">
        <f t="shared" si="198"/>
        <v>0</v>
      </c>
      <c r="M231" s="422">
        <f t="shared" si="198"/>
        <v>0</v>
      </c>
      <c r="N231" s="422">
        <f t="shared" si="198"/>
        <v>0</v>
      </c>
      <c r="O231" s="422">
        <f t="shared" si="198"/>
        <v>0</v>
      </c>
      <c r="P231" s="422">
        <f t="shared" si="198"/>
        <v>0</v>
      </c>
      <c r="Q231" s="422">
        <f t="shared" si="198"/>
        <v>0</v>
      </c>
      <c r="R231" s="422">
        <f t="shared" si="198"/>
        <v>0</v>
      </c>
      <c r="S231" s="422">
        <f t="shared" si="198"/>
        <v>0</v>
      </c>
      <c r="T231" s="422">
        <f t="shared" si="198"/>
        <v>6.4951112158389869E-3</v>
      </c>
      <c r="U231" s="422">
        <f t="shared" si="198"/>
        <v>0</v>
      </c>
      <c r="V231" s="422">
        <f t="shared" si="198"/>
        <v>6.1756795166993637E-3</v>
      </c>
      <c r="W231" s="422">
        <f t="shared" si="198"/>
        <v>0</v>
      </c>
      <c r="X231" s="422">
        <f t="shared" si="198"/>
        <v>0</v>
      </c>
      <c r="Y231" s="422">
        <f t="shared" si="198"/>
        <v>0</v>
      </c>
      <c r="Z231" s="352"/>
      <c r="AA231" s="352"/>
    </row>
    <row r="232" spans="5:27" s="295" customFormat="1" x14ac:dyDescent="0.25">
      <c r="E232" s="98"/>
      <c r="F232" s="295" t="s">
        <v>50</v>
      </c>
      <c r="G232" s="295" t="s">
        <v>315</v>
      </c>
      <c r="H232" s="352"/>
      <c r="I232" s="352"/>
      <c r="J232" s="422">
        <f t="shared" si="198"/>
        <v>0</v>
      </c>
      <c r="K232" s="422">
        <f t="shared" si="198"/>
        <v>0</v>
      </c>
      <c r="L232" s="422">
        <f t="shared" si="198"/>
        <v>0</v>
      </c>
      <c r="M232" s="422">
        <f t="shared" si="198"/>
        <v>0</v>
      </c>
      <c r="N232" s="422">
        <f t="shared" si="198"/>
        <v>0</v>
      </c>
      <c r="O232" s="422">
        <f t="shared" si="198"/>
        <v>0</v>
      </c>
      <c r="P232" s="422">
        <f t="shared" si="198"/>
        <v>0</v>
      </c>
      <c r="Q232" s="422">
        <f t="shared" si="198"/>
        <v>0</v>
      </c>
      <c r="R232" s="422">
        <f t="shared" si="198"/>
        <v>0</v>
      </c>
      <c r="S232" s="422">
        <f t="shared" si="198"/>
        <v>0</v>
      </c>
      <c r="T232" s="422">
        <f t="shared" si="198"/>
        <v>1.1411273239274064E-3</v>
      </c>
      <c r="U232" s="422">
        <f t="shared" si="198"/>
        <v>0</v>
      </c>
      <c r="V232" s="422">
        <f t="shared" si="198"/>
        <v>0</v>
      </c>
      <c r="W232" s="422">
        <f t="shared" si="198"/>
        <v>0</v>
      </c>
      <c r="X232" s="422">
        <f t="shared" si="198"/>
        <v>0</v>
      </c>
      <c r="Y232" s="422">
        <f t="shared" si="198"/>
        <v>0</v>
      </c>
      <c r="Z232" s="352"/>
      <c r="AA232" s="352"/>
    </row>
    <row r="233" spans="5:27" s="295" customFormat="1" x14ac:dyDescent="0.25">
      <c r="E233" s="98"/>
      <c r="F233" s="295" t="s">
        <v>124</v>
      </c>
      <c r="G233" s="295" t="s">
        <v>315</v>
      </c>
      <c r="H233" s="352"/>
      <c r="I233" s="352"/>
      <c r="J233" s="423"/>
      <c r="K233" s="423"/>
      <c r="L233" s="423"/>
      <c r="M233" s="423"/>
      <c r="N233" s="423"/>
      <c r="O233" s="423"/>
      <c r="P233" s="423"/>
      <c r="Q233" s="423"/>
      <c r="R233" s="423"/>
      <c r="S233" s="423"/>
      <c r="T233" s="423"/>
      <c r="U233" s="423"/>
      <c r="V233" s="423"/>
      <c r="W233" s="423"/>
      <c r="X233" s="423"/>
      <c r="Y233" s="423"/>
      <c r="Z233" s="352"/>
      <c r="AA233" s="352"/>
    </row>
    <row r="234" spans="5:27" s="295" customFormat="1" x14ac:dyDescent="0.25">
      <c r="E234" s="98"/>
      <c r="F234" s="93" t="s">
        <v>123</v>
      </c>
      <c r="G234" s="93" t="s">
        <v>315</v>
      </c>
      <c r="H234" s="354"/>
      <c r="I234" s="354"/>
      <c r="J234" s="359"/>
      <c r="K234" s="359"/>
      <c r="L234" s="359"/>
      <c r="M234" s="359"/>
      <c r="N234" s="359"/>
      <c r="O234" s="359"/>
      <c r="P234" s="359"/>
      <c r="Q234" s="359"/>
      <c r="R234" s="359"/>
      <c r="S234" s="359"/>
      <c r="T234" s="359"/>
      <c r="U234" s="359"/>
      <c r="V234" s="359"/>
      <c r="W234" s="359"/>
      <c r="X234" s="359"/>
      <c r="Y234" s="359"/>
      <c r="Z234" s="352"/>
      <c r="AA234" s="352"/>
    </row>
    <row r="235" spans="5:27" s="295" customFormat="1" x14ac:dyDescent="0.25">
      <c r="E235" s="98"/>
      <c r="J235" s="253"/>
      <c r="K235" s="253"/>
      <c r="L235" s="253"/>
      <c r="M235" s="253"/>
      <c r="N235" s="253"/>
      <c r="O235" s="253"/>
      <c r="P235" s="253"/>
      <c r="Q235" s="253"/>
      <c r="R235" s="253"/>
      <c r="S235" s="253"/>
      <c r="T235" s="253"/>
      <c r="U235" s="253"/>
      <c r="V235" s="253"/>
      <c r="W235" s="253"/>
      <c r="X235" s="253"/>
      <c r="Y235" s="253"/>
    </row>
    <row r="236" spans="5:27" s="295" customFormat="1" x14ac:dyDescent="0.25">
      <c r="E236" s="96" t="s">
        <v>116</v>
      </c>
      <c r="J236" s="253"/>
      <c r="K236" s="253"/>
      <c r="L236" s="253"/>
      <c r="M236" s="253"/>
      <c r="N236" s="253"/>
      <c r="O236" s="253"/>
      <c r="P236" s="253"/>
      <c r="Q236" s="253"/>
      <c r="R236" s="253"/>
      <c r="S236" s="253"/>
      <c r="T236" s="253"/>
      <c r="U236" s="253"/>
      <c r="V236" s="253"/>
      <c r="W236" s="253"/>
      <c r="X236" s="253"/>
      <c r="Y236" s="253"/>
    </row>
    <row r="237" spans="5:27" s="295" customFormat="1" x14ac:dyDescent="0.25">
      <c r="E237" s="98"/>
      <c r="F237" s="91" t="s">
        <v>324</v>
      </c>
      <c r="G237" s="91" t="s">
        <v>315</v>
      </c>
      <c r="H237" s="350"/>
      <c r="I237" s="350"/>
      <c r="J237" s="363">
        <f t="shared" ref="J237:Y246" si="199">J$78 * J207</f>
        <v>0</v>
      </c>
      <c r="K237" s="363">
        <f t="shared" si="199"/>
        <v>0</v>
      </c>
      <c r="L237" s="363">
        <f t="shared" si="199"/>
        <v>0</v>
      </c>
      <c r="M237" s="363">
        <f t="shared" si="199"/>
        <v>0</v>
      </c>
      <c r="N237" s="363">
        <f t="shared" si="199"/>
        <v>5.7739462168071583E-2</v>
      </c>
      <c r="O237" s="363">
        <f t="shared" si="199"/>
        <v>4.547455251351102E-2</v>
      </c>
      <c r="P237" s="363">
        <f t="shared" si="199"/>
        <v>4.4005292609106447E-2</v>
      </c>
      <c r="Q237" s="363">
        <f t="shared" si="199"/>
        <v>0</v>
      </c>
      <c r="R237" s="363">
        <f t="shared" si="199"/>
        <v>0</v>
      </c>
      <c r="S237" s="363">
        <f t="shared" si="199"/>
        <v>0</v>
      </c>
      <c r="T237" s="363">
        <f t="shared" si="199"/>
        <v>4.0965301104357039E-2</v>
      </c>
      <c r="U237" s="363">
        <f t="shared" si="199"/>
        <v>0</v>
      </c>
      <c r="V237" s="363">
        <f t="shared" si="199"/>
        <v>3.8950614164798496E-2</v>
      </c>
      <c r="W237" s="363">
        <f t="shared" si="199"/>
        <v>0</v>
      </c>
      <c r="X237" s="363">
        <f t="shared" si="199"/>
        <v>3.827905185161231E-2</v>
      </c>
      <c r="Y237" s="363">
        <f t="shared" si="199"/>
        <v>0</v>
      </c>
      <c r="Z237" s="352"/>
      <c r="AA237" s="352"/>
    </row>
    <row r="238" spans="5:27" s="295" customFormat="1" x14ac:dyDescent="0.25">
      <c r="E238" s="98"/>
      <c r="F238" s="295" t="s">
        <v>43</v>
      </c>
      <c r="G238" s="295" t="s">
        <v>315</v>
      </c>
      <c r="H238" s="352"/>
      <c r="I238" s="352"/>
      <c r="J238" s="422">
        <f t="shared" si="199"/>
        <v>0</v>
      </c>
      <c r="K238" s="422">
        <f t="shared" si="199"/>
        <v>0</v>
      </c>
      <c r="L238" s="422">
        <f t="shared" si="199"/>
        <v>0</v>
      </c>
      <c r="M238" s="422">
        <f t="shared" si="199"/>
        <v>0</v>
      </c>
      <c r="N238" s="422">
        <f t="shared" si="199"/>
        <v>0</v>
      </c>
      <c r="O238" s="422">
        <f t="shared" si="199"/>
        <v>0</v>
      </c>
      <c r="P238" s="422">
        <f t="shared" si="199"/>
        <v>0</v>
      </c>
      <c r="Q238" s="422">
        <f t="shared" si="199"/>
        <v>0</v>
      </c>
      <c r="R238" s="422">
        <f t="shared" si="199"/>
        <v>0</v>
      </c>
      <c r="S238" s="422">
        <f t="shared" si="199"/>
        <v>0</v>
      </c>
      <c r="T238" s="422">
        <f t="shared" si="199"/>
        <v>0</v>
      </c>
      <c r="U238" s="422">
        <f t="shared" si="199"/>
        <v>0</v>
      </c>
      <c r="V238" s="422">
        <f t="shared" si="199"/>
        <v>0</v>
      </c>
      <c r="W238" s="422">
        <f t="shared" si="199"/>
        <v>0</v>
      </c>
      <c r="X238" s="422">
        <f t="shared" si="199"/>
        <v>0</v>
      </c>
      <c r="Y238" s="422">
        <f t="shared" si="199"/>
        <v>0</v>
      </c>
      <c r="Z238" s="352"/>
      <c r="AA238" s="352"/>
    </row>
    <row r="239" spans="5:27" s="295" customFormat="1" x14ac:dyDescent="0.25">
      <c r="E239" s="98"/>
      <c r="F239" s="295" t="s">
        <v>44</v>
      </c>
      <c r="G239" s="295" t="s">
        <v>315</v>
      </c>
      <c r="H239" s="352"/>
      <c r="I239" s="352"/>
      <c r="J239" s="422">
        <f t="shared" si="199"/>
        <v>0</v>
      </c>
      <c r="K239" s="422">
        <f t="shared" si="199"/>
        <v>0</v>
      </c>
      <c r="L239" s="422">
        <f t="shared" si="199"/>
        <v>0</v>
      </c>
      <c r="M239" s="422">
        <f t="shared" si="199"/>
        <v>0</v>
      </c>
      <c r="N239" s="422">
        <f t="shared" si="199"/>
        <v>0</v>
      </c>
      <c r="O239" s="422">
        <f t="shared" si="199"/>
        <v>0</v>
      </c>
      <c r="P239" s="422">
        <f t="shared" si="199"/>
        <v>0</v>
      </c>
      <c r="Q239" s="422">
        <f t="shared" si="199"/>
        <v>0</v>
      </c>
      <c r="R239" s="422">
        <f t="shared" si="199"/>
        <v>0</v>
      </c>
      <c r="S239" s="422">
        <f t="shared" si="199"/>
        <v>0</v>
      </c>
      <c r="T239" s="422">
        <f t="shared" si="199"/>
        <v>0</v>
      </c>
      <c r="U239" s="422">
        <f t="shared" si="199"/>
        <v>0</v>
      </c>
      <c r="V239" s="422">
        <f t="shared" si="199"/>
        <v>0</v>
      </c>
      <c r="W239" s="422">
        <f t="shared" si="199"/>
        <v>0</v>
      </c>
      <c r="X239" s="422">
        <f t="shared" si="199"/>
        <v>0</v>
      </c>
      <c r="Y239" s="422">
        <f t="shared" si="199"/>
        <v>0</v>
      </c>
      <c r="Z239" s="352"/>
      <c r="AA239" s="352"/>
    </row>
    <row r="240" spans="5:27" s="295" customFormat="1" x14ac:dyDescent="0.25">
      <c r="E240" s="98"/>
      <c r="F240" s="295" t="s">
        <v>45</v>
      </c>
      <c r="G240" s="295" t="s">
        <v>315</v>
      </c>
      <c r="H240" s="352"/>
      <c r="I240" s="352"/>
      <c r="J240" s="422">
        <f t="shared" si="199"/>
        <v>0</v>
      </c>
      <c r="K240" s="422">
        <f t="shared" si="199"/>
        <v>0</v>
      </c>
      <c r="L240" s="422">
        <f t="shared" si="199"/>
        <v>0</v>
      </c>
      <c r="M240" s="422">
        <f t="shared" si="199"/>
        <v>0</v>
      </c>
      <c r="N240" s="422">
        <f t="shared" si="199"/>
        <v>0</v>
      </c>
      <c r="O240" s="422">
        <f t="shared" si="199"/>
        <v>0</v>
      </c>
      <c r="P240" s="422">
        <f t="shared" si="199"/>
        <v>0</v>
      </c>
      <c r="Q240" s="422">
        <f t="shared" si="199"/>
        <v>0</v>
      </c>
      <c r="R240" s="422">
        <f t="shared" si="199"/>
        <v>0</v>
      </c>
      <c r="S240" s="422">
        <f t="shared" si="199"/>
        <v>0</v>
      </c>
      <c r="T240" s="422">
        <f t="shared" si="199"/>
        <v>0</v>
      </c>
      <c r="U240" s="422">
        <f t="shared" si="199"/>
        <v>0</v>
      </c>
      <c r="V240" s="422">
        <f t="shared" si="199"/>
        <v>0</v>
      </c>
      <c r="W240" s="422">
        <f t="shared" si="199"/>
        <v>0</v>
      </c>
      <c r="X240" s="422">
        <f t="shared" si="199"/>
        <v>0</v>
      </c>
      <c r="Y240" s="422">
        <f t="shared" si="199"/>
        <v>0</v>
      </c>
      <c r="Z240" s="352"/>
      <c r="AA240" s="352"/>
    </row>
    <row r="241" spans="2:27" x14ac:dyDescent="0.25">
      <c r="D241" s="295"/>
      <c r="F241" s="295" t="s">
        <v>46</v>
      </c>
      <c r="G241" s="295" t="s">
        <v>315</v>
      </c>
      <c r="H241" s="352"/>
      <c r="I241" s="352"/>
      <c r="J241" s="422">
        <f t="shared" si="199"/>
        <v>0</v>
      </c>
      <c r="K241" s="422">
        <f t="shared" si="199"/>
        <v>0</v>
      </c>
      <c r="L241" s="422">
        <f t="shared" si="199"/>
        <v>0</v>
      </c>
      <c r="M241" s="422">
        <f t="shared" si="199"/>
        <v>0</v>
      </c>
      <c r="N241" s="422">
        <f t="shared" si="199"/>
        <v>4.0866904890781555E-2</v>
      </c>
      <c r="O241" s="422">
        <f t="shared" si="199"/>
        <v>3.2186032615110771E-2</v>
      </c>
      <c r="P241" s="422">
        <f t="shared" si="199"/>
        <v>2.4916894480417413E-2</v>
      </c>
      <c r="Q241" s="422">
        <f t="shared" si="199"/>
        <v>0</v>
      </c>
      <c r="R241" s="422">
        <f t="shared" si="199"/>
        <v>0</v>
      </c>
      <c r="S241" s="422">
        <f t="shared" si="199"/>
        <v>0</v>
      </c>
      <c r="T241" s="422">
        <f t="shared" si="199"/>
        <v>2.8994469314259311E-2</v>
      </c>
      <c r="U241" s="422">
        <f t="shared" si="199"/>
        <v>0</v>
      </c>
      <c r="V241" s="422">
        <f t="shared" si="199"/>
        <v>2.7568511807000658E-2</v>
      </c>
      <c r="W241" s="422">
        <f t="shared" si="199"/>
        <v>0</v>
      </c>
      <c r="X241" s="422">
        <f t="shared" si="199"/>
        <v>2.7093192637914435E-2</v>
      </c>
      <c r="Y241" s="422">
        <f t="shared" si="199"/>
        <v>0</v>
      </c>
      <c r="Z241" s="352"/>
      <c r="AA241" s="352"/>
    </row>
    <row r="242" spans="2:27" x14ac:dyDescent="0.25">
      <c r="D242" s="295"/>
      <c r="F242" s="295" t="s">
        <v>47</v>
      </c>
      <c r="G242" s="295" t="s">
        <v>315</v>
      </c>
      <c r="H242" s="352"/>
      <c r="I242" s="352"/>
      <c r="J242" s="422">
        <f t="shared" si="199"/>
        <v>0</v>
      </c>
      <c r="K242" s="422">
        <f t="shared" si="199"/>
        <v>0</v>
      </c>
      <c r="L242" s="422">
        <f t="shared" si="199"/>
        <v>0</v>
      </c>
      <c r="M242" s="422">
        <f t="shared" si="199"/>
        <v>0</v>
      </c>
      <c r="N242" s="422">
        <f t="shared" si="199"/>
        <v>8.5681735914651738E-3</v>
      </c>
      <c r="O242" s="422">
        <f t="shared" si="199"/>
        <v>6.7481380203333243E-3</v>
      </c>
      <c r="P242" s="422">
        <f t="shared" si="199"/>
        <v>0</v>
      </c>
      <c r="Q242" s="422">
        <f t="shared" si="199"/>
        <v>0</v>
      </c>
      <c r="R242" s="422">
        <f t="shared" si="199"/>
        <v>0</v>
      </c>
      <c r="S242" s="422">
        <f t="shared" si="199"/>
        <v>0</v>
      </c>
      <c r="T242" s="422">
        <f t="shared" si="199"/>
        <v>6.0789934285682308E-3</v>
      </c>
      <c r="U242" s="422">
        <f t="shared" si="199"/>
        <v>0</v>
      </c>
      <c r="V242" s="422">
        <f t="shared" si="199"/>
        <v>5.7800265386386456E-3</v>
      </c>
      <c r="W242" s="422">
        <f t="shared" si="199"/>
        <v>0</v>
      </c>
      <c r="X242" s="422">
        <f t="shared" si="199"/>
        <v>5.6803709086621175E-3</v>
      </c>
      <c r="Y242" s="422">
        <f t="shared" si="199"/>
        <v>0</v>
      </c>
      <c r="Z242" s="352"/>
      <c r="AA242" s="352"/>
    </row>
    <row r="243" spans="2:27" x14ac:dyDescent="0.25">
      <c r="D243" s="295"/>
      <c r="F243" s="295" t="s">
        <v>51</v>
      </c>
      <c r="G243" s="295" t="s">
        <v>315</v>
      </c>
      <c r="H243" s="352"/>
      <c r="I243" s="352"/>
      <c r="J243" s="422">
        <f t="shared" si="199"/>
        <v>0</v>
      </c>
      <c r="K243" s="422">
        <f t="shared" si="199"/>
        <v>0</v>
      </c>
      <c r="L243" s="422">
        <f t="shared" si="199"/>
        <v>0</v>
      </c>
      <c r="M243" s="422">
        <f t="shared" si="199"/>
        <v>0</v>
      </c>
      <c r="N243" s="422">
        <f t="shared" si="199"/>
        <v>0</v>
      </c>
      <c r="O243" s="422">
        <f t="shared" si="199"/>
        <v>0</v>
      </c>
      <c r="P243" s="422">
        <f t="shared" si="199"/>
        <v>0</v>
      </c>
      <c r="Q243" s="422">
        <f t="shared" si="199"/>
        <v>0</v>
      </c>
      <c r="R243" s="422">
        <f t="shared" si="199"/>
        <v>0</v>
      </c>
      <c r="S243" s="422">
        <f t="shared" si="199"/>
        <v>0</v>
      </c>
      <c r="T243" s="422">
        <f t="shared" si="199"/>
        <v>0</v>
      </c>
      <c r="U243" s="422">
        <f t="shared" si="199"/>
        <v>0</v>
      </c>
      <c r="V243" s="422">
        <f t="shared" si="199"/>
        <v>0</v>
      </c>
      <c r="W243" s="422">
        <f t="shared" si="199"/>
        <v>0</v>
      </c>
      <c r="X243" s="422">
        <f t="shared" si="199"/>
        <v>0</v>
      </c>
      <c r="Y243" s="422">
        <f t="shared" si="199"/>
        <v>0</v>
      </c>
      <c r="Z243" s="352"/>
      <c r="AA243" s="352"/>
    </row>
    <row r="244" spans="2:27" x14ac:dyDescent="0.25">
      <c r="D244" s="295"/>
      <c r="F244" s="295" t="s">
        <v>48</v>
      </c>
      <c r="G244" s="295" t="s">
        <v>315</v>
      </c>
      <c r="H244" s="352"/>
      <c r="I244" s="352"/>
      <c r="J244" s="422">
        <f t="shared" si="199"/>
        <v>0</v>
      </c>
      <c r="K244" s="422">
        <f t="shared" si="199"/>
        <v>0</v>
      </c>
      <c r="L244" s="422">
        <f t="shared" si="199"/>
        <v>0</v>
      </c>
      <c r="M244" s="422">
        <f t="shared" si="199"/>
        <v>0</v>
      </c>
      <c r="N244" s="422">
        <f t="shared" si="199"/>
        <v>2.9488418259380856E-2</v>
      </c>
      <c r="O244" s="422">
        <f t="shared" si="199"/>
        <v>0</v>
      </c>
      <c r="P244" s="422">
        <f t="shared" si="199"/>
        <v>0</v>
      </c>
      <c r="Q244" s="422">
        <f t="shared" si="199"/>
        <v>0</v>
      </c>
      <c r="R244" s="422">
        <f t="shared" si="199"/>
        <v>0</v>
      </c>
      <c r="S244" s="422">
        <f t="shared" si="199"/>
        <v>0</v>
      </c>
      <c r="T244" s="422">
        <f t="shared" si="199"/>
        <v>2.6152000030118715E-2</v>
      </c>
      <c r="U244" s="422">
        <f t="shared" si="199"/>
        <v>0</v>
      </c>
      <c r="V244" s="422">
        <f t="shared" si="199"/>
        <v>2.4865836094211235E-2</v>
      </c>
      <c r="W244" s="422">
        <f t="shared" si="199"/>
        <v>0</v>
      </c>
      <c r="X244" s="422">
        <f t="shared" si="199"/>
        <v>2.4437114782242073E-2</v>
      </c>
      <c r="Y244" s="422">
        <f t="shared" si="199"/>
        <v>0</v>
      </c>
      <c r="Z244" s="352"/>
      <c r="AA244" s="352"/>
    </row>
    <row r="245" spans="2:27" x14ac:dyDescent="0.25">
      <c r="D245" s="295"/>
      <c r="F245" s="295" t="s">
        <v>49</v>
      </c>
      <c r="G245" s="295" t="s">
        <v>315</v>
      </c>
      <c r="H245" s="352"/>
      <c r="I245" s="352"/>
      <c r="J245" s="422">
        <f t="shared" si="199"/>
        <v>0</v>
      </c>
      <c r="K245" s="422">
        <f t="shared" si="199"/>
        <v>0</v>
      </c>
      <c r="L245" s="422">
        <f t="shared" si="199"/>
        <v>0</v>
      </c>
      <c r="M245" s="422">
        <f t="shared" si="199"/>
        <v>0</v>
      </c>
      <c r="N245" s="422">
        <f t="shared" si="199"/>
        <v>0</v>
      </c>
      <c r="O245" s="422">
        <f t="shared" si="199"/>
        <v>0</v>
      </c>
      <c r="P245" s="422">
        <f t="shared" si="199"/>
        <v>0</v>
      </c>
      <c r="Q245" s="422">
        <f t="shared" si="199"/>
        <v>0</v>
      </c>
      <c r="R245" s="422">
        <f t="shared" si="199"/>
        <v>0</v>
      </c>
      <c r="S245" s="422">
        <f t="shared" si="199"/>
        <v>0</v>
      </c>
      <c r="T245" s="422">
        <f t="shared" si="199"/>
        <v>6.5727381125758322E-3</v>
      </c>
      <c r="U245" s="422">
        <f t="shared" si="199"/>
        <v>0</v>
      </c>
      <c r="V245" s="422">
        <f t="shared" si="199"/>
        <v>6.2494886972032518E-3</v>
      </c>
      <c r="W245" s="422">
        <f t="shared" si="199"/>
        <v>0</v>
      </c>
      <c r="X245" s="422">
        <f t="shared" si="199"/>
        <v>0</v>
      </c>
      <c r="Y245" s="422">
        <f t="shared" si="199"/>
        <v>0</v>
      </c>
      <c r="Z245" s="352"/>
      <c r="AA245" s="352"/>
    </row>
    <row r="246" spans="2:27" x14ac:dyDescent="0.25">
      <c r="D246" s="295"/>
      <c r="F246" s="295" t="s">
        <v>50</v>
      </c>
      <c r="G246" s="295" t="s">
        <v>315</v>
      </c>
      <c r="H246" s="352"/>
      <c r="I246" s="352"/>
      <c r="J246" s="422">
        <f t="shared" si="199"/>
        <v>0</v>
      </c>
      <c r="K246" s="422">
        <f t="shared" si="199"/>
        <v>0</v>
      </c>
      <c r="L246" s="422">
        <f t="shared" si="199"/>
        <v>0</v>
      </c>
      <c r="M246" s="422">
        <f t="shared" si="199"/>
        <v>0</v>
      </c>
      <c r="N246" s="422">
        <f t="shared" si="199"/>
        <v>0</v>
      </c>
      <c r="O246" s="422">
        <f t="shared" si="199"/>
        <v>0</v>
      </c>
      <c r="P246" s="422">
        <f t="shared" si="199"/>
        <v>0</v>
      </c>
      <c r="Q246" s="422">
        <f t="shared" si="199"/>
        <v>0</v>
      </c>
      <c r="R246" s="422">
        <f t="shared" si="199"/>
        <v>0</v>
      </c>
      <c r="S246" s="422">
        <f t="shared" si="199"/>
        <v>0</v>
      </c>
      <c r="T246" s="422">
        <f t="shared" si="199"/>
        <v>1.1055553308686891E-2</v>
      </c>
      <c r="U246" s="422">
        <f t="shared" si="199"/>
        <v>0</v>
      </c>
      <c r="V246" s="422">
        <f t="shared" si="199"/>
        <v>0</v>
      </c>
      <c r="W246" s="422">
        <f t="shared" si="199"/>
        <v>0</v>
      </c>
      <c r="X246" s="422">
        <f t="shared" si="199"/>
        <v>0</v>
      </c>
      <c r="Y246" s="422">
        <f t="shared" si="199"/>
        <v>0</v>
      </c>
      <c r="Z246" s="352"/>
      <c r="AA246" s="352"/>
    </row>
    <row r="247" spans="2:27" x14ac:dyDescent="0.25">
      <c r="D247" s="295"/>
      <c r="F247" s="295" t="s">
        <v>124</v>
      </c>
      <c r="G247" s="295" t="s">
        <v>315</v>
      </c>
      <c r="H247" s="352"/>
      <c r="I247" s="352"/>
      <c r="J247" s="423"/>
      <c r="K247" s="423"/>
      <c r="L247" s="423"/>
      <c r="M247" s="423"/>
      <c r="N247" s="423"/>
      <c r="O247" s="423"/>
      <c r="P247" s="423"/>
      <c r="Q247" s="423"/>
      <c r="R247" s="423"/>
      <c r="S247" s="423"/>
      <c r="T247" s="423"/>
      <c r="U247" s="423"/>
      <c r="V247" s="423"/>
      <c r="W247" s="423"/>
      <c r="X247" s="423"/>
      <c r="Y247" s="423"/>
      <c r="Z247" s="352"/>
      <c r="AA247" s="352"/>
    </row>
    <row r="248" spans="2:27" x14ac:dyDescent="0.25">
      <c r="D248" s="295"/>
      <c r="F248" s="93" t="s">
        <v>123</v>
      </c>
      <c r="G248" s="93" t="s">
        <v>315</v>
      </c>
      <c r="H248" s="354"/>
      <c r="I248" s="354"/>
      <c r="J248" s="359"/>
      <c r="K248" s="359"/>
      <c r="L248" s="359"/>
      <c r="M248" s="359"/>
      <c r="N248" s="359"/>
      <c r="O248" s="359"/>
      <c r="P248" s="359"/>
      <c r="Q248" s="359"/>
      <c r="R248" s="359"/>
      <c r="S248" s="359"/>
      <c r="T248" s="359"/>
      <c r="U248" s="359"/>
      <c r="V248" s="359"/>
      <c r="W248" s="359"/>
      <c r="X248" s="359"/>
      <c r="Y248" s="359"/>
      <c r="Z248" s="352"/>
      <c r="AA248" s="352"/>
    </row>
    <row r="249" spans="2:27" x14ac:dyDescent="0.25">
      <c r="C249" s="86"/>
      <c r="J249" s="253"/>
      <c r="K249" s="253"/>
      <c r="L249" s="253"/>
      <c r="M249" s="253"/>
      <c r="N249" s="253"/>
      <c r="O249" s="253"/>
      <c r="P249" s="253"/>
      <c r="Q249" s="253"/>
      <c r="R249" s="253"/>
      <c r="S249" s="253"/>
      <c r="T249" s="253"/>
      <c r="U249" s="253"/>
      <c r="V249" s="253"/>
      <c r="W249" s="253"/>
      <c r="X249" s="253"/>
      <c r="Y249" s="253"/>
    </row>
    <row r="250" spans="2:27" x14ac:dyDescent="0.25">
      <c r="E250" s="295" t="s">
        <v>522</v>
      </c>
      <c r="G250" s="295" t="s">
        <v>315</v>
      </c>
      <c r="H250" s="352"/>
      <c r="I250" s="352" t="s">
        <v>431</v>
      </c>
      <c r="J250" s="353">
        <f t="shared" ref="J250:Y250" si="200">SUM(J223:J234,J237:J248)</f>
        <v>0</v>
      </c>
      <c r="K250" s="353">
        <f t="shared" si="200"/>
        <v>0</v>
      </c>
      <c r="L250" s="353">
        <f t="shared" si="200"/>
        <v>0</v>
      </c>
      <c r="M250" s="353">
        <f t="shared" si="200"/>
        <v>0</v>
      </c>
      <c r="N250" s="353">
        <f t="shared" si="200"/>
        <v>0.23544821131127469</v>
      </c>
      <c r="O250" s="353">
        <f t="shared" si="200"/>
        <v>0.13709057031775684</v>
      </c>
      <c r="P250" s="353">
        <f t="shared" si="200"/>
        <v>0.10158869577513742</v>
      </c>
      <c r="Q250" s="353">
        <f t="shared" si="200"/>
        <v>0</v>
      </c>
      <c r="R250" s="353">
        <f t="shared" si="200"/>
        <v>0</v>
      </c>
      <c r="S250" s="353">
        <f t="shared" si="200"/>
        <v>0</v>
      </c>
      <c r="T250" s="353">
        <f t="shared" si="200"/>
        <v>0.20319917220642791</v>
      </c>
      <c r="U250" s="353">
        <f t="shared" si="200"/>
        <v>0</v>
      </c>
      <c r="V250" s="353">
        <f t="shared" si="200"/>
        <v>0.1816089264144457</v>
      </c>
      <c r="W250" s="353">
        <f t="shared" si="200"/>
        <v>0</v>
      </c>
      <c r="X250" s="353">
        <f t="shared" si="200"/>
        <v>0.15574087273376108</v>
      </c>
      <c r="Y250" s="353">
        <f t="shared" si="200"/>
        <v>0</v>
      </c>
      <c r="Z250" s="352"/>
      <c r="AA250" s="352" t="s">
        <v>915</v>
      </c>
    </row>
    <row r="251" spans="2:27" x14ac:dyDescent="0.25">
      <c r="C251" s="86"/>
    </row>
    <row r="252" spans="2:27" x14ac:dyDescent="0.25">
      <c r="B252" s="95" t="s">
        <v>109</v>
      </c>
      <c r="C252" s="95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4" spans="2:27" x14ac:dyDescent="0.25">
      <c r="E254" s="295" t="s">
        <v>516</v>
      </c>
      <c r="G254" s="122" t="s">
        <v>692</v>
      </c>
      <c r="H254" s="152">
        <f t="array" ref="H254">SUM(IF(ISERROR(H21:Y250), 1))</f>
        <v>0</v>
      </c>
    </row>
    <row r="256" spans="2:27" x14ac:dyDescent="0.25">
      <c r="B256" s="95" t="s">
        <v>110</v>
      </c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79" spans="18:23" x14ac:dyDescent="0.25">
      <c r="R279" s="90"/>
      <c r="S279" s="90"/>
      <c r="T279" s="90"/>
      <c r="U279" s="90"/>
      <c r="V279" s="90"/>
      <c r="W279" s="90"/>
    </row>
    <row r="280" spans="18:23" x14ac:dyDescent="0.25">
      <c r="R280" s="90"/>
      <c r="S280" s="90"/>
      <c r="T280" s="90"/>
      <c r="U280" s="90"/>
      <c r="V280" s="90"/>
      <c r="W280" s="90"/>
    </row>
    <row r="281" spans="18:23" x14ac:dyDescent="0.25">
      <c r="R281" s="90"/>
      <c r="S281" s="90"/>
      <c r="T281" s="90"/>
      <c r="U281" s="90"/>
      <c r="V281" s="90"/>
      <c r="W281" s="90"/>
    </row>
    <row r="282" spans="18:23" x14ac:dyDescent="0.25">
      <c r="R282" s="90"/>
      <c r="S282" s="90"/>
      <c r="T282" s="90"/>
      <c r="U282" s="90"/>
      <c r="V282" s="90"/>
      <c r="W282" s="90"/>
    </row>
    <row r="283" spans="18:23" x14ac:dyDescent="0.25">
      <c r="R283" s="90"/>
      <c r="S283" s="90"/>
      <c r="T283" s="90"/>
      <c r="U283" s="90"/>
      <c r="V283" s="90"/>
      <c r="W283" s="90"/>
    </row>
    <row r="284" spans="18:23" x14ac:dyDescent="0.25">
      <c r="R284" s="90"/>
      <c r="S284" s="90"/>
      <c r="T284" s="90"/>
      <c r="U284" s="90"/>
      <c r="V284" s="90"/>
      <c r="W284" s="90"/>
    </row>
    <row r="285" spans="18:23" x14ac:dyDescent="0.25">
      <c r="R285" s="90"/>
      <c r="S285" s="90"/>
      <c r="T285" s="90"/>
      <c r="U285" s="90"/>
      <c r="V285" s="90"/>
      <c r="W285" s="90"/>
    </row>
    <row r="286" spans="18:23" x14ac:dyDescent="0.25">
      <c r="R286" s="90"/>
      <c r="S286" s="90"/>
      <c r="T286" s="90"/>
      <c r="U286" s="90"/>
      <c r="V286" s="90"/>
      <c r="W286" s="90"/>
    </row>
    <row r="287" spans="18:23" x14ac:dyDescent="0.25">
      <c r="R287" s="90"/>
      <c r="S287" s="90"/>
      <c r="T287" s="90"/>
      <c r="U287" s="90"/>
      <c r="V287" s="90"/>
      <c r="W287" s="90"/>
    </row>
    <row r="288" spans="18:23" x14ac:dyDescent="0.25">
      <c r="R288" s="90"/>
      <c r="S288" s="90"/>
      <c r="T288" s="90"/>
      <c r="U288" s="90"/>
      <c r="V288" s="90"/>
      <c r="W288" s="90"/>
    </row>
    <row r="289" spans="18:23" x14ac:dyDescent="0.25">
      <c r="R289" s="90"/>
      <c r="S289" s="90"/>
      <c r="T289" s="90"/>
      <c r="U289" s="90"/>
      <c r="V289" s="90"/>
      <c r="W289" s="90"/>
    </row>
    <row r="290" spans="18:23" x14ac:dyDescent="0.25">
      <c r="R290" s="90"/>
      <c r="S290" s="90"/>
      <c r="T290" s="90"/>
      <c r="U290" s="90"/>
      <c r="V290" s="90"/>
      <c r="W290" s="90"/>
    </row>
    <row r="291" spans="18:23" x14ac:dyDescent="0.25">
      <c r="R291" s="90"/>
      <c r="S291" s="90"/>
      <c r="T291" s="90"/>
      <c r="U291" s="90"/>
      <c r="V291" s="90"/>
      <c r="W291" s="90"/>
    </row>
    <row r="292" spans="18:23" x14ac:dyDescent="0.25">
      <c r="R292" s="90"/>
      <c r="S292" s="90"/>
      <c r="T292" s="90"/>
      <c r="U292" s="90"/>
      <c r="V292" s="90"/>
      <c r="W292" s="90"/>
    </row>
  </sheetData>
  <sheetProtection sheet="1" objects="1" formatCells="0" formatColumns="0" formatRows="0" sort="0" autoFilter="0"/>
  <conditionalFormatting sqref="H254">
    <cfRule type="cellIs" dxfId="79" priority="10" operator="greaterThan">
      <formula>0</formula>
    </cfRule>
  </conditionalFormatting>
  <conditionalFormatting sqref="A4:I4 Z4:XFD4">
    <cfRule type="expression" dxfId="78" priority="9">
      <formula>LEFT($A$4,1) &lt;&gt; "0"</formula>
    </cfRule>
  </conditionalFormatting>
  <conditionalFormatting sqref="N4:P4">
    <cfRule type="expression" dxfId="77" priority="8">
      <formula>LEFT($A$4,1) &lt;&gt; "0"</formula>
    </cfRule>
  </conditionalFormatting>
  <conditionalFormatting sqref="L4:M4">
    <cfRule type="expression" dxfId="76" priority="7">
      <formula>LEFT($A$4,1) &lt;&gt; "0"</formula>
    </cfRule>
  </conditionalFormatting>
  <conditionalFormatting sqref="J4:K4">
    <cfRule type="expression" dxfId="75" priority="6">
      <formula>LEFT($A$4,1) &lt;&gt; "0"</formula>
    </cfRule>
  </conditionalFormatting>
  <conditionalFormatting sqref="Q4">
    <cfRule type="expression" dxfId="74" priority="5">
      <formula>LEFT($A$4,1) &lt;&gt; "0"</formula>
    </cfRule>
  </conditionalFormatting>
  <conditionalFormatting sqref="R4:S4">
    <cfRule type="expression" dxfId="73" priority="4">
      <formula>LEFT($A$4,1) &lt;&gt; "0"</formula>
    </cfRule>
  </conditionalFormatting>
  <conditionalFormatting sqref="T4:U4">
    <cfRule type="expression" dxfId="72" priority="3">
      <formula>LEFT($A$4,1) &lt;&gt; "0"</formula>
    </cfRule>
  </conditionalFormatting>
  <conditionalFormatting sqref="V4:W4">
    <cfRule type="expression" dxfId="71" priority="2">
      <formula>LEFT($A$4,1) &lt;&gt; "0"</formula>
    </cfRule>
  </conditionalFormatting>
  <conditionalFormatting sqref="X4:Y4">
    <cfRule type="expression" dxfId="70" priority="1">
      <formula>LEFT($A$4,1) &lt;&gt; "0"</formula>
    </cfRule>
  </conditionalFormatting>
  <hyperlinks>
    <hyperlink ref="B5:F5" location="'Model map'!A1" display="Click here to return to model map" xr:uid="{00000000-0004-0000-1C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2">
    <tabColor theme="4" tint="0.59999389629810485"/>
    <pageSetUpPr fitToPage="1"/>
  </sheetPr>
  <dimension ref="A1:KZ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12" width="24.5703125" style="295" hidden="1" customWidth="1"/>
    <col min="313" max="16384" width="8.5703125" style="295" hidden="1"/>
  </cols>
  <sheetData>
    <row r="1" spans="1:27" s="10" customFormat="1" x14ac:dyDescent="0.25">
      <c r="A1" s="10" t="str">
        <f ca="1">MID(CELL("filename",A1),FIND("]",CELL("filename",A1))+1,255)</f>
        <v>Capacity charges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1" t="str">
        <f>H295 &amp; IF(H295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AA4" s="425"/>
    </row>
    <row r="5" spans="1:27" ht="60" x14ac:dyDescent="0.25">
      <c r="B5" s="372" t="s">
        <v>552</v>
      </c>
      <c r="C5" s="373"/>
      <c r="D5" s="373"/>
      <c r="E5" s="373"/>
      <c r="F5" s="373"/>
      <c r="G5" s="1" t="s">
        <v>91</v>
      </c>
      <c r="H5" s="2" t="s">
        <v>92</v>
      </c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D9" s="82" t="s">
        <v>468</v>
      </c>
      <c r="E9" s="295"/>
    </row>
    <row r="10" spans="1:27" x14ac:dyDescent="0.25">
      <c r="D10" s="82" t="s">
        <v>843</v>
      </c>
      <c r="E10" s="295"/>
    </row>
    <row r="11" spans="1:27" x14ac:dyDescent="0.25">
      <c r="D11" s="82" t="s">
        <v>930</v>
      </c>
      <c r="E11" s="295"/>
    </row>
    <row r="12" spans="1:27" x14ac:dyDescent="0.25">
      <c r="D12" s="82" t="s">
        <v>875</v>
      </c>
      <c r="E12" s="295"/>
    </row>
    <row r="13" spans="1:27" x14ac:dyDescent="0.25">
      <c r="D13" s="82" t="s">
        <v>637</v>
      </c>
      <c r="E13" s="295"/>
    </row>
    <row r="14" spans="1:27" x14ac:dyDescent="0.25">
      <c r="D14" s="82" t="s">
        <v>876</v>
      </c>
      <c r="E14" s="295"/>
    </row>
    <row r="15" spans="1:27" x14ac:dyDescent="0.25">
      <c r="D15" s="82" t="s">
        <v>844</v>
      </c>
    </row>
    <row r="17" spans="2:27" x14ac:dyDescent="0.25">
      <c r="B17" s="95" t="s">
        <v>763</v>
      </c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2:27" x14ac:dyDescent="0.25">
      <c r="D18" s="295"/>
      <c r="E18" s="295"/>
    </row>
    <row r="19" spans="2:27" x14ac:dyDescent="0.25">
      <c r="C19" s="7" t="str">
        <f ca="1">INDEX('Version control'!$H$34:$H$58,MATCH($A$1,'Version control'!$F$34:$F$58,0),1)&amp;"-A: Inputs to capacity charge calculations"</f>
        <v>Section 516-A: Inputs to capacity charge calculations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1" spans="2:27" x14ac:dyDescent="0.25">
      <c r="E21" s="96" t="s">
        <v>323</v>
      </c>
      <c r="F21" s="98"/>
    </row>
    <row r="22" spans="2:27" x14ac:dyDescent="0.25">
      <c r="D22" s="295"/>
      <c r="E22" s="82" t="s">
        <v>845</v>
      </c>
      <c r="F22" s="98"/>
    </row>
    <row r="23" spans="2:27" x14ac:dyDescent="0.25">
      <c r="C23" s="86"/>
      <c r="F23" s="73" t="s">
        <v>324</v>
      </c>
      <c r="G23" s="73" t="s">
        <v>94</v>
      </c>
      <c r="H23" s="426">
        <f>'System peak demand'!H226</f>
        <v>0.1160000000000001</v>
      </c>
    </row>
    <row r="24" spans="2:27" x14ac:dyDescent="0.25">
      <c r="C24" s="86"/>
      <c r="F24" s="295" t="s">
        <v>43</v>
      </c>
      <c r="G24" s="295" t="s">
        <v>94</v>
      </c>
      <c r="H24" s="143">
        <f>'System peak demand'!H226</f>
        <v>0.1160000000000001</v>
      </c>
    </row>
    <row r="25" spans="2:27" x14ac:dyDescent="0.25">
      <c r="C25" s="86"/>
      <c r="F25" s="295" t="s">
        <v>44</v>
      </c>
      <c r="G25" s="295" t="s">
        <v>94</v>
      </c>
      <c r="H25" s="143">
        <f>'System peak demand'!H227</f>
        <v>0.1160000000000001</v>
      </c>
    </row>
    <row r="26" spans="2:27" x14ac:dyDescent="0.25">
      <c r="C26" s="86"/>
      <c r="F26" s="295" t="s">
        <v>45</v>
      </c>
      <c r="G26" s="295" t="s">
        <v>94</v>
      </c>
      <c r="H26" s="143">
        <f>'System peak demand'!H228</f>
        <v>0.1160000000000001</v>
      </c>
    </row>
    <row r="27" spans="2:27" x14ac:dyDescent="0.25">
      <c r="C27" s="86"/>
      <c r="F27" s="295" t="s">
        <v>46</v>
      </c>
      <c r="G27" s="295" t="s">
        <v>94</v>
      </c>
      <c r="H27" s="143">
        <f>'System peak demand'!H229</f>
        <v>0.26107999999999998</v>
      </c>
    </row>
    <row r="28" spans="2:27" x14ac:dyDescent="0.25">
      <c r="C28" s="86"/>
      <c r="F28" s="295" t="s">
        <v>47</v>
      </c>
      <c r="G28" s="295" t="s">
        <v>94</v>
      </c>
      <c r="H28" s="143">
        <f>'System peak demand'!H230</f>
        <v>0.26107999999999998</v>
      </c>
    </row>
    <row r="29" spans="2:27" x14ac:dyDescent="0.25">
      <c r="C29" s="86"/>
      <c r="F29" s="295" t="s">
        <v>51</v>
      </c>
      <c r="G29" s="295" t="s">
        <v>94</v>
      </c>
      <c r="H29" s="143">
        <f>'System peak demand'!H231</f>
        <v>0.1160000000000001</v>
      </c>
    </row>
    <row r="30" spans="2:27" x14ac:dyDescent="0.25">
      <c r="C30" s="86"/>
      <c r="F30" s="295" t="s">
        <v>48</v>
      </c>
      <c r="G30" s="295" t="s">
        <v>94</v>
      </c>
      <c r="H30" s="143">
        <f>'System peak demand'!H232</f>
        <v>0.57634999999999992</v>
      </c>
    </row>
    <row r="31" spans="2:27" x14ac:dyDescent="0.25">
      <c r="C31" s="86"/>
      <c r="F31" s="295" t="s">
        <v>49</v>
      </c>
      <c r="G31" s="295" t="s">
        <v>94</v>
      </c>
      <c r="H31" s="143">
        <f>'System peak demand'!H233</f>
        <v>0.57634999999999992</v>
      </c>
    </row>
    <row r="32" spans="2:27" x14ac:dyDescent="0.25">
      <c r="C32" s="86"/>
      <c r="F32" s="295" t="s">
        <v>50</v>
      </c>
      <c r="G32" s="295" t="s">
        <v>94</v>
      </c>
      <c r="H32" s="143">
        <f>'System peak demand'!H234</f>
        <v>0.65261219022840544</v>
      </c>
    </row>
    <row r="33" spans="3:8" x14ac:dyDescent="0.25">
      <c r="C33" s="86"/>
      <c r="F33" s="295" t="s">
        <v>124</v>
      </c>
      <c r="G33" s="295" t="s">
        <v>94</v>
      </c>
      <c r="H33" s="79"/>
    </row>
    <row r="34" spans="3:8" x14ac:dyDescent="0.25">
      <c r="C34" s="86"/>
      <c r="F34" s="93" t="s">
        <v>123</v>
      </c>
      <c r="G34" s="93" t="s">
        <v>94</v>
      </c>
      <c r="H34" s="102"/>
    </row>
    <row r="35" spans="3:8" x14ac:dyDescent="0.25">
      <c r="C35" s="86"/>
      <c r="F35" s="98"/>
    </row>
    <row r="36" spans="3:8" x14ac:dyDescent="0.25">
      <c r="E36" s="86" t="s">
        <v>100</v>
      </c>
      <c r="F36" s="98"/>
    </row>
    <row r="37" spans="3:8" x14ac:dyDescent="0.25">
      <c r="C37" s="86"/>
      <c r="F37" s="91" t="s">
        <v>324</v>
      </c>
      <c r="G37" s="16" t="s">
        <v>528</v>
      </c>
      <c r="H37" s="273">
        <f t="array" ref="H37:H46">TRANSPOSE('Load &amp; loss characteristics'!J29:S29)</f>
        <v>1</v>
      </c>
    </row>
    <row r="38" spans="3:8" x14ac:dyDescent="0.25">
      <c r="C38" s="86"/>
      <c r="F38" s="295" t="s">
        <v>43</v>
      </c>
      <c r="G38" s="14" t="s">
        <v>528</v>
      </c>
      <c r="H38" s="274">
        <v>1</v>
      </c>
    </row>
    <row r="39" spans="3:8" x14ac:dyDescent="0.25">
      <c r="C39" s="86"/>
      <c r="F39" s="295" t="s">
        <v>44</v>
      </c>
      <c r="G39" s="14" t="s">
        <v>528</v>
      </c>
      <c r="H39" s="274">
        <v>1</v>
      </c>
    </row>
    <row r="40" spans="3:8" x14ac:dyDescent="0.25">
      <c r="C40" s="86"/>
      <c r="F40" s="295" t="s">
        <v>45</v>
      </c>
      <c r="G40" s="14" t="s">
        <v>528</v>
      </c>
      <c r="H40" s="274">
        <v>1</v>
      </c>
    </row>
    <row r="41" spans="3:8" x14ac:dyDescent="0.25">
      <c r="C41" s="86"/>
      <c r="F41" s="295" t="s">
        <v>46</v>
      </c>
      <c r="G41" s="14" t="s">
        <v>528</v>
      </c>
      <c r="H41" s="274">
        <v>1.004</v>
      </c>
    </row>
    <row r="42" spans="3:8" x14ac:dyDescent="0.25">
      <c r="C42" s="86"/>
      <c r="F42" s="295" t="s">
        <v>47</v>
      </c>
      <c r="G42" s="14" t="s">
        <v>528</v>
      </c>
      <c r="H42" s="274">
        <v>1.0129999999999999</v>
      </c>
    </row>
    <row r="43" spans="3:8" x14ac:dyDescent="0.25">
      <c r="C43" s="86"/>
      <c r="F43" s="295" t="s">
        <v>51</v>
      </c>
      <c r="G43" s="14" t="s">
        <v>528</v>
      </c>
      <c r="H43" s="274">
        <v>1.0129999999999999</v>
      </c>
    </row>
    <row r="44" spans="3:8" x14ac:dyDescent="0.25">
      <c r="C44" s="86"/>
      <c r="F44" s="295" t="s">
        <v>48</v>
      </c>
      <c r="G44" s="14" t="s">
        <v>528</v>
      </c>
      <c r="H44" s="274">
        <v>1.026</v>
      </c>
    </row>
    <row r="45" spans="3:8" x14ac:dyDescent="0.25">
      <c r="C45" s="86"/>
      <c r="F45" s="295" t="s">
        <v>49</v>
      </c>
      <c r="G45" s="14" t="s">
        <v>528</v>
      </c>
      <c r="H45" s="274">
        <v>1.044</v>
      </c>
    </row>
    <row r="46" spans="3:8" x14ac:dyDescent="0.25">
      <c r="C46" s="86"/>
      <c r="F46" s="295" t="s">
        <v>50</v>
      </c>
      <c r="G46" s="14" t="s">
        <v>528</v>
      </c>
      <c r="H46" s="274">
        <v>1.0980000000000001</v>
      </c>
    </row>
    <row r="47" spans="3:8" x14ac:dyDescent="0.25">
      <c r="C47" s="86"/>
      <c r="F47" s="295" t="s">
        <v>124</v>
      </c>
      <c r="G47" s="14" t="s">
        <v>528</v>
      </c>
      <c r="H47" s="280"/>
    </row>
    <row r="48" spans="3:8" x14ac:dyDescent="0.25">
      <c r="C48" s="86"/>
      <c r="F48" s="93" t="s">
        <v>123</v>
      </c>
      <c r="G48" s="15" t="s">
        <v>528</v>
      </c>
      <c r="H48" s="241"/>
    </row>
    <row r="49" spans="3:8" x14ac:dyDescent="0.25">
      <c r="C49" s="86"/>
      <c r="F49" s="98"/>
      <c r="H49" s="253"/>
    </row>
    <row r="50" spans="3:8" x14ac:dyDescent="0.25">
      <c r="C50" s="86"/>
      <c r="E50" s="86" t="s">
        <v>126</v>
      </c>
      <c r="H50" s="253"/>
    </row>
    <row r="51" spans="3:8" x14ac:dyDescent="0.25">
      <c r="C51" s="86"/>
      <c r="E51" s="82"/>
      <c r="F51" s="91" t="s">
        <v>324</v>
      </c>
      <c r="G51" s="91" t="s">
        <v>108</v>
      </c>
      <c r="H51" s="239"/>
    </row>
    <row r="52" spans="3:8" x14ac:dyDescent="0.25">
      <c r="C52" s="86"/>
      <c r="E52" s="82"/>
      <c r="F52" s="295" t="s">
        <v>43</v>
      </c>
      <c r="G52" s="295" t="s">
        <v>108</v>
      </c>
      <c r="H52" s="280"/>
    </row>
    <row r="53" spans="3:8" x14ac:dyDescent="0.25">
      <c r="C53" s="86"/>
      <c r="E53" s="82"/>
      <c r="F53" s="295" t="s">
        <v>44</v>
      </c>
      <c r="G53" s="295" t="s">
        <v>108</v>
      </c>
      <c r="H53" s="274">
        <f t="array" ref="H53:H60">TRANSPOSE('Unit costs'!L114:S114)</f>
        <v>0</v>
      </c>
    </row>
    <row r="54" spans="3:8" x14ac:dyDescent="0.25">
      <c r="C54" s="86"/>
      <c r="E54" s="82"/>
      <c r="F54" s="295" t="s">
        <v>45</v>
      </c>
      <c r="G54" s="295" t="s">
        <v>108</v>
      </c>
      <c r="H54" s="274">
        <v>0</v>
      </c>
    </row>
    <row r="55" spans="3:8" x14ac:dyDescent="0.25">
      <c r="C55" s="86"/>
      <c r="E55" s="82"/>
      <c r="F55" s="295" t="s">
        <v>46</v>
      </c>
      <c r="G55" s="295" t="s">
        <v>108</v>
      </c>
      <c r="H55" s="274">
        <v>12.478071335403621</v>
      </c>
    </row>
    <row r="56" spans="3:8" x14ac:dyDescent="0.25">
      <c r="C56" s="86"/>
      <c r="E56" s="82"/>
      <c r="F56" s="295" t="s">
        <v>47</v>
      </c>
      <c r="G56" s="295" t="s">
        <v>108</v>
      </c>
      <c r="H56" s="274">
        <v>3.2261046387145558</v>
      </c>
    </row>
    <row r="57" spans="3:8" x14ac:dyDescent="0.25">
      <c r="C57" s="86"/>
      <c r="E57" s="82"/>
      <c r="F57" s="295" t="s">
        <v>51</v>
      </c>
      <c r="G57" s="295" t="s">
        <v>108</v>
      </c>
      <c r="H57" s="274">
        <v>0</v>
      </c>
    </row>
    <row r="58" spans="3:8" x14ac:dyDescent="0.25">
      <c r="C58" s="86"/>
      <c r="E58" s="82"/>
      <c r="F58" s="295" t="s">
        <v>48</v>
      </c>
      <c r="G58" s="295" t="s">
        <v>108</v>
      </c>
      <c r="H58" s="274">
        <v>14.056901421102715</v>
      </c>
    </row>
    <row r="59" spans="3:8" x14ac:dyDescent="0.25">
      <c r="C59" s="86"/>
      <c r="E59" s="82"/>
      <c r="F59" s="295" t="s">
        <v>49</v>
      </c>
      <c r="G59" s="295" t="s">
        <v>108</v>
      </c>
      <c r="H59" s="274">
        <v>3.5948780096052633</v>
      </c>
    </row>
    <row r="60" spans="3:8" x14ac:dyDescent="0.25">
      <c r="C60" s="86"/>
      <c r="E60" s="82"/>
      <c r="F60" s="295" t="s">
        <v>50</v>
      </c>
      <c r="G60" s="295" t="s">
        <v>108</v>
      </c>
      <c r="H60" s="274">
        <v>6.359458733192529</v>
      </c>
    </row>
    <row r="61" spans="3:8" x14ac:dyDescent="0.25">
      <c r="C61" s="86"/>
      <c r="E61" s="82"/>
      <c r="F61" s="295" t="s">
        <v>124</v>
      </c>
      <c r="G61" s="295" t="s">
        <v>108</v>
      </c>
      <c r="H61" s="280"/>
    </row>
    <row r="62" spans="3:8" x14ac:dyDescent="0.25">
      <c r="C62" s="86"/>
      <c r="E62" s="82"/>
      <c r="F62" s="93" t="s">
        <v>123</v>
      </c>
      <c r="G62" s="93" t="s">
        <v>108</v>
      </c>
      <c r="H62" s="241"/>
    </row>
    <row r="63" spans="3:8" x14ac:dyDescent="0.25">
      <c r="C63" s="86"/>
      <c r="D63" s="295"/>
      <c r="E63" s="82"/>
      <c r="H63" s="253"/>
    </row>
    <row r="64" spans="3:8" x14ac:dyDescent="0.25">
      <c r="C64" s="86"/>
      <c r="E64" s="86" t="s">
        <v>127</v>
      </c>
      <c r="H64" s="253"/>
    </row>
    <row r="65" spans="3:25" x14ac:dyDescent="0.25">
      <c r="C65" s="86"/>
      <c r="F65" s="91" t="s">
        <v>324</v>
      </c>
      <c r="G65" s="91" t="s">
        <v>108</v>
      </c>
      <c r="H65" s="273">
        <f t="array" ref="H65:H74">TRANSPOSE('Unit costs'!J115:S115)</f>
        <v>12.977309793602421</v>
      </c>
    </row>
    <row r="66" spans="3:25" x14ac:dyDescent="0.25">
      <c r="C66" s="86"/>
      <c r="F66" s="295" t="s">
        <v>43</v>
      </c>
      <c r="G66" s="295" t="s">
        <v>108</v>
      </c>
      <c r="H66" s="274">
        <v>0</v>
      </c>
    </row>
    <row r="67" spans="3:25" x14ac:dyDescent="0.25">
      <c r="C67" s="86"/>
      <c r="F67" s="295" t="s">
        <v>44</v>
      </c>
      <c r="G67" s="295" t="s">
        <v>108</v>
      </c>
      <c r="H67" s="274">
        <v>0</v>
      </c>
    </row>
    <row r="68" spans="3:25" x14ac:dyDescent="0.25">
      <c r="C68" s="86"/>
      <c r="F68" s="295" t="s">
        <v>45</v>
      </c>
      <c r="G68" s="295" t="s">
        <v>108</v>
      </c>
      <c r="H68" s="274">
        <v>0</v>
      </c>
    </row>
    <row r="69" spans="3:25" x14ac:dyDescent="0.25">
      <c r="C69" s="86"/>
      <c r="F69" s="295" t="s">
        <v>46</v>
      </c>
      <c r="G69" s="295" t="s">
        <v>108</v>
      </c>
      <c r="H69" s="274">
        <v>9.2218360722467949</v>
      </c>
    </row>
    <row r="70" spans="3:25" x14ac:dyDescent="0.25">
      <c r="C70" s="86"/>
      <c r="F70" s="295" t="s">
        <v>47</v>
      </c>
      <c r="G70" s="295" t="s">
        <v>108</v>
      </c>
      <c r="H70" s="274">
        <v>2.3842312910754226</v>
      </c>
    </row>
    <row r="71" spans="3:25" x14ac:dyDescent="0.25">
      <c r="C71" s="86"/>
      <c r="F71" s="295" t="s">
        <v>51</v>
      </c>
      <c r="G71" s="295" t="s">
        <v>108</v>
      </c>
      <c r="H71" s="274">
        <v>0</v>
      </c>
    </row>
    <row r="72" spans="3:25" x14ac:dyDescent="0.25">
      <c r="C72" s="86"/>
      <c r="F72" s="295" t="s">
        <v>48</v>
      </c>
      <c r="G72" s="295" t="s">
        <v>108</v>
      </c>
      <c r="H72" s="274">
        <v>10.388660002395246</v>
      </c>
    </row>
    <row r="73" spans="3:25" x14ac:dyDescent="0.25">
      <c r="C73" s="86"/>
      <c r="F73" s="295" t="s">
        <v>49</v>
      </c>
      <c r="G73" s="295" t="s">
        <v>108</v>
      </c>
      <c r="H73" s="274">
        <v>2.6567708112266732</v>
      </c>
    </row>
    <row r="74" spans="3:25" x14ac:dyDescent="0.25">
      <c r="C74" s="86"/>
      <c r="F74" s="295" t="s">
        <v>50</v>
      </c>
      <c r="G74" s="295" t="s">
        <v>108</v>
      </c>
      <c r="H74" s="274">
        <v>4.6999159060203253</v>
      </c>
    </row>
    <row r="75" spans="3:25" x14ac:dyDescent="0.25">
      <c r="C75" s="86"/>
      <c r="F75" s="295" t="s">
        <v>124</v>
      </c>
      <c r="G75" s="295" t="s">
        <v>108</v>
      </c>
      <c r="H75" s="280"/>
    </row>
    <row r="76" spans="3:25" x14ac:dyDescent="0.25">
      <c r="C76" s="86"/>
      <c r="F76" s="93" t="s">
        <v>123</v>
      </c>
      <c r="G76" s="93" t="s">
        <v>108</v>
      </c>
      <c r="H76" s="241"/>
    </row>
    <row r="77" spans="3:25" x14ac:dyDescent="0.25">
      <c r="C77" s="86"/>
      <c r="F77" s="98"/>
    </row>
    <row r="78" spans="3:25" x14ac:dyDescent="0.25">
      <c r="E78" s="96" t="s">
        <v>406</v>
      </c>
      <c r="F78" s="98"/>
    </row>
    <row r="79" spans="3:25" x14ac:dyDescent="0.25">
      <c r="E79" s="82" t="s">
        <v>397</v>
      </c>
    </row>
    <row r="80" spans="3:25" x14ac:dyDescent="0.25">
      <c r="C80" s="86"/>
      <c r="F80" s="91" t="s">
        <v>324</v>
      </c>
      <c r="G80" s="16" t="s">
        <v>528</v>
      </c>
      <c r="H80" s="33"/>
      <c r="I80" s="33"/>
      <c r="J80" s="273">
        <f t="array" ref="J80:Y89">TRANSPOSE('Load &amp; loss characteristics'!J145:S160)</f>
        <v>1.0980000000000001</v>
      </c>
      <c r="K80" s="273">
        <v>1.0980000000000001</v>
      </c>
      <c r="L80" s="273">
        <v>1.0980000000000001</v>
      </c>
      <c r="M80" s="273">
        <v>1.0980000000000001</v>
      </c>
      <c r="N80" s="273">
        <v>1.0980000000000001</v>
      </c>
      <c r="O80" s="273">
        <v>1.044</v>
      </c>
      <c r="P80" s="273">
        <v>1.026</v>
      </c>
      <c r="Q80" s="273">
        <v>1.0980000000000001</v>
      </c>
      <c r="R80" s="273">
        <v>-1.0980000000000001</v>
      </c>
      <c r="S80" s="273">
        <v>-1.044</v>
      </c>
      <c r="T80" s="273">
        <v>-1.0980000000000001</v>
      </c>
      <c r="U80" s="273">
        <v>-1.0980000000000001</v>
      </c>
      <c r="V80" s="273">
        <v>-1.044</v>
      </c>
      <c r="W80" s="273">
        <v>-1.044</v>
      </c>
      <c r="X80" s="273">
        <v>-1.026</v>
      </c>
      <c r="Y80" s="273">
        <v>-1.026</v>
      </c>
    </row>
    <row r="81" spans="3:42" x14ac:dyDescent="0.25">
      <c r="C81" s="86"/>
      <c r="F81" s="295" t="s">
        <v>43</v>
      </c>
      <c r="G81" s="14" t="s">
        <v>528</v>
      </c>
      <c r="H81" s="142"/>
      <c r="I81" s="142"/>
      <c r="J81" s="274">
        <v>1.0980000000000001</v>
      </c>
      <c r="K81" s="274">
        <v>1.0980000000000001</v>
      </c>
      <c r="L81" s="274">
        <v>1.0980000000000001</v>
      </c>
      <c r="M81" s="274">
        <v>1.0980000000000001</v>
      </c>
      <c r="N81" s="274">
        <v>1.0980000000000001</v>
      </c>
      <c r="O81" s="274">
        <v>1.044</v>
      </c>
      <c r="P81" s="274">
        <v>1.026</v>
      </c>
      <c r="Q81" s="274">
        <v>1.0980000000000001</v>
      </c>
      <c r="R81" s="274">
        <v>-1.0980000000000001</v>
      </c>
      <c r="S81" s="274">
        <v>-1.044</v>
      </c>
      <c r="T81" s="274">
        <v>-1.0980000000000001</v>
      </c>
      <c r="U81" s="274">
        <v>-1.0980000000000001</v>
      </c>
      <c r="V81" s="274">
        <v>-1.044</v>
      </c>
      <c r="W81" s="274">
        <v>-1.044</v>
      </c>
      <c r="X81" s="274">
        <v>-1.026</v>
      </c>
      <c r="Y81" s="274">
        <v>-1.026</v>
      </c>
    </row>
    <row r="82" spans="3:42" x14ac:dyDescent="0.25">
      <c r="C82" s="86"/>
      <c r="F82" s="295" t="s">
        <v>44</v>
      </c>
      <c r="G82" s="14" t="s">
        <v>528</v>
      </c>
      <c r="H82" s="142"/>
      <c r="I82" s="142"/>
      <c r="J82" s="274">
        <v>1.0980000000000001</v>
      </c>
      <c r="K82" s="274">
        <v>1.0980000000000001</v>
      </c>
      <c r="L82" s="274">
        <v>1.0980000000000001</v>
      </c>
      <c r="M82" s="274">
        <v>1.0980000000000001</v>
      </c>
      <c r="N82" s="274">
        <v>1.0980000000000001</v>
      </c>
      <c r="O82" s="274">
        <v>1.044</v>
      </c>
      <c r="P82" s="274">
        <v>1.026</v>
      </c>
      <c r="Q82" s="274">
        <v>1.0980000000000001</v>
      </c>
      <c r="R82" s="274">
        <v>-1.0980000000000001</v>
      </c>
      <c r="S82" s="274">
        <v>-1.044</v>
      </c>
      <c r="T82" s="274">
        <v>-1.0980000000000001</v>
      </c>
      <c r="U82" s="274">
        <v>-1.0980000000000001</v>
      </c>
      <c r="V82" s="274">
        <v>-1.044</v>
      </c>
      <c r="W82" s="274">
        <v>-1.044</v>
      </c>
      <c r="X82" s="274">
        <v>-1.026</v>
      </c>
      <c r="Y82" s="274">
        <v>-1.026</v>
      </c>
    </row>
    <row r="83" spans="3:42" x14ac:dyDescent="0.25">
      <c r="C83" s="86"/>
      <c r="F83" s="295" t="s">
        <v>45</v>
      </c>
      <c r="G83" s="14" t="s">
        <v>528</v>
      </c>
      <c r="H83" s="142"/>
      <c r="I83" s="142"/>
      <c r="J83" s="274">
        <v>1.0980000000000001</v>
      </c>
      <c r="K83" s="274">
        <v>1.0980000000000001</v>
      </c>
      <c r="L83" s="274">
        <v>1.0980000000000001</v>
      </c>
      <c r="M83" s="274">
        <v>1.0980000000000001</v>
      </c>
      <c r="N83" s="274">
        <v>1.0980000000000001</v>
      </c>
      <c r="O83" s="274">
        <v>1.044</v>
      </c>
      <c r="P83" s="274">
        <v>1.026</v>
      </c>
      <c r="Q83" s="274">
        <v>1.0980000000000001</v>
      </c>
      <c r="R83" s="274">
        <v>-1.0980000000000001</v>
      </c>
      <c r="S83" s="274">
        <v>-1.044</v>
      </c>
      <c r="T83" s="274">
        <v>-1.0980000000000001</v>
      </c>
      <c r="U83" s="274">
        <v>-1.0980000000000001</v>
      </c>
      <c r="V83" s="274">
        <v>-1.044</v>
      </c>
      <c r="W83" s="274">
        <v>-1.044</v>
      </c>
      <c r="X83" s="274">
        <v>-1.026</v>
      </c>
      <c r="Y83" s="274">
        <v>-1.026</v>
      </c>
    </row>
    <row r="84" spans="3:42" x14ac:dyDescent="0.25">
      <c r="C84" s="86"/>
      <c r="F84" s="295" t="s">
        <v>46</v>
      </c>
      <c r="G84" s="14" t="s">
        <v>528</v>
      </c>
      <c r="H84" s="142"/>
      <c r="I84" s="142"/>
      <c r="J84" s="274">
        <v>1.0980000000000001</v>
      </c>
      <c r="K84" s="274">
        <v>1.0980000000000001</v>
      </c>
      <c r="L84" s="274">
        <v>1.0980000000000001</v>
      </c>
      <c r="M84" s="274">
        <v>1.0980000000000001</v>
      </c>
      <c r="N84" s="274">
        <v>1.0980000000000001</v>
      </c>
      <c r="O84" s="274">
        <v>1.044</v>
      </c>
      <c r="P84" s="274">
        <v>1.026</v>
      </c>
      <c r="Q84" s="274">
        <v>1.0980000000000001</v>
      </c>
      <c r="R84" s="274">
        <v>-1.0980000000000001</v>
      </c>
      <c r="S84" s="274">
        <v>-1.044</v>
      </c>
      <c r="T84" s="274">
        <v>-1.0980000000000001</v>
      </c>
      <c r="U84" s="274">
        <v>-1.0980000000000001</v>
      </c>
      <c r="V84" s="274">
        <v>-1.044</v>
      </c>
      <c r="W84" s="274">
        <v>-1.044</v>
      </c>
      <c r="X84" s="274">
        <v>-1.026</v>
      </c>
      <c r="Y84" s="274">
        <v>-1.026</v>
      </c>
    </row>
    <row r="85" spans="3:42" x14ac:dyDescent="0.25">
      <c r="C85" s="86"/>
      <c r="F85" s="295" t="s">
        <v>47</v>
      </c>
      <c r="G85" s="14" t="s">
        <v>528</v>
      </c>
      <c r="H85" s="142"/>
      <c r="I85" s="142"/>
      <c r="J85" s="274">
        <v>1.0980000000000001</v>
      </c>
      <c r="K85" s="274">
        <v>1.0980000000000001</v>
      </c>
      <c r="L85" s="274">
        <v>1.0980000000000001</v>
      </c>
      <c r="M85" s="274">
        <v>1.0980000000000001</v>
      </c>
      <c r="N85" s="274">
        <v>1.0980000000000001</v>
      </c>
      <c r="O85" s="274">
        <v>1.044</v>
      </c>
      <c r="P85" s="274">
        <v>1.026</v>
      </c>
      <c r="Q85" s="274">
        <v>1.0980000000000001</v>
      </c>
      <c r="R85" s="274">
        <v>-1.0980000000000001</v>
      </c>
      <c r="S85" s="274">
        <v>-1.044</v>
      </c>
      <c r="T85" s="274">
        <v>-1.0980000000000001</v>
      </c>
      <c r="U85" s="274">
        <v>-1.0980000000000001</v>
      </c>
      <c r="V85" s="274">
        <v>-1.044</v>
      </c>
      <c r="W85" s="274">
        <v>-1.044</v>
      </c>
      <c r="X85" s="274">
        <v>-1.026</v>
      </c>
      <c r="Y85" s="274">
        <v>-1.026</v>
      </c>
    </row>
    <row r="86" spans="3:42" x14ac:dyDescent="0.25">
      <c r="C86" s="86"/>
      <c r="F86" s="295" t="s">
        <v>51</v>
      </c>
      <c r="G86" s="14" t="s">
        <v>528</v>
      </c>
      <c r="H86" s="142"/>
      <c r="I86" s="142"/>
      <c r="J86" s="274">
        <v>0</v>
      </c>
      <c r="K86" s="274">
        <v>0</v>
      </c>
      <c r="L86" s="274">
        <v>0</v>
      </c>
      <c r="M86" s="274">
        <v>0</v>
      </c>
      <c r="N86" s="274">
        <v>0</v>
      </c>
      <c r="O86" s="274">
        <v>0</v>
      </c>
      <c r="P86" s="274">
        <v>0</v>
      </c>
      <c r="Q86" s="274">
        <v>0</v>
      </c>
      <c r="R86" s="274">
        <v>0</v>
      </c>
      <c r="S86" s="274">
        <v>0</v>
      </c>
      <c r="T86" s="274">
        <v>0</v>
      </c>
      <c r="U86" s="274">
        <v>0</v>
      </c>
      <c r="V86" s="274">
        <v>0</v>
      </c>
      <c r="W86" s="274">
        <v>0</v>
      </c>
      <c r="X86" s="274">
        <v>0</v>
      </c>
      <c r="Y86" s="274">
        <v>0</v>
      </c>
    </row>
    <row r="87" spans="3:42" x14ac:dyDescent="0.25">
      <c r="C87" s="86"/>
      <c r="F87" s="295" t="s">
        <v>48</v>
      </c>
      <c r="G87" s="14" t="s">
        <v>528</v>
      </c>
      <c r="H87" s="142"/>
      <c r="I87" s="142"/>
      <c r="J87" s="274">
        <v>1.0980000000000001</v>
      </c>
      <c r="K87" s="274">
        <v>1.0980000000000001</v>
      </c>
      <c r="L87" s="274">
        <v>1.0980000000000001</v>
      </c>
      <c r="M87" s="274">
        <v>1.0980000000000001</v>
      </c>
      <c r="N87" s="274">
        <v>1.0980000000000001</v>
      </c>
      <c r="O87" s="274">
        <v>1.044</v>
      </c>
      <c r="P87" s="274">
        <v>1.026</v>
      </c>
      <c r="Q87" s="274">
        <v>1.0980000000000001</v>
      </c>
      <c r="R87" s="274">
        <v>-1.0980000000000001</v>
      </c>
      <c r="S87" s="274">
        <v>-1.044</v>
      </c>
      <c r="T87" s="274">
        <v>-1.0980000000000001</v>
      </c>
      <c r="U87" s="274">
        <v>-1.0980000000000001</v>
      </c>
      <c r="V87" s="274">
        <v>-1.044</v>
      </c>
      <c r="W87" s="274">
        <v>-1.044</v>
      </c>
      <c r="X87" s="274">
        <v>0</v>
      </c>
      <c r="Y87" s="274">
        <v>0</v>
      </c>
    </row>
    <row r="88" spans="3:42" x14ac:dyDescent="0.25">
      <c r="C88" s="86"/>
      <c r="F88" s="295" t="s">
        <v>49</v>
      </c>
      <c r="G88" s="14" t="s">
        <v>528</v>
      </c>
      <c r="H88" s="142"/>
      <c r="I88" s="142"/>
      <c r="J88" s="274">
        <v>1.0980000000000001</v>
      </c>
      <c r="K88" s="274">
        <v>1.0980000000000001</v>
      </c>
      <c r="L88" s="274">
        <v>1.0980000000000001</v>
      </c>
      <c r="M88" s="274">
        <v>1.0980000000000001</v>
      </c>
      <c r="N88" s="274">
        <v>1.0980000000000001</v>
      </c>
      <c r="O88" s="274">
        <v>1.044</v>
      </c>
      <c r="P88" s="274">
        <v>0</v>
      </c>
      <c r="Q88" s="274">
        <v>1.0980000000000001</v>
      </c>
      <c r="R88" s="274">
        <v>-1.0980000000000001</v>
      </c>
      <c r="S88" s="274">
        <v>0</v>
      </c>
      <c r="T88" s="274">
        <v>-1.0980000000000001</v>
      </c>
      <c r="U88" s="274">
        <v>-1.0980000000000001</v>
      </c>
      <c r="V88" s="274">
        <v>0</v>
      </c>
      <c r="W88" s="274">
        <v>0</v>
      </c>
      <c r="X88" s="274">
        <v>0</v>
      </c>
      <c r="Y88" s="274">
        <v>0</v>
      </c>
    </row>
    <row r="89" spans="3:42" x14ac:dyDescent="0.25">
      <c r="C89" s="86"/>
      <c r="F89" s="295" t="s">
        <v>50</v>
      </c>
      <c r="G89" s="14" t="s">
        <v>528</v>
      </c>
      <c r="H89" s="142"/>
      <c r="I89" s="142"/>
      <c r="J89" s="274">
        <v>1.0980000000000001</v>
      </c>
      <c r="K89" s="274">
        <v>1.0980000000000001</v>
      </c>
      <c r="L89" s="274">
        <v>1.0980000000000001</v>
      </c>
      <c r="M89" s="274">
        <v>1.0980000000000001</v>
      </c>
      <c r="N89" s="274">
        <v>1.0980000000000001</v>
      </c>
      <c r="O89" s="274">
        <v>0</v>
      </c>
      <c r="P89" s="274">
        <v>0</v>
      </c>
      <c r="Q89" s="274">
        <v>1.0980000000000001</v>
      </c>
      <c r="R89" s="274">
        <v>0</v>
      </c>
      <c r="S89" s="274">
        <v>0</v>
      </c>
      <c r="T89" s="274">
        <v>0</v>
      </c>
      <c r="U89" s="274">
        <v>0</v>
      </c>
      <c r="V89" s="274">
        <v>0</v>
      </c>
      <c r="W89" s="274">
        <v>0</v>
      </c>
      <c r="X89" s="274">
        <v>0</v>
      </c>
      <c r="Y89" s="274">
        <v>0</v>
      </c>
    </row>
    <row r="90" spans="3:42" x14ac:dyDescent="0.25">
      <c r="C90" s="86"/>
      <c r="F90" s="295" t="s">
        <v>124</v>
      </c>
      <c r="G90" s="14" t="s">
        <v>528</v>
      </c>
      <c r="J90" s="280"/>
      <c r="K90" s="280"/>
      <c r="L90" s="280"/>
      <c r="M90" s="280"/>
      <c r="N90" s="280"/>
      <c r="O90" s="280"/>
      <c r="P90" s="280"/>
      <c r="Q90" s="280"/>
      <c r="R90" s="280"/>
      <c r="S90" s="280"/>
      <c r="T90" s="280"/>
      <c r="U90" s="280"/>
      <c r="V90" s="280"/>
      <c r="W90" s="280"/>
      <c r="X90" s="280"/>
      <c r="Y90" s="280"/>
    </row>
    <row r="91" spans="3:42" x14ac:dyDescent="0.25">
      <c r="C91" s="86"/>
      <c r="F91" s="93" t="s">
        <v>123</v>
      </c>
      <c r="G91" s="15" t="s">
        <v>528</v>
      </c>
      <c r="H91" s="93"/>
      <c r="I91" s="93"/>
      <c r="J91" s="241"/>
      <c r="K91" s="241"/>
      <c r="L91" s="241"/>
      <c r="M91" s="241"/>
      <c r="N91" s="241"/>
      <c r="O91" s="241"/>
      <c r="P91" s="241"/>
      <c r="Q91" s="241"/>
      <c r="R91" s="241"/>
      <c r="S91" s="241"/>
      <c r="T91" s="241"/>
      <c r="U91" s="241"/>
      <c r="V91" s="241"/>
      <c r="W91" s="241"/>
      <c r="X91" s="241"/>
      <c r="Y91" s="241"/>
    </row>
    <row r="92" spans="3:42" x14ac:dyDescent="0.25">
      <c r="C92" s="86"/>
      <c r="F92" s="98"/>
    </row>
    <row r="93" spans="3:42" x14ac:dyDescent="0.25">
      <c r="D93" s="295"/>
      <c r="E93" s="96" t="s">
        <v>320</v>
      </c>
      <c r="H93" s="111"/>
      <c r="J93" s="90"/>
      <c r="L93" s="90"/>
      <c r="AP93" s="88"/>
    </row>
    <row r="94" spans="3:42" x14ac:dyDescent="0.25">
      <c r="C94" s="96"/>
      <c r="D94" s="295"/>
      <c r="E94" s="295"/>
      <c r="F94" s="91" t="s">
        <v>43</v>
      </c>
      <c r="G94" s="91" t="s">
        <v>94</v>
      </c>
      <c r="H94" s="74"/>
      <c r="I94" s="91"/>
      <c r="J94" s="137">
        <f>'Standing charge factors'!J44</f>
        <v>0</v>
      </c>
      <c r="K94" s="137">
        <f>'Standing charge factors'!K44</f>
        <v>0</v>
      </c>
      <c r="L94" s="137">
        <f>'Standing charge factors'!L44</f>
        <v>0</v>
      </c>
      <c r="M94" s="137">
        <f>'Standing charge factors'!M44</f>
        <v>0</v>
      </c>
      <c r="N94" s="137">
        <f>'Standing charge factors'!N44</f>
        <v>0</v>
      </c>
      <c r="O94" s="137">
        <f>'Standing charge factors'!O44</f>
        <v>0</v>
      </c>
      <c r="P94" s="137">
        <f>'Standing charge factors'!P44</f>
        <v>0</v>
      </c>
      <c r="Q94" s="137">
        <f>'Standing charge factors'!Q44</f>
        <v>0</v>
      </c>
      <c r="R94" s="137">
        <f>'Standing charge factors'!R44</f>
        <v>0</v>
      </c>
      <c r="S94" s="137">
        <f>'Standing charge factors'!S44</f>
        <v>0</v>
      </c>
      <c r="T94" s="137">
        <f>'Standing charge factors'!T44</f>
        <v>0</v>
      </c>
      <c r="U94" s="137">
        <f>'Standing charge factors'!U44</f>
        <v>0</v>
      </c>
      <c r="V94" s="137">
        <f>'Standing charge factors'!V44</f>
        <v>0</v>
      </c>
      <c r="W94" s="137">
        <f>'Standing charge factors'!W44</f>
        <v>0</v>
      </c>
      <c r="X94" s="137">
        <f>'Standing charge factors'!X44</f>
        <v>0</v>
      </c>
      <c r="Y94" s="137">
        <f>'Standing charge factors'!Y44</f>
        <v>0</v>
      </c>
      <c r="AP94" s="88"/>
    </row>
    <row r="95" spans="3:42" x14ac:dyDescent="0.25">
      <c r="C95" s="96"/>
      <c r="D95" s="295"/>
      <c r="E95" s="295"/>
      <c r="F95" s="295" t="s">
        <v>44</v>
      </c>
      <c r="G95" s="295" t="s">
        <v>94</v>
      </c>
      <c r="H95" s="90"/>
      <c r="J95" s="143">
        <f>'Standing charge factors'!J45</f>
        <v>0</v>
      </c>
      <c r="K95" s="143">
        <f>'Standing charge factors'!K45</f>
        <v>0</v>
      </c>
      <c r="L95" s="143">
        <f>'Standing charge factors'!L45</f>
        <v>0</v>
      </c>
      <c r="M95" s="143">
        <f>'Standing charge factors'!M45</f>
        <v>0</v>
      </c>
      <c r="N95" s="143">
        <f>'Standing charge factors'!N45</f>
        <v>0</v>
      </c>
      <c r="O95" s="143">
        <f>'Standing charge factors'!O45</f>
        <v>0</v>
      </c>
      <c r="P95" s="143">
        <f>'Standing charge factors'!P45</f>
        <v>0</v>
      </c>
      <c r="Q95" s="143">
        <f>'Standing charge factors'!Q45</f>
        <v>0</v>
      </c>
      <c r="R95" s="143">
        <f>'Standing charge factors'!R45</f>
        <v>0</v>
      </c>
      <c r="S95" s="143">
        <f>'Standing charge factors'!S45</f>
        <v>0</v>
      </c>
      <c r="T95" s="143">
        <f>'Standing charge factors'!T45</f>
        <v>0</v>
      </c>
      <c r="U95" s="143">
        <f>'Standing charge factors'!U45</f>
        <v>0</v>
      </c>
      <c r="V95" s="143">
        <f>'Standing charge factors'!V45</f>
        <v>0</v>
      </c>
      <c r="W95" s="143">
        <f>'Standing charge factors'!W45</f>
        <v>0</v>
      </c>
      <c r="X95" s="143">
        <f>'Standing charge factors'!X45</f>
        <v>0</v>
      </c>
      <c r="Y95" s="143">
        <f>'Standing charge factors'!Y45</f>
        <v>0</v>
      </c>
      <c r="AP95" s="88"/>
    </row>
    <row r="96" spans="3:42" x14ac:dyDescent="0.25">
      <c r="C96" s="96"/>
      <c r="D96" s="295"/>
      <c r="E96" s="295"/>
      <c r="F96" s="295" t="s">
        <v>45</v>
      </c>
      <c r="G96" s="295" t="s">
        <v>94</v>
      </c>
      <c r="H96" s="90"/>
      <c r="J96" s="143">
        <f>'Standing charge factors'!J46</f>
        <v>0</v>
      </c>
      <c r="K96" s="143">
        <f>'Standing charge factors'!K46</f>
        <v>0</v>
      </c>
      <c r="L96" s="143">
        <f>'Standing charge factors'!L46</f>
        <v>0</v>
      </c>
      <c r="M96" s="143">
        <f>'Standing charge factors'!M46</f>
        <v>0</v>
      </c>
      <c r="N96" s="143">
        <f>'Standing charge factors'!N46</f>
        <v>0</v>
      </c>
      <c r="O96" s="143">
        <f>'Standing charge factors'!O46</f>
        <v>0</v>
      </c>
      <c r="P96" s="143">
        <f>'Standing charge factors'!P46</f>
        <v>0</v>
      </c>
      <c r="Q96" s="143">
        <f>'Standing charge factors'!Q46</f>
        <v>0</v>
      </c>
      <c r="R96" s="143">
        <f>'Standing charge factors'!R46</f>
        <v>0</v>
      </c>
      <c r="S96" s="143">
        <f>'Standing charge factors'!S46</f>
        <v>0</v>
      </c>
      <c r="T96" s="143">
        <f>'Standing charge factors'!T46</f>
        <v>0</v>
      </c>
      <c r="U96" s="143">
        <f>'Standing charge factors'!U46</f>
        <v>0</v>
      </c>
      <c r="V96" s="143">
        <f>'Standing charge factors'!V46</f>
        <v>0</v>
      </c>
      <c r="W96" s="143">
        <f>'Standing charge factors'!W46</f>
        <v>0</v>
      </c>
      <c r="X96" s="143">
        <f>'Standing charge factors'!X46</f>
        <v>0</v>
      </c>
      <c r="Y96" s="143">
        <f>'Standing charge factors'!Y46</f>
        <v>0</v>
      </c>
      <c r="AP96" s="88"/>
    </row>
    <row r="97" spans="3:42" x14ac:dyDescent="0.25">
      <c r="C97" s="96"/>
      <c r="D97" s="295"/>
      <c r="E97" s="295"/>
      <c r="F97" s="295" t="s">
        <v>46</v>
      </c>
      <c r="G97" s="295" t="s">
        <v>94</v>
      </c>
      <c r="H97" s="90"/>
      <c r="J97" s="143">
        <f>'Standing charge factors'!J47</f>
        <v>0</v>
      </c>
      <c r="K97" s="143">
        <f>'Standing charge factors'!K47</f>
        <v>0</v>
      </c>
      <c r="L97" s="143">
        <f>'Standing charge factors'!L47</f>
        <v>0</v>
      </c>
      <c r="M97" s="143">
        <f>'Standing charge factors'!M47</f>
        <v>0</v>
      </c>
      <c r="N97" s="143">
        <f>'Standing charge factors'!N47</f>
        <v>0</v>
      </c>
      <c r="O97" s="143">
        <f>'Standing charge factors'!O47</f>
        <v>0</v>
      </c>
      <c r="P97" s="143">
        <f>'Standing charge factors'!P47</f>
        <v>0.2</v>
      </c>
      <c r="Q97" s="143">
        <f>'Standing charge factors'!Q47</f>
        <v>0</v>
      </c>
      <c r="R97" s="143">
        <f>'Standing charge factors'!R47</f>
        <v>0</v>
      </c>
      <c r="S97" s="143">
        <f>'Standing charge factors'!S47</f>
        <v>0</v>
      </c>
      <c r="T97" s="143">
        <f>'Standing charge factors'!T47</f>
        <v>0</v>
      </c>
      <c r="U97" s="143">
        <f>'Standing charge factors'!U47</f>
        <v>0</v>
      </c>
      <c r="V97" s="143">
        <f>'Standing charge factors'!V47</f>
        <v>0</v>
      </c>
      <c r="W97" s="143">
        <f>'Standing charge factors'!W47</f>
        <v>0</v>
      </c>
      <c r="X97" s="143">
        <f>'Standing charge factors'!X47</f>
        <v>0</v>
      </c>
      <c r="Y97" s="143">
        <f>'Standing charge factors'!Y47</f>
        <v>0</v>
      </c>
      <c r="AP97" s="88"/>
    </row>
    <row r="98" spans="3:42" x14ac:dyDescent="0.25">
      <c r="C98" s="96"/>
      <c r="D98" s="295"/>
      <c r="E98" s="295"/>
      <c r="F98" s="295" t="s">
        <v>47</v>
      </c>
      <c r="G98" s="295" t="s">
        <v>94</v>
      </c>
      <c r="H98" s="90"/>
      <c r="J98" s="143">
        <f>'Standing charge factors'!J48</f>
        <v>0</v>
      </c>
      <c r="K98" s="143">
        <f>'Standing charge factors'!K48</f>
        <v>0</v>
      </c>
      <c r="L98" s="143">
        <f>'Standing charge factors'!L48</f>
        <v>0</v>
      </c>
      <c r="M98" s="143">
        <f>'Standing charge factors'!M48</f>
        <v>0</v>
      </c>
      <c r="N98" s="143">
        <f>'Standing charge factors'!N48</f>
        <v>0</v>
      </c>
      <c r="O98" s="143">
        <f>'Standing charge factors'!O48</f>
        <v>0</v>
      </c>
      <c r="P98" s="143">
        <f>'Standing charge factors'!P48</f>
        <v>1</v>
      </c>
      <c r="Q98" s="143">
        <f>'Standing charge factors'!Q48</f>
        <v>0</v>
      </c>
      <c r="R98" s="143">
        <f>'Standing charge factors'!R48</f>
        <v>0</v>
      </c>
      <c r="S98" s="143">
        <f>'Standing charge factors'!S48</f>
        <v>0</v>
      </c>
      <c r="T98" s="143">
        <f>'Standing charge factors'!T48</f>
        <v>0</v>
      </c>
      <c r="U98" s="143">
        <f>'Standing charge factors'!U48</f>
        <v>0</v>
      </c>
      <c r="V98" s="143">
        <f>'Standing charge factors'!V48</f>
        <v>0</v>
      </c>
      <c r="W98" s="143">
        <f>'Standing charge factors'!W48</f>
        <v>0</v>
      </c>
      <c r="X98" s="143">
        <f>'Standing charge factors'!X48</f>
        <v>0</v>
      </c>
      <c r="Y98" s="143">
        <f>'Standing charge factors'!Y48</f>
        <v>0</v>
      </c>
      <c r="AP98" s="88"/>
    </row>
    <row r="99" spans="3:42" x14ac:dyDescent="0.25">
      <c r="C99" s="96"/>
      <c r="D99" s="295"/>
      <c r="E99" s="295"/>
      <c r="F99" s="295" t="s">
        <v>51</v>
      </c>
      <c r="G99" s="295" t="s">
        <v>94</v>
      </c>
      <c r="H99" s="90"/>
      <c r="J99" s="143">
        <f>'Standing charge factors'!J49</f>
        <v>0</v>
      </c>
      <c r="K99" s="143">
        <f>'Standing charge factors'!K49</f>
        <v>0</v>
      </c>
      <c r="L99" s="143">
        <f>'Standing charge factors'!L49</f>
        <v>0</v>
      </c>
      <c r="M99" s="143">
        <f>'Standing charge factors'!M49</f>
        <v>0</v>
      </c>
      <c r="N99" s="143">
        <f>'Standing charge factors'!N49</f>
        <v>0</v>
      </c>
      <c r="O99" s="143">
        <f>'Standing charge factors'!O49</f>
        <v>0</v>
      </c>
      <c r="P99" s="143">
        <f>'Standing charge factors'!P49</f>
        <v>1</v>
      </c>
      <c r="Q99" s="143">
        <f>'Standing charge factors'!Q49</f>
        <v>0</v>
      </c>
      <c r="R99" s="143">
        <f>'Standing charge factors'!R49</f>
        <v>0</v>
      </c>
      <c r="S99" s="143">
        <f>'Standing charge factors'!S49</f>
        <v>0</v>
      </c>
      <c r="T99" s="143">
        <f>'Standing charge factors'!T49</f>
        <v>0</v>
      </c>
      <c r="U99" s="143">
        <f>'Standing charge factors'!U49</f>
        <v>0</v>
      </c>
      <c r="V99" s="143">
        <f>'Standing charge factors'!V49</f>
        <v>0</v>
      </c>
      <c r="W99" s="143">
        <f>'Standing charge factors'!W49</f>
        <v>0</v>
      </c>
      <c r="X99" s="143">
        <f>'Standing charge factors'!X49</f>
        <v>0</v>
      </c>
      <c r="Y99" s="143">
        <f>'Standing charge factors'!Y49</f>
        <v>0</v>
      </c>
      <c r="AP99" s="88"/>
    </row>
    <row r="100" spans="3:42" x14ac:dyDescent="0.25">
      <c r="C100" s="96"/>
      <c r="D100" s="295"/>
      <c r="E100" s="295"/>
      <c r="F100" s="295" t="s">
        <v>48</v>
      </c>
      <c r="G100" s="295" t="s">
        <v>94</v>
      </c>
      <c r="H100" s="90"/>
      <c r="J100" s="143">
        <f>'Standing charge factors'!J50</f>
        <v>0</v>
      </c>
      <c r="K100" s="143">
        <f>'Standing charge factors'!K50</f>
        <v>0</v>
      </c>
      <c r="L100" s="143">
        <f>'Standing charge factors'!L50</f>
        <v>0</v>
      </c>
      <c r="M100" s="143">
        <f>'Standing charge factors'!M50</f>
        <v>0</v>
      </c>
      <c r="N100" s="143">
        <f>'Standing charge factors'!N50</f>
        <v>0.2</v>
      </c>
      <c r="O100" s="143">
        <f>'Standing charge factors'!O50</f>
        <v>1</v>
      </c>
      <c r="P100" s="143">
        <f>'Standing charge factors'!P50</f>
        <v>1</v>
      </c>
      <c r="Q100" s="143">
        <f>'Standing charge factors'!Q50</f>
        <v>0</v>
      </c>
      <c r="R100" s="143">
        <f>'Standing charge factors'!R50</f>
        <v>0</v>
      </c>
      <c r="S100" s="143">
        <f>'Standing charge factors'!S50</f>
        <v>0</v>
      </c>
      <c r="T100" s="143">
        <f>'Standing charge factors'!T50</f>
        <v>0</v>
      </c>
      <c r="U100" s="143">
        <f>'Standing charge factors'!U50</f>
        <v>0</v>
      </c>
      <c r="V100" s="143">
        <f>'Standing charge factors'!V50</f>
        <v>0</v>
      </c>
      <c r="W100" s="143">
        <f>'Standing charge factors'!W50</f>
        <v>0</v>
      </c>
      <c r="X100" s="143">
        <f>'Standing charge factors'!X50</f>
        <v>0</v>
      </c>
      <c r="Y100" s="143">
        <f>'Standing charge factors'!Y50</f>
        <v>0</v>
      </c>
      <c r="AP100" s="88"/>
    </row>
    <row r="101" spans="3:42" x14ac:dyDescent="0.25">
      <c r="C101" s="96"/>
      <c r="D101" s="295"/>
      <c r="E101" s="295"/>
      <c r="F101" s="295" t="s">
        <v>49</v>
      </c>
      <c r="G101" s="295" t="s">
        <v>94</v>
      </c>
      <c r="H101" s="90"/>
      <c r="J101" s="143">
        <f>'Standing charge factors'!J51</f>
        <v>0</v>
      </c>
      <c r="K101" s="143">
        <f>'Standing charge factors'!K51</f>
        <v>0</v>
      </c>
      <c r="L101" s="143">
        <f>'Standing charge factors'!L51</f>
        <v>0</v>
      </c>
      <c r="M101" s="143">
        <f>'Standing charge factors'!M51</f>
        <v>0</v>
      </c>
      <c r="N101" s="143">
        <f>'Standing charge factors'!N51</f>
        <v>1</v>
      </c>
      <c r="O101" s="143">
        <f>'Standing charge factors'!O51</f>
        <v>1</v>
      </c>
      <c r="P101" s="143">
        <f>'Standing charge factors'!P51</f>
        <v>0</v>
      </c>
      <c r="Q101" s="143">
        <f>'Standing charge factors'!Q51</f>
        <v>0</v>
      </c>
      <c r="R101" s="143">
        <f>'Standing charge factors'!R51</f>
        <v>0</v>
      </c>
      <c r="S101" s="143">
        <f>'Standing charge factors'!S51</f>
        <v>0</v>
      </c>
      <c r="T101" s="143">
        <f>'Standing charge factors'!T51</f>
        <v>0</v>
      </c>
      <c r="U101" s="143">
        <f>'Standing charge factors'!U51</f>
        <v>0</v>
      </c>
      <c r="V101" s="143">
        <f>'Standing charge factors'!V51</f>
        <v>0</v>
      </c>
      <c r="W101" s="143">
        <f>'Standing charge factors'!W51</f>
        <v>0</v>
      </c>
      <c r="X101" s="143">
        <f>'Standing charge factors'!X51</f>
        <v>0</v>
      </c>
      <c r="Y101" s="143">
        <f>'Standing charge factors'!Y51</f>
        <v>0</v>
      </c>
      <c r="AP101" s="88"/>
    </row>
    <row r="102" spans="3:42" x14ac:dyDescent="0.25">
      <c r="C102" s="96"/>
      <c r="D102" s="295"/>
      <c r="E102" s="295"/>
      <c r="F102" s="93" t="s">
        <v>50</v>
      </c>
      <c r="G102" s="93" t="s">
        <v>94</v>
      </c>
      <c r="H102" s="187"/>
      <c r="I102" s="93"/>
      <c r="J102" s="395">
        <f>'Standing charge factors'!J52</f>
        <v>1</v>
      </c>
      <c r="K102" s="395">
        <f>'Standing charge factors'!K52</f>
        <v>1</v>
      </c>
      <c r="L102" s="395">
        <f>'Standing charge factors'!L52</f>
        <v>1</v>
      </c>
      <c r="M102" s="395">
        <f>'Standing charge factors'!M52</f>
        <v>1</v>
      </c>
      <c r="N102" s="395">
        <f>'Standing charge factors'!N52</f>
        <v>1</v>
      </c>
      <c r="O102" s="395">
        <f>'Standing charge factors'!O52</f>
        <v>0</v>
      </c>
      <c r="P102" s="395">
        <f>'Standing charge factors'!P52</f>
        <v>0</v>
      </c>
      <c r="Q102" s="395">
        <f>'Standing charge factors'!Q52</f>
        <v>0</v>
      </c>
      <c r="R102" s="395">
        <f>'Standing charge factors'!R52</f>
        <v>0</v>
      </c>
      <c r="S102" s="395">
        <f>'Standing charge factors'!S52</f>
        <v>0</v>
      </c>
      <c r="T102" s="395">
        <f>'Standing charge factors'!T52</f>
        <v>0</v>
      </c>
      <c r="U102" s="395">
        <f>'Standing charge factors'!U52</f>
        <v>0</v>
      </c>
      <c r="V102" s="395">
        <f>'Standing charge factors'!V52</f>
        <v>0</v>
      </c>
      <c r="W102" s="395">
        <f>'Standing charge factors'!W52</f>
        <v>0</v>
      </c>
      <c r="X102" s="395">
        <f>'Standing charge factors'!X52</f>
        <v>0</v>
      </c>
      <c r="Y102" s="395">
        <f>'Standing charge factors'!Y52</f>
        <v>0</v>
      </c>
      <c r="AP102" s="88"/>
    </row>
    <row r="103" spans="3:42" x14ac:dyDescent="0.25">
      <c r="C103" s="86"/>
      <c r="D103" s="295"/>
      <c r="F103" s="98"/>
    </row>
    <row r="104" spans="3:42" x14ac:dyDescent="0.25">
      <c r="E104" s="96" t="s">
        <v>154</v>
      </c>
    </row>
    <row r="105" spans="3:42" x14ac:dyDescent="0.25">
      <c r="C105" s="86"/>
      <c r="F105" s="91" t="s">
        <v>324</v>
      </c>
      <c r="G105" s="91" t="s">
        <v>94</v>
      </c>
      <c r="H105" s="33"/>
      <c r="I105" s="33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</row>
    <row r="106" spans="3:42" x14ac:dyDescent="0.25">
      <c r="C106" s="86"/>
      <c r="F106" s="295" t="s">
        <v>43</v>
      </c>
      <c r="G106" s="295" t="s">
        <v>94</v>
      </c>
      <c r="H106" s="142"/>
      <c r="I106" s="142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</row>
    <row r="107" spans="3:42" x14ac:dyDescent="0.25">
      <c r="C107" s="86"/>
      <c r="F107" s="295" t="s">
        <v>44</v>
      </c>
      <c r="G107" s="295" t="s">
        <v>94</v>
      </c>
      <c r="H107" s="142"/>
      <c r="I107" s="142"/>
      <c r="J107" s="143">
        <f t="array" ref="J107:Y114">TRANSPOSE('Customer contributions'!L51:S66)</f>
        <v>0</v>
      </c>
      <c r="K107" s="143">
        <v>0</v>
      </c>
      <c r="L107" s="143">
        <v>0</v>
      </c>
      <c r="M107" s="143">
        <v>0</v>
      </c>
      <c r="N107" s="143">
        <v>0</v>
      </c>
      <c r="O107" s="143">
        <v>0</v>
      </c>
      <c r="P107" s="143">
        <v>0</v>
      </c>
      <c r="Q107" s="143">
        <v>0</v>
      </c>
      <c r="R107" s="143">
        <v>0</v>
      </c>
      <c r="S107" s="143">
        <v>0</v>
      </c>
      <c r="T107" s="143">
        <v>0</v>
      </c>
      <c r="U107" s="143">
        <v>0</v>
      </c>
      <c r="V107" s="143">
        <v>0</v>
      </c>
      <c r="W107" s="143">
        <v>0</v>
      </c>
      <c r="X107" s="143">
        <v>0</v>
      </c>
      <c r="Y107" s="143">
        <v>0</v>
      </c>
    </row>
    <row r="108" spans="3:42" x14ac:dyDescent="0.25">
      <c r="C108" s="86"/>
      <c r="F108" s="295" t="s">
        <v>45</v>
      </c>
      <c r="G108" s="295" t="s">
        <v>94</v>
      </c>
      <c r="H108" s="142"/>
      <c r="I108" s="142"/>
      <c r="J108" s="143">
        <v>0</v>
      </c>
      <c r="K108" s="143">
        <v>0</v>
      </c>
      <c r="L108" s="143">
        <v>0</v>
      </c>
      <c r="M108" s="143">
        <v>0</v>
      </c>
      <c r="N108" s="143">
        <v>0</v>
      </c>
      <c r="O108" s="143">
        <v>0</v>
      </c>
      <c r="P108" s="143">
        <v>0</v>
      </c>
      <c r="Q108" s="143">
        <v>0</v>
      </c>
      <c r="R108" s="143">
        <v>0</v>
      </c>
      <c r="S108" s="143">
        <v>0</v>
      </c>
      <c r="T108" s="143">
        <v>0</v>
      </c>
      <c r="U108" s="143">
        <v>0</v>
      </c>
      <c r="V108" s="143">
        <v>0</v>
      </c>
      <c r="W108" s="143">
        <v>0</v>
      </c>
      <c r="X108" s="143">
        <v>0</v>
      </c>
      <c r="Y108" s="143">
        <v>0</v>
      </c>
    </row>
    <row r="109" spans="3:42" x14ac:dyDescent="0.25">
      <c r="C109" s="86"/>
      <c r="F109" s="295" t="s">
        <v>46</v>
      </c>
      <c r="G109" s="295" t="s">
        <v>94</v>
      </c>
      <c r="H109" s="142"/>
      <c r="I109" s="142"/>
      <c r="J109" s="143"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3.11004784688995E-2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3.11004784688995E-2</v>
      </c>
      <c r="Y109" s="143">
        <v>3.11004784688995E-2</v>
      </c>
    </row>
    <row r="110" spans="3:42" x14ac:dyDescent="0.25">
      <c r="C110" s="86"/>
      <c r="F110" s="295" t="s">
        <v>47</v>
      </c>
      <c r="G110" s="295" t="s">
        <v>94</v>
      </c>
      <c r="H110" s="142"/>
      <c r="I110" s="142"/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0.14212259371833799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0.14212259371833799</v>
      </c>
      <c r="Y110" s="143">
        <v>0.14212259371833799</v>
      </c>
    </row>
    <row r="111" spans="3:42" x14ac:dyDescent="0.25">
      <c r="C111" s="86"/>
      <c r="F111" s="295" t="s">
        <v>51</v>
      </c>
      <c r="G111" s="295" t="s">
        <v>94</v>
      </c>
      <c r="H111" s="142"/>
      <c r="I111" s="142"/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0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0</v>
      </c>
      <c r="Y111" s="143">
        <v>0</v>
      </c>
    </row>
    <row r="112" spans="3:42" x14ac:dyDescent="0.25">
      <c r="C112" s="86"/>
      <c r="F112" s="295" t="s">
        <v>48</v>
      </c>
      <c r="G112" s="295" t="s">
        <v>94</v>
      </c>
      <c r="H112" s="142"/>
      <c r="I112" s="142"/>
      <c r="J112" s="143">
        <v>0.20065197841726601</v>
      </c>
      <c r="K112" s="143">
        <v>0.20065197841726601</v>
      </c>
      <c r="L112" s="143">
        <v>0.20065197841726601</v>
      </c>
      <c r="M112" s="143">
        <v>0.20065197841726601</v>
      </c>
      <c r="N112" s="143">
        <v>0.20065197841726601</v>
      </c>
      <c r="O112" s="143">
        <v>0.20065197841726601</v>
      </c>
      <c r="P112" s="143">
        <v>0.45146695143884902</v>
      </c>
      <c r="Q112" s="143">
        <v>0.20065197841726601</v>
      </c>
      <c r="R112" s="143">
        <v>0.20065197841726601</v>
      </c>
      <c r="S112" s="143">
        <v>0.20065197841726601</v>
      </c>
      <c r="T112" s="143">
        <v>0.20065197841726601</v>
      </c>
      <c r="U112" s="143">
        <v>0.20065197841726601</v>
      </c>
      <c r="V112" s="143">
        <v>0.20065197841726601</v>
      </c>
      <c r="W112" s="143">
        <v>0.20065197841726601</v>
      </c>
      <c r="X112" s="143">
        <v>0.45146695143884902</v>
      </c>
      <c r="Y112" s="143">
        <v>0.45146695143884902</v>
      </c>
    </row>
    <row r="113" spans="2:27" x14ac:dyDescent="0.25">
      <c r="C113" s="86"/>
      <c r="F113" s="295" t="s">
        <v>49</v>
      </c>
      <c r="G113" s="295" t="s">
        <v>94</v>
      </c>
      <c r="H113" s="142"/>
      <c r="I113" s="142"/>
      <c r="J113" s="143">
        <v>0.26968503937007898</v>
      </c>
      <c r="K113" s="143">
        <v>0.26968503937007898</v>
      </c>
      <c r="L113" s="143">
        <v>0.26968503937007898</v>
      </c>
      <c r="M113" s="143">
        <v>0.26968503937007898</v>
      </c>
      <c r="N113" s="143">
        <v>0.26968503937007898</v>
      </c>
      <c r="O113" s="143">
        <v>0.26968503937007898</v>
      </c>
      <c r="P113" s="143">
        <v>0</v>
      </c>
      <c r="Q113" s="143">
        <v>0.26968503937007898</v>
      </c>
      <c r="R113" s="143">
        <v>0.26968503937007898</v>
      </c>
      <c r="S113" s="143">
        <v>0.26968503937007898</v>
      </c>
      <c r="T113" s="143">
        <v>0.26968503937007898</v>
      </c>
      <c r="U113" s="143">
        <v>0.26968503937007898</v>
      </c>
      <c r="V113" s="143">
        <v>0.26968503937007898</v>
      </c>
      <c r="W113" s="143">
        <v>0.26968503937007898</v>
      </c>
      <c r="X113" s="143">
        <v>0</v>
      </c>
      <c r="Y113" s="143">
        <v>0</v>
      </c>
    </row>
    <row r="114" spans="2:27" x14ac:dyDescent="0.25">
      <c r="C114" s="86"/>
      <c r="F114" s="295" t="s">
        <v>50</v>
      </c>
      <c r="G114" s="295" t="s">
        <v>94</v>
      </c>
      <c r="H114" s="142"/>
      <c r="I114" s="142"/>
      <c r="J114" s="143">
        <v>0.92371773930088197</v>
      </c>
      <c r="K114" s="143">
        <v>0.92371773930088197</v>
      </c>
      <c r="L114" s="143">
        <v>0.92371773930088197</v>
      </c>
      <c r="M114" s="143">
        <v>0.92371773930088197</v>
      </c>
      <c r="N114" s="143">
        <v>0.92371773930088197</v>
      </c>
      <c r="O114" s="143">
        <v>0</v>
      </c>
      <c r="P114" s="143">
        <v>0</v>
      </c>
      <c r="Q114" s="143">
        <v>0.92371773930088197</v>
      </c>
      <c r="R114" s="143">
        <v>0.92371773930088197</v>
      </c>
      <c r="S114" s="143">
        <v>0</v>
      </c>
      <c r="T114" s="143">
        <v>0.92371773930088197</v>
      </c>
      <c r="U114" s="143">
        <v>0.92371773930088197</v>
      </c>
      <c r="V114" s="143">
        <v>0</v>
      </c>
      <c r="W114" s="143">
        <v>0</v>
      </c>
      <c r="X114" s="143">
        <v>0</v>
      </c>
      <c r="Y114" s="143">
        <v>0</v>
      </c>
    </row>
    <row r="115" spans="2:27" x14ac:dyDescent="0.25">
      <c r="C115" s="86"/>
      <c r="F115" s="295" t="s">
        <v>124</v>
      </c>
      <c r="G115" s="295" t="s">
        <v>94</v>
      </c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</row>
    <row r="116" spans="2:27" x14ac:dyDescent="0.25">
      <c r="C116" s="86"/>
      <c r="F116" s="93" t="s">
        <v>123</v>
      </c>
      <c r="G116" s="93" t="s">
        <v>94</v>
      </c>
      <c r="H116" s="93"/>
      <c r="I116" s="93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</row>
    <row r="117" spans="2:27" x14ac:dyDescent="0.25">
      <c r="C117" s="86"/>
      <c r="D117" s="295"/>
      <c r="F117" s="98"/>
    </row>
    <row r="118" spans="2:27" x14ac:dyDescent="0.25">
      <c r="D118" s="295"/>
      <c r="E118" s="96" t="s">
        <v>378</v>
      </c>
      <c r="F118" s="98"/>
      <c r="I118" s="295" t="s">
        <v>431</v>
      </c>
      <c r="AA118" s="295" t="s">
        <v>931</v>
      </c>
    </row>
    <row r="119" spans="2:27" x14ac:dyDescent="0.25">
      <c r="D119" s="295"/>
      <c r="E119" s="82" t="s">
        <v>469</v>
      </c>
      <c r="F119" s="98"/>
    </row>
    <row r="120" spans="2:27" x14ac:dyDescent="0.25">
      <c r="D120" s="295"/>
      <c r="E120" s="82" t="s">
        <v>470</v>
      </c>
      <c r="F120" s="98"/>
    </row>
    <row r="121" spans="2:27" x14ac:dyDescent="0.25">
      <c r="D121" s="295"/>
      <c r="F121" s="91" t="s">
        <v>379</v>
      </c>
      <c r="G121" s="91" t="s">
        <v>155</v>
      </c>
      <c r="H121" s="91"/>
      <c r="I121" s="91"/>
      <c r="J121" s="199">
        <f>'Fixed inputs'!J136</f>
        <v>0</v>
      </c>
      <c r="K121" s="199">
        <f>'Fixed inputs'!K136</f>
        <v>0</v>
      </c>
      <c r="L121" s="199">
        <f>'Fixed inputs'!L136</f>
        <v>0</v>
      </c>
      <c r="M121" s="199">
        <f>'Fixed inputs'!M136</f>
        <v>0</v>
      </c>
      <c r="N121" s="199">
        <f>'Fixed inputs'!N136</f>
        <v>1</v>
      </c>
      <c r="O121" s="199">
        <f>'Fixed inputs'!O136</f>
        <v>1</v>
      </c>
      <c r="P121" s="199">
        <f>'Fixed inputs'!P136</f>
        <v>1</v>
      </c>
      <c r="Q121" s="199">
        <f>'Fixed inputs'!Q136</f>
        <v>0</v>
      </c>
      <c r="R121" s="199">
        <f>'Fixed inputs'!R136</f>
        <v>0</v>
      </c>
      <c r="S121" s="199">
        <f>'Fixed inputs'!S136</f>
        <v>0</v>
      </c>
      <c r="T121" s="199">
        <f>'Fixed inputs'!T136</f>
        <v>0</v>
      </c>
      <c r="U121" s="199">
        <f>'Fixed inputs'!U136</f>
        <v>0</v>
      </c>
      <c r="V121" s="199">
        <f>'Fixed inputs'!V136</f>
        <v>0</v>
      </c>
      <c r="W121" s="199">
        <f>'Fixed inputs'!W136</f>
        <v>0</v>
      </c>
      <c r="X121" s="199">
        <f>'Fixed inputs'!X136</f>
        <v>0</v>
      </c>
      <c r="Y121" s="199">
        <f>'Fixed inputs'!Y136</f>
        <v>0</v>
      </c>
    </row>
    <row r="122" spans="2:27" x14ac:dyDescent="0.25">
      <c r="D122" s="295"/>
      <c r="F122" s="295" t="s">
        <v>380</v>
      </c>
      <c r="G122" s="295" t="s">
        <v>155</v>
      </c>
      <c r="J122" s="402">
        <f>'Fixed inputs'!J137</f>
        <v>0</v>
      </c>
      <c r="K122" s="402">
        <f>'Fixed inputs'!K137</f>
        <v>0</v>
      </c>
      <c r="L122" s="402">
        <f>'Fixed inputs'!L137</f>
        <v>0</v>
      </c>
      <c r="M122" s="402">
        <f>'Fixed inputs'!M137</f>
        <v>0</v>
      </c>
      <c r="N122" s="402">
        <f>'Fixed inputs'!N137</f>
        <v>1</v>
      </c>
      <c r="O122" s="402">
        <f>'Fixed inputs'!O137</f>
        <v>1</v>
      </c>
      <c r="P122" s="402">
        <f>'Fixed inputs'!P137</f>
        <v>1</v>
      </c>
      <c r="Q122" s="402">
        <f>'Fixed inputs'!Q137</f>
        <v>0</v>
      </c>
      <c r="R122" s="402">
        <f>'Fixed inputs'!R137</f>
        <v>0</v>
      </c>
      <c r="S122" s="402">
        <f>'Fixed inputs'!S137</f>
        <v>0</v>
      </c>
      <c r="T122" s="402">
        <f>'Fixed inputs'!T137</f>
        <v>0</v>
      </c>
      <c r="U122" s="402">
        <f>'Fixed inputs'!U137</f>
        <v>0</v>
      </c>
      <c r="V122" s="402">
        <f>'Fixed inputs'!V137</f>
        <v>0</v>
      </c>
      <c r="W122" s="402">
        <f>'Fixed inputs'!W137</f>
        <v>0</v>
      </c>
      <c r="X122" s="402">
        <f>'Fixed inputs'!X137</f>
        <v>0</v>
      </c>
      <c r="Y122" s="402">
        <f>'Fixed inputs'!Y137</f>
        <v>0</v>
      </c>
    </row>
    <row r="123" spans="2:27" x14ac:dyDescent="0.25">
      <c r="D123" s="295"/>
      <c r="F123" s="93" t="s">
        <v>381</v>
      </c>
      <c r="G123" s="93" t="s">
        <v>155</v>
      </c>
      <c r="H123" s="93"/>
      <c r="I123" s="93"/>
      <c r="J123" s="198">
        <f>'Fixed inputs'!J139</f>
        <v>1</v>
      </c>
      <c r="K123" s="198">
        <f>'Fixed inputs'!K139</f>
        <v>0</v>
      </c>
      <c r="L123" s="198">
        <f>'Fixed inputs'!L139</f>
        <v>1</v>
      </c>
      <c r="M123" s="198">
        <f>'Fixed inputs'!M139</f>
        <v>0</v>
      </c>
      <c r="N123" s="198">
        <f>'Fixed inputs'!N139</f>
        <v>0</v>
      </c>
      <c r="O123" s="198">
        <f>'Fixed inputs'!O139</f>
        <v>0</v>
      </c>
      <c r="P123" s="198">
        <f>'Fixed inputs'!P139</f>
        <v>0</v>
      </c>
      <c r="Q123" s="198">
        <f>'Fixed inputs'!Q139</f>
        <v>0</v>
      </c>
      <c r="R123" s="198">
        <f>'Fixed inputs'!R139</f>
        <v>0</v>
      </c>
      <c r="S123" s="198">
        <f>'Fixed inputs'!S139</f>
        <v>0</v>
      </c>
      <c r="T123" s="198">
        <f>'Fixed inputs'!T139</f>
        <v>0</v>
      </c>
      <c r="U123" s="198">
        <f>'Fixed inputs'!U139</f>
        <v>0</v>
      </c>
      <c r="V123" s="198">
        <f>'Fixed inputs'!V139</f>
        <v>0</v>
      </c>
      <c r="W123" s="198">
        <f>'Fixed inputs'!W139</f>
        <v>0</v>
      </c>
      <c r="X123" s="198">
        <f>'Fixed inputs'!X139</f>
        <v>0</v>
      </c>
      <c r="Y123" s="198">
        <f>'Fixed inputs'!Y139</f>
        <v>0</v>
      </c>
    </row>
    <row r="124" spans="2:27" x14ac:dyDescent="0.25">
      <c r="C124" s="86"/>
    </row>
    <row r="125" spans="2:27" x14ac:dyDescent="0.25">
      <c r="B125" s="95" t="s">
        <v>471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2:27" x14ac:dyDescent="0.25">
      <c r="C126" s="86"/>
    </row>
    <row r="127" spans="2:27" x14ac:dyDescent="0.25">
      <c r="B127" s="67"/>
      <c r="C127" s="82" t="s">
        <v>846</v>
      </c>
      <c r="D127" s="295"/>
      <c r="E127" s="295"/>
    </row>
    <row r="128" spans="2:27" x14ac:dyDescent="0.25">
      <c r="C128" s="86"/>
    </row>
    <row r="129" spans="3:27" x14ac:dyDescent="0.25">
      <c r="C129" s="7" t="str">
        <f ca="1">INDEX('Version control'!$H$34:$H$58,MATCH($A$1,'Version control'!$F$34:$F$58,0),1)&amp;"-B: Capacity-based charge elements (to be split between capacity &amp; fixed charges)"</f>
        <v>Section 516-B: Capacity-based charge elements (to be split between capacity &amp; fixed charges)</v>
      </c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1" spans="3:27" x14ac:dyDescent="0.25">
      <c r="C131" s="86"/>
      <c r="E131" s="96" t="s">
        <v>139</v>
      </c>
      <c r="I131" s="295" t="s">
        <v>431</v>
      </c>
      <c r="AA131" s="295" t="s">
        <v>847</v>
      </c>
    </row>
    <row r="132" spans="3:27" x14ac:dyDescent="0.25">
      <c r="C132" s="86"/>
      <c r="F132" s="91" t="s">
        <v>324</v>
      </c>
      <c r="G132" s="91" t="s">
        <v>308</v>
      </c>
      <c r="H132" s="91"/>
      <c r="I132" s="91"/>
      <c r="J132" s="239"/>
      <c r="K132" s="239"/>
      <c r="L132" s="239"/>
      <c r="M132" s="239"/>
      <c r="N132" s="239"/>
      <c r="O132" s="239"/>
      <c r="P132" s="239"/>
      <c r="Q132" s="239"/>
      <c r="R132" s="239"/>
      <c r="S132" s="239"/>
      <c r="T132" s="239"/>
      <c r="U132" s="239"/>
      <c r="V132" s="239"/>
      <c r="W132" s="239"/>
      <c r="X132" s="239"/>
      <c r="Y132" s="239"/>
    </row>
    <row r="133" spans="3:27" x14ac:dyDescent="0.25">
      <c r="C133" s="86"/>
      <c r="F133" s="295" t="s">
        <v>43</v>
      </c>
      <c r="G133" s="295" t="s">
        <v>308</v>
      </c>
      <c r="J133" s="280"/>
      <c r="K133" s="280"/>
      <c r="L133" s="280"/>
      <c r="M133" s="280"/>
      <c r="N133" s="280"/>
      <c r="O133" s="280"/>
      <c r="P133" s="280"/>
      <c r="Q133" s="280"/>
      <c r="R133" s="280"/>
      <c r="S133" s="280"/>
      <c r="T133" s="280"/>
      <c r="U133" s="280"/>
      <c r="V133" s="280"/>
      <c r="W133" s="280"/>
      <c r="X133" s="280"/>
      <c r="Y133" s="280"/>
    </row>
    <row r="134" spans="3:27" x14ac:dyDescent="0.25">
      <c r="C134" s="86"/>
      <c r="F134" s="295" t="s">
        <v>44</v>
      </c>
      <c r="G134" s="295" t="s">
        <v>308</v>
      </c>
      <c r="J134" s="276">
        <f t="shared" ref="J134:K134" si="0">hundred*J95*$H53*J82/$H39*(1-J107)/days_in_year/(1+$H25)*PowerFactor</f>
        <v>0</v>
      </c>
      <c r="K134" s="276">
        <f t="shared" si="0"/>
        <v>0</v>
      </c>
      <c r="L134" s="276">
        <f t="shared" ref="L134:M134" si="1">hundred*L95*$H53*L82/$H39*(1-L107)/days_in_year/(1+$H25)*PowerFactor</f>
        <v>0</v>
      </c>
      <c r="M134" s="276">
        <f t="shared" si="1"/>
        <v>0</v>
      </c>
      <c r="N134" s="276">
        <f t="shared" ref="N134:P134" si="2">hundred*N95*$H53*N82/$H39*(1-N107)/days_in_year/(1+$H25)*PowerFactor</f>
        <v>0</v>
      </c>
      <c r="O134" s="276">
        <f t="shared" si="2"/>
        <v>0</v>
      </c>
      <c r="P134" s="276">
        <f t="shared" si="2"/>
        <v>0</v>
      </c>
      <c r="Q134" s="276">
        <f t="shared" ref="Q134" si="3">hundred*Q95*$H53*Q82/$H39*(1-Q107)/days_in_year/(1+$H25)*PowerFactor</f>
        <v>0</v>
      </c>
      <c r="R134" s="280"/>
      <c r="S134" s="280"/>
      <c r="T134" s="280"/>
      <c r="U134" s="280"/>
      <c r="V134" s="280"/>
      <c r="W134" s="280"/>
      <c r="X134" s="280"/>
      <c r="Y134" s="280"/>
    </row>
    <row r="135" spans="3:27" x14ac:dyDescent="0.25">
      <c r="C135" s="86"/>
      <c r="F135" s="295" t="s">
        <v>45</v>
      </c>
      <c r="G135" s="295" t="s">
        <v>308</v>
      </c>
      <c r="J135" s="276">
        <f t="shared" ref="J135:K135" si="4">hundred*J96*$H54*J83/$H40*(1-J108)/days_in_year/(1+$H26)*PowerFactor</f>
        <v>0</v>
      </c>
      <c r="K135" s="276">
        <f t="shared" si="4"/>
        <v>0</v>
      </c>
      <c r="L135" s="276">
        <f t="shared" ref="L135:M135" si="5">hundred*L96*$H54*L83/$H40*(1-L108)/days_in_year/(1+$H26)*PowerFactor</f>
        <v>0</v>
      </c>
      <c r="M135" s="276">
        <f t="shared" si="5"/>
        <v>0</v>
      </c>
      <c r="N135" s="276">
        <f t="shared" ref="N135:P135" si="6">hundred*N96*$H54*N83/$H40*(1-N108)/days_in_year/(1+$H26)*PowerFactor</f>
        <v>0</v>
      </c>
      <c r="O135" s="276">
        <f t="shared" si="6"/>
        <v>0</v>
      </c>
      <c r="P135" s="276">
        <f t="shared" si="6"/>
        <v>0</v>
      </c>
      <c r="Q135" s="276">
        <f t="shared" ref="Q135" si="7">hundred*Q96*$H54*Q83/$H40*(1-Q108)/days_in_year/(1+$H26)*PowerFactor</f>
        <v>0</v>
      </c>
      <c r="R135" s="280"/>
      <c r="S135" s="280"/>
      <c r="T135" s="280"/>
      <c r="U135" s="280"/>
      <c r="V135" s="280"/>
      <c r="W135" s="280"/>
      <c r="X135" s="280"/>
      <c r="Y135" s="280"/>
    </row>
    <row r="136" spans="3:27" x14ac:dyDescent="0.25">
      <c r="C136" s="86"/>
      <c r="F136" s="295" t="s">
        <v>46</v>
      </c>
      <c r="G136" s="295" t="s">
        <v>308</v>
      </c>
      <c r="J136" s="276">
        <f t="shared" ref="J136:K136" si="8">hundred*J97*$H55*J84/$H41*(1-J109)/days_in_year/(1+$H27)*PowerFactor</f>
        <v>0</v>
      </c>
      <c r="K136" s="276">
        <f t="shared" si="8"/>
        <v>0</v>
      </c>
      <c r="L136" s="276">
        <f t="shared" ref="L136:M136" si="9">hundred*L97*$H55*L84/$H41*(1-L109)/days_in_year/(1+$H27)*PowerFactor</f>
        <v>0</v>
      </c>
      <c r="M136" s="276">
        <f t="shared" si="9"/>
        <v>0</v>
      </c>
      <c r="N136" s="276">
        <f t="shared" ref="N136:P136" si="10">hundred*N97*$H55*N84/$H41*(1-N109)/days_in_year/(1+$H27)*PowerFactor</f>
        <v>0</v>
      </c>
      <c r="O136" s="276">
        <f t="shared" si="10"/>
        <v>0</v>
      </c>
      <c r="P136" s="276">
        <f t="shared" si="10"/>
        <v>0.50998564512566313</v>
      </c>
      <c r="Q136" s="276">
        <f t="shared" ref="Q136" si="11">hundred*Q97*$H55*Q84/$H41*(1-Q109)/days_in_year/(1+$H27)*PowerFactor</f>
        <v>0</v>
      </c>
      <c r="R136" s="280"/>
      <c r="S136" s="280"/>
      <c r="T136" s="280"/>
      <c r="U136" s="280"/>
      <c r="V136" s="280"/>
      <c r="W136" s="280"/>
      <c r="X136" s="280"/>
      <c r="Y136" s="280"/>
    </row>
    <row r="137" spans="3:27" x14ac:dyDescent="0.25">
      <c r="C137" s="86"/>
      <c r="F137" s="295" t="s">
        <v>47</v>
      </c>
      <c r="G137" s="295" t="s">
        <v>308</v>
      </c>
      <c r="J137" s="276">
        <f t="shared" ref="J137:K137" si="12">hundred*J98*$H56*J85/$H42*(1-J110)/days_in_year/(1+$H28)*PowerFactor</f>
        <v>0</v>
      </c>
      <c r="K137" s="276">
        <f t="shared" si="12"/>
        <v>0</v>
      </c>
      <c r="L137" s="276">
        <f t="shared" ref="L137:M137" si="13">hundred*L98*$H56*L85/$H42*(1-L110)/days_in_year/(1+$H28)*PowerFactor</f>
        <v>0</v>
      </c>
      <c r="M137" s="276">
        <f t="shared" si="13"/>
        <v>0</v>
      </c>
      <c r="N137" s="276">
        <f t="shared" ref="N137:P137" si="14">hundred*N98*$H56*N85/$H42*(1-N110)/days_in_year/(1+$H28)*PowerFactor</f>
        <v>0</v>
      </c>
      <c r="O137" s="276">
        <f t="shared" si="14"/>
        <v>0</v>
      </c>
      <c r="P137" s="276">
        <f t="shared" si="14"/>
        <v>0.57853507989949204</v>
      </c>
      <c r="Q137" s="276">
        <f t="shared" ref="Q137" si="15">hundred*Q98*$H56*Q85/$H42*(1-Q110)/days_in_year/(1+$H28)*PowerFactor</f>
        <v>0</v>
      </c>
      <c r="R137" s="280"/>
      <c r="S137" s="280"/>
      <c r="T137" s="280"/>
      <c r="U137" s="280"/>
      <c r="V137" s="280"/>
      <c r="W137" s="280"/>
      <c r="X137" s="280"/>
      <c r="Y137" s="280"/>
    </row>
    <row r="138" spans="3:27" x14ac:dyDescent="0.25">
      <c r="C138" s="86"/>
      <c r="F138" s="295" t="s">
        <v>51</v>
      </c>
      <c r="G138" s="295" t="s">
        <v>308</v>
      </c>
      <c r="J138" s="276">
        <f t="shared" ref="J138:K138" si="16">hundred*J99*$H57*J86/$H43*(1-J111)/days_in_year/(1+$H29)*PowerFactor</f>
        <v>0</v>
      </c>
      <c r="K138" s="276">
        <f t="shared" si="16"/>
        <v>0</v>
      </c>
      <c r="L138" s="276">
        <f t="shared" ref="L138:M138" si="17">hundred*L99*$H57*L86/$H43*(1-L111)/days_in_year/(1+$H29)*PowerFactor</f>
        <v>0</v>
      </c>
      <c r="M138" s="276">
        <f t="shared" si="17"/>
        <v>0</v>
      </c>
      <c r="N138" s="276">
        <f t="shared" ref="N138:P138" si="18">hundred*N99*$H57*N86/$H43*(1-N111)/days_in_year/(1+$H29)*PowerFactor</f>
        <v>0</v>
      </c>
      <c r="O138" s="276">
        <f t="shared" si="18"/>
        <v>0</v>
      </c>
      <c r="P138" s="276">
        <f t="shared" si="18"/>
        <v>0</v>
      </c>
      <c r="Q138" s="276">
        <f t="shared" ref="Q138" si="19">hundred*Q99*$H57*Q86/$H43*(1-Q111)/days_in_year/(1+$H29)*PowerFactor</f>
        <v>0</v>
      </c>
      <c r="R138" s="280"/>
      <c r="S138" s="280"/>
      <c r="T138" s="280"/>
      <c r="U138" s="280"/>
      <c r="V138" s="280"/>
      <c r="W138" s="280"/>
      <c r="X138" s="280"/>
      <c r="Y138" s="280"/>
    </row>
    <row r="139" spans="3:27" x14ac:dyDescent="0.25">
      <c r="C139" s="86"/>
      <c r="F139" s="295" t="s">
        <v>48</v>
      </c>
      <c r="G139" s="295" t="s">
        <v>308</v>
      </c>
      <c r="J139" s="276">
        <f t="shared" ref="J139:K139" si="20">hundred*J100*$H58*J87/$H44*(1-J112)/days_in_year/(1+$H30)*PowerFactor</f>
        <v>0</v>
      </c>
      <c r="K139" s="276">
        <f t="shared" si="20"/>
        <v>0</v>
      </c>
      <c r="L139" s="276">
        <f t="shared" ref="L139:M139" si="21">hundred*L100*$H58*L87/$H44*(1-L112)/days_in_year/(1+$H30)*PowerFactor</f>
        <v>0</v>
      </c>
      <c r="M139" s="276">
        <f t="shared" si="21"/>
        <v>0</v>
      </c>
      <c r="N139" s="276">
        <f t="shared" ref="N139:P139" si="22">hundred*N100*$H58*N87/$H44*(1-N112)/days_in_year/(1+$H30)*PowerFactor</f>
        <v>0.39708965079178232</v>
      </c>
      <c r="O139" s="276">
        <f t="shared" si="22"/>
        <v>1.8878032578625719</v>
      </c>
      <c r="P139" s="276">
        <f t="shared" si="22"/>
        <v>1.2731233615976907</v>
      </c>
      <c r="Q139" s="276">
        <f t="shared" ref="Q139" si="23">hundred*Q100*$H58*Q87/$H44*(1-Q112)/days_in_year/(1+$H30)*PowerFactor</f>
        <v>0</v>
      </c>
      <c r="R139" s="280"/>
      <c r="S139" s="280"/>
      <c r="T139" s="280"/>
      <c r="U139" s="280"/>
      <c r="V139" s="280"/>
      <c r="W139" s="280"/>
      <c r="X139" s="280"/>
      <c r="Y139" s="280"/>
    </row>
    <row r="140" spans="3:27" x14ac:dyDescent="0.25">
      <c r="C140" s="86"/>
      <c r="F140" s="295" t="s">
        <v>49</v>
      </c>
      <c r="G140" s="295" t="s">
        <v>308</v>
      </c>
      <c r="J140" s="276">
        <f t="shared" ref="J140:K140" si="24">hundred*J101*$H59*J88/$H45*(1-J113)/days_in_year/(1+$H31)*PowerFactor</f>
        <v>0</v>
      </c>
      <c r="K140" s="276">
        <f t="shared" si="24"/>
        <v>0</v>
      </c>
      <c r="L140" s="276">
        <f t="shared" ref="L140:M140" si="25">hundred*L101*$H59*L88/$H45*(1-L113)/days_in_year/(1+$H31)*PowerFactor</f>
        <v>0</v>
      </c>
      <c r="M140" s="276">
        <f t="shared" si="25"/>
        <v>0</v>
      </c>
      <c r="N140" s="276">
        <f t="shared" ref="N140:P140" si="26">hundred*N101*$H59*N88/$H45*(1-N113)/days_in_year/(1+$H31)*PowerFactor</f>
        <v>0.45590492725063009</v>
      </c>
      <c r="O140" s="276">
        <f t="shared" si="26"/>
        <v>0.43348337345141869</v>
      </c>
      <c r="P140" s="276">
        <f t="shared" si="26"/>
        <v>0</v>
      </c>
      <c r="Q140" s="276">
        <f t="shared" ref="Q140" si="27">hundred*Q101*$H59*Q88/$H45*(1-Q113)/days_in_year/(1+$H31)*PowerFactor</f>
        <v>0</v>
      </c>
      <c r="R140" s="280"/>
      <c r="S140" s="280"/>
      <c r="T140" s="280"/>
      <c r="U140" s="280"/>
      <c r="V140" s="280"/>
      <c r="W140" s="280"/>
      <c r="X140" s="280"/>
      <c r="Y140" s="280"/>
    </row>
    <row r="141" spans="3:27" x14ac:dyDescent="0.25">
      <c r="C141" s="86"/>
      <c r="F141" s="295" t="s">
        <v>50</v>
      </c>
      <c r="G141" s="295" t="s">
        <v>308</v>
      </c>
      <c r="J141" s="276">
        <f t="shared" ref="J141:K141" si="28">hundred*J102*$H60*J89/$H46*(1-J114)/days_in_year/(1+$H32)*PowerFactor</f>
        <v>7.640178367250032E-2</v>
      </c>
      <c r="K141" s="276">
        <f t="shared" si="28"/>
        <v>7.640178367250032E-2</v>
      </c>
      <c r="L141" s="276">
        <f t="shared" ref="L141:M141" si="29">hundred*L102*$H60*L89/$H46*(1-L114)/days_in_year/(1+$H32)*PowerFactor</f>
        <v>7.640178367250032E-2</v>
      </c>
      <c r="M141" s="276">
        <f t="shared" si="29"/>
        <v>7.640178367250032E-2</v>
      </c>
      <c r="N141" s="276">
        <f t="shared" ref="N141:P141" si="30">hundred*N102*$H60*N89/$H46*(1-N114)/days_in_year/(1+$H32)*PowerFactor</f>
        <v>7.640178367250032E-2</v>
      </c>
      <c r="O141" s="276">
        <f t="shared" si="30"/>
        <v>0</v>
      </c>
      <c r="P141" s="276">
        <f t="shared" si="30"/>
        <v>0</v>
      </c>
      <c r="Q141" s="276">
        <f t="shared" ref="Q141" si="31">hundred*Q102*$H60*Q89/$H46*(1-Q114)/days_in_year/(1+$H32)*PowerFactor</f>
        <v>0</v>
      </c>
      <c r="R141" s="280"/>
      <c r="S141" s="280"/>
      <c r="T141" s="280"/>
      <c r="U141" s="280"/>
      <c r="V141" s="280"/>
      <c r="W141" s="280"/>
      <c r="X141" s="280"/>
      <c r="Y141" s="280"/>
    </row>
    <row r="142" spans="3:27" x14ac:dyDescent="0.25">
      <c r="C142" s="86"/>
      <c r="D142" s="295"/>
      <c r="F142" s="295" t="s">
        <v>124</v>
      </c>
      <c r="G142" s="295" t="s">
        <v>308</v>
      </c>
      <c r="J142" s="280"/>
      <c r="K142" s="280"/>
      <c r="L142" s="280"/>
      <c r="M142" s="280"/>
      <c r="N142" s="280"/>
      <c r="O142" s="280"/>
      <c r="P142" s="280"/>
      <c r="Q142" s="280"/>
      <c r="R142" s="280"/>
      <c r="S142" s="280"/>
      <c r="T142" s="280"/>
      <c r="U142" s="280"/>
      <c r="V142" s="280"/>
      <c r="W142" s="280"/>
      <c r="X142" s="280"/>
      <c r="Y142" s="280"/>
    </row>
    <row r="143" spans="3:27" x14ac:dyDescent="0.25">
      <c r="C143" s="86"/>
      <c r="D143" s="295"/>
      <c r="F143" s="93" t="s">
        <v>123</v>
      </c>
      <c r="G143" s="93" t="s">
        <v>308</v>
      </c>
      <c r="H143" s="93"/>
      <c r="I143" s="93"/>
      <c r="J143" s="241"/>
      <c r="K143" s="241"/>
      <c r="L143" s="241"/>
      <c r="M143" s="241"/>
      <c r="N143" s="241"/>
      <c r="O143" s="241"/>
      <c r="P143" s="241"/>
      <c r="Q143" s="241"/>
      <c r="R143" s="241"/>
      <c r="S143" s="241"/>
      <c r="T143" s="241"/>
      <c r="U143" s="241"/>
      <c r="V143" s="241"/>
      <c r="W143" s="241"/>
      <c r="X143" s="241"/>
      <c r="Y143" s="241"/>
    </row>
    <row r="144" spans="3:27" x14ac:dyDescent="0.25">
      <c r="C144" s="86"/>
      <c r="D144" s="295"/>
      <c r="J144" s="276"/>
      <c r="K144" s="276"/>
      <c r="L144" s="276"/>
      <c r="M144" s="276"/>
      <c r="N144" s="276"/>
      <c r="O144" s="276"/>
      <c r="P144" s="276"/>
      <c r="Q144" s="276"/>
      <c r="R144" s="276"/>
      <c r="S144" s="276"/>
      <c r="T144" s="276"/>
      <c r="U144" s="276"/>
      <c r="V144" s="276"/>
      <c r="W144" s="276"/>
      <c r="X144" s="276"/>
      <c r="Y144" s="276"/>
    </row>
    <row r="145" spans="3:27" x14ac:dyDescent="0.25">
      <c r="C145" s="86"/>
      <c r="E145" s="96" t="s">
        <v>116</v>
      </c>
      <c r="J145" s="276"/>
      <c r="K145" s="276"/>
      <c r="L145" s="276"/>
      <c r="M145" s="276"/>
      <c r="N145" s="276"/>
      <c r="O145" s="276"/>
      <c r="P145" s="276"/>
      <c r="Q145" s="276"/>
      <c r="R145" s="276"/>
      <c r="S145" s="276"/>
      <c r="T145" s="276"/>
      <c r="U145" s="276"/>
      <c r="V145" s="276"/>
      <c r="W145" s="276"/>
      <c r="X145" s="276"/>
      <c r="Y145" s="276"/>
    </row>
    <row r="146" spans="3:27" x14ac:dyDescent="0.25">
      <c r="C146" s="86"/>
      <c r="F146" s="91" t="s">
        <v>324</v>
      </c>
      <c r="G146" s="91" t="s">
        <v>308</v>
      </c>
      <c r="H146" s="91"/>
      <c r="I146" s="91"/>
      <c r="J146" s="268">
        <f t="shared" ref="J146:K146" si="32">hundred*J94*$H65*J80/$H37/days_in_year/(1+$H23)*PowerFactor</f>
        <v>0</v>
      </c>
      <c r="K146" s="268">
        <f t="shared" si="32"/>
        <v>0</v>
      </c>
      <c r="L146" s="268">
        <f t="shared" ref="L146:M146" si="33">hundred*L94*$H65*L80/$H37/days_in_year/(1+$H23)*PowerFactor</f>
        <v>0</v>
      </c>
      <c r="M146" s="268">
        <f t="shared" si="33"/>
        <v>0</v>
      </c>
      <c r="N146" s="268">
        <f t="shared" ref="N146:P146" si="34">hundred*N94*$H65*N80/$H37/days_in_year/(1+$H23)*PowerFactor</f>
        <v>0</v>
      </c>
      <c r="O146" s="268">
        <f t="shared" si="34"/>
        <v>0</v>
      </c>
      <c r="P146" s="268">
        <f t="shared" si="34"/>
        <v>0</v>
      </c>
      <c r="Q146" s="268">
        <f t="shared" ref="Q146" si="35">hundred*Q94*$H65*Q80/$H37/days_in_year/(1+$H23)*PowerFactor</f>
        <v>0</v>
      </c>
      <c r="R146" s="239"/>
      <c r="S146" s="239"/>
      <c r="T146" s="239"/>
      <c r="U146" s="239"/>
      <c r="V146" s="239"/>
      <c r="W146" s="239"/>
      <c r="X146" s="239"/>
      <c r="Y146" s="239"/>
    </row>
    <row r="147" spans="3:27" x14ac:dyDescent="0.25">
      <c r="C147" s="86"/>
      <c r="F147" s="295" t="s">
        <v>43</v>
      </c>
      <c r="G147" s="295" t="s">
        <v>308</v>
      </c>
      <c r="J147" s="276">
        <f t="shared" ref="J147:K147" si="36">hundred*J94*$H66*J81/$H38/days_in_year/(1+$H24)*PowerFactor</f>
        <v>0</v>
      </c>
      <c r="K147" s="276">
        <f t="shared" si="36"/>
        <v>0</v>
      </c>
      <c r="L147" s="276">
        <f t="shared" ref="L147:M147" si="37">hundred*L94*$H66*L81/$H38/days_in_year/(1+$H24)*PowerFactor</f>
        <v>0</v>
      </c>
      <c r="M147" s="276">
        <f t="shared" si="37"/>
        <v>0</v>
      </c>
      <c r="N147" s="276">
        <f t="shared" ref="N147:P147" si="38">hundred*N94*$H66*N81/$H38/days_in_year/(1+$H24)*PowerFactor</f>
        <v>0</v>
      </c>
      <c r="O147" s="276">
        <f t="shared" si="38"/>
        <v>0</v>
      </c>
      <c r="P147" s="276">
        <f t="shared" si="38"/>
        <v>0</v>
      </c>
      <c r="Q147" s="276">
        <f t="shared" ref="Q147" si="39">hundred*Q94*$H66*Q81/$H38/days_in_year/(1+$H24)*PowerFactor</f>
        <v>0</v>
      </c>
      <c r="R147" s="280"/>
      <c r="S147" s="280"/>
      <c r="T147" s="280"/>
      <c r="U147" s="280"/>
      <c r="V147" s="280"/>
      <c r="W147" s="280"/>
      <c r="X147" s="280"/>
      <c r="Y147" s="280"/>
    </row>
    <row r="148" spans="3:27" x14ac:dyDescent="0.25">
      <c r="C148" s="86"/>
      <c r="F148" s="295" t="s">
        <v>44</v>
      </c>
      <c r="G148" s="295" t="s">
        <v>308</v>
      </c>
      <c r="J148" s="276">
        <f t="shared" ref="J148:K148" si="40">hundred*J95*$H67*J82/$H39/days_in_year/(1+$H25)*PowerFactor</f>
        <v>0</v>
      </c>
      <c r="K148" s="276">
        <f t="shared" si="40"/>
        <v>0</v>
      </c>
      <c r="L148" s="276">
        <f t="shared" ref="L148:M148" si="41">hundred*L95*$H67*L82/$H39/days_in_year/(1+$H25)*PowerFactor</f>
        <v>0</v>
      </c>
      <c r="M148" s="276">
        <f t="shared" si="41"/>
        <v>0</v>
      </c>
      <c r="N148" s="276">
        <f t="shared" ref="N148:P148" si="42">hundred*N95*$H67*N82/$H39/days_in_year/(1+$H25)*PowerFactor</f>
        <v>0</v>
      </c>
      <c r="O148" s="276">
        <f t="shared" si="42"/>
        <v>0</v>
      </c>
      <c r="P148" s="276">
        <f t="shared" si="42"/>
        <v>0</v>
      </c>
      <c r="Q148" s="276">
        <f t="shared" ref="Q148" si="43">hundred*Q95*$H67*Q82/$H39/days_in_year/(1+$H25)*PowerFactor</f>
        <v>0</v>
      </c>
      <c r="R148" s="280"/>
      <c r="S148" s="280"/>
      <c r="T148" s="280"/>
      <c r="U148" s="280"/>
      <c r="V148" s="280"/>
      <c r="W148" s="280"/>
      <c r="X148" s="280"/>
      <c r="Y148" s="280"/>
    </row>
    <row r="149" spans="3:27" x14ac:dyDescent="0.25">
      <c r="C149" s="86"/>
      <c r="F149" s="295" t="s">
        <v>45</v>
      </c>
      <c r="G149" s="295" t="s">
        <v>308</v>
      </c>
      <c r="J149" s="276">
        <f t="shared" ref="J149:K149" si="44">hundred*J96*$H68*J83/$H40/days_in_year/(1+$H26)*PowerFactor</f>
        <v>0</v>
      </c>
      <c r="K149" s="276">
        <f t="shared" si="44"/>
        <v>0</v>
      </c>
      <c r="L149" s="276">
        <f t="shared" ref="L149:M149" si="45">hundred*L96*$H68*L83/$H40/days_in_year/(1+$H26)*PowerFactor</f>
        <v>0</v>
      </c>
      <c r="M149" s="276">
        <f t="shared" si="45"/>
        <v>0</v>
      </c>
      <c r="N149" s="276">
        <f t="shared" ref="N149:P149" si="46">hundred*N96*$H68*N83/$H40/days_in_year/(1+$H26)*PowerFactor</f>
        <v>0</v>
      </c>
      <c r="O149" s="276">
        <f t="shared" si="46"/>
        <v>0</v>
      </c>
      <c r="P149" s="276">
        <f t="shared" si="46"/>
        <v>0</v>
      </c>
      <c r="Q149" s="276">
        <f t="shared" ref="Q149" si="47">hundred*Q96*$H68*Q83/$H40/days_in_year/(1+$H26)*PowerFactor</f>
        <v>0</v>
      </c>
      <c r="R149" s="280"/>
      <c r="S149" s="280"/>
      <c r="T149" s="280"/>
      <c r="U149" s="280"/>
      <c r="V149" s="280"/>
      <c r="W149" s="280"/>
      <c r="X149" s="280"/>
      <c r="Y149" s="280"/>
    </row>
    <row r="150" spans="3:27" x14ac:dyDescent="0.25">
      <c r="C150" s="86"/>
      <c r="F150" s="295" t="s">
        <v>46</v>
      </c>
      <c r="G150" s="295" t="s">
        <v>308</v>
      </c>
      <c r="J150" s="276">
        <f t="shared" ref="J150:K150" si="48">hundred*J97*$H69*J84/$H41/days_in_year/(1+$H27)*PowerFactor</f>
        <v>0</v>
      </c>
      <c r="K150" s="276">
        <f t="shared" si="48"/>
        <v>0</v>
      </c>
      <c r="L150" s="276">
        <f t="shared" ref="L150:M150" si="49">hundred*L97*$H69*L84/$H41/days_in_year/(1+$H27)*PowerFactor</f>
        <v>0</v>
      </c>
      <c r="M150" s="276">
        <f t="shared" si="49"/>
        <v>0</v>
      </c>
      <c r="N150" s="276">
        <f t="shared" ref="N150:P150" si="50">hundred*N97*$H69*N84/$H41/days_in_year/(1+$H27)*PowerFactor</f>
        <v>0</v>
      </c>
      <c r="O150" s="276">
        <f t="shared" si="50"/>
        <v>0</v>
      </c>
      <c r="P150" s="276">
        <f t="shared" si="50"/>
        <v>0.38899959063332851</v>
      </c>
      <c r="Q150" s="276">
        <f t="shared" ref="Q150" si="51">hundred*Q97*$H69*Q84/$H41/days_in_year/(1+$H27)*PowerFactor</f>
        <v>0</v>
      </c>
      <c r="R150" s="280"/>
      <c r="S150" s="280"/>
      <c r="T150" s="280"/>
      <c r="U150" s="280"/>
      <c r="V150" s="280"/>
      <c r="W150" s="280"/>
      <c r="X150" s="280"/>
      <c r="Y150" s="280"/>
    </row>
    <row r="151" spans="3:27" x14ac:dyDescent="0.25">
      <c r="C151" s="86"/>
      <c r="F151" s="295" t="s">
        <v>47</v>
      </c>
      <c r="G151" s="295" t="s">
        <v>308</v>
      </c>
      <c r="J151" s="276">
        <f t="shared" ref="J151:K151" si="52">hundred*J98*$H70*J85/$H42/days_in_year/(1+$H28)*PowerFactor</f>
        <v>0</v>
      </c>
      <c r="K151" s="276">
        <f t="shared" si="52"/>
        <v>0</v>
      </c>
      <c r="L151" s="276">
        <f t="shared" ref="L151:M151" si="53">hundred*L98*$H70*L85/$H42/days_in_year/(1+$H28)*PowerFactor</f>
        <v>0</v>
      </c>
      <c r="M151" s="276">
        <f t="shared" si="53"/>
        <v>0</v>
      </c>
      <c r="N151" s="276">
        <f t="shared" ref="N151:P151" si="54">hundred*N98*$H70*N85/$H42/days_in_year/(1+$H28)*PowerFactor</f>
        <v>0</v>
      </c>
      <c r="O151" s="276">
        <f t="shared" si="54"/>
        <v>0</v>
      </c>
      <c r="P151" s="276">
        <f t="shared" si="54"/>
        <v>0.49839583184405867</v>
      </c>
      <c r="Q151" s="276">
        <f t="shared" ref="Q151" si="55">hundred*Q98*$H70*Q85/$H42/days_in_year/(1+$H28)*PowerFactor</f>
        <v>0</v>
      </c>
      <c r="R151" s="280"/>
      <c r="S151" s="280"/>
      <c r="T151" s="280"/>
      <c r="U151" s="280"/>
      <c r="V151" s="280"/>
      <c r="W151" s="280"/>
      <c r="X151" s="280"/>
      <c r="Y151" s="280"/>
    </row>
    <row r="152" spans="3:27" x14ac:dyDescent="0.25">
      <c r="C152" s="86"/>
      <c r="F152" s="295" t="s">
        <v>51</v>
      </c>
      <c r="G152" s="295" t="s">
        <v>308</v>
      </c>
      <c r="J152" s="276">
        <f t="shared" ref="J152:K152" si="56">hundred*J99*$H71*J86/$H43/days_in_year/(1+$H29)*PowerFactor</f>
        <v>0</v>
      </c>
      <c r="K152" s="276">
        <f t="shared" si="56"/>
        <v>0</v>
      </c>
      <c r="L152" s="276">
        <f t="shared" ref="L152:M152" si="57">hundred*L99*$H71*L86/$H43/days_in_year/(1+$H29)*PowerFactor</f>
        <v>0</v>
      </c>
      <c r="M152" s="276">
        <f t="shared" si="57"/>
        <v>0</v>
      </c>
      <c r="N152" s="276">
        <f t="shared" ref="N152:P152" si="58">hundred*N99*$H71*N86/$H43/days_in_year/(1+$H29)*PowerFactor</f>
        <v>0</v>
      </c>
      <c r="O152" s="276">
        <f t="shared" si="58"/>
        <v>0</v>
      </c>
      <c r="P152" s="276">
        <f t="shared" si="58"/>
        <v>0</v>
      </c>
      <c r="Q152" s="276">
        <f t="shared" ref="Q152" si="59">hundred*Q99*$H71*Q86/$H43/days_in_year/(1+$H29)*PowerFactor</f>
        <v>0</v>
      </c>
      <c r="R152" s="280"/>
      <c r="S152" s="280"/>
      <c r="T152" s="280"/>
      <c r="U152" s="280"/>
      <c r="V152" s="280"/>
      <c r="W152" s="280"/>
      <c r="X152" s="280"/>
      <c r="Y152" s="280"/>
    </row>
    <row r="153" spans="3:27" x14ac:dyDescent="0.25">
      <c r="C153" s="86"/>
      <c r="F153" s="295" t="s">
        <v>48</v>
      </c>
      <c r="G153" s="295" t="s">
        <v>308</v>
      </c>
      <c r="J153" s="276">
        <f t="shared" ref="J153:K153" si="60">hundred*J100*$H72*J87/$H44/days_in_year/(1+$H30)*PowerFactor</f>
        <v>0</v>
      </c>
      <c r="K153" s="276">
        <f t="shared" si="60"/>
        <v>0</v>
      </c>
      <c r="L153" s="276">
        <f t="shared" ref="L153:M153" si="61">hundred*L100*$H72*L87/$H44/days_in_year/(1+$H30)*PowerFactor</f>
        <v>0</v>
      </c>
      <c r="M153" s="276">
        <f t="shared" si="61"/>
        <v>0</v>
      </c>
      <c r="N153" s="276">
        <f t="shared" ref="N153:P153" si="62">hundred*N100*$H72*N87/$H44/days_in_year/(1+$H30)*PowerFactor</f>
        <v>0.36713230228035904</v>
      </c>
      <c r="O153" s="276">
        <f t="shared" si="62"/>
        <v>1.7453830764148219</v>
      </c>
      <c r="P153" s="276">
        <f t="shared" si="62"/>
        <v>1.7152902647524968</v>
      </c>
      <c r="Q153" s="276">
        <f t="shared" ref="Q153" si="63">hundred*Q100*$H72*Q87/$H44/days_in_year/(1+$H30)*PowerFactor</f>
        <v>0</v>
      </c>
      <c r="R153" s="280"/>
      <c r="S153" s="280"/>
      <c r="T153" s="280"/>
      <c r="U153" s="280"/>
      <c r="V153" s="280"/>
      <c r="W153" s="280"/>
      <c r="X153" s="280"/>
      <c r="Y153" s="280"/>
    </row>
    <row r="154" spans="3:27" x14ac:dyDescent="0.25">
      <c r="C154" s="86"/>
      <c r="F154" s="295" t="s">
        <v>49</v>
      </c>
      <c r="G154" s="295" t="s">
        <v>308</v>
      </c>
      <c r="J154" s="276">
        <f t="shared" ref="J154:K154" si="64">hundred*J101*$H73*J88/$H45/days_in_year/(1+$H31)*PowerFactor</f>
        <v>0</v>
      </c>
      <c r="K154" s="276">
        <f t="shared" si="64"/>
        <v>0</v>
      </c>
      <c r="L154" s="276">
        <f t="shared" ref="L154:M154" si="65">hundred*L101*$H73*L88/$H45/days_in_year/(1+$H31)*PowerFactor</f>
        <v>0</v>
      </c>
      <c r="M154" s="276">
        <f t="shared" si="65"/>
        <v>0</v>
      </c>
      <c r="N154" s="276">
        <f t="shared" ref="N154:P154" si="66">hundred*N101*$H73*N88/$H45/days_in_year/(1+$H31)*PowerFactor</f>
        <v>0.4613537153519332</v>
      </c>
      <c r="O154" s="276">
        <f t="shared" si="66"/>
        <v>0.438664188367412</v>
      </c>
      <c r="P154" s="276">
        <f t="shared" si="66"/>
        <v>0</v>
      </c>
      <c r="Q154" s="276">
        <f t="shared" ref="Q154" si="67">hundred*Q101*$H73*Q88/$H45/days_in_year/(1+$H31)*PowerFactor</f>
        <v>0</v>
      </c>
      <c r="R154" s="280"/>
      <c r="S154" s="280"/>
      <c r="T154" s="280"/>
      <c r="U154" s="280"/>
      <c r="V154" s="280"/>
      <c r="W154" s="280"/>
      <c r="X154" s="280"/>
      <c r="Y154" s="280"/>
    </row>
    <row r="155" spans="3:27" x14ac:dyDescent="0.25">
      <c r="C155" s="86"/>
      <c r="F155" s="295" t="s">
        <v>50</v>
      </c>
      <c r="G155" s="295" t="s">
        <v>308</v>
      </c>
      <c r="J155" s="276">
        <f t="shared" ref="J155:K155" si="68">hundred*J102*$H74*J89/$H46/days_in_year/(1+$H32)*PowerFactor</f>
        <v>0.74020135576371915</v>
      </c>
      <c r="K155" s="276">
        <f t="shared" si="68"/>
        <v>0.74020135576371915</v>
      </c>
      <c r="L155" s="276">
        <f t="shared" ref="L155:M155" si="69">hundred*L102*$H74*L89/$H46/days_in_year/(1+$H32)*PowerFactor</f>
        <v>0.74020135576371915</v>
      </c>
      <c r="M155" s="276">
        <f t="shared" si="69"/>
        <v>0.74020135576371915</v>
      </c>
      <c r="N155" s="276">
        <f t="shared" ref="N155:P155" si="70">hundred*N102*$H74*N89/$H46/days_in_year/(1+$H32)*PowerFactor</f>
        <v>0.74020135576371915</v>
      </c>
      <c r="O155" s="276">
        <f t="shared" si="70"/>
        <v>0</v>
      </c>
      <c r="P155" s="276">
        <f t="shared" si="70"/>
        <v>0</v>
      </c>
      <c r="Q155" s="276">
        <f t="shared" ref="Q155" si="71">hundred*Q102*$H74*Q89/$H46/days_in_year/(1+$H32)*PowerFactor</f>
        <v>0</v>
      </c>
      <c r="R155" s="280"/>
      <c r="S155" s="280"/>
      <c r="T155" s="280"/>
      <c r="U155" s="280"/>
      <c r="V155" s="280"/>
      <c r="W155" s="280"/>
      <c r="X155" s="280"/>
      <c r="Y155" s="280"/>
    </row>
    <row r="156" spans="3:27" x14ac:dyDescent="0.25">
      <c r="C156" s="86"/>
      <c r="D156" s="295"/>
      <c r="F156" s="295" t="s">
        <v>124</v>
      </c>
      <c r="G156" s="295" t="s">
        <v>308</v>
      </c>
      <c r="J156" s="280"/>
      <c r="K156" s="280"/>
      <c r="L156" s="280"/>
      <c r="M156" s="280"/>
      <c r="N156" s="280"/>
      <c r="O156" s="280"/>
      <c r="P156" s="280"/>
      <c r="Q156" s="280"/>
      <c r="R156" s="280"/>
      <c r="S156" s="280"/>
      <c r="T156" s="280"/>
      <c r="U156" s="280"/>
      <c r="V156" s="280"/>
      <c r="W156" s="280"/>
      <c r="X156" s="280"/>
      <c r="Y156" s="280"/>
    </row>
    <row r="157" spans="3:27" x14ac:dyDescent="0.25">
      <c r="C157" s="86"/>
      <c r="D157" s="295"/>
      <c r="F157" s="93" t="s">
        <v>123</v>
      </c>
      <c r="G157" s="93" t="s">
        <v>308</v>
      </c>
      <c r="H157" s="93"/>
      <c r="I157" s="93"/>
      <c r="J157" s="241"/>
      <c r="K157" s="241"/>
      <c r="L157" s="241"/>
      <c r="M157" s="241"/>
      <c r="N157" s="241"/>
      <c r="O157" s="241"/>
      <c r="P157" s="241"/>
      <c r="Q157" s="241"/>
      <c r="R157" s="241"/>
      <c r="S157" s="241"/>
      <c r="T157" s="241"/>
      <c r="U157" s="241"/>
      <c r="V157" s="241"/>
      <c r="W157" s="241"/>
      <c r="X157" s="241"/>
      <c r="Y157" s="241"/>
    </row>
    <row r="158" spans="3:27" x14ac:dyDescent="0.25">
      <c r="C158" s="86"/>
      <c r="J158" s="276"/>
      <c r="K158" s="276"/>
      <c r="L158" s="276"/>
      <c r="M158" s="276"/>
      <c r="N158" s="276"/>
      <c r="O158" s="276"/>
      <c r="P158" s="276"/>
      <c r="Q158" s="276"/>
      <c r="R158" s="276"/>
      <c r="S158" s="276"/>
      <c r="T158" s="276"/>
      <c r="U158" s="276"/>
      <c r="V158" s="276"/>
      <c r="W158" s="276"/>
      <c r="X158" s="276"/>
      <c r="Y158" s="276"/>
    </row>
    <row r="159" spans="3:27" x14ac:dyDescent="0.25">
      <c r="C159" s="7" t="str">
        <f ca="1">INDEX('Version control'!$H$34:$H$58,MATCH($A$1,'Version control'!$F$34:$F$58,0),1)&amp;"-C: Exceeded capacity-based charge elements"</f>
        <v>Section 516-C: Exceeded capacity-based charge elements</v>
      </c>
      <c r="D159" s="7"/>
      <c r="E159" s="7"/>
      <c r="F159" s="7"/>
      <c r="G159" s="7"/>
      <c r="H159" s="7"/>
      <c r="I159" s="7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7"/>
      <c r="AA159" s="7"/>
    </row>
    <row r="160" spans="3:27" x14ac:dyDescent="0.25">
      <c r="J160" s="253"/>
      <c r="K160" s="253"/>
      <c r="L160" s="253"/>
      <c r="M160" s="253"/>
      <c r="N160" s="253"/>
      <c r="O160" s="253"/>
      <c r="P160" s="253"/>
      <c r="Q160" s="253"/>
      <c r="R160" s="253"/>
      <c r="S160" s="253"/>
      <c r="T160" s="253"/>
      <c r="U160" s="253"/>
      <c r="V160" s="253"/>
      <c r="W160" s="253"/>
      <c r="X160" s="253"/>
      <c r="Y160" s="253"/>
    </row>
    <row r="161" spans="3:25" x14ac:dyDescent="0.25">
      <c r="C161" s="86"/>
      <c r="E161" s="96" t="s">
        <v>139</v>
      </c>
      <c r="J161" s="253"/>
      <c r="K161" s="253"/>
      <c r="L161" s="253"/>
      <c r="M161" s="253"/>
      <c r="N161" s="253"/>
      <c r="O161" s="253"/>
      <c r="P161" s="253"/>
      <c r="Q161" s="253"/>
      <c r="R161" s="253"/>
      <c r="S161" s="253"/>
      <c r="T161" s="253"/>
      <c r="U161" s="253"/>
      <c r="V161" s="253"/>
      <c r="W161" s="253"/>
      <c r="X161" s="253"/>
      <c r="Y161" s="253"/>
    </row>
    <row r="162" spans="3:25" x14ac:dyDescent="0.25">
      <c r="C162" s="86"/>
      <c r="F162" s="91" t="s">
        <v>324</v>
      </c>
      <c r="G162" s="91" t="s">
        <v>308</v>
      </c>
      <c r="H162" s="91"/>
      <c r="I162" s="91"/>
      <c r="J162" s="239"/>
      <c r="K162" s="239"/>
      <c r="L162" s="239"/>
      <c r="M162" s="239"/>
      <c r="N162" s="239"/>
      <c r="O162" s="239"/>
      <c r="P162" s="239"/>
      <c r="Q162" s="239"/>
      <c r="R162" s="239"/>
      <c r="S162" s="239"/>
      <c r="T162" s="239"/>
      <c r="U162" s="239"/>
      <c r="V162" s="239"/>
      <c r="W162" s="239"/>
      <c r="X162" s="239"/>
      <c r="Y162" s="239"/>
    </row>
    <row r="163" spans="3:25" x14ac:dyDescent="0.25">
      <c r="C163" s="86"/>
      <c r="F163" s="295" t="s">
        <v>43</v>
      </c>
      <c r="G163" s="295" t="s">
        <v>308</v>
      </c>
      <c r="J163" s="280"/>
      <c r="K163" s="280"/>
      <c r="L163" s="280"/>
      <c r="M163" s="280"/>
      <c r="N163" s="280"/>
      <c r="O163" s="280"/>
      <c r="P163" s="280"/>
      <c r="Q163" s="280"/>
      <c r="R163" s="280"/>
      <c r="S163" s="280"/>
      <c r="T163" s="280"/>
      <c r="U163" s="280"/>
      <c r="V163" s="280"/>
      <c r="W163" s="280"/>
      <c r="X163" s="280"/>
      <c r="Y163" s="280"/>
    </row>
    <row r="164" spans="3:25" x14ac:dyDescent="0.25">
      <c r="C164" s="86"/>
      <c r="F164" s="295" t="s">
        <v>44</v>
      </c>
      <c r="G164" s="295" t="s">
        <v>308</v>
      </c>
      <c r="J164" s="276">
        <f t="shared" ref="J164:K164" si="72">hundred*J95*$H53*J82/$H39/days_in_year/(1+$H25)*PowerFactor</f>
        <v>0</v>
      </c>
      <c r="K164" s="276">
        <f t="shared" si="72"/>
        <v>0</v>
      </c>
      <c r="L164" s="276">
        <f t="shared" ref="L164:M164" si="73">hundred*L95*$H53*L82/$H39/days_in_year/(1+$H25)*PowerFactor</f>
        <v>0</v>
      </c>
      <c r="M164" s="276">
        <f t="shared" si="73"/>
        <v>0</v>
      </c>
      <c r="N164" s="276">
        <f t="shared" ref="N164:P164" si="74">hundred*N95*$H53*N82/$H39/days_in_year/(1+$H25)*PowerFactor</f>
        <v>0</v>
      </c>
      <c r="O164" s="276">
        <f t="shared" si="74"/>
        <v>0</v>
      </c>
      <c r="P164" s="276">
        <f t="shared" si="74"/>
        <v>0</v>
      </c>
      <c r="Q164" s="276">
        <f t="shared" ref="Q164" si="75">hundred*Q95*$H53*Q82/$H39/days_in_year/(1+$H25)*PowerFactor</f>
        <v>0</v>
      </c>
      <c r="R164" s="280"/>
      <c r="S164" s="280"/>
      <c r="T164" s="280"/>
      <c r="U164" s="280"/>
      <c r="V164" s="280"/>
      <c r="W164" s="280"/>
      <c r="X164" s="280"/>
      <c r="Y164" s="280"/>
    </row>
    <row r="165" spans="3:25" x14ac:dyDescent="0.25">
      <c r="C165" s="86"/>
      <c r="F165" s="295" t="s">
        <v>45</v>
      </c>
      <c r="G165" s="295" t="s">
        <v>308</v>
      </c>
      <c r="J165" s="276">
        <f t="shared" ref="J165:K165" si="76">hundred*J96*$H54*J83/$H40/days_in_year/(1+$H26)*PowerFactor</f>
        <v>0</v>
      </c>
      <c r="K165" s="276">
        <f t="shared" si="76"/>
        <v>0</v>
      </c>
      <c r="L165" s="276">
        <f t="shared" ref="L165:M165" si="77">hundred*L96*$H54*L83/$H40/days_in_year/(1+$H26)*PowerFactor</f>
        <v>0</v>
      </c>
      <c r="M165" s="276">
        <f t="shared" si="77"/>
        <v>0</v>
      </c>
      <c r="N165" s="276">
        <f t="shared" ref="N165:P165" si="78">hundred*N96*$H54*N83/$H40/days_in_year/(1+$H26)*PowerFactor</f>
        <v>0</v>
      </c>
      <c r="O165" s="276">
        <f t="shared" si="78"/>
        <v>0</v>
      </c>
      <c r="P165" s="276">
        <f t="shared" si="78"/>
        <v>0</v>
      </c>
      <c r="Q165" s="276">
        <f t="shared" ref="Q165" si="79">hundred*Q96*$H54*Q83/$H40/days_in_year/(1+$H26)*PowerFactor</f>
        <v>0</v>
      </c>
      <c r="R165" s="280"/>
      <c r="S165" s="280"/>
      <c r="T165" s="280"/>
      <c r="U165" s="280"/>
      <c r="V165" s="280"/>
      <c r="W165" s="280"/>
      <c r="X165" s="280"/>
      <c r="Y165" s="280"/>
    </row>
    <row r="166" spans="3:25" x14ac:dyDescent="0.25">
      <c r="C166" s="86"/>
      <c r="F166" s="295" t="s">
        <v>46</v>
      </c>
      <c r="G166" s="295" t="s">
        <v>308</v>
      </c>
      <c r="J166" s="276">
        <f t="shared" ref="J166:K166" si="80">hundred*J97*$H55*J84/$H41/days_in_year/(1+$H27)*PowerFactor</f>
        <v>0</v>
      </c>
      <c r="K166" s="276">
        <f t="shared" si="80"/>
        <v>0</v>
      </c>
      <c r="L166" s="276">
        <f t="shared" ref="L166:M166" si="81">hundred*L97*$H55*L84/$H41/days_in_year/(1+$H27)*PowerFactor</f>
        <v>0</v>
      </c>
      <c r="M166" s="276">
        <f t="shared" si="81"/>
        <v>0</v>
      </c>
      <c r="N166" s="276">
        <f t="shared" ref="N166:P166" si="82">hundred*N97*$H55*N84/$H41/days_in_year/(1+$H27)*PowerFactor</f>
        <v>0</v>
      </c>
      <c r="O166" s="276">
        <f t="shared" si="82"/>
        <v>0</v>
      </c>
      <c r="P166" s="276">
        <f t="shared" si="82"/>
        <v>0.52635555472228934</v>
      </c>
      <c r="Q166" s="276">
        <f t="shared" ref="Q166" si="83">hundred*Q97*$H55*Q84/$H41/days_in_year/(1+$H27)*PowerFactor</f>
        <v>0</v>
      </c>
      <c r="R166" s="280"/>
      <c r="S166" s="280"/>
      <c r="T166" s="280"/>
      <c r="U166" s="280"/>
      <c r="V166" s="280"/>
      <c r="W166" s="280"/>
      <c r="X166" s="280"/>
      <c r="Y166" s="280"/>
    </row>
    <row r="167" spans="3:25" x14ac:dyDescent="0.25">
      <c r="C167" s="86"/>
      <c r="F167" s="295" t="s">
        <v>47</v>
      </c>
      <c r="G167" s="295" t="s">
        <v>308</v>
      </c>
      <c r="J167" s="276">
        <f t="shared" ref="J167:K167" si="84">hundred*J98*$H56*J85/$H42/days_in_year/(1+$H28)*PowerFactor</f>
        <v>0</v>
      </c>
      <c r="K167" s="276">
        <f t="shared" si="84"/>
        <v>0</v>
      </c>
      <c r="L167" s="276">
        <f t="shared" ref="L167:M167" si="85">hundred*L98*$H56*L85/$H42/days_in_year/(1+$H28)*PowerFactor</f>
        <v>0</v>
      </c>
      <c r="M167" s="276">
        <f t="shared" si="85"/>
        <v>0</v>
      </c>
      <c r="N167" s="276">
        <f t="shared" ref="N167:P167" si="86">hundred*N98*$H56*N85/$H42/days_in_year/(1+$H28)*PowerFactor</f>
        <v>0</v>
      </c>
      <c r="O167" s="276">
        <f t="shared" si="86"/>
        <v>0</v>
      </c>
      <c r="P167" s="276">
        <f t="shared" si="86"/>
        <v>0.67437966737819066</v>
      </c>
      <c r="Q167" s="276">
        <f t="shared" ref="Q167" si="87">hundred*Q98*$H56*Q85/$H42/days_in_year/(1+$H28)*PowerFactor</f>
        <v>0</v>
      </c>
      <c r="R167" s="280"/>
      <c r="S167" s="280"/>
      <c r="T167" s="280"/>
      <c r="U167" s="280"/>
      <c r="V167" s="280"/>
      <c r="W167" s="280"/>
      <c r="X167" s="280"/>
      <c r="Y167" s="280"/>
    </row>
    <row r="168" spans="3:25" x14ac:dyDescent="0.25">
      <c r="C168" s="86"/>
      <c r="F168" s="295" t="s">
        <v>51</v>
      </c>
      <c r="G168" s="295" t="s">
        <v>308</v>
      </c>
      <c r="J168" s="276">
        <f t="shared" ref="J168:K168" si="88">hundred*J99*$H57*J86/$H43/days_in_year/(1+$H29)*PowerFactor</f>
        <v>0</v>
      </c>
      <c r="K168" s="276">
        <f t="shared" si="88"/>
        <v>0</v>
      </c>
      <c r="L168" s="276">
        <f t="shared" ref="L168:M168" si="89">hundred*L99*$H57*L86/$H43/days_in_year/(1+$H29)*PowerFactor</f>
        <v>0</v>
      </c>
      <c r="M168" s="276">
        <f t="shared" si="89"/>
        <v>0</v>
      </c>
      <c r="N168" s="276">
        <f t="shared" ref="N168:P168" si="90">hundred*N99*$H57*N86/$H43/days_in_year/(1+$H29)*PowerFactor</f>
        <v>0</v>
      </c>
      <c r="O168" s="276">
        <f t="shared" si="90"/>
        <v>0</v>
      </c>
      <c r="P168" s="276">
        <f t="shared" si="90"/>
        <v>0</v>
      </c>
      <c r="Q168" s="276">
        <f t="shared" ref="Q168" si="91">hundred*Q99*$H57*Q86/$H43/days_in_year/(1+$H29)*PowerFactor</f>
        <v>0</v>
      </c>
      <c r="R168" s="280"/>
      <c r="S168" s="280"/>
      <c r="T168" s="280"/>
      <c r="U168" s="280"/>
      <c r="V168" s="280"/>
      <c r="W168" s="280"/>
      <c r="X168" s="280"/>
      <c r="Y168" s="280"/>
    </row>
    <row r="169" spans="3:25" x14ac:dyDescent="0.25">
      <c r="C169" s="86"/>
      <c r="F169" s="295" t="s">
        <v>48</v>
      </c>
      <c r="G169" s="295" t="s">
        <v>308</v>
      </c>
      <c r="J169" s="276">
        <f t="shared" ref="J169:K169" si="92">hundred*J100*$H58*J87/$H44/days_in_year/(1+$H30)*PowerFactor</f>
        <v>0</v>
      </c>
      <c r="K169" s="276">
        <f t="shared" si="92"/>
        <v>0</v>
      </c>
      <c r="L169" s="276">
        <f t="shared" ref="L169:M169" si="93">hundred*L100*$H58*L87/$H44/days_in_year/(1+$H30)*PowerFactor</f>
        <v>0</v>
      </c>
      <c r="M169" s="276">
        <f t="shared" si="93"/>
        <v>0</v>
      </c>
      <c r="N169" s="276">
        <f t="shared" ref="N169:P169" si="94">hundred*N100*$H58*N87/$H44/days_in_year/(1+$H30)*PowerFactor</f>
        <v>0.49676691512356835</v>
      </c>
      <c r="O169" s="276">
        <f t="shared" si="94"/>
        <v>2.3616787768169649</v>
      </c>
      <c r="P169" s="276">
        <f t="shared" si="94"/>
        <v>2.3209601772166724</v>
      </c>
      <c r="Q169" s="276">
        <f t="shared" ref="Q169" si="95">hundred*Q100*$H58*Q87/$H44/days_in_year/(1+$H30)*PowerFactor</f>
        <v>0</v>
      </c>
      <c r="R169" s="280"/>
      <c r="S169" s="280"/>
      <c r="T169" s="280"/>
      <c r="U169" s="280"/>
      <c r="V169" s="280"/>
      <c r="W169" s="280"/>
      <c r="X169" s="280"/>
      <c r="Y169" s="280"/>
    </row>
    <row r="170" spans="3:25" x14ac:dyDescent="0.25">
      <c r="C170" s="86"/>
      <c r="F170" s="295" t="s">
        <v>49</v>
      </c>
      <c r="G170" s="295" t="s">
        <v>308</v>
      </c>
      <c r="J170" s="276">
        <f t="shared" ref="J170:K170" si="96">hundred*J101*$H59*J88/$H45/days_in_year/(1+$H31)*PowerFactor</f>
        <v>0</v>
      </c>
      <c r="K170" s="276">
        <f t="shared" si="96"/>
        <v>0</v>
      </c>
      <c r="L170" s="276">
        <f t="shared" ref="L170:M170" si="97">hundred*L101*$H59*L88/$H45/days_in_year/(1+$H31)*PowerFactor</f>
        <v>0</v>
      </c>
      <c r="M170" s="276">
        <f t="shared" si="97"/>
        <v>0</v>
      </c>
      <c r="N170" s="276">
        <f t="shared" ref="N170:P170" si="98">hundred*N101*$H59*N88/$H45/days_in_year/(1+$H31)*PowerFactor</f>
        <v>0.62425795968549891</v>
      </c>
      <c r="O170" s="276">
        <f t="shared" si="98"/>
        <v>0.59355674855342522</v>
      </c>
      <c r="P170" s="276">
        <f t="shared" si="98"/>
        <v>0</v>
      </c>
      <c r="Q170" s="276">
        <f t="shared" ref="Q170" si="99">hundred*Q101*$H59*Q88/$H45/days_in_year/(1+$H31)*PowerFactor</f>
        <v>0</v>
      </c>
      <c r="R170" s="280"/>
      <c r="S170" s="280"/>
      <c r="T170" s="280"/>
      <c r="U170" s="280"/>
      <c r="V170" s="280"/>
      <c r="W170" s="280"/>
      <c r="X170" s="280"/>
      <c r="Y170" s="280"/>
    </row>
    <row r="171" spans="3:25" x14ac:dyDescent="0.25">
      <c r="C171" s="86"/>
      <c r="F171" s="295" t="s">
        <v>50</v>
      </c>
      <c r="G171" s="295" t="s">
        <v>308</v>
      </c>
      <c r="J171" s="276">
        <f t="shared" ref="J171:K171" si="100">hundred*J102*$H60*J89/$H46/days_in_year/(1+$H32)*PowerFactor</f>
        <v>1.0015668514840392</v>
      </c>
      <c r="K171" s="276">
        <f t="shared" si="100"/>
        <v>1.0015668514840392</v>
      </c>
      <c r="L171" s="276">
        <f t="shared" ref="L171:M171" si="101">hundred*L102*$H60*L89/$H46/days_in_year/(1+$H32)*PowerFactor</f>
        <v>1.0015668514840392</v>
      </c>
      <c r="M171" s="276">
        <f t="shared" si="101"/>
        <v>1.0015668514840392</v>
      </c>
      <c r="N171" s="276">
        <f t="shared" ref="N171:P171" si="102">hundred*N102*$H60*N89/$H46/days_in_year/(1+$H32)*PowerFactor</f>
        <v>1.0015668514840392</v>
      </c>
      <c r="O171" s="276">
        <f t="shared" si="102"/>
        <v>0</v>
      </c>
      <c r="P171" s="276">
        <f t="shared" si="102"/>
        <v>0</v>
      </c>
      <c r="Q171" s="276">
        <f t="shared" ref="Q171" si="103">hundred*Q102*$H60*Q89/$H46/days_in_year/(1+$H32)*PowerFactor</f>
        <v>0</v>
      </c>
      <c r="R171" s="280"/>
      <c r="S171" s="280"/>
      <c r="T171" s="280"/>
      <c r="U171" s="280"/>
      <c r="V171" s="280"/>
      <c r="W171" s="280"/>
      <c r="X171" s="280"/>
      <c r="Y171" s="280"/>
    </row>
    <row r="172" spans="3:25" x14ac:dyDescent="0.25">
      <c r="C172" s="86"/>
      <c r="F172" s="295" t="s">
        <v>124</v>
      </c>
      <c r="G172" s="295" t="s">
        <v>308</v>
      </c>
      <c r="J172" s="280"/>
      <c r="K172" s="280"/>
      <c r="L172" s="280"/>
      <c r="M172" s="280"/>
      <c r="N172" s="280"/>
      <c r="O172" s="280"/>
      <c r="P172" s="280"/>
      <c r="Q172" s="280"/>
      <c r="R172" s="280"/>
      <c r="S172" s="280"/>
      <c r="T172" s="280"/>
      <c r="U172" s="280"/>
      <c r="V172" s="280"/>
      <c r="W172" s="280"/>
      <c r="X172" s="280"/>
      <c r="Y172" s="280"/>
    </row>
    <row r="173" spans="3:25" x14ac:dyDescent="0.25">
      <c r="C173" s="86"/>
      <c r="F173" s="93" t="s">
        <v>123</v>
      </c>
      <c r="G173" s="93" t="s">
        <v>308</v>
      </c>
      <c r="H173" s="93"/>
      <c r="I173" s="93"/>
      <c r="J173" s="241"/>
      <c r="K173" s="241"/>
      <c r="L173" s="241"/>
      <c r="M173" s="241"/>
      <c r="N173" s="241"/>
      <c r="O173" s="241"/>
      <c r="P173" s="241"/>
      <c r="Q173" s="241"/>
      <c r="R173" s="241"/>
      <c r="S173" s="241"/>
      <c r="T173" s="241"/>
      <c r="U173" s="241"/>
      <c r="V173" s="241"/>
      <c r="W173" s="241"/>
      <c r="X173" s="241"/>
      <c r="Y173" s="241"/>
    </row>
    <row r="174" spans="3:25" x14ac:dyDescent="0.25">
      <c r="C174" s="86"/>
      <c r="D174" s="295"/>
      <c r="J174" s="253"/>
      <c r="K174" s="253"/>
      <c r="L174" s="253"/>
      <c r="M174" s="253"/>
      <c r="N174" s="253"/>
      <c r="O174" s="253"/>
      <c r="P174" s="253"/>
      <c r="Q174" s="253"/>
      <c r="R174" s="253"/>
      <c r="S174" s="253"/>
      <c r="T174" s="253"/>
      <c r="U174" s="253"/>
      <c r="V174" s="253"/>
      <c r="W174" s="253"/>
      <c r="X174" s="253"/>
      <c r="Y174" s="253"/>
    </row>
    <row r="175" spans="3:25" x14ac:dyDescent="0.25">
      <c r="C175" s="86"/>
      <c r="E175" s="96" t="s">
        <v>116</v>
      </c>
      <c r="J175" s="253"/>
      <c r="K175" s="253"/>
      <c r="L175" s="253"/>
      <c r="M175" s="253"/>
      <c r="N175" s="253"/>
      <c r="O175" s="253"/>
      <c r="P175" s="253"/>
      <c r="Q175" s="253"/>
      <c r="R175" s="253"/>
      <c r="S175" s="253"/>
      <c r="T175" s="253"/>
      <c r="U175" s="253"/>
      <c r="V175" s="253"/>
      <c r="W175" s="253"/>
      <c r="X175" s="253"/>
      <c r="Y175" s="253"/>
    </row>
    <row r="176" spans="3:25" x14ac:dyDescent="0.25">
      <c r="C176" s="86"/>
      <c r="F176" s="91" t="s">
        <v>324</v>
      </c>
      <c r="G176" s="91" t="s">
        <v>308</v>
      </c>
      <c r="H176" s="91"/>
      <c r="I176" s="91"/>
      <c r="J176" s="268">
        <f t="shared" ref="J176:K176" si="104">hundred*J94*$H65*J80/$H37/days_in_year/(1+$H23)*PowerFactor</f>
        <v>0</v>
      </c>
      <c r="K176" s="268">
        <f t="shared" si="104"/>
        <v>0</v>
      </c>
      <c r="L176" s="268">
        <f t="shared" ref="L176:M176" si="105">hundred*L94*$H65*L80/$H37/days_in_year/(1+$H23)*PowerFactor</f>
        <v>0</v>
      </c>
      <c r="M176" s="268">
        <f t="shared" si="105"/>
        <v>0</v>
      </c>
      <c r="N176" s="268">
        <f t="shared" ref="N176:P176" si="106">hundred*N94*$H65*N80/$H37/days_in_year/(1+$H23)*PowerFactor</f>
        <v>0</v>
      </c>
      <c r="O176" s="268">
        <f t="shared" si="106"/>
        <v>0</v>
      </c>
      <c r="P176" s="268">
        <f t="shared" si="106"/>
        <v>0</v>
      </c>
      <c r="Q176" s="268">
        <f t="shared" ref="Q176" si="107">hundred*Q94*$H65*Q80/$H37/days_in_year/(1+$H23)*PowerFactor</f>
        <v>0</v>
      </c>
      <c r="R176" s="239"/>
      <c r="S176" s="239"/>
      <c r="T176" s="239"/>
      <c r="U176" s="239"/>
      <c r="V176" s="239"/>
      <c r="W176" s="239"/>
      <c r="X176" s="239"/>
      <c r="Y176" s="239"/>
    </row>
    <row r="177" spans="3:27" x14ac:dyDescent="0.25">
      <c r="C177" s="86"/>
      <c r="F177" s="295" t="s">
        <v>43</v>
      </c>
      <c r="G177" s="295" t="s">
        <v>308</v>
      </c>
      <c r="J177" s="276">
        <f t="shared" ref="J177:K177" si="108">hundred*J94*$H66*J81/$H38/days_in_year/(1+$H24)*PowerFactor</f>
        <v>0</v>
      </c>
      <c r="K177" s="276">
        <f t="shared" si="108"/>
        <v>0</v>
      </c>
      <c r="L177" s="276">
        <f t="shared" ref="L177:M177" si="109">hundred*L94*$H66*L81/$H38/days_in_year/(1+$H24)*PowerFactor</f>
        <v>0</v>
      </c>
      <c r="M177" s="276">
        <f t="shared" si="109"/>
        <v>0</v>
      </c>
      <c r="N177" s="276">
        <f t="shared" ref="N177:P177" si="110">hundred*N94*$H66*N81/$H38/days_in_year/(1+$H24)*PowerFactor</f>
        <v>0</v>
      </c>
      <c r="O177" s="276">
        <f t="shared" si="110"/>
        <v>0</v>
      </c>
      <c r="P177" s="276">
        <f t="shared" si="110"/>
        <v>0</v>
      </c>
      <c r="Q177" s="276">
        <f t="shared" ref="Q177" si="111">hundred*Q94*$H66*Q81/$H38/days_in_year/(1+$H24)*PowerFactor</f>
        <v>0</v>
      </c>
      <c r="R177" s="280"/>
      <c r="S177" s="280"/>
      <c r="T177" s="280"/>
      <c r="U177" s="280"/>
      <c r="V177" s="280"/>
      <c r="W177" s="280"/>
      <c r="X177" s="280"/>
      <c r="Y177" s="280"/>
    </row>
    <row r="178" spans="3:27" x14ac:dyDescent="0.25">
      <c r="C178" s="86"/>
      <c r="F178" s="295" t="s">
        <v>44</v>
      </c>
      <c r="G178" s="295" t="s">
        <v>308</v>
      </c>
      <c r="J178" s="276">
        <f t="shared" ref="J178:K178" si="112">hundred*J95*$H67*J82/$H39/days_in_year/(1+$H25)*PowerFactor</f>
        <v>0</v>
      </c>
      <c r="K178" s="276">
        <f t="shared" si="112"/>
        <v>0</v>
      </c>
      <c r="L178" s="276">
        <f t="shared" ref="L178:M178" si="113">hundred*L95*$H67*L82/$H39/days_in_year/(1+$H25)*PowerFactor</f>
        <v>0</v>
      </c>
      <c r="M178" s="276">
        <f t="shared" si="113"/>
        <v>0</v>
      </c>
      <c r="N178" s="276">
        <f t="shared" ref="N178:P178" si="114">hundred*N95*$H67*N82/$H39/days_in_year/(1+$H25)*PowerFactor</f>
        <v>0</v>
      </c>
      <c r="O178" s="276">
        <f t="shared" si="114"/>
        <v>0</v>
      </c>
      <c r="P178" s="276">
        <f t="shared" si="114"/>
        <v>0</v>
      </c>
      <c r="Q178" s="276">
        <f t="shared" ref="Q178" si="115">hundred*Q95*$H67*Q82/$H39/days_in_year/(1+$H25)*PowerFactor</f>
        <v>0</v>
      </c>
      <c r="R178" s="280"/>
      <c r="S178" s="280"/>
      <c r="T178" s="280"/>
      <c r="U178" s="280"/>
      <c r="V178" s="280"/>
      <c r="W178" s="280"/>
      <c r="X178" s="280"/>
      <c r="Y178" s="280"/>
    </row>
    <row r="179" spans="3:27" x14ac:dyDescent="0.25">
      <c r="C179" s="86"/>
      <c r="F179" s="295" t="s">
        <v>45</v>
      </c>
      <c r="G179" s="295" t="s">
        <v>308</v>
      </c>
      <c r="J179" s="276">
        <f t="shared" ref="J179:K179" si="116">hundred*J96*$H68*J83/$H40/days_in_year/(1+$H26)*PowerFactor</f>
        <v>0</v>
      </c>
      <c r="K179" s="276">
        <f t="shared" si="116"/>
        <v>0</v>
      </c>
      <c r="L179" s="276">
        <f t="shared" ref="L179:M179" si="117">hundred*L96*$H68*L83/$H40/days_in_year/(1+$H26)*PowerFactor</f>
        <v>0</v>
      </c>
      <c r="M179" s="276">
        <f t="shared" si="117"/>
        <v>0</v>
      </c>
      <c r="N179" s="276">
        <f t="shared" ref="N179:P179" si="118">hundred*N96*$H68*N83/$H40/days_in_year/(1+$H26)*PowerFactor</f>
        <v>0</v>
      </c>
      <c r="O179" s="276">
        <f t="shared" si="118"/>
        <v>0</v>
      </c>
      <c r="P179" s="276">
        <f t="shared" si="118"/>
        <v>0</v>
      </c>
      <c r="Q179" s="276">
        <f t="shared" ref="Q179" si="119">hundred*Q96*$H68*Q83/$H40/days_in_year/(1+$H26)*PowerFactor</f>
        <v>0</v>
      </c>
      <c r="R179" s="280"/>
      <c r="S179" s="280"/>
      <c r="T179" s="280"/>
      <c r="U179" s="280"/>
      <c r="V179" s="280"/>
      <c r="W179" s="280"/>
      <c r="X179" s="280"/>
      <c r="Y179" s="280"/>
    </row>
    <row r="180" spans="3:27" x14ac:dyDescent="0.25">
      <c r="C180" s="86"/>
      <c r="F180" s="295" t="s">
        <v>46</v>
      </c>
      <c r="G180" s="295" t="s">
        <v>308</v>
      </c>
      <c r="J180" s="276">
        <f t="shared" ref="J180:K180" si="120">hundred*J97*$H69*J84/$H41/days_in_year/(1+$H27)*PowerFactor</f>
        <v>0</v>
      </c>
      <c r="K180" s="276">
        <f t="shared" si="120"/>
        <v>0</v>
      </c>
      <c r="L180" s="276">
        <f t="shared" ref="L180:M180" si="121">hundred*L97*$H69*L84/$H41/days_in_year/(1+$H27)*PowerFactor</f>
        <v>0</v>
      </c>
      <c r="M180" s="276">
        <f t="shared" si="121"/>
        <v>0</v>
      </c>
      <c r="N180" s="276">
        <f t="shared" ref="N180:P180" si="122">hundred*N97*$H69*N84/$H41/days_in_year/(1+$H27)*PowerFactor</f>
        <v>0</v>
      </c>
      <c r="O180" s="276">
        <f t="shared" si="122"/>
        <v>0</v>
      </c>
      <c r="P180" s="276">
        <f t="shared" si="122"/>
        <v>0.38899959063332851</v>
      </c>
      <c r="Q180" s="276">
        <f t="shared" ref="Q180" si="123">hundred*Q97*$H69*Q84/$H41/days_in_year/(1+$H27)*PowerFactor</f>
        <v>0</v>
      </c>
      <c r="R180" s="280"/>
      <c r="S180" s="280"/>
      <c r="T180" s="280"/>
      <c r="U180" s="280"/>
      <c r="V180" s="280"/>
      <c r="W180" s="280"/>
      <c r="X180" s="280"/>
      <c r="Y180" s="280"/>
    </row>
    <row r="181" spans="3:27" x14ac:dyDescent="0.25">
      <c r="C181" s="86"/>
      <c r="F181" s="295" t="s">
        <v>47</v>
      </c>
      <c r="G181" s="295" t="s">
        <v>308</v>
      </c>
      <c r="J181" s="276">
        <f t="shared" ref="J181:K181" si="124">hundred*J98*$H70*J85/$H42/days_in_year/(1+$H28)*PowerFactor</f>
        <v>0</v>
      </c>
      <c r="K181" s="276">
        <f t="shared" si="124"/>
        <v>0</v>
      </c>
      <c r="L181" s="276">
        <f t="shared" ref="L181:M181" si="125">hundred*L98*$H70*L85/$H42/days_in_year/(1+$H28)*PowerFactor</f>
        <v>0</v>
      </c>
      <c r="M181" s="276">
        <f t="shared" si="125"/>
        <v>0</v>
      </c>
      <c r="N181" s="276">
        <f t="shared" ref="N181:P181" si="126">hundred*N98*$H70*N85/$H42/days_in_year/(1+$H28)*PowerFactor</f>
        <v>0</v>
      </c>
      <c r="O181" s="276">
        <f t="shared" si="126"/>
        <v>0</v>
      </c>
      <c r="P181" s="276">
        <f t="shared" si="126"/>
        <v>0.49839583184405867</v>
      </c>
      <c r="Q181" s="276">
        <f t="shared" ref="Q181" si="127">hundred*Q98*$H70*Q85/$H42/days_in_year/(1+$H28)*PowerFactor</f>
        <v>0</v>
      </c>
      <c r="R181" s="280"/>
      <c r="S181" s="280"/>
      <c r="T181" s="280"/>
      <c r="U181" s="280"/>
      <c r="V181" s="280"/>
      <c r="W181" s="280"/>
      <c r="X181" s="280"/>
      <c r="Y181" s="280"/>
    </row>
    <row r="182" spans="3:27" x14ac:dyDescent="0.25">
      <c r="C182" s="86"/>
      <c r="F182" s="295" t="s">
        <v>51</v>
      </c>
      <c r="G182" s="295" t="s">
        <v>308</v>
      </c>
      <c r="J182" s="276">
        <f t="shared" ref="J182:K182" si="128">hundred*J99*$H71*J86/$H43/days_in_year/(1+$H29)*PowerFactor</f>
        <v>0</v>
      </c>
      <c r="K182" s="276">
        <f t="shared" si="128"/>
        <v>0</v>
      </c>
      <c r="L182" s="276">
        <f t="shared" ref="L182:M182" si="129">hundred*L99*$H71*L86/$H43/days_in_year/(1+$H29)*PowerFactor</f>
        <v>0</v>
      </c>
      <c r="M182" s="276">
        <f t="shared" si="129"/>
        <v>0</v>
      </c>
      <c r="N182" s="276">
        <f t="shared" ref="N182:P182" si="130">hundred*N99*$H71*N86/$H43/days_in_year/(1+$H29)*PowerFactor</f>
        <v>0</v>
      </c>
      <c r="O182" s="276">
        <f t="shared" si="130"/>
        <v>0</v>
      </c>
      <c r="P182" s="276">
        <f t="shared" si="130"/>
        <v>0</v>
      </c>
      <c r="Q182" s="276">
        <f t="shared" ref="Q182" si="131">hundred*Q99*$H71*Q86/$H43/days_in_year/(1+$H29)*PowerFactor</f>
        <v>0</v>
      </c>
      <c r="R182" s="280"/>
      <c r="S182" s="280"/>
      <c r="T182" s="280"/>
      <c r="U182" s="280"/>
      <c r="V182" s="280"/>
      <c r="W182" s="280"/>
      <c r="X182" s="280"/>
      <c r="Y182" s="280"/>
    </row>
    <row r="183" spans="3:27" x14ac:dyDescent="0.25">
      <c r="C183" s="86"/>
      <c r="F183" s="295" t="s">
        <v>48</v>
      </c>
      <c r="G183" s="295" t="s">
        <v>308</v>
      </c>
      <c r="J183" s="276">
        <f t="shared" ref="J183:K183" si="132">hundred*J100*$H72*J87/$H44/days_in_year/(1+$H30)*PowerFactor</f>
        <v>0</v>
      </c>
      <c r="K183" s="276">
        <f t="shared" si="132"/>
        <v>0</v>
      </c>
      <c r="L183" s="276">
        <f t="shared" ref="L183:M183" si="133">hundred*L100*$H72*L87/$H44/days_in_year/(1+$H30)*PowerFactor</f>
        <v>0</v>
      </c>
      <c r="M183" s="276">
        <f t="shared" si="133"/>
        <v>0</v>
      </c>
      <c r="N183" s="276">
        <f t="shared" ref="N183:P183" si="134">hundred*N100*$H72*N87/$H44/days_in_year/(1+$H30)*PowerFactor</f>
        <v>0.36713230228035904</v>
      </c>
      <c r="O183" s="276">
        <f t="shared" si="134"/>
        <v>1.7453830764148219</v>
      </c>
      <c r="P183" s="276">
        <f t="shared" si="134"/>
        <v>1.7152902647524968</v>
      </c>
      <c r="Q183" s="276">
        <f t="shared" ref="Q183" si="135">hundred*Q100*$H72*Q87/$H44/days_in_year/(1+$H30)*PowerFactor</f>
        <v>0</v>
      </c>
      <c r="R183" s="280"/>
      <c r="S183" s="280"/>
      <c r="T183" s="280"/>
      <c r="U183" s="280"/>
      <c r="V183" s="280"/>
      <c r="W183" s="280"/>
      <c r="X183" s="280"/>
      <c r="Y183" s="280"/>
    </row>
    <row r="184" spans="3:27" x14ac:dyDescent="0.25">
      <c r="C184" s="86"/>
      <c r="F184" s="295" t="s">
        <v>49</v>
      </c>
      <c r="G184" s="295" t="s">
        <v>308</v>
      </c>
      <c r="J184" s="276">
        <f t="shared" ref="J184:K184" si="136">hundred*J101*$H73*J88/$H45/days_in_year/(1+$H31)*PowerFactor</f>
        <v>0</v>
      </c>
      <c r="K184" s="276">
        <f t="shared" si="136"/>
        <v>0</v>
      </c>
      <c r="L184" s="276">
        <f t="shared" ref="L184:M184" si="137">hundred*L101*$H73*L88/$H45/days_in_year/(1+$H31)*PowerFactor</f>
        <v>0</v>
      </c>
      <c r="M184" s="276">
        <f t="shared" si="137"/>
        <v>0</v>
      </c>
      <c r="N184" s="276">
        <f t="shared" ref="N184:P184" si="138">hundred*N101*$H73*N88/$H45/days_in_year/(1+$H31)*PowerFactor</f>
        <v>0.4613537153519332</v>
      </c>
      <c r="O184" s="276">
        <f t="shared" si="138"/>
        <v>0.438664188367412</v>
      </c>
      <c r="P184" s="276">
        <f t="shared" si="138"/>
        <v>0</v>
      </c>
      <c r="Q184" s="276">
        <f t="shared" ref="Q184" si="139">hundred*Q101*$H73*Q88/$H45/days_in_year/(1+$H31)*PowerFactor</f>
        <v>0</v>
      </c>
      <c r="R184" s="280"/>
      <c r="S184" s="280"/>
      <c r="T184" s="280"/>
      <c r="U184" s="280"/>
      <c r="V184" s="280"/>
      <c r="W184" s="280"/>
      <c r="X184" s="280"/>
      <c r="Y184" s="280"/>
    </row>
    <row r="185" spans="3:27" x14ac:dyDescent="0.25">
      <c r="C185" s="86"/>
      <c r="F185" s="295" t="s">
        <v>50</v>
      </c>
      <c r="G185" s="295" t="s">
        <v>308</v>
      </c>
      <c r="J185" s="276">
        <f t="shared" ref="J185:K185" si="140">hundred*J102*$H74*J89/$H46/days_in_year/(1+$H32)*PowerFactor</f>
        <v>0.74020135576371915</v>
      </c>
      <c r="K185" s="276">
        <f t="shared" si="140"/>
        <v>0.74020135576371915</v>
      </c>
      <c r="L185" s="276">
        <f t="shared" ref="L185:M185" si="141">hundred*L102*$H74*L89/$H46/days_in_year/(1+$H32)*PowerFactor</f>
        <v>0.74020135576371915</v>
      </c>
      <c r="M185" s="276">
        <f t="shared" si="141"/>
        <v>0.74020135576371915</v>
      </c>
      <c r="N185" s="276">
        <f t="shared" ref="N185:P185" si="142">hundred*N102*$H74*N89/$H46/days_in_year/(1+$H32)*PowerFactor</f>
        <v>0.74020135576371915</v>
      </c>
      <c r="O185" s="276">
        <f t="shared" si="142"/>
        <v>0</v>
      </c>
      <c r="P185" s="276">
        <f t="shared" si="142"/>
        <v>0</v>
      </c>
      <c r="Q185" s="276">
        <f t="shared" ref="Q185" si="143">hundred*Q102*$H74*Q89/$H46/days_in_year/(1+$H32)*PowerFactor</f>
        <v>0</v>
      </c>
      <c r="R185" s="280"/>
      <c r="S185" s="280"/>
      <c r="T185" s="280"/>
      <c r="U185" s="280"/>
      <c r="V185" s="280"/>
      <c r="W185" s="280"/>
      <c r="X185" s="280"/>
      <c r="Y185" s="280"/>
    </row>
    <row r="186" spans="3:27" x14ac:dyDescent="0.25">
      <c r="C186" s="86"/>
      <c r="F186" s="295" t="s">
        <v>124</v>
      </c>
      <c r="G186" s="295" t="s">
        <v>308</v>
      </c>
      <c r="J186" s="280"/>
      <c r="K186" s="280"/>
      <c r="L186" s="280"/>
      <c r="M186" s="280"/>
      <c r="N186" s="280"/>
      <c r="O186" s="280"/>
      <c r="P186" s="280"/>
      <c r="Q186" s="280"/>
      <c r="R186" s="280"/>
      <c r="S186" s="280"/>
      <c r="T186" s="280"/>
      <c r="U186" s="280"/>
      <c r="V186" s="280"/>
      <c r="W186" s="280"/>
      <c r="X186" s="280"/>
      <c r="Y186" s="280"/>
    </row>
    <row r="187" spans="3:27" x14ac:dyDescent="0.25">
      <c r="C187" s="86"/>
      <c r="F187" s="93" t="s">
        <v>123</v>
      </c>
      <c r="G187" s="93" t="s">
        <v>308</v>
      </c>
      <c r="H187" s="93"/>
      <c r="I187" s="93"/>
      <c r="J187" s="241"/>
      <c r="K187" s="241"/>
      <c r="L187" s="241"/>
      <c r="M187" s="241"/>
      <c r="N187" s="241"/>
      <c r="O187" s="241"/>
      <c r="P187" s="241"/>
      <c r="Q187" s="241"/>
      <c r="R187" s="241"/>
      <c r="S187" s="241"/>
      <c r="T187" s="241"/>
      <c r="U187" s="241"/>
      <c r="V187" s="241"/>
      <c r="W187" s="241"/>
      <c r="X187" s="241"/>
      <c r="Y187" s="241"/>
    </row>
    <row r="188" spans="3:27" x14ac:dyDescent="0.25">
      <c r="C188" s="86"/>
      <c r="J188" s="253"/>
      <c r="K188" s="253"/>
      <c r="L188" s="253"/>
      <c r="M188" s="253"/>
      <c r="N188" s="253"/>
      <c r="O188" s="253"/>
      <c r="P188" s="253"/>
      <c r="Q188" s="253"/>
      <c r="R188" s="253"/>
      <c r="S188" s="253"/>
      <c r="T188" s="253"/>
      <c r="U188" s="253"/>
      <c r="V188" s="253"/>
      <c r="W188" s="253"/>
      <c r="X188" s="253"/>
      <c r="Y188" s="253"/>
    </row>
    <row r="189" spans="3:27" x14ac:dyDescent="0.25">
      <c r="C189" s="7" t="str">
        <f ca="1">INDEX('Version control'!$H$34:$H$58,MATCH($A$1,'Version control'!$F$34:$F$58,0),1)&amp;"-D: Capacity charges for eligible customers, by network level"</f>
        <v>Section 516-D: Capacity charges for eligible customers, by network level</v>
      </c>
      <c r="D189" s="7"/>
      <c r="E189" s="7"/>
      <c r="F189" s="7"/>
      <c r="G189" s="7"/>
      <c r="H189" s="7"/>
      <c r="I189" s="7"/>
      <c r="J189" s="243"/>
      <c r="K189" s="243"/>
      <c r="L189" s="243"/>
      <c r="M189" s="243"/>
      <c r="N189" s="243"/>
      <c r="O189" s="243"/>
      <c r="P189" s="243"/>
      <c r="Q189" s="243"/>
      <c r="R189" s="243"/>
      <c r="S189" s="243"/>
      <c r="T189" s="243"/>
      <c r="U189" s="243"/>
      <c r="V189" s="243"/>
      <c r="W189" s="243"/>
      <c r="X189" s="243"/>
      <c r="Y189" s="243"/>
      <c r="Z189" s="7"/>
      <c r="AA189" s="7"/>
    </row>
    <row r="190" spans="3:27" x14ac:dyDescent="0.25">
      <c r="D190" s="96"/>
      <c r="E190" s="96"/>
      <c r="I190" s="295" t="s">
        <v>431</v>
      </c>
      <c r="J190" s="253"/>
      <c r="K190" s="253"/>
      <c r="L190" s="253"/>
      <c r="M190" s="253"/>
      <c r="N190" s="253"/>
      <c r="O190" s="253"/>
      <c r="P190" s="253"/>
      <c r="Q190" s="253"/>
      <c r="R190" s="253"/>
      <c r="S190" s="253"/>
      <c r="T190" s="253"/>
      <c r="U190" s="253"/>
      <c r="V190" s="253"/>
      <c r="W190" s="253"/>
      <c r="X190" s="253"/>
      <c r="Y190" s="253"/>
      <c r="AA190" s="295" t="s">
        <v>848</v>
      </c>
    </row>
    <row r="191" spans="3:27" x14ac:dyDescent="0.25">
      <c r="C191" s="86"/>
      <c r="D191" s="295"/>
      <c r="E191" s="96" t="s">
        <v>139</v>
      </c>
      <c r="J191" s="253"/>
      <c r="K191" s="253"/>
      <c r="L191" s="253"/>
      <c r="M191" s="253"/>
      <c r="N191" s="253"/>
      <c r="O191" s="253"/>
      <c r="P191" s="253"/>
      <c r="Q191" s="253"/>
      <c r="R191" s="253"/>
      <c r="S191" s="253"/>
      <c r="T191" s="253"/>
      <c r="U191" s="253"/>
      <c r="V191" s="253"/>
      <c r="W191" s="253"/>
      <c r="X191" s="253"/>
      <c r="Y191" s="253"/>
    </row>
    <row r="192" spans="3:27" x14ac:dyDescent="0.25">
      <c r="C192" s="86"/>
      <c r="D192" s="295"/>
      <c r="F192" s="91" t="s">
        <v>324</v>
      </c>
      <c r="G192" s="91" t="s">
        <v>308</v>
      </c>
      <c r="H192" s="91"/>
      <c r="I192" s="91"/>
      <c r="J192" s="239"/>
      <c r="K192" s="239"/>
      <c r="L192" s="239"/>
      <c r="M192" s="239"/>
      <c r="N192" s="239"/>
      <c r="O192" s="239"/>
      <c r="P192" s="239"/>
      <c r="Q192" s="239"/>
      <c r="R192" s="239"/>
      <c r="S192" s="239"/>
      <c r="T192" s="239"/>
      <c r="U192" s="239"/>
      <c r="V192" s="239"/>
      <c r="W192" s="239"/>
      <c r="X192" s="239"/>
      <c r="Y192" s="239"/>
    </row>
    <row r="193" spans="3:25" x14ac:dyDescent="0.25">
      <c r="C193" s="86"/>
      <c r="D193" s="295"/>
      <c r="F193" s="295" t="s">
        <v>43</v>
      </c>
      <c r="G193" s="295" t="s">
        <v>308</v>
      </c>
      <c r="J193" s="280"/>
      <c r="K193" s="280"/>
      <c r="L193" s="280"/>
      <c r="M193" s="280"/>
      <c r="N193" s="280"/>
      <c r="O193" s="280"/>
      <c r="P193" s="280"/>
      <c r="Q193" s="280"/>
      <c r="R193" s="280"/>
      <c r="S193" s="280"/>
      <c r="T193" s="280"/>
      <c r="U193" s="280"/>
      <c r="V193" s="280"/>
      <c r="W193" s="280"/>
      <c r="X193" s="280"/>
      <c r="Y193" s="280"/>
    </row>
    <row r="194" spans="3:25" x14ac:dyDescent="0.25">
      <c r="C194" s="86"/>
      <c r="D194" s="295"/>
      <c r="F194" s="295" t="s">
        <v>44</v>
      </c>
      <c r="G194" s="295" t="s">
        <v>308</v>
      </c>
      <c r="J194" s="276">
        <f t="shared" ref="J194:Q201" si="144">J$121 * J134</f>
        <v>0</v>
      </c>
      <c r="K194" s="276">
        <f t="shared" si="144"/>
        <v>0</v>
      </c>
      <c r="L194" s="276">
        <f t="shared" si="144"/>
        <v>0</v>
      </c>
      <c r="M194" s="276">
        <f t="shared" si="144"/>
        <v>0</v>
      </c>
      <c r="N194" s="276">
        <f t="shared" si="144"/>
        <v>0</v>
      </c>
      <c r="O194" s="276">
        <f t="shared" si="144"/>
        <v>0</v>
      </c>
      <c r="P194" s="276">
        <f t="shared" si="144"/>
        <v>0</v>
      </c>
      <c r="Q194" s="276">
        <f t="shared" si="144"/>
        <v>0</v>
      </c>
      <c r="R194" s="280"/>
      <c r="S194" s="280"/>
      <c r="T194" s="280"/>
      <c r="U194" s="280"/>
      <c r="V194" s="280"/>
      <c r="W194" s="280"/>
      <c r="X194" s="280"/>
      <c r="Y194" s="280"/>
    </row>
    <row r="195" spans="3:25" x14ac:dyDescent="0.25">
      <c r="C195" s="86"/>
      <c r="D195" s="295"/>
      <c r="F195" s="295" t="s">
        <v>45</v>
      </c>
      <c r="G195" s="295" t="s">
        <v>308</v>
      </c>
      <c r="J195" s="276">
        <f t="shared" si="144"/>
        <v>0</v>
      </c>
      <c r="K195" s="276">
        <f t="shared" si="144"/>
        <v>0</v>
      </c>
      <c r="L195" s="276">
        <f t="shared" si="144"/>
        <v>0</v>
      </c>
      <c r="M195" s="276">
        <f t="shared" si="144"/>
        <v>0</v>
      </c>
      <c r="N195" s="276">
        <f t="shared" si="144"/>
        <v>0</v>
      </c>
      <c r="O195" s="276">
        <f t="shared" si="144"/>
        <v>0</v>
      </c>
      <c r="P195" s="276">
        <f t="shared" si="144"/>
        <v>0</v>
      </c>
      <c r="Q195" s="276">
        <f t="shared" si="144"/>
        <v>0</v>
      </c>
      <c r="R195" s="280"/>
      <c r="S195" s="280"/>
      <c r="T195" s="280"/>
      <c r="U195" s="280"/>
      <c r="V195" s="280"/>
      <c r="W195" s="280"/>
      <c r="X195" s="280"/>
      <c r="Y195" s="280"/>
    </row>
    <row r="196" spans="3:25" x14ac:dyDescent="0.25">
      <c r="C196" s="86"/>
      <c r="D196" s="295"/>
      <c r="F196" s="295" t="s">
        <v>46</v>
      </c>
      <c r="G196" s="295" t="s">
        <v>308</v>
      </c>
      <c r="J196" s="276">
        <f t="shared" si="144"/>
        <v>0</v>
      </c>
      <c r="K196" s="276">
        <f t="shared" si="144"/>
        <v>0</v>
      </c>
      <c r="L196" s="276">
        <f t="shared" si="144"/>
        <v>0</v>
      </c>
      <c r="M196" s="276">
        <f t="shared" si="144"/>
        <v>0</v>
      </c>
      <c r="N196" s="276">
        <f t="shared" si="144"/>
        <v>0</v>
      </c>
      <c r="O196" s="276">
        <f t="shared" si="144"/>
        <v>0</v>
      </c>
      <c r="P196" s="276">
        <f t="shared" si="144"/>
        <v>0.50998564512566313</v>
      </c>
      <c r="Q196" s="276">
        <f t="shared" si="144"/>
        <v>0</v>
      </c>
      <c r="R196" s="280"/>
      <c r="S196" s="280"/>
      <c r="T196" s="280"/>
      <c r="U196" s="280"/>
      <c r="V196" s="280"/>
      <c r="W196" s="280"/>
      <c r="X196" s="280"/>
      <c r="Y196" s="280"/>
    </row>
    <row r="197" spans="3:25" x14ac:dyDescent="0.25">
      <c r="C197" s="86"/>
      <c r="D197" s="295"/>
      <c r="F197" s="295" t="s">
        <v>47</v>
      </c>
      <c r="G197" s="295" t="s">
        <v>308</v>
      </c>
      <c r="J197" s="276">
        <f t="shared" si="144"/>
        <v>0</v>
      </c>
      <c r="K197" s="276">
        <f t="shared" si="144"/>
        <v>0</v>
      </c>
      <c r="L197" s="276">
        <f t="shared" si="144"/>
        <v>0</v>
      </c>
      <c r="M197" s="276">
        <f t="shared" si="144"/>
        <v>0</v>
      </c>
      <c r="N197" s="276">
        <f t="shared" si="144"/>
        <v>0</v>
      </c>
      <c r="O197" s="276">
        <f t="shared" si="144"/>
        <v>0</v>
      </c>
      <c r="P197" s="276">
        <f t="shared" si="144"/>
        <v>0.57853507989949204</v>
      </c>
      <c r="Q197" s="276">
        <f t="shared" si="144"/>
        <v>0</v>
      </c>
      <c r="R197" s="280"/>
      <c r="S197" s="280"/>
      <c r="T197" s="280"/>
      <c r="U197" s="280"/>
      <c r="V197" s="280"/>
      <c r="W197" s="280"/>
      <c r="X197" s="280"/>
      <c r="Y197" s="280"/>
    </row>
    <row r="198" spans="3:25" x14ac:dyDescent="0.25">
      <c r="C198" s="86"/>
      <c r="D198" s="295"/>
      <c r="F198" s="295" t="s">
        <v>51</v>
      </c>
      <c r="G198" s="295" t="s">
        <v>308</v>
      </c>
      <c r="J198" s="276">
        <f t="shared" si="144"/>
        <v>0</v>
      </c>
      <c r="K198" s="276">
        <f t="shared" si="144"/>
        <v>0</v>
      </c>
      <c r="L198" s="276">
        <f t="shared" si="144"/>
        <v>0</v>
      </c>
      <c r="M198" s="276">
        <f t="shared" si="144"/>
        <v>0</v>
      </c>
      <c r="N198" s="276">
        <f t="shared" si="144"/>
        <v>0</v>
      </c>
      <c r="O198" s="276">
        <f t="shared" si="144"/>
        <v>0</v>
      </c>
      <c r="P198" s="276">
        <f t="shared" si="144"/>
        <v>0</v>
      </c>
      <c r="Q198" s="276">
        <f t="shared" si="144"/>
        <v>0</v>
      </c>
      <c r="R198" s="280"/>
      <c r="S198" s="280"/>
      <c r="T198" s="280"/>
      <c r="U198" s="280"/>
      <c r="V198" s="280"/>
      <c r="W198" s="280"/>
      <c r="X198" s="280"/>
      <c r="Y198" s="280"/>
    </row>
    <row r="199" spans="3:25" x14ac:dyDescent="0.25">
      <c r="C199" s="86"/>
      <c r="D199" s="295"/>
      <c r="F199" s="295" t="s">
        <v>48</v>
      </c>
      <c r="G199" s="295" t="s">
        <v>308</v>
      </c>
      <c r="J199" s="276">
        <f t="shared" si="144"/>
        <v>0</v>
      </c>
      <c r="K199" s="276">
        <f t="shared" si="144"/>
        <v>0</v>
      </c>
      <c r="L199" s="276">
        <f t="shared" si="144"/>
        <v>0</v>
      </c>
      <c r="M199" s="276">
        <f t="shared" si="144"/>
        <v>0</v>
      </c>
      <c r="N199" s="276">
        <f t="shared" si="144"/>
        <v>0.39708965079178232</v>
      </c>
      <c r="O199" s="276">
        <f t="shared" si="144"/>
        <v>1.8878032578625719</v>
      </c>
      <c r="P199" s="276">
        <f t="shared" si="144"/>
        <v>1.2731233615976907</v>
      </c>
      <c r="Q199" s="276">
        <f t="shared" si="144"/>
        <v>0</v>
      </c>
      <c r="R199" s="280"/>
      <c r="S199" s="280"/>
      <c r="T199" s="280"/>
      <c r="U199" s="280"/>
      <c r="V199" s="280"/>
      <c r="W199" s="280"/>
      <c r="X199" s="280"/>
      <c r="Y199" s="280"/>
    </row>
    <row r="200" spans="3:25" x14ac:dyDescent="0.25">
      <c r="C200" s="86"/>
      <c r="D200" s="295"/>
      <c r="F200" s="295" t="s">
        <v>49</v>
      </c>
      <c r="G200" s="295" t="s">
        <v>308</v>
      </c>
      <c r="J200" s="276">
        <f t="shared" si="144"/>
        <v>0</v>
      </c>
      <c r="K200" s="276">
        <f t="shared" si="144"/>
        <v>0</v>
      </c>
      <c r="L200" s="276">
        <f t="shared" si="144"/>
        <v>0</v>
      </c>
      <c r="M200" s="276">
        <f t="shared" si="144"/>
        <v>0</v>
      </c>
      <c r="N200" s="276">
        <f t="shared" si="144"/>
        <v>0.45590492725063009</v>
      </c>
      <c r="O200" s="276">
        <f t="shared" si="144"/>
        <v>0.43348337345141869</v>
      </c>
      <c r="P200" s="276">
        <f t="shared" si="144"/>
        <v>0</v>
      </c>
      <c r="Q200" s="276">
        <f t="shared" si="144"/>
        <v>0</v>
      </c>
      <c r="R200" s="280"/>
      <c r="S200" s="280"/>
      <c r="T200" s="280"/>
      <c r="U200" s="280"/>
      <c r="V200" s="280"/>
      <c r="W200" s="280"/>
      <c r="X200" s="280"/>
      <c r="Y200" s="280"/>
    </row>
    <row r="201" spans="3:25" x14ac:dyDescent="0.25">
      <c r="C201" s="86"/>
      <c r="D201" s="295"/>
      <c r="F201" s="295" t="s">
        <v>50</v>
      </c>
      <c r="G201" s="295" t="s">
        <v>308</v>
      </c>
      <c r="J201" s="276">
        <f t="shared" si="144"/>
        <v>0</v>
      </c>
      <c r="K201" s="276">
        <f t="shared" si="144"/>
        <v>0</v>
      </c>
      <c r="L201" s="276">
        <f t="shared" si="144"/>
        <v>0</v>
      </c>
      <c r="M201" s="276">
        <f t="shared" si="144"/>
        <v>0</v>
      </c>
      <c r="N201" s="276">
        <f t="shared" si="144"/>
        <v>7.640178367250032E-2</v>
      </c>
      <c r="O201" s="276">
        <f t="shared" si="144"/>
        <v>0</v>
      </c>
      <c r="P201" s="276">
        <f t="shared" si="144"/>
        <v>0</v>
      </c>
      <c r="Q201" s="276">
        <f t="shared" si="144"/>
        <v>0</v>
      </c>
      <c r="R201" s="280"/>
      <c r="S201" s="280"/>
      <c r="T201" s="280"/>
      <c r="U201" s="280"/>
      <c r="V201" s="280"/>
      <c r="W201" s="280"/>
      <c r="X201" s="280"/>
      <c r="Y201" s="280"/>
    </row>
    <row r="202" spans="3:25" x14ac:dyDescent="0.25">
      <c r="C202" s="86"/>
      <c r="D202" s="295"/>
      <c r="F202" s="295" t="s">
        <v>124</v>
      </c>
      <c r="G202" s="295" t="s">
        <v>308</v>
      </c>
      <c r="J202" s="280"/>
      <c r="K202" s="280"/>
      <c r="L202" s="280"/>
      <c r="M202" s="280"/>
      <c r="N202" s="280"/>
      <c r="O202" s="280"/>
      <c r="P202" s="280"/>
      <c r="Q202" s="280"/>
      <c r="R202" s="280"/>
      <c r="S202" s="280"/>
      <c r="T202" s="280"/>
      <c r="U202" s="280"/>
      <c r="V202" s="280"/>
      <c r="W202" s="280"/>
      <c r="X202" s="280"/>
      <c r="Y202" s="280"/>
    </row>
    <row r="203" spans="3:25" x14ac:dyDescent="0.25">
      <c r="C203" s="86"/>
      <c r="D203" s="295"/>
      <c r="F203" s="93" t="s">
        <v>123</v>
      </c>
      <c r="G203" s="93" t="s">
        <v>308</v>
      </c>
      <c r="H203" s="93"/>
      <c r="I203" s="93"/>
      <c r="J203" s="241"/>
      <c r="K203" s="241"/>
      <c r="L203" s="241"/>
      <c r="M203" s="241"/>
      <c r="N203" s="241"/>
      <c r="O203" s="241"/>
      <c r="P203" s="241"/>
      <c r="Q203" s="241"/>
      <c r="R203" s="241"/>
      <c r="S203" s="241"/>
      <c r="T203" s="241"/>
      <c r="U203" s="241"/>
      <c r="V203" s="241"/>
      <c r="W203" s="241"/>
      <c r="X203" s="241"/>
      <c r="Y203" s="241"/>
    </row>
    <row r="204" spans="3:25" x14ac:dyDescent="0.25">
      <c r="C204" s="86"/>
      <c r="D204" s="295"/>
      <c r="J204" s="253"/>
      <c r="K204" s="253"/>
      <c r="L204" s="253"/>
      <c r="M204" s="253"/>
      <c r="N204" s="253"/>
      <c r="O204" s="253"/>
      <c r="P204" s="253"/>
      <c r="Q204" s="253"/>
      <c r="R204" s="253"/>
      <c r="S204" s="253"/>
      <c r="T204" s="253"/>
      <c r="U204" s="253"/>
      <c r="V204" s="253"/>
      <c r="W204" s="253"/>
      <c r="X204" s="253"/>
      <c r="Y204" s="253"/>
    </row>
    <row r="205" spans="3:25" x14ac:dyDescent="0.25">
      <c r="C205" s="86"/>
      <c r="D205" s="295"/>
      <c r="E205" s="96" t="s">
        <v>116</v>
      </c>
      <c r="J205" s="253"/>
      <c r="K205" s="253"/>
      <c r="L205" s="253"/>
      <c r="M205" s="253"/>
      <c r="N205" s="253"/>
      <c r="O205" s="253"/>
      <c r="P205" s="253"/>
      <c r="Q205" s="253"/>
      <c r="R205" s="253"/>
      <c r="S205" s="253"/>
      <c r="T205" s="253"/>
      <c r="U205" s="253"/>
      <c r="V205" s="253"/>
      <c r="W205" s="253"/>
      <c r="X205" s="253"/>
      <c r="Y205" s="253"/>
    </row>
    <row r="206" spans="3:25" x14ac:dyDescent="0.25">
      <c r="C206" s="86"/>
      <c r="D206" s="295"/>
      <c r="F206" s="91" t="s">
        <v>324</v>
      </c>
      <c r="G206" s="91" t="s">
        <v>308</v>
      </c>
      <c r="H206" s="91"/>
      <c r="I206" s="91"/>
      <c r="J206" s="268">
        <f t="shared" ref="J206:Q215" si="145">J$121 * J146</f>
        <v>0</v>
      </c>
      <c r="K206" s="268">
        <f t="shared" si="145"/>
        <v>0</v>
      </c>
      <c r="L206" s="268">
        <f t="shared" si="145"/>
        <v>0</v>
      </c>
      <c r="M206" s="268">
        <f t="shared" si="145"/>
        <v>0</v>
      </c>
      <c r="N206" s="268">
        <f t="shared" si="145"/>
        <v>0</v>
      </c>
      <c r="O206" s="268">
        <f t="shared" si="145"/>
        <v>0</v>
      </c>
      <c r="P206" s="268">
        <f t="shared" si="145"/>
        <v>0</v>
      </c>
      <c r="Q206" s="268">
        <f t="shared" si="145"/>
        <v>0</v>
      </c>
      <c r="R206" s="239"/>
      <c r="S206" s="239"/>
      <c r="T206" s="239"/>
      <c r="U206" s="239"/>
      <c r="V206" s="239"/>
      <c r="W206" s="239"/>
      <c r="X206" s="239"/>
      <c r="Y206" s="239"/>
    </row>
    <row r="207" spans="3:25" x14ac:dyDescent="0.25">
      <c r="C207" s="86"/>
      <c r="D207" s="295"/>
      <c r="F207" s="295" t="s">
        <v>43</v>
      </c>
      <c r="G207" s="295" t="s">
        <v>308</v>
      </c>
      <c r="J207" s="276">
        <f t="shared" si="145"/>
        <v>0</v>
      </c>
      <c r="K207" s="276">
        <f t="shared" si="145"/>
        <v>0</v>
      </c>
      <c r="L207" s="276">
        <f t="shared" si="145"/>
        <v>0</v>
      </c>
      <c r="M207" s="276">
        <f t="shared" si="145"/>
        <v>0</v>
      </c>
      <c r="N207" s="276">
        <f t="shared" si="145"/>
        <v>0</v>
      </c>
      <c r="O207" s="276">
        <f t="shared" si="145"/>
        <v>0</v>
      </c>
      <c r="P207" s="276">
        <f t="shared" si="145"/>
        <v>0</v>
      </c>
      <c r="Q207" s="276">
        <f t="shared" si="145"/>
        <v>0</v>
      </c>
      <c r="R207" s="280"/>
      <c r="S207" s="280"/>
      <c r="T207" s="280"/>
      <c r="U207" s="280"/>
      <c r="V207" s="280"/>
      <c r="W207" s="280"/>
      <c r="X207" s="280"/>
      <c r="Y207" s="280"/>
    </row>
    <row r="208" spans="3:25" x14ac:dyDescent="0.25">
      <c r="C208" s="86"/>
      <c r="D208" s="295"/>
      <c r="F208" s="295" t="s">
        <v>44</v>
      </c>
      <c r="G208" s="295" t="s">
        <v>308</v>
      </c>
      <c r="J208" s="276">
        <f t="shared" si="145"/>
        <v>0</v>
      </c>
      <c r="K208" s="276">
        <f t="shared" si="145"/>
        <v>0</v>
      </c>
      <c r="L208" s="276">
        <f t="shared" si="145"/>
        <v>0</v>
      </c>
      <c r="M208" s="276">
        <f t="shared" si="145"/>
        <v>0</v>
      </c>
      <c r="N208" s="276">
        <f t="shared" si="145"/>
        <v>0</v>
      </c>
      <c r="O208" s="276">
        <f t="shared" si="145"/>
        <v>0</v>
      </c>
      <c r="P208" s="276">
        <f t="shared" si="145"/>
        <v>0</v>
      </c>
      <c r="Q208" s="276">
        <f t="shared" si="145"/>
        <v>0</v>
      </c>
      <c r="R208" s="280"/>
      <c r="S208" s="280"/>
      <c r="T208" s="280"/>
      <c r="U208" s="280"/>
      <c r="V208" s="280"/>
      <c r="W208" s="280"/>
      <c r="X208" s="280"/>
      <c r="Y208" s="280"/>
    </row>
    <row r="209" spans="3:27" x14ac:dyDescent="0.25">
      <c r="C209" s="86"/>
      <c r="D209" s="295"/>
      <c r="F209" s="295" t="s">
        <v>45</v>
      </c>
      <c r="G209" s="295" t="s">
        <v>308</v>
      </c>
      <c r="J209" s="276">
        <f t="shared" si="145"/>
        <v>0</v>
      </c>
      <c r="K209" s="276">
        <f t="shared" si="145"/>
        <v>0</v>
      </c>
      <c r="L209" s="276">
        <f t="shared" si="145"/>
        <v>0</v>
      </c>
      <c r="M209" s="276">
        <f t="shared" si="145"/>
        <v>0</v>
      </c>
      <c r="N209" s="276">
        <f t="shared" si="145"/>
        <v>0</v>
      </c>
      <c r="O209" s="276">
        <f t="shared" si="145"/>
        <v>0</v>
      </c>
      <c r="P209" s="276">
        <f t="shared" si="145"/>
        <v>0</v>
      </c>
      <c r="Q209" s="276">
        <f t="shared" si="145"/>
        <v>0</v>
      </c>
      <c r="R209" s="280"/>
      <c r="S209" s="280"/>
      <c r="T209" s="280"/>
      <c r="U209" s="280"/>
      <c r="V209" s="280"/>
      <c r="W209" s="280"/>
      <c r="X209" s="280"/>
      <c r="Y209" s="280"/>
    </row>
    <row r="210" spans="3:27" x14ac:dyDescent="0.25">
      <c r="C210" s="86"/>
      <c r="D210" s="295"/>
      <c r="F210" s="295" t="s">
        <v>46</v>
      </c>
      <c r="G210" s="295" t="s">
        <v>308</v>
      </c>
      <c r="J210" s="276">
        <f t="shared" si="145"/>
        <v>0</v>
      </c>
      <c r="K210" s="276">
        <f t="shared" si="145"/>
        <v>0</v>
      </c>
      <c r="L210" s="276">
        <f t="shared" si="145"/>
        <v>0</v>
      </c>
      <c r="M210" s="276">
        <f t="shared" si="145"/>
        <v>0</v>
      </c>
      <c r="N210" s="276">
        <f t="shared" si="145"/>
        <v>0</v>
      </c>
      <c r="O210" s="276">
        <f t="shared" si="145"/>
        <v>0</v>
      </c>
      <c r="P210" s="276">
        <f t="shared" si="145"/>
        <v>0.38899959063332851</v>
      </c>
      <c r="Q210" s="276">
        <f t="shared" si="145"/>
        <v>0</v>
      </c>
      <c r="R210" s="280"/>
      <c r="S210" s="280"/>
      <c r="T210" s="280"/>
      <c r="U210" s="280"/>
      <c r="V210" s="280"/>
      <c r="W210" s="280"/>
      <c r="X210" s="280"/>
      <c r="Y210" s="280"/>
    </row>
    <row r="211" spans="3:27" x14ac:dyDescent="0.25">
      <c r="C211" s="86"/>
      <c r="D211" s="295"/>
      <c r="F211" s="295" t="s">
        <v>47</v>
      </c>
      <c r="G211" s="295" t="s">
        <v>308</v>
      </c>
      <c r="J211" s="276">
        <f t="shared" si="145"/>
        <v>0</v>
      </c>
      <c r="K211" s="276">
        <f t="shared" si="145"/>
        <v>0</v>
      </c>
      <c r="L211" s="276">
        <f t="shared" si="145"/>
        <v>0</v>
      </c>
      <c r="M211" s="276">
        <f t="shared" si="145"/>
        <v>0</v>
      </c>
      <c r="N211" s="276">
        <f t="shared" si="145"/>
        <v>0</v>
      </c>
      <c r="O211" s="276">
        <f t="shared" si="145"/>
        <v>0</v>
      </c>
      <c r="P211" s="276">
        <f t="shared" si="145"/>
        <v>0.49839583184405867</v>
      </c>
      <c r="Q211" s="276">
        <f t="shared" si="145"/>
        <v>0</v>
      </c>
      <c r="R211" s="280"/>
      <c r="S211" s="280"/>
      <c r="T211" s="280"/>
      <c r="U211" s="280"/>
      <c r="V211" s="280"/>
      <c r="W211" s="280"/>
      <c r="X211" s="280"/>
      <c r="Y211" s="280"/>
    </row>
    <row r="212" spans="3:27" x14ac:dyDescent="0.25">
      <c r="C212" s="86"/>
      <c r="D212" s="295"/>
      <c r="F212" s="295" t="s">
        <v>51</v>
      </c>
      <c r="G212" s="295" t="s">
        <v>308</v>
      </c>
      <c r="J212" s="276">
        <f t="shared" si="145"/>
        <v>0</v>
      </c>
      <c r="K212" s="276">
        <f t="shared" si="145"/>
        <v>0</v>
      </c>
      <c r="L212" s="276">
        <f t="shared" si="145"/>
        <v>0</v>
      </c>
      <c r="M212" s="276">
        <f t="shared" si="145"/>
        <v>0</v>
      </c>
      <c r="N212" s="276">
        <f t="shared" si="145"/>
        <v>0</v>
      </c>
      <c r="O212" s="276">
        <f t="shared" si="145"/>
        <v>0</v>
      </c>
      <c r="P212" s="276">
        <f t="shared" si="145"/>
        <v>0</v>
      </c>
      <c r="Q212" s="276">
        <f t="shared" si="145"/>
        <v>0</v>
      </c>
      <c r="R212" s="280"/>
      <c r="S212" s="280"/>
      <c r="T212" s="280"/>
      <c r="U212" s="280"/>
      <c r="V212" s="280"/>
      <c r="W212" s="280"/>
      <c r="X212" s="280"/>
      <c r="Y212" s="280"/>
    </row>
    <row r="213" spans="3:27" x14ac:dyDescent="0.25">
      <c r="C213" s="86"/>
      <c r="D213" s="295"/>
      <c r="F213" s="295" t="s">
        <v>48</v>
      </c>
      <c r="G213" s="295" t="s">
        <v>308</v>
      </c>
      <c r="J213" s="276">
        <f t="shared" si="145"/>
        <v>0</v>
      </c>
      <c r="K213" s="276">
        <f t="shared" si="145"/>
        <v>0</v>
      </c>
      <c r="L213" s="276">
        <f t="shared" si="145"/>
        <v>0</v>
      </c>
      <c r="M213" s="276">
        <f t="shared" si="145"/>
        <v>0</v>
      </c>
      <c r="N213" s="276">
        <f t="shared" si="145"/>
        <v>0.36713230228035904</v>
      </c>
      <c r="O213" s="276">
        <f t="shared" si="145"/>
        <v>1.7453830764148219</v>
      </c>
      <c r="P213" s="276">
        <f t="shared" si="145"/>
        <v>1.7152902647524968</v>
      </c>
      <c r="Q213" s="276">
        <f t="shared" si="145"/>
        <v>0</v>
      </c>
      <c r="R213" s="280"/>
      <c r="S213" s="280"/>
      <c r="T213" s="280"/>
      <c r="U213" s="280"/>
      <c r="V213" s="280"/>
      <c r="W213" s="280"/>
      <c r="X213" s="280"/>
      <c r="Y213" s="280"/>
    </row>
    <row r="214" spans="3:27" x14ac:dyDescent="0.25">
      <c r="C214" s="86"/>
      <c r="D214" s="295"/>
      <c r="F214" s="295" t="s">
        <v>49</v>
      </c>
      <c r="G214" s="295" t="s">
        <v>308</v>
      </c>
      <c r="J214" s="276">
        <f t="shared" si="145"/>
        <v>0</v>
      </c>
      <c r="K214" s="276">
        <f t="shared" si="145"/>
        <v>0</v>
      </c>
      <c r="L214" s="276">
        <f t="shared" si="145"/>
        <v>0</v>
      </c>
      <c r="M214" s="276">
        <f t="shared" si="145"/>
        <v>0</v>
      </c>
      <c r="N214" s="276">
        <f t="shared" si="145"/>
        <v>0.4613537153519332</v>
      </c>
      <c r="O214" s="276">
        <f t="shared" si="145"/>
        <v>0.438664188367412</v>
      </c>
      <c r="P214" s="276">
        <f t="shared" si="145"/>
        <v>0</v>
      </c>
      <c r="Q214" s="276">
        <f t="shared" si="145"/>
        <v>0</v>
      </c>
      <c r="R214" s="280"/>
      <c r="S214" s="280"/>
      <c r="T214" s="280"/>
      <c r="U214" s="280"/>
      <c r="V214" s="280"/>
      <c r="W214" s="280"/>
      <c r="X214" s="280"/>
      <c r="Y214" s="280"/>
    </row>
    <row r="215" spans="3:27" x14ac:dyDescent="0.25">
      <c r="C215" s="86"/>
      <c r="D215" s="295"/>
      <c r="F215" s="295" t="s">
        <v>50</v>
      </c>
      <c r="G215" s="295" t="s">
        <v>308</v>
      </c>
      <c r="J215" s="276">
        <f t="shared" si="145"/>
        <v>0</v>
      </c>
      <c r="K215" s="276">
        <f t="shared" si="145"/>
        <v>0</v>
      </c>
      <c r="L215" s="276">
        <f t="shared" si="145"/>
        <v>0</v>
      </c>
      <c r="M215" s="276">
        <f t="shared" si="145"/>
        <v>0</v>
      </c>
      <c r="N215" s="276">
        <f t="shared" si="145"/>
        <v>0.74020135576371915</v>
      </c>
      <c r="O215" s="276">
        <f t="shared" si="145"/>
        <v>0</v>
      </c>
      <c r="P215" s="276">
        <f t="shared" si="145"/>
        <v>0</v>
      </c>
      <c r="Q215" s="276">
        <f t="shared" si="145"/>
        <v>0</v>
      </c>
      <c r="R215" s="280"/>
      <c r="S215" s="280"/>
      <c r="T215" s="280"/>
      <c r="U215" s="280"/>
      <c r="V215" s="280"/>
      <c r="W215" s="280"/>
      <c r="X215" s="280"/>
      <c r="Y215" s="280"/>
    </row>
    <row r="216" spans="3:27" x14ac:dyDescent="0.25">
      <c r="C216" s="86"/>
      <c r="D216" s="295"/>
      <c r="F216" s="295" t="s">
        <v>124</v>
      </c>
      <c r="G216" s="295" t="s">
        <v>308</v>
      </c>
      <c r="J216" s="280"/>
      <c r="K216" s="280"/>
      <c r="L216" s="280"/>
      <c r="M216" s="280"/>
      <c r="N216" s="280"/>
      <c r="O216" s="280"/>
      <c r="P216" s="280"/>
      <c r="Q216" s="280"/>
      <c r="R216" s="280"/>
      <c r="S216" s="280"/>
      <c r="T216" s="280"/>
      <c r="U216" s="280"/>
      <c r="V216" s="280"/>
      <c r="W216" s="280"/>
      <c r="X216" s="280"/>
      <c r="Y216" s="280"/>
    </row>
    <row r="217" spans="3:27" x14ac:dyDescent="0.25">
      <c r="C217" s="86"/>
      <c r="D217" s="295"/>
      <c r="F217" s="93" t="s">
        <v>123</v>
      </c>
      <c r="G217" s="93" t="s">
        <v>308</v>
      </c>
      <c r="H217" s="93"/>
      <c r="I217" s="93"/>
      <c r="J217" s="241"/>
      <c r="K217" s="241"/>
      <c r="L217" s="241"/>
      <c r="M217" s="241"/>
      <c r="N217" s="241"/>
      <c r="O217" s="241"/>
      <c r="P217" s="241"/>
      <c r="Q217" s="241"/>
      <c r="R217" s="241"/>
      <c r="S217" s="241"/>
      <c r="T217" s="241"/>
      <c r="U217" s="241"/>
      <c r="V217" s="241"/>
      <c r="W217" s="241"/>
      <c r="X217" s="241"/>
      <c r="Y217" s="241"/>
    </row>
    <row r="218" spans="3:27" x14ac:dyDescent="0.25">
      <c r="C218" s="86"/>
      <c r="J218" s="253"/>
      <c r="K218" s="253"/>
      <c r="L218" s="253"/>
      <c r="M218" s="253"/>
      <c r="N218" s="253"/>
      <c r="O218" s="253"/>
      <c r="P218" s="253"/>
      <c r="Q218" s="253"/>
      <c r="R218" s="253"/>
      <c r="S218" s="253"/>
      <c r="T218" s="253"/>
      <c r="U218" s="253"/>
      <c r="V218" s="253"/>
      <c r="W218" s="253"/>
      <c r="X218" s="253"/>
      <c r="Y218" s="253"/>
    </row>
    <row r="219" spans="3:27" x14ac:dyDescent="0.25">
      <c r="C219" s="7" t="str">
        <f ca="1">INDEX('Version control'!$H$34:$H$58,MATCH($A$1,'Version control'!$F$34:$F$58,0),1)&amp;"-E: Exceeded capacity charges for eligible customers, by network level"</f>
        <v>Section 516-E: Exceeded capacity charges for eligible customers, by network level</v>
      </c>
      <c r="D219" s="7"/>
      <c r="E219" s="7"/>
      <c r="F219" s="7"/>
      <c r="G219" s="7"/>
      <c r="H219" s="7"/>
      <c r="I219" s="7"/>
      <c r="J219" s="243"/>
      <c r="K219" s="243"/>
      <c r="L219" s="243"/>
      <c r="M219" s="243"/>
      <c r="N219" s="243"/>
      <c r="O219" s="243"/>
      <c r="P219" s="243"/>
      <c r="Q219" s="243"/>
      <c r="R219" s="243"/>
      <c r="S219" s="243"/>
      <c r="T219" s="243"/>
      <c r="U219" s="243"/>
      <c r="V219" s="243"/>
      <c r="W219" s="243"/>
      <c r="X219" s="243"/>
      <c r="Y219" s="243"/>
      <c r="Z219" s="7"/>
      <c r="AA219" s="7"/>
    </row>
    <row r="220" spans="3:27" x14ac:dyDescent="0.25">
      <c r="D220" s="96"/>
      <c r="E220" s="96"/>
      <c r="I220" s="295" t="s">
        <v>431</v>
      </c>
      <c r="J220" s="253"/>
      <c r="K220" s="253"/>
      <c r="L220" s="253"/>
      <c r="M220" s="253"/>
      <c r="N220" s="253"/>
      <c r="O220" s="253"/>
      <c r="P220" s="253"/>
      <c r="Q220" s="253"/>
      <c r="R220" s="253"/>
      <c r="S220" s="253"/>
      <c r="T220" s="253"/>
      <c r="U220" s="253"/>
      <c r="V220" s="253"/>
      <c r="W220" s="253"/>
      <c r="X220" s="253"/>
      <c r="Y220" s="253"/>
      <c r="AA220" s="295" t="s">
        <v>932</v>
      </c>
    </row>
    <row r="221" spans="3:27" x14ac:dyDescent="0.25">
      <c r="C221" s="86"/>
      <c r="D221" s="295"/>
      <c r="E221" s="96" t="s">
        <v>139</v>
      </c>
      <c r="J221" s="253"/>
      <c r="K221" s="253"/>
      <c r="L221" s="253"/>
      <c r="M221" s="253"/>
      <c r="N221" s="253"/>
      <c r="O221" s="253"/>
      <c r="P221" s="253"/>
      <c r="Q221" s="253"/>
      <c r="R221" s="253"/>
      <c r="S221" s="253"/>
      <c r="T221" s="253"/>
      <c r="U221" s="253"/>
      <c r="V221" s="253"/>
      <c r="W221" s="253"/>
      <c r="X221" s="253"/>
      <c r="Y221" s="253"/>
    </row>
    <row r="222" spans="3:27" x14ac:dyDescent="0.25">
      <c r="C222" s="86"/>
      <c r="D222" s="295"/>
      <c r="F222" s="91" t="s">
        <v>324</v>
      </c>
      <c r="G222" s="91" t="s">
        <v>308</v>
      </c>
      <c r="H222" s="91"/>
      <c r="I222" s="91"/>
      <c r="J222" s="239"/>
      <c r="K222" s="239"/>
      <c r="L222" s="239"/>
      <c r="M222" s="239"/>
      <c r="N222" s="239"/>
      <c r="O222" s="239"/>
      <c r="P222" s="239"/>
      <c r="Q222" s="239"/>
      <c r="R222" s="239"/>
      <c r="S222" s="239"/>
      <c r="T222" s="239"/>
      <c r="U222" s="239"/>
      <c r="V222" s="239"/>
      <c r="W222" s="239"/>
      <c r="X222" s="239"/>
      <c r="Y222" s="239"/>
    </row>
    <row r="223" spans="3:27" x14ac:dyDescent="0.25">
      <c r="C223" s="86"/>
      <c r="D223" s="295"/>
      <c r="F223" s="295" t="s">
        <v>43</v>
      </c>
      <c r="G223" s="295" t="s">
        <v>308</v>
      </c>
      <c r="J223" s="280"/>
      <c r="K223" s="280"/>
      <c r="L223" s="280"/>
      <c r="M223" s="280"/>
      <c r="N223" s="280"/>
      <c r="O223" s="280"/>
      <c r="P223" s="280"/>
      <c r="Q223" s="280"/>
      <c r="R223" s="280"/>
      <c r="S223" s="280"/>
      <c r="T223" s="280"/>
      <c r="U223" s="280"/>
      <c r="V223" s="280"/>
      <c r="W223" s="280"/>
      <c r="X223" s="280"/>
      <c r="Y223" s="280"/>
    </row>
    <row r="224" spans="3:27" x14ac:dyDescent="0.25">
      <c r="C224" s="86"/>
      <c r="D224" s="295"/>
      <c r="F224" s="295" t="s">
        <v>44</v>
      </c>
      <c r="G224" s="295" t="s">
        <v>308</v>
      </c>
      <c r="J224" s="276">
        <f t="shared" ref="J224:Q231" si="146">J$122 * J164</f>
        <v>0</v>
      </c>
      <c r="K224" s="276">
        <f t="shared" si="146"/>
        <v>0</v>
      </c>
      <c r="L224" s="276">
        <f t="shared" si="146"/>
        <v>0</v>
      </c>
      <c r="M224" s="276">
        <f t="shared" si="146"/>
        <v>0</v>
      </c>
      <c r="N224" s="276">
        <f t="shared" si="146"/>
        <v>0</v>
      </c>
      <c r="O224" s="276">
        <f t="shared" si="146"/>
        <v>0</v>
      </c>
      <c r="P224" s="276">
        <f t="shared" si="146"/>
        <v>0</v>
      </c>
      <c r="Q224" s="276">
        <f t="shared" si="146"/>
        <v>0</v>
      </c>
      <c r="R224" s="280"/>
      <c r="S224" s="280"/>
      <c r="T224" s="280"/>
      <c r="U224" s="280"/>
      <c r="V224" s="280"/>
      <c r="W224" s="280"/>
      <c r="X224" s="280"/>
      <c r="Y224" s="280"/>
    </row>
    <row r="225" spans="3:25" x14ac:dyDescent="0.25">
      <c r="C225" s="86"/>
      <c r="D225" s="295"/>
      <c r="F225" s="295" t="s">
        <v>45</v>
      </c>
      <c r="G225" s="295" t="s">
        <v>308</v>
      </c>
      <c r="J225" s="276">
        <f t="shared" si="146"/>
        <v>0</v>
      </c>
      <c r="K225" s="276">
        <f t="shared" si="146"/>
        <v>0</v>
      </c>
      <c r="L225" s="276">
        <f t="shared" si="146"/>
        <v>0</v>
      </c>
      <c r="M225" s="276">
        <f t="shared" si="146"/>
        <v>0</v>
      </c>
      <c r="N225" s="276">
        <f t="shared" si="146"/>
        <v>0</v>
      </c>
      <c r="O225" s="276">
        <f t="shared" si="146"/>
        <v>0</v>
      </c>
      <c r="P225" s="276">
        <f t="shared" si="146"/>
        <v>0</v>
      </c>
      <c r="Q225" s="276">
        <f t="shared" si="146"/>
        <v>0</v>
      </c>
      <c r="R225" s="280"/>
      <c r="S225" s="280"/>
      <c r="T225" s="280"/>
      <c r="U225" s="280"/>
      <c r="V225" s="280"/>
      <c r="W225" s="280"/>
      <c r="X225" s="280"/>
      <c r="Y225" s="280"/>
    </row>
    <row r="226" spans="3:25" x14ac:dyDescent="0.25">
      <c r="C226" s="86"/>
      <c r="D226" s="295"/>
      <c r="F226" s="295" t="s">
        <v>46</v>
      </c>
      <c r="G226" s="295" t="s">
        <v>308</v>
      </c>
      <c r="J226" s="276">
        <f t="shared" si="146"/>
        <v>0</v>
      </c>
      <c r="K226" s="276">
        <f t="shared" si="146"/>
        <v>0</v>
      </c>
      <c r="L226" s="276">
        <f t="shared" si="146"/>
        <v>0</v>
      </c>
      <c r="M226" s="276">
        <f t="shared" si="146"/>
        <v>0</v>
      </c>
      <c r="N226" s="276">
        <f t="shared" si="146"/>
        <v>0</v>
      </c>
      <c r="O226" s="276">
        <f t="shared" si="146"/>
        <v>0</v>
      </c>
      <c r="P226" s="276">
        <f t="shared" si="146"/>
        <v>0.52635555472228934</v>
      </c>
      <c r="Q226" s="276">
        <f t="shared" si="146"/>
        <v>0</v>
      </c>
      <c r="R226" s="280"/>
      <c r="S226" s="280"/>
      <c r="T226" s="280"/>
      <c r="U226" s="280"/>
      <c r="V226" s="280"/>
      <c r="W226" s="280"/>
      <c r="X226" s="280"/>
      <c r="Y226" s="280"/>
    </row>
    <row r="227" spans="3:25" x14ac:dyDescent="0.25">
      <c r="C227" s="86"/>
      <c r="D227" s="295"/>
      <c r="F227" s="295" t="s">
        <v>47</v>
      </c>
      <c r="G227" s="295" t="s">
        <v>308</v>
      </c>
      <c r="J227" s="276">
        <f t="shared" si="146"/>
        <v>0</v>
      </c>
      <c r="K227" s="276">
        <f t="shared" si="146"/>
        <v>0</v>
      </c>
      <c r="L227" s="276">
        <f t="shared" si="146"/>
        <v>0</v>
      </c>
      <c r="M227" s="276">
        <f t="shared" si="146"/>
        <v>0</v>
      </c>
      <c r="N227" s="276">
        <f t="shared" si="146"/>
        <v>0</v>
      </c>
      <c r="O227" s="276">
        <f t="shared" si="146"/>
        <v>0</v>
      </c>
      <c r="P227" s="276">
        <f t="shared" si="146"/>
        <v>0.67437966737819066</v>
      </c>
      <c r="Q227" s="276">
        <f t="shared" si="146"/>
        <v>0</v>
      </c>
      <c r="R227" s="280"/>
      <c r="S227" s="280"/>
      <c r="T227" s="280"/>
      <c r="U227" s="280"/>
      <c r="V227" s="280"/>
      <c r="W227" s="280"/>
      <c r="X227" s="280"/>
      <c r="Y227" s="280"/>
    </row>
    <row r="228" spans="3:25" x14ac:dyDescent="0.25">
      <c r="C228" s="86"/>
      <c r="D228" s="295"/>
      <c r="F228" s="295" t="s">
        <v>51</v>
      </c>
      <c r="G228" s="295" t="s">
        <v>308</v>
      </c>
      <c r="J228" s="276">
        <f t="shared" si="146"/>
        <v>0</v>
      </c>
      <c r="K228" s="276">
        <f t="shared" si="146"/>
        <v>0</v>
      </c>
      <c r="L228" s="276">
        <f t="shared" si="146"/>
        <v>0</v>
      </c>
      <c r="M228" s="276">
        <f t="shared" si="146"/>
        <v>0</v>
      </c>
      <c r="N228" s="276">
        <f t="shared" si="146"/>
        <v>0</v>
      </c>
      <c r="O228" s="276">
        <f t="shared" si="146"/>
        <v>0</v>
      </c>
      <c r="P228" s="276">
        <f t="shared" si="146"/>
        <v>0</v>
      </c>
      <c r="Q228" s="276">
        <f t="shared" si="146"/>
        <v>0</v>
      </c>
      <c r="R228" s="280"/>
      <c r="S228" s="280"/>
      <c r="T228" s="280"/>
      <c r="U228" s="280"/>
      <c r="V228" s="280"/>
      <c r="W228" s="280"/>
      <c r="X228" s="280"/>
      <c r="Y228" s="280"/>
    </row>
    <row r="229" spans="3:25" x14ac:dyDescent="0.25">
      <c r="C229" s="86"/>
      <c r="D229" s="295"/>
      <c r="F229" s="295" t="s">
        <v>48</v>
      </c>
      <c r="G229" s="295" t="s">
        <v>308</v>
      </c>
      <c r="J229" s="276">
        <f t="shared" si="146"/>
        <v>0</v>
      </c>
      <c r="K229" s="276">
        <f t="shared" si="146"/>
        <v>0</v>
      </c>
      <c r="L229" s="276">
        <f t="shared" si="146"/>
        <v>0</v>
      </c>
      <c r="M229" s="276">
        <f t="shared" si="146"/>
        <v>0</v>
      </c>
      <c r="N229" s="276">
        <f t="shared" si="146"/>
        <v>0.49676691512356835</v>
      </c>
      <c r="O229" s="276">
        <f t="shared" si="146"/>
        <v>2.3616787768169649</v>
      </c>
      <c r="P229" s="276">
        <f t="shared" si="146"/>
        <v>2.3209601772166724</v>
      </c>
      <c r="Q229" s="276">
        <f t="shared" si="146"/>
        <v>0</v>
      </c>
      <c r="R229" s="280"/>
      <c r="S229" s="280"/>
      <c r="T229" s="280"/>
      <c r="U229" s="280"/>
      <c r="V229" s="280"/>
      <c r="W229" s="280"/>
      <c r="X229" s="280"/>
      <c r="Y229" s="280"/>
    </row>
    <row r="230" spans="3:25" x14ac:dyDescent="0.25">
      <c r="C230" s="86"/>
      <c r="D230" s="295"/>
      <c r="F230" s="295" t="s">
        <v>49</v>
      </c>
      <c r="G230" s="295" t="s">
        <v>308</v>
      </c>
      <c r="J230" s="276">
        <f t="shared" si="146"/>
        <v>0</v>
      </c>
      <c r="K230" s="276">
        <f t="shared" si="146"/>
        <v>0</v>
      </c>
      <c r="L230" s="276">
        <f t="shared" si="146"/>
        <v>0</v>
      </c>
      <c r="M230" s="276">
        <f t="shared" si="146"/>
        <v>0</v>
      </c>
      <c r="N230" s="276">
        <f t="shared" si="146"/>
        <v>0.62425795968549891</v>
      </c>
      <c r="O230" s="276">
        <f t="shared" si="146"/>
        <v>0.59355674855342522</v>
      </c>
      <c r="P230" s="276">
        <f t="shared" si="146"/>
        <v>0</v>
      </c>
      <c r="Q230" s="276">
        <f t="shared" si="146"/>
        <v>0</v>
      </c>
      <c r="R230" s="280"/>
      <c r="S230" s="280"/>
      <c r="T230" s="280"/>
      <c r="U230" s="280"/>
      <c r="V230" s="280"/>
      <c r="W230" s="280"/>
      <c r="X230" s="280"/>
      <c r="Y230" s="280"/>
    </row>
    <row r="231" spans="3:25" x14ac:dyDescent="0.25">
      <c r="C231" s="86"/>
      <c r="D231" s="295"/>
      <c r="F231" s="295" t="s">
        <v>50</v>
      </c>
      <c r="G231" s="295" t="s">
        <v>308</v>
      </c>
      <c r="J231" s="276">
        <f t="shared" si="146"/>
        <v>0</v>
      </c>
      <c r="K231" s="276">
        <f t="shared" si="146"/>
        <v>0</v>
      </c>
      <c r="L231" s="276">
        <f t="shared" si="146"/>
        <v>0</v>
      </c>
      <c r="M231" s="276">
        <f t="shared" si="146"/>
        <v>0</v>
      </c>
      <c r="N231" s="276">
        <f t="shared" si="146"/>
        <v>1.0015668514840392</v>
      </c>
      <c r="O231" s="276">
        <f t="shared" si="146"/>
        <v>0</v>
      </c>
      <c r="P231" s="276">
        <f t="shared" si="146"/>
        <v>0</v>
      </c>
      <c r="Q231" s="276">
        <f t="shared" si="146"/>
        <v>0</v>
      </c>
      <c r="R231" s="280"/>
      <c r="S231" s="280"/>
      <c r="T231" s="280"/>
      <c r="U231" s="280"/>
      <c r="V231" s="280"/>
      <c r="W231" s="280"/>
      <c r="X231" s="280"/>
      <c r="Y231" s="280"/>
    </row>
    <row r="232" spans="3:25" x14ac:dyDescent="0.25">
      <c r="C232" s="86"/>
      <c r="D232" s="295"/>
      <c r="F232" s="295" t="s">
        <v>124</v>
      </c>
      <c r="G232" s="295" t="s">
        <v>308</v>
      </c>
      <c r="J232" s="280"/>
      <c r="K232" s="280"/>
      <c r="L232" s="280"/>
      <c r="M232" s="280"/>
      <c r="N232" s="280"/>
      <c r="O232" s="280"/>
      <c r="P232" s="280"/>
      <c r="Q232" s="280"/>
      <c r="R232" s="280"/>
      <c r="S232" s="280"/>
      <c r="T232" s="280"/>
      <c r="U232" s="280"/>
      <c r="V232" s="280"/>
      <c r="W232" s="280"/>
      <c r="X232" s="280"/>
      <c r="Y232" s="280"/>
    </row>
    <row r="233" spans="3:25" x14ac:dyDescent="0.25">
      <c r="C233" s="86"/>
      <c r="D233" s="295"/>
      <c r="F233" s="93" t="s">
        <v>123</v>
      </c>
      <c r="G233" s="93" t="s">
        <v>308</v>
      </c>
      <c r="H233" s="93"/>
      <c r="I233" s="93"/>
      <c r="J233" s="241"/>
      <c r="K233" s="241"/>
      <c r="L233" s="241"/>
      <c r="M233" s="241"/>
      <c r="N233" s="241"/>
      <c r="O233" s="241"/>
      <c r="P233" s="241"/>
      <c r="Q233" s="241"/>
      <c r="R233" s="241"/>
      <c r="S233" s="241"/>
      <c r="T233" s="241"/>
      <c r="U233" s="241"/>
      <c r="V233" s="241"/>
      <c r="W233" s="241"/>
      <c r="X233" s="241"/>
      <c r="Y233" s="241"/>
    </row>
    <row r="234" spans="3:25" x14ac:dyDescent="0.25">
      <c r="C234" s="86"/>
      <c r="D234" s="295"/>
      <c r="J234" s="253"/>
      <c r="K234" s="253"/>
      <c r="L234" s="253"/>
      <c r="M234" s="253"/>
      <c r="N234" s="253"/>
      <c r="O234" s="253"/>
      <c r="P234" s="253"/>
      <c r="Q234" s="253"/>
      <c r="R234" s="253"/>
      <c r="S234" s="253"/>
      <c r="T234" s="253"/>
      <c r="U234" s="253"/>
      <c r="V234" s="253"/>
      <c r="W234" s="253"/>
      <c r="X234" s="253"/>
      <c r="Y234" s="253"/>
    </row>
    <row r="235" spans="3:25" x14ac:dyDescent="0.25">
      <c r="C235" s="86"/>
      <c r="D235" s="295"/>
      <c r="E235" s="96" t="s">
        <v>116</v>
      </c>
      <c r="J235" s="253"/>
      <c r="K235" s="253"/>
      <c r="L235" s="253"/>
      <c r="M235" s="253"/>
      <c r="N235" s="253"/>
      <c r="O235" s="253"/>
      <c r="P235" s="253"/>
      <c r="Q235" s="253"/>
      <c r="R235" s="253"/>
      <c r="S235" s="253"/>
      <c r="T235" s="253"/>
      <c r="U235" s="253"/>
      <c r="V235" s="253"/>
      <c r="W235" s="253"/>
      <c r="X235" s="253"/>
      <c r="Y235" s="253"/>
    </row>
    <row r="236" spans="3:25" x14ac:dyDescent="0.25">
      <c r="C236" s="86"/>
      <c r="D236" s="295"/>
      <c r="F236" s="91" t="s">
        <v>324</v>
      </c>
      <c r="G236" s="91" t="s">
        <v>308</v>
      </c>
      <c r="H236" s="91"/>
      <c r="I236" s="91"/>
      <c r="J236" s="268">
        <f t="shared" ref="J236:Q245" si="147">J$122 * J176</f>
        <v>0</v>
      </c>
      <c r="K236" s="268">
        <f t="shared" si="147"/>
        <v>0</v>
      </c>
      <c r="L236" s="268">
        <f t="shared" si="147"/>
        <v>0</v>
      </c>
      <c r="M236" s="268">
        <f t="shared" si="147"/>
        <v>0</v>
      </c>
      <c r="N236" s="268">
        <f t="shared" si="147"/>
        <v>0</v>
      </c>
      <c r="O236" s="268">
        <f t="shared" si="147"/>
        <v>0</v>
      </c>
      <c r="P236" s="268">
        <f t="shared" si="147"/>
        <v>0</v>
      </c>
      <c r="Q236" s="268">
        <f t="shared" si="147"/>
        <v>0</v>
      </c>
      <c r="R236" s="239"/>
      <c r="S236" s="239"/>
      <c r="T236" s="239"/>
      <c r="U236" s="239"/>
      <c r="V236" s="239"/>
      <c r="W236" s="239"/>
      <c r="X236" s="239"/>
      <c r="Y236" s="239"/>
    </row>
    <row r="237" spans="3:25" x14ac:dyDescent="0.25">
      <c r="C237" s="86"/>
      <c r="D237" s="295"/>
      <c r="F237" s="295" t="s">
        <v>43</v>
      </c>
      <c r="G237" s="295" t="s">
        <v>308</v>
      </c>
      <c r="J237" s="276">
        <f t="shared" si="147"/>
        <v>0</v>
      </c>
      <c r="K237" s="276">
        <f t="shared" si="147"/>
        <v>0</v>
      </c>
      <c r="L237" s="276">
        <f t="shared" si="147"/>
        <v>0</v>
      </c>
      <c r="M237" s="276">
        <f t="shared" si="147"/>
        <v>0</v>
      </c>
      <c r="N237" s="276">
        <f t="shared" si="147"/>
        <v>0</v>
      </c>
      <c r="O237" s="276">
        <f t="shared" si="147"/>
        <v>0</v>
      </c>
      <c r="P237" s="276">
        <f t="shared" si="147"/>
        <v>0</v>
      </c>
      <c r="Q237" s="276">
        <f t="shared" si="147"/>
        <v>0</v>
      </c>
      <c r="R237" s="280"/>
      <c r="S237" s="280"/>
      <c r="T237" s="280"/>
      <c r="U237" s="280"/>
      <c r="V237" s="280"/>
      <c r="W237" s="280"/>
      <c r="X237" s="280"/>
      <c r="Y237" s="280"/>
    </row>
    <row r="238" spans="3:25" x14ac:dyDescent="0.25">
      <c r="C238" s="86"/>
      <c r="D238" s="295"/>
      <c r="F238" s="295" t="s">
        <v>44</v>
      </c>
      <c r="G238" s="295" t="s">
        <v>308</v>
      </c>
      <c r="J238" s="276">
        <f t="shared" si="147"/>
        <v>0</v>
      </c>
      <c r="K238" s="276">
        <f t="shared" si="147"/>
        <v>0</v>
      </c>
      <c r="L238" s="276">
        <f t="shared" si="147"/>
        <v>0</v>
      </c>
      <c r="M238" s="276">
        <f t="shared" si="147"/>
        <v>0</v>
      </c>
      <c r="N238" s="276">
        <f t="shared" si="147"/>
        <v>0</v>
      </c>
      <c r="O238" s="276">
        <f t="shared" si="147"/>
        <v>0</v>
      </c>
      <c r="P238" s="276">
        <f t="shared" si="147"/>
        <v>0</v>
      </c>
      <c r="Q238" s="276">
        <f t="shared" si="147"/>
        <v>0</v>
      </c>
      <c r="R238" s="280"/>
      <c r="S238" s="280"/>
      <c r="T238" s="280"/>
      <c r="U238" s="280"/>
      <c r="V238" s="280"/>
      <c r="W238" s="280"/>
      <c r="X238" s="280"/>
      <c r="Y238" s="280"/>
    </row>
    <row r="239" spans="3:25" x14ac:dyDescent="0.25">
      <c r="C239" s="86"/>
      <c r="D239" s="295"/>
      <c r="F239" s="295" t="s">
        <v>45</v>
      </c>
      <c r="G239" s="295" t="s">
        <v>308</v>
      </c>
      <c r="J239" s="276">
        <f t="shared" si="147"/>
        <v>0</v>
      </c>
      <c r="K239" s="276">
        <f t="shared" si="147"/>
        <v>0</v>
      </c>
      <c r="L239" s="276">
        <f t="shared" si="147"/>
        <v>0</v>
      </c>
      <c r="M239" s="276">
        <f t="shared" si="147"/>
        <v>0</v>
      </c>
      <c r="N239" s="276">
        <f t="shared" si="147"/>
        <v>0</v>
      </c>
      <c r="O239" s="276">
        <f t="shared" si="147"/>
        <v>0</v>
      </c>
      <c r="P239" s="276">
        <f t="shared" si="147"/>
        <v>0</v>
      </c>
      <c r="Q239" s="276">
        <f t="shared" si="147"/>
        <v>0</v>
      </c>
      <c r="R239" s="280"/>
      <c r="S239" s="280"/>
      <c r="T239" s="280"/>
      <c r="U239" s="280"/>
      <c r="V239" s="280"/>
      <c r="W239" s="280"/>
      <c r="X239" s="280"/>
      <c r="Y239" s="280"/>
    </row>
    <row r="240" spans="3:25" x14ac:dyDescent="0.25">
      <c r="C240" s="86"/>
      <c r="D240" s="295"/>
      <c r="F240" s="295" t="s">
        <v>46</v>
      </c>
      <c r="G240" s="295" t="s">
        <v>308</v>
      </c>
      <c r="J240" s="276">
        <f t="shared" si="147"/>
        <v>0</v>
      </c>
      <c r="K240" s="276">
        <f t="shared" si="147"/>
        <v>0</v>
      </c>
      <c r="L240" s="276">
        <f t="shared" si="147"/>
        <v>0</v>
      </c>
      <c r="M240" s="276">
        <f t="shared" si="147"/>
        <v>0</v>
      </c>
      <c r="N240" s="276">
        <f t="shared" si="147"/>
        <v>0</v>
      </c>
      <c r="O240" s="276">
        <f t="shared" si="147"/>
        <v>0</v>
      </c>
      <c r="P240" s="276">
        <f t="shared" si="147"/>
        <v>0.38899959063332851</v>
      </c>
      <c r="Q240" s="276">
        <f t="shared" si="147"/>
        <v>0</v>
      </c>
      <c r="R240" s="280"/>
      <c r="S240" s="280"/>
      <c r="T240" s="280"/>
      <c r="U240" s="280"/>
      <c r="V240" s="280"/>
      <c r="W240" s="280"/>
      <c r="X240" s="280"/>
      <c r="Y240" s="280"/>
    </row>
    <row r="241" spans="2:27" x14ac:dyDescent="0.25">
      <c r="C241" s="86"/>
      <c r="D241" s="295"/>
      <c r="F241" s="295" t="s">
        <v>47</v>
      </c>
      <c r="G241" s="295" t="s">
        <v>308</v>
      </c>
      <c r="J241" s="276">
        <f t="shared" si="147"/>
        <v>0</v>
      </c>
      <c r="K241" s="276">
        <f t="shared" si="147"/>
        <v>0</v>
      </c>
      <c r="L241" s="276">
        <f t="shared" si="147"/>
        <v>0</v>
      </c>
      <c r="M241" s="276">
        <f t="shared" si="147"/>
        <v>0</v>
      </c>
      <c r="N241" s="276">
        <f t="shared" si="147"/>
        <v>0</v>
      </c>
      <c r="O241" s="276">
        <f t="shared" si="147"/>
        <v>0</v>
      </c>
      <c r="P241" s="276">
        <f t="shared" si="147"/>
        <v>0.49839583184405867</v>
      </c>
      <c r="Q241" s="276">
        <f t="shared" si="147"/>
        <v>0</v>
      </c>
      <c r="R241" s="280"/>
      <c r="S241" s="280"/>
      <c r="T241" s="280"/>
      <c r="U241" s="280"/>
      <c r="V241" s="280"/>
      <c r="W241" s="280"/>
      <c r="X241" s="280"/>
      <c r="Y241" s="280"/>
    </row>
    <row r="242" spans="2:27" x14ac:dyDescent="0.25">
      <c r="C242" s="86"/>
      <c r="D242" s="295"/>
      <c r="F242" s="295" t="s">
        <v>51</v>
      </c>
      <c r="G242" s="295" t="s">
        <v>308</v>
      </c>
      <c r="J242" s="276">
        <f t="shared" si="147"/>
        <v>0</v>
      </c>
      <c r="K242" s="276">
        <f t="shared" si="147"/>
        <v>0</v>
      </c>
      <c r="L242" s="276">
        <f t="shared" si="147"/>
        <v>0</v>
      </c>
      <c r="M242" s="276">
        <f t="shared" si="147"/>
        <v>0</v>
      </c>
      <c r="N242" s="276">
        <f t="shared" si="147"/>
        <v>0</v>
      </c>
      <c r="O242" s="276">
        <f t="shared" si="147"/>
        <v>0</v>
      </c>
      <c r="P242" s="276">
        <f t="shared" si="147"/>
        <v>0</v>
      </c>
      <c r="Q242" s="276">
        <f t="shared" si="147"/>
        <v>0</v>
      </c>
      <c r="R242" s="280"/>
      <c r="S242" s="280"/>
      <c r="T242" s="280"/>
      <c r="U242" s="280"/>
      <c r="V242" s="280"/>
      <c r="W242" s="280"/>
      <c r="X242" s="280"/>
      <c r="Y242" s="280"/>
    </row>
    <row r="243" spans="2:27" x14ac:dyDescent="0.25">
      <c r="C243" s="86"/>
      <c r="D243" s="295"/>
      <c r="F243" s="295" t="s">
        <v>48</v>
      </c>
      <c r="G243" s="295" t="s">
        <v>308</v>
      </c>
      <c r="J243" s="276">
        <f t="shared" si="147"/>
        <v>0</v>
      </c>
      <c r="K243" s="276">
        <f t="shared" si="147"/>
        <v>0</v>
      </c>
      <c r="L243" s="276">
        <f t="shared" si="147"/>
        <v>0</v>
      </c>
      <c r="M243" s="276">
        <f t="shared" si="147"/>
        <v>0</v>
      </c>
      <c r="N243" s="276">
        <f t="shared" si="147"/>
        <v>0.36713230228035904</v>
      </c>
      <c r="O243" s="276">
        <f t="shared" si="147"/>
        <v>1.7453830764148219</v>
      </c>
      <c r="P243" s="276">
        <f t="shared" si="147"/>
        <v>1.7152902647524968</v>
      </c>
      <c r="Q243" s="276">
        <f t="shared" si="147"/>
        <v>0</v>
      </c>
      <c r="R243" s="280"/>
      <c r="S243" s="280"/>
      <c r="T243" s="280"/>
      <c r="U243" s="280"/>
      <c r="V243" s="280"/>
      <c r="W243" s="280"/>
      <c r="X243" s="280"/>
      <c r="Y243" s="280"/>
    </row>
    <row r="244" spans="2:27" x14ac:dyDescent="0.25">
      <c r="C244" s="86"/>
      <c r="D244" s="295"/>
      <c r="F244" s="295" t="s">
        <v>49</v>
      </c>
      <c r="G244" s="295" t="s">
        <v>308</v>
      </c>
      <c r="J244" s="276">
        <f t="shared" si="147"/>
        <v>0</v>
      </c>
      <c r="K244" s="276">
        <f t="shared" si="147"/>
        <v>0</v>
      </c>
      <c r="L244" s="276">
        <f t="shared" si="147"/>
        <v>0</v>
      </c>
      <c r="M244" s="276">
        <f t="shared" si="147"/>
        <v>0</v>
      </c>
      <c r="N244" s="276">
        <f t="shared" si="147"/>
        <v>0.4613537153519332</v>
      </c>
      <c r="O244" s="276">
        <f t="shared" si="147"/>
        <v>0.438664188367412</v>
      </c>
      <c r="P244" s="276">
        <f t="shared" si="147"/>
        <v>0</v>
      </c>
      <c r="Q244" s="276">
        <f t="shared" si="147"/>
        <v>0</v>
      </c>
      <c r="R244" s="280"/>
      <c r="S244" s="280"/>
      <c r="T244" s="280"/>
      <c r="U244" s="280"/>
      <c r="V244" s="280"/>
      <c r="W244" s="280"/>
      <c r="X244" s="280"/>
      <c r="Y244" s="280"/>
    </row>
    <row r="245" spans="2:27" x14ac:dyDescent="0.25">
      <c r="C245" s="86"/>
      <c r="D245" s="295"/>
      <c r="F245" s="295" t="s">
        <v>50</v>
      </c>
      <c r="G245" s="295" t="s">
        <v>308</v>
      </c>
      <c r="J245" s="276">
        <f t="shared" si="147"/>
        <v>0</v>
      </c>
      <c r="K245" s="276">
        <f t="shared" si="147"/>
        <v>0</v>
      </c>
      <c r="L245" s="276">
        <f t="shared" si="147"/>
        <v>0</v>
      </c>
      <c r="M245" s="276">
        <f t="shared" si="147"/>
        <v>0</v>
      </c>
      <c r="N245" s="276">
        <f t="shared" si="147"/>
        <v>0.74020135576371915</v>
      </c>
      <c r="O245" s="276">
        <f t="shared" si="147"/>
        <v>0</v>
      </c>
      <c r="P245" s="276">
        <f t="shared" si="147"/>
        <v>0</v>
      </c>
      <c r="Q245" s="276">
        <f t="shared" si="147"/>
        <v>0</v>
      </c>
      <c r="R245" s="280"/>
      <c r="S245" s="280"/>
      <c r="T245" s="280"/>
      <c r="U245" s="280"/>
      <c r="V245" s="280"/>
      <c r="W245" s="280"/>
      <c r="X245" s="280"/>
      <c r="Y245" s="280"/>
    </row>
    <row r="246" spans="2:27" x14ac:dyDescent="0.25">
      <c r="C246" s="86"/>
      <c r="D246" s="295"/>
      <c r="F246" s="295" t="s">
        <v>124</v>
      </c>
      <c r="G246" s="295" t="s">
        <v>308</v>
      </c>
      <c r="J246" s="280"/>
      <c r="K246" s="280"/>
      <c r="L246" s="280"/>
      <c r="M246" s="280"/>
      <c r="N246" s="280"/>
      <c r="O246" s="280"/>
      <c r="P246" s="280"/>
      <c r="Q246" s="280"/>
      <c r="R246" s="280"/>
      <c r="S246" s="280"/>
      <c r="T246" s="280"/>
      <c r="U246" s="280"/>
      <c r="V246" s="280"/>
      <c r="W246" s="280"/>
      <c r="X246" s="280"/>
      <c r="Y246" s="280"/>
    </row>
    <row r="247" spans="2:27" x14ac:dyDescent="0.25">
      <c r="C247" s="86"/>
      <c r="D247" s="295"/>
      <c r="F247" s="93" t="s">
        <v>123</v>
      </c>
      <c r="G247" s="93" t="s">
        <v>308</v>
      </c>
      <c r="H247" s="93"/>
      <c r="I247" s="93"/>
      <c r="J247" s="241"/>
      <c r="K247" s="241"/>
      <c r="L247" s="241"/>
      <c r="M247" s="241"/>
      <c r="N247" s="241"/>
      <c r="O247" s="241"/>
      <c r="P247" s="241"/>
      <c r="Q247" s="241"/>
      <c r="R247" s="241"/>
      <c r="S247" s="241"/>
      <c r="T247" s="241"/>
      <c r="U247" s="241"/>
      <c r="V247" s="241"/>
      <c r="W247" s="241"/>
      <c r="X247" s="241"/>
      <c r="Y247" s="241"/>
    </row>
    <row r="248" spans="2:27" x14ac:dyDescent="0.25">
      <c r="C248" s="86"/>
      <c r="J248" s="253"/>
      <c r="K248" s="253"/>
      <c r="L248" s="253"/>
      <c r="M248" s="253"/>
      <c r="N248" s="253"/>
      <c r="O248" s="253"/>
      <c r="P248" s="253"/>
      <c r="Q248" s="253"/>
      <c r="R248" s="253"/>
      <c r="S248" s="253"/>
      <c r="T248" s="253"/>
      <c r="U248" s="253"/>
      <c r="V248" s="253"/>
      <c r="W248" s="253"/>
      <c r="X248" s="253"/>
      <c r="Y248" s="253"/>
    </row>
    <row r="249" spans="2:27" x14ac:dyDescent="0.25">
      <c r="B249" s="95" t="s">
        <v>762</v>
      </c>
      <c r="C249" s="95"/>
      <c r="D249" s="95"/>
      <c r="E249" s="95"/>
      <c r="F249" s="95"/>
      <c r="G249" s="95"/>
      <c r="H249" s="95"/>
      <c r="I249" s="95"/>
      <c r="J249" s="282"/>
      <c r="K249" s="282"/>
      <c r="L249" s="282"/>
      <c r="M249" s="282"/>
      <c r="N249" s="282"/>
      <c r="O249" s="282"/>
      <c r="P249" s="282"/>
      <c r="Q249" s="282"/>
      <c r="R249" s="282"/>
      <c r="S249" s="282"/>
      <c r="T249" s="282"/>
      <c r="U249" s="282"/>
      <c r="V249" s="282"/>
      <c r="W249" s="282"/>
      <c r="X249" s="282"/>
      <c r="Y249" s="282"/>
      <c r="Z249" s="95"/>
      <c r="AA249" s="95"/>
    </row>
    <row r="250" spans="2:27" x14ac:dyDescent="0.25">
      <c r="J250" s="253"/>
      <c r="K250" s="253"/>
      <c r="L250" s="253"/>
      <c r="M250" s="253"/>
      <c r="N250" s="253"/>
      <c r="O250" s="253"/>
      <c r="P250" s="253"/>
      <c r="Q250" s="253"/>
      <c r="R250" s="253"/>
      <c r="S250" s="253"/>
      <c r="T250" s="253"/>
      <c r="U250" s="253"/>
      <c r="V250" s="253"/>
      <c r="W250" s="253"/>
      <c r="X250" s="253"/>
      <c r="Y250" s="253"/>
    </row>
    <row r="251" spans="2:27" x14ac:dyDescent="0.25">
      <c r="B251" s="67"/>
      <c r="C251" s="82" t="s">
        <v>472</v>
      </c>
      <c r="D251" s="295"/>
      <c r="E251" s="295"/>
      <c r="J251" s="253"/>
      <c r="K251" s="253"/>
      <c r="L251" s="253"/>
      <c r="M251" s="253"/>
      <c r="N251" s="253"/>
      <c r="O251" s="253"/>
      <c r="P251" s="253"/>
      <c r="Q251" s="253"/>
      <c r="R251" s="253"/>
      <c r="S251" s="253"/>
      <c r="T251" s="253"/>
      <c r="U251" s="253"/>
      <c r="V251" s="253"/>
      <c r="W251" s="253"/>
      <c r="X251" s="253"/>
      <c r="Y251" s="253"/>
    </row>
    <row r="252" spans="2:27" x14ac:dyDescent="0.25">
      <c r="B252" s="67"/>
      <c r="C252" s="82" t="s">
        <v>473</v>
      </c>
      <c r="D252" s="295"/>
      <c r="E252" s="295"/>
      <c r="J252" s="253"/>
      <c r="K252" s="253"/>
      <c r="L252" s="253"/>
      <c r="M252" s="253"/>
      <c r="N252" s="253"/>
      <c r="O252" s="253"/>
      <c r="P252" s="253"/>
      <c r="Q252" s="253"/>
      <c r="R252" s="253"/>
      <c r="S252" s="253"/>
      <c r="T252" s="253"/>
      <c r="U252" s="253"/>
      <c r="V252" s="253"/>
      <c r="W252" s="253"/>
      <c r="X252" s="253"/>
      <c r="Y252" s="253"/>
    </row>
    <row r="253" spans="2:27" x14ac:dyDescent="0.25">
      <c r="J253" s="253"/>
      <c r="K253" s="253"/>
      <c r="L253" s="253"/>
      <c r="M253" s="253"/>
      <c r="N253" s="253"/>
      <c r="O253" s="253"/>
      <c r="P253" s="253"/>
      <c r="Q253" s="253"/>
      <c r="R253" s="253"/>
      <c r="S253" s="253"/>
      <c r="T253" s="253"/>
      <c r="U253" s="253"/>
      <c r="V253" s="253"/>
      <c r="W253" s="253"/>
      <c r="X253" s="253"/>
      <c r="Y253" s="253"/>
    </row>
    <row r="254" spans="2:27" x14ac:dyDescent="0.25">
      <c r="C254" s="7" t="str">
        <f ca="1">INDEX('Version control'!$H$34:$H$58,MATCH($A$1,'Version control'!$F$34:$F$58,0),1)&amp;"-F: Capacity and exceeded capacity charges"</f>
        <v>Section 516-F: Capacity and exceeded capacity charges</v>
      </c>
      <c r="D254" s="7"/>
      <c r="E254" s="7"/>
      <c r="F254" s="7"/>
      <c r="G254" s="7"/>
      <c r="H254" s="7"/>
      <c r="I254" s="7"/>
      <c r="J254" s="243"/>
      <c r="K254" s="243"/>
      <c r="L254" s="243"/>
      <c r="M254" s="243"/>
      <c r="N254" s="243"/>
      <c r="O254" s="243"/>
      <c r="P254" s="243"/>
      <c r="Q254" s="243"/>
      <c r="R254" s="243"/>
      <c r="S254" s="243"/>
      <c r="T254" s="243"/>
      <c r="U254" s="243"/>
      <c r="V254" s="243"/>
      <c r="W254" s="243"/>
      <c r="X254" s="243"/>
      <c r="Y254" s="243"/>
      <c r="Z254" s="7"/>
      <c r="AA254" s="7"/>
    </row>
    <row r="255" spans="2:27" x14ac:dyDescent="0.25">
      <c r="J255" s="253"/>
      <c r="K255" s="253"/>
      <c r="L255" s="253"/>
      <c r="M255" s="253"/>
      <c r="N255" s="253"/>
      <c r="O255" s="253"/>
      <c r="P255" s="253"/>
      <c r="Q255" s="253"/>
      <c r="R255" s="253"/>
      <c r="S255" s="253"/>
      <c r="T255" s="253"/>
      <c r="U255" s="253"/>
      <c r="V255" s="253"/>
      <c r="W255" s="253"/>
      <c r="X255" s="253"/>
      <c r="Y255" s="253"/>
    </row>
    <row r="256" spans="2:27" x14ac:dyDescent="0.25">
      <c r="E256" s="295" t="s">
        <v>373</v>
      </c>
      <c r="G256" s="295" t="s">
        <v>308</v>
      </c>
      <c r="I256" s="295" t="s">
        <v>431</v>
      </c>
      <c r="J256" s="257">
        <f t="shared" ref="J256:Q256" si="148">SUM(J192:J203,J206:J217)</f>
        <v>0</v>
      </c>
      <c r="K256" s="257">
        <f t="shared" si="148"/>
        <v>0</v>
      </c>
      <c r="L256" s="257">
        <f t="shared" si="148"/>
        <v>0</v>
      </c>
      <c r="M256" s="257">
        <f t="shared" si="148"/>
        <v>0</v>
      </c>
      <c r="N256" s="257">
        <f t="shared" si="148"/>
        <v>2.498083735110924</v>
      </c>
      <c r="O256" s="257">
        <f t="shared" si="148"/>
        <v>4.5053338960962241</v>
      </c>
      <c r="P256" s="257">
        <f t="shared" si="148"/>
        <v>4.9643297738527297</v>
      </c>
      <c r="Q256" s="257">
        <f t="shared" si="148"/>
        <v>0</v>
      </c>
      <c r="R256" s="280"/>
      <c r="S256" s="280"/>
      <c r="T256" s="280"/>
      <c r="U256" s="280"/>
      <c r="V256" s="280"/>
      <c r="W256" s="280"/>
      <c r="X256" s="280"/>
      <c r="Y256" s="280"/>
      <c r="AA256" s="295" t="s">
        <v>849</v>
      </c>
    </row>
    <row r="257" spans="3:27" x14ac:dyDescent="0.25">
      <c r="E257" s="295" t="s">
        <v>372</v>
      </c>
      <c r="G257" s="295" t="s">
        <v>308</v>
      </c>
      <c r="I257" s="295" t="s">
        <v>431</v>
      </c>
      <c r="J257" s="257">
        <f t="shared" ref="J257:Q257" si="149">SUM(J222:J233,J236:J247)</f>
        <v>0</v>
      </c>
      <c r="K257" s="257">
        <f t="shared" si="149"/>
        <v>0</v>
      </c>
      <c r="L257" s="257">
        <f t="shared" si="149"/>
        <v>0</v>
      </c>
      <c r="M257" s="257">
        <f t="shared" si="149"/>
        <v>0</v>
      </c>
      <c r="N257" s="257">
        <f t="shared" si="149"/>
        <v>3.691279099689118</v>
      </c>
      <c r="O257" s="257">
        <f t="shared" si="149"/>
        <v>5.1392827901526239</v>
      </c>
      <c r="P257" s="257">
        <f t="shared" si="149"/>
        <v>6.1243810865470367</v>
      </c>
      <c r="Q257" s="257">
        <f t="shared" si="149"/>
        <v>0</v>
      </c>
      <c r="R257" s="280"/>
      <c r="S257" s="280"/>
      <c r="T257" s="280"/>
      <c r="U257" s="280"/>
      <c r="V257" s="280"/>
      <c r="W257" s="280"/>
      <c r="X257" s="280"/>
      <c r="Y257" s="280"/>
      <c r="AA257" s="295" t="s">
        <v>849</v>
      </c>
    </row>
    <row r="258" spans="3:27" x14ac:dyDescent="0.25">
      <c r="C258" s="86"/>
      <c r="J258" s="253"/>
      <c r="K258" s="253"/>
      <c r="L258" s="253"/>
      <c r="M258" s="253"/>
      <c r="N258" s="253"/>
      <c r="O258" s="253"/>
      <c r="P258" s="253"/>
      <c r="Q258" s="253"/>
      <c r="R258" s="253"/>
      <c r="S258" s="253"/>
      <c r="T258" s="253"/>
      <c r="U258" s="253"/>
      <c r="V258" s="253"/>
      <c r="W258" s="253"/>
      <c r="X258" s="253"/>
      <c r="Y258" s="253"/>
    </row>
    <row r="259" spans="3:27" x14ac:dyDescent="0.25">
      <c r="C259" s="7" t="str">
        <f ca="1">INDEX('Version control'!$H$34:$H$58,MATCH($A$1,'Version control'!$F$34:$F$58,0),1)&amp;"-G: Capacity elements allocated to fixed charges"</f>
        <v>Section 516-G: Capacity elements allocated to fixed charges</v>
      </c>
      <c r="D259" s="7"/>
      <c r="E259" s="7"/>
      <c r="F259" s="7"/>
      <c r="G259" s="7"/>
      <c r="H259" s="7"/>
      <c r="I259" s="7"/>
      <c r="J259" s="243"/>
      <c r="K259" s="243"/>
      <c r="L259" s="243"/>
      <c r="M259" s="243"/>
      <c r="N259" s="243"/>
      <c r="O259" s="243"/>
      <c r="P259" s="243"/>
      <c r="Q259" s="243"/>
      <c r="R259" s="243"/>
      <c r="S259" s="243"/>
      <c r="T259" s="243"/>
      <c r="U259" s="243"/>
      <c r="V259" s="243"/>
      <c r="W259" s="243"/>
      <c r="X259" s="243"/>
      <c r="Y259" s="243"/>
      <c r="Z259" s="7"/>
      <c r="AA259" s="7"/>
    </row>
    <row r="260" spans="3:27" x14ac:dyDescent="0.25">
      <c r="D260" s="96"/>
      <c r="E260" s="96"/>
      <c r="I260" s="295" t="s">
        <v>431</v>
      </c>
      <c r="J260" s="253"/>
      <c r="K260" s="253"/>
      <c r="L260" s="253"/>
      <c r="M260" s="253"/>
      <c r="N260" s="253"/>
      <c r="O260" s="253"/>
      <c r="P260" s="253"/>
      <c r="Q260" s="253"/>
      <c r="R260" s="253"/>
      <c r="S260" s="253"/>
      <c r="T260" s="253"/>
      <c r="U260" s="253"/>
      <c r="V260" s="253"/>
      <c r="W260" s="253"/>
      <c r="X260" s="253"/>
      <c r="Y260" s="253"/>
      <c r="AA260" s="295" t="s">
        <v>933</v>
      </c>
    </row>
    <row r="261" spans="3:27" x14ac:dyDescent="0.25">
      <c r="C261" s="86"/>
      <c r="D261" s="295"/>
      <c r="E261" s="96" t="s">
        <v>139</v>
      </c>
      <c r="J261" s="253"/>
      <c r="K261" s="253"/>
      <c r="L261" s="253"/>
      <c r="M261" s="253"/>
      <c r="N261" s="253"/>
      <c r="O261" s="253"/>
      <c r="P261" s="253"/>
      <c r="Q261" s="253"/>
      <c r="R261" s="253"/>
      <c r="S261" s="253"/>
      <c r="T261" s="253"/>
      <c r="U261" s="253"/>
      <c r="V261" s="253"/>
      <c r="W261" s="253"/>
      <c r="X261" s="253"/>
      <c r="Y261" s="253"/>
    </row>
    <row r="262" spans="3:27" x14ac:dyDescent="0.25">
      <c r="C262" s="86"/>
      <c r="D262" s="295"/>
      <c r="F262" s="91" t="s">
        <v>324</v>
      </c>
      <c r="G262" s="91" t="s">
        <v>308</v>
      </c>
      <c r="H262" s="91"/>
      <c r="I262" s="91"/>
      <c r="J262" s="239"/>
      <c r="K262" s="239"/>
      <c r="L262" s="239"/>
      <c r="M262" s="239"/>
      <c r="N262" s="239"/>
      <c r="O262" s="239"/>
      <c r="P262" s="239"/>
      <c r="Q262" s="239"/>
      <c r="R262" s="239"/>
      <c r="S262" s="239"/>
      <c r="T262" s="239"/>
      <c r="U262" s="239"/>
      <c r="V262" s="239"/>
      <c r="W262" s="239"/>
      <c r="X262" s="239"/>
      <c r="Y262" s="239"/>
    </row>
    <row r="263" spans="3:27" x14ac:dyDescent="0.25">
      <c r="C263" s="86"/>
      <c r="D263" s="295"/>
      <c r="F263" s="295" t="s">
        <v>43</v>
      </c>
      <c r="G263" s="295" t="s">
        <v>308</v>
      </c>
      <c r="J263" s="280"/>
      <c r="K263" s="280"/>
      <c r="L263" s="280"/>
      <c r="M263" s="280"/>
      <c r="N263" s="280"/>
      <c r="O263" s="280"/>
      <c r="P263" s="280"/>
      <c r="Q263" s="280"/>
      <c r="R263" s="280"/>
      <c r="S263" s="280"/>
      <c r="T263" s="280"/>
      <c r="U263" s="280"/>
      <c r="V263" s="280"/>
      <c r="W263" s="280"/>
      <c r="X263" s="280"/>
      <c r="Y263" s="280"/>
    </row>
    <row r="264" spans="3:27" x14ac:dyDescent="0.25">
      <c r="C264" s="86"/>
      <c r="D264" s="295"/>
      <c r="F264" s="295" t="s">
        <v>44</v>
      </c>
      <c r="G264" s="295" t="s">
        <v>308</v>
      </c>
      <c r="J264" s="257">
        <f t="shared" ref="J264:Q271" si="150">J$123 * J134</f>
        <v>0</v>
      </c>
      <c r="K264" s="257">
        <f t="shared" si="150"/>
        <v>0</v>
      </c>
      <c r="L264" s="257">
        <f t="shared" si="150"/>
        <v>0</v>
      </c>
      <c r="M264" s="257">
        <f t="shared" si="150"/>
        <v>0</v>
      </c>
      <c r="N264" s="257">
        <f t="shared" si="150"/>
        <v>0</v>
      </c>
      <c r="O264" s="257">
        <f t="shared" si="150"/>
        <v>0</v>
      </c>
      <c r="P264" s="257">
        <f t="shared" si="150"/>
        <v>0</v>
      </c>
      <c r="Q264" s="257">
        <f t="shared" si="150"/>
        <v>0</v>
      </c>
      <c r="R264" s="280"/>
      <c r="S264" s="280"/>
      <c r="T264" s="280"/>
      <c r="U264" s="280"/>
      <c r="V264" s="280"/>
      <c r="W264" s="280"/>
      <c r="X264" s="280"/>
      <c r="Y264" s="280"/>
    </row>
    <row r="265" spans="3:27" x14ac:dyDescent="0.25">
      <c r="C265" s="86"/>
      <c r="D265" s="295"/>
      <c r="F265" s="295" t="s">
        <v>45</v>
      </c>
      <c r="G265" s="295" t="s">
        <v>308</v>
      </c>
      <c r="J265" s="257">
        <f t="shared" si="150"/>
        <v>0</v>
      </c>
      <c r="K265" s="257">
        <f t="shared" si="150"/>
        <v>0</v>
      </c>
      <c r="L265" s="257">
        <f t="shared" si="150"/>
        <v>0</v>
      </c>
      <c r="M265" s="257">
        <f t="shared" si="150"/>
        <v>0</v>
      </c>
      <c r="N265" s="257">
        <f t="shared" si="150"/>
        <v>0</v>
      </c>
      <c r="O265" s="257">
        <f t="shared" si="150"/>
        <v>0</v>
      </c>
      <c r="P265" s="257">
        <f t="shared" si="150"/>
        <v>0</v>
      </c>
      <c r="Q265" s="257">
        <f t="shared" si="150"/>
        <v>0</v>
      </c>
      <c r="R265" s="280"/>
      <c r="S265" s="280"/>
      <c r="T265" s="280"/>
      <c r="U265" s="280"/>
      <c r="V265" s="280"/>
      <c r="W265" s="280"/>
      <c r="X265" s="280"/>
      <c r="Y265" s="280"/>
    </row>
    <row r="266" spans="3:27" x14ac:dyDescent="0.25">
      <c r="C266" s="86"/>
      <c r="D266" s="295"/>
      <c r="F266" s="295" t="s">
        <v>46</v>
      </c>
      <c r="G266" s="295" t="s">
        <v>308</v>
      </c>
      <c r="J266" s="257">
        <f t="shared" si="150"/>
        <v>0</v>
      </c>
      <c r="K266" s="257">
        <f t="shared" si="150"/>
        <v>0</v>
      </c>
      <c r="L266" s="257">
        <f t="shared" si="150"/>
        <v>0</v>
      </c>
      <c r="M266" s="257">
        <f t="shared" si="150"/>
        <v>0</v>
      </c>
      <c r="N266" s="257">
        <f t="shared" si="150"/>
        <v>0</v>
      </c>
      <c r="O266" s="257">
        <f t="shared" si="150"/>
        <v>0</v>
      </c>
      <c r="P266" s="257">
        <f t="shared" si="150"/>
        <v>0</v>
      </c>
      <c r="Q266" s="257">
        <f t="shared" si="150"/>
        <v>0</v>
      </c>
      <c r="R266" s="280"/>
      <c r="S266" s="280"/>
      <c r="T266" s="280"/>
      <c r="U266" s="280"/>
      <c r="V266" s="280"/>
      <c r="W266" s="280"/>
      <c r="X266" s="280"/>
      <c r="Y266" s="280"/>
    </row>
    <row r="267" spans="3:27" x14ac:dyDescent="0.25">
      <c r="C267" s="86"/>
      <c r="D267" s="295"/>
      <c r="F267" s="295" t="s">
        <v>47</v>
      </c>
      <c r="G267" s="295" t="s">
        <v>308</v>
      </c>
      <c r="J267" s="257">
        <f t="shared" si="150"/>
        <v>0</v>
      </c>
      <c r="K267" s="257">
        <f t="shared" si="150"/>
        <v>0</v>
      </c>
      <c r="L267" s="257">
        <f t="shared" si="150"/>
        <v>0</v>
      </c>
      <c r="M267" s="257">
        <f t="shared" si="150"/>
        <v>0</v>
      </c>
      <c r="N267" s="257">
        <f t="shared" si="150"/>
        <v>0</v>
      </c>
      <c r="O267" s="257">
        <f t="shared" si="150"/>
        <v>0</v>
      </c>
      <c r="P267" s="257">
        <f t="shared" si="150"/>
        <v>0</v>
      </c>
      <c r="Q267" s="257">
        <f t="shared" si="150"/>
        <v>0</v>
      </c>
      <c r="R267" s="280"/>
      <c r="S267" s="280"/>
      <c r="T267" s="280"/>
      <c r="U267" s="280"/>
      <c r="V267" s="280"/>
      <c r="W267" s="280"/>
      <c r="X267" s="280"/>
      <c r="Y267" s="280"/>
    </row>
    <row r="268" spans="3:27" x14ac:dyDescent="0.25">
      <c r="C268" s="86"/>
      <c r="D268" s="295"/>
      <c r="F268" s="295" t="s">
        <v>51</v>
      </c>
      <c r="G268" s="295" t="s">
        <v>308</v>
      </c>
      <c r="J268" s="257">
        <f t="shared" si="150"/>
        <v>0</v>
      </c>
      <c r="K268" s="257">
        <f t="shared" si="150"/>
        <v>0</v>
      </c>
      <c r="L268" s="257">
        <f t="shared" si="150"/>
        <v>0</v>
      </c>
      <c r="M268" s="257">
        <f t="shared" si="150"/>
        <v>0</v>
      </c>
      <c r="N268" s="257">
        <f t="shared" si="150"/>
        <v>0</v>
      </c>
      <c r="O268" s="257">
        <f t="shared" si="150"/>
        <v>0</v>
      </c>
      <c r="P268" s="257">
        <f t="shared" si="150"/>
        <v>0</v>
      </c>
      <c r="Q268" s="257">
        <f t="shared" si="150"/>
        <v>0</v>
      </c>
      <c r="R268" s="280"/>
      <c r="S268" s="280"/>
      <c r="T268" s="280"/>
      <c r="U268" s="280"/>
      <c r="V268" s="280"/>
      <c r="W268" s="280"/>
      <c r="X268" s="280"/>
      <c r="Y268" s="280"/>
    </row>
    <row r="269" spans="3:27" x14ac:dyDescent="0.25">
      <c r="C269" s="86"/>
      <c r="D269" s="295"/>
      <c r="F269" s="295" t="s">
        <v>48</v>
      </c>
      <c r="G269" s="295" t="s">
        <v>308</v>
      </c>
      <c r="J269" s="257">
        <f t="shared" si="150"/>
        <v>0</v>
      </c>
      <c r="K269" s="257">
        <f t="shared" si="150"/>
        <v>0</v>
      </c>
      <c r="L269" s="257">
        <f t="shared" si="150"/>
        <v>0</v>
      </c>
      <c r="M269" s="257">
        <f t="shared" si="150"/>
        <v>0</v>
      </c>
      <c r="N269" s="257">
        <f t="shared" si="150"/>
        <v>0</v>
      </c>
      <c r="O269" s="257">
        <f t="shared" si="150"/>
        <v>0</v>
      </c>
      <c r="P269" s="257">
        <f t="shared" si="150"/>
        <v>0</v>
      </c>
      <c r="Q269" s="257">
        <f t="shared" si="150"/>
        <v>0</v>
      </c>
      <c r="R269" s="280"/>
      <c r="S269" s="280"/>
      <c r="T269" s="280"/>
      <c r="U269" s="280"/>
      <c r="V269" s="280"/>
      <c r="W269" s="280"/>
      <c r="X269" s="280"/>
      <c r="Y269" s="280"/>
    </row>
    <row r="270" spans="3:27" x14ac:dyDescent="0.25">
      <c r="C270" s="86"/>
      <c r="D270" s="295"/>
      <c r="F270" s="295" t="s">
        <v>49</v>
      </c>
      <c r="G270" s="295" t="s">
        <v>308</v>
      </c>
      <c r="J270" s="257">
        <f t="shared" si="150"/>
        <v>0</v>
      </c>
      <c r="K270" s="257">
        <f t="shared" si="150"/>
        <v>0</v>
      </c>
      <c r="L270" s="257">
        <f t="shared" si="150"/>
        <v>0</v>
      </c>
      <c r="M270" s="257">
        <f t="shared" si="150"/>
        <v>0</v>
      </c>
      <c r="N270" s="257">
        <f t="shared" si="150"/>
        <v>0</v>
      </c>
      <c r="O270" s="257">
        <f t="shared" si="150"/>
        <v>0</v>
      </c>
      <c r="P270" s="257">
        <f t="shared" si="150"/>
        <v>0</v>
      </c>
      <c r="Q270" s="257">
        <f t="shared" si="150"/>
        <v>0</v>
      </c>
      <c r="R270" s="280"/>
      <c r="S270" s="280"/>
      <c r="T270" s="280"/>
      <c r="U270" s="280"/>
      <c r="V270" s="280"/>
      <c r="W270" s="280"/>
      <c r="X270" s="280"/>
      <c r="Y270" s="280"/>
    </row>
    <row r="271" spans="3:27" x14ac:dyDescent="0.25">
      <c r="C271" s="86"/>
      <c r="D271" s="295"/>
      <c r="F271" s="295" t="s">
        <v>50</v>
      </c>
      <c r="G271" s="295" t="s">
        <v>308</v>
      </c>
      <c r="J271" s="257">
        <f t="shared" si="150"/>
        <v>7.640178367250032E-2</v>
      </c>
      <c r="K271" s="257">
        <f t="shared" si="150"/>
        <v>0</v>
      </c>
      <c r="L271" s="257">
        <f t="shared" si="150"/>
        <v>7.640178367250032E-2</v>
      </c>
      <c r="M271" s="257">
        <f t="shared" si="150"/>
        <v>0</v>
      </c>
      <c r="N271" s="257">
        <f t="shared" si="150"/>
        <v>0</v>
      </c>
      <c r="O271" s="257">
        <f t="shared" si="150"/>
        <v>0</v>
      </c>
      <c r="P271" s="257">
        <f t="shared" si="150"/>
        <v>0</v>
      </c>
      <c r="Q271" s="257">
        <f t="shared" si="150"/>
        <v>0</v>
      </c>
      <c r="R271" s="280"/>
      <c r="S271" s="280"/>
      <c r="T271" s="280"/>
      <c r="U271" s="280"/>
      <c r="V271" s="280"/>
      <c r="W271" s="280"/>
      <c r="X271" s="280"/>
      <c r="Y271" s="280"/>
    </row>
    <row r="272" spans="3:27" x14ac:dyDescent="0.25">
      <c r="C272" s="86"/>
      <c r="D272" s="295"/>
      <c r="F272" s="295" t="s">
        <v>124</v>
      </c>
      <c r="G272" s="295" t="s">
        <v>308</v>
      </c>
      <c r="J272" s="280"/>
      <c r="K272" s="280"/>
      <c r="L272" s="280"/>
      <c r="M272" s="280"/>
      <c r="N272" s="280"/>
      <c r="O272" s="280"/>
      <c r="P272" s="280"/>
      <c r="Q272" s="280"/>
      <c r="R272" s="280"/>
      <c r="S272" s="280"/>
      <c r="T272" s="280"/>
      <c r="U272" s="280"/>
      <c r="V272" s="280"/>
      <c r="W272" s="280"/>
      <c r="X272" s="280"/>
      <c r="Y272" s="280"/>
    </row>
    <row r="273" spans="3:25" x14ac:dyDescent="0.25">
      <c r="C273" s="86"/>
      <c r="D273" s="295"/>
      <c r="F273" s="93" t="s">
        <v>123</v>
      </c>
      <c r="G273" s="93" t="s">
        <v>308</v>
      </c>
      <c r="H273" s="93"/>
      <c r="I273" s="93"/>
      <c r="J273" s="241"/>
      <c r="K273" s="241"/>
      <c r="L273" s="241"/>
      <c r="M273" s="241"/>
      <c r="N273" s="241"/>
      <c r="O273" s="241"/>
      <c r="P273" s="241"/>
      <c r="Q273" s="241"/>
      <c r="R273" s="241"/>
      <c r="S273" s="241"/>
      <c r="T273" s="241"/>
      <c r="U273" s="241"/>
      <c r="V273" s="241"/>
      <c r="W273" s="241"/>
      <c r="X273" s="241"/>
      <c r="Y273" s="241"/>
    </row>
    <row r="274" spans="3:25" x14ac:dyDescent="0.25">
      <c r="C274" s="86"/>
      <c r="D274" s="295"/>
      <c r="J274" s="253"/>
      <c r="K274" s="253"/>
      <c r="L274" s="253"/>
      <c r="M274" s="253"/>
      <c r="N274" s="253"/>
      <c r="O274" s="253"/>
      <c r="P274" s="253"/>
      <c r="Q274" s="253"/>
      <c r="R274" s="253"/>
      <c r="S274" s="253"/>
      <c r="T274" s="253"/>
      <c r="U274" s="253"/>
      <c r="V274" s="253"/>
      <c r="W274" s="253"/>
      <c r="X274" s="253"/>
      <c r="Y274" s="253"/>
    </row>
    <row r="275" spans="3:25" x14ac:dyDescent="0.25">
      <c r="C275" s="86"/>
      <c r="D275" s="295"/>
      <c r="E275" s="96" t="s">
        <v>140</v>
      </c>
      <c r="J275" s="253"/>
      <c r="K275" s="253"/>
      <c r="L275" s="253"/>
      <c r="M275" s="253"/>
      <c r="N275" s="253"/>
      <c r="O275" s="253"/>
      <c r="P275" s="253"/>
      <c r="Q275" s="253"/>
      <c r="R275" s="253"/>
      <c r="S275" s="253"/>
      <c r="T275" s="253"/>
      <c r="U275" s="253"/>
      <c r="V275" s="253"/>
      <c r="W275" s="253"/>
      <c r="X275" s="253"/>
      <c r="Y275" s="253"/>
    </row>
    <row r="276" spans="3:25" x14ac:dyDescent="0.25">
      <c r="C276" s="86"/>
      <c r="D276" s="295"/>
      <c r="F276" s="91" t="s">
        <v>324</v>
      </c>
      <c r="G276" s="91" t="s">
        <v>308</v>
      </c>
      <c r="H276" s="91"/>
      <c r="I276" s="91"/>
      <c r="J276" s="255">
        <f t="shared" ref="J276:Q285" si="151">J$123 * J146</f>
        <v>0</v>
      </c>
      <c r="K276" s="255">
        <f t="shared" si="151"/>
        <v>0</v>
      </c>
      <c r="L276" s="255">
        <f t="shared" si="151"/>
        <v>0</v>
      </c>
      <c r="M276" s="255">
        <f t="shared" si="151"/>
        <v>0</v>
      </c>
      <c r="N276" s="255">
        <f t="shared" si="151"/>
        <v>0</v>
      </c>
      <c r="O276" s="255">
        <f t="shared" si="151"/>
        <v>0</v>
      </c>
      <c r="P276" s="255">
        <f t="shared" si="151"/>
        <v>0</v>
      </c>
      <c r="Q276" s="255">
        <f t="shared" si="151"/>
        <v>0</v>
      </c>
      <c r="R276" s="239"/>
      <c r="S276" s="239"/>
      <c r="T276" s="239"/>
      <c r="U276" s="239"/>
      <c r="V276" s="239"/>
      <c r="W276" s="239"/>
      <c r="X276" s="239"/>
      <c r="Y276" s="239"/>
    </row>
    <row r="277" spans="3:25" x14ac:dyDescent="0.25">
      <c r="C277" s="86"/>
      <c r="D277" s="295"/>
      <c r="F277" s="295" t="s">
        <v>43</v>
      </c>
      <c r="G277" s="295" t="s">
        <v>308</v>
      </c>
      <c r="J277" s="257">
        <f t="shared" si="151"/>
        <v>0</v>
      </c>
      <c r="K277" s="257">
        <f t="shared" si="151"/>
        <v>0</v>
      </c>
      <c r="L277" s="257">
        <f t="shared" si="151"/>
        <v>0</v>
      </c>
      <c r="M277" s="257">
        <f t="shared" si="151"/>
        <v>0</v>
      </c>
      <c r="N277" s="257">
        <f t="shared" si="151"/>
        <v>0</v>
      </c>
      <c r="O277" s="257">
        <f t="shared" si="151"/>
        <v>0</v>
      </c>
      <c r="P277" s="257">
        <f t="shared" si="151"/>
        <v>0</v>
      </c>
      <c r="Q277" s="257">
        <f t="shared" si="151"/>
        <v>0</v>
      </c>
      <c r="R277" s="280"/>
      <c r="S277" s="280"/>
      <c r="T277" s="280"/>
      <c r="U277" s="280"/>
      <c r="V277" s="280"/>
      <c r="W277" s="280"/>
      <c r="X277" s="280"/>
      <c r="Y277" s="280"/>
    </row>
    <row r="278" spans="3:25" x14ac:dyDescent="0.25">
      <c r="C278" s="86"/>
      <c r="D278" s="295"/>
      <c r="F278" s="295" t="s">
        <v>44</v>
      </c>
      <c r="G278" s="295" t="s">
        <v>308</v>
      </c>
      <c r="J278" s="257">
        <f t="shared" si="151"/>
        <v>0</v>
      </c>
      <c r="K278" s="257">
        <f t="shared" si="151"/>
        <v>0</v>
      </c>
      <c r="L278" s="257">
        <f t="shared" si="151"/>
        <v>0</v>
      </c>
      <c r="M278" s="257">
        <f t="shared" si="151"/>
        <v>0</v>
      </c>
      <c r="N278" s="257">
        <f t="shared" si="151"/>
        <v>0</v>
      </c>
      <c r="O278" s="257">
        <f t="shared" si="151"/>
        <v>0</v>
      </c>
      <c r="P278" s="257">
        <f t="shared" si="151"/>
        <v>0</v>
      </c>
      <c r="Q278" s="257">
        <f t="shared" si="151"/>
        <v>0</v>
      </c>
      <c r="R278" s="280"/>
      <c r="S278" s="280"/>
      <c r="T278" s="280"/>
      <c r="U278" s="280"/>
      <c r="V278" s="280"/>
      <c r="W278" s="280"/>
      <c r="X278" s="280"/>
      <c r="Y278" s="280"/>
    </row>
    <row r="279" spans="3:25" x14ac:dyDescent="0.25">
      <c r="C279" s="86"/>
      <c r="D279" s="295"/>
      <c r="F279" s="295" t="s">
        <v>45</v>
      </c>
      <c r="G279" s="295" t="s">
        <v>308</v>
      </c>
      <c r="J279" s="257">
        <f t="shared" si="151"/>
        <v>0</v>
      </c>
      <c r="K279" s="257">
        <f t="shared" si="151"/>
        <v>0</v>
      </c>
      <c r="L279" s="257">
        <f t="shared" si="151"/>
        <v>0</v>
      </c>
      <c r="M279" s="257">
        <f t="shared" si="151"/>
        <v>0</v>
      </c>
      <c r="N279" s="257">
        <f t="shared" si="151"/>
        <v>0</v>
      </c>
      <c r="O279" s="257">
        <f t="shared" si="151"/>
        <v>0</v>
      </c>
      <c r="P279" s="257">
        <f t="shared" si="151"/>
        <v>0</v>
      </c>
      <c r="Q279" s="257">
        <f t="shared" si="151"/>
        <v>0</v>
      </c>
      <c r="R279" s="280"/>
      <c r="S279" s="280"/>
      <c r="T279" s="280"/>
      <c r="U279" s="280"/>
      <c r="V279" s="280"/>
      <c r="W279" s="280"/>
      <c r="X279" s="280"/>
      <c r="Y279" s="280"/>
    </row>
    <row r="280" spans="3:25" x14ac:dyDescent="0.25">
      <c r="C280" s="86"/>
      <c r="D280" s="295"/>
      <c r="F280" s="295" t="s">
        <v>46</v>
      </c>
      <c r="G280" s="295" t="s">
        <v>308</v>
      </c>
      <c r="J280" s="257">
        <f t="shared" si="151"/>
        <v>0</v>
      </c>
      <c r="K280" s="257">
        <f t="shared" si="151"/>
        <v>0</v>
      </c>
      <c r="L280" s="257">
        <f t="shared" si="151"/>
        <v>0</v>
      </c>
      <c r="M280" s="257">
        <f t="shared" si="151"/>
        <v>0</v>
      </c>
      <c r="N280" s="257">
        <f t="shared" si="151"/>
        <v>0</v>
      </c>
      <c r="O280" s="257">
        <f t="shared" si="151"/>
        <v>0</v>
      </c>
      <c r="P280" s="257">
        <f t="shared" si="151"/>
        <v>0</v>
      </c>
      <c r="Q280" s="257">
        <f t="shared" si="151"/>
        <v>0</v>
      </c>
      <c r="R280" s="280"/>
      <c r="S280" s="280"/>
      <c r="T280" s="280"/>
      <c r="U280" s="280"/>
      <c r="V280" s="280"/>
      <c r="W280" s="280"/>
      <c r="X280" s="280"/>
      <c r="Y280" s="280"/>
    </row>
    <row r="281" spans="3:25" x14ac:dyDescent="0.25">
      <c r="C281" s="86"/>
      <c r="D281" s="295"/>
      <c r="F281" s="295" t="s">
        <v>47</v>
      </c>
      <c r="G281" s="295" t="s">
        <v>308</v>
      </c>
      <c r="J281" s="257">
        <f t="shared" si="151"/>
        <v>0</v>
      </c>
      <c r="K281" s="257">
        <f t="shared" si="151"/>
        <v>0</v>
      </c>
      <c r="L281" s="257">
        <f t="shared" si="151"/>
        <v>0</v>
      </c>
      <c r="M281" s="257">
        <f t="shared" si="151"/>
        <v>0</v>
      </c>
      <c r="N281" s="257">
        <f t="shared" si="151"/>
        <v>0</v>
      </c>
      <c r="O281" s="257">
        <f t="shared" si="151"/>
        <v>0</v>
      </c>
      <c r="P281" s="257">
        <f t="shared" si="151"/>
        <v>0</v>
      </c>
      <c r="Q281" s="257">
        <f t="shared" si="151"/>
        <v>0</v>
      </c>
      <c r="R281" s="280"/>
      <c r="S281" s="280"/>
      <c r="T281" s="280"/>
      <c r="U281" s="280"/>
      <c r="V281" s="280"/>
      <c r="W281" s="280"/>
      <c r="X281" s="280"/>
      <c r="Y281" s="280"/>
    </row>
    <row r="282" spans="3:25" x14ac:dyDescent="0.25">
      <c r="C282" s="86"/>
      <c r="D282" s="295"/>
      <c r="F282" s="295" t="s">
        <v>51</v>
      </c>
      <c r="G282" s="295" t="s">
        <v>308</v>
      </c>
      <c r="J282" s="257">
        <f t="shared" si="151"/>
        <v>0</v>
      </c>
      <c r="K282" s="257">
        <f t="shared" si="151"/>
        <v>0</v>
      </c>
      <c r="L282" s="257">
        <f t="shared" si="151"/>
        <v>0</v>
      </c>
      <c r="M282" s="257">
        <f t="shared" si="151"/>
        <v>0</v>
      </c>
      <c r="N282" s="257">
        <f t="shared" si="151"/>
        <v>0</v>
      </c>
      <c r="O282" s="257">
        <f t="shared" si="151"/>
        <v>0</v>
      </c>
      <c r="P282" s="257">
        <f t="shared" si="151"/>
        <v>0</v>
      </c>
      <c r="Q282" s="257">
        <f t="shared" si="151"/>
        <v>0</v>
      </c>
      <c r="R282" s="280"/>
      <c r="S282" s="280"/>
      <c r="T282" s="280"/>
      <c r="U282" s="280"/>
      <c r="V282" s="280"/>
      <c r="W282" s="280"/>
      <c r="X282" s="280"/>
      <c r="Y282" s="280"/>
    </row>
    <row r="283" spans="3:25" x14ac:dyDescent="0.25">
      <c r="C283" s="86"/>
      <c r="D283" s="295"/>
      <c r="F283" s="295" t="s">
        <v>48</v>
      </c>
      <c r="G283" s="295" t="s">
        <v>308</v>
      </c>
      <c r="J283" s="257">
        <f t="shared" si="151"/>
        <v>0</v>
      </c>
      <c r="K283" s="257">
        <f t="shared" si="151"/>
        <v>0</v>
      </c>
      <c r="L283" s="257">
        <f t="shared" si="151"/>
        <v>0</v>
      </c>
      <c r="M283" s="257">
        <f t="shared" si="151"/>
        <v>0</v>
      </c>
      <c r="N283" s="257">
        <f t="shared" si="151"/>
        <v>0</v>
      </c>
      <c r="O283" s="257">
        <f t="shared" si="151"/>
        <v>0</v>
      </c>
      <c r="P283" s="257">
        <f t="shared" si="151"/>
        <v>0</v>
      </c>
      <c r="Q283" s="257">
        <f t="shared" si="151"/>
        <v>0</v>
      </c>
      <c r="R283" s="280"/>
      <c r="S283" s="280"/>
      <c r="T283" s="280"/>
      <c r="U283" s="280"/>
      <c r="V283" s="280"/>
      <c r="W283" s="280"/>
      <c r="X283" s="280"/>
      <c r="Y283" s="280"/>
    </row>
    <row r="284" spans="3:25" x14ac:dyDescent="0.25">
      <c r="C284" s="86"/>
      <c r="D284" s="295"/>
      <c r="F284" s="295" t="s">
        <v>49</v>
      </c>
      <c r="G284" s="295" t="s">
        <v>308</v>
      </c>
      <c r="J284" s="257">
        <f t="shared" si="151"/>
        <v>0</v>
      </c>
      <c r="K284" s="257">
        <f t="shared" si="151"/>
        <v>0</v>
      </c>
      <c r="L284" s="257">
        <f t="shared" si="151"/>
        <v>0</v>
      </c>
      <c r="M284" s="257">
        <f t="shared" si="151"/>
        <v>0</v>
      </c>
      <c r="N284" s="257">
        <f t="shared" si="151"/>
        <v>0</v>
      </c>
      <c r="O284" s="257">
        <f t="shared" si="151"/>
        <v>0</v>
      </c>
      <c r="P284" s="257">
        <f t="shared" si="151"/>
        <v>0</v>
      </c>
      <c r="Q284" s="257">
        <f t="shared" si="151"/>
        <v>0</v>
      </c>
      <c r="R284" s="280"/>
      <c r="S284" s="280"/>
      <c r="T284" s="280"/>
      <c r="U284" s="280"/>
      <c r="V284" s="280"/>
      <c r="W284" s="280"/>
      <c r="X284" s="280"/>
      <c r="Y284" s="280"/>
    </row>
    <row r="285" spans="3:25" x14ac:dyDescent="0.25">
      <c r="C285" s="86"/>
      <c r="D285" s="295"/>
      <c r="F285" s="295" t="s">
        <v>50</v>
      </c>
      <c r="G285" s="295" t="s">
        <v>308</v>
      </c>
      <c r="J285" s="257">
        <f t="shared" si="151"/>
        <v>0.74020135576371915</v>
      </c>
      <c r="K285" s="257">
        <f t="shared" si="151"/>
        <v>0</v>
      </c>
      <c r="L285" s="257">
        <f t="shared" si="151"/>
        <v>0.74020135576371915</v>
      </c>
      <c r="M285" s="257">
        <f t="shared" si="151"/>
        <v>0</v>
      </c>
      <c r="N285" s="257">
        <f t="shared" si="151"/>
        <v>0</v>
      </c>
      <c r="O285" s="257">
        <f t="shared" si="151"/>
        <v>0</v>
      </c>
      <c r="P285" s="257">
        <f t="shared" si="151"/>
        <v>0</v>
      </c>
      <c r="Q285" s="257">
        <f t="shared" si="151"/>
        <v>0</v>
      </c>
      <c r="R285" s="280"/>
      <c r="S285" s="280"/>
      <c r="T285" s="280"/>
      <c r="U285" s="280"/>
      <c r="V285" s="280"/>
      <c r="W285" s="280"/>
      <c r="X285" s="280"/>
      <c r="Y285" s="280"/>
    </row>
    <row r="286" spans="3:25" x14ac:dyDescent="0.25">
      <c r="C286" s="86"/>
      <c r="D286" s="295"/>
      <c r="F286" s="295" t="s">
        <v>124</v>
      </c>
      <c r="G286" s="295" t="s">
        <v>308</v>
      </c>
      <c r="J286" s="280"/>
      <c r="K286" s="280"/>
      <c r="L286" s="280"/>
      <c r="M286" s="280"/>
      <c r="N286" s="280"/>
      <c r="O286" s="280"/>
      <c r="P286" s="280"/>
      <c r="Q286" s="280"/>
      <c r="R286" s="280"/>
      <c r="S286" s="280"/>
      <c r="T286" s="280"/>
      <c r="U286" s="280"/>
      <c r="V286" s="280"/>
      <c r="W286" s="280"/>
      <c r="X286" s="280"/>
      <c r="Y286" s="280"/>
    </row>
    <row r="287" spans="3:25" x14ac:dyDescent="0.25">
      <c r="C287" s="86"/>
      <c r="D287" s="295"/>
      <c r="F287" s="93" t="s">
        <v>123</v>
      </c>
      <c r="G287" s="93" t="s">
        <v>308</v>
      </c>
      <c r="H287" s="93"/>
      <c r="I287" s="93"/>
      <c r="J287" s="241"/>
      <c r="K287" s="241"/>
      <c r="L287" s="241"/>
      <c r="M287" s="241"/>
      <c r="N287" s="241"/>
      <c r="O287" s="241"/>
      <c r="P287" s="241"/>
      <c r="Q287" s="241"/>
      <c r="R287" s="241"/>
      <c r="S287" s="241"/>
      <c r="T287" s="241"/>
      <c r="U287" s="241"/>
      <c r="V287" s="241"/>
      <c r="W287" s="241"/>
      <c r="X287" s="241"/>
      <c r="Y287" s="241"/>
    </row>
    <row r="288" spans="3:25" x14ac:dyDescent="0.25">
      <c r="C288" s="86"/>
    </row>
    <row r="289" spans="2:27" x14ac:dyDescent="0.25">
      <c r="B289" s="95" t="s">
        <v>109</v>
      </c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1" spans="2:27" x14ac:dyDescent="0.25">
      <c r="C291" s="86"/>
      <c r="E291" s="295" t="s">
        <v>516</v>
      </c>
      <c r="G291" s="122" t="s">
        <v>692</v>
      </c>
      <c r="H291" s="413">
        <f t="array" ref="H291">SUM(IF(ISERROR(H51:Y287), 1))</f>
        <v>0</v>
      </c>
    </row>
    <row r="293" spans="2:27" x14ac:dyDescent="0.25">
      <c r="E293" s="295" t="s">
        <v>643</v>
      </c>
      <c r="G293" s="122" t="s">
        <v>692</v>
      </c>
      <c r="H293" s="413">
        <f>SUM(J293:Y293)</f>
        <v>0</v>
      </c>
      <c r="J293" s="413">
        <f t="shared" ref="J293:Y293" si="152">IF(J121 + J123 &lt; 2, 0, 1)</f>
        <v>0</v>
      </c>
      <c r="K293" s="413">
        <f t="shared" si="152"/>
        <v>0</v>
      </c>
      <c r="L293" s="413">
        <f t="shared" si="152"/>
        <v>0</v>
      </c>
      <c r="M293" s="413">
        <f t="shared" si="152"/>
        <v>0</v>
      </c>
      <c r="N293" s="413">
        <f t="shared" si="152"/>
        <v>0</v>
      </c>
      <c r="O293" s="413">
        <f t="shared" si="152"/>
        <v>0</v>
      </c>
      <c r="P293" s="413">
        <f t="shared" si="152"/>
        <v>0</v>
      </c>
      <c r="Q293" s="413">
        <f t="shared" si="152"/>
        <v>0</v>
      </c>
      <c r="R293" s="413">
        <f t="shared" si="152"/>
        <v>0</v>
      </c>
      <c r="S293" s="413">
        <f t="shared" si="152"/>
        <v>0</v>
      </c>
      <c r="T293" s="413">
        <f t="shared" si="152"/>
        <v>0</v>
      </c>
      <c r="U293" s="413">
        <f t="shared" si="152"/>
        <v>0</v>
      </c>
      <c r="V293" s="413">
        <f t="shared" si="152"/>
        <v>0</v>
      </c>
      <c r="W293" s="413">
        <f t="shared" si="152"/>
        <v>0</v>
      </c>
      <c r="X293" s="413">
        <f t="shared" si="152"/>
        <v>0</v>
      </c>
      <c r="Y293" s="413">
        <f t="shared" si="152"/>
        <v>0</v>
      </c>
    </row>
    <row r="295" spans="2:27" x14ac:dyDescent="0.25">
      <c r="C295" s="86"/>
      <c r="E295" s="295" t="s">
        <v>446</v>
      </c>
      <c r="G295" s="122" t="s">
        <v>692</v>
      </c>
      <c r="H295" s="152">
        <f>H291 + H293</f>
        <v>0</v>
      </c>
    </row>
    <row r="297" spans="2:27" x14ac:dyDescent="0.25">
      <c r="B297" s="95" t="s">
        <v>110</v>
      </c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</sheetData>
  <sheetProtection sheet="1" objects="1" formatCells="0" formatColumns="0" formatRows="0" sort="0" autoFilter="0"/>
  <conditionalFormatting sqref="H291">
    <cfRule type="cellIs" dxfId="69" priority="20" operator="greaterThan">
      <formula>0</formula>
    </cfRule>
  </conditionalFormatting>
  <conditionalFormatting sqref="H293">
    <cfRule type="cellIs" dxfId="68" priority="19" operator="greaterThan">
      <formula>0</formula>
    </cfRule>
  </conditionalFormatting>
  <conditionalFormatting sqref="H295">
    <cfRule type="cellIs" dxfId="67" priority="18" operator="greaterThan">
      <formula>0</formula>
    </cfRule>
  </conditionalFormatting>
  <conditionalFormatting sqref="A4:I4 Z4:XFD4">
    <cfRule type="expression" dxfId="66" priority="17">
      <formula>LEFT($A$4,1) &lt;&gt; "0"</formula>
    </cfRule>
  </conditionalFormatting>
  <conditionalFormatting sqref="N293:P293">
    <cfRule type="cellIs" dxfId="65" priority="16" operator="greaterThan">
      <formula>0</formula>
    </cfRule>
  </conditionalFormatting>
  <conditionalFormatting sqref="N4:P4">
    <cfRule type="expression" dxfId="64" priority="15">
      <formula>LEFT($A$4,1) &lt;&gt; "0"</formula>
    </cfRule>
  </conditionalFormatting>
  <conditionalFormatting sqref="L293:M293">
    <cfRule type="cellIs" dxfId="63" priority="14" operator="greaterThan">
      <formula>0</formula>
    </cfRule>
  </conditionalFormatting>
  <conditionalFormatting sqref="L4:M4">
    <cfRule type="expression" dxfId="62" priority="13">
      <formula>LEFT($A$4,1) &lt;&gt; "0"</formula>
    </cfRule>
  </conditionalFormatting>
  <conditionalFormatting sqref="J293:K293">
    <cfRule type="cellIs" dxfId="61" priority="12" operator="greaterThan">
      <formula>0</formula>
    </cfRule>
  </conditionalFormatting>
  <conditionalFormatting sqref="J4:K4">
    <cfRule type="expression" dxfId="60" priority="11">
      <formula>LEFT($A$4,1) &lt;&gt; "0"</formula>
    </cfRule>
  </conditionalFormatting>
  <conditionalFormatting sqref="Q293">
    <cfRule type="cellIs" dxfId="59" priority="10" operator="greaterThan">
      <formula>0</formula>
    </cfRule>
  </conditionalFormatting>
  <conditionalFormatting sqref="Q4">
    <cfRule type="expression" dxfId="58" priority="9">
      <formula>LEFT($A$4,1) &lt;&gt; "0"</formula>
    </cfRule>
  </conditionalFormatting>
  <conditionalFormatting sqref="R293:S293">
    <cfRule type="cellIs" dxfId="57" priority="8" operator="greaterThan">
      <formula>0</formula>
    </cfRule>
  </conditionalFormatting>
  <conditionalFormatting sqref="R4:S4">
    <cfRule type="expression" dxfId="56" priority="7">
      <formula>LEFT($A$4,1) &lt;&gt; "0"</formula>
    </cfRule>
  </conditionalFormatting>
  <conditionalFormatting sqref="T293:U293">
    <cfRule type="cellIs" dxfId="55" priority="6" operator="greaterThan">
      <formula>0</formula>
    </cfRule>
  </conditionalFormatting>
  <conditionalFormatting sqref="T4:U4">
    <cfRule type="expression" dxfId="54" priority="5">
      <formula>LEFT($A$4,1) &lt;&gt; "0"</formula>
    </cfRule>
  </conditionalFormatting>
  <conditionalFormatting sqref="V293:W293">
    <cfRule type="cellIs" dxfId="53" priority="4" operator="greaterThan">
      <formula>0</formula>
    </cfRule>
  </conditionalFormatting>
  <conditionalFormatting sqref="V4:W4">
    <cfRule type="expression" dxfId="52" priority="3">
      <formula>LEFT($A$4,1) &lt;&gt; "0"</formula>
    </cfRule>
  </conditionalFormatting>
  <conditionalFormatting sqref="X293:Y293">
    <cfRule type="cellIs" dxfId="51" priority="2" operator="greaterThan">
      <formula>0</formula>
    </cfRule>
  </conditionalFormatting>
  <conditionalFormatting sqref="X4:Y4">
    <cfRule type="expression" dxfId="50" priority="1">
      <formula>LEFT($A$4,1) &lt;&gt; "0"</formula>
    </cfRule>
  </conditionalFormatting>
  <hyperlinks>
    <hyperlink ref="B5:F5" location="'Model map'!A1" display="Click here to return to model map" xr:uid="{00000000-0004-0000-1D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3">
    <tabColor theme="4" tint="0.59999389629810485"/>
    <pageSetUpPr fitToPage="1"/>
  </sheetPr>
  <dimension ref="A1:KZ169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12" width="24.5703125" style="295" hidden="1" customWidth="1"/>
    <col min="313" max="16384" width="8.5703125" style="295" hidden="1"/>
  </cols>
  <sheetData>
    <row r="1" spans="1:27" s="10" customFormat="1" x14ac:dyDescent="0.25">
      <c r="A1" s="10" t="str">
        <f ca="1">MID(CELL("filename",A1),FIND("]",CELL("filename",A1))+1,255)</f>
        <v>Fixed charges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1" t="str">
        <f>H165 &amp; IF(H165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2" t="s">
        <v>552</v>
      </c>
      <c r="C5" s="373"/>
      <c r="D5" s="373"/>
      <c r="E5" s="373"/>
      <c r="F5" s="373"/>
      <c r="G5" s="1" t="s">
        <v>91</v>
      </c>
      <c r="H5" s="2" t="s">
        <v>92</v>
      </c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D9" s="82" t="s">
        <v>476</v>
      </c>
      <c r="E9" s="295"/>
    </row>
    <row r="10" spans="1:27" x14ac:dyDescent="0.25">
      <c r="D10" s="301" t="s">
        <v>934</v>
      </c>
      <c r="E10" s="295"/>
    </row>
    <row r="11" spans="1:27" x14ac:dyDescent="0.25">
      <c r="D11" s="82" t="s">
        <v>477</v>
      </c>
      <c r="E11" s="295"/>
    </row>
    <row r="12" spans="1:27" x14ac:dyDescent="0.25">
      <c r="D12" s="301" t="s">
        <v>935</v>
      </c>
      <c r="E12" s="295"/>
    </row>
    <row r="14" spans="1:27" x14ac:dyDescent="0.25">
      <c r="B14" s="95" t="s">
        <v>767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6" spans="1:27" x14ac:dyDescent="0.25">
      <c r="C16" s="7" t="str">
        <f ca="1">INDEX('Version control'!$H$34:$H$58,MATCH($A$1,'Version control'!$F$34:$F$58,0),1)&amp;"-A: Volumes (discounted MPANs &amp; maximum load)"</f>
        <v>Section 517-A: Volumes (discounted MPANs &amp; maximum load)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3:27" x14ac:dyDescent="0.25">
      <c r="D17" s="295"/>
      <c r="E17" s="96"/>
      <c r="I17" s="295" t="s">
        <v>431</v>
      </c>
      <c r="AA17" s="295" t="s">
        <v>936</v>
      </c>
    </row>
    <row r="18" spans="3:27" x14ac:dyDescent="0.25">
      <c r="C18" s="86"/>
      <c r="E18" s="295" t="s">
        <v>474</v>
      </c>
      <c r="G18" s="295" t="s">
        <v>74</v>
      </c>
      <c r="J18" s="274">
        <f>'Volume adjustments'!J103</f>
        <v>1900944.7731327738</v>
      </c>
      <c r="K18" s="274">
        <f>'Volume adjustments'!K103</f>
        <v>100130.921763869</v>
      </c>
      <c r="L18" s="274">
        <f>'Volume adjustments'!L103</f>
        <v>126260.16198819576</v>
      </c>
      <c r="M18" s="274">
        <f>'Volume adjustments'!M103</f>
        <v>7441</v>
      </c>
      <c r="N18" s="274">
        <f>'Volume adjustments'!N103</f>
        <v>10688.330482751717</v>
      </c>
      <c r="O18" s="274">
        <f>'Volume adjustments'!O103</f>
        <v>235.94699537145465</v>
      </c>
      <c r="P18" s="274">
        <f>'Volume adjustments'!P103</f>
        <v>1279.4477972038226</v>
      </c>
      <c r="Q18" s="274">
        <f>'Volume adjustments'!Q103</f>
        <v>4906.9507149127448</v>
      </c>
      <c r="R18" s="274">
        <f>'Volume adjustments'!R103</f>
        <v>167</v>
      </c>
      <c r="S18" s="274">
        <f>'Volume adjustments'!S103</f>
        <v>4</v>
      </c>
      <c r="T18" s="274">
        <f>'Volume adjustments'!T103</f>
        <v>472</v>
      </c>
      <c r="U18" s="274">
        <f>'Volume adjustments'!U103</f>
        <v>0</v>
      </c>
      <c r="V18" s="274">
        <f>'Volume adjustments'!V103</f>
        <v>8</v>
      </c>
      <c r="W18" s="274">
        <f>'Volume adjustments'!W103</f>
        <v>0</v>
      </c>
      <c r="X18" s="274">
        <f>'Volume adjustments'!X103</f>
        <v>255</v>
      </c>
      <c r="Y18" s="274">
        <f>'Volume adjustments'!Y103</f>
        <v>0</v>
      </c>
    </row>
    <row r="19" spans="3:27" x14ac:dyDescent="0.25">
      <c r="C19" s="86"/>
      <c r="E19" s="295"/>
      <c r="J19" s="274"/>
      <c r="K19" s="274"/>
      <c r="L19" s="274"/>
      <c r="M19" s="274"/>
      <c r="N19" s="274"/>
      <c r="O19" s="274"/>
      <c r="P19" s="274"/>
      <c r="Q19" s="274"/>
      <c r="R19" s="274"/>
      <c r="S19" s="274"/>
      <c r="T19" s="274"/>
      <c r="U19" s="274"/>
      <c r="V19" s="274"/>
      <c r="W19" s="274"/>
      <c r="X19" s="274"/>
      <c r="Y19" s="274"/>
    </row>
    <row r="20" spans="3:27" x14ac:dyDescent="0.25">
      <c r="C20" s="86"/>
      <c r="E20" s="295" t="s">
        <v>304</v>
      </c>
      <c r="G20" s="295" t="s">
        <v>102</v>
      </c>
      <c r="H20" s="90"/>
      <c r="J20" s="274">
        <f>'System peak demand'!J200</f>
        <v>1482.2201033071178</v>
      </c>
      <c r="K20" s="274">
        <f>'System peak demand'!K200</f>
        <v>310.25539511865327</v>
      </c>
      <c r="L20" s="274">
        <f>'System peak demand'!L200</f>
        <v>603.09926192279704</v>
      </c>
      <c r="M20" s="274">
        <f>'System peak demand'!M200</f>
        <v>29.271123921146547</v>
      </c>
      <c r="N20" s="274">
        <f>'System peak demand'!N200</f>
        <v>577.18884698315355</v>
      </c>
      <c r="O20" s="274">
        <f>'System peak demand'!O200</f>
        <v>40.190979829404341</v>
      </c>
      <c r="P20" s="274">
        <f>'System peak demand'!P200</f>
        <v>537.444083952818</v>
      </c>
      <c r="Q20" s="274">
        <f>'System peak demand'!Q200</f>
        <v>63.804570784787025</v>
      </c>
      <c r="R20" s="274">
        <f>'System peak demand'!R200</f>
        <v>0</v>
      </c>
      <c r="S20" s="274">
        <f>'System peak demand'!S200</f>
        <v>0</v>
      </c>
      <c r="T20" s="274">
        <f>'System peak demand'!T200</f>
        <v>0</v>
      </c>
      <c r="U20" s="274">
        <f>'System peak demand'!U200</f>
        <v>0</v>
      </c>
      <c r="V20" s="274">
        <f>'System peak demand'!V200</f>
        <v>0</v>
      </c>
      <c r="W20" s="274">
        <f>'System peak demand'!W200</f>
        <v>0</v>
      </c>
      <c r="X20" s="274">
        <f>'System peak demand'!X200</f>
        <v>0</v>
      </c>
      <c r="Y20" s="274">
        <f>'System peak demand'!Y200</f>
        <v>0</v>
      </c>
    </row>
    <row r="21" spans="3:27" x14ac:dyDescent="0.25">
      <c r="J21" s="253"/>
      <c r="K21" s="253"/>
      <c r="L21" s="253"/>
      <c r="M21" s="253"/>
      <c r="N21" s="253"/>
      <c r="O21" s="253"/>
      <c r="P21" s="253"/>
      <c r="Q21" s="253"/>
      <c r="R21" s="253"/>
      <c r="S21" s="253"/>
      <c r="T21" s="253"/>
      <c r="U21" s="253"/>
      <c r="V21" s="253"/>
      <c r="W21" s="253"/>
      <c r="X21" s="253"/>
      <c r="Y21" s="253"/>
    </row>
    <row r="22" spans="3:27" x14ac:dyDescent="0.25">
      <c r="C22" s="7" t="str">
        <f ca="1">INDEX('Version control'!$H$34:$H$58,MATCH($A$1,'Version control'!$F$34:$F$58,0),1)&amp;"-B: Capacity elements allocated to fixed charges"</f>
        <v>Section 517-B: Capacity elements allocated to fixed charges</v>
      </c>
      <c r="D22" s="7"/>
      <c r="E22" s="7"/>
      <c r="F22" s="7"/>
      <c r="G22" s="7"/>
      <c r="H22" s="7"/>
      <c r="I22" s="7"/>
      <c r="J22" s="243"/>
      <c r="K22" s="243"/>
      <c r="L22" s="243"/>
      <c r="M22" s="243"/>
      <c r="N22" s="243"/>
      <c r="O22" s="243"/>
      <c r="P22" s="243"/>
      <c r="Q22" s="243"/>
      <c r="R22" s="243"/>
      <c r="S22" s="243"/>
      <c r="T22" s="243"/>
      <c r="U22" s="243"/>
      <c r="V22" s="243"/>
      <c r="W22" s="243"/>
      <c r="X22" s="243"/>
      <c r="Y22" s="243"/>
      <c r="Z22" s="7"/>
      <c r="AA22" s="7"/>
    </row>
    <row r="23" spans="3:27" x14ac:dyDescent="0.25">
      <c r="D23" s="295"/>
      <c r="E23" s="96"/>
      <c r="I23" s="295" t="s">
        <v>431</v>
      </c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AA23" s="295" t="s">
        <v>936</v>
      </c>
    </row>
    <row r="24" spans="3:27" x14ac:dyDescent="0.25">
      <c r="C24" s="86"/>
      <c r="E24" s="96" t="s">
        <v>139</v>
      </c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</row>
    <row r="25" spans="3:27" x14ac:dyDescent="0.25">
      <c r="C25" s="86"/>
      <c r="E25" s="82"/>
      <c r="F25" s="91" t="s">
        <v>324</v>
      </c>
      <c r="G25" s="91" t="s">
        <v>308</v>
      </c>
      <c r="H25" s="91"/>
      <c r="I25" s="91"/>
      <c r="J25" s="239"/>
      <c r="K25" s="239"/>
      <c r="L25" s="239"/>
      <c r="M25" s="239"/>
      <c r="N25" s="239"/>
      <c r="O25" s="239"/>
      <c r="P25" s="239"/>
      <c r="Q25" s="239"/>
      <c r="R25" s="239"/>
      <c r="S25" s="239"/>
      <c r="T25" s="239"/>
      <c r="U25" s="239"/>
      <c r="V25" s="239"/>
      <c r="W25" s="239"/>
      <c r="X25" s="239"/>
      <c r="Y25" s="239"/>
    </row>
    <row r="26" spans="3:27" x14ac:dyDescent="0.25">
      <c r="C26" s="86"/>
      <c r="E26" s="82"/>
      <c r="F26" s="295" t="s">
        <v>43</v>
      </c>
      <c r="G26" s="295" t="s">
        <v>308</v>
      </c>
      <c r="J26" s="280"/>
      <c r="K26" s="280"/>
      <c r="L26" s="280"/>
      <c r="M26" s="280"/>
      <c r="N26" s="280"/>
      <c r="O26" s="280"/>
      <c r="P26" s="280"/>
      <c r="Q26" s="280"/>
      <c r="R26" s="280"/>
      <c r="S26" s="280"/>
      <c r="T26" s="280"/>
      <c r="U26" s="280"/>
      <c r="V26" s="280"/>
      <c r="W26" s="280"/>
      <c r="X26" s="280"/>
      <c r="Y26" s="280"/>
    </row>
    <row r="27" spans="3:27" x14ac:dyDescent="0.25">
      <c r="C27" s="86"/>
      <c r="E27" s="82"/>
      <c r="F27" s="295" t="s">
        <v>44</v>
      </c>
      <c r="G27" s="295" t="s">
        <v>308</v>
      </c>
      <c r="J27" s="274">
        <f>'Capacity charges'!J264</f>
        <v>0</v>
      </c>
      <c r="K27" s="274">
        <f>'Capacity charges'!K264</f>
        <v>0</v>
      </c>
      <c r="L27" s="274">
        <f>'Capacity charges'!L264</f>
        <v>0</v>
      </c>
      <c r="M27" s="274">
        <f>'Capacity charges'!M264</f>
        <v>0</v>
      </c>
      <c r="N27" s="274">
        <f>'Capacity charges'!N264</f>
        <v>0</v>
      </c>
      <c r="O27" s="274">
        <f>'Capacity charges'!O264</f>
        <v>0</v>
      </c>
      <c r="P27" s="274">
        <f>'Capacity charges'!P264</f>
        <v>0</v>
      </c>
      <c r="Q27" s="274">
        <f>'Capacity charges'!Q264</f>
        <v>0</v>
      </c>
      <c r="R27" s="274">
        <f>'Capacity charges'!R264</f>
        <v>0</v>
      </c>
      <c r="S27" s="274">
        <f>'Capacity charges'!S264</f>
        <v>0</v>
      </c>
      <c r="T27" s="274">
        <f>'Capacity charges'!T264</f>
        <v>0</v>
      </c>
      <c r="U27" s="274">
        <f>'Capacity charges'!U264</f>
        <v>0</v>
      </c>
      <c r="V27" s="274">
        <f>'Capacity charges'!V264</f>
        <v>0</v>
      </c>
      <c r="W27" s="274">
        <f>'Capacity charges'!W264</f>
        <v>0</v>
      </c>
      <c r="X27" s="274">
        <f>'Capacity charges'!X264</f>
        <v>0</v>
      </c>
      <c r="Y27" s="274">
        <f>'Capacity charges'!Y264</f>
        <v>0</v>
      </c>
    </row>
    <row r="28" spans="3:27" x14ac:dyDescent="0.25">
      <c r="C28" s="86"/>
      <c r="E28" s="82"/>
      <c r="F28" s="295" t="s">
        <v>45</v>
      </c>
      <c r="G28" s="295" t="s">
        <v>308</v>
      </c>
      <c r="J28" s="274">
        <f>'Capacity charges'!J265</f>
        <v>0</v>
      </c>
      <c r="K28" s="274">
        <f>'Capacity charges'!K265</f>
        <v>0</v>
      </c>
      <c r="L28" s="274">
        <f>'Capacity charges'!L265</f>
        <v>0</v>
      </c>
      <c r="M28" s="274">
        <f>'Capacity charges'!M265</f>
        <v>0</v>
      </c>
      <c r="N28" s="274">
        <f>'Capacity charges'!N265</f>
        <v>0</v>
      </c>
      <c r="O28" s="274">
        <f>'Capacity charges'!O265</f>
        <v>0</v>
      </c>
      <c r="P28" s="274">
        <f>'Capacity charges'!P265</f>
        <v>0</v>
      </c>
      <c r="Q28" s="274">
        <f>'Capacity charges'!Q265</f>
        <v>0</v>
      </c>
      <c r="R28" s="274">
        <f>'Capacity charges'!R265</f>
        <v>0</v>
      </c>
      <c r="S28" s="274">
        <f>'Capacity charges'!S265</f>
        <v>0</v>
      </c>
      <c r="T28" s="274">
        <f>'Capacity charges'!T265</f>
        <v>0</v>
      </c>
      <c r="U28" s="274">
        <f>'Capacity charges'!U265</f>
        <v>0</v>
      </c>
      <c r="V28" s="274">
        <f>'Capacity charges'!V265</f>
        <v>0</v>
      </c>
      <c r="W28" s="274">
        <f>'Capacity charges'!W265</f>
        <v>0</v>
      </c>
      <c r="X28" s="274">
        <f>'Capacity charges'!X265</f>
        <v>0</v>
      </c>
      <c r="Y28" s="274">
        <f>'Capacity charges'!Y265</f>
        <v>0</v>
      </c>
    </row>
    <row r="29" spans="3:27" x14ac:dyDescent="0.25">
      <c r="C29" s="86"/>
      <c r="E29" s="82"/>
      <c r="F29" s="295" t="s">
        <v>46</v>
      </c>
      <c r="G29" s="295" t="s">
        <v>308</v>
      </c>
      <c r="J29" s="274">
        <f>'Capacity charges'!J266</f>
        <v>0</v>
      </c>
      <c r="K29" s="274">
        <f>'Capacity charges'!K266</f>
        <v>0</v>
      </c>
      <c r="L29" s="274">
        <f>'Capacity charges'!L266</f>
        <v>0</v>
      </c>
      <c r="M29" s="274">
        <f>'Capacity charges'!M266</f>
        <v>0</v>
      </c>
      <c r="N29" s="274">
        <f>'Capacity charges'!N266</f>
        <v>0</v>
      </c>
      <c r="O29" s="274">
        <f>'Capacity charges'!O266</f>
        <v>0</v>
      </c>
      <c r="P29" s="274">
        <f>'Capacity charges'!P266</f>
        <v>0</v>
      </c>
      <c r="Q29" s="274">
        <f>'Capacity charges'!Q266</f>
        <v>0</v>
      </c>
      <c r="R29" s="274">
        <f>'Capacity charges'!R266</f>
        <v>0</v>
      </c>
      <c r="S29" s="274">
        <f>'Capacity charges'!S266</f>
        <v>0</v>
      </c>
      <c r="T29" s="274">
        <f>'Capacity charges'!T266</f>
        <v>0</v>
      </c>
      <c r="U29" s="274">
        <f>'Capacity charges'!U266</f>
        <v>0</v>
      </c>
      <c r="V29" s="274">
        <f>'Capacity charges'!V266</f>
        <v>0</v>
      </c>
      <c r="W29" s="274">
        <f>'Capacity charges'!W266</f>
        <v>0</v>
      </c>
      <c r="X29" s="274">
        <f>'Capacity charges'!X266</f>
        <v>0</v>
      </c>
      <c r="Y29" s="274">
        <f>'Capacity charges'!Y266</f>
        <v>0</v>
      </c>
    </row>
    <row r="30" spans="3:27" x14ac:dyDescent="0.25">
      <c r="C30" s="86"/>
      <c r="E30" s="82"/>
      <c r="F30" s="295" t="s">
        <v>47</v>
      </c>
      <c r="G30" s="295" t="s">
        <v>308</v>
      </c>
      <c r="J30" s="274">
        <f>'Capacity charges'!J267</f>
        <v>0</v>
      </c>
      <c r="K30" s="274">
        <f>'Capacity charges'!K267</f>
        <v>0</v>
      </c>
      <c r="L30" s="274">
        <f>'Capacity charges'!L267</f>
        <v>0</v>
      </c>
      <c r="M30" s="274">
        <f>'Capacity charges'!M267</f>
        <v>0</v>
      </c>
      <c r="N30" s="274">
        <f>'Capacity charges'!N267</f>
        <v>0</v>
      </c>
      <c r="O30" s="274">
        <f>'Capacity charges'!O267</f>
        <v>0</v>
      </c>
      <c r="P30" s="274">
        <f>'Capacity charges'!P267</f>
        <v>0</v>
      </c>
      <c r="Q30" s="274">
        <f>'Capacity charges'!Q267</f>
        <v>0</v>
      </c>
      <c r="R30" s="274">
        <f>'Capacity charges'!R267</f>
        <v>0</v>
      </c>
      <c r="S30" s="274">
        <f>'Capacity charges'!S267</f>
        <v>0</v>
      </c>
      <c r="T30" s="274">
        <f>'Capacity charges'!T267</f>
        <v>0</v>
      </c>
      <c r="U30" s="274">
        <f>'Capacity charges'!U267</f>
        <v>0</v>
      </c>
      <c r="V30" s="274">
        <f>'Capacity charges'!V267</f>
        <v>0</v>
      </c>
      <c r="W30" s="274">
        <f>'Capacity charges'!W267</f>
        <v>0</v>
      </c>
      <c r="X30" s="274">
        <f>'Capacity charges'!X267</f>
        <v>0</v>
      </c>
      <c r="Y30" s="274">
        <f>'Capacity charges'!Y267</f>
        <v>0</v>
      </c>
    </row>
    <row r="31" spans="3:27" x14ac:dyDescent="0.25">
      <c r="C31" s="86"/>
      <c r="E31" s="82"/>
      <c r="F31" s="295" t="s">
        <v>51</v>
      </c>
      <c r="G31" s="295" t="s">
        <v>308</v>
      </c>
      <c r="J31" s="274">
        <f>'Capacity charges'!J268</f>
        <v>0</v>
      </c>
      <c r="K31" s="274">
        <f>'Capacity charges'!K268</f>
        <v>0</v>
      </c>
      <c r="L31" s="274">
        <f>'Capacity charges'!L268</f>
        <v>0</v>
      </c>
      <c r="M31" s="274">
        <f>'Capacity charges'!M268</f>
        <v>0</v>
      </c>
      <c r="N31" s="274">
        <f>'Capacity charges'!N268</f>
        <v>0</v>
      </c>
      <c r="O31" s="274">
        <f>'Capacity charges'!O268</f>
        <v>0</v>
      </c>
      <c r="P31" s="274">
        <f>'Capacity charges'!P268</f>
        <v>0</v>
      </c>
      <c r="Q31" s="274">
        <f>'Capacity charges'!Q268</f>
        <v>0</v>
      </c>
      <c r="R31" s="274">
        <f>'Capacity charges'!R268</f>
        <v>0</v>
      </c>
      <c r="S31" s="274">
        <f>'Capacity charges'!S268</f>
        <v>0</v>
      </c>
      <c r="T31" s="274">
        <f>'Capacity charges'!T268</f>
        <v>0</v>
      </c>
      <c r="U31" s="274">
        <f>'Capacity charges'!U268</f>
        <v>0</v>
      </c>
      <c r="V31" s="274">
        <f>'Capacity charges'!V268</f>
        <v>0</v>
      </c>
      <c r="W31" s="274">
        <f>'Capacity charges'!W268</f>
        <v>0</v>
      </c>
      <c r="X31" s="274">
        <f>'Capacity charges'!X268</f>
        <v>0</v>
      </c>
      <c r="Y31" s="274">
        <f>'Capacity charges'!Y268</f>
        <v>0</v>
      </c>
    </row>
    <row r="32" spans="3:27" x14ac:dyDescent="0.25">
      <c r="C32" s="86"/>
      <c r="E32" s="82"/>
      <c r="F32" s="295" t="s">
        <v>48</v>
      </c>
      <c r="G32" s="295" t="s">
        <v>308</v>
      </c>
      <c r="J32" s="274">
        <f>'Capacity charges'!J269</f>
        <v>0</v>
      </c>
      <c r="K32" s="274">
        <f>'Capacity charges'!K269</f>
        <v>0</v>
      </c>
      <c r="L32" s="274">
        <f>'Capacity charges'!L269</f>
        <v>0</v>
      </c>
      <c r="M32" s="274">
        <f>'Capacity charges'!M269</f>
        <v>0</v>
      </c>
      <c r="N32" s="274">
        <f>'Capacity charges'!N269</f>
        <v>0</v>
      </c>
      <c r="O32" s="274">
        <f>'Capacity charges'!O269</f>
        <v>0</v>
      </c>
      <c r="P32" s="274">
        <f>'Capacity charges'!P269</f>
        <v>0</v>
      </c>
      <c r="Q32" s="274">
        <f>'Capacity charges'!Q269</f>
        <v>0</v>
      </c>
      <c r="R32" s="274">
        <f>'Capacity charges'!R269</f>
        <v>0</v>
      </c>
      <c r="S32" s="274">
        <f>'Capacity charges'!S269</f>
        <v>0</v>
      </c>
      <c r="T32" s="274">
        <f>'Capacity charges'!T269</f>
        <v>0</v>
      </c>
      <c r="U32" s="274">
        <f>'Capacity charges'!U269</f>
        <v>0</v>
      </c>
      <c r="V32" s="274">
        <f>'Capacity charges'!V269</f>
        <v>0</v>
      </c>
      <c r="W32" s="274">
        <f>'Capacity charges'!W269</f>
        <v>0</v>
      </c>
      <c r="X32" s="274">
        <f>'Capacity charges'!X269</f>
        <v>0</v>
      </c>
      <c r="Y32" s="274">
        <f>'Capacity charges'!Y269</f>
        <v>0</v>
      </c>
    </row>
    <row r="33" spans="3:25" x14ac:dyDescent="0.25">
      <c r="C33" s="86"/>
      <c r="E33" s="82"/>
      <c r="F33" s="295" t="s">
        <v>49</v>
      </c>
      <c r="G33" s="295" t="s">
        <v>308</v>
      </c>
      <c r="J33" s="274">
        <f>'Capacity charges'!J270</f>
        <v>0</v>
      </c>
      <c r="K33" s="274">
        <f>'Capacity charges'!K270</f>
        <v>0</v>
      </c>
      <c r="L33" s="274">
        <f>'Capacity charges'!L270</f>
        <v>0</v>
      </c>
      <c r="M33" s="274">
        <f>'Capacity charges'!M270</f>
        <v>0</v>
      </c>
      <c r="N33" s="274">
        <f>'Capacity charges'!N270</f>
        <v>0</v>
      </c>
      <c r="O33" s="274">
        <f>'Capacity charges'!O270</f>
        <v>0</v>
      </c>
      <c r="P33" s="274">
        <f>'Capacity charges'!P270</f>
        <v>0</v>
      </c>
      <c r="Q33" s="274">
        <f>'Capacity charges'!Q270</f>
        <v>0</v>
      </c>
      <c r="R33" s="274">
        <f>'Capacity charges'!R270</f>
        <v>0</v>
      </c>
      <c r="S33" s="274">
        <f>'Capacity charges'!S270</f>
        <v>0</v>
      </c>
      <c r="T33" s="274">
        <f>'Capacity charges'!T270</f>
        <v>0</v>
      </c>
      <c r="U33" s="274">
        <f>'Capacity charges'!U270</f>
        <v>0</v>
      </c>
      <c r="V33" s="274">
        <f>'Capacity charges'!V270</f>
        <v>0</v>
      </c>
      <c r="W33" s="274">
        <f>'Capacity charges'!W270</f>
        <v>0</v>
      </c>
      <c r="X33" s="274">
        <f>'Capacity charges'!X270</f>
        <v>0</v>
      </c>
      <c r="Y33" s="274">
        <f>'Capacity charges'!Y270</f>
        <v>0</v>
      </c>
    </row>
    <row r="34" spans="3:25" x14ac:dyDescent="0.25">
      <c r="C34" s="86"/>
      <c r="E34" s="82"/>
      <c r="F34" s="295" t="s">
        <v>50</v>
      </c>
      <c r="G34" s="295" t="s">
        <v>308</v>
      </c>
      <c r="J34" s="274">
        <f>'Capacity charges'!J271</f>
        <v>7.640178367250032E-2</v>
      </c>
      <c r="K34" s="274">
        <f>'Capacity charges'!K271</f>
        <v>0</v>
      </c>
      <c r="L34" s="274">
        <f>'Capacity charges'!L271</f>
        <v>7.640178367250032E-2</v>
      </c>
      <c r="M34" s="274">
        <f>'Capacity charges'!M271</f>
        <v>0</v>
      </c>
      <c r="N34" s="274">
        <f>'Capacity charges'!N271</f>
        <v>0</v>
      </c>
      <c r="O34" s="274">
        <f>'Capacity charges'!O271</f>
        <v>0</v>
      </c>
      <c r="P34" s="274">
        <f>'Capacity charges'!P271</f>
        <v>0</v>
      </c>
      <c r="Q34" s="274">
        <f>'Capacity charges'!Q271</f>
        <v>0</v>
      </c>
      <c r="R34" s="274">
        <f>'Capacity charges'!R271</f>
        <v>0</v>
      </c>
      <c r="S34" s="274">
        <f>'Capacity charges'!S271</f>
        <v>0</v>
      </c>
      <c r="T34" s="274">
        <f>'Capacity charges'!T271</f>
        <v>0</v>
      </c>
      <c r="U34" s="274">
        <f>'Capacity charges'!U271</f>
        <v>0</v>
      </c>
      <c r="V34" s="274">
        <f>'Capacity charges'!V271</f>
        <v>0</v>
      </c>
      <c r="W34" s="274">
        <f>'Capacity charges'!W271</f>
        <v>0</v>
      </c>
      <c r="X34" s="274">
        <f>'Capacity charges'!X271</f>
        <v>0</v>
      </c>
      <c r="Y34" s="274">
        <f>'Capacity charges'!Y271</f>
        <v>0</v>
      </c>
    </row>
    <row r="35" spans="3:25" x14ac:dyDescent="0.25">
      <c r="C35" s="86"/>
      <c r="E35" s="82"/>
      <c r="F35" s="295" t="s">
        <v>124</v>
      </c>
      <c r="G35" s="295" t="s">
        <v>308</v>
      </c>
      <c r="J35" s="280"/>
      <c r="K35" s="280"/>
      <c r="L35" s="280"/>
      <c r="M35" s="280"/>
      <c r="N35" s="280"/>
      <c r="O35" s="280"/>
      <c r="P35" s="280"/>
      <c r="Q35" s="280"/>
      <c r="R35" s="280"/>
      <c r="S35" s="280"/>
      <c r="T35" s="280"/>
      <c r="U35" s="280"/>
      <c r="V35" s="280"/>
      <c r="W35" s="280"/>
      <c r="X35" s="280"/>
      <c r="Y35" s="280"/>
    </row>
    <row r="36" spans="3:25" x14ac:dyDescent="0.25">
      <c r="C36" s="86"/>
      <c r="E36" s="82"/>
      <c r="F36" s="93" t="s">
        <v>123</v>
      </c>
      <c r="G36" s="93" t="s">
        <v>308</v>
      </c>
      <c r="H36" s="93"/>
      <c r="I36" s="93"/>
      <c r="J36" s="241"/>
      <c r="K36" s="241"/>
      <c r="L36" s="241"/>
      <c r="M36" s="241"/>
      <c r="N36" s="241"/>
      <c r="O36" s="241"/>
      <c r="P36" s="241"/>
      <c r="Q36" s="241"/>
      <c r="R36" s="241"/>
      <c r="S36" s="241"/>
      <c r="T36" s="241"/>
      <c r="U36" s="241"/>
      <c r="V36" s="241"/>
      <c r="W36" s="241"/>
      <c r="X36" s="241"/>
      <c r="Y36" s="241"/>
    </row>
    <row r="37" spans="3:25" x14ac:dyDescent="0.25">
      <c r="C37" s="86"/>
      <c r="D37" s="295"/>
      <c r="E37" s="82"/>
      <c r="J37" s="253"/>
      <c r="K37" s="253"/>
      <c r="L37" s="253"/>
      <c r="M37" s="253"/>
      <c r="N37" s="253"/>
      <c r="O37" s="253"/>
      <c r="P37" s="253"/>
      <c r="Q37" s="253"/>
      <c r="R37" s="253"/>
      <c r="S37" s="253"/>
      <c r="T37" s="253"/>
      <c r="U37" s="253"/>
      <c r="V37" s="253"/>
      <c r="W37" s="253"/>
      <c r="X37" s="253"/>
      <c r="Y37" s="253"/>
    </row>
    <row r="38" spans="3:25" x14ac:dyDescent="0.25">
      <c r="C38" s="86"/>
      <c r="E38" s="96" t="s">
        <v>116</v>
      </c>
      <c r="J38" s="253"/>
      <c r="K38" s="253"/>
      <c r="L38" s="253"/>
      <c r="M38" s="253"/>
      <c r="N38" s="253"/>
      <c r="O38" s="253"/>
      <c r="P38" s="253"/>
      <c r="Q38" s="253"/>
      <c r="R38" s="253"/>
      <c r="S38" s="253"/>
      <c r="T38" s="253"/>
      <c r="U38" s="253"/>
      <c r="V38" s="253"/>
      <c r="W38" s="253"/>
      <c r="X38" s="253"/>
      <c r="Y38" s="253"/>
    </row>
    <row r="39" spans="3:25" x14ac:dyDescent="0.25">
      <c r="C39" s="86"/>
      <c r="F39" s="91" t="s">
        <v>324</v>
      </c>
      <c r="G39" s="91" t="s">
        <v>308</v>
      </c>
      <c r="H39" s="91"/>
      <c r="I39" s="91"/>
      <c r="J39" s="273">
        <f>'Capacity charges'!J276</f>
        <v>0</v>
      </c>
      <c r="K39" s="273">
        <f>'Capacity charges'!K276</f>
        <v>0</v>
      </c>
      <c r="L39" s="273">
        <f>'Capacity charges'!L276</f>
        <v>0</v>
      </c>
      <c r="M39" s="273">
        <f>'Capacity charges'!M276</f>
        <v>0</v>
      </c>
      <c r="N39" s="273">
        <f>'Capacity charges'!N276</f>
        <v>0</v>
      </c>
      <c r="O39" s="273">
        <f>'Capacity charges'!O276</f>
        <v>0</v>
      </c>
      <c r="P39" s="273">
        <f>'Capacity charges'!P276</f>
        <v>0</v>
      </c>
      <c r="Q39" s="273">
        <f>'Capacity charges'!Q276</f>
        <v>0</v>
      </c>
      <c r="R39" s="273">
        <f>'Capacity charges'!R276</f>
        <v>0</v>
      </c>
      <c r="S39" s="273">
        <f>'Capacity charges'!S276</f>
        <v>0</v>
      </c>
      <c r="T39" s="273">
        <f>'Capacity charges'!T276</f>
        <v>0</v>
      </c>
      <c r="U39" s="273">
        <f>'Capacity charges'!U276</f>
        <v>0</v>
      </c>
      <c r="V39" s="273">
        <f>'Capacity charges'!V276</f>
        <v>0</v>
      </c>
      <c r="W39" s="273">
        <f>'Capacity charges'!W276</f>
        <v>0</v>
      </c>
      <c r="X39" s="273">
        <f>'Capacity charges'!X276</f>
        <v>0</v>
      </c>
      <c r="Y39" s="273">
        <f>'Capacity charges'!Y276</f>
        <v>0</v>
      </c>
    </row>
    <row r="40" spans="3:25" x14ac:dyDescent="0.25">
      <c r="C40" s="86"/>
      <c r="F40" s="295" t="s">
        <v>43</v>
      </c>
      <c r="G40" s="295" t="s">
        <v>308</v>
      </c>
      <c r="J40" s="274">
        <f>'Capacity charges'!J277</f>
        <v>0</v>
      </c>
      <c r="K40" s="274">
        <f>'Capacity charges'!K277</f>
        <v>0</v>
      </c>
      <c r="L40" s="274">
        <f>'Capacity charges'!L277</f>
        <v>0</v>
      </c>
      <c r="M40" s="274">
        <f>'Capacity charges'!M277</f>
        <v>0</v>
      </c>
      <c r="N40" s="274">
        <f>'Capacity charges'!N277</f>
        <v>0</v>
      </c>
      <c r="O40" s="274">
        <f>'Capacity charges'!O277</f>
        <v>0</v>
      </c>
      <c r="P40" s="274">
        <f>'Capacity charges'!P277</f>
        <v>0</v>
      </c>
      <c r="Q40" s="274">
        <f>'Capacity charges'!Q277</f>
        <v>0</v>
      </c>
      <c r="R40" s="274">
        <f>'Capacity charges'!R277</f>
        <v>0</v>
      </c>
      <c r="S40" s="274">
        <f>'Capacity charges'!S277</f>
        <v>0</v>
      </c>
      <c r="T40" s="274">
        <f>'Capacity charges'!T277</f>
        <v>0</v>
      </c>
      <c r="U40" s="274">
        <f>'Capacity charges'!U277</f>
        <v>0</v>
      </c>
      <c r="V40" s="274">
        <f>'Capacity charges'!V277</f>
        <v>0</v>
      </c>
      <c r="W40" s="274">
        <f>'Capacity charges'!W277</f>
        <v>0</v>
      </c>
      <c r="X40" s="274">
        <f>'Capacity charges'!X277</f>
        <v>0</v>
      </c>
      <c r="Y40" s="274">
        <f>'Capacity charges'!Y277</f>
        <v>0</v>
      </c>
    </row>
    <row r="41" spans="3:25" x14ac:dyDescent="0.25">
      <c r="C41" s="86"/>
      <c r="F41" s="295" t="s">
        <v>44</v>
      </c>
      <c r="G41" s="295" t="s">
        <v>308</v>
      </c>
      <c r="J41" s="274">
        <f>'Capacity charges'!J278</f>
        <v>0</v>
      </c>
      <c r="K41" s="274">
        <f>'Capacity charges'!K278</f>
        <v>0</v>
      </c>
      <c r="L41" s="274">
        <f>'Capacity charges'!L278</f>
        <v>0</v>
      </c>
      <c r="M41" s="274">
        <f>'Capacity charges'!M278</f>
        <v>0</v>
      </c>
      <c r="N41" s="274">
        <f>'Capacity charges'!N278</f>
        <v>0</v>
      </c>
      <c r="O41" s="274">
        <f>'Capacity charges'!O278</f>
        <v>0</v>
      </c>
      <c r="P41" s="274">
        <f>'Capacity charges'!P278</f>
        <v>0</v>
      </c>
      <c r="Q41" s="274">
        <f>'Capacity charges'!Q278</f>
        <v>0</v>
      </c>
      <c r="R41" s="274">
        <f>'Capacity charges'!R278</f>
        <v>0</v>
      </c>
      <c r="S41" s="274">
        <f>'Capacity charges'!S278</f>
        <v>0</v>
      </c>
      <c r="T41" s="274">
        <f>'Capacity charges'!T278</f>
        <v>0</v>
      </c>
      <c r="U41" s="274">
        <f>'Capacity charges'!U278</f>
        <v>0</v>
      </c>
      <c r="V41" s="274">
        <f>'Capacity charges'!V278</f>
        <v>0</v>
      </c>
      <c r="W41" s="274">
        <f>'Capacity charges'!W278</f>
        <v>0</v>
      </c>
      <c r="X41" s="274">
        <f>'Capacity charges'!X278</f>
        <v>0</v>
      </c>
      <c r="Y41" s="274">
        <f>'Capacity charges'!Y278</f>
        <v>0</v>
      </c>
    </row>
    <row r="42" spans="3:25" x14ac:dyDescent="0.25">
      <c r="C42" s="86"/>
      <c r="F42" s="295" t="s">
        <v>45</v>
      </c>
      <c r="G42" s="295" t="s">
        <v>308</v>
      </c>
      <c r="J42" s="274">
        <f>'Capacity charges'!J279</f>
        <v>0</v>
      </c>
      <c r="K42" s="274">
        <f>'Capacity charges'!K279</f>
        <v>0</v>
      </c>
      <c r="L42" s="274">
        <f>'Capacity charges'!L279</f>
        <v>0</v>
      </c>
      <c r="M42" s="274">
        <f>'Capacity charges'!M279</f>
        <v>0</v>
      </c>
      <c r="N42" s="274">
        <f>'Capacity charges'!N279</f>
        <v>0</v>
      </c>
      <c r="O42" s="274">
        <f>'Capacity charges'!O279</f>
        <v>0</v>
      </c>
      <c r="P42" s="274">
        <f>'Capacity charges'!P279</f>
        <v>0</v>
      </c>
      <c r="Q42" s="274">
        <f>'Capacity charges'!Q279</f>
        <v>0</v>
      </c>
      <c r="R42" s="274">
        <f>'Capacity charges'!R279</f>
        <v>0</v>
      </c>
      <c r="S42" s="274">
        <f>'Capacity charges'!S279</f>
        <v>0</v>
      </c>
      <c r="T42" s="274">
        <f>'Capacity charges'!T279</f>
        <v>0</v>
      </c>
      <c r="U42" s="274">
        <f>'Capacity charges'!U279</f>
        <v>0</v>
      </c>
      <c r="V42" s="274">
        <f>'Capacity charges'!V279</f>
        <v>0</v>
      </c>
      <c r="W42" s="274">
        <f>'Capacity charges'!W279</f>
        <v>0</v>
      </c>
      <c r="X42" s="274">
        <f>'Capacity charges'!X279</f>
        <v>0</v>
      </c>
      <c r="Y42" s="274">
        <f>'Capacity charges'!Y279</f>
        <v>0</v>
      </c>
    </row>
    <row r="43" spans="3:25" x14ac:dyDescent="0.25">
      <c r="C43" s="86"/>
      <c r="F43" s="295" t="s">
        <v>46</v>
      </c>
      <c r="G43" s="295" t="s">
        <v>308</v>
      </c>
      <c r="J43" s="274">
        <f>'Capacity charges'!J280</f>
        <v>0</v>
      </c>
      <c r="K43" s="274">
        <f>'Capacity charges'!K280</f>
        <v>0</v>
      </c>
      <c r="L43" s="274">
        <f>'Capacity charges'!L280</f>
        <v>0</v>
      </c>
      <c r="M43" s="274">
        <f>'Capacity charges'!M280</f>
        <v>0</v>
      </c>
      <c r="N43" s="274">
        <f>'Capacity charges'!N280</f>
        <v>0</v>
      </c>
      <c r="O43" s="274">
        <f>'Capacity charges'!O280</f>
        <v>0</v>
      </c>
      <c r="P43" s="274">
        <f>'Capacity charges'!P280</f>
        <v>0</v>
      </c>
      <c r="Q43" s="274">
        <f>'Capacity charges'!Q280</f>
        <v>0</v>
      </c>
      <c r="R43" s="274">
        <f>'Capacity charges'!R280</f>
        <v>0</v>
      </c>
      <c r="S43" s="274">
        <f>'Capacity charges'!S280</f>
        <v>0</v>
      </c>
      <c r="T43" s="274">
        <f>'Capacity charges'!T280</f>
        <v>0</v>
      </c>
      <c r="U43" s="274">
        <f>'Capacity charges'!U280</f>
        <v>0</v>
      </c>
      <c r="V43" s="274">
        <f>'Capacity charges'!V280</f>
        <v>0</v>
      </c>
      <c r="W43" s="274">
        <f>'Capacity charges'!W280</f>
        <v>0</v>
      </c>
      <c r="X43" s="274">
        <f>'Capacity charges'!X280</f>
        <v>0</v>
      </c>
      <c r="Y43" s="274">
        <f>'Capacity charges'!Y280</f>
        <v>0</v>
      </c>
    </row>
    <row r="44" spans="3:25" x14ac:dyDescent="0.25">
      <c r="C44" s="86"/>
      <c r="F44" s="295" t="s">
        <v>47</v>
      </c>
      <c r="G44" s="295" t="s">
        <v>308</v>
      </c>
      <c r="J44" s="274">
        <f>'Capacity charges'!J281</f>
        <v>0</v>
      </c>
      <c r="K44" s="274">
        <f>'Capacity charges'!K281</f>
        <v>0</v>
      </c>
      <c r="L44" s="274">
        <f>'Capacity charges'!L281</f>
        <v>0</v>
      </c>
      <c r="M44" s="274">
        <f>'Capacity charges'!M281</f>
        <v>0</v>
      </c>
      <c r="N44" s="274">
        <f>'Capacity charges'!N281</f>
        <v>0</v>
      </c>
      <c r="O44" s="274">
        <f>'Capacity charges'!O281</f>
        <v>0</v>
      </c>
      <c r="P44" s="274">
        <f>'Capacity charges'!P281</f>
        <v>0</v>
      </c>
      <c r="Q44" s="274">
        <f>'Capacity charges'!Q281</f>
        <v>0</v>
      </c>
      <c r="R44" s="274">
        <f>'Capacity charges'!R281</f>
        <v>0</v>
      </c>
      <c r="S44" s="274">
        <f>'Capacity charges'!S281</f>
        <v>0</v>
      </c>
      <c r="T44" s="274">
        <f>'Capacity charges'!T281</f>
        <v>0</v>
      </c>
      <c r="U44" s="274">
        <f>'Capacity charges'!U281</f>
        <v>0</v>
      </c>
      <c r="V44" s="274">
        <f>'Capacity charges'!V281</f>
        <v>0</v>
      </c>
      <c r="W44" s="274">
        <f>'Capacity charges'!W281</f>
        <v>0</v>
      </c>
      <c r="X44" s="274">
        <f>'Capacity charges'!X281</f>
        <v>0</v>
      </c>
      <c r="Y44" s="274">
        <f>'Capacity charges'!Y281</f>
        <v>0</v>
      </c>
    </row>
    <row r="45" spans="3:25" x14ac:dyDescent="0.25">
      <c r="C45" s="86"/>
      <c r="F45" s="295" t="s">
        <v>51</v>
      </c>
      <c r="G45" s="295" t="s">
        <v>308</v>
      </c>
      <c r="J45" s="274">
        <f>'Capacity charges'!J282</f>
        <v>0</v>
      </c>
      <c r="K45" s="274">
        <f>'Capacity charges'!K282</f>
        <v>0</v>
      </c>
      <c r="L45" s="274">
        <f>'Capacity charges'!L282</f>
        <v>0</v>
      </c>
      <c r="M45" s="274">
        <f>'Capacity charges'!M282</f>
        <v>0</v>
      </c>
      <c r="N45" s="274">
        <f>'Capacity charges'!N282</f>
        <v>0</v>
      </c>
      <c r="O45" s="274">
        <f>'Capacity charges'!O282</f>
        <v>0</v>
      </c>
      <c r="P45" s="274">
        <f>'Capacity charges'!P282</f>
        <v>0</v>
      </c>
      <c r="Q45" s="274">
        <f>'Capacity charges'!Q282</f>
        <v>0</v>
      </c>
      <c r="R45" s="274">
        <f>'Capacity charges'!R282</f>
        <v>0</v>
      </c>
      <c r="S45" s="274">
        <f>'Capacity charges'!S282</f>
        <v>0</v>
      </c>
      <c r="T45" s="274">
        <f>'Capacity charges'!T282</f>
        <v>0</v>
      </c>
      <c r="U45" s="274">
        <f>'Capacity charges'!U282</f>
        <v>0</v>
      </c>
      <c r="V45" s="274">
        <f>'Capacity charges'!V282</f>
        <v>0</v>
      </c>
      <c r="W45" s="274">
        <f>'Capacity charges'!W282</f>
        <v>0</v>
      </c>
      <c r="X45" s="274">
        <f>'Capacity charges'!X282</f>
        <v>0</v>
      </c>
      <c r="Y45" s="274">
        <f>'Capacity charges'!Y282</f>
        <v>0</v>
      </c>
    </row>
    <row r="46" spans="3:25" x14ac:dyDescent="0.25">
      <c r="C46" s="86"/>
      <c r="F46" s="295" t="s">
        <v>48</v>
      </c>
      <c r="G46" s="295" t="s">
        <v>308</v>
      </c>
      <c r="J46" s="274">
        <f>'Capacity charges'!J283</f>
        <v>0</v>
      </c>
      <c r="K46" s="274">
        <f>'Capacity charges'!K283</f>
        <v>0</v>
      </c>
      <c r="L46" s="274">
        <f>'Capacity charges'!L283</f>
        <v>0</v>
      </c>
      <c r="M46" s="274">
        <f>'Capacity charges'!M283</f>
        <v>0</v>
      </c>
      <c r="N46" s="274">
        <f>'Capacity charges'!N283</f>
        <v>0</v>
      </c>
      <c r="O46" s="274">
        <f>'Capacity charges'!O283</f>
        <v>0</v>
      </c>
      <c r="P46" s="274">
        <f>'Capacity charges'!P283</f>
        <v>0</v>
      </c>
      <c r="Q46" s="274">
        <f>'Capacity charges'!Q283</f>
        <v>0</v>
      </c>
      <c r="R46" s="274">
        <f>'Capacity charges'!R283</f>
        <v>0</v>
      </c>
      <c r="S46" s="274">
        <f>'Capacity charges'!S283</f>
        <v>0</v>
      </c>
      <c r="T46" s="274">
        <f>'Capacity charges'!T283</f>
        <v>0</v>
      </c>
      <c r="U46" s="274">
        <f>'Capacity charges'!U283</f>
        <v>0</v>
      </c>
      <c r="V46" s="274">
        <f>'Capacity charges'!V283</f>
        <v>0</v>
      </c>
      <c r="W46" s="274">
        <f>'Capacity charges'!W283</f>
        <v>0</v>
      </c>
      <c r="X46" s="274">
        <f>'Capacity charges'!X283</f>
        <v>0</v>
      </c>
      <c r="Y46" s="274">
        <f>'Capacity charges'!Y283</f>
        <v>0</v>
      </c>
    </row>
    <row r="47" spans="3:25" x14ac:dyDescent="0.25">
      <c r="C47" s="86"/>
      <c r="F47" s="295" t="s">
        <v>49</v>
      </c>
      <c r="G47" s="295" t="s">
        <v>308</v>
      </c>
      <c r="J47" s="274">
        <f>'Capacity charges'!J284</f>
        <v>0</v>
      </c>
      <c r="K47" s="274">
        <f>'Capacity charges'!K284</f>
        <v>0</v>
      </c>
      <c r="L47" s="274">
        <f>'Capacity charges'!L284</f>
        <v>0</v>
      </c>
      <c r="M47" s="274">
        <f>'Capacity charges'!M284</f>
        <v>0</v>
      </c>
      <c r="N47" s="274">
        <f>'Capacity charges'!N284</f>
        <v>0</v>
      </c>
      <c r="O47" s="274">
        <f>'Capacity charges'!O284</f>
        <v>0</v>
      </c>
      <c r="P47" s="274">
        <f>'Capacity charges'!P284</f>
        <v>0</v>
      </c>
      <c r="Q47" s="274">
        <f>'Capacity charges'!Q284</f>
        <v>0</v>
      </c>
      <c r="R47" s="274">
        <f>'Capacity charges'!R284</f>
        <v>0</v>
      </c>
      <c r="S47" s="274">
        <f>'Capacity charges'!S284</f>
        <v>0</v>
      </c>
      <c r="T47" s="274">
        <f>'Capacity charges'!T284</f>
        <v>0</v>
      </c>
      <c r="U47" s="274">
        <f>'Capacity charges'!U284</f>
        <v>0</v>
      </c>
      <c r="V47" s="274">
        <f>'Capacity charges'!V284</f>
        <v>0</v>
      </c>
      <c r="W47" s="274">
        <f>'Capacity charges'!W284</f>
        <v>0</v>
      </c>
      <c r="X47" s="274">
        <f>'Capacity charges'!X284</f>
        <v>0</v>
      </c>
      <c r="Y47" s="274">
        <f>'Capacity charges'!Y284</f>
        <v>0</v>
      </c>
    </row>
    <row r="48" spans="3:25" x14ac:dyDescent="0.25">
      <c r="C48" s="86"/>
      <c r="F48" s="295" t="s">
        <v>50</v>
      </c>
      <c r="G48" s="295" t="s">
        <v>308</v>
      </c>
      <c r="J48" s="274">
        <f>'Capacity charges'!J285</f>
        <v>0.74020135576371915</v>
      </c>
      <c r="K48" s="274">
        <f>'Capacity charges'!K285</f>
        <v>0</v>
      </c>
      <c r="L48" s="274">
        <f>'Capacity charges'!L285</f>
        <v>0.74020135576371915</v>
      </c>
      <c r="M48" s="274">
        <f>'Capacity charges'!M285</f>
        <v>0</v>
      </c>
      <c r="N48" s="274">
        <f>'Capacity charges'!N285</f>
        <v>0</v>
      </c>
      <c r="O48" s="274">
        <f>'Capacity charges'!O285</f>
        <v>0</v>
      </c>
      <c r="P48" s="274">
        <f>'Capacity charges'!P285</f>
        <v>0</v>
      </c>
      <c r="Q48" s="274">
        <f>'Capacity charges'!Q285</f>
        <v>0</v>
      </c>
      <c r="R48" s="274">
        <f>'Capacity charges'!R285</f>
        <v>0</v>
      </c>
      <c r="S48" s="274">
        <f>'Capacity charges'!S285</f>
        <v>0</v>
      </c>
      <c r="T48" s="274">
        <f>'Capacity charges'!T285</f>
        <v>0</v>
      </c>
      <c r="U48" s="274">
        <f>'Capacity charges'!U285</f>
        <v>0</v>
      </c>
      <c r="V48" s="274">
        <f>'Capacity charges'!V285</f>
        <v>0</v>
      </c>
      <c r="W48" s="274">
        <f>'Capacity charges'!W285</f>
        <v>0</v>
      </c>
      <c r="X48" s="274">
        <f>'Capacity charges'!X285</f>
        <v>0</v>
      </c>
      <c r="Y48" s="274">
        <f>'Capacity charges'!Y285</f>
        <v>0</v>
      </c>
    </row>
    <row r="49" spans="3:27" x14ac:dyDescent="0.25">
      <c r="C49" s="86"/>
      <c r="F49" s="295" t="s">
        <v>124</v>
      </c>
      <c r="G49" s="295" t="s">
        <v>308</v>
      </c>
      <c r="J49" s="280"/>
      <c r="K49" s="280"/>
      <c r="L49" s="280"/>
      <c r="M49" s="280"/>
      <c r="N49" s="280"/>
      <c r="O49" s="280"/>
      <c r="P49" s="280"/>
      <c r="Q49" s="280"/>
      <c r="R49" s="280"/>
      <c r="S49" s="280"/>
      <c r="T49" s="280"/>
      <c r="U49" s="280"/>
      <c r="V49" s="280"/>
      <c r="W49" s="280"/>
      <c r="X49" s="280"/>
      <c r="Y49" s="280"/>
    </row>
    <row r="50" spans="3:27" x14ac:dyDescent="0.25">
      <c r="C50" s="86"/>
      <c r="F50" s="93" t="s">
        <v>123</v>
      </c>
      <c r="G50" s="93" t="s">
        <v>308</v>
      </c>
      <c r="H50" s="93"/>
      <c r="I50" s="93"/>
      <c r="J50" s="241"/>
      <c r="K50" s="241"/>
      <c r="L50" s="241"/>
      <c r="M50" s="241"/>
      <c r="N50" s="241"/>
      <c r="O50" s="241"/>
      <c r="P50" s="241"/>
      <c r="Q50" s="241"/>
      <c r="R50" s="241"/>
      <c r="S50" s="241"/>
      <c r="T50" s="241"/>
      <c r="U50" s="241"/>
      <c r="V50" s="241"/>
      <c r="W50" s="241"/>
      <c r="X50" s="241"/>
      <c r="Y50" s="241"/>
    </row>
    <row r="51" spans="3:27" x14ac:dyDescent="0.25">
      <c r="C51" s="86"/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  <c r="U51" s="253"/>
      <c r="V51" s="253"/>
      <c r="W51" s="253"/>
      <c r="X51" s="253"/>
      <c r="Y51" s="253"/>
    </row>
    <row r="52" spans="3:27" x14ac:dyDescent="0.25">
      <c r="C52" s="7" t="str">
        <f ca="1">INDEX('Version control'!$H$34:$H$58,MATCH($A$1,'Version control'!$F$34:$F$58,0),1)&amp;"-C: Service model costs allocated to fixed charges"</f>
        <v>Section 517-C: Service model costs allocated to fixed charges</v>
      </c>
      <c r="D52" s="7"/>
      <c r="E52" s="7"/>
      <c r="F52" s="7"/>
      <c r="G52" s="7"/>
      <c r="H52" s="7"/>
      <c r="I52" s="7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3"/>
      <c r="U52" s="243"/>
      <c r="V52" s="243"/>
      <c r="W52" s="243"/>
      <c r="X52" s="243"/>
      <c r="Y52" s="243"/>
      <c r="Z52" s="7"/>
      <c r="AA52" s="7"/>
    </row>
    <row r="53" spans="3:27" x14ac:dyDescent="0.25">
      <c r="D53" s="295"/>
    </row>
    <row r="54" spans="3:27" x14ac:dyDescent="0.25">
      <c r="C54" s="96"/>
      <c r="D54" s="295"/>
      <c r="E54" s="96" t="s">
        <v>116</v>
      </c>
      <c r="I54" s="295" t="s">
        <v>431</v>
      </c>
      <c r="J54" s="253"/>
      <c r="K54" s="253"/>
      <c r="L54" s="253"/>
      <c r="M54" s="253"/>
      <c r="N54" s="253"/>
      <c r="O54" s="253"/>
      <c r="P54" s="253"/>
      <c r="Q54" s="253"/>
      <c r="R54" s="253"/>
      <c r="S54" s="253"/>
      <c r="T54" s="253"/>
      <c r="U54" s="253"/>
      <c r="V54" s="253"/>
      <c r="W54" s="253"/>
      <c r="X54" s="253"/>
      <c r="Y54" s="253"/>
      <c r="AA54" s="295" t="s">
        <v>937</v>
      </c>
    </row>
    <row r="55" spans="3:27" x14ac:dyDescent="0.25">
      <c r="C55" s="86"/>
      <c r="D55" s="295"/>
      <c r="F55" s="91" t="s">
        <v>124</v>
      </c>
      <c r="G55" s="91" t="s">
        <v>309</v>
      </c>
      <c r="H55" s="91"/>
      <c r="I55" s="91"/>
      <c r="J55" s="273">
        <f>'Service model charges'!J42</f>
        <v>3.6874179557529576</v>
      </c>
      <c r="K55" s="273">
        <f>'Service model charges'!K42</f>
        <v>0</v>
      </c>
      <c r="L55" s="273">
        <f>'Service model charges'!L42</f>
        <v>4.9668358088147135</v>
      </c>
      <c r="M55" s="273">
        <f>'Service model charges'!M42</f>
        <v>0</v>
      </c>
      <c r="N55" s="273">
        <f>'Service model charges'!N42</f>
        <v>23.235516904135658</v>
      </c>
      <c r="O55" s="273">
        <f>'Service model charges'!O42</f>
        <v>8.2007706720478808</v>
      </c>
      <c r="P55" s="273">
        <f>'Service model charges'!P42</f>
        <v>0</v>
      </c>
      <c r="Q55" s="239"/>
      <c r="R55" s="273">
        <f>'Service model charges'!R42</f>
        <v>0</v>
      </c>
      <c r="S55" s="273">
        <f>'Service model charges'!S42</f>
        <v>0</v>
      </c>
      <c r="T55" s="273">
        <f>'Service model charges'!T42</f>
        <v>0</v>
      </c>
      <c r="U55" s="273">
        <f>'Service model charges'!U42</f>
        <v>0</v>
      </c>
      <c r="V55" s="273">
        <f>'Service model charges'!V42</f>
        <v>0</v>
      </c>
      <c r="W55" s="273">
        <f>'Service model charges'!W42</f>
        <v>0</v>
      </c>
      <c r="X55" s="273">
        <f>'Service model charges'!X42</f>
        <v>0</v>
      </c>
      <c r="Y55" s="273">
        <f>'Service model charges'!Y42</f>
        <v>0</v>
      </c>
    </row>
    <row r="56" spans="3:27" x14ac:dyDescent="0.25">
      <c r="C56" s="86"/>
      <c r="D56" s="295"/>
      <c r="F56" s="93" t="s">
        <v>123</v>
      </c>
      <c r="G56" s="93" t="s">
        <v>309</v>
      </c>
      <c r="H56" s="93"/>
      <c r="I56" s="93"/>
      <c r="J56" s="275">
        <f>'Service model charges'!J43</f>
        <v>0</v>
      </c>
      <c r="K56" s="275">
        <f>'Service model charges'!K43</f>
        <v>0</v>
      </c>
      <c r="L56" s="275">
        <f>'Service model charges'!L43</f>
        <v>0</v>
      </c>
      <c r="M56" s="275">
        <f>'Service model charges'!M43</f>
        <v>0</v>
      </c>
      <c r="N56" s="275">
        <f>'Service model charges'!N43</f>
        <v>0</v>
      </c>
      <c r="O56" s="275">
        <f>'Service model charges'!O43</f>
        <v>0</v>
      </c>
      <c r="P56" s="275">
        <f>'Service model charges'!P43</f>
        <v>124.16460347195436</v>
      </c>
      <c r="Q56" s="241"/>
      <c r="R56" s="275">
        <f>'Service model charges'!R43</f>
        <v>0</v>
      </c>
      <c r="S56" s="275">
        <f>'Service model charges'!S43</f>
        <v>0</v>
      </c>
      <c r="T56" s="275">
        <f>'Service model charges'!T43</f>
        <v>0</v>
      </c>
      <c r="U56" s="275">
        <f>'Service model charges'!U43</f>
        <v>0</v>
      </c>
      <c r="V56" s="275">
        <f>'Service model charges'!V43</f>
        <v>0</v>
      </c>
      <c r="W56" s="275">
        <f>'Service model charges'!W43</f>
        <v>0</v>
      </c>
      <c r="X56" s="275">
        <f>'Service model charges'!X43</f>
        <v>90.667330037272208</v>
      </c>
      <c r="Y56" s="275">
        <f>'Service model charges'!Y43</f>
        <v>90.667330037272208</v>
      </c>
    </row>
    <row r="57" spans="3:27" x14ac:dyDescent="0.25">
      <c r="C57" s="86"/>
      <c r="D57" s="295"/>
      <c r="F57" s="98"/>
    </row>
    <row r="58" spans="3:27" x14ac:dyDescent="0.25">
      <c r="C58" s="7" t="str">
        <f ca="1">INDEX('Version control'!$H$34:$H$58,MATCH($A$1,'Version control'!$F$34:$F$58,0),1)&amp;"-D: Flags"</f>
        <v>Section 517-D: Flags</v>
      </c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3:27" x14ac:dyDescent="0.25">
      <c r="C59" s="96"/>
      <c r="D59" s="295"/>
      <c r="E59" s="295"/>
    </row>
    <row r="60" spans="3:27" x14ac:dyDescent="0.25">
      <c r="D60" s="82" t="s">
        <v>475</v>
      </c>
      <c r="E60" s="295"/>
    </row>
    <row r="61" spans="3:27" x14ac:dyDescent="0.25">
      <c r="D61" s="82" t="s">
        <v>850</v>
      </c>
      <c r="E61" s="295"/>
    </row>
    <row r="62" spans="3:27" x14ac:dyDescent="0.25">
      <c r="D62" s="82"/>
      <c r="E62" s="295"/>
    </row>
    <row r="63" spans="3:27" x14ac:dyDescent="0.25">
      <c r="E63" s="295" t="s">
        <v>383</v>
      </c>
      <c r="G63" s="295" t="s">
        <v>527</v>
      </c>
      <c r="I63" s="295" t="s">
        <v>431</v>
      </c>
      <c r="J63" s="385">
        <f>'Fixed inputs'!J145</f>
        <v>1</v>
      </c>
      <c r="K63" s="385">
        <f>'Fixed inputs'!K145</f>
        <v>0</v>
      </c>
      <c r="L63" s="385">
        <f>'Fixed inputs'!L145</f>
        <v>1</v>
      </c>
      <c r="M63" s="385">
        <f>'Fixed inputs'!M145</f>
        <v>0</v>
      </c>
      <c r="N63" s="385">
        <f>'Fixed inputs'!N145</f>
        <v>0</v>
      </c>
      <c r="O63" s="385">
        <f>'Fixed inputs'!O145</f>
        <v>0</v>
      </c>
      <c r="P63" s="385">
        <f>'Fixed inputs'!P145</f>
        <v>0</v>
      </c>
      <c r="Q63" s="385">
        <f>'Fixed inputs'!Q145</f>
        <v>0</v>
      </c>
      <c r="R63" s="385">
        <f>'Fixed inputs'!R145</f>
        <v>0</v>
      </c>
      <c r="S63" s="385">
        <f>'Fixed inputs'!S145</f>
        <v>0</v>
      </c>
      <c r="T63" s="385">
        <f>'Fixed inputs'!T145</f>
        <v>0</v>
      </c>
      <c r="U63" s="385">
        <f>'Fixed inputs'!U145</f>
        <v>0</v>
      </c>
      <c r="V63" s="385">
        <f>'Fixed inputs'!V145</f>
        <v>0</v>
      </c>
      <c r="W63" s="385">
        <f>'Fixed inputs'!W145</f>
        <v>0</v>
      </c>
      <c r="X63" s="385">
        <f>'Fixed inputs'!X145</f>
        <v>0</v>
      </c>
      <c r="Y63" s="385">
        <f>'Fixed inputs'!Y145</f>
        <v>0</v>
      </c>
      <c r="AA63" s="295" t="s">
        <v>938</v>
      </c>
    </row>
    <row r="65" spans="2:27" x14ac:dyDescent="0.25">
      <c r="B65" s="95" t="s">
        <v>478</v>
      </c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2:27" x14ac:dyDescent="0.25"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  <c r="U66" s="253"/>
      <c r="V66" s="253"/>
      <c r="W66" s="253"/>
      <c r="X66" s="253"/>
      <c r="Y66" s="253"/>
    </row>
    <row r="67" spans="2:27" x14ac:dyDescent="0.25">
      <c r="C67" s="7" t="str">
        <f ca="1">INDEX('Version control'!$H$34:$H$58,MATCH($A$1,'Version control'!$F$34:$F$58,0),1)&amp;"-E: Revenue allocated to fixed charges"</f>
        <v>Section 517-E: Revenue allocated to fixed charges</v>
      </c>
      <c r="D67" s="7"/>
      <c r="E67" s="7"/>
      <c r="F67" s="7"/>
      <c r="G67" s="7"/>
      <c r="H67" s="7"/>
      <c r="I67" s="7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3"/>
      <c r="U67" s="243"/>
      <c r="V67" s="243"/>
      <c r="W67" s="243"/>
      <c r="X67" s="243"/>
      <c r="Y67" s="243"/>
      <c r="Z67" s="7"/>
      <c r="AA67" s="7"/>
    </row>
    <row r="68" spans="2:27" x14ac:dyDescent="0.25">
      <c r="D68" s="295"/>
      <c r="E68" s="96"/>
      <c r="I68" s="295" t="s">
        <v>431</v>
      </c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  <c r="V68" s="253"/>
      <c r="W68" s="253"/>
      <c r="X68" s="253"/>
      <c r="Y68" s="253"/>
      <c r="AA68" s="295" t="s">
        <v>938</v>
      </c>
    </row>
    <row r="69" spans="2:27" x14ac:dyDescent="0.25">
      <c r="C69" s="86"/>
      <c r="D69" s="295"/>
      <c r="E69" s="96" t="s">
        <v>139</v>
      </c>
      <c r="J69" s="253"/>
      <c r="K69" s="253"/>
      <c r="L69" s="253"/>
      <c r="M69" s="253"/>
      <c r="N69" s="253"/>
      <c r="O69" s="253"/>
      <c r="P69" s="253"/>
      <c r="Q69" s="253"/>
      <c r="R69" s="253"/>
      <c r="S69" s="253"/>
      <c r="T69" s="253"/>
      <c r="U69" s="253"/>
      <c r="V69" s="253"/>
      <c r="W69" s="253"/>
      <c r="X69" s="253"/>
      <c r="Y69" s="253"/>
    </row>
    <row r="70" spans="2:27" x14ac:dyDescent="0.25">
      <c r="C70" s="86"/>
      <c r="D70" s="295"/>
      <c r="E70" s="82"/>
      <c r="F70" s="91" t="s">
        <v>324</v>
      </c>
      <c r="G70" s="91" t="s">
        <v>611</v>
      </c>
      <c r="H70" s="91"/>
      <c r="I70" s="91"/>
      <c r="J70" s="239"/>
      <c r="K70" s="239"/>
      <c r="L70" s="239"/>
      <c r="M70" s="239"/>
      <c r="N70" s="239"/>
      <c r="O70" s="239"/>
      <c r="P70" s="239"/>
      <c r="Q70" s="239"/>
      <c r="R70" s="239"/>
      <c r="S70" s="239"/>
      <c r="T70" s="239"/>
      <c r="U70" s="239"/>
      <c r="V70" s="239"/>
      <c r="W70" s="239"/>
      <c r="X70" s="239"/>
      <c r="Y70" s="239"/>
    </row>
    <row r="71" spans="2:27" x14ac:dyDescent="0.25">
      <c r="C71" s="86"/>
      <c r="D71" s="295"/>
      <c r="E71" s="82"/>
      <c r="F71" s="295" t="s">
        <v>43</v>
      </c>
      <c r="G71" s="295" t="s">
        <v>611</v>
      </c>
      <c r="J71" s="280"/>
      <c r="K71" s="280"/>
      <c r="L71" s="280"/>
      <c r="M71" s="280"/>
      <c r="N71" s="280"/>
      <c r="O71" s="280"/>
      <c r="P71" s="280"/>
      <c r="Q71" s="280"/>
      <c r="R71" s="280"/>
      <c r="S71" s="280"/>
      <c r="T71" s="280"/>
      <c r="U71" s="280"/>
      <c r="V71" s="280"/>
      <c r="W71" s="280"/>
      <c r="X71" s="280"/>
      <c r="Y71" s="280"/>
    </row>
    <row r="72" spans="2:27" x14ac:dyDescent="0.25">
      <c r="C72" s="86"/>
      <c r="D72" s="295"/>
      <c r="E72" s="82"/>
      <c r="F72" s="295" t="s">
        <v>44</v>
      </c>
      <c r="G72" s="295" t="s">
        <v>611</v>
      </c>
      <c r="J72" s="276">
        <f t="shared" ref="J72:K72" si="0">J$20 * J27 * thousand / PowerFactor</f>
        <v>0</v>
      </c>
      <c r="K72" s="276">
        <f t="shared" si="0"/>
        <v>0</v>
      </c>
      <c r="L72" s="276">
        <f t="shared" ref="L72:M72" si="1">L$20 * L27 * thousand / PowerFactor</f>
        <v>0</v>
      </c>
      <c r="M72" s="276">
        <f t="shared" si="1"/>
        <v>0</v>
      </c>
      <c r="N72" s="276">
        <f t="shared" ref="N72:P72" si="2">N$20 * N27 * thousand / PowerFactor</f>
        <v>0</v>
      </c>
      <c r="O72" s="276">
        <f t="shared" si="2"/>
        <v>0</v>
      </c>
      <c r="P72" s="276">
        <f t="shared" si="2"/>
        <v>0</v>
      </c>
      <c r="Q72" s="276">
        <f t="shared" ref="Q72:S72" si="3">Q$20 * Q27 * thousand / PowerFactor</f>
        <v>0</v>
      </c>
      <c r="R72" s="276">
        <f t="shared" si="3"/>
        <v>0</v>
      </c>
      <c r="S72" s="276">
        <f t="shared" si="3"/>
        <v>0</v>
      </c>
      <c r="T72" s="276">
        <f t="shared" ref="T72:U72" si="4">T$20 * T27 * thousand / PowerFactor</f>
        <v>0</v>
      </c>
      <c r="U72" s="276">
        <f t="shared" si="4"/>
        <v>0</v>
      </c>
      <c r="V72" s="276">
        <f t="shared" ref="V72:W72" si="5">V$20 * V27 * thousand / PowerFactor</f>
        <v>0</v>
      </c>
      <c r="W72" s="276">
        <f t="shared" si="5"/>
        <v>0</v>
      </c>
      <c r="X72" s="276">
        <f t="shared" ref="X72:Y72" si="6">X$20 * X27 * thousand / PowerFactor</f>
        <v>0</v>
      </c>
      <c r="Y72" s="276">
        <f t="shared" si="6"/>
        <v>0</v>
      </c>
    </row>
    <row r="73" spans="2:27" x14ac:dyDescent="0.25">
      <c r="C73" s="86"/>
      <c r="D73" s="295"/>
      <c r="E73" s="82"/>
      <c r="F73" s="295" t="s">
        <v>45</v>
      </c>
      <c r="G73" s="295" t="s">
        <v>611</v>
      </c>
      <c r="J73" s="276">
        <f t="shared" ref="J73:K73" si="7">J$20 * J28 * thousand / PowerFactor</f>
        <v>0</v>
      </c>
      <c r="K73" s="276">
        <f t="shared" si="7"/>
        <v>0</v>
      </c>
      <c r="L73" s="276">
        <f t="shared" ref="L73:M73" si="8">L$20 * L28 * thousand / PowerFactor</f>
        <v>0</v>
      </c>
      <c r="M73" s="276">
        <f t="shared" si="8"/>
        <v>0</v>
      </c>
      <c r="N73" s="276">
        <f t="shared" ref="N73:P73" si="9">N$20 * N28 * thousand / PowerFactor</f>
        <v>0</v>
      </c>
      <c r="O73" s="276">
        <f t="shared" si="9"/>
        <v>0</v>
      </c>
      <c r="P73" s="276">
        <f t="shared" si="9"/>
        <v>0</v>
      </c>
      <c r="Q73" s="276">
        <f t="shared" ref="Q73:S73" si="10">Q$20 * Q28 * thousand / PowerFactor</f>
        <v>0</v>
      </c>
      <c r="R73" s="276">
        <f t="shared" si="10"/>
        <v>0</v>
      </c>
      <c r="S73" s="276">
        <f t="shared" si="10"/>
        <v>0</v>
      </c>
      <c r="T73" s="276">
        <f t="shared" ref="T73:U73" si="11">T$20 * T28 * thousand / PowerFactor</f>
        <v>0</v>
      </c>
      <c r="U73" s="276">
        <f t="shared" si="11"/>
        <v>0</v>
      </c>
      <c r="V73" s="276">
        <f t="shared" ref="V73:W73" si="12">V$20 * V28 * thousand / PowerFactor</f>
        <v>0</v>
      </c>
      <c r="W73" s="276">
        <f t="shared" si="12"/>
        <v>0</v>
      </c>
      <c r="X73" s="276">
        <f t="shared" ref="X73:Y73" si="13">X$20 * X28 * thousand / PowerFactor</f>
        <v>0</v>
      </c>
      <c r="Y73" s="276">
        <f t="shared" si="13"/>
        <v>0</v>
      </c>
    </row>
    <row r="74" spans="2:27" x14ac:dyDescent="0.25">
      <c r="C74" s="86"/>
      <c r="D74" s="295"/>
      <c r="E74" s="82"/>
      <c r="F74" s="295" t="s">
        <v>46</v>
      </c>
      <c r="G74" s="295" t="s">
        <v>611</v>
      </c>
      <c r="J74" s="276">
        <f t="shared" ref="J74:K74" si="14">J$20 * J29 * thousand / PowerFactor</f>
        <v>0</v>
      </c>
      <c r="K74" s="276">
        <f t="shared" si="14"/>
        <v>0</v>
      </c>
      <c r="L74" s="276">
        <f t="shared" ref="L74:M74" si="15">L$20 * L29 * thousand / PowerFactor</f>
        <v>0</v>
      </c>
      <c r="M74" s="276">
        <f t="shared" si="15"/>
        <v>0</v>
      </c>
      <c r="N74" s="276">
        <f t="shared" ref="N74:P74" si="16">N$20 * N29 * thousand / PowerFactor</f>
        <v>0</v>
      </c>
      <c r="O74" s="276">
        <f t="shared" si="16"/>
        <v>0</v>
      </c>
      <c r="P74" s="276">
        <f t="shared" si="16"/>
        <v>0</v>
      </c>
      <c r="Q74" s="276">
        <f t="shared" ref="Q74:S74" si="17">Q$20 * Q29 * thousand / PowerFactor</f>
        <v>0</v>
      </c>
      <c r="R74" s="276">
        <f t="shared" si="17"/>
        <v>0</v>
      </c>
      <c r="S74" s="276">
        <f t="shared" si="17"/>
        <v>0</v>
      </c>
      <c r="T74" s="276">
        <f t="shared" ref="T74:U74" si="18">T$20 * T29 * thousand / PowerFactor</f>
        <v>0</v>
      </c>
      <c r="U74" s="276">
        <f t="shared" si="18"/>
        <v>0</v>
      </c>
      <c r="V74" s="276">
        <f t="shared" ref="V74:W74" si="19">V$20 * V29 * thousand / PowerFactor</f>
        <v>0</v>
      </c>
      <c r="W74" s="276">
        <f t="shared" si="19"/>
        <v>0</v>
      </c>
      <c r="X74" s="276">
        <f t="shared" ref="X74:Y74" si="20">X$20 * X29 * thousand / PowerFactor</f>
        <v>0</v>
      </c>
      <c r="Y74" s="276">
        <f t="shared" si="20"/>
        <v>0</v>
      </c>
    </row>
    <row r="75" spans="2:27" x14ac:dyDescent="0.25">
      <c r="C75" s="86"/>
      <c r="D75" s="295"/>
      <c r="E75" s="82"/>
      <c r="F75" s="295" t="s">
        <v>47</v>
      </c>
      <c r="G75" s="295" t="s">
        <v>611</v>
      </c>
      <c r="J75" s="276">
        <f t="shared" ref="J75:K75" si="21">J$20 * J30 * thousand / PowerFactor</f>
        <v>0</v>
      </c>
      <c r="K75" s="276">
        <f t="shared" si="21"/>
        <v>0</v>
      </c>
      <c r="L75" s="276">
        <f t="shared" ref="L75:M75" si="22">L$20 * L30 * thousand / PowerFactor</f>
        <v>0</v>
      </c>
      <c r="M75" s="276">
        <f t="shared" si="22"/>
        <v>0</v>
      </c>
      <c r="N75" s="276">
        <f t="shared" ref="N75:P75" si="23">N$20 * N30 * thousand / PowerFactor</f>
        <v>0</v>
      </c>
      <c r="O75" s="276">
        <f t="shared" si="23"/>
        <v>0</v>
      </c>
      <c r="P75" s="276">
        <f t="shared" si="23"/>
        <v>0</v>
      </c>
      <c r="Q75" s="276">
        <f t="shared" ref="Q75:S75" si="24">Q$20 * Q30 * thousand / PowerFactor</f>
        <v>0</v>
      </c>
      <c r="R75" s="276">
        <f t="shared" si="24"/>
        <v>0</v>
      </c>
      <c r="S75" s="276">
        <f t="shared" si="24"/>
        <v>0</v>
      </c>
      <c r="T75" s="276">
        <f t="shared" ref="T75:U75" si="25">T$20 * T30 * thousand / PowerFactor</f>
        <v>0</v>
      </c>
      <c r="U75" s="276">
        <f t="shared" si="25"/>
        <v>0</v>
      </c>
      <c r="V75" s="276">
        <f t="shared" ref="V75:W75" si="26">V$20 * V30 * thousand / PowerFactor</f>
        <v>0</v>
      </c>
      <c r="W75" s="276">
        <f t="shared" si="26"/>
        <v>0</v>
      </c>
      <c r="X75" s="276">
        <f t="shared" ref="X75:Y75" si="27">X$20 * X30 * thousand / PowerFactor</f>
        <v>0</v>
      </c>
      <c r="Y75" s="276">
        <f t="shared" si="27"/>
        <v>0</v>
      </c>
    </row>
    <row r="76" spans="2:27" x14ac:dyDescent="0.25">
      <c r="C76" s="86"/>
      <c r="D76" s="295"/>
      <c r="E76" s="82"/>
      <c r="F76" s="295" t="s">
        <v>51</v>
      </c>
      <c r="G76" s="295" t="s">
        <v>611</v>
      </c>
      <c r="J76" s="276">
        <f t="shared" ref="J76:K76" si="28">J$20 * J31 * thousand / PowerFactor</f>
        <v>0</v>
      </c>
      <c r="K76" s="276">
        <f t="shared" si="28"/>
        <v>0</v>
      </c>
      <c r="L76" s="276">
        <f t="shared" ref="L76:M76" si="29">L$20 * L31 * thousand / PowerFactor</f>
        <v>0</v>
      </c>
      <c r="M76" s="276">
        <f t="shared" si="29"/>
        <v>0</v>
      </c>
      <c r="N76" s="276">
        <f t="shared" ref="N76:P76" si="30">N$20 * N31 * thousand / PowerFactor</f>
        <v>0</v>
      </c>
      <c r="O76" s="276">
        <f t="shared" si="30"/>
        <v>0</v>
      </c>
      <c r="P76" s="276">
        <f t="shared" si="30"/>
        <v>0</v>
      </c>
      <c r="Q76" s="276">
        <f t="shared" ref="Q76:S76" si="31">Q$20 * Q31 * thousand / PowerFactor</f>
        <v>0</v>
      </c>
      <c r="R76" s="276">
        <f t="shared" si="31"/>
        <v>0</v>
      </c>
      <c r="S76" s="276">
        <f t="shared" si="31"/>
        <v>0</v>
      </c>
      <c r="T76" s="276">
        <f t="shared" ref="T76:U76" si="32">T$20 * T31 * thousand / PowerFactor</f>
        <v>0</v>
      </c>
      <c r="U76" s="276">
        <f t="shared" si="32"/>
        <v>0</v>
      </c>
      <c r="V76" s="276">
        <f t="shared" ref="V76:W76" si="33">V$20 * V31 * thousand / PowerFactor</f>
        <v>0</v>
      </c>
      <c r="W76" s="276">
        <f t="shared" si="33"/>
        <v>0</v>
      </c>
      <c r="X76" s="276">
        <f t="shared" ref="X76:Y76" si="34">X$20 * X31 * thousand / PowerFactor</f>
        <v>0</v>
      </c>
      <c r="Y76" s="276">
        <f t="shared" si="34"/>
        <v>0</v>
      </c>
    </row>
    <row r="77" spans="2:27" x14ac:dyDescent="0.25">
      <c r="C77" s="86"/>
      <c r="D77" s="295"/>
      <c r="E77" s="82"/>
      <c r="F77" s="295" t="s">
        <v>48</v>
      </c>
      <c r="G77" s="295" t="s">
        <v>611</v>
      </c>
      <c r="J77" s="276">
        <f t="shared" ref="J77:K77" si="35">J$20 * J32 * thousand / PowerFactor</f>
        <v>0</v>
      </c>
      <c r="K77" s="276">
        <f t="shared" si="35"/>
        <v>0</v>
      </c>
      <c r="L77" s="276">
        <f t="shared" ref="L77:M77" si="36">L$20 * L32 * thousand / PowerFactor</f>
        <v>0</v>
      </c>
      <c r="M77" s="276">
        <f t="shared" si="36"/>
        <v>0</v>
      </c>
      <c r="N77" s="276">
        <f t="shared" ref="N77:P77" si="37">N$20 * N32 * thousand / PowerFactor</f>
        <v>0</v>
      </c>
      <c r="O77" s="276">
        <f t="shared" si="37"/>
        <v>0</v>
      </c>
      <c r="P77" s="276">
        <f t="shared" si="37"/>
        <v>0</v>
      </c>
      <c r="Q77" s="276">
        <f t="shared" ref="Q77:S77" si="38">Q$20 * Q32 * thousand / PowerFactor</f>
        <v>0</v>
      </c>
      <c r="R77" s="276">
        <f t="shared" si="38"/>
        <v>0</v>
      </c>
      <c r="S77" s="276">
        <f t="shared" si="38"/>
        <v>0</v>
      </c>
      <c r="T77" s="276">
        <f t="shared" ref="T77:U77" si="39">T$20 * T32 * thousand / PowerFactor</f>
        <v>0</v>
      </c>
      <c r="U77" s="276">
        <f t="shared" si="39"/>
        <v>0</v>
      </c>
      <c r="V77" s="276">
        <f t="shared" ref="V77:W77" si="40">V$20 * V32 * thousand / PowerFactor</f>
        <v>0</v>
      </c>
      <c r="W77" s="276">
        <f t="shared" si="40"/>
        <v>0</v>
      </c>
      <c r="X77" s="276">
        <f t="shared" ref="X77:Y77" si="41">X$20 * X32 * thousand / PowerFactor</f>
        <v>0</v>
      </c>
      <c r="Y77" s="276">
        <f t="shared" si="41"/>
        <v>0</v>
      </c>
    </row>
    <row r="78" spans="2:27" x14ac:dyDescent="0.25">
      <c r="C78" s="86"/>
      <c r="D78" s="295"/>
      <c r="E78" s="82"/>
      <c r="F78" s="295" t="s">
        <v>49</v>
      </c>
      <c r="G78" s="295" t="s">
        <v>611</v>
      </c>
      <c r="J78" s="276">
        <f t="shared" ref="J78:K78" si="42">J$20 * J33 * thousand / PowerFactor</f>
        <v>0</v>
      </c>
      <c r="K78" s="276">
        <f t="shared" si="42"/>
        <v>0</v>
      </c>
      <c r="L78" s="276">
        <f t="shared" ref="L78:M78" si="43">L$20 * L33 * thousand / PowerFactor</f>
        <v>0</v>
      </c>
      <c r="M78" s="276">
        <f t="shared" si="43"/>
        <v>0</v>
      </c>
      <c r="N78" s="276">
        <f t="shared" ref="N78:P78" si="44">N$20 * N33 * thousand / PowerFactor</f>
        <v>0</v>
      </c>
      <c r="O78" s="276">
        <f t="shared" si="44"/>
        <v>0</v>
      </c>
      <c r="P78" s="276">
        <f t="shared" si="44"/>
        <v>0</v>
      </c>
      <c r="Q78" s="276">
        <f t="shared" ref="Q78:S78" si="45">Q$20 * Q33 * thousand / PowerFactor</f>
        <v>0</v>
      </c>
      <c r="R78" s="276">
        <f t="shared" si="45"/>
        <v>0</v>
      </c>
      <c r="S78" s="276">
        <f t="shared" si="45"/>
        <v>0</v>
      </c>
      <c r="T78" s="276">
        <f t="shared" ref="T78:U78" si="46">T$20 * T33 * thousand / PowerFactor</f>
        <v>0</v>
      </c>
      <c r="U78" s="276">
        <f t="shared" si="46"/>
        <v>0</v>
      </c>
      <c r="V78" s="276">
        <f t="shared" ref="V78:W78" si="47">V$20 * V33 * thousand / PowerFactor</f>
        <v>0</v>
      </c>
      <c r="W78" s="276">
        <f t="shared" si="47"/>
        <v>0</v>
      </c>
      <c r="X78" s="276">
        <f t="shared" ref="X78:Y78" si="48">X$20 * X33 * thousand / PowerFactor</f>
        <v>0</v>
      </c>
      <c r="Y78" s="276">
        <f t="shared" si="48"/>
        <v>0</v>
      </c>
    </row>
    <row r="79" spans="2:27" x14ac:dyDescent="0.25">
      <c r="C79" s="86"/>
      <c r="D79" s="295"/>
      <c r="E79" s="82"/>
      <c r="F79" s="295" t="s">
        <v>50</v>
      </c>
      <c r="G79" s="295" t="s">
        <v>611</v>
      </c>
      <c r="J79" s="276">
        <f t="shared" ref="J79:K79" si="49">J$20 * J34 * thousand / PowerFactor</f>
        <v>119204.48388200157</v>
      </c>
      <c r="K79" s="276">
        <f t="shared" si="49"/>
        <v>0</v>
      </c>
      <c r="L79" s="276">
        <f t="shared" ref="L79:M79" si="50">L$20 * L34 * thousand / PowerFactor</f>
        <v>48503.009834179102</v>
      </c>
      <c r="M79" s="276">
        <f t="shared" si="50"/>
        <v>0</v>
      </c>
      <c r="N79" s="276">
        <f t="shared" ref="N79:P79" si="51">N$20 * N34 * thousand / PowerFactor</f>
        <v>0</v>
      </c>
      <c r="O79" s="276">
        <f t="shared" si="51"/>
        <v>0</v>
      </c>
      <c r="P79" s="276">
        <f t="shared" si="51"/>
        <v>0</v>
      </c>
      <c r="Q79" s="276">
        <f t="shared" ref="Q79:S79" si="52">Q$20 * Q34 * thousand / PowerFactor</f>
        <v>0</v>
      </c>
      <c r="R79" s="276">
        <f t="shared" si="52"/>
        <v>0</v>
      </c>
      <c r="S79" s="276">
        <f t="shared" si="52"/>
        <v>0</v>
      </c>
      <c r="T79" s="276">
        <f t="shared" ref="T79:U79" si="53">T$20 * T34 * thousand / PowerFactor</f>
        <v>0</v>
      </c>
      <c r="U79" s="276">
        <f t="shared" si="53"/>
        <v>0</v>
      </c>
      <c r="V79" s="276">
        <f t="shared" ref="V79:W79" si="54">V$20 * V34 * thousand / PowerFactor</f>
        <v>0</v>
      </c>
      <c r="W79" s="276">
        <f t="shared" si="54"/>
        <v>0</v>
      </c>
      <c r="X79" s="276">
        <f t="shared" ref="X79:Y79" si="55">X$20 * X34 * thousand / PowerFactor</f>
        <v>0</v>
      </c>
      <c r="Y79" s="276">
        <f t="shared" si="55"/>
        <v>0</v>
      </c>
    </row>
    <row r="80" spans="2:27" x14ac:dyDescent="0.25">
      <c r="C80" s="86"/>
      <c r="D80" s="295"/>
      <c r="E80" s="82"/>
      <c r="F80" s="295" t="s">
        <v>124</v>
      </c>
      <c r="G80" s="295" t="s">
        <v>611</v>
      </c>
      <c r="J80" s="280"/>
      <c r="K80" s="280"/>
      <c r="L80" s="280"/>
      <c r="M80" s="280"/>
      <c r="N80" s="280"/>
      <c r="O80" s="280"/>
      <c r="P80" s="280"/>
      <c r="Q80" s="280"/>
      <c r="R80" s="280"/>
      <c r="S80" s="280"/>
      <c r="T80" s="280"/>
      <c r="U80" s="280"/>
      <c r="V80" s="280"/>
      <c r="W80" s="280"/>
      <c r="X80" s="280"/>
      <c r="Y80" s="280"/>
    </row>
    <row r="81" spans="3:25" x14ac:dyDescent="0.25">
      <c r="C81" s="86"/>
      <c r="D81" s="295"/>
      <c r="E81" s="82"/>
      <c r="F81" s="93" t="s">
        <v>123</v>
      </c>
      <c r="G81" s="93" t="s">
        <v>611</v>
      </c>
      <c r="H81" s="93"/>
      <c r="I81" s="93"/>
      <c r="J81" s="241"/>
      <c r="K81" s="241"/>
      <c r="L81" s="241"/>
      <c r="M81" s="241"/>
      <c r="N81" s="241"/>
      <c r="O81" s="241"/>
      <c r="P81" s="241"/>
      <c r="Q81" s="241"/>
      <c r="R81" s="241"/>
      <c r="S81" s="241"/>
      <c r="T81" s="241"/>
      <c r="U81" s="241"/>
      <c r="V81" s="241"/>
      <c r="W81" s="241"/>
      <c r="X81" s="241"/>
      <c r="Y81" s="241"/>
    </row>
    <row r="82" spans="3:25" x14ac:dyDescent="0.25">
      <c r="C82" s="86"/>
      <c r="D82" s="295"/>
      <c r="E82" s="82"/>
      <c r="J82" s="253"/>
      <c r="K82" s="253"/>
      <c r="L82" s="253"/>
      <c r="M82" s="253"/>
      <c r="N82" s="253"/>
      <c r="O82" s="253"/>
      <c r="P82" s="253"/>
      <c r="Q82" s="253"/>
      <c r="R82" s="253"/>
      <c r="S82" s="253"/>
      <c r="T82" s="253"/>
      <c r="U82" s="253"/>
      <c r="V82" s="253"/>
      <c r="W82" s="253"/>
      <c r="X82" s="253"/>
      <c r="Y82" s="253"/>
    </row>
    <row r="83" spans="3:25" x14ac:dyDescent="0.25">
      <c r="C83" s="86"/>
      <c r="D83" s="295"/>
      <c r="E83" s="96" t="s">
        <v>116</v>
      </c>
      <c r="J83" s="253"/>
      <c r="K83" s="253"/>
      <c r="L83" s="253"/>
      <c r="M83" s="253"/>
      <c r="N83" s="253"/>
      <c r="O83" s="253"/>
      <c r="P83" s="253"/>
      <c r="Q83" s="253"/>
      <c r="R83" s="253"/>
      <c r="S83" s="253"/>
      <c r="T83" s="253"/>
      <c r="U83" s="253"/>
      <c r="V83" s="253"/>
      <c r="W83" s="253"/>
      <c r="X83" s="253"/>
      <c r="Y83" s="253"/>
    </row>
    <row r="84" spans="3:25" x14ac:dyDescent="0.25">
      <c r="C84" s="86"/>
      <c r="D84" s="295"/>
      <c r="F84" s="91" t="s">
        <v>324</v>
      </c>
      <c r="G84" s="91" t="s">
        <v>611</v>
      </c>
      <c r="H84" s="91"/>
      <c r="I84" s="91"/>
      <c r="J84" s="268">
        <f t="shared" ref="J84:K84" si="56">J$20 * J39 * thousand / PowerFactor</f>
        <v>0</v>
      </c>
      <c r="K84" s="268">
        <f t="shared" si="56"/>
        <v>0</v>
      </c>
      <c r="L84" s="268">
        <f t="shared" ref="L84:M84" si="57">L$20 * L39 * thousand / PowerFactor</f>
        <v>0</v>
      </c>
      <c r="M84" s="268">
        <f t="shared" si="57"/>
        <v>0</v>
      </c>
      <c r="N84" s="268">
        <f t="shared" ref="N84:P84" si="58">N$20 * N39 * thousand / PowerFactor</f>
        <v>0</v>
      </c>
      <c r="O84" s="268">
        <f t="shared" si="58"/>
        <v>0</v>
      </c>
      <c r="P84" s="268">
        <f t="shared" si="58"/>
        <v>0</v>
      </c>
      <c r="Q84" s="268">
        <f t="shared" ref="Q84:S84" si="59">Q$20 * Q39 * thousand / PowerFactor</f>
        <v>0</v>
      </c>
      <c r="R84" s="268">
        <f t="shared" si="59"/>
        <v>0</v>
      </c>
      <c r="S84" s="268">
        <f t="shared" si="59"/>
        <v>0</v>
      </c>
      <c r="T84" s="268">
        <f t="shared" ref="T84:U84" si="60">T$20 * T39 * thousand / PowerFactor</f>
        <v>0</v>
      </c>
      <c r="U84" s="268">
        <f t="shared" si="60"/>
        <v>0</v>
      </c>
      <c r="V84" s="268">
        <f t="shared" ref="V84:W84" si="61">V$20 * V39 * thousand / PowerFactor</f>
        <v>0</v>
      </c>
      <c r="W84" s="268">
        <f t="shared" si="61"/>
        <v>0</v>
      </c>
      <c r="X84" s="268">
        <f t="shared" ref="X84:Y84" si="62">X$20 * X39 * thousand / PowerFactor</f>
        <v>0</v>
      </c>
      <c r="Y84" s="268">
        <f t="shared" si="62"/>
        <v>0</v>
      </c>
    </row>
    <row r="85" spans="3:25" x14ac:dyDescent="0.25">
      <c r="C85" s="86"/>
      <c r="D85" s="295"/>
      <c r="F85" s="295" t="s">
        <v>43</v>
      </c>
      <c r="G85" s="295" t="s">
        <v>611</v>
      </c>
      <c r="J85" s="276">
        <f t="shared" ref="J85:K85" si="63">J$20 * J40 * thousand / PowerFactor</f>
        <v>0</v>
      </c>
      <c r="K85" s="276">
        <f t="shared" si="63"/>
        <v>0</v>
      </c>
      <c r="L85" s="276">
        <f t="shared" ref="L85:M85" si="64">L$20 * L40 * thousand / PowerFactor</f>
        <v>0</v>
      </c>
      <c r="M85" s="276">
        <f t="shared" si="64"/>
        <v>0</v>
      </c>
      <c r="N85" s="276">
        <f t="shared" ref="N85:P85" si="65">N$20 * N40 * thousand / PowerFactor</f>
        <v>0</v>
      </c>
      <c r="O85" s="276">
        <f t="shared" si="65"/>
        <v>0</v>
      </c>
      <c r="P85" s="276">
        <f t="shared" si="65"/>
        <v>0</v>
      </c>
      <c r="Q85" s="276">
        <f t="shared" ref="Q85:S85" si="66">Q$20 * Q40 * thousand / PowerFactor</f>
        <v>0</v>
      </c>
      <c r="R85" s="276">
        <f t="shared" si="66"/>
        <v>0</v>
      </c>
      <c r="S85" s="276">
        <f t="shared" si="66"/>
        <v>0</v>
      </c>
      <c r="T85" s="276">
        <f t="shared" ref="T85:U85" si="67">T$20 * T40 * thousand / PowerFactor</f>
        <v>0</v>
      </c>
      <c r="U85" s="276">
        <f t="shared" si="67"/>
        <v>0</v>
      </c>
      <c r="V85" s="276">
        <f t="shared" ref="V85:W85" si="68">V$20 * V40 * thousand / PowerFactor</f>
        <v>0</v>
      </c>
      <c r="W85" s="276">
        <f t="shared" si="68"/>
        <v>0</v>
      </c>
      <c r="X85" s="276">
        <f t="shared" ref="X85:Y85" si="69">X$20 * X40 * thousand / PowerFactor</f>
        <v>0</v>
      </c>
      <c r="Y85" s="276">
        <f t="shared" si="69"/>
        <v>0</v>
      </c>
    </row>
    <row r="86" spans="3:25" x14ac:dyDescent="0.25">
      <c r="C86" s="86"/>
      <c r="D86" s="295"/>
      <c r="F86" s="295" t="s">
        <v>44</v>
      </c>
      <c r="G86" s="295" t="s">
        <v>611</v>
      </c>
      <c r="J86" s="276">
        <f t="shared" ref="J86:K86" si="70">J$20 * J41 * thousand / PowerFactor</f>
        <v>0</v>
      </c>
      <c r="K86" s="276">
        <f t="shared" si="70"/>
        <v>0</v>
      </c>
      <c r="L86" s="276">
        <f t="shared" ref="L86:M86" si="71">L$20 * L41 * thousand / PowerFactor</f>
        <v>0</v>
      </c>
      <c r="M86" s="276">
        <f t="shared" si="71"/>
        <v>0</v>
      </c>
      <c r="N86" s="276">
        <f t="shared" ref="N86:P86" si="72">N$20 * N41 * thousand / PowerFactor</f>
        <v>0</v>
      </c>
      <c r="O86" s="276">
        <f t="shared" si="72"/>
        <v>0</v>
      </c>
      <c r="P86" s="276">
        <f t="shared" si="72"/>
        <v>0</v>
      </c>
      <c r="Q86" s="276">
        <f t="shared" ref="Q86:S86" si="73">Q$20 * Q41 * thousand / PowerFactor</f>
        <v>0</v>
      </c>
      <c r="R86" s="276">
        <f t="shared" si="73"/>
        <v>0</v>
      </c>
      <c r="S86" s="276">
        <f t="shared" si="73"/>
        <v>0</v>
      </c>
      <c r="T86" s="276">
        <f t="shared" ref="T86:U86" si="74">T$20 * T41 * thousand / PowerFactor</f>
        <v>0</v>
      </c>
      <c r="U86" s="276">
        <f t="shared" si="74"/>
        <v>0</v>
      </c>
      <c r="V86" s="276">
        <f t="shared" ref="V86:W86" si="75">V$20 * V41 * thousand / PowerFactor</f>
        <v>0</v>
      </c>
      <c r="W86" s="276">
        <f t="shared" si="75"/>
        <v>0</v>
      </c>
      <c r="X86" s="276">
        <f t="shared" ref="X86:Y86" si="76">X$20 * X41 * thousand / PowerFactor</f>
        <v>0</v>
      </c>
      <c r="Y86" s="276">
        <f t="shared" si="76"/>
        <v>0</v>
      </c>
    </row>
    <row r="87" spans="3:25" x14ac:dyDescent="0.25">
      <c r="C87" s="86"/>
      <c r="D87" s="295"/>
      <c r="F87" s="295" t="s">
        <v>45</v>
      </c>
      <c r="G87" s="295" t="s">
        <v>611</v>
      </c>
      <c r="J87" s="276">
        <f t="shared" ref="J87:K87" si="77">J$20 * J42 * thousand / PowerFactor</f>
        <v>0</v>
      </c>
      <c r="K87" s="276">
        <f t="shared" si="77"/>
        <v>0</v>
      </c>
      <c r="L87" s="276">
        <f t="shared" ref="L87:M87" si="78">L$20 * L42 * thousand / PowerFactor</f>
        <v>0</v>
      </c>
      <c r="M87" s="276">
        <f t="shared" si="78"/>
        <v>0</v>
      </c>
      <c r="N87" s="276">
        <f t="shared" ref="N87:P87" si="79">N$20 * N42 * thousand / PowerFactor</f>
        <v>0</v>
      </c>
      <c r="O87" s="276">
        <f t="shared" si="79"/>
        <v>0</v>
      </c>
      <c r="P87" s="276">
        <f t="shared" si="79"/>
        <v>0</v>
      </c>
      <c r="Q87" s="276">
        <f t="shared" ref="Q87:S87" si="80">Q$20 * Q42 * thousand / PowerFactor</f>
        <v>0</v>
      </c>
      <c r="R87" s="276">
        <f t="shared" si="80"/>
        <v>0</v>
      </c>
      <c r="S87" s="276">
        <f t="shared" si="80"/>
        <v>0</v>
      </c>
      <c r="T87" s="276">
        <f t="shared" ref="T87:U87" si="81">T$20 * T42 * thousand / PowerFactor</f>
        <v>0</v>
      </c>
      <c r="U87" s="276">
        <f t="shared" si="81"/>
        <v>0</v>
      </c>
      <c r="V87" s="276">
        <f t="shared" ref="V87:W87" si="82">V$20 * V42 * thousand / PowerFactor</f>
        <v>0</v>
      </c>
      <c r="W87" s="276">
        <f t="shared" si="82"/>
        <v>0</v>
      </c>
      <c r="X87" s="276">
        <f t="shared" ref="X87:Y87" si="83">X$20 * X42 * thousand / PowerFactor</f>
        <v>0</v>
      </c>
      <c r="Y87" s="276">
        <f t="shared" si="83"/>
        <v>0</v>
      </c>
    </row>
    <row r="88" spans="3:25" x14ac:dyDescent="0.25">
      <c r="C88" s="86"/>
      <c r="D88" s="295"/>
      <c r="F88" s="295" t="s">
        <v>46</v>
      </c>
      <c r="G88" s="295" t="s">
        <v>611</v>
      </c>
      <c r="J88" s="276">
        <f t="shared" ref="J88:K88" si="84">J$20 * J43 * thousand / PowerFactor</f>
        <v>0</v>
      </c>
      <c r="K88" s="276">
        <f t="shared" si="84"/>
        <v>0</v>
      </c>
      <c r="L88" s="276">
        <f t="shared" ref="L88:M88" si="85">L$20 * L43 * thousand / PowerFactor</f>
        <v>0</v>
      </c>
      <c r="M88" s="276">
        <f t="shared" si="85"/>
        <v>0</v>
      </c>
      <c r="N88" s="276">
        <f t="shared" ref="N88:P88" si="86">N$20 * N43 * thousand / PowerFactor</f>
        <v>0</v>
      </c>
      <c r="O88" s="276">
        <f t="shared" si="86"/>
        <v>0</v>
      </c>
      <c r="P88" s="276">
        <f t="shared" si="86"/>
        <v>0</v>
      </c>
      <c r="Q88" s="276">
        <f t="shared" ref="Q88:S88" si="87">Q$20 * Q43 * thousand / PowerFactor</f>
        <v>0</v>
      </c>
      <c r="R88" s="276">
        <f t="shared" si="87"/>
        <v>0</v>
      </c>
      <c r="S88" s="276">
        <f t="shared" si="87"/>
        <v>0</v>
      </c>
      <c r="T88" s="276">
        <f t="shared" ref="T88:U88" si="88">T$20 * T43 * thousand / PowerFactor</f>
        <v>0</v>
      </c>
      <c r="U88" s="276">
        <f t="shared" si="88"/>
        <v>0</v>
      </c>
      <c r="V88" s="276">
        <f t="shared" ref="V88:W88" si="89">V$20 * V43 * thousand / PowerFactor</f>
        <v>0</v>
      </c>
      <c r="W88" s="276">
        <f t="shared" si="89"/>
        <v>0</v>
      </c>
      <c r="X88" s="276">
        <f t="shared" ref="X88:Y88" si="90">X$20 * X43 * thousand / PowerFactor</f>
        <v>0</v>
      </c>
      <c r="Y88" s="276">
        <f t="shared" si="90"/>
        <v>0</v>
      </c>
    </row>
    <row r="89" spans="3:25" x14ac:dyDescent="0.25">
      <c r="C89" s="86"/>
      <c r="D89" s="295"/>
      <c r="F89" s="295" t="s">
        <v>47</v>
      </c>
      <c r="G89" s="295" t="s">
        <v>611</v>
      </c>
      <c r="J89" s="276">
        <f t="shared" ref="J89:K89" si="91">J$20 * J44 * thousand / PowerFactor</f>
        <v>0</v>
      </c>
      <c r="K89" s="276">
        <f t="shared" si="91"/>
        <v>0</v>
      </c>
      <c r="L89" s="276">
        <f t="shared" ref="L89:M89" si="92">L$20 * L44 * thousand / PowerFactor</f>
        <v>0</v>
      </c>
      <c r="M89" s="276">
        <f t="shared" si="92"/>
        <v>0</v>
      </c>
      <c r="N89" s="276">
        <f t="shared" ref="N89:P89" si="93">N$20 * N44 * thousand / PowerFactor</f>
        <v>0</v>
      </c>
      <c r="O89" s="276">
        <f t="shared" si="93"/>
        <v>0</v>
      </c>
      <c r="P89" s="276">
        <f t="shared" si="93"/>
        <v>0</v>
      </c>
      <c r="Q89" s="276">
        <f t="shared" ref="Q89:S89" si="94">Q$20 * Q44 * thousand / PowerFactor</f>
        <v>0</v>
      </c>
      <c r="R89" s="276">
        <f t="shared" si="94"/>
        <v>0</v>
      </c>
      <c r="S89" s="276">
        <f t="shared" si="94"/>
        <v>0</v>
      </c>
      <c r="T89" s="276">
        <f t="shared" ref="T89:U89" si="95">T$20 * T44 * thousand / PowerFactor</f>
        <v>0</v>
      </c>
      <c r="U89" s="276">
        <f t="shared" si="95"/>
        <v>0</v>
      </c>
      <c r="V89" s="276">
        <f t="shared" ref="V89:W89" si="96">V$20 * V44 * thousand / PowerFactor</f>
        <v>0</v>
      </c>
      <c r="W89" s="276">
        <f t="shared" si="96"/>
        <v>0</v>
      </c>
      <c r="X89" s="276">
        <f t="shared" ref="X89:Y89" si="97">X$20 * X44 * thousand / PowerFactor</f>
        <v>0</v>
      </c>
      <c r="Y89" s="276">
        <f t="shared" si="97"/>
        <v>0</v>
      </c>
    </row>
    <row r="90" spans="3:25" x14ac:dyDescent="0.25">
      <c r="C90" s="86"/>
      <c r="D90" s="295"/>
      <c r="F90" s="295" t="s">
        <v>51</v>
      </c>
      <c r="G90" s="295" t="s">
        <v>611</v>
      </c>
      <c r="J90" s="276">
        <f t="shared" ref="J90:K90" si="98">J$20 * J45 * thousand / PowerFactor</f>
        <v>0</v>
      </c>
      <c r="K90" s="276">
        <f t="shared" si="98"/>
        <v>0</v>
      </c>
      <c r="L90" s="276">
        <f t="shared" ref="L90:M90" si="99">L$20 * L45 * thousand / PowerFactor</f>
        <v>0</v>
      </c>
      <c r="M90" s="276">
        <f t="shared" si="99"/>
        <v>0</v>
      </c>
      <c r="N90" s="276">
        <f t="shared" ref="N90:P90" si="100">N$20 * N45 * thousand / PowerFactor</f>
        <v>0</v>
      </c>
      <c r="O90" s="276">
        <f t="shared" si="100"/>
        <v>0</v>
      </c>
      <c r="P90" s="276">
        <f t="shared" si="100"/>
        <v>0</v>
      </c>
      <c r="Q90" s="276">
        <f t="shared" ref="Q90:S90" si="101">Q$20 * Q45 * thousand / PowerFactor</f>
        <v>0</v>
      </c>
      <c r="R90" s="276">
        <f t="shared" si="101"/>
        <v>0</v>
      </c>
      <c r="S90" s="276">
        <f t="shared" si="101"/>
        <v>0</v>
      </c>
      <c r="T90" s="276">
        <f t="shared" ref="T90:U90" si="102">T$20 * T45 * thousand / PowerFactor</f>
        <v>0</v>
      </c>
      <c r="U90" s="276">
        <f t="shared" si="102"/>
        <v>0</v>
      </c>
      <c r="V90" s="276">
        <f t="shared" ref="V90:W90" si="103">V$20 * V45 * thousand / PowerFactor</f>
        <v>0</v>
      </c>
      <c r="W90" s="276">
        <f t="shared" si="103"/>
        <v>0</v>
      </c>
      <c r="X90" s="276">
        <f t="shared" ref="X90:Y90" si="104">X$20 * X45 * thousand / PowerFactor</f>
        <v>0</v>
      </c>
      <c r="Y90" s="276">
        <f t="shared" si="104"/>
        <v>0</v>
      </c>
    </row>
    <row r="91" spans="3:25" x14ac:dyDescent="0.25">
      <c r="C91" s="86"/>
      <c r="D91" s="295"/>
      <c r="F91" s="295" t="s">
        <v>48</v>
      </c>
      <c r="G91" s="295" t="s">
        <v>611</v>
      </c>
      <c r="J91" s="276">
        <f t="shared" ref="J91:K91" si="105">J$20 * J46 * thousand / PowerFactor</f>
        <v>0</v>
      </c>
      <c r="K91" s="276">
        <f t="shared" si="105"/>
        <v>0</v>
      </c>
      <c r="L91" s="276">
        <f t="shared" ref="L91:M91" si="106">L$20 * L46 * thousand / PowerFactor</f>
        <v>0</v>
      </c>
      <c r="M91" s="276">
        <f t="shared" si="106"/>
        <v>0</v>
      </c>
      <c r="N91" s="276">
        <f t="shared" ref="N91:P91" si="107">N$20 * N46 * thousand / PowerFactor</f>
        <v>0</v>
      </c>
      <c r="O91" s="276">
        <f t="shared" si="107"/>
        <v>0</v>
      </c>
      <c r="P91" s="276">
        <f t="shared" si="107"/>
        <v>0</v>
      </c>
      <c r="Q91" s="276">
        <f t="shared" ref="Q91:S91" si="108">Q$20 * Q46 * thousand / PowerFactor</f>
        <v>0</v>
      </c>
      <c r="R91" s="276">
        <f t="shared" si="108"/>
        <v>0</v>
      </c>
      <c r="S91" s="276">
        <f t="shared" si="108"/>
        <v>0</v>
      </c>
      <c r="T91" s="276">
        <f t="shared" ref="T91:U91" si="109">T$20 * T46 * thousand / PowerFactor</f>
        <v>0</v>
      </c>
      <c r="U91" s="276">
        <f t="shared" si="109"/>
        <v>0</v>
      </c>
      <c r="V91" s="276">
        <f t="shared" ref="V91:W91" si="110">V$20 * V46 * thousand / PowerFactor</f>
        <v>0</v>
      </c>
      <c r="W91" s="276">
        <f t="shared" si="110"/>
        <v>0</v>
      </c>
      <c r="X91" s="276">
        <f t="shared" ref="X91:Y91" si="111">X$20 * X46 * thousand / PowerFactor</f>
        <v>0</v>
      </c>
      <c r="Y91" s="276">
        <f t="shared" si="111"/>
        <v>0</v>
      </c>
    </row>
    <row r="92" spans="3:25" x14ac:dyDescent="0.25">
      <c r="C92" s="86"/>
      <c r="D92" s="295"/>
      <c r="F92" s="295" t="s">
        <v>49</v>
      </c>
      <c r="G92" s="295" t="s">
        <v>611</v>
      </c>
      <c r="J92" s="276">
        <f t="shared" ref="J92:K92" si="112">J$20 * J47 * thousand / PowerFactor</f>
        <v>0</v>
      </c>
      <c r="K92" s="276">
        <f t="shared" si="112"/>
        <v>0</v>
      </c>
      <c r="L92" s="276">
        <f t="shared" ref="L92:M92" si="113">L$20 * L47 * thousand / PowerFactor</f>
        <v>0</v>
      </c>
      <c r="M92" s="276">
        <f t="shared" si="113"/>
        <v>0</v>
      </c>
      <c r="N92" s="276">
        <f t="shared" ref="N92:P92" si="114">N$20 * N47 * thousand / PowerFactor</f>
        <v>0</v>
      </c>
      <c r="O92" s="276">
        <f t="shared" si="114"/>
        <v>0</v>
      </c>
      <c r="P92" s="276">
        <f t="shared" si="114"/>
        <v>0</v>
      </c>
      <c r="Q92" s="276">
        <f t="shared" ref="Q92:S92" si="115">Q$20 * Q47 * thousand / PowerFactor</f>
        <v>0</v>
      </c>
      <c r="R92" s="276">
        <f t="shared" si="115"/>
        <v>0</v>
      </c>
      <c r="S92" s="276">
        <f t="shared" si="115"/>
        <v>0</v>
      </c>
      <c r="T92" s="276">
        <f t="shared" ref="T92:U92" si="116">T$20 * T47 * thousand / PowerFactor</f>
        <v>0</v>
      </c>
      <c r="U92" s="276">
        <f t="shared" si="116"/>
        <v>0</v>
      </c>
      <c r="V92" s="276">
        <f t="shared" ref="V92:W92" si="117">V$20 * V47 * thousand / PowerFactor</f>
        <v>0</v>
      </c>
      <c r="W92" s="276">
        <f t="shared" si="117"/>
        <v>0</v>
      </c>
      <c r="X92" s="276">
        <f t="shared" ref="X92:Y92" si="118">X$20 * X47 * thousand / PowerFactor</f>
        <v>0</v>
      </c>
      <c r="Y92" s="276">
        <f t="shared" si="118"/>
        <v>0</v>
      </c>
    </row>
    <row r="93" spans="3:25" x14ac:dyDescent="0.25">
      <c r="C93" s="86"/>
      <c r="D93" s="295"/>
      <c r="F93" s="295" t="s">
        <v>50</v>
      </c>
      <c r="G93" s="295" t="s">
        <v>611</v>
      </c>
      <c r="J93" s="276">
        <f t="shared" ref="J93:K93" si="119">J$20 * J48 * thousand / PowerFactor</f>
        <v>1154885.6105349143</v>
      </c>
      <c r="K93" s="276">
        <f t="shared" si="119"/>
        <v>0</v>
      </c>
      <c r="L93" s="276">
        <f t="shared" ref="L93:M93" si="120">L$20 * L48 * thousand / PowerFactor</f>
        <v>469910.41193195025</v>
      </c>
      <c r="M93" s="276">
        <f t="shared" si="120"/>
        <v>0</v>
      </c>
      <c r="N93" s="276">
        <f t="shared" ref="N93:P93" si="121">N$20 * N48 * thousand / PowerFactor</f>
        <v>0</v>
      </c>
      <c r="O93" s="276">
        <f t="shared" si="121"/>
        <v>0</v>
      </c>
      <c r="P93" s="276">
        <f t="shared" si="121"/>
        <v>0</v>
      </c>
      <c r="Q93" s="276">
        <f t="shared" ref="Q93:S93" si="122">Q$20 * Q48 * thousand / PowerFactor</f>
        <v>0</v>
      </c>
      <c r="R93" s="276">
        <f t="shared" si="122"/>
        <v>0</v>
      </c>
      <c r="S93" s="276">
        <f t="shared" si="122"/>
        <v>0</v>
      </c>
      <c r="T93" s="276">
        <f t="shared" ref="T93:U93" si="123">T$20 * T48 * thousand / PowerFactor</f>
        <v>0</v>
      </c>
      <c r="U93" s="276">
        <f t="shared" si="123"/>
        <v>0</v>
      </c>
      <c r="V93" s="276">
        <f t="shared" ref="V93:W93" si="124">V$20 * V48 * thousand / PowerFactor</f>
        <v>0</v>
      </c>
      <c r="W93" s="276">
        <f t="shared" si="124"/>
        <v>0</v>
      </c>
      <c r="X93" s="276">
        <f t="shared" ref="X93:Y93" si="125">X$20 * X48 * thousand / PowerFactor</f>
        <v>0</v>
      </c>
      <c r="Y93" s="276">
        <f t="shared" si="125"/>
        <v>0</v>
      </c>
    </row>
    <row r="94" spans="3:25" x14ac:dyDescent="0.25">
      <c r="C94" s="86"/>
      <c r="D94" s="295"/>
      <c r="F94" s="295" t="s">
        <v>124</v>
      </c>
      <c r="G94" s="295" t="s">
        <v>611</v>
      </c>
      <c r="J94" s="280"/>
      <c r="K94" s="280"/>
      <c r="L94" s="280"/>
      <c r="M94" s="280"/>
      <c r="N94" s="280"/>
      <c r="O94" s="280"/>
      <c r="P94" s="280"/>
      <c r="Q94" s="280"/>
      <c r="R94" s="280"/>
      <c r="S94" s="280"/>
      <c r="T94" s="280"/>
      <c r="U94" s="280"/>
      <c r="V94" s="280"/>
      <c r="W94" s="280"/>
      <c r="X94" s="280"/>
      <c r="Y94" s="280"/>
    </row>
    <row r="95" spans="3:25" x14ac:dyDescent="0.25">
      <c r="C95" s="86"/>
      <c r="D95" s="295"/>
      <c r="F95" s="93" t="s">
        <v>123</v>
      </c>
      <c r="G95" s="93" t="s">
        <v>611</v>
      </c>
      <c r="H95" s="93"/>
      <c r="I95" s="93"/>
      <c r="J95" s="241"/>
      <c r="K95" s="241"/>
      <c r="L95" s="241"/>
      <c r="M95" s="241"/>
      <c r="N95" s="241"/>
      <c r="O95" s="241"/>
      <c r="P95" s="241"/>
      <c r="Q95" s="241"/>
      <c r="R95" s="241"/>
      <c r="S95" s="241"/>
      <c r="T95" s="241"/>
      <c r="U95" s="241"/>
      <c r="V95" s="241"/>
      <c r="W95" s="241"/>
      <c r="X95" s="241"/>
      <c r="Y95" s="241"/>
    </row>
    <row r="96" spans="3:25" x14ac:dyDescent="0.25">
      <c r="C96" s="86"/>
      <c r="J96" s="253"/>
      <c r="K96" s="253"/>
      <c r="L96" s="253"/>
      <c r="M96" s="253"/>
      <c r="N96" s="253"/>
      <c r="O96" s="253"/>
      <c r="P96" s="253"/>
      <c r="Q96" s="253"/>
      <c r="R96" s="253"/>
      <c r="S96" s="253"/>
      <c r="T96" s="253"/>
      <c r="U96" s="253"/>
      <c r="V96" s="253"/>
      <c r="W96" s="253"/>
      <c r="X96" s="253"/>
      <c r="Y96" s="253"/>
    </row>
    <row r="97" spans="3:27" x14ac:dyDescent="0.25">
      <c r="C97" s="7" t="str">
        <f ca="1">INDEX('Version control'!$H$34:$H$58,MATCH($A$1,'Version control'!$F$34:$F$58,0),1)&amp;"-F: Revenue allocated to fixed charges, by aggregation group"</f>
        <v>Section 517-F: Revenue allocated to fixed charges, by aggregation group</v>
      </c>
      <c r="D97" s="7"/>
      <c r="E97" s="7"/>
      <c r="F97" s="7"/>
      <c r="G97" s="7"/>
      <c r="H97" s="7"/>
      <c r="I97" s="7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3"/>
      <c r="U97" s="243"/>
      <c r="V97" s="243"/>
      <c r="W97" s="243"/>
      <c r="X97" s="243"/>
      <c r="Y97" s="243"/>
      <c r="Z97" s="7"/>
      <c r="AA97" s="7"/>
    </row>
    <row r="98" spans="3:27" x14ac:dyDescent="0.25">
      <c r="D98" s="295"/>
      <c r="E98" s="96"/>
      <c r="I98" s="295" t="s">
        <v>431</v>
      </c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  <c r="U98" s="253"/>
      <c r="V98" s="253"/>
      <c r="W98" s="253"/>
      <c r="X98" s="253"/>
      <c r="Y98" s="253"/>
      <c r="AA98" s="295" t="s">
        <v>938</v>
      </c>
    </row>
    <row r="99" spans="3:27" x14ac:dyDescent="0.25">
      <c r="C99" s="86"/>
      <c r="D99" s="295"/>
      <c r="E99" s="96" t="s">
        <v>139</v>
      </c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  <c r="V99" s="253"/>
      <c r="W99" s="253"/>
      <c r="X99" s="253"/>
      <c r="Y99" s="253"/>
    </row>
    <row r="100" spans="3:27" x14ac:dyDescent="0.25">
      <c r="C100" s="86"/>
      <c r="D100" s="295"/>
      <c r="E100" s="82"/>
      <c r="F100" s="91" t="s">
        <v>324</v>
      </c>
      <c r="G100" s="91" t="s">
        <v>611</v>
      </c>
      <c r="H100" s="91"/>
      <c r="I100" s="91"/>
      <c r="J100" s="239"/>
      <c r="K100" s="239"/>
      <c r="L100" s="239"/>
      <c r="M100" s="239"/>
      <c r="N100" s="239"/>
      <c r="O100" s="239"/>
      <c r="P100" s="239"/>
      <c r="Q100" s="239"/>
      <c r="R100" s="239"/>
      <c r="S100" s="239"/>
      <c r="T100" s="239"/>
      <c r="U100" s="239"/>
      <c r="V100" s="239"/>
      <c r="W100" s="239"/>
      <c r="X100" s="239"/>
      <c r="Y100" s="239"/>
    </row>
    <row r="101" spans="3:27" x14ac:dyDescent="0.25">
      <c r="C101" s="86"/>
      <c r="D101" s="295"/>
      <c r="E101" s="82"/>
      <c r="F101" s="295" t="s">
        <v>43</v>
      </c>
      <c r="G101" s="295" t="s">
        <v>611</v>
      </c>
      <c r="J101" s="280"/>
      <c r="K101" s="280"/>
      <c r="L101" s="280"/>
      <c r="M101" s="280"/>
      <c r="N101" s="280"/>
      <c r="O101" s="280"/>
      <c r="P101" s="280"/>
      <c r="Q101" s="280"/>
      <c r="R101" s="280"/>
      <c r="S101" s="280"/>
      <c r="T101" s="280"/>
      <c r="U101" s="280"/>
      <c r="V101" s="280"/>
      <c r="W101" s="280"/>
      <c r="X101" s="280"/>
      <c r="Y101" s="280"/>
    </row>
    <row r="102" spans="3:27" x14ac:dyDescent="0.25">
      <c r="C102" s="86"/>
      <c r="D102" s="295"/>
      <c r="E102" s="82"/>
      <c r="F102" s="295" t="s">
        <v>44</v>
      </c>
      <c r="G102" s="295" t="s">
        <v>611</v>
      </c>
      <c r="J102" s="276">
        <f t="shared" ref="J102:Y109" si="126">SUMIFS($J72:$Y72,$J$63:$Y$63,J$63)</f>
        <v>0</v>
      </c>
      <c r="K102" s="276">
        <f t="shared" si="126"/>
        <v>0</v>
      </c>
      <c r="L102" s="276">
        <f t="shared" si="126"/>
        <v>0</v>
      </c>
      <c r="M102" s="276">
        <f t="shared" si="126"/>
        <v>0</v>
      </c>
      <c r="N102" s="276">
        <f t="shared" si="126"/>
        <v>0</v>
      </c>
      <c r="O102" s="276">
        <f t="shared" si="126"/>
        <v>0</v>
      </c>
      <c r="P102" s="276">
        <f t="shared" si="126"/>
        <v>0</v>
      </c>
      <c r="Q102" s="276">
        <f t="shared" si="126"/>
        <v>0</v>
      </c>
      <c r="R102" s="276">
        <f t="shared" si="126"/>
        <v>0</v>
      </c>
      <c r="S102" s="276">
        <f t="shared" si="126"/>
        <v>0</v>
      </c>
      <c r="T102" s="276">
        <f t="shared" si="126"/>
        <v>0</v>
      </c>
      <c r="U102" s="276">
        <f t="shared" si="126"/>
        <v>0</v>
      </c>
      <c r="V102" s="276">
        <f t="shared" si="126"/>
        <v>0</v>
      </c>
      <c r="W102" s="276">
        <f t="shared" si="126"/>
        <v>0</v>
      </c>
      <c r="X102" s="276">
        <f t="shared" si="126"/>
        <v>0</v>
      </c>
      <c r="Y102" s="276">
        <f t="shared" si="126"/>
        <v>0</v>
      </c>
    </row>
    <row r="103" spans="3:27" x14ac:dyDescent="0.25">
      <c r="C103" s="86"/>
      <c r="D103" s="295"/>
      <c r="E103" s="82"/>
      <c r="F103" s="295" t="s">
        <v>45</v>
      </c>
      <c r="G103" s="295" t="s">
        <v>611</v>
      </c>
      <c r="J103" s="276">
        <f t="shared" si="126"/>
        <v>0</v>
      </c>
      <c r="K103" s="276">
        <f t="shared" si="126"/>
        <v>0</v>
      </c>
      <c r="L103" s="276">
        <f t="shared" si="126"/>
        <v>0</v>
      </c>
      <c r="M103" s="276">
        <f t="shared" si="126"/>
        <v>0</v>
      </c>
      <c r="N103" s="276">
        <f t="shared" si="126"/>
        <v>0</v>
      </c>
      <c r="O103" s="276">
        <f t="shared" si="126"/>
        <v>0</v>
      </c>
      <c r="P103" s="276">
        <f t="shared" si="126"/>
        <v>0</v>
      </c>
      <c r="Q103" s="276">
        <f t="shared" si="126"/>
        <v>0</v>
      </c>
      <c r="R103" s="276">
        <f t="shared" si="126"/>
        <v>0</v>
      </c>
      <c r="S103" s="276">
        <f t="shared" si="126"/>
        <v>0</v>
      </c>
      <c r="T103" s="276">
        <f t="shared" si="126"/>
        <v>0</v>
      </c>
      <c r="U103" s="276">
        <f t="shared" si="126"/>
        <v>0</v>
      </c>
      <c r="V103" s="276">
        <f t="shared" si="126"/>
        <v>0</v>
      </c>
      <c r="W103" s="276">
        <f t="shared" si="126"/>
        <v>0</v>
      </c>
      <c r="X103" s="276">
        <f t="shared" si="126"/>
        <v>0</v>
      </c>
      <c r="Y103" s="276">
        <f t="shared" si="126"/>
        <v>0</v>
      </c>
    </row>
    <row r="104" spans="3:27" x14ac:dyDescent="0.25">
      <c r="C104" s="86"/>
      <c r="D104" s="295"/>
      <c r="E104" s="82"/>
      <c r="F104" s="295" t="s">
        <v>46</v>
      </c>
      <c r="G104" s="295" t="s">
        <v>611</v>
      </c>
      <c r="J104" s="276">
        <f t="shared" si="126"/>
        <v>0</v>
      </c>
      <c r="K104" s="276">
        <f t="shared" si="126"/>
        <v>0</v>
      </c>
      <c r="L104" s="276">
        <f t="shared" si="126"/>
        <v>0</v>
      </c>
      <c r="M104" s="276">
        <f t="shared" si="126"/>
        <v>0</v>
      </c>
      <c r="N104" s="276">
        <f t="shared" si="126"/>
        <v>0</v>
      </c>
      <c r="O104" s="276">
        <f t="shared" si="126"/>
        <v>0</v>
      </c>
      <c r="P104" s="276">
        <f t="shared" si="126"/>
        <v>0</v>
      </c>
      <c r="Q104" s="276">
        <f t="shared" si="126"/>
        <v>0</v>
      </c>
      <c r="R104" s="276">
        <f t="shared" si="126"/>
        <v>0</v>
      </c>
      <c r="S104" s="276">
        <f t="shared" si="126"/>
        <v>0</v>
      </c>
      <c r="T104" s="276">
        <f t="shared" si="126"/>
        <v>0</v>
      </c>
      <c r="U104" s="276">
        <f t="shared" si="126"/>
        <v>0</v>
      </c>
      <c r="V104" s="276">
        <f t="shared" si="126"/>
        <v>0</v>
      </c>
      <c r="W104" s="276">
        <f t="shared" si="126"/>
        <v>0</v>
      </c>
      <c r="X104" s="276">
        <f t="shared" si="126"/>
        <v>0</v>
      </c>
      <c r="Y104" s="276">
        <f t="shared" si="126"/>
        <v>0</v>
      </c>
    </row>
    <row r="105" spans="3:27" x14ac:dyDescent="0.25">
      <c r="C105" s="86"/>
      <c r="D105" s="295"/>
      <c r="E105" s="82"/>
      <c r="F105" s="295" t="s">
        <v>47</v>
      </c>
      <c r="G105" s="295" t="s">
        <v>611</v>
      </c>
      <c r="J105" s="276">
        <f t="shared" si="126"/>
        <v>0</v>
      </c>
      <c r="K105" s="276">
        <f t="shared" si="126"/>
        <v>0</v>
      </c>
      <c r="L105" s="276">
        <f t="shared" si="126"/>
        <v>0</v>
      </c>
      <c r="M105" s="276">
        <f t="shared" si="126"/>
        <v>0</v>
      </c>
      <c r="N105" s="276">
        <f t="shared" si="126"/>
        <v>0</v>
      </c>
      <c r="O105" s="276">
        <f t="shared" si="126"/>
        <v>0</v>
      </c>
      <c r="P105" s="276">
        <f t="shared" si="126"/>
        <v>0</v>
      </c>
      <c r="Q105" s="276">
        <f t="shared" si="126"/>
        <v>0</v>
      </c>
      <c r="R105" s="276">
        <f t="shared" si="126"/>
        <v>0</v>
      </c>
      <c r="S105" s="276">
        <f t="shared" si="126"/>
        <v>0</v>
      </c>
      <c r="T105" s="276">
        <f t="shared" si="126"/>
        <v>0</v>
      </c>
      <c r="U105" s="276">
        <f t="shared" si="126"/>
        <v>0</v>
      </c>
      <c r="V105" s="276">
        <f t="shared" si="126"/>
        <v>0</v>
      </c>
      <c r="W105" s="276">
        <f t="shared" si="126"/>
        <v>0</v>
      </c>
      <c r="X105" s="276">
        <f t="shared" si="126"/>
        <v>0</v>
      </c>
      <c r="Y105" s="276">
        <f t="shared" si="126"/>
        <v>0</v>
      </c>
    </row>
    <row r="106" spans="3:27" x14ac:dyDescent="0.25">
      <c r="C106" s="86"/>
      <c r="D106" s="295"/>
      <c r="E106" s="82"/>
      <c r="F106" s="295" t="s">
        <v>51</v>
      </c>
      <c r="G106" s="295" t="s">
        <v>611</v>
      </c>
      <c r="J106" s="276">
        <f t="shared" si="126"/>
        <v>0</v>
      </c>
      <c r="K106" s="276">
        <f t="shared" si="126"/>
        <v>0</v>
      </c>
      <c r="L106" s="276">
        <f t="shared" si="126"/>
        <v>0</v>
      </c>
      <c r="M106" s="276">
        <f t="shared" si="126"/>
        <v>0</v>
      </c>
      <c r="N106" s="276">
        <f t="shared" si="126"/>
        <v>0</v>
      </c>
      <c r="O106" s="276">
        <f t="shared" si="126"/>
        <v>0</v>
      </c>
      <c r="P106" s="276">
        <f t="shared" si="126"/>
        <v>0</v>
      </c>
      <c r="Q106" s="276">
        <f t="shared" si="126"/>
        <v>0</v>
      </c>
      <c r="R106" s="276">
        <f t="shared" si="126"/>
        <v>0</v>
      </c>
      <c r="S106" s="276">
        <f t="shared" si="126"/>
        <v>0</v>
      </c>
      <c r="T106" s="276">
        <f t="shared" si="126"/>
        <v>0</v>
      </c>
      <c r="U106" s="276">
        <f t="shared" si="126"/>
        <v>0</v>
      </c>
      <c r="V106" s="276">
        <f t="shared" si="126"/>
        <v>0</v>
      </c>
      <c r="W106" s="276">
        <f t="shared" si="126"/>
        <v>0</v>
      </c>
      <c r="X106" s="276">
        <f t="shared" si="126"/>
        <v>0</v>
      </c>
      <c r="Y106" s="276">
        <f t="shared" si="126"/>
        <v>0</v>
      </c>
    </row>
    <row r="107" spans="3:27" x14ac:dyDescent="0.25">
      <c r="C107" s="86"/>
      <c r="D107" s="295"/>
      <c r="E107" s="82"/>
      <c r="F107" s="295" t="s">
        <v>48</v>
      </c>
      <c r="G107" s="295" t="s">
        <v>611</v>
      </c>
      <c r="J107" s="276">
        <f t="shared" si="126"/>
        <v>0</v>
      </c>
      <c r="K107" s="276">
        <f t="shared" si="126"/>
        <v>0</v>
      </c>
      <c r="L107" s="276">
        <f t="shared" si="126"/>
        <v>0</v>
      </c>
      <c r="M107" s="276">
        <f t="shared" si="126"/>
        <v>0</v>
      </c>
      <c r="N107" s="276">
        <f t="shared" si="126"/>
        <v>0</v>
      </c>
      <c r="O107" s="276">
        <f t="shared" si="126"/>
        <v>0</v>
      </c>
      <c r="P107" s="276">
        <f t="shared" si="126"/>
        <v>0</v>
      </c>
      <c r="Q107" s="276">
        <f t="shared" si="126"/>
        <v>0</v>
      </c>
      <c r="R107" s="276">
        <f t="shared" si="126"/>
        <v>0</v>
      </c>
      <c r="S107" s="276">
        <f t="shared" si="126"/>
        <v>0</v>
      </c>
      <c r="T107" s="276">
        <f t="shared" si="126"/>
        <v>0</v>
      </c>
      <c r="U107" s="276">
        <f t="shared" si="126"/>
        <v>0</v>
      </c>
      <c r="V107" s="276">
        <f t="shared" si="126"/>
        <v>0</v>
      </c>
      <c r="W107" s="276">
        <f t="shared" si="126"/>
        <v>0</v>
      </c>
      <c r="X107" s="276">
        <f t="shared" si="126"/>
        <v>0</v>
      </c>
      <c r="Y107" s="276">
        <f t="shared" si="126"/>
        <v>0</v>
      </c>
    </row>
    <row r="108" spans="3:27" x14ac:dyDescent="0.25">
      <c r="C108" s="86"/>
      <c r="D108" s="295"/>
      <c r="E108" s="82"/>
      <c r="F108" s="295" t="s">
        <v>49</v>
      </c>
      <c r="G108" s="295" t="s">
        <v>611</v>
      </c>
      <c r="J108" s="276">
        <f t="shared" si="126"/>
        <v>0</v>
      </c>
      <c r="K108" s="276">
        <f t="shared" si="126"/>
        <v>0</v>
      </c>
      <c r="L108" s="276">
        <f t="shared" si="126"/>
        <v>0</v>
      </c>
      <c r="M108" s="276">
        <f t="shared" si="126"/>
        <v>0</v>
      </c>
      <c r="N108" s="276">
        <f t="shared" si="126"/>
        <v>0</v>
      </c>
      <c r="O108" s="276">
        <f t="shared" si="126"/>
        <v>0</v>
      </c>
      <c r="P108" s="276">
        <f t="shared" si="126"/>
        <v>0</v>
      </c>
      <c r="Q108" s="276">
        <f t="shared" si="126"/>
        <v>0</v>
      </c>
      <c r="R108" s="276">
        <f t="shared" si="126"/>
        <v>0</v>
      </c>
      <c r="S108" s="276">
        <f t="shared" si="126"/>
        <v>0</v>
      </c>
      <c r="T108" s="276">
        <f t="shared" si="126"/>
        <v>0</v>
      </c>
      <c r="U108" s="276">
        <f t="shared" si="126"/>
        <v>0</v>
      </c>
      <c r="V108" s="276">
        <f t="shared" si="126"/>
        <v>0</v>
      </c>
      <c r="W108" s="276">
        <f t="shared" si="126"/>
        <v>0</v>
      </c>
      <c r="X108" s="276">
        <f t="shared" si="126"/>
        <v>0</v>
      </c>
      <c r="Y108" s="276">
        <f t="shared" si="126"/>
        <v>0</v>
      </c>
    </row>
    <row r="109" spans="3:27" x14ac:dyDescent="0.25">
      <c r="C109" s="86"/>
      <c r="D109" s="295"/>
      <c r="E109" s="82"/>
      <c r="F109" s="295" t="s">
        <v>50</v>
      </c>
      <c r="G109" s="295" t="s">
        <v>611</v>
      </c>
      <c r="J109" s="276">
        <f t="shared" si="126"/>
        <v>167707.49371618067</v>
      </c>
      <c r="K109" s="276">
        <f t="shared" si="126"/>
        <v>0</v>
      </c>
      <c r="L109" s="276">
        <f t="shared" si="126"/>
        <v>167707.49371618067</v>
      </c>
      <c r="M109" s="276">
        <f t="shared" si="126"/>
        <v>0</v>
      </c>
      <c r="N109" s="276">
        <f t="shared" si="126"/>
        <v>0</v>
      </c>
      <c r="O109" s="276">
        <f t="shared" si="126"/>
        <v>0</v>
      </c>
      <c r="P109" s="276">
        <f t="shared" si="126"/>
        <v>0</v>
      </c>
      <c r="Q109" s="276">
        <f t="shared" si="126"/>
        <v>0</v>
      </c>
      <c r="R109" s="276">
        <f t="shared" si="126"/>
        <v>0</v>
      </c>
      <c r="S109" s="276">
        <f t="shared" si="126"/>
        <v>0</v>
      </c>
      <c r="T109" s="276">
        <f t="shared" si="126"/>
        <v>0</v>
      </c>
      <c r="U109" s="276">
        <f t="shared" si="126"/>
        <v>0</v>
      </c>
      <c r="V109" s="276">
        <f t="shared" si="126"/>
        <v>0</v>
      </c>
      <c r="W109" s="276">
        <f t="shared" si="126"/>
        <v>0</v>
      </c>
      <c r="X109" s="276">
        <f t="shared" si="126"/>
        <v>0</v>
      </c>
      <c r="Y109" s="276">
        <f t="shared" si="126"/>
        <v>0</v>
      </c>
    </row>
    <row r="110" spans="3:27" x14ac:dyDescent="0.25">
      <c r="C110" s="86"/>
      <c r="D110" s="295"/>
      <c r="E110" s="82"/>
      <c r="F110" s="295" t="s">
        <v>124</v>
      </c>
      <c r="G110" s="295" t="s">
        <v>611</v>
      </c>
      <c r="J110" s="280"/>
      <c r="K110" s="280"/>
      <c r="L110" s="280"/>
      <c r="M110" s="280"/>
      <c r="N110" s="280"/>
      <c r="O110" s="280"/>
      <c r="P110" s="280"/>
      <c r="Q110" s="280"/>
      <c r="R110" s="280"/>
      <c r="S110" s="280"/>
      <c r="T110" s="280"/>
      <c r="U110" s="280"/>
      <c r="V110" s="280"/>
      <c r="W110" s="280"/>
      <c r="X110" s="280"/>
      <c r="Y110" s="280"/>
    </row>
    <row r="111" spans="3:27" x14ac:dyDescent="0.25">
      <c r="C111" s="86"/>
      <c r="D111" s="295"/>
      <c r="E111" s="82"/>
      <c r="F111" s="93" t="s">
        <v>123</v>
      </c>
      <c r="G111" s="93" t="s">
        <v>611</v>
      </c>
      <c r="H111" s="93"/>
      <c r="I111" s="93"/>
      <c r="J111" s="241"/>
      <c r="K111" s="241"/>
      <c r="L111" s="241"/>
      <c r="M111" s="241"/>
      <c r="N111" s="241"/>
      <c r="O111" s="241"/>
      <c r="P111" s="241"/>
      <c r="Q111" s="241"/>
      <c r="R111" s="241"/>
      <c r="S111" s="241"/>
      <c r="T111" s="241"/>
      <c r="U111" s="241"/>
      <c r="V111" s="241"/>
      <c r="W111" s="241"/>
      <c r="X111" s="241"/>
      <c r="Y111" s="241"/>
    </row>
    <row r="112" spans="3:27" x14ac:dyDescent="0.25">
      <c r="C112" s="86"/>
      <c r="D112" s="295"/>
      <c r="E112" s="82"/>
      <c r="J112" s="253"/>
      <c r="K112" s="253"/>
      <c r="L112" s="253"/>
      <c r="M112" s="253"/>
      <c r="N112" s="253"/>
      <c r="O112" s="253"/>
      <c r="P112" s="253"/>
      <c r="Q112" s="253"/>
      <c r="R112" s="253"/>
      <c r="S112" s="253"/>
      <c r="T112" s="253"/>
      <c r="U112" s="253"/>
      <c r="V112" s="253"/>
      <c r="W112" s="253"/>
      <c r="X112" s="253"/>
      <c r="Y112" s="253"/>
    </row>
    <row r="113" spans="3:27" x14ac:dyDescent="0.25">
      <c r="C113" s="86"/>
      <c r="D113" s="295"/>
      <c r="E113" s="96" t="s">
        <v>116</v>
      </c>
      <c r="J113" s="253"/>
      <c r="K113" s="253"/>
      <c r="L113" s="253"/>
      <c r="M113" s="253"/>
      <c r="N113" s="253"/>
      <c r="O113" s="253"/>
      <c r="P113" s="253"/>
      <c r="Q113" s="253"/>
      <c r="R113" s="253"/>
      <c r="S113" s="253"/>
      <c r="T113" s="253"/>
      <c r="U113" s="253"/>
      <c r="V113" s="253"/>
      <c r="W113" s="253"/>
      <c r="X113" s="253"/>
      <c r="Y113" s="253"/>
    </row>
    <row r="114" spans="3:27" x14ac:dyDescent="0.25">
      <c r="C114" s="86"/>
      <c r="D114" s="295"/>
      <c r="F114" s="91" t="s">
        <v>324</v>
      </c>
      <c r="G114" s="91" t="s">
        <v>611</v>
      </c>
      <c r="H114" s="91"/>
      <c r="I114" s="91"/>
      <c r="J114" s="268">
        <f t="shared" ref="J114:Y123" si="127">SUMIFS($J84:$Y84,$J$63:$Y$63,J$63)</f>
        <v>0</v>
      </c>
      <c r="K114" s="268">
        <f t="shared" si="127"/>
        <v>0</v>
      </c>
      <c r="L114" s="268">
        <f t="shared" si="127"/>
        <v>0</v>
      </c>
      <c r="M114" s="268">
        <f t="shared" si="127"/>
        <v>0</v>
      </c>
      <c r="N114" s="268">
        <f t="shared" si="127"/>
        <v>0</v>
      </c>
      <c r="O114" s="268">
        <f t="shared" si="127"/>
        <v>0</v>
      </c>
      <c r="P114" s="268">
        <f t="shared" si="127"/>
        <v>0</v>
      </c>
      <c r="Q114" s="268">
        <f t="shared" si="127"/>
        <v>0</v>
      </c>
      <c r="R114" s="268">
        <f t="shared" si="127"/>
        <v>0</v>
      </c>
      <c r="S114" s="268">
        <f t="shared" si="127"/>
        <v>0</v>
      </c>
      <c r="T114" s="268">
        <f t="shared" si="127"/>
        <v>0</v>
      </c>
      <c r="U114" s="268">
        <f t="shared" si="127"/>
        <v>0</v>
      </c>
      <c r="V114" s="268">
        <f t="shared" si="127"/>
        <v>0</v>
      </c>
      <c r="W114" s="268">
        <f t="shared" si="127"/>
        <v>0</v>
      </c>
      <c r="X114" s="268">
        <f t="shared" si="127"/>
        <v>0</v>
      </c>
      <c r="Y114" s="268">
        <f t="shared" si="127"/>
        <v>0</v>
      </c>
    </row>
    <row r="115" spans="3:27" x14ac:dyDescent="0.25">
      <c r="C115" s="86"/>
      <c r="D115" s="295"/>
      <c r="F115" s="295" t="s">
        <v>43</v>
      </c>
      <c r="G115" s="295" t="s">
        <v>611</v>
      </c>
      <c r="J115" s="276">
        <f t="shared" si="127"/>
        <v>0</v>
      </c>
      <c r="K115" s="276">
        <f t="shared" si="127"/>
        <v>0</v>
      </c>
      <c r="L115" s="276">
        <f t="shared" si="127"/>
        <v>0</v>
      </c>
      <c r="M115" s="276">
        <f t="shared" si="127"/>
        <v>0</v>
      </c>
      <c r="N115" s="276">
        <f t="shared" si="127"/>
        <v>0</v>
      </c>
      <c r="O115" s="276">
        <f t="shared" si="127"/>
        <v>0</v>
      </c>
      <c r="P115" s="276">
        <f t="shared" si="127"/>
        <v>0</v>
      </c>
      <c r="Q115" s="276">
        <f t="shared" si="127"/>
        <v>0</v>
      </c>
      <c r="R115" s="276">
        <f t="shared" si="127"/>
        <v>0</v>
      </c>
      <c r="S115" s="276">
        <f t="shared" si="127"/>
        <v>0</v>
      </c>
      <c r="T115" s="276">
        <f t="shared" si="127"/>
        <v>0</v>
      </c>
      <c r="U115" s="276">
        <f t="shared" si="127"/>
        <v>0</v>
      </c>
      <c r="V115" s="276">
        <f t="shared" si="127"/>
        <v>0</v>
      </c>
      <c r="W115" s="276">
        <f t="shared" si="127"/>
        <v>0</v>
      </c>
      <c r="X115" s="276">
        <f t="shared" si="127"/>
        <v>0</v>
      </c>
      <c r="Y115" s="276">
        <f t="shared" si="127"/>
        <v>0</v>
      </c>
    </row>
    <row r="116" spans="3:27" x14ac:dyDescent="0.25">
      <c r="C116" s="86"/>
      <c r="D116" s="295"/>
      <c r="F116" s="295" t="s">
        <v>44</v>
      </c>
      <c r="G116" s="295" t="s">
        <v>611</v>
      </c>
      <c r="J116" s="276">
        <f t="shared" si="127"/>
        <v>0</v>
      </c>
      <c r="K116" s="276">
        <f t="shared" si="127"/>
        <v>0</v>
      </c>
      <c r="L116" s="276">
        <f t="shared" si="127"/>
        <v>0</v>
      </c>
      <c r="M116" s="276">
        <f t="shared" si="127"/>
        <v>0</v>
      </c>
      <c r="N116" s="276">
        <f t="shared" si="127"/>
        <v>0</v>
      </c>
      <c r="O116" s="276">
        <f t="shared" si="127"/>
        <v>0</v>
      </c>
      <c r="P116" s="276">
        <f t="shared" si="127"/>
        <v>0</v>
      </c>
      <c r="Q116" s="276">
        <f t="shared" si="127"/>
        <v>0</v>
      </c>
      <c r="R116" s="276">
        <f t="shared" si="127"/>
        <v>0</v>
      </c>
      <c r="S116" s="276">
        <f t="shared" si="127"/>
        <v>0</v>
      </c>
      <c r="T116" s="276">
        <f t="shared" si="127"/>
        <v>0</v>
      </c>
      <c r="U116" s="276">
        <f t="shared" si="127"/>
        <v>0</v>
      </c>
      <c r="V116" s="276">
        <f t="shared" si="127"/>
        <v>0</v>
      </c>
      <c r="W116" s="276">
        <f t="shared" si="127"/>
        <v>0</v>
      </c>
      <c r="X116" s="276">
        <f t="shared" si="127"/>
        <v>0</v>
      </c>
      <c r="Y116" s="276">
        <f t="shared" si="127"/>
        <v>0</v>
      </c>
    </row>
    <row r="117" spans="3:27" x14ac:dyDescent="0.25">
      <c r="C117" s="86"/>
      <c r="D117" s="295"/>
      <c r="F117" s="295" t="s">
        <v>45</v>
      </c>
      <c r="G117" s="295" t="s">
        <v>611</v>
      </c>
      <c r="J117" s="276">
        <f t="shared" si="127"/>
        <v>0</v>
      </c>
      <c r="K117" s="276">
        <f t="shared" si="127"/>
        <v>0</v>
      </c>
      <c r="L117" s="276">
        <f t="shared" si="127"/>
        <v>0</v>
      </c>
      <c r="M117" s="276">
        <f t="shared" si="127"/>
        <v>0</v>
      </c>
      <c r="N117" s="276">
        <f t="shared" si="127"/>
        <v>0</v>
      </c>
      <c r="O117" s="276">
        <f t="shared" si="127"/>
        <v>0</v>
      </c>
      <c r="P117" s="276">
        <f t="shared" si="127"/>
        <v>0</v>
      </c>
      <c r="Q117" s="276">
        <f t="shared" si="127"/>
        <v>0</v>
      </c>
      <c r="R117" s="276">
        <f t="shared" si="127"/>
        <v>0</v>
      </c>
      <c r="S117" s="276">
        <f t="shared" si="127"/>
        <v>0</v>
      </c>
      <c r="T117" s="276">
        <f t="shared" si="127"/>
        <v>0</v>
      </c>
      <c r="U117" s="276">
        <f t="shared" si="127"/>
        <v>0</v>
      </c>
      <c r="V117" s="276">
        <f t="shared" si="127"/>
        <v>0</v>
      </c>
      <c r="W117" s="276">
        <f t="shared" si="127"/>
        <v>0</v>
      </c>
      <c r="X117" s="276">
        <f t="shared" si="127"/>
        <v>0</v>
      </c>
      <c r="Y117" s="276">
        <f t="shared" si="127"/>
        <v>0</v>
      </c>
    </row>
    <row r="118" spans="3:27" x14ac:dyDescent="0.25">
      <c r="C118" s="86"/>
      <c r="D118" s="295"/>
      <c r="F118" s="295" t="s">
        <v>46</v>
      </c>
      <c r="G118" s="295" t="s">
        <v>611</v>
      </c>
      <c r="J118" s="276">
        <f t="shared" si="127"/>
        <v>0</v>
      </c>
      <c r="K118" s="276">
        <f t="shared" si="127"/>
        <v>0</v>
      </c>
      <c r="L118" s="276">
        <f t="shared" si="127"/>
        <v>0</v>
      </c>
      <c r="M118" s="276">
        <f t="shared" si="127"/>
        <v>0</v>
      </c>
      <c r="N118" s="276">
        <f t="shared" si="127"/>
        <v>0</v>
      </c>
      <c r="O118" s="276">
        <f t="shared" si="127"/>
        <v>0</v>
      </c>
      <c r="P118" s="276">
        <f t="shared" si="127"/>
        <v>0</v>
      </c>
      <c r="Q118" s="276">
        <f t="shared" si="127"/>
        <v>0</v>
      </c>
      <c r="R118" s="276">
        <f t="shared" si="127"/>
        <v>0</v>
      </c>
      <c r="S118" s="276">
        <f t="shared" si="127"/>
        <v>0</v>
      </c>
      <c r="T118" s="276">
        <f t="shared" si="127"/>
        <v>0</v>
      </c>
      <c r="U118" s="276">
        <f t="shared" si="127"/>
        <v>0</v>
      </c>
      <c r="V118" s="276">
        <f t="shared" si="127"/>
        <v>0</v>
      </c>
      <c r="W118" s="276">
        <f t="shared" si="127"/>
        <v>0</v>
      </c>
      <c r="X118" s="276">
        <f t="shared" si="127"/>
        <v>0</v>
      </c>
      <c r="Y118" s="276">
        <f t="shared" si="127"/>
        <v>0</v>
      </c>
    </row>
    <row r="119" spans="3:27" x14ac:dyDescent="0.25">
      <c r="C119" s="86"/>
      <c r="D119" s="295"/>
      <c r="F119" s="295" t="s">
        <v>47</v>
      </c>
      <c r="G119" s="295" t="s">
        <v>611</v>
      </c>
      <c r="J119" s="276">
        <f t="shared" si="127"/>
        <v>0</v>
      </c>
      <c r="K119" s="276">
        <f t="shared" si="127"/>
        <v>0</v>
      </c>
      <c r="L119" s="276">
        <f t="shared" si="127"/>
        <v>0</v>
      </c>
      <c r="M119" s="276">
        <f t="shared" si="127"/>
        <v>0</v>
      </c>
      <c r="N119" s="276">
        <f t="shared" si="127"/>
        <v>0</v>
      </c>
      <c r="O119" s="276">
        <f t="shared" si="127"/>
        <v>0</v>
      </c>
      <c r="P119" s="276">
        <f t="shared" si="127"/>
        <v>0</v>
      </c>
      <c r="Q119" s="276">
        <f t="shared" si="127"/>
        <v>0</v>
      </c>
      <c r="R119" s="276">
        <f t="shared" si="127"/>
        <v>0</v>
      </c>
      <c r="S119" s="276">
        <f t="shared" si="127"/>
        <v>0</v>
      </c>
      <c r="T119" s="276">
        <f t="shared" si="127"/>
        <v>0</v>
      </c>
      <c r="U119" s="276">
        <f t="shared" si="127"/>
        <v>0</v>
      </c>
      <c r="V119" s="276">
        <f t="shared" si="127"/>
        <v>0</v>
      </c>
      <c r="W119" s="276">
        <f t="shared" si="127"/>
        <v>0</v>
      </c>
      <c r="X119" s="276">
        <f t="shared" si="127"/>
        <v>0</v>
      </c>
      <c r="Y119" s="276">
        <f t="shared" si="127"/>
        <v>0</v>
      </c>
    </row>
    <row r="120" spans="3:27" x14ac:dyDescent="0.25">
      <c r="C120" s="86"/>
      <c r="D120" s="295"/>
      <c r="F120" s="295" t="s">
        <v>51</v>
      </c>
      <c r="G120" s="295" t="s">
        <v>611</v>
      </c>
      <c r="J120" s="276">
        <f t="shared" si="127"/>
        <v>0</v>
      </c>
      <c r="K120" s="276">
        <f t="shared" si="127"/>
        <v>0</v>
      </c>
      <c r="L120" s="276">
        <f t="shared" si="127"/>
        <v>0</v>
      </c>
      <c r="M120" s="276">
        <f t="shared" si="127"/>
        <v>0</v>
      </c>
      <c r="N120" s="276">
        <f t="shared" si="127"/>
        <v>0</v>
      </c>
      <c r="O120" s="276">
        <f t="shared" si="127"/>
        <v>0</v>
      </c>
      <c r="P120" s="276">
        <f t="shared" si="127"/>
        <v>0</v>
      </c>
      <c r="Q120" s="276">
        <f t="shared" si="127"/>
        <v>0</v>
      </c>
      <c r="R120" s="276">
        <f t="shared" si="127"/>
        <v>0</v>
      </c>
      <c r="S120" s="276">
        <f t="shared" si="127"/>
        <v>0</v>
      </c>
      <c r="T120" s="276">
        <f t="shared" si="127"/>
        <v>0</v>
      </c>
      <c r="U120" s="276">
        <f t="shared" si="127"/>
        <v>0</v>
      </c>
      <c r="V120" s="276">
        <f t="shared" si="127"/>
        <v>0</v>
      </c>
      <c r="W120" s="276">
        <f t="shared" si="127"/>
        <v>0</v>
      </c>
      <c r="X120" s="276">
        <f t="shared" si="127"/>
        <v>0</v>
      </c>
      <c r="Y120" s="276">
        <f t="shared" si="127"/>
        <v>0</v>
      </c>
    </row>
    <row r="121" spans="3:27" x14ac:dyDescent="0.25">
      <c r="C121" s="86"/>
      <c r="D121" s="295"/>
      <c r="F121" s="295" t="s">
        <v>48</v>
      </c>
      <c r="G121" s="295" t="s">
        <v>611</v>
      </c>
      <c r="J121" s="276">
        <f t="shared" si="127"/>
        <v>0</v>
      </c>
      <c r="K121" s="276">
        <f t="shared" si="127"/>
        <v>0</v>
      </c>
      <c r="L121" s="276">
        <f t="shared" si="127"/>
        <v>0</v>
      </c>
      <c r="M121" s="276">
        <f t="shared" si="127"/>
        <v>0</v>
      </c>
      <c r="N121" s="276">
        <f t="shared" si="127"/>
        <v>0</v>
      </c>
      <c r="O121" s="276">
        <f t="shared" si="127"/>
        <v>0</v>
      </c>
      <c r="P121" s="276">
        <f t="shared" si="127"/>
        <v>0</v>
      </c>
      <c r="Q121" s="276">
        <f t="shared" si="127"/>
        <v>0</v>
      </c>
      <c r="R121" s="276">
        <f t="shared" si="127"/>
        <v>0</v>
      </c>
      <c r="S121" s="276">
        <f t="shared" si="127"/>
        <v>0</v>
      </c>
      <c r="T121" s="276">
        <f t="shared" si="127"/>
        <v>0</v>
      </c>
      <c r="U121" s="276">
        <f t="shared" si="127"/>
        <v>0</v>
      </c>
      <c r="V121" s="276">
        <f t="shared" si="127"/>
        <v>0</v>
      </c>
      <c r="W121" s="276">
        <f t="shared" si="127"/>
        <v>0</v>
      </c>
      <c r="X121" s="276">
        <f t="shared" si="127"/>
        <v>0</v>
      </c>
      <c r="Y121" s="276">
        <f t="shared" si="127"/>
        <v>0</v>
      </c>
    </row>
    <row r="122" spans="3:27" x14ac:dyDescent="0.25">
      <c r="C122" s="86"/>
      <c r="D122" s="295"/>
      <c r="F122" s="295" t="s">
        <v>49</v>
      </c>
      <c r="G122" s="295" t="s">
        <v>611</v>
      </c>
      <c r="J122" s="276">
        <f t="shared" si="127"/>
        <v>0</v>
      </c>
      <c r="K122" s="276">
        <f t="shared" si="127"/>
        <v>0</v>
      </c>
      <c r="L122" s="276">
        <f t="shared" si="127"/>
        <v>0</v>
      </c>
      <c r="M122" s="276">
        <f t="shared" si="127"/>
        <v>0</v>
      </c>
      <c r="N122" s="276">
        <f t="shared" si="127"/>
        <v>0</v>
      </c>
      <c r="O122" s="276">
        <f t="shared" si="127"/>
        <v>0</v>
      </c>
      <c r="P122" s="276">
        <f t="shared" si="127"/>
        <v>0</v>
      </c>
      <c r="Q122" s="276">
        <f t="shared" si="127"/>
        <v>0</v>
      </c>
      <c r="R122" s="276">
        <f t="shared" si="127"/>
        <v>0</v>
      </c>
      <c r="S122" s="276">
        <f t="shared" si="127"/>
        <v>0</v>
      </c>
      <c r="T122" s="276">
        <f t="shared" si="127"/>
        <v>0</v>
      </c>
      <c r="U122" s="276">
        <f t="shared" si="127"/>
        <v>0</v>
      </c>
      <c r="V122" s="276">
        <f t="shared" si="127"/>
        <v>0</v>
      </c>
      <c r="W122" s="276">
        <f t="shared" si="127"/>
        <v>0</v>
      </c>
      <c r="X122" s="276">
        <f t="shared" si="127"/>
        <v>0</v>
      </c>
      <c r="Y122" s="276">
        <f t="shared" si="127"/>
        <v>0</v>
      </c>
    </row>
    <row r="123" spans="3:27" x14ac:dyDescent="0.25">
      <c r="C123" s="86"/>
      <c r="D123" s="295"/>
      <c r="F123" s="295" t="s">
        <v>50</v>
      </c>
      <c r="G123" s="295" t="s">
        <v>611</v>
      </c>
      <c r="J123" s="276">
        <f t="shared" si="127"/>
        <v>1624796.0224668644</v>
      </c>
      <c r="K123" s="276">
        <f t="shared" si="127"/>
        <v>0</v>
      </c>
      <c r="L123" s="276">
        <f t="shared" si="127"/>
        <v>1624796.0224668644</v>
      </c>
      <c r="M123" s="276">
        <f t="shared" si="127"/>
        <v>0</v>
      </c>
      <c r="N123" s="276">
        <f t="shared" si="127"/>
        <v>0</v>
      </c>
      <c r="O123" s="276">
        <f t="shared" si="127"/>
        <v>0</v>
      </c>
      <c r="P123" s="276">
        <f t="shared" si="127"/>
        <v>0</v>
      </c>
      <c r="Q123" s="276">
        <f t="shared" si="127"/>
        <v>0</v>
      </c>
      <c r="R123" s="276">
        <f t="shared" si="127"/>
        <v>0</v>
      </c>
      <c r="S123" s="276">
        <f t="shared" si="127"/>
        <v>0</v>
      </c>
      <c r="T123" s="276">
        <f t="shared" si="127"/>
        <v>0</v>
      </c>
      <c r="U123" s="276">
        <f t="shared" si="127"/>
        <v>0</v>
      </c>
      <c r="V123" s="276">
        <f t="shared" si="127"/>
        <v>0</v>
      </c>
      <c r="W123" s="276">
        <f t="shared" si="127"/>
        <v>0</v>
      </c>
      <c r="X123" s="276">
        <f t="shared" si="127"/>
        <v>0</v>
      </c>
      <c r="Y123" s="276">
        <f t="shared" si="127"/>
        <v>0</v>
      </c>
    </row>
    <row r="124" spans="3:27" x14ac:dyDescent="0.25">
      <c r="C124" s="86"/>
      <c r="D124" s="295"/>
      <c r="F124" s="295" t="s">
        <v>124</v>
      </c>
      <c r="G124" s="295" t="s">
        <v>611</v>
      </c>
      <c r="J124" s="280"/>
      <c r="K124" s="280"/>
      <c r="L124" s="280"/>
      <c r="M124" s="280"/>
      <c r="N124" s="280"/>
      <c r="O124" s="280"/>
      <c r="P124" s="280"/>
      <c r="Q124" s="280"/>
      <c r="R124" s="280"/>
      <c r="S124" s="280"/>
      <c r="T124" s="280"/>
      <c r="U124" s="280"/>
      <c r="V124" s="280"/>
      <c r="W124" s="280"/>
      <c r="X124" s="280"/>
      <c r="Y124" s="280"/>
    </row>
    <row r="125" spans="3:27" x14ac:dyDescent="0.25">
      <c r="C125" s="86"/>
      <c r="D125" s="295"/>
      <c r="F125" s="93" t="s">
        <v>123</v>
      </c>
      <c r="G125" s="93" t="s">
        <v>611</v>
      </c>
      <c r="H125" s="93"/>
      <c r="I125" s="93"/>
      <c r="J125" s="241"/>
      <c r="K125" s="241"/>
      <c r="L125" s="241"/>
      <c r="M125" s="241"/>
      <c r="N125" s="241"/>
      <c r="O125" s="241"/>
      <c r="P125" s="241"/>
      <c r="Q125" s="241"/>
      <c r="R125" s="241"/>
      <c r="S125" s="241"/>
      <c r="T125" s="241"/>
      <c r="U125" s="241"/>
      <c r="V125" s="241"/>
      <c r="W125" s="241"/>
      <c r="X125" s="241"/>
      <c r="Y125" s="241"/>
    </row>
    <row r="126" spans="3:27" x14ac:dyDescent="0.25">
      <c r="C126" s="86"/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  <c r="U126" s="253"/>
      <c r="V126" s="253"/>
      <c r="W126" s="253"/>
      <c r="X126" s="253"/>
      <c r="Y126" s="253"/>
    </row>
    <row r="127" spans="3:27" x14ac:dyDescent="0.25">
      <c r="C127" s="7" t="str">
        <f ca="1">INDEX('Version control'!$H$34:$H$58,MATCH($A$1,'Version control'!$F$34:$F$58,0),1)&amp;"-G: Fixed charges, by network level"</f>
        <v>Section 517-G: Fixed charges, by network level</v>
      </c>
      <c r="D127" s="7"/>
      <c r="E127" s="7"/>
      <c r="F127" s="7"/>
      <c r="G127" s="7"/>
      <c r="H127" s="7"/>
      <c r="I127" s="7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7"/>
      <c r="AA127" s="7"/>
    </row>
    <row r="128" spans="3:27" x14ac:dyDescent="0.25">
      <c r="D128" s="295"/>
      <c r="E128" s="96"/>
    </row>
    <row r="129" spans="3:27" x14ac:dyDescent="0.25">
      <c r="D129" s="295"/>
      <c r="E129" s="295" t="s">
        <v>694</v>
      </c>
      <c r="G129" s="295" t="s">
        <v>74</v>
      </c>
      <c r="J129" s="253">
        <f t="shared" ref="J129:Y129" si="128">SUMIFS($J$18:$Y$18,$J$63:$Y$63,J63)</f>
        <v>2027204.9351209695</v>
      </c>
      <c r="K129" s="253">
        <f t="shared" si="128"/>
        <v>125588.59775410875</v>
      </c>
      <c r="L129" s="253">
        <f t="shared" si="128"/>
        <v>2027204.9351209695</v>
      </c>
      <c r="M129" s="253">
        <f t="shared" si="128"/>
        <v>125588.59775410875</v>
      </c>
      <c r="N129" s="253">
        <f t="shared" si="128"/>
        <v>125588.59775410875</v>
      </c>
      <c r="O129" s="253">
        <f t="shared" si="128"/>
        <v>125588.59775410875</v>
      </c>
      <c r="P129" s="253">
        <f t="shared" si="128"/>
        <v>125588.59775410875</v>
      </c>
      <c r="Q129" s="253">
        <f t="shared" si="128"/>
        <v>125588.59775410875</v>
      </c>
      <c r="R129" s="253">
        <f t="shared" si="128"/>
        <v>125588.59775410875</v>
      </c>
      <c r="S129" s="253">
        <f t="shared" si="128"/>
        <v>125588.59775410875</v>
      </c>
      <c r="T129" s="253">
        <f t="shared" si="128"/>
        <v>125588.59775410875</v>
      </c>
      <c r="U129" s="253">
        <f t="shared" si="128"/>
        <v>125588.59775410875</v>
      </c>
      <c r="V129" s="253">
        <f t="shared" si="128"/>
        <v>125588.59775410875</v>
      </c>
      <c r="W129" s="253">
        <f t="shared" si="128"/>
        <v>125588.59775410875</v>
      </c>
      <c r="X129" s="253">
        <f t="shared" si="128"/>
        <v>125588.59775410875</v>
      </c>
      <c r="Y129" s="253">
        <f t="shared" si="128"/>
        <v>125588.59775410875</v>
      </c>
    </row>
    <row r="130" spans="3:27" x14ac:dyDescent="0.25">
      <c r="D130" s="295"/>
      <c r="E130" s="295"/>
    </row>
    <row r="131" spans="3:27" x14ac:dyDescent="0.25">
      <c r="C131" s="86"/>
      <c r="E131" s="96" t="s">
        <v>139</v>
      </c>
      <c r="I131" s="295" t="s">
        <v>431</v>
      </c>
      <c r="J131" s="253"/>
      <c r="K131" s="253"/>
      <c r="L131" s="253"/>
      <c r="M131" s="253"/>
      <c r="N131" s="253"/>
      <c r="O131" s="253"/>
      <c r="P131" s="253"/>
      <c r="Q131" s="253"/>
      <c r="R131" s="253"/>
      <c r="S131" s="253"/>
      <c r="T131" s="253"/>
      <c r="U131" s="253"/>
      <c r="V131" s="253"/>
      <c r="W131" s="253"/>
      <c r="X131" s="253"/>
      <c r="Y131" s="253"/>
      <c r="AA131" s="295" t="s">
        <v>938</v>
      </c>
    </row>
    <row r="132" spans="3:27" x14ac:dyDescent="0.25">
      <c r="C132" s="86"/>
      <c r="E132" s="82"/>
      <c r="F132" s="91" t="s">
        <v>324</v>
      </c>
      <c r="G132" s="91" t="s">
        <v>309</v>
      </c>
      <c r="H132" s="91"/>
      <c r="I132" s="91"/>
      <c r="J132" s="268">
        <f t="shared" ref="J132:Y141" si="129">IF(J$129 = 0, 0, J100 / J$129)</f>
        <v>0</v>
      </c>
      <c r="K132" s="268">
        <f t="shared" si="129"/>
        <v>0</v>
      </c>
      <c r="L132" s="268">
        <f t="shared" si="129"/>
        <v>0</v>
      </c>
      <c r="M132" s="268">
        <f t="shared" si="129"/>
        <v>0</v>
      </c>
      <c r="N132" s="268">
        <f t="shared" si="129"/>
        <v>0</v>
      </c>
      <c r="O132" s="268">
        <f t="shared" si="129"/>
        <v>0</v>
      </c>
      <c r="P132" s="268">
        <f t="shared" si="129"/>
        <v>0</v>
      </c>
      <c r="Q132" s="268">
        <f t="shared" si="129"/>
        <v>0</v>
      </c>
      <c r="R132" s="268">
        <f t="shared" si="129"/>
        <v>0</v>
      </c>
      <c r="S132" s="268">
        <f t="shared" si="129"/>
        <v>0</v>
      </c>
      <c r="T132" s="268">
        <f t="shared" si="129"/>
        <v>0</v>
      </c>
      <c r="U132" s="268">
        <f t="shared" si="129"/>
        <v>0</v>
      </c>
      <c r="V132" s="268">
        <f t="shared" si="129"/>
        <v>0</v>
      </c>
      <c r="W132" s="268">
        <f t="shared" si="129"/>
        <v>0</v>
      </c>
      <c r="X132" s="268">
        <f t="shared" si="129"/>
        <v>0</v>
      </c>
      <c r="Y132" s="268">
        <f t="shared" si="129"/>
        <v>0</v>
      </c>
    </row>
    <row r="133" spans="3:27" x14ac:dyDescent="0.25">
      <c r="C133" s="86"/>
      <c r="E133" s="82"/>
      <c r="F133" s="295" t="s">
        <v>43</v>
      </c>
      <c r="G133" s="295" t="s">
        <v>309</v>
      </c>
      <c r="J133" s="276">
        <f t="shared" si="129"/>
        <v>0</v>
      </c>
      <c r="K133" s="276">
        <f t="shared" si="129"/>
        <v>0</v>
      </c>
      <c r="L133" s="276">
        <f t="shared" si="129"/>
        <v>0</v>
      </c>
      <c r="M133" s="276">
        <f t="shared" si="129"/>
        <v>0</v>
      </c>
      <c r="N133" s="276">
        <f t="shared" si="129"/>
        <v>0</v>
      </c>
      <c r="O133" s="276">
        <f t="shared" si="129"/>
        <v>0</v>
      </c>
      <c r="P133" s="276">
        <f t="shared" si="129"/>
        <v>0</v>
      </c>
      <c r="Q133" s="276">
        <f t="shared" si="129"/>
        <v>0</v>
      </c>
      <c r="R133" s="276">
        <f t="shared" si="129"/>
        <v>0</v>
      </c>
      <c r="S133" s="276">
        <f t="shared" si="129"/>
        <v>0</v>
      </c>
      <c r="T133" s="276">
        <f t="shared" si="129"/>
        <v>0</v>
      </c>
      <c r="U133" s="276">
        <f t="shared" si="129"/>
        <v>0</v>
      </c>
      <c r="V133" s="276">
        <f t="shared" si="129"/>
        <v>0</v>
      </c>
      <c r="W133" s="276">
        <f t="shared" si="129"/>
        <v>0</v>
      </c>
      <c r="X133" s="276">
        <f t="shared" si="129"/>
        <v>0</v>
      </c>
      <c r="Y133" s="276">
        <f t="shared" si="129"/>
        <v>0</v>
      </c>
    </row>
    <row r="134" spans="3:27" x14ac:dyDescent="0.25">
      <c r="C134" s="86"/>
      <c r="E134" s="82"/>
      <c r="F134" s="295" t="s">
        <v>44</v>
      </c>
      <c r="G134" s="295" t="s">
        <v>309</v>
      </c>
      <c r="J134" s="276">
        <f t="shared" si="129"/>
        <v>0</v>
      </c>
      <c r="K134" s="276">
        <f t="shared" si="129"/>
        <v>0</v>
      </c>
      <c r="L134" s="276">
        <f t="shared" si="129"/>
        <v>0</v>
      </c>
      <c r="M134" s="276">
        <f t="shared" si="129"/>
        <v>0</v>
      </c>
      <c r="N134" s="276">
        <f t="shared" si="129"/>
        <v>0</v>
      </c>
      <c r="O134" s="276">
        <f t="shared" si="129"/>
        <v>0</v>
      </c>
      <c r="P134" s="276">
        <f t="shared" si="129"/>
        <v>0</v>
      </c>
      <c r="Q134" s="276">
        <f t="shared" si="129"/>
        <v>0</v>
      </c>
      <c r="R134" s="276">
        <f t="shared" si="129"/>
        <v>0</v>
      </c>
      <c r="S134" s="276">
        <f t="shared" si="129"/>
        <v>0</v>
      </c>
      <c r="T134" s="276">
        <f t="shared" si="129"/>
        <v>0</v>
      </c>
      <c r="U134" s="276">
        <f t="shared" si="129"/>
        <v>0</v>
      </c>
      <c r="V134" s="276">
        <f t="shared" si="129"/>
        <v>0</v>
      </c>
      <c r="W134" s="276">
        <f t="shared" si="129"/>
        <v>0</v>
      </c>
      <c r="X134" s="276">
        <f t="shared" si="129"/>
        <v>0</v>
      </c>
      <c r="Y134" s="276">
        <f t="shared" si="129"/>
        <v>0</v>
      </c>
    </row>
    <row r="135" spans="3:27" x14ac:dyDescent="0.25">
      <c r="C135" s="86"/>
      <c r="E135" s="82"/>
      <c r="F135" s="295" t="s">
        <v>45</v>
      </c>
      <c r="G135" s="295" t="s">
        <v>309</v>
      </c>
      <c r="J135" s="276">
        <f t="shared" si="129"/>
        <v>0</v>
      </c>
      <c r="K135" s="276">
        <f t="shared" si="129"/>
        <v>0</v>
      </c>
      <c r="L135" s="276">
        <f t="shared" si="129"/>
        <v>0</v>
      </c>
      <c r="M135" s="276">
        <f t="shared" si="129"/>
        <v>0</v>
      </c>
      <c r="N135" s="276">
        <f t="shared" si="129"/>
        <v>0</v>
      </c>
      <c r="O135" s="276">
        <f t="shared" si="129"/>
        <v>0</v>
      </c>
      <c r="P135" s="276">
        <f t="shared" si="129"/>
        <v>0</v>
      </c>
      <c r="Q135" s="276">
        <f t="shared" si="129"/>
        <v>0</v>
      </c>
      <c r="R135" s="276">
        <f t="shared" si="129"/>
        <v>0</v>
      </c>
      <c r="S135" s="276">
        <f t="shared" si="129"/>
        <v>0</v>
      </c>
      <c r="T135" s="276">
        <f t="shared" si="129"/>
        <v>0</v>
      </c>
      <c r="U135" s="276">
        <f t="shared" si="129"/>
        <v>0</v>
      </c>
      <c r="V135" s="276">
        <f t="shared" si="129"/>
        <v>0</v>
      </c>
      <c r="W135" s="276">
        <f t="shared" si="129"/>
        <v>0</v>
      </c>
      <c r="X135" s="276">
        <f t="shared" si="129"/>
        <v>0</v>
      </c>
      <c r="Y135" s="276">
        <f t="shared" si="129"/>
        <v>0</v>
      </c>
    </row>
    <row r="136" spans="3:27" x14ac:dyDescent="0.25">
      <c r="C136" s="86"/>
      <c r="E136" s="82"/>
      <c r="F136" s="295" t="s">
        <v>46</v>
      </c>
      <c r="G136" s="295" t="s">
        <v>309</v>
      </c>
      <c r="J136" s="276">
        <f t="shared" si="129"/>
        <v>0</v>
      </c>
      <c r="K136" s="276">
        <f t="shared" si="129"/>
        <v>0</v>
      </c>
      <c r="L136" s="276">
        <f t="shared" si="129"/>
        <v>0</v>
      </c>
      <c r="M136" s="276">
        <f t="shared" si="129"/>
        <v>0</v>
      </c>
      <c r="N136" s="276">
        <f t="shared" si="129"/>
        <v>0</v>
      </c>
      <c r="O136" s="276">
        <f t="shared" si="129"/>
        <v>0</v>
      </c>
      <c r="P136" s="276">
        <f t="shared" si="129"/>
        <v>0</v>
      </c>
      <c r="Q136" s="276">
        <f t="shared" si="129"/>
        <v>0</v>
      </c>
      <c r="R136" s="276">
        <f t="shared" si="129"/>
        <v>0</v>
      </c>
      <c r="S136" s="276">
        <f t="shared" si="129"/>
        <v>0</v>
      </c>
      <c r="T136" s="276">
        <f t="shared" si="129"/>
        <v>0</v>
      </c>
      <c r="U136" s="276">
        <f t="shared" si="129"/>
        <v>0</v>
      </c>
      <c r="V136" s="276">
        <f t="shared" si="129"/>
        <v>0</v>
      </c>
      <c r="W136" s="276">
        <f t="shared" si="129"/>
        <v>0</v>
      </c>
      <c r="X136" s="276">
        <f t="shared" si="129"/>
        <v>0</v>
      </c>
      <c r="Y136" s="276">
        <f t="shared" si="129"/>
        <v>0</v>
      </c>
    </row>
    <row r="137" spans="3:27" x14ac:dyDescent="0.25">
      <c r="C137" s="86"/>
      <c r="E137" s="82"/>
      <c r="F137" s="295" t="s">
        <v>47</v>
      </c>
      <c r="G137" s="295" t="s">
        <v>309</v>
      </c>
      <c r="J137" s="276">
        <f t="shared" si="129"/>
        <v>0</v>
      </c>
      <c r="K137" s="276">
        <f t="shared" si="129"/>
        <v>0</v>
      </c>
      <c r="L137" s="276">
        <f t="shared" si="129"/>
        <v>0</v>
      </c>
      <c r="M137" s="276">
        <f t="shared" si="129"/>
        <v>0</v>
      </c>
      <c r="N137" s="276">
        <f t="shared" si="129"/>
        <v>0</v>
      </c>
      <c r="O137" s="276">
        <f t="shared" si="129"/>
        <v>0</v>
      </c>
      <c r="P137" s="276">
        <f t="shared" si="129"/>
        <v>0</v>
      </c>
      <c r="Q137" s="276">
        <f t="shared" si="129"/>
        <v>0</v>
      </c>
      <c r="R137" s="276">
        <f t="shared" si="129"/>
        <v>0</v>
      </c>
      <c r="S137" s="276">
        <f t="shared" si="129"/>
        <v>0</v>
      </c>
      <c r="T137" s="276">
        <f t="shared" si="129"/>
        <v>0</v>
      </c>
      <c r="U137" s="276">
        <f t="shared" si="129"/>
        <v>0</v>
      </c>
      <c r="V137" s="276">
        <f t="shared" si="129"/>
        <v>0</v>
      </c>
      <c r="W137" s="276">
        <f t="shared" si="129"/>
        <v>0</v>
      </c>
      <c r="X137" s="276">
        <f t="shared" si="129"/>
        <v>0</v>
      </c>
      <c r="Y137" s="276">
        <f t="shared" si="129"/>
        <v>0</v>
      </c>
    </row>
    <row r="138" spans="3:27" x14ac:dyDescent="0.25">
      <c r="C138" s="86"/>
      <c r="E138" s="82"/>
      <c r="F138" s="295" t="s">
        <v>51</v>
      </c>
      <c r="G138" s="295" t="s">
        <v>309</v>
      </c>
      <c r="J138" s="276">
        <f t="shared" si="129"/>
        <v>0</v>
      </c>
      <c r="K138" s="276">
        <f t="shared" si="129"/>
        <v>0</v>
      </c>
      <c r="L138" s="276">
        <f t="shared" si="129"/>
        <v>0</v>
      </c>
      <c r="M138" s="276">
        <f t="shared" si="129"/>
        <v>0</v>
      </c>
      <c r="N138" s="276">
        <f t="shared" si="129"/>
        <v>0</v>
      </c>
      <c r="O138" s="276">
        <f t="shared" si="129"/>
        <v>0</v>
      </c>
      <c r="P138" s="276">
        <f t="shared" si="129"/>
        <v>0</v>
      </c>
      <c r="Q138" s="276">
        <f t="shared" si="129"/>
        <v>0</v>
      </c>
      <c r="R138" s="276">
        <f t="shared" si="129"/>
        <v>0</v>
      </c>
      <c r="S138" s="276">
        <f t="shared" si="129"/>
        <v>0</v>
      </c>
      <c r="T138" s="276">
        <f t="shared" si="129"/>
        <v>0</v>
      </c>
      <c r="U138" s="276">
        <f t="shared" si="129"/>
        <v>0</v>
      </c>
      <c r="V138" s="276">
        <f t="shared" si="129"/>
        <v>0</v>
      </c>
      <c r="W138" s="276">
        <f t="shared" si="129"/>
        <v>0</v>
      </c>
      <c r="X138" s="276">
        <f t="shared" si="129"/>
        <v>0</v>
      </c>
      <c r="Y138" s="276">
        <f t="shared" si="129"/>
        <v>0</v>
      </c>
    </row>
    <row r="139" spans="3:27" x14ac:dyDescent="0.25">
      <c r="C139" s="86"/>
      <c r="E139" s="82"/>
      <c r="F139" s="295" t="s">
        <v>48</v>
      </c>
      <c r="G139" s="295" t="s">
        <v>309</v>
      </c>
      <c r="J139" s="276">
        <f t="shared" si="129"/>
        <v>0</v>
      </c>
      <c r="K139" s="276">
        <f t="shared" si="129"/>
        <v>0</v>
      </c>
      <c r="L139" s="276">
        <f t="shared" si="129"/>
        <v>0</v>
      </c>
      <c r="M139" s="276">
        <f t="shared" si="129"/>
        <v>0</v>
      </c>
      <c r="N139" s="276">
        <f t="shared" si="129"/>
        <v>0</v>
      </c>
      <c r="O139" s="276">
        <f t="shared" si="129"/>
        <v>0</v>
      </c>
      <c r="P139" s="276">
        <f t="shared" si="129"/>
        <v>0</v>
      </c>
      <c r="Q139" s="276">
        <f t="shared" si="129"/>
        <v>0</v>
      </c>
      <c r="R139" s="276">
        <f t="shared" si="129"/>
        <v>0</v>
      </c>
      <c r="S139" s="276">
        <f t="shared" si="129"/>
        <v>0</v>
      </c>
      <c r="T139" s="276">
        <f t="shared" si="129"/>
        <v>0</v>
      </c>
      <c r="U139" s="276">
        <f t="shared" si="129"/>
        <v>0</v>
      </c>
      <c r="V139" s="276">
        <f t="shared" si="129"/>
        <v>0</v>
      </c>
      <c r="W139" s="276">
        <f t="shared" si="129"/>
        <v>0</v>
      </c>
      <c r="X139" s="276">
        <f t="shared" si="129"/>
        <v>0</v>
      </c>
      <c r="Y139" s="276">
        <f t="shared" si="129"/>
        <v>0</v>
      </c>
    </row>
    <row r="140" spans="3:27" x14ac:dyDescent="0.25">
      <c r="C140" s="86"/>
      <c r="E140" s="82"/>
      <c r="F140" s="295" t="s">
        <v>49</v>
      </c>
      <c r="G140" s="295" t="s">
        <v>309</v>
      </c>
      <c r="J140" s="276">
        <f t="shared" si="129"/>
        <v>0</v>
      </c>
      <c r="K140" s="276">
        <f t="shared" si="129"/>
        <v>0</v>
      </c>
      <c r="L140" s="276">
        <f t="shared" si="129"/>
        <v>0</v>
      </c>
      <c r="M140" s="276">
        <f t="shared" si="129"/>
        <v>0</v>
      </c>
      <c r="N140" s="276">
        <f t="shared" si="129"/>
        <v>0</v>
      </c>
      <c r="O140" s="276">
        <f t="shared" si="129"/>
        <v>0</v>
      </c>
      <c r="P140" s="276">
        <f t="shared" si="129"/>
        <v>0</v>
      </c>
      <c r="Q140" s="276">
        <f t="shared" si="129"/>
        <v>0</v>
      </c>
      <c r="R140" s="276">
        <f t="shared" si="129"/>
        <v>0</v>
      </c>
      <c r="S140" s="276">
        <f t="shared" si="129"/>
        <v>0</v>
      </c>
      <c r="T140" s="276">
        <f t="shared" si="129"/>
        <v>0</v>
      </c>
      <c r="U140" s="276">
        <f t="shared" si="129"/>
        <v>0</v>
      </c>
      <c r="V140" s="276">
        <f t="shared" si="129"/>
        <v>0</v>
      </c>
      <c r="W140" s="276">
        <f t="shared" si="129"/>
        <v>0</v>
      </c>
      <c r="X140" s="276">
        <f t="shared" si="129"/>
        <v>0</v>
      </c>
      <c r="Y140" s="276">
        <f t="shared" si="129"/>
        <v>0</v>
      </c>
    </row>
    <row r="141" spans="3:27" x14ac:dyDescent="0.25">
      <c r="C141" s="86"/>
      <c r="E141" s="82"/>
      <c r="F141" s="295" t="s">
        <v>50</v>
      </c>
      <c r="G141" s="295" t="s">
        <v>309</v>
      </c>
      <c r="J141" s="276">
        <f t="shared" si="129"/>
        <v>8.2728435991190521E-2</v>
      </c>
      <c r="K141" s="276">
        <f t="shared" si="129"/>
        <v>0</v>
      </c>
      <c r="L141" s="276">
        <f t="shared" si="129"/>
        <v>8.2728435991190521E-2</v>
      </c>
      <c r="M141" s="276">
        <f t="shared" si="129"/>
        <v>0</v>
      </c>
      <c r="N141" s="276">
        <f t="shared" si="129"/>
        <v>0</v>
      </c>
      <c r="O141" s="276">
        <f t="shared" si="129"/>
        <v>0</v>
      </c>
      <c r="P141" s="276">
        <f t="shared" si="129"/>
        <v>0</v>
      </c>
      <c r="Q141" s="276">
        <f t="shared" si="129"/>
        <v>0</v>
      </c>
      <c r="R141" s="276">
        <f t="shared" si="129"/>
        <v>0</v>
      </c>
      <c r="S141" s="276">
        <f t="shared" si="129"/>
        <v>0</v>
      </c>
      <c r="T141" s="276">
        <f t="shared" si="129"/>
        <v>0</v>
      </c>
      <c r="U141" s="276">
        <f t="shared" si="129"/>
        <v>0</v>
      </c>
      <c r="V141" s="276">
        <f t="shared" si="129"/>
        <v>0</v>
      </c>
      <c r="W141" s="276">
        <f t="shared" si="129"/>
        <v>0</v>
      </c>
      <c r="X141" s="276">
        <f t="shared" si="129"/>
        <v>0</v>
      </c>
      <c r="Y141" s="276">
        <f t="shared" si="129"/>
        <v>0</v>
      </c>
    </row>
    <row r="142" spans="3:27" x14ac:dyDescent="0.25">
      <c r="C142" s="86"/>
      <c r="E142" s="82"/>
      <c r="F142" s="91" t="s">
        <v>124</v>
      </c>
      <c r="G142" s="91" t="s">
        <v>309</v>
      </c>
      <c r="H142" s="91"/>
      <c r="I142" s="91"/>
      <c r="J142" s="239"/>
      <c r="K142" s="239"/>
      <c r="L142" s="239"/>
      <c r="M142" s="239"/>
      <c r="N142" s="239"/>
      <c r="O142" s="239"/>
      <c r="P142" s="239"/>
      <c r="Q142" s="239"/>
      <c r="R142" s="239"/>
      <c r="S142" s="239"/>
      <c r="T142" s="239"/>
      <c r="U142" s="239"/>
      <c r="V142" s="239"/>
      <c r="W142" s="239"/>
      <c r="X142" s="239"/>
      <c r="Y142" s="239"/>
    </row>
    <row r="143" spans="3:27" x14ac:dyDescent="0.25">
      <c r="C143" s="86"/>
      <c r="E143" s="82"/>
      <c r="F143" s="93" t="s">
        <v>123</v>
      </c>
      <c r="G143" s="93" t="s">
        <v>309</v>
      </c>
      <c r="H143" s="93"/>
      <c r="I143" s="93"/>
      <c r="J143" s="241"/>
      <c r="K143" s="241"/>
      <c r="L143" s="241"/>
      <c r="M143" s="241"/>
      <c r="N143" s="241"/>
      <c r="O143" s="241"/>
      <c r="P143" s="241"/>
      <c r="Q143" s="241"/>
      <c r="R143" s="241"/>
      <c r="S143" s="241"/>
      <c r="T143" s="241"/>
      <c r="U143" s="241"/>
      <c r="V143" s="241"/>
      <c r="W143" s="241"/>
      <c r="X143" s="241"/>
      <c r="Y143" s="241"/>
    </row>
    <row r="144" spans="3:27" x14ac:dyDescent="0.25">
      <c r="C144" s="86"/>
      <c r="D144" s="295"/>
      <c r="E144" s="82"/>
      <c r="J144" s="253"/>
      <c r="K144" s="253"/>
      <c r="L144" s="253"/>
      <c r="M144" s="253"/>
      <c r="N144" s="253"/>
      <c r="O144" s="253"/>
      <c r="P144" s="253"/>
      <c r="Q144" s="253"/>
      <c r="R144" s="253"/>
      <c r="S144" s="253"/>
      <c r="T144" s="253"/>
      <c r="U144" s="253"/>
      <c r="V144" s="253"/>
      <c r="W144" s="253"/>
      <c r="X144" s="253"/>
      <c r="Y144" s="253"/>
    </row>
    <row r="145" spans="3:27" x14ac:dyDescent="0.25">
      <c r="C145" s="86"/>
      <c r="E145" s="96" t="s">
        <v>116</v>
      </c>
      <c r="J145" s="253"/>
      <c r="K145" s="253"/>
      <c r="L145" s="253"/>
      <c r="M145" s="253"/>
      <c r="N145" s="253"/>
      <c r="O145" s="253"/>
      <c r="P145" s="253"/>
      <c r="Q145" s="253"/>
      <c r="R145" s="253"/>
      <c r="S145" s="253"/>
      <c r="T145" s="253"/>
      <c r="U145" s="253"/>
      <c r="V145" s="253"/>
      <c r="W145" s="253"/>
      <c r="X145" s="253"/>
      <c r="Y145" s="253"/>
    </row>
    <row r="146" spans="3:27" x14ac:dyDescent="0.25">
      <c r="C146" s="86"/>
      <c r="F146" s="91" t="s">
        <v>324</v>
      </c>
      <c r="G146" s="91" t="s">
        <v>309</v>
      </c>
      <c r="H146" s="91"/>
      <c r="I146" s="91"/>
      <c r="J146" s="268">
        <f t="shared" ref="J146:Y155" si="130">IF(J$129 = 0, 0, J114 / J$129)</f>
        <v>0</v>
      </c>
      <c r="K146" s="268">
        <f t="shared" si="130"/>
        <v>0</v>
      </c>
      <c r="L146" s="268">
        <f t="shared" si="130"/>
        <v>0</v>
      </c>
      <c r="M146" s="268">
        <f t="shared" si="130"/>
        <v>0</v>
      </c>
      <c r="N146" s="268">
        <f t="shared" si="130"/>
        <v>0</v>
      </c>
      <c r="O146" s="268">
        <f t="shared" si="130"/>
        <v>0</v>
      </c>
      <c r="P146" s="268">
        <f t="shared" si="130"/>
        <v>0</v>
      </c>
      <c r="Q146" s="268">
        <f t="shared" si="130"/>
        <v>0</v>
      </c>
      <c r="R146" s="268">
        <f t="shared" si="130"/>
        <v>0</v>
      </c>
      <c r="S146" s="268">
        <f t="shared" si="130"/>
        <v>0</v>
      </c>
      <c r="T146" s="268">
        <f t="shared" si="130"/>
        <v>0</v>
      </c>
      <c r="U146" s="268">
        <f t="shared" si="130"/>
        <v>0</v>
      </c>
      <c r="V146" s="268">
        <f t="shared" si="130"/>
        <v>0</v>
      </c>
      <c r="W146" s="268">
        <f t="shared" si="130"/>
        <v>0</v>
      </c>
      <c r="X146" s="268">
        <f t="shared" si="130"/>
        <v>0</v>
      </c>
      <c r="Y146" s="268">
        <f t="shared" si="130"/>
        <v>0</v>
      </c>
    </row>
    <row r="147" spans="3:27" x14ac:dyDescent="0.25">
      <c r="C147" s="86"/>
      <c r="F147" s="295" t="s">
        <v>43</v>
      </c>
      <c r="G147" s="295" t="s">
        <v>309</v>
      </c>
      <c r="J147" s="276">
        <f t="shared" si="130"/>
        <v>0</v>
      </c>
      <c r="K147" s="276">
        <f t="shared" si="130"/>
        <v>0</v>
      </c>
      <c r="L147" s="276">
        <f t="shared" si="130"/>
        <v>0</v>
      </c>
      <c r="M147" s="276">
        <f t="shared" si="130"/>
        <v>0</v>
      </c>
      <c r="N147" s="276">
        <f t="shared" si="130"/>
        <v>0</v>
      </c>
      <c r="O147" s="276">
        <f t="shared" si="130"/>
        <v>0</v>
      </c>
      <c r="P147" s="276">
        <f t="shared" si="130"/>
        <v>0</v>
      </c>
      <c r="Q147" s="276">
        <f t="shared" si="130"/>
        <v>0</v>
      </c>
      <c r="R147" s="276">
        <f t="shared" si="130"/>
        <v>0</v>
      </c>
      <c r="S147" s="276">
        <f t="shared" si="130"/>
        <v>0</v>
      </c>
      <c r="T147" s="276">
        <f t="shared" si="130"/>
        <v>0</v>
      </c>
      <c r="U147" s="276">
        <f t="shared" si="130"/>
        <v>0</v>
      </c>
      <c r="V147" s="276">
        <f t="shared" si="130"/>
        <v>0</v>
      </c>
      <c r="W147" s="276">
        <f t="shared" si="130"/>
        <v>0</v>
      </c>
      <c r="X147" s="276">
        <f t="shared" si="130"/>
        <v>0</v>
      </c>
      <c r="Y147" s="276">
        <f t="shared" si="130"/>
        <v>0</v>
      </c>
    </row>
    <row r="148" spans="3:27" x14ac:dyDescent="0.25">
      <c r="C148" s="86"/>
      <c r="F148" s="295" t="s">
        <v>44</v>
      </c>
      <c r="G148" s="295" t="s">
        <v>309</v>
      </c>
      <c r="J148" s="276">
        <f t="shared" si="130"/>
        <v>0</v>
      </c>
      <c r="K148" s="276">
        <f t="shared" si="130"/>
        <v>0</v>
      </c>
      <c r="L148" s="276">
        <f t="shared" si="130"/>
        <v>0</v>
      </c>
      <c r="M148" s="276">
        <f t="shared" si="130"/>
        <v>0</v>
      </c>
      <c r="N148" s="276">
        <f t="shared" si="130"/>
        <v>0</v>
      </c>
      <c r="O148" s="276">
        <f t="shared" si="130"/>
        <v>0</v>
      </c>
      <c r="P148" s="276">
        <f t="shared" si="130"/>
        <v>0</v>
      </c>
      <c r="Q148" s="276">
        <f t="shared" si="130"/>
        <v>0</v>
      </c>
      <c r="R148" s="276">
        <f t="shared" si="130"/>
        <v>0</v>
      </c>
      <c r="S148" s="276">
        <f t="shared" si="130"/>
        <v>0</v>
      </c>
      <c r="T148" s="276">
        <f t="shared" si="130"/>
        <v>0</v>
      </c>
      <c r="U148" s="276">
        <f t="shared" si="130"/>
        <v>0</v>
      </c>
      <c r="V148" s="276">
        <f t="shared" si="130"/>
        <v>0</v>
      </c>
      <c r="W148" s="276">
        <f t="shared" si="130"/>
        <v>0</v>
      </c>
      <c r="X148" s="276">
        <f t="shared" si="130"/>
        <v>0</v>
      </c>
      <c r="Y148" s="276">
        <f t="shared" si="130"/>
        <v>0</v>
      </c>
    </row>
    <row r="149" spans="3:27" x14ac:dyDescent="0.25">
      <c r="C149" s="86"/>
      <c r="F149" s="295" t="s">
        <v>45</v>
      </c>
      <c r="G149" s="295" t="s">
        <v>309</v>
      </c>
      <c r="J149" s="276">
        <f t="shared" si="130"/>
        <v>0</v>
      </c>
      <c r="K149" s="276">
        <f t="shared" si="130"/>
        <v>0</v>
      </c>
      <c r="L149" s="276">
        <f t="shared" si="130"/>
        <v>0</v>
      </c>
      <c r="M149" s="276">
        <f t="shared" si="130"/>
        <v>0</v>
      </c>
      <c r="N149" s="276">
        <f t="shared" si="130"/>
        <v>0</v>
      </c>
      <c r="O149" s="276">
        <f t="shared" si="130"/>
        <v>0</v>
      </c>
      <c r="P149" s="276">
        <f t="shared" si="130"/>
        <v>0</v>
      </c>
      <c r="Q149" s="276">
        <f t="shared" si="130"/>
        <v>0</v>
      </c>
      <c r="R149" s="276">
        <f t="shared" si="130"/>
        <v>0</v>
      </c>
      <c r="S149" s="276">
        <f t="shared" si="130"/>
        <v>0</v>
      </c>
      <c r="T149" s="276">
        <f t="shared" si="130"/>
        <v>0</v>
      </c>
      <c r="U149" s="276">
        <f t="shared" si="130"/>
        <v>0</v>
      </c>
      <c r="V149" s="276">
        <f t="shared" si="130"/>
        <v>0</v>
      </c>
      <c r="W149" s="276">
        <f t="shared" si="130"/>
        <v>0</v>
      </c>
      <c r="X149" s="276">
        <f t="shared" si="130"/>
        <v>0</v>
      </c>
      <c r="Y149" s="276">
        <f t="shared" si="130"/>
        <v>0</v>
      </c>
    </row>
    <row r="150" spans="3:27" x14ac:dyDescent="0.25">
      <c r="C150" s="86"/>
      <c r="F150" s="295" t="s">
        <v>46</v>
      </c>
      <c r="G150" s="295" t="s">
        <v>309</v>
      </c>
      <c r="J150" s="276">
        <f t="shared" si="130"/>
        <v>0</v>
      </c>
      <c r="K150" s="276">
        <f t="shared" si="130"/>
        <v>0</v>
      </c>
      <c r="L150" s="276">
        <f t="shared" si="130"/>
        <v>0</v>
      </c>
      <c r="M150" s="276">
        <f t="shared" si="130"/>
        <v>0</v>
      </c>
      <c r="N150" s="276">
        <f t="shared" si="130"/>
        <v>0</v>
      </c>
      <c r="O150" s="276">
        <f t="shared" si="130"/>
        <v>0</v>
      </c>
      <c r="P150" s="276">
        <f t="shared" si="130"/>
        <v>0</v>
      </c>
      <c r="Q150" s="276">
        <f t="shared" si="130"/>
        <v>0</v>
      </c>
      <c r="R150" s="276">
        <f t="shared" si="130"/>
        <v>0</v>
      </c>
      <c r="S150" s="276">
        <f t="shared" si="130"/>
        <v>0</v>
      </c>
      <c r="T150" s="276">
        <f t="shared" si="130"/>
        <v>0</v>
      </c>
      <c r="U150" s="276">
        <f t="shared" si="130"/>
        <v>0</v>
      </c>
      <c r="V150" s="276">
        <f t="shared" si="130"/>
        <v>0</v>
      </c>
      <c r="W150" s="276">
        <f t="shared" si="130"/>
        <v>0</v>
      </c>
      <c r="X150" s="276">
        <f t="shared" si="130"/>
        <v>0</v>
      </c>
      <c r="Y150" s="276">
        <f t="shared" si="130"/>
        <v>0</v>
      </c>
    </row>
    <row r="151" spans="3:27" x14ac:dyDescent="0.25">
      <c r="C151" s="86"/>
      <c r="F151" s="295" t="s">
        <v>47</v>
      </c>
      <c r="G151" s="295" t="s">
        <v>309</v>
      </c>
      <c r="J151" s="276">
        <f t="shared" si="130"/>
        <v>0</v>
      </c>
      <c r="K151" s="276">
        <f t="shared" si="130"/>
        <v>0</v>
      </c>
      <c r="L151" s="276">
        <f t="shared" si="130"/>
        <v>0</v>
      </c>
      <c r="M151" s="276">
        <f t="shared" si="130"/>
        <v>0</v>
      </c>
      <c r="N151" s="276">
        <f t="shared" si="130"/>
        <v>0</v>
      </c>
      <c r="O151" s="276">
        <f t="shared" si="130"/>
        <v>0</v>
      </c>
      <c r="P151" s="276">
        <f t="shared" si="130"/>
        <v>0</v>
      </c>
      <c r="Q151" s="276">
        <f t="shared" si="130"/>
        <v>0</v>
      </c>
      <c r="R151" s="276">
        <f t="shared" si="130"/>
        <v>0</v>
      </c>
      <c r="S151" s="276">
        <f t="shared" si="130"/>
        <v>0</v>
      </c>
      <c r="T151" s="276">
        <f t="shared" si="130"/>
        <v>0</v>
      </c>
      <c r="U151" s="276">
        <f t="shared" si="130"/>
        <v>0</v>
      </c>
      <c r="V151" s="276">
        <f t="shared" si="130"/>
        <v>0</v>
      </c>
      <c r="W151" s="276">
        <f t="shared" si="130"/>
        <v>0</v>
      </c>
      <c r="X151" s="276">
        <f t="shared" si="130"/>
        <v>0</v>
      </c>
      <c r="Y151" s="276">
        <f t="shared" si="130"/>
        <v>0</v>
      </c>
    </row>
    <row r="152" spans="3:27" x14ac:dyDescent="0.25">
      <c r="C152" s="86"/>
      <c r="F152" s="295" t="s">
        <v>51</v>
      </c>
      <c r="G152" s="295" t="s">
        <v>309</v>
      </c>
      <c r="J152" s="276">
        <f t="shared" si="130"/>
        <v>0</v>
      </c>
      <c r="K152" s="276">
        <f t="shared" si="130"/>
        <v>0</v>
      </c>
      <c r="L152" s="276">
        <f t="shared" si="130"/>
        <v>0</v>
      </c>
      <c r="M152" s="276">
        <f t="shared" si="130"/>
        <v>0</v>
      </c>
      <c r="N152" s="276">
        <f t="shared" si="130"/>
        <v>0</v>
      </c>
      <c r="O152" s="276">
        <f t="shared" si="130"/>
        <v>0</v>
      </c>
      <c r="P152" s="276">
        <f t="shared" si="130"/>
        <v>0</v>
      </c>
      <c r="Q152" s="276">
        <f t="shared" si="130"/>
        <v>0</v>
      </c>
      <c r="R152" s="276">
        <f t="shared" si="130"/>
        <v>0</v>
      </c>
      <c r="S152" s="276">
        <f t="shared" si="130"/>
        <v>0</v>
      </c>
      <c r="T152" s="276">
        <f t="shared" si="130"/>
        <v>0</v>
      </c>
      <c r="U152" s="276">
        <f t="shared" si="130"/>
        <v>0</v>
      </c>
      <c r="V152" s="276">
        <f t="shared" si="130"/>
        <v>0</v>
      </c>
      <c r="W152" s="276">
        <f t="shared" si="130"/>
        <v>0</v>
      </c>
      <c r="X152" s="276">
        <f t="shared" si="130"/>
        <v>0</v>
      </c>
      <c r="Y152" s="276">
        <f t="shared" si="130"/>
        <v>0</v>
      </c>
    </row>
    <row r="153" spans="3:27" x14ac:dyDescent="0.25">
      <c r="C153" s="86"/>
      <c r="F153" s="295" t="s">
        <v>48</v>
      </c>
      <c r="G153" s="295" t="s">
        <v>309</v>
      </c>
      <c r="J153" s="276">
        <f t="shared" si="130"/>
        <v>0</v>
      </c>
      <c r="K153" s="276">
        <f t="shared" si="130"/>
        <v>0</v>
      </c>
      <c r="L153" s="276">
        <f t="shared" si="130"/>
        <v>0</v>
      </c>
      <c r="M153" s="276">
        <f t="shared" si="130"/>
        <v>0</v>
      </c>
      <c r="N153" s="276">
        <f t="shared" si="130"/>
        <v>0</v>
      </c>
      <c r="O153" s="276">
        <f t="shared" si="130"/>
        <v>0</v>
      </c>
      <c r="P153" s="276">
        <f t="shared" si="130"/>
        <v>0</v>
      </c>
      <c r="Q153" s="276">
        <f t="shared" si="130"/>
        <v>0</v>
      </c>
      <c r="R153" s="276">
        <f t="shared" si="130"/>
        <v>0</v>
      </c>
      <c r="S153" s="276">
        <f t="shared" si="130"/>
        <v>0</v>
      </c>
      <c r="T153" s="276">
        <f t="shared" si="130"/>
        <v>0</v>
      </c>
      <c r="U153" s="276">
        <f t="shared" si="130"/>
        <v>0</v>
      </c>
      <c r="V153" s="276">
        <f t="shared" si="130"/>
        <v>0</v>
      </c>
      <c r="W153" s="276">
        <f t="shared" si="130"/>
        <v>0</v>
      </c>
      <c r="X153" s="276">
        <f t="shared" si="130"/>
        <v>0</v>
      </c>
      <c r="Y153" s="276">
        <f t="shared" si="130"/>
        <v>0</v>
      </c>
    </row>
    <row r="154" spans="3:27" x14ac:dyDescent="0.25">
      <c r="C154" s="86"/>
      <c r="F154" s="295" t="s">
        <v>49</v>
      </c>
      <c r="G154" s="295" t="s">
        <v>309</v>
      </c>
      <c r="J154" s="276">
        <f t="shared" si="130"/>
        <v>0</v>
      </c>
      <c r="K154" s="276">
        <f t="shared" si="130"/>
        <v>0</v>
      </c>
      <c r="L154" s="276">
        <f t="shared" si="130"/>
        <v>0</v>
      </c>
      <c r="M154" s="276">
        <f t="shared" si="130"/>
        <v>0</v>
      </c>
      <c r="N154" s="276">
        <f t="shared" si="130"/>
        <v>0</v>
      </c>
      <c r="O154" s="276">
        <f t="shared" si="130"/>
        <v>0</v>
      </c>
      <c r="P154" s="276">
        <f t="shared" si="130"/>
        <v>0</v>
      </c>
      <c r="Q154" s="276">
        <f t="shared" si="130"/>
        <v>0</v>
      </c>
      <c r="R154" s="276">
        <f t="shared" si="130"/>
        <v>0</v>
      </c>
      <c r="S154" s="276">
        <f t="shared" si="130"/>
        <v>0</v>
      </c>
      <c r="T154" s="276">
        <f t="shared" si="130"/>
        <v>0</v>
      </c>
      <c r="U154" s="276">
        <f t="shared" si="130"/>
        <v>0</v>
      </c>
      <c r="V154" s="276">
        <f t="shared" si="130"/>
        <v>0</v>
      </c>
      <c r="W154" s="276">
        <f t="shared" si="130"/>
        <v>0</v>
      </c>
      <c r="X154" s="276">
        <f t="shared" si="130"/>
        <v>0</v>
      </c>
      <c r="Y154" s="276">
        <f t="shared" si="130"/>
        <v>0</v>
      </c>
    </row>
    <row r="155" spans="3:27" x14ac:dyDescent="0.25">
      <c r="C155" s="86"/>
      <c r="F155" s="295" t="s">
        <v>50</v>
      </c>
      <c r="G155" s="295" t="s">
        <v>309</v>
      </c>
      <c r="J155" s="276">
        <f t="shared" si="130"/>
        <v>0.80149569208201832</v>
      </c>
      <c r="K155" s="276">
        <f t="shared" si="130"/>
        <v>0</v>
      </c>
      <c r="L155" s="276">
        <f t="shared" si="130"/>
        <v>0.80149569208201832</v>
      </c>
      <c r="M155" s="276">
        <f t="shared" si="130"/>
        <v>0</v>
      </c>
      <c r="N155" s="276">
        <f t="shared" si="130"/>
        <v>0</v>
      </c>
      <c r="O155" s="276">
        <f t="shared" si="130"/>
        <v>0</v>
      </c>
      <c r="P155" s="276">
        <f t="shared" si="130"/>
        <v>0</v>
      </c>
      <c r="Q155" s="276">
        <f t="shared" si="130"/>
        <v>0</v>
      </c>
      <c r="R155" s="276">
        <f t="shared" si="130"/>
        <v>0</v>
      </c>
      <c r="S155" s="276">
        <f t="shared" si="130"/>
        <v>0</v>
      </c>
      <c r="T155" s="276">
        <f t="shared" si="130"/>
        <v>0</v>
      </c>
      <c r="U155" s="276">
        <f t="shared" si="130"/>
        <v>0</v>
      </c>
      <c r="V155" s="276">
        <f t="shared" si="130"/>
        <v>0</v>
      </c>
      <c r="W155" s="276">
        <f t="shared" si="130"/>
        <v>0</v>
      </c>
      <c r="X155" s="276">
        <f t="shared" si="130"/>
        <v>0</v>
      </c>
      <c r="Y155" s="276">
        <f t="shared" si="130"/>
        <v>0</v>
      </c>
    </row>
    <row r="156" spans="3:27" x14ac:dyDescent="0.25">
      <c r="C156" s="86"/>
      <c r="D156" s="295"/>
      <c r="F156" s="91" t="s">
        <v>124</v>
      </c>
      <c r="G156" s="91" t="s">
        <v>309</v>
      </c>
      <c r="H156" s="91"/>
      <c r="I156" s="91"/>
      <c r="J156" s="268">
        <f t="shared" ref="J156:Y157" si="131">J55</f>
        <v>3.6874179557529576</v>
      </c>
      <c r="K156" s="268">
        <f t="shared" si="131"/>
        <v>0</v>
      </c>
      <c r="L156" s="268">
        <f t="shared" si="131"/>
        <v>4.9668358088147135</v>
      </c>
      <c r="M156" s="268">
        <f t="shared" si="131"/>
        <v>0</v>
      </c>
      <c r="N156" s="268">
        <f t="shared" si="131"/>
        <v>23.235516904135658</v>
      </c>
      <c r="O156" s="268">
        <f t="shared" si="131"/>
        <v>8.2007706720478808</v>
      </c>
      <c r="P156" s="268">
        <f t="shared" si="131"/>
        <v>0</v>
      </c>
      <c r="Q156" s="268">
        <f t="shared" si="131"/>
        <v>0</v>
      </c>
      <c r="R156" s="268">
        <f t="shared" si="131"/>
        <v>0</v>
      </c>
      <c r="S156" s="268">
        <f t="shared" si="131"/>
        <v>0</v>
      </c>
      <c r="T156" s="268">
        <f t="shared" si="131"/>
        <v>0</v>
      </c>
      <c r="U156" s="268">
        <f t="shared" si="131"/>
        <v>0</v>
      </c>
      <c r="V156" s="268">
        <f t="shared" si="131"/>
        <v>0</v>
      </c>
      <c r="W156" s="268">
        <f t="shared" si="131"/>
        <v>0</v>
      </c>
      <c r="X156" s="268">
        <f t="shared" si="131"/>
        <v>0</v>
      </c>
      <c r="Y156" s="268">
        <f t="shared" si="131"/>
        <v>0</v>
      </c>
    </row>
    <row r="157" spans="3:27" x14ac:dyDescent="0.25">
      <c r="C157" s="86"/>
      <c r="D157" s="295"/>
      <c r="F157" s="93" t="s">
        <v>123</v>
      </c>
      <c r="G157" s="93" t="s">
        <v>309</v>
      </c>
      <c r="H157" s="93"/>
      <c r="I157" s="93"/>
      <c r="J157" s="269">
        <f t="shared" si="131"/>
        <v>0</v>
      </c>
      <c r="K157" s="269">
        <f t="shared" si="131"/>
        <v>0</v>
      </c>
      <c r="L157" s="269">
        <f t="shared" si="131"/>
        <v>0</v>
      </c>
      <c r="M157" s="269">
        <f t="shared" si="131"/>
        <v>0</v>
      </c>
      <c r="N157" s="269">
        <f t="shared" si="131"/>
        <v>0</v>
      </c>
      <c r="O157" s="269">
        <f t="shared" si="131"/>
        <v>0</v>
      </c>
      <c r="P157" s="269">
        <f t="shared" si="131"/>
        <v>124.16460347195436</v>
      </c>
      <c r="Q157" s="269">
        <f t="shared" si="131"/>
        <v>0</v>
      </c>
      <c r="R157" s="269">
        <f t="shared" si="131"/>
        <v>0</v>
      </c>
      <c r="S157" s="269">
        <f t="shared" si="131"/>
        <v>0</v>
      </c>
      <c r="T157" s="269">
        <f t="shared" si="131"/>
        <v>0</v>
      </c>
      <c r="U157" s="269">
        <f t="shared" si="131"/>
        <v>0</v>
      </c>
      <c r="V157" s="269">
        <f t="shared" si="131"/>
        <v>0</v>
      </c>
      <c r="W157" s="269">
        <f t="shared" si="131"/>
        <v>0</v>
      </c>
      <c r="X157" s="269">
        <f t="shared" si="131"/>
        <v>90.667330037272208</v>
      </c>
      <c r="Y157" s="269">
        <f t="shared" si="131"/>
        <v>90.667330037272208</v>
      </c>
    </row>
    <row r="158" spans="3:27" x14ac:dyDescent="0.25">
      <c r="C158" s="86"/>
      <c r="J158" s="253"/>
      <c r="K158" s="253"/>
      <c r="L158" s="253"/>
      <c r="M158" s="253"/>
      <c r="N158" s="253"/>
      <c r="O158" s="253"/>
      <c r="P158" s="253"/>
      <c r="Q158" s="253"/>
      <c r="R158" s="253"/>
      <c r="S158" s="253"/>
      <c r="T158" s="253"/>
      <c r="U158" s="253"/>
      <c r="V158" s="253"/>
      <c r="W158" s="253"/>
      <c r="X158" s="253"/>
      <c r="Y158" s="253"/>
    </row>
    <row r="159" spans="3:27" x14ac:dyDescent="0.25">
      <c r="C159" s="7" t="str">
        <f ca="1">INDEX('Version control'!$H$34:$H$58,MATCH($A$1,'Version control'!$F$34:$F$58,0),1)&amp;"-H: Aggregated fixed charges"</f>
        <v>Section 517-H: Aggregated fixed charges</v>
      </c>
      <c r="D159" s="7"/>
      <c r="E159" s="7"/>
      <c r="F159" s="7"/>
      <c r="G159" s="7"/>
      <c r="H159" s="7"/>
      <c r="I159" s="7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7"/>
      <c r="AA159" s="7"/>
    </row>
    <row r="160" spans="3:27" x14ac:dyDescent="0.25">
      <c r="C160" s="86"/>
      <c r="J160" s="253"/>
      <c r="K160" s="253"/>
      <c r="L160" s="253"/>
      <c r="M160" s="253"/>
      <c r="N160" s="253"/>
      <c r="O160" s="253"/>
      <c r="P160" s="253"/>
      <c r="Q160" s="253"/>
      <c r="R160" s="253"/>
      <c r="S160" s="253"/>
      <c r="T160" s="253"/>
      <c r="U160" s="253"/>
      <c r="V160" s="253"/>
      <c r="W160" s="253"/>
      <c r="X160" s="253"/>
      <c r="Y160" s="253"/>
    </row>
    <row r="161" spans="2:27" x14ac:dyDescent="0.25">
      <c r="E161" s="295" t="s">
        <v>311</v>
      </c>
      <c r="G161" s="295" t="s">
        <v>309</v>
      </c>
      <c r="J161" s="257">
        <f t="shared" ref="J161:X161" si="132">SUM(J132:J143,J146:J157)</f>
        <v>4.5716420838261662</v>
      </c>
      <c r="K161" s="257">
        <f t="shared" si="132"/>
        <v>0</v>
      </c>
      <c r="L161" s="257">
        <f t="shared" si="132"/>
        <v>5.8510599368879221</v>
      </c>
      <c r="M161" s="257">
        <f t="shared" si="132"/>
        <v>0</v>
      </c>
      <c r="N161" s="257">
        <f t="shared" si="132"/>
        <v>23.235516904135658</v>
      </c>
      <c r="O161" s="257">
        <f t="shared" si="132"/>
        <v>8.2007706720478808</v>
      </c>
      <c r="P161" s="257">
        <f t="shared" si="132"/>
        <v>124.16460347195436</v>
      </c>
      <c r="Q161" s="257">
        <f t="shared" si="132"/>
        <v>0</v>
      </c>
      <c r="R161" s="257">
        <f t="shared" si="132"/>
        <v>0</v>
      </c>
      <c r="S161" s="257">
        <f t="shared" si="132"/>
        <v>0</v>
      </c>
      <c r="T161" s="257">
        <f t="shared" si="132"/>
        <v>0</v>
      </c>
      <c r="U161" s="257">
        <f t="shared" si="132"/>
        <v>0</v>
      </c>
      <c r="V161" s="257">
        <f t="shared" si="132"/>
        <v>0</v>
      </c>
      <c r="W161" s="257">
        <f t="shared" si="132"/>
        <v>0</v>
      </c>
      <c r="X161" s="257">
        <f t="shared" si="132"/>
        <v>90.667330037272208</v>
      </c>
      <c r="Y161" s="257">
        <f>SUM(Y132:Y143,Y146:Y157)</f>
        <v>90.667330037272208</v>
      </c>
    </row>
    <row r="163" spans="2:27" x14ac:dyDescent="0.25">
      <c r="B163" s="95" t="s">
        <v>109</v>
      </c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5" spans="2:27" x14ac:dyDescent="0.25">
      <c r="C165" s="86"/>
      <c r="E165" s="295" t="s">
        <v>516</v>
      </c>
      <c r="G165" s="122" t="s">
        <v>692</v>
      </c>
      <c r="H165" s="152">
        <f t="array" ref="H165">SUM(IF(ISERROR(H18:Y161), 1))</f>
        <v>0</v>
      </c>
    </row>
    <row r="167" spans="2:27" x14ac:dyDescent="0.25">
      <c r="B167" s="95" t="s">
        <v>110</v>
      </c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9" spans="2:27" x14ac:dyDescent="0.25">
      <c r="C169" s="86"/>
    </row>
  </sheetData>
  <sheetProtection sheet="1" objects="1" formatCells="0" formatColumns="0" formatRows="0" sort="0" autoFilter="0"/>
  <conditionalFormatting sqref="H165">
    <cfRule type="cellIs" dxfId="49" priority="10" operator="greaterThan">
      <formula>0</formula>
    </cfRule>
  </conditionalFormatting>
  <conditionalFormatting sqref="A4:I4 Z4:XFD4">
    <cfRule type="expression" dxfId="48" priority="9">
      <formula>LEFT($A$4,1) &lt;&gt; "0"</formula>
    </cfRule>
  </conditionalFormatting>
  <conditionalFormatting sqref="N4:P4">
    <cfRule type="expression" dxfId="47" priority="8">
      <formula>LEFT($A$4,1) &lt;&gt; "0"</formula>
    </cfRule>
  </conditionalFormatting>
  <conditionalFormatting sqref="L4:M4">
    <cfRule type="expression" dxfId="46" priority="7">
      <formula>LEFT($A$4,1) &lt;&gt; "0"</formula>
    </cfRule>
  </conditionalFormatting>
  <conditionalFormatting sqref="J4:K4">
    <cfRule type="expression" dxfId="45" priority="6">
      <formula>LEFT($A$4,1) &lt;&gt; "0"</formula>
    </cfRule>
  </conditionalFormatting>
  <conditionalFormatting sqref="Q4">
    <cfRule type="expression" dxfId="44" priority="5">
      <formula>LEFT($A$4,1) &lt;&gt; "0"</formula>
    </cfRule>
  </conditionalFormatting>
  <conditionalFormatting sqref="R4:S4">
    <cfRule type="expression" dxfId="43" priority="4">
      <formula>LEFT($A$4,1) &lt;&gt; "0"</formula>
    </cfRule>
  </conditionalFormatting>
  <conditionalFormatting sqref="T4:U4">
    <cfRule type="expression" dxfId="42" priority="3">
      <formula>LEFT($A$4,1) &lt;&gt; "0"</formula>
    </cfRule>
  </conditionalFormatting>
  <conditionalFormatting sqref="V4:W4">
    <cfRule type="expression" dxfId="41" priority="2">
      <formula>LEFT($A$4,1) &lt;&gt; "0"</formula>
    </cfRule>
  </conditionalFormatting>
  <conditionalFormatting sqref="X4:Y4">
    <cfRule type="expression" dxfId="40" priority="1">
      <formula>LEFT($A$4,1) &lt;&gt; "0"</formula>
    </cfRule>
  </conditionalFormatting>
  <hyperlinks>
    <hyperlink ref="B5:F5" location="'Model map'!A1" display="Click here to return to model map" xr:uid="{00000000-0004-0000-1E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4">
    <tabColor theme="4" tint="0.59999389629810485"/>
    <pageSetUpPr fitToPage="1"/>
  </sheetPr>
  <dimension ref="A1:ON16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outlineLevelRow="1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57" width="17" style="295" customWidth="1"/>
    <col min="58" max="58" width="2.42578125" style="295" customWidth="1"/>
    <col min="59" max="59" width="50.5703125" style="295" customWidth="1"/>
    <col min="60" max="60" width="2.42578125" style="295" customWidth="1"/>
    <col min="61" max="61" width="24.5703125" style="295" hidden="1" customWidth="1"/>
    <col min="62" max="62" width="3.5703125" style="295" hidden="1" customWidth="1"/>
    <col min="63" max="63" width="15.42578125" style="295" hidden="1" customWidth="1"/>
    <col min="64" max="404" width="24.5703125" style="295" hidden="1" customWidth="1"/>
    <col min="405" max="16384" width="8.5703125" style="295" hidden="1"/>
  </cols>
  <sheetData>
    <row r="1" spans="1:59" s="10" customFormat="1" x14ac:dyDescent="0.25">
      <c r="A1" s="10" t="str">
        <f ca="1">MID(CELL("filename",A1),FIND("]",CELL("filename",A1))+1,255)</f>
        <v>Revenue matching</v>
      </c>
    </row>
    <row r="2" spans="1:59" s="10" customFormat="1" x14ac:dyDescent="0.25">
      <c r="A2" s="10" t="str">
        <f>Cover!D21&amp;" - "&amp;Cover!D23</f>
        <v>SP Distribution - One</v>
      </c>
    </row>
    <row r="3" spans="1:59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59" x14ac:dyDescent="0.25">
      <c r="A4" s="371" t="str">
        <f>H162 &amp; IF(H162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59" ht="60" x14ac:dyDescent="0.25">
      <c r="B5" s="372" t="s">
        <v>552</v>
      </c>
      <c r="C5" s="373"/>
      <c r="D5" s="373"/>
      <c r="E5" s="373"/>
      <c r="F5" s="373"/>
      <c r="G5" s="373" t="s">
        <v>91</v>
      </c>
      <c r="H5" s="388" t="s">
        <v>92</v>
      </c>
      <c r="J5" s="388" t="s">
        <v>1038</v>
      </c>
      <c r="K5" s="388" t="s">
        <v>1039</v>
      </c>
      <c r="L5" s="388" t="s">
        <v>1040</v>
      </c>
      <c r="M5" s="388" t="s">
        <v>1041</v>
      </c>
      <c r="N5" s="388" t="s">
        <v>1042</v>
      </c>
      <c r="O5" s="388" t="s">
        <v>1043</v>
      </c>
      <c r="P5" s="388" t="s">
        <v>1044</v>
      </c>
      <c r="Q5" s="388" t="s">
        <v>1045</v>
      </c>
      <c r="R5" s="388" t="s">
        <v>1046</v>
      </c>
      <c r="S5" s="388" t="s">
        <v>1047</v>
      </c>
      <c r="T5" s="388" t="s">
        <v>1048</v>
      </c>
      <c r="U5" s="388" t="s">
        <v>1049</v>
      </c>
      <c r="V5" s="388" t="s">
        <v>1050</v>
      </c>
      <c r="W5" s="388" t="s">
        <v>1051</v>
      </c>
      <c r="X5" s="388" t="s">
        <v>1052</v>
      </c>
      <c r="Y5" s="388" t="s">
        <v>1053</v>
      </c>
      <c r="BG5" s="1" t="s">
        <v>93</v>
      </c>
    </row>
    <row r="6" spans="1:59" x14ac:dyDescent="0.25">
      <c r="C6" s="86"/>
    </row>
    <row r="7" spans="1:59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</row>
    <row r="9" spans="1:59" x14ac:dyDescent="0.25">
      <c r="D9" s="82" t="s">
        <v>481</v>
      </c>
    </row>
    <row r="10" spans="1:59" x14ac:dyDescent="0.25">
      <c r="D10" s="82" t="s">
        <v>482</v>
      </c>
      <c r="E10" s="295"/>
    </row>
    <row r="11" spans="1:59" x14ac:dyDescent="0.25">
      <c r="D11" s="82" t="s">
        <v>851</v>
      </c>
    </row>
    <row r="13" spans="1:59" x14ac:dyDescent="0.25">
      <c r="B13" s="95" t="s">
        <v>354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</row>
    <row r="14" spans="1:59" x14ac:dyDescent="0.25">
      <c r="C14" s="86"/>
    </row>
    <row r="15" spans="1:59" x14ac:dyDescent="0.25">
      <c r="C15" s="7" t="str">
        <f ca="1">INDEX('Version control'!$H$34:$H$58,MATCH($A$1,'Version control'!$F$34:$F$58,0),1)&amp;"-A: Inputs to revenue matching"</f>
        <v>Section 518-A: Inputs to revenue matching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</row>
    <row r="16" spans="1:59" x14ac:dyDescent="0.25">
      <c r="C16" s="82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</row>
    <row r="17" spans="4:59" x14ac:dyDescent="0.25">
      <c r="D17" s="82" t="s">
        <v>483</v>
      </c>
      <c r="F17" s="98"/>
    </row>
    <row r="18" spans="4:59" x14ac:dyDescent="0.25">
      <c r="D18" s="86"/>
      <c r="F18" s="98"/>
    </row>
    <row r="19" spans="4:59" x14ac:dyDescent="0.25">
      <c r="D19" s="295"/>
      <c r="E19" s="96" t="s">
        <v>310</v>
      </c>
      <c r="F19" s="96"/>
    </row>
    <row r="20" spans="4:59" x14ac:dyDescent="0.25">
      <c r="D20" s="295"/>
      <c r="E20" s="86"/>
      <c r="F20" s="91" t="s">
        <v>134</v>
      </c>
      <c r="G20" s="91" t="s">
        <v>183</v>
      </c>
      <c r="H20" s="350"/>
      <c r="I20" s="350"/>
      <c r="J20" s="361">
        <f>'Unit rate charges'!J217</f>
        <v>9.0075798509575993</v>
      </c>
      <c r="K20" s="361">
        <f>'Unit rate charges'!K217</f>
        <v>9.0075798509575993</v>
      </c>
      <c r="L20" s="361">
        <f>'Unit rate charges'!L217</f>
        <v>10.462349584574492</v>
      </c>
      <c r="M20" s="361">
        <f>'Unit rate charges'!M217</f>
        <v>10.462349584574492</v>
      </c>
      <c r="N20" s="361">
        <f>'Unit rate charges'!N217</f>
        <v>7.0335580755778464</v>
      </c>
      <c r="O20" s="361">
        <f>'Unit rate charges'!O217</f>
        <v>4.1620061131966093</v>
      </c>
      <c r="P20" s="361">
        <f>'Unit rate charges'!P217</f>
        <v>3.1534185792984371</v>
      </c>
      <c r="Q20" s="361">
        <f>'Unit rate charges'!Q217</f>
        <v>21.581103155032686</v>
      </c>
      <c r="R20" s="361">
        <f>'Unit rate charges'!R217</f>
        <v>-6.4413635387668471</v>
      </c>
      <c r="S20" s="361">
        <f>'Unit rate charges'!S217</f>
        <v>-5.6891199709087141</v>
      </c>
      <c r="T20" s="361">
        <f>'Unit rate charges'!T217</f>
        <v>-6.4413635387668471</v>
      </c>
      <c r="U20" s="361">
        <f>'Unit rate charges'!U217</f>
        <v>-6.4413635387668471</v>
      </c>
      <c r="V20" s="361">
        <f>'Unit rate charges'!V217</f>
        <v>-5.6891199709087141</v>
      </c>
      <c r="W20" s="361">
        <f>'Unit rate charges'!W217</f>
        <v>-5.6891199709087141</v>
      </c>
      <c r="X20" s="361">
        <f>'Unit rate charges'!X217</f>
        <v>-3.732687631507082</v>
      </c>
      <c r="Y20" s="361">
        <f>'Unit rate charges'!Y217</f>
        <v>-3.732687631507082</v>
      </c>
      <c r="Z20" s="352"/>
      <c r="AA20" s="352"/>
      <c r="AB20" s="352"/>
      <c r="AC20" s="352"/>
      <c r="AD20" s="352"/>
      <c r="AE20" s="352"/>
      <c r="AF20" s="352"/>
      <c r="AG20" s="352"/>
      <c r="AH20" s="352"/>
      <c r="AI20" s="352"/>
      <c r="AJ20" s="352"/>
      <c r="AK20" s="352"/>
      <c r="AL20" s="352"/>
      <c r="AM20" s="352"/>
      <c r="AN20" s="352"/>
      <c r="AO20" s="352"/>
      <c r="AP20" s="352"/>
      <c r="AQ20" s="352"/>
      <c r="AR20" s="352"/>
      <c r="AS20" s="352"/>
      <c r="AT20" s="352"/>
      <c r="AU20" s="352"/>
      <c r="AV20" s="352"/>
      <c r="AW20" s="352"/>
      <c r="AX20" s="352"/>
      <c r="AY20" s="352"/>
      <c r="AZ20" s="352"/>
      <c r="BA20" s="352"/>
      <c r="BB20" s="352"/>
      <c r="BC20" s="352"/>
      <c r="BD20" s="352"/>
      <c r="BE20" s="352"/>
      <c r="BF20" s="352"/>
      <c r="BG20" s="352"/>
    </row>
    <row r="21" spans="4:59" x14ac:dyDescent="0.25">
      <c r="D21" s="295"/>
      <c r="E21" s="86"/>
      <c r="F21" s="295" t="s">
        <v>135</v>
      </c>
      <c r="G21" s="295" t="s">
        <v>183</v>
      </c>
      <c r="H21" s="352"/>
      <c r="I21" s="352"/>
      <c r="J21" s="421">
        <f>'Unit rate charges'!J218</f>
        <v>0.88300920268903393</v>
      </c>
      <c r="K21" s="421">
        <f>'Unit rate charges'!K218</f>
        <v>0.88300920268903393</v>
      </c>
      <c r="L21" s="421">
        <f>'Unit rate charges'!L218</f>
        <v>1.0256196578648074</v>
      </c>
      <c r="M21" s="421">
        <f>'Unit rate charges'!M218</f>
        <v>1.0256196578648074</v>
      </c>
      <c r="N21" s="421">
        <f>'Unit rate charges'!N218</f>
        <v>0.66594714340259142</v>
      </c>
      <c r="O21" s="421">
        <f>'Unit rate charges'!O218</f>
        <v>0.35402490513798557</v>
      </c>
      <c r="P21" s="421">
        <f>'Unit rate charges'!P218</f>
        <v>0.25261633874531259</v>
      </c>
      <c r="Q21" s="421">
        <f>'Unit rate charges'!Q218</f>
        <v>1.1952447724229316</v>
      </c>
      <c r="R21" s="421">
        <f>'Unit rate charges'!R218</f>
        <v>-0.63144411448010185</v>
      </c>
      <c r="S21" s="421">
        <f>'Unit rate charges'!S218</f>
        <v>-0.54797375527131609</v>
      </c>
      <c r="T21" s="421">
        <f>'Unit rate charges'!T218</f>
        <v>-0.63144411448010185</v>
      </c>
      <c r="U21" s="421">
        <f>'Unit rate charges'!U218</f>
        <v>-0.63144411448010185</v>
      </c>
      <c r="V21" s="421">
        <f>'Unit rate charges'!V218</f>
        <v>-0.54797375527131609</v>
      </c>
      <c r="W21" s="421">
        <f>'Unit rate charges'!W218</f>
        <v>-0.54797375527131609</v>
      </c>
      <c r="X21" s="421">
        <f>'Unit rate charges'!X218</f>
        <v>-0.31633967493658671</v>
      </c>
      <c r="Y21" s="421">
        <f>'Unit rate charges'!Y218</f>
        <v>-0.31633967493658671</v>
      </c>
      <c r="Z21" s="352"/>
      <c r="AA21" s="352"/>
      <c r="AB21" s="352"/>
      <c r="AC21" s="352"/>
      <c r="AD21" s="352"/>
      <c r="AE21" s="352"/>
      <c r="AF21" s="352"/>
      <c r="AG21" s="352"/>
      <c r="AH21" s="352"/>
      <c r="AI21" s="352"/>
      <c r="AJ21" s="352"/>
      <c r="AK21" s="352"/>
      <c r="AL21" s="352"/>
      <c r="AM21" s="352"/>
      <c r="AN21" s="352"/>
      <c r="AO21" s="352"/>
      <c r="AP21" s="352"/>
      <c r="AQ21" s="352"/>
      <c r="AR21" s="352"/>
      <c r="AS21" s="352"/>
      <c r="AT21" s="352"/>
      <c r="AU21" s="352"/>
      <c r="AV21" s="352"/>
      <c r="AW21" s="352"/>
      <c r="AX21" s="352"/>
      <c r="AY21" s="352"/>
      <c r="AZ21" s="352"/>
      <c r="BA21" s="352"/>
      <c r="BB21" s="352"/>
      <c r="BC21" s="352"/>
      <c r="BD21" s="352"/>
      <c r="BE21" s="352"/>
      <c r="BF21" s="352"/>
      <c r="BG21" s="352"/>
    </row>
    <row r="22" spans="4:59" x14ac:dyDescent="0.25">
      <c r="D22" s="295"/>
      <c r="E22" s="86"/>
      <c r="F22" s="295" t="s">
        <v>136</v>
      </c>
      <c r="G22" s="295" t="s">
        <v>183</v>
      </c>
      <c r="H22" s="352"/>
      <c r="I22" s="352"/>
      <c r="J22" s="421">
        <f>'Unit rate charges'!J219</f>
        <v>2.2825020549340613E-2</v>
      </c>
      <c r="K22" s="421">
        <f>'Unit rate charges'!K219</f>
        <v>2.2825020549340613E-2</v>
      </c>
      <c r="L22" s="421">
        <f>'Unit rate charges'!L219</f>
        <v>2.6511376886313207E-2</v>
      </c>
      <c r="M22" s="421">
        <f>'Unit rate charges'!M219</f>
        <v>2.6511376886313207E-2</v>
      </c>
      <c r="N22" s="421">
        <f>'Unit rate charges'!N219</f>
        <v>1.6180688220383998E-2</v>
      </c>
      <c r="O22" s="421">
        <f>'Unit rate charges'!O219</f>
        <v>6.782565073577133E-3</v>
      </c>
      <c r="P22" s="421">
        <f>'Unit rate charges'!P219</f>
        <v>4.0498989835803315E-3</v>
      </c>
      <c r="Q22" s="421">
        <f>'Unit rate charges'!Q219</f>
        <v>0.44929121314425297</v>
      </c>
      <c r="R22" s="421">
        <f>'Unit rate charges'!R219</f>
        <v>-1.632228163067535E-2</v>
      </c>
      <c r="S22" s="421">
        <f>'Unit rate charges'!S219</f>
        <v>-1.3737723553938727E-2</v>
      </c>
      <c r="T22" s="421">
        <f>'Unit rate charges'!T219</f>
        <v>-1.632228163067535E-2</v>
      </c>
      <c r="U22" s="421">
        <f>'Unit rate charges'!U219</f>
        <v>-1.632228163067535E-2</v>
      </c>
      <c r="V22" s="421">
        <f>'Unit rate charges'!V219</f>
        <v>-1.3737723553938727E-2</v>
      </c>
      <c r="W22" s="421">
        <f>'Unit rate charges'!W219</f>
        <v>-1.3737723553938727E-2</v>
      </c>
      <c r="X22" s="421">
        <f>'Unit rate charges'!X219</f>
        <v>-6.0015573611233893E-3</v>
      </c>
      <c r="Y22" s="421">
        <f>'Unit rate charges'!Y219</f>
        <v>-6.0015573611233893E-3</v>
      </c>
      <c r="Z22" s="352"/>
      <c r="AA22" s="352"/>
      <c r="AB22" s="352"/>
      <c r="AC22" s="352"/>
      <c r="AD22" s="352"/>
      <c r="AE22" s="352"/>
      <c r="AF22" s="352"/>
      <c r="AG22" s="352"/>
      <c r="AH22" s="352"/>
      <c r="AI22" s="352"/>
      <c r="AJ22" s="352"/>
      <c r="AK22" s="352"/>
      <c r="AL22" s="352"/>
      <c r="AM22" s="352"/>
      <c r="AN22" s="352"/>
      <c r="AO22" s="352"/>
      <c r="AP22" s="352"/>
      <c r="AQ22" s="352"/>
      <c r="AR22" s="352"/>
      <c r="AS22" s="352"/>
      <c r="AT22" s="352"/>
      <c r="AU22" s="352"/>
      <c r="AV22" s="352"/>
      <c r="AW22" s="352"/>
      <c r="AX22" s="352"/>
      <c r="AY22" s="352"/>
      <c r="AZ22" s="352"/>
      <c r="BA22" s="352"/>
      <c r="BB22" s="352"/>
      <c r="BC22" s="352"/>
      <c r="BD22" s="352"/>
      <c r="BE22" s="352"/>
      <c r="BF22" s="352"/>
      <c r="BG22" s="352"/>
    </row>
    <row r="23" spans="4:59" x14ac:dyDescent="0.25">
      <c r="D23" s="295"/>
      <c r="E23" s="86"/>
      <c r="F23" s="295" t="s">
        <v>311</v>
      </c>
      <c r="G23" s="295" t="s">
        <v>309</v>
      </c>
      <c r="J23" s="274">
        <f>'Fixed charges'!J161</f>
        <v>4.5716420838261662</v>
      </c>
      <c r="K23" s="274">
        <f>'Fixed charges'!K161</f>
        <v>0</v>
      </c>
      <c r="L23" s="274">
        <f>'Fixed charges'!L161</f>
        <v>5.8510599368879221</v>
      </c>
      <c r="M23" s="274">
        <f>'Fixed charges'!M161</f>
        <v>0</v>
      </c>
      <c r="N23" s="274">
        <f>'Fixed charges'!N161</f>
        <v>23.235516904135658</v>
      </c>
      <c r="O23" s="274">
        <f>'Fixed charges'!O161</f>
        <v>8.2007706720478808</v>
      </c>
      <c r="P23" s="274">
        <f>'Fixed charges'!P161</f>
        <v>124.16460347195436</v>
      </c>
      <c r="Q23" s="274">
        <f>'Fixed charges'!Q161</f>
        <v>0</v>
      </c>
      <c r="R23" s="274">
        <f>'Fixed charges'!R161</f>
        <v>0</v>
      </c>
      <c r="S23" s="274">
        <f>'Fixed charges'!S161</f>
        <v>0</v>
      </c>
      <c r="T23" s="274">
        <f>'Fixed charges'!T161</f>
        <v>0</v>
      </c>
      <c r="U23" s="274">
        <f>'Fixed charges'!U161</f>
        <v>0</v>
      </c>
      <c r="V23" s="274">
        <f>'Fixed charges'!V161</f>
        <v>0</v>
      </c>
      <c r="W23" s="274">
        <f>'Fixed charges'!W161</f>
        <v>0</v>
      </c>
      <c r="X23" s="274">
        <f>'Fixed charges'!X161</f>
        <v>90.667330037272208</v>
      </c>
      <c r="Y23" s="274">
        <f>'Fixed charges'!Y161</f>
        <v>90.667330037272208</v>
      </c>
    </row>
    <row r="24" spans="4:59" x14ac:dyDescent="0.25">
      <c r="D24" s="295"/>
      <c r="E24" s="86"/>
      <c r="F24" s="295" t="s">
        <v>312</v>
      </c>
      <c r="G24" s="295" t="s">
        <v>308</v>
      </c>
      <c r="J24" s="274">
        <f>'Capacity charges'!J256</f>
        <v>0</v>
      </c>
      <c r="K24" s="274">
        <f>'Capacity charges'!K256</f>
        <v>0</v>
      </c>
      <c r="L24" s="274">
        <f>'Capacity charges'!L256</f>
        <v>0</v>
      </c>
      <c r="M24" s="274">
        <f>'Capacity charges'!M256</f>
        <v>0</v>
      </c>
      <c r="N24" s="274">
        <f>'Capacity charges'!N256</f>
        <v>2.498083735110924</v>
      </c>
      <c r="O24" s="274">
        <f>'Capacity charges'!O256</f>
        <v>4.5053338960962241</v>
      </c>
      <c r="P24" s="274">
        <f>'Capacity charges'!P256</f>
        <v>4.9643297738527297</v>
      </c>
      <c r="Q24" s="274">
        <f>'Capacity charges'!Q256</f>
        <v>0</v>
      </c>
      <c r="R24" s="274">
        <f>'Capacity charges'!R256</f>
        <v>0</v>
      </c>
      <c r="S24" s="274">
        <f>'Capacity charges'!S256</f>
        <v>0</v>
      </c>
      <c r="T24" s="274">
        <f>'Capacity charges'!T256</f>
        <v>0</v>
      </c>
      <c r="U24" s="274">
        <f>'Capacity charges'!U256</f>
        <v>0</v>
      </c>
      <c r="V24" s="274">
        <f>'Capacity charges'!V256</f>
        <v>0</v>
      </c>
      <c r="W24" s="274">
        <f>'Capacity charges'!W256</f>
        <v>0</v>
      </c>
      <c r="X24" s="274">
        <f>'Capacity charges'!X256</f>
        <v>0</v>
      </c>
      <c r="Y24" s="274">
        <f>'Capacity charges'!Y256</f>
        <v>0</v>
      </c>
    </row>
    <row r="25" spans="4:59" x14ac:dyDescent="0.25">
      <c r="D25" s="295"/>
      <c r="E25" s="86"/>
      <c r="F25" s="295" t="s">
        <v>313</v>
      </c>
      <c r="G25" s="295" t="s">
        <v>308</v>
      </c>
      <c r="J25" s="274">
        <f>'Capacity charges'!J257</f>
        <v>0</v>
      </c>
      <c r="K25" s="274">
        <f>'Capacity charges'!K257</f>
        <v>0</v>
      </c>
      <c r="L25" s="274">
        <f>'Capacity charges'!L257</f>
        <v>0</v>
      </c>
      <c r="M25" s="274">
        <f>'Capacity charges'!M257</f>
        <v>0</v>
      </c>
      <c r="N25" s="274">
        <f>'Capacity charges'!N257</f>
        <v>3.691279099689118</v>
      </c>
      <c r="O25" s="274">
        <f>'Capacity charges'!O257</f>
        <v>5.1392827901526239</v>
      </c>
      <c r="P25" s="274">
        <f>'Capacity charges'!P257</f>
        <v>6.1243810865470367</v>
      </c>
      <c r="Q25" s="274">
        <f>'Capacity charges'!Q257</f>
        <v>0</v>
      </c>
      <c r="R25" s="274">
        <f>'Capacity charges'!R257</f>
        <v>0</v>
      </c>
      <c r="S25" s="274">
        <f>'Capacity charges'!S257</f>
        <v>0</v>
      </c>
      <c r="T25" s="274">
        <f>'Capacity charges'!T257</f>
        <v>0</v>
      </c>
      <c r="U25" s="274">
        <f>'Capacity charges'!U257</f>
        <v>0</v>
      </c>
      <c r="V25" s="274">
        <f>'Capacity charges'!V257</f>
        <v>0</v>
      </c>
      <c r="W25" s="274">
        <f>'Capacity charges'!W257</f>
        <v>0</v>
      </c>
      <c r="X25" s="274">
        <f>'Capacity charges'!X257</f>
        <v>0</v>
      </c>
      <c r="Y25" s="274">
        <f>'Capacity charges'!Y257</f>
        <v>0</v>
      </c>
    </row>
    <row r="26" spans="4:59" x14ac:dyDescent="0.25">
      <c r="D26" s="295"/>
      <c r="E26" s="86"/>
      <c r="F26" s="93" t="s">
        <v>314</v>
      </c>
      <c r="G26" s="93" t="s">
        <v>315</v>
      </c>
      <c r="H26" s="354"/>
      <c r="I26" s="354"/>
      <c r="J26" s="364">
        <f>'Reactive power charges'!J250</f>
        <v>0</v>
      </c>
      <c r="K26" s="364">
        <f>'Reactive power charges'!K250</f>
        <v>0</v>
      </c>
      <c r="L26" s="364">
        <f>'Reactive power charges'!L250</f>
        <v>0</v>
      </c>
      <c r="M26" s="364">
        <f>'Reactive power charges'!M250</f>
        <v>0</v>
      </c>
      <c r="N26" s="364">
        <f>'Reactive power charges'!N250</f>
        <v>0.23544821131127469</v>
      </c>
      <c r="O26" s="364">
        <f>'Reactive power charges'!O250</f>
        <v>0.13709057031775684</v>
      </c>
      <c r="P26" s="364">
        <f>'Reactive power charges'!P250</f>
        <v>0.10158869577513742</v>
      </c>
      <c r="Q26" s="364">
        <f>'Reactive power charges'!Q250</f>
        <v>0</v>
      </c>
      <c r="R26" s="364">
        <f>'Reactive power charges'!R250</f>
        <v>0</v>
      </c>
      <c r="S26" s="364">
        <f>'Reactive power charges'!S250</f>
        <v>0</v>
      </c>
      <c r="T26" s="364">
        <f>'Reactive power charges'!T250</f>
        <v>0.20319917220642791</v>
      </c>
      <c r="U26" s="364">
        <f>'Reactive power charges'!U250</f>
        <v>0</v>
      </c>
      <c r="V26" s="364">
        <f>'Reactive power charges'!V250</f>
        <v>0.1816089264144457</v>
      </c>
      <c r="W26" s="364">
        <f>'Reactive power charges'!W250</f>
        <v>0</v>
      </c>
      <c r="X26" s="364">
        <f>'Reactive power charges'!X250</f>
        <v>0.15574087273376108</v>
      </c>
      <c r="Y26" s="364">
        <f>'Reactive power charges'!Y250</f>
        <v>0</v>
      </c>
      <c r="Z26" s="352"/>
      <c r="AA26" s="352"/>
      <c r="AB26" s="352"/>
      <c r="AC26" s="352"/>
      <c r="AD26" s="352"/>
      <c r="AE26" s="352"/>
      <c r="AF26" s="352"/>
      <c r="AG26" s="352"/>
      <c r="AH26" s="352"/>
      <c r="AI26" s="352"/>
      <c r="AJ26" s="352"/>
      <c r="AK26" s="352"/>
      <c r="AL26" s="352"/>
      <c r="AM26" s="352"/>
      <c r="AN26" s="352"/>
      <c r="AO26" s="352"/>
      <c r="AP26" s="352"/>
      <c r="AQ26" s="352"/>
      <c r="AR26" s="352"/>
      <c r="AS26" s="352"/>
      <c r="AT26" s="352"/>
      <c r="AU26" s="352"/>
      <c r="AV26" s="352"/>
      <c r="AW26" s="352"/>
      <c r="AX26" s="352"/>
      <c r="AY26" s="352"/>
      <c r="AZ26" s="352"/>
      <c r="BA26" s="352"/>
      <c r="BB26" s="352"/>
      <c r="BC26" s="352"/>
      <c r="BD26" s="352"/>
      <c r="BE26" s="352"/>
      <c r="BF26" s="352"/>
      <c r="BG26" s="352"/>
    </row>
    <row r="27" spans="4:59" x14ac:dyDescent="0.25">
      <c r="D27" s="295"/>
      <c r="E27" s="86"/>
      <c r="J27" s="253"/>
      <c r="K27" s="253"/>
      <c r="L27" s="253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</row>
    <row r="28" spans="4:59" x14ac:dyDescent="0.25">
      <c r="D28" s="295"/>
      <c r="E28" s="96" t="s">
        <v>329</v>
      </c>
      <c r="J28" s="253"/>
      <c r="K28" s="253"/>
      <c r="L28" s="253"/>
      <c r="M28" s="253"/>
      <c r="N28" s="253"/>
      <c r="O28" s="253"/>
      <c r="P28" s="253"/>
      <c r="Q28" s="253"/>
      <c r="R28" s="253"/>
      <c r="S28" s="253"/>
      <c r="T28" s="253"/>
      <c r="U28" s="253"/>
      <c r="V28" s="253"/>
      <c r="W28" s="253"/>
      <c r="X28" s="253"/>
      <c r="Y28" s="253"/>
    </row>
    <row r="29" spans="4:59" x14ac:dyDescent="0.25">
      <c r="D29" s="86"/>
      <c r="F29" s="91" t="s">
        <v>134</v>
      </c>
      <c r="G29" s="91" t="s">
        <v>120</v>
      </c>
      <c r="H29" s="91"/>
      <c r="I29" s="91"/>
      <c r="J29" s="273">
        <f>'Volume adjustments'!J66</f>
        <v>744507.47595921555</v>
      </c>
      <c r="K29" s="273">
        <f>'Volume adjustments'!K66</f>
        <v>1327.5662846544521</v>
      </c>
      <c r="L29" s="273">
        <f>'Volume adjustments'!L66</f>
        <v>188973.52230875273</v>
      </c>
      <c r="M29" s="273">
        <f>'Volume adjustments'!M66</f>
        <v>4172.2410596369182</v>
      </c>
      <c r="N29" s="273">
        <f>'Volume adjustments'!N66</f>
        <v>282075.14358760114</v>
      </c>
      <c r="O29" s="273">
        <f>'Volume adjustments'!O66</f>
        <v>23010.444191422164</v>
      </c>
      <c r="P29" s="273">
        <f>'Volume adjustments'!P66</f>
        <v>326311.94038013439</v>
      </c>
      <c r="Q29" s="273">
        <f>'Volume adjustments'!Q66</f>
        <v>13868.974697310709</v>
      </c>
      <c r="R29" s="273">
        <f>'Volume adjustments'!R66</f>
        <v>140.04079826565675</v>
      </c>
      <c r="S29" s="273">
        <f>'Volume adjustments'!S66</f>
        <v>2.8776284544589532</v>
      </c>
      <c r="T29" s="273">
        <f>'Volume adjustments'!T66</f>
        <v>6131.3814104814819</v>
      </c>
      <c r="U29" s="273">
        <f>'Volume adjustments'!U66</f>
        <v>0</v>
      </c>
      <c r="V29" s="273">
        <f>'Volume adjustments'!V66</f>
        <v>144.6141525623608</v>
      </c>
      <c r="W29" s="273">
        <f>'Volume adjustments'!W66</f>
        <v>0</v>
      </c>
      <c r="X29" s="273">
        <f>'Volume adjustments'!X66</f>
        <v>116075.81817719914</v>
      </c>
      <c r="Y29" s="273">
        <f>'Volume adjustments'!Y66</f>
        <v>0</v>
      </c>
    </row>
    <row r="30" spans="4:59" x14ac:dyDescent="0.25">
      <c r="D30" s="86"/>
      <c r="F30" s="295" t="s">
        <v>135</v>
      </c>
      <c r="G30" s="295" t="s">
        <v>120</v>
      </c>
      <c r="J30" s="274">
        <f>'Volume adjustments'!J77</f>
        <v>2645097.8394225296</v>
      </c>
      <c r="K30" s="274">
        <f>'Volume adjustments'!K77</f>
        <v>24035.071762789463</v>
      </c>
      <c r="L30" s="274">
        <f>'Volume adjustments'!L77</f>
        <v>1023624.1876166349</v>
      </c>
      <c r="M30" s="274">
        <f>'Volume adjustments'!M77</f>
        <v>25319.415482001521</v>
      </c>
      <c r="N30" s="274">
        <f>'Volume adjustments'!N77</f>
        <v>1350126.3314036345</v>
      </c>
      <c r="O30" s="274">
        <f>'Volume adjustments'!O77</f>
        <v>107501.34408049645</v>
      </c>
      <c r="P30" s="274">
        <f>'Volume adjustments'!P77</f>
        <v>1514334.2001053796</v>
      </c>
      <c r="Q30" s="274">
        <f>'Volume adjustments'!Q77</f>
        <v>52882.399972899948</v>
      </c>
      <c r="R30" s="274">
        <f>'Volume adjustments'!R77</f>
        <v>628.61483547885325</v>
      </c>
      <c r="S30" s="274">
        <f>'Volume adjustments'!S77</f>
        <v>11.85801478940583</v>
      </c>
      <c r="T30" s="274">
        <f>'Volume adjustments'!T77</f>
        <v>27525.456251959484</v>
      </c>
      <c r="U30" s="274">
        <f>'Volume adjustments'!U77</f>
        <v>0</v>
      </c>
      <c r="V30" s="274">
        <f>'Volume adjustments'!V77</f>
        <v>597.34783091345412</v>
      </c>
      <c r="W30" s="274">
        <f>'Volume adjustments'!W77</f>
        <v>0</v>
      </c>
      <c r="X30" s="274">
        <f>'Volume adjustments'!X77</f>
        <v>445212.43930388504</v>
      </c>
      <c r="Y30" s="274">
        <f>'Volume adjustments'!Y77</f>
        <v>0</v>
      </c>
    </row>
    <row r="31" spans="4:59" x14ac:dyDescent="0.25">
      <c r="D31" s="86"/>
      <c r="F31" s="295" t="s">
        <v>136</v>
      </c>
      <c r="G31" s="295" t="s">
        <v>120</v>
      </c>
      <c r="J31" s="274">
        <f>'Volume adjustments'!J88</f>
        <v>2435994.0010482869</v>
      </c>
      <c r="K31" s="274">
        <f>'Volume adjustments'!K88</f>
        <v>245515.14232274992</v>
      </c>
      <c r="L31" s="274">
        <f>'Volume adjustments'!L88</f>
        <v>988714.59609282145</v>
      </c>
      <c r="M31" s="274">
        <f>'Volume adjustments'!M88</f>
        <v>52561.158034119573</v>
      </c>
      <c r="N31" s="274">
        <f>'Volume adjustments'!N88</f>
        <v>1179031.4355710328</v>
      </c>
      <c r="O31" s="274">
        <f>'Volume adjustments'!O88</f>
        <v>106315.97183163626</v>
      </c>
      <c r="P31" s="274">
        <f>'Volume adjustments'!P88</f>
        <v>1621310.6751782417</v>
      </c>
      <c r="Q31" s="274">
        <f>'Volume adjustments'!Q88</f>
        <v>189423.97703070924</v>
      </c>
      <c r="R31" s="274">
        <f>'Volume adjustments'!R88</f>
        <v>700.98374497632642</v>
      </c>
      <c r="S31" s="274">
        <f>'Volume adjustments'!S88</f>
        <v>16.006356756135215</v>
      </c>
      <c r="T31" s="274">
        <f>'Volume adjustments'!T88</f>
        <v>30981.276337559029</v>
      </c>
      <c r="U31" s="274">
        <f>'Volume adjustments'!U88</f>
        <v>0</v>
      </c>
      <c r="V31" s="274">
        <f>'Volume adjustments'!V88</f>
        <v>807.27901652418518</v>
      </c>
      <c r="W31" s="274">
        <f>'Volume adjustments'!W88</f>
        <v>0</v>
      </c>
      <c r="X31" s="274">
        <f>'Volume adjustments'!X88</f>
        <v>507559.16751891578</v>
      </c>
      <c r="Y31" s="274">
        <f>'Volume adjustments'!Y88</f>
        <v>0</v>
      </c>
    </row>
    <row r="32" spans="4:59" x14ac:dyDescent="0.25">
      <c r="D32" s="86"/>
      <c r="F32" s="295" t="s">
        <v>74</v>
      </c>
      <c r="G32" s="295" t="s">
        <v>74</v>
      </c>
      <c r="J32" s="274">
        <f>'Volume adjustments'!J103</f>
        <v>1900944.7731327738</v>
      </c>
      <c r="K32" s="274">
        <f>'Volume adjustments'!K103</f>
        <v>100130.921763869</v>
      </c>
      <c r="L32" s="274">
        <f>'Volume adjustments'!L103</f>
        <v>126260.16198819576</v>
      </c>
      <c r="M32" s="274">
        <f>'Volume adjustments'!M103</f>
        <v>7441</v>
      </c>
      <c r="N32" s="274">
        <f>'Volume adjustments'!N103</f>
        <v>10688.330482751717</v>
      </c>
      <c r="O32" s="274">
        <f>'Volume adjustments'!O103</f>
        <v>235.94699537145465</v>
      </c>
      <c r="P32" s="274">
        <f>'Volume adjustments'!P103</f>
        <v>1279.4477972038226</v>
      </c>
      <c r="Q32" s="274">
        <f>'Volume adjustments'!Q103</f>
        <v>4906.9507149127448</v>
      </c>
      <c r="R32" s="274">
        <f>'Volume adjustments'!R103</f>
        <v>167</v>
      </c>
      <c r="S32" s="274">
        <f>'Volume adjustments'!S103</f>
        <v>4</v>
      </c>
      <c r="T32" s="274">
        <f>'Volume adjustments'!T103</f>
        <v>472</v>
      </c>
      <c r="U32" s="274">
        <f>'Volume adjustments'!U103</f>
        <v>0</v>
      </c>
      <c r="V32" s="274">
        <f>'Volume adjustments'!V103</f>
        <v>8</v>
      </c>
      <c r="W32" s="274">
        <f>'Volume adjustments'!W103</f>
        <v>0</v>
      </c>
      <c r="X32" s="274">
        <f>'Volume adjustments'!X103</f>
        <v>255</v>
      </c>
      <c r="Y32" s="274">
        <f>'Volume adjustments'!Y103</f>
        <v>0</v>
      </c>
    </row>
    <row r="33" spans="2:59" x14ac:dyDescent="0.25">
      <c r="D33" s="86"/>
      <c r="F33" s="295" t="s">
        <v>330</v>
      </c>
      <c r="G33" s="295" t="s">
        <v>169</v>
      </c>
      <c r="J33" s="274">
        <f>'Volume adjustments'!J114</f>
        <v>0</v>
      </c>
      <c r="K33" s="274">
        <f>'Volume adjustments'!K114</f>
        <v>0</v>
      </c>
      <c r="L33" s="274">
        <f>'Volume adjustments'!L114</f>
        <v>0</v>
      </c>
      <c r="M33" s="274">
        <f>'Volume adjustments'!M114</f>
        <v>0</v>
      </c>
      <c r="N33" s="274">
        <f>'Volume adjustments'!N114</f>
        <v>1506481.4576925465</v>
      </c>
      <c r="O33" s="274">
        <f>'Volume adjustments'!O114</f>
        <v>101792.04616244261</v>
      </c>
      <c r="P33" s="274">
        <f>'Volume adjustments'!P114</f>
        <v>1304272.7020126332</v>
      </c>
      <c r="Q33" s="274">
        <f>'Volume adjustments'!Q114</f>
        <v>0</v>
      </c>
      <c r="R33" s="274">
        <f>'Volume adjustments'!R114</f>
        <v>0</v>
      </c>
      <c r="S33" s="274">
        <f>'Volume adjustments'!S114</f>
        <v>0</v>
      </c>
      <c r="T33" s="274">
        <f>'Volume adjustments'!T114</f>
        <v>0</v>
      </c>
      <c r="U33" s="274">
        <f>'Volume adjustments'!U114</f>
        <v>0</v>
      </c>
      <c r="V33" s="274">
        <f>'Volume adjustments'!V114</f>
        <v>0</v>
      </c>
      <c r="W33" s="274">
        <f>'Volume adjustments'!W114</f>
        <v>0</v>
      </c>
      <c r="X33" s="274">
        <f>'Volume adjustments'!X114</f>
        <v>0</v>
      </c>
      <c r="Y33" s="274">
        <f>'Volume adjustments'!Y114</f>
        <v>0</v>
      </c>
    </row>
    <row r="34" spans="2:59" x14ac:dyDescent="0.25">
      <c r="D34" s="86"/>
      <c r="F34" s="295" t="s">
        <v>260</v>
      </c>
      <c r="G34" s="295" t="s">
        <v>169</v>
      </c>
      <c r="J34" s="274">
        <f>'Volume adjustments'!J125</f>
        <v>0</v>
      </c>
      <c r="K34" s="274">
        <f>'Volume adjustments'!K125</f>
        <v>0</v>
      </c>
      <c r="L34" s="274">
        <f>'Volume adjustments'!L125</f>
        <v>0</v>
      </c>
      <c r="M34" s="274">
        <f>'Volume adjustments'!M125</f>
        <v>0</v>
      </c>
      <c r="N34" s="274">
        <f>'Volume adjustments'!N125</f>
        <v>29633.952584846371</v>
      </c>
      <c r="O34" s="274">
        <f>'Volume adjustments'!O125</f>
        <v>1042.17</v>
      </c>
      <c r="P34" s="274">
        <f>'Volume adjustments'!P125</f>
        <v>16278.596851006316</v>
      </c>
      <c r="Q34" s="274">
        <f>'Volume adjustments'!Q125</f>
        <v>0</v>
      </c>
      <c r="R34" s="274">
        <f>'Volume adjustments'!R125</f>
        <v>0</v>
      </c>
      <c r="S34" s="274">
        <f>'Volume adjustments'!S125</f>
        <v>0</v>
      </c>
      <c r="T34" s="274">
        <f>'Volume adjustments'!T125</f>
        <v>0</v>
      </c>
      <c r="U34" s="274">
        <f>'Volume adjustments'!U125</f>
        <v>0</v>
      </c>
      <c r="V34" s="274">
        <f>'Volume adjustments'!V125</f>
        <v>0</v>
      </c>
      <c r="W34" s="274">
        <f>'Volume adjustments'!W125</f>
        <v>0</v>
      </c>
      <c r="X34" s="274">
        <f>'Volume adjustments'!X125</f>
        <v>0</v>
      </c>
      <c r="Y34" s="274">
        <f>'Volume adjustments'!Y125</f>
        <v>0</v>
      </c>
    </row>
    <row r="35" spans="2:59" x14ac:dyDescent="0.25">
      <c r="D35" s="86"/>
      <c r="F35" s="93" t="s">
        <v>77</v>
      </c>
      <c r="G35" s="15" t="s">
        <v>170</v>
      </c>
      <c r="H35" s="93"/>
      <c r="I35" s="93"/>
      <c r="J35" s="275">
        <f>'Volume adjustments'!J136</f>
        <v>0</v>
      </c>
      <c r="K35" s="275">
        <f>'Volume adjustments'!K136</f>
        <v>0</v>
      </c>
      <c r="L35" s="275">
        <f>'Volume adjustments'!L136</f>
        <v>0</v>
      </c>
      <c r="M35" s="275">
        <f>'Volume adjustments'!M136</f>
        <v>0</v>
      </c>
      <c r="N35" s="275">
        <f>'Volume adjustments'!N136</f>
        <v>246057.76967706415</v>
      </c>
      <c r="O35" s="275">
        <f>'Volume adjustments'!O136</f>
        <v>19880.385918858468</v>
      </c>
      <c r="P35" s="275">
        <f>'Volume adjustments'!P136</f>
        <v>251627.6799021631</v>
      </c>
      <c r="Q35" s="275">
        <f>'Volume adjustments'!Q136</f>
        <v>0</v>
      </c>
      <c r="R35" s="275">
        <f>'Volume adjustments'!R136</f>
        <v>0</v>
      </c>
      <c r="S35" s="275">
        <f>'Volume adjustments'!S136</f>
        <v>0</v>
      </c>
      <c r="T35" s="275">
        <f>'Volume adjustments'!T136</f>
        <v>4452</v>
      </c>
      <c r="U35" s="275">
        <f>'Volume adjustments'!U136</f>
        <v>0</v>
      </c>
      <c r="V35" s="275">
        <f>'Volume adjustments'!V136</f>
        <v>408</v>
      </c>
      <c r="W35" s="275">
        <f>'Volume adjustments'!W136</f>
        <v>0</v>
      </c>
      <c r="X35" s="275">
        <f>'Volume adjustments'!X136</f>
        <v>16464</v>
      </c>
      <c r="Y35" s="275">
        <f>'Volume adjustments'!Y136</f>
        <v>0</v>
      </c>
    </row>
    <row r="36" spans="2:59" x14ac:dyDescent="0.25">
      <c r="D36" s="86"/>
      <c r="F36" s="98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</row>
    <row r="37" spans="2:59" x14ac:dyDescent="0.25">
      <c r="D37" s="86"/>
      <c r="E37" s="295" t="s">
        <v>191</v>
      </c>
      <c r="G37" s="295" t="s">
        <v>107</v>
      </c>
      <c r="H37" s="274">
        <f>'General inputs'!$H$90</f>
        <v>417181725.07818514</v>
      </c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</row>
    <row r="38" spans="2:59" x14ac:dyDescent="0.25">
      <c r="D38" s="86"/>
      <c r="E38" s="295"/>
      <c r="H38" s="274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0"/>
    </row>
    <row r="39" spans="2:59" x14ac:dyDescent="0.25">
      <c r="D39" s="86"/>
      <c r="E39" s="96" t="s">
        <v>1124</v>
      </c>
      <c r="H39" s="274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</row>
    <row r="40" spans="2:59" x14ac:dyDescent="0.25">
      <c r="D40" s="86"/>
      <c r="F40" s="91" t="s">
        <v>1121</v>
      </c>
      <c r="G40" s="91" t="s">
        <v>107</v>
      </c>
      <c r="H40" s="273">
        <f>'General inputs'!$H$56</f>
        <v>47073.343842731156</v>
      </c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</row>
    <row r="41" spans="2:59" x14ac:dyDescent="0.25">
      <c r="C41" s="86"/>
      <c r="F41" s="93" t="s">
        <v>1122</v>
      </c>
      <c r="G41" s="93" t="s">
        <v>107</v>
      </c>
      <c r="H41" s="275">
        <f>'General inputs'!$H$57</f>
        <v>1417380.0307358583</v>
      </c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</row>
    <row r="42" spans="2:59" x14ac:dyDescent="0.25">
      <c r="C42" s="86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</row>
    <row r="43" spans="2:59" x14ac:dyDescent="0.25">
      <c r="C43" s="86"/>
      <c r="E43" s="295" t="s">
        <v>1125</v>
      </c>
      <c r="G43" s="295" t="s">
        <v>107</v>
      </c>
      <c r="H43" s="276">
        <f>H37 - H40 - H41</f>
        <v>415717271.70360655</v>
      </c>
      <c r="I43" s="295" t="s">
        <v>431</v>
      </c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BG43" s="295" t="s">
        <v>1126</v>
      </c>
    </row>
    <row r="44" spans="2:59" x14ac:dyDescent="0.25">
      <c r="C44" s="86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</row>
    <row r="45" spans="2:59" x14ac:dyDescent="0.25">
      <c r="C45" s="7" t="str">
        <f ca="1">INDEX('Version control'!$H$34:$H$58,MATCH($A$1,'Version control'!$F$34:$F$58,0),1)&amp;"-B: Net revenue before matching"</f>
        <v>Section 518-B: Net revenue before matching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</row>
    <row r="46" spans="2:59" x14ac:dyDescent="0.25">
      <c r="C46" s="82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</row>
    <row r="47" spans="2:59" x14ac:dyDescent="0.25">
      <c r="B47" s="82"/>
      <c r="D47" s="82" t="s">
        <v>484</v>
      </c>
      <c r="F47" s="98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/>
      <c r="Y47" s="90"/>
    </row>
    <row r="48" spans="2:59" x14ac:dyDescent="0.25">
      <c r="D48" s="82" t="s">
        <v>485</v>
      </c>
      <c r="F48" s="98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</row>
    <row r="49" spans="2:59" x14ac:dyDescent="0.25">
      <c r="D49" s="82"/>
      <c r="F49" s="98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</row>
    <row r="50" spans="2:59" x14ac:dyDescent="0.25">
      <c r="D50" s="295"/>
      <c r="E50" s="96" t="s">
        <v>695</v>
      </c>
      <c r="F50" s="96"/>
      <c r="H50" s="41" t="s">
        <v>272</v>
      </c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</row>
    <row r="51" spans="2:59" x14ac:dyDescent="0.25">
      <c r="D51" s="86"/>
      <c r="F51" s="91" t="s">
        <v>134</v>
      </c>
      <c r="G51" s="91" t="s">
        <v>107</v>
      </c>
      <c r="H51" s="278">
        <f t="shared" ref="H51:H58" si="0">SUM(J51:Y51)</f>
        <v>116724842.38709189</v>
      </c>
      <c r="I51" s="74"/>
      <c r="J51" s="268">
        <f t="shared" ref="J51:K51" si="1">J29 * thousand * J20 / hundred</f>
        <v>67062105.393375292</v>
      </c>
      <c r="K51" s="268">
        <f t="shared" si="1"/>
        <v>119581.59316464086</v>
      </c>
      <c r="L51" s="268">
        <f t="shared" ref="L51:M51" si="2">L29 * thousand * L20 / hundred</f>
        <v>19771070.526225574</v>
      </c>
      <c r="M51" s="268">
        <f t="shared" si="2"/>
        <v>436514.44517036952</v>
      </c>
      <c r="N51" s="268">
        <f t="shared" ref="N51:P51" si="3">N29 * thousand * N20 / hundred</f>
        <v>19839919.041003525</v>
      </c>
      <c r="O51" s="268">
        <f t="shared" si="3"/>
        <v>957696.09392068465</v>
      </c>
      <c r="P51" s="268">
        <f t="shared" si="3"/>
        <v>10289981.354416398</v>
      </c>
      <c r="Q51" s="268">
        <f t="shared" ref="Q51:S51" si="4">Q29 * thousand * Q20 / hundred</f>
        <v>2993077.7359720063</v>
      </c>
      <c r="R51" s="268">
        <f t="shared" si="4"/>
        <v>-9020.5369188820496</v>
      </c>
      <c r="S51" s="268">
        <f t="shared" si="4"/>
        <v>-163.71173509117608</v>
      </c>
      <c r="T51" s="268">
        <f t="shared" ref="T51:U51" si="5">T29 * thousand * T20 / hundred</f>
        <v>-394944.56659748266</v>
      </c>
      <c r="U51" s="268">
        <f t="shared" si="5"/>
        <v>0</v>
      </c>
      <c r="V51" s="268">
        <f t="shared" ref="V51:W51" si="6">V29 * thousand * V20 / hundred</f>
        <v>-8227.2726341856651</v>
      </c>
      <c r="W51" s="268">
        <f t="shared" si="6"/>
        <v>0</v>
      </c>
      <c r="X51" s="268">
        <f t="shared" ref="X51:Y51" si="7">X29 * thousand * X20 / hundred</f>
        <v>-4332747.7082709614</v>
      </c>
      <c r="Y51" s="268">
        <f t="shared" si="7"/>
        <v>0</v>
      </c>
    </row>
    <row r="52" spans="2:59" x14ac:dyDescent="0.25">
      <c r="D52" s="86"/>
      <c r="F52" s="295" t="s">
        <v>135</v>
      </c>
      <c r="G52" s="295" t="s">
        <v>107</v>
      </c>
      <c r="H52" s="253">
        <f t="shared" si="0"/>
        <v>46566600.936367683</v>
      </c>
      <c r="I52" s="90"/>
      <c r="J52" s="276">
        <f t="shared" ref="J52:K52" si="8">J30 * thousand * J21 / hundred</f>
        <v>23356457.342229743</v>
      </c>
      <c r="K52" s="276">
        <f t="shared" si="8"/>
        <v>212231.89553834434</v>
      </c>
      <c r="L52" s="276">
        <f t="shared" ref="L52:M52" si="9">L30 * thousand * L21 / hundred</f>
        <v>10498490.890855145</v>
      </c>
      <c r="M52" s="276">
        <f t="shared" si="9"/>
        <v>259680.90243987308</v>
      </c>
      <c r="N52" s="276">
        <f t="shared" ref="N52:P52" si="10">N30 * thousand * N21 / hundred</f>
        <v>8991127.7363087088</v>
      </c>
      <c r="O52" s="276">
        <f t="shared" si="10"/>
        <v>380581.53140303702</v>
      </c>
      <c r="P52" s="276">
        <f t="shared" si="10"/>
        <v>3825455.6126743257</v>
      </c>
      <c r="Q52" s="276">
        <f t="shared" ref="Q52:S52" si="11">Q30 * thousand * Q21 / hundred</f>
        <v>632074.12120787252</v>
      </c>
      <c r="R52" s="276">
        <f t="shared" si="11"/>
        <v>-3969.3513813799941</v>
      </c>
      <c r="S52" s="276">
        <f t="shared" si="11"/>
        <v>-64.978808942135174</v>
      </c>
      <c r="T52" s="276">
        <f t="shared" ref="T52:U52" si="12">T30 * thousand * T21 / hundred</f>
        <v>-173807.87348679343</v>
      </c>
      <c r="U52" s="276">
        <f t="shared" si="12"/>
        <v>0</v>
      </c>
      <c r="V52" s="276">
        <f t="shared" ref="V52:W52" si="13">V30 * thousand * V21 / hundred</f>
        <v>-3273.3093410882057</v>
      </c>
      <c r="W52" s="276">
        <f t="shared" si="13"/>
        <v>0</v>
      </c>
      <c r="X52" s="276">
        <f t="shared" ref="X52:Y52" si="14">X30 * thousand * X21 / hundred</f>
        <v>-1408383.5832711584</v>
      </c>
      <c r="Y52" s="276">
        <f t="shared" si="14"/>
        <v>0</v>
      </c>
    </row>
    <row r="53" spans="2:59" x14ac:dyDescent="0.25">
      <c r="D53" s="86"/>
      <c r="F53" s="295" t="s">
        <v>136</v>
      </c>
      <c r="G53" s="295" t="s">
        <v>107</v>
      </c>
      <c r="H53" s="253">
        <f t="shared" si="0"/>
        <v>1967078.8091679572</v>
      </c>
      <c r="I53" s="90"/>
      <c r="J53" s="276">
        <f t="shared" ref="J53:K53" si="15">J31 * thousand * J22 / hundred</f>
        <v>556016.13131997606</v>
      </c>
      <c r="K53" s="276">
        <f t="shared" si="15"/>
        <v>56038.881686910521</v>
      </c>
      <c r="L53" s="276">
        <f t="shared" ref="L53:M53" si="16">L31 * thousand * L22 / hundred</f>
        <v>262121.85290015725</v>
      </c>
      <c r="M53" s="276">
        <f t="shared" si="16"/>
        <v>13934.686702236135</v>
      </c>
      <c r="N53" s="276">
        <f t="shared" ref="N53:P53" si="17">N31 * thousand * N22 / hundred</f>
        <v>190775.40061006643</v>
      </c>
      <c r="O53" s="276">
        <f t="shared" si="17"/>
        <v>7210.9499730866637</v>
      </c>
      <c r="P53" s="276">
        <f t="shared" si="17"/>
        <v>65661.444554723013</v>
      </c>
      <c r="Q53" s="276">
        <f t="shared" ref="Q53:S53" si="18">Q31 * thousand * Q22 / hundred</f>
        <v>851065.28438736463</v>
      </c>
      <c r="R53" s="276">
        <f t="shared" si="18"/>
        <v>-114.41654104029107</v>
      </c>
      <c r="S53" s="276">
        <f t="shared" si="18"/>
        <v>-2.1989090422150501</v>
      </c>
      <c r="T53" s="276">
        <f t="shared" ref="T53:U53" si="19">T31 * thousand * T22 / hundred</f>
        <v>-5056.8511765941666</v>
      </c>
      <c r="U53" s="276">
        <f t="shared" si="19"/>
        <v>0</v>
      </c>
      <c r="V53" s="276">
        <f t="shared" ref="V53:W53" si="20">V31 * thousand * V22 / hundred</f>
        <v>-110.90175959904789</v>
      </c>
      <c r="W53" s="276">
        <f t="shared" si="20"/>
        <v>0</v>
      </c>
      <c r="X53" s="276">
        <f t="shared" ref="X53:Y53" si="21">X31 * thousand * X22 / hundred</f>
        <v>-30461.454580288082</v>
      </c>
      <c r="Y53" s="276">
        <f t="shared" si="21"/>
        <v>0</v>
      </c>
    </row>
    <row r="54" spans="2:59" x14ac:dyDescent="0.25">
      <c r="D54" s="86"/>
      <c r="F54" s="295" t="s">
        <v>311</v>
      </c>
      <c r="G54" s="295" t="s">
        <v>107</v>
      </c>
      <c r="H54" s="253">
        <f t="shared" si="0"/>
        <v>35994332.751062781</v>
      </c>
      <c r="I54" s="90"/>
      <c r="J54" s="276">
        <f t="shared" ref="J54:K54" si="22">J32 * J23 * days_in_year / hundred</f>
        <v>31720102.802173581</v>
      </c>
      <c r="K54" s="276">
        <f t="shared" si="22"/>
        <v>0</v>
      </c>
      <c r="L54" s="276">
        <f t="shared" ref="L54:M54" si="23">L32 * L23 * days_in_year / hundred</f>
        <v>2696458.5803345065</v>
      </c>
      <c r="M54" s="276">
        <f t="shared" si="23"/>
        <v>0</v>
      </c>
      <c r="N54" s="276">
        <f t="shared" ref="N54:P54" si="24">N32 * N23 * days_in_year / hundred</f>
        <v>906473.42517272581</v>
      </c>
      <c r="O54" s="276">
        <f t="shared" si="24"/>
        <v>7062.557279270155</v>
      </c>
      <c r="P54" s="276">
        <f t="shared" si="24"/>
        <v>579846.76867050515</v>
      </c>
      <c r="Q54" s="276">
        <f t="shared" ref="Q54:S54" si="25">Q32 * Q23 * days_in_year / hundred</f>
        <v>0</v>
      </c>
      <c r="R54" s="276">
        <f t="shared" si="25"/>
        <v>0</v>
      </c>
      <c r="S54" s="276">
        <f t="shared" si="25"/>
        <v>0</v>
      </c>
      <c r="T54" s="276">
        <f t="shared" ref="T54:U54" si="26">T32 * T23 * days_in_year / hundred</f>
        <v>0</v>
      </c>
      <c r="U54" s="276">
        <f t="shared" si="26"/>
        <v>0</v>
      </c>
      <c r="V54" s="276">
        <f t="shared" ref="V54:W54" si="27">V32 * V23 * days_in_year / hundred</f>
        <v>0</v>
      </c>
      <c r="W54" s="276">
        <f t="shared" si="27"/>
        <v>0</v>
      </c>
      <c r="X54" s="276">
        <f t="shared" ref="X54:Y54" si="28">X32 * X23 * days_in_year / hundred</f>
        <v>84388.617432191109</v>
      </c>
      <c r="Y54" s="276">
        <f t="shared" si="28"/>
        <v>0</v>
      </c>
    </row>
    <row r="55" spans="2:59" x14ac:dyDescent="0.25">
      <c r="D55" s="86"/>
      <c r="F55" s="295" t="s">
        <v>330</v>
      </c>
      <c r="G55" s="295" t="s">
        <v>107</v>
      </c>
      <c r="H55" s="253">
        <f t="shared" si="0"/>
        <v>39043187.835183576</v>
      </c>
      <c r="I55" s="90"/>
      <c r="J55" s="276">
        <f t="shared" ref="J55:K55" si="29">J33 * J24 * days_in_year / hundred</f>
        <v>0</v>
      </c>
      <c r="K55" s="276">
        <f t="shared" si="29"/>
        <v>0</v>
      </c>
      <c r="L55" s="276">
        <f t="shared" ref="L55:M55" si="30">L33 * L24 * days_in_year / hundred</f>
        <v>0</v>
      </c>
      <c r="M55" s="276">
        <f t="shared" si="30"/>
        <v>0</v>
      </c>
      <c r="N55" s="276">
        <f t="shared" ref="N55:P55" si="31">N33 * N24 * days_in_year / hundred</f>
        <v>13736106.417484004</v>
      </c>
      <c r="O55" s="276">
        <f t="shared" si="31"/>
        <v>1673916.1191395519</v>
      </c>
      <c r="P55" s="276">
        <f t="shared" si="31"/>
        <v>23633165.298560023</v>
      </c>
      <c r="Q55" s="276">
        <f t="shared" ref="Q55:S55" si="32">Q33 * Q24 * days_in_year / hundred</f>
        <v>0</v>
      </c>
      <c r="R55" s="276">
        <f t="shared" si="32"/>
        <v>0</v>
      </c>
      <c r="S55" s="276">
        <f t="shared" si="32"/>
        <v>0</v>
      </c>
      <c r="T55" s="276">
        <f t="shared" ref="T55:U55" si="33">T33 * T24 * days_in_year / hundred</f>
        <v>0</v>
      </c>
      <c r="U55" s="276">
        <f t="shared" si="33"/>
        <v>0</v>
      </c>
      <c r="V55" s="276">
        <f t="shared" ref="V55:W55" si="34">V33 * V24 * days_in_year / hundred</f>
        <v>0</v>
      </c>
      <c r="W55" s="276">
        <f t="shared" si="34"/>
        <v>0</v>
      </c>
      <c r="X55" s="276">
        <f t="shared" ref="X55:Y55" si="35">X33 * X24 * days_in_year / hundred</f>
        <v>0</v>
      </c>
      <c r="Y55" s="276">
        <f t="shared" si="35"/>
        <v>0</v>
      </c>
    </row>
    <row r="56" spans="2:59" x14ac:dyDescent="0.25">
      <c r="D56" s="86"/>
      <c r="F56" s="295" t="s">
        <v>260</v>
      </c>
      <c r="G56" s="295" t="s">
        <v>107</v>
      </c>
      <c r="H56" s="253">
        <f t="shared" si="0"/>
        <v>782704.27293994743</v>
      </c>
      <c r="I56" s="90"/>
      <c r="J56" s="276">
        <f t="shared" ref="J56:K56" si="36">J34 * J25 * days_in_year / hundred</f>
        <v>0</v>
      </c>
      <c r="K56" s="276">
        <f t="shared" si="36"/>
        <v>0</v>
      </c>
      <c r="L56" s="276">
        <f t="shared" ref="L56:M56" si="37">L34 * L25 * days_in_year / hundred</f>
        <v>0</v>
      </c>
      <c r="M56" s="276">
        <f t="shared" si="37"/>
        <v>0</v>
      </c>
      <c r="N56" s="276">
        <f t="shared" ref="N56:P56" si="38">N34 * N25 * days_in_year / hundred</f>
        <v>399263.24283431924</v>
      </c>
      <c r="O56" s="276">
        <f t="shared" si="38"/>
        <v>19549.423160758764</v>
      </c>
      <c r="P56" s="276">
        <f t="shared" si="38"/>
        <v>363891.60694486939</v>
      </c>
      <c r="Q56" s="276">
        <f t="shared" ref="Q56:S56" si="39">Q34 * Q25 * days_in_year / hundred</f>
        <v>0</v>
      </c>
      <c r="R56" s="276">
        <f t="shared" si="39"/>
        <v>0</v>
      </c>
      <c r="S56" s="276">
        <f t="shared" si="39"/>
        <v>0</v>
      </c>
      <c r="T56" s="276">
        <f t="shared" ref="T56:U56" si="40">T34 * T25 * days_in_year / hundred</f>
        <v>0</v>
      </c>
      <c r="U56" s="276">
        <f t="shared" si="40"/>
        <v>0</v>
      </c>
      <c r="V56" s="276">
        <f t="shared" ref="V56:W56" si="41">V34 * V25 * days_in_year / hundred</f>
        <v>0</v>
      </c>
      <c r="W56" s="276">
        <f t="shared" si="41"/>
        <v>0</v>
      </c>
      <c r="X56" s="276">
        <f t="shared" ref="X56:Y56" si="42">X34 * X25 * days_in_year / hundred</f>
        <v>0</v>
      </c>
      <c r="Y56" s="276">
        <f t="shared" si="42"/>
        <v>0</v>
      </c>
    </row>
    <row r="57" spans="2:59" x14ac:dyDescent="0.25">
      <c r="D57" s="86"/>
      <c r="F57" s="93" t="s">
        <v>77</v>
      </c>
      <c r="G57" s="15" t="s">
        <v>107</v>
      </c>
      <c r="H57" s="272">
        <f t="shared" si="0"/>
        <v>897646.59900973027</v>
      </c>
      <c r="I57" s="187"/>
      <c r="J57" s="269">
        <f t="shared" ref="J57:K57" si="43">J35 * thousand * J26 / hundred</f>
        <v>0</v>
      </c>
      <c r="K57" s="269">
        <f t="shared" si="43"/>
        <v>0</v>
      </c>
      <c r="L57" s="269">
        <f t="shared" ref="L57:M57" si="44">L35 * thousand * L26 / hundred</f>
        <v>0</v>
      </c>
      <c r="M57" s="269">
        <f t="shared" si="44"/>
        <v>0</v>
      </c>
      <c r="N57" s="269">
        <f t="shared" ref="N57:P57" si="45">N35 * thousand * N26 / hundred</f>
        <v>579338.61749706359</v>
      </c>
      <c r="O57" s="269">
        <f t="shared" si="45"/>
        <v>27254.134437534096</v>
      </c>
      <c r="P57" s="269">
        <f t="shared" si="45"/>
        <v>255625.27822184507</v>
      </c>
      <c r="Q57" s="269">
        <f t="shared" ref="Q57:S57" si="46">Q35 * thousand * Q26 / hundred</f>
        <v>0</v>
      </c>
      <c r="R57" s="269">
        <f t="shared" si="46"/>
        <v>0</v>
      </c>
      <c r="S57" s="269">
        <f t="shared" si="46"/>
        <v>0</v>
      </c>
      <c r="T57" s="269">
        <f t="shared" ref="T57:U57" si="47">T35 * thousand * T26 / hundred</f>
        <v>9046.4271466301707</v>
      </c>
      <c r="U57" s="269">
        <f t="shared" si="47"/>
        <v>0</v>
      </c>
      <c r="V57" s="269">
        <f t="shared" ref="V57:W57" si="48">V35 * thousand * V26 / hundred</f>
        <v>740.96441977093843</v>
      </c>
      <c r="W57" s="269">
        <f t="shared" si="48"/>
        <v>0</v>
      </c>
      <c r="X57" s="269">
        <f t="shared" ref="X57:Y57" si="49">X35 * thousand * X26 / hundred</f>
        <v>25641.177286886425</v>
      </c>
      <c r="Y57" s="269">
        <f t="shared" si="49"/>
        <v>0</v>
      </c>
    </row>
    <row r="58" spans="2:59" x14ac:dyDescent="0.25">
      <c r="D58" s="295"/>
      <c r="E58" s="82"/>
      <c r="F58" s="73" t="s">
        <v>111</v>
      </c>
      <c r="G58" s="77" t="s">
        <v>107</v>
      </c>
      <c r="H58" s="281">
        <f t="shared" si="0"/>
        <v>241976393.59082356</v>
      </c>
      <c r="I58" s="70"/>
      <c r="J58" s="271">
        <f t="shared" ref="J58:K58" si="50">SUM(J51:J57)</f>
        <v>122694681.66909859</v>
      </c>
      <c r="K58" s="271">
        <f t="shared" si="50"/>
        <v>387852.37038989575</v>
      </c>
      <c r="L58" s="271">
        <f t="shared" ref="L58:Y58" si="51">SUM(L51:L57)</f>
        <v>33228141.850315385</v>
      </c>
      <c r="M58" s="271">
        <f t="shared" si="51"/>
        <v>710130.03431247885</v>
      </c>
      <c r="N58" s="271">
        <f t="shared" si="51"/>
        <v>44643003.880910419</v>
      </c>
      <c r="O58" s="271">
        <f t="shared" si="51"/>
        <v>3073270.8093139231</v>
      </c>
      <c r="P58" s="271">
        <f t="shared" si="51"/>
        <v>39013627.364042692</v>
      </c>
      <c r="Q58" s="271">
        <f t="shared" si="51"/>
        <v>4476217.1415672433</v>
      </c>
      <c r="R58" s="271">
        <f t="shared" si="51"/>
        <v>-13104.304841302335</v>
      </c>
      <c r="S58" s="271">
        <f t="shared" si="51"/>
        <v>-230.88945307552632</v>
      </c>
      <c r="T58" s="271">
        <f t="shared" si="51"/>
        <v>-564762.86411424004</v>
      </c>
      <c r="U58" s="271">
        <f t="shared" si="51"/>
        <v>0</v>
      </c>
      <c r="V58" s="271">
        <f t="shared" si="51"/>
        <v>-10870.519315101981</v>
      </c>
      <c r="W58" s="271">
        <f t="shared" si="51"/>
        <v>0</v>
      </c>
      <c r="X58" s="271">
        <f t="shared" si="51"/>
        <v>-5661562.951403331</v>
      </c>
      <c r="Y58" s="271">
        <f t="shared" si="51"/>
        <v>0</v>
      </c>
      <c r="Z58" s="427"/>
      <c r="AA58" s="427"/>
      <c r="AB58" s="427"/>
      <c r="AC58" s="427"/>
      <c r="AD58" s="427"/>
      <c r="AE58" s="427"/>
      <c r="AF58" s="427"/>
      <c r="AG58" s="427"/>
      <c r="AH58" s="427"/>
      <c r="AI58" s="427"/>
      <c r="AJ58" s="427"/>
      <c r="AK58" s="427"/>
      <c r="AL58" s="427"/>
      <c r="AM58" s="427"/>
      <c r="AN58" s="427"/>
      <c r="AO58" s="427"/>
      <c r="AP58" s="427"/>
      <c r="AQ58" s="427"/>
      <c r="AR58" s="427"/>
      <c r="AS58" s="427"/>
      <c r="AT58" s="427"/>
      <c r="AU58" s="427"/>
      <c r="AV58" s="427"/>
      <c r="AW58" s="427"/>
      <c r="AX58" s="427"/>
      <c r="AY58" s="427"/>
      <c r="AZ58" s="427"/>
      <c r="BA58" s="427"/>
      <c r="BB58" s="427"/>
      <c r="BC58" s="427"/>
      <c r="BD58" s="427"/>
      <c r="BE58" s="427"/>
      <c r="BF58" s="427"/>
      <c r="BG58" s="427"/>
    </row>
    <row r="59" spans="2:59" x14ac:dyDescent="0.25">
      <c r="D59" s="295"/>
      <c r="E59" s="96"/>
      <c r="F59" s="82"/>
      <c r="H59" s="253"/>
    </row>
    <row r="60" spans="2:59" x14ac:dyDescent="0.25">
      <c r="D60" s="86"/>
      <c r="E60" s="295" t="s">
        <v>246</v>
      </c>
      <c r="G60" s="295" t="s">
        <v>107</v>
      </c>
      <c r="H60" s="276">
        <f>H43 - H58</f>
        <v>173740878.11278298</v>
      </c>
      <c r="I60" s="427" t="s">
        <v>431</v>
      </c>
      <c r="J60" s="427"/>
      <c r="K60" s="427"/>
      <c r="L60" s="427"/>
      <c r="M60" s="427"/>
      <c r="N60" s="427"/>
      <c r="O60" s="427"/>
      <c r="P60" s="427"/>
      <c r="Q60" s="427"/>
      <c r="R60" s="427"/>
      <c r="S60" s="427"/>
      <c r="T60" s="427"/>
      <c r="U60" s="427"/>
      <c r="V60" s="427"/>
      <c r="W60" s="427"/>
      <c r="X60" s="427"/>
      <c r="Y60" s="427"/>
      <c r="Z60" s="427"/>
      <c r="AA60" s="427"/>
      <c r="AB60" s="427"/>
      <c r="AC60" s="427"/>
      <c r="AD60" s="427"/>
      <c r="AE60" s="427"/>
      <c r="AF60" s="427"/>
      <c r="AG60" s="427"/>
      <c r="AH60" s="427"/>
      <c r="AI60" s="427"/>
      <c r="AJ60" s="427"/>
      <c r="AK60" s="427"/>
      <c r="AL60" s="427"/>
      <c r="AM60" s="427"/>
      <c r="AN60" s="427"/>
      <c r="AO60" s="427"/>
      <c r="AP60" s="427"/>
      <c r="AQ60" s="427"/>
      <c r="AR60" s="427"/>
      <c r="AS60" s="427"/>
      <c r="AT60" s="427"/>
      <c r="AU60" s="427"/>
      <c r="AV60" s="427"/>
      <c r="AW60" s="427"/>
      <c r="AX60" s="427"/>
      <c r="AY60" s="427"/>
      <c r="AZ60" s="427"/>
      <c r="BA60" s="427"/>
      <c r="BB60" s="427"/>
      <c r="BC60" s="427"/>
      <c r="BD60" s="427"/>
      <c r="BE60" s="427"/>
      <c r="BF60" s="427"/>
      <c r="BG60" s="427" t="s">
        <v>852</v>
      </c>
    </row>
    <row r="61" spans="2:59" x14ac:dyDescent="0.25">
      <c r="C61" s="86"/>
      <c r="I61" s="427"/>
      <c r="J61" s="427"/>
      <c r="K61" s="427"/>
      <c r="L61" s="427"/>
      <c r="M61" s="427"/>
      <c r="N61" s="427"/>
      <c r="O61" s="427"/>
      <c r="P61" s="427"/>
      <c r="Q61" s="427"/>
      <c r="R61" s="427"/>
      <c r="S61" s="427"/>
      <c r="T61" s="427"/>
      <c r="U61" s="427"/>
      <c r="V61" s="427"/>
      <c r="W61" s="427"/>
      <c r="X61" s="427"/>
      <c r="Y61" s="427"/>
      <c r="Z61" s="427"/>
      <c r="AA61" s="427"/>
      <c r="AB61" s="427"/>
      <c r="AC61" s="427"/>
      <c r="AD61" s="427"/>
      <c r="AE61" s="427"/>
      <c r="AF61" s="427"/>
      <c r="AG61" s="427"/>
      <c r="AH61" s="427"/>
      <c r="AI61" s="427"/>
      <c r="AJ61" s="427"/>
      <c r="AK61" s="427"/>
      <c r="AL61" s="427"/>
      <c r="AM61" s="427"/>
      <c r="AN61" s="427"/>
      <c r="AO61" s="427"/>
      <c r="AP61" s="427"/>
      <c r="AQ61" s="427"/>
      <c r="AR61" s="427"/>
      <c r="AS61" s="427"/>
      <c r="AT61" s="427"/>
      <c r="AU61" s="427"/>
      <c r="AV61" s="427"/>
      <c r="AW61" s="427"/>
      <c r="AX61" s="427"/>
      <c r="AY61" s="427"/>
      <c r="AZ61" s="427"/>
      <c r="BA61" s="427"/>
      <c r="BB61" s="427"/>
      <c r="BC61" s="427"/>
      <c r="BD61" s="427"/>
      <c r="BE61" s="427"/>
      <c r="BF61" s="427"/>
      <c r="BG61" s="427"/>
    </row>
    <row r="62" spans="2:59" x14ac:dyDescent="0.25">
      <c r="B62" s="95" t="s">
        <v>331</v>
      </c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</row>
    <row r="63" spans="2:59" x14ac:dyDescent="0.25">
      <c r="C63" s="82"/>
    </row>
    <row r="64" spans="2:59" x14ac:dyDescent="0.25">
      <c r="C64" s="82" t="s">
        <v>486</v>
      </c>
    </row>
    <row r="65" spans="3:59" x14ac:dyDescent="0.25">
      <c r="C65" s="82" t="s">
        <v>487</v>
      </c>
    </row>
    <row r="66" spans="3:59" x14ac:dyDescent="0.25">
      <c r="C66" s="82" t="s">
        <v>488</v>
      </c>
    </row>
    <row r="67" spans="3:59" x14ac:dyDescent="0.25">
      <c r="C67" s="82"/>
    </row>
    <row r="68" spans="3:59" x14ac:dyDescent="0.25">
      <c r="C68" s="7" t="str">
        <f ca="1">INDEX('Version control'!$H$34:$H$58,MATCH($A$1,'Version control'!$F$34:$F$58,0),1)&amp;"-C: Calculation of unconstrained adder solution"</f>
        <v>Section 518-C: Calculation of unconstrained adder solution</v>
      </c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</row>
    <row r="69" spans="3:59" x14ac:dyDescent="0.25">
      <c r="D69" s="86"/>
    </row>
    <row r="70" spans="3:59" x14ac:dyDescent="0.25">
      <c r="E70" s="96" t="s">
        <v>247</v>
      </c>
      <c r="H70" s="427"/>
      <c r="I70" s="427"/>
    </row>
    <row r="71" spans="3:59" x14ac:dyDescent="0.25">
      <c r="E71" s="82" t="s">
        <v>489</v>
      </c>
      <c r="H71" s="427"/>
      <c r="I71" s="427"/>
    </row>
    <row r="72" spans="3:59" x14ac:dyDescent="0.25">
      <c r="D72" s="295"/>
      <c r="E72" s="82" t="s">
        <v>490</v>
      </c>
      <c r="H72" s="427"/>
      <c r="I72" s="427"/>
    </row>
    <row r="73" spans="3:59" x14ac:dyDescent="0.25">
      <c r="D73" s="295"/>
      <c r="E73" s="82" t="s">
        <v>491</v>
      </c>
      <c r="H73" s="427"/>
      <c r="I73" s="427"/>
    </row>
    <row r="74" spans="3:59" x14ac:dyDescent="0.25">
      <c r="C74" s="86"/>
      <c r="F74" s="91" t="s">
        <v>340</v>
      </c>
      <c r="G74" s="91" t="s">
        <v>183</v>
      </c>
      <c r="H74" s="350"/>
      <c r="I74" s="350"/>
      <c r="J74" s="363">
        <f t="shared" ref="J74:Y76" si="52">-J20</f>
        <v>-9.0075798509575993</v>
      </c>
      <c r="K74" s="363">
        <f t="shared" si="52"/>
        <v>-9.0075798509575993</v>
      </c>
      <c r="L74" s="363">
        <f t="shared" si="52"/>
        <v>-10.462349584574492</v>
      </c>
      <c r="M74" s="363">
        <f t="shared" si="52"/>
        <v>-10.462349584574492</v>
      </c>
      <c r="N74" s="363">
        <f t="shared" si="52"/>
        <v>-7.0335580755778464</v>
      </c>
      <c r="O74" s="363">
        <f t="shared" si="52"/>
        <v>-4.1620061131966093</v>
      </c>
      <c r="P74" s="363">
        <f t="shared" si="52"/>
        <v>-3.1534185792984371</v>
      </c>
      <c r="Q74" s="363">
        <f t="shared" si="52"/>
        <v>-21.581103155032686</v>
      </c>
      <c r="R74" s="363">
        <f t="shared" si="52"/>
        <v>6.4413635387668471</v>
      </c>
      <c r="S74" s="363">
        <f t="shared" si="52"/>
        <v>5.6891199709087141</v>
      </c>
      <c r="T74" s="363">
        <f t="shared" si="52"/>
        <v>6.4413635387668471</v>
      </c>
      <c r="U74" s="363">
        <f t="shared" si="52"/>
        <v>6.4413635387668471</v>
      </c>
      <c r="V74" s="363">
        <f t="shared" si="52"/>
        <v>5.6891199709087141</v>
      </c>
      <c r="W74" s="363">
        <f t="shared" si="52"/>
        <v>5.6891199709087141</v>
      </c>
      <c r="X74" s="363">
        <f t="shared" si="52"/>
        <v>3.732687631507082</v>
      </c>
      <c r="Y74" s="363">
        <f t="shared" si="52"/>
        <v>3.732687631507082</v>
      </c>
      <c r="Z74" s="352"/>
      <c r="AA74" s="352"/>
      <c r="AB74" s="352"/>
      <c r="AC74" s="352"/>
      <c r="AD74" s="352"/>
      <c r="AE74" s="352"/>
      <c r="AF74" s="352"/>
      <c r="AG74" s="352"/>
      <c r="AH74" s="352"/>
      <c r="AI74" s="352"/>
      <c r="AJ74" s="352"/>
      <c r="AK74" s="352"/>
      <c r="AL74" s="352"/>
      <c r="AM74" s="352"/>
      <c r="AN74" s="352"/>
      <c r="AO74" s="352"/>
      <c r="AP74" s="352"/>
      <c r="AQ74" s="352"/>
      <c r="AR74" s="352"/>
      <c r="AS74" s="352"/>
      <c r="AT74" s="352"/>
      <c r="AU74" s="352"/>
      <c r="AV74" s="352"/>
      <c r="AW74" s="352"/>
      <c r="AX74" s="352"/>
      <c r="AY74" s="352"/>
      <c r="AZ74" s="352"/>
      <c r="BA74" s="352"/>
      <c r="BB74" s="352"/>
      <c r="BC74" s="352"/>
      <c r="BD74" s="352"/>
      <c r="BE74" s="352"/>
      <c r="BF74" s="352"/>
      <c r="BG74" s="352"/>
    </row>
    <row r="75" spans="3:59" x14ac:dyDescent="0.25">
      <c r="C75" s="86"/>
      <c r="F75" s="295" t="s">
        <v>341</v>
      </c>
      <c r="G75" s="295" t="s">
        <v>183</v>
      </c>
      <c r="H75" s="352"/>
      <c r="I75" s="352"/>
      <c r="J75" s="422">
        <f t="shared" si="52"/>
        <v>-0.88300920268903393</v>
      </c>
      <c r="K75" s="422">
        <f t="shared" si="52"/>
        <v>-0.88300920268903393</v>
      </c>
      <c r="L75" s="422">
        <f t="shared" si="52"/>
        <v>-1.0256196578648074</v>
      </c>
      <c r="M75" s="422">
        <f t="shared" si="52"/>
        <v>-1.0256196578648074</v>
      </c>
      <c r="N75" s="422">
        <f t="shared" si="52"/>
        <v>-0.66594714340259142</v>
      </c>
      <c r="O75" s="422">
        <f t="shared" si="52"/>
        <v>-0.35402490513798557</v>
      </c>
      <c r="P75" s="422">
        <f t="shared" si="52"/>
        <v>-0.25261633874531259</v>
      </c>
      <c r="Q75" s="422">
        <f t="shared" si="52"/>
        <v>-1.1952447724229316</v>
      </c>
      <c r="R75" s="422">
        <f t="shared" si="52"/>
        <v>0.63144411448010185</v>
      </c>
      <c r="S75" s="422">
        <f t="shared" si="52"/>
        <v>0.54797375527131609</v>
      </c>
      <c r="T75" s="422">
        <f t="shared" si="52"/>
        <v>0.63144411448010185</v>
      </c>
      <c r="U75" s="422">
        <f t="shared" si="52"/>
        <v>0.63144411448010185</v>
      </c>
      <c r="V75" s="422">
        <f t="shared" si="52"/>
        <v>0.54797375527131609</v>
      </c>
      <c r="W75" s="422">
        <f t="shared" si="52"/>
        <v>0.54797375527131609</v>
      </c>
      <c r="X75" s="422">
        <f t="shared" si="52"/>
        <v>0.31633967493658671</v>
      </c>
      <c r="Y75" s="422">
        <f t="shared" si="52"/>
        <v>0.31633967493658671</v>
      </c>
      <c r="Z75" s="352"/>
      <c r="AA75" s="352"/>
      <c r="AB75" s="352"/>
      <c r="AC75" s="352"/>
      <c r="AD75" s="352"/>
      <c r="AE75" s="352"/>
      <c r="AF75" s="352"/>
      <c r="AG75" s="352"/>
      <c r="AH75" s="352"/>
      <c r="AI75" s="352"/>
      <c r="AJ75" s="352"/>
      <c r="AK75" s="352"/>
      <c r="AL75" s="352"/>
      <c r="AM75" s="352"/>
      <c r="AN75" s="352"/>
      <c r="AO75" s="352"/>
      <c r="AP75" s="352"/>
      <c r="AQ75" s="352"/>
      <c r="AR75" s="352"/>
      <c r="AS75" s="352"/>
      <c r="AT75" s="352"/>
      <c r="AU75" s="352"/>
      <c r="AV75" s="352"/>
      <c r="AW75" s="352"/>
      <c r="AX75" s="352"/>
      <c r="AY75" s="352"/>
      <c r="AZ75" s="352"/>
      <c r="BA75" s="352"/>
      <c r="BB75" s="352"/>
      <c r="BC75" s="352"/>
      <c r="BD75" s="352"/>
      <c r="BE75" s="352"/>
      <c r="BF75" s="352"/>
      <c r="BG75" s="352"/>
    </row>
    <row r="76" spans="3:59" x14ac:dyDescent="0.25">
      <c r="C76" s="86"/>
      <c r="F76" s="93" t="s">
        <v>342</v>
      </c>
      <c r="G76" s="93" t="s">
        <v>183</v>
      </c>
      <c r="H76" s="354"/>
      <c r="I76" s="354"/>
      <c r="J76" s="365">
        <f t="shared" si="52"/>
        <v>-2.2825020549340613E-2</v>
      </c>
      <c r="K76" s="365">
        <f t="shared" si="52"/>
        <v>-2.2825020549340613E-2</v>
      </c>
      <c r="L76" s="365">
        <f t="shared" si="52"/>
        <v>-2.6511376886313207E-2</v>
      </c>
      <c r="M76" s="365">
        <f t="shared" si="52"/>
        <v>-2.6511376886313207E-2</v>
      </c>
      <c r="N76" s="365">
        <f t="shared" si="52"/>
        <v>-1.6180688220383998E-2</v>
      </c>
      <c r="O76" s="365">
        <f t="shared" si="52"/>
        <v>-6.782565073577133E-3</v>
      </c>
      <c r="P76" s="365">
        <f t="shared" si="52"/>
        <v>-4.0498989835803315E-3</v>
      </c>
      <c r="Q76" s="365">
        <f t="shared" si="52"/>
        <v>-0.44929121314425297</v>
      </c>
      <c r="R76" s="365">
        <f t="shared" si="52"/>
        <v>1.632228163067535E-2</v>
      </c>
      <c r="S76" s="365">
        <f t="shared" si="52"/>
        <v>1.3737723553938727E-2</v>
      </c>
      <c r="T76" s="365">
        <f t="shared" si="52"/>
        <v>1.632228163067535E-2</v>
      </c>
      <c r="U76" s="365">
        <f t="shared" si="52"/>
        <v>1.632228163067535E-2</v>
      </c>
      <c r="V76" s="365">
        <f t="shared" si="52"/>
        <v>1.3737723553938727E-2</v>
      </c>
      <c r="W76" s="365">
        <f t="shared" si="52"/>
        <v>1.3737723553938727E-2</v>
      </c>
      <c r="X76" s="365">
        <f t="shared" si="52"/>
        <v>6.0015573611233893E-3</v>
      </c>
      <c r="Y76" s="365">
        <f t="shared" si="52"/>
        <v>6.0015573611233893E-3</v>
      </c>
      <c r="Z76" s="352"/>
      <c r="AA76" s="352"/>
      <c r="AB76" s="352"/>
      <c r="AC76" s="352"/>
      <c r="AD76" s="352"/>
      <c r="AE76" s="352"/>
      <c r="AF76" s="352"/>
      <c r="AG76" s="352"/>
      <c r="AH76" s="352"/>
      <c r="AI76" s="352"/>
      <c r="AJ76" s="352"/>
      <c r="AK76" s="352"/>
      <c r="AL76" s="352"/>
      <c r="AM76" s="352"/>
      <c r="AN76" s="352"/>
      <c r="AO76" s="352"/>
      <c r="AP76" s="352"/>
      <c r="AQ76" s="352"/>
      <c r="AR76" s="352"/>
      <c r="AS76" s="352"/>
      <c r="AT76" s="352"/>
      <c r="AU76" s="352"/>
      <c r="AV76" s="352"/>
      <c r="AW76" s="352"/>
      <c r="AX76" s="352"/>
      <c r="AY76" s="352"/>
      <c r="AZ76" s="352"/>
      <c r="BA76" s="352"/>
      <c r="BB76" s="352"/>
      <c r="BC76" s="352"/>
      <c r="BD76" s="352"/>
      <c r="BE76" s="352"/>
      <c r="BF76" s="352"/>
      <c r="BG76" s="352"/>
    </row>
    <row r="77" spans="3:59" x14ac:dyDescent="0.25">
      <c r="C77" s="86"/>
      <c r="F77" s="98"/>
      <c r="J77" s="253"/>
      <c r="K77" s="253"/>
      <c r="L77" s="253"/>
      <c r="M77" s="253"/>
      <c r="N77" s="253"/>
      <c r="O77" s="253"/>
      <c r="P77" s="253"/>
      <c r="Q77" s="253"/>
      <c r="R77" s="253"/>
      <c r="S77" s="253"/>
      <c r="T77" s="253"/>
      <c r="U77" s="253"/>
      <c r="V77" s="253"/>
      <c r="W77" s="253"/>
      <c r="X77" s="253"/>
      <c r="Y77" s="253"/>
    </row>
    <row r="78" spans="3:59" x14ac:dyDescent="0.25">
      <c r="E78" s="96" t="s">
        <v>346</v>
      </c>
      <c r="H78" s="427"/>
      <c r="I78" s="427"/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  <c r="V78" s="253"/>
      <c r="W78" s="253"/>
      <c r="X78" s="253"/>
      <c r="Y78" s="253"/>
    </row>
    <row r="79" spans="3:59" x14ac:dyDescent="0.25">
      <c r="E79" s="82" t="s">
        <v>492</v>
      </c>
      <c r="H79" s="427"/>
      <c r="I79" s="427"/>
      <c r="J79" s="253"/>
      <c r="K79" s="253"/>
      <c r="L79" s="253"/>
      <c r="M79" s="253"/>
      <c r="N79" s="253"/>
      <c r="O79" s="253"/>
      <c r="P79" s="253"/>
      <c r="Q79" s="253"/>
      <c r="R79" s="253"/>
      <c r="S79" s="253"/>
      <c r="T79" s="253"/>
      <c r="U79" s="253"/>
      <c r="V79" s="253"/>
      <c r="W79" s="253"/>
      <c r="X79" s="253"/>
      <c r="Y79" s="253"/>
    </row>
    <row r="80" spans="3:59" x14ac:dyDescent="0.25">
      <c r="D80" s="295"/>
      <c r="E80" s="82" t="s">
        <v>493</v>
      </c>
      <c r="H80" s="427"/>
      <c r="I80" s="427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</row>
    <row r="81" spans="3:59" x14ac:dyDescent="0.25">
      <c r="D81" s="295"/>
      <c r="E81" s="82" t="s">
        <v>494</v>
      </c>
      <c r="H81" s="427"/>
      <c r="I81" s="427"/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  <c r="U81" s="253"/>
      <c r="V81" s="253"/>
      <c r="W81" s="253"/>
      <c r="X81" s="253"/>
      <c r="Y81" s="253"/>
    </row>
    <row r="82" spans="3:59" x14ac:dyDescent="0.25">
      <c r="F82" s="91" t="s">
        <v>343</v>
      </c>
      <c r="G82" s="91" t="s">
        <v>120</v>
      </c>
      <c r="H82" s="91"/>
      <c r="I82" s="91"/>
      <c r="J82" s="268">
        <f t="shared" ref="J82:Q84" si="53">J29</f>
        <v>744507.47595921555</v>
      </c>
      <c r="K82" s="268">
        <f t="shared" si="53"/>
        <v>1327.5662846544521</v>
      </c>
      <c r="L82" s="268">
        <f t="shared" si="53"/>
        <v>188973.52230875273</v>
      </c>
      <c r="M82" s="268">
        <f t="shared" si="53"/>
        <v>4172.2410596369182</v>
      </c>
      <c r="N82" s="268">
        <f t="shared" si="53"/>
        <v>282075.14358760114</v>
      </c>
      <c r="O82" s="268">
        <f t="shared" si="53"/>
        <v>23010.444191422164</v>
      </c>
      <c r="P82" s="268">
        <f t="shared" si="53"/>
        <v>326311.94038013439</v>
      </c>
      <c r="Q82" s="268">
        <f t="shared" si="53"/>
        <v>13868.974697310709</v>
      </c>
      <c r="R82" s="239"/>
      <c r="S82" s="239"/>
      <c r="T82" s="239"/>
      <c r="U82" s="239"/>
      <c r="V82" s="239"/>
      <c r="W82" s="239"/>
      <c r="X82" s="239"/>
      <c r="Y82" s="239"/>
    </row>
    <row r="83" spans="3:59" x14ac:dyDescent="0.25">
      <c r="C83" s="86"/>
      <c r="F83" s="295" t="s">
        <v>344</v>
      </c>
      <c r="G83" s="295" t="s">
        <v>120</v>
      </c>
      <c r="J83" s="276">
        <f t="shared" si="53"/>
        <v>2645097.8394225296</v>
      </c>
      <c r="K83" s="276">
        <f t="shared" si="53"/>
        <v>24035.071762789463</v>
      </c>
      <c r="L83" s="276">
        <f t="shared" si="53"/>
        <v>1023624.1876166349</v>
      </c>
      <c r="M83" s="276">
        <f t="shared" si="53"/>
        <v>25319.415482001521</v>
      </c>
      <c r="N83" s="276">
        <f t="shared" si="53"/>
        <v>1350126.3314036345</v>
      </c>
      <c r="O83" s="276">
        <f t="shared" si="53"/>
        <v>107501.34408049645</v>
      </c>
      <c r="P83" s="276">
        <f t="shared" si="53"/>
        <v>1514334.2001053796</v>
      </c>
      <c r="Q83" s="276">
        <f t="shared" si="53"/>
        <v>52882.399972899948</v>
      </c>
      <c r="R83" s="280"/>
      <c r="S83" s="280"/>
      <c r="T83" s="280"/>
      <c r="U83" s="280"/>
      <c r="V83" s="280"/>
      <c r="W83" s="280"/>
      <c r="X83" s="280"/>
      <c r="Y83" s="280"/>
    </row>
    <row r="84" spans="3:59" x14ac:dyDescent="0.25">
      <c r="C84" s="86"/>
      <c r="F84" s="93" t="s">
        <v>345</v>
      </c>
      <c r="G84" s="93" t="s">
        <v>120</v>
      </c>
      <c r="H84" s="93"/>
      <c r="I84" s="93"/>
      <c r="J84" s="269">
        <f t="shared" si="53"/>
        <v>2435994.0010482869</v>
      </c>
      <c r="K84" s="269">
        <f t="shared" si="53"/>
        <v>245515.14232274992</v>
      </c>
      <c r="L84" s="269">
        <f t="shared" si="53"/>
        <v>988714.59609282145</v>
      </c>
      <c r="M84" s="269">
        <f t="shared" si="53"/>
        <v>52561.158034119573</v>
      </c>
      <c r="N84" s="269">
        <f t="shared" si="53"/>
        <v>1179031.4355710328</v>
      </c>
      <c r="O84" s="269">
        <f t="shared" si="53"/>
        <v>106315.97183163626</v>
      </c>
      <c r="P84" s="269">
        <f t="shared" si="53"/>
        <v>1621310.6751782417</v>
      </c>
      <c r="Q84" s="269">
        <f t="shared" si="53"/>
        <v>189423.97703070924</v>
      </c>
      <c r="R84" s="241"/>
      <c r="S84" s="241"/>
      <c r="T84" s="241"/>
      <c r="U84" s="241"/>
      <c r="V84" s="241"/>
      <c r="W84" s="241"/>
      <c r="X84" s="241"/>
      <c r="Y84" s="241"/>
    </row>
    <row r="85" spans="3:59" x14ac:dyDescent="0.25">
      <c r="C85" s="86"/>
      <c r="F85" s="98"/>
    </row>
    <row r="86" spans="3:59" x14ac:dyDescent="0.25">
      <c r="E86" s="96" t="s">
        <v>355</v>
      </c>
      <c r="H86" s="427"/>
      <c r="I86" s="427" t="s">
        <v>431</v>
      </c>
      <c r="BG86" s="295" t="s">
        <v>853</v>
      </c>
    </row>
    <row r="87" spans="3:59" x14ac:dyDescent="0.25">
      <c r="E87" s="82" t="s">
        <v>495</v>
      </c>
      <c r="H87" s="427"/>
      <c r="I87" s="427"/>
    </row>
    <row r="88" spans="3:59" x14ac:dyDescent="0.25">
      <c r="D88" s="295"/>
      <c r="E88" s="82" t="s">
        <v>496</v>
      </c>
      <c r="H88" s="427"/>
      <c r="I88" s="427"/>
    </row>
    <row r="89" spans="3:59" x14ac:dyDescent="0.25">
      <c r="D89" s="295"/>
      <c r="E89" s="82" t="s">
        <v>497</v>
      </c>
      <c r="H89" s="427"/>
      <c r="I89" s="427"/>
    </row>
    <row r="90" spans="3:59" x14ac:dyDescent="0.25">
      <c r="E90" s="86"/>
      <c r="F90" s="295" t="s">
        <v>190</v>
      </c>
      <c r="G90" s="295" t="s">
        <v>183</v>
      </c>
      <c r="H90" s="422">
        <f>H60/SUM(J82:Y84)/ten</f>
        <v>1.147104687642698</v>
      </c>
      <c r="I90" s="352"/>
      <c r="J90" s="352"/>
      <c r="K90" s="352"/>
      <c r="L90" s="352"/>
      <c r="M90" s="352"/>
      <c r="N90" s="352"/>
      <c r="O90" s="352"/>
      <c r="P90" s="352"/>
      <c r="Q90" s="352"/>
      <c r="R90" s="352"/>
      <c r="S90" s="352"/>
      <c r="T90" s="352"/>
      <c r="U90" s="352"/>
      <c r="V90" s="352"/>
      <c r="W90" s="352"/>
      <c r="X90" s="352"/>
      <c r="Y90" s="352"/>
      <c r="Z90" s="352"/>
      <c r="AA90" s="352"/>
      <c r="AB90" s="352"/>
      <c r="AC90" s="352"/>
      <c r="AD90" s="352"/>
      <c r="AE90" s="352"/>
      <c r="AF90" s="352"/>
      <c r="AG90" s="352"/>
      <c r="AH90" s="352"/>
      <c r="AI90" s="352"/>
      <c r="AJ90" s="352"/>
      <c r="AK90" s="352"/>
      <c r="AL90" s="352"/>
      <c r="AM90" s="352"/>
      <c r="AN90" s="352"/>
      <c r="AO90" s="352"/>
      <c r="AP90" s="352"/>
      <c r="AQ90" s="352"/>
      <c r="AR90" s="352"/>
      <c r="AS90" s="352"/>
      <c r="AT90" s="352"/>
      <c r="AU90" s="352"/>
      <c r="AV90" s="352"/>
      <c r="AW90" s="352"/>
      <c r="AX90" s="352"/>
      <c r="AY90" s="352"/>
      <c r="AZ90" s="352"/>
      <c r="BA90" s="352"/>
      <c r="BB90" s="352"/>
      <c r="BC90" s="352"/>
      <c r="BD90" s="352"/>
      <c r="BE90" s="352"/>
      <c r="BF90" s="352"/>
      <c r="BG90" s="352"/>
    </row>
    <row r="91" spans="3:59" x14ac:dyDescent="0.25">
      <c r="D91" s="86"/>
    </row>
    <row r="92" spans="3:59" x14ac:dyDescent="0.25">
      <c r="C92" s="7" t="str">
        <f ca="1">INDEX('Version control'!$H$34:$H$58,MATCH($A$1,'Version control'!$F$34:$F$58,0),1)&amp;"-D: Algorithm to find constrained adder solution"</f>
        <v>Section 518-D: Algorithm to find constrained adder solution</v>
      </c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</row>
    <row r="93" spans="3:59" x14ac:dyDescent="0.25">
      <c r="D93" s="86"/>
    </row>
    <row r="94" spans="3:59" x14ac:dyDescent="0.25">
      <c r="D94" s="82" t="s">
        <v>498</v>
      </c>
      <c r="E94" s="295"/>
      <c r="I94" s="295" t="s">
        <v>431</v>
      </c>
      <c r="BG94" s="295" t="s">
        <v>853</v>
      </c>
    </row>
    <row r="95" spans="3:59" x14ac:dyDescent="0.25">
      <c r="D95" s="82" t="s">
        <v>499</v>
      </c>
      <c r="E95" s="295"/>
    </row>
    <row r="96" spans="3:59" x14ac:dyDescent="0.25">
      <c r="D96" s="82" t="s">
        <v>500</v>
      </c>
      <c r="E96" s="295"/>
    </row>
    <row r="97" spans="3:59" outlineLevel="1" x14ac:dyDescent="0.25"/>
    <row r="98" spans="3:59" outlineLevel="1" x14ac:dyDescent="0.25">
      <c r="D98" s="96" t="s">
        <v>501</v>
      </c>
      <c r="E98" s="295"/>
      <c r="H98" s="427"/>
      <c r="I98" s="427"/>
    </row>
    <row r="99" spans="3:59" outlineLevel="1" x14ac:dyDescent="0.25">
      <c r="D99" s="96" t="s">
        <v>502</v>
      </c>
      <c r="E99" s="295"/>
      <c r="H99" s="427"/>
      <c r="I99" s="427"/>
    </row>
    <row r="100" spans="3:59" outlineLevel="1" x14ac:dyDescent="0.25">
      <c r="D100" s="96"/>
      <c r="E100" s="295"/>
      <c r="H100" s="427"/>
      <c r="I100" s="427"/>
    </row>
    <row r="101" spans="3:59" ht="75" outlineLevel="1" x14ac:dyDescent="0.25">
      <c r="D101" s="295"/>
      <c r="E101" s="428" t="s">
        <v>349</v>
      </c>
      <c r="F101" s="428"/>
      <c r="G101" s="428"/>
      <c r="H101" s="429"/>
      <c r="I101" s="428"/>
      <c r="J101" s="1" t="s">
        <v>1067</v>
      </c>
      <c r="K101" s="1" t="s">
        <v>1068</v>
      </c>
      <c r="L101" s="1" t="s">
        <v>1069</v>
      </c>
      <c r="M101" s="1" t="s">
        <v>1070</v>
      </c>
      <c r="N101" s="1" t="s">
        <v>1071</v>
      </c>
      <c r="O101" s="1" t="s">
        <v>1072</v>
      </c>
      <c r="P101" s="1" t="s">
        <v>1073</v>
      </c>
      <c r="Q101" s="1" t="s">
        <v>1074</v>
      </c>
      <c r="R101" s="1" t="s">
        <v>1075</v>
      </c>
      <c r="S101" s="1" t="s">
        <v>1076</v>
      </c>
      <c r="T101" s="1" t="s">
        <v>1077</v>
      </c>
      <c r="U101" s="1" t="s">
        <v>1078</v>
      </c>
      <c r="V101" s="1" t="s">
        <v>1079</v>
      </c>
      <c r="W101" s="1" t="s">
        <v>1080</v>
      </c>
      <c r="X101" s="1" t="s">
        <v>1081</v>
      </c>
      <c r="Y101" s="1" t="s">
        <v>1082</v>
      </c>
      <c r="Z101" s="1" t="s">
        <v>1083</v>
      </c>
      <c r="AA101" s="1" t="s">
        <v>1084</v>
      </c>
      <c r="AB101" s="1" t="s">
        <v>1085</v>
      </c>
      <c r="AC101" s="1" t="s">
        <v>1086</v>
      </c>
      <c r="AD101" s="1" t="s">
        <v>1087</v>
      </c>
      <c r="AE101" s="1" t="s">
        <v>1088</v>
      </c>
      <c r="AF101" s="1" t="s">
        <v>1089</v>
      </c>
      <c r="AG101" s="1" t="s">
        <v>1090</v>
      </c>
      <c r="AH101" s="1" t="s">
        <v>1091</v>
      </c>
      <c r="AI101" s="1" t="s">
        <v>1092</v>
      </c>
      <c r="AJ101" s="1" t="s">
        <v>1093</v>
      </c>
      <c r="AK101" s="1" t="s">
        <v>1094</v>
      </c>
      <c r="AL101" s="1" t="s">
        <v>1095</v>
      </c>
      <c r="AM101" s="1" t="s">
        <v>1096</v>
      </c>
      <c r="AN101" s="1" t="s">
        <v>1097</v>
      </c>
      <c r="AO101" s="1" t="s">
        <v>1098</v>
      </c>
      <c r="AP101" s="1" t="s">
        <v>1099</v>
      </c>
      <c r="AQ101" s="1" t="s">
        <v>1100</v>
      </c>
      <c r="AR101" s="1" t="s">
        <v>1101</v>
      </c>
      <c r="AS101" s="1" t="s">
        <v>1102</v>
      </c>
      <c r="AT101" s="1" t="s">
        <v>1103</v>
      </c>
      <c r="AU101" s="1" t="s">
        <v>1104</v>
      </c>
      <c r="AV101" s="1" t="s">
        <v>1105</v>
      </c>
      <c r="AW101" s="1" t="s">
        <v>1106</v>
      </c>
      <c r="AX101" s="1" t="s">
        <v>1107</v>
      </c>
      <c r="AY101" s="1" t="s">
        <v>1108</v>
      </c>
      <c r="AZ101" s="1" t="s">
        <v>1109</v>
      </c>
      <c r="BA101" s="1" t="s">
        <v>1110</v>
      </c>
      <c r="BB101" s="1" t="s">
        <v>1111</v>
      </c>
      <c r="BC101" s="1" t="s">
        <v>1112</v>
      </c>
      <c r="BD101" s="1" t="s">
        <v>1113</v>
      </c>
      <c r="BE101" s="1" t="s">
        <v>1114</v>
      </c>
    </row>
    <row r="102" spans="3:59" outlineLevel="1" x14ac:dyDescent="0.25">
      <c r="C102" s="86"/>
      <c r="E102" s="295" t="s">
        <v>348</v>
      </c>
      <c r="G102" s="295" t="s">
        <v>183</v>
      </c>
      <c r="H102" s="352"/>
      <c r="I102" s="352"/>
      <c r="J102" s="352">
        <f t="shared" ref="J102:Y102" si="54">J74</f>
        <v>-9.0075798509575993</v>
      </c>
      <c r="K102" s="352">
        <f t="shared" si="54"/>
        <v>-9.0075798509575993</v>
      </c>
      <c r="L102" s="352">
        <f t="shared" si="54"/>
        <v>-10.462349584574492</v>
      </c>
      <c r="M102" s="352">
        <f t="shared" si="54"/>
        <v>-10.462349584574492</v>
      </c>
      <c r="N102" s="352">
        <f t="shared" si="54"/>
        <v>-7.0335580755778464</v>
      </c>
      <c r="O102" s="352">
        <f t="shared" si="54"/>
        <v>-4.1620061131966093</v>
      </c>
      <c r="P102" s="352">
        <f t="shared" si="54"/>
        <v>-3.1534185792984371</v>
      </c>
      <c r="Q102" s="352">
        <f t="shared" si="54"/>
        <v>-21.581103155032686</v>
      </c>
      <c r="R102" s="352">
        <f t="shared" si="54"/>
        <v>6.4413635387668471</v>
      </c>
      <c r="S102" s="352">
        <f t="shared" si="54"/>
        <v>5.6891199709087141</v>
      </c>
      <c r="T102" s="352">
        <f t="shared" si="54"/>
        <v>6.4413635387668471</v>
      </c>
      <c r="U102" s="352">
        <f t="shared" si="54"/>
        <v>6.4413635387668471</v>
      </c>
      <c r="V102" s="352">
        <f t="shared" si="54"/>
        <v>5.6891199709087141</v>
      </c>
      <c r="W102" s="352">
        <f t="shared" si="54"/>
        <v>5.6891199709087141</v>
      </c>
      <c r="X102" s="352">
        <f t="shared" si="54"/>
        <v>3.732687631507082</v>
      </c>
      <c r="Y102" s="366">
        <f t="shared" si="54"/>
        <v>3.732687631507082</v>
      </c>
      <c r="Z102" s="352">
        <f>J75</f>
        <v>-0.88300920268903393</v>
      </c>
      <c r="AA102" s="352">
        <f t="shared" ref="AA102:AO102" si="55">K75</f>
        <v>-0.88300920268903393</v>
      </c>
      <c r="AB102" s="352">
        <f t="shared" si="55"/>
        <v>-1.0256196578648074</v>
      </c>
      <c r="AC102" s="352">
        <f t="shared" si="55"/>
        <v>-1.0256196578648074</v>
      </c>
      <c r="AD102" s="352">
        <f t="shared" si="55"/>
        <v>-0.66594714340259142</v>
      </c>
      <c r="AE102" s="352">
        <f t="shared" si="55"/>
        <v>-0.35402490513798557</v>
      </c>
      <c r="AF102" s="352">
        <f t="shared" si="55"/>
        <v>-0.25261633874531259</v>
      </c>
      <c r="AG102" s="352">
        <f t="shared" si="55"/>
        <v>-1.1952447724229316</v>
      </c>
      <c r="AH102" s="352">
        <f t="shared" si="55"/>
        <v>0.63144411448010185</v>
      </c>
      <c r="AI102" s="352">
        <f t="shared" si="55"/>
        <v>0.54797375527131609</v>
      </c>
      <c r="AJ102" s="352">
        <f t="shared" si="55"/>
        <v>0.63144411448010185</v>
      </c>
      <c r="AK102" s="352">
        <f t="shared" si="55"/>
        <v>0.63144411448010185</v>
      </c>
      <c r="AL102" s="352">
        <f t="shared" si="55"/>
        <v>0.54797375527131609</v>
      </c>
      <c r="AM102" s="352">
        <f t="shared" si="55"/>
        <v>0.54797375527131609</v>
      </c>
      <c r="AN102" s="352">
        <f t="shared" si="55"/>
        <v>0.31633967493658671</v>
      </c>
      <c r="AO102" s="366">
        <f t="shared" si="55"/>
        <v>0.31633967493658671</v>
      </c>
      <c r="AP102" s="352">
        <f>J76</f>
        <v>-2.2825020549340613E-2</v>
      </c>
      <c r="AQ102" s="352">
        <f t="shared" ref="AQ102:BE102" si="56">K76</f>
        <v>-2.2825020549340613E-2</v>
      </c>
      <c r="AR102" s="352">
        <f t="shared" si="56"/>
        <v>-2.6511376886313207E-2</v>
      </c>
      <c r="AS102" s="352">
        <f t="shared" si="56"/>
        <v>-2.6511376886313207E-2</v>
      </c>
      <c r="AT102" s="352">
        <f t="shared" si="56"/>
        <v>-1.6180688220383998E-2</v>
      </c>
      <c r="AU102" s="352">
        <f t="shared" si="56"/>
        <v>-6.782565073577133E-3</v>
      </c>
      <c r="AV102" s="352">
        <f t="shared" si="56"/>
        <v>-4.0498989835803315E-3</v>
      </c>
      <c r="AW102" s="352">
        <f t="shared" si="56"/>
        <v>-0.44929121314425297</v>
      </c>
      <c r="AX102" s="352">
        <f t="shared" si="56"/>
        <v>1.632228163067535E-2</v>
      </c>
      <c r="AY102" s="352">
        <f t="shared" si="56"/>
        <v>1.3737723553938727E-2</v>
      </c>
      <c r="AZ102" s="352">
        <f t="shared" si="56"/>
        <v>1.632228163067535E-2</v>
      </c>
      <c r="BA102" s="352">
        <f t="shared" si="56"/>
        <v>1.632228163067535E-2</v>
      </c>
      <c r="BB102" s="352">
        <f t="shared" si="56"/>
        <v>1.3737723553938727E-2</v>
      </c>
      <c r="BC102" s="352">
        <f t="shared" si="56"/>
        <v>1.3737723553938727E-2</v>
      </c>
      <c r="BD102" s="352">
        <f t="shared" si="56"/>
        <v>6.0015573611233893E-3</v>
      </c>
      <c r="BE102" s="352">
        <f t="shared" si="56"/>
        <v>6.0015573611233893E-3</v>
      </c>
      <c r="BF102" s="352"/>
      <c r="BG102" s="352"/>
    </row>
    <row r="103" spans="3:59" outlineLevel="1" x14ac:dyDescent="0.25">
      <c r="C103" s="86"/>
      <c r="E103" s="295" t="s">
        <v>347</v>
      </c>
      <c r="G103" s="295" t="s">
        <v>120</v>
      </c>
      <c r="J103" s="276">
        <f t="shared" ref="J103:Y103" si="57">J82</f>
        <v>744507.47595921555</v>
      </c>
      <c r="K103" s="276">
        <f t="shared" si="57"/>
        <v>1327.5662846544521</v>
      </c>
      <c r="L103" s="276">
        <f t="shared" si="57"/>
        <v>188973.52230875273</v>
      </c>
      <c r="M103" s="276">
        <f t="shared" si="57"/>
        <v>4172.2410596369182</v>
      </c>
      <c r="N103" s="276">
        <f t="shared" si="57"/>
        <v>282075.14358760114</v>
      </c>
      <c r="O103" s="276">
        <f t="shared" si="57"/>
        <v>23010.444191422164</v>
      </c>
      <c r="P103" s="276">
        <f t="shared" si="57"/>
        <v>326311.94038013439</v>
      </c>
      <c r="Q103" s="276">
        <f t="shared" si="57"/>
        <v>13868.974697310709</v>
      </c>
      <c r="R103" s="276">
        <f t="shared" si="57"/>
        <v>0</v>
      </c>
      <c r="S103" s="276">
        <f t="shared" si="57"/>
        <v>0</v>
      </c>
      <c r="T103" s="276">
        <f t="shared" si="57"/>
        <v>0</v>
      </c>
      <c r="U103" s="276">
        <f t="shared" si="57"/>
        <v>0</v>
      </c>
      <c r="V103" s="276">
        <f t="shared" si="57"/>
        <v>0</v>
      </c>
      <c r="W103" s="276">
        <f t="shared" si="57"/>
        <v>0</v>
      </c>
      <c r="X103" s="276">
        <f t="shared" si="57"/>
        <v>0</v>
      </c>
      <c r="Y103" s="286">
        <f t="shared" si="57"/>
        <v>0</v>
      </c>
      <c r="Z103" s="276">
        <f>J83</f>
        <v>2645097.8394225296</v>
      </c>
      <c r="AA103" s="276">
        <f t="shared" ref="AA103:AO103" si="58">K83</f>
        <v>24035.071762789463</v>
      </c>
      <c r="AB103" s="276">
        <f t="shared" si="58"/>
        <v>1023624.1876166349</v>
      </c>
      <c r="AC103" s="276">
        <f t="shared" si="58"/>
        <v>25319.415482001521</v>
      </c>
      <c r="AD103" s="276">
        <f t="shared" si="58"/>
        <v>1350126.3314036345</v>
      </c>
      <c r="AE103" s="276">
        <f t="shared" si="58"/>
        <v>107501.34408049645</v>
      </c>
      <c r="AF103" s="276">
        <f t="shared" si="58"/>
        <v>1514334.2001053796</v>
      </c>
      <c r="AG103" s="276">
        <f t="shared" si="58"/>
        <v>52882.399972899948</v>
      </c>
      <c r="AH103" s="276">
        <f t="shared" si="58"/>
        <v>0</v>
      </c>
      <c r="AI103" s="276">
        <f t="shared" si="58"/>
        <v>0</v>
      </c>
      <c r="AJ103" s="276">
        <f t="shared" si="58"/>
        <v>0</v>
      </c>
      <c r="AK103" s="276">
        <f t="shared" si="58"/>
        <v>0</v>
      </c>
      <c r="AL103" s="276">
        <f t="shared" si="58"/>
        <v>0</v>
      </c>
      <c r="AM103" s="276">
        <f t="shared" si="58"/>
        <v>0</v>
      </c>
      <c r="AN103" s="276">
        <f t="shared" si="58"/>
        <v>0</v>
      </c>
      <c r="AO103" s="286">
        <f t="shared" si="58"/>
        <v>0</v>
      </c>
      <c r="AP103" s="276">
        <f>J84</f>
        <v>2435994.0010482869</v>
      </c>
      <c r="AQ103" s="276">
        <f t="shared" ref="AQ103:BE103" si="59">K84</f>
        <v>245515.14232274992</v>
      </c>
      <c r="AR103" s="276">
        <f t="shared" si="59"/>
        <v>988714.59609282145</v>
      </c>
      <c r="AS103" s="276">
        <f t="shared" si="59"/>
        <v>52561.158034119573</v>
      </c>
      <c r="AT103" s="276">
        <f t="shared" si="59"/>
        <v>1179031.4355710328</v>
      </c>
      <c r="AU103" s="276">
        <f t="shared" si="59"/>
        <v>106315.97183163626</v>
      </c>
      <c r="AV103" s="276">
        <f t="shared" si="59"/>
        <v>1621310.6751782417</v>
      </c>
      <c r="AW103" s="276">
        <f t="shared" si="59"/>
        <v>189423.97703070924</v>
      </c>
      <c r="AX103" s="276">
        <f t="shared" si="59"/>
        <v>0</v>
      </c>
      <c r="AY103" s="276">
        <f t="shared" si="59"/>
        <v>0</v>
      </c>
      <c r="AZ103" s="276">
        <f t="shared" si="59"/>
        <v>0</v>
      </c>
      <c r="BA103" s="276">
        <f t="shared" si="59"/>
        <v>0</v>
      </c>
      <c r="BB103" s="276">
        <f t="shared" si="59"/>
        <v>0</v>
      </c>
      <c r="BC103" s="276">
        <f t="shared" si="59"/>
        <v>0</v>
      </c>
      <c r="BD103" s="276">
        <f t="shared" si="59"/>
        <v>0</v>
      </c>
      <c r="BE103" s="276">
        <f t="shared" si="59"/>
        <v>0</v>
      </c>
    </row>
    <row r="104" spans="3:59" outlineLevel="1" x14ac:dyDescent="0.25">
      <c r="D104" s="82"/>
      <c r="E104" s="82"/>
      <c r="H104" s="427"/>
      <c r="I104" s="427"/>
    </row>
    <row r="105" spans="3:59" outlineLevel="1" x14ac:dyDescent="0.25">
      <c r="D105" s="96" t="s">
        <v>503</v>
      </c>
      <c r="E105" s="295"/>
      <c r="H105" s="427"/>
      <c r="I105" s="427"/>
    </row>
    <row r="106" spans="3:59" outlineLevel="1" x14ac:dyDescent="0.25">
      <c r="D106" s="96" t="s">
        <v>504</v>
      </c>
      <c r="E106" s="295"/>
      <c r="H106" s="427"/>
      <c r="I106" s="427"/>
    </row>
    <row r="107" spans="3:59" outlineLevel="1" x14ac:dyDescent="0.25">
      <c r="D107" s="96"/>
      <c r="E107" s="295"/>
      <c r="H107" s="427"/>
      <c r="I107" s="427"/>
    </row>
    <row r="108" spans="3:59" ht="75" outlineLevel="1" x14ac:dyDescent="0.25">
      <c r="D108" s="295"/>
      <c r="E108" s="428" t="s">
        <v>349</v>
      </c>
      <c r="F108" s="428"/>
      <c r="G108" s="428"/>
      <c r="H108" s="428"/>
      <c r="I108" s="428"/>
      <c r="J108" s="1" t="s">
        <v>237</v>
      </c>
      <c r="K108" s="1" t="s">
        <v>236</v>
      </c>
      <c r="L108" s="1" t="s">
        <v>237</v>
      </c>
      <c r="M108" s="1" t="s">
        <v>236</v>
      </c>
      <c r="N108" s="1" t="s">
        <v>235</v>
      </c>
      <c r="O108" s="1" t="s">
        <v>234</v>
      </c>
      <c r="P108" s="1" t="s">
        <v>233</v>
      </c>
      <c r="Q108" s="1" t="s">
        <v>232</v>
      </c>
      <c r="R108" s="1" t="s">
        <v>231</v>
      </c>
      <c r="S108" s="1" t="s">
        <v>230</v>
      </c>
      <c r="T108" s="1" t="s">
        <v>229</v>
      </c>
      <c r="U108" s="1" t="s">
        <v>228</v>
      </c>
      <c r="V108" s="1" t="s">
        <v>227</v>
      </c>
      <c r="W108" s="1" t="s">
        <v>226</v>
      </c>
      <c r="X108" s="1" t="s">
        <v>225</v>
      </c>
      <c r="Y108" s="1" t="s">
        <v>224</v>
      </c>
      <c r="Z108" s="1" t="s">
        <v>223</v>
      </c>
      <c r="AA108" s="1" t="s">
        <v>222</v>
      </c>
      <c r="AB108" s="1" t="s">
        <v>221</v>
      </c>
      <c r="AC108" s="1" t="s">
        <v>220</v>
      </c>
      <c r="AD108" s="1" t="s">
        <v>219</v>
      </c>
      <c r="AE108" s="1" t="s">
        <v>218</v>
      </c>
      <c r="AF108" s="1" t="s">
        <v>217</v>
      </c>
      <c r="AG108" s="1" t="s">
        <v>216</v>
      </c>
      <c r="AH108" s="1" t="s">
        <v>215</v>
      </c>
      <c r="AI108" s="1" t="s">
        <v>214</v>
      </c>
      <c r="AJ108" s="1" t="s">
        <v>213</v>
      </c>
      <c r="AK108" s="1" t="s">
        <v>212</v>
      </c>
      <c r="AL108" s="1" t="s">
        <v>211</v>
      </c>
      <c r="AM108" s="1" t="s">
        <v>210</v>
      </c>
      <c r="AN108" s="1" t="s">
        <v>209</v>
      </c>
      <c r="AO108" s="1" t="s">
        <v>208</v>
      </c>
      <c r="AP108" s="1" t="s">
        <v>207</v>
      </c>
      <c r="AQ108" s="1" t="s">
        <v>206</v>
      </c>
      <c r="AR108" s="1" t="s">
        <v>205</v>
      </c>
      <c r="AS108" s="1" t="s">
        <v>204</v>
      </c>
      <c r="AT108" s="1" t="s">
        <v>203</v>
      </c>
      <c r="AU108" s="1" t="s">
        <v>202</v>
      </c>
      <c r="AV108" s="1" t="s">
        <v>201</v>
      </c>
      <c r="AW108" s="1" t="s">
        <v>200</v>
      </c>
      <c r="AX108" s="1" t="s">
        <v>199</v>
      </c>
      <c r="AY108" s="1" t="s">
        <v>198</v>
      </c>
      <c r="AZ108" s="1" t="s">
        <v>197</v>
      </c>
      <c r="BA108" s="1" t="s">
        <v>196</v>
      </c>
      <c r="BB108" s="1" t="s">
        <v>195</v>
      </c>
      <c r="BC108" s="1" t="s">
        <v>194</v>
      </c>
      <c r="BD108" s="1" t="s">
        <v>193</v>
      </c>
      <c r="BE108" s="1" t="s">
        <v>192</v>
      </c>
    </row>
    <row r="109" spans="3:59" outlineLevel="1" x14ac:dyDescent="0.25">
      <c r="C109" s="86"/>
      <c r="E109" s="295" t="s">
        <v>189</v>
      </c>
      <c r="G109" s="295" t="s">
        <v>99</v>
      </c>
      <c r="J109" s="253">
        <f t="shared" ref="J109:BE109" si="60">RANK(J102, $J$102:$BE$102, 1)</f>
        <v>4</v>
      </c>
      <c r="K109" s="253">
        <f t="shared" si="60"/>
        <v>4</v>
      </c>
      <c r="L109" s="253">
        <f t="shared" si="60"/>
        <v>2</v>
      </c>
      <c r="M109" s="253">
        <f t="shared" si="60"/>
        <v>2</v>
      </c>
      <c r="N109" s="253">
        <f t="shared" si="60"/>
        <v>6</v>
      </c>
      <c r="O109" s="253">
        <f t="shared" si="60"/>
        <v>7</v>
      </c>
      <c r="P109" s="253">
        <f t="shared" si="60"/>
        <v>8</v>
      </c>
      <c r="Q109" s="253">
        <f t="shared" si="60"/>
        <v>1</v>
      </c>
      <c r="R109" s="253">
        <f t="shared" si="60"/>
        <v>46</v>
      </c>
      <c r="S109" s="253">
        <f t="shared" si="60"/>
        <v>43</v>
      </c>
      <c r="T109" s="253">
        <f t="shared" si="60"/>
        <v>46</v>
      </c>
      <c r="U109" s="253">
        <f t="shared" si="60"/>
        <v>46</v>
      </c>
      <c r="V109" s="253">
        <f t="shared" si="60"/>
        <v>43</v>
      </c>
      <c r="W109" s="253">
        <f t="shared" si="60"/>
        <v>43</v>
      </c>
      <c r="X109" s="253">
        <f t="shared" si="60"/>
        <v>41</v>
      </c>
      <c r="Y109" s="253">
        <f t="shared" si="60"/>
        <v>41</v>
      </c>
      <c r="Z109" s="253">
        <f t="shared" si="60"/>
        <v>12</v>
      </c>
      <c r="AA109" s="253">
        <f t="shared" si="60"/>
        <v>12</v>
      </c>
      <c r="AB109" s="253">
        <f t="shared" si="60"/>
        <v>10</v>
      </c>
      <c r="AC109" s="253">
        <f t="shared" si="60"/>
        <v>10</v>
      </c>
      <c r="AD109" s="253">
        <f t="shared" si="60"/>
        <v>14</v>
      </c>
      <c r="AE109" s="253">
        <f t="shared" si="60"/>
        <v>16</v>
      </c>
      <c r="AF109" s="253">
        <f t="shared" si="60"/>
        <v>17</v>
      </c>
      <c r="AG109" s="253">
        <f t="shared" si="60"/>
        <v>9</v>
      </c>
      <c r="AH109" s="253">
        <f t="shared" si="60"/>
        <v>38</v>
      </c>
      <c r="AI109" s="253">
        <f t="shared" si="60"/>
        <v>35</v>
      </c>
      <c r="AJ109" s="253">
        <f t="shared" si="60"/>
        <v>38</v>
      </c>
      <c r="AK109" s="253">
        <f t="shared" si="60"/>
        <v>38</v>
      </c>
      <c r="AL109" s="253">
        <f t="shared" si="60"/>
        <v>35</v>
      </c>
      <c r="AM109" s="253">
        <f t="shared" si="60"/>
        <v>35</v>
      </c>
      <c r="AN109" s="253">
        <f t="shared" si="60"/>
        <v>33</v>
      </c>
      <c r="AO109" s="253">
        <f t="shared" si="60"/>
        <v>33</v>
      </c>
      <c r="AP109" s="253">
        <f t="shared" si="60"/>
        <v>20</v>
      </c>
      <c r="AQ109" s="253">
        <f t="shared" si="60"/>
        <v>20</v>
      </c>
      <c r="AR109" s="253">
        <f t="shared" si="60"/>
        <v>18</v>
      </c>
      <c r="AS109" s="253">
        <f t="shared" si="60"/>
        <v>18</v>
      </c>
      <c r="AT109" s="253">
        <f t="shared" si="60"/>
        <v>22</v>
      </c>
      <c r="AU109" s="253">
        <f t="shared" si="60"/>
        <v>23</v>
      </c>
      <c r="AV109" s="253">
        <f t="shared" si="60"/>
        <v>24</v>
      </c>
      <c r="AW109" s="253">
        <f t="shared" si="60"/>
        <v>15</v>
      </c>
      <c r="AX109" s="253">
        <f t="shared" si="60"/>
        <v>30</v>
      </c>
      <c r="AY109" s="253">
        <f t="shared" si="60"/>
        <v>27</v>
      </c>
      <c r="AZ109" s="253">
        <f t="shared" si="60"/>
        <v>30</v>
      </c>
      <c r="BA109" s="253">
        <f t="shared" si="60"/>
        <v>30</v>
      </c>
      <c r="BB109" s="253">
        <f t="shared" si="60"/>
        <v>27</v>
      </c>
      <c r="BC109" s="253">
        <f t="shared" si="60"/>
        <v>27</v>
      </c>
      <c r="BD109" s="253">
        <f t="shared" si="60"/>
        <v>25</v>
      </c>
      <c r="BE109" s="253">
        <f t="shared" si="60"/>
        <v>25</v>
      </c>
    </row>
    <row r="110" spans="3:59" outlineLevel="1" x14ac:dyDescent="0.25">
      <c r="C110" s="86"/>
      <c r="E110" s="295" t="s">
        <v>188</v>
      </c>
      <c r="G110" s="295" t="s">
        <v>99</v>
      </c>
      <c r="J110" s="276">
        <f>J109 + (COUNT($J$109:J$109) / COUNT($J$109:$BE$109))</f>
        <v>4.020833333333333</v>
      </c>
      <c r="K110" s="276">
        <f>K109 + (COUNT($J$109:K$109) / COUNT($J$109:$BE$109))</f>
        <v>4.041666666666667</v>
      </c>
      <c r="L110" s="276">
        <f>L109 + (COUNT($J$109:L$109) / COUNT($J$109:$BE$109))</f>
        <v>2.0625</v>
      </c>
      <c r="M110" s="276">
        <f>M109 + (COUNT($J$109:M$109) / COUNT($J$109:$BE$109))</f>
        <v>2.0833333333333335</v>
      </c>
      <c r="N110" s="276">
        <f>N109 + (COUNT($J$109:N$109) / COUNT($J$109:$BE$109))</f>
        <v>6.104166666666667</v>
      </c>
      <c r="O110" s="276">
        <f>O109 + (COUNT($J$109:O$109) / COUNT($J$109:$BE$109))</f>
        <v>7.125</v>
      </c>
      <c r="P110" s="276">
        <f>P109 + (COUNT($J$109:P$109) / COUNT($J$109:$BE$109))</f>
        <v>8.1458333333333339</v>
      </c>
      <c r="Q110" s="276">
        <f>Q109 + (COUNT($J$109:Q$109) / COUNT($J$109:$BE$109))</f>
        <v>1.1666666666666667</v>
      </c>
      <c r="R110" s="276">
        <f>R109 + (COUNT($J$109:R$109) / COUNT($J$109:$BE$109))</f>
        <v>46.1875</v>
      </c>
      <c r="S110" s="276">
        <f>S109 + (COUNT($J$109:S$109) / COUNT($J$109:$BE$109))</f>
        <v>43.208333333333336</v>
      </c>
      <c r="T110" s="276">
        <f>T109 + (COUNT($J$109:T$109) / COUNT($J$109:$BE$109))</f>
        <v>46.229166666666664</v>
      </c>
      <c r="U110" s="276">
        <f>U109 + (COUNT($J$109:U$109) / COUNT($J$109:$BE$109))</f>
        <v>46.25</v>
      </c>
      <c r="V110" s="276">
        <f>V109 + (COUNT($J$109:V$109) / COUNT($J$109:$BE$109))</f>
        <v>43.270833333333336</v>
      </c>
      <c r="W110" s="276">
        <f>W109 + (COUNT($J$109:W$109) / COUNT($J$109:$BE$109))</f>
        <v>43.291666666666664</v>
      </c>
      <c r="X110" s="276">
        <f>X109 + (COUNT($J$109:X$109) / COUNT($J$109:$BE$109))</f>
        <v>41.3125</v>
      </c>
      <c r="Y110" s="276">
        <f>Y109 + (COUNT($J$109:Y$109) / COUNT($J$109:$BE$109))</f>
        <v>41.333333333333336</v>
      </c>
      <c r="Z110" s="276">
        <f>Z109 + (COUNT($J$109:Z$109) / COUNT($J$109:$BE$109))</f>
        <v>12.354166666666666</v>
      </c>
      <c r="AA110" s="276">
        <f>AA109 + (COUNT($J$109:AA$109) / COUNT($J$109:$BE$109))</f>
        <v>12.375</v>
      </c>
      <c r="AB110" s="276">
        <f>AB109 + (COUNT($J$109:AB$109) / COUNT($J$109:$BE$109))</f>
        <v>10.395833333333334</v>
      </c>
      <c r="AC110" s="276">
        <f>AC109 + (COUNT($J$109:AC$109) / COUNT($J$109:$BE$109))</f>
        <v>10.416666666666666</v>
      </c>
      <c r="AD110" s="276">
        <f>AD109 + (COUNT($J$109:AD$109) / COUNT($J$109:$BE$109))</f>
        <v>14.4375</v>
      </c>
      <c r="AE110" s="276">
        <f>AE109 + (COUNT($J$109:AE$109) / COUNT($J$109:$BE$109))</f>
        <v>16.458333333333332</v>
      </c>
      <c r="AF110" s="276">
        <f>AF109 + (COUNT($J$109:AF$109) / COUNT($J$109:$BE$109))</f>
        <v>17.479166666666668</v>
      </c>
      <c r="AG110" s="276">
        <f>AG109 + (COUNT($J$109:AG$109) / COUNT($J$109:$BE$109))</f>
        <v>9.5</v>
      </c>
      <c r="AH110" s="276">
        <f>AH109 + (COUNT($J$109:AH$109) / COUNT($J$109:$BE$109))</f>
        <v>38.520833333333336</v>
      </c>
      <c r="AI110" s="276">
        <f>AI109 + (COUNT($J$109:AI$109) / COUNT($J$109:$BE$109))</f>
        <v>35.541666666666664</v>
      </c>
      <c r="AJ110" s="276">
        <f>AJ109 + (COUNT($J$109:AJ$109) / COUNT($J$109:$BE$109))</f>
        <v>38.5625</v>
      </c>
      <c r="AK110" s="276">
        <f>AK109 + (COUNT($J$109:AK$109) / COUNT($J$109:$BE$109))</f>
        <v>38.583333333333336</v>
      </c>
      <c r="AL110" s="276">
        <f>AL109 + (COUNT($J$109:AL$109) / COUNT($J$109:$BE$109))</f>
        <v>35.604166666666664</v>
      </c>
      <c r="AM110" s="276">
        <f>AM109 + (COUNT($J$109:AM$109) / COUNT($J$109:$BE$109))</f>
        <v>35.625</v>
      </c>
      <c r="AN110" s="276">
        <f>AN109 + (COUNT($J$109:AN$109) / COUNT($J$109:$BE$109))</f>
        <v>33.645833333333336</v>
      </c>
      <c r="AO110" s="276">
        <f>AO109 + (COUNT($J$109:AO$109) / COUNT($J$109:$BE$109))</f>
        <v>33.666666666666664</v>
      </c>
      <c r="AP110" s="276">
        <f>AP109 + (COUNT($J$109:AP$109) / COUNT($J$109:$BE$109))</f>
        <v>20.6875</v>
      </c>
      <c r="AQ110" s="276">
        <f>AQ109 + (COUNT($J$109:AQ$109) / COUNT($J$109:$BE$109))</f>
        <v>20.708333333333332</v>
      </c>
      <c r="AR110" s="276">
        <f>AR109 + (COUNT($J$109:AR$109) / COUNT($J$109:$BE$109))</f>
        <v>18.729166666666668</v>
      </c>
      <c r="AS110" s="276">
        <f>AS109 + (COUNT($J$109:AS$109) / COUNT($J$109:$BE$109))</f>
        <v>18.75</v>
      </c>
      <c r="AT110" s="276">
        <f>AT109 + (COUNT($J$109:AT$109) / COUNT($J$109:$BE$109))</f>
        <v>22.770833333333332</v>
      </c>
      <c r="AU110" s="276">
        <f>AU109 + (COUNT($J$109:AU$109) / COUNT($J$109:$BE$109))</f>
        <v>23.791666666666668</v>
      </c>
      <c r="AV110" s="276">
        <f>AV109 + (COUNT($J$109:AV$109) / COUNT($J$109:$BE$109))</f>
        <v>24.8125</v>
      </c>
      <c r="AW110" s="276">
        <f>AW109 + (COUNT($J$109:AW$109) / COUNT($J$109:$BE$109))</f>
        <v>15.833333333333334</v>
      </c>
      <c r="AX110" s="276">
        <f>AX109 + (COUNT($J$109:AX$109) / COUNT($J$109:$BE$109))</f>
        <v>30.854166666666668</v>
      </c>
      <c r="AY110" s="276">
        <f>AY109 + (COUNT($J$109:AY$109) / COUNT($J$109:$BE$109))</f>
        <v>27.875</v>
      </c>
      <c r="AZ110" s="276">
        <f>AZ109 + (COUNT($J$109:AZ$109) / COUNT($J$109:$BE$109))</f>
        <v>30.895833333333332</v>
      </c>
      <c r="BA110" s="276">
        <f>BA109 + (COUNT($J$109:BA$109) / COUNT($J$109:$BE$109))</f>
        <v>30.916666666666668</v>
      </c>
      <c r="BB110" s="276">
        <f>BB109 + (COUNT($J$109:BB$109) / COUNT($J$109:$BE$109))</f>
        <v>27.9375</v>
      </c>
      <c r="BC110" s="276">
        <f>BC109 + (COUNT($J$109:BC$109) / COUNT($J$109:$BE$109))</f>
        <v>27.958333333333332</v>
      </c>
      <c r="BD110" s="276">
        <f>BD109 + (COUNT($J$109:BD$109) / COUNT($J$109:$BE$109))</f>
        <v>25.979166666666668</v>
      </c>
      <c r="BE110" s="276">
        <f>BE109 + (COUNT($J$109:BE$109) / COUNT($J$109:$BE$109))</f>
        <v>26</v>
      </c>
    </row>
    <row r="111" spans="3:59" outlineLevel="1" x14ac:dyDescent="0.25">
      <c r="C111" s="86"/>
      <c r="E111" s="295" t="s">
        <v>187</v>
      </c>
      <c r="G111" s="295" t="s">
        <v>99</v>
      </c>
      <c r="J111" s="253">
        <f t="shared" ref="J111:BE111" si="61">RANK(J110, $J$110:$BE$110, 1)</f>
        <v>4</v>
      </c>
      <c r="K111" s="253">
        <f t="shared" si="61"/>
        <v>5</v>
      </c>
      <c r="L111" s="253">
        <f t="shared" si="61"/>
        <v>2</v>
      </c>
      <c r="M111" s="253">
        <f t="shared" si="61"/>
        <v>3</v>
      </c>
      <c r="N111" s="253">
        <f t="shared" si="61"/>
        <v>6</v>
      </c>
      <c r="O111" s="253">
        <f t="shared" si="61"/>
        <v>7</v>
      </c>
      <c r="P111" s="253">
        <f t="shared" si="61"/>
        <v>8</v>
      </c>
      <c r="Q111" s="253">
        <f t="shared" si="61"/>
        <v>1</v>
      </c>
      <c r="R111" s="253">
        <f t="shared" si="61"/>
        <v>46</v>
      </c>
      <c r="S111" s="253">
        <f t="shared" si="61"/>
        <v>43</v>
      </c>
      <c r="T111" s="253">
        <f t="shared" si="61"/>
        <v>47</v>
      </c>
      <c r="U111" s="253">
        <f t="shared" si="61"/>
        <v>48</v>
      </c>
      <c r="V111" s="253">
        <f t="shared" si="61"/>
        <v>44</v>
      </c>
      <c r="W111" s="253">
        <f t="shared" si="61"/>
        <v>45</v>
      </c>
      <c r="X111" s="253">
        <f t="shared" si="61"/>
        <v>41</v>
      </c>
      <c r="Y111" s="253">
        <f t="shared" si="61"/>
        <v>42</v>
      </c>
      <c r="Z111" s="253">
        <f t="shared" si="61"/>
        <v>12</v>
      </c>
      <c r="AA111" s="253">
        <f t="shared" si="61"/>
        <v>13</v>
      </c>
      <c r="AB111" s="253">
        <f t="shared" si="61"/>
        <v>10</v>
      </c>
      <c r="AC111" s="253">
        <f t="shared" si="61"/>
        <v>11</v>
      </c>
      <c r="AD111" s="253">
        <f t="shared" si="61"/>
        <v>14</v>
      </c>
      <c r="AE111" s="253">
        <f t="shared" si="61"/>
        <v>16</v>
      </c>
      <c r="AF111" s="253">
        <f t="shared" si="61"/>
        <v>17</v>
      </c>
      <c r="AG111" s="253">
        <f t="shared" si="61"/>
        <v>9</v>
      </c>
      <c r="AH111" s="253">
        <f t="shared" si="61"/>
        <v>38</v>
      </c>
      <c r="AI111" s="253">
        <f t="shared" si="61"/>
        <v>35</v>
      </c>
      <c r="AJ111" s="253">
        <f t="shared" si="61"/>
        <v>39</v>
      </c>
      <c r="AK111" s="253">
        <f t="shared" si="61"/>
        <v>40</v>
      </c>
      <c r="AL111" s="253">
        <f t="shared" si="61"/>
        <v>36</v>
      </c>
      <c r="AM111" s="253">
        <f t="shared" si="61"/>
        <v>37</v>
      </c>
      <c r="AN111" s="253">
        <f t="shared" si="61"/>
        <v>33</v>
      </c>
      <c r="AO111" s="253">
        <f t="shared" si="61"/>
        <v>34</v>
      </c>
      <c r="AP111" s="253">
        <f t="shared" si="61"/>
        <v>20</v>
      </c>
      <c r="AQ111" s="253">
        <f t="shared" si="61"/>
        <v>21</v>
      </c>
      <c r="AR111" s="253">
        <f t="shared" si="61"/>
        <v>18</v>
      </c>
      <c r="AS111" s="253">
        <f t="shared" si="61"/>
        <v>19</v>
      </c>
      <c r="AT111" s="253">
        <f t="shared" si="61"/>
        <v>22</v>
      </c>
      <c r="AU111" s="253">
        <f t="shared" si="61"/>
        <v>23</v>
      </c>
      <c r="AV111" s="253">
        <f t="shared" si="61"/>
        <v>24</v>
      </c>
      <c r="AW111" s="253">
        <f t="shared" si="61"/>
        <v>15</v>
      </c>
      <c r="AX111" s="253">
        <f t="shared" si="61"/>
        <v>30</v>
      </c>
      <c r="AY111" s="253">
        <f t="shared" si="61"/>
        <v>27</v>
      </c>
      <c r="AZ111" s="253">
        <f t="shared" si="61"/>
        <v>31</v>
      </c>
      <c r="BA111" s="253">
        <f t="shared" si="61"/>
        <v>32</v>
      </c>
      <c r="BB111" s="253">
        <f t="shared" si="61"/>
        <v>28</v>
      </c>
      <c r="BC111" s="253">
        <f t="shared" si="61"/>
        <v>29</v>
      </c>
      <c r="BD111" s="253">
        <f t="shared" si="61"/>
        <v>25</v>
      </c>
      <c r="BE111" s="253">
        <f t="shared" si="61"/>
        <v>26</v>
      </c>
    </row>
    <row r="112" spans="3:59" outlineLevel="1" x14ac:dyDescent="0.25">
      <c r="D112" s="82"/>
      <c r="E112" s="82"/>
      <c r="H112" s="427"/>
      <c r="I112" s="427"/>
    </row>
    <row r="113" spans="3:59" outlineLevel="1" x14ac:dyDescent="0.25">
      <c r="D113" s="96" t="s">
        <v>505</v>
      </c>
      <c r="E113" s="295"/>
      <c r="H113" s="427"/>
      <c r="I113" s="427"/>
    </row>
    <row r="114" spans="3:59" outlineLevel="1" x14ac:dyDescent="0.25">
      <c r="D114" s="96" t="s">
        <v>506</v>
      </c>
      <c r="E114" s="295"/>
      <c r="H114" s="427"/>
      <c r="I114" s="427"/>
    </row>
    <row r="115" spans="3:59" outlineLevel="1" x14ac:dyDescent="0.25">
      <c r="D115" s="96"/>
      <c r="E115" s="295"/>
      <c r="H115" s="427"/>
      <c r="I115" s="427"/>
    </row>
    <row r="116" spans="3:59" outlineLevel="1" x14ac:dyDescent="0.25">
      <c r="D116" s="295"/>
      <c r="E116" s="428" t="s">
        <v>350</v>
      </c>
      <c r="F116" s="428"/>
      <c r="G116" s="428"/>
      <c r="H116" s="428" t="s">
        <v>185</v>
      </c>
      <c r="I116" s="428"/>
      <c r="J116" s="430">
        <v>1</v>
      </c>
      <c r="K116" s="430">
        <f>J116 + 1</f>
        <v>2</v>
      </c>
      <c r="L116" s="430">
        <f t="shared" ref="L116:BE116" si="62">K116 + 1</f>
        <v>3</v>
      </c>
      <c r="M116" s="430">
        <f t="shared" si="62"/>
        <v>4</v>
      </c>
      <c r="N116" s="430">
        <f t="shared" si="62"/>
        <v>5</v>
      </c>
      <c r="O116" s="430">
        <f t="shared" si="62"/>
        <v>6</v>
      </c>
      <c r="P116" s="430">
        <f t="shared" si="62"/>
        <v>7</v>
      </c>
      <c r="Q116" s="430">
        <f t="shared" si="62"/>
        <v>8</v>
      </c>
      <c r="R116" s="430">
        <f t="shared" si="62"/>
        <v>9</v>
      </c>
      <c r="S116" s="430">
        <f t="shared" si="62"/>
        <v>10</v>
      </c>
      <c r="T116" s="430">
        <f t="shared" si="62"/>
        <v>11</v>
      </c>
      <c r="U116" s="430">
        <f t="shared" si="62"/>
        <v>12</v>
      </c>
      <c r="V116" s="430">
        <f t="shared" si="62"/>
        <v>13</v>
      </c>
      <c r="W116" s="430">
        <f t="shared" si="62"/>
        <v>14</v>
      </c>
      <c r="X116" s="430">
        <f t="shared" si="62"/>
        <v>15</v>
      </c>
      <c r="Y116" s="430">
        <f t="shared" si="62"/>
        <v>16</v>
      </c>
      <c r="Z116" s="430">
        <f t="shared" si="62"/>
        <v>17</v>
      </c>
      <c r="AA116" s="430">
        <f t="shared" si="62"/>
        <v>18</v>
      </c>
      <c r="AB116" s="430">
        <f t="shared" si="62"/>
        <v>19</v>
      </c>
      <c r="AC116" s="430">
        <f t="shared" si="62"/>
        <v>20</v>
      </c>
      <c r="AD116" s="430">
        <f t="shared" si="62"/>
        <v>21</v>
      </c>
      <c r="AE116" s="430">
        <f t="shared" si="62"/>
        <v>22</v>
      </c>
      <c r="AF116" s="430">
        <f t="shared" si="62"/>
        <v>23</v>
      </c>
      <c r="AG116" s="430">
        <f t="shared" si="62"/>
        <v>24</v>
      </c>
      <c r="AH116" s="430">
        <f t="shared" si="62"/>
        <v>25</v>
      </c>
      <c r="AI116" s="430">
        <f t="shared" si="62"/>
        <v>26</v>
      </c>
      <c r="AJ116" s="430">
        <f t="shared" si="62"/>
        <v>27</v>
      </c>
      <c r="AK116" s="430">
        <f t="shared" si="62"/>
        <v>28</v>
      </c>
      <c r="AL116" s="430">
        <f t="shared" si="62"/>
        <v>29</v>
      </c>
      <c r="AM116" s="430">
        <f t="shared" si="62"/>
        <v>30</v>
      </c>
      <c r="AN116" s="430">
        <f t="shared" si="62"/>
        <v>31</v>
      </c>
      <c r="AO116" s="430">
        <f t="shared" si="62"/>
        <v>32</v>
      </c>
      <c r="AP116" s="430">
        <f t="shared" si="62"/>
        <v>33</v>
      </c>
      <c r="AQ116" s="430">
        <f t="shared" si="62"/>
        <v>34</v>
      </c>
      <c r="AR116" s="430">
        <f t="shared" si="62"/>
        <v>35</v>
      </c>
      <c r="AS116" s="430">
        <f t="shared" si="62"/>
        <v>36</v>
      </c>
      <c r="AT116" s="430">
        <f t="shared" si="62"/>
        <v>37</v>
      </c>
      <c r="AU116" s="430">
        <f t="shared" si="62"/>
        <v>38</v>
      </c>
      <c r="AV116" s="430">
        <f t="shared" si="62"/>
        <v>39</v>
      </c>
      <c r="AW116" s="430">
        <f t="shared" si="62"/>
        <v>40</v>
      </c>
      <c r="AX116" s="430">
        <f t="shared" si="62"/>
        <v>41</v>
      </c>
      <c r="AY116" s="430">
        <f t="shared" si="62"/>
        <v>42</v>
      </c>
      <c r="AZ116" s="430">
        <f t="shared" si="62"/>
        <v>43</v>
      </c>
      <c r="BA116" s="430">
        <f t="shared" si="62"/>
        <v>44</v>
      </c>
      <c r="BB116" s="430">
        <f t="shared" si="62"/>
        <v>45</v>
      </c>
      <c r="BC116" s="430">
        <f t="shared" si="62"/>
        <v>46</v>
      </c>
      <c r="BD116" s="430">
        <f t="shared" si="62"/>
        <v>47</v>
      </c>
      <c r="BE116" s="430">
        <f t="shared" si="62"/>
        <v>48</v>
      </c>
    </row>
    <row r="117" spans="3:59" outlineLevel="1" x14ac:dyDescent="0.25">
      <c r="C117" s="86"/>
      <c r="E117" s="295" t="s">
        <v>186</v>
      </c>
      <c r="G117" s="295" t="s">
        <v>183</v>
      </c>
      <c r="H117" s="422"/>
      <c r="I117" s="352"/>
      <c r="J117" s="422">
        <f>INDEX($J$102:$BE$102, 1, MATCH(J116, $J$111:$BE$111, 0))</f>
        <v>-21.581103155032686</v>
      </c>
      <c r="K117" s="422">
        <f t="shared" ref="K117:BE117" si="63">INDEX($J$102:$BE$102, 1, MATCH(K116, $J$111:$BE$111, 0))</f>
        <v>-10.462349584574492</v>
      </c>
      <c r="L117" s="422">
        <f t="shared" si="63"/>
        <v>-10.462349584574492</v>
      </c>
      <c r="M117" s="422">
        <f t="shared" si="63"/>
        <v>-9.0075798509575993</v>
      </c>
      <c r="N117" s="422">
        <f t="shared" si="63"/>
        <v>-9.0075798509575993</v>
      </c>
      <c r="O117" s="422">
        <f t="shared" si="63"/>
        <v>-7.0335580755778464</v>
      </c>
      <c r="P117" s="422">
        <f t="shared" si="63"/>
        <v>-4.1620061131966093</v>
      </c>
      <c r="Q117" s="422">
        <f t="shared" si="63"/>
        <v>-3.1534185792984371</v>
      </c>
      <c r="R117" s="422">
        <f t="shared" si="63"/>
        <v>-1.1952447724229316</v>
      </c>
      <c r="S117" s="422">
        <f t="shared" si="63"/>
        <v>-1.0256196578648074</v>
      </c>
      <c r="T117" s="422">
        <f t="shared" si="63"/>
        <v>-1.0256196578648074</v>
      </c>
      <c r="U117" s="422">
        <f t="shared" si="63"/>
        <v>-0.88300920268903393</v>
      </c>
      <c r="V117" s="422">
        <f t="shared" si="63"/>
        <v>-0.88300920268903393</v>
      </c>
      <c r="W117" s="422">
        <f t="shared" si="63"/>
        <v>-0.66594714340259142</v>
      </c>
      <c r="X117" s="422">
        <f t="shared" si="63"/>
        <v>-0.44929121314425297</v>
      </c>
      <c r="Y117" s="422">
        <f t="shared" si="63"/>
        <v>-0.35402490513798557</v>
      </c>
      <c r="Z117" s="422">
        <f t="shared" si="63"/>
        <v>-0.25261633874531259</v>
      </c>
      <c r="AA117" s="422">
        <f t="shared" si="63"/>
        <v>-2.6511376886313207E-2</v>
      </c>
      <c r="AB117" s="422">
        <f t="shared" si="63"/>
        <v>-2.6511376886313207E-2</v>
      </c>
      <c r="AC117" s="422">
        <f t="shared" si="63"/>
        <v>-2.2825020549340613E-2</v>
      </c>
      <c r="AD117" s="422">
        <f t="shared" si="63"/>
        <v>-2.2825020549340613E-2</v>
      </c>
      <c r="AE117" s="422">
        <f t="shared" si="63"/>
        <v>-1.6180688220383998E-2</v>
      </c>
      <c r="AF117" s="422">
        <f t="shared" si="63"/>
        <v>-6.782565073577133E-3</v>
      </c>
      <c r="AG117" s="422">
        <f t="shared" si="63"/>
        <v>-4.0498989835803315E-3</v>
      </c>
      <c r="AH117" s="422">
        <f t="shared" si="63"/>
        <v>6.0015573611233893E-3</v>
      </c>
      <c r="AI117" s="422">
        <f t="shared" si="63"/>
        <v>6.0015573611233893E-3</v>
      </c>
      <c r="AJ117" s="422">
        <f t="shared" si="63"/>
        <v>1.3737723553938727E-2</v>
      </c>
      <c r="AK117" s="422">
        <f t="shared" si="63"/>
        <v>1.3737723553938727E-2</v>
      </c>
      <c r="AL117" s="422">
        <f t="shared" si="63"/>
        <v>1.3737723553938727E-2</v>
      </c>
      <c r="AM117" s="422">
        <f t="shared" si="63"/>
        <v>1.632228163067535E-2</v>
      </c>
      <c r="AN117" s="422">
        <f t="shared" si="63"/>
        <v>1.632228163067535E-2</v>
      </c>
      <c r="AO117" s="422">
        <f t="shared" si="63"/>
        <v>1.632228163067535E-2</v>
      </c>
      <c r="AP117" s="422">
        <f t="shared" si="63"/>
        <v>0.31633967493658671</v>
      </c>
      <c r="AQ117" s="422">
        <f t="shared" si="63"/>
        <v>0.31633967493658671</v>
      </c>
      <c r="AR117" s="422">
        <f t="shared" si="63"/>
        <v>0.54797375527131609</v>
      </c>
      <c r="AS117" s="422">
        <f t="shared" si="63"/>
        <v>0.54797375527131609</v>
      </c>
      <c r="AT117" s="422">
        <f t="shared" si="63"/>
        <v>0.54797375527131609</v>
      </c>
      <c r="AU117" s="422">
        <f t="shared" si="63"/>
        <v>0.63144411448010185</v>
      </c>
      <c r="AV117" s="422">
        <f t="shared" si="63"/>
        <v>0.63144411448010185</v>
      </c>
      <c r="AW117" s="422">
        <f t="shared" si="63"/>
        <v>0.63144411448010185</v>
      </c>
      <c r="AX117" s="422">
        <f t="shared" si="63"/>
        <v>3.732687631507082</v>
      </c>
      <c r="AY117" s="422">
        <f t="shared" si="63"/>
        <v>3.732687631507082</v>
      </c>
      <c r="AZ117" s="422">
        <f t="shared" si="63"/>
        <v>5.6891199709087141</v>
      </c>
      <c r="BA117" s="422">
        <f t="shared" si="63"/>
        <v>5.6891199709087141</v>
      </c>
      <c r="BB117" s="422">
        <f t="shared" si="63"/>
        <v>5.6891199709087141</v>
      </c>
      <c r="BC117" s="422">
        <f t="shared" si="63"/>
        <v>6.4413635387668471</v>
      </c>
      <c r="BD117" s="422">
        <f t="shared" si="63"/>
        <v>6.4413635387668471</v>
      </c>
      <c r="BE117" s="422">
        <f t="shared" si="63"/>
        <v>6.4413635387668471</v>
      </c>
      <c r="BF117" s="352"/>
      <c r="BG117" s="352"/>
    </row>
    <row r="118" spans="3:59" outlineLevel="1" x14ac:dyDescent="0.25">
      <c r="C118" s="86"/>
      <c r="E118" s="295" t="s">
        <v>745</v>
      </c>
      <c r="G118" s="295" t="s">
        <v>120</v>
      </c>
      <c r="H118" s="90"/>
      <c r="J118" s="276">
        <f t="shared" ref="J118:BE118" si="64">I118 + INDEX($J$103:$BE$103, 1, MATCH(J116, $J$111:$BE$111, 0))</f>
        <v>13868.974697310709</v>
      </c>
      <c r="K118" s="276">
        <f t="shared" si="64"/>
        <v>202842.49700606344</v>
      </c>
      <c r="L118" s="276">
        <f t="shared" si="64"/>
        <v>207014.73806570037</v>
      </c>
      <c r="M118" s="276">
        <f t="shared" si="64"/>
        <v>951522.21402491594</v>
      </c>
      <c r="N118" s="276">
        <f t="shared" si="64"/>
        <v>952849.78030957037</v>
      </c>
      <c r="O118" s="276">
        <f t="shared" si="64"/>
        <v>1234924.9238971714</v>
      </c>
      <c r="P118" s="276">
        <f t="shared" si="64"/>
        <v>1257935.3680885935</v>
      </c>
      <c r="Q118" s="276">
        <f t="shared" si="64"/>
        <v>1584247.3084687279</v>
      </c>
      <c r="R118" s="276">
        <f t="shared" si="64"/>
        <v>1637129.7084416279</v>
      </c>
      <c r="S118" s="276">
        <f t="shared" si="64"/>
        <v>2660753.8960582628</v>
      </c>
      <c r="T118" s="276">
        <f t="shared" si="64"/>
        <v>2686073.3115402642</v>
      </c>
      <c r="U118" s="276">
        <f t="shared" si="64"/>
        <v>5331171.1509627942</v>
      </c>
      <c r="V118" s="276">
        <f t="shared" si="64"/>
        <v>5355206.2227255832</v>
      </c>
      <c r="W118" s="276">
        <f t="shared" si="64"/>
        <v>6705332.5541292178</v>
      </c>
      <c r="X118" s="276">
        <f t="shared" si="64"/>
        <v>6894756.5311599271</v>
      </c>
      <c r="Y118" s="276">
        <f t="shared" si="64"/>
        <v>7002257.8752404237</v>
      </c>
      <c r="Z118" s="276">
        <f t="shared" si="64"/>
        <v>8516592.0753458031</v>
      </c>
      <c r="AA118" s="276">
        <f t="shared" si="64"/>
        <v>9505306.6714386251</v>
      </c>
      <c r="AB118" s="276">
        <f t="shared" si="64"/>
        <v>9557867.8294727448</v>
      </c>
      <c r="AC118" s="276">
        <f t="shared" si="64"/>
        <v>11993861.830521032</v>
      </c>
      <c r="AD118" s="276">
        <f t="shared" si="64"/>
        <v>12239376.972843783</v>
      </c>
      <c r="AE118" s="276">
        <f t="shared" si="64"/>
        <v>13418408.408414816</v>
      </c>
      <c r="AF118" s="276">
        <f t="shared" si="64"/>
        <v>13524724.380246453</v>
      </c>
      <c r="AG118" s="276">
        <f t="shared" si="64"/>
        <v>15146035.055424694</v>
      </c>
      <c r="AH118" s="276">
        <f t="shared" si="64"/>
        <v>15146035.055424694</v>
      </c>
      <c r="AI118" s="276">
        <f t="shared" si="64"/>
        <v>15146035.055424694</v>
      </c>
      <c r="AJ118" s="276">
        <f t="shared" si="64"/>
        <v>15146035.055424694</v>
      </c>
      <c r="AK118" s="276">
        <f t="shared" si="64"/>
        <v>15146035.055424694</v>
      </c>
      <c r="AL118" s="276">
        <f t="shared" si="64"/>
        <v>15146035.055424694</v>
      </c>
      <c r="AM118" s="276">
        <f t="shared" si="64"/>
        <v>15146035.055424694</v>
      </c>
      <c r="AN118" s="276">
        <f t="shared" si="64"/>
        <v>15146035.055424694</v>
      </c>
      <c r="AO118" s="276">
        <f t="shared" si="64"/>
        <v>15146035.055424694</v>
      </c>
      <c r="AP118" s="276">
        <f t="shared" si="64"/>
        <v>15146035.055424694</v>
      </c>
      <c r="AQ118" s="276">
        <f t="shared" si="64"/>
        <v>15146035.055424694</v>
      </c>
      <c r="AR118" s="276">
        <f t="shared" si="64"/>
        <v>15146035.055424694</v>
      </c>
      <c r="AS118" s="276">
        <f t="shared" si="64"/>
        <v>15146035.055424694</v>
      </c>
      <c r="AT118" s="276">
        <f t="shared" si="64"/>
        <v>15146035.055424694</v>
      </c>
      <c r="AU118" s="276">
        <f t="shared" si="64"/>
        <v>15146035.055424694</v>
      </c>
      <c r="AV118" s="276">
        <f t="shared" si="64"/>
        <v>15146035.055424694</v>
      </c>
      <c r="AW118" s="276">
        <f t="shared" si="64"/>
        <v>15146035.055424694</v>
      </c>
      <c r="AX118" s="276">
        <f t="shared" si="64"/>
        <v>15146035.055424694</v>
      </c>
      <c r="AY118" s="276">
        <f t="shared" si="64"/>
        <v>15146035.055424694</v>
      </c>
      <c r="AZ118" s="276">
        <f t="shared" si="64"/>
        <v>15146035.055424694</v>
      </c>
      <c r="BA118" s="276">
        <f t="shared" si="64"/>
        <v>15146035.055424694</v>
      </c>
      <c r="BB118" s="276">
        <f t="shared" si="64"/>
        <v>15146035.055424694</v>
      </c>
      <c r="BC118" s="276">
        <f t="shared" si="64"/>
        <v>15146035.055424694</v>
      </c>
      <c r="BD118" s="276">
        <f t="shared" si="64"/>
        <v>15146035.055424694</v>
      </c>
      <c r="BE118" s="276">
        <f t="shared" si="64"/>
        <v>15146035.055424694</v>
      </c>
    </row>
    <row r="119" spans="3:59" outlineLevel="1" x14ac:dyDescent="0.25">
      <c r="C119" s="86"/>
      <c r="E119" s="295" t="s">
        <v>351</v>
      </c>
      <c r="G119" s="295" t="s">
        <v>107</v>
      </c>
      <c r="H119" s="90"/>
      <c r="J119" s="276">
        <f>SUM($J$54:$Y$57,$R$51:$Y$53)</f>
        <v>70347522.742783532</v>
      </c>
      <c r="K119" s="276">
        <f t="shared" ref="K119:BE119" si="65">SUM($J$54:$Y$57,$R$51:$Y$53)</f>
        <v>70347522.742783532</v>
      </c>
      <c r="L119" s="276">
        <f>SUM($J$54:$Y$57,$R$51:$Y$53)</f>
        <v>70347522.742783532</v>
      </c>
      <c r="M119" s="276">
        <f t="shared" si="65"/>
        <v>70347522.742783532</v>
      </c>
      <c r="N119" s="276">
        <f t="shared" si="65"/>
        <v>70347522.742783532</v>
      </c>
      <c r="O119" s="276">
        <f t="shared" si="65"/>
        <v>70347522.742783532</v>
      </c>
      <c r="P119" s="276">
        <f t="shared" si="65"/>
        <v>70347522.742783532</v>
      </c>
      <c r="Q119" s="276">
        <f t="shared" si="65"/>
        <v>70347522.742783532</v>
      </c>
      <c r="R119" s="276">
        <f t="shared" si="65"/>
        <v>70347522.742783532</v>
      </c>
      <c r="S119" s="276">
        <f t="shared" si="65"/>
        <v>70347522.742783532</v>
      </c>
      <c r="T119" s="276">
        <f t="shared" si="65"/>
        <v>70347522.742783532</v>
      </c>
      <c r="U119" s="276">
        <f t="shared" si="65"/>
        <v>70347522.742783532</v>
      </c>
      <c r="V119" s="276">
        <f t="shared" si="65"/>
        <v>70347522.742783532</v>
      </c>
      <c r="W119" s="276">
        <f t="shared" si="65"/>
        <v>70347522.742783532</v>
      </c>
      <c r="X119" s="276">
        <f t="shared" si="65"/>
        <v>70347522.742783532</v>
      </c>
      <c r="Y119" s="276">
        <f t="shared" si="65"/>
        <v>70347522.742783532</v>
      </c>
      <c r="Z119" s="276">
        <f t="shared" si="65"/>
        <v>70347522.742783532</v>
      </c>
      <c r="AA119" s="276">
        <f t="shared" si="65"/>
        <v>70347522.742783532</v>
      </c>
      <c r="AB119" s="276">
        <f t="shared" si="65"/>
        <v>70347522.742783532</v>
      </c>
      <c r="AC119" s="276">
        <f t="shared" si="65"/>
        <v>70347522.742783532</v>
      </c>
      <c r="AD119" s="276">
        <f t="shared" si="65"/>
        <v>70347522.742783532</v>
      </c>
      <c r="AE119" s="276">
        <f t="shared" si="65"/>
        <v>70347522.742783532</v>
      </c>
      <c r="AF119" s="276">
        <f t="shared" si="65"/>
        <v>70347522.742783532</v>
      </c>
      <c r="AG119" s="276">
        <f t="shared" si="65"/>
        <v>70347522.742783532</v>
      </c>
      <c r="AH119" s="276">
        <f t="shared" si="65"/>
        <v>70347522.742783532</v>
      </c>
      <c r="AI119" s="276">
        <f t="shared" si="65"/>
        <v>70347522.742783532</v>
      </c>
      <c r="AJ119" s="276">
        <f t="shared" si="65"/>
        <v>70347522.742783532</v>
      </c>
      <c r="AK119" s="276">
        <f t="shared" si="65"/>
        <v>70347522.742783532</v>
      </c>
      <c r="AL119" s="276">
        <f t="shared" si="65"/>
        <v>70347522.742783532</v>
      </c>
      <c r="AM119" s="276">
        <f t="shared" si="65"/>
        <v>70347522.742783532</v>
      </c>
      <c r="AN119" s="276">
        <f t="shared" si="65"/>
        <v>70347522.742783532</v>
      </c>
      <c r="AO119" s="276">
        <f t="shared" si="65"/>
        <v>70347522.742783532</v>
      </c>
      <c r="AP119" s="276">
        <f t="shared" si="65"/>
        <v>70347522.742783532</v>
      </c>
      <c r="AQ119" s="276">
        <f t="shared" si="65"/>
        <v>70347522.742783532</v>
      </c>
      <c r="AR119" s="276">
        <f t="shared" si="65"/>
        <v>70347522.742783532</v>
      </c>
      <c r="AS119" s="276">
        <f t="shared" si="65"/>
        <v>70347522.742783532</v>
      </c>
      <c r="AT119" s="276">
        <f t="shared" si="65"/>
        <v>70347522.742783532</v>
      </c>
      <c r="AU119" s="276">
        <f t="shared" si="65"/>
        <v>70347522.742783532</v>
      </c>
      <c r="AV119" s="276">
        <f t="shared" si="65"/>
        <v>70347522.742783532</v>
      </c>
      <c r="AW119" s="276">
        <f t="shared" si="65"/>
        <v>70347522.742783532</v>
      </c>
      <c r="AX119" s="276">
        <f t="shared" si="65"/>
        <v>70347522.742783532</v>
      </c>
      <c r="AY119" s="276">
        <f t="shared" si="65"/>
        <v>70347522.742783532</v>
      </c>
      <c r="AZ119" s="276">
        <f t="shared" si="65"/>
        <v>70347522.742783532</v>
      </c>
      <c r="BA119" s="276">
        <f t="shared" si="65"/>
        <v>70347522.742783532</v>
      </c>
      <c r="BB119" s="276">
        <f t="shared" si="65"/>
        <v>70347522.742783532</v>
      </c>
      <c r="BC119" s="276">
        <f t="shared" si="65"/>
        <v>70347522.742783532</v>
      </c>
      <c r="BD119" s="276">
        <f t="shared" si="65"/>
        <v>70347522.742783532</v>
      </c>
      <c r="BE119" s="276">
        <f t="shared" si="65"/>
        <v>70347522.742783532</v>
      </c>
    </row>
    <row r="120" spans="3:59" outlineLevel="1" x14ac:dyDescent="0.25">
      <c r="C120" s="86"/>
      <c r="E120" s="295" t="s">
        <v>352</v>
      </c>
      <c r="G120" s="295" t="s">
        <v>107</v>
      </c>
      <c r="H120" s="90"/>
      <c r="J120" s="280"/>
      <c r="K120" s="276">
        <f t="shared" ref="K120:BE120" si="66">J120 + J118 * (K117 - J117) * ten</f>
        <v>1542057.1193431781</v>
      </c>
      <c r="L120" s="276">
        <f t="shared" si="66"/>
        <v>1542057.1193431781</v>
      </c>
      <c r="M120" s="276">
        <f t="shared" si="66"/>
        <v>4553644.8728492754</v>
      </c>
      <c r="N120" s="276">
        <f t="shared" si="66"/>
        <v>4553644.8728492754</v>
      </c>
      <c r="O120" s="276">
        <f t="shared" si="66"/>
        <v>23363107.022818331</v>
      </c>
      <c r="P120" s="276">
        <f t="shared" si="66"/>
        <v>58824617.908922553</v>
      </c>
      <c r="Q120" s="276">
        <f t="shared" si="66"/>
        <v>71511997.21596019</v>
      </c>
      <c r="R120" s="276">
        <f t="shared" si="66"/>
        <v>102534313.046525</v>
      </c>
      <c r="S120" s="276">
        <f t="shared" si="66"/>
        <v>105311296.18993419</v>
      </c>
      <c r="T120" s="276">
        <f t="shared" si="66"/>
        <v>105311296.18993419</v>
      </c>
      <c r="U120" s="276">
        <f t="shared" si="66"/>
        <v>109141917.56587674</v>
      </c>
      <c r="V120" s="276">
        <f t="shared" si="66"/>
        <v>109141917.56587674</v>
      </c>
      <c r="W120" s="276">
        <f t="shared" si="66"/>
        <v>120766038.4719606</v>
      </c>
      <c r="X120" s="276">
        <f t="shared" si="66"/>
        <v>135293539.09402448</v>
      </c>
      <c r="Y120" s="276">
        <f t="shared" si="66"/>
        <v>141861919.08728153</v>
      </c>
      <c r="Z120" s="276">
        <f t="shared" si="66"/>
        <v>148962808.41368088</v>
      </c>
      <c r="AA120" s="276">
        <f t="shared" si="66"/>
        <v>168219245.67732808</v>
      </c>
      <c r="AB120" s="276">
        <f t="shared" si="66"/>
        <v>168219245.67732808</v>
      </c>
      <c r="AC120" s="276">
        <f t="shared" si="66"/>
        <v>168571582.74373931</v>
      </c>
      <c r="AD120" s="276">
        <f t="shared" si="66"/>
        <v>168571582.74373931</v>
      </c>
      <c r="AE120" s="276">
        <f t="shared" si="66"/>
        <v>169384807.62480885</v>
      </c>
      <c r="AF120" s="276">
        <f t="shared" si="66"/>
        <v>170645886.17137316</v>
      </c>
      <c r="AG120" s="276">
        <f t="shared" si="66"/>
        <v>171015471.72827768</v>
      </c>
      <c r="AH120" s="276">
        <f t="shared" si="66"/>
        <v>172537868.82982722</v>
      </c>
      <c r="AI120" s="276">
        <f t="shared" si="66"/>
        <v>172537868.82982722</v>
      </c>
      <c r="AJ120" s="276">
        <f t="shared" si="66"/>
        <v>173709591.27333695</v>
      </c>
      <c r="AK120" s="276">
        <f t="shared" si="66"/>
        <v>173709591.27333695</v>
      </c>
      <c r="AL120" s="276">
        <f t="shared" si="66"/>
        <v>173709591.27333695</v>
      </c>
      <c r="AM120" s="276">
        <f t="shared" si="66"/>
        <v>174101049.34566727</v>
      </c>
      <c r="AN120" s="276">
        <f t="shared" si="66"/>
        <v>174101049.34566727</v>
      </c>
      <c r="AO120" s="276">
        <f t="shared" si="66"/>
        <v>174101049.34566727</v>
      </c>
      <c r="AP120" s="276">
        <f t="shared" si="66"/>
        <v>219541788.90815198</v>
      </c>
      <c r="AQ120" s="276">
        <f t="shared" si="66"/>
        <v>219541788.90815198</v>
      </c>
      <c r="AR120" s="276">
        <f t="shared" si="66"/>
        <v>254625167.9159607</v>
      </c>
      <c r="AS120" s="276">
        <f t="shared" si="66"/>
        <v>254625167.9159607</v>
      </c>
      <c r="AT120" s="276">
        <f t="shared" si="66"/>
        <v>254625167.9159607</v>
      </c>
      <c r="AU120" s="276">
        <f t="shared" si="66"/>
        <v>267267617.78261229</v>
      </c>
      <c r="AV120" s="276">
        <f t="shared" si="66"/>
        <v>267267617.78261229</v>
      </c>
      <c r="AW120" s="276">
        <f t="shared" si="66"/>
        <v>267267617.78261229</v>
      </c>
      <c r="AX120" s="276">
        <f t="shared" si="66"/>
        <v>736983048.02560437</v>
      </c>
      <c r="AY120" s="276">
        <f t="shared" si="66"/>
        <v>736983048.02560437</v>
      </c>
      <c r="AZ120" s="276">
        <f t="shared" si="66"/>
        <v>1033304975.987041</v>
      </c>
      <c r="BA120" s="276">
        <f t="shared" si="66"/>
        <v>1033304975.987041</v>
      </c>
      <c r="BB120" s="276">
        <f t="shared" si="66"/>
        <v>1033304975.987041</v>
      </c>
      <c r="BC120" s="276">
        <f t="shared" si="66"/>
        <v>1147240050.4770112</v>
      </c>
      <c r="BD120" s="276">
        <f t="shared" si="66"/>
        <v>1147240050.4770112</v>
      </c>
      <c r="BE120" s="276">
        <f t="shared" si="66"/>
        <v>1147240050.4770112</v>
      </c>
    </row>
    <row r="121" spans="3:59" outlineLevel="1" x14ac:dyDescent="0.25">
      <c r="C121" s="86"/>
      <c r="E121" s="295" t="s">
        <v>353</v>
      </c>
      <c r="G121" s="295" t="s">
        <v>107</v>
      </c>
      <c r="H121" s="90"/>
      <c r="J121" s="276">
        <f>J119 + J120</f>
        <v>70347522.742783532</v>
      </c>
      <c r="K121" s="276">
        <f t="shared" ref="K121:BE121" si="67">K119 + K120</f>
        <v>71889579.862126708</v>
      </c>
      <c r="L121" s="276">
        <f t="shared" si="67"/>
        <v>71889579.862126708</v>
      </c>
      <c r="M121" s="276">
        <f t="shared" si="67"/>
        <v>74901167.615632802</v>
      </c>
      <c r="N121" s="276">
        <f t="shared" si="67"/>
        <v>74901167.615632802</v>
      </c>
      <c r="O121" s="276">
        <f t="shared" si="67"/>
        <v>93710629.765601858</v>
      </c>
      <c r="P121" s="276">
        <f t="shared" si="67"/>
        <v>129172140.65170608</v>
      </c>
      <c r="Q121" s="276">
        <f t="shared" si="67"/>
        <v>141859519.95874372</v>
      </c>
      <c r="R121" s="276">
        <f t="shared" si="67"/>
        <v>172881835.78930855</v>
      </c>
      <c r="S121" s="276">
        <f t="shared" si="67"/>
        <v>175658818.93271774</v>
      </c>
      <c r="T121" s="276">
        <f t="shared" si="67"/>
        <v>175658818.93271774</v>
      </c>
      <c r="U121" s="276">
        <f t="shared" si="67"/>
        <v>179489440.30866027</v>
      </c>
      <c r="V121" s="276">
        <f t="shared" si="67"/>
        <v>179489440.30866027</v>
      </c>
      <c r="W121" s="276">
        <f t="shared" si="67"/>
        <v>191113561.21474415</v>
      </c>
      <c r="X121" s="276">
        <f t="shared" si="67"/>
        <v>205641061.83680803</v>
      </c>
      <c r="Y121" s="276">
        <f t="shared" si="67"/>
        <v>212209441.83006507</v>
      </c>
      <c r="Z121" s="276">
        <f t="shared" si="67"/>
        <v>219310331.1564644</v>
      </c>
      <c r="AA121" s="276">
        <f t="shared" si="67"/>
        <v>238566768.4201116</v>
      </c>
      <c r="AB121" s="276">
        <f t="shared" si="67"/>
        <v>238566768.4201116</v>
      </c>
      <c r="AC121" s="276">
        <f t="shared" si="67"/>
        <v>238919105.48652285</v>
      </c>
      <c r="AD121" s="276">
        <f t="shared" si="67"/>
        <v>238919105.48652285</v>
      </c>
      <c r="AE121" s="276">
        <f t="shared" si="67"/>
        <v>239732330.36759239</v>
      </c>
      <c r="AF121" s="276">
        <f t="shared" si="67"/>
        <v>240993408.91415668</v>
      </c>
      <c r="AG121" s="276">
        <f t="shared" si="67"/>
        <v>241362994.47106123</v>
      </c>
      <c r="AH121" s="276">
        <f t="shared" si="67"/>
        <v>242885391.57261074</v>
      </c>
      <c r="AI121" s="276">
        <f t="shared" si="67"/>
        <v>242885391.57261074</v>
      </c>
      <c r="AJ121" s="276">
        <f t="shared" si="67"/>
        <v>244057114.01612049</v>
      </c>
      <c r="AK121" s="276">
        <f t="shared" si="67"/>
        <v>244057114.01612049</v>
      </c>
      <c r="AL121" s="276">
        <f t="shared" si="67"/>
        <v>244057114.01612049</v>
      </c>
      <c r="AM121" s="276">
        <f t="shared" si="67"/>
        <v>244448572.08845079</v>
      </c>
      <c r="AN121" s="276">
        <f t="shared" si="67"/>
        <v>244448572.08845079</v>
      </c>
      <c r="AO121" s="276">
        <f t="shared" si="67"/>
        <v>244448572.08845079</v>
      </c>
      <c r="AP121" s="276">
        <f t="shared" si="67"/>
        <v>289889311.65093553</v>
      </c>
      <c r="AQ121" s="276">
        <f t="shared" si="67"/>
        <v>289889311.65093553</v>
      </c>
      <c r="AR121" s="276">
        <f t="shared" si="67"/>
        <v>324972690.65874422</v>
      </c>
      <c r="AS121" s="276">
        <f t="shared" si="67"/>
        <v>324972690.65874422</v>
      </c>
      <c r="AT121" s="276">
        <f t="shared" si="67"/>
        <v>324972690.65874422</v>
      </c>
      <c r="AU121" s="276">
        <f t="shared" si="67"/>
        <v>337615140.52539581</v>
      </c>
      <c r="AV121" s="276">
        <f t="shared" si="67"/>
        <v>337615140.52539581</v>
      </c>
      <c r="AW121" s="276">
        <f t="shared" si="67"/>
        <v>337615140.52539581</v>
      </c>
      <c r="AX121" s="276">
        <f t="shared" si="67"/>
        <v>807330570.76838791</v>
      </c>
      <c r="AY121" s="276">
        <f t="shared" si="67"/>
        <v>807330570.76838791</v>
      </c>
      <c r="AZ121" s="276">
        <f t="shared" si="67"/>
        <v>1103652498.7298245</v>
      </c>
      <c r="BA121" s="276">
        <f t="shared" si="67"/>
        <v>1103652498.7298245</v>
      </c>
      <c r="BB121" s="276">
        <f t="shared" si="67"/>
        <v>1103652498.7298245</v>
      </c>
      <c r="BC121" s="276">
        <f t="shared" si="67"/>
        <v>1217587573.2197948</v>
      </c>
      <c r="BD121" s="276">
        <f t="shared" si="67"/>
        <v>1217587573.2197948</v>
      </c>
      <c r="BE121" s="276">
        <f t="shared" si="67"/>
        <v>1217587573.2197948</v>
      </c>
    </row>
    <row r="122" spans="3:59" outlineLevel="1" x14ac:dyDescent="0.25">
      <c r="C122" s="86"/>
      <c r="E122" s="295" t="s">
        <v>191</v>
      </c>
      <c r="G122" s="295" t="s">
        <v>107</v>
      </c>
      <c r="H122" s="90"/>
      <c r="J122" s="276">
        <f>$H$43</f>
        <v>415717271.70360655</v>
      </c>
      <c r="K122" s="276">
        <f t="shared" ref="K122:BE122" si="68">$H$43</f>
        <v>415717271.70360655</v>
      </c>
      <c r="L122" s="276">
        <f t="shared" si="68"/>
        <v>415717271.70360655</v>
      </c>
      <c r="M122" s="276">
        <f t="shared" si="68"/>
        <v>415717271.70360655</v>
      </c>
      <c r="N122" s="276">
        <f t="shared" si="68"/>
        <v>415717271.70360655</v>
      </c>
      <c r="O122" s="276">
        <f t="shared" si="68"/>
        <v>415717271.70360655</v>
      </c>
      <c r="P122" s="276">
        <f t="shared" si="68"/>
        <v>415717271.70360655</v>
      </c>
      <c r="Q122" s="276">
        <f t="shared" si="68"/>
        <v>415717271.70360655</v>
      </c>
      <c r="R122" s="276">
        <f t="shared" si="68"/>
        <v>415717271.70360655</v>
      </c>
      <c r="S122" s="276">
        <f t="shared" si="68"/>
        <v>415717271.70360655</v>
      </c>
      <c r="T122" s="276">
        <f t="shared" si="68"/>
        <v>415717271.70360655</v>
      </c>
      <c r="U122" s="276">
        <f t="shared" si="68"/>
        <v>415717271.70360655</v>
      </c>
      <c r="V122" s="276">
        <f t="shared" si="68"/>
        <v>415717271.70360655</v>
      </c>
      <c r="W122" s="276">
        <f t="shared" si="68"/>
        <v>415717271.70360655</v>
      </c>
      <c r="X122" s="276">
        <f t="shared" si="68"/>
        <v>415717271.70360655</v>
      </c>
      <c r="Y122" s="276">
        <f t="shared" si="68"/>
        <v>415717271.70360655</v>
      </c>
      <c r="Z122" s="276">
        <f t="shared" si="68"/>
        <v>415717271.70360655</v>
      </c>
      <c r="AA122" s="276">
        <f t="shared" si="68"/>
        <v>415717271.70360655</v>
      </c>
      <c r="AB122" s="276">
        <f t="shared" si="68"/>
        <v>415717271.70360655</v>
      </c>
      <c r="AC122" s="276">
        <f t="shared" si="68"/>
        <v>415717271.70360655</v>
      </c>
      <c r="AD122" s="276">
        <f t="shared" si="68"/>
        <v>415717271.70360655</v>
      </c>
      <c r="AE122" s="276">
        <f t="shared" si="68"/>
        <v>415717271.70360655</v>
      </c>
      <c r="AF122" s="276">
        <f t="shared" si="68"/>
        <v>415717271.70360655</v>
      </c>
      <c r="AG122" s="276">
        <f t="shared" si="68"/>
        <v>415717271.70360655</v>
      </c>
      <c r="AH122" s="276">
        <f t="shared" si="68"/>
        <v>415717271.70360655</v>
      </c>
      <c r="AI122" s="276">
        <f t="shared" si="68"/>
        <v>415717271.70360655</v>
      </c>
      <c r="AJ122" s="276">
        <f t="shared" si="68"/>
        <v>415717271.70360655</v>
      </c>
      <c r="AK122" s="276">
        <f t="shared" si="68"/>
        <v>415717271.70360655</v>
      </c>
      <c r="AL122" s="276">
        <f t="shared" si="68"/>
        <v>415717271.70360655</v>
      </c>
      <c r="AM122" s="276">
        <f t="shared" si="68"/>
        <v>415717271.70360655</v>
      </c>
      <c r="AN122" s="276">
        <f t="shared" si="68"/>
        <v>415717271.70360655</v>
      </c>
      <c r="AO122" s="276">
        <f t="shared" si="68"/>
        <v>415717271.70360655</v>
      </c>
      <c r="AP122" s="276">
        <f t="shared" si="68"/>
        <v>415717271.70360655</v>
      </c>
      <c r="AQ122" s="276">
        <f t="shared" si="68"/>
        <v>415717271.70360655</v>
      </c>
      <c r="AR122" s="276">
        <f t="shared" si="68"/>
        <v>415717271.70360655</v>
      </c>
      <c r="AS122" s="276">
        <f t="shared" si="68"/>
        <v>415717271.70360655</v>
      </c>
      <c r="AT122" s="276">
        <f t="shared" si="68"/>
        <v>415717271.70360655</v>
      </c>
      <c r="AU122" s="276">
        <f t="shared" si="68"/>
        <v>415717271.70360655</v>
      </c>
      <c r="AV122" s="276">
        <f t="shared" si="68"/>
        <v>415717271.70360655</v>
      </c>
      <c r="AW122" s="276">
        <f t="shared" si="68"/>
        <v>415717271.70360655</v>
      </c>
      <c r="AX122" s="276">
        <f t="shared" si="68"/>
        <v>415717271.70360655</v>
      </c>
      <c r="AY122" s="276">
        <f t="shared" si="68"/>
        <v>415717271.70360655</v>
      </c>
      <c r="AZ122" s="276">
        <f t="shared" si="68"/>
        <v>415717271.70360655</v>
      </c>
      <c r="BA122" s="276">
        <f t="shared" si="68"/>
        <v>415717271.70360655</v>
      </c>
      <c r="BB122" s="276">
        <f t="shared" si="68"/>
        <v>415717271.70360655</v>
      </c>
      <c r="BC122" s="276">
        <f t="shared" si="68"/>
        <v>415717271.70360655</v>
      </c>
      <c r="BD122" s="276">
        <f t="shared" si="68"/>
        <v>415717271.70360655</v>
      </c>
      <c r="BE122" s="276">
        <f t="shared" si="68"/>
        <v>415717271.70360655</v>
      </c>
    </row>
    <row r="123" spans="3:59" outlineLevel="1" x14ac:dyDescent="0.25">
      <c r="C123" s="86"/>
      <c r="E123" s="295" t="s">
        <v>746</v>
      </c>
      <c r="G123" s="295" t="s">
        <v>183</v>
      </c>
      <c r="H123" s="367" t="str">
        <f>IF(((SUMPRODUCT($J$102:$BE$102, $J$103:$BE$103) * ten) - $H$60) &gt; 0, $J$117, IF(BE121 &gt; BE122, "", $H$90))</f>
        <v/>
      </c>
      <c r="I123" s="352"/>
      <c r="J123" s="422" t="str">
        <f t="shared" ref="J123:BE123" si="69">IF((J121 &gt; J122) = (I122 &gt; J122), "", J117 - (J121 - J122) / (I118 * ten))</f>
        <v/>
      </c>
      <c r="K123" s="422" t="str">
        <f t="shared" si="69"/>
        <v/>
      </c>
      <c r="L123" s="422" t="str">
        <f t="shared" si="69"/>
        <v/>
      </c>
      <c r="M123" s="422" t="str">
        <f t="shared" si="69"/>
        <v/>
      </c>
      <c r="N123" s="422" t="str">
        <f t="shared" si="69"/>
        <v/>
      </c>
      <c r="O123" s="422" t="str">
        <f t="shared" si="69"/>
        <v/>
      </c>
      <c r="P123" s="422" t="str">
        <f t="shared" si="69"/>
        <v/>
      </c>
      <c r="Q123" s="422" t="str">
        <f t="shared" si="69"/>
        <v/>
      </c>
      <c r="R123" s="422" t="str">
        <f t="shared" si="69"/>
        <v/>
      </c>
      <c r="S123" s="422" t="str">
        <f t="shared" si="69"/>
        <v/>
      </c>
      <c r="T123" s="422" t="str">
        <f t="shared" si="69"/>
        <v/>
      </c>
      <c r="U123" s="422" t="str">
        <f t="shared" si="69"/>
        <v/>
      </c>
      <c r="V123" s="422" t="str">
        <f t="shared" si="69"/>
        <v/>
      </c>
      <c r="W123" s="422" t="str">
        <f t="shared" si="69"/>
        <v/>
      </c>
      <c r="X123" s="422" t="str">
        <f t="shared" si="69"/>
        <v/>
      </c>
      <c r="Y123" s="422" t="str">
        <f t="shared" si="69"/>
        <v/>
      </c>
      <c r="Z123" s="422" t="str">
        <f t="shared" si="69"/>
        <v/>
      </c>
      <c r="AA123" s="422" t="str">
        <f t="shared" si="69"/>
        <v/>
      </c>
      <c r="AB123" s="422" t="str">
        <f t="shared" si="69"/>
        <v/>
      </c>
      <c r="AC123" s="422" t="str">
        <f t="shared" si="69"/>
        <v/>
      </c>
      <c r="AD123" s="422" t="str">
        <f t="shared" si="69"/>
        <v/>
      </c>
      <c r="AE123" s="422" t="str">
        <f t="shared" si="69"/>
        <v/>
      </c>
      <c r="AF123" s="422" t="str">
        <f t="shared" si="69"/>
        <v/>
      </c>
      <c r="AG123" s="422" t="str">
        <f t="shared" si="69"/>
        <v/>
      </c>
      <c r="AH123" s="422" t="str">
        <f t="shared" si="69"/>
        <v/>
      </c>
      <c r="AI123" s="422" t="str">
        <f t="shared" si="69"/>
        <v/>
      </c>
      <c r="AJ123" s="422" t="str">
        <f t="shared" si="69"/>
        <v/>
      </c>
      <c r="AK123" s="422" t="str">
        <f t="shared" si="69"/>
        <v/>
      </c>
      <c r="AL123" s="422" t="str">
        <f t="shared" si="69"/>
        <v/>
      </c>
      <c r="AM123" s="422" t="str">
        <f t="shared" si="69"/>
        <v/>
      </c>
      <c r="AN123" s="422" t="str">
        <f t="shared" si="69"/>
        <v/>
      </c>
      <c r="AO123" s="422" t="str">
        <f t="shared" si="69"/>
        <v/>
      </c>
      <c r="AP123" s="422" t="str">
        <f t="shared" si="69"/>
        <v/>
      </c>
      <c r="AQ123" s="422" t="str">
        <f t="shared" si="69"/>
        <v/>
      </c>
      <c r="AR123" s="422" t="str">
        <f t="shared" si="69"/>
        <v/>
      </c>
      <c r="AS123" s="422" t="str">
        <f t="shared" si="69"/>
        <v/>
      </c>
      <c r="AT123" s="422" t="str">
        <f t="shared" si="69"/>
        <v/>
      </c>
      <c r="AU123" s="422" t="str">
        <f t="shared" si="69"/>
        <v/>
      </c>
      <c r="AV123" s="422" t="str">
        <f t="shared" si="69"/>
        <v/>
      </c>
      <c r="AW123" s="422" t="str">
        <f t="shared" si="69"/>
        <v/>
      </c>
      <c r="AX123" s="422">
        <f>IF((AX121 &gt; AX122) = (AW122 &gt; AX122), "", AX117 - (AX121 - AX122) / (AW118 * ten))</f>
        <v>1.147104687642698</v>
      </c>
      <c r="AY123" s="422">
        <f t="shared" si="69"/>
        <v>1.147104687642698</v>
      </c>
      <c r="AZ123" s="422">
        <f t="shared" si="69"/>
        <v>1.147104687642698</v>
      </c>
      <c r="BA123" s="422">
        <f t="shared" si="69"/>
        <v>1.147104687642698</v>
      </c>
      <c r="BB123" s="422">
        <f t="shared" si="69"/>
        <v>1.147104687642698</v>
      </c>
      <c r="BC123" s="422">
        <f t="shared" si="69"/>
        <v>1.1471046876426989</v>
      </c>
      <c r="BD123" s="422">
        <f t="shared" si="69"/>
        <v>1.1471046876426989</v>
      </c>
      <c r="BE123" s="422">
        <f t="shared" si="69"/>
        <v>1.1471046876426989</v>
      </c>
      <c r="BF123" s="352"/>
      <c r="BG123" s="352"/>
    </row>
    <row r="124" spans="3:59" x14ac:dyDescent="0.25">
      <c r="C124" s="86"/>
    </row>
    <row r="125" spans="3:59" x14ac:dyDescent="0.25">
      <c r="D125" s="96" t="s">
        <v>184</v>
      </c>
      <c r="E125" s="295"/>
      <c r="H125" s="427"/>
      <c r="I125" s="427" t="s">
        <v>431</v>
      </c>
      <c r="BG125" s="295" t="s">
        <v>854</v>
      </c>
    </row>
    <row r="126" spans="3:59" x14ac:dyDescent="0.25">
      <c r="C126" s="96"/>
      <c r="D126" s="82" t="s">
        <v>508</v>
      </c>
      <c r="H126" s="427"/>
      <c r="I126" s="427"/>
    </row>
    <row r="127" spans="3:59" x14ac:dyDescent="0.25">
      <c r="C127" s="96"/>
      <c r="D127" s="82" t="s">
        <v>507</v>
      </c>
      <c r="H127" s="427"/>
      <c r="I127" s="427"/>
    </row>
    <row r="128" spans="3:59" x14ac:dyDescent="0.25">
      <c r="C128" s="96"/>
      <c r="D128" s="82"/>
      <c r="H128" s="427"/>
      <c r="I128" s="427"/>
    </row>
    <row r="129" spans="2:59" x14ac:dyDescent="0.25">
      <c r="C129" s="86"/>
      <c r="E129" s="295" t="s">
        <v>184</v>
      </c>
      <c r="G129" s="295" t="s">
        <v>183</v>
      </c>
      <c r="H129" s="422">
        <f>MIN(H123:BE123)</f>
        <v>1.147104687642698</v>
      </c>
      <c r="I129" s="352"/>
      <c r="J129" s="352"/>
      <c r="K129" s="352"/>
      <c r="L129" s="352"/>
      <c r="M129" s="352"/>
      <c r="N129" s="352"/>
      <c r="O129" s="352"/>
      <c r="P129" s="352"/>
      <c r="Q129" s="352"/>
      <c r="R129" s="352"/>
      <c r="S129" s="352"/>
      <c r="T129" s="352"/>
      <c r="U129" s="352"/>
      <c r="V129" s="352"/>
      <c r="W129" s="352"/>
      <c r="X129" s="352"/>
      <c r="Y129" s="352"/>
      <c r="Z129" s="352"/>
      <c r="AA129" s="352"/>
      <c r="AB129" s="352"/>
      <c r="AC129" s="352"/>
      <c r="AD129" s="352"/>
      <c r="AE129" s="352"/>
      <c r="AF129" s="352"/>
      <c r="AG129" s="352"/>
      <c r="AH129" s="352"/>
      <c r="AI129" s="352"/>
      <c r="AJ129" s="352"/>
      <c r="AK129" s="352"/>
      <c r="AL129" s="352"/>
      <c r="AM129" s="352"/>
      <c r="AN129" s="352"/>
      <c r="AO129" s="352"/>
      <c r="AP129" s="352"/>
      <c r="AQ129" s="352"/>
      <c r="AR129" s="352"/>
      <c r="AS129" s="352"/>
      <c r="AT129" s="352"/>
      <c r="AU129" s="352"/>
      <c r="AV129" s="352"/>
      <c r="AW129" s="352"/>
      <c r="AX129" s="352"/>
      <c r="AY129" s="352"/>
      <c r="AZ129" s="352"/>
      <c r="BA129" s="352"/>
      <c r="BB129" s="352"/>
      <c r="BC129" s="352"/>
      <c r="BD129" s="352"/>
      <c r="BE129" s="352"/>
      <c r="BF129" s="352"/>
      <c r="BG129" s="352"/>
    </row>
    <row r="130" spans="2:59" x14ac:dyDescent="0.25">
      <c r="C130" s="86"/>
    </row>
    <row r="131" spans="2:59" x14ac:dyDescent="0.25">
      <c r="C131" s="7" t="str">
        <f ca="1">INDEX('Version control'!$H$34:$H$58,MATCH($A$1,'Version control'!$F$34:$F$58,0),1)&amp;"-E: Adder to be applied to unit rates"</f>
        <v>Section 518-E: Adder to be applied to unit rates</v>
      </c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</row>
    <row r="132" spans="2:59" x14ac:dyDescent="0.25">
      <c r="B132" s="82"/>
      <c r="C132" s="86"/>
    </row>
    <row r="133" spans="2:59" x14ac:dyDescent="0.25">
      <c r="C133" s="82" t="s">
        <v>509</v>
      </c>
    </row>
    <row r="134" spans="2:59" x14ac:dyDescent="0.25">
      <c r="B134" s="82"/>
      <c r="C134" s="82" t="s">
        <v>638</v>
      </c>
    </row>
    <row r="135" spans="2:59" x14ac:dyDescent="0.25">
      <c r="B135" s="82"/>
      <c r="C135" s="86"/>
    </row>
    <row r="136" spans="2:59" x14ac:dyDescent="0.25">
      <c r="B136" s="82"/>
      <c r="E136" s="86" t="s">
        <v>513</v>
      </c>
      <c r="F136" s="98"/>
      <c r="I136" s="295" t="s">
        <v>431</v>
      </c>
      <c r="BG136" s="295" t="s">
        <v>854</v>
      </c>
    </row>
    <row r="137" spans="2:59" x14ac:dyDescent="0.25">
      <c r="B137" s="82"/>
      <c r="E137" s="82" t="s">
        <v>511</v>
      </c>
    </row>
    <row r="138" spans="2:59" x14ac:dyDescent="0.25">
      <c r="B138" s="82"/>
      <c r="D138" s="295"/>
      <c r="E138" s="82" t="s">
        <v>510</v>
      </c>
      <c r="F138" s="98"/>
    </row>
    <row r="139" spans="2:59" x14ac:dyDescent="0.25">
      <c r="C139" s="86"/>
      <c r="F139" s="91" t="s">
        <v>242</v>
      </c>
      <c r="G139" s="91" t="s">
        <v>183</v>
      </c>
      <c r="H139" s="350"/>
      <c r="I139" s="350"/>
      <c r="J139" s="351">
        <f>MAX($H$129, J74)</f>
        <v>1.147104687642698</v>
      </c>
      <c r="K139" s="351">
        <f t="shared" ref="K139:Q141" si="70">MAX($H$129, K74)</f>
        <v>1.147104687642698</v>
      </c>
      <c r="L139" s="351">
        <f t="shared" si="70"/>
        <v>1.147104687642698</v>
      </c>
      <c r="M139" s="351">
        <f t="shared" si="70"/>
        <v>1.147104687642698</v>
      </c>
      <c r="N139" s="351">
        <f t="shared" si="70"/>
        <v>1.147104687642698</v>
      </c>
      <c r="O139" s="351">
        <f t="shared" si="70"/>
        <v>1.147104687642698</v>
      </c>
      <c r="P139" s="351">
        <f t="shared" si="70"/>
        <v>1.147104687642698</v>
      </c>
      <c r="Q139" s="351">
        <f t="shared" si="70"/>
        <v>1.147104687642698</v>
      </c>
      <c r="R139" s="362"/>
      <c r="S139" s="362"/>
      <c r="T139" s="362"/>
      <c r="U139" s="362"/>
      <c r="V139" s="362"/>
      <c r="W139" s="362"/>
      <c r="X139" s="362"/>
      <c r="Y139" s="362"/>
      <c r="Z139" s="352"/>
      <c r="AA139" s="352"/>
      <c r="AB139" s="352"/>
      <c r="AC139" s="352"/>
      <c r="AD139" s="352"/>
      <c r="AE139" s="352"/>
      <c r="AF139" s="352"/>
      <c r="AG139" s="352"/>
      <c r="AH139" s="352"/>
      <c r="AI139" s="352"/>
      <c r="AJ139" s="352"/>
      <c r="AK139" s="352"/>
      <c r="AL139" s="352"/>
      <c r="AM139" s="352"/>
      <c r="AN139" s="352"/>
      <c r="AO139" s="352"/>
      <c r="AP139" s="352"/>
      <c r="AQ139" s="352"/>
      <c r="AR139" s="352"/>
      <c r="AS139" s="352"/>
      <c r="AT139" s="352"/>
      <c r="AU139" s="352"/>
      <c r="AV139" s="352"/>
      <c r="AW139" s="352"/>
      <c r="AX139" s="352"/>
      <c r="AY139" s="352"/>
      <c r="AZ139" s="352"/>
      <c r="BA139" s="352"/>
      <c r="BB139" s="352"/>
      <c r="BC139" s="352"/>
      <c r="BD139" s="352"/>
      <c r="BE139" s="352"/>
      <c r="BF139" s="352"/>
      <c r="BG139" s="352"/>
    </row>
    <row r="140" spans="2:59" x14ac:dyDescent="0.25">
      <c r="C140" s="86"/>
      <c r="F140" s="295" t="s">
        <v>243</v>
      </c>
      <c r="G140" s="295" t="s">
        <v>183</v>
      </c>
      <c r="H140" s="352"/>
      <c r="I140" s="352"/>
      <c r="J140" s="353">
        <f>MAX($H$129, J75)</f>
        <v>1.147104687642698</v>
      </c>
      <c r="K140" s="353">
        <f t="shared" si="70"/>
        <v>1.147104687642698</v>
      </c>
      <c r="L140" s="353">
        <f t="shared" si="70"/>
        <v>1.147104687642698</v>
      </c>
      <c r="M140" s="353">
        <f t="shared" si="70"/>
        <v>1.147104687642698</v>
      </c>
      <c r="N140" s="353">
        <f t="shared" si="70"/>
        <v>1.147104687642698</v>
      </c>
      <c r="O140" s="353">
        <f t="shared" si="70"/>
        <v>1.147104687642698</v>
      </c>
      <c r="P140" s="353">
        <f t="shared" si="70"/>
        <v>1.147104687642698</v>
      </c>
      <c r="Q140" s="353">
        <f t="shared" si="70"/>
        <v>1.147104687642698</v>
      </c>
      <c r="R140" s="423"/>
      <c r="S140" s="423"/>
      <c r="T140" s="423"/>
      <c r="U140" s="423"/>
      <c r="V140" s="423"/>
      <c r="W140" s="423"/>
      <c r="X140" s="423"/>
      <c r="Y140" s="423"/>
      <c r="Z140" s="352"/>
      <c r="AA140" s="352"/>
      <c r="AB140" s="352"/>
      <c r="AC140" s="352"/>
      <c r="AD140" s="352"/>
      <c r="AE140" s="352"/>
      <c r="AF140" s="352"/>
      <c r="AG140" s="352"/>
      <c r="AH140" s="352"/>
      <c r="AI140" s="352"/>
      <c r="AJ140" s="352"/>
      <c r="AK140" s="352"/>
      <c r="AL140" s="352"/>
      <c r="AM140" s="352"/>
      <c r="AN140" s="352"/>
      <c r="AO140" s="352"/>
      <c r="AP140" s="352"/>
      <c r="AQ140" s="352"/>
      <c r="AR140" s="352"/>
      <c r="AS140" s="352"/>
      <c r="AT140" s="352"/>
      <c r="AU140" s="352"/>
      <c r="AV140" s="352"/>
      <c r="AW140" s="352"/>
      <c r="AX140" s="352"/>
      <c r="AY140" s="352"/>
      <c r="AZ140" s="352"/>
      <c r="BA140" s="352"/>
      <c r="BB140" s="352"/>
      <c r="BC140" s="352"/>
      <c r="BD140" s="352"/>
      <c r="BE140" s="352"/>
      <c r="BF140" s="352"/>
      <c r="BG140" s="352"/>
    </row>
    <row r="141" spans="2:59" x14ac:dyDescent="0.25">
      <c r="C141" s="86"/>
      <c r="F141" s="93" t="s">
        <v>244</v>
      </c>
      <c r="G141" s="93" t="s">
        <v>183</v>
      </c>
      <c r="H141" s="354"/>
      <c r="I141" s="354"/>
      <c r="J141" s="355">
        <f>MAX($H$129, J76)</f>
        <v>1.147104687642698</v>
      </c>
      <c r="K141" s="355">
        <f t="shared" si="70"/>
        <v>1.147104687642698</v>
      </c>
      <c r="L141" s="355">
        <f t="shared" si="70"/>
        <v>1.147104687642698</v>
      </c>
      <c r="M141" s="355">
        <f t="shared" si="70"/>
        <v>1.147104687642698</v>
      </c>
      <c r="N141" s="355">
        <f t="shared" si="70"/>
        <v>1.147104687642698</v>
      </c>
      <c r="O141" s="355">
        <f t="shared" si="70"/>
        <v>1.147104687642698</v>
      </c>
      <c r="P141" s="355">
        <f t="shared" si="70"/>
        <v>1.147104687642698</v>
      </c>
      <c r="Q141" s="355">
        <f t="shared" si="70"/>
        <v>1.147104687642698</v>
      </c>
      <c r="R141" s="359"/>
      <c r="S141" s="359"/>
      <c r="T141" s="359"/>
      <c r="U141" s="359"/>
      <c r="V141" s="359"/>
      <c r="W141" s="359"/>
      <c r="X141" s="359"/>
      <c r="Y141" s="359"/>
      <c r="Z141" s="352"/>
      <c r="AA141" s="352"/>
      <c r="AB141" s="352"/>
      <c r="AC141" s="352"/>
      <c r="AD141" s="352"/>
      <c r="AE141" s="352"/>
      <c r="AF141" s="352"/>
      <c r="AG141" s="352"/>
      <c r="AH141" s="352"/>
      <c r="AI141" s="352"/>
      <c r="AJ141" s="352"/>
      <c r="AK141" s="352"/>
      <c r="AL141" s="352"/>
      <c r="AM141" s="352"/>
      <c r="AN141" s="352"/>
      <c r="AO141" s="352"/>
      <c r="AP141" s="352"/>
      <c r="AQ141" s="352"/>
      <c r="AR141" s="352"/>
      <c r="AS141" s="352"/>
      <c r="AT141" s="352"/>
      <c r="AU141" s="352"/>
      <c r="AV141" s="352"/>
      <c r="AW141" s="352"/>
      <c r="AX141" s="352"/>
      <c r="AY141" s="352"/>
      <c r="AZ141" s="352"/>
      <c r="BA141" s="352"/>
      <c r="BB141" s="352"/>
      <c r="BC141" s="352"/>
      <c r="BD141" s="352"/>
      <c r="BE141" s="352"/>
      <c r="BF141" s="352"/>
      <c r="BG141" s="352"/>
    </row>
    <row r="142" spans="2:59" x14ac:dyDescent="0.25">
      <c r="C142" s="86"/>
    </row>
    <row r="143" spans="2:59" x14ac:dyDescent="0.25">
      <c r="B143" s="95" t="s">
        <v>109</v>
      </c>
      <c r="C143" s="95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72"/>
      <c r="AC143" s="72"/>
      <c r="AD143" s="72"/>
      <c r="AE143" s="72"/>
      <c r="AF143" s="72"/>
      <c r="AG143" s="72"/>
      <c r="AH143" s="72"/>
      <c r="AI143" s="72"/>
      <c r="AJ143" s="72"/>
      <c r="AK143" s="72"/>
      <c r="AL143" s="72"/>
      <c r="AM143" s="72"/>
      <c r="AN143" s="72"/>
      <c r="AO143" s="72"/>
      <c r="AP143" s="72"/>
      <c r="AQ143" s="72"/>
      <c r="AR143" s="72"/>
      <c r="AS143" s="72"/>
      <c r="AT143" s="72"/>
      <c r="AU143" s="72"/>
      <c r="AV143" s="72"/>
      <c r="AW143" s="72"/>
      <c r="AX143" s="72"/>
      <c r="AY143" s="72"/>
      <c r="AZ143" s="72"/>
      <c r="BA143" s="72"/>
      <c r="BB143" s="72"/>
      <c r="BC143" s="72"/>
      <c r="BD143" s="72"/>
      <c r="BE143" s="72"/>
      <c r="BF143" s="72"/>
      <c r="BG143" s="72"/>
    </row>
    <row r="145" spans="4:25" x14ac:dyDescent="0.25">
      <c r="E145" s="295" t="s">
        <v>747</v>
      </c>
      <c r="G145" s="122" t="s">
        <v>692</v>
      </c>
      <c r="H145" s="413">
        <f>IF(IFERROR(J122, 1) &gt; IFERROR(J121, 0), 0, 1)</f>
        <v>0</v>
      </c>
    </row>
    <row r="147" spans="4:25" x14ac:dyDescent="0.25">
      <c r="E147" s="295" t="s">
        <v>516</v>
      </c>
      <c r="G147" s="122" t="s">
        <v>692</v>
      </c>
      <c r="H147" s="413">
        <f t="array" ref="H147">SUM(IF(ISERROR(H20:BE142), 1))</f>
        <v>0</v>
      </c>
    </row>
    <row r="149" spans="4:25" x14ac:dyDescent="0.25">
      <c r="D149" s="295"/>
      <c r="E149" s="96" t="s">
        <v>1127</v>
      </c>
      <c r="F149" s="98"/>
    </row>
    <row r="150" spans="4:25" x14ac:dyDescent="0.25">
      <c r="D150" s="295"/>
      <c r="E150" s="86"/>
      <c r="F150" s="91" t="s">
        <v>134</v>
      </c>
      <c r="G150" s="91" t="s">
        <v>107</v>
      </c>
      <c r="H150" s="91"/>
      <c r="I150" s="91"/>
      <c r="J150" s="268">
        <f t="shared" ref="J150:Y150" si="71">(J139) * J29 * ten</f>
        <v>8540280.1565784942</v>
      </c>
      <c r="K150" s="268">
        <f t="shared" si="71"/>
        <v>15228.575082835225</v>
      </c>
      <c r="L150" s="268">
        <f t="shared" si="71"/>
        <v>2167724.1328072222</v>
      </c>
      <c r="M150" s="268">
        <f t="shared" si="71"/>
        <v>47859.972774848466</v>
      </c>
      <c r="N150" s="268">
        <f t="shared" si="71"/>
        <v>3235697.1947682439</v>
      </c>
      <c r="O150" s="268">
        <f t="shared" si="71"/>
        <v>263953.88396721054</v>
      </c>
      <c r="P150" s="268">
        <f t="shared" si="71"/>
        <v>3743139.5644383673</v>
      </c>
      <c r="Q150" s="268">
        <f t="shared" si="71"/>
        <v>159091.65888083083</v>
      </c>
      <c r="R150" s="268">
        <f t="shared" si="71"/>
        <v>0</v>
      </c>
      <c r="S150" s="268">
        <f t="shared" si="71"/>
        <v>0</v>
      </c>
      <c r="T150" s="268">
        <f t="shared" si="71"/>
        <v>0</v>
      </c>
      <c r="U150" s="268">
        <f t="shared" si="71"/>
        <v>0</v>
      </c>
      <c r="V150" s="268">
        <f t="shared" si="71"/>
        <v>0</v>
      </c>
      <c r="W150" s="268">
        <f t="shared" si="71"/>
        <v>0</v>
      </c>
      <c r="X150" s="268">
        <f t="shared" si="71"/>
        <v>0</v>
      </c>
      <c r="Y150" s="268">
        <f t="shared" si="71"/>
        <v>0</v>
      </c>
    </row>
    <row r="151" spans="4:25" x14ac:dyDescent="0.25">
      <c r="D151" s="295"/>
      <c r="E151" s="86"/>
      <c r="F151" s="295" t="s">
        <v>135</v>
      </c>
      <c r="G151" s="295" t="s">
        <v>107</v>
      </c>
      <c r="J151" s="276">
        <f t="shared" ref="J151:Y151" si="72">(J140) * J30 * ten</f>
        <v>30342041.308751561</v>
      </c>
      <c r="K151" s="276">
        <f t="shared" si="72"/>
        <v>275707.4348692444</v>
      </c>
      <c r="L151" s="276">
        <f t="shared" si="72"/>
        <v>11742041.039994903</v>
      </c>
      <c r="M151" s="276">
        <f t="shared" si="72"/>
        <v>290440.20187777048</v>
      </c>
      <c r="N151" s="276">
        <f t="shared" si="72"/>
        <v>15487362.43662948</v>
      </c>
      <c r="O151" s="276">
        <f t="shared" si="72"/>
        <v>1233152.9572262808</v>
      </c>
      <c r="P151" s="276">
        <f t="shared" si="72"/>
        <v>17370998.595985364</v>
      </c>
      <c r="Q151" s="276">
        <f t="shared" si="72"/>
        <v>606616.48902709619</v>
      </c>
      <c r="R151" s="276">
        <f t="shared" si="72"/>
        <v>0</v>
      </c>
      <c r="S151" s="276">
        <f t="shared" si="72"/>
        <v>0</v>
      </c>
      <c r="T151" s="276">
        <f t="shared" si="72"/>
        <v>0</v>
      </c>
      <c r="U151" s="276">
        <f t="shared" si="72"/>
        <v>0</v>
      </c>
      <c r="V151" s="276">
        <f t="shared" si="72"/>
        <v>0</v>
      </c>
      <c r="W151" s="276">
        <f t="shared" si="72"/>
        <v>0</v>
      </c>
      <c r="X151" s="276">
        <f t="shared" si="72"/>
        <v>0</v>
      </c>
      <c r="Y151" s="276">
        <f t="shared" si="72"/>
        <v>0</v>
      </c>
    </row>
    <row r="152" spans="4:25" x14ac:dyDescent="0.25">
      <c r="D152" s="295"/>
      <c r="E152" s="86"/>
      <c r="F152" s="295" t="s">
        <v>136</v>
      </c>
      <c r="G152" s="295" t="s">
        <v>107</v>
      </c>
      <c r="J152" s="276">
        <f t="shared" ref="J152:Y152" si="73">(J141) * J31 * ten</f>
        <v>27943401.376719814</v>
      </c>
      <c r="K152" s="276">
        <f t="shared" si="73"/>
        <v>2816315.7064569062</v>
      </c>
      <c r="L152" s="276">
        <f t="shared" si="73"/>
        <v>11341591.479188323</v>
      </c>
      <c r="M152" s="276">
        <f t="shared" si="73"/>
        <v>602931.50768867217</v>
      </c>
      <c r="N152" s="276">
        <f t="shared" si="73"/>
        <v>13524724.866216313</v>
      </c>
      <c r="O152" s="276">
        <f t="shared" si="73"/>
        <v>1219555.4965935899</v>
      </c>
      <c r="P152" s="276">
        <f t="shared" si="73"/>
        <v>18598130.756221086</v>
      </c>
      <c r="Q152" s="276">
        <f t="shared" si="73"/>
        <v>2172891.3200384933</v>
      </c>
      <c r="R152" s="276">
        <f t="shared" si="73"/>
        <v>0</v>
      </c>
      <c r="S152" s="276">
        <f t="shared" si="73"/>
        <v>0</v>
      </c>
      <c r="T152" s="276">
        <f t="shared" si="73"/>
        <v>0</v>
      </c>
      <c r="U152" s="276">
        <f t="shared" si="73"/>
        <v>0</v>
      </c>
      <c r="V152" s="276">
        <f t="shared" si="73"/>
        <v>0</v>
      </c>
      <c r="W152" s="276">
        <f t="shared" si="73"/>
        <v>0</v>
      </c>
      <c r="X152" s="276">
        <f t="shared" si="73"/>
        <v>0</v>
      </c>
      <c r="Y152" s="276">
        <f t="shared" si="73"/>
        <v>0</v>
      </c>
    </row>
    <row r="153" spans="4:25" x14ac:dyDescent="0.25">
      <c r="D153" s="295"/>
      <c r="E153" s="86"/>
      <c r="F153" s="295" t="s">
        <v>311</v>
      </c>
      <c r="G153" s="295" t="s">
        <v>107</v>
      </c>
      <c r="J153" s="276">
        <f t="shared" ref="J153:Y153" si="74">(J142) * J32 * ten</f>
        <v>0</v>
      </c>
      <c r="K153" s="276">
        <f t="shared" si="74"/>
        <v>0</v>
      </c>
      <c r="L153" s="276">
        <f t="shared" si="74"/>
        <v>0</v>
      </c>
      <c r="M153" s="276">
        <f t="shared" si="74"/>
        <v>0</v>
      </c>
      <c r="N153" s="276">
        <f t="shared" si="74"/>
        <v>0</v>
      </c>
      <c r="O153" s="276">
        <f t="shared" si="74"/>
        <v>0</v>
      </c>
      <c r="P153" s="276">
        <f t="shared" si="74"/>
        <v>0</v>
      </c>
      <c r="Q153" s="276">
        <f t="shared" si="74"/>
        <v>0</v>
      </c>
      <c r="R153" s="276">
        <f t="shared" si="74"/>
        <v>0</v>
      </c>
      <c r="S153" s="276">
        <f t="shared" si="74"/>
        <v>0</v>
      </c>
      <c r="T153" s="276">
        <f t="shared" si="74"/>
        <v>0</v>
      </c>
      <c r="U153" s="276">
        <f t="shared" si="74"/>
        <v>0</v>
      </c>
      <c r="V153" s="276">
        <f t="shared" si="74"/>
        <v>0</v>
      </c>
      <c r="W153" s="276">
        <f t="shared" si="74"/>
        <v>0</v>
      </c>
      <c r="X153" s="276">
        <f t="shared" si="74"/>
        <v>0</v>
      </c>
      <c r="Y153" s="276">
        <f t="shared" si="74"/>
        <v>0</v>
      </c>
    </row>
    <row r="154" spans="4:25" x14ac:dyDescent="0.25">
      <c r="D154" s="295"/>
      <c r="E154" s="86"/>
      <c r="F154" s="295" t="s">
        <v>312</v>
      </c>
      <c r="G154" s="295" t="s">
        <v>107</v>
      </c>
      <c r="J154" s="276">
        <f t="shared" ref="J154:Y154" si="75">(J143) * J33 * ten</f>
        <v>0</v>
      </c>
      <c r="K154" s="276">
        <f t="shared" si="75"/>
        <v>0</v>
      </c>
      <c r="L154" s="276">
        <f t="shared" si="75"/>
        <v>0</v>
      </c>
      <c r="M154" s="276">
        <f t="shared" si="75"/>
        <v>0</v>
      </c>
      <c r="N154" s="276">
        <f t="shared" si="75"/>
        <v>0</v>
      </c>
      <c r="O154" s="276">
        <f t="shared" si="75"/>
        <v>0</v>
      </c>
      <c r="P154" s="276">
        <f t="shared" si="75"/>
        <v>0</v>
      </c>
      <c r="Q154" s="276">
        <f t="shared" si="75"/>
        <v>0</v>
      </c>
      <c r="R154" s="276">
        <f t="shared" si="75"/>
        <v>0</v>
      </c>
      <c r="S154" s="276">
        <f t="shared" si="75"/>
        <v>0</v>
      </c>
      <c r="T154" s="276">
        <f t="shared" si="75"/>
        <v>0</v>
      </c>
      <c r="U154" s="276">
        <f t="shared" si="75"/>
        <v>0</v>
      </c>
      <c r="V154" s="276">
        <f t="shared" si="75"/>
        <v>0</v>
      </c>
      <c r="W154" s="276">
        <f t="shared" si="75"/>
        <v>0</v>
      </c>
      <c r="X154" s="276">
        <f t="shared" si="75"/>
        <v>0</v>
      </c>
      <c r="Y154" s="276">
        <f t="shared" si="75"/>
        <v>0</v>
      </c>
    </row>
    <row r="155" spans="4:25" x14ac:dyDescent="0.25">
      <c r="D155" s="295"/>
      <c r="E155" s="86"/>
      <c r="F155" s="295" t="s">
        <v>313</v>
      </c>
      <c r="G155" s="295" t="s">
        <v>107</v>
      </c>
      <c r="J155" s="276">
        <f t="shared" ref="J155:Y155" si="76">(J144) * J34 * ten</f>
        <v>0</v>
      </c>
      <c r="K155" s="276">
        <f t="shared" si="76"/>
        <v>0</v>
      </c>
      <c r="L155" s="276">
        <f t="shared" si="76"/>
        <v>0</v>
      </c>
      <c r="M155" s="276">
        <f t="shared" si="76"/>
        <v>0</v>
      </c>
      <c r="N155" s="276">
        <f t="shared" si="76"/>
        <v>0</v>
      </c>
      <c r="O155" s="276">
        <f t="shared" si="76"/>
        <v>0</v>
      </c>
      <c r="P155" s="276">
        <f t="shared" si="76"/>
        <v>0</v>
      </c>
      <c r="Q155" s="276">
        <f t="shared" si="76"/>
        <v>0</v>
      </c>
      <c r="R155" s="276">
        <f t="shared" si="76"/>
        <v>0</v>
      </c>
      <c r="S155" s="276">
        <f t="shared" si="76"/>
        <v>0</v>
      </c>
      <c r="T155" s="276">
        <f t="shared" si="76"/>
        <v>0</v>
      </c>
      <c r="U155" s="276">
        <f t="shared" si="76"/>
        <v>0</v>
      </c>
      <c r="V155" s="276">
        <f t="shared" si="76"/>
        <v>0</v>
      </c>
      <c r="W155" s="276">
        <f t="shared" si="76"/>
        <v>0</v>
      </c>
      <c r="X155" s="276">
        <f t="shared" si="76"/>
        <v>0</v>
      </c>
      <c r="Y155" s="276">
        <f t="shared" si="76"/>
        <v>0</v>
      </c>
    </row>
    <row r="156" spans="4:25" x14ac:dyDescent="0.25">
      <c r="D156" s="295"/>
      <c r="E156" s="86"/>
      <c r="F156" s="93" t="s">
        <v>314</v>
      </c>
      <c r="G156" s="93" t="s">
        <v>107</v>
      </c>
      <c r="H156" s="93"/>
      <c r="I156" s="93"/>
      <c r="J156" s="269">
        <f t="shared" ref="J156:Y156" si="77">(J145) * J35 * ten</f>
        <v>0</v>
      </c>
      <c r="K156" s="269">
        <f t="shared" si="77"/>
        <v>0</v>
      </c>
      <c r="L156" s="269">
        <f t="shared" si="77"/>
        <v>0</v>
      </c>
      <c r="M156" s="269">
        <f t="shared" si="77"/>
        <v>0</v>
      </c>
      <c r="N156" s="269">
        <f t="shared" si="77"/>
        <v>0</v>
      </c>
      <c r="O156" s="269">
        <f t="shared" si="77"/>
        <v>0</v>
      </c>
      <c r="P156" s="269">
        <f t="shared" si="77"/>
        <v>0</v>
      </c>
      <c r="Q156" s="269">
        <f t="shared" si="77"/>
        <v>0</v>
      </c>
      <c r="R156" s="269">
        <f t="shared" si="77"/>
        <v>0</v>
      </c>
      <c r="S156" s="269">
        <f t="shared" si="77"/>
        <v>0</v>
      </c>
      <c r="T156" s="269">
        <f t="shared" si="77"/>
        <v>0</v>
      </c>
      <c r="U156" s="269">
        <f t="shared" si="77"/>
        <v>0</v>
      </c>
      <c r="V156" s="269">
        <f t="shared" si="77"/>
        <v>0</v>
      </c>
      <c r="W156" s="269">
        <f t="shared" si="77"/>
        <v>0</v>
      </c>
      <c r="X156" s="269">
        <f t="shared" si="77"/>
        <v>0</v>
      </c>
      <c r="Y156" s="269">
        <f t="shared" si="77"/>
        <v>0</v>
      </c>
    </row>
    <row r="158" spans="4:25" x14ac:dyDescent="0.25">
      <c r="E158" s="295" t="s">
        <v>1128</v>
      </c>
      <c r="G158" s="295" t="s">
        <v>107</v>
      </c>
      <c r="H158" s="253">
        <f>SUM(J150:Y156)</f>
        <v>173740878.11278296</v>
      </c>
    </row>
    <row r="160" spans="4:25" x14ac:dyDescent="0.25">
      <c r="E160" s="295" t="s">
        <v>639</v>
      </c>
      <c r="G160" s="295" t="s">
        <v>692</v>
      </c>
      <c r="H160" s="413">
        <f>IF(ABS(IFERROR(H158, 0) - H60) &lt; 10^-check_decimals, 0, 1)</f>
        <v>0</v>
      </c>
    </row>
    <row r="162" spans="2:59" x14ac:dyDescent="0.25">
      <c r="E162" s="295" t="s">
        <v>640</v>
      </c>
      <c r="G162" s="122" t="s">
        <v>692</v>
      </c>
      <c r="H162" s="312">
        <f>H145 + H147 + H160</f>
        <v>0</v>
      </c>
    </row>
    <row r="164" spans="2:59" x14ac:dyDescent="0.25">
      <c r="B164" s="95" t="s">
        <v>110</v>
      </c>
      <c r="C164" s="95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72"/>
      <c r="AC164" s="72"/>
      <c r="AD164" s="72"/>
      <c r="AE164" s="72"/>
      <c r="AF164" s="72"/>
      <c r="AG164" s="72"/>
      <c r="AH164" s="72"/>
      <c r="AI164" s="72"/>
      <c r="AJ164" s="72"/>
      <c r="AK164" s="72"/>
      <c r="AL164" s="72"/>
      <c r="AM164" s="72"/>
      <c r="AN164" s="72"/>
      <c r="AO164" s="72"/>
      <c r="AP164" s="72"/>
      <c r="AQ164" s="72"/>
      <c r="AR164" s="72"/>
      <c r="AS164" s="72"/>
      <c r="AT164" s="72"/>
      <c r="AU164" s="72"/>
      <c r="AV164" s="72"/>
      <c r="AW164" s="72"/>
      <c r="AX164" s="72"/>
      <c r="AY164" s="72"/>
      <c r="AZ164" s="72"/>
      <c r="BA164" s="72"/>
      <c r="BB164" s="72"/>
      <c r="BC164" s="72"/>
      <c r="BD164" s="72"/>
      <c r="BE164" s="72"/>
      <c r="BF164" s="72"/>
      <c r="BG164" s="72"/>
    </row>
  </sheetData>
  <sheetProtection sheet="1" objects="1" formatCells="0" formatColumns="0" formatRows="0" sort="0" autoFilter="0"/>
  <conditionalFormatting sqref="H147">
    <cfRule type="cellIs" dxfId="39" priority="13" operator="greaterThan">
      <formula>0</formula>
    </cfRule>
  </conditionalFormatting>
  <conditionalFormatting sqref="H160">
    <cfRule type="cellIs" dxfId="38" priority="12" operator="greaterThan">
      <formula>0</formula>
    </cfRule>
  </conditionalFormatting>
  <conditionalFormatting sqref="H162">
    <cfRule type="cellIs" dxfId="37" priority="11" operator="greaterThan">
      <formula>0</formula>
    </cfRule>
  </conditionalFormatting>
  <conditionalFormatting sqref="H145">
    <cfRule type="cellIs" dxfId="36" priority="10" operator="greaterThan">
      <formula>0</formula>
    </cfRule>
  </conditionalFormatting>
  <conditionalFormatting sqref="A4:I4 Z4:XFD4">
    <cfRule type="expression" dxfId="35" priority="9">
      <formula>LEFT($A$4,1) &lt;&gt; "0"</formula>
    </cfRule>
  </conditionalFormatting>
  <conditionalFormatting sqref="N4:P4">
    <cfRule type="expression" dxfId="34" priority="8">
      <formula>LEFT($A$4,1) &lt;&gt; "0"</formula>
    </cfRule>
  </conditionalFormatting>
  <conditionalFormatting sqref="L4:M4">
    <cfRule type="expression" dxfId="33" priority="7">
      <formula>LEFT($A$4,1) &lt;&gt; "0"</formula>
    </cfRule>
  </conditionalFormatting>
  <conditionalFormatting sqref="J4:K4">
    <cfRule type="expression" dxfId="32" priority="6">
      <formula>LEFT($A$4,1) &lt;&gt; "0"</formula>
    </cfRule>
  </conditionalFormatting>
  <conditionalFormatting sqref="Q4">
    <cfRule type="expression" dxfId="31" priority="5">
      <formula>LEFT($A$4,1) &lt;&gt; "0"</formula>
    </cfRule>
  </conditionalFormatting>
  <conditionalFormatting sqref="R4:S4">
    <cfRule type="expression" dxfId="30" priority="4">
      <formula>LEFT($A$4,1) &lt;&gt; "0"</formula>
    </cfRule>
  </conditionalFormatting>
  <conditionalFormatting sqref="T4:U4">
    <cfRule type="expression" dxfId="29" priority="3">
      <formula>LEFT($A$4,1) &lt;&gt; "0"</formula>
    </cfRule>
  </conditionalFormatting>
  <conditionalFormatting sqref="V4:W4">
    <cfRule type="expression" dxfId="28" priority="2">
      <formula>LEFT($A$4,1) &lt;&gt; "0"</formula>
    </cfRule>
  </conditionalFormatting>
  <conditionalFormatting sqref="X4:Y4">
    <cfRule type="expression" dxfId="27" priority="1">
      <formula>LEFT($A$4,1) &lt;&gt; "0"</formula>
    </cfRule>
  </conditionalFormatting>
  <hyperlinks>
    <hyperlink ref="B5:F5" location="'Model map'!A1" display="Click here to return to model map" xr:uid="{00000000-0004-0000-1F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6">
    <tabColor theme="4" tint="0.59999389629810485"/>
    <pageSetUpPr fitToPage="1"/>
  </sheetPr>
  <dimension ref="A1:KO7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01" width="24.5703125" style="295" hidden="1" customWidth="1"/>
    <col min="302" max="16384" width="8.5703125" style="295" hidden="1"/>
  </cols>
  <sheetData>
    <row r="1" spans="1:27" s="10" customFormat="1" x14ac:dyDescent="0.25">
      <c r="A1" s="10" t="str">
        <f ca="1">MID(CELL("filename",A1),FIND("]",CELL("filename",A1))+1,255)</f>
        <v>Fixed charge adder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1" t="str">
        <f>H66 &amp; IF(H66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ht="60" x14ac:dyDescent="0.25">
      <c r="B5" s="372" t="s">
        <v>552</v>
      </c>
      <c r="C5" s="373"/>
      <c r="D5" s="373"/>
      <c r="E5" s="373"/>
      <c r="F5" s="373"/>
      <c r="G5" s="1" t="s">
        <v>91</v>
      </c>
      <c r="H5" s="2" t="s">
        <v>92</v>
      </c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1129</v>
      </c>
      <c r="E9" s="295"/>
    </row>
    <row r="10" spans="1:27" x14ac:dyDescent="0.25">
      <c r="C10" s="82" t="s">
        <v>1130</v>
      </c>
      <c r="E10" s="295"/>
    </row>
    <row r="12" spans="1:27" x14ac:dyDescent="0.25">
      <c r="B12" s="95" t="s">
        <v>1131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4" spans="1:27" x14ac:dyDescent="0.25">
      <c r="C14" s="82" t="s">
        <v>1132</v>
      </c>
    </row>
    <row r="16" spans="1:27" x14ac:dyDescent="0.25">
      <c r="C16" s="7" t="str">
        <f ca="1">INDEX('Version control'!$H$34:$H$59,MATCH($A$1,'Version control'!$F$34:$F$59,0),1)&amp;"-A: Inputs for fixed tariff adjustments"</f>
        <v>Section 519-A: Inputs for fixed tariff adjustments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8" spans="3:27" x14ac:dyDescent="0.25">
      <c r="E18" s="86" t="s">
        <v>74</v>
      </c>
      <c r="F18" s="96"/>
    </row>
    <row r="19" spans="3:27" x14ac:dyDescent="0.25">
      <c r="E19" s="82" t="s">
        <v>1133</v>
      </c>
      <c r="F19" s="98"/>
    </row>
    <row r="20" spans="3:27" x14ac:dyDescent="0.25">
      <c r="C20" s="86"/>
      <c r="F20" s="91" t="s">
        <v>145</v>
      </c>
      <c r="G20" s="91" t="s">
        <v>74</v>
      </c>
      <c r="H20" s="361"/>
      <c r="I20" s="350"/>
      <c r="J20" s="361">
        <f>'Inputs by customer type'!J27</f>
        <v>1852569</v>
      </c>
      <c r="K20" s="361">
        <f>'Inputs by customer type'!K27</f>
        <v>100059</v>
      </c>
      <c r="L20" s="361">
        <f>'Inputs by customer type'!L27</f>
        <v>125030</v>
      </c>
      <c r="M20" s="361">
        <f>'Inputs by customer type'!M27</f>
        <v>7441</v>
      </c>
      <c r="N20" s="361">
        <f>'Inputs by customer type'!N27</f>
        <v>10491</v>
      </c>
      <c r="O20" s="361">
        <f>'Inputs by customer type'!O27</f>
        <v>219</v>
      </c>
      <c r="P20" s="361">
        <f>'Inputs by customer type'!P27</f>
        <v>1257</v>
      </c>
      <c r="Q20" s="361">
        <f>'Inputs by customer type'!Q27</f>
        <v>4868</v>
      </c>
      <c r="R20" s="361">
        <f>'Inputs by customer type'!R27</f>
        <v>167</v>
      </c>
      <c r="S20" s="361">
        <f>'Inputs by customer type'!S27</f>
        <v>4</v>
      </c>
      <c r="T20" s="361">
        <f>'Inputs by customer type'!T27</f>
        <v>472</v>
      </c>
      <c r="U20" s="361">
        <f>'Inputs by customer type'!U27</f>
        <v>0</v>
      </c>
      <c r="V20" s="361">
        <f>'Inputs by customer type'!V27</f>
        <v>8</v>
      </c>
      <c r="W20" s="361">
        <f>'Inputs by customer type'!W27</f>
        <v>0</v>
      </c>
      <c r="X20" s="361">
        <f>'Inputs by customer type'!X27</f>
        <v>255</v>
      </c>
      <c r="Y20" s="361">
        <f>'Inputs by customer type'!Y27</f>
        <v>0</v>
      </c>
      <c r="Z20" s="352"/>
      <c r="AA20" s="352"/>
    </row>
    <row r="21" spans="3:27" x14ac:dyDescent="0.25">
      <c r="C21" s="86"/>
      <c r="F21" s="295" t="s">
        <v>146</v>
      </c>
      <c r="G21" s="295" t="s">
        <v>74</v>
      </c>
      <c r="H21" s="421"/>
      <c r="I21" s="352"/>
      <c r="J21" s="421">
        <f>'Inputs by customer type'!J36</f>
        <v>41179.93548387097</v>
      </c>
      <c r="K21" s="421">
        <f>'Inputs by customer type'!K36</f>
        <v>67</v>
      </c>
      <c r="L21" s="421">
        <f>'Inputs by customer type'!L36</f>
        <v>1036.6774193548388</v>
      </c>
      <c r="M21" s="421">
        <f>'Inputs by customer type'!M36</f>
        <v>0</v>
      </c>
      <c r="N21" s="421">
        <f>'Inputs by customer type'!N36</f>
        <v>76</v>
      </c>
      <c r="O21" s="421">
        <f>'Inputs by customer type'!O36</f>
        <v>0</v>
      </c>
      <c r="P21" s="421">
        <f>'Inputs by customer type'!P36</f>
        <v>0</v>
      </c>
      <c r="Q21" s="421">
        <f>'Inputs by customer type'!Q36</f>
        <v>34</v>
      </c>
      <c r="R21" s="421">
        <f>'Inputs by customer type'!R36</f>
        <v>3</v>
      </c>
      <c r="S21" s="421">
        <f>'Inputs by customer type'!S36</f>
        <v>0</v>
      </c>
      <c r="T21" s="421">
        <f>'Inputs by customer type'!T36</f>
        <v>0</v>
      </c>
      <c r="U21" s="421">
        <f>'Inputs by customer type'!U36</f>
        <v>0</v>
      </c>
      <c r="V21" s="421">
        <f>'Inputs by customer type'!V36</f>
        <v>0</v>
      </c>
      <c r="W21" s="421">
        <f>'Inputs by customer type'!W36</f>
        <v>0</v>
      </c>
      <c r="X21" s="421">
        <f>'Inputs by customer type'!X36</f>
        <v>0</v>
      </c>
      <c r="Y21" s="421">
        <f>'Inputs by customer type'!Y36</f>
        <v>0</v>
      </c>
      <c r="Z21" s="352"/>
      <c r="AA21" s="352"/>
    </row>
    <row r="22" spans="3:27" x14ac:dyDescent="0.25">
      <c r="C22" s="86"/>
      <c r="F22" s="295" t="s">
        <v>147</v>
      </c>
      <c r="G22" s="295" t="s">
        <v>74</v>
      </c>
      <c r="H22" s="421"/>
      <c r="I22" s="352"/>
      <c r="J22" s="421">
        <f>'Inputs by customer type'!J45</f>
        <v>58740.548387096773</v>
      </c>
      <c r="K22" s="421">
        <f>'Inputs by customer type'!K45</f>
        <v>78.451612903225808</v>
      </c>
      <c r="L22" s="421">
        <f>'Inputs by customer type'!L45</f>
        <v>1509.8709677419354</v>
      </c>
      <c r="M22" s="421">
        <f>'Inputs by customer type'!M45</f>
        <v>0</v>
      </c>
      <c r="N22" s="421">
        <f>'Inputs by customer type'!N45</f>
        <v>381</v>
      </c>
      <c r="O22" s="421">
        <f>'Inputs by customer type'!O45</f>
        <v>26</v>
      </c>
      <c r="P22" s="421">
        <f>'Inputs by customer type'!P45</f>
        <v>30</v>
      </c>
      <c r="Q22" s="421">
        <f>'Inputs by customer type'!Q45</f>
        <v>46</v>
      </c>
      <c r="R22" s="421">
        <f>'Inputs by customer type'!R45</f>
        <v>5</v>
      </c>
      <c r="S22" s="421">
        <f>'Inputs by customer type'!S45</f>
        <v>0</v>
      </c>
      <c r="T22" s="421">
        <f>'Inputs by customer type'!T45</f>
        <v>0</v>
      </c>
      <c r="U22" s="421">
        <f>'Inputs by customer type'!U45</f>
        <v>0</v>
      </c>
      <c r="V22" s="421">
        <f>'Inputs by customer type'!V45</f>
        <v>0</v>
      </c>
      <c r="W22" s="421">
        <f>'Inputs by customer type'!W45</f>
        <v>0</v>
      </c>
      <c r="X22" s="421">
        <f>'Inputs by customer type'!X45</f>
        <v>0</v>
      </c>
      <c r="Y22" s="421">
        <f>'Inputs by customer type'!Y45</f>
        <v>0</v>
      </c>
      <c r="Z22" s="352"/>
      <c r="AA22" s="352"/>
    </row>
    <row r="23" spans="3:27" x14ac:dyDescent="0.25">
      <c r="C23" s="86"/>
      <c r="F23" s="93" t="s">
        <v>1134</v>
      </c>
      <c r="G23" s="93" t="s">
        <v>74</v>
      </c>
      <c r="H23" s="115"/>
      <c r="I23" s="93"/>
      <c r="J23" s="275">
        <f>'Inputs by customer type'!J50</f>
        <v>3083</v>
      </c>
      <c r="K23" s="275">
        <f>'Inputs by customer type'!K50</f>
        <v>0</v>
      </c>
      <c r="L23" s="275">
        <f>'Inputs by customer type'!L50</f>
        <v>42</v>
      </c>
      <c r="M23" s="275">
        <f>'Inputs by customer type'!M50</f>
        <v>0</v>
      </c>
      <c r="N23" s="275">
        <f>'Inputs by customer type'!N50</f>
        <v>18</v>
      </c>
      <c r="O23" s="275">
        <f>'Inputs by customer type'!O50</f>
        <v>0</v>
      </c>
      <c r="P23" s="275">
        <f>'Inputs by customer type'!P50</f>
        <v>4</v>
      </c>
      <c r="Q23" s="275">
        <f>'Inputs by customer type'!Q50</f>
        <v>0</v>
      </c>
      <c r="R23" s="275">
        <f>'Inputs by customer type'!R50</f>
        <v>0</v>
      </c>
      <c r="S23" s="275">
        <f>'Inputs by customer type'!S50</f>
        <v>0</v>
      </c>
      <c r="T23" s="275">
        <f>'Inputs by customer type'!T50</f>
        <v>0</v>
      </c>
      <c r="U23" s="275">
        <f>'Inputs by customer type'!U50</f>
        <v>0</v>
      </c>
      <c r="V23" s="275">
        <f>'Inputs by customer type'!V50</f>
        <v>0</v>
      </c>
      <c r="W23" s="275">
        <f>'Inputs by customer type'!W50</f>
        <v>0</v>
      </c>
      <c r="X23" s="275">
        <f>'Inputs by customer type'!X50</f>
        <v>0</v>
      </c>
      <c r="Y23" s="275">
        <f>'Inputs by customer type'!Y50</f>
        <v>0</v>
      </c>
    </row>
    <row r="24" spans="3:27" x14ac:dyDescent="0.25">
      <c r="C24" s="86"/>
      <c r="E24" s="295"/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</row>
    <row r="25" spans="3:27" x14ac:dyDescent="0.25">
      <c r="C25" s="86"/>
      <c r="E25" s="96" t="s">
        <v>1135</v>
      </c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Y25" s="253"/>
    </row>
    <row r="26" spans="3:27" x14ac:dyDescent="0.25">
      <c r="C26" s="86"/>
      <c r="E26" s="295"/>
      <c r="F26" s="91" t="s">
        <v>1121</v>
      </c>
      <c r="G26" s="91" t="s">
        <v>132</v>
      </c>
      <c r="H26" s="91"/>
      <c r="I26" s="91"/>
      <c r="J26" s="141">
        <f>'Fixed inputs'!J158</f>
        <v>1</v>
      </c>
      <c r="K26" s="141">
        <f>'Fixed inputs'!K158</f>
        <v>0</v>
      </c>
      <c r="L26" s="141">
        <f>'Fixed inputs'!L158</f>
        <v>0</v>
      </c>
      <c r="M26" s="141">
        <f>'Fixed inputs'!M158</f>
        <v>0</v>
      </c>
      <c r="N26" s="141">
        <f>'Fixed inputs'!N158</f>
        <v>0</v>
      </c>
      <c r="O26" s="141">
        <f>'Fixed inputs'!O158</f>
        <v>0</v>
      </c>
      <c r="P26" s="141">
        <f>'Fixed inputs'!P158</f>
        <v>0</v>
      </c>
      <c r="Q26" s="141">
        <f>'Fixed inputs'!Q158</f>
        <v>0</v>
      </c>
      <c r="R26" s="141">
        <f>'Fixed inputs'!R158</f>
        <v>0</v>
      </c>
      <c r="S26" s="141">
        <f>'Fixed inputs'!S158</f>
        <v>0</v>
      </c>
      <c r="T26" s="141">
        <f>'Fixed inputs'!T158</f>
        <v>0</v>
      </c>
      <c r="U26" s="141">
        <f>'Fixed inputs'!U158</f>
        <v>0</v>
      </c>
      <c r="V26" s="141">
        <f>'Fixed inputs'!V158</f>
        <v>0</v>
      </c>
      <c r="W26" s="141">
        <f>'Fixed inputs'!W158</f>
        <v>0</v>
      </c>
      <c r="X26" s="141">
        <f>'Fixed inputs'!X158</f>
        <v>0</v>
      </c>
      <c r="Y26" s="141">
        <f>'Fixed inputs'!Y158</f>
        <v>0</v>
      </c>
    </row>
    <row r="27" spans="3:27" x14ac:dyDescent="0.25">
      <c r="C27" s="86"/>
      <c r="E27" s="295"/>
      <c r="F27" s="93" t="s">
        <v>1122</v>
      </c>
      <c r="G27" s="93" t="s">
        <v>132</v>
      </c>
      <c r="H27" s="93"/>
      <c r="I27" s="93"/>
      <c r="J27" s="115">
        <f>'Fixed inputs'!J159</f>
        <v>1</v>
      </c>
      <c r="K27" s="115">
        <f>'Fixed inputs'!K159</f>
        <v>0</v>
      </c>
      <c r="L27" s="115">
        <f>'Fixed inputs'!L159</f>
        <v>1</v>
      </c>
      <c r="M27" s="115">
        <f>'Fixed inputs'!M159</f>
        <v>0</v>
      </c>
      <c r="N27" s="115">
        <f>'Fixed inputs'!N159</f>
        <v>1</v>
      </c>
      <c r="O27" s="115">
        <f>'Fixed inputs'!O159</f>
        <v>1</v>
      </c>
      <c r="P27" s="115">
        <f>'Fixed inputs'!P159</f>
        <v>1</v>
      </c>
      <c r="Q27" s="115">
        <f>'Fixed inputs'!Q159</f>
        <v>0</v>
      </c>
      <c r="R27" s="115">
        <f>'Fixed inputs'!R159</f>
        <v>0</v>
      </c>
      <c r="S27" s="115">
        <f>'Fixed inputs'!S159</f>
        <v>0</v>
      </c>
      <c r="T27" s="115">
        <f>'Fixed inputs'!T159</f>
        <v>0</v>
      </c>
      <c r="U27" s="115">
        <f>'Fixed inputs'!U159</f>
        <v>0</v>
      </c>
      <c r="V27" s="115">
        <f>'Fixed inputs'!V159</f>
        <v>0</v>
      </c>
      <c r="W27" s="115">
        <f>'Fixed inputs'!W159</f>
        <v>0</v>
      </c>
      <c r="X27" s="115">
        <f>'Fixed inputs'!X159</f>
        <v>0</v>
      </c>
      <c r="Y27" s="115">
        <f>'Fixed inputs'!Y159</f>
        <v>0</v>
      </c>
    </row>
    <row r="28" spans="3:27" x14ac:dyDescent="0.25">
      <c r="C28" s="86"/>
      <c r="E28" s="295"/>
      <c r="J28" s="253"/>
      <c r="K28" s="253"/>
      <c r="L28" s="253"/>
      <c r="M28" s="253"/>
      <c r="N28" s="253"/>
      <c r="O28" s="253"/>
      <c r="P28" s="253"/>
      <c r="Q28" s="253"/>
      <c r="R28" s="253"/>
      <c r="S28" s="253"/>
      <c r="T28" s="253"/>
      <c r="U28" s="253"/>
      <c r="V28" s="253"/>
      <c r="W28" s="253"/>
      <c r="X28" s="253"/>
      <c r="Y28" s="253"/>
    </row>
    <row r="29" spans="3:27" x14ac:dyDescent="0.25">
      <c r="C29" s="86"/>
      <c r="E29" s="96" t="s">
        <v>1124</v>
      </c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</row>
    <row r="30" spans="3:27" x14ac:dyDescent="0.25">
      <c r="C30" s="86"/>
      <c r="E30" s="295"/>
      <c r="F30" s="91" t="s">
        <v>1121</v>
      </c>
      <c r="G30" s="91" t="s">
        <v>107</v>
      </c>
      <c r="H30" s="273">
        <f>'General inputs'!H56</f>
        <v>47073.343842731156</v>
      </c>
      <c r="J30" s="274"/>
      <c r="K30" s="274"/>
      <c r="L30" s="274"/>
      <c r="M30" s="274"/>
      <c r="N30" s="274"/>
      <c r="O30" s="274"/>
      <c r="P30" s="274"/>
      <c r="Q30" s="274"/>
      <c r="R30" s="274"/>
      <c r="S30" s="274"/>
      <c r="T30" s="274"/>
      <c r="U30" s="274"/>
      <c r="V30" s="274"/>
      <c r="W30" s="274"/>
      <c r="X30" s="274"/>
      <c r="Y30" s="274"/>
    </row>
    <row r="31" spans="3:27" x14ac:dyDescent="0.25">
      <c r="C31" s="86"/>
      <c r="E31" s="295"/>
      <c r="F31" s="93" t="s">
        <v>1122</v>
      </c>
      <c r="G31" s="93" t="s">
        <v>107</v>
      </c>
      <c r="H31" s="275">
        <f>'General inputs'!H57</f>
        <v>1417380.0307358583</v>
      </c>
      <c r="J31" s="274"/>
      <c r="K31" s="274"/>
      <c r="L31" s="274"/>
      <c r="M31" s="274"/>
      <c r="N31" s="274"/>
      <c r="O31" s="274"/>
      <c r="P31" s="274"/>
      <c r="Q31" s="274"/>
      <c r="R31" s="274"/>
      <c r="S31" s="274"/>
      <c r="T31" s="274"/>
      <c r="U31" s="274"/>
      <c r="V31" s="274"/>
      <c r="W31" s="274"/>
      <c r="X31" s="274"/>
      <c r="Y31" s="274"/>
    </row>
    <row r="33" spans="3:27" x14ac:dyDescent="0.25">
      <c r="C33" s="7" t="str">
        <f ca="1">INDEX('Version control'!$H$34:$H$59,MATCH($A$1,'Version control'!$F$34:$F$59,0),1)&amp;"-B: Calculation of fixed tariff adjustments"</f>
        <v>Section 519-B: Calculation of fixed tariff adjustments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3:27" x14ac:dyDescent="0.25">
      <c r="C34" s="86"/>
      <c r="E34" s="295"/>
      <c r="J34" s="253"/>
      <c r="K34" s="253"/>
      <c r="L34" s="253"/>
      <c r="M34" s="253"/>
      <c r="N34" s="253"/>
      <c r="O34" s="253"/>
      <c r="P34" s="253"/>
      <c r="Q34" s="253"/>
      <c r="R34" s="253"/>
      <c r="S34" s="253"/>
      <c r="T34" s="253"/>
      <c r="U34" s="253"/>
      <c r="V34" s="253"/>
      <c r="W34" s="253"/>
      <c r="X34" s="253"/>
      <c r="Y34" s="253"/>
    </row>
    <row r="35" spans="3:27" x14ac:dyDescent="0.25">
      <c r="C35" s="86"/>
      <c r="E35" s="96" t="s">
        <v>1136</v>
      </c>
      <c r="J35" s="253"/>
      <c r="K35" s="253"/>
      <c r="L35" s="253"/>
      <c r="M35" s="253"/>
      <c r="N35" s="253"/>
      <c r="O35" s="253"/>
      <c r="P35" s="253"/>
      <c r="Q35" s="253"/>
      <c r="R35" s="253"/>
      <c r="S35" s="253"/>
      <c r="T35" s="253"/>
      <c r="U35" s="253"/>
      <c r="V35" s="253"/>
      <c r="W35" s="253"/>
      <c r="X35" s="253"/>
      <c r="Y35" s="253"/>
    </row>
    <row r="36" spans="3:27" x14ac:dyDescent="0.25">
      <c r="F36" s="91" t="s">
        <v>1121</v>
      </c>
      <c r="G36" s="91" t="s">
        <v>74</v>
      </c>
      <c r="H36" s="91"/>
      <c r="I36" s="91"/>
      <c r="J36" s="278">
        <f>SUM( J$20:J$23 ) * J26</f>
        <v>1955572.4838709678</v>
      </c>
      <c r="K36" s="278">
        <f t="shared" ref="K36:Y36" si="0">SUM( K$20:K$23 ) * K26</f>
        <v>0</v>
      </c>
      <c r="L36" s="278">
        <f t="shared" si="0"/>
        <v>0</v>
      </c>
      <c r="M36" s="278">
        <f t="shared" si="0"/>
        <v>0</v>
      </c>
      <c r="N36" s="278">
        <f t="shared" si="0"/>
        <v>0</v>
      </c>
      <c r="O36" s="278">
        <f t="shared" si="0"/>
        <v>0</v>
      </c>
      <c r="P36" s="278">
        <f t="shared" si="0"/>
        <v>0</v>
      </c>
      <c r="Q36" s="278">
        <f t="shared" si="0"/>
        <v>0</v>
      </c>
      <c r="R36" s="278">
        <f t="shared" si="0"/>
        <v>0</v>
      </c>
      <c r="S36" s="278">
        <f t="shared" si="0"/>
        <v>0</v>
      </c>
      <c r="T36" s="278">
        <f t="shared" si="0"/>
        <v>0</v>
      </c>
      <c r="U36" s="278">
        <f t="shared" si="0"/>
        <v>0</v>
      </c>
      <c r="V36" s="278">
        <f t="shared" si="0"/>
        <v>0</v>
      </c>
      <c r="W36" s="278">
        <f t="shared" si="0"/>
        <v>0</v>
      </c>
      <c r="X36" s="278">
        <f t="shared" si="0"/>
        <v>0</v>
      </c>
      <c r="Y36" s="278">
        <f t="shared" si="0"/>
        <v>0</v>
      </c>
    </row>
    <row r="37" spans="3:27" x14ac:dyDescent="0.25">
      <c r="F37" s="93" t="s">
        <v>1122</v>
      </c>
      <c r="G37" s="93" t="s">
        <v>74</v>
      </c>
      <c r="H37" s="93"/>
      <c r="I37" s="93"/>
      <c r="J37" s="272">
        <f t="shared" ref="J37:Y37" si="1">SUM( J$20:J$23 ) * J27</f>
        <v>1955572.4838709678</v>
      </c>
      <c r="K37" s="272">
        <f t="shared" si="1"/>
        <v>0</v>
      </c>
      <c r="L37" s="272">
        <f t="shared" si="1"/>
        <v>127618.54838709677</v>
      </c>
      <c r="M37" s="272">
        <f t="shared" si="1"/>
        <v>0</v>
      </c>
      <c r="N37" s="272">
        <f t="shared" si="1"/>
        <v>10966</v>
      </c>
      <c r="O37" s="272">
        <f t="shared" si="1"/>
        <v>245</v>
      </c>
      <c r="P37" s="272">
        <f t="shared" si="1"/>
        <v>1291</v>
      </c>
      <c r="Q37" s="272">
        <f t="shared" si="1"/>
        <v>0</v>
      </c>
      <c r="R37" s="272">
        <f t="shared" si="1"/>
        <v>0</v>
      </c>
      <c r="S37" s="272">
        <f t="shared" si="1"/>
        <v>0</v>
      </c>
      <c r="T37" s="272">
        <f t="shared" si="1"/>
        <v>0</v>
      </c>
      <c r="U37" s="272">
        <f t="shared" si="1"/>
        <v>0</v>
      </c>
      <c r="V37" s="272">
        <f t="shared" si="1"/>
        <v>0</v>
      </c>
      <c r="W37" s="272">
        <f t="shared" si="1"/>
        <v>0</v>
      </c>
      <c r="X37" s="272">
        <f t="shared" si="1"/>
        <v>0</v>
      </c>
      <c r="Y37" s="272">
        <f t="shared" si="1"/>
        <v>0</v>
      </c>
    </row>
    <row r="38" spans="3:27" x14ac:dyDescent="0.25">
      <c r="C38" s="86"/>
      <c r="E38" s="295"/>
      <c r="J38" s="253"/>
      <c r="K38" s="253"/>
      <c r="L38" s="253"/>
      <c r="M38" s="253"/>
      <c r="N38" s="253"/>
      <c r="O38" s="253"/>
      <c r="P38" s="253"/>
      <c r="Q38" s="253"/>
      <c r="R38" s="253"/>
      <c r="S38" s="253"/>
      <c r="T38" s="253"/>
      <c r="U38" s="253"/>
      <c r="V38" s="253"/>
      <c r="W38" s="253"/>
      <c r="X38" s="253"/>
      <c r="Y38" s="253"/>
    </row>
    <row r="39" spans="3:27" x14ac:dyDescent="0.25">
      <c r="C39" s="86"/>
      <c r="E39" s="96" t="s">
        <v>1137</v>
      </c>
      <c r="I39" s="295" t="s">
        <v>431</v>
      </c>
      <c r="J39" s="253"/>
      <c r="K39" s="253"/>
      <c r="L39" s="253"/>
      <c r="M39" s="253"/>
      <c r="N39" s="253"/>
      <c r="O39" s="253"/>
      <c r="P39" s="253"/>
      <c r="Q39" s="253"/>
      <c r="R39" s="253"/>
      <c r="S39" s="253"/>
      <c r="T39" s="253"/>
      <c r="U39" s="253"/>
      <c r="V39" s="253"/>
      <c r="W39" s="253"/>
      <c r="X39" s="253"/>
      <c r="Y39" s="253"/>
      <c r="AA39" s="295" t="s">
        <v>1164</v>
      </c>
    </row>
    <row r="40" spans="3:27" x14ac:dyDescent="0.25">
      <c r="C40" s="86"/>
      <c r="E40" s="295"/>
      <c r="F40" s="91" t="s">
        <v>1121</v>
      </c>
      <c r="G40" s="91" t="s">
        <v>309</v>
      </c>
      <c r="H40" s="254">
        <f>H30 / SUM( J36:Y36 ) * hundred / days_in_year</f>
        <v>6.5949007968891344E-3</v>
      </c>
      <c r="I40" s="111"/>
      <c r="J40" s="417"/>
      <c r="K40" s="417"/>
      <c r="L40" s="417"/>
      <c r="M40" s="417"/>
      <c r="N40" s="417"/>
      <c r="O40" s="417"/>
      <c r="P40" s="417"/>
      <c r="Q40" s="417"/>
      <c r="R40" s="417"/>
      <c r="S40" s="417"/>
      <c r="T40" s="417"/>
      <c r="U40" s="417"/>
      <c r="V40" s="417"/>
      <c r="W40" s="417"/>
      <c r="X40" s="417"/>
      <c r="Y40" s="417"/>
    </row>
    <row r="41" spans="3:27" x14ac:dyDescent="0.25">
      <c r="C41" s="86"/>
      <c r="E41" s="295"/>
      <c r="F41" s="93" t="s">
        <v>1122</v>
      </c>
      <c r="G41" s="93" t="s">
        <v>309</v>
      </c>
      <c r="H41" s="249">
        <f>H31 / SUM( J37:Y37 ) * hundred / days_in_year</f>
        <v>0.18529588547307707</v>
      </c>
      <c r="I41" s="111"/>
      <c r="J41" s="417"/>
      <c r="K41" s="417"/>
      <c r="L41" s="417"/>
      <c r="M41" s="417"/>
      <c r="N41" s="417"/>
      <c r="O41" s="417"/>
      <c r="P41" s="417"/>
      <c r="Q41" s="417"/>
      <c r="R41" s="417"/>
      <c r="S41" s="417"/>
      <c r="T41" s="417"/>
      <c r="U41" s="417"/>
      <c r="V41" s="417"/>
      <c r="W41" s="417"/>
      <c r="X41" s="417"/>
      <c r="Y41" s="417"/>
    </row>
    <row r="42" spans="3:27" x14ac:dyDescent="0.25">
      <c r="C42" s="86"/>
      <c r="E42" s="295"/>
      <c r="H42" s="111"/>
      <c r="I42" s="111"/>
      <c r="J42" s="238"/>
      <c r="K42" s="238"/>
      <c r="L42" s="238"/>
      <c r="M42" s="238"/>
      <c r="N42" s="238"/>
      <c r="O42" s="238"/>
      <c r="P42" s="238"/>
      <c r="Q42" s="238"/>
      <c r="R42" s="238"/>
      <c r="S42" s="238"/>
      <c r="T42" s="238"/>
      <c r="U42" s="238"/>
      <c r="V42" s="238"/>
      <c r="W42" s="238"/>
      <c r="X42" s="238"/>
      <c r="Y42" s="238"/>
    </row>
    <row r="43" spans="3:27" x14ac:dyDescent="0.25">
      <c r="C43" s="86"/>
      <c r="E43" s="96" t="s">
        <v>1138</v>
      </c>
      <c r="H43" s="111"/>
      <c r="I43" s="111"/>
      <c r="J43" s="238"/>
      <c r="K43" s="238"/>
      <c r="L43" s="238"/>
      <c r="M43" s="238"/>
      <c r="N43" s="238"/>
      <c r="O43" s="238"/>
      <c r="P43" s="238"/>
      <c r="Q43" s="238"/>
      <c r="R43" s="238"/>
      <c r="S43" s="238"/>
      <c r="T43" s="238"/>
      <c r="U43" s="238"/>
      <c r="V43" s="238"/>
      <c r="W43" s="238"/>
      <c r="X43" s="238"/>
      <c r="Y43" s="238"/>
    </row>
    <row r="44" spans="3:27" x14ac:dyDescent="0.25">
      <c r="C44" s="86"/>
      <c r="E44" s="295"/>
      <c r="F44" s="91" t="s">
        <v>1121</v>
      </c>
      <c r="G44" s="91" t="s">
        <v>309</v>
      </c>
      <c r="H44" s="254"/>
      <c r="I44" s="254"/>
      <c r="J44" s="254">
        <f>IF( J26 = 1, $H40, 0)</f>
        <v>6.5949007968891344E-3</v>
      </c>
      <c r="K44" s="254">
        <f t="shared" ref="K44:Y44" si="2">IF( K26 = 1, $H40, 0)</f>
        <v>0</v>
      </c>
      <c r="L44" s="254">
        <f t="shared" si="2"/>
        <v>0</v>
      </c>
      <c r="M44" s="254">
        <f t="shared" si="2"/>
        <v>0</v>
      </c>
      <c r="N44" s="254">
        <f t="shared" si="2"/>
        <v>0</v>
      </c>
      <c r="O44" s="254">
        <f t="shared" si="2"/>
        <v>0</v>
      </c>
      <c r="P44" s="254">
        <f t="shared" si="2"/>
        <v>0</v>
      </c>
      <c r="Q44" s="254">
        <f t="shared" si="2"/>
        <v>0</v>
      </c>
      <c r="R44" s="254">
        <f t="shared" si="2"/>
        <v>0</v>
      </c>
      <c r="S44" s="254">
        <f t="shared" si="2"/>
        <v>0</v>
      </c>
      <c r="T44" s="254">
        <f t="shared" si="2"/>
        <v>0</v>
      </c>
      <c r="U44" s="254">
        <f t="shared" si="2"/>
        <v>0</v>
      </c>
      <c r="V44" s="254">
        <f t="shared" si="2"/>
        <v>0</v>
      </c>
      <c r="W44" s="254">
        <f t="shared" si="2"/>
        <v>0</v>
      </c>
      <c r="X44" s="254">
        <f t="shared" si="2"/>
        <v>0</v>
      </c>
      <c r="Y44" s="254">
        <f t="shared" si="2"/>
        <v>0</v>
      </c>
    </row>
    <row r="45" spans="3:27" x14ac:dyDescent="0.25">
      <c r="C45" s="86"/>
      <c r="E45" s="295"/>
      <c r="F45" s="93" t="s">
        <v>1122</v>
      </c>
      <c r="G45" s="93" t="s">
        <v>309</v>
      </c>
      <c r="H45" s="249"/>
      <c r="I45" s="249"/>
      <c r="J45" s="249">
        <f t="shared" ref="J45:Y45" si="3">IF( J27 = 1, $H41, 0)</f>
        <v>0.18529588547307707</v>
      </c>
      <c r="K45" s="249">
        <f t="shared" si="3"/>
        <v>0</v>
      </c>
      <c r="L45" s="249">
        <f t="shared" si="3"/>
        <v>0.18529588547307707</v>
      </c>
      <c r="M45" s="249">
        <f t="shared" si="3"/>
        <v>0</v>
      </c>
      <c r="N45" s="249">
        <f t="shared" si="3"/>
        <v>0.18529588547307707</v>
      </c>
      <c r="O45" s="249">
        <f t="shared" si="3"/>
        <v>0.18529588547307707</v>
      </c>
      <c r="P45" s="249">
        <f t="shared" si="3"/>
        <v>0.18529588547307707</v>
      </c>
      <c r="Q45" s="249">
        <f t="shared" si="3"/>
        <v>0</v>
      </c>
      <c r="R45" s="249">
        <f t="shared" si="3"/>
        <v>0</v>
      </c>
      <c r="S45" s="249">
        <f t="shared" si="3"/>
        <v>0</v>
      </c>
      <c r="T45" s="249">
        <f t="shared" si="3"/>
        <v>0</v>
      </c>
      <c r="U45" s="249">
        <f t="shared" si="3"/>
        <v>0</v>
      </c>
      <c r="V45" s="249">
        <f t="shared" si="3"/>
        <v>0</v>
      </c>
      <c r="W45" s="249">
        <f t="shared" si="3"/>
        <v>0</v>
      </c>
      <c r="X45" s="249">
        <f t="shared" si="3"/>
        <v>0</v>
      </c>
      <c r="Y45" s="249">
        <f t="shared" si="3"/>
        <v>0</v>
      </c>
    </row>
    <row r="46" spans="3:27" x14ac:dyDescent="0.25">
      <c r="C46" s="86"/>
      <c r="E46" s="295"/>
      <c r="F46" s="73" t="s">
        <v>272</v>
      </c>
      <c r="G46" s="73" t="s">
        <v>309</v>
      </c>
      <c r="H46" s="288"/>
      <c r="I46" s="288"/>
      <c r="J46" s="454">
        <f xml:space="preserve"> J44 + J45</f>
        <v>0.1918907862699662</v>
      </c>
      <c r="K46" s="454">
        <f t="shared" ref="K46:Y46" si="4" xml:space="preserve"> K44 + K45</f>
        <v>0</v>
      </c>
      <c r="L46" s="454">
        <f t="shared" si="4"/>
        <v>0.18529588547307707</v>
      </c>
      <c r="M46" s="454">
        <f t="shared" si="4"/>
        <v>0</v>
      </c>
      <c r="N46" s="454">
        <f t="shared" si="4"/>
        <v>0.18529588547307707</v>
      </c>
      <c r="O46" s="454">
        <f t="shared" si="4"/>
        <v>0.18529588547307707</v>
      </c>
      <c r="P46" s="454">
        <f t="shared" si="4"/>
        <v>0.18529588547307707</v>
      </c>
      <c r="Q46" s="454">
        <f t="shared" si="4"/>
        <v>0</v>
      </c>
      <c r="R46" s="454">
        <f t="shared" si="4"/>
        <v>0</v>
      </c>
      <c r="S46" s="454">
        <f t="shared" si="4"/>
        <v>0</v>
      </c>
      <c r="T46" s="454">
        <f t="shared" si="4"/>
        <v>0</v>
      </c>
      <c r="U46" s="454">
        <f t="shared" si="4"/>
        <v>0</v>
      </c>
      <c r="V46" s="454">
        <f t="shared" si="4"/>
        <v>0</v>
      </c>
      <c r="W46" s="454">
        <f t="shared" si="4"/>
        <v>0</v>
      </c>
      <c r="X46" s="454">
        <f t="shared" si="4"/>
        <v>0</v>
      </c>
      <c r="Y46" s="454">
        <f t="shared" si="4"/>
        <v>0</v>
      </c>
    </row>
    <row r="47" spans="3:27" x14ac:dyDescent="0.25">
      <c r="C47" s="86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1"/>
    </row>
    <row r="48" spans="3:27" x14ac:dyDescent="0.25">
      <c r="C48" s="7" t="str">
        <f ca="1">INDEX('Version control'!$H$34:$H$59,MATCH($A$1,'Version control'!$F$34:$F$59,0),1)&amp;"-C: Calculation of fixed charge adder revenue"</f>
        <v>Section 519-C: Calculation of fixed charge adder revenue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2:27" x14ac:dyDescent="0.25">
      <c r="C49" s="86"/>
      <c r="E49" s="295"/>
      <c r="J49" s="253"/>
      <c r="K49" s="253"/>
      <c r="L49" s="253"/>
      <c r="M49" s="253"/>
      <c r="N49" s="253"/>
      <c r="O49" s="253"/>
      <c r="P49" s="253"/>
      <c r="Q49" s="253"/>
      <c r="R49" s="253"/>
      <c r="S49" s="253"/>
      <c r="T49" s="253"/>
      <c r="U49" s="253"/>
      <c r="V49" s="253"/>
      <c r="W49" s="253"/>
      <c r="X49" s="253"/>
      <c r="Y49" s="253"/>
    </row>
    <row r="50" spans="2:27" x14ac:dyDescent="0.25">
      <c r="E50" s="295" t="s">
        <v>1139</v>
      </c>
      <c r="G50" s="122" t="s">
        <v>107</v>
      </c>
      <c r="H50" s="433"/>
      <c r="I50" s="111"/>
      <c r="J50" s="433">
        <f t="shared" ref="J50:Y50" si="5">J46 / hundred * days_in_year * SUM( J20:J22 )</f>
        <v>1367526.3091900176</v>
      </c>
      <c r="K50" s="433">
        <f t="shared" si="5"/>
        <v>0</v>
      </c>
      <c r="L50" s="433">
        <f t="shared" si="5"/>
        <v>86283.84467129875</v>
      </c>
      <c r="M50" s="433">
        <f t="shared" si="5"/>
        <v>0</v>
      </c>
      <c r="N50" s="433">
        <f t="shared" si="5"/>
        <v>7404.4606426812543</v>
      </c>
      <c r="O50" s="433">
        <f t="shared" si="5"/>
        <v>165.70084558429917</v>
      </c>
      <c r="P50" s="433">
        <f t="shared" si="5"/>
        <v>870.43668680405324</v>
      </c>
      <c r="Q50" s="433">
        <f t="shared" si="5"/>
        <v>0</v>
      </c>
      <c r="R50" s="433">
        <f t="shared" si="5"/>
        <v>0</v>
      </c>
      <c r="S50" s="433">
        <f t="shared" si="5"/>
        <v>0</v>
      </c>
      <c r="T50" s="433">
        <f t="shared" si="5"/>
        <v>0</v>
      </c>
      <c r="U50" s="433">
        <f t="shared" si="5"/>
        <v>0</v>
      </c>
      <c r="V50" s="433">
        <f t="shared" si="5"/>
        <v>0</v>
      </c>
      <c r="W50" s="433">
        <f t="shared" si="5"/>
        <v>0</v>
      </c>
      <c r="X50" s="433">
        <f t="shared" si="5"/>
        <v>0</v>
      </c>
      <c r="Y50" s="433">
        <f t="shared" si="5"/>
        <v>0</v>
      </c>
    </row>
    <row r="51" spans="2:27" x14ac:dyDescent="0.25"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</row>
    <row r="52" spans="2:27" x14ac:dyDescent="0.25">
      <c r="E52" s="295" t="s">
        <v>1140</v>
      </c>
      <c r="G52" s="122" t="s">
        <v>107</v>
      </c>
      <c r="H52" s="234">
        <f>SUM( J50:Y50 )</f>
        <v>1462250.7520363859</v>
      </c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</row>
    <row r="53" spans="2:27" x14ac:dyDescent="0.25"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</row>
    <row r="54" spans="2:27" x14ac:dyDescent="0.25">
      <c r="E54" s="295" t="s">
        <v>1141</v>
      </c>
      <c r="G54" s="122" t="s">
        <v>107</v>
      </c>
      <c r="H54" s="433"/>
      <c r="I54" s="111"/>
      <c r="J54" s="433">
        <f t="shared" ref="J54:Y54" si="6">J46 / hundred * days_in_year * J23</f>
        <v>2159.337423356616</v>
      </c>
      <c r="K54" s="433">
        <f t="shared" si="6"/>
        <v>0</v>
      </c>
      <c r="L54" s="433">
        <f t="shared" si="6"/>
        <v>28.405859243022714</v>
      </c>
      <c r="M54" s="433">
        <f t="shared" si="6"/>
        <v>0</v>
      </c>
      <c r="N54" s="433">
        <f t="shared" si="6"/>
        <v>12.173939675581163</v>
      </c>
      <c r="O54" s="433">
        <f t="shared" si="6"/>
        <v>0</v>
      </c>
      <c r="P54" s="433">
        <f t="shared" si="6"/>
        <v>2.7053199279069253</v>
      </c>
      <c r="Q54" s="433">
        <f t="shared" si="6"/>
        <v>0</v>
      </c>
      <c r="R54" s="433">
        <f t="shared" si="6"/>
        <v>0</v>
      </c>
      <c r="S54" s="433">
        <f t="shared" si="6"/>
        <v>0</v>
      </c>
      <c r="T54" s="433">
        <f t="shared" si="6"/>
        <v>0</v>
      </c>
      <c r="U54" s="433">
        <f t="shared" si="6"/>
        <v>0</v>
      </c>
      <c r="V54" s="433">
        <f t="shared" si="6"/>
        <v>0</v>
      </c>
      <c r="W54" s="433">
        <f t="shared" si="6"/>
        <v>0</v>
      </c>
      <c r="X54" s="433">
        <f t="shared" si="6"/>
        <v>0</v>
      </c>
      <c r="Y54" s="433">
        <f t="shared" si="6"/>
        <v>0</v>
      </c>
    </row>
    <row r="55" spans="2:27" x14ac:dyDescent="0.25"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</row>
    <row r="56" spans="2:27" x14ac:dyDescent="0.25">
      <c r="E56" s="295" t="s">
        <v>1142</v>
      </c>
      <c r="G56" s="122" t="s">
        <v>107</v>
      </c>
      <c r="H56" s="234">
        <f>SUM( J54:Y54 )</f>
        <v>2202.6225422031271</v>
      </c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</row>
    <row r="57" spans="2:27" x14ac:dyDescent="0.25"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</row>
    <row r="58" spans="2:27" x14ac:dyDescent="0.25">
      <c r="B58" s="95" t="s">
        <v>109</v>
      </c>
      <c r="C58" s="95"/>
      <c r="D58" s="95"/>
      <c r="E58" s="95"/>
      <c r="F58" s="95"/>
      <c r="G58" s="95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95"/>
      <c r="AA58" s="95"/>
    </row>
    <row r="59" spans="2:27" x14ac:dyDescent="0.25"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</row>
    <row r="60" spans="2:27" x14ac:dyDescent="0.25">
      <c r="E60" s="295" t="s">
        <v>1143</v>
      </c>
      <c r="G60" s="122" t="s">
        <v>107</v>
      </c>
      <c r="H60" s="433"/>
      <c r="I60" s="111"/>
      <c r="J60" s="433">
        <f xml:space="preserve"> J50 + J54</f>
        <v>1369685.6466133744</v>
      </c>
      <c r="K60" s="433">
        <f t="shared" ref="K60:Y60" si="7" xml:space="preserve"> K50 + K54</f>
        <v>0</v>
      </c>
      <c r="L60" s="433">
        <f t="shared" si="7"/>
        <v>86312.250530541773</v>
      </c>
      <c r="M60" s="433">
        <f t="shared" si="7"/>
        <v>0</v>
      </c>
      <c r="N60" s="433">
        <f t="shared" si="7"/>
        <v>7416.6345823568354</v>
      </c>
      <c r="O60" s="433">
        <f t="shared" si="7"/>
        <v>165.70084558429917</v>
      </c>
      <c r="P60" s="433">
        <f t="shared" si="7"/>
        <v>873.14200673196012</v>
      </c>
      <c r="Q60" s="433">
        <f t="shared" si="7"/>
        <v>0</v>
      </c>
      <c r="R60" s="433">
        <f t="shared" si="7"/>
        <v>0</v>
      </c>
      <c r="S60" s="433">
        <f t="shared" si="7"/>
        <v>0</v>
      </c>
      <c r="T60" s="433">
        <f t="shared" si="7"/>
        <v>0</v>
      </c>
      <c r="U60" s="433">
        <f t="shared" si="7"/>
        <v>0</v>
      </c>
      <c r="V60" s="433">
        <f t="shared" si="7"/>
        <v>0</v>
      </c>
      <c r="W60" s="433">
        <f t="shared" si="7"/>
        <v>0</v>
      </c>
      <c r="X60" s="433">
        <f t="shared" si="7"/>
        <v>0</v>
      </c>
      <c r="Y60" s="433">
        <f t="shared" si="7"/>
        <v>0</v>
      </c>
    </row>
    <row r="61" spans="2:27" x14ac:dyDescent="0.25"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</row>
    <row r="62" spans="2:27" x14ac:dyDescent="0.25">
      <c r="E62" s="295" t="s">
        <v>1144</v>
      </c>
      <c r="G62" s="122" t="s">
        <v>107</v>
      </c>
      <c r="H62" s="253">
        <f>SUM( J60:Y60 )</f>
        <v>1464453.3745785893</v>
      </c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</row>
    <row r="63" spans="2:27" x14ac:dyDescent="0.25"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</row>
    <row r="64" spans="2:27" x14ac:dyDescent="0.25">
      <c r="E64" s="295" t="s">
        <v>1145</v>
      </c>
      <c r="G64" s="122" t="s">
        <v>692</v>
      </c>
      <c r="H64" s="420">
        <f>IF( ABS( IFERROR( H62, 0 ) - ( H30 + H31 ) ) &lt; 10^-check_decimals, 0, 1)</f>
        <v>0</v>
      </c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</row>
    <row r="65" spans="2:27" x14ac:dyDescent="0.25"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</row>
    <row r="66" spans="2:27" x14ac:dyDescent="0.25">
      <c r="E66" s="295" t="s">
        <v>516</v>
      </c>
      <c r="G66" s="122" t="s">
        <v>692</v>
      </c>
      <c r="H66" s="148">
        <f t="array" ref="H66">SUM( IF( ISERROR( H20:Y57 ), 1 )) + H64</f>
        <v>0</v>
      </c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</row>
    <row r="67" spans="2:27" x14ac:dyDescent="0.25"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</row>
    <row r="68" spans="2:27" x14ac:dyDescent="0.25">
      <c r="B68" s="95" t="s">
        <v>110</v>
      </c>
      <c r="C68" s="95"/>
      <c r="D68" s="95"/>
      <c r="E68" s="95"/>
      <c r="F68" s="95"/>
      <c r="G68" s="95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95"/>
      <c r="AA68" s="95"/>
    </row>
    <row r="69" spans="2:27" x14ac:dyDescent="0.25">
      <c r="H69" s="111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1"/>
    </row>
    <row r="70" spans="2:27" x14ac:dyDescent="0.25">
      <c r="H70" s="111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1"/>
    </row>
    <row r="71" spans="2:27" x14ac:dyDescent="0.25">
      <c r="H71" s="111"/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1"/>
    </row>
    <row r="72" spans="2:27" x14ac:dyDescent="0.25">
      <c r="H72" s="111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1"/>
    </row>
    <row r="73" spans="2:27" x14ac:dyDescent="0.25">
      <c r="H73" s="111"/>
      <c r="I73" s="111"/>
      <c r="J73" s="111"/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</row>
    <row r="74" spans="2:27" x14ac:dyDescent="0.25">
      <c r="H74" s="111"/>
      <c r="I74" s="111"/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</row>
    <row r="75" spans="2:27" x14ac:dyDescent="0.25">
      <c r="H75" s="111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</row>
    <row r="76" spans="2:27" x14ac:dyDescent="0.25"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</row>
  </sheetData>
  <sheetProtection sheet="1" objects="1" formatCells="0" formatColumns="0" formatRows="0" sort="0" autoFilter="0"/>
  <conditionalFormatting sqref="H66">
    <cfRule type="cellIs" dxfId="26" priority="3" operator="greaterThan">
      <formula>0</formula>
    </cfRule>
  </conditionalFormatting>
  <conditionalFormatting sqref="A4:XFD4">
    <cfRule type="expression" dxfId="25" priority="2">
      <formula>LEFT($A$4,1) &lt;&gt; "0"</formula>
    </cfRule>
  </conditionalFormatting>
  <conditionalFormatting sqref="H64">
    <cfRule type="cellIs" dxfId="24" priority="1" operator="greaterThan">
      <formula>0</formula>
    </cfRule>
  </conditionalFormatting>
  <hyperlinks>
    <hyperlink ref="B5:F5" location="'Model map'!A1" display="Click here to return to model map" xr:uid="{00000000-0004-0000-20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5">
    <tabColor theme="4" tint="0.59999389629810485"/>
    <pageSetUpPr fitToPage="1"/>
  </sheetPr>
  <dimension ref="A1:LE1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17" width="24.5703125" style="295" hidden="1" customWidth="1"/>
    <col min="318" max="16384" width="8.5703125" style="295" hidden="1"/>
  </cols>
  <sheetData>
    <row r="1" spans="1:27" s="10" customFormat="1" x14ac:dyDescent="0.25">
      <c r="A1" s="10" t="str">
        <f ca="1">MID(CELL("filename",A1),FIND("]",CELL("filename",A1))+1,255)</f>
        <v>Rounding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1" t="str">
        <f>H158 &amp; IF(H158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2" t="s">
        <v>552</v>
      </c>
      <c r="C5" s="373"/>
      <c r="D5" s="373"/>
      <c r="E5" s="373"/>
      <c r="F5" s="373"/>
      <c r="G5" s="1" t="s">
        <v>91</v>
      </c>
      <c r="H5" s="2" t="s">
        <v>92</v>
      </c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855</v>
      </c>
      <c r="E9" s="295"/>
    </row>
    <row r="10" spans="1:27" x14ac:dyDescent="0.25">
      <c r="C10" s="82" t="s">
        <v>877</v>
      </c>
      <c r="E10" s="295"/>
    </row>
    <row r="12" spans="1:27" x14ac:dyDescent="0.25">
      <c r="B12" s="95" t="s">
        <v>326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4" spans="1:27" x14ac:dyDescent="0.25">
      <c r="C14" s="82" t="s">
        <v>878</v>
      </c>
    </row>
    <row r="16" spans="1:27" x14ac:dyDescent="0.25">
      <c r="C16" s="7" t="str">
        <f ca="1">INDEX('Version control'!$H$34:$H$58,MATCH($A$1,'Version control'!$F$34:$F$58,0),1)&amp;"-A: Pre-match, pre-rounding tariff forecast"</f>
        <v>Section 520-A: Pre-match, pre-rounding tariff forecast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8" spans="3:27" x14ac:dyDescent="0.25">
      <c r="E18" s="96" t="s">
        <v>879</v>
      </c>
      <c r="F18" s="96"/>
    </row>
    <row r="19" spans="3:27" x14ac:dyDescent="0.25">
      <c r="E19" s="82" t="s">
        <v>916</v>
      </c>
      <c r="F19" s="98"/>
    </row>
    <row r="20" spans="3:27" x14ac:dyDescent="0.25">
      <c r="C20" s="86"/>
      <c r="F20" s="91" t="s">
        <v>134</v>
      </c>
      <c r="G20" s="91" t="s">
        <v>183</v>
      </c>
      <c r="H20" s="361"/>
      <c r="I20" s="350"/>
      <c r="J20" s="361">
        <f>'Revenue matching'!J20</f>
        <v>9.0075798509575993</v>
      </c>
      <c r="K20" s="361">
        <f>'Revenue matching'!K20</f>
        <v>9.0075798509575993</v>
      </c>
      <c r="L20" s="361">
        <f>'Revenue matching'!L20</f>
        <v>10.462349584574492</v>
      </c>
      <c r="M20" s="361">
        <f>'Revenue matching'!M20</f>
        <v>10.462349584574492</v>
      </c>
      <c r="N20" s="361">
        <f>'Revenue matching'!N20</f>
        <v>7.0335580755778464</v>
      </c>
      <c r="O20" s="361">
        <f>'Revenue matching'!O20</f>
        <v>4.1620061131966093</v>
      </c>
      <c r="P20" s="361">
        <f>'Revenue matching'!P20</f>
        <v>3.1534185792984371</v>
      </c>
      <c r="Q20" s="361">
        <f>'Revenue matching'!Q20</f>
        <v>21.581103155032686</v>
      </c>
      <c r="R20" s="361">
        <f>'Revenue matching'!R20</f>
        <v>-6.4413635387668471</v>
      </c>
      <c r="S20" s="361">
        <f>'Revenue matching'!S20</f>
        <v>-5.6891199709087141</v>
      </c>
      <c r="T20" s="361">
        <f>'Revenue matching'!T20</f>
        <v>-6.4413635387668471</v>
      </c>
      <c r="U20" s="361">
        <f>'Revenue matching'!U20</f>
        <v>-6.4413635387668471</v>
      </c>
      <c r="V20" s="361">
        <f>'Revenue matching'!V20</f>
        <v>-5.6891199709087141</v>
      </c>
      <c r="W20" s="361">
        <f>'Revenue matching'!W20</f>
        <v>-5.6891199709087141</v>
      </c>
      <c r="X20" s="361">
        <f>'Revenue matching'!X20</f>
        <v>-3.732687631507082</v>
      </c>
      <c r="Y20" s="361">
        <f>'Revenue matching'!Y20</f>
        <v>-3.732687631507082</v>
      </c>
      <c r="Z20" s="352"/>
      <c r="AA20" s="352"/>
    </row>
    <row r="21" spans="3:27" x14ac:dyDescent="0.25">
      <c r="C21" s="86"/>
      <c r="F21" s="295" t="s">
        <v>135</v>
      </c>
      <c r="G21" s="295" t="s">
        <v>183</v>
      </c>
      <c r="H21" s="421"/>
      <c r="I21" s="352"/>
      <c r="J21" s="421">
        <f>'Revenue matching'!J21</f>
        <v>0.88300920268903393</v>
      </c>
      <c r="K21" s="421">
        <f>'Revenue matching'!K21</f>
        <v>0.88300920268903393</v>
      </c>
      <c r="L21" s="421">
        <f>'Revenue matching'!L21</f>
        <v>1.0256196578648074</v>
      </c>
      <c r="M21" s="421">
        <f>'Revenue matching'!M21</f>
        <v>1.0256196578648074</v>
      </c>
      <c r="N21" s="421">
        <f>'Revenue matching'!N21</f>
        <v>0.66594714340259142</v>
      </c>
      <c r="O21" s="421">
        <f>'Revenue matching'!O21</f>
        <v>0.35402490513798557</v>
      </c>
      <c r="P21" s="421">
        <f>'Revenue matching'!P21</f>
        <v>0.25261633874531259</v>
      </c>
      <c r="Q21" s="421">
        <f>'Revenue matching'!Q21</f>
        <v>1.1952447724229316</v>
      </c>
      <c r="R21" s="421">
        <f>'Revenue matching'!R21</f>
        <v>-0.63144411448010185</v>
      </c>
      <c r="S21" s="421">
        <f>'Revenue matching'!S21</f>
        <v>-0.54797375527131609</v>
      </c>
      <c r="T21" s="421">
        <f>'Revenue matching'!T21</f>
        <v>-0.63144411448010185</v>
      </c>
      <c r="U21" s="421">
        <f>'Revenue matching'!U21</f>
        <v>-0.63144411448010185</v>
      </c>
      <c r="V21" s="421">
        <f>'Revenue matching'!V21</f>
        <v>-0.54797375527131609</v>
      </c>
      <c r="W21" s="421">
        <f>'Revenue matching'!W21</f>
        <v>-0.54797375527131609</v>
      </c>
      <c r="X21" s="421">
        <f>'Revenue matching'!X21</f>
        <v>-0.31633967493658671</v>
      </c>
      <c r="Y21" s="421">
        <f>'Revenue matching'!Y21</f>
        <v>-0.31633967493658671</v>
      </c>
      <c r="Z21" s="352"/>
      <c r="AA21" s="352"/>
    </row>
    <row r="22" spans="3:27" x14ac:dyDescent="0.25">
      <c r="C22" s="86"/>
      <c r="F22" s="295" t="s">
        <v>136</v>
      </c>
      <c r="G22" s="295" t="s">
        <v>183</v>
      </c>
      <c r="H22" s="421"/>
      <c r="I22" s="352"/>
      <c r="J22" s="421">
        <f>'Revenue matching'!J22</f>
        <v>2.2825020549340613E-2</v>
      </c>
      <c r="K22" s="421">
        <f>'Revenue matching'!K22</f>
        <v>2.2825020549340613E-2</v>
      </c>
      <c r="L22" s="421">
        <f>'Revenue matching'!L22</f>
        <v>2.6511376886313207E-2</v>
      </c>
      <c r="M22" s="421">
        <f>'Revenue matching'!M22</f>
        <v>2.6511376886313207E-2</v>
      </c>
      <c r="N22" s="421">
        <f>'Revenue matching'!N22</f>
        <v>1.6180688220383998E-2</v>
      </c>
      <c r="O22" s="421">
        <f>'Revenue matching'!O22</f>
        <v>6.782565073577133E-3</v>
      </c>
      <c r="P22" s="421">
        <f>'Revenue matching'!P22</f>
        <v>4.0498989835803315E-3</v>
      </c>
      <c r="Q22" s="421">
        <f>'Revenue matching'!Q22</f>
        <v>0.44929121314425297</v>
      </c>
      <c r="R22" s="421">
        <f>'Revenue matching'!R22</f>
        <v>-1.632228163067535E-2</v>
      </c>
      <c r="S22" s="421">
        <f>'Revenue matching'!S22</f>
        <v>-1.3737723553938727E-2</v>
      </c>
      <c r="T22" s="421">
        <f>'Revenue matching'!T22</f>
        <v>-1.632228163067535E-2</v>
      </c>
      <c r="U22" s="421">
        <f>'Revenue matching'!U22</f>
        <v>-1.632228163067535E-2</v>
      </c>
      <c r="V22" s="421">
        <f>'Revenue matching'!V22</f>
        <v>-1.3737723553938727E-2</v>
      </c>
      <c r="W22" s="421">
        <f>'Revenue matching'!W22</f>
        <v>-1.3737723553938727E-2</v>
      </c>
      <c r="X22" s="421">
        <f>'Revenue matching'!X22</f>
        <v>-6.0015573611233893E-3</v>
      </c>
      <c r="Y22" s="421">
        <f>'Revenue matching'!Y22</f>
        <v>-6.0015573611233893E-3</v>
      </c>
      <c r="Z22" s="352"/>
      <c r="AA22" s="352"/>
    </row>
    <row r="23" spans="3:27" x14ac:dyDescent="0.25">
      <c r="C23" s="86"/>
      <c r="F23" s="295" t="s">
        <v>311</v>
      </c>
      <c r="G23" s="295" t="s">
        <v>309</v>
      </c>
      <c r="H23" s="385"/>
      <c r="J23" s="274">
        <f>'Revenue matching'!J23</f>
        <v>4.5716420838261662</v>
      </c>
      <c r="K23" s="274">
        <f>'Revenue matching'!K23</f>
        <v>0</v>
      </c>
      <c r="L23" s="274">
        <f>'Revenue matching'!L23</f>
        <v>5.8510599368879221</v>
      </c>
      <c r="M23" s="274">
        <f>'Revenue matching'!M23</f>
        <v>0</v>
      </c>
      <c r="N23" s="274">
        <f>'Revenue matching'!N23</f>
        <v>23.235516904135658</v>
      </c>
      <c r="O23" s="274">
        <f>'Revenue matching'!O23</f>
        <v>8.2007706720478808</v>
      </c>
      <c r="P23" s="274">
        <f>'Revenue matching'!P23</f>
        <v>124.16460347195436</v>
      </c>
      <c r="Q23" s="274">
        <f>'Revenue matching'!Q23</f>
        <v>0</v>
      </c>
      <c r="R23" s="274">
        <f>'Revenue matching'!R23</f>
        <v>0</v>
      </c>
      <c r="S23" s="274">
        <f>'Revenue matching'!S23</f>
        <v>0</v>
      </c>
      <c r="T23" s="274">
        <f>'Revenue matching'!T23</f>
        <v>0</v>
      </c>
      <c r="U23" s="274">
        <f>'Revenue matching'!U23</f>
        <v>0</v>
      </c>
      <c r="V23" s="274">
        <f>'Revenue matching'!V23</f>
        <v>0</v>
      </c>
      <c r="W23" s="274">
        <f>'Revenue matching'!W23</f>
        <v>0</v>
      </c>
      <c r="X23" s="274">
        <f>'Revenue matching'!X23</f>
        <v>90.667330037272208</v>
      </c>
      <c r="Y23" s="274">
        <f>'Revenue matching'!Y23</f>
        <v>90.667330037272208</v>
      </c>
    </row>
    <row r="24" spans="3:27" x14ac:dyDescent="0.25">
      <c r="C24" s="86"/>
      <c r="F24" s="295" t="s">
        <v>312</v>
      </c>
      <c r="G24" s="295" t="s">
        <v>308</v>
      </c>
      <c r="H24" s="385"/>
      <c r="J24" s="274">
        <f>'Revenue matching'!J24</f>
        <v>0</v>
      </c>
      <c r="K24" s="274">
        <f>'Revenue matching'!K24</f>
        <v>0</v>
      </c>
      <c r="L24" s="274">
        <f>'Revenue matching'!L24</f>
        <v>0</v>
      </c>
      <c r="M24" s="274">
        <f>'Revenue matching'!M24</f>
        <v>0</v>
      </c>
      <c r="N24" s="274">
        <f>'Revenue matching'!N24</f>
        <v>2.498083735110924</v>
      </c>
      <c r="O24" s="274">
        <f>'Revenue matching'!O24</f>
        <v>4.5053338960962241</v>
      </c>
      <c r="P24" s="274">
        <f>'Revenue matching'!P24</f>
        <v>4.9643297738527297</v>
      </c>
      <c r="Q24" s="274">
        <f>'Revenue matching'!Q24</f>
        <v>0</v>
      </c>
      <c r="R24" s="274">
        <f>'Revenue matching'!R24</f>
        <v>0</v>
      </c>
      <c r="S24" s="274">
        <f>'Revenue matching'!S24</f>
        <v>0</v>
      </c>
      <c r="T24" s="274">
        <f>'Revenue matching'!T24</f>
        <v>0</v>
      </c>
      <c r="U24" s="274">
        <f>'Revenue matching'!U24</f>
        <v>0</v>
      </c>
      <c r="V24" s="274">
        <f>'Revenue matching'!V24</f>
        <v>0</v>
      </c>
      <c r="W24" s="274">
        <f>'Revenue matching'!W24</f>
        <v>0</v>
      </c>
      <c r="X24" s="274">
        <f>'Revenue matching'!X24</f>
        <v>0</v>
      </c>
      <c r="Y24" s="274">
        <f>'Revenue matching'!Y24</f>
        <v>0</v>
      </c>
    </row>
    <row r="25" spans="3:27" x14ac:dyDescent="0.25">
      <c r="C25" s="86"/>
      <c r="F25" s="295" t="s">
        <v>313</v>
      </c>
      <c r="G25" s="295" t="s">
        <v>308</v>
      </c>
      <c r="H25" s="385"/>
      <c r="J25" s="274">
        <f>'Revenue matching'!J25</f>
        <v>0</v>
      </c>
      <c r="K25" s="274">
        <f>'Revenue matching'!K25</f>
        <v>0</v>
      </c>
      <c r="L25" s="274">
        <f>'Revenue matching'!L25</f>
        <v>0</v>
      </c>
      <c r="M25" s="274">
        <f>'Revenue matching'!M25</f>
        <v>0</v>
      </c>
      <c r="N25" s="274">
        <f>'Revenue matching'!N25</f>
        <v>3.691279099689118</v>
      </c>
      <c r="O25" s="274">
        <f>'Revenue matching'!O25</f>
        <v>5.1392827901526239</v>
      </c>
      <c r="P25" s="274">
        <f>'Revenue matching'!P25</f>
        <v>6.1243810865470367</v>
      </c>
      <c r="Q25" s="274">
        <f>'Revenue matching'!Q25</f>
        <v>0</v>
      </c>
      <c r="R25" s="274">
        <f>'Revenue matching'!R25</f>
        <v>0</v>
      </c>
      <c r="S25" s="274">
        <f>'Revenue matching'!S25</f>
        <v>0</v>
      </c>
      <c r="T25" s="274">
        <f>'Revenue matching'!T25</f>
        <v>0</v>
      </c>
      <c r="U25" s="274">
        <f>'Revenue matching'!U25</f>
        <v>0</v>
      </c>
      <c r="V25" s="274">
        <f>'Revenue matching'!V25</f>
        <v>0</v>
      </c>
      <c r="W25" s="274">
        <f>'Revenue matching'!W25</f>
        <v>0</v>
      </c>
      <c r="X25" s="274">
        <f>'Revenue matching'!X25</f>
        <v>0</v>
      </c>
      <c r="Y25" s="274">
        <f>'Revenue matching'!Y25</f>
        <v>0</v>
      </c>
    </row>
    <row r="26" spans="3:27" x14ac:dyDescent="0.25">
      <c r="C26" s="86"/>
      <c r="F26" s="93" t="s">
        <v>314</v>
      </c>
      <c r="G26" s="93" t="s">
        <v>315</v>
      </c>
      <c r="H26" s="364"/>
      <c r="I26" s="354"/>
      <c r="J26" s="364">
        <f>'Revenue matching'!J26</f>
        <v>0</v>
      </c>
      <c r="K26" s="364">
        <f>'Revenue matching'!K26</f>
        <v>0</v>
      </c>
      <c r="L26" s="364">
        <f>'Revenue matching'!L26</f>
        <v>0</v>
      </c>
      <c r="M26" s="364">
        <f>'Revenue matching'!M26</f>
        <v>0</v>
      </c>
      <c r="N26" s="364">
        <f>'Revenue matching'!N26</f>
        <v>0.23544821131127469</v>
      </c>
      <c r="O26" s="364">
        <f>'Revenue matching'!O26</f>
        <v>0.13709057031775684</v>
      </c>
      <c r="P26" s="364">
        <f>'Revenue matching'!P26</f>
        <v>0.10158869577513742</v>
      </c>
      <c r="Q26" s="364">
        <f>'Revenue matching'!Q26</f>
        <v>0</v>
      </c>
      <c r="R26" s="364">
        <f>'Revenue matching'!R26</f>
        <v>0</v>
      </c>
      <c r="S26" s="364">
        <f>'Revenue matching'!S26</f>
        <v>0</v>
      </c>
      <c r="T26" s="364">
        <f>'Revenue matching'!T26</f>
        <v>0.20319917220642791</v>
      </c>
      <c r="U26" s="364">
        <f>'Revenue matching'!U26</f>
        <v>0</v>
      </c>
      <c r="V26" s="364">
        <f>'Revenue matching'!V26</f>
        <v>0.1816089264144457</v>
      </c>
      <c r="W26" s="364">
        <f>'Revenue matching'!W26</f>
        <v>0</v>
      </c>
      <c r="X26" s="364">
        <f>'Revenue matching'!X26</f>
        <v>0.15574087273376108</v>
      </c>
      <c r="Y26" s="364">
        <f>'Revenue matching'!Y26</f>
        <v>0</v>
      </c>
      <c r="Z26" s="352"/>
      <c r="AA26" s="352"/>
    </row>
    <row r="27" spans="3:27" x14ac:dyDescent="0.25">
      <c r="C27" s="86"/>
      <c r="E27" s="295"/>
      <c r="J27" s="253"/>
      <c r="K27" s="253"/>
      <c r="L27" s="253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</row>
    <row r="28" spans="3:27" x14ac:dyDescent="0.25">
      <c r="C28" s="7" t="str">
        <f ca="1">INDEX('Version control'!$H$34:$H$58,MATCH($A$1,'Version control'!$F$34:$F$58,0),1)&amp;"-B: Adder to be applied to unit rates"</f>
        <v>Section 520-B: Adder to be applied to unit rates</v>
      </c>
      <c r="D28" s="7"/>
      <c r="E28" s="7"/>
      <c r="F28" s="7"/>
      <c r="G28" s="7"/>
      <c r="H28" s="7"/>
      <c r="I28" s="7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7"/>
      <c r="AA28" s="7"/>
    </row>
    <row r="29" spans="3:27" x14ac:dyDescent="0.25"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</row>
    <row r="30" spans="3:27" x14ac:dyDescent="0.25">
      <c r="E30" s="86" t="s">
        <v>513</v>
      </c>
      <c r="J30" s="253"/>
      <c r="K30" s="253"/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</row>
    <row r="31" spans="3:27" x14ac:dyDescent="0.25">
      <c r="E31" s="82" t="s">
        <v>512</v>
      </c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</row>
    <row r="32" spans="3:27" x14ac:dyDescent="0.25">
      <c r="E32" s="86"/>
      <c r="F32" s="91" t="s">
        <v>134</v>
      </c>
      <c r="G32" s="91" t="s">
        <v>183</v>
      </c>
      <c r="H32" s="361"/>
      <c r="I32" s="350"/>
      <c r="J32" s="361">
        <f>'Revenue matching'!J139</f>
        <v>1.147104687642698</v>
      </c>
      <c r="K32" s="361">
        <f>'Revenue matching'!K139</f>
        <v>1.147104687642698</v>
      </c>
      <c r="L32" s="361">
        <f>'Revenue matching'!L139</f>
        <v>1.147104687642698</v>
      </c>
      <c r="M32" s="361">
        <f>'Revenue matching'!M139</f>
        <v>1.147104687642698</v>
      </c>
      <c r="N32" s="361">
        <f>'Revenue matching'!N139</f>
        <v>1.147104687642698</v>
      </c>
      <c r="O32" s="361">
        <f>'Revenue matching'!O139</f>
        <v>1.147104687642698</v>
      </c>
      <c r="P32" s="361">
        <f>'Revenue matching'!P139</f>
        <v>1.147104687642698</v>
      </c>
      <c r="Q32" s="361">
        <f>'Revenue matching'!Q139</f>
        <v>1.147104687642698</v>
      </c>
      <c r="R32" s="361">
        <f>'Revenue matching'!R139</f>
        <v>0</v>
      </c>
      <c r="S32" s="361">
        <f>'Revenue matching'!S139</f>
        <v>0</v>
      </c>
      <c r="T32" s="361">
        <f>'Revenue matching'!T139</f>
        <v>0</v>
      </c>
      <c r="U32" s="361">
        <f>'Revenue matching'!U139</f>
        <v>0</v>
      </c>
      <c r="V32" s="361">
        <f>'Revenue matching'!V139</f>
        <v>0</v>
      </c>
      <c r="W32" s="361">
        <f>'Revenue matching'!W139</f>
        <v>0</v>
      </c>
      <c r="X32" s="361">
        <f>'Revenue matching'!X139</f>
        <v>0</v>
      </c>
      <c r="Y32" s="361">
        <f>'Revenue matching'!Y139</f>
        <v>0</v>
      </c>
      <c r="Z32" s="352"/>
      <c r="AA32" s="352"/>
    </row>
    <row r="33" spans="3:27" x14ac:dyDescent="0.25">
      <c r="E33" s="86"/>
      <c r="F33" s="295" t="s">
        <v>135</v>
      </c>
      <c r="G33" s="295" t="s">
        <v>183</v>
      </c>
      <c r="H33" s="421"/>
      <c r="I33" s="352"/>
      <c r="J33" s="421">
        <f>'Revenue matching'!J140</f>
        <v>1.147104687642698</v>
      </c>
      <c r="K33" s="421">
        <f>'Revenue matching'!K140</f>
        <v>1.147104687642698</v>
      </c>
      <c r="L33" s="421">
        <f>'Revenue matching'!L140</f>
        <v>1.147104687642698</v>
      </c>
      <c r="M33" s="421">
        <f>'Revenue matching'!M140</f>
        <v>1.147104687642698</v>
      </c>
      <c r="N33" s="421">
        <f>'Revenue matching'!N140</f>
        <v>1.147104687642698</v>
      </c>
      <c r="O33" s="421">
        <f>'Revenue matching'!O140</f>
        <v>1.147104687642698</v>
      </c>
      <c r="P33" s="421">
        <f>'Revenue matching'!P140</f>
        <v>1.147104687642698</v>
      </c>
      <c r="Q33" s="421">
        <f>'Revenue matching'!Q140</f>
        <v>1.147104687642698</v>
      </c>
      <c r="R33" s="421">
        <f>'Revenue matching'!R140</f>
        <v>0</v>
      </c>
      <c r="S33" s="421">
        <f>'Revenue matching'!S140</f>
        <v>0</v>
      </c>
      <c r="T33" s="421">
        <f>'Revenue matching'!T140</f>
        <v>0</v>
      </c>
      <c r="U33" s="421">
        <f>'Revenue matching'!U140</f>
        <v>0</v>
      </c>
      <c r="V33" s="421">
        <f>'Revenue matching'!V140</f>
        <v>0</v>
      </c>
      <c r="W33" s="421">
        <f>'Revenue matching'!W140</f>
        <v>0</v>
      </c>
      <c r="X33" s="421">
        <f>'Revenue matching'!X140</f>
        <v>0</v>
      </c>
      <c r="Y33" s="421">
        <f>'Revenue matching'!Y140</f>
        <v>0</v>
      </c>
      <c r="Z33" s="352"/>
      <c r="AA33" s="352"/>
    </row>
    <row r="34" spans="3:27" x14ac:dyDescent="0.25">
      <c r="E34" s="86"/>
      <c r="F34" s="295" t="s">
        <v>136</v>
      </c>
      <c r="G34" s="295" t="s">
        <v>183</v>
      </c>
      <c r="H34" s="421"/>
      <c r="I34" s="352"/>
      <c r="J34" s="421">
        <f>'Revenue matching'!J141</f>
        <v>1.147104687642698</v>
      </c>
      <c r="K34" s="421">
        <f>'Revenue matching'!K141</f>
        <v>1.147104687642698</v>
      </c>
      <c r="L34" s="421">
        <f>'Revenue matching'!L141</f>
        <v>1.147104687642698</v>
      </c>
      <c r="M34" s="421">
        <f>'Revenue matching'!M141</f>
        <v>1.147104687642698</v>
      </c>
      <c r="N34" s="421">
        <f>'Revenue matching'!N141</f>
        <v>1.147104687642698</v>
      </c>
      <c r="O34" s="421">
        <f>'Revenue matching'!O141</f>
        <v>1.147104687642698</v>
      </c>
      <c r="P34" s="421">
        <f>'Revenue matching'!P141</f>
        <v>1.147104687642698</v>
      </c>
      <c r="Q34" s="421">
        <f>'Revenue matching'!Q141</f>
        <v>1.147104687642698</v>
      </c>
      <c r="R34" s="421">
        <f>'Revenue matching'!R141</f>
        <v>0</v>
      </c>
      <c r="S34" s="421">
        <f>'Revenue matching'!S141</f>
        <v>0</v>
      </c>
      <c r="T34" s="421">
        <f>'Revenue matching'!T141</f>
        <v>0</v>
      </c>
      <c r="U34" s="421">
        <f>'Revenue matching'!U141</f>
        <v>0</v>
      </c>
      <c r="V34" s="421">
        <f>'Revenue matching'!V141</f>
        <v>0</v>
      </c>
      <c r="W34" s="421">
        <f>'Revenue matching'!W141</f>
        <v>0</v>
      </c>
      <c r="X34" s="421">
        <f>'Revenue matching'!X141</f>
        <v>0</v>
      </c>
      <c r="Y34" s="421">
        <f>'Revenue matching'!Y141</f>
        <v>0</v>
      </c>
      <c r="Z34" s="352"/>
      <c r="AA34" s="352"/>
    </row>
    <row r="35" spans="3:27" x14ac:dyDescent="0.25">
      <c r="E35" s="86"/>
      <c r="F35" s="295" t="s">
        <v>311</v>
      </c>
      <c r="G35" s="295" t="s">
        <v>309</v>
      </c>
      <c r="H35" s="385"/>
      <c r="J35" s="280"/>
      <c r="K35" s="280"/>
      <c r="L35" s="280"/>
      <c r="M35" s="280"/>
      <c r="N35" s="280"/>
      <c r="O35" s="280"/>
      <c r="P35" s="280"/>
      <c r="Q35" s="280"/>
      <c r="R35" s="280"/>
      <c r="S35" s="280"/>
      <c r="T35" s="280"/>
      <c r="U35" s="280"/>
      <c r="V35" s="280"/>
      <c r="W35" s="280"/>
      <c r="X35" s="280"/>
      <c r="Y35" s="280"/>
    </row>
    <row r="36" spans="3:27" x14ac:dyDescent="0.25">
      <c r="E36" s="86"/>
      <c r="F36" s="295" t="s">
        <v>312</v>
      </c>
      <c r="G36" s="295" t="s">
        <v>308</v>
      </c>
      <c r="H36" s="385"/>
      <c r="J36" s="280"/>
      <c r="K36" s="280"/>
      <c r="L36" s="280"/>
      <c r="M36" s="280"/>
      <c r="N36" s="280"/>
      <c r="O36" s="280"/>
      <c r="P36" s="280"/>
      <c r="Q36" s="280"/>
      <c r="R36" s="280"/>
      <c r="S36" s="280"/>
      <c r="T36" s="280"/>
      <c r="U36" s="280"/>
      <c r="V36" s="280"/>
      <c r="W36" s="280"/>
      <c r="X36" s="280"/>
      <c r="Y36" s="280"/>
    </row>
    <row r="37" spans="3:27" x14ac:dyDescent="0.25">
      <c r="E37" s="86"/>
      <c r="F37" s="295" t="s">
        <v>313</v>
      </c>
      <c r="G37" s="295" t="s">
        <v>308</v>
      </c>
      <c r="H37" s="385"/>
      <c r="J37" s="280"/>
      <c r="K37" s="280"/>
      <c r="L37" s="280"/>
      <c r="M37" s="280"/>
      <c r="N37" s="280"/>
      <c r="O37" s="280"/>
      <c r="P37" s="280"/>
      <c r="Q37" s="280"/>
      <c r="R37" s="280"/>
      <c r="S37" s="280"/>
      <c r="T37" s="280"/>
      <c r="U37" s="280"/>
      <c r="V37" s="280"/>
      <c r="W37" s="280"/>
      <c r="X37" s="280"/>
      <c r="Y37" s="280"/>
    </row>
    <row r="38" spans="3:27" x14ac:dyDescent="0.25">
      <c r="E38" s="86"/>
      <c r="F38" s="93" t="s">
        <v>314</v>
      </c>
      <c r="G38" s="93" t="s">
        <v>315</v>
      </c>
      <c r="H38" s="364"/>
      <c r="I38" s="354"/>
      <c r="J38" s="359"/>
      <c r="K38" s="359"/>
      <c r="L38" s="359"/>
      <c r="M38" s="359"/>
      <c r="N38" s="359"/>
      <c r="O38" s="359"/>
      <c r="P38" s="359"/>
      <c r="Q38" s="359"/>
      <c r="R38" s="359"/>
      <c r="S38" s="359"/>
      <c r="T38" s="359"/>
      <c r="U38" s="359"/>
      <c r="V38" s="359"/>
      <c r="W38" s="359"/>
      <c r="X38" s="359"/>
      <c r="Y38" s="359"/>
      <c r="Z38" s="352"/>
      <c r="AA38" s="352"/>
    </row>
    <row r="39" spans="3:27" x14ac:dyDescent="0.25">
      <c r="D39" s="86"/>
      <c r="E39" s="295"/>
    </row>
    <row r="40" spans="3:27" x14ac:dyDescent="0.25">
      <c r="C40" s="7" t="str">
        <f ca="1">INDEX('Version control'!$H$34:$H$58,MATCH($A$1,'Version control'!$F$34:$F$58,0),1)&amp;"-C: Adder to be applied to fixed charge"</f>
        <v>Section 520-C: Adder to be applied to fixed charge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  <row r="42" spans="3:27" x14ac:dyDescent="0.25">
      <c r="E42" s="86" t="s">
        <v>1146</v>
      </c>
    </row>
    <row r="43" spans="3:27" x14ac:dyDescent="0.25">
      <c r="E43" s="82" t="s">
        <v>1147</v>
      </c>
    </row>
    <row r="44" spans="3:27" x14ac:dyDescent="0.25">
      <c r="E44" s="86"/>
      <c r="F44" s="91" t="s">
        <v>134</v>
      </c>
      <c r="G44" s="91" t="s">
        <v>183</v>
      </c>
      <c r="H44" s="361"/>
      <c r="I44" s="350"/>
      <c r="J44" s="239"/>
      <c r="K44" s="239"/>
      <c r="L44" s="239"/>
      <c r="M44" s="239"/>
      <c r="N44" s="239"/>
      <c r="O44" s="239"/>
      <c r="P44" s="239"/>
      <c r="Q44" s="239"/>
      <c r="R44" s="239"/>
      <c r="S44" s="239"/>
      <c r="T44" s="239"/>
      <c r="U44" s="239"/>
      <c r="V44" s="239"/>
      <c r="W44" s="239"/>
      <c r="X44" s="239"/>
      <c r="Y44" s="239"/>
    </row>
    <row r="45" spans="3:27" x14ac:dyDescent="0.25">
      <c r="E45" s="86"/>
      <c r="F45" s="295" t="s">
        <v>135</v>
      </c>
      <c r="G45" s="295" t="s">
        <v>183</v>
      </c>
      <c r="H45" s="421"/>
      <c r="I45" s="352"/>
      <c r="J45" s="280"/>
      <c r="K45" s="280"/>
      <c r="L45" s="280"/>
      <c r="M45" s="280"/>
      <c r="N45" s="280"/>
      <c r="O45" s="280"/>
      <c r="P45" s="280"/>
      <c r="Q45" s="280"/>
      <c r="R45" s="280"/>
      <c r="S45" s="280"/>
      <c r="T45" s="280"/>
      <c r="U45" s="280"/>
      <c r="V45" s="280"/>
      <c r="W45" s="280"/>
      <c r="X45" s="280"/>
      <c r="Y45" s="280"/>
    </row>
    <row r="46" spans="3:27" x14ac:dyDescent="0.25">
      <c r="E46" s="86"/>
      <c r="F46" s="295" t="s">
        <v>136</v>
      </c>
      <c r="G46" s="295" t="s">
        <v>183</v>
      </c>
      <c r="H46" s="421"/>
      <c r="I46" s="352"/>
      <c r="J46" s="280"/>
      <c r="K46" s="280"/>
      <c r="L46" s="280"/>
      <c r="M46" s="280"/>
      <c r="N46" s="280"/>
      <c r="O46" s="280"/>
      <c r="P46" s="280"/>
      <c r="Q46" s="280"/>
      <c r="R46" s="280"/>
      <c r="S46" s="280"/>
      <c r="T46" s="280"/>
      <c r="U46" s="280"/>
      <c r="V46" s="280"/>
      <c r="W46" s="280"/>
      <c r="X46" s="280"/>
      <c r="Y46" s="280"/>
    </row>
    <row r="47" spans="3:27" x14ac:dyDescent="0.25">
      <c r="E47" s="86"/>
      <c r="F47" s="295" t="s">
        <v>311</v>
      </c>
      <c r="G47" s="295" t="s">
        <v>309</v>
      </c>
      <c r="H47" s="385"/>
      <c r="J47" s="274">
        <f>'Fixed charge adder'!J46</f>
        <v>0.1918907862699662</v>
      </c>
      <c r="K47" s="274">
        <f>'Fixed charge adder'!K46</f>
        <v>0</v>
      </c>
      <c r="L47" s="274">
        <f>'Fixed charge adder'!L46</f>
        <v>0.18529588547307707</v>
      </c>
      <c r="M47" s="274">
        <f>'Fixed charge adder'!M46</f>
        <v>0</v>
      </c>
      <c r="N47" s="274">
        <f>'Fixed charge adder'!N46</f>
        <v>0.18529588547307707</v>
      </c>
      <c r="O47" s="274">
        <f>'Fixed charge adder'!O46</f>
        <v>0.18529588547307707</v>
      </c>
      <c r="P47" s="274">
        <f>'Fixed charge adder'!P46</f>
        <v>0.18529588547307707</v>
      </c>
      <c r="Q47" s="274">
        <f>'Fixed charge adder'!Q46</f>
        <v>0</v>
      </c>
      <c r="R47" s="274">
        <f>'Fixed charge adder'!R46</f>
        <v>0</v>
      </c>
      <c r="S47" s="274">
        <f>'Fixed charge adder'!S46</f>
        <v>0</v>
      </c>
      <c r="T47" s="274">
        <f>'Fixed charge adder'!T46</f>
        <v>0</v>
      </c>
      <c r="U47" s="274">
        <f>'Fixed charge adder'!U46</f>
        <v>0</v>
      </c>
      <c r="V47" s="274">
        <f>'Fixed charge adder'!V46</f>
        <v>0</v>
      </c>
      <c r="W47" s="274">
        <f>'Fixed charge adder'!W46</f>
        <v>0</v>
      </c>
      <c r="X47" s="274">
        <f>'Fixed charge adder'!X46</f>
        <v>0</v>
      </c>
      <c r="Y47" s="274">
        <f>'Fixed charge adder'!Y46</f>
        <v>0</v>
      </c>
    </row>
    <row r="48" spans="3:27" x14ac:dyDescent="0.25">
      <c r="E48" s="86"/>
      <c r="F48" s="295" t="s">
        <v>312</v>
      </c>
      <c r="G48" s="295" t="s">
        <v>308</v>
      </c>
      <c r="H48" s="385"/>
      <c r="J48" s="280"/>
      <c r="K48" s="280"/>
      <c r="L48" s="280"/>
      <c r="M48" s="280"/>
      <c r="N48" s="280"/>
      <c r="O48" s="280"/>
      <c r="P48" s="280"/>
      <c r="Q48" s="280"/>
      <c r="R48" s="280"/>
      <c r="S48" s="280"/>
      <c r="T48" s="280"/>
      <c r="U48" s="280"/>
      <c r="V48" s="280"/>
      <c r="W48" s="280"/>
      <c r="X48" s="280"/>
      <c r="Y48" s="280"/>
    </row>
    <row r="49" spans="3:27" x14ac:dyDescent="0.25">
      <c r="E49" s="86"/>
      <c r="F49" s="295" t="s">
        <v>313</v>
      </c>
      <c r="G49" s="295" t="s">
        <v>308</v>
      </c>
      <c r="H49" s="385"/>
      <c r="J49" s="280"/>
      <c r="K49" s="280"/>
      <c r="L49" s="280"/>
      <c r="M49" s="280"/>
      <c r="N49" s="280"/>
      <c r="O49" s="280"/>
      <c r="P49" s="280"/>
      <c r="Q49" s="280"/>
      <c r="R49" s="280"/>
      <c r="S49" s="280"/>
      <c r="T49" s="280"/>
      <c r="U49" s="280"/>
      <c r="V49" s="280"/>
      <c r="W49" s="280"/>
      <c r="X49" s="280"/>
      <c r="Y49" s="280"/>
    </row>
    <row r="50" spans="3:27" x14ac:dyDescent="0.25">
      <c r="E50" s="86"/>
      <c r="F50" s="93" t="s">
        <v>314</v>
      </c>
      <c r="G50" s="93" t="s">
        <v>315</v>
      </c>
      <c r="H50" s="364"/>
      <c r="I50" s="354"/>
      <c r="J50" s="359"/>
      <c r="K50" s="359"/>
      <c r="L50" s="359"/>
      <c r="M50" s="359"/>
      <c r="N50" s="359"/>
      <c r="O50" s="359"/>
      <c r="P50" s="359"/>
      <c r="Q50" s="359"/>
      <c r="R50" s="359"/>
      <c r="S50" s="359"/>
      <c r="T50" s="359"/>
      <c r="U50" s="359"/>
      <c r="V50" s="359"/>
      <c r="W50" s="359"/>
      <c r="X50" s="359"/>
      <c r="Y50" s="359"/>
    </row>
    <row r="51" spans="3:27" x14ac:dyDescent="0.25">
      <c r="D51" s="86"/>
      <c r="E51" s="295"/>
    </row>
    <row r="52" spans="3:27" x14ac:dyDescent="0.25">
      <c r="C52" s="7" t="str">
        <f ca="1">INDEX('Version control'!$H$34:$H$58,MATCH($A$1,'Version control'!$F$34:$F$58,0),1)&amp;"-D: LDNO discounts"</f>
        <v>Section 520-D: LDNO discounts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4" spans="3:27" x14ac:dyDescent="0.25">
      <c r="D54" s="295"/>
      <c r="E54" s="86" t="s">
        <v>514</v>
      </c>
      <c r="I54" s="295" t="s">
        <v>431</v>
      </c>
      <c r="AA54" s="295" t="s">
        <v>1026</v>
      </c>
    </row>
    <row r="55" spans="3:27" x14ac:dyDescent="0.25">
      <c r="D55" s="295"/>
      <c r="E55" s="86"/>
      <c r="F55" s="91" t="s">
        <v>134</v>
      </c>
      <c r="G55" s="91" t="s">
        <v>94</v>
      </c>
      <c r="H55" s="141"/>
      <c r="I55" s="91"/>
      <c r="J55" s="137">
        <f>'Volume adjustments'!J$62</f>
        <v>0.39067242808448932</v>
      </c>
      <c r="K55" s="137">
        <f>'Volume adjustments'!K$62</f>
        <v>0.39067242808448932</v>
      </c>
      <c r="L55" s="137">
        <f>'Volume adjustments'!L$62</f>
        <v>0.39067242808448932</v>
      </c>
      <c r="M55" s="137">
        <f>'Volume adjustments'!M$62</f>
        <v>0.39067242808448932</v>
      </c>
      <c r="N55" s="137">
        <f>'Volume adjustments'!N$62</f>
        <v>0.39067242808448932</v>
      </c>
      <c r="O55" s="137">
        <f>'Volume adjustments'!O$62</f>
        <v>0</v>
      </c>
      <c r="P55" s="137">
        <f>'Volume adjustments'!P$62</f>
        <v>0</v>
      </c>
      <c r="Q55" s="137">
        <f>'Volume adjustments'!Q$62</f>
        <v>0.39067242808448932</v>
      </c>
      <c r="R55" s="137">
        <f>'Volume adjustments'!R$62</f>
        <v>0</v>
      </c>
      <c r="S55" s="137">
        <f>'Volume adjustments'!S$62</f>
        <v>0</v>
      </c>
      <c r="T55" s="137">
        <f>'Volume adjustments'!T$62</f>
        <v>0</v>
      </c>
      <c r="U55" s="137">
        <f>'Volume adjustments'!U$62</f>
        <v>0</v>
      </c>
      <c r="V55" s="137">
        <f>'Volume adjustments'!V$62</f>
        <v>0</v>
      </c>
      <c r="W55" s="137">
        <f>'Volume adjustments'!W$62</f>
        <v>0</v>
      </c>
      <c r="X55" s="137">
        <f>'Volume adjustments'!X$62</f>
        <v>0</v>
      </c>
      <c r="Y55" s="137">
        <f>'Volume adjustments'!Y$62</f>
        <v>0</v>
      </c>
    </row>
    <row r="56" spans="3:27" x14ac:dyDescent="0.25">
      <c r="D56" s="295"/>
      <c r="E56" s="86"/>
      <c r="F56" s="295" t="s">
        <v>135</v>
      </c>
      <c r="G56" s="295" t="s">
        <v>94</v>
      </c>
      <c r="H56" s="385"/>
      <c r="J56" s="143">
        <f>'Volume adjustments'!J$73</f>
        <v>0.39067242808448932</v>
      </c>
      <c r="K56" s="143">
        <f>'Volume adjustments'!K$73</f>
        <v>0.39067242808448932</v>
      </c>
      <c r="L56" s="143">
        <f>'Volume adjustments'!L$73</f>
        <v>0.39067242808448932</v>
      </c>
      <c r="M56" s="143">
        <f>'Volume adjustments'!M$73</f>
        <v>0.39067242808448932</v>
      </c>
      <c r="N56" s="143">
        <f>'Volume adjustments'!N$73</f>
        <v>0.39067242808448932</v>
      </c>
      <c r="O56" s="143">
        <f>'Volume adjustments'!O$73</f>
        <v>0</v>
      </c>
      <c r="P56" s="143">
        <f>'Volume adjustments'!P$73</f>
        <v>0</v>
      </c>
      <c r="Q56" s="143">
        <f>'Volume adjustments'!Q$73</f>
        <v>0.39067242808448932</v>
      </c>
      <c r="R56" s="143">
        <f>'Volume adjustments'!R$73</f>
        <v>0</v>
      </c>
      <c r="S56" s="143">
        <f>'Volume adjustments'!S$73</f>
        <v>0</v>
      </c>
      <c r="T56" s="143">
        <f>'Volume adjustments'!T$73</f>
        <v>0</v>
      </c>
      <c r="U56" s="143">
        <f>'Volume adjustments'!U$73</f>
        <v>0</v>
      </c>
      <c r="V56" s="143">
        <f>'Volume adjustments'!V$73</f>
        <v>0</v>
      </c>
      <c r="W56" s="143">
        <f>'Volume adjustments'!W$73</f>
        <v>0</v>
      </c>
      <c r="X56" s="143">
        <f>'Volume adjustments'!X$73</f>
        <v>0</v>
      </c>
      <c r="Y56" s="143">
        <f>'Volume adjustments'!Y$73</f>
        <v>0</v>
      </c>
    </row>
    <row r="57" spans="3:27" x14ac:dyDescent="0.25">
      <c r="D57" s="295"/>
      <c r="E57" s="86"/>
      <c r="F57" s="295" t="s">
        <v>136</v>
      </c>
      <c r="G57" s="295" t="s">
        <v>94</v>
      </c>
      <c r="H57" s="385"/>
      <c r="J57" s="143">
        <f>'Volume adjustments'!J$84</f>
        <v>0.39067242808448932</v>
      </c>
      <c r="K57" s="143">
        <f>'Volume adjustments'!K$84</f>
        <v>0.39067242808448932</v>
      </c>
      <c r="L57" s="143">
        <f>'Volume adjustments'!L$84</f>
        <v>0.39067242808448932</v>
      </c>
      <c r="M57" s="143">
        <f>'Volume adjustments'!M$84</f>
        <v>0.39067242808448932</v>
      </c>
      <c r="N57" s="143">
        <f>'Volume adjustments'!N$84</f>
        <v>0.39067242808448932</v>
      </c>
      <c r="O57" s="143">
        <f>'Volume adjustments'!O$84</f>
        <v>0</v>
      </c>
      <c r="P57" s="143">
        <f>'Volume adjustments'!P$84</f>
        <v>0</v>
      </c>
      <c r="Q57" s="143">
        <f>'Volume adjustments'!Q$84</f>
        <v>0.39067242808448932</v>
      </c>
      <c r="R57" s="143">
        <f>'Volume adjustments'!R$84</f>
        <v>0</v>
      </c>
      <c r="S57" s="143">
        <f>'Volume adjustments'!S$84</f>
        <v>0</v>
      </c>
      <c r="T57" s="143">
        <f>'Volume adjustments'!T$84</f>
        <v>0</v>
      </c>
      <c r="U57" s="143">
        <f>'Volume adjustments'!U$84</f>
        <v>0</v>
      </c>
      <c r="V57" s="143">
        <f>'Volume adjustments'!V$84</f>
        <v>0</v>
      </c>
      <c r="W57" s="143">
        <f>'Volume adjustments'!W$84</f>
        <v>0</v>
      </c>
      <c r="X57" s="143">
        <f>'Volume adjustments'!X$84</f>
        <v>0</v>
      </c>
      <c r="Y57" s="143">
        <f>'Volume adjustments'!Y$84</f>
        <v>0</v>
      </c>
    </row>
    <row r="58" spans="3:27" x14ac:dyDescent="0.25">
      <c r="D58" s="295"/>
      <c r="E58" s="86"/>
      <c r="F58" s="295" t="s">
        <v>311</v>
      </c>
      <c r="G58" s="295" t="s">
        <v>94</v>
      </c>
      <c r="H58" s="385"/>
      <c r="J58" s="143">
        <f>'Volume adjustments'!J$99</f>
        <v>0.39067242808448932</v>
      </c>
      <c r="K58" s="143">
        <f>'Volume adjustments'!K$99</f>
        <v>0.39067242808448932</v>
      </c>
      <c r="L58" s="143">
        <f>'Volume adjustments'!L$99</f>
        <v>0.39067242808448932</v>
      </c>
      <c r="M58" s="143">
        <f>'Volume adjustments'!M$99</f>
        <v>0.39067242808448932</v>
      </c>
      <c r="N58" s="143">
        <f>'Volume adjustments'!N$99</f>
        <v>0.39067242808448932</v>
      </c>
      <c r="O58" s="143">
        <f>'Volume adjustments'!O$99</f>
        <v>0</v>
      </c>
      <c r="P58" s="143">
        <f>'Volume adjustments'!P$99</f>
        <v>0</v>
      </c>
      <c r="Q58" s="143">
        <f>'Volume adjustments'!Q$99</f>
        <v>0.39067242808448932</v>
      </c>
      <c r="R58" s="143">
        <f>'Volume adjustments'!R$99</f>
        <v>1</v>
      </c>
      <c r="S58" s="143">
        <f>'Volume adjustments'!S$99</f>
        <v>1</v>
      </c>
      <c r="T58" s="143">
        <f>'Volume adjustments'!T$99</f>
        <v>1</v>
      </c>
      <c r="U58" s="143">
        <f>'Volume adjustments'!U$99</f>
        <v>1</v>
      </c>
      <c r="V58" s="143">
        <f>'Volume adjustments'!V$99</f>
        <v>1</v>
      </c>
      <c r="W58" s="143">
        <f>'Volume adjustments'!W$99</f>
        <v>1</v>
      </c>
      <c r="X58" s="143">
        <f>'Volume adjustments'!X$99</f>
        <v>1</v>
      </c>
      <c r="Y58" s="143">
        <f>'Volume adjustments'!Y$99</f>
        <v>1</v>
      </c>
    </row>
    <row r="59" spans="3:27" x14ac:dyDescent="0.25">
      <c r="D59" s="295"/>
      <c r="E59" s="86"/>
      <c r="F59" s="295" t="s">
        <v>312</v>
      </c>
      <c r="G59" s="295" t="s">
        <v>94</v>
      </c>
      <c r="H59" s="385"/>
      <c r="J59" s="143">
        <f>'Volume adjustments'!J$110</f>
        <v>0.39067242808448932</v>
      </c>
      <c r="K59" s="143">
        <f>'Volume adjustments'!K$110</f>
        <v>0.39067242808448932</v>
      </c>
      <c r="L59" s="143">
        <f>'Volume adjustments'!L$110</f>
        <v>0.39067242808448932</v>
      </c>
      <c r="M59" s="143">
        <f>'Volume adjustments'!M$110</f>
        <v>0.39067242808448932</v>
      </c>
      <c r="N59" s="143">
        <f>'Volume adjustments'!N$110</f>
        <v>0.39067242808448932</v>
      </c>
      <c r="O59" s="143">
        <f>'Volume adjustments'!O$110</f>
        <v>0</v>
      </c>
      <c r="P59" s="143">
        <f>'Volume adjustments'!P$110</f>
        <v>0</v>
      </c>
      <c r="Q59" s="143">
        <f>'Volume adjustments'!Q$110</f>
        <v>0.39067242808448932</v>
      </c>
      <c r="R59" s="143">
        <f>'Volume adjustments'!R$110</f>
        <v>0</v>
      </c>
      <c r="S59" s="143">
        <f>'Volume adjustments'!S$110</f>
        <v>0</v>
      </c>
      <c r="T59" s="143">
        <f>'Volume adjustments'!T$110</f>
        <v>0</v>
      </c>
      <c r="U59" s="143">
        <f>'Volume adjustments'!U$110</f>
        <v>0</v>
      </c>
      <c r="V59" s="143">
        <f>'Volume adjustments'!V$110</f>
        <v>0</v>
      </c>
      <c r="W59" s="143">
        <f>'Volume adjustments'!W$110</f>
        <v>0</v>
      </c>
      <c r="X59" s="143">
        <f>'Volume adjustments'!X$110</f>
        <v>0</v>
      </c>
      <c r="Y59" s="143">
        <f>'Volume adjustments'!Y$110</f>
        <v>0</v>
      </c>
    </row>
    <row r="60" spans="3:27" x14ac:dyDescent="0.25">
      <c r="D60" s="295"/>
      <c r="E60" s="86"/>
      <c r="F60" s="295" t="s">
        <v>313</v>
      </c>
      <c r="G60" s="295" t="s">
        <v>94</v>
      </c>
      <c r="H60" s="385"/>
      <c r="J60" s="143">
        <f>'Volume adjustments'!J$121</f>
        <v>0.39067242808448932</v>
      </c>
      <c r="K60" s="143">
        <f>'Volume adjustments'!K$121</f>
        <v>0.39067242808448932</v>
      </c>
      <c r="L60" s="143">
        <f>'Volume adjustments'!L$121</f>
        <v>0.39067242808448932</v>
      </c>
      <c r="M60" s="143">
        <f>'Volume adjustments'!M$121</f>
        <v>0.39067242808448932</v>
      </c>
      <c r="N60" s="143">
        <f>'Volume adjustments'!N$121</f>
        <v>0.39067242808448932</v>
      </c>
      <c r="O60" s="143">
        <f>'Volume adjustments'!O$121</f>
        <v>0</v>
      </c>
      <c r="P60" s="143">
        <f>'Volume adjustments'!P$121</f>
        <v>0</v>
      </c>
      <c r="Q60" s="143">
        <f>'Volume adjustments'!Q$121</f>
        <v>0.39067242808448932</v>
      </c>
      <c r="R60" s="143">
        <f>'Volume adjustments'!R$121</f>
        <v>0</v>
      </c>
      <c r="S60" s="143">
        <f>'Volume adjustments'!S$121</f>
        <v>0</v>
      </c>
      <c r="T60" s="143">
        <f>'Volume adjustments'!T$121</f>
        <v>0</v>
      </c>
      <c r="U60" s="143">
        <f>'Volume adjustments'!U$121</f>
        <v>0</v>
      </c>
      <c r="V60" s="143">
        <f>'Volume adjustments'!V$121</f>
        <v>0</v>
      </c>
      <c r="W60" s="143">
        <f>'Volume adjustments'!W$121</f>
        <v>0</v>
      </c>
      <c r="X60" s="143">
        <f>'Volume adjustments'!X$121</f>
        <v>0</v>
      </c>
      <c r="Y60" s="143">
        <f>'Volume adjustments'!Y$121</f>
        <v>0</v>
      </c>
    </row>
    <row r="61" spans="3:27" x14ac:dyDescent="0.25">
      <c r="D61" s="295"/>
      <c r="E61" s="86"/>
      <c r="F61" s="93" t="s">
        <v>314</v>
      </c>
      <c r="G61" s="93" t="s">
        <v>94</v>
      </c>
      <c r="H61" s="115"/>
      <c r="I61" s="93"/>
      <c r="J61" s="395">
        <f>'Volume adjustments'!J$132</f>
        <v>0.39067242808448932</v>
      </c>
      <c r="K61" s="395">
        <f>'Volume adjustments'!K$132</f>
        <v>0.39067242808448932</v>
      </c>
      <c r="L61" s="395">
        <f>'Volume adjustments'!L$132</f>
        <v>0.39067242808448932</v>
      </c>
      <c r="M61" s="395">
        <f>'Volume adjustments'!M$132</f>
        <v>0.39067242808448932</v>
      </c>
      <c r="N61" s="395">
        <f>'Volume adjustments'!N$132</f>
        <v>0.39067242808448932</v>
      </c>
      <c r="O61" s="395">
        <f>'Volume adjustments'!O$132</f>
        <v>0</v>
      </c>
      <c r="P61" s="395">
        <f>'Volume adjustments'!P$132</f>
        <v>0</v>
      </c>
      <c r="Q61" s="395">
        <f>'Volume adjustments'!Q$132</f>
        <v>0.39067242808448932</v>
      </c>
      <c r="R61" s="395">
        <f>'Volume adjustments'!R$132</f>
        <v>0</v>
      </c>
      <c r="S61" s="395">
        <f>'Volume adjustments'!S$132</f>
        <v>0</v>
      </c>
      <c r="T61" s="395">
        <f>'Volume adjustments'!T$132</f>
        <v>0</v>
      </c>
      <c r="U61" s="395">
        <f>'Volume adjustments'!U$132</f>
        <v>0</v>
      </c>
      <c r="V61" s="395">
        <f>'Volume adjustments'!V$132</f>
        <v>0</v>
      </c>
      <c r="W61" s="395">
        <f>'Volume adjustments'!W$132</f>
        <v>0</v>
      </c>
      <c r="X61" s="395">
        <f>'Volume adjustments'!X$132</f>
        <v>0</v>
      </c>
      <c r="Y61" s="395">
        <f>'Volume adjustments'!Y$132</f>
        <v>0</v>
      </c>
    </row>
    <row r="62" spans="3:27" x14ac:dyDescent="0.25">
      <c r="D62" s="86"/>
      <c r="E62" s="295"/>
    </row>
    <row r="63" spans="3:27" x14ac:dyDescent="0.25">
      <c r="D63" s="295"/>
      <c r="E63" s="86" t="s">
        <v>515</v>
      </c>
      <c r="I63" s="295" t="s">
        <v>431</v>
      </c>
      <c r="AA63" s="295" t="s">
        <v>1026</v>
      </c>
    </row>
    <row r="64" spans="3:27" x14ac:dyDescent="0.25">
      <c r="D64" s="295"/>
      <c r="E64" s="86"/>
      <c r="F64" s="91" t="s">
        <v>134</v>
      </c>
      <c r="G64" s="91" t="s">
        <v>94</v>
      </c>
      <c r="H64" s="141"/>
      <c r="I64" s="91"/>
      <c r="J64" s="137">
        <f>'Volume adjustments'!J$63</f>
        <v>0.60361788113874959</v>
      </c>
      <c r="K64" s="137">
        <f>'Volume adjustments'!K$63</f>
        <v>0.60361788113874959</v>
      </c>
      <c r="L64" s="137">
        <f>'Volume adjustments'!L$63</f>
        <v>0.60361788113874959</v>
      </c>
      <c r="M64" s="137">
        <f>'Volume adjustments'!M$63</f>
        <v>0.60361788113874959</v>
      </c>
      <c r="N64" s="137">
        <f>'Volume adjustments'!N$63</f>
        <v>0.60361788113874959</v>
      </c>
      <c r="O64" s="137">
        <f>'Volume adjustments'!O$63</f>
        <v>0.34819248571328243</v>
      </c>
      <c r="P64" s="137">
        <f>'Volume adjustments'!P$63</f>
        <v>0.25174009320591562</v>
      </c>
      <c r="Q64" s="137">
        <f>'Volume adjustments'!Q$63</f>
        <v>0.60361788113874959</v>
      </c>
      <c r="R64" s="137">
        <f>'Volume adjustments'!R$63</f>
        <v>0</v>
      </c>
      <c r="S64" s="137">
        <f>'Volume adjustments'!S$63</f>
        <v>0</v>
      </c>
      <c r="T64" s="137">
        <f>'Volume adjustments'!T$63</f>
        <v>0</v>
      </c>
      <c r="U64" s="137">
        <f>'Volume adjustments'!U$63</f>
        <v>0</v>
      </c>
      <c r="V64" s="137">
        <f>'Volume adjustments'!V$63</f>
        <v>0</v>
      </c>
      <c r="W64" s="137">
        <f>'Volume adjustments'!W$63</f>
        <v>0</v>
      </c>
      <c r="X64" s="137">
        <f>'Volume adjustments'!X$63</f>
        <v>0</v>
      </c>
      <c r="Y64" s="137">
        <f>'Volume adjustments'!Y$63</f>
        <v>0</v>
      </c>
    </row>
    <row r="65" spans="3:27" x14ac:dyDescent="0.25">
      <c r="D65" s="295"/>
      <c r="E65" s="86"/>
      <c r="F65" s="295" t="s">
        <v>135</v>
      </c>
      <c r="G65" s="295" t="s">
        <v>94</v>
      </c>
      <c r="H65" s="385"/>
      <c r="J65" s="143">
        <f>'Volume adjustments'!J$74</f>
        <v>0.60361788113874959</v>
      </c>
      <c r="K65" s="143">
        <f>'Volume adjustments'!K$74</f>
        <v>0.60361788113874959</v>
      </c>
      <c r="L65" s="143">
        <f>'Volume adjustments'!L$74</f>
        <v>0.60361788113874959</v>
      </c>
      <c r="M65" s="143">
        <f>'Volume adjustments'!M$74</f>
        <v>0.60361788113874959</v>
      </c>
      <c r="N65" s="143">
        <f>'Volume adjustments'!N$74</f>
        <v>0.60361788113874959</v>
      </c>
      <c r="O65" s="143">
        <f>'Volume adjustments'!O$74</f>
        <v>0.34819248571328243</v>
      </c>
      <c r="P65" s="143">
        <f>'Volume adjustments'!P$74</f>
        <v>0.25174009320591562</v>
      </c>
      <c r="Q65" s="143">
        <f>'Volume adjustments'!Q$74</f>
        <v>0.60361788113874959</v>
      </c>
      <c r="R65" s="143">
        <f>'Volume adjustments'!R$74</f>
        <v>0</v>
      </c>
      <c r="S65" s="143">
        <f>'Volume adjustments'!S$74</f>
        <v>0</v>
      </c>
      <c r="T65" s="143">
        <f>'Volume adjustments'!T$74</f>
        <v>0</v>
      </c>
      <c r="U65" s="143">
        <f>'Volume adjustments'!U$74</f>
        <v>0</v>
      </c>
      <c r="V65" s="143">
        <f>'Volume adjustments'!V$74</f>
        <v>0</v>
      </c>
      <c r="W65" s="143">
        <f>'Volume adjustments'!W$74</f>
        <v>0</v>
      </c>
      <c r="X65" s="143">
        <f>'Volume adjustments'!X$74</f>
        <v>0</v>
      </c>
      <c r="Y65" s="143">
        <f>'Volume adjustments'!Y$74</f>
        <v>0</v>
      </c>
    </row>
    <row r="66" spans="3:27" x14ac:dyDescent="0.25">
      <c r="D66" s="295"/>
      <c r="E66" s="86"/>
      <c r="F66" s="295" t="s">
        <v>136</v>
      </c>
      <c r="G66" s="295" t="s">
        <v>94</v>
      </c>
      <c r="H66" s="385"/>
      <c r="J66" s="143">
        <f>'Volume adjustments'!J$85</f>
        <v>0.60361788113874959</v>
      </c>
      <c r="K66" s="143">
        <f>'Volume adjustments'!K$85</f>
        <v>0.60361788113874959</v>
      </c>
      <c r="L66" s="143">
        <f>'Volume adjustments'!L$85</f>
        <v>0.60361788113874959</v>
      </c>
      <c r="M66" s="143">
        <f>'Volume adjustments'!M$85</f>
        <v>0.60361788113874959</v>
      </c>
      <c r="N66" s="143">
        <f>'Volume adjustments'!N$85</f>
        <v>0.60361788113874959</v>
      </c>
      <c r="O66" s="143">
        <f>'Volume adjustments'!O$85</f>
        <v>0.34819248571328243</v>
      </c>
      <c r="P66" s="143">
        <f>'Volume adjustments'!P$85</f>
        <v>0.25174009320591562</v>
      </c>
      <c r="Q66" s="143">
        <f>'Volume adjustments'!Q$85</f>
        <v>0.60361788113874959</v>
      </c>
      <c r="R66" s="143">
        <f>'Volume adjustments'!R$85</f>
        <v>0</v>
      </c>
      <c r="S66" s="143">
        <f>'Volume adjustments'!S$85</f>
        <v>0</v>
      </c>
      <c r="T66" s="143">
        <f>'Volume adjustments'!T$85</f>
        <v>0</v>
      </c>
      <c r="U66" s="143">
        <f>'Volume adjustments'!U$85</f>
        <v>0</v>
      </c>
      <c r="V66" s="143">
        <f>'Volume adjustments'!V$85</f>
        <v>0</v>
      </c>
      <c r="W66" s="143">
        <f>'Volume adjustments'!W$85</f>
        <v>0</v>
      </c>
      <c r="X66" s="143">
        <f>'Volume adjustments'!X$85</f>
        <v>0</v>
      </c>
      <c r="Y66" s="143">
        <f>'Volume adjustments'!Y$85</f>
        <v>0</v>
      </c>
    </row>
    <row r="67" spans="3:27" x14ac:dyDescent="0.25">
      <c r="D67" s="295"/>
      <c r="E67" s="86"/>
      <c r="F67" s="295" t="s">
        <v>311</v>
      </c>
      <c r="G67" s="295" t="s">
        <v>94</v>
      </c>
      <c r="H67" s="385"/>
      <c r="J67" s="143">
        <f>'Volume adjustments'!J$100</f>
        <v>0.60361788113874959</v>
      </c>
      <c r="K67" s="143">
        <f>'Volume adjustments'!K$100</f>
        <v>0.60361788113874959</v>
      </c>
      <c r="L67" s="143">
        <f>'Volume adjustments'!L$100</f>
        <v>0.60361788113874959</v>
      </c>
      <c r="M67" s="143">
        <f>'Volume adjustments'!M$100</f>
        <v>0.60361788113874959</v>
      </c>
      <c r="N67" s="143">
        <f>'Volume adjustments'!N$100</f>
        <v>0.60361788113874959</v>
      </c>
      <c r="O67" s="143">
        <f>'Volume adjustments'!O$100</f>
        <v>0.34819248571328243</v>
      </c>
      <c r="P67" s="143">
        <f>'Volume adjustments'!P$100</f>
        <v>0.25174009320591562</v>
      </c>
      <c r="Q67" s="143">
        <f>'Volume adjustments'!Q$100</f>
        <v>0.60361788113874959</v>
      </c>
      <c r="R67" s="143">
        <f>'Volume adjustments'!R$100</f>
        <v>1</v>
      </c>
      <c r="S67" s="143">
        <f>'Volume adjustments'!S$100</f>
        <v>1</v>
      </c>
      <c r="T67" s="143">
        <f>'Volume adjustments'!T$100</f>
        <v>1</v>
      </c>
      <c r="U67" s="143">
        <f>'Volume adjustments'!U$100</f>
        <v>1</v>
      </c>
      <c r="V67" s="143">
        <f>'Volume adjustments'!V$100</f>
        <v>1</v>
      </c>
      <c r="W67" s="143">
        <f>'Volume adjustments'!W$100</f>
        <v>1</v>
      </c>
      <c r="X67" s="143">
        <f>'Volume adjustments'!X$100</f>
        <v>1</v>
      </c>
      <c r="Y67" s="143">
        <f>'Volume adjustments'!Y$100</f>
        <v>1</v>
      </c>
    </row>
    <row r="68" spans="3:27" x14ac:dyDescent="0.25">
      <c r="D68" s="295"/>
      <c r="E68" s="86"/>
      <c r="F68" s="295" t="s">
        <v>312</v>
      </c>
      <c r="G68" s="295" t="s">
        <v>94</v>
      </c>
      <c r="H68" s="385"/>
      <c r="J68" s="143">
        <f>'Volume adjustments'!J$111</f>
        <v>0.60361788113874959</v>
      </c>
      <c r="K68" s="143">
        <f>'Volume adjustments'!K$111</f>
        <v>0.60361788113874959</v>
      </c>
      <c r="L68" s="143">
        <f>'Volume adjustments'!L$111</f>
        <v>0.60361788113874959</v>
      </c>
      <c r="M68" s="143">
        <f>'Volume adjustments'!M$111</f>
        <v>0.60361788113874959</v>
      </c>
      <c r="N68" s="143">
        <f>'Volume adjustments'!N$111</f>
        <v>0.60361788113874959</v>
      </c>
      <c r="O68" s="143">
        <f>'Volume adjustments'!O$111</f>
        <v>0.34819248571328243</v>
      </c>
      <c r="P68" s="143">
        <f>'Volume adjustments'!P$111</f>
        <v>0.25174009320591562</v>
      </c>
      <c r="Q68" s="143">
        <f>'Volume adjustments'!Q$111</f>
        <v>0.60361788113874959</v>
      </c>
      <c r="R68" s="143">
        <f>'Volume adjustments'!R$111</f>
        <v>0</v>
      </c>
      <c r="S68" s="143">
        <f>'Volume adjustments'!S$111</f>
        <v>0</v>
      </c>
      <c r="T68" s="143">
        <f>'Volume adjustments'!T$111</f>
        <v>0</v>
      </c>
      <c r="U68" s="143">
        <f>'Volume adjustments'!U$111</f>
        <v>0</v>
      </c>
      <c r="V68" s="143">
        <f>'Volume adjustments'!V$111</f>
        <v>0</v>
      </c>
      <c r="W68" s="143">
        <f>'Volume adjustments'!W$111</f>
        <v>0</v>
      </c>
      <c r="X68" s="143">
        <f>'Volume adjustments'!X$111</f>
        <v>0</v>
      </c>
      <c r="Y68" s="143">
        <f>'Volume adjustments'!Y$111</f>
        <v>0</v>
      </c>
    </row>
    <row r="69" spans="3:27" x14ac:dyDescent="0.25">
      <c r="D69" s="295"/>
      <c r="E69" s="86"/>
      <c r="F69" s="295" t="s">
        <v>313</v>
      </c>
      <c r="G69" s="295" t="s">
        <v>94</v>
      </c>
      <c r="H69" s="385"/>
      <c r="J69" s="143">
        <f>'Volume adjustments'!J$122</f>
        <v>0.60361788113874959</v>
      </c>
      <c r="K69" s="143">
        <f>'Volume adjustments'!K$122</f>
        <v>0.60361788113874959</v>
      </c>
      <c r="L69" s="143">
        <f>'Volume adjustments'!L$122</f>
        <v>0.60361788113874959</v>
      </c>
      <c r="M69" s="143">
        <f>'Volume adjustments'!M$122</f>
        <v>0.60361788113874959</v>
      </c>
      <c r="N69" s="143">
        <f>'Volume adjustments'!N$122</f>
        <v>0.60361788113874959</v>
      </c>
      <c r="O69" s="143">
        <f>'Volume adjustments'!O$122</f>
        <v>0.34819248571328243</v>
      </c>
      <c r="P69" s="143">
        <f>'Volume adjustments'!P$122</f>
        <v>0.25174009320591562</v>
      </c>
      <c r="Q69" s="143">
        <f>'Volume adjustments'!Q$122</f>
        <v>0.60361788113874959</v>
      </c>
      <c r="R69" s="143">
        <f>'Volume adjustments'!R$122</f>
        <v>0</v>
      </c>
      <c r="S69" s="143">
        <f>'Volume adjustments'!S$122</f>
        <v>0</v>
      </c>
      <c r="T69" s="143">
        <f>'Volume adjustments'!T$122</f>
        <v>0</v>
      </c>
      <c r="U69" s="143">
        <f>'Volume adjustments'!U$122</f>
        <v>0</v>
      </c>
      <c r="V69" s="143">
        <f>'Volume adjustments'!V$122</f>
        <v>0</v>
      </c>
      <c r="W69" s="143">
        <f>'Volume adjustments'!W$122</f>
        <v>0</v>
      </c>
      <c r="X69" s="143">
        <f>'Volume adjustments'!X$122</f>
        <v>0</v>
      </c>
      <c r="Y69" s="143">
        <f>'Volume adjustments'!Y$122</f>
        <v>0</v>
      </c>
    </row>
    <row r="70" spans="3:27" x14ac:dyDescent="0.25">
      <c r="D70" s="295"/>
      <c r="E70" s="86"/>
      <c r="F70" s="93" t="s">
        <v>314</v>
      </c>
      <c r="G70" s="93" t="s">
        <v>94</v>
      </c>
      <c r="H70" s="115"/>
      <c r="I70" s="93"/>
      <c r="J70" s="395">
        <f>'Volume adjustments'!J$133</f>
        <v>0.60361788113874959</v>
      </c>
      <c r="K70" s="395">
        <f>'Volume adjustments'!K$133</f>
        <v>0.60361788113874959</v>
      </c>
      <c r="L70" s="395">
        <f>'Volume adjustments'!L$133</f>
        <v>0.60361788113874959</v>
      </c>
      <c r="M70" s="395">
        <f>'Volume adjustments'!M$133</f>
        <v>0.60361788113874959</v>
      </c>
      <c r="N70" s="395">
        <f>'Volume adjustments'!N$133</f>
        <v>0.60361788113874959</v>
      </c>
      <c r="O70" s="395">
        <f>'Volume adjustments'!O$133</f>
        <v>0.34819248571328243</v>
      </c>
      <c r="P70" s="395">
        <f>'Volume adjustments'!P$133</f>
        <v>0.25174009320591562</v>
      </c>
      <c r="Q70" s="395">
        <f>'Volume adjustments'!Q$133</f>
        <v>0.60361788113874959</v>
      </c>
      <c r="R70" s="395">
        <f>'Volume adjustments'!R$133</f>
        <v>0</v>
      </c>
      <c r="S70" s="395">
        <f>'Volume adjustments'!S$133</f>
        <v>0</v>
      </c>
      <c r="T70" s="395">
        <f>'Volume adjustments'!T$133</f>
        <v>0</v>
      </c>
      <c r="U70" s="395">
        <f>'Volume adjustments'!U$133</f>
        <v>0</v>
      </c>
      <c r="V70" s="395">
        <f>'Volume adjustments'!V$133</f>
        <v>0</v>
      </c>
      <c r="W70" s="395">
        <f>'Volume adjustments'!W$133</f>
        <v>0</v>
      </c>
      <c r="X70" s="395">
        <f>'Volume adjustments'!X$133</f>
        <v>0</v>
      </c>
      <c r="Y70" s="395">
        <f>'Volume adjustments'!Y$133</f>
        <v>0</v>
      </c>
    </row>
    <row r="71" spans="3:27" x14ac:dyDescent="0.25">
      <c r="D71" s="86"/>
      <c r="E71" s="295"/>
    </row>
    <row r="72" spans="3:27" x14ac:dyDescent="0.25">
      <c r="C72" s="7" t="str">
        <f ca="1">INDEX('Version control'!$H$34:$H$58,MATCH($A$1,'Version control'!$F$34:$F$58,0),1)&amp;"-E: Decimal places for rounding"</f>
        <v>Section 520-E: Decimal places for rounding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4" spans="3:27" x14ac:dyDescent="0.25">
      <c r="E74" s="96" t="s">
        <v>317</v>
      </c>
      <c r="I74" s="295" t="s">
        <v>431</v>
      </c>
      <c r="AA74" s="295" t="s">
        <v>807</v>
      </c>
    </row>
    <row r="75" spans="3:27" x14ac:dyDescent="0.25">
      <c r="C75" s="86"/>
      <c r="F75" s="91" t="s">
        <v>134</v>
      </c>
      <c r="G75" s="91" t="s">
        <v>527</v>
      </c>
      <c r="H75" s="141">
        <f>'Fixed inputs'!H25</f>
        <v>3</v>
      </c>
    </row>
    <row r="76" spans="3:27" x14ac:dyDescent="0.25">
      <c r="C76" s="86"/>
      <c r="F76" s="295" t="s">
        <v>135</v>
      </c>
      <c r="G76" s="295" t="s">
        <v>527</v>
      </c>
      <c r="H76" s="385">
        <f>'Fixed inputs'!H26</f>
        <v>3</v>
      </c>
    </row>
    <row r="77" spans="3:27" x14ac:dyDescent="0.25">
      <c r="C77" s="86"/>
      <c r="F77" s="295" t="s">
        <v>136</v>
      </c>
      <c r="G77" s="295" t="s">
        <v>527</v>
      </c>
      <c r="H77" s="385">
        <f>'Fixed inputs'!H27</f>
        <v>3</v>
      </c>
    </row>
    <row r="78" spans="3:27" x14ac:dyDescent="0.25">
      <c r="C78" s="86"/>
      <c r="F78" s="295" t="s">
        <v>311</v>
      </c>
      <c r="G78" s="295" t="s">
        <v>527</v>
      </c>
      <c r="H78" s="385">
        <f>'Fixed inputs'!H28</f>
        <v>2</v>
      </c>
    </row>
    <row r="79" spans="3:27" x14ac:dyDescent="0.25">
      <c r="C79" s="86"/>
      <c r="F79" s="295" t="s">
        <v>312</v>
      </c>
      <c r="G79" s="295" t="s">
        <v>527</v>
      </c>
      <c r="H79" s="385">
        <f>'Fixed inputs'!H29</f>
        <v>2</v>
      </c>
    </row>
    <row r="80" spans="3:27" x14ac:dyDescent="0.25">
      <c r="C80" s="86"/>
      <c r="F80" s="295" t="s">
        <v>313</v>
      </c>
      <c r="G80" s="295" t="s">
        <v>527</v>
      </c>
      <c r="H80" s="385">
        <f>'Fixed inputs'!H30</f>
        <v>2</v>
      </c>
    </row>
    <row r="81" spans="2:27" x14ac:dyDescent="0.25">
      <c r="C81" s="86"/>
      <c r="F81" s="93" t="s">
        <v>314</v>
      </c>
      <c r="G81" s="93" t="s">
        <v>527</v>
      </c>
      <c r="H81" s="115">
        <f>'Fixed inputs'!H31</f>
        <v>3</v>
      </c>
    </row>
    <row r="82" spans="2:27" x14ac:dyDescent="0.25">
      <c r="C82" s="86"/>
    </row>
    <row r="83" spans="2:27" x14ac:dyDescent="0.25">
      <c r="B83" s="95" t="s">
        <v>880</v>
      </c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5" spans="2:27" x14ac:dyDescent="0.25">
      <c r="C85" s="82" t="s">
        <v>881</v>
      </c>
    </row>
    <row r="87" spans="2:27" x14ac:dyDescent="0.25">
      <c r="C87" s="7" t="str">
        <f ca="1">INDEX('Version control'!$H$34:$H$58,MATCH($A$1,'Version control'!$F$34:$F$58,0),1)&amp;"-F: Tariff forecast, post-revenue matching"</f>
        <v>Section 520-F: Tariff forecast, post-revenue matching</v>
      </c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9" spans="2:27" x14ac:dyDescent="0.25">
      <c r="D89" s="295"/>
      <c r="E89" s="96" t="s">
        <v>882</v>
      </c>
      <c r="F89" s="96"/>
    </row>
    <row r="90" spans="2:27" x14ac:dyDescent="0.25">
      <c r="D90" s="295"/>
      <c r="E90" s="86"/>
      <c r="F90" s="91" t="s">
        <v>134</v>
      </c>
      <c r="G90" s="91" t="s">
        <v>183</v>
      </c>
      <c r="H90" s="361"/>
      <c r="I90" s="350"/>
      <c r="J90" s="363">
        <f xml:space="preserve"> J20 + J32</f>
        <v>10.154684538600296</v>
      </c>
      <c r="K90" s="363">
        <f t="shared" ref="K90:Y90" si="0" xml:space="preserve"> K20 + K32</f>
        <v>10.154684538600296</v>
      </c>
      <c r="L90" s="363">
        <f t="shared" si="0"/>
        <v>11.609454272217189</v>
      </c>
      <c r="M90" s="363">
        <f t="shared" si="0"/>
        <v>11.609454272217189</v>
      </c>
      <c r="N90" s="363">
        <f t="shared" si="0"/>
        <v>8.1806627632205444</v>
      </c>
      <c r="O90" s="363">
        <f t="shared" si="0"/>
        <v>5.3091108008393073</v>
      </c>
      <c r="P90" s="363">
        <f t="shared" si="0"/>
        <v>4.3005232669411351</v>
      </c>
      <c r="Q90" s="363">
        <f t="shared" si="0"/>
        <v>22.728207842675385</v>
      </c>
      <c r="R90" s="363">
        <f t="shared" si="0"/>
        <v>-6.4413635387668471</v>
      </c>
      <c r="S90" s="363">
        <f t="shared" si="0"/>
        <v>-5.6891199709087141</v>
      </c>
      <c r="T90" s="363">
        <f t="shared" si="0"/>
        <v>-6.4413635387668471</v>
      </c>
      <c r="U90" s="363">
        <f t="shared" si="0"/>
        <v>-6.4413635387668471</v>
      </c>
      <c r="V90" s="363">
        <f t="shared" si="0"/>
        <v>-5.6891199709087141</v>
      </c>
      <c r="W90" s="363">
        <f t="shared" si="0"/>
        <v>-5.6891199709087141</v>
      </c>
      <c r="X90" s="363">
        <f t="shared" si="0"/>
        <v>-3.732687631507082</v>
      </c>
      <c r="Y90" s="363">
        <f t="shared" si="0"/>
        <v>-3.732687631507082</v>
      </c>
      <c r="Z90" s="352"/>
      <c r="AA90" s="352"/>
    </row>
    <row r="91" spans="2:27" x14ac:dyDescent="0.25">
      <c r="D91" s="295"/>
      <c r="E91" s="86"/>
      <c r="F91" s="295" t="s">
        <v>135</v>
      </c>
      <c r="G91" s="295" t="s">
        <v>183</v>
      </c>
      <c r="H91" s="421"/>
      <c r="I91" s="352"/>
      <c r="J91" s="422">
        <f t="shared" ref="J91:Y96" si="1" xml:space="preserve"> J21 + J33</f>
        <v>2.030113890331732</v>
      </c>
      <c r="K91" s="422">
        <f t="shared" si="1"/>
        <v>2.030113890331732</v>
      </c>
      <c r="L91" s="422">
        <f t="shared" si="1"/>
        <v>2.1727243455075054</v>
      </c>
      <c r="M91" s="422">
        <f t="shared" si="1"/>
        <v>2.1727243455075054</v>
      </c>
      <c r="N91" s="422">
        <f t="shared" si="1"/>
        <v>1.8130518310452894</v>
      </c>
      <c r="O91" s="422">
        <f t="shared" si="1"/>
        <v>1.5011295927806836</v>
      </c>
      <c r="P91" s="422">
        <f t="shared" si="1"/>
        <v>1.3997210263880107</v>
      </c>
      <c r="Q91" s="422">
        <f t="shared" si="1"/>
        <v>2.3423494600656296</v>
      </c>
      <c r="R91" s="422">
        <f t="shared" si="1"/>
        <v>-0.63144411448010185</v>
      </c>
      <c r="S91" s="422">
        <f t="shared" si="1"/>
        <v>-0.54797375527131609</v>
      </c>
      <c r="T91" s="422">
        <f t="shared" si="1"/>
        <v>-0.63144411448010185</v>
      </c>
      <c r="U91" s="422">
        <f t="shared" si="1"/>
        <v>-0.63144411448010185</v>
      </c>
      <c r="V91" s="422">
        <f t="shared" si="1"/>
        <v>-0.54797375527131609</v>
      </c>
      <c r="W91" s="422">
        <f t="shared" si="1"/>
        <v>-0.54797375527131609</v>
      </c>
      <c r="X91" s="422">
        <f t="shared" si="1"/>
        <v>-0.31633967493658671</v>
      </c>
      <c r="Y91" s="422">
        <f t="shared" si="1"/>
        <v>-0.31633967493658671</v>
      </c>
      <c r="Z91" s="352"/>
      <c r="AA91" s="352"/>
    </row>
    <row r="92" spans="2:27" x14ac:dyDescent="0.25">
      <c r="D92" s="295"/>
      <c r="E92" s="86"/>
      <c r="F92" s="295" t="s">
        <v>136</v>
      </c>
      <c r="G92" s="295" t="s">
        <v>183</v>
      </c>
      <c r="H92" s="421"/>
      <c r="I92" s="352"/>
      <c r="J92" s="422">
        <f t="shared" si="1"/>
        <v>1.1699297081920386</v>
      </c>
      <c r="K92" s="422">
        <f t="shared" si="1"/>
        <v>1.1699297081920386</v>
      </c>
      <c r="L92" s="422">
        <f t="shared" si="1"/>
        <v>1.1736160645290112</v>
      </c>
      <c r="M92" s="422">
        <f t="shared" si="1"/>
        <v>1.1736160645290112</v>
      </c>
      <c r="N92" s="422">
        <f t="shared" si="1"/>
        <v>1.1632853758630821</v>
      </c>
      <c r="O92" s="422">
        <f t="shared" si="1"/>
        <v>1.1538872527162751</v>
      </c>
      <c r="P92" s="422">
        <f t="shared" si="1"/>
        <v>1.1511545866262785</v>
      </c>
      <c r="Q92" s="422">
        <f t="shared" si="1"/>
        <v>1.596395900786951</v>
      </c>
      <c r="R92" s="422">
        <f t="shared" si="1"/>
        <v>-1.632228163067535E-2</v>
      </c>
      <c r="S92" s="422">
        <f t="shared" si="1"/>
        <v>-1.3737723553938727E-2</v>
      </c>
      <c r="T92" s="422">
        <f t="shared" si="1"/>
        <v>-1.632228163067535E-2</v>
      </c>
      <c r="U92" s="422">
        <f t="shared" si="1"/>
        <v>-1.632228163067535E-2</v>
      </c>
      <c r="V92" s="422">
        <f t="shared" si="1"/>
        <v>-1.3737723553938727E-2</v>
      </c>
      <c r="W92" s="422">
        <f t="shared" si="1"/>
        <v>-1.3737723553938727E-2</v>
      </c>
      <c r="X92" s="422">
        <f t="shared" si="1"/>
        <v>-6.0015573611233893E-3</v>
      </c>
      <c r="Y92" s="422">
        <f t="shared" si="1"/>
        <v>-6.0015573611233893E-3</v>
      </c>
      <c r="Z92" s="352"/>
      <c r="AA92" s="352"/>
    </row>
    <row r="93" spans="2:27" x14ac:dyDescent="0.25">
      <c r="D93" s="295"/>
      <c r="E93" s="86"/>
      <c r="F93" s="295" t="s">
        <v>311</v>
      </c>
      <c r="G93" s="295" t="s">
        <v>309</v>
      </c>
      <c r="H93" s="385"/>
      <c r="J93" s="276">
        <f t="shared" si="1"/>
        <v>4.5716420838261662</v>
      </c>
      <c r="K93" s="276">
        <f t="shared" si="1"/>
        <v>0</v>
      </c>
      <c r="L93" s="276">
        <f t="shared" si="1"/>
        <v>5.8510599368879221</v>
      </c>
      <c r="M93" s="276">
        <f t="shared" si="1"/>
        <v>0</v>
      </c>
      <c r="N93" s="276">
        <f t="shared" si="1"/>
        <v>23.235516904135658</v>
      </c>
      <c r="O93" s="276">
        <f t="shared" si="1"/>
        <v>8.2007706720478808</v>
      </c>
      <c r="P93" s="276">
        <f t="shared" si="1"/>
        <v>124.16460347195436</v>
      </c>
      <c r="Q93" s="276">
        <f t="shared" si="1"/>
        <v>0</v>
      </c>
      <c r="R93" s="276">
        <f t="shared" si="1"/>
        <v>0</v>
      </c>
      <c r="S93" s="276">
        <f t="shared" si="1"/>
        <v>0</v>
      </c>
      <c r="T93" s="276">
        <f t="shared" si="1"/>
        <v>0</v>
      </c>
      <c r="U93" s="276">
        <f t="shared" si="1"/>
        <v>0</v>
      </c>
      <c r="V93" s="276">
        <f t="shared" si="1"/>
        <v>0</v>
      </c>
      <c r="W93" s="276">
        <f t="shared" si="1"/>
        <v>0</v>
      </c>
      <c r="X93" s="276">
        <f t="shared" si="1"/>
        <v>90.667330037272208</v>
      </c>
      <c r="Y93" s="276">
        <f t="shared" si="1"/>
        <v>90.667330037272208</v>
      </c>
    </row>
    <row r="94" spans="2:27" x14ac:dyDescent="0.25">
      <c r="D94" s="295"/>
      <c r="E94" s="86"/>
      <c r="F94" s="295" t="s">
        <v>312</v>
      </c>
      <c r="G94" s="295" t="s">
        <v>308</v>
      </c>
      <c r="H94" s="385"/>
      <c r="J94" s="276">
        <f t="shared" si="1"/>
        <v>0</v>
      </c>
      <c r="K94" s="276">
        <f t="shared" si="1"/>
        <v>0</v>
      </c>
      <c r="L94" s="276">
        <f t="shared" si="1"/>
        <v>0</v>
      </c>
      <c r="M94" s="276">
        <f t="shared" si="1"/>
        <v>0</v>
      </c>
      <c r="N94" s="276">
        <f t="shared" si="1"/>
        <v>2.498083735110924</v>
      </c>
      <c r="O94" s="276">
        <f t="shared" si="1"/>
        <v>4.5053338960962241</v>
      </c>
      <c r="P94" s="276">
        <f t="shared" si="1"/>
        <v>4.9643297738527297</v>
      </c>
      <c r="Q94" s="276">
        <f t="shared" si="1"/>
        <v>0</v>
      </c>
      <c r="R94" s="276">
        <f t="shared" si="1"/>
        <v>0</v>
      </c>
      <c r="S94" s="276">
        <f t="shared" si="1"/>
        <v>0</v>
      </c>
      <c r="T94" s="276">
        <f t="shared" si="1"/>
        <v>0</v>
      </c>
      <c r="U94" s="276">
        <f t="shared" si="1"/>
        <v>0</v>
      </c>
      <c r="V94" s="276">
        <f t="shared" si="1"/>
        <v>0</v>
      </c>
      <c r="W94" s="276">
        <f t="shared" si="1"/>
        <v>0</v>
      </c>
      <c r="X94" s="276">
        <f t="shared" si="1"/>
        <v>0</v>
      </c>
      <c r="Y94" s="276">
        <f t="shared" si="1"/>
        <v>0</v>
      </c>
    </row>
    <row r="95" spans="2:27" x14ac:dyDescent="0.25">
      <c r="D95" s="295"/>
      <c r="E95" s="86"/>
      <c r="F95" s="295" t="s">
        <v>313</v>
      </c>
      <c r="G95" s="295" t="s">
        <v>308</v>
      </c>
      <c r="H95" s="385"/>
      <c r="J95" s="276">
        <f t="shared" si="1"/>
        <v>0</v>
      </c>
      <c r="K95" s="276">
        <f t="shared" si="1"/>
        <v>0</v>
      </c>
      <c r="L95" s="276">
        <f t="shared" si="1"/>
        <v>0</v>
      </c>
      <c r="M95" s="276">
        <f t="shared" si="1"/>
        <v>0</v>
      </c>
      <c r="N95" s="276">
        <f t="shared" si="1"/>
        <v>3.691279099689118</v>
      </c>
      <c r="O95" s="276">
        <f t="shared" si="1"/>
        <v>5.1392827901526239</v>
      </c>
      <c r="P95" s="276">
        <f t="shared" si="1"/>
        <v>6.1243810865470367</v>
      </c>
      <c r="Q95" s="276">
        <f t="shared" si="1"/>
        <v>0</v>
      </c>
      <c r="R95" s="276">
        <f t="shared" si="1"/>
        <v>0</v>
      </c>
      <c r="S95" s="276">
        <f t="shared" si="1"/>
        <v>0</v>
      </c>
      <c r="T95" s="276">
        <f t="shared" si="1"/>
        <v>0</v>
      </c>
      <c r="U95" s="276">
        <f t="shared" si="1"/>
        <v>0</v>
      </c>
      <c r="V95" s="276">
        <f t="shared" si="1"/>
        <v>0</v>
      </c>
      <c r="W95" s="276">
        <f t="shared" si="1"/>
        <v>0</v>
      </c>
      <c r="X95" s="276">
        <f t="shared" si="1"/>
        <v>0</v>
      </c>
      <c r="Y95" s="276">
        <f t="shared" si="1"/>
        <v>0</v>
      </c>
    </row>
    <row r="96" spans="2:27" x14ac:dyDescent="0.25">
      <c r="D96" s="295"/>
      <c r="E96" s="86"/>
      <c r="F96" s="93" t="s">
        <v>314</v>
      </c>
      <c r="G96" s="93" t="s">
        <v>315</v>
      </c>
      <c r="H96" s="364"/>
      <c r="I96" s="354"/>
      <c r="J96" s="365">
        <f t="shared" si="1"/>
        <v>0</v>
      </c>
      <c r="K96" s="365">
        <f t="shared" si="1"/>
        <v>0</v>
      </c>
      <c r="L96" s="365">
        <f t="shared" si="1"/>
        <v>0</v>
      </c>
      <c r="M96" s="365">
        <f t="shared" si="1"/>
        <v>0</v>
      </c>
      <c r="N96" s="365">
        <f t="shared" si="1"/>
        <v>0.23544821131127469</v>
      </c>
      <c r="O96" s="365">
        <f t="shared" si="1"/>
        <v>0.13709057031775684</v>
      </c>
      <c r="P96" s="365">
        <f t="shared" si="1"/>
        <v>0.10158869577513742</v>
      </c>
      <c r="Q96" s="365">
        <f t="shared" si="1"/>
        <v>0</v>
      </c>
      <c r="R96" s="365">
        <f t="shared" si="1"/>
        <v>0</v>
      </c>
      <c r="S96" s="365">
        <f t="shared" si="1"/>
        <v>0</v>
      </c>
      <c r="T96" s="365">
        <f t="shared" si="1"/>
        <v>0.20319917220642791</v>
      </c>
      <c r="U96" s="365">
        <f t="shared" si="1"/>
        <v>0</v>
      </c>
      <c r="V96" s="365">
        <f t="shared" si="1"/>
        <v>0.1816089264144457</v>
      </c>
      <c r="W96" s="365">
        <f t="shared" si="1"/>
        <v>0</v>
      </c>
      <c r="X96" s="365">
        <f t="shared" si="1"/>
        <v>0.15574087273376108</v>
      </c>
      <c r="Y96" s="365">
        <f t="shared" si="1"/>
        <v>0</v>
      </c>
      <c r="Z96" s="352"/>
      <c r="AA96" s="352"/>
    </row>
    <row r="97" spans="3:27" x14ac:dyDescent="0.25">
      <c r="D97" s="96"/>
      <c r="E97" s="295"/>
      <c r="J97" s="253"/>
      <c r="K97" s="253"/>
      <c r="L97" s="253"/>
      <c r="M97" s="253"/>
      <c r="N97" s="253"/>
      <c r="O97" s="253"/>
      <c r="P97" s="253"/>
      <c r="Q97" s="253"/>
      <c r="R97" s="253"/>
      <c r="S97" s="253"/>
      <c r="T97" s="253"/>
      <c r="U97" s="253"/>
      <c r="V97" s="253"/>
      <c r="W97" s="253"/>
      <c r="X97" s="253"/>
      <c r="Y97" s="253"/>
    </row>
    <row r="98" spans="3:27" x14ac:dyDescent="0.25">
      <c r="C98" s="7" t="str">
        <f ca="1">INDEX('Version control'!$H$34:$H$58,MATCH($A$1,'Version control'!$F$34:$F$58,0),1)&amp;"-G: Tariff forecast, post-adders &amp; discounting"</f>
        <v>Section 520-G: Tariff forecast, post-adders &amp; discounting</v>
      </c>
      <c r="D98" s="7"/>
      <c r="E98" s="7"/>
      <c r="F98" s="7"/>
      <c r="G98" s="7"/>
      <c r="H98" s="7"/>
      <c r="I98" s="7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3"/>
      <c r="U98" s="243"/>
      <c r="V98" s="243"/>
      <c r="W98" s="243"/>
      <c r="X98" s="243"/>
      <c r="Y98" s="243"/>
      <c r="Z98" s="7"/>
      <c r="AA98" s="7"/>
    </row>
    <row r="99" spans="3:27" x14ac:dyDescent="0.25"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  <c r="V99" s="253"/>
      <c r="W99" s="253"/>
      <c r="X99" s="253"/>
      <c r="Y99" s="253"/>
    </row>
    <row r="100" spans="3:27" x14ac:dyDescent="0.25">
      <c r="E100" s="96" t="s">
        <v>1148</v>
      </c>
      <c r="F100" s="96"/>
      <c r="I100" s="295" t="s">
        <v>431</v>
      </c>
      <c r="J100" s="253"/>
      <c r="K100" s="253"/>
      <c r="L100" s="253"/>
      <c r="M100" s="253"/>
      <c r="N100" s="253"/>
      <c r="O100" s="253"/>
      <c r="P100" s="253"/>
      <c r="Q100" s="253"/>
      <c r="R100" s="253"/>
      <c r="S100" s="253"/>
      <c r="T100" s="253"/>
      <c r="U100" s="253"/>
      <c r="V100" s="253"/>
      <c r="W100" s="253"/>
      <c r="X100" s="253"/>
      <c r="Y100" s="253"/>
      <c r="AA100" s="295" t="s">
        <v>1149</v>
      </c>
    </row>
    <row r="101" spans="3:27" x14ac:dyDescent="0.25">
      <c r="E101" s="86"/>
      <c r="F101" s="91" t="s">
        <v>134</v>
      </c>
      <c r="G101" s="91" t="s">
        <v>183</v>
      </c>
      <c r="H101" s="361"/>
      <c r="I101" s="350"/>
      <c r="J101" s="455">
        <f xml:space="preserve"> J90 + J44</f>
        <v>10.154684538600296</v>
      </c>
      <c r="K101" s="455">
        <f t="shared" ref="K101:Y101" si="2" xml:space="preserve"> K90 + K44</f>
        <v>10.154684538600296</v>
      </c>
      <c r="L101" s="455">
        <f t="shared" si="2"/>
        <v>11.609454272217189</v>
      </c>
      <c r="M101" s="455">
        <f t="shared" si="2"/>
        <v>11.609454272217189</v>
      </c>
      <c r="N101" s="455">
        <f t="shared" si="2"/>
        <v>8.1806627632205444</v>
      </c>
      <c r="O101" s="455">
        <f t="shared" si="2"/>
        <v>5.3091108008393073</v>
      </c>
      <c r="P101" s="455">
        <f t="shared" si="2"/>
        <v>4.3005232669411351</v>
      </c>
      <c r="Q101" s="455">
        <f t="shared" si="2"/>
        <v>22.728207842675385</v>
      </c>
      <c r="R101" s="455">
        <f t="shared" si="2"/>
        <v>-6.4413635387668471</v>
      </c>
      <c r="S101" s="455">
        <f t="shared" si="2"/>
        <v>-5.6891199709087141</v>
      </c>
      <c r="T101" s="455">
        <f t="shared" si="2"/>
        <v>-6.4413635387668471</v>
      </c>
      <c r="U101" s="455">
        <f t="shared" si="2"/>
        <v>-6.4413635387668471</v>
      </c>
      <c r="V101" s="455">
        <f t="shared" si="2"/>
        <v>-5.6891199709087141</v>
      </c>
      <c r="W101" s="455">
        <f t="shared" si="2"/>
        <v>-5.6891199709087141</v>
      </c>
      <c r="X101" s="455">
        <f t="shared" si="2"/>
        <v>-3.732687631507082</v>
      </c>
      <c r="Y101" s="455">
        <f t="shared" si="2"/>
        <v>-3.732687631507082</v>
      </c>
      <c r="Z101" s="352"/>
      <c r="AA101" s="352"/>
    </row>
    <row r="102" spans="3:27" x14ac:dyDescent="0.25">
      <c r="E102" s="86"/>
      <c r="F102" s="295" t="s">
        <v>135</v>
      </c>
      <c r="G102" s="295" t="s">
        <v>183</v>
      </c>
      <c r="H102" s="421"/>
      <c r="I102" s="352"/>
      <c r="J102" s="422">
        <f t="shared" ref="J102:Y107" si="3" xml:space="preserve"> J91 + J45</f>
        <v>2.030113890331732</v>
      </c>
      <c r="K102" s="422">
        <f t="shared" si="3"/>
        <v>2.030113890331732</v>
      </c>
      <c r="L102" s="422">
        <f t="shared" si="3"/>
        <v>2.1727243455075054</v>
      </c>
      <c r="M102" s="422">
        <f t="shared" si="3"/>
        <v>2.1727243455075054</v>
      </c>
      <c r="N102" s="422">
        <f t="shared" si="3"/>
        <v>1.8130518310452894</v>
      </c>
      <c r="O102" s="422">
        <f t="shared" si="3"/>
        <v>1.5011295927806836</v>
      </c>
      <c r="P102" s="422">
        <f t="shared" si="3"/>
        <v>1.3997210263880107</v>
      </c>
      <c r="Q102" s="422">
        <f t="shared" si="3"/>
        <v>2.3423494600656296</v>
      </c>
      <c r="R102" s="422">
        <f t="shared" si="3"/>
        <v>-0.63144411448010185</v>
      </c>
      <c r="S102" s="422">
        <f t="shared" si="3"/>
        <v>-0.54797375527131609</v>
      </c>
      <c r="T102" s="422">
        <f t="shared" si="3"/>
        <v>-0.63144411448010185</v>
      </c>
      <c r="U102" s="422">
        <f t="shared" si="3"/>
        <v>-0.63144411448010185</v>
      </c>
      <c r="V102" s="422">
        <f t="shared" si="3"/>
        <v>-0.54797375527131609</v>
      </c>
      <c r="W102" s="422">
        <f t="shared" si="3"/>
        <v>-0.54797375527131609</v>
      </c>
      <c r="X102" s="422">
        <f t="shared" si="3"/>
        <v>-0.31633967493658671</v>
      </c>
      <c r="Y102" s="422">
        <f t="shared" si="3"/>
        <v>-0.31633967493658671</v>
      </c>
      <c r="Z102" s="352"/>
      <c r="AA102" s="352"/>
    </row>
    <row r="103" spans="3:27" x14ac:dyDescent="0.25">
      <c r="E103" s="86"/>
      <c r="F103" s="295" t="s">
        <v>136</v>
      </c>
      <c r="G103" s="295" t="s">
        <v>183</v>
      </c>
      <c r="H103" s="421"/>
      <c r="I103" s="352"/>
      <c r="J103" s="422">
        <f t="shared" si="3"/>
        <v>1.1699297081920386</v>
      </c>
      <c r="K103" s="422">
        <f t="shared" si="3"/>
        <v>1.1699297081920386</v>
      </c>
      <c r="L103" s="422">
        <f t="shared" si="3"/>
        <v>1.1736160645290112</v>
      </c>
      <c r="M103" s="422">
        <f t="shared" si="3"/>
        <v>1.1736160645290112</v>
      </c>
      <c r="N103" s="422">
        <f t="shared" si="3"/>
        <v>1.1632853758630821</v>
      </c>
      <c r="O103" s="422">
        <f t="shared" si="3"/>
        <v>1.1538872527162751</v>
      </c>
      <c r="P103" s="422">
        <f t="shared" si="3"/>
        <v>1.1511545866262785</v>
      </c>
      <c r="Q103" s="422">
        <f t="shared" si="3"/>
        <v>1.596395900786951</v>
      </c>
      <c r="R103" s="422">
        <f t="shared" si="3"/>
        <v>-1.632228163067535E-2</v>
      </c>
      <c r="S103" s="422">
        <f t="shared" si="3"/>
        <v>-1.3737723553938727E-2</v>
      </c>
      <c r="T103" s="422">
        <f t="shared" si="3"/>
        <v>-1.632228163067535E-2</v>
      </c>
      <c r="U103" s="422">
        <f t="shared" si="3"/>
        <v>-1.632228163067535E-2</v>
      </c>
      <c r="V103" s="422">
        <f t="shared" si="3"/>
        <v>-1.3737723553938727E-2</v>
      </c>
      <c r="W103" s="422">
        <f t="shared" si="3"/>
        <v>-1.3737723553938727E-2</v>
      </c>
      <c r="X103" s="422">
        <f t="shared" si="3"/>
        <v>-6.0015573611233893E-3</v>
      </c>
      <c r="Y103" s="422">
        <f t="shared" si="3"/>
        <v>-6.0015573611233893E-3</v>
      </c>
      <c r="Z103" s="352"/>
      <c r="AA103" s="352"/>
    </row>
    <row r="104" spans="3:27" x14ac:dyDescent="0.25">
      <c r="E104" s="86"/>
      <c r="F104" s="295" t="s">
        <v>311</v>
      </c>
      <c r="G104" s="295" t="s">
        <v>309</v>
      </c>
      <c r="H104" s="385"/>
      <c r="J104" s="276">
        <f t="shared" si="3"/>
        <v>4.7635328700961326</v>
      </c>
      <c r="K104" s="276">
        <f t="shared" si="3"/>
        <v>0</v>
      </c>
      <c r="L104" s="276">
        <f t="shared" si="3"/>
        <v>6.0363558223609992</v>
      </c>
      <c r="M104" s="276">
        <f t="shared" si="3"/>
        <v>0</v>
      </c>
      <c r="N104" s="276">
        <f t="shared" si="3"/>
        <v>23.420812789608735</v>
      </c>
      <c r="O104" s="276">
        <f t="shared" si="3"/>
        <v>8.3860665575209588</v>
      </c>
      <c r="P104" s="276">
        <f t="shared" si="3"/>
        <v>124.34989935742745</v>
      </c>
      <c r="Q104" s="276">
        <f t="shared" si="3"/>
        <v>0</v>
      </c>
      <c r="R104" s="276">
        <f t="shared" si="3"/>
        <v>0</v>
      </c>
      <c r="S104" s="276">
        <f t="shared" si="3"/>
        <v>0</v>
      </c>
      <c r="T104" s="276">
        <f t="shared" si="3"/>
        <v>0</v>
      </c>
      <c r="U104" s="276">
        <f t="shared" si="3"/>
        <v>0</v>
      </c>
      <c r="V104" s="276">
        <f t="shared" si="3"/>
        <v>0</v>
      </c>
      <c r="W104" s="276">
        <f t="shared" si="3"/>
        <v>0</v>
      </c>
      <c r="X104" s="276">
        <f t="shared" si="3"/>
        <v>90.667330037272208</v>
      </c>
      <c r="Y104" s="276">
        <f t="shared" si="3"/>
        <v>90.667330037272208</v>
      </c>
    </row>
    <row r="105" spans="3:27" x14ac:dyDescent="0.25">
      <c r="E105" s="86"/>
      <c r="F105" s="295" t="s">
        <v>312</v>
      </c>
      <c r="G105" s="295" t="s">
        <v>308</v>
      </c>
      <c r="H105" s="385"/>
      <c r="J105" s="276">
        <f t="shared" si="3"/>
        <v>0</v>
      </c>
      <c r="K105" s="276">
        <f t="shared" si="3"/>
        <v>0</v>
      </c>
      <c r="L105" s="276">
        <f t="shared" si="3"/>
        <v>0</v>
      </c>
      <c r="M105" s="276">
        <f t="shared" si="3"/>
        <v>0</v>
      </c>
      <c r="N105" s="276">
        <f t="shared" si="3"/>
        <v>2.498083735110924</v>
      </c>
      <c r="O105" s="276">
        <f t="shared" si="3"/>
        <v>4.5053338960962241</v>
      </c>
      <c r="P105" s="276">
        <f t="shared" si="3"/>
        <v>4.9643297738527297</v>
      </c>
      <c r="Q105" s="276">
        <f t="shared" si="3"/>
        <v>0</v>
      </c>
      <c r="R105" s="276">
        <f t="shared" si="3"/>
        <v>0</v>
      </c>
      <c r="S105" s="276">
        <f t="shared" si="3"/>
        <v>0</v>
      </c>
      <c r="T105" s="276">
        <f t="shared" si="3"/>
        <v>0</v>
      </c>
      <c r="U105" s="276">
        <f t="shared" si="3"/>
        <v>0</v>
      </c>
      <c r="V105" s="276">
        <f t="shared" si="3"/>
        <v>0</v>
      </c>
      <c r="W105" s="276">
        <f t="shared" si="3"/>
        <v>0</v>
      </c>
      <c r="X105" s="276">
        <f t="shared" si="3"/>
        <v>0</v>
      </c>
      <c r="Y105" s="276">
        <f t="shared" si="3"/>
        <v>0</v>
      </c>
    </row>
    <row r="106" spans="3:27" x14ac:dyDescent="0.25">
      <c r="E106" s="86"/>
      <c r="F106" s="295" t="s">
        <v>313</v>
      </c>
      <c r="G106" s="295" t="s">
        <v>308</v>
      </c>
      <c r="H106" s="385"/>
      <c r="J106" s="276">
        <f t="shared" si="3"/>
        <v>0</v>
      </c>
      <c r="K106" s="276">
        <f t="shared" si="3"/>
        <v>0</v>
      </c>
      <c r="L106" s="276">
        <f t="shared" si="3"/>
        <v>0</v>
      </c>
      <c r="M106" s="276">
        <f t="shared" si="3"/>
        <v>0</v>
      </c>
      <c r="N106" s="276">
        <f t="shared" si="3"/>
        <v>3.691279099689118</v>
      </c>
      <c r="O106" s="276">
        <f t="shared" si="3"/>
        <v>5.1392827901526239</v>
      </c>
      <c r="P106" s="276">
        <f t="shared" si="3"/>
        <v>6.1243810865470367</v>
      </c>
      <c r="Q106" s="276">
        <f t="shared" si="3"/>
        <v>0</v>
      </c>
      <c r="R106" s="276">
        <f t="shared" si="3"/>
        <v>0</v>
      </c>
      <c r="S106" s="276">
        <f t="shared" si="3"/>
        <v>0</v>
      </c>
      <c r="T106" s="276">
        <f t="shared" si="3"/>
        <v>0</v>
      </c>
      <c r="U106" s="276">
        <f t="shared" si="3"/>
        <v>0</v>
      </c>
      <c r="V106" s="276">
        <f t="shared" si="3"/>
        <v>0</v>
      </c>
      <c r="W106" s="276">
        <f t="shared" si="3"/>
        <v>0</v>
      </c>
      <c r="X106" s="276">
        <f t="shared" si="3"/>
        <v>0</v>
      </c>
      <c r="Y106" s="276">
        <f t="shared" si="3"/>
        <v>0</v>
      </c>
    </row>
    <row r="107" spans="3:27" x14ac:dyDescent="0.25">
      <c r="E107" s="86"/>
      <c r="F107" s="93" t="s">
        <v>314</v>
      </c>
      <c r="G107" s="93" t="s">
        <v>315</v>
      </c>
      <c r="H107" s="364"/>
      <c r="I107" s="354"/>
      <c r="J107" s="365">
        <f t="shared" si="3"/>
        <v>0</v>
      </c>
      <c r="K107" s="365">
        <f t="shared" si="3"/>
        <v>0</v>
      </c>
      <c r="L107" s="365">
        <f t="shared" si="3"/>
        <v>0</v>
      </c>
      <c r="M107" s="365">
        <f t="shared" si="3"/>
        <v>0</v>
      </c>
      <c r="N107" s="365">
        <f t="shared" si="3"/>
        <v>0.23544821131127469</v>
      </c>
      <c r="O107" s="365">
        <f t="shared" si="3"/>
        <v>0.13709057031775684</v>
      </c>
      <c r="P107" s="365">
        <f t="shared" si="3"/>
        <v>0.10158869577513742</v>
      </c>
      <c r="Q107" s="365">
        <f t="shared" si="3"/>
        <v>0</v>
      </c>
      <c r="R107" s="365">
        <f t="shared" si="3"/>
        <v>0</v>
      </c>
      <c r="S107" s="365">
        <f t="shared" si="3"/>
        <v>0</v>
      </c>
      <c r="T107" s="365">
        <f t="shared" si="3"/>
        <v>0.20319917220642791</v>
      </c>
      <c r="U107" s="365">
        <f t="shared" si="3"/>
        <v>0</v>
      </c>
      <c r="V107" s="365">
        <f t="shared" si="3"/>
        <v>0.1816089264144457</v>
      </c>
      <c r="W107" s="365">
        <f t="shared" si="3"/>
        <v>0</v>
      </c>
      <c r="X107" s="365">
        <f t="shared" si="3"/>
        <v>0.15574087273376108</v>
      </c>
      <c r="Y107" s="365">
        <f t="shared" si="3"/>
        <v>0</v>
      </c>
      <c r="Z107" s="352"/>
      <c r="AA107" s="352"/>
    </row>
    <row r="108" spans="3:27" x14ac:dyDescent="0.25">
      <c r="E108" s="96"/>
      <c r="J108" s="253"/>
      <c r="K108" s="253"/>
      <c r="L108" s="253"/>
      <c r="M108" s="253"/>
      <c r="N108" s="253"/>
      <c r="O108" s="253"/>
      <c r="P108" s="253"/>
      <c r="Q108" s="253"/>
      <c r="R108" s="253"/>
      <c r="S108" s="253"/>
      <c r="T108" s="253"/>
      <c r="U108" s="253"/>
      <c r="V108" s="253"/>
      <c r="W108" s="253"/>
      <c r="X108" s="253"/>
      <c r="Y108" s="253"/>
    </row>
    <row r="109" spans="3:27" x14ac:dyDescent="0.25">
      <c r="E109" s="96" t="s">
        <v>1150</v>
      </c>
      <c r="I109" s="295" t="s">
        <v>431</v>
      </c>
      <c r="J109" s="253"/>
      <c r="K109" s="253"/>
      <c r="L109" s="253"/>
      <c r="M109" s="253"/>
      <c r="N109" s="253"/>
      <c r="O109" s="253"/>
      <c r="P109" s="253"/>
      <c r="Q109" s="253"/>
      <c r="R109" s="253"/>
      <c r="S109" s="253"/>
      <c r="T109" s="253"/>
      <c r="U109" s="253"/>
      <c r="V109" s="253"/>
      <c r="W109" s="253"/>
      <c r="X109" s="253"/>
      <c r="Y109" s="253"/>
      <c r="AA109" s="295" t="s">
        <v>1149</v>
      </c>
    </row>
    <row r="110" spans="3:27" x14ac:dyDescent="0.25">
      <c r="E110" s="86"/>
      <c r="F110" s="91" t="s">
        <v>134</v>
      </c>
      <c r="G110" s="91" t="s">
        <v>183</v>
      </c>
      <c r="H110" s="361"/>
      <c r="I110" s="350"/>
      <c r="J110" s="363">
        <f xml:space="preserve"> J90 * (1 - J55) + J44</f>
        <v>6.1875292734732961</v>
      </c>
      <c r="K110" s="363">
        <f t="shared" ref="K110:N110" si="4" xml:space="preserve"> K90 * (1 - K55) + K44</f>
        <v>6.1875292734732961</v>
      </c>
      <c r="L110" s="363">
        <f t="shared" si="4"/>
        <v>7.0739605829542516</v>
      </c>
      <c r="M110" s="363">
        <f t="shared" si="4"/>
        <v>7.0739605829542516</v>
      </c>
      <c r="N110" s="363">
        <f t="shared" si="4"/>
        <v>4.9847033781728065</v>
      </c>
      <c r="O110" s="362"/>
      <c r="P110" s="362"/>
      <c r="Q110" s="363">
        <f t="shared" ref="Q110:R116" si="5" xml:space="preserve"> Q90 * (1 - Q55) + Q44</f>
        <v>13.848923698768459</v>
      </c>
      <c r="R110" s="363">
        <f t="shared" si="5"/>
        <v>-6.4413635387668471</v>
      </c>
      <c r="S110" s="362"/>
      <c r="T110" s="363">
        <f t="shared" ref="T110:T116" si="6" xml:space="preserve"> T90 * (1 - T55) + T44</f>
        <v>-6.4413635387668471</v>
      </c>
      <c r="U110" s="362"/>
      <c r="V110" s="362"/>
      <c r="W110" s="362"/>
      <c r="X110" s="362"/>
      <c r="Y110" s="362"/>
      <c r="Z110" s="352"/>
      <c r="AA110" s="352"/>
    </row>
    <row r="111" spans="3:27" x14ac:dyDescent="0.25">
      <c r="E111" s="86"/>
      <c r="F111" s="295" t="s">
        <v>135</v>
      </c>
      <c r="G111" s="295" t="s">
        <v>183</v>
      </c>
      <c r="H111" s="421"/>
      <c r="I111" s="352"/>
      <c r="J111" s="422">
        <f t="shared" ref="J111:N116" si="7" xml:space="preserve"> J91 * (1 - J56) + J45</f>
        <v>1.2370043675077855</v>
      </c>
      <c r="K111" s="422">
        <f t="shared" si="7"/>
        <v>1.2370043675077855</v>
      </c>
      <c r="L111" s="422">
        <f t="shared" si="7"/>
        <v>1.3239008498898053</v>
      </c>
      <c r="M111" s="422">
        <f t="shared" si="7"/>
        <v>1.3239008498898053</v>
      </c>
      <c r="N111" s="422">
        <f t="shared" si="7"/>
        <v>1.104742469967797</v>
      </c>
      <c r="O111" s="423"/>
      <c r="P111" s="423"/>
      <c r="Q111" s="422">
        <f t="shared" si="5"/>
        <v>1.4272581090793974</v>
      </c>
      <c r="R111" s="422">
        <f t="shared" si="5"/>
        <v>-0.63144411448010185</v>
      </c>
      <c r="S111" s="423"/>
      <c r="T111" s="422">
        <f t="shared" si="6"/>
        <v>-0.63144411448010185</v>
      </c>
      <c r="U111" s="423"/>
      <c r="V111" s="423"/>
      <c r="W111" s="423"/>
      <c r="X111" s="423"/>
      <c r="Y111" s="423"/>
      <c r="Z111" s="352"/>
      <c r="AA111" s="352"/>
    </row>
    <row r="112" spans="3:27" x14ac:dyDescent="0.25">
      <c r="E112" s="86"/>
      <c r="F112" s="295" t="s">
        <v>136</v>
      </c>
      <c r="G112" s="295" t="s">
        <v>183</v>
      </c>
      <c r="H112" s="421"/>
      <c r="I112" s="352"/>
      <c r="J112" s="422">
        <f t="shared" si="7"/>
        <v>0.71287042840447679</v>
      </c>
      <c r="K112" s="422">
        <f t="shared" si="7"/>
        <v>0.71287042840447679</v>
      </c>
      <c r="L112" s="422">
        <f t="shared" si="7"/>
        <v>0.71511662696049971</v>
      </c>
      <c r="M112" s="422">
        <f t="shared" si="7"/>
        <v>0.71511662696049971</v>
      </c>
      <c r="N112" s="422">
        <f t="shared" si="7"/>
        <v>0.70882185351947402</v>
      </c>
      <c r="O112" s="423"/>
      <c r="P112" s="423"/>
      <c r="Q112" s="422">
        <f t="shared" si="5"/>
        <v>0.97272803804238739</v>
      </c>
      <c r="R112" s="422">
        <f t="shared" si="5"/>
        <v>-1.632228163067535E-2</v>
      </c>
      <c r="S112" s="423"/>
      <c r="T112" s="422">
        <f t="shared" si="6"/>
        <v>-1.632228163067535E-2</v>
      </c>
      <c r="U112" s="423"/>
      <c r="V112" s="423"/>
      <c r="W112" s="423"/>
      <c r="X112" s="423"/>
      <c r="Y112" s="423"/>
      <c r="Z112" s="352"/>
      <c r="AA112" s="352"/>
    </row>
    <row r="113" spans="1:27" x14ac:dyDescent="0.25">
      <c r="E113" s="86"/>
      <c r="F113" s="295" t="s">
        <v>311</v>
      </c>
      <c r="G113" s="295" t="s">
        <v>309</v>
      </c>
      <c r="H113" s="385"/>
      <c r="J113" s="276">
        <f t="shared" si="7"/>
        <v>2.9775183568745298</v>
      </c>
      <c r="K113" s="276">
        <f t="shared" si="7"/>
        <v>0</v>
      </c>
      <c r="L113" s="276">
        <f t="shared" si="7"/>
        <v>3.750508029949116</v>
      </c>
      <c r="M113" s="276">
        <f t="shared" si="7"/>
        <v>0</v>
      </c>
      <c r="N113" s="276">
        <f t="shared" si="7"/>
        <v>14.343336982871861</v>
      </c>
      <c r="O113" s="280"/>
      <c r="P113" s="280"/>
      <c r="Q113" s="276">
        <f t="shared" si="5"/>
        <v>0</v>
      </c>
      <c r="R113" s="276">
        <f t="shared" si="5"/>
        <v>0</v>
      </c>
      <c r="S113" s="280"/>
      <c r="T113" s="276">
        <f t="shared" si="6"/>
        <v>0</v>
      </c>
      <c r="U113" s="280"/>
      <c r="V113" s="280"/>
      <c r="W113" s="280"/>
      <c r="X113" s="280"/>
      <c r="Y113" s="280"/>
    </row>
    <row r="114" spans="1:27" x14ac:dyDescent="0.25">
      <c r="E114" s="86"/>
      <c r="F114" s="295" t="s">
        <v>312</v>
      </c>
      <c r="G114" s="295" t="s">
        <v>308</v>
      </c>
      <c r="H114" s="385"/>
      <c r="J114" s="276">
        <f t="shared" si="7"/>
        <v>0</v>
      </c>
      <c r="K114" s="276">
        <f t="shared" si="7"/>
        <v>0</v>
      </c>
      <c r="L114" s="276">
        <f t="shared" si="7"/>
        <v>0</v>
      </c>
      <c r="M114" s="276">
        <f t="shared" si="7"/>
        <v>0</v>
      </c>
      <c r="N114" s="276">
        <f t="shared" si="7"/>
        <v>1.522151296756769</v>
      </c>
      <c r="O114" s="280"/>
      <c r="P114" s="280"/>
      <c r="Q114" s="276">
        <f t="shared" si="5"/>
        <v>0</v>
      </c>
      <c r="R114" s="276">
        <f t="shared" si="5"/>
        <v>0</v>
      </c>
      <c r="S114" s="280"/>
      <c r="T114" s="276">
        <f t="shared" si="6"/>
        <v>0</v>
      </c>
      <c r="U114" s="280"/>
      <c r="V114" s="280"/>
      <c r="W114" s="280"/>
      <c r="X114" s="280"/>
      <c r="Y114" s="280"/>
    </row>
    <row r="115" spans="1:27" x14ac:dyDescent="0.25">
      <c r="E115" s="86"/>
      <c r="F115" s="295" t="s">
        <v>313</v>
      </c>
      <c r="G115" s="295" t="s">
        <v>308</v>
      </c>
      <c r="H115" s="385"/>
      <c r="J115" s="276">
        <f t="shared" si="7"/>
        <v>0</v>
      </c>
      <c r="K115" s="276">
        <f t="shared" si="7"/>
        <v>0</v>
      </c>
      <c r="L115" s="276">
        <f t="shared" si="7"/>
        <v>0</v>
      </c>
      <c r="M115" s="276">
        <f t="shared" si="7"/>
        <v>0</v>
      </c>
      <c r="N115" s="276">
        <f t="shared" si="7"/>
        <v>2.2491981310760427</v>
      </c>
      <c r="O115" s="280"/>
      <c r="P115" s="280"/>
      <c r="Q115" s="276">
        <f t="shared" si="5"/>
        <v>0</v>
      </c>
      <c r="R115" s="276">
        <f t="shared" si="5"/>
        <v>0</v>
      </c>
      <c r="S115" s="280"/>
      <c r="T115" s="276">
        <f t="shared" si="6"/>
        <v>0</v>
      </c>
      <c r="U115" s="280"/>
      <c r="V115" s="280"/>
      <c r="W115" s="280"/>
      <c r="X115" s="280"/>
      <c r="Y115" s="280"/>
    </row>
    <row r="116" spans="1:27" x14ac:dyDescent="0.25">
      <c r="E116" s="86"/>
      <c r="F116" s="93" t="s">
        <v>314</v>
      </c>
      <c r="G116" s="93" t="s">
        <v>315</v>
      </c>
      <c r="H116" s="364"/>
      <c r="I116" s="354"/>
      <c r="J116" s="365">
        <f t="shared" si="7"/>
        <v>0</v>
      </c>
      <c r="K116" s="365">
        <f t="shared" si="7"/>
        <v>0</v>
      </c>
      <c r="L116" s="365">
        <f t="shared" si="7"/>
        <v>0</v>
      </c>
      <c r="M116" s="365">
        <f t="shared" si="7"/>
        <v>0</v>
      </c>
      <c r="N116" s="365">
        <f t="shared" si="7"/>
        <v>0.14346508691014909</v>
      </c>
      <c r="O116" s="359"/>
      <c r="P116" s="359"/>
      <c r="Q116" s="365">
        <f t="shared" si="5"/>
        <v>0</v>
      </c>
      <c r="R116" s="365">
        <f t="shared" si="5"/>
        <v>0</v>
      </c>
      <c r="S116" s="359"/>
      <c r="T116" s="365">
        <f t="shared" si="6"/>
        <v>0.20319917220642791</v>
      </c>
      <c r="U116" s="359"/>
      <c r="V116" s="359"/>
      <c r="W116" s="359"/>
      <c r="X116" s="359"/>
      <c r="Y116" s="359"/>
      <c r="Z116" s="352"/>
      <c r="AA116" s="352"/>
    </row>
    <row r="117" spans="1:27" x14ac:dyDescent="0.25">
      <c r="E117" s="86"/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  <c r="U117" s="253"/>
      <c r="V117" s="253"/>
      <c r="W117" s="253"/>
      <c r="X117" s="253"/>
      <c r="Y117" s="253"/>
    </row>
    <row r="118" spans="1:27" x14ac:dyDescent="0.25">
      <c r="E118" s="96" t="s">
        <v>1151</v>
      </c>
      <c r="I118" s="295" t="s">
        <v>431</v>
      </c>
      <c r="J118" s="253"/>
      <c r="K118" s="253"/>
      <c r="L118" s="253"/>
      <c r="M118" s="253"/>
      <c r="N118" s="253"/>
      <c r="O118" s="253"/>
      <c r="P118" s="253"/>
      <c r="Q118" s="253"/>
      <c r="R118" s="253"/>
      <c r="S118" s="253"/>
      <c r="T118" s="253"/>
      <c r="U118" s="253"/>
      <c r="V118" s="253"/>
      <c r="W118" s="253"/>
      <c r="X118" s="253"/>
      <c r="Y118" s="253"/>
      <c r="AA118" s="295" t="s">
        <v>1149</v>
      </c>
    </row>
    <row r="119" spans="1:27" x14ac:dyDescent="0.25">
      <c r="C119" s="86"/>
      <c r="F119" s="91" t="s">
        <v>134</v>
      </c>
      <c r="G119" s="91" t="s">
        <v>183</v>
      </c>
      <c r="H119" s="361"/>
      <c r="I119" s="350"/>
      <c r="J119" s="363">
        <f>J90 * (1 - J64) + J44</f>
        <v>4.0251353737779647</v>
      </c>
      <c r="K119" s="363">
        <f t="shared" ref="K119:T119" si="8">K90 * (1 - K64) + K44</f>
        <v>4.0251353737779647</v>
      </c>
      <c r="L119" s="363">
        <f t="shared" si="8"/>
        <v>4.601780083244245</v>
      </c>
      <c r="M119" s="363">
        <f t="shared" si="8"/>
        <v>4.601780083244245</v>
      </c>
      <c r="N119" s="363">
        <f t="shared" si="8"/>
        <v>3.242668439774691</v>
      </c>
      <c r="O119" s="363">
        <f t="shared" si="8"/>
        <v>3.4605183141678335</v>
      </c>
      <c r="P119" s="363">
        <f t="shared" si="8"/>
        <v>3.217909138887165</v>
      </c>
      <c r="Q119" s="363">
        <f t="shared" si="8"/>
        <v>9.0090551825985585</v>
      </c>
      <c r="R119" s="363">
        <f t="shared" si="8"/>
        <v>-6.4413635387668471</v>
      </c>
      <c r="S119" s="363">
        <f t="shared" si="8"/>
        <v>-5.6891199709087141</v>
      </c>
      <c r="T119" s="363">
        <f t="shared" si="8"/>
        <v>-6.4413635387668471</v>
      </c>
      <c r="U119" s="362"/>
      <c r="V119" s="363">
        <f t="shared" ref="V119:V125" si="9">V90 * (1 - V64) + V44</f>
        <v>-5.6891199709087141</v>
      </c>
      <c r="W119" s="362"/>
      <c r="X119" s="363">
        <f t="shared" ref="X119:X125" si="10">X90 * (1 - X64) + X44</f>
        <v>-3.732687631507082</v>
      </c>
      <c r="Y119" s="362"/>
      <c r="Z119" s="352"/>
      <c r="AA119" s="352"/>
    </row>
    <row r="120" spans="1:27" x14ac:dyDescent="0.25">
      <c r="C120" s="86"/>
      <c r="F120" s="295" t="s">
        <v>135</v>
      </c>
      <c r="G120" s="295" t="s">
        <v>183</v>
      </c>
      <c r="H120" s="421"/>
      <c r="I120" s="352"/>
      <c r="J120" s="422">
        <f t="shared" ref="J120:T125" si="11">J91 * (1 - J65) + J45</f>
        <v>0.80470084537934805</v>
      </c>
      <c r="K120" s="422">
        <f t="shared" si="11"/>
        <v>0.80470084537934805</v>
      </c>
      <c r="L120" s="422">
        <f t="shared" si="11"/>
        <v>0.86122907977368846</v>
      </c>
      <c r="M120" s="422">
        <f t="shared" si="11"/>
        <v>0.86122907977368846</v>
      </c>
      <c r="N120" s="422">
        <f t="shared" si="11"/>
        <v>0.71866132639500158</v>
      </c>
      <c r="O120" s="422">
        <f t="shared" si="11"/>
        <v>0.97844754849260995</v>
      </c>
      <c r="P120" s="422">
        <f t="shared" si="11"/>
        <v>1.047355124742813</v>
      </c>
      <c r="Q120" s="422">
        <f t="shared" si="11"/>
        <v>0.92846544209432014</v>
      </c>
      <c r="R120" s="422">
        <f t="shared" si="11"/>
        <v>-0.63144411448010185</v>
      </c>
      <c r="S120" s="422">
        <f t="shared" si="11"/>
        <v>-0.54797375527131609</v>
      </c>
      <c r="T120" s="422">
        <f t="shared" si="11"/>
        <v>-0.63144411448010185</v>
      </c>
      <c r="U120" s="423"/>
      <c r="V120" s="422">
        <f t="shared" si="9"/>
        <v>-0.54797375527131609</v>
      </c>
      <c r="W120" s="423"/>
      <c r="X120" s="422">
        <f t="shared" si="10"/>
        <v>-0.31633967493658671</v>
      </c>
      <c r="Y120" s="423"/>
      <c r="Z120" s="352"/>
      <c r="AA120" s="352"/>
    </row>
    <row r="121" spans="1:27" x14ac:dyDescent="0.25">
      <c r="C121" s="86"/>
      <c r="F121" s="295" t="s">
        <v>136</v>
      </c>
      <c r="G121" s="295" t="s">
        <v>183</v>
      </c>
      <c r="H121" s="421"/>
      <c r="I121" s="352"/>
      <c r="J121" s="422">
        <f t="shared" si="11"/>
        <v>0.46373921665188461</v>
      </c>
      <c r="K121" s="422">
        <f t="shared" si="11"/>
        <v>0.46373921665188461</v>
      </c>
      <c r="L121" s="422">
        <f t="shared" si="11"/>
        <v>0.46520042238761145</v>
      </c>
      <c r="M121" s="422">
        <f t="shared" si="11"/>
        <v>0.46520042238761145</v>
      </c>
      <c r="N121" s="422">
        <f t="shared" si="11"/>
        <v>0.46110552212491457</v>
      </c>
      <c r="O121" s="422">
        <f t="shared" si="11"/>
        <v>0.75211238196012475</v>
      </c>
      <c r="P121" s="422">
        <f t="shared" si="11"/>
        <v>0.86136282369456185</v>
      </c>
      <c r="Q121" s="422">
        <f t="shared" si="11"/>
        <v>0.63278278969534618</v>
      </c>
      <c r="R121" s="422">
        <f t="shared" si="11"/>
        <v>-1.632228163067535E-2</v>
      </c>
      <c r="S121" s="422">
        <f t="shared" si="11"/>
        <v>-1.3737723553938727E-2</v>
      </c>
      <c r="T121" s="422">
        <f t="shared" si="11"/>
        <v>-1.632228163067535E-2</v>
      </c>
      <c r="U121" s="423"/>
      <c r="V121" s="422">
        <f t="shared" si="9"/>
        <v>-1.3737723553938727E-2</v>
      </c>
      <c r="W121" s="423"/>
      <c r="X121" s="422">
        <f t="shared" si="10"/>
        <v>-6.0015573611233893E-3</v>
      </c>
      <c r="Y121" s="423"/>
      <c r="Z121" s="352"/>
      <c r="AA121" s="352"/>
    </row>
    <row r="122" spans="1:27" x14ac:dyDescent="0.25">
      <c r="C122" s="86"/>
      <c r="F122" s="295" t="s">
        <v>311</v>
      </c>
      <c r="G122" s="295" t="s">
        <v>309</v>
      </c>
      <c r="H122" s="385"/>
      <c r="J122" s="276">
        <f t="shared" si="11"/>
        <v>2.0040079621322442</v>
      </c>
      <c r="K122" s="276">
        <f t="shared" si="11"/>
        <v>0</v>
      </c>
      <c r="L122" s="276">
        <f t="shared" si="11"/>
        <v>2.5045514208408859</v>
      </c>
      <c r="M122" s="276">
        <f t="shared" si="11"/>
        <v>0</v>
      </c>
      <c r="N122" s="276">
        <f t="shared" si="11"/>
        <v>9.3954393087707722</v>
      </c>
      <c r="O122" s="276">
        <f t="shared" si="11"/>
        <v>5.5306198324560203</v>
      </c>
      <c r="P122" s="276">
        <f t="shared" si="11"/>
        <v>93.092690506522104</v>
      </c>
      <c r="Q122" s="276">
        <f t="shared" si="11"/>
        <v>0</v>
      </c>
      <c r="R122" s="276">
        <f t="shared" si="11"/>
        <v>0</v>
      </c>
      <c r="S122" s="276">
        <f t="shared" si="11"/>
        <v>0</v>
      </c>
      <c r="T122" s="276">
        <f t="shared" si="11"/>
        <v>0</v>
      </c>
      <c r="U122" s="280"/>
      <c r="V122" s="276">
        <f t="shared" si="9"/>
        <v>0</v>
      </c>
      <c r="W122" s="280"/>
      <c r="X122" s="276">
        <f t="shared" si="10"/>
        <v>0</v>
      </c>
      <c r="Y122" s="280"/>
    </row>
    <row r="123" spans="1:27" x14ac:dyDescent="0.25">
      <c r="C123" s="86"/>
      <c r="F123" s="295" t="s">
        <v>312</v>
      </c>
      <c r="G123" s="295" t="s">
        <v>308</v>
      </c>
      <c r="H123" s="385"/>
      <c r="J123" s="276">
        <f t="shared" si="11"/>
        <v>0</v>
      </c>
      <c r="K123" s="276">
        <f t="shared" si="11"/>
        <v>0</v>
      </c>
      <c r="L123" s="276">
        <f t="shared" si="11"/>
        <v>0</v>
      </c>
      <c r="M123" s="276">
        <f t="shared" si="11"/>
        <v>0</v>
      </c>
      <c r="N123" s="276">
        <f t="shared" si="11"/>
        <v>0.99019572401609468</v>
      </c>
      <c r="O123" s="276">
        <f t="shared" si="11"/>
        <v>2.9366104878461727</v>
      </c>
      <c r="P123" s="276">
        <f t="shared" si="11"/>
        <v>3.7146089338781416</v>
      </c>
      <c r="Q123" s="276">
        <f t="shared" si="11"/>
        <v>0</v>
      </c>
      <c r="R123" s="276">
        <f t="shared" si="11"/>
        <v>0</v>
      </c>
      <c r="S123" s="276">
        <f t="shared" si="11"/>
        <v>0</v>
      </c>
      <c r="T123" s="276">
        <f t="shared" si="11"/>
        <v>0</v>
      </c>
      <c r="U123" s="280"/>
      <c r="V123" s="276">
        <f t="shared" si="9"/>
        <v>0</v>
      </c>
      <c r="W123" s="280"/>
      <c r="X123" s="276">
        <f t="shared" si="10"/>
        <v>0</v>
      </c>
      <c r="Y123" s="280"/>
    </row>
    <row r="124" spans="1:27" x14ac:dyDescent="0.25">
      <c r="C124" s="86"/>
      <c r="F124" s="295" t="s">
        <v>313</v>
      </c>
      <c r="G124" s="295" t="s">
        <v>308</v>
      </c>
      <c r="H124" s="385"/>
      <c r="J124" s="276">
        <f t="shared" si="11"/>
        <v>0</v>
      </c>
      <c r="K124" s="276">
        <f t="shared" si="11"/>
        <v>0</v>
      </c>
      <c r="L124" s="276">
        <f t="shared" si="11"/>
        <v>0</v>
      </c>
      <c r="M124" s="276">
        <f t="shared" si="11"/>
        <v>0</v>
      </c>
      <c r="N124" s="276">
        <f t="shared" si="11"/>
        <v>1.4631570308430213</v>
      </c>
      <c r="O124" s="276">
        <f t="shared" si="11"/>
        <v>3.349823140665888</v>
      </c>
      <c r="P124" s="276">
        <f t="shared" si="11"/>
        <v>4.5826288209911388</v>
      </c>
      <c r="Q124" s="276">
        <f t="shared" si="11"/>
        <v>0</v>
      </c>
      <c r="R124" s="276">
        <f t="shared" si="11"/>
        <v>0</v>
      </c>
      <c r="S124" s="276">
        <f t="shared" si="11"/>
        <v>0</v>
      </c>
      <c r="T124" s="276">
        <f t="shared" si="11"/>
        <v>0</v>
      </c>
      <c r="U124" s="280"/>
      <c r="V124" s="276">
        <f t="shared" si="9"/>
        <v>0</v>
      </c>
      <c r="W124" s="280"/>
      <c r="X124" s="276">
        <f t="shared" si="10"/>
        <v>0</v>
      </c>
      <c r="Y124" s="280"/>
    </row>
    <row r="125" spans="1:27" x14ac:dyDescent="0.25">
      <c r="C125" s="86"/>
      <c r="F125" s="93" t="s">
        <v>314</v>
      </c>
      <c r="G125" s="93" t="s">
        <v>315</v>
      </c>
      <c r="H125" s="364"/>
      <c r="I125" s="354"/>
      <c r="J125" s="365">
        <f t="shared" si="11"/>
        <v>0</v>
      </c>
      <c r="K125" s="365">
        <f t="shared" si="11"/>
        <v>0</v>
      </c>
      <c r="L125" s="365">
        <f t="shared" si="11"/>
        <v>0</v>
      </c>
      <c r="M125" s="365">
        <f t="shared" si="11"/>
        <v>0</v>
      </c>
      <c r="N125" s="365">
        <f t="shared" si="11"/>
        <v>9.3327460881654487E-2</v>
      </c>
      <c r="O125" s="365">
        <f t="shared" si="11"/>
        <v>8.9356663870965553E-2</v>
      </c>
      <c r="P125" s="365">
        <f t="shared" si="11"/>
        <v>7.6014748032036922E-2</v>
      </c>
      <c r="Q125" s="365">
        <f t="shared" si="11"/>
        <v>0</v>
      </c>
      <c r="R125" s="365">
        <f t="shared" si="11"/>
        <v>0</v>
      </c>
      <c r="S125" s="365">
        <f t="shared" si="11"/>
        <v>0</v>
      </c>
      <c r="T125" s="365">
        <f t="shared" si="11"/>
        <v>0.20319917220642791</v>
      </c>
      <c r="U125" s="359"/>
      <c r="V125" s="365">
        <f t="shared" si="9"/>
        <v>0.1816089264144457</v>
      </c>
      <c r="W125" s="359"/>
      <c r="X125" s="365">
        <f t="shared" si="10"/>
        <v>0.15574087273376108</v>
      </c>
      <c r="Y125" s="359"/>
      <c r="Z125" s="352"/>
      <c r="AA125" s="352"/>
    </row>
    <row r="126" spans="1:27" x14ac:dyDescent="0.25">
      <c r="A126" s="352"/>
      <c r="B126" s="352"/>
      <c r="C126" s="352"/>
      <c r="D126" s="352"/>
      <c r="E126" s="352"/>
      <c r="F126" s="352"/>
      <c r="G126" s="352"/>
      <c r="H126" s="352"/>
      <c r="I126" s="352"/>
      <c r="J126" s="352"/>
      <c r="K126" s="352"/>
      <c r="L126" s="352"/>
      <c r="M126" s="352"/>
      <c r="N126" s="352"/>
      <c r="O126" s="352"/>
      <c r="P126" s="352"/>
      <c r="Q126" s="352"/>
      <c r="R126" s="352"/>
      <c r="S126" s="352"/>
      <c r="T126" s="352"/>
      <c r="U126" s="352"/>
      <c r="V126" s="352"/>
      <c r="W126" s="352"/>
      <c r="X126" s="352"/>
      <c r="Y126" s="352"/>
      <c r="Z126" s="352"/>
      <c r="AA126" s="352"/>
    </row>
    <row r="127" spans="1:27" x14ac:dyDescent="0.25">
      <c r="C127" s="7" t="str">
        <f ca="1">INDEX('Version control'!$H$34:$H$58,MATCH($A$1,'Version control'!$F$34:$F$58,0),1)&amp;"-H: Tariff forecast, post-rounding"</f>
        <v>Section 520-H: Tariff forecast, post-rounding</v>
      </c>
      <c r="D127" s="7"/>
      <c r="E127" s="7"/>
      <c r="F127" s="7"/>
      <c r="G127" s="7"/>
      <c r="H127" s="7"/>
      <c r="I127" s="7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7"/>
      <c r="AA127" s="7"/>
    </row>
    <row r="128" spans="1:27" x14ac:dyDescent="0.25">
      <c r="J128" s="253"/>
      <c r="K128" s="253"/>
      <c r="L128" s="253"/>
      <c r="M128" s="253"/>
      <c r="N128" s="253"/>
      <c r="O128" s="253"/>
      <c r="P128" s="253"/>
      <c r="Q128" s="253"/>
      <c r="R128" s="253"/>
      <c r="S128" s="253"/>
      <c r="T128" s="253"/>
      <c r="U128" s="253"/>
      <c r="V128" s="253"/>
      <c r="W128" s="253"/>
      <c r="X128" s="253"/>
      <c r="Y128" s="253"/>
    </row>
    <row r="129" spans="5:27" x14ac:dyDescent="0.25">
      <c r="E129" s="96" t="s">
        <v>883</v>
      </c>
      <c r="F129" s="96"/>
      <c r="I129" s="295" t="s">
        <v>431</v>
      </c>
      <c r="J129" s="253"/>
      <c r="K129" s="253"/>
      <c r="L129" s="253"/>
      <c r="M129" s="253"/>
      <c r="N129" s="253"/>
      <c r="O129" s="253"/>
      <c r="P129" s="253"/>
      <c r="Q129" s="253"/>
      <c r="R129" s="253"/>
      <c r="S129" s="253"/>
      <c r="T129" s="253"/>
      <c r="U129" s="253"/>
      <c r="V129" s="253"/>
      <c r="W129" s="253"/>
      <c r="X129" s="253"/>
      <c r="Y129" s="253"/>
      <c r="AA129" s="295" t="s">
        <v>807</v>
      </c>
    </row>
    <row r="130" spans="5:27" x14ac:dyDescent="0.25">
      <c r="E130" s="86"/>
      <c r="F130" s="91" t="s">
        <v>134</v>
      </c>
      <c r="G130" s="91" t="s">
        <v>183</v>
      </c>
      <c r="H130" s="361"/>
      <c r="I130" s="350"/>
      <c r="J130" s="351">
        <f t="shared" ref="J130:Y136" si="12">ROUND(J101, $H75)</f>
        <v>10.154999999999999</v>
      </c>
      <c r="K130" s="351">
        <f t="shared" si="12"/>
        <v>10.154999999999999</v>
      </c>
      <c r="L130" s="351">
        <f t="shared" si="12"/>
        <v>11.609</v>
      </c>
      <c r="M130" s="351">
        <f t="shared" si="12"/>
        <v>11.609</v>
      </c>
      <c r="N130" s="351">
        <f t="shared" si="12"/>
        <v>8.1809999999999992</v>
      </c>
      <c r="O130" s="351">
        <f t="shared" si="12"/>
        <v>5.3090000000000002</v>
      </c>
      <c r="P130" s="351">
        <f t="shared" si="12"/>
        <v>4.3010000000000002</v>
      </c>
      <c r="Q130" s="351">
        <f t="shared" si="12"/>
        <v>22.728000000000002</v>
      </c>
      <c r="R130" s="351">
        <f t="shared" si="12"/>
        <v>-6.4409999999999998</v>
      </c>
      <c r="S130" s="351">
        <f t="shared" si="12"/>
        <v>-5.6890000000000001</v>
      </c>
      <c r="T130" s="351">
        <f t="shared" si="12"/>
        <v>-6.4409999999999998</v>
      </c>
      <c r="U130" s="351">
        <f t="shared" si="12"/>
        <v>-6.4409999999999998</v>
      </c>
      <c r="V130" s="351">
        <f t="shared" si="12"/>
        <v>-5.6890000000000001</v>
      </c>
      <c r="W130" s="351">
        <f t="shared" si="12"/>
        <v>-5.6890000000000001</v>
      </c>
      <c r="X130" s="351">
        <f t="shared" si="12"/>
        <v>-3.7330000000000001</v>
      </c>
      <c r="Y130" s="351">
        <f t="shared" si="12"/>
        <v>-3.7330000000000001</v>
      </c>
      <c r="Z130" s="352"/>
      <c r="AA130" s="352"/>
    </row>
    <row r="131" spans="5:27" x14ac:dyDescent="0.25">
      <c r="E131" s="86"/>
      <c r="F131" s="295" t="s">
        <v>135</v>
      </c>
      <c r="G131" s="295" t="s">
        <v>183</v>
      </c>
      <c r="H131" s="421"/>
      <c r="I131" s="352"/>
      <c r="J131" s="353">
        <f t="shared" si="12"/>
        <v>2.0299999999999998</v>
      </c>
      <c r="K131" s="353">
        <f t="shared" si="12"/>
        <v>2.0299999999999998</v>
      </c>
      <c r="L131" s="353">
        <f t="shared" si="12"/>
        <v>2.173</v>
      </c>
      <c r="M131" s="353">
        <f t="shared" si="12"/>
        <v>2.173</v>
      </c>
      <c r="N131" s="353">
        <f t="shared" si="12"/>
        <v>1.8129999999999999</v>
      </c>
      <c r="O131" s="353">
        <f t="shared" si="12"/>
        <v>1.5009999999999999</v>
      </c>
      <c r="P131" s="353">
        <f t="shared" si="12"/>
        <v>1.4</v>
      </c>
      <c r="Q131" s="353">
        <f t="shared" si="12"/>
        <v>2.3420000000000001</v>
      </c>
      <c r="R131" s="353">
        <f t="shared" si="12"/>
        <v>-0.63100000000000001</v>
      </c>
      <c r="S131" s="353">
        <f t="shared" si="12"/>
        <v>-0.54800000000000004</v>
      </c>
      <c r="T131" s="353">
        <f t="shared" si="12"/>
        <v>-0.63100000000000001</v>
      </c>
      <c r="U131" s="353">
        <f t="shared" si="12"/>
        <v>-0.63100000000000001</v>
      </c>
      <c r="V131" s="353">
        <f t="shared" si="12"/>
        <v>-0.54800000000000004</v>
      </c>
      <c r="W131" s="353">
        <f t="shared" si="12"/>
        <v>-0.54800000000000004</v>
      </c>
      <c r="X131" s="353">
        <f t="shared" si="12"/>
        <v>-0.316</v>
      </c>
      <c r="Y131" s="353">
        <f t="shared" si="12"/>
        <v>-0.316</v>
      </c>
      <c r="Z131" s="352"/>
      <c r="AA131" s="352"/>
    </row>
    <row r="132" spans="5:27" x14ac:dyDescent="0.25">
      <c r="E132" s="86"/>
      <c r="F132" s="295" t="s">
        <v>136</v>
      </c>
      <c r="G132" s="295" t="s">
        <v>183</v>
      </c>
      <c r="H132" s="421"/>
      <c r="I132" s="352"/>
      <c r="J132" s="353">
        <f t="shared" si="12"/>
        <v>1.17</v>
      </c>
      <c r="K132" s="353">
        <f t="shared" si="12"/>
        <v>1.17</v>
      </c>
      <c r="L132" s="353">
        <f t="shared" si="12"/>
        <v>1.1739999999999999</v>
      </c>
      <c r="M132" s="353">
        <f t="shared" si="12"/>
        <v>1.1739999999999999</v>
      </c>
      <c r="N132" s="353">
        <f t="shared" si="12"/>
        <v>1.163</v>
      </c>
      <c r="O132" s="353">
        <f t="shared" si="12"/>
        <v>1.1539999999999999</v>
      </c>
      <c r="P132" s="353">
        <f t="shared" si="12"/>
        <v>1.151</v>
      </c>
      <c r="Q132" s="353">
        <f t="shared" si="12"/>
        <v>1.5960000000000001</v>
      </c>
      <c r="R132" s="353">
        <f t="shared" si="12"/>
        <v>-1.6E-2</v>
      </c>
      <c r="S132" s="353">
        <f t="shared" si="12"/>
        <v>-1.4E-2</v>
      </c>
      <c r="T132" s="353">
        <f t="shared" si="12"/>
        <v>-1.6E-2</v>
      </c>
      <c r="U132" s="353">
        <f t="shared" si="12"/>
        <v>-1.6E-2</v>
      </c>
      <c r="V132" s="353">
        <f t="shared" si="12"/>
        <v>-1.4E-2</v>
      </c>
      <c r="W132" s="353">
        <f t="shared" si="12"/>
        <v>-1.4E-2</v>
      </c>
      <c r="X132" s="353">
        <f t="shared" si="12"/>
        <v>-6.0000000000000001E-3</v>
      </c>
      <c r="Y132" s="353">
        <f t="shared" si="12"/>
        <v>-6.0000000000000001E-3</v>
      </c>
      <c r="Z132" s="352"/>
      <c r="AA132" s="352"/>
    </row>
    <row r="133" spans="5:27" x14ac:dyDescent="0.25">
      <c r="E133" s="86"/>
      <c r="F133" s="295" t="s">
        <v>311</v>
      </c>
      <c r="G133" s="295" t="s">
        <v>309</v>
      </c>
      <c r="H133" s="385"/>
      <c r="J133" s="257">
        <f t="shared" si="12"/>
        <v>4.76</v>
      </c>
      <c r="K133" s="257">
        <f t="shared" si="12"/>
        <v>0</v>
      </c>
      <c r="L133" s="257">
        <f t="shared" si="12"/>
        <v>6.04</v>
      </c>
      <c r="M133" s="257">
        <f t="shared" si="12"/>
        <v>0</v>
      </c>
      <c r="N133" s="257">
        <f t="shared" si="12"/>
        <v>23.42</v>
      </c>
      <c r="O133" s="257">
        <f t="shared" si="12"/>
        <v>8.39</v>
      </c>
      <c r="P133" s="257">
        <f t="shared" si="12"/>
        <v>124.35</v>
      </c>
      <c r="Q133" s="257">
        <f t="shared" si="12"/>
        <v>0</v>
      </c>
      <c r="R133" s="257">
        <f t="shared" si="12"/>
        <v>0</v>
      </c>
      <c r="S133" s="257">
        <f t="shared" si="12"/>
        <v>0</v>
      </c>
      <c r="T133" s="257">
        <f t="shared" si="12"/>
        <v>0</v>
      </c>
      <c r="U133" s="257">
        <f t="shared" si="12"/>
        <v>0</v>
      </c>
      <c r="V133" s="257">
        <f t="shared" si="12"/>
        <v>0</v>
      </c>
      <c r="W133" s="257">
        <f t="shared" si="12"/>
        <v>0</v>
      </c>
      <c r="X133" s="257">
        <f t="shared" si="12"/>
        <v>90.67</v>
      </c>
      <c r="Y133" s="257">
        <f t="shared" si="12"/>
        <v>90.67</v>
      </c>
    </row>
    <row r="134" spans="5:27" x14ac:dyDescent="0.25">
      <c r="E134" s="86"/>
      <c r="F134" s="295" t="s">
        <v>312</v>
      </c>
      <c r="G134" s="295" t="s">
        <v>308</v>
      </c>
      <c r="H134" s="385"/>
      <c r="J134" s="257">
        <f t="shared" si="12"/>
        <v>0</v>
      </c>
      <c r="K134" s="257">
        <f t="shared" si="12"/>
        <v>0</v>
      </c>
      <c r="L134" s="257">
        <f t="shared" si="12"/>
        <v>0</v>
      </c>
      <c r="M134" s="257">
        <f t="shared" si="12"/>
        <v>0</v>
      </c>
      <c r="N134" s="257">
        <f t="shared" si="12"/>
        <v>2.5</v>
      </c>
      <c r="O134" s="257">
        <f t="shared" si="12"/>
        <v>4.51</v>
      </c>
      <c r="P134" s="257">
        <f t="shared" si="12"/>
        <v>4.96</v>
      </c>
      <c r="Q134" s="257">
        <f t="shared" si="12"/>
        <v>0</v>
      </c>
      <c r="R134" s="257">
        <f t="shared" si="12"/>
        <v>0</v>
      </c>
      <c r="S134" s="257">
        <f t="shared" si="12"/>
        <v>0</v>
      </c>
      <c r="T134" s="257">
        <f t="shared" si="12"/>
        <v>0</v>
      </c>
      <c r="U134" s="257">
        <f t="shared" si="12"/>
        <v>0</v>
      </c>
      <c r="V134" s="257">
        <f t="shared" si="12"/>
        <v>0</v>
      </c>
      <c r="W134" s="257">
        <f t="shared" si="12"/>
        <v>0</v>
      </c>
      <c r="X134" s="257">
        <f t="shared" si="12"/>
        <v>0</v>
      </c>
      <c r="Y134" s="257">
        <f t="shared" si="12"/>
        <v>0</v>
      </c>
    </row>
    <row r="135" spans="5:27" x14ac:dyDescent="0.25">
      <c r="E135" s="86"/>
      <c r="F135" s="295" t="s">
        <v>313</v>
      </c>
      <c r="G135" s="295" t="s">
        <v>308</v>
      </c>
      <c r="H135" s="385"/>
      <c r="J135" s="257">
        <f t="shared" si="12"/>
        <v>0</v>
      </c>
      <c r="K135" s="257">
        <f t="shared" si="12"/>
        <v>0</v>
      </c>
      <c r="L135" s="257">
        <f t="shared" si="12"/>
        <v>0</v>
      </c>
      <c r="M135" s="257">
        <f t="shared" si="12"/>
        <v>0</v>
      </c>
      <c r="N135" s="257">
        <f t="shared" si="12"/>
        <v>3.69</v>
      </c>
      <c r="O135" s="257">
        <f t="shared" si="12"/>
        <v>5.14</v>
      </c>
      <c r="P135" s="257">
        <f t="shared" si="12"/>
        <v>6.12</v>
      </c>
      <c r="Q135" s="257">
        <f t="shared" si="12"/>
        <v>0</v>
      </c>
      <c r="R135" s="257">
        <f t="shared" si="12"/>
        <v>0</v>
      </c>
      <c r="S135" s="257">
        <f t="shared" si="12"/>
        <v>0</v>
      </c>
      <c r="T135" s="257">
        <f t="shared" si="12"/>
        <v>0</v>
      </c>
      <c r="U135" s="257">
        <f t="shared" si="12"/>
        <v>0</v>
      </c>
      <c r="V135" s="257">
        <f t="shared" si="12"/>
        <v>0</v>
      </c>
      <c r="W135" s="257">
        <f t="shared" si="12"/>
        <v>0</v>
      </c>
      <c r="X135" s="257">
        <f t="shared" si="12"/>
        <v>0</v>
      </c>
      <c r="Y135" s="257">
        <f t="shared" si="12"/>
        <v>0</v>
      </c>
    </row>
    <row r="136" spans="5:27" x14ac:dyDescent="0.25">
      <c r="E136" s="86"/>
      <c r="F136" s="93" t="s">
        <v>314</v>
      </c>
      <c r="G136" s="93" t="s">
        <v>315</v>
      </c>
      <c r="H136" s="364"/>
      <c r="I136" s="354"/>
      <c r="J136" s="355">
        <f t="shared" si="12"/>
        <v>0</v>
      </c>
      <c r="K136" s="355">
        <f t="shared" si="12"/>
        <v>0</v>
      </c>
      <c r="L136" s="355">
        <f t="shared" si="12"/>
        <v>0</v>
      </c>
      <c r="M136" s="355">
        <f t="shared" si="12"/>
        <v>0</v>
      </c>
      <c r="N136" s="355">
        <f t="shared" si="12"/>
        <v>0.23499999999999999</v>
      </c>
      <c r="O136" s="355">
        <f t="shared" si="12"/>
        <v>0.13700000000000001</v>
      </c>
      <c r="P136" s="355">
        <f t="shared" si="12"/>
        <v>0.10199999999999999</v>
      </c>
      <c r="Q136" s="355">
        <f t="shared" si="12"/>
        <v>0</v>
      </c>
      <c r="R136" s="355">
        <f t="shared" si="12"/>
        <v>0</v>
      </c>
      <c r="S136" s="355">
        <f t="shared" si="12"/>
        <v>0</v>
      </c>
      <c r="T136" s="355">
        <f t="shared" si="12"/>
        <v>0.20300000000000001</v>
      </c>
      <c r="U136" s="355">
        <f t="shared" si="12"/>
        <v>0</v>
      </c>
      <c r="V136" s="355">
        <f t="shared" si="12"/>
        <v>0.182</v>
      </c>
      <c r="W136" s="355">
        <f t="shared" si="12"/>
        <v>0</v>
      </c>
      <c r="X136" s="355">
        <f t="shared" si="12"/>
        <v>0.156</v>
      </c>
      <c r="Y136" s="355">
        <f t="shared" si="12"/>
        <v>0</v>
      </c>
      <c r="Z136" s="352"/>
      <c r="AA136" s="352"/>
    </row>
    <row r="137" spans="5:27" x14ac:dyDescent="0.25">
      <c r="E137" s="96"/>
      <c r="J137" s="253"/>
      <c r="K137" s="253"/>
      <c r="L137" s="253"/>
      <c r="M137" s="253"/>
      <c r="N137" s="253"/>
      <c r="O137" s="253"/>
      <c r="P137" s="253"/>
      <c r="Q137" s="253"/>
      <c r="R137" s="253"/>
      <c r="S137" s="253"/>
      <c r="T137" s="253"/>
      <c r="U137" s="253"/>
      <c r="V137" s="253"/>
      <c r="W137" s="253"/>
      <c r="X137" s="253"/>
      <c r="Y137" s="253"/>
    </row>
    <row r="138" spans="5:27" x14ac:dyDescent="0.25">
      <c r="E138" s="96" t="s">
        <v>884</v>
      </c>
      <c r="I138" s="295" t="s">
        <v>431</v>
      </c>
      <c r="J138" s="253"/>
      <c r="K138" s="253"/>
      <c r="L138" s="253"/>
      <c r="M138" s="253"/>
      <c r="N138" s="253"/>
      <c r="O138" s="253"/>
      <c r="P138" s="253"/>
      <c r="Q138" s="253"/>
      <c r="R138" s="253"/>
      <c r="S138" s="253"/>
      <c r="T138" s="253"/>
      <c r="U138" s="253"/>
      <c r="V138" s="253"/>
      <c r="W138" s="253"/>
      <c r="X138" s="253"/>
      <c r="Y138" s="253"/>
      <c r="AA138" s="295" t="s">
        <v>807</v>
      </c>
    </row>
    <row r="139" spans="5:27" x14ac:dyDescent="0.25">
      <c r="E139" s="86"/>
      <c r="F139" s="91" t="s">
        <v>134</v>
      </c>
      <c r="G139" s="91" t="s">
        <v>183</v>
      </c>
      <c r="H139" s="361"/>
      <c r="I139" s="350"/>
      <c r="J139" s="351">
        <f>ROUND(J110, $H75)</f>
        <v>6.1879999999999997</v>
      </c>
      <c r="K139" s="351">
        <f>ROUND(K110, $H75)</f>
        <v>6.1879999999999997</v>
      </c>
      <c r="L139" s="351">
        <f>ROUND(L110, $H75)</f>
        <v>7.0739999999999998</v>
      </c>
      <c r="M139" s="351">
        <f>ROUND(M110, $H75)</f>
        <v>7.0739999999999998</v>
      </c>
      <c r="N139" s="351">
        <f>ROUND(N110, $H75)</f>
        <v>4.9850000000000003</v>
      </c>
      <c r="O139" s="362"/>
      <c r="P139" s="362"/>
      <c r="Q139" s="351">
        <f>ROUND(Q110, $H75)</f>
        <v>13.849</v>
      </c>
      <c r="R139" s="351">
        <f>ROUND(R110, $H75)</f>
        <v>-6.4409999999999998</v>
      </c>
      <c r="S139" s="362"/>
      <c r="T139" s="351">
        <f>ROUND(T110, $H75)</f>
        <v>-6.4409999999999998</v>
      </c>
      <c r="U139" s="362"/>
      <c r="V139" s="362"/>
      <c r="W139" s="362"/>
      <c r="X139" s="362"/>
      <c r="Y139" s="362"/>
      <c r="Z139" s="352"/>
      <c r="AA139" s="352"/>
    </row>
    <row r="140" spans="5:27" x14ac:dyDescent="0.25">
      <c r="E140" s="86"/>
      <c r="F140" s="295" t="s">
        <v>135</v>
      </c>
      <c r="G140" s="295" t="s">
        <v>183</v>
      </c>
      <c r="H140" s="421"/>
      <c r="I140" s="352"/>
      <c r="J140" s="353">
        <f t="shared" ref="J140:N145" si="13">ROUND(J111, $H76)</f>
        <v>1.2370000000000001</v>
      </c>
      <c r="K140" s="353">
        <f t="shared" si="13"/>
        <v>1.2370000000000001</v>
      </c>
      <c r="L140" s="353">
        <f t="shared" si="13"/>
        <v>1.3240000000000001</v>
      </c>
      <c r="M140" s="353">
        <f t="shared" si="13"/>
        <v>1.3240000000000001</v>
      </c>
      <c r="N140" s="353">
        <f t="shared" si="13"/>
        <v>1.105</v>
      </c>
      <c r="O140" s="423"/>
      <c r="P140" s="423"/>
      <c r="Q140" s="353">
        <f t="shared" ref="Q140:R145" si="14">ROUND(Q111, $H76)</f>
        <v>1.427</v>
      </c>
      <c r="R140" s="353">
        <f t="shared" si="14"/>
        <v>-0.63100000000000001</v>
      </c>
      <c r="S140" s="423"/>
      <c r="T140" s="353">
        <f t="shared" ref="T140:T145" si="15">ROUND(T111, $H76)</f>
        <v>-0.63100000000000001</v>
      </c>
      <c r="U140" s="423"/>
      <c r="V140" s="423"/>
      <c r="W140" s="423"/>
      <c r="X140" s="423"/>
      <c r="Y140" s="423"/>
      <c r="Z140" s="352"/>
      <c r="AA140" s="352"/>
    </row>
    <row r="141" spans="5:27" x14ac:dyDescent="0.25">
      <c r="E141" s="86"/>
      <c r="F141" s="295" t="s">
        <v>136</v>
      </c>
      <c r="G141" s="295" t="s">
        <v>183</v>
      </c>
      <c r="H141" s="421"/>
      <c r="I141" s="352"/>
      <c r="J141" s="353">
        <f t="shared" si="13"/>
        <v>0.71299999999999997</v>
      </c>
      <c r="K141" s="353">
        <f t="shared" si="13"/>
        <v>0.71299999999999997</v>
      </c>
      <c r="L141" s="353">
        <f t="shared" si="13"/>
        <v>0.71499999999999997</v>
      </c>
      <c r="M141" s="353">
        <f t="shared" si="13"/>
        <v>0.71499999999999997</v>
      </c>
      <c r="N141" s="353">
        <f t="shared" si="13"/>
        <v>0.70899999999999996</v>
      </c>
      <c r="O141" s="423"/>
      <c r="P141" s="423"/>
      <c r="Q141" s="353">
        <f t="shared" si="14"/>
        <v>0.97299999999999998</v>
      </c>
      <c r="R141" s="353">
        <f t="shared" si="14"/>
        <v>-1.6E-2</v>
      </c>
      <c r="S141" s="423"/>
      <c r="T141" s="353">
        <f t="shared" si="15"/>
        <v>-1.6E-2</v>
      </c>
      <c r="U141" s="423"/>
      <c r="V141" s="423"/>
      <c r="W141" s="423"/>
      <c r="X141" s="423"/>
      <c r="Y141" s="423"/>
      <c r="Z141" s="352"/>
      <c r="AA141" s="352"/>
    </row>
    <row r="142" spans="5:27" x14ac:dyDescent="0.25">
      <c r="E142" s="86"/>
      <c r="F142" s="295" t="s">
        <v>311</v>
      </c>
      <c r="G142" s="295" t="s">
        <v>309</v>
      </c>
      <c r="H142" s="385"/>
      <c r="J142" s="257">
        <f t="shared" si="13"/>
        <v>2.98</v>
      </c>
      <c r="K142" s="257">
        <f t="shared" si="13"/>
        <v>0</v>
      </c>
      <c r="L142" s="257">
        <f t="shared" si="13"/>
        <v>3.75</v>
      </c>
      <c r="M142" s="257">
        <f t="shared" si="13"/>
        <v>0</v>
      </c>
      <c r="N142" s="257">
        <f t="shared" si="13"/>
        <v>14.34</v>
      </c>
      <c r="O142" s="280"/>
      <c r="P142" s="280"/>
      <c r="Q142" s="257">
        <f t="shared" si="14"/>
        <v>0</v>
      </c>
      <c r="R142" s="257">
        <f t="shared" si="14"/>
        <v>0</v>
      </c>
      <c r="S142" s="280"/>
      <c r="T142" s="257">
        <f t="shared" si="15"/>
        <v>0</v>
      </c>
      <c r="U142" s="280"/>
      <c r="V142" s="280"/>
      <c r="W142" s="280"/>
      <c r="X142" s="280"/>
      <c r="Y142" s="280"/>
    </row>
    <row r="143" spans="5:27" x14ac:dyDescent="0.25">
      <c r="E143" s="86"/>
      <c r="F143" s="295" t="s">
        <v>312</v>
      </c>
      <c r="G143" s="295" t="s">
        <v>308</v>
      </c>
      <c r="H143" s="385"/>
      <c r="J143" s="257">
        <f t="shared" si="13"/>
        <v>0</v>
      </c>
      <c r="K143" s="257">
        <f t="shared" si="13"/>
        <v>0</v>
      </c>
      <c r="L143" s="257">
        <f t="shared" si="13"/>
        <v>0</v>
      </c>
      <c r="M143" s="257">
        <f t="shared" si="13"/>
        <v>0</v>
      </c>
      <c r="N143" s="257">
        <f t="shared" si="13"/>
        <v>1.52</v>
      </c>
      <c r="O143" s="280"/>
      <c r="P143" s="280"/>
      <c r="Q143" s="257">
        <f t="shared" si="14"/>
        <v>0</v>
      </c>
      <c r="R143" s="257">
        <f t="shared" si="14"/>
        <v>0</v>
      </c>
      <c r="S143" s="280"/>
      <c r="T143" s="257">
        <f t="shared" si="15"/>
        <v>0</v>
      </c>
      <c r="U143" s="280"/>
      <c r="V143" s="280"/>
      <c r="W143" s="280"/>
      <c r="X143" s="280"/>
      <c r="Y143" s="280"/>
    </row>
    <row r="144" spans="5:27" x14ac:dyDescent="0.25">
      <c r="E144" s="86"/>
      <c r="F144" s="295" t="s">
        <v>313</v>
      </c>
      <c r="G144" s="295" t="s">
        <v>308</v>
      </c>
      <c r="H144" s="385"/>
      <c r="J144" s="257">
        <f t="shared" si="13"/>
        <v>0</v>
      </c>
      <c r="K144" s="257">
        <f t="shared" si="13"/>
        <v>0</v>
      </c>
      <c r="L144" s="257">
        <f t="shared" si="13"/>
        <v>0</v>
      </c>
      <c r="M144" s="257">
        <f t="shared" si="13"/>
        <v>0</v>
      </c>
      <c r="N144" s="257">
        <f t="shared" si="13"/>
        <v>2.25</v>
      </c>
      <c r="O144" s="280"/>
      <c r="P144" s="280"/>
      <c r="Q144" s="257">
        <f t="shared" si="14"/>
        <v>0</v>
      </c>
      <c r="R144" s="257">
        <f t="shared" si="14"/>
        <v>0</v>
      </c>
      <c r="S144" s="280"/>
      <c r="T144" s="257">
        <f t="shared" si="15"/>
        <v>0</v>
      </c>
      <c r="U144" s="280"/>
      <c r="V144" s="280"/>
      <c r="W144" s="280"/>
      <c r="X144" s="280"/>
      <c r="Y144" s="280"/>
    </row>
    <row r="145" spans="2:27" x14ac:dyDescent="0.25">
      <c r="E145" s="86"/>
      <c r="F145" s="93" t="s">
        <v>314</v>
      </c>
      <c r="G145" s="93" t="s">
        <v>315</v>
      </c>
      <c r="H145" s="364"/>
      <c r="I145" s="354"/>
      <c r="J145" s="355">
        <f t="shared" si="13"/>
        <v>0</v>
      </c>
      <c r="K145" s="355">
        <f t="shared" si="13"/>
        <v>0</v>
      </c>
      <c r="L145" s="355">
        <f t="shared" si="13"/>
        <v>0</v>
      </c>
      <c r="M145" s="355">
        <f t="shared" si="13"/>
        <v>0</v>
      </c>
      <c r="N145" s="355">
        <f t="shared" si="13"/>
        <v>0.14299999999999999</v>
      </c>
      <c r="O145" s="359"/>
      <c r="P145" s="359"/>
      <c r="Q145" s="355">
        <f t="shared" si="14"/>
        <v>0</v>
      </c>
      <c r="R145" s="355">
        <f t="shared" si="14"/>
        <v>0</v>
      </c>
      <c r="S145" s="359"/>
      <c r="T145" s="355">
        <f t="shared" si="15"/>
        <v>0.20300000000000001</v>
      </c>
      <c r="U145" s="359"/>
      <c r="V145" s="359"/>
      <c r="W145" s="359"/>
      <c r="X145" s="359"/>
      <c r="Y145" s="359"/>
      <c r="Z145" s="352"/>
      <c r="AA145" s="352"/>
    </row>
    <row r="146" spans="2:27" x14ac:dyDescent="0.25">
      <c r="E146" s="86"/>
      <c r="J146" s="253"/>
      <c r="K146" s="253"/>
      <c r="L146" s="253"/>
      <c r="M146" s="253"/>
      <c r="N146" s="253"/>
      <c r="O146" s="253"/>
      <c r="P146" s="253"/>
      <c r="Q146" s="253"/>
      <c r="R146" s="253"/>
      <c r="S146" s="253"/>
      <c r="T146" s="253"/>
      <c r="U146" s="253"/>
      <c r="V146" s="253"/>
      <c r="W146" s="253"/>
      <c r="X146" s="253"/>
      <c r="Y146" s="253"/>
    </row>
    <row r="147" spans="2:27" x14ac:dyDescent="0.25">
      <c r="E147" s="96" t="s">
        <v>885</v>
      </c>
      <c r="I147" s="295" t="s">
        <v>431</v>
      </c>
      <c r="J147" s="253"/>
      <c r="K147" s="253"/>
      <c r="L147" s="253"/>
      <c r="M147" s="253"/>
      <c r="N147" s="253"/>
      <c r="O147" s="253"/>
      <c r="P147" s="253"/>
      <c r="Q147" s="253"/>
      <c r="R147" s="253"/>
      <c r="S147" s="253"/>
      <c r="T147" s="253"/>
      <c r="U147" s="253"/>
      <c r="V147" s="253"/>
      <c r="W147" s="253"/>
      <c r="X147" s="253"/>
      <c r="Y147" s="253"/>
      <c r="AA147" s="295" t="s">
        <v>807</v>
      </c>
    </row>
    <row r="148" spans="2:27" x14ac:dyDescent="0.25">
      <c r="C148" s="86"/>
      <c r="F148" s="91" t="s">
        <v>134</v>
      </c>
      <c r="G148" s="91" t="s">
        <v>183</v>
      </c>
      <c r="H148" s="361"/>
      <c r="I148" s="350"/>
      <c r="J148" s="351">
        <f t="shared" ref="J148:T154" si="16">ROUND( J119, $H75)</f>
        <v>4.0250000000000004</v>
      </c>
      <c r="K148" s="351">
        <f t="shared" si="16"/>
        <v>4.0250000000000004</v>
      </c>
      <c r="L148" s="351">
        <f t="shared" si="16"/>
        <v>4.6020000000000003</v>
      </c>
      <c r="M148" s="351">
        <f t="shared" si="16"/>
        <v>4.6020000000000003</v>
      </c>
      <c r="N148" s="351">
        <f t="shared" si="16"/>
        <v>3.2429999999999999</v>
      </c>
      <c r="O148" s="351">
        <f t="shared" si="16"/>
        <v>3.4609999999999999</v>
      </c>
      <c r="P148" s="351">
        <f t="shared" si="16"/>
        <v>3.218</v>
      </c>
      <c r="Q148" s="351">
        <f t="shared" si="16"/>
        <v>9.0090000000000003</v>
      </c>
      <c r="R148" s="351">
        <f t="shared" si="16"/>
        <v>-6.4409999999999998</v>
      </c>
      <c r="S148" s="351">
        <f t="shared" si="16"/>
        <v>-5.6890000000000001</v>
      </c>
      <c r="T148" s="351">
        <f t="shared" si="16"/>
        <v>-6.4409999999999998</v>
      </c>
      <c r="U148" s="362"/>
      <c r="V148" s="351">
        <f>ROUND( V119, $H75)</f>
        <v>-5.6890000000000001</v>
      </c>
      <c r="W148" s="362"/>
      <c r="X148" s="351">
        <f>ROUND( X119, $H75)</f>
        <v>-3.7330000000000001</v>
      </c>
      <c r="Y148" s="362"/>
      <c r="Z148" s="352"/>
      <c r="AA148" s="352"/>
    </row>
    <row r="149" spans="2:27" x14ac:dyDescent="0.25">
      <c r="C149" s="86"/>
      <c r="F149" s="295" t="s">
        <v>135</v>
      </c>
      <c r="G149" s="295" t="s">
        <v>183</v>
      </c>
      <c r="H149" s="421"/>
      <c r="I149" s="352"/>
      <c r="J149" s="353">
        <f t="shared" si="16"/>
        <v>0.80500000000000005</v>
      </c>
      <c r="K149" s="353">
        <f t="shared" si="16"/>
        <v>0.80500000000000005</v>
      </c>
      <c r="L149" s="353">
        <f t="shared" si="16"/>
        <v>0.86099999999999999</v>
      </c>
      <c r="M149" s="353">
        <f t="shared" si="16"/>
        <v>0.86099999999999999</v>
      </c>
      <c r="N149" s="353">
        <f t="shared" si="16"/>
        <v>0.71899999999999997</v>
      </c>
      <c r="O149" s="353">
        <f t="shared" si="16"/>
        <v>0.97799999999999998</v>
      </c>
      <c r="P149" s="353">
        <f t="shared" si="16"/>
        <v>1.0469999999999999</v>
      </c>
      <c r="Q149" s="353">
        <f t="shared" si="16"/>
        <v>0.92800000000000005</v>
      </c>
      <c r="R149" s="353">
        <f t="shared" si="16"/>
        <v>-0.63100000000000001</v>
      </c>
      <c r="S149" s="353">
        <f t="shared" si="16"/>
        <v>-0.54800000000000004</v>
      </c>
      <c r="T149" s="353">
        <f t="shared" si="16"/>
        <v>-0.63100000000000001</v>
      </c>
      <c r="U149" s="423"/>
      <c r="V149" s="353">
        <f t="shared" ref="V149:V154" si="17">ROUND( V120, $H76)</f>
        <v>-0.54800000000000004</v>
      </c>
      <c r="W149" s="423"/>
      <c r="X149" s="353">
        <f t="shared" ref="X149:X154" si="18">ROUND( X120, $H76)</f>
        <v>-0.316</v>
      </c>
      <c r="Y149" s="423"/>
      <c r="Z149" s="352"/>
      <c r="AA149" s="352"/>
    </row>
    <row r="150" spans="2:27" x14ac:dyDescent="0.25">
      <c r="C150" s="86"/>
      <c r="F150" s="295" t="s">
        <v>136</v>
      </c>
      <c r="G150" s="295" t="s">
        <v>183</v>
      </c>
      <c r="H150" s="421"/>
      <c r="I150" s="352"/>
      <c r="J150" s="353">
        <f t="shared" si="16"/>
        <v>0.46400000000000002</v>
      </c>
      <c r="K150" s="353">
        <f t="shared" si="16"/>
        <v>0.46400000000000002</v>
      </c>
      <c r="L150" s="353">
        <f t="shared" si="16"/>
        <v>0.46500000000000002</v>
      </c>
      <c r="M150" s="353">
        <f t="shared" si="16"/>
        <v>0.46500000000000002</v>
      </c>
      <c r="N150" s="353">
        <f t="shared" si="16"/>
        <v>0.46100000000000002</v>
      </c>
      <c r="O150" s="353">
        <f t="shared" si="16"/>
        <v>0.752</v>
      </c>
      <c r="P150" s="353">
        <f t="shared" si="16"/>
        <v>0.86099999999999999</v>
      </c>
      <c r="Q150" s="353">
        <f t="shared" si="16"/>
        <v>0.63300000000000001</v>
      </c>
      <c r="R150" s="353">
        <f t="shared" si="16"/>
        <v>-1.6E-2</v>
      </c>
      <c r="S150" s="353">
        <f t="shared" si="16"/>
        <v>-1.4E-2</v>
      </c>
      <c r="T150" s="353">
        <f t="shared" si="16"/>
        <v>-1.6E-2</v>
      </c>
      <c r="U150" s="423"/>
      <c r="V150" s="353">
        <f t="shared" si="17"/>
        <v>-1.4E-2</v>
      </c>
      <c r="W150" s="423"/>
      <c r="X150" s="353">
        <f t="shared" si="18"/>
        <v>-6.0000000000000001E-3</v>
      </c>
      <c r="Y150" s="423"/>
      <c r="Z150" s="352"/>
      <c r="AA150" s="352"/>
    </row>
    <row r="151" spans="2:27" x14ac:dyDescent="0.25">
      <c r="C151" s="86"/>
      <c r="F151" s="295" t="s">
        <v>311</v>
      </c>
      <c r="G151" s="295" t="s">
        <v>309</v>
      </c>
      <c r="H151" s="385"/>
      <c r="J151" s="257">
        <f t="shared" si="16"/>
        <v>2</v>
      </c>
      <c r="K151" s="257">
        <f t="shared" si="16"/>
        <v>0</v>
      </c>
      <c r="L151" s="257">
        <f t="shared" si="16"/>
        <v>2.5</v>
      </c>
      <c r="M151" s="257">
        <f t="shared" si="16"/>
        <v>0</v>
      </c>
      <c r="N151" s="257">
        <f t="shared" si="16"/>
        <v>9.4</v>
      </c>
      <c r="O151" s="257">
        <f t="shared" si="16"/>
        <v>5.53</v>
      </c>
      <c r="P151" s="257">
        <f t="shared" si="16"/>
        <v>93.09</v>
      </c>
      <c r="Q151" s="257">
        <f t="shared" si="16"/>
        <v>0</v>
      </c>
      <c r="R151" s="257">
        <f t="shared" si="16"/>
        <v>0</v>
      </c>
      <c r="S151" s="257">
        <f t="shared" si="16"/>
        <v>0</v>
      </c>
      <c r="T151" s="257">
        <f t="shared" si="16"/>
        <v>0</v>
      </c>
      <c r="U151" s="280"/>
      <c r="V151" s="257">
        <f t="shared" si="17"/>
        <v>0</v>
      </c>
      <c r="W151" s="280"/>
      <c r="X151" s="257">
        <f t="shared" si="18"/>
        <v>0</v>
      </c>
      <c r="Y151" s="280"/>
    </row>
    <row r="152" spans="2:27" x14ac:dyDescent="0.25">
      <c r="C152" s="86"/>
      <c r="F152" s="295" t="s">
        <v>312</v>
      </c>
      <c r="G152" s="295" t="s">
        <v>308</v>
      </c>
      <c r="H152" s="385"/>
      <c r="J152" s="257">
        <f t="shared" si="16"/>
        <v>0</v>
      </c>
      <c r="K152" s="257">
        <f t="shared" si="16"/>
        <v>0</v>
      </c>
      <c r="L152" s="257">
        <f t="shared" si="16"/>
        <v>0</v>
      </c>
      <c r="M152" s="257">
        <f t="shared" si="16"/>
        <v>0</v>
      </c>
      <c r="N152" s="257">
        <f t="shared" si="16"/>
        <v>0.99</v>
      </c>
      <c r="O152" s="257">
        <f t="shared" si="16"/>
        <v>2.94</v>
      </c>
      <c r="P152" s="257">
        <f t="shared" si="16"/>
        <v>3.71</v>
      </c>
      <c r="Q152" s="257">
        <f t="shared" si="16"/>
        <v>0</v>
      </c>
      <c r="R152" s="257">
        <f t="shared" si="16"/>
        <v>0</v>
      </c>
      <c r="S152" s="257">
        <f t="shared" si="16"/>
        <v>0</v>
      </c>
      <c r="T152" s="257">
        <f t="shared" si="16"/>
        <v>0</v>
      </c>
      <c r="U152" s="280"/>
      <c r="V152" s="257">
        <f t="shared" si="17"/>
        <v>0</v>
      </c>
      <c r="W152" s="280"/>
      <c r="X152" s="257">
        <f t="shared" si="18"/>
        <v>0</v>
      </c>
      <c r="Y152" s="280"/>
    </row>
    <row r="153" spans="2:27" x14ac:dyDescent="0.25">
      <c r="C153" s="86"/>
      <c r="F153" s="295" t="s">
        <v>313</v>
      </c>
      <c r="G153" s="295" t="s">
        <v>308</v>
      </c>
      <c r="H153" s="385"/>
      <c r="J153" s="257">
        <f t="shared" si="16"/>
        <v>0</v>
      </c>
      <c r="K153" s="257">
        <f t="shared" si="16"/>
        <v>0</v>
      </c>
      <c r="L153" s="257">
        <f t="shared" si="16"/>
        <v>0</v>
      </c>
      <c r="M153" s="257">
        <f t="shared" si="16"/>
        <v>0</v>
      </c>
      <c r="N153" s="257">
        <f t="shared" si="16"/>
        <v>1.46</v>
      </c>
      <c r="O153" s="257">
        <f t="shared" si="16"/>
        <v>3.35</v>
      </c>
      <c r="P153" s="257">
        <f t="shared" si="16"/>
        <v>4.58</v>
      </c>
      <c r="Q153" s="257">
        <f t="shared" si="16"/>
        <v>0</v>
      </c>
      <c r="R153" s="257">
        <f t="shared" si="16"/>
        <v>0</v>
      </c>
      <c r="S153" s="257">
        <f t="shared" si="16"/>
        <v>0</v>
      </c>
      <c r="T153" s="257">
        <f t="shared" si="16"/>
        <v>0</v>
      </c>
      <c r="U153" s="280"/>
      <c r="V153" s="257">
        <f t="shared" si="17"/>
        <v>0</v>
      </c>
      <c r="W153" s="280"/>
      <c r="X153" s="257">
        <f t="shared" si="18"/>
        <v>0</v>
      </c>
      <c r="Y153" s="280"/>
    </row>
    <row r="154" spans="2:27" x14ac:dyDescent="0.25">
      <c r="C154" s="86"/>
      <c r="F154" s="93" t="s">
        <v>314</v>
      </c>
      <c r="G154" s="93" t="s">
        <v>315</v>
      </c>
      <c r="H154" s="364"/>
      <c r="I154" s="354"/>
      <c r="J154" s="355">
        <f t="shared" si="16"/>
        <v>0</v>
      </c>
      <c r="K154" s="355">
        <f t="shared" si="16"/>
        <v>0</v>
      </c>
      <c r="L154" s="355">
        <f t="shared" si="16"/>
        <v>0</v>
      </c>
      <c r="M154" s="355">
        <f t="shared" si="16"/>
        <v>0</v>
      </c>
      <c r="N154" s="355">
        <f t="shared" si="16"/>
        <v>9.2999999999999999E-2</v>
      </c>
      <c r="O154" s="355">
        <f t="shared" si="16"/>
        <v>8.8999999999999996E-2</v>
      </c>
      <c r="P154" s="355">
        <f t="shared" si="16"/>
        <v>7.5999999999999998E-2</v>
      </c>
      <c r="Q154" s="355">
        <f t="shared" si="16"/>
        <v>0</v>
      </c>
      <c r="R154" s="355">
        <f t="shared" si="16"/>
        <v>0</v>
      </c>
      <c r="S154" s="355">
        <f t="shared" si="16"/>
        <v>0</v>
      </c>
      <c r="T154" s="355">
        <f t="shared" si="16"/>
        <v>0.20300000000000001</v>
      </c>
      <c r="U154" s="359"/>
      <c r="V154" s="355">
        <f t="shared" si="17"/>
        <v>0.182</v>
      </c>
      <c r="W154" s="359"/>
      <c r="X154" s="355">
        <f t="shared" si="18"/>
        <v>0.156</v>
      </c>
      <c r="Y154" s="359"/>
      <c r="Z154" s="352"/>
      <c r="AA154" s="352"/>
    </row>
    <row r="155" spans="2:27" x14ac:dyDescent="0.25">
      <c r="C155" s="86"/>
    </row>
    <row r="156" spans="2:27" x14ac:dyDescent="0.25">
      <c r="B156" s="95" t="s">
        <v>109</v>
      </c>
      <c r="C156" s="95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8" spans="2:27" x14ac:dyDescent="0.25">
      <c r="E158" s="295" t="s">
        <v>516</v>
      </c>
      <c r="G158" s="122" t="s">
        <v>692</v>
      </c>
      <c r="H158" s="152">
        <f t="array" ref="H158">SUM(IF(ISERROR(H20:Y154), 1))</f>
        <v>0</v>
      </c>
    </row>
    <row r="160" spans="2:27" x14ac:dyDescent="0.25">
      <c r="B160" s="95" t="s">
        <v>110</v>
      </c>
      <c r="C160" s="95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</sheetData>
  <sheetProtection sheet="1" objects="1" formatCells="0" formatColumns="0" formatRows="0" sort="0" autoFilter="0"/>
  <conditionalFormatting sqref="H158">
    <cfRule type="cellIs" dxfId="23" priority="10" operator="greaterThan">
      <formula>0</formula>
    </cfRule>
  </conditionalFormatting>
  <conditionalFormatting sqref="A4:I4 Z4:XFD4">
    <cfRule type="expression" dxfId="22" priority="9">
      <formula>LEFT($A$4,1) &lt;&gt; "0"</formula>
    </cfRule>
  </conditionalFormatting>
  <conditionalFormatting sqref="N4:P4">
    <cfRule type="expression" dxfId="21" priority="8">
      <formula>LEFT($A$4,1) &lt;&gt; "0"</formula>
    </cfRule>
  </conditionalFormatting>
  <conditionalFormatting sqref="L4:M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Q4">
    <cfRule type="expression" dxfId="18" priority="5">
      <formula>LEFT($A$4,1) &lt;&gt; "0"</formula>
    </cfRule>
  </conditionalFormatting>
  <conditionalFormatting sqref="R4:S4">
    <cfRule type="expression" dxfId="17" priority="4">
      <formula>LEFT($A$4,1) &lt;&gt; "0"</formula>
    </cfRule>
  </conditionalFormatting>
  <conditionalFormatting sqref="T4:U4">
    <cfRule type="expression" dxfId="16" priority="3">
      <formula>LEFT($A$4,1) &lt;&gt; "0"</formula>
    </cfRule>
  </conditionalFormatting>
  <conditionalFormatting sqref="V4:W4">
    <cfRule type="expression" dxfId="15" priority="2">
      <formula>LEFT($A$4,1) &lt;&gt; "0"</formula>
    </cfRule>
  </conditionalFormatting>
  <conditionalFormatting sqref="X4:Y4">
    <cfRule type="expression" dxfId="14" priority="1">
      <formula>LEFT($A$4,1) &lt;&gt; "0"</formula>
    </cfRule>
  </conditionalFormatting>
  <hyperlinks>
    <hyperlink ref="B5:F5" location="'Model map'!A1" display="Click here to return to model map" xr:uid="{00000000-0004-0000-2100-000000000000}"/>
    <hyperlink ref="AA74" location="'Aggreg'!B314" display="x1 = 3308. Unit rate 1 p/kWh (total) (in Summary of charges before revenue matching)" xr:uid="{00000000-0004-0000-2100-000001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41">
    <tabColor theme="4" tint="0.59999389629810485"/>
  </sheetPr>
  <dimension ref="A1:BI13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61" width="0" style="295" hidden="1" customWidth="1"/>
    <col min="62" max="16384" width="9.140625" style="295" hidden="1"/>
  </cols>
  <sheetData>
    <row r="1" spans="1:27" s="10" customFormat="1" x14ac:dyDescent="0.25">
      <c r="A1" s="10" t="str">
        <f ca="1">MID(CELL("filename",A1),FIND("]",CELL("filename",A1))+1,255)</f>
        <v>Net revenue summary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1" t="str">
        <f>H134 &amp; IF(H134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2" t="s">
        <v>552</v>
      </c>
      <c r="C5" s="373"/>
      <c r="D5" s="373"/>
      <c r="E5" s="373"/>
      <c r="F5" s="373"/>
      <c r="G5" s="1" t="s">
        <v>91</v>
      </c>
      <c r="H5" s="2" t="s">
        <v>92</v>
      </c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749</v>
      </c>
    </row>
    <row r="10" spans="1:27" x14ac:dyDescent="0.25">
      <c r="C10" s="14"/>
    </row>
    <row r="11" spans="1:27" x14ac:dyDescent="0.25">
      <c r="B11" s="95" t="s">
        <v>789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x14ac:dyDescent="0.25">
      <c r="D12" s="98"/>
      <c r="E12" s="98"/>
    </row>
    <row r="13" spans="1:27" x14ac:dyDescent="0.25">
      <c r="C13" s="7" t="str">
        <f ca="1">INDEX('Version control'!$H$34:$H$58,MATCH($A$1,'Version control'!$F$34:$F$58,0),1)&amp;"-A: Volume forecasts"</f>
        <v>Input 505-A: Volume forecasts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x14ac:dyDescent="0.25">
      <c r="D14" s="96"/>
    </row>
    <row r="15" spans="1:27" x14ac:dyDescent="0.25">
      <c r="E15" s="96" t="s">
        <v>1010</v>
      </c>
      <c r="I15" s="295" t="s">
        <v>431</v>
      </c>
      <c r="AA15" s="295" t="s">
        <v>799</v>
      </c>
    </row>
    <row r="16" spans="1:27" x14ac:dyDescent="0.25">
      <c r="F16" s="40" t="s">
        <v>256</v>
      </c>
      <c r="G16" s="40" t="s">
        <v>120</v>
      </c>
      <c r="H16" s="91"/>
      <c r="I16" s="91"/>
      <c r="J16" s="273">
        <f>'Inputs by customer type'!J24</f>
        <v>728182.66484023235</v>
      </c>
      <c r="K16" s="273">
        <f>'Inputs by customer type'!K24</f>
        <v>1325.9025558238502</v>
      </c>
      <c r="L16" s="273">
        <f>'Inputs by customer type'!L24</f>
        <v>187782.12741331305</v>
      </c>
      <c r="M16" s="273">
        <f>'Inputs by customer type'!M24</f>
        <v>4172.2410596369182</v>
      </c>
      <c r="N16" s="273">
        <f>'Inputs by customer type'!N24</f>
        <v>275821.76887612289</v>
      </c>
      <c r="O16" s="273">
        <f>'Inputs by customer type'!O24</f>
        <v>21569.598912405832</v>
      </c>
      <c r="P16" s="273">
        <f>'Inputs by customer type'!P24</f>
        <v>322473.77411167003</v>
      </c>
      <c r="Q16" s="273">
        <f>'Inputs by customer type'!Q24</f>
        <v>13844.286088792498</v>
      </c>
      <c r="R16" s="273">
        <f>'Inputs by customer type'!R24</f>
        <v>139.21456342227521</v>
      </c>
      <c r="S16" s="273">
        <f>'Inputs by customer type'!S24</f>
        <v>2.8776284544589532</v>
      </c>
      <c r="T16" s="273">
        <f>'Inputs by customer type'!T24</f>
        <v>6131.3814104814819</v>
      </c>
      <c r="U16" s="273">
        <f>'Inputs by customer type'!U24</f>
        <v>0</v>
      </c>
      <c r="V16" s="273">
        <f>'Inputs by customer type'!V24</f>
        <v>144.6141525623608</v>
      </c>
      <c r="W16" s="273">
        <f>'Inputs by customer type'!W24</f>
        <v>0</v>
      </c>
      <c r="X16" s="273">
        <f>'Inputs by customer type'!X24</f>
        <v>116075.81817719914</v>
      </c>
      <c r="Y16" s="273">
        <f>'Inputs by customer type'!Y24</f>
        <v>0</v>
      </c>
    </row>
    <row r="17" spans="5:27" x14ac:dyDescent="0.25">
      <c r="E17" s="14"/>
      <c r="F17" s="109" t="s">
        <v>257</v>
      </c>
      <c r="G17" s="109" t="s">
        <v>120</v>
      </c>
      <c r="J17" s="274">
        <f>'Inputs by customer type'!J25</f>
        <v>2586978.352218715</v>
      </c>
      <c r="K17" s="274">
        <f>'Inputs by customer type'!K25</f>
        <v>24004.867020018988</v>
      </c>
      <c r="L17" s="274">
        <f>'Inputs by customer type'!L25</f>
        <v>1017175.5544889377</v>
      </c>
      <c r="M17" s="274">
        <f>'Inputs by customer type'!M25</f>
        <v>25319.415482001521</v>
      </c>
      <c r="N17" s="274">
        <f>'Inputs by customer type'!N25</f>
        <v>1322296.4326402938</v>
      </c>
      <c r="O17" s="274">
        <f>'Inputs by customer type'!O25</f>
        <v>101185.04898982702</v>
      </c>
      <c r="P17" s="274">
        <f>'Inputs by customer type'!P25</f>
        <v>1497042.8901385467</v>
      </c>
      <c r="Q17" s="274">
        <f>'Inputs by customer type'!Q25</f>
        <v>52546.80809158679</v>
      </c>
      <c r="R17" s="274">
        <f>'Inputs by customer type'!R25</f>
        <v>625.58915267962095</v>
      </c>
      <c r="S17" s="274">
        <f>'Inputs by customer type'!S25</f>
        <v>11.85801478940583</v>
      </c>
      <c r="T17" s="274">
        <f>'Inputs by customer type'!T25</f>
        <v>27525.456251959484</v>
      </c>
      <c r="U17" s="274">
        <f>'Inputs by customer type'!U25</f>
        <v>0</v>
      </c>
      <c r="V17" s="274">
        <f>'Inputs by customer type'!V25</f>
        <v>597.34783091345412</v>
      </c>
      <c r="W17" s="274">
        <f>'Inputs by customer type'!W25</f>
        <v>0</v>
      </c>
      <c r="X17" s="274">
        <f>'Inputs by customer type'!X25</f>
        <v>445212.43930388504</v>
      </c>
      <c r="Y17" s="274">
        <f>'Inputs by customer type'!Y25</f>
        <v>0</v>
      </c>
    </row>
    <row r="18" spans="5:27" x14ac:dyDescent="0.25">
      <c r="E18" s="14"/>
      <c r="F18" s="109" t="s">
        <v>258</v>
      </c>
      <c r="G18" s="109" t="s">
        <v>120</v>
      </c>
      <c r="J18" s="274">
        <f>'Inputs by customer type'!J26</f>
        <v>2382458.5766185289</v>
      </c>
      <c r="K18" s="274">
        <f>'Inputs by customer type'!K26</f>
        <v>245208.33115400965</v>
      </c>
      <c r="L18" s="274">
        <f>'Inputs by customer type'!L26</f>
        <v>982488.05164342187</v>
      </c>
      <c r="M18" s="274">
        <f>'Inputs by customer type'!M26</f>
        <v>52561.158034119573</v>
      </c>
      <c r="N18" s="274">
        <f>'Inputs by customer type'!N26</f>
        <v>1154944.2406044872</v>
      </c>
      <c r="O18" s="274">
        <f>'Inputs by customer type'!O26</f>
        <v>100898.01610776718</v>
      </c>
      <c r="P18" s="274">
        <f>'Inputs by customer type'!P26</f>
        <v>1602377.0319897835</v>
      </c>
      <c r="Q18" s="274">
        <f>'Inputs by customer type'!Q26</f>
        <v>189052.68521962134</v>
      </c>
      <c r="R18" s="274">
        <f>'Inputs by customer type'!R26</f>
        <v>698.17114006254928</v>
      </c>
      <c r="S18" s="274">
        <f>'Inputs by customer type'!S26</f>
        <v>16.006356756135215</v>
      </c>
      <c r="T18" s="274">
        <f>'Inputs by customer type'!T26</f>
        <v>30981.276337559029</v>
      </c>
      <c r="U18" s="274">
        <f>'Inputs by customer type'!U26</f>
        <v>0</v>
      </c>
      <c r="V18" s="274">
        <f>'Inputs by customer type'!V26</f>
        <v>807.27901652418518</v>
      </c>
      <c r="W18" s="274">
        <f>'Inputs by customer type'!W26</f>
        <v>0</v>
      </c>
      <c r="X18" s="274">
        <f>'Inputs by customer type'!X26</f>
        <v>507559.16751891578</v>
      </c>
      <c r="Y18" s="274">
        <f>'Inputs by customer type'!Y26</f>
        <v>0</v>
      </c>
    </row>
    <row r="19" spans="5:27" x14ac:dyDescent="0.25">
      <c r="E19" s="14"/>
      <c r="F19" s="109" t="s">
        <v>74</v>
      </c>
      <c r="G19" s="109" t="s">
        <v>74</v>
      </c>
      <c r="J19" s="274">
        <f>'Inputs by customer type'!J27</f>
        <v>1852569</v>
      </c>
      <c r="K19" s="274">
        <f>'Inputs by customer type'!K27</f>
        <v>100059</v>
      </c>
      <c r="L19" s="274">
        <f>'Inputs by customer type'!L27</f>
        <v>125030</v>
      </c>
      <c r="M19" s="274">
        <f>'Inputs by customer type'!M27</f>
        <v>7441</v>
      </c>
      <c r="N19" s="274">
        <f>'Inputs by customer type'!N27</f>
        <v>10491</v>
      </c>
      <c r="O19" s="274">
        <f>'Inputs by customer type'!O27</f>
        <v>219</v>
      </c>
      <c r="P19" s="274">
        <f>'Inputs by customer type'!P27</f>
        <v>1257</v>
      </c>
      <c r="Q19" s="274">
        <f>'Inputs by customer type'!Q27</f>
        <v>4868</v>
      </c>
      <c r="R19" s="274">
        <f>'Inputs by customer type'!R27</f>
        <v>167</v>
      </c>
      <c r="S19" s="274">
        <f>'Inputs by customer type'!S27</f>
        <v>4</v>
      </c>
      <c r="T19" s="274">
        <f>'Inputs by customer type'!T27</f>
        <v>472</v>
      </c>
      <c r="U19" s="274">
        <f>'Inputs by customer type'!U27</f>
        <v>0</v>
      </c>
      <c r="V19" s="274">
        <f>'Inputs by customer type'!V27</f>
        <v>8</v>
      </c>
      <c r="W19" s="274">
        <f>'Inputs by customer type'!W27</f>
        <v>0</v>
      </c>
      <c r="X19" s="274">
        <f>'Inputs by customer type'!X27</f>
        <v>255</v>
      </c>
      <c r="Y19" s="274">
        <f>'Inputs by customer type'!Y27</f>
        <v>0</v>
      </c>
    </row>
    <row r="20" spans="5:27" x14ac:dyDescent="0.25">
      <c r="E20" s="14"/>
      <c r="F20" s="109" t="s">
        <v>259</v>
      </c>
      <c r="G20" s="109" t="s">
        <v>169</v>
      </c>
      <c r="J20" s="274">
        <f>'Inputs by customer type'!J28</f>
        <v>0</v>
      </c>
      <c r="K20" s="274">
        <f>'Inputs by customer type'!K28</f>
        <v>0</v>
      </c>
      <c r="L20" s="274">
        <f>'Inputs by customer type'!L28</f>
        <v>0</v>
      </c>
      <c r="M20" s="274">
        <f>'Inputs by customer type'!M28</f>
        <v>0</v>
      </c>
      <c r="N20" s="274">
        <f>'Inputs by customer type'!N28</f>
        <v>1465414</v>
      </c>
      <c r="O20" s="274">
        <f>'Inputs by customer type'!O28</f>
        <v>92670</v>
      </c>
      <c r="P20" s="274">
        <f>'Inputs by customer type'!P28</f>
        <v>1282859</v>
      </c>
      <c r="Q20" s="274">
        <f>'Inputs by customer type'!Q28</f>
        <v>0</v>
      </c>
      <c r="R20" s="274">
        <f>'Inputs by customer type'!R28</f>
        <v>0</v>
      </c>
      <c r="S20" s="274">
        <f>'Inputs by customer type'!S28</f>
        <v>0</v>
      </c>
      <c r="T20" s="274">
        <f>'Inputs by customer type'!T28</f>
        <v>0</v>
      </c>
      <c r="U20" s="274">
        <f>'Inputs by customer type'!U28</f>
        <v>0</v>
      </c>
      <c r="V20" s="274">
        <f>'Inputs by customer type'!V28</f>
        <v>0</v>
      </c>
      <c r="W20" s="274">
        <f>'Inputs by customer type'!W28</f>
        <v>0</v>
      </c>
      <c r="X20" s="274">
        <f>'Inputs by customer type'!X28</f>
        <v>0</v>
      </c>
      <c r="Y20" s="274">
        <f>'Inputs by customer type'!Y28</f>
        <v>0</v>
      </c>
    </row>
    <row r="21" spans="5:27" x14ac:dyDescent="0.25">
      <c r="E21" s="14"/>
      <c r="F21" s="109" t="s">
        <v>260</v>
      </c>
      <c r="G21" s="109" t="s">
        <v>169</v>
      </c>
      <c r="J21" s="274">
        <f>'Inputs by customer type'!J29</f>
        <v>0</v>
      </c>
      <c r="K21" s="274">
        <f>'Inputs by customer type'!K29</f>
        <v>0</v>
      </c>
      <c r="L21" s="274">
        <f>'Inputs by customer type'!L29</f>
        <v>0</v>
      </c>
      <c r="M21" s="274">
        <f>'Inputs by customer type'!M29</f>
        <v>0</v>
      </c>
      <c r="N21" s="274">
        <f>'Inputs by customer type'!N29</f>
        <v>29539.140000000003</v>
      </c>
      <c r="O21" s="274">
        <f>'Inputs by customer type'!O29</f>
        <v>1042.17</v>
      </c>
      <c r="P21" s="274">
        <f>'Inputs by customer type'!P29</f>
        <v>16267.89</v>
      </c>
      <c r="Q21" s="274">
        <f>'Inputs by customer type'!Q29</f>
        <v>0</v>
      </c>
      <c r="R21" s="274">
        <f>'Inputs by customer type'!R29</f>
        <v>0</v>
      </c>
      <c r="S21" s="274">
        <f>'Inputs by customer type'!S29</f>
        <v>0</v>
      </c>
      <c r="T21" s="274">
        <f>'Inputs by customer type'!T29</f>
        <v>0</v>
      </c>
      <c r="U21" s="274">
        <f>'Inputs by customer type'!U29</f>
        <v>0</v>
      </c>
      <c r="V21" s="274">
        <f>'Inputs by customer type'!V29</f>
        <v>0</v>
      </c>
      <c r="W21" s="274">
        <f>'Inputs by customer type'!W29</f>
        <v>0</v>
      </c>
      <c r="X21" s="274">
        <f>'Inputs by customer type'!X29</f>
        <v>0</v>
      </c>
      <c r="Y21" s="274">
        <f>'Inputs by customer type'!Y29</f>
        <v>0</v>
      </c>
    </row>
    <row r="22" spans="5:27" x14ac:dyDescent="0.25">
      <c r="E22" s="14"/>
      <c r="F22" s="36" t="s">
        <v>261</v>
      </c>
      <c r="G22" s="36" t="s">
        <v>170</v>
      </c>
      <c r="H22" s="93"/>
      <c r="I22" s="93"/>
      <c r="J22" s="275">
        <f>'Inputs by customer type'!J30</f>
        <v>0</v>
      </c>
      <c r="K22" s="275">
        <f>'Inputs by customer type'!K30</f>
        <v>0</v>
      </c>
      <c r="L22" s="275">
        <f>'Inputs by customer type'!L30</f>
        <v>0</v>
      </c>
      <c r="M22" s="275">
        <f>'Inputs by customer type'!M30</f>
        <v>0</v>
      </c>
      <c r="N22" s="275">
        <f>'Inputs by customer type'!N30</f>
        <v>241920</v>
      </c>
      <c r="O22" s="275">
        <f>'Inputs by customer type'!O30</f>
        <v>19020</v>
      </c>
      <c r="P22" s="275">
        <f>'Inputs by customer type'!P30</f>
        <v>250200</v>
      </c>
      <c r="Q22" s="275">
        <f>'Inputs by customer type'!Q30</f>
        <v>0</v>
      </c>
      <c r="R22" s="275">
        <f>'Inputs by customer type'!R30</f>
        <v>0</v>
      </c>
      <c r="S22" s="275">
        <f>'Inputs by customer type'!S30</f>
        <v>0</v>
      </c>
      <c r="T22" s="275">
        <f>'Inputs by customer type'!T30</f>
        <v>4452</v>
      </c>
      <c r="U22" s="275">
        <f>'Inputs by customer type'!U30</f>
        <v>0</v>
      </c>
      <c r="V22" s="275">
        <f>'Inputs by customer type'!V30</f>
        <v>408</v>
      </c>
      <c r="W22" s="275">
        <f>'Inputs by customer type'!W30</f>
        <v>0</v>
      </c>
      <c r="X22" s="275">
        <f>'Inputs by customer type'!X30</f>
        <v>16464</v>
      </c>
      <c r="Y22" s="275">
        <f>'Inputs by customer type'!Y30</f>
        <v>0</v>
      </c>
    </row>
    <row r="23" spans="5:27" s="380" customFormat="1" x14ac:dyDescent="0.25">
      <c r="E23" s="431"/>
      <c r="F23" s="382"/>
      <c r="G23" s="382"/>
      <c r="J23" s="432"/>
      <c r="K23" s="432"/>
      <c r="L23" s="432"/>
      <c r="M23" s="432"/>
      <c r="N23" s="432"/>
      <c r="O23" s="432"/>
      <c r="P23" s="432"/>
      <c r="Q23" s="432"/>
      <c r="R23" s="432"/>
      <c r="S23" s="432"/>
      <c r="T23" s="432"/>
      <c r="U23" s="432"/>
      <c r="V23" s="432"/>
      <c r="W23" s="432"/>
      <c r="X23" s="432"/>
      <c r="Y23" s="432"/>
    </row>
    <row r="24" spans="5:27" x14ac:dyDescent="0.25">
      <c r="E24" s="96" t="s">
        <v>1011</v>
      </c>
      <c r="F24" s="36"/>
      <c r="G24" s="36"/>
      <c r="H24" s="93"/>
      <c r="I24" s="295" t="s">
        <v>431</v>
      </c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AA24" s="295" t="s">
        <v>799</v>
      </c>
    </row>
    <row r="25" spans="5:27" x14ac:dyDescent="0.25">
      <c r="F25" s="109" t="s">
        <v>256</v>
      </c>
      <c r="G25" s="109" t="s">
        <v>120</v>
      </c>
      <c r="I25" s="91"/>
      <c r="J25" s="273">
        <f>'Inputs by customer type'!J33</f>
        <v>13713.32246963591</v>
      </c>
      <c r="K25" s="273">
        <f>'Inputs by customer type'!K33</f>
        <v>1.3981029513384524</v>
      </c>
      <c r="L25" s="273">
        <f>'Inputs by customer type'!L33</f>
        <v>601.04321517970027</v>
      </c>
      <c r="M25" s="273">
        <f>'Inputs by customer type'!M33</f>
        <v>0</v>
      </c>
      <c r="N25" s="273">
        <f>'Inputs by customer type'!N33</f>
        <v>1596.4649999999999</v>
      </c>
      <c r="O25" s="273">
        <f>'Inputs by customer type'!O33</f>
        <v>0</v>
      </c>
      <c r="P25" s="273">
        <f>'Inputs by customer type'!P33</f>
        <v>0</v>
      </c>
      <c r="Q25" s="273">
        <f>'Inputs by customer type'!Q33</f>
        <v>20.430032150505486</v>
      </c>
      <c r="R25" s="273">
        <f>'Inputs by customer type'!R33</f>
        <v>0.57025605316046324</v>
      </c>
      <c r="S25" s="273">
        <f>'Inputs by customer type'!S33</f>
        <v>0</v>
      </c>
      <c r="T25" s="273">
        <f>'Inputs by customer type'!T33</f>
        <v>0</v>
      </c>
      <c r="U25" s="273">
        <f>'Inputs by customer type'!U33</f>
        <v>0</v>
      </c>
      <c r="V25" s="273">
        <f>'Inputs by customer type'!V33</f>
        <v>0</v>
      </c>
      <c r="W25" s="273">
        <f>'Inputs by customer type'!W33</f>
        <v>0</v>
      </c>
      <c r="X25" s="273">
        <f>'Inputs by customer type'!X33</f>
        <v>0</v>
      </c>
      <c r="Y25" s="273">
        <f>'Inputs by customer type'!Y33</f>
        <v>0</v>
      </c>
    </row>
    <row r="26" spans="5:27" x14ac:dyDescent="0.25">
      <c r="E26" s="14"/>
      <c r="F26" s="109" t="s">
        <v>257</v>
      </c>
      <c r="G26" s="109" t="s">
        <v>120</v>
      </c>
      <c r="J26" s="274">
        <f>'Inputs by customer type'!J34</f>
        <v>48809.781090218552</v>
      </c>
      <c r="K26" s="274">
        <f>'Inputs by customer type'!K34</f>
        <v>25.329659479528413</v>
      </c>
      <c r="L26" s="274">
        <f>'Inputs by customer type'!L34</f>
        <v>3253.025245448257</v>
      </c>
      <c r="M26" s="274">
        <f>'Inputs by customer type'!M34</f>
        <v>0</v>
      </c>
      <c r="N26" s="274">
        <f>'Inputs by customer type'!N34</f>
        <v>7155.5069999999996</v>
      </c>
      <c r="O26" s="274">
        <f>'Inputs by customer type'!O34</f>
        <v>0</v>
      </c>
      <c r="P26" s="274">
        <f>'Inputs by customer type'!P34</f>
        <v>0</v>
      </c>
      <c r="Q26" s="274">
        <f>'Inputs by customer type'!Q34</f>
        <v>273.96068150852608</v>
      </c>
      <c r="R26" s="274">
        <f>'Inputs by customer type'!R34</f>
        <v>2.0830307980493821</v>
      </c>
      <c r="S26" s="274">
        <f>'Inputs by customer type'!S34</f>
        <v>0</v>
      </c>
      <c r="T26" s="274">
        <f>'Inputs by customer type'!T34</f>
        <v>0</v>
      </c>
      <c r="U26" s="274">
        <f>'Inputs by customer type'!U34</f>
        <v>0</v>
      </c>
      <c r="V26" s="274">
        <f>'Inputs by customer type'!V34</f>
        <v>0</v>
      </c>
      <c r="W26" s="274">
        <f>'Inputs by customer type'!W34</f>
        <v>0</v>
      </c>
      <c r="X26" s="274">
        <f>'Inputs by customer type'!X34</f>
        <v>0</v>
      </c>
      <c r="Y26" s="274">
        <f>'Inputs by customer type'!Y34</f>
        <v>0</v>
      </c>
    </row>
    <row r="27" spans="5:27" x14ac:dyDescent="0.25">
      <c r="E27" s="14"/>
      <c r="F27" s="109" t="s">
        <v>258</v>
      </c>
      <c r="G27" s="109" t="s">
        <v>120</v>
      </c>
      <c r="J27" s="274">
        <f>'Inputs by customer type'!J35</f>
        <v>44956.580637555373</v>
      </c>
      <c r="K27" s="274">
        <f>'Inputs by customer type'!K35</f>
        <v>257.47123756913317</v>
      </c>
      <c r="L27" s="274">
        <f>'Inputs by customer type'!L35</f>
        <v>3140.330539372042</v>
      </c>
      <c r="M27" s="274">
        <f>'Inputs by customer type'!M35</f>
        <v>0</v>
      </c>
      <c r="N27" s="274">
        <f>'Inputs by customer type'!N35</f>
        <v>6545.246000000001</v>
      </c>
      <c r="O27" s="274">
        <f>'Inputs by customer type'!O35</f>
        <v>0</v>
      </c>
      <c r="P27" s="274">
        <f>'Inputs by customer type'!P35</f>
        <v>0</v>
      </c>
      <c r="Q27" s="274">
        <f>'Inputs by customer type'!Q35</f>
        <v>303.25428634096841</v>
      </c>
      <c r="R27" s="274">
        <f>'Inputs by customer type'!R35</f>
        <v>1.9454499908954175</v>
      </c>
      <c r="S27" s="274">
        <f>'Inputs by customer type'!S35</f>
        <v>0</v>
      </c>
      <c r="T27" s="274">
        <f>'Inputs by customer type'!T35</f>
        <v>0</v>
      </c>
      <c r="U27" s="274">
        <f>'Inputs by customer type'!U35</f>
        <v>0</v>
      </c>
      <c r="V27" s="274">
        <f>'Inputs by customer type'!V35</f>
        <v>0</v>
      </c>
      <c r="W27" s="274">
        <f>'Inputs by customer type'!W35</f>
        <v>0</v>
      </c>
      <c r="X27" s="274">
        <f>'Inputs by customer type'!X35</f>
        <v>0</v>
      </c>
      <c r="Y27" s="274">
        <f>'Inputs by customer type'!Y35</f>
        <v>0</v>
      </c>
    </row>
    <row r="28" spans="5:27" x14ac:dyDescent="0.25">
      <c r="E28" s="14"/>
      <c r="F28" s="109" t="s">
        <v>74</v>
      </c>
      <c r="G28" s="109" t="s">
        <v>74</v>
      </c>
      <c r="J28" s="274">
        <f>'Inputs by customer type'!J36</f>
        <v>41179.93548387097</v>
      </c>
      <c r="K28" s="274">
        <f>'Inputs by customer type'!K36</f>
        <v>67</v>
      </c>
      <c r="L28" s="274">
        <f>'Inputs by customer type'!L36</f>
        <v>1036.6774193548388</v>
      </c>
      <c r="M28" s="274">
        <f>'Inputs by customer type'!M36</f>
        <v>0</v>
      </c>
      <c r="N28" s="274">
        <f>'Inputs by customer type'!N36</f>
        <v>76</v>
      </c>
      <c r="O28" s="274">
        <f>'Inputs by customer type'!O36</f>
        <v>0</v>
      </c>
      <c r="P28" s="274">
        <f>'Inputs by customer type'!P36</f>
        <v>0</v>
      </c>
      <c r="Q28" s="274">
        <f>'Inputs by customer type'!Q36</f>
        <v>34</v>
      </c>
      <c r="R28" s="274">
        <f>'Inputs by customer type'!R36</f>
        <v>3</v>
      </c>
      <c r="S28" s="274">
        <f>'Inputs by customer type'!S36</f>
        <v>0</v>
      </c>
      <c r="T28" s="274">
        <f>'Inputs by customer type'!T36</f>
        <v>0</v>
      </c>
      <c r="U28" s="274">
        <f>'Inputs by customer type'!U36</f>
        <v>0</v>
      </c>
      <c r="V28" s="274">
        <f>'Inputs by customer type'!V36</f>
        <v>0</v>
      </c>
      <c r="W28" s="274">
        <f>'Inputs by customer type'!W36</f>
        <v>0</v>
      </c>
      <c r="X28" s="274">
        <f>'Inputs by customer type'!X36</f>
        <v>0</v>
      </c>
      <c r="Y28" s="274">
        <f>'Inputs by customer type'!Y36</f>
        <v>0</v>
      </c>
    </row>
    <row r="29" spans="5:27" x14ac:dyDescent="0.25">
      <c r="E29" s="14"/>
      <c r="F29" s="109" t="s">
        <v>259</v>
      </c>
      <c r="G29" s="109" t="s">
        <v>169</v>
      </c>
      <c r="J29" s="274">
        <f>'Inputs by customer type'!J37</f>
        <v>0</v>
      </c>
      <c r="K29" s="274">
        <f>'Inputs by customer type'!K37</f>
        <v>0</v>
      </c>
      <c r="L29" s="274">
        <f>'Inputs by customer type'!L37</f>
        <v>0</v>
      </c>
      <c r="M29" s="274">
        <f>'Inputs by customer type'!M37</f>
        <v>0</v>
      </c>
      <c r="N29" s="274">
        <f>'Inputs by customer type'!N37</f>
        <v>10403</v>
      </c>
      <c r="O29" s="274">
        <f>'Inputs by customer type'!O37</f>
        <v>0</v>
      </c>
      <c r="P29" s="274">
        <f>'Inputs by customer type'!P37</f>
        <v>0</v>
      </c>
      <c r="Q29" s="274">
        <f>'Inputs by customer type'!Q37</f>
        <v>0</v>
      </c>
      <c r="R29" s="274">
        <f>'Inputs by customer type'!R37</f>
        <v>0</v>
      </c>
      <c r="S29" s="274">
        <f>'Inputs by customer type'!S37</f>
        <v>0</v>
      </c>
      <c r="T29" s="274">
        <f>'Inputs by customer type'!T37</f>
        <v>0</v>
      </c>
      <c r="U29" s="274">
        <f>'Inputs by customer type'!U37</f>
        <v>0</v>
      </c>
      <c r="V29" s="274">
        <f>'Inputs by customer type'!V37</f>
        <v>0</v>
      </c>
      <c r="W29" s="274">
        <f>'Inputs by customer type'!W37</f>
        <v>0</v>
      </c>
      <c r="X29" s="274">
        <f>'Inputs by customer type'!X37</f>
        <v>0</v>
      </c>
      <c r="Y29" s="274">
        <f>'Inputs by customer type'!Y37</f>
        <v>0</v>
      </c>
    </row>
    <row r="30" spans="5:27" x14ac:dyDescent="0.25">
      <c r="E30" s="14"/>
      <c r="F30" s="109" t="s">
        <v>260</v>
      </c>
      <c r="G30" s="109" t="s">
        <v>169</v>
      </c>
      <c r="J30" s="274">
        <f>'Inputs by customer type'!J38</f>
        <v>0</v>
      </c>
      <c r="K30" s="274">
        <f>'Inputs by customer type'!K38</f>
        <v>0</v>
      </c>
      <c r="L30" s="274">
        <f>'Inputs by customer type'!L38</f>
        <v>0</v>
      </c>
      <c r="M30" s="274">
        <f>'Inputs by customer type'!M38</f>
        <v>0</v>
      </c>
      <c r="N30" s="274">
        <f>'Inputs by customer type'!N38</f>
        <v>41.612000000000002</v>
      </c>
      <c r="O30" s="274">
        <f>'Inputs by customer type'!O38</f>
        <v>0</v>
      </c>
      <c r="P30" s="274">
        <f>'Inputs by customer type'!P38</f>
        <v>0</v>
      </c>
      <c r="Q30" s="274">
        <f>'Inputs by customer type'!Q38</f>
        <v>0</v>
      </c>
      <c r="R30" s="274">
        <f>'Inputs by customer type'!R38</f>
        <v>0</v>
      </c>
      <c r="S30" s="274">
        <f>'Inputs by customer type'!S38</f>
        <v>0</v>
      </c>
      <c r="T30" s="274">
        <f>'Inputs by customer type'!T38</f>
        <v>0</v>
      </c>
      <c r="U30" s="274">
        <f>'Inputs by customer type'!U38</f>
        <v>0</v>
      </c>
      <c r="V30" s="274">
        <f>'Inputs by customer type'!V38</f>
        <v>0</v>
      </c>
      <c r="W30" s="274">
        <f>'Inputs by customer type'!W38</f>
        <v>0</v>
      </c>
      <c r="X30" s="274">
        <f>'Inputs by customer type'!X38</f>
        <v>0</v>
      </c>
      <c r="Y30" s="274">
        <f>'Inputs by customer type'!Y38</f>
        <v>0</v>
      </c>
    </row>
    <row r="31" spans="5:27" x14ac:dyDescent="0.25">
      <c r="E31" s="14"/>
      <c r="F31" s="36" t="s">
        <v>261</v>
      </c>
      <c r="G31" s="36" t="s">
        <v>170</v>
      </c>
      <c r="H31" s="93"/>
      <c r="I31" s="93"/>
      <c r="J31" s="275">
        <f>'Inputs by customer type'!J39</f>
        <v>0</v>
      </c>
      <c r="K31" s="275">
        <f>'Inputs by customer type'!K39</f>
        <v>0</v>
      </c>
      <c r="L31" s="275">
        <f>'Inputs by customer type'!L39</f>
        <v>0</v>
      </c>
      <c r="M31" s="275">
        <f>'Inputs by customer type'!M39</f>
        <v>0</v>
      </c>
      <c r="N31" s="275">
        <f>'Inputs by customer type'!N39</f>
        <v>936</v>
      </c>
      <c r="O31" s="275">
        <f>'Inputs by customer type'!O39</f>
        <v>0</v>
      </c>
      <c r="P31" s="275">
        <f>'Inputs by customer type'!P39</f>
        <v>0</v>
      </c>
      <c r="Q31" s="275">
        <f>'Inputs by customer type'!Q39</f>
        <v>0</v>
      </c>
      <c r="R31" s="275">
        <f>'Inputs by customer type'!R39</f>
        <v>0</v>
      </c>
      <c r="S31" s="275">
        <f>'Inputs by customer type'!S39</f>
        <v>0</v>
      </c>
      <c r="T31" s="275">
        <f>'Inputs by customer type'!T39</f>
        <v>0</v>
      </c>
      <c r="U31" s="275">
        <f>'Inputs by customer type'!U39</f>
        <v>0</v>
      </c>
      <c r="V31" s="275">
        <f>'Inputs by customer type'!V39</f>
        <v>0</v>
      </c>
      <c r="W31" s="275">
        <f>'Inputs by customer type'!W39</f>
        <v>0</v>
      </c>
      <c r="X31" s="275">
        <f>'Inputs by customer type'!X39</f>
        <v>0</v>
      </c>
      <c r="Y31" s="275">
        <f>'Inputs by customer type'!Y39</f>
        <v>0</v>
      </c>
    </row>
    <row r="32" spans="5:27" s="380" customFormat="1" x14ac:dyDescent="0.25">
      <c r="E32" s="431"/>
      <c r="F32" s="382"/>
      <c r="G32" s="382"/>
      <c r="J32" s="432"/>
      <c r="K32" s="432"/>
      <c r="L32" s="432"/>
      <c r="M32" s="432"/>
      <c r="N32" s="432"/>
      <c r="O32" s="432"/>
      <c r="P32" s="432"/>
      <c r="Q32" s="432"/>
      <c r="R32" s="432"/>
      <c r="S32" s="432"/>
      <c r="T32" s="432"/>
      <c r="U32" s="432"/>
      <c r="V32" s="432"/>
      <c r="W32" s="432"/>
      <c r="X32" s="432"/>
      <c r="Y32" s="432"/>
    </row>
    <row r="33" spans="3:27" x14ac:dyDescent="0.25">
      <c r="E33" s="96" t="s">
        <v>1012</v>
      </c>
      <c r="F33" s="36"/>
      <c r="G33" s="36"/>
      <c r="H33" s="93"/>
      <c r="I33" s="295" t="s">
        <v>431</v>
      </c>
      <c r="J33" s="272"/>
      <c r="K33" s="272"/>
      <c r="L33" s="272"/>
      <c r="M33" s="272"/>
      <c r="N33" s="272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AA33" s="295" t="s">
        <v>799</v>
      </c>
    </row>
    <row r="34" spans="3:27" x14ac:dyDescent="0.25">
      <c r="E34" s="14"/>
      <c r="F34" s="109" t="s">
        <v>256</v>
      </c>
      <c r="G34" s="109" t="s">
        <v>120</v>
      </c>
      <c r="I34" s="91"/>
      <c r="J34" s="273">
        <f>'Inputs by customer type'!J42</f>
        <v>20104.099696926573</v>
      </c>
      <c r="K34" s="273">
        <f>'Inputs by customer type'!K42</f>
        <v>2.0480897481131533</v>
      </c>
      <c r="L34" s="273">
        <f>'Inputs by customer type'!L42</f>
        <v>2081.7354094794059</v>
      </c>
      <c r="M34" s="273">
        <f>'Inputs by customer type'!M42</f>
        <v>0</v>
      </c>
      <c r="N34" s="273">
        <f>'Inputs by customer type'!N42</f>
        <v>13322.004999999999</v>
      </c>
      <c r="O34" s="273">
        <f>'Inputs by customer type'!O42</f>
        <v>2210.538</v>
      </c>
      <c r="P34" s="273">
        <f>'Inputs by customer type'!P42</f>
        <v>5129.4559999999992</v>
      </c>
      <c r="Q34" s="273">
        <f>'Inputs by customer type'!Q42</f>
        <v>30.879361230900383</v>
      </c>
      <c r="R34" s="273">
        <f>'Inputs by customer type'!R42</f>
        <v>0.25597879022110009</v>
      </c>
      <c r="S34" s="273">
        <f>'Inputs by customer type'!S42</f>
        <v>0</v>
      </c>
      <c r="T34" s="273">
        <f>'Inputs by customer type'!T42</f>
        <v>0</v>
      </c>
      <c r="U34" s="273">
        <f>'Inputs by customer type'!U42</f>
        <v>0</v>
      </c>
      <c r="V34" s="273">
        <f>'Inputs by customer type'!V42</f>
        <v>0</v>
      </c>
      <c r="W34" s="273">
        <f>'Inputs by customer type'!W42</f>
        <v>0</v>
      </c>
      <c r="X34" s="273">
        <f>'Inputs by customer type'!X42</f>
        <v>0</v>
      </c>
      <c r="Y34" s="273">
        <f>'Inputs by customer type'!Y42</f>
        <v>0</v>
      </c>
    </row>
    <row r="35" spans="3:27" x14ac:dyDescent="0.25">
      <c r="E35" s="14"/>
      <c r="F35" s="109" t="s">
        <v>257</v>
      </c>
      <c r="G35" s="109" t="s">
        <v>120</v>
      </c>
      <c r="J35" s="274">
        <f>'Inputs by customer type'!J43</f>
        <v>71593.395504093525</v>
      </c>
      <c r="K35" s="274">
        <f>'Inputs by customer type'!K43</f>
        <v>37.263746671521595</v>
      </c>
      <c r="L35" s="274">
        <f>'Inputs by customer type'!L43</f>
        <v>11268.104540991542</v>
      </c>
      <c r="M35" s="274">
        <f>'Inputs by customer type'!M43</f>
        <v>0</v>
      </c>
      <c r="N35" s="274">
        <f>'Inputs by customer type'!N43</f>
        <v>59210.165999999997</v>
      </c>
      <c r="O35" s="274">
        <f>'Inputs by customer type'!O43</f>
        <v>9690.4299999999985</v>
      </c>
      <c r="P35" s="274">
        <f>'Inputs by customer type'!P43</f>
        <v>23108.695</v>
      </c>
      <c r="Q35" s="274">
        <f>'Inputs by customer type'!Q43</f>
        <v>425.49872061278865</v>
      </c>
      <c r="R35" s="274">
        <f>'Inputs by customer type'!R43</f>
        <v>0.94265200118290493</v>
      </c>
      <c r="S35" s="274">
        <f>'Inputs by customer type'!S43</f>
        <v>0</v>
      </c>
      <c r="T35" s="274">
        <f>'Inputs by customer type'!T43</f>
        <v>0</v>
      </c>
      <c r="U35" s="274">
        <f>'Inputs by customer type'!U43</f>
        <v>0</v>
      </c>
      <c r="V35" s="274">
        <f>'Inputs by customer type'!V43</f>
        <v>0</v>
      </c>
      <c r="W35" s="274">
        <f>'Inputs by customer type'!W43</f>
        <v>0</v>
      </c>
      <c r="X35" s="274">
        <f>'Inputs by customer type'!X43</f>
        <v>0</v>
      </c>
      <c r="Y35" s="274">
        <f>'Inputs by customer type'!Y43</f>
        <v>0</v>
      </c>
    </row>
    <row r="36" spans="3:27" x14ac:dyDescent="0.25">
      <c r="E36" s="14"/>
      <c r="F36" s="109" t="s">
        <v>258</v>
      </c>
      <c r="G36" s="109" t="s">
        <v>120</v>
      </c>
      <c r="J36" s="274">
        <f>'Inputs by customer type'!J44</f>
        <v>65951.865798979896</v>
      </c>
      <c r="K36" s="274">
        <f>'Inputs by customer type'!K44</f>
        <v>378.23816358036527</v>
      </c>
      <c r="L36" s="274">
        <f>'Inputs by customer type'!L44</f>
        <v>10881.052049529049</v>
      </c>
      <c r="M36" s="274">
        <f>'Inputs by customer type'!M44</f>
        <v>0</v>
      </c>
      <c r="N36" s="274">
        <f>'Inputs by customer type'!N44</f>
        <v>50706.112000000001</v>
      </c>
      <c r="O36" s="274">
        <f>'Inputs by customer type'!O44</f>
        <v>8312.2019999999993</v>
      </c>
      <c r="P36" s="274">
        <f>'Inputs by customer type'!P44</f>
        <v>25303.565000000002</v>
      </c>
      <c r="Q36" s="274">
        <f>'Inputs by customer type'!Q44</f>
        <v>470.53235815631092</v>
      </c>
      <c r="R36" s="274">
        <f>'Inputs by customer type'!R44</f>
        <v>0.86715492288170914</v>
      </c>
      <c r="S36" s="274">
        <f>'Inputs by customer type'!S44</f>
        <v>0</v>
      </c>
      <c r="T36" s="274">
        <f>'Inputs by customer type'!T44</f>
        <v>0</v>
      </c>
      <c r="U36" s="274">
        <f>'Inputs by customer type'!U44</f>
        <v>0</v>
      </c>
      <c r="V36" s="274">
        <f>'Inputs by customer type'!V44</f>
        <v>0</v>
      </c>
      <c r="W36" s="274">
        <f>'Inputs by customer type'!W44</f>
        <v>0</v>
      </c>
      <c r="X36" s="274">
        <f>'Inputs by customer type'!X44</f>
        <v>0</v>
      </c>
      <c r="Y36" s="274">
        <f>'Inputs by customer type'!Y44</f>
        <v>0</v>
      </c>
    </row>
    <row r="37" spans="3:27" x14ac:dyDescent="0.25">
      <c r="E37" s="14"/>
      <c r="F37" s="109" t="s">
        <v>74</v>
      </c>
      <c r="G37" s="109" t="s">
        <v>74</v>
      </c>
      <c r="J37" s="274">
        <f>'Inputs by customer type'!J45</f>
        <v>58740.548387096773</v>
      </c>
      <c r="K37" s="274">
        <f>'Inputs by customer type'!K45</f>
        <v>78.451612903225808</v>
      </c>
      <c r="L37" s="274">
        <f>'Inputs by customer type'!L45</f>
        <v>1509.8709677419354</v>
      </c>
      <c r="M37" s="274">
        <f>'Inputs by customer type'!M45</f>
        <v>0</v>
      </c>
      <c r="N37" s="274">
        <f>'Inputs by customer type'!N45</f>
        <v>381</v>
      </c>
      <c r="O37" s="274">
        <f>'Inputs by customer type'!O45</f>
        <v>26</v>
      </c>
      <c r="P37" s="274">
        <f>'Inputs by customer type'!P45</f>
        <v>30</v>
      </c>
      <c r="Q37" s="274">
        <f>'Inputs by customer type'!Q45</f>
        <v>46</v>
      </c>
      <c r="R37" s="274">
        <f>'Inputs by customer type'!R45</f>
        <v>5</v>
      </c>
      <c r="S37" s="274">
        <f>'Inputs by customer type'!S45</f>
        <v>0</v>
      </c>
      <c r="T37" s="274">
        <f>'Inputs by customer type'!T45</f>
        <v>0</v>
      </c>
      <c r="U37" s="274">
        <f>'Inputs by customer type'!U45</f>
        <v>0</v>
      </c>
      <c r="V37" s="274">
        <f>'Inputs by customer type'!V45</f>
        <v>0</v>
      </c>
      <c r="W37" s="274">
        <f>'Inputs by customer type'!W45</f>
        <v>0</v>
      </c>
      <c r="X37" s="274">
        <f>'Inputs by customer type'!X45</f>
        <v>0</v>
      </c>
      <c r="Y37" s="274">
        <f>'Inputs by customer type'!Y45</f>
        <v>0</v>
      </c>
    </row>
    <row r="38" spans="3:27" x14ac:dyDescent="0.25">
      <c r="E38" s="14"/>
      <c r="F38" s="109" t="s">
        <v>259</v>
      </c>
      <c r="G38" s="109" t="s">
        <v>169</v>
      </c>
      <c r="J38" s="274">
        <f>'Inputs by customer type'!J46</f>
        <v>0</v>
      </c>
      <c r="K38" s="274">
        <f>'Inputs by customer type'!K46</f>
        <v>0</v>
      </c>
      <c r="L38" s="274">
        <f>'Inputs by customer type'!L46</f>
        <v>0</v>
      </c>
      <c r="M38" s="274">
        <f>'Inputs by customer type'!M46</f>
        <v>0</v>
      </c>
      <c r="N38" s="274">
        <f>'Inputs by customer type'!N46</f>
        <v>87614</v>
      </c>
      <c r="O38" s="274">
        <f>'Inputs by customer type'!O46</f>
        <v>13995</v>
      </c>
      <c r="P38" s="274">
        <f>'Inputs by customer type'!P46</f>
        <v>28618</v>
      </c>
      <c r="Q38" s="274">
        <f>'Inputs by customer type'!Q46</f>
        <v>0</v>
      </c>
      <c r="R38" s="274">
        <f>'Inputs by customer type'!R46</f>
        <v>0</v>
      </c>
      <c r="S38" s="274">
        <f>'Inputs by customer type'!S46</f>
        <v>0</v>
      </c>
      <c r="T38" s="274">
        <f>'Inputs by customer type'!T46</f>
        <v>0</v>
      </c>
      <c r="U38" s="274">
        <f>'Inputs by customer type'!U46</f>
        <v>0</v>
      </c>
      <c r="V38" s="274">
        <f>'Inputs by customer type'!V46</f>
        <v>0</v>
      </c>
      <c r="W38" s="274">
        <f>'Inputs by customer type'!W46</f>
        <v>0</v>
      </c>
      <c r="X38" s="274">
        <f>'Inputs by customer type'!X46</f>
        <v>0</v>
      </c>
      <c r="Y38" s="274">
        <f>'Inputs by customer type'!Y46</f>
        <v>0</v>
      </c>
    </row>
    <row r="39" spans="3:27" x14ac:dyDescent="0.25">
      <c r="E39" s="14"/>
      <c r="F39" s="109" t="s">
        <v>260</v>
      </c>
      <c r="G39" s="109" t="s">
        <v>169</v>
      </c>
      <c r="J39" s="274">
        <f>'Inputs by customer type'!J47</f>
        <v>0</v>
      </c>
      <c r="K39" s="274">
        <f>'Inputs by customer type'!K47</f>
        <v>0</v>
      </c>
      <c r="L39" s="274">
        <f>'Inputs by customer type'!L47</f>
        <v>0</v>
      </c>
      <c r="M39" s="274">
        <f>'Inputs by customer type'!M47</f>
        <v>0</v>
      </c>
      <c r="N39" s="274">
        <f>'Inputs by customer type'!N47</f>
        <v>175.22800000000001</v>
      </c>
      <c r="O39" s="274">
        <f>'Inputs by customer type'!O47</f>
        <v>0</v>
      </c>
      <c r="P39" s="274">
        <f>'Inputs by customer type'!P47</f>
        <v>14.309000000000001</v>
      </c>
      <c r="Q39" s="274">
        <f>'Inputs by customer type'!Q47</f>
        <v>0</v>
      </c>
      <c r="R39" s="274">
        <f>'Inputs by customer type'!R47</f>
        <v>0</v>
      </c>
      <c r="S39" s="274">
        <f>'Inputs by customer type'!S47</f>
        <v>0</v>
      </c>
      <c r="T39" s="274">
        <f>'Inputs by customer type'!T47</f>
        <v>0</v>
      </c>
      <c r="U39" s="274">
        <f>'Inputs by customer type'!U47</f>
        <v>0</v>
      </c>
      <c r="V39" s="274">
        <f>'Inputs by customer type'!V47</f>
        <v>0</v>
      </c>
      <c r="W39" s="274">
        <f>'Inputs by customer type'!W47</f>
        <v>0</v>
      </c>
      <c r="X39" s="274">
        <f>'Inputs by customer type'!X47</f>
        <v>0</v>
      </c>
      <c r="Y39" s="274">
        <f>'Inputs by customer type'!Y47</f>
        <v>0</v>
      </c>
    </row>
    <row r="40" spans="3:27" x14ac:dyDescent="0.25">
      <c r="E40" s="14"/>
      <c r="F40" s="36" t="s">
        <v>261</v>
      </c>
      <c r="G40" s="36" t="s">
        <v>170</v>
      </c>
      <c r="H40" s="93"/>
      <c r="I40" s="93"/>
      <c r="J40" s="275">
        <f>'Inputs by customer type'!J48</f>
        <v>0</v>
      </c>
      <c r="K40" s="275">
        <f>'Inputs by customer type'!K48</f>
        <v>0</v>
      </c>
      <c r="L40" s="275">
        <f>'Inputs by customer type'!L48</f>
        <v>0</v>
      </c>
      <c r="M40" s="275">
        <f>'Inputs by customer type'!M48</f>
        <v>0</v>
      </c>
      <c r="N40" s="275">
        <f>'Inputs by customer type'!N48</f>
        <v>9000</v>
      </c>
      <c r="O40" s="275">
        <f>'Inputs by customer type'!O48</f>
        <v>1320</v>
      </c>
      <c r="P40" s="275">
        <f>'Inputs by customer type'!P48</f>
        <v>1908</v>
      </c>
      <c r="Q40" s="275">
        <f>'Inputs by customer type'!Q48</f>
        <v>0</v>
      </c>
      <c r="R40" s="275">
        <f>'Inputs by customer type'!R48</f>
        <v>0</v>
      </c>
      <c r="S40" s="275">
        <f>'Inputs by customer type'!S48</f>
        <v>0</v>
      </c>
      <c r="T40" s="275">
        <f>'Inputs by customer type'!T48</f>
        <v>0</v>
      </c>
      <c r="U40" s="275">
        <f>'Inputs by customer type'!U48</f>
        <v>0</v>
      </c>
      <c r="V40" s="275">
        <f>'Inputs by customer type'!V48</f>
        <v>0</v>
      </c>
      <c r="W40" s="275">
        <f>'Inputs by customer type'!W48</f>
        <v>0</v>
      </c>
      <c r="X40" s="275">
        <f>'Inputs by customer type'!X48</f>
        <v>0</v>
      </c>
      <c r="Y40" s="275">
        <f>'Inputs by customer type'!Y48</f>
        <v>0</v>
      </c>
    </row>
    <row r="41" spans="3:27" x14ac:dyDescent="0.25">
      <c r="E41" s="14"/>
      <c r="G41" s="108"/>
      <c r="J41" s="253"/>
      <c r="K41" s="253"/>
      <c r="L41" s="253"/>
      <c r="M41" s="253"/>
      <c r="N41" s="253"/>
      <c r="O41" s="253"/>
      <c r="P41" s="253"/>
      <c r="Q41" s="253"/>
      <c r="R41" s="253"/>
      <c r="S41" s="253"/>
      <c r="T41" s="253"/>
      <c r="U41" s="253"/>
      <c r="V41" s="253"/>
      <c r="W41" s="253"/>
      <c r="X41" s="253"/>
      <c r="Y41" s="253"/>
    </row>
    <row r="42" spans="3:27" x14ac:dyDescent="0.25">
      <c r="C42" s="7" t="str">
        <f ca="1">INDEX('Version control'!$H$34:$H$58,MATCH($A$1,'Version control'!$F$34:$F$58,0),1)&amp;"-B: Tariff forecast"</f>
        <v>Input 505-B: Tariff forecast</v>
      </c>
      <c r="D42" s="7"/>
      <c r="E42" s="7"/>
      <c r="F42" s="7"/>
      <c r="G42" s="7"/>
      <c r="H42" s="7"/>
      <c r="I42" s="7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7"/>
      <c r="AA42" s="7"/>
    </row>
    <row r="43" spans="3:27" x14ac:dyDescent="0.25">
      <c r="D43" s="96"/>
      <c r="E43" s="14"/>
      <c r="G43" s="108"/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  <c r="U43" s="253"/>
      <c r="V43" s="253"/>
      <c r="W43" s="253"/>
      <c r="X43" s="253"/>
      <c r="Y43" s="253"/>
    </row>
    <row r="44" spans="3:27" x14ac:dyDescent="0.25">
      <c r="E44" s="96" t="s">
        <v>886</v>
      </c>
      <c r="G44" s="108"/>
      <c r="I44" s="295" t="s">
        <v>431</v>
      </c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  <c r="U44" s="253"/>
      <c r="V44" s="253"/>
      <c r="W44" s="253"/>
      <c r="X44" s="253"/>
      <c r="Y44" s="253"/>
      <c r="AA44" s="295" t="s">
        <v>807</v>
      </c>
    </row>
    <row r="45" spans="3:27" x14ac:dyDescent="0.25">
      <c r="F45" s="91" t="s">
        <v>134</v>
      </c>
      <c r="G45" s="129" t="s">
        <v>183</v>
      </c>
      <c r="H45" s="361"/>
      <c r="I45" s="350"/>
      <c r="J45" s="361">
        <f>Rounding!J130</f>
        <v>10.154999999999999</v>
      </c>
      <c r="K45" s="361">
        <f>Rounding!K130</f>
        <v>10.154999999999999</v>
      </c>
      <c r="L45" s="361">
        <f>Rounding!L130</f>
        <v>11.609</v>
      </c>
      <c r="M45" s="361">
        <f>Rounding!M130</f>
        <v>11.609</v>
      </c>
      <c r="N45" s="361">
        <f>Rounding!N130</f>
        <v>8.1809999999999992</v>
      </c>
      <c r="O45" s="361">
        <f>Rounding!O130</f>
        <v>5.3090000000000002</v>
      </c>
      <c r="P45" s="361">
        <f>Rounding!P130</f>
        <v>4.3010000000000002</v>
      </c>
      <c r="Q45" s="361">
        <f>Rounding!Q130</f>
        <v>22.728000000000002</v>
      </c>
      <c r="R45" s="361">
        <f>Rounding!R130</f>
        <v>-6.4409999999999998</v>
      </c>
      <c r="S45" s="361">
        <f>Rounding!S130</f>
        <v>-5.6890000000000001</v>
      </c>
      <c r="T45" s="361">
        <f>Rounding!T130</f>
        <v>-6.4409999999999998</v>
      </c>
      <c r="U45" s="361">
        <f>Rounding!U130</f>
        <v>-6.4409999999999998</v>
      </c>
      <c r="V45" s="361">
        <f>Rounding!V130</f>
        <v>-5.6890000000000001</v>
      </c>
      <c r="W45" s="361">
        <f>Rounding!W130</f>
        <v>-5.6890000000000001</v>
      </c>
      <c r="X45" s="361">
        <f>Rounding!X130</f>
        <v>-3.7330000000000001</v>
      </c>
      <c r="Y45" s="361">
        <f>Rounding!Y130</f>
        <v>-3.7330000000000001</v>
      </c>
      <c r="Z45" s="352"/>
      <c r="AA45" s="352"/>
    </row>
    <row r="46" spans="3:27" x14ac:dyDescent="0.25">
      <c r="E46" s="14"/>
      <c r="F46" s="295" t="s">
        <v>135</v>
      </c>
      <c r="G46" s="108" t="s">
        <v>183</v>
      </c>
      <c r="H46" s="421"/>
      <c r="I46" s="352"/>
      <c r="J46" s="421">
        <f>Rounding!J131</f>
        <v>2.0299999999999998</v>
      </c>
      <c r="K46" s="421">
        <f>Rounding!K131</f>
        <v>2.0299999999999998</v>
      </c>
      <c r="L46" s="421">
        <f>Rounding!L131</f>
        <v>2.173</v>
      </c>
      <c r="M46" s="421">
        <f>Rounding!M131</f>
        <v>2.173</v>
      </c>
      <c r="N46" s="421">
        <f>Rounding!N131</f>
        <v>1.8129999999999999</v>
      </c>
      <c r="O46" s="421">
        <f>Rounding!O131</f>
        <v>1.5009999999999999</v>
      </c>
      <c r="P46" s="421">
        <f>Rounding!P131</f>
        <v>1.4</v>
      </c>
      <c r="Q46" s="421">
        <f>Rounding!Q131</f>
        <v>2.3420000000000001</v>
      </c>
      <c r="R46" s="421">
        <f>Rounding!R131</f>
        <v>-0.63100000000000001</v>
      </c>
      <c r="S46" s="421">
        <f>Rounding!S131</f>
        <v>-0.54800000000000004</v>
      </c>
      <c r="T46" s="421">
        <f>Rounding!T131</f>
        <v>-0.63100000000000001</v>
      </c>
      <c r="U46" s="421">
        <f>Rounding!U131</f>
        <v>-0.63100000000000001</v>
      </c>
      <c r="V46" s="421">
        <f>Rounding!V131</f>
        <v>-0.54800000000000004</v>
      </c>
      <c r="W46" s="421">
        <f>Rounding!W131</f>
        <v>-0.54800000000000004</v>
      </c>
      <c r="X46" s="421">
        <f>Rounding!X131</f>
        <v>-0.316</v>
      </c>
      <c r="Y46" s="421">
        <f>Rounding!Y131</f>
        <v>-0.316</v>
      </c>
      <c r="Z46" s="352"/>
      <c r="AA46" s="352"/>
    </row>
    <row r="47" spans="3:27" x14ac:dyDescent="0.25">
      <c r="E47" s="14"/>
      <c r="F47" s="295" t="s">
        <v>136</v>
      </c>
      <c r="G47" s="108" t="s">
        <v>183</v>
      </c>
      <c r="H47" s="421"/>
      <c r="I47" s="352"/>
      <c r="J47" s="421">
        <f>Rounding!J132</f>
        <v>1.17</v>
      </c>
      <c r="K47" s="421">
        <f>Rounding!K132</f>
        <v>1.17</v>
      </c>
      <c r="L47" s="421">
        <f>Rounding!L132</f>
        <v>1.1739999999999999</v>
      </c>
      <c r="M47" s="421">
        <f>Rounding!M132</f>
        <v>1.1739999999999999</v>
      </c>
      <c r="N47" s="421">
        <f>Rounding!N132</f>
        <v>1.163</v>
      </c>
      <c r="O47" s="421">
        <f>Rounding!O132</f>
        <v>1.1539999999999999</v>
      </c>
      <c r="P47" s="421">
        <f>Rounding!P132</f>
        <v>1.151</v>
      </c>
      <c r="Q47" s="421">
        <f>Rounding!Q132</f>
        <v>1.5960000000000001</v>
      </c>
      <c r="R47" s="421">
        <f>Rounding!R132</f>
        <v>-1.6E-2</v>
      </c>
      <c r="S47" s="421">
        <f>Rounding!S132</f>
        <v>-1.4E-2</v>
      </c>
      <c r="T47" s="421">
        <f>Rounding!T132</f>
        <v>-1.6E-2</v>
      </c>
      <c r="U47" s="421">
        <f>Rounding!U132</f>
        <v>-1.6E-2</v>
      </c>
      <c r="V47" s="421">
        <f>Rounding!V132</f>
        <v>-1.4E-2</v>
      </c>
      <c r="W47" s="421">
        <f>Rounding!W132</f>
        <v>-1.4E-2</v>
      </c>
      <c r="X47" s="421">
        <f>Rounding!X132</f>
        <v>-6.0000000000000001E-3</v>
      </c>
      <c r="Y47" s="421">
        <f>Rounding!Y132</f>
        <v>-6.0000000000000001E-3</v>
      </c>
      <c r="Z47" s="352"/>
      <c r="AA47" s="352"/>
    </row>
    <row r="48" spans="3:27" x14ac:dyDescent="0.25">
      <c r="E48" s="14"/>
      <c r="F48" s="295" t="s">
        <v>311</v>
      </c>
      <c r="G48" s="108" t="s">
        <v>309</v>
      </c>
      <c r="H48" s="385"/>
      <c r="J48" s="274">
        <f>Rounding!J133</f>
        <v>4.76</v>
      </c>
      <c r="K48" s="274">
        <f>Rounding!K133</f>
        <v>0</v>
      </c>
      <c r="L48" s="274">
        <f>Rounding!L133</f>
        <v>6.04</v>
      </c>
      <c r="M48" s="274">
        <f>Rounding!M133</f>
        <v>0</v>
      </c>
      <c r="N48" s="274">
        <f>Rounding!N133</f>
        <v>23.42</v>
      </c>
      <c r="O48" s="274">
        <f>Rounding!O133</f>
        <v>8.39</v>
      </c>
      <c r="P48" s="274">
        <f>Rounding!P133</f>
        <v>124.35</v>
      </c>
      <c r="Q48" s="274">
        <f>Rounding!Q133</f>
        <v>0</v>
      </c>
      <c r="R48" s="274">
        <f>Rounding!R133</f>
        <v>0</v>
      </c>
      <c r="S48" s="274">
        <f>Rounding!S133</f>
        <v>0</v>
      </c>
      <c r="T48" s="274">
        <f>Rounding!T133</f>
        <v>0</v>
      </c>
      <c r="U48" s="274">
        <f>Rounding!U133</f>
        <v>0</v>
      </c>
      <c r="V48" s="274">
        <f>Rounding!V133</f>
        <v>0</v>
      </c>
      <c r="W48" s="274">
        <f>Rounding!W133</f>
        <v>0</v>
      </c>
      <c r="X48" s="274">
        <f>Rounding!X133</f>
        <v>90.67</v>
      </c>
      <c r="Y48" s="274">
        <f>Rounding!Y133</f>
        <v>90.67</v>
      </c>
    </row>
    <row r="49" spans="3:27" x14ac:dyDescent="0.25">
      <c r="E49" s="14"/>
      <c r="F49" s="295" t="s">
        <v>312</v>
      </c>
      <c r="G49" s="108" t="s">
        <v>308</v>
      </c>
      <c r="H49" s="385"/>
      <c r="J49" s="274">
        <f>Rounding!J134</f>
        <v>0</v>
      </c>
      <c r="K49" s="274">
        <f>Rounding!K134</f>
        <v>0</v>
      </c>
      <c r="L49" s="274">
        <f>Rounding!L134</f>
        <v>0</v>
      </c>
      <c r="M49" s="274">
        <f>Rounding!M134</f>
        <v>0</v>
      </c>
      <c r="N49" s="274">
        <f>Rounding!N134</f>
        <v>2.5</v>
      </c>
      <c r="O49" s="274">
        <f>Rounding!O134</f>
        <v>4.51</v>
      </c>
      <c r="P49" s="274">
        <f>Rounding!P134</f>
        <v>4.96</v>
      </c>
      <c r="Q49" s="274">
        <f>Rounding!Q134</f>
        <v>0</v>
      </c>
      <c r="R49" s="274">
        <f>Rounding!R134</f>
        <v>0</v>
      </c>
      <c r="S49" s="274">
        <f>Rounding!S134</f>
        <v>0</v>
      </c>
      <c r="T49" s="274">
        <f>Rounding!T134</f>
        <v>0</v>
      </c>
      <c r="U49" s="274">
        <f>Rounding!U134</f>
        <v>0</v>
      </c>
      <c r="V49" s="274">
        <f>Rounding!V134</f>
        <v>0</v>
      </c>
      <c r="W49" s="274">
        <f>Rounding!W134</f>
        <v>0</v>
      </c>
      <c r="X49" s="274">
        <f>Rounding!X134</f>
        <v>0</v>
      </c>
      <c r="Y49" s="274">
        <f>Rounding!Y134</f>
        <v>0</v>
      </c>
    </row>
    <row r="50" spans="3:27" x14ac:dyDescent="0.25">
      <c r="E50" s="14"/>
      <c r="F50" s="295" t="s">
        <v>313</v>
      </c>
      <c r="G50" s="108" t="s">
        <v>308</v>
      </c>
      <c r="H50" s="385"/>
      <c r="J50" s="274">
        <f>Rounding!J135</f>
        <v>0</v>
      </c>
      <c r="K50" s="274">
        <f>Rounding!K135</f>
        <v>0</v>
      </c>
      <c r="L50" s="274">
        <f>Rounding!L135</f>
        <v>0</v>
      </c>
      <c r="M50" s="274">
        <f>Rounding!M135</f>
        <v>0</v>
      </c>
      <c r="N50" s="274">
        <f>Rounding!N135</f>
        <v>3.69</v>
      </c>
      <c r="O50" s="274">
        <f>Rounding!O135</f>
        <v>5.14</v>
      </c>
      <c r="P50" s="274">
        <f>Rounding!P135</f>
        <v>6.12</v>
      </c>
      <c r="Q50" s="274">
        <f>Rounding!Q135</f>
        <v>0</v>
      </c>
      <c r="R50" s="274">
        <f>Rounding!R135</f>
        <v>0</v>
      </c>
      <c r="S50" s="274">
        <f>Rounding!S135</f>
        <v>0</v>
      </c>
      <c r="T50" s="274">
        <f>Rounding!T135</f>
        <v>0</v>
      </c>
      <c r="U50" s="274">
        <f>Rounding!U135</f>
        <v>0</v>
      </c>
      <c r="V50" s="274">
        <f>Rounding!V135</f>
        <v>0</v>
      </c>
      <c r="W50" s="274">
        <f>Rounding!W135</f>
        <v>0</v>
      </c>
      <c r="X50" s="274">
        <f>Rounding!X135</f>
        <v>0</v>
      </c>
      <c r="Y50" s="274">
        <f>Rounding!Y135</f>
        <v>0</v>
      </c>
    </row>
    <row r="51" spans="3:27" x14ac:dyDescent="0.25">
      <c r="E51" s="14"/>
      <c r="F51" s="93" t="s">
        <v>314</v>
      </c>
      <c r="G51" s="131" t="s">
        <v>315</v>
      </c>
      <c r="H51" s="364"/>
      <c r="I51" s="354"/>
      <c r="J51" s="364">
        <f>Rounding!J136</f>
        <v>0</v>
      </c>
      <c r="K51" s="364">
        <f>Rounding!K136</f>
        <v>0</v>
      </c>
      <c r="L51" s="364">
        <f>Rounding!L136</f>
        <v>0</v>
      </c>
      <c r="M51" s="364">
        <f>Rounding!M136</f>
        <v>0</v>
      </c>
      <c r="N51" s="364">
        <f>Rounding!N136</f>
        <v>0.23499999999999999</v>
      </c>
      <c r="O51" s="364">
        <f>Rounding!O136</f>
        <v>0.13700000000000001</v>
      </c>
      <c r="P51" s="364">
        <f>Rounding!P136</f>
        <v>0.10199999999999999</v>
      </c>
      <c r="Q51" s="364">
        <f>Rounding!Q136</f>
        <v>0</v>
      </c>
      <c r="R51" s="364">
        <f>Rounding!R136</f>
        <v>0</v>
      </c>
      <c r="S51" s="364">
        <f>Rounding!S136</f>
        <v>0</v>
      </c>
      <c r="T51" s="364">
        <f>Rounding!T136</f>
        <v>0.20300000000000001</v>
      </c>
      <c r="U51" s="364">
        <f>Rounding!U136</f>
        <v>0</v>
      </c>
      <c r="V51" s="364">
        <f>Rounding!V136</f>
        <v>0.182</v>
      </c>
      <c r="W51" s="364">
        <f>Rounding!W136</f>
        <v>0</v>
      </c>
      <c r="X51" s="364">
        <f>Rounding!X136</f>
        <v>0.156</v>
      </c>
      <c r="Y51" s="364">
        <f>Rounding!Y136</f>
        <v>0</v>
      </c>
      <c r="Z51" s="352"/>
      <c r="AA51" s="352"/>
    </row>
    <row r="52" spans="3:27" x14ac:dyDescent="0.25">
      <c r="E52" s="14"/>
      <c r="G52" s="108"/>
      <c r="J52" s="253"/>
      <c r="K52" s="253"/>
      <c r="L52" s="253"/>
      <c r="M52" s="253"/>
      <c r="N52" s="253"/>
      <c r="O52" s="253"/>
      <c r="P52" s="253"/>
      <c r="Q52" s="253"/>
      <c r="R52" s="253"/>
      <c r="S52" s="253"/>
      <c r="T52" s="253"/>
      <c r="U52" s="253"/>
      <c r="V52" s="253"/>
      <c r="W52" s="253"/>
      <c r="X52" s="253"/>
      <c r="Y52" s="253"/>
    </row>
    <row r="53" spans="3:27" x14ac:dyDescent="0.25">
      <c r="E53" s="96" t="s">
        <v>887</v>
      </c>
      <c r="G53" s="108"/>
      <c r="I53" s="295" t="s">
        <v>431</v>
      </c>
      <c r="J53" s="272"/>
      <c r="K53" s="272"/>
      <c r="L53" s="272"/>
      <c r="M53" s="272"/>
      <c r="N53" s="272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AA53" s="295" t="s">
        <v>807</v>
      </c>
    </row>
    <row r="54" spans="3:27" x14ac:dyDescent="0.25">
      <c r="F54" s="91" t="s">
        <v>134</v>
      </c>
      <c r="G54" s="129" t="s">
        <v>183</v>
      </c>
      <c r="H54" s="361"/>
      <c r="I54" s="350"/>
      <c r="J54" s="361">
        <f>Rounding!J139</f>
        <v>6.1879999999999997</v>
      </c>
      <c r="K54" s="361">
        <f>Rounding!K139</f>
        <v>6.1879999999999997</v>
      </c>
      <c r="L54" s="361">
        <f>Rounding!L139</f>
        <v>7.0739999999999998</v>
      </c>
      <c r="M54" s="361">
        <f>Rounding!M139</f>
        <v>7.0739999999999998</v>
      </c>
      <c r="N54" s="361">
        <f>Rounding!N139</f>
        <v>4.9850000000000003</v>
      </c>
      <c r="O54" s="361">
        <f>Rounding!O139</f>
        <v>0</v>
      </c>
      <c r="P54" s="361">
        <f>Rounding!P139</f>
        <v>0</v>
      </c>
      <c r="Q54" s="361">
        <f>Rounding!Q139</f>
        <v>13.849</v>
      </c>
      <c r="R54" s="361">
        <f>Rounding!R139</f>
        <v>-6.4409999999999998</v>
      </c>
      <c r="S54" s="361">
        <f>Rounding!S139</f>
        <v>0</v>
      </c>
      <c r="T54" s="361">
        <f>Rounding!T139</f>
        <v>-6.4409999999999998</v>
      </c>
      <c r="U54" s="361">
        <f>Rounding!U139</f>
        <v>0</v>
      </c>
      <c r="V54" s="361">
        <f>Rounding!V139</f>
        <v>0</v>
      </c>
      <c r="W54" s="361">
        <f>Rounding!W139</f>
        <v>0</v>
      </c>
      <c r="X54" s="361">
        <f>Rounding!X139</f>
        <v>0</v>
      </c>
      <c r="Y54" s="361">
        <f>Rounding!Y139</f>
        <v>0</v>
      </c>
      <c r="Z54" s="352"/>
      <c r="AA54" s="352"/>
    </row>
    <row r="55" spans="3:27" x14ac:dyDescent="0.25">
      <c r="E55" s="14"/>
      <c r="F55" s="295" t="s">
        <v>135</v>
      </c>
      <c r="G55" s="108" t="s">
        <v>183</v>
      </c>
      <c r="H55" s="421"/>
      <c r="I55" s="352"/>
      <c r="J55" s="421">
        <f>Rounding!J140</f>
        <v>1.2370000000000001</v>
      </c>
      <c r="K55" s="421">
        <f>Rounding!K140</f>
        <v>1.2370000000000001</v>
      </c>
      <c r="L55" s="421">
        <f>Rounding!L140</f>
        <v>1.3240000000000001</v>
      </c>
      <c r="M55" s="421">
        <f>Rounding!M140</f>
        <v>1.3240000000000001</v>
      </c>
      <c r="N55" s="421">
        <f>Rounding!N140</f>
        <v>1.105</v>
      </c>
      <c r="O55" s="421">
        <f>Rounding!O140</f>
        <v>0</v>
      </c>
      <c r="P55" s="421">
        <f>Rounding!P140</f>
        <v>0</v>
      </c>
      <c r="Q55" s="421">
        <f>Rounding!Q140</f>
        <v>1.427</v>
      </c>
      <c r="R55" s="421">
        <f>Rounding!R140</f>
        <v>-0.63100000000000001</v>
      </c>
      <c r="S55" s="421">
        <f>Rounding!S140</f>
        <v>0</v>
      </c>
      <c r="T55" s="421">
        <f>Rounding!T140</f>
        <v>-0.63100000000000001</v>
      </c>
      <c r="U55" s="421">
        <f>Rounding!U140</f>
        <v>0</v>
      </c>
      <c r="V55" s="421">
        <f>Rounding!V140</f>
        <v>0</v>
      </c>
      <c r="W55" s="421">
        <f>Rounding!W140</f>
        <v>0</v>
      </c>
      <c r="X55" s="421">
        <f>Rounding!X140</f>
        <v>0</v>
      </c>
      <c r="Y55" s="421">
        <f>Rounding!Y140</f>
        <v>0</v>
      </c>
      <c r="Z55" s="352"/>
      <c r="AA55" s="352"/>
    </row>
    <row r="56" spans="3:27" x14ac:dyDescent="0.25">
      <c r="E56" s="14"/>
      <c r="F56" s="295" t="s">
        <v>136</v>
      </c>
      <c r="G56" s="108" t="s">
        <v>183</v>
      </c>
      <c r="H56" s="421"/>
      <c r="I56" s="352"/>
      <c r="J56" s="421">
        <f>Rounding!J141</f>
        <v>0.71299999999999997</v>
      </c>
      <c r="K56" s="421">
        <f>Rounding!K141</f>
        <v>0.71299999999999997</v>
      </c>
      <c r="L56" s="421">
        <f>Rounding!L141</f>
        <v>0.71499999999999997</v>
      </c>
      <c r="M56" s="421">
        <f>Rounding!M141</f>
        <v>0.71499999999999997</v>
      </c>
      <c r="N56" s="421">
        <f>Rounding!N141</f>
        <v>0.70899999999999996</v>
      </c>
      <c r="O56" s="421">
        <f>Rounding!O141</f>
        <v>0</v>
      </c>
      <c r="P56" s="421">
        <f>Rounding!P141</f>
        <v>0</v>
      </c>
      <c r="Q56" s="421">
        <f>Rounding!Q141</f>
        <v>0.97299999999999998</v>
      </c>
      <c r="R56" s="421">
        <f>Rounding!R141</f>
        <v>-1.6E-2</v>
      </c>
      <c r="S56" s="421">
        <f>Rounding!S141</f>
        <v>0</v>
      </c>
      <c r="T56" s="421">
        <f>Rounding!T141</f>
        <v>-1.6E-2</v>
      </c>
      <c r="U56" s="421">
        <f>Rounding!U141</f>
        <v>0</v>
      </c>
      <c r="V56" s="421">
        <f>Rounding!V141</f>
        <v>0</v>
      </c>
      <c r="W56" s="421">
        <f>Rounding!W141</f>
        <v>0</v>
      </c>
      <c r="X56" s="421">
        <f>Rounding!X141</f>
        <v>0</v>
      </c>
      <c r="Y56" s="421">
        <f>Rounding!Y141</f>
        <v>0</v>
      </c>
      <c r="Z56" s="352"/>
      <c r="AA56" s="352"/>
    </row>
    <row r="57" spans="3:27" x14ac:dyDescent="0.25">
      <c r="E57" s="14"/>
      <c r="F57" s="295" t="s">
        <v>311</v>
      </c>
      <c r="G57" s="108" t="s">
        <v>309</v>
      </c>
      <c r="H57" s="385"/>
      <c r="J57" s="274">
        <f>Rounding!J142</f>
        <v>2.98</v>
      </c>
      <c r="K57" s="274">
        <f>Rounding!K142</f>
        <v>0</v>
      </c>
      <c r="L57" s="274">
        <f>Rounding!L142</f>
        <v>3.75</v>
      </c>
      <c r="M57" s="274">
        <f>Rounding!M142</f>
        <v>0</v>
      </c>
      <c r="N57" s="274">
        <f>Rounding!N142</f>
        <v>14.34</v>
      </c>
      <c r="O57" s="274">
        <f>Rounding!O142</f>
        <v>0</v>
      </c>
      <c r="P57" s="274">
        <f>Rounding!P142</f>
        <v>0</v>
      </c>
      <c r="Q57" s="274">
        <f>Rounding!Q142</f>
        <v>0</v>
      </c>
      <c r="R57" s="274">
        <f>Rounding!R142</f>
        <v>0</v>
      </c>
      <c r="S57" s="274">
        <f>Rounding!S142</f>
        <v>0</v>
      </c>
      <c r="T57" s="274">
        <f>Rounding!T142</f>
        <v>0</v>
      </c>
      <c r="U57" s="274">
        <f>Rounding!U142</f>
        <v>0</v>
      </c>
      <c r="V57" s="274">
        <f>Rounding!V142</f>
        <v>0</v>
      </c>
      <c r="W57" s="274">
        <f>Rounding!W142</f>
        <v>0</v>
      </c>
      <c r="X57" s="274">
        <f>Rounding!X142</f>
        <v>0</v>
      </c>
      <c r="Y57" s="274">
        <f>Rounding!Y142</f>
        <v>0</v>
      </c>
    </row>
    <row r="58" spans="3:27" x14ac:dyDescent="0.25">
      <c r="E58" s="14"/>
      <c r="F58" s="295" t="s">
        <v>312</v>
      </c>
      <c r="G58" s="108" t="s">
        <v>308</v>
      </c>
      <c r="H58" s="385"/>
      <c r="J58" s="274">
        <f>Rounding!J143</f>
        <v>0</v>
      </c>
      <c r="K58" s="274">
        <f>Rounding!K143</f>
        <v>0</v>
      </c>
      <c r="L58" s="274">
        <f>Rounding!L143</f>
        <v>0</v>
      </c>
      <c r="M58" s="274">
        <f>Rounding!M143</f>
        <v>0</v>
      </c>
      <c r="N58" s="274">
        <f>Rounding!N143</f>
        <v>1.52</v>
      </c>
      <c r="O58" s="274">
        <f>Rounding!O143</f>
        <v>0</v>
      </c>
      <c r="P58" s="274">
        <f>Rounding!P143</f>
        <v>0</v>
      </c>
      <c r="Q58" s="274">
        <f>Rounding!Q143</f>
        <v>0</v>
      </c>
      <c r="R58" s="274">
        <f>Rounding!R143</f>
        <v>0</v>
      </c>
      <c r="S58" s="274">
        <f>Rounding!S143</f>
        <v>0</v>
      </c>
      <c r="T58" s="274">
        <f>Rounding!T143</f>
        <v>0</v>
      </c>
      <c r="U58" s="274">
        <f>Rounding!U143</f>
        <v>0</v>
      </c>
      <c r="V58" s="274">
        <f>Rounding!V143</f>
        <v>0</v>
      </c>
      <c r="W58" s="274">
        <f>Rounding!W143</f>
        <v>0</v>
      </c>
      <c r="X58" s="274">
        <f>Rounding!X143</f>
        <v>0</v>
      </c>
      <c r="Y58" s="274">
        <f>Rounding!Y143</f>
        <v>0</v>
      </c>
    </row>
    <row r="59" spans="3:27" x14ac:dyDescent="0.25">
      <c r="E59" s="14"/>
      <c r="F59" s="295" t="s">
        <v>313</v>
      </c>
      <c r="G59" s="108" t="s">
        <v>308</v>
      </c>
      <c r="H59" s="385"/>
      <c r="J59" s="274">
        <f>Rounding!J144</f>
        <v>0</v>
      </c>
      <c r="K59" s="274">
        <f>Rounding!K144</f>
        <v>0</v>
      </c>
      <c r="L59" s="274">
        <f>Rounding!L144</f>
        <v>0</v>
      </c>
      <c r="M59" s="274">
        <f>Rounding!M144</f>
        <v>0</v>
      </c>
      <c r="N59" s="274">
        <f>Rounding!N144</f>
        <v>2.25</v>
      </c>
      <c r="O59" s="274">
        <f>Rounding!O144</f>
        <v>0</v>
      </c>
      <c r="P59" s="274">
        <f>Rounding!P144</f>
        <v>0</v>
      </c>
      <c r="Q59" s="274">
        <f>Rounding!Q144</f>
        <v>0</v>
      </c>
      <c r="R59" s="274">
        <f>Rounding!R144</f>
        <v>0</v>
      </c>
      <c r="S59" s="274">
        <f>Rounding!S144</f>
        <v>0</v>
      </c>
      <c r="T59" s="274">
        <f>Rounding!T144</f>
        <v>0</v>
      </c>
      <c r="U59" s="274">
        <f>Rounding!U144</f>
        <v>0</v>
      </c>
      <c r="V59" s="274">
        <f>Rounding!V144</f>
        <v>0</v>
      </c>
      <c r="W59" s="274">
        <f>Rounding!W144</f>
        <v>0</v>
      </c>
      <c r="X59" s="274">
        <f>Rounding!X144</f>
        <v>0</v>
      </c>
      <c r="Y59" s="274">
        <f>Rounding!Y144</f>
        <v>0</v>
      </c>
    </row>
    <row r="60" spans="3:27" x14ac:dyDescent="0.25">
      <c r="E60" s="14"/>
      <c r="F60" s="93" t="s">
        <v>314</v>
      </c>
      <c r="G60" s="131" t="s">
        <v>315</v>
      </c>
      <c r="H60" s="364"/>
      <c r="I60" s="354"/>
      <c r="J60" s="364">
        <f>Rounding!J145</f>
        <v>0</v>
      </c>
      <c r="K60" s="364">
        <f>Rounding!K145</f>
        <v>0</v>
      </c>
      <c r="L60" s="364">
        <f>Rounding!L145</f>
        <v>0</v>
      </c>
      <c r="M60" s="364">
        <f>Rounding!M145</f>
        <v>0</v>
      </c>
      <c r="N60" s="364">
        <f>Rounding!N145</f>
        <v>0.14299999999999999</v>
      </c>
      <c r="O60" s="364">
        <f>Rounding!O145</f>
        <v>0</v>
      </c>
      <c r="P60" s="364">
        <f>Rounding!P145</f>
        <v>0</v>
      </c>
      <c r="Q60" s="364">
        <f>Rounding!Q145</f>
        <v>0</v>
      </c>
      <c r="R60" s="364">
        <f>Rounding!R145</f>
        <v>0</v>
      </c>
      <c r="S60" s="364">
        <f>Rounding!S145</f>
        <v>0</v>
      </c>
      <c r="T60" s="364">
        <f>Rounding!T145</f>
        <v>0.20300000000000001</v>
      </c>
      <c r="U60" s="364">
        <f>Rounding!U145</f>
        <v>0</v>
      </c>
      <c r="V60" s="364">
        <f>Rounding!V145</f>
        <v>0</v>
      </c>
      <c r="W60" s="364">
        <f>Rounding!W145</f>
        <v>0</v>
      </c>
      <c r="X60" s="364">
        <f>Rounding!X145</f>
        <v>0</v>
      </c>
      <c r="Y60" s="364">
        <f>Rounding!Y145</f>
        <v>0</v>
      </c>
      <c r="Z60" s="352"/>
      <c r="AA60" s="352"/>
    </row>
    <row r="61" spans="3:27" x14ac:dyDescent="0.25">
      <c r="E61" s="14"/>
      <c r="G61" s="108"/>
      <c r="J61" s="253"/>
      <c r="K61" s="253"/>
      <c r="L61" s="253"/>
      <c r="M61" s="253"/>
      <c r="N61" s="253"/>
      <c r="O61" s="253"/>
      <c r="P61" s="253"/>
      <c r="Q61" s="253"/>
      <c r="R61" s="253"/>
      <c r="S61" s="253"/>
      <c r="T61" s="253"/>
      <c r="U61" s="253"/>
      <c r="V61" s="253"/>
      <c r="W61" s="253"/>
      <c r="X61" s="253"/>
      <c r="Y61" s="253"/>
    </row>
    <row r="62" spans="3:27" x14ac:dyDescent="0.25">
      <c r="E62" s="96" t="s">
        <v>888</v>
      </c>
      <c r="G62" s="108"/>
      <c r="I62" s="295" t="s">
        <v>431</v>
      </c>
      <c r="J62" s="272"/>
      <c r="K62" s="272"/>
      <c r="L62" s="272"/>
      <c r="M62" s="272"/>
      <c r="N62" s="272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AA62" s="295" t="s">
        <v>807</v>
      </c>
    </row>
    <row r="63" spans="3:27" x14ac:dyDescent="0.25">
      <c r="C63" s="86"/>
      <c r="F63" s="91" t="s">
        <v>134</v>
      </c>
      <c r="G63" s="129" t="s">
        <v>183</v>
      </c>
      <c r="H63" s="361"/>
      <c r="I63" s="350"/>
      <c r="J63" s="361">
        <f>Rounding!J148</f>
        <v>4.0250000000000004</v>
      </c>
      <c r="K63" s="361">
        <f>Rounding!K148</f>
        <v>4.0250000000000004</v>
      </c>
      <c r="L63" s="361">
        <f>Rounding!L148</f>
        <v>4.6020000000000003</v>
      </c>
      <c r="M63" s="361">
        <f>Rounding!M148</f>
        <v>4.6020000000000003</v>
      </c>
      <c r="N63" s="361">
        <f>Rounding!N148</f>
        <v>3.2429999999999999</v>
      </c>
      <c r="O63" s="361">
        <f>Rounding!O148</f>
        <v>3.4609999999999999</v>
      </c>
      <c r="P63" s="361">
        <f>Rounding!P148</f>
        <v>3.218</v>
      </c>
      <c r="Q63" s="361">
        <f>Rounding!Q148</f>
        <v>9.0090000000000003</v>
      </c>
      <c r="R63" s="361">
        <f>Rounding!R148</f>
        <v>-6.4409999999999998</v>
      </c>
      <c r="S63" s="361">
        <f>Rounding!S148</f>
        <v>-5.6890000000000001</v>
      </c>
      <c r="T63" s="361">
        <f>Rounding!T148</f>
        <v>-6.4409999999999998</v>
      </c>
      <c r="U63" s="361">
        <f>Rounding!U148</f>
        <v>0</v>
      </c>
      <c r="V63" s="361">
        <f>Rounding!V148</f>
        <v>-5.6890000000000001</v>
      </c>
      <c r="W63" s="361">
        <f>Rounding!W148</f>
        <v>0</v>
      </c>
      <c r="X63" s="361">
        <f>Rounding!X148</f>
        <v>-3.7330000000000001</v>
      </c>
      <c r="Y63" s="361">
        <f>Rounding!Y148</f>
        <v>0</v>
      </c>
      <c r="Z63" s="352"/>
      <c r="AA63" s="352"/>
    </row>
    <row r="64" spans="3:27" x14ac:dyDescent="0.25">
      <c r="C64" s="86"/>
      <c r="F64" s="295" t="s">
        <v>135</v>
      </c>
      <c r="G64" s="108" t="s">
        <v>183</v>
      </c>
      <c r="H64" s="421"/>
      <c r="I64" s="352"/>
      <c r="J64" s="421">
        <f>Rounding!J149</f>
        <v>0.80500000000000005</v>
      </c>
      <c r="K64" s="421">
        <f>Rounding!K149</f>
        <v>0.80500000000000005</v>
      </c>
      <c r="L64" s="421">
        <f>Rounding!L149</f>
        <v>0.86099999999999999</v>
      </c>
      <c r="M64" s="421">
        <f>Rounding!M149</f>
        <v>0.86099999999999999</v>
      </c>
      <c r="N64" s="421">
        <f>Rounding!N149</f>
        <v>0.71899999999999997</v>
      </c>
      <c r="O64" s="421">
        <f>Rounding!O149</f>
        <v>0.97799999999999998</v>
      </c>
      <c r="P64" s="421">
        <f>Rounding!P149</f>
        <v>1.0469999999999999</v>
      </c>
      <c r="Q64" s="421">
        <f>Rounding!Q149</f>
        <v>0.92800000000000005</v>
      </c>
      <c r="R64" s="421">
        <f>Rounding!R149</f>
        <v>-0.63100000000000001</v>
      </c>
      <c r="S64" s="421">
        <f>Rounding!S149</f>
        <v>-0.54800000000000004</v>
      </c>
      <c r="T64" s="421">
        <f>Rounding!T149</f>
        <v>-0.63100000000000001</v>
      </c>
      <c r="U64" s="421">
        <f>Rounding!U149</f>
        <v>0</v>
      </c>
      <c r="V64" s="421">
        <f>Rounding!V149</f>
        <v>-0.54800000000000004</v>
      </c>
      <c r="W64" s="421">
        <f>Rounding!W149</f>
        <v>0</v>
      </c>
      <c r="X64" s="421">
        <f>Rounding!X149</f>
        <v>-0.316</v>
      </c>
      <c r="Y64" s="421">
        <f>Rounding!Y149</f>
        <v>0</v>
      </c>
      <c r="Z64" s="352"/>
      <c r="AA64" s="352"/>
    </row>
    <row r="65" spans="2:27" x14ac:dyDescent="0.25">
      <c r="C65" s="86"/>
      <c r="F65" s="295" t="s">
        <v>136</v>
      </c>
      <c r="G65" s="108" t="s">
        <v>183</v>
      </c>
      <c r="H65" s="421"/>
      <c r="I65" s="352"/>
      <c r="J65" s="421">
        <f>Rounding!J150</f>
        <v>0.46400000000000002</v>
      </c>
      <c r="K65" s="421">
        <f>Rounding!K150</f>
        <v>0.46400000000000002</v>
      </c>
      <c r="L65" s="421">
        <f>Rounding!L150</f>
        <v>0.46500000000000002</v>
      </c>
      <c r="M65" s="421">
        <f>Rounding!M150</f>
        <v>0.46500000000000002</v>
      </c>
      <c r="N65" s="421">
        <f>Rounding!N150</f>
        <v>0.46100000000000002</v>
      </c>
      <c r="O65" s="421">
        <f>Rounding!O150</f>
        <v>0.752</v>
      </c>
      <c r="P65" s="421">
        <f>Rounding!P150</f>
        <v>0.86099999999999999</v>
      </c>
      <c r="Q65" s="421">
        <f>Rounding!Q150</f>
        <v>0.63300000000000001</v>
      </c>
      <c r="R65" s="421">
        <f>Rounding!R150</f>
        <v>-1.6E-2</v>
      </c>
      <c r="S65" s="421">
        <f>Rounding!S150</f>
        <v>-1.4E-2</v>
      </c>
      <c r="T65" s="421">
        <f>Rounding!T150</f>
        <v>-1.6E-2</v>
      </c>
      <c r="U65" s="421">
        <f>Rounding!U150</f>
        <v>0</v>
      </c>
      <c r="V65" s="421">
        <f>Rounding!V150</f>
        <v>-1.4E-2</v>
      </c>
      <c r="W65" s="421">
        <f>Rounding!W150</f>
        <v>0</v>
      </c>
      <c r="X65" s="421">
        <f>Rounding!X150</f>
        <v>-6.0000000000000001E-3</v>
      </c>
      <c r="Y65" s="421">
        <f>Rounding!Y150</f>
        <v>0</v>
      </c>
      <c r="Z65" s="352"/>
      <c r="AA65" s="352"/>
    </row>
    <row r="66" spans="2:27" x14ac:dyDescent="0.25">
      <c r="C66" s="86"/>
      <c r="F66" s="295" t="s">
        <v>311</v>
      </c>
      <c r="G66" s="108" t="s">
        <v>309</v>
      </c>
      <c r="H66" s="385"/>
      <c r="J66" s="274">
        <f>Rounding!J151</f>
        <v>2</v>
      </c>
      <c r="K66" s="274">
        <f>Rounding!K151</f>
        <v>0</v>
      </c>
      <c r="L66" s="274">
        <f>Rounding!L151</f>
        <v>2.5</v>
      </c>
      <c r="M66" s="274">
        <f>Rounding!M151</f>
        <v>0</v>
      </c>
      <c r="N66" s="274">
        <f>Rounding!N151</f>
        <v>9.4</v>
      </c>
      <c r="O66" s="274">
        <f>Rounding!O151</f>
        <v>5.53</v>
      </c>
      <c r="P66" s="274">
        <f>Rounding!P151</f>
        <v>93.09</v>
      </c>
      <c r="Q66" s="274">
        <f>Rounding!Q151</f>
        <v>0</v>
      </c>
      <c r="R66" s="274">
        <f>Rounding!R151</f>
        <v>0</v>
      </c>
      <c r="S66" s="274">
        <f>Rounding!S151</f>
        <v>0</v>
      </c>
      <c r="T66" s="274">
        <f>Rounding!T151</f>
        <v>0</v>
      </c>
      <c r="U66" s="274">
        <f>Rounding!U151</f>
        <v>0</v>
      </c>
      <c r="V66" s="274">
        <f>Rounding!V151</f>
        <v>0</v>
      </c>
      <c r="W66" s="274">
        <f>Rounding!W151</f>
        <v>0</v>
      </c>
      <c r="X66" s="274">
        <f>Rounding!X151</f>
        <v>0</v>
      </c>
      <c r="Y66" s="274">
        <f>Rounding!Y151</f>
        <v>0</v>
      </c>
    </row>
    <row r="67" spans="2:27" x14ac:dyDescent="0.25">
      <c r="C67" s="86"/>
      <c r="F67" s="295" t="s">
        <v>312</v>
      </c>
      <c r="G67" s="108" t="s">
        <v>308</v>
      </c>
      <c r="H67" s="385"/>
      <c r="J67" s="274">
        <f>Rounding!J152</f>
        <v>0</v>
      </c>
      <c r="K67" s="274">
        <f>Rounding!K152</f>
        <v>0</v>
      </c>
      <c r="L67" s="274">
        <f>Rounding!L152</f>
        <v>0</v>
      </c>
      <c r="M67" s="274">
        <f>Rounding!M152</f>
        <v>0</v>
      </c>
      <c r="N67" s="274">
        <f>Rounding!N152</f>
        <v>0.99</v>
      </c>
      <c r="O67" s="274">
        <f>Rounding!O152</f>
        <v>2.94</v>
      </c>
      <c r="P67" s="274">
        <f>Rounding!P152</f>
        <v>3.71</v>
      </c>
      <c r="Q67" s="274">
        <f>Rounding!Q152</f>
        <v>0</v>
      </c>
      <c r="R67" s="274">
        <f>Rounding!R152</f>
        <v>0</v>
      </c>
      <c r="S67" s="274">
        <f>Rounding!S152</f>
        <v>0</v>
      </c>
      <c r="T67" s="274">
        <f>Rounding!T152</f>
        <v>0</v>
      </c>
      <c r="U67" s="274">
        <f>Rounding!U152</f>
        <v>0</v>
      </c>
      <c r="V67" s="274">
        <f>Rounding!V152</f>
        <v>0</v>
      </c>
      <c r="W67" s="274">
        <f>Rounding!W152</f>
        <v>0</v>
      </c>
      <c r="X67" s="274">
        <f>Rounding!X152</f>
        <v>0</v>
      </c>
      <c r="Y67" s="274">
        <f>Rounding!Y152</f>
        <v>0</v>
      </c>
    </row>
    <row r="68" spans="2:27" x14ac:dyDescent="0.25">
      <c r="C68" s="86"/>
      <c r="F68" s="295" t="s">
        <v>313</v>
      </c>
      <c r="G68" s="108" t="s">
        <v>308</v>
      </c>
      <c r="H68" s="385"/>
      <c r="J68" s="274">
        <f>Rounding!J153</f>
        <v>0</v>
      </c>
      <c r="K68" s="274">
        <f>Rounding!K153</f>
        <v>0</v>
      </c>
      <c r="L68" s="274">
        <f>Rounding!L153</f>
        <v>0</v>
      </c>
      <c r="M68" s="274">
        <f>Rounding!M153</f>
        <v>0</v>
      </c>
      <c r="N68" s="274">
        <f>Rounding!N153</f>
        <v>1.46</v>
      </c>
      <c r="O68" s="274">
        <f>Rounding!O153</f>
        <v>3.35</v>
      </c>
      <c r="P68" s="274">
        <f>Rounding!P153</f>
        <v>4.58</v>
      </c>
      <c r="Q68" s="274">
        <f>Rounding!Q153</f>
        <v>0</v>
      </c>
      <c r="R68" s="274">
        <f>Rounding!R153</f>
        <v>0</v>
      </c>
      <c r="S68" s="274">
        <f>Rounding!S153</f>
        <v>0</v>
      </c>
      <c r="T68" s="274">
        <f>Rounding!T153</f>
        <v>0</v>
      </c>
      <c r="U68" s="274">
        <f>Rounding!U153</f>
        <v>0</v>
      </c>
      <c r="V68" s="274">
        <f>Rounding!V153</f>
        <v>0</v>
      </c>
      <c r="W68" s="274">
        <f>Rounding!W153</f>
        <v>0</v>
      </c>
      <c r="X68" s="274">
        <f>Rounding!X153</f>
        <v>0</v>
      </c>
      <c r="Y68" s="274">
        <f>Rounding!Y153</f>
        <v>0</v>
      </c>
    </row>
    <row r="69" spans="2:27" x14ac:dyDescent="0.25">
      <c r="C69" s="86"/>
      <c r="F69" s="93" t="s">
        <v>314</v>
      </c>
      <c r="G69" s="131" t="s">
        <v>315</v>
      </c>
      <c r="H69" s="364"/>
      <c r="I69" s="354"/>
      <c r="J69" s="364">
        <f>Rounding!J154</f>
        <v>0</v>
      </c>
      <c r="K69" s="364">
        <f>Rounding!K154</f>
        <v>0</v>
      </c>
      <c r="L69" s="364">
        <f>Rounding!L154</f>
        <v>0</v>
      </c>
      <c r="M69" s="364">
        <f>Rounding!M154</f>
        <v>0</v>
      </c>
      <c r="N69" s="364">
        <f>Rounding!N154</f>
        <v>9.2999999999999999E-2</v>
      </c>
      <c r="O69" s="364">
        <f>Rounding!O154</f>
        <v>8.8999999999999996E-2</v>
      </c>
      <c r="P69" s="364">
        <f>Rounding!P154</f>
        <v>7.5999999999999998E-2</v>
      </c>
      <c r="Q69" s="364">
        <f>Rounding!Q154</f>
        <v>0</v>
      </c>
      <c r="R69" s="364">
        <f>Rounding!R154</f>
        <v>0</v>
      </c>
      <c r="S69" s="364">
        <f>Rounding!S154</f>
        <v>0</v>
      </c>
      <c r="T69" s="364">
        <f>Rounding!T154</f>
        <v>0.20300000000000001</v>
      </c>
      <c r="U69" s="364">
        <f>Rounding!U154</f>
        <v>0</v>
      </c>
      <c r="V69" s="364">
        <f>Rounding!V154</f>
        <v>0.182</v>
      </c>
      <c r="W69" s="364">
        <f>Rounding!W154</f>
        <v>0</v>
      </c>
      <c r="X69" s="364">
        <f>Rounding!X154</f>
        <v>0.156</v>
      </c>
      <c r="Y69" s="364">
        <f>Rounding!Y154</f>
        <v>0</v>
      </c>
      <c r="Z69" s="352"/>
      <c r="AA69" s="352"/>
    </row>
    <row r="70" spans="2:27" x14ac:dyDescent="0.25">
      <c r="C70" s="86"/>
      <c r="D70" s="98"/>
      <c r="E70" s="98"/>
      <c r="G70" s="108"/>
      <c r="J70" s="253"/>
      <c r="K70" s="253"/>
      <c r="L70" s="253"/>
      <c r="M70" s="253"/>
      <c r="N70" s="253"/>
      <c r="O70" s="253"/>
      <c r="P70" s="253"/>
      <c r="Q70" s="253"/>
      <c r="R70" s="253"/>
      <c r="S70" s="253"/>
      <c r="T70" s="253"/>
      <c r="U70" s="253"/>
      <c r="V70" s="253"/>
      <c r="W70" s="253"/>
      <c r="X70" s="253"/>
      <c r="Y70" s="253"/>
    </row>
    <row r="71" spans="2:27" x14ac:dyDescent="0.25">
      <c r="C71" s="7" t="str">
        <f ca="1">INDEX('Version control'!$H$34:$H$58,MATCH($A$1,'Version control'!$F$34:$F$58,0),1)&amp;"-C: Net revenue components"</f>
        <v>Input 505-C: Net revenue components</v>
      </c>
      <c r="D71" s="7"/>
      <c r="E71" s="7"/>
      <c r="F71" s="7"/>
      <c r="G71" s="7"/>
      <c r="H71" s="7"/>
      <c r="I71" s="7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7"/>
      <c r="AA71" s="7"/>
    </row>
    <row r="72" spans="2:27" x14ac:dyDescent="0.25">
      <c r="D72" s="96"/>
      <c r="J72" s="253"/>
      <c r="K72" s="253"/>
      <c r="L72" s="253"/>
      <c r="M72" s="253"/>
      <c r="N72" s="253"/>
      <c r="O72" s="253"/>
      <c r="P72" s="253"/>
      <c r="Q72" s="253"/>
      <c r="R72" s="253"/>
      <c r="S72" s="253"/>
      <c r="T72" s="253"/>
      <c r="U72" s="253"/>
      <c r="V72" s="253"/>
      <c r="W72" s="253"/>
      <c r="X72" s="253"/>
      <c r="Y72" s="253"/>
    </row>
    <row r="73" spans="2:27" x14ac:dyDescent="0.25">
      <c r="E73" s="295" t="s">
        <v>191</v>
      </c>
      <c r="G73" s="108" t="s">
        <v>107</v>
      </c>
      <c r="H73" s="274">
        <f>'General inputs'!$H$90</f>
        <v>417181725.07818514</v>
      </c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</row>
    <row r="74" spans="2:27" x14ac:dyDescent="0.25">
      <c r="E74" s="295" t="s">
        <v>717</v>
      </c>
      <c r="G74" s="108" t="s">
        <v>107</v>
      </c>
      <c r="H74" s="274">
        <f>'Revenue matching'!H58</f>
        <v>241976393.59082356</v>
      </c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</row>
    <row r="75" spans="2:27" x14ac:dyDescent="0.25">
      <c r="E75" s="295" t="s">
        <v>1152</v>
      </c>
      <c r="G75" s="108" t="s">
        <v>107</v>
      </c>
      <c r="H75" s="274">
        <f>'Revenue matching'!H158</f>
        <v>173740878.11278296</v>
      </c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</row>
    <row r="76" spans="2:27" x14ac:dyDescent="0.25">
      <c r="E76" s="295" t="s">
        <v>1153</v>
      </c>
      <c r="G76" s="108" t="s">
        <v>107</v>
      </c>
      <c r="H76" s="274">
        <f>'Fixed charge adder'!H52</f>
        <v>1462250.7520363859</v>
      </c>
      <c r="J76" s="234"/>
      <c r="K76" s="234"/>
      <c r="L76" s="234"/>
      <c r="M76" s="234"/>
      <c r="N76" s="234"/>
      <c r="O76" s="234"/>
      <c r="P76" s="234"/>
      <c r="Q76" s="234"/>
      <c r="R76" s="234"/>
      <c r="S76" s="234"/>
      <c r="T76" s="234"/>
      <c r="U76" s="234"/>
      <c r="V76" s="234"/>
      <c r="W76" s="234"/>
      <c r="X76" s="234"/>
      <c r="Y76" s="234"/>
    </row>
    <row r="77" spans="2:27" x14ac:dyDescent="0.25">
      <c r="E77" s="295" t="s">
        <v>1154</v>
      </c>
      <c r="G77" s="108" t="s">
        <v>107</v>
      </c>
      <c r="H77" s="274">
        <f>'Fixed charge adder'!H56</f>
        <v>2202.6225422031271</v>
      </c>
      <c r="J77" s="234"/>
      <c r="K77" s="234"/>
      <c r="L77" s="234"/>
      <c r="M77" s="234"/>
      <c r="N77" s="234"/>
      <c r="O77" s="234"/>
      <c r="P77" s="234"/>
      <c r="Q77" s="234"/>
      <c r="R77" s="234"/>
      <c r="S77" s="234"/>
      <c r="T77" s="234"/>
      <c r="U77" s="234"/>
      <c r="V77" s="234"/>
      <c r="W77" s="234"/>
      <c r="X77" s="234"/>
      <c r="Y77" s="234"/>
    </row>
    <row r="78" spans="2:27" x14ac:dyDescent="0.25">
      <c r="D78" s="96"/>
      <c r="H78" s="253"/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  <c r="V78" s="253"/>
      <c r="W78" s="253"/>
      <c r="X78" s="253"/>
      <c r="Y78" s="253"/>
    </row>
    <row r="79" spans="2:27" x14ac:dyDescent="0.25">
      <c r="B79" s="95" t="s">
        <v>584</v>
      </c>
      <c r="C79" s="95"/>
      <c r="D79" s="95"/>
      <c r="E79" s="95"/>
      <c r="F79" s="95"/>
      <c r="G79" s="95"/>
      <c r="H79" s="282"/>
      <c r="I79" s="95"/>
      <c r="J79" s="282"/>
      <c r="K79" s="282"/>
      <c r="L79" s="282"/>
      <c r="M79" s="282"/>
      <c r="N79" s="282"/>
      <c r="O79" s="282"/>
      <c r="P79" s="282"/>
      <c r="Q79" s="282"/>
      <c r="R79" s="282"/>
      <c r="S79" s="282"/>
      <c r="T79" s="282"/>
      <c r="U79" s="282"/>
      <c r="V79" s="282"/>
      <c r="W79" s="282"/>
      <c r="X79" s="282"/>
      <c r="Y79" s="282"/>
      <c r="Z79" s="95"/>
      <c r="AA79" s="95"/>
    </row>
    <row r="80" spans="2:27" x14ac:dyDescent="0.25">
      <c r="D80" s="98"/>
      <c r="E80" s="98"/>
      <c r="H80" s="253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</row>
    <row r="81" spans="3:27" x14ac:dyDescent="0.25">
      <c r="C81" s="7" t="str">
        <f ca="1">INDEX('Version control'!$H$34:$H$58,MATCH($A$1,'Version control'!$F$34:$F$58,0),1)&amp;"-D: Net revenue by tariff"</f>
        <v>Input 505-D: Net revenue by tariff</v>
      </c>
      <c r="D81" s="7"/>
      <c r="E81" s="7"/>
      <c r="F81" s="7"/>
      <c r="G81" s="7"/>
      <c r="H81" s="243"/>
      <c r="I81" s="7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3"/>
      <c r="U81" s="243"/>
      <c r="V81" s="243"/>
      <c r="W81" s="243"/>
      <c r="X81" s="243"/>
      <c r="Y81" s="243"/>
      <c r="Z81" s="7"/>
      <c r="AA81" s="7"/>
    </row>
    <row r="82" spans="3:27" x14ac:dyDescent="0.25">
      <c r="F82" s="88"/>
      <c r="G82" s="168"/>
      <c r="H82" s="277"/>
      <c r="I82" s="88"/>
      <c r="J82" s="253"/>
      <c r="K82" s="253"/>
      <c r="L82" s="253"/>
      <c r="M82" s="253"/>
      <c r="N82" s="253"/>
      <c r="O82" s="253"/>
      <c r="P82" s="253"/>
      <c r="Q82" s="253"/>
      <c r="R82" s="253"/>
      <c r="S82" s="253"/>
      <c r="T82" s="253"/>
      <c r="U82" s="253"/>
      <c r="V82" s="253"/>
      <c r="W82" s="253"/>
      <c r="X82" s="253"/>
      <c r="Y82" s="253"/>
    </row>
    <row r="83" spans="3:27" x14ac:dyDescent="0.25">
      <c r="E83" s="96" t="s">
        <v>1014</v>
      </c>
      <c r="G83" s="108"/>
      <c r="H83" s="287" t="s">
        <v>272</v>
      </c>
      <c r="J83" s="253"/>
      <c r="K83" s="253"/>
      <c r="L83" s="253"/>
      <c r="M83" s="253"/>
      <c r="N83" s="253"/>
      <c r="O83" s="253"/>
      <c r="P83" s="253"/>
      <c r="Q83" s="253"/>
      <c r="R83" s="253"/>
      <c r="S83" s="253"/>
      <c r="T83" s="253"/>
      <c r="U83" s="253"/>
      <c r="V83" s="253"/>
      <c r="W83" s="253"/>
      <c r="X83" s="253"/>
      <c r="Y83" s="253"/>
    </row>
    <row r="84" spans="3:27" x14ac:dyDescent="0.25">
      <c r="E84" s="14"/>
      <c r="F84" s="91" t="s">
        <v>134</v>
      </c>
      <c r="G84" s="129" t="s">
        <v>107</v>
      </c>
      <c r="H84" s="268">
        <f t="shared" ref="H84:H90" si="0">SUM(J84:Y84)</f>
        <v>132346422.75325714</v>
      </c>
      <c r="I84" s="91"/>
      <c r="J84" s="268">
        <f t="shared" ref="J84:K84" si="1">J16 * thousand * J45 / hundred</f>
        <v>73946949.614525601</v>
      </c>
      <c r="K84" s="268">
        <f t="shared" si="1"/>
        <v>134645.40454391198</v>
      </c>
      <c r="L84" s="268">
        <f t="shared" ref="L84:M84" si="2">L16 * thousand * L45 / hundred</f>
        <v>21799627.171411514</v>
      </c>
      <c r="M84" s="268">
        <f t="shared" si="2"/>
        <v>484355.46461324982</v>
      </c>
      <c r="N84" s="268">
        <f t="shared" ref="N84:P84" si="3">N16 * thousand * N45 / hundred</f>
        <v>22564978.91175561</v>
      </c>
      <c r="O84" s="268">
        <f t="shared" si="3"/>
        <v>1145130.0062596258</v>
      </c>
      <c r="P84" s="268">
        <f t="shared" si="3"/>
        <v>13869597.024542928</v>
      </c>
      <c r="Q84" s="268">
        <f t="shared" ref="Q84:S84" si="4">Q16 * thousand * Q45 / hundred</f>
        <v>3146529.3422607589</v>
      </c>
      <c r="R84" s="268">
        <f t="shared" si="4"/>
        <v>-8966.810030028746</v>
      </c>
      <c r="S84" s="268">
        <f t="shared" si="4"/>
        <v>-163.70828277416985</v>
      </c>
      <c r="T84" s="268">
        <f t="shared" ref="T84:U84" si="5">T16 * thousand * T45 / hundred</f>
        <v>-394922.27664911223</v>
      </c>
      <c r="U84" s="268">
        <f t="shared" si="5"/>
        <v>0</v>
      </c>
      <c r="V84" s="268">
        <f t="shared" ref="V84:W84" si="6">V16 * thousand * V45 / hundred</f>
        <v>-8227.0991392727065</v>
      </c>
      <c r="W84" s="268">
        <f t="shared" si="6"/>
        <v>0</v>
      </c>
      <c r="X84" s="268">
        <f t="shared" ref="X84:Y84" si="7">X16 * thousand * X45 / hundred</f>
        <v>-4333110.2925548442</v>
      </c>
      <c r="Y84" s="268">
        <f t="shared" si="7"/>
        <v>0</v>
      </c>
    </row>
    <row r="85" spans="3:27" x14ac:dyDescent="0.25">
      <c r="E85" s="14"/>
      <c r="F85" s="295" t="s">
        <v>135</v>
      </c>
      <c r="G85" s="108" t="s">
        <v>107</v>
      </c>
      <c r="H85" s="276">
        <f t="shared" si="0"/>
        <v>121749800.81182724</v>
      </c>
      <c r="J85" s="276">
        <f t="shared" ref="J85:K85" si="8">J17 * thousand * J46 / hundred</f>
        <v>52515660.55003991</v>
      </c>
      <c r="K85" s="276">
        <f t="shared" si="8"/>
        <v>487298.80050638539</v>
      </c>
      <c r="L85" s="276">
        <f t="shared" ref="L85:M85" si="9">L17 * thousand * L46 / hundred</f>
        <v>22103224.79904462</v>
      </c>
      <c r="M85" s="276">
        <f t="shared" si="9"/>
        <v>550190.89842389303</v>
      </c>
      <c r="N85" s="276">
        <f t="shared" ref="N85:P85" si="10">N17 * thousand * N46 / hundred</f>
        <v>23973234.323768526</v>
      </c>
      <c r="O85" s="276">
        <f t="shared" si="10"/>
        <v>1518787.5853373036</v>
      </c>
      <c r="P85" s="276">
        <f t="shared" si="10"/>
        <v>20958600.461939652</v>
      </c>
      <c r="Q85" s="276">
        <f t="shared" ref="Q85:S85" si="11">Q17 * thousand * Q46 / hundred</f>
        <v>1230646.2455049627</v>
      </c>
      <c r="R85" s="276">
        <f t="shared" si="11"/>
        <v>-3947.4675534084085</v>
      </c>
      <c r="S85" s="276">
        <f t="shared" si="11"/>
        <v>-64.981921045943949</v>
      </c>
      <c r="T85" s="276">
        <f t="shared" ref="T85:U85" si="12">T17 * thousand * T46 / hundred</f>
        <v>-173685.62894986436</v>
      </c>
      <c r="U85" s="276">
        <f t="shared" si="12"/>
        <v>0</v>
      </c>
      <c r="V85" s="276">
        <f t="shared" ref="V85:W85" si="13">V17 * thousand * V46 / hundred</f>
        <v>-3273.4661134057283</v>
      </c>
      <c r="W85" s="276">
        <f t="shared" si="13"/>
        <v>0</v>
      </c>
      <c r="X85" s="276">
        <f t="shared" ref="X85:Y85" si="14">X17 * thousand * X46 / hundred</f>
        <v>-1406871.3082002767</v>
      </c>
      <c r="Y85" s="276">
        <f t="shared" si="14"/>
        <v>0</v>
      </c>
    </row>
    <row r="86" spans="3:27" x14ac:dyDescent="0.25">
      <c r="E86" s="14"/>
      <c r="F86" s="295" t="s">
        <v>136</v>
      </c>
      <c r="G86" s="108" t="s">
        <v>107</v>
      </c>
      <c r="H86" s="276">
        <f t="shared" si="0"/>
        <v>78916548.139374614</v>
      </c>
      <c r="J86" s="276">
        <f t="shared" ref="J86:K86" si="15">J18 * thousand * J47 / hundred</f>
        <v>27874765.346436787</v>
      </c>
      <c r="K86" s="276">
        <f t="shared" si="15"/>
        <v>2868937.4745019125</v>
      </c>
      <c r="L86" s="276">
        <f t="shared" ref="L86:M86" si="16">L18 * thousand * L47 / hundred</f>
        <v>11534409.726293771</v>
      </c>
      <c r="M86" s="276">
        <f t="shared" si="16"/>
        <v>617067.99532056379</v>
      </c>
      <c r="N86" s="276">
        <f t="shared" ref="N86:P86" si="17">N18 * thousand * N47 / hundred</f>
        <v>13432001.518230185</v>
      </c>
      <c r="O86" s="276">
        <f t="shared" si="17"/>
        <v>1164363.1058836333</v>
      </c>
      <c r="P86" s="276">
        <f t="shared" si="17"/>
        <v>18443359.63820241</v>
      </c>
      <c r="Q86" s="276">
        <f t="shared" ref="Q86:S86" si="18">Q18 * thousand * Q47 / hundred</f>
        <v>3017280.8561051567</v>
      </c>
      <c r="R86" s="276">
        <f t="shared" si="18"/>
        <v>-111.70738241000788</v>
      </c>
      <c r="S86" s="276">
        <f t="shared" si="18"/>
        <v>-2.2408899458589304</v>
      </c>
      <c r="T86" s="276">
        <f t="shared" ref="T86:U86" si="19">T18 * thousand * T47 / hundred</f>
        <v>-4957.0042140094447</v>
      </c>
      <c r="U86" s="276">
        <f t="shared" si="19"/>
        <v>0</v>
      </c>
      <c r="V86" s="276">
        <f t="shared" ref="V86:W86" si="20">V18 * thousand * V47 / hundred</f>
        <v>-113.01906231338593</v>
      </c>
      <c r="W86" s="276">
        <f t="shared" si="20"/>
        <v>0</v>
      </c>
      <c r="X86" s="276">
        <f t="shared" ref="X86:Y86" si="21">X18 * thousand * X47 / hundred</f>
        <v>-30453.550051134946</v>
      </c>
      <c r="Y86" s="276">
        <f t="shared" si="21"/>
        <v>0</v>
      </c>
    </row>
    <row r="87" spans="3:27" x14ac:dyDescent="0.25">
      <c r="E87" s="14"/>
      <c r="F87" s="91" t="s">
        <v>311</v>
      </c>
      <c r="G87" s="129" t="s">
        <v>107</v>
      </c>
      <c r="H87" s="268">
        <f t="shared" si="0"/>
        <v>36501369.005499989</v>
      </c>
      <c r="I87" s="91"/>
      <c r="J87" s="268">
        <f t="shared" ref="J87:K87" si="22" xml:space="preserve"> J19 * J48 * days_in_year / hundred</f>
        <v>32186533.805999998</v>
      </c>
      <c r="K87" s="268">
        <f t="shared" si="22"/>
        <v>0</v>
      </c>
      <c r="L87" s="268">
        <f t="shared" ref="L87:M87" si="23" xml:space="preserve"> L19 * L48 * days_in_year / hundred</f>
        <v>2756411.38</v>
      </c>
      <c r="M87" s="268">
        <f t="shared" si="23"/>
        <v>0</v>
      </c>
      <c r="N87" s="268">
        <f t="shared" ref="N87:P87" si="24" xml:space="preserve"> N19 * N48 * days_in_year / hundred</f>
        <v>896802.15300000017</v>
      </c>
      <c r="O87" s="268">
        <f t="shared" si="24"/>
        <v>6706.5465000000004</v>
      </c>
      <c r="P87" s="268">
        <f t="shared" si="24"/>
        <v>570524.01749999996</v>
      </c>
      <c r="Q87" s="268">
        <f t="shared" ref="Q87:S87" si="25" xml:space="preserve"> Q19 * Q48 * days_in_year / hundred</f>
        <v>0</v>
      </c>
      <c r="R87" s="268">
        <f t="shared" si="25"/>
        <v>0</v>
      </c>
      <c r="S87" s="268">
        <f t="shared" si="25"/>
        <v>0</v>
      </c>
      <c r="T87" s="268">
        <f t="shared" ref="T87:U87" si="26" xml:space="preserve"> T19 * T48 * days_in_year / hundred</f>
        <v>0</v>
      </c>
      <c r="U87" s="268">
        <f t="shared" si="26"/>
        <v>0</v>
      </c>
      <c r="V87" s="268">
        <f t="shared" ref="V87:W87" si="27" xml:space="preserve"> V19 * V48 * days_in_year / hundred</f>
        <v>0</v>
      </c>
      <c r="W87" s="268">
        <f t="shared" si="27"/>
        <v>0</v>
      </c>
      <c r="X87" s="268">
        <f t="shared" ref="X87:Y87" si="28" xml:space="preserve"> X19 * X48 * days_in_year / hundred</f>
        <v>84391.102499999994</v>
      </c>
      <c r="Y87" s="268">
        <f t="shared" si="28"/>
        <v>0</v>
      </c>
    </row>
    <row r="88" spans="3:27" x14ac:dyDescent="0.25">
      <c r="E88" s="14"/>
      <c r="F88" s="295" t="s">
        <v>312</v>
      </c>
      <c r="G88" s="108" t="s">
        <v>107</v>
      </c>
      <c r="H88" s="276">
        <f t="shared" si="0"/>
        <v>38122269.291000001</v>
      </c>
      <c r="J88" s="276">
        <f t="shared" ref="J88:K88" si="29" xml:space="preserve"> J20 * J49 * days_in_year / hundred</f>
        <v>0</v>
      </c>
      <c r="K88" s="276">
        <f t="shared" si="29"/>
        <v>0</v>
      </c>
      <c r="L88" s="276">
        <f t="shared" ref="L88:M88" si="30" xml:space="preserve"> L20 * L49 * days_in_year / hundred</f>
        <v>0</v>
      </c>
      <c r="M88" s="276">
        <f t="shared" si="30"/>
        <v>0</v>
      </c>
      <c r="N88" s="276">
        <f t="shared" ref="N88:P88" si="31" xml:space="preserve"> N20 * N49 * days_in_year / hundred</f>
        <v>13371902.75</v>
      </c>
      <c r="O88" s="276">
        <f t="shared" si="31"/>
        <v>1525487.2049999996</v>
      </c>
      <c r="P88" s="276">
        <f t="shared" si="31"/>
        <v>23224879.335999999</v>
      </c>
      <c r="Q88" s="276">
        <f t="shared" ref="Q88:S88" si="32" xml:space="preserve"> Q20 * Q49 * days_in_year / hundred</f>
        <v>0</v>
      </c>
      <c r="R88" s="276">
        <f t="shared" si="32"/>
        <v>0</v>
      </c>
      <c r="S88" s="276">
        <f t="shared" si="32"/>
        <v>0</v>
      </c>
      <c r="T88" s="276">
        <f t="shared" ref="T88:U88" si="33" xml:space="preserve"> T20 * T49 * days_in_year / hundred</f>
        <v>0</v>
      </c>
      <c r="U88" s="276">
        <f t="shared" si="33"/>
        <v>0</v>
      </c>
      <c r="V88" s="276">
        <f t="shared" ref="V88:W88" si="34" xml:space="preserve"> V20 * V49 * days_in_year / hundred</f>
        <v>0</v>
      </c>
      <c r="W88" s="276">
        <f t="shared" si="34"/>
        <v>0</v>
      </c>
      <c r="X88" s="276">
        <f t="shared" ref="X88:Y88" si="35" xml:space="preserve"> X20 * X49 * days_in_year / hundred</f>
        <v>0</v>
      </c>
      <c r="Y88" s="276">
        <f t="shared" si="35"/>
        <v>0</v>
      </c>
    </row>
    <row r="89" spans="3:27" x14ac:dyDescent="0.25">
      <c r="E89" s="14"/>
      <c r="F89" s="295" t="s">
        <v>313</v>
      </c>
      <c r="G89" s="108" t="s">
        <v>107</v>
      </c>
      <c r="H89" s="276">
        <f t="shared" si="0"/>
        <v>780792.18527999986</v>
      </c>
      <c r="J89" s="276">
        <f t="shared" ref="J89:K89" si="36" xml:space="preserve"> J21 * J50 * days_in_year / hundred</f>
        <v>0</v>
      </c>
      <c r="K89" s="276">
        <f t="shared" si="36"/>
        <v>0</v>
      </c>
      <c r="L89" s="276">
        <f t="shared" ref="L89:M89" si="37" xml:space="preserve"> L21 * L50 * days_in_year / hundred</f>
        <v>0</v>
      </c>
      <c r="M89" s="276">
        <f t="shared" si="37"/>
        <v>0</v>
      </c>
      <c r="N89" s="276">
        <f t="shared" ref="N89:P89" si="38" xml:space="preserve"> N21 * N50 * days_in_year / hundred</f>
        <v>397847.90708999999</v>
      </c>
      <c r="O89" s="276">
        <f t="shared" si="38"/>
        <v>19552.15137</v>
      </c>
      <c r="P89" s="276">
        <f t="shared" si="38"/>
        <v>363392.12681999995</v>
      </c>
      <c r="Q89" s="276">
        <f t="shared" ref="Q89:S89" si="39" xml:space="preserve"> Q21 * Q50 * days_in_year / hundred</f>
        <v>0</v>
      </c>
      <c r="R89" s="276">
        <f t="shared" si="39"/>
        <v>0</v>
      </c>
      <c r="S89" s="276">
        <f t="shared" si="39"/>
        <v>0</v>
      </c>
      <c r="T89" s="276">
        <f t="shared" ref="T89:U89" si="40" xml:space="preserve"> T21 * T50 * days_in_year / hundred</f>
        <v>0</v>
      </c>
      <c r="U89" s="276">
        <f t="shared" si="40"/>
        <v>0</v>
      </c>
      <c r="V89" s="276">
        <f t="shared" ref="V89:W89" si="41" xml:space="preserve"> V21 * V50 * days_in_year / hundred</f>
        <v>0</v>
      </c>
      <c r="W89" s="276">
        <f t="shared" si="41"/>
        <v>0</v>
      </c>
      <c r="X89" s="276">
        <f t="shared" ref="X89:Y89" si="42" xml:space="preserve"> X21 * X50 * days_in_year / hundred</f>
        <v>0</v>
      </c>
      <c r="Y89" s="276">
        <f t="shared" si="42"/>
        <v>0</v>
      </c>
    </row>
    <row r="90" spans="3:27" x14ac:dyDescent="0.25">
      <c r="E90" s="14"/>
      <c r="F90" s="91" t="s">
        <v>314</v>
      </c>
      <c r="G90" s="129" t="s">
        <v>107</v>
      </c>
      <c r="H90" s="268">
        <f t="shared" si="0"/>
        <v>885237.3600000001</v>
      </c>
      <c r="I90" s="91"/>
      <c r="J90" s="268">
        <f t="shared" ref="J90:K90" si="43">J22 * thousand * J51 / hundred</f>
        <v>0</v>
      </c>
      <c r="K90" s="268">
        <f t="shared" si="43"/>
        <v>0</v>
      </c>
      <c r="L90" s="268">
        <f t="shared" ref="L90:M90" si="44">L22 * thousand * L51 / hundred</f>
        <v>0</v>
      </c>
      <c r="M90" s="268">
        <f t="shared" si="44"/>
        <v>0</v>
      </c>
      <c r="N90" s="268">
        <f t="shared" ref="N90:P90" si="45">N22 * thousand * N51 / hundred</f>
        <v>568512</v>
      </c>
      <c r="O90" s="268">
        <f t="shared" si="45"/>
        <v>26057.4</v>
      </c>
      <c r="P90" s="268">
        <f t="shared" si="45"/>
        <v>255204</v>
      </c>
      <c r="Q90" s="268">
        <f t="shared" ref="Q90:S90" si="46">Q22 * thousand * Q51 / hundred</f>
        <v>0</v>
      </c>
      <c r="R90" s="268">
        <f t="shared" si="46"/>
        <v>0</v>
      </c>
      <c r="S90" s="268">
        <f t="shared" si="46"/>
        <v>0</v>
      </c>
      <c r="T90" s="268">
        <f t="shared" ref="T90:U90" si="47">T22 * thousand * T51 / hundred</f>
        <v>9037.5600000000013</v>
      </c>
      <c r="U90" s="268">
        <f t="shared" si="47"/>
        <v>0</v>
      </c>
      <c r="V90" s="268">
        <f t="shared" ref="V90:W90" si="48">V22 * thousand * V51 / hundred</f>
        <v>742.56</v>
      </c>
      <c r="W90" s="268">
        <f t="shared" si="48"/>
        <v>0</v>
      </c>
      <c r="X90" s="268">
        <f t="shared" ref="X90:Y90" si="49">X22 * thousand * X51 / hundred</f>
        <v>25683.84</v>
      </c>
      <c r="Y90" s="268">
        <f t="shared" si="49"/>
        <v>0</v>
      </c>
    </row>
    <row r="91" spans="3:27" x14ac:dyDescent="0.25">
      <c r="E91" s="14"/>
      <c r="F91" s="73" t="s">
        <v>111</v>
      </c>
      <c r="G91" s="169" t="s">
        <v>107</v>
      </c>
      <c r="H91" s="271">
        <f>SUM(H84:H90)</f>
        <v>409302439.54623908</v>
      </c>
      <c r="I91" s="183"/>
      <c r="J91" s="271">
        <f t="shared" ref="J91:Y91" si="50">SUM(J84:J90)</f>
        <v>186523909.3170023</v>
      </c>
      <c r="K91" s="271">
        <f t="shared" si="50"/>
        <v>3490881.6795522096</v>
      </c>
      <c r="L91" s="271">
        <f t="shared" si="50"/>
        <v>58193673.076749913</v>
      </c>
      <c r="M91" s="271">
        <f t="shared" si="50"/>
        <v>1651614.3583577066</v>
      </c>
      <c r="N91" s="271">
        <f t="shared" si="50"/>
        <v>75205279.563844308</v>
      </c>
      <c r="O91" s="271">
        <f t="shared" si="50"/>
        <v>5406084.0003505629</v>
      </c>
      <c r="P91" s="271">
        <f t="shared" si="50"/>
        <v>77685556.605004981</v>
      </c>
      <c r="Q91" s="271">
        <f t="shared" si="50"/>
        <v>7394456.4438708778</v>
      </c>
      <c r="R91" s="271">
        <f t="shared" si="50"/>
        <v>-13025.984965847163</v>
      </c>
      <c r="S91" s="271">
        <f t="shared" si="50"/>
        <v>-230.93109376597272</v>
      </c>
      <c r="T91" s="271">
        <f t="shared" si="50"/>
        <v>-564527.3498129861</v>
      </c>
      <c r="U91" s="271">
        <f t="shared" si="50"/>
        <v>0</v>
      </c>
      <c r="V91" s="271">
        <f t="shared" si="50"/>
        <v>-10871.024314991821</v>
      </c>
      <c r="W91" s="271">
        <f t="shared" si="50"/>
        <v>0</v>
      </c>
      <c r="X91" s="271">
        <f t="shared" si="50"/>
        <v>-5660360.2083062558</v>
      </c>
      <c r="Y91" s="271">
        <f t="shared" si="50"/>
        <v>0</v>
      </c>
    </row>
    <row r="92" spans="3:27" x14ac:dyDescent="0.25">
      <c r="E92" s="14"/>
      <c r="G92" s="108"/>
      <c r="H92" s="253"/>
      <c r="J92" s="253"/>
      <c r="K92" s="253"/>
      <c r="L92" s="253"/>
      <c r="M92" s="253"/>
      <c r="N92" s="253"/>
      <c r="O92" s="253"/>
      <c r="P92" s="253"/>
      <c r="Q92" s="253"/>
      <c r="R92" s="253"/>
      <c r="S92" s="253"/>
      <c r="T92" s="253"/>
      <c r="U92" s="253"/>
      <c r="V92" s="253"/>
      <c r="W92" s="253"/>
      <c r="X92" s="253"/>
      <c r="Y92" s="253"/>
    </row>
    <row r="93" spans="3:27" x14ac:dyDescent="0.25">
      <c r="E93" s="96" t="s">
        <v>1015</v>
      </c>
      <c r="G93" s="108"/>
      <c r="H93" s="287" t="s">
        <v>272</v>
      </c>
      <c r="J93" s="253"/>
      <c r="K93" s="253"/>
      <c r="L93" s="253"/>
      <c r="M93" s="253"/>
      <c r="N93" s="253"/>
      <c r="O93" s="253"/>
      <c r="P93" s="253"/>
      <c r="Q93" s="253"/>
      <c r="R93" s="253"/>
      <c r="S93" s="253"/>
      <c r="T93" s="253"/>
      <c r="U93" s="253"/>
      <c r="V93" s="253"/>
      <c r="W93" s="253"/>
      <c r="X93" s="253"/>
      <c r="Y93" s="253"/>
    </row>
    <row r="94" spans="3:27" x14ac:dyDescent="0.25">
      <c r="E94" s="14"/>
      <c r="F94" s="91" t="s">
        <v>134</v>
      </c>
      <c r="G94" s="129" t="s">
        <v>107</v>
      </c>
      <c r="H94" s="268">
        <f t="shared" ref="H94:H100" si="51">SUM(J94:Y94)</f>
        <v>973561.11128365039</v>
      </c>
      <c r="I94" s="91"/>
      <c r="J94" s="268">
        <f t="shared" ref="J94:K94" si="52">J25 * thousand * J54 / hundred</f>
        <v>848580.39442107012</v>
      </c>
      <c r="K94" s="268">
        <f t="shared" si="52"/>
        <v>86.514610628823434</v>
      </c>
      <c r="L94" s="268">
        <f t="shared" ref="L94:M94" si="53">L25 * thousand * L54 / hundred</f>
        <v>42517.797041812002</v>
      </c>
      <c r="M94" s="268">
        <f t="shared" si="53"/>
        <v>0</v>
      </c>
      <c r="N94" s="268">
        <f t="shared" ref="N94:P94" si="54">N25 * thousand * N54 / hundred</f>
        <v>79583.780250000011</v>
      </c>
      <c r="O94" s="268">
        <f t="shared" si="54"/>
        <v>0</v>
      </c>
      <c r="P94" s="268">
        <f t="shared" si="54"/>
        <v>0</v>
      </c>
      <c r="Q94" s="268">
        <f t="shared" ref="Q94:S94" si="55">Q25 * thousand * Q54 / hundred</f>
        <v>2829.3551525235048</v>
      </c>
      <c r="R94" s="268">
        <f t="shared" si="55"/>
        <v>-36.730192384065433</v>
      </c>
      <c r="S94" s="268">
        <f t="shared" si="55"/>
        <v>0</v>
      </c>
      <c r="T94" s="268">
        <f t="shared" ref="T94:U94" si="56">T25 * thousand * T54 / hundred</f>
        <v>0</v>
      </c>
      <c r="U94" s="268">
        <f t="shared" si="56"/>
        <v>0</v>
      </c>
      <c r="V94" s="268">
        <f t="shared" ref="V94:W94" si="57">V25 * thousand * V54 / hundred</f>
        <v>0</v>
      </c>
      <c r="W94" s="268">
        <f t="shared" si="57"/>
        <v>0</v>
      </c>
      <c r="X94" s="268">
        <f t="shared" ref="X94:Y94" si="58">X25 * thousand * X54 / hundred</f>
        <v>0</v>
      </c>
      <c r="Y94" s="268">
        <f t="shared" si="58"/>
        <v>0</v>
      </c>
    </row>
    <row r="95" spans="3:27" x14ac:dyDescent="0.25">
      <c r="E95" s="14"/>
      <c r="F95" s="295" t="s">
        <v>135</v>
      </c>
      <c r="G95" s="108" t="s">
        <v>107</v>
      </c>
      <c r="H95" s="276">
        <f t="shared" si="51"/>
        <v>730125.00157429127</v>
      </c>
      <c r="J95" s="276">
        <f t="shared" ref="J95:K95" si="59">J26 * thousand * J55 / hundred</f>
        <v>603776.99208600353</v>
      </c>
      <c r="K95" s="276">
        <f t="shared" si="59"/>
        <v>313.32788776176653</v>
      </c>
      <c r="L95" s="276">
        <f t="shared" ref="L95:M95" si="60">L26 * thousand * L55 / hundred</f>
        <v>43070.054249734923</v>
      </c>
      <c r="M95" s="276">
        <f t="shared" si="60"/>
        <v>0</v>
      </c>
      <c r="N95" s="276">
        <f t="shared" ref="N95:P95" si="61">N26 * thousand * N55 / hundred</f>
        <v>79068.352350000001</v>
      </c>
      <c r="O95" s="276">
        <f t="shared" si="61"/>
        <v>0</v>
      </c>
      <c r="P95" s="276">
        <f t="shared" si="61"/>
        <v>0</v>
      </c>
      <c r="Q95" s="276">
        <f t="shared" ref="Q95:S95" si="62">Q26 * thousand * Q55 / hundred</f>
        <v>3909.4189251266675</v>
      </c>
      <c r="R95" s="276">
        <f t="shared" si="62"/>
        <v>-13.143924335691601</v>
      </c>
      <c r="S95" s="276">
        <f t="shared" si="62"/>
        <v>0</v>
      </c>
      <c r="T95" s="276">
        <f t="shared" ref="T95:U95" si="63">T26 * thousand * T55 / hundred</f>
        <v>0</v>
      </c>
      <c r="U95" s="276">
        <f t="shared" si="63"/>
        <v>0</v>
      </c>
      <c r="V95" s="276">
        <f t="shared" ref="V95:W95" si="64">V26 * thousand * V55 / hundred</f>
        <v>0</v>
      </c>
      <c r="W95" s="276">
        <f t="shared" si="64"/>
        <v>0</v>
      </c>
      <c r="X95" s="276">
        <f t="shared" ref="X95:Y95" si="65">X26 * thousand * X55 / hundred</f>
        <v>0</v>
      </c>
      <c r="Y95" s="276">
        <f t="shared" si="65"/>
        <v>0</v>
      </c>
    </row>
    <row r="96" spans="3:27" x14ac:dyDescent="0.25">
      <c r="E96" s="14"/>
      <c r="F96" s="295" t="s">
        <v>136</v>
      </c>
      <c r="G96" s="108" t="s">
        <v>107</v>
      </c>
      <c r="H96" s="276">
        <f t="shared" si="51"/>
        <v>394185.70030024688</v>
      </c>
      <c r="J96" s="276">
        <f t="shared" ref="J96:K96" si="66">J27 * thousand * J56 / hundred</f>
        <v>320540.41994576983</v>
      </c>
      <c r="K96" s="276">
        <f t="shared" si="66"/>
        <v>1835.7699238679195</v>
      </c>
      <c r="L96" s="276">
        <f t="shared" ref="L96:M96" si="67">L27 * thousand * L56 / hundred</f>
        <v>22453.363356510097</v>
      </c>
      <c r="M96" s="276">
        <f t="shared" si="67"/>
        <v>0</v>
      </c>
      <c r="N96" s="276">
        <f t="shared" ref="N96:P96" si="68">N27 * thousand * N56 / hundred</f>
        <v>46405.794140000005</v>
      </c>
      <c r="O96" s="276">
        <f t="shared" si="68"/>
        <v>0</v>
      </c>
      <c r="P96" s="276">
        <f t="shared" si="68"/>
        <v>0</v>
      </c>
      <c r="Q96" s="276">
        <f t="shared" ref="Q96:S96" si="69">Q27 * thousand * Q56 / hundred</f>
        <v>2950.6642060976224</v>
      </c>
      <c r="R96" s="276">
        <f t="shared" si="69"/>
        <v>-0.31127199854326681</v>
      </c>
      <c r="S96" s="276">
        <f t="shared" si="69"/>
        <v>0</v>
      </c>
      <c r="T96" s="276">
        <f t="shared" ref="T96:U96" si="70">T27 * thousand * T56 / hundred</f>
        <v>0</v>
      </c>
      <c r="U96" s="276">
        <f t="shared" si="70"/>
        <v>0</v>
      </c>
      <c r="V96" s="276">
        <f t="shared" ref="V96:W96" si="71">V27 * thousand * V56 / hundred</f>
        <v>0</v>
      </c>
      <c r="W96" s="276">
        <f t="shared" si="71"/>
        <v>0</v>
      </c>
      <c r="X96" s="276">
        <f t="shared" ref="X96:Y96" si="72">X27 * thousand * X56 / hundred</f>
        <v>0</v>
      </c>
      <c r="Y96" s="276">
        <f t="shared" si="72"/>
        <v>0</v>
      </c>
    </row>
    <row r="97" spans="3:25" x14ac:dyDescent="0.25">
      <c r="E97" s="14"/>
      <c r="F97" s="91" t="s">
        <v>311</v>
      </c>
      <c r="G97" s="129" t="s">
        <v>107</v>
      </c>
      <c r="H97" s="268">
        <f t="shared" si="51"/>
        <v>466081.59643548389</v>
      </c>
      <c r="I97" s="91"/>
      <c r="J97" s="268">
        <f t="shared" ref="J97:K97" si="73" xml:space="preserve"> J28 * J57 * days_in_year / hundred</f>
        <v>447914.15825806453</v>
      </c>
      <c r="K97" s="268">
        <f t="shared" si="73"/>
        <v>0</v>
      </c>
      <c r="L97" s="268">
        <f t="shared" ref="L97:M97" si="74" xml:space="preserve"> L28 * L57 * days_in_year / hundred</f>
        <v>14189.522177419356</v>
      </c>
      <c r="M97" s="268">
        <f t="shared" si="74"/>
        <v>0</v>
      </c>
      <c r="N97" s="268">
        <f t="shared" ref="N97:P97" si="75" xml:space="preserve"> N28 * N57 * days_in_year / hundred</f>
        <v>3977.9159999999997</v>
      </c>
      <c r="O97" s="268">
        <f t="shared" si="75"/>
        <v>0</v>
      </c>
      <c r="P97" s="268">
        <f t="shared" si="75"/>
        <v>0</v>
      </c>
      <c r="Q97" s="268">
        <f t="shared" ref="Q97:S97" si="76" xml:space="preserve"> Q28 * Q57 * days_in_year / hundred</f>
        <v>0</v>
      </c>
      <c r="R97" s="268">
        <f t="shared" si="76"/>
        <v>0</v>
      </c>
      <c r="S97" s="268">
        <f t="shared" si="76"/>
        <v>0</v>
      </c>
      <c r="T97" s="268">
        <f t="shared" ref="T97:U97" si="77" xml:space="preserve"> T28 * T57 * days_in_year / hundred</f>
        <v>0</v>
      </c>
      <c r="U97" s="268">
        <f t="shared" si="77"/>
        <v>0</v>
      </c>
      <c r="V97" s="268">
        <f t="shared" ref="V97:W97" si="78" xml:space="preserve"> V28 * V57 * days_in_year / hundred</f>
        <v>0</v>
      </c>
      <c r="W97" s="268">
        <f t="shared" si="78"/>
        <v>0</v>
      </c>
      <c r="X97" s="268">
        <f t="shared" ref="X97:Y97" si="79" xml:space="preserve"> X28 * X57 * days_in_year / hundred</f>
        <v>0</v>
      </c>
      <c r="Y97" s="268">
        <f t="shared" si="79"/>
        <v>0</v>
      </c>
    </row>
    <row r="98" spans="3:25" x14ac:dyDescent="0.25">
      <c r="E98" s="14"/>
      <c r="F98" s="295" t="s">
        <v>312</v>
      </c>
      <c r="G98" s="108" t="s">
        <v>107</v>
      </c>
      <c r="H98" s="276">
        <f t="shared" si="51"/>
        <v>57715.843999999997</v>
      </c>
      <c r="J98" s="276">
        <f t="shared" ref="J98:K98" si="80" xml:space="preserve"> J29 * J58 * days_in_year / hundred</f>
        <v>0</v>
      </c>
      <c r="K98" s="276">
        <f t="shared" si="80"/>
        <v>0</v>
      </c>
      <c r="L98" s="276">
        <f t="shared" ref="L98:M98" si="81" xml:space="preserve"> L29 * L58 * days_in_year / hundred</f>
        <v>0</v>
      </c>
      <c r="M98" s="276">
        <f t="shared" si="81"/>
        <v>0</v>
      </c>
      <c r="N98" s="276">
        <f t="shared" ref="N98:P98" si="82" xml:space="preserve"> N29 * N58 * days_in_year / hundred</f>
        <v>57715.843999999997</v>
      </c>
      <c r="O98" s="276">
        <f t="shared" si="82"/>
        <v>0</v>
      </c>
      <c r="P98" s="276">
        <f t="shared" si="82"/>
        <v>0</v>
      </c>
      <c r="Q98" s="276">
        <f t="shared" ref="Q98:S98" si="83" xml:space="preserve"> Q29 * Q58 * days_in_year / hundred</f>
        <v>0</v>
      </c>
      <c r="R98" s="276">
        <f t="shared" si="83"/>
        <v>0</v>
      </c>
      <c r="S98" s="276">
        <f t="shared" si="83"/>
        <v>0</v>
      </c>
      <c r="T98" s="276">
        <f t="shared" ref="T98:U98" si="84" xml:space="preserve"> T29 * T58 * days_in_year / hundred</f>
        <v>0</v>
      </c>
      <c r="U98" s="276">
        <f t="shared" si="84"/>
        <v>0</v>
      </c>
      <c r="V98" s="276">
        <f t="shared" ref="V98:W98" si="85" xml:space="preserve"> V29 * V58 * days_in_year / hundred</f>
        <v>0</v>
      </c>
      <c r="W98" s="276">
        <f t="shared" si="85"/>
        <v>0</v>
      </c>
      <c r="X98" s="276">
        <f t="shared" ref="X98:Y98" si="86" xml:space="preserve"> X29 * X58 * days_in_year / hundred</f>
        <v>0</v>
      </c>
      <c r="Y98" s="276">
        <f t="shared" si="86"/>
        <v>0</v>
      </c>
    </row>
    <row r="99" spans="3:25" x14ac:dyDescent="0.25">
      <c r="E99" s="14"/>
      <c r="F99" s="295" t="s">
        <v>313</v>
      </c>
      <c r="G99" s="108" t="s">
        <v>107</v>
      </c>
      <c r="H99" s="276">
        <f t="shared" si="51"/>
        <v>341.73855000000003</v>
      </c>
      <c r="J99" s="276">
        <f t="shared" ref="J99:K99" si="87" xml:space="preserve"> J30 * J59 * days_in_year / hundred</f>
        <v>0</v>
      </c>
      <c r="K99" s="276">
        <f t="shared" si="87"/>
        <v>0</v>
      </c>
      <c r="L99" s="276">
        <f t="shared" ref="L99:M99" si="88" xml:space="preserve"> L30 * L59 * days_in_year / hundred</f>
        <v>0</v>
      </c>
      <c r="M99" s="276">
        <f t="shared" si="88"/>
        <v>0</v>
      </c>
      <c r="N99" s="276">
        <f t="shared" ref="N99:P99" si="89" xml:space="preserve"> N30 * N59 * days_in_year / hundred</f>
        <v>341.73855000000003</v>
      </c>
      <c r="O99" s="276">
        <f t="shared" si="89"/>
        <v>0</v>
      </c>
      <c r="P99" s="276">
        <f t="shared" si="89"/>
        <v>0</v>
      </c>
      <c r="Q99" s="276">
        <f t="shared" ref="Q99:S99" si="90" xml:space="preserve"> Q30 * Q59 * days_in_year / hundred</f>
        <v>0</v>
      </c>
      <c r="R99" s="276">
        <f t="shared" si="90"/>
        <v>0</v>
      </c>
      <c r="S99" s="276">
        <f t="shared" si="90"/>
        <v>0</v>
      </c>
      <c r="T99" s="276">
        <f t="shared" ref="T99:U99" si="91" xml:space="preserve"> T30 * T59 * days_in_year / hundred</f>
        <v>0</v>
      </c>
      <c r="U99" s="276">
        <f t="shared" si="91"/>
        <v>0</v>
      </c>
      <c r="V99" s="276">
        <f t="shared" ref="V99:W99" si="92" xml:space="preserve"> V30 * V59 * days_in_year / hundred</f>
        <v>0</v>
      </c>
      <c r="W99" s="276">
        <f t="shared" si="92"/>
        <v>0</v>
      </c>
      <c r="X99" s="276">
        <f t="shared" ref="X99:Y99" si="93" xml:space="preserve"> X30 * X59 * days_in_year / hundred</f>
        <v>0</v>
      </c>
      <c r="Y99" s="276">
        <f t="shared" si="93"/>
        <v>0</v>
      </c>
    </row>
    <row r="100" spans="3:25" x14ac:dyDescent="0.25">
      <c r="E100" s="14"/>
      <c r="F100" s="91" t="s">
        <v>314</v>
      </c>
      <c r="G100" s="129" t="s">
        <v>107</v>
      </c>
      <c r="H100" s="268">
        <f t="shared" si="51"/>
        <v>1338.48</v>
      </c>
      <c r="I100" s="91"/>
      <c r="J100" s="268">
        <f t="shared" ref="J100:K100" si="94">J31 * thousand * J60 / hundred</f>
        <v>0</v>
      </c>
      <c r="K100" s="268">
        <f t="shared" si="94"/>
        <v>0</v>
      </c>
      <c r="L100" s="268">
        <f t="shared" ref="L100:M100" si="95">L31 * thousand * L60 / hundred</f>
        <v>0</v>
      </c>
      <c r="M100" s="268">
        <f t="shared" si="95"/>
        <v>0</v>
      </c>
      <c r="N100" s="268">
        <f t="shared" ref="N100:P100" si="96">N31 * thousand * N60 / hundred</f>
        <v>1338.48</v>
      </c>
      <c r="O100" s="268">
        <f t="shared" si="96"/>
        <v>0</v>
      </c>
      <c r="P100" s="268">
        <f t="shared" si="96"/>
        <v>0</v>
      </c>
      <c r="Q100" s="268">
        <f t="shared" ref="Q100:S100" si="97">Q31 * thousand * Q60 / hundred</f>
        <v>0</v>
      </c>
      <c r="R100" s="268">
        <f t="shared" si="97"/>
        <v>0</v>
      </c>
      <c r="S100" s="268">
        <f t="shared" si="97"/>
        <v>0</v>
      </c>
      <c r="T100" s="268">
        <f t="shared" ref="T100:U100" si="98">T31 * thousand * T60 / hundred</f>
        <v>0</v>
      </c>
      <c r="U100" s="268">
        <f t="shared" si="98"/>
        <v>0</v>
      </c>
      <c r="V100" s="268">
        <f t="shared" ref="V100:W100" si="99">V31 * thousand * V60 / hundred</f>
        <v>0</v>
      </c>
      <c r="W100" s="268">
        <f t="shared" si="99"/>
        <v>0</v>
      </c>
      <c r="X100" s="268">
        <f t="shared" ref="X100:Y100" si="100">X31 * thousand * X60 / hundred</f>
        <v>0</v>
      </c>
      <c r="Y100" s="268">
        <f t="shared" si="100"/>
        <v>0</v>
      </c>
    </row>
    <row r="101" spans="3:25" x14ac:dyDescent="0.25">
      <c r="E101" s="14"/>
      <c r="F101" s="73" t="s">
        <v>111</v>
      </c>
      <c r="G101" s="169" t="s">
        <v>107</v>
      </c>
      <c r="H101" s="271">
        <f>SUM(H94:H100)</f>
        <v>2623349.4721436724</v>
      </c>
      <c r="I101" s="73"/>
      <c r="J101" s="271">
        <f t="shared" ref="J101:Y101" si="101">SUM(J94:J100)</f>
        <v>2220811.964710908</v>
      </c>
      <c r="K101" s="271">
        <f t="shared" si="101"/>
        <v>2235.6124222585095</v>
      </c>
      <c r="L101" s="271">
        <f t="shared" si="101"/>
        <v>122230.73682547637</v>
      </c>
      <c r="M101" s="271">
        <f t="shared" si="101"/>
        <v>0</v>
      </c>
      <c r="N101" s="271">
        <f t="shared" si="101"/>
        <v>268431.90529000002</v>
      </c>
      <c r="O101" s="271">
        <f t="shared" si="101"/>
        <v>0</v>
      </c>
      <c r="P101" s="271">
        <f t="shared" si="101"/>
        <v>0</v>
      </c>
      <c r="Q101" s="271">
        <f t="shared" si="101"/>
        <v>9689.4382837477951</v>
      </c>
      <c r="R101" s="271">
        <f t="shared" si="101"/>
        <v>-50.185388718300302</v>
      </c>
      <c r="S101" s="271">
        <f t="shared" si="101"/>
        <v>0</v>
      </c>
      <c r="T101" s="271">
        <f t="shared" si="101"/>
        <v>0</v>
      </c>
      <c r="U101" s="271">
        <f t="shared" si="101"/>
        <v>0</v>
      </c>
      <c r="V101" s="271">
        <f t="shared" si="101"/>
        <v>0</v>
      </c>
      <c r="W101" s="271">
        <f t="shared" si="101"/>
        <v>0</v>
      </c>
      <c r="X101" s="271">
        <f t="shared" si="101"/>
        <v>0</v>
      </c>
      <c r="Y101" s="271">
        <f t="shared" si="101"/>
        <v>0</v>
      </c>
    </row>
    <row r="102" spans="3:25" x14ac:dyDescent="0.25">
      <c r="E102" s="14"/>
      <c r="G102" s="108"/>
      <c r="H102" s="253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  <c r="V102" s="253"/>
      <c r="W102" s="253"/>
      <c r="X102" s="253"/>
      <c r="Y102" s="253"/>
    </row>
    <row r="103" spans="3:25" x14ac:dyDescent="0.25">
      <c r="E103" s="96" t="s">
        <v>1016</v>
      </c>
      <c r="G103" s="108"/>
      <c r="H103" s="287" t="s">
        <v>272</v>
      </c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  <c r="V103" s="253"/>
      <c r="W103" s="253"/>
      <c r="X103" s="253"/>
      <c r="Y103" s="253"/>
    </row>
    <row r="104" spans="3:25" x14ac:dyDescent="0.25">
      <c r="C104" s="86"/>
      <c r="F104" s="91" t="s">
        <v>134</v>
      </c>
      <c r="G104" s="129" t="s">
        <v>107</v>
      </c>
      <c r="H104" s="268">
        <f t="shared" ref="H104:H110" si="102">SUM(J104:Y104)</f>
        <v>1581444.5824273122</v>
      </c>
      <c r="I104" s="91"/>
      <c r="J104" s="268">
        <f t="shared" ref="J104:K104" si="103">J34 * thousand * J63 / hundred</f>
        <v>809190.01280129468</v>
      </c>
      <c r="K104" s="268">
        <f t="shared" si="103"/>
        <v>82.435612361554433</v>
      </c>
      <c r="L104" s="268">
        <f t="shared" ref="L104:M104" si="104">L34 * thousand * L63 / hundred</f>
        <v>95801.463544242273</v>
      </c>
      <c r="M104" s="268">
        <f t="shared" si="104"/>
        <v>0</v>
      </c>
      <c r="N104" s="268">
        <f t="shared" ref="N104:P104" si="105">N34 * thousand * N63 / hundred</f>
        <v>432032.62214999995</v>
      </c>
      <c r="O104" s="268">
        <f t="shared" si="105"/>
        <v>76506.720179999989</v>
      </c>
      <c r="P104" s="268">
        <f t="shared" si="105"/>
        <v>165065.89407999997</v>
      </c>
      <c r="Q104" s="268">
        <f t="shared" ref="Q104:S104" si="106">Q34 * thousand * Q63 / hundred</f>
        <v>2781.9216532918158</v>
      </c>
      <c r="R104" s="268">
        <f t="shared" si="106"/>
        <v>-16.487593878141055</v>
      </c>
      <c r="S104" s="268">
        <f t="shared" si="106"/>
        <v>0</v>
      </c>
      <c r="T104" s="268">
        <f t="shared" ref="T104:U104" si="107">T34 * thousand * T63 / hundred</f>
        <v>0</v>
      </c>
      <c r="U104" s="268">
        <f t="shared" si="107"/>
        <v>0</v>
      </c>
      <c r="V104" s="268">
        <f t="shared" ref="V104:W104" si="108">V34 * thousand * V63 / hundred</f>
        <v>0</v>
      </c>
      <c r="W104" s="268">
        <f t="shared" si="108"/>
        <v>0</v>
      </c>
      <c r="X104" s="268">
        <f t="shared" ref="X104:Y104" si="109">X34 * thousand * X63 / hundred</f>
        <v>0</v>
      </c>
      <c r="Y104" s="268">
        <f t="shared" si="109"/>
        <v>0</v>
      </c>
    </row>
    <row r="105" spans="3:25" x14ac:dyDescent="0.25">
      <c r="C105" s="86"/>
      <c r="F105" s="295" t="s">
        <v>135</v>
      </c>
      <c r="G105" s="108" t="s">
        <v>107</v>
      </c>
      <c r="H105" s="276">
        <f t="shared" si="102"/>
        <v>1440029.4026497549</v>
      </c>
      <c r="J105" s="276">
        <f t="shared" ref="J105:K105" si="110">J35 * thousand * J64 / hundred</f>
        <v>576326.83380795293</v>
      </c>
      <c r="K105" s="276">
        <f t="shared" si="110"/>
        <v>299.97316070574885</v>
      </c>
      <c r="L105" s="276">
        <f t="shared" ref="L105:M105" si="111">L35 * thousand * L64 / hundred</f>
        <v>97018.380097937174</v>
      </c>
      <c r="M105" s="276">
        <f t="shared" si="111"/>
        <v>0</v>
      </c>
      <c r="N105" s="276">
        <f t="shared" ref="N105:P105" si="112">N35 * thousand * N64 / hundred</f>
        <v>425721.09353999997</v>
      </c>
      <c r="O105" s="276">
        <f t="shared" si="112"/>
        <v>94772.405399999974</v>
      </c>
      <c r="P105" s="276">
        <f t="shared" si="112"/>
        <v>241948.03664999999</v>
      </c>
      <c r="Q105" s="276">
        <f t="shared" ref="Q105:S105" si="113">Q35 * thousand * Q64 / hundred</f>
        <v>3948.6281272866786</v>
      </c>
      <c r="R105" s="276">
        <f t="shared" si="113"/>
        <v>-5.9481341274641295</v>
      </c>
      <c r="S105" s="276">
        <f t="shared" si="113"/>
        <v>0</v>
      </c>
      <c r="T105" s="276">
        <f t="shared" ref="T105:U105" si="114">T35 * thousand * T64 / hundred</f>
        <v>0</v>
      </c>
      <c r="U105" s="276">
        <f t="shared" si="114"/>
        <v>0</v>
      </c>
      <c r="V105" s="276">
        <f t="shared" ref="V105:W105" si="115">V35 * thousand * V64 / hundred</f>
        <v>0</v>
      </c>
      <c r="W105" s="276">
        <f t="shared" si="115"/>
        <v>0</v>
      </c>
      <c r="X105" s="276">
        <f t="shared" ref="X105:Y105" si="116">X35 * thousand * X64 / hundred</f>
        <v>0</v>
      </c>
      <c r="Y105" s="276">
        <f t="shared" si="116"/>
        <v>0</v>
      </c>
    </row>
    <row r="106" spans="3:25" x14ac:dyDescent="0.25">
      <c r="C106" s="86"/>
      <c r="F106" s="295" t="s">
        <v>136</v>
      </c>
      <c r="G106" s="108" t="s">
        <v>107</v>
      </c>
      <c r="H106" s="276">
        <f t="shared" si="102"/>
        <v>875473.53550893161</v>
      </c>
      <c r="J106" s="276">
        <f t="shared" ref="J106:K106" si="117">J36 * thousand * J65 / hundred</f>
        <v>306016.65730726672</v>
      </c>
      <c r="K106" s="276">
        <f t="shared" si="117"/>
        <v>1755.0250790128948</v>
      </c>
      <c r="L106" s="276">
        <f t="shared" ref="L106:M106" si="118">L36 * thousand * L65 / hundred</f>
        <v>50596.892030310082</v>
      </c>
      <c r="M106" s="276">
        <f t="shared" si="118"/>
        <v>0</v>
      </c>
      <c r="N106" s="276">
        <f t="shared" ref="N106:P106" si="119">N36 * thousand * N65 / hundred</f>
        <v>233755.17632</v>
      </c>
      <c r="O106" s="276">
        <f t="shared" si="119"/>
        <v>62507.75903999999</v>
      </c>
      <c r="P106" s="276">
        <f t="shared" si="119"/>
        <v>217863.69465000005</v>
      </c>
      <c r="Q106" s="276">
        <f t="shared" ref="Q106:S106" si="120">Q36 * thousand * Q65 / hundred</f>
        <v>2978.4698271294478</v>
      </c>
      <c r="R106" s="276">
        <f t="shared" si="120"/>
        <v>-0.13874478766107345</v>
      </c>
      <c r="S106" s="276">
        <f t="shared" si="120"/>
        <v>0</v>
      </c>
      <c r="T106" s="276">
        <f t="shared" ref="T106:U106" si="121">T36 * thousand * T65 / hundred</f>
        <v>0</v>
      </c>
      <c r="U106" s="276">
        <f t="shared" si="121"/>
        <v>0</v>
      </c>
      <c r="V106" s="276">
        <f t="shared" ref="V106:W106" si="122">V36 * thousand * V65 / hundred</f>
        <v>0</v>
      </c>
      <c r="W106" s="276">
        <f t="shared" si="122"/>
        <v>0</v>
      </c>
      <c r="X106" s="276">
        <f t="shared" ref="X106:Y106" si="123">X36 * thousand * X65 / hundred</f>
        <v>0</v>
      </c>
      <c r="Y106" s="276">
        <f t="shared" si="123"/>
        <v>0</v>
      </c>
    </row>
    <row r="107" spans="3:25" x14ac:dyDescent="0.25">
      <c r="C107" s="86"/>
      <c r="F107" s="91" t="s">
        <v>311</v>
      </c>
      <c r="G107" s="129" t="s">
        <v>107</v>
      </c>
      <c r="H107" s="268">
        <f t="shared" si="102"/>
        <v>466373.83780645154</v>
      </c>
      <c r="I107" s="91"/>
      <c r="J107" s="268">
        <f t="shared" ref="J107:K107" si="124" xml:space="preserve"> J37 * J66 * days_in_year / hundred</f>
        <v>428806.0032258064</v>
      </c>
      <c r="K107" s="268">
        <f t="shared" si="124"/>
        <v>0</v>
      </c>
      <c r="L107" s="268">
        <f t="shared" ref="L107:M107" si="125" xml:space="preserve"> L37 * L66 * days_in_year / hundred</f>
        <v>13777.572580645161</v>
      </c>
      <c r="M107" s="268">
        <f t="shared" si="125"/>
        <v>0</v>
      </c>
      <c r="N107" s="268">
        <f t="shared" ref="N107:P107" si="126" xml:space="preserve"> N37 * N66 * days_in_year / hundred</f>
        <v>13072.11</v>
      </c>
      <c r="O107" s="268">
        <f t="shared" si="126"/>
        <v>524.79700000000003</v>
      </c>
      <c r="P107" s="268">
        <f t="shared" si="126"/>
        <v>10193.355000000001</v>
      </c>
      <c r="Q107" s="268">
        <f t="shared" ref="Q107:S107" si="127" xml:space="preserve"> Q37 * Q66 * days_in_year / hundred</f>
        <v>0</v>
      </c>
      <c r="R107" s="268">
        <f t="shared" si="127"/>
        <v>0</v>
      </c>
      <c r="S107" s="268">
        <f t="shared" si="127"/>
        <v>0</v>
      </c>
      <c r="T107" s="268">
        <f t="shared" ref="T107:U107" si="128" xml:space="preserve"> T37 * T66 * days_in_year / hundred</f>
        <v>0</v>
      </c>
      <c r="U107" s="268">
        <f t="shared" si="128"/>
        <v>0</v>
      </c>
      <c r="V107" s="268">
        <f t="shared" ref="V107:W107" si="129" xml:space="preserve"> V37 * V66 * days_in_year / hundred</f>
        <v>0</v>
      </c>
      <c r="W107" s="268">
        <f t="shared" si="129"/>
        <v>0</v>
      </c>
      <c r="X107" s="268">
        <f t="shared" ref="X107:Y107" si="130" xml:space="preserve"> X37 * X66 * days_in_year / hundred</f>
        <v>0</v>
      </c>
      <c r="Y107" s="268">
        <f t="shared" si="130"/>
        <v>0</v>
      </c>
    </row>
    <row r="108" spans="3:25" x14ac:dyDescent="0.25">
      <c r="C108" s="86"/>
      <c r="F108" s="295" t="s">
        <v>312</v>
      </c>
      <c r="G108" s="108" t="s">
        <v>107</v>
      </c>
      <c r="H108" s="276">
        <f t="shared" si="102"/>
        <v>854304.1810000001</v>
      </c>
      <c r="J108" s="276">
        <f t="shared" ref="J108:K108" si="131" xml:space="preserve"> J38 * J67 * days_in_year / hundred</f>
        <v>0</v>
      </c>
      <c r="K108" s="276">
        <f t="shared" si="131"/>
        <v>0</v>
      </c>
      <c r="L108" s="276">
        <f t="shared" ref="L108:M108" si="132" xml:space="preserve"> L38 * L67 * days_in_year / hundred</f>
        <v>0</v>
      </c>
      <c r="M108" s="276">
        <f t="shared" si="132"/>
        <v>0</v>
      </c>
      <c r="N108" s="276">
        <f t="shared" ref="N108:P108" si="133" xml:space="preserve"> N38 * N67 * days_in_year / hundred</f>
        <v>316593.18900000001</v>
      </c>
      <c r="O108" s="276">
        <f t="shared" si="133"/>
        <v>150180.34499999997</v>
      </c>
      <c r="P108" s="276">
        <f t="shared" si="133"/>
        <v>387530.64700000006</v>
      </c>
      <c r="Q108" s="276">
        <f t="shared" ref="Q108:S108" si="134" xml:space="preserve"> Q38 * Q67 * days_in_year / hundred</f>
        <v>0</v>
      </c>
      <c r="R108" s="276">
        <f t="shared" si="134"/>
        <v>0</v>
      </c>
      <c r="S108" s="276">
        <f t="shared" si="134"/>
        <v>0</v>
      </c>
      <c r="T108" s="276">
        <f t="shared" ref="T108:U108" si="135" xml:space="preserve"> T38 * T67 * days_in_year / hundred</f>
        <v>0</v>
      </c>
      <c r="U108" s="276">
        <f t="shared" si="135"/>
        <v>0</v>
      </c>
      <c r="V108" s="276">
        <f t="shared" ref="V108:W108" si="136" xml:space="preserve"> V38 * V67 * days_in_year / hundred</f>
        <v>0</v>
      </c>
      <c r="W108" s="276">
        <f t="shared" si="136"/>
        <v>0</v>
      </c>
      <c r="X108" s="276">
        <f t="shared" ref="X108:Y108" si="137" xml:space="preserve"> X38 * X67 * days_in_year / hundred</f>
        <v>0</v>
      </c>
      <c r="Y108" s="276">
        <f t="shared" si="137"/>
        <v>0</v>
      </c>
    </row>
    <row r="109" spans="3:25" x14ac:dyDescent="0.25">
      <c r="C109" s="86"/>
      <c r="F109" s="295" t="s">
        <v>313</v>
      </c>
      <c r="G109" s="108" t="s">
        <v>107</v>
      </c>
      <c r="H109" s="276">
        <f t="shared" si="102"/>
        <v>1172.9935650000002</v>
      </c>
      <c r="J109" s="276">
        <f t="shared" ref="J109:K109" si="138" xml:space="preserve"> J39 * J68 * days_in_year / hundred</f>
        <v>0</v>
      </c>
      <c r="K109" s="276">
        <f t="shared" si="138"/>
        <v>0</v>
      </c>
      <c r="L109" s="276">
        <f t="shared" ref="L109:M109" si="139" xml:space="preserve"> L39 * L68 * days_in_year / hundred</f>
        <v>0</v>
      </c>
      <c r="M109" s="276">
        <f t="shared" si="139"/>
        <v>0</v>
      </c>
      <c r="N109" s="276">
        <f t="shared" ref="N109:P109" si="140" xml:space="preserve"> N39 * N68 * days_in_year / hundred</f>
        <v>933.79001200000016</v>
      </c>
      <c r="O109" s="276">
        <f t="shared" si="140"/>
        <v>0</v>
      </c>
      <c r="P109" s="276">
        <f t="shared" si="140"/>
        <v>239.20355300000003</v>
      </c>
      <c r="Q109" s="276">
        <f t="shared" ref="Q109:S109" si="141" xml:space="preserve"> Q39 * Q68 * days_in_year / hundred</f>
        <v>0</v>
      </c>
      <c r="R109" s="276">
        <f t="shared" si="141"/>
        <v>0</v>
      </c>
      <c r="S109" s="276">
        <f t="shared" si="141"/>
        <v>0</v>
      </c>
      <c r="T109" s="276">
        <f t="shared" ref="T109:U109" si="142" xml:space="preserve"> T39 * T68 * days_in_year / hundred</f>
        <v>0</v>
      </c>
      <c r="U109" s="276">
        <f t="shared" si="142"/>
        <v>0</v>
      </c>
      <c r="V109" s="276">
        <f t="shared" ref="V109:W109" si="143" xml:space="preserve"> V39 * V68 * days_in_year / hundred</f>
        <v>0</v>
      </c>
      <c r="W109" s="276">
        <f t="shared" si="143"/>
        <v>0</v>
      </c>
      <c r="X109" s="276">
        <f t="shared" ref="X109:Y109" si="144" xml:space="preserve"> X39 * X68 * days_in_year / hundred</f>
        <v>0</v>
      </c>
      <c r="Y109" s="276">
        <f t="shared" si="144"/>
        <v>0</v>
      </c>
    </row>
    <row r="110" spans="3:25" x14ac:dyDescent="0.25">
      <c r="C110" s="86"/>
      <c r="F110" s="91" t="s">
        <v>314</v>
      </c>
      <c r="G110" s="129" t="s">
        <v>107</v>
      </c>
      <c r="H110" s="268">
        <f t="shared" si="102"/>
        <v>10994.88</v>
      </c>
      <c r="I110" s="91"/>
      <c r="J110" s="268">
        <f t="shared" ref="J110:K110" si="145">J40 * thousand * J69 / hundred</f>
        <v>0</v>
      </c>
      <c r="K110" s="268">
        <f t="shared" si="145"/>
        <v>0</v>
      </c>
      <c r="L110" s="268">
        <f t="shared" ref="L110:M110" si="146">L40 * thousand * L69 / hundred</f>
        <v>0</v>
      </c>
      <c r="M110" s="268">
        <f t="shared" si="146"/>
        <v>0</v>
      </c>
      <c r="N110" s="268">
        <f t="shared" ref="N110:P110" si="147">N40 * thousand * N69 / hundred</f>
        <v>8370</v>
      </c>
      <c r="O110" s="268">
        <f t="shared" si="147"/>
        <v>1174.8</v>
      </c>
      <c r="P110" s="268">
        <f t="shared" si="147"/>
        <v>1450.08</v>
      </c>
      <c r="Q110" s="268">
        <f t="shared" ref="Q110:S110" si="148">Q40 * thousand * Q69 / hundred</f>
        <v>0</v>
      </c>
      <c r="R110" s="268">
        <f t="shared" si="148"/>
        <v>0</v>
      </c>
      <c r="S110" s="268">
        <f t="shared" si="148"/>
        <v>0</v>
      </c>
      <c r="T110" s="268">
        <f t="shared" ref="T110:U110" si="149">T40 * thousand * T69 / hundred</f>
        <v>0</v>
      </c>
      <c r="U110" s="268">
        <f t="shared" si="149"/>
        <v>0</v>
      </c>
      <c r="V110" s="268">
        <f t="shared" ref="V110:W110" si="150">V40 * thousand * V69 / hundred</f>
        <v>0</v>
      </c>
      <c r="W110" s="268">
        <f t="shared" si="150"/>
        <v>0</v>
      </c>
      <c r="X110" s="268">
        <f t="shared" ref="X110:Y110" si="151">X40 * thousand * X69 / hundred</f>
        <v>0</v>
      </c>
      <c r="Y110" s="268">
        <f t="shared" si="151"/>
        <v>0</v>
      </c>
    </row>
    <row r="111" spans="3:25" x14ac:dyDescent="0.25">
      <c r="C111" s="86"/>
      <c r="F111" s="73" t="s">
        <v>111</v>
      </c>
      <c r="G111" s="169" t="s">
        <v>107</v>
      </c>
      <c r="H111" s="271">
        <f>SUM(H104:H110)</f>
        <v>5229793.4129574494</v>
      </c>
      <c r="I111" s="73"/>
      <c r="J111" s="271">
        <f t="shared" ref="J111:Y111" si="152">SUM(J104:J110)</f>
        <v>2120339.5071423207</v>
      </c>
      <c r="K111" s="271">
        <f t="shared" si="152"/>
        <v>2137.433852080198</v>
      </c>
      <c r="L111" s="271">
        <f t="shared" si="152"/>
        <v>257194.30825313469</v>
      </c>
      <c r="M111" s="271">
        <f t="shared" si="152"/>
        <v>0</v>
      </c>
      <c r="N111" s="271">
        <f t="shared" si="152"/>
        <v>1430477.9810220001</v>
      </c>
      <c r="O111" s="271">
        <f t="shared" si="152"/>
        <v>385666.82661999989</v>
      </c>
      <c r="P111" s="271">
        <f t="shared" si="152"/>
        <v>1024290.9109329999</v>
      </c>
      <c r="Q111" s="271">
        <f t="shared" si="152"/>
        <v>9709.0196077079418</v>
      </c>
      <c r="R111" s="271">
        <f t="shared" si="152"/>
        <v>-22.57447279326626</v>
      </c>
      <c r="S111" s="271">
        <f t="shared" si="152"/>
        <v>0</v>
      </c>
      <c r="T111" s="271">
        <f t="shared" si="152"/>
        <v>0</v>
      </c>
      <c r="U111" s="271">
        <f t="shared" si="152"/>
        <v>0</v>
      </c>
      <c r="V111" s="271">
        <f t="shared" si="152"/>
        <v>0</v>
      </c>
      <c r="W111" s="271">
        <f t="shared" si="152"/>
        <v>0</v>
      </c>
      <c r="X111" s="271">
        <f t="shared" si="152"/>
        <v>0</v>
      </c>
      <c r="Y111" s="271">
        <f t="shared" si="152"/>
        <v>0</v>
      </c>
    </row>
    <row r="112" spans="3:25" x14ac:dyDescent="0.25">
      <c r="C112" s="86"/>
      <c r="D112" s="98"/>
      <c r="E112" s="98"/>
      <c r="G112" s="108"/>
      <c r="H112" s="253"/>
      <c r="J112" s="253"/>
      <c r="K112" s="253"/>
      <c r="L112" s="253"/>
      <c r="M112" s="253"/>
      <c r="N112" s="253"/>
      <c r="O112" s="253"/>
      <c r="P112" s="253"/>
      <c r="Q112" s="253"/>
      <c r="R112" s="253"/>
      <c r="S112" s="253"/>
      <c r="T112" s="253"/>
      <c r="U112" s="253"/>
      <c r="V112" s="253"/>
      <c r="W112" s="253"/>
      <c r="X112" s="253"/>
      <c r="Y112" s="253"/>
    </row>
    <row r="113" spans="3:27" x14ac:dyDescent="0.25">
      <c r="C113" s="7" t="str">
        <f ca="1">INDEX('Version control'!$H$34:$H$58,MATCH($A$1,'Version control'!$F$34:$F$58,0),1)&amp;"-E: Net revenue summary (for information only)"</f>
        <v>Input 505-E: Net revenue summary (for information only)</v>
      </c>
      <c r="D113" s="7"/>
      <c r="E113" s="7"/>
      <c r="F113" s="7"/>
      <c r="G113" s="7"/>
      <c r="H113" s="243"/>
      <c r="I113" s="7"/>
      <c r="J113" s="243"/>
      <c r="K113" s="243"/>
      <c r="L113" s="243"/>
      <c r="M113" s="243"/>
      <c r="N113" s="243"/>
      <c r="O113" s="243"/>
      <c r="P113" s="243"/>
      <c r="Q113" s="243"/>
      <c r="R113" s="243"/>
      <c r="S113" s="243"/>
      <c r="T113" s="243"/>
      <c r="U113" s="243"/>
      <c r="V113" s="243"/>
      <c r="W113" s="243"/>
      <c r="X113" s="243"/>
      <c r="Y113" s="243"/>
      <c r="Z113" s="7"/>
      <c r="AA113" s="7"/>
    </row>
    <row r="114" spans="3:27" x14ac:dyDescent="0.25">
      <c r="F114" s="88"/>
      <c r="G114" s="168"/>
      <c r="H114" s="277"/>
      <c r="I114" s="88"/>
      <c r="J114" s="253"/>
      <c r="K114" s="253"/>
      <c r="L114" s="253"/>
      <c r="M114" s="253"/>
      <c r="N114" s="253"/>
      <c r="O114" s="253"/>
      <c r="P114" s="253"/>
      <c r="Q114" s="253"/>
      <c r="R114" s="253"/>
      <c r="S114" s="253"/>
      <c r="T114" s="253"/>
      <c r="U114" s="253"/>
      <c r="V114" s="253"/>
      <c r="W114" s="253"/>
      <c r="X114" s="253"/>
      <c r="Y114" s="253"/>
    </row>
    <row r="115" spans="3:27" x14ac:dyDescent="0.25">
      <c r="E115" s="295" t="s">
        <v>191</v>
      </c>
      <c r="G115" s="108" t="s">
        <v>107</v>
      </c>
      <c r="H115" s="433">
        <f>H73</f>
        <v>417181725.07818514</v>
      </c>
      <c r="J115" s="234"/>
      <c r="K115" s="234"/>
      <c r="L115" s="234"/>
      <c r="M115" s="234"/>
      <c r="N115" s="234"/>
      <c r="O115" s="234"/>
      <c r="P115" s="234"/>
      <c r="Q115" s="234"/>
      <c r="R115" s="234"/>
      <c r="S115" s="234"/>
      <c r="T115" s="234"/>
      <c r="U115" s="234"/>
      <c r="V115" s="234"/>
      <c r="W115" s="234"/>
      <c r="X115" s="234"/>
      <c r="Y115" s="234"/>
    </row>
    <row r="116" spans="3:27" x14ac:dyDescent="0.25">
      <c r="E116" s="295" t="s">
        <v>713</v>
      </c>
      <c r="G116" s="108" t="s">
        <v>107</v>
      </c>
      <c r="H116" s="433">
        <f t="shared" ref="H116:H119" si="153">H74</f>
        <v>241976393.59082356</v>
      </c>
      <c r="J116" s="234"/>
      <c r="K116" s="234"/>
      <c r="L116" s="234"/>
      <c r="M116" s="234"/>
      <c r="N116" s="234"/>
      <c r="O116" s="234"/>
      <c r="P116" s="234"/>
      <c r="Q116" s="234"/>
      <c r="R116" s="234"/>
      <c r="S116" s="234"/>
      <c r="T116" s="234"/>
      <c r="U116" s="234"/>
      <c r="V116" s="234"/>
      <c r="W116" s="234"/>
      <c r="X116" s="234"/>
      <c r="Y116" s="234"/>
    </row>
    <row r="117" spans="3:27" x14ac:dyDescent="0.25">
      <c r="E117" s="295" t="s">
        <v>1152</v>
      </c>
      <c r="G117" s="108" t="s">
        <v>107</v>
      </c>
      <c r="H117" s="433">
        <f t="shared" si="153"/>
        <v>173740878.11278296</v>
      </c>
      <c r="J117" s="234"/>
      <c r="K117" s="234"/>
      <c r="L117" s="234"/>
      <c r="M117" s="234"/>
      <c r="N117" s="234"/>
      <c r="O117" s="234"/>
      <c r="P117" s="234"/>
      <c r="Q117" s="234"/>
      <c r="R117" s="234"/>
      <c r="S117" s="234"/>
      <c r="T117" s="234"/>
      <c r="U117" s="234"/>
      <c r="V117" s="234"/>
      <c r="W117" s="234"/>
      <c r="X117" s="234"/>
      <c r="Y117" s="234"/>
    </row>
    <row r="118" spans="3:27" x14ac:dyDescent="0.25">
      <c r="E118" s="295" t="s">
        <v>1153</v>
      </c>
      <c r="G118" s="108" t="s">
        <v>107</v>
      </c>
      <c r="H118" s="433">
        <f t="shared" si="153"/>
        <v>1462250.7520363859</v>
      </c>
      <c r="J118" s="234"/>
      <c r="K118" s="234"/>
      <c r="L118" s="234"/>
      <c r="M118" s="234"/>
      <c r="N118" s="234"/>
      <c r="O118" s="234"/>
      <c r="P118" s="234"/>
      <c r="Q118" s="234"/>
      <c r="R118" s="234"/>
      <c r="S118" s="234"/>
      <c r="T118" s="234"/>
      <c r="U118" s="234"/>
      <c r="V118" s="234"/>
      <c r="W118" s="234"/>
      <c r="X118" s="234"/>
      <c r="Y118" s="234"/>
    </row>
    <row r="119" spans="3:27" x14ac:dyDescent="0.25">
      <c r="E119" s="295" t="s">
        <v>1154</v>
      </c>
      <c r="G119" s="108" t="s">
        <v>107</v>
      </c>
      <c r="H119" s="433">
        <f t="shared" si="153"/>
        <v>2202.6225422031271</v>
      </c>
      <c r="J119" s="234"/>
      <c r="K119" s="234"/>
      <c r="L119" s="234"/>
      <c r="M119" s="234"/>
      <c r="N119" s="234"/>
      <c r="O119" s="234"/>
      <c r="P119" s="234"/>
      <c r="Q119" s="234"/>
      <c r="R119" s="234"/>
      <c r="S119" s="234"/>
      <c r="T119" s="234"/>
      <c r="U119" s="234"/>
      <c r="V119" s="234"/>
      <c r="W119" s="234"/>
      <c r="X119" s="234"/>
      <c r="Y119" s="234"/>
    </row>
    <row r="120" spans="3:27" x14ac:dyDescent="0.25">
      <c r="E120" s="295" t="s">
        <v>714</v>
      </c>
      <c r="G120" s="108" t="s">
        <v>107</v>
      </c>
      <c r="H120" s="433">
        <f>SUM(H91,H101,H111) - SUM(H116:H118)</f>
        <v>-23940.024302721024</v>
      </c>
      <c r="J120" s="234"/>
      <c r="K120" s="234"/>
      <c r="L120" s="234"/>
      <c r="M120" s="234"/>
      <c r="N120" s="234"/>
      <c r="O120" s="234"/>
      <c r="P120" s="234"/>
      <c r="Q120" s="234"/>
      <c r="R120" s="234"/>
      <c r="S120" s="234"/>
      <c r="T120" s="234"/>
      <c r="U120" s="234"/>
      <c r="V120" s="234"/>
      <c r="W120" s="234"/>
      <c r="X120" s="234"/>
      <c r="Y120" s="234"/>
    </row>
    <row r="121" spans="3:27" x14ac:dyDescent="0.25">
      <c r="E121" s="73" t="s">
        <v>716</v>
      </c>
      <c r="F121" s="73"/>
      <c r="G121" s="169" t="s">
        <v>107</v>
      </c>
      <c r="H121" s="288">
        <f>SUM(H116:H120)</f>
        <v>417157785.05388236</v>
      </c>
      <c r="J121" s="234"/>
      <c r="K121" s="234"/>
      <c r="L121" s="234"/>
      <c r="M121" s="234"/>
      <c r="N121" s="234"/>
      <c r="O121" s="234"/>
      <c r="P121" s="234"/>
      <c r="Q121" s="234"/>
      <c r="R121" s="234"/>
      <c r="S121" s="234"/>
      <c r="T121" s="234"/>
      <c r="U121" s="234"/>
      <c r="V121" s="234"/>
      <c r="W121" s="234"/>
      <c r="X121" s="234"/>
      <c r="Y121" s="234"/>
    </row>
    <row r="122" spans="3:27" x14ac:dyDescent="0.25">
      <c r="G122" s="108"/>
      <c r="H122" s="234"/>
      <c r="J122" s="234"/>
      <c r="K122" s="234"/>
      <c r="L122" s="234"/>
      <c r="M122" s="234"/>
      <c r="N122" s="234"/>
      <c r="O122" s="234"/>
      <c r="P122" s="234"/>
      <c r="Q122" s="234"/>
      <c r="R122" s="234"/>
      <c r="S122" s="234"/>
      <c r="T122" s="234"/>
      <c r="U122" s="234"/>
      <c r="V122" s="234"/>
      <c r="W122" s="234"/>
      <c r="X122" s="234"/>
      <c r="Y122" s="234"/>
    </row>
    <row r="123" spans="3:27" x14ac:dyDescent="0.25">
      <c r="E123" s="295" t="s">
        <v>715</v>
      </c>
      <c r="G123" s="108" t="s">
        <v>107</v>
      </c>
      <c r="H123" s="434">
        <f>H121 - H115</f>
        <v>-23940.024302780628</v>
      </c>
      <c r="J123" s="234"/>
      <c r="K123" s="234"/>
      <c r="L123" s="234"/>
      <c r="M123" s="234"/>
      <c r="N123" s="234"/>
      <c r="O123" s="234"/>
      <c r="P123" s="234"/>
      <c r="Q123" s="234"/>
      <c r="R123" s="234"/>
      <c r="S123" s="234"/>
      <c r="T123" s="234"/>
      <c r="U123" s="234"/>
      <c r="V123" s="234"/>
      <c r="W123" s="234"/>
      <c r="X123" s="234"/>
      <c r="Y123" s="234"/>
    </row>
    <row r="124" spans="3:27" x14ac:dyDescent="0.25">
      <c r="E124" s="295" t="s">
        <v>715</v>
      </c>
      <c r="G124" s="108" t="s">
        <v>94</v>
      </c>
      <c r="H124" s="435">
        <f>(H121 - H115) / H115</f>
        <v>-5.7385122270861615E-5</v>
      </c>
      <c r="J124" s="234"/>
      <c r="K124" s="234"/>
      <c r="L124" s="234"/>
      <c r="M124" s="234"/>
      <c r="N124" s="234"/>
      <c r="O124" s="234"/>
      <c r="P124" s="234"/>
      <c r="Q124" s="234"/>
      <c r="R124" s="234"/>
      <c r="S124" s="234"/>
      <c r="T124" s="234"/>
      <c r="U124" s="234"/>
      <c r="V124" s="234"/>
      <c r="W124" s="234"/>
      <c r="X124" s="234"/>
      <c r="Y124" s="234"/>
    </row>
    <row r="125" spans="3:27" x14ac:dyDescent="0.25">
      <c r="C125" s="86"/>
      <c r="D125" s="98"/>
      <c r="E125" s="98"/>
      <c r="G125" s="108"/>
      <c r="J125" s="253"/>
      <c r="K125" s="253"/>
      <c r="L125" s="253"/>
      <c r="M125" s="253"/>
      <c r="N125" s="253"/>
      <c r="O125" s="253"/>
      <c r="P125" s="253"/>
      <c r="Q125" s="253"/>
      <c r="R125" s="253"/>
      <c r="S125" s="253"/>
      <c r="T125" s="253"/>
      <c r="U125" s="253"/>
      <c r="V125" s="253"/>
      <c r="W125" s="253"/>
      <c r="X125" s="253"/>
      <c r="Y125" s="253"/>
    </row>
    <row r="126" spans="3:27" x14ac:dyDescent="0.25">
      <c r="C126" s="7" t="str">
        <f ca="1">INDEX('Version control'!$H$34:$H$58,MATCH($A$1,'Version control'!$F$34:$F$58,0),1)&amp;"-F: Typical bills"</f>
        <v>Input 505-F: Typical bills</v>
      </c>
      <c r="D126" s="7"/>
      <c r="E126" s="7"/>
      <c r="F126" s="7"/>
      <c r="G126" s="7"/>
      <c r="H126" s="7"/>
      <c r="I126" s="7"/>
      <c r="J126" s="243"/>
      <c r="K126" s="243"/>
      <c r="L126" s="243"/>
      <c r="M126" s="243"/>
      <c r="N126" s="243"/>
      <c r="O126" s="243"/>
      <c r="P126" s="243"/>
      <c r="Q126" s="243"/>
      <c r="R126" s="243"/>
      <c r="S126" s="243"/>
      <c r="T126" s="243"/>
      <c r="U126" s="243"/>
      <c r="V126" s="243"/>
      <c r="W126" s="243"/>
      <c r="X126" s="243"/>
      <c r="Y126" s="243"/>
      <c r="Z126" s="7"/>
      <c r="AA126" s="7"/>
    </row>
    <row r="127" spans="3:27" x14ac:dyDescent="0.25">
      <c r="F127" s="88"/>
      <c r="G127" s="168"/>
      <c r="H127" s="88"/>
      <c r="I127" s="88"/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  <c r="U127" s="253"/>
      <c r="V127" s="253"/>
      <c r="W127" s="253"/>
      <c r="X127" s="253"/>
      <c r="Y127" s="253"/>
    </row>
    <row r="128" spans="3:27" x14ac:dyDescent="0.25">
      <c r="E128" s="295" t="s">
        <v>585</v>
      </c>
      <c r="G128" s="108" t="s">
        <v>788</v>
      </c>
      <c r="H128" s="295" t="s">
        <v>318</v>
      </c>
      <c r="J128" s="234">
        <f t="shared" ref="J128:Y128" si="154" xml:space="preserve"> IF( J19 &lt;&gt; 0, J91 / J19, "")</f>
        <v>100.68392017625378</v>
      </c>
      <c r="K128" s="234">
        <f t="shared" si="154"/>
        <v>34.888232738206554</v>
      </c>
      <c r="L128" s="234">
        <f t="shared" si="154"/>
        <v>465.43767957090228</v>
      </c>
      <c r="M128" s="234">
        <f t="shared" si="154"/>
        <v>221.96134368468037</v>
      </c>
      <c r="N128" s="234">
        <f t="shared" si="154"/>
        <v>7168.5520506952917</v>
      </c>
      <c r="O128" s="234">
        <f t="shared" si="154"/>
        <v>24685.315070093893</v>
      </c>
      <c r="P128" s="234">
        <f t="shared" si="154"/>
        <v>61802.352112175802</v>
      </c>
      <c r="Q128" s="234">
        <f t="shared" si="154"/>
        <v>1518.9926959471811</v>
      </c>
      <c r="R128" s="234">
        <f t="shared" si="154"/>
        <v>-77.999909975132709</v>
      </c>
      <c r="S128" s="234">
        <f t="shared" si="154"/>
        <v>-57.73277344149318</v>
      </c>
      <c r="T128" s="234">
        <f t="shared" si="154"/>
        <v>-1196.0325207902247</v>
      </c>
      <c r="U128" s="234" t="str">
        <f t="shared" si="154"/>
        <v/>
      </c>
      <c r="V128" s="234">
        <f t="shared" si="154"/>
        <v>-1358.8780393739776</v>
      </c>
      <c r="W128" s="234" t="str">
        <f t="shared" si="154"/>
        <v/>
      </c>
      <c r="X128" s="234">
        <f t="shared" si="154"/>
        <v>-22197.491012965707</v>
      </c>
      <c r="Y128" s="234" t="str">
        <f t="shared" si="154"/>
        <v/>
      </c>
    </row>
    <row r="129" spans="2:27" x14ac:dyDescent="0.25">
      <c r="E129" s="295" t="s">
        <v>586</v>
      </c>
      <c r="G129" s="108" t="s">
        <v>788</v>
      </c>
      <c r="H129" s="295" t="s">
        <v>146</v>
      </c>
      <c r="J129" s="234">
        <f t="shared" ref="J129:Y129" si="155" xml:space="preserve"> IF( J28 &lt;&gt; 0, J101 / J28, "")</f>
        <v>53.929466829318805</v>
      </c>
      <c r="K129" s="234">
        <f t="shared" si="155"/>
        <v>33.367349585947899</v>
      </c>
      <c r="L129" s="234">
        <f t="shared" si="155"/>
        <v>117.90624020878636</v>
      </c>
      <c r="M129" s="234" t="str">
        <f t="shared" si="155"/>
        <v/>
      </c>
      <c r="N129" s="234">
        <f t="shared" si="155"/>
        <v>3531.9987538157898</v>
      </c>
      <c r="O129" s="234" t="str">
        <f t="shared" si="155"/>
        <v/>
      </c>
      <c r="P129" s="234" t="str">
        <f t="shared" si="155"/>
        <v/>
      </c>
      <c r="Q129" s="234">
        <f t="shared" si="155"/>
        <v>284.9834789337587</v>
      </c>
      <c r="R129" s="234">
        <f t="shared" si="155"/>
        <v>-16.728462906100102</v>
      </c>
      <c r="S129" s="234" t="str">
        <f t="shared" si="155"/>
        <v/>
      </c>
      <c r="T129" s="234" t="str">
        <f t="shared" si="155"/>
        <v/>
      </c>
      <c r="U129" s="234" t="str">
        <f t="shared" si="155"/>
        <v/>
      </c>
      <c r="V129" s="234" t="str">
        <f t="shared" si="155"/>
        <v/>
      </c>
      <c r="W129" s="234" t="str">
        <f t="shared" si="155"/>
        <v/>
      </c>
      <c r="X129" s="234" t="str">
        <f t="shared" si="155"/>
        <v/>
      </c>
      <c r="Y129" s="234" t="str">
        <f t="shared" si="155"/>
        <v/>
      </c>
    </row>
    <row r="130" spans="2:27" x14ac:dyDescent="0.25">
      <c r="E130" s="295" t="s">
        <v>587</v>
      </c>
      <c r="G130" s="108" t="s">
        <v>788</v>
      </c>
      <c r="H130" s="295" t="s">
        <v>147</v>
      </c>
      <c r="J130" s="234">
        <f t="shared" ref="J130:Y130" si="156" xml:space="preserve"> IF( J37 &lt;&gt; 0, J111 / J37, "")</f>
        <v>36.096692410316081</v>
      </c>
      <c r="K130" s="234">
        <f t="shared" si="156"/>
        <v>27.245250581614364</v>
      </c>
      <c r="L130" s="234">
        <f t="shared" si="156"/>
        <v>170.34191248658666</v>
      </c>
      <c r="M130" s="234" t="str">
        <f t="shared" si="156"/>
        <v/>
      </c>
      <c r="N130" s="234">
        <f t="shared" si="156"/>
        <v>3754.5353832598425</v>
      </c>
      <c r="O130" s="234">
        <f t="shared" si="156"/>
        <v>14833.339485384611</v>
      </c>
      <c r="P130" s="234">
        <f t="shared" si="156"/>
        <v>34143.030364433333</v>
      </c>
      <c r="Q130" s="234">
        <f t="shared" si="156"/>
        <v>211.06564364582482</v>
      </c>
      <c r="R130" s="234">
        <f t="shared" si="156"/>
        <v>-4.5148945586532516</v>
      </c>
      <c r="S130" s="234" t="str">
        <f t="shared" si="156"/>
        <v/>
      </c>
      <c r="T130" s="234" t="str">
        <f t="shared" si="156"/>
        <v/>
      </c>
      <c r="U130" s="234" t="str">
        <f t="shared" si="156"/>
        <v/>
      </c>
      <c r="V130" s="234" t="str">
        <f t="shared" si="156"/>
        <v/>
      </c>
      <c r="W130" s="234" t="str">
        <f t="shared" si="156"/>
        <v/>
      </c>
      <c r="X130" s="234" t="str">
        <f t="shared" si="156"/>
        <v/>
      </c>
      <c r="Y130" s="234" t="str">
        <f t="shared" si="156"/>
        <v/>
      </c>
    </row>
    <row r="131" spans="2:27" x14ac:dyDescent="0.25">
      <c r="D131" s="98"/>
      <c r="E131" s="98"/>
      <c r="G131" s="108"/>
      <c r="J131" s="253"/>
      <c r="K131" s="253"/>
      <c r="L131" s="253"/>
      <c r="M131" s="253"/>
      <c r="N131" s="253"/>
      <c r="O131" s="253"/>
      <c r="P131" s="253"/>
      <c r="Q131" s="253"/>
      <c r="R131" s="253"/>
      <c r="S131" s="253"/>
      <c r="T131" s="253"/>
      <c r="U131" s="253"/>
      <c r="V131" s="253"/>
      <c r="W131" s="253"/>
      <c r="X131" s="253"/>
      <c r="Y131" s="253"/>
    </row>
    <row r="132" spans="2:27" x14ac:dyDescent="0.25">
      <c r="B132" s="95" t="s">
        <v>109</v>
      </c>
      <c r="C132" s="95"/>
      <c r="D132" s="95"/>
      <c r="E132" s="95"/>
      <c r="F132" s="95"/>
      <c r="G132" s="128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2:27" x14ac:dyDescent="0.25">
      <c r="F133" s="88"/>
      <c r="G133" s="168"/>
      <c r="H133" s="88"/>
      <c r="I133" s="88"/>
    </row>
    <row r="134" spans="2:27" x14ac:dyDescent="0.25">
      <c r="D134" s="295" t="s">
        <v>516</v>
      </c>
      <c r="G134" s="122" t="s">
        <v>692</v>
      </c>
      <c r="H134" s="152">
        <f t="array" ref="H134">SUM(IF(ISERROR($H$13:$Z$131), 1))</f>
        <v>0</v>
      </c>
      <c r="I134" s="88"/>
    </row>
    <row r="135" spans="2:27" x14ac:dyDescent="0.25">
      <c r="F135" s="88"/>
      <c r="G135" s="88"/>
      <c r="H135" s="88"/>
      <c r="I135" s="88"/>
    </row>
    <row r="136" spans="2:27" x14ac:dyDescent="0.25">
      <c r="B136" s="95" t="s">
        <v>110</v>
      </c>
      <c r="C136" s="95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</sheetData>
  <sheetProtection sheet="1" objects="1" formatCells="0" formatColumns="0" formatRows="0" sort="0" autoFilter="0"/>
  <conditionalFormatting sqref="H134">
    <cfRule type="cellIs" dxfId="13" priority="10" operator="greaterThan">
      <formula>0</formula>
    </cfRule>
  </conditionalFormatting>
  <conditionalFormatting sqref="A4:I4 Z4:XFD4">
    <cfRule type="expression" dxfId="12" priority="9">
      <formula>LEFT($A$4,1) &lt;&gt; "0"</formula>
    </cfRule>
  </conditionalFormatting>
  <conditionalFormatting sqref="N4:P4">
    <cfRule type="expression" dxfId="11" priority="8">
      <formula>LEFT($A$4,1) &lt;&gt; "0"</formula>
    </cfRule>
  </conditionalFormatting>
  <conditionalFormatting sqref="L4:M4">
    <cfRule type="expression" dxfId="10" priority="7">
      <formula>LEFT($A$4,1) &lt;&gt; "0"</formula>
    </cfRule>
  </conditionalFormatting>
  <conditionalFormatting sqref="J4:K4">
    <cfRule type="expression" dxfId="9" priority="6">
      <formula>LEFT($A$4,1) &lt;&gt; "0"</formula>
    </cfRule>
  </conditionalFormatting>
  <conditionalFormatting sqref="Q4">
    <cfRule type="expression" dxfId="8" priority="5">
      <formula>LEFT($A$4,1) &lt;&gt; "0"</formula>
    </cfRule>
  </conditionalFormatting>
  <conditionalFormatting sqref="R4:S4">
    <cfRule type="expression" dxfId="7" priority="4">
      <formula>LEFT($A$4,1) &lt;&gt; "0"</formula>
    </cfRule>
  </conditionalFormatting>
  <conditionalFormatting sqref="T4:U4">
    <cfRule type="expression" dxfId="6" priority="3">
      <formula>LEFT($A$4,1) &lt;&gt; "0"</formula>
    </cfRule>
  </conditionalFormatting>
  <conditionalFormatting sqref="V4:W4">
    <cfRule type="expression" dxfId="5" priority="2">
      <formula>LEFT($A$4,1) &lt;&gt; "0"</formula>
    </cfRule>
  </conditionalFormatting>
  <conditionalFormatting sqref="X4:Y4">
    <cfRule type="expression" dxfId="4" priority="1">
      <formula>LEFT($A$4,1) &lt;&gt; "0"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J16:Y40 J45:Y69" xr:uid="{00000000-0002-0000-2200-000000000000}">
      <formula1>0</formula1>
    </dataValidation>
  </dataValidations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7">
    <tabColor theme="9" tint="0.39997558519241921"/>
    <pageSetUpPr fitToPage="1"/>
  </sheetPr>
  <dimension ref="A1:KC35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G5" sqref="G5"/>
    </sheetView>
  </sheetViews>
  <sheetFormatPr defaultColWidth="0" defaultRowHeight="15" x14ac:dyDescent="0.25"/>
  <cols>
    <col min="1" max="3" width="2.5703125" style="85" customWidth="1"/>
    <col min="4" max="5" width="2.5703125" style="98" customWidth="1"/>
    <col min="6" max="6" width="59.5703125" style="85" customWidth="1"/>
    <col min="7" max="8" width="20.7109375" style="85" customWidth="1"/>
    <col min="9" max="9" width="2.28515625" style="85" customWidth="1"/>
    <col min="10" max="16" width="17" style="85" customWidth="1"/>
    <col min="17" max="17" width="2.28515625" style="85" customWidth="1"/>
    <col min="18" max="18" width="50.7109375" style="85" customWidth="1"/>
    <col min="19" max="19" width="2.28515625" style="85" customWidth="1"/>
    <col min="20" max="27" width="0" style="85" hidden="1" customWidth="1"/>
    <col min="28" max="28" width="24.5703125" style="85" hidden="1" customWidth="1"/>
    <col min="29" max="29" width="3.5703125" style="85" hidden="1" customWidth="1"/>
    <col min="30" max="30" width="15.42578125" style="85" hidden="1" customWidth="1"/>
    <col min="31" max="282" width="24.5703125" style="85" hidden="1" customWidth="1"/>
    <col min="283" max="289" width="24.5703125" style="85" hidden="1"/>
    <col min="290" max="16384" width="8.7109375" style="85" hidden="1"/>
  </cols>
  <sheetData>
    <row r="1" spans="1:97" s="10" customFormat="1" x14ac:dyDescent="0.25">
      <c r="A1" s="10" t="str">
        <f ca="1">MID(CELL("filename",A1),FIND("]",CELL("filename",A1))+1,255)</f>
        <v>Tariff summary</v>
      </c>
    </row>
    <row r="2" spans="1:97" s="10" customFormat="1" x14ac:dyDescent="0.25">
      <c r="A2" s="10" t="str">
        <f>Cover!D21&amp;" - "&amp;Cover!D23</f>
        <v>SP Distribution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97" s="195" customFormat="1" x14ac:dyDescent="0.25">
      <c r="A4" s="229" t="str">
        <f>H353 &amp; IF(H353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ht="45" x14ac:dyDescent="0.25">
      <c r="B5" s="134" t="s">
        <v>552</v>
      </c>
      <c r="C5" s="9"/>
      <c r="D5" s="9"/>
      <c r="E5" s="9"/>
      <c r="F5" s="9"/>
      <c r="G5" s="1"/>
      <c r="H5" s="1" t="s">
        <v>635</v>
      </c>
      <c r="J5" s="2" t="s">
        <v>338</v>
      </c>
      <c r="K5" s="2" t="s">
        <v>337</v>
      </c>
      <c r="L5" s="2" t="s">
        <v>336</v>
      </c>
      <c r="M5" s="2" t="s">
        <v>335</v>
      </c>
      <c r="N5" s="2" t="s">
        <v>334</v>
      </c>
      <c r="O5" s="2" t="s">
        <v>333</v>
      </c>
      <c r="P5" s="2" t="s">
        <v>332</v>
      </c>
      <c r="R5" s="1" t="s">
        <v>93</v>
      </c>
    </row>
    <row r="7" spans="1:9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</row>
    <row r="9" spans="1:97" x14ac:dyDescent="0.25">
      <c r="C9" s="82" t="s">
        <v>889</v>
      </c>
    </row>
    <row r="10" spans="1:97" x14ac:dyDescent="0.25">
      <c r="C10" s="82" t="s">
        <v>890</v>
      </c>
    </row>
    <row r="11" spans="1:97" x14ac:dyDescent="0.25">
      <c r="C11" s="82" t="s">
        <v>609</v>
      </c>
    </row>
    <row r="13" spans="1:97" s="195" customFormat="1" x14ac:dyDescent="0.25">
      <c r="B13" s="95" t="s">
        <v>537</v>
      </c>
      <c r="C13" s="95"/>
      <c r="D13" s="95"/>
      <c r="E13" s="95"/>
      <c r="F13" s="95"/>
      <c r="G13" s="95"/>
      <c r="H13" s="95"/>
      <c r="I13" s="95"/>
      <c r="J13" s="95"/>
      <c r="K13" s="95"/>
      <c r="L13" s="72"/>
      <c r="M13" s="72"/>
      <c r="N13" s="72"/>
      <c r="O13" s="72"/>
      <c r="P13" s="72"/>
      <c r="Q13" s="72"/>
      <c r="R13" s="72"/>
    </row>
    <row r="14" spans="1:97" s="195" customFormat="1" x14ac:dyDescent="0.25"/>
    <row r="15" spans="1:97" x14ac:dyDescent="0.25">
      <c r="C15" s="7" t="str">
        <f ca="1">INDEX('Version control'!$H$34:$H$60,MATCH($A$1,'Version control'!$F$34:$F$60,0),1)&amp;"-A: Live tariff results (" &amp; charging_year_selected &amp; ")"</f>
        <v>Input 506-A: Live tariff results (2021/22)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97" x14ac:dyDescent="0.25">
      <c r="D16" s="85"/>
      <c r="E16" s="85"/>
    </row>
    <row r="17" spans="4:16" x14ac:dyDescent="0.25">
      <c r="D17" s="96"/>
      <c r="E17" s="96" t="str">
        <f>"All the way tariff forecast (" &amp; charging_year_selected &amp; ")"</f>
        <v>All the way tariff forecast (2021/22)</v>
      </c>
      <c r="F17" s="195"/>
    </row>
    <row r="18" spans="4:16" x14ac:dyDescent="0.25">
      <c r="F18" s="103" t="s">
        <v>1038</v>
      </c>
      <c r="G18" s="91"/>
      <c r="H18" s="91" t="s">
        <v>318</v>
      </c>
      <c r="I18" s="91"/>
      <c r="J18" s="443">
        <f t="array" ref="J18:P33">TRANSPOSE(Rounding!J130:Y136)</f>
        <v>10.154999999999999</v>
      </c>
      <c r="K18" s="443">
        <v>2.0299999999999998</v>
      </c>
      <c r="L18" s="443">
        <v>1.17</v>
      </c>
      <c r="M18" s="342">
        <v>4.76</v>
      </c>
      <c r="N18" s="342">
        <v>0</v>
      </c>
      <c r="O18" s="342">
        <v>0</v>
      </c>
      <c r="P18" s="443">
        <v>0</v>
      </c>
    </row>
    <row r="19" spans="4:16" x14ac:dyDescent="0.25">
      <c r="F19" s="99" t="s">
        <v>1039</v>
      </c>
      <c r="G19" s="196"/>
      <c r="H19" s="196" t="s">
        <v>318</v>
      </c>
      <c r="I19" s="196"/>
      <c r="J19" s="462">
        <v>10.154999999999999</v>
      </c>
      <c r="K19" s="462">
        <v>2.0299999999999998</v>
      </c>
      <c r="L19" s="462">
        <v>1.17</v>
      </c>
      <c r="M19" s="463">
        <v>0</v>
      </c>
      <c r="N19" s="463">
        <v>0</v>
      </c>
      <c r="O19" s="463">
        <v>0</v>
      </c>
      <c r="P19" s="462">
        <v>0</v>
      </c>
    </row>
    <row r="20" spans="4:16" x14ac:dyDescent="0.25">
      <c r="F20" s="99" t="s">
        <v>1040</v>
      </c>
      <c r="G20" s="196"/>
      <c r="H20" s="196" t="s">
        <v>318</v>
      </c>
      <c r="I20" s="196"/>
      <c r="J20" s="462">
        <v>11.609</v>
      </c>
      <c r="K20" s="462">
        <v>2.173</v>
      </c>
      <c r="L20" s="462">
        <v>1.1739999999999999</v>
      </c>
      <c r="M20" s="463">
        <v>6.04</v>
      </c>
      <c r="N20" s="463">
        <v>0</v>
      </c>
      <c r="O20" s="463">
        <v>0</v>
      </c>
      <c r="P20" s="462">
        <v>0</v>
      </c>
    </row>
    <row r="21" spans="4:16" x14ac:dyDescent="0.25">
      <c r="F21" s="99" t="s">
        <v>1041</v>
      </c>
      <c r="G21" s="196"/>
      <c r="H21" s="196" t="s">
        <v>318</v>
      </c>
      <c r="I21" s="196"/>
      <c r="J21" s="462">
        <v>11.609</v>
      </c>
      <c r="K21" s="462">
        <v>2.173</v>
      </c>
      <c r="L21" s="462">
        <v>1.1739999999999999</v>
      </c>
      <c r="M21" s="463">
        <v>0</v>
      </c>
      <c r="N21" s="463">
        <v>0</v>
      </c>
      <c r="O21" s="463">
        <v>0</v>
      </c>
      <c r="P21" s="462">
        <v>0</v>
      </c>
    </row>
    <row r="22" spans="4:16" x14ac:dyDescent="0.25">
      <c r="F22" s="99" t="s">
        <v>1042</v>
      </c>
      <c r="G22" s="196"/>
      <c r="H22" s="196" t="s">
        <v>318</v>
      </c>
      <c r="I22" s="196"/>
      <c r="J22" s="462">
        <v>8.1809999999999992</v>
      </c>
      <c r="K22" s="462">
        <v>1.8129999999999999</v>
      </c>
      <c r="L22" s="462">
        <v>1.163</v>
      </c>
      <c r="M22" s="463">
        <v>23.42</v>
      </c>
      <c r="N22" s="463">
        <v>2.5</v>
      </c>
      <c r="O22" s="463">
        <v>3.69</v>
      </c>
      <c r="P22" s="462">
        <v>0.23499999999999999</v>
      </c>
    </row>
    <row r="23" spans="4:16" x14ac:dyDescent="0.25">
      <c r="F23" s="99" t="s">
        <v>1043</v>
      </c>
      <c r="G23" s="196"/>
      <c r="H23" s="196" t="s">
        <v>318</v>
      </c>
      <c r="I23" s="196"/>
      <c r="J23" s="462">
        <v>5.3090000000000002</v>
      </c>
      <c r="K23" s="462">
        <v>1.5009999999999999</v>
      </c>
      <c r="L23" s="462">
        <v>1.1539999999999999</v>
      </c>
      <c r="M23" s="463">
        <v>8.39</v>
      </c>
      <c r="N23" s="463">
        <v>4.51</v>
      </c>
      <c r="O23" s="463">
        <v>5.14</v>
      </c>
      <c r="P23" s="462">
        <v>0.13700000000000001</v>
      </c>
    </row>
    <row r="24" spans="4:16" x14ac:dyDescent="0.25">
      <c r="F24" s="99" t="s">
        <v>1044</v>
      </c>
      <c r="G24" s="196"/>
      <c r="H24" s="196" t="s">
        <v>318</v>
      </c>
      <c r="I24" s="196"/>
      <c r="J24" s="462">
        <v>4.3010000000000002</v>
      </c>
      <c r="K24" s="462">
        <v>1.4</v>
      </c>
      <c r="L24" s="462">
        <v>1.151</v>
      </c>
      <c r="M24" s="463">
        <v>124.35</v>
      </c>
      <c r="N24" s="463">
        <v>4.96</v>
      </c>
      <c r="O24" s="463">
        <v>6.12</v>
      </c>
      <c r="P24" s="462">
        <v>0.10199999999999999</v>
      </c>
    </row>
    <row r="25" spans="4:16" x14ac:dyDescent="0.25">
      <c r="F25" s="99" t="s">
        <v>1045</v>
      </c>
      <c r="G25" s="196"/>
      <c r="H25" s="196" t="s">
        <v>318</v>
      </c>
      <c r="I25" s="196"/>
      <c r="J25" s="462">
        <v>22.728000000000002</v>
      </c>
      <c r="K25" s="462">
        <v>2.3420000000000001</v>
      </c>
      <c r="L25" s="462">
        <v>1.5960000000000001</v>
      </c>
      <c r="M25" s="463">
        <v>0</v>
      </c>
      <c r="N25" s="463">
        <v>0</v>
      </c>
      <c r="O25" s="463">
        <v>0</v>
      </c>
      <c r="P25" s="462">
        <v>0</v>
      </c>
    </row>
    <row r="26" spans="4:16" x14ac:dyDescent="0.25">
      <c r="F26" s="99" t="s">
        <v>1046</v>
      </c>
      <c r="G26" s="196"/>
      <c r="H26" s="196" t="s">
        <v>318</v>
      </c>
      <c r="I26" s="196"/>
      <c r="J26" s="462">
        <v>-6.4409999999999998</v>
      </c>
      <c r="K26" s="462">
        <v>-0.63100000000000001</v>
      </c>
      <c r="L26" s="462">
        <v>-1.6E-2</v>
      </c>
      <c r="M26" s="463">
        <v>0</v>
      </c>
      <c r="N26" s="463">
        <v>0</v>
      </c>
      <c r="O26" s="463">
        <v>0</v>
      </c>
      <c r="P26" s="462">
        <v>0</v>
      </c>
    </row>
    <row r="27" spans="4:16" x14ac:dyDescent="0.25">
      <c r="F27" s="99" t="s">
        <v>1047</v>
      </c>
      <c r="G27" s="196"/>
      <c r="H27" s="196" t="s">
        <v>318</v>
      </c>
      <c r="I27" s="196"/>
      <c r="J27" s="462">
        <v>-5.6890000000000001</v>
      </c>
      <c r="K27" s="462">
        <v>-0.54800000000000004</v>
      </c>
      <c r="L27" s="462">
        <v>-1.4E-2</v>
      </c>
      <c r="M27" s="463">
        <v>0</v>
      </c>
      <c r="N27" s="463">
        <v>0</v>
      </c>
      <c r="O27" s="463">
        <v>0</v>
      </c>
      <c r="P27" s="462">
        <v>0</v>
      </c>
    </row>
    <row r="28" spans="4:16" x14ac:dyDescent="0.25">
      <c r="F28" s="99" t="s">
        <v>1048</v>
      </c>
      <c r="G28" s="196"/>
      <c r="H28" s="196" t="s">
        <v>318</v>
      </c>
      <c r="I28" s="196"/>
      <c r="J28" s="462">
        <v>-6.4409999999999998</v>
      </c>
      <c r="K28" s="462">
        <v>-0.63100000000000001</v>
      </c>
      <c r="L28" s="462">
        <v>-1.6E-2</v>
      </c>
      <c r="M28" s="463">
        <v>0</v>
      </c>
      <c r="N28" s="463">
        <v>0</v>
      </c>
      <c r="O28" s="463">
        <v>0</v>
      </c>
      <c r="P28" s="462">
        <v>0.20300000000000001</v>
      </c>
    </row>
    <row r="29" spans="4:16" x14ac:dyDescent="0.25">
      <c r="F29" s="99" t="s">
        <v>1049</v>
      </c>
      <c r="G29" s="196"/>
      <c r="H29" s="196" t="s">
        <v>318</v>
      </c>
      <c r="I29" s="196"/>
      <c r="J29" s="462">
        <v>-6.4409999999999998</v>
      </c>
      <c r="K29" s="462">
        <v>-0.63100000000000001</v>
      </c>
      <c r="L29" s="462">
        <v>-1.6E-2</v>
      </c>
      <c r="M29" s="463">
        <v>0</v>
      </c>
      <c r="N29" s="463">
        <v>0</v>
      </c>
      <c r="O29" s="463">
        <v>0</v>
      </c>
      <c r="P29" s="462">
        <v>0</v>
      </c>
    </row>
    <row r="30" spans="4:16" x14ac:dyDescent="0.25">
      <c r="F30" s="99" t="s">
        <v>1050</v>
      </c>
      <c r="G30" s="196"/>
      <c r="H30" s="196" t="s">
        <v>318</v>
      </c>
      <c r="I30" s="196"/>
      <c r="J30" s="462">
        <v>-5.6890000000000001</v>
      </c>
      <c r="K30" s="462">
        <v>-0.54800000000000004</v>
      </c>
      <c r="L30" s="462">
        <v>-1.4E-2</v>
      </c>
      <c r="M30" s="463">
        <v>0</v>
      </c>
      <c r="N30" s="463">
        <v>0</v>
      </c>
      <c r="O30" s="463">
        <v>0</v>
      </c>
      <c r="P30" s="462">
        <v>0.182</v>
      </c>
    </row>
    <row r="31" spans="4:16" x14ac:dyDescent="0.25">
      <c r="F31" s="99" t="s">
        <v>1051</v>
      </c>
      <c r="G31" s="196"/>
      <c r="H31" s="196" t="s">
        <v>318</v>
      </c>
      <c r="I31" s="196"/>
      <c r="J31" s="462">
        <v>-5.6890000000000001</v>
      </c>
      <c r="K31" s="462">
        <v>-0.54800000000000004</v>
      </c>
      <c r="L31" s="462">
        <v>-1.4E-2</v>
      </c>
      <c r="M31" s="463">
        <v>0</v>
      </c>
      <c r="N31" s="463">
        <v>0</v>
      </c>
      <c r="O31" s="463">
        <v>0</v>
      </c>
      <c r="P31" s="462">
        <v>0</v>
      </c>
    </row>
    <row r="32" spans="4:16" x14ac:dyDescent="0.25">
      <c r="F32" s="99" t="s">
        <v>1052</v>
      </c>
      <c r="G32" s="196"/>
      <c r="H32" s="196" t="s">
        <v>318</v>
      </c>
      <c r="I32" s="196"/>
      <c r="J32" s="462">
        <v>-3.7330000000000001</v>
      </c>
      <c r="K32" s="462">
        <v>-0.316</v>
      </c>
      <c r="L32" s="462">
        <v>-6.0000000000000001E-3</v>
      </c>
      <c r="M32" s="463">
        <v>90.67</v>
      </c>
      <c r="N32" s="463">
        <v>0</v>
      </c>
      <c r="O32" s="463">
        <v>0</v>
      </c>
      <c r="P32" s="462">
        <v>0.156</v>
      </c>
    </row>
    <row r="33" spans="4:16" x14ac:dyDescent="0.25">
      <c r="F33" s="100" t="s">
        <v>1053</v>
      </c>
      <c r="G33" s="93"/>
      <c r="H33" s="93" t="s">
        <v>318</v>
      </c>
      <c r="I33" s="93"/>
      <c r="J33" s="445">
        <v>-3.7330000000000001</v>
      </c>
      <c r="K33" s="445">
        <v>-0.316</v>
      </c>
      <c r="L33" s="445">
        <v>-6.0000000000000001E-3</v>
      </c>
      <c r="M33" s="344">
        <v>90.67</v>
      </c>
      <c r="N33" s="344">
        <v>0</v>
      </c>
      <c r="O33" s="344">
        <v>0</v>
      </c>
      <c r="P33" s="445">
        <v>0</v>
      </c>
    </row>
    <row r="34" spans="4:16" x14ac:dyDescent="0.25">
      <c r="F34" s="98"/>
      <c r="J34" s="345"/>
      <c r="K34" s="345"/>
      <c r="L34" s="345"/>
      <c r="M34" s="345"/>
      <c r="N34" s="345"/>
      <c r="O34" s="345"/>
      <c r="P34" s="446"/>
    </row>
    <row r="35" spans="4:16" x14ac:dyDescent="0.25">
      <c r="D35" s="96"/>
      <c r="E35" s="96" t="str">
        <f>"LDNO LV tariff forecast (" &amp; charging_year_selected &amp; ")"</f>
        <v>LDNO LV tariff forecast (2021/22)</v>
      </c>
      <c r="F35" s="98"/>
      <c r="J35" s="345"/>
      <c r="K35" s="345"/>
      <c r="L35" s="345"/>
      <c r="M35" s="345"/>
      <c r="N35" s="345"/>
      <c r="O35" s="345"/>
      <c r="P35" s="446"/>
    </row>
    <row r="36" spans="4:16" x14ac:dyDescent="0.25">
      <c r="F36" s="103" t="s">
        <v>1038</v>
      </c>
      <c r="G36" s="91"/>
      <c r="H36" s="91" t="s">
        <v>146</v>
      </c>
      <c r="I36" s="91"/>
      <c r="J36" s="443">
        <f t="array" ref="J36:P51">TRANSPOSE(Rounding!J139:Y145)</f>
        <v>6.1879999999999997</v>
      </c>
      <c r="K36" s="443">
        <v>1.2370000000000001</v>
      </c>
      <c r="L36" s="443">
        <v>0.71299999999999997</v>
      </c>
      <c r="M36" s="342">
        <v>2.98</v>
      </c>
      <c r="N36" s="342">
        <v>0</v>
      </c>
      <c r="O36" s="342">
        <v>0</v>
      </c>
      <c r="P36" s="443">
        <v>0</v>
      </c>
    </row>
    <row r="37" spans="4:16" x14ac:dyDescent="0.25">
      <c r="F37" s="99" t="s">
        <v>1039</v>
      </c>
      <c r="G37" s="92"/>
      <c r="H37" s="92" t="s">
        <v>146</v>
      </c>
      <c r="I37" s="92"/>
      <c r="J37" s="462">
        <v>6.1879999999999997</v>
      </c>
      <c r="K37" s="462">
        <v>1.2370000000000001</v>
      </c>
      <c r="L37" s="462">
        <v>0.71299999999999997</v>
      </c>
      <c r="M37" s="463">
        <v>0</v>
      </c>
      <c r="N37" s="463">
        <v>0</v>
      </c>
      <c r="O37" s="463">
        <v>0</v>
      </c>
      <c r="P37" s="462">
        <v>0</v>
      </c>
    </row>
    <row r="38" spans="4:16" x14ac:dyDescent="0.25">
      <c r="F38" s="99" t="s">
        <v>1040</v>
      </c>
      <c r="G38" s="92"/>
      <c r="H38" s="92" t="s">
        <v>146</v>
      </c>
      <c r="I38" s="92"/>
      <c r="J38" s="462">
        <v>7.0739999999999998</v>
      </c>
      <c r="K38" s="462">
        <v>1.3240000000000001</v>
      </c>
      <c r="L38" s="462">
        <v>0.71499999999999997</v>
      </c>
      <c r="M38" s="463">
        <v>3.75</v>
      </c>
      <c r="N38" s="463">
        <v>0</v>
      </c>
      <c r="O38" s="463">
        <v>0</v>
      </c>
      <c r="P38" s="462">
        <v>0</v>
      </c>
    </row>
    <row r="39" spans="4:16" x14ac:dyDescent="0.25">
      <c r="F39" s="99" t="s">
        <v>1041</v>
      </c>
      <c r="G39" s="92"/>
      <c r="H39" s="92" t="s">
        <v>146</v>
      </c>
      <c r="I39" s="92"/>
      <c r="J39" s="462">
        <v>7.0739999999999998</v>
      </c>
      <c r="K39" s="462">
        <v>1.3240000000000001</v>
      </c>
      <c r="L39" s="462">
        <v>0.71499999999999997</v>
      </c>
      <c r="M39" s="463">
        <v>0</v>
      </c>
      <c r="N39" s="463">
        <v>0</v>
      </c>
      <c r="O39" s="463">
        <v>0</v>
      </c>
      <c r="P39" s="462">
        <v>0</v>
      </c>
    </row>
    <row r="40" spans="4:16" x14ac:dyDescent="0.25">
      <c r="F40" s="99" t="s">
        <v>1042</v>
      </c>
      <c r="G40" s="92"/>
      <c r="H40" s="92" t="s">
        <v>146</v>
      </c>
      <c r="I40" s="92"/>
      <c r="J40" s="462">
        <v>4.9850000000000003</v>
      </c>
      <c r="K40" s="462">
        <v>1.105</v>
      </c>
      <c r="L40" s="462">
        <v>0.70899999999999996</v>
      </c>
      <c r="M40" s="463">
        <v>14.34</v>
      </c>
      <c r="N40" s="463">
        <v>1.52</v>
      </c>
      <c r="O40" s="463">
        <v>2.25</v>
      </c>
      <c r="P40" s="462">
        <v>0.14299999999999999</v>
      </c>
    </row>
    <row r="41" spans="4:16" x14ac:dyDescent="0.25">
      <c r="F41" s="99" t="s">
        <v>1043</v>
      </c>
      <c r="G41" s="92"/>
      <c r="H41" s="92" t="s">
        <v>146</v>
      </c>
      <c r="I41" s="92"/>
      <c r="J41" s="464">
        <v>0</v>
      </c>
      <c r="K41" s="464">
        <v>0</v>
      </c>
      <c r="L41" s="464">
        <v>0</v>
      </c>
      <c r="M41" s="465">
        <v>0</v>
      </c>
      <c r="N41" s="465">
        <v>0</v>
      </c>
      <c r="O41" s="465">
        <v>0</v>
      </c>
      <c r="P41" s="464">
        <v>0</v>
      </c>
    </row>
    <row r="42" spans="4:16" x14ac:dyDescent="0.25">
      <c r="F42" s="99" t="s">
        <v>1044</v>
      </c>
      <c r="G42" s="92"/>
      <c r="H42" s="92" t="s">
        <v>146</v>
      </c>
      <c r="I42" s="92"/>
      <c r="J42" s="464">
        <v>0</v>
      </c>
      <c r="K42" s="464">
        <v>0</v>
      </c>
      <c r="L42" s="464">
        <v>0</v>
      </c>
      <c r="M42" s="465">
        <v>0</v>
      </c>
      <c r="N42" s="465">
        <v>0</v>
      </c>
      <c r="O42" s="465">
        <v>0</v>
      </c>
      <c r="P42" s="464">
        <v>0</v>
      </c>
    </row>
    <row r="43" spans="4:16" x14ac:dyDescent="0.25">
      <c r="F43" s="99" t="s">
        <v>1045</v>
      </c>
      <c r="G43" s="92"/>
      <c r="H43" s="92" t="s">
        <v>146</v>
      </c>
      <c r="I43" s="92"/>
      <c r="J43" s="462">
        <v>13.849</v>
      </c>
      <c r="K43" s="462">
        <v>1.427</v>
      </c>
      <c r="L43" s="462">
        <v>0.97299999999999998</v>
      </c>
      <c r="M43" s="463">
        <v>0</v>
      </c>
      <c r="N43" s="463">
        <v>0</v>
      </c>
      <c r="O43" s="463">
        <v>0</v>
      </c>
      <c r="P43" s="462">
        <v>0</v>
      </c>
    </row>
    <row r="44" spans="4:16" x14ac:dyDescent="0.25">
      <c r="F44" s="99" t="s">
        <v>1046</v>
      </c>
      <c r="G44" s="92"/>
      <c r="H44" s="92" t="s">
        <v>146</v>
      </c>
      <c r="I44" s="92"/>
      <c r="J44" s="462">
        <v>-6.4409999999999998</v>
      </c>
      <c r="K44" s="462">
        <v>-0.63100000000000001</v>
      </c>
      <c r="L44" s="462">
        <v>-1.6E-2</v>
      </c>
      <c r="M44" s="463">
        <v>0</v>
      </c>
      <c r="N44" s="463">
        <v>0</v>
      </c>
      <c r="O44" s="463">
        <v>0</v>
      </c>
      <c r="P44" s="462">
        <v>0</v>
      </c>
    </row>
    <row r="45" spans="4:16" x14ac:dyDescent="0.25">
      <c r="F45" s="99" t="s">
        <v>1047</v>
      </c>
      <c r="G45" s="92"/>
      <c r="H45" s="92" t="s">
        <v>146</v>
      </c>
      <c r="I45" s="92"/>
      <c r="J45" s="464">
        <v>0</v>
      </c>
      <c r="K45" s="464">
        <v>0</v>
      </c>
      <c r="L45" s="464">
        <v>0</v>
      </c>
      <c r="M45" s="465">
        <v>0</v>
      </c>
      <c r="N45" s="465">
        <v>0</v>
      </c>
      <c r="O45" s="465">
        <v>0</v>
      </c>
      <c r="P45" s="464">
        <v>0</v>
      </c>
    </row>
    <row r="46" spans="4:16" x14ac:dyDescent="0.25">
      <c r="F46" s="99" t="s">
        <v>1048</v>
      </c>
      <c r="G46" s="92"/>
      <c r="H46" s="92" t="s">
        <v>146</v>
      </c>
      <c r="I46" s="92"/>
      <c r="J46" s="462">
        <v>-6.4409999999999998</v>
      </c>
      <c r="K46" s="462">
        <v>-0.63100000000000001</v>
      </c>
      <c r="L46" s="462">
        <v>-1.6E-2</v>
      </c>
      <c r="M46" s="463">
        <v>0</v>
      </c>
      <c r="N46" s="463">
        <v>0</v>
      </c>
      <c r="O46" s="463">
        <v>0</v>
      </c>
      <c r="P46" s="462">
        <v>0.20300000000000001</v>
      </c>
    </row>
    <row r="47" spans="4:16" x14ac:dyDescent="0.25">
      <c r="F47" s="99" t="s">
        <v>1049</v>
      </c>
      <c r="G47" s="92"/>
      <c r="H47" s="92" t="s">
        <v>146</v>
      </c>
      <c r="I47" s="92"/>
      <c r="J47" s="464">
        <v>0</v>
      </c>
      <c r="K47" s="464">
        <v>0</v>
      </c>
      <c r="L47" s="464">
        <v>0</v>
      </c>
      <c r="M47" s="465">
        <v>0</v>
      </c>
      <c r="N47" s="465">
        <v>0</v>
      </c>
      <c r="O47" s="465">
        <v>0</v>
      </c>
      <c r="P47" s="464">
        <v>0</v>
      </c>
    </row>
    <row r="48" spans="4:16" x14ac:dyDescent="0.25">
      <c r="F48" s="99" t="s">
        <v>1050</v>
      </c>
      <c r="G48" s="92"/>
      <c r="H48" s="92" t="s">
        <v>146</v>
      </c>
      <c r="I48" s="92"/>
      <c r="J48" s="464">
        <v>0</v>
      </c>
      <c r="K48" s="464">
        <v>0</v>
      </c>
      <c r="L48" s="464">
        <v>0</v>
      </c>
      <c r="M48" s="465">
        <v>0</v>
      </c>
      <c r="N48" s="465">
        <v>0</v>
      </c>
      <c r="O48" s="465">
        <v>0</v>
      </c>
      <c r="P48" s="464">
        <v>0</v>
      </c>
    </row>
    <row r="49" spans="4:19" x14ac:dyDescent="0.25">
      <c r="F49" s="99" t="s">
        <v>1051</v>
      </c>
      <c r="G49" s="92"/>
      <c r="H49" s="92" t="s">
        <v>146</v>
      </c>
      <c r="I49" s="92"/>
      <c r="J49" s="464">
        <v>0</v>
      </c>
      <c r="K49" s="464">
        <v>0</v>
      </c>
      <c r="L49" s="464">
        <v>0</v>
      </c>
      <c r="M49" s="465">
        <v>0</v>
      </c>
      <c r="N49" s="465">
        <v>0</v>
      </c>
      <c r="O49" s="465">
        <v>0</v>
      </c>
      <c r="P49" s="464">
        <v>0</v>
      </c>
    </row>
    <row r="50" spans="4:19" x14ac:dyDescent="0.25">
      <c r="F50" s="99" t="s">
        <v>1052</v>
      </c>
      <c r="G50" s="92"/>
      <c r="H50" s="92" t="s">
        <v>146</v>
      </c>
      <c r="I50" s="92"/>
      <c r="J50" s="464">
        <v>0</v>
      </c>
      <c r="K50" s="464">
        <v>0</v>
      </c>
      <c r="L50" s="464">
        <v>0</v>
      </c>
      <c r="M50" s="465">
        <v>0</v>
      </c>
      <c r="N50" s="465">
        <v>0</v>
      </c>
      <c r="O50" s="465">
        <v>0</v>
      </c>
      <c r="P50" s="464">
        <v>0</v>
      </c>
    </row>
    <row r="51" spans="4:19" x14ac:dyDescent="0.25">
      <c r="F51" s="100" t="s">
        <v>1053</v>
      </c>
      <c r="G51" s="93"/>
      <c r="H51" s="93" t="s">
        <v>146</v>
      </c>
      <c r="I51" s="93"/>
      <c r="J51" s="448">
        <v>0</v>
      </c>
      <c r="K51" s="448">
        <v>0</v>
      </c>
      <c r="L51" s="448">
        <v>0</v>
      </c>
      <c r="M51" s="347">
        <v>0</v>
      </c>
      <c r="N51" s="347">
        <v>0</v>
      </c>
      <c r="O51" s="347">
        <v>0</v>
      </c>
      <c r="P51" s="448">
        <v>0</v>
      </c>
    </row>
    <row r="52" spans="4:19" x14ac:dyDescent="0.25">
      <c r="D52" s="195"/>
      <c r="E52" s="195"/>
      <c r="F52" s="195"/>
      <c r="G52" s="195"/>
      <c r="H52" s="195"/>
      <c r="I52" s="195"/>
      <c r="J52" s="446"/>
      <c r="K52" s="446"/>
      <c r="L52" s="446"/>
      <c r="M52" s="345"/>
      <c r="N52" s="345"/>
      <c r="O52" s="345"/>
      <c r="P52" s="446"/>
      <c r="Q52" s="195"/>
      <c r="R52" s="195"/>
      <c r="S52" s="195"/>
    </row>
    <row r="53" spans="4:19" x14ac:dyDescent="0.25">
      <c r="D53" s="96"/>
      <c r="E53" s="96" t="str">
        <f>"LDNO HV tariff forecast (" &amp; charging_year_selected &amp; ")"</f>
        <v>LDNO HV tariff forecast (2021/22)</v>
      </c>
      <c r="F53" s="195"/>
      <c r="G53" s="195"/>
      <c r="H53" s="195"/>
      <c r="I53" s="195"/>
      <c r="J53" s="446"/>
      <c r="K53" s="446"/>
      <c r="L53" s="446"/>
      <c r="M53" s="345"/>
      <c r="N53" s="345"/>
      <c r="O53" s="345"/>
      <c r="P53" s="446"/>
      <c r="Q53" s="195"/>
      <c r="R53" s="195"/>
      <c r="S53" s="195"/>
    </row>
    <row r="54" spans="4:19" x14ac:dyDescent="0.25">
      <c r="F54" s="103" t="s">
        <v>1038</v>
      </c>
      <c r="G54" s="91"/>
      <c r="H54" s="91" t="s">
        <v>147</v>
      </c>
      <c r="I54" s="91"/>
      <c r="J54" s="443">
        <f t="array" ref="J54:P69">TRANSPOSE(Rounding!J148:Y154)</f>
        <v>4.0250000000000004</v>
      </c>
      <c r="K54" s="443">
        <v>0.80500000000000005</v>
      </c>
      <c r="L54" s="443">
        <v>0.46400000000000002</v>
      </c>
      <c r="M54" s="342">
        <v>2</v>
      </c>
      <c r="N54" s="342">
        <v>0</v>
      </c>
      <c r="O54" s="342">
        <v>0</v>
      </c>
      <c r="P54" s="443">
        <v>0</v>
      </c>
    </row>
    <row r="55" spans="4:19" x14ac:dyDescent="0.25">
      <c r="F55" s="99" t="s">
        <v>1039</v>
      </c>
      <c r="G55" s="92"/>
      <c r="H55" s="92" t="s">
        <v>147</v>
      </c>
      <c r="I55" s="92"/>
      <c r="J55" s="462">
        <v>4.0250000000000004</v>
      </c>
      <c r="K55" s="462">
        <v>0.80500000000000005</v>
      </c>
      <c r="L55" s="462">
        <v>0.46400000000000002</v>
      </c>
      <c r="M55" s="463">
        <v>0</v>
      </c>
      <c r="N55" s="463">
        <v>0</v>
      </c>
      <c r="O55" s="463">
        <v>0</v>
      </c>
      <c r="P55" s="462">
        <v>0</v>
      </c>
    </row>
    <row r="56" spans="4:19" x14ac:dyDescent="0.25">
      <c r="F56" s="99" t="s">
        <v>1040</v>
      </c>
      <c r="G56" s="92"/>
      <c r="H56" s="92" t="s">
        <v>147</v>
      </c>
      <c r="I56" s="92"/>
      <c r="J56" s="462">
        <v>4.6020000000000003</v>
      </c>
      <c r="K56" s="462">
        <v>0.86099999999999999</v>
      </c>
      <c r="L56" s="462">
        <v>0.46500000000000002</v>
      </c>
      <c r="M56" s="463">
        <v>2.5</v>
      </c>
      <c r="N56" s="463">
        <v>0</v>
      </c>
      <c r="O56" s="463">
        <v>0</v>
      </c>
      <c r="P56" s="462">
        <v>0</v>
      </c>
    </row>
    <row r="57" spans="4:19" x14ac:dyDescent="0.25">
      <c r="F57" s="99" t="s">
        <v>1041</v>
      </c>
      <c r="G57" s="92"/>
      <c r="H57" s="92" t="s">
        <v>147</v>
      </c>
      <c r="I57" s="92"/>
      <c r="J57" s="462">
        <v>4.6020000000000003</v>
      </c>
      <c r="K57" s="462">
        <v>0.86099999999999999</v>
      </c>
      <c r="L57" s="462">
        <v>0.46500000000000002</v>
      </c>
      <c r="M57" s="463">
        <v>0</v>
      </c>
      <c r="N57" s="463">
        <v>0</v>
      </c>
      <c r="O57" s="463">
        <v>0</v>
      </c>
      <c r="P57" s="462">
        <v>0</v>
      </c>
    </row>
    <row r="58" spans="4:19" x14ac:dyDescent="0.25">
      <c r="F58" s="99" t="s">
        <v>1042</v>
      </c>
      <c r="G58" s="92"/>
      <c r="H58" s="92" t="s">
        <v>147</v>
      </c>
      <c r="I58" s="92"/>
      <c r="J58" s="462">
        <v>3.2429999999999999</v>
      </c>
      <c r="K58" s="462">
        <v>0.71899999999999997</v>
      </c>
      <c r="L58" s="462">
        <v>0.46100000000000002</v>
      </c>
      <c r="M58" s="463">
        <v>9.4</v>
      </c>
      <c r="N58" s="463">
        <v>0.99</v>
      </c>
      <c r="O58" s="463">
        <v>1.46</v>
      </c>
      <c r="P58" s="462">
        <v>9.2999999999999999E-2</v>
      </c>
    </row>
    <row r="59" spans="4:19" x14ac:dyDescent="0.25">
      <c r="F59" s="99" t="s">
        <v>1043</v>
      </c>
      <c r="G59" s="92"/>
      <c r="H59" s="92" t="s">
        <v>147</v>
      </c>
      <c r="I59" s="92"/>
      <c r="J59" s="462">
        <v>3.4609999999999999</v>
      </c>
      <c r="K59" s="462">
        <v>0.97799999999999998</v>
      </c>
      <c r="L59" s="462">
        <v>0.752</v>
      </c>
      <c r="M59" s="463">
        <v>5.53</v>
      </c>
      <c r="N59" s="463">
        <v>2.94</v>
      </c>
      <c r="O59" s="463">
        <v>3.35</v>
      </c>
      <c r="P59" s="462">
        <v>8.8999999999999996E-2</v>
      </c>
    </row>
    <row r="60" spans="4:19" x14ac:dyDescent="0.25">
      <c r="F60" s="99" t="s">
        <v>1044</v>
      </c>
      <c r="G60" s="92"/>
      <c r="H60" s="92" t="s">
        <v>147</v>
      </c>
      <c r="I60" s="92"/>
      <c r="J60" s="462">
        <v>3.218</v>
      </c>
      <c r="K60" s="462">
        <v>1.0469999999999999</v>
      </c>
      <c r="L60" s="462">
        <v>0.86099999999999999</v>
      </c>
      <c r="M60" s="463">
        <v>93.09</v>
      </c>
      <c r="N60" s="463">
        <v>3.71</v>
      </c>
      <c r="O60" s="463">
        <v>4.58</v>
      </c>
      <c r="P60" s="462">
        <v>7.5999999999999998E-2</v>
      </c>
    </row>
    <row r="61" spans="4:19" x14ac:dyDescent="0.25">
      <c r="F61" s="99" t="s">
        <v>1045</v>
      </c>
      <c r="G61" s="92"/>
      <c r="H61" s="92" t="s">
        <v>147</v>
      </c>
      <c r="I61" s="92"/>
      <c r="J61" s="462">
        <v>9.0090000000000003</v>
      </c>
      <c r="K61" s="462">
        <v>0.92800000000000005</v>
      </c>
      <c r="L61" s="462">
        <v>0.63300000000000001</v>
      </c>
      <c r="M61" s="463">
        <v>0</v>
      </c>
      <c r="N61" s="463">
        <v>0</v>
      </c>
      <c r="O61" s="463">
        <v>0</v>
      </c>
      <c r="P61" s="462">
        <v>0</v>
      </c>
    </row>
    <row r="62" spans="4:19" x14ac:dyDescent="0.25">
      <c r="F62" s="99" t="s">
        <v>1046</v>
      </c>
      <c r="G62" s="92"/>
      <c r="H62" s="92" t="s">
        <v>147</v>
      </c>
      <c r="I62" s="92"/>
      <c r="J62" s="462">
        <v>-6.4409999999999998</v>
      </c>
      <c r="K62" s="462">
        <v>-0.63100000000000001</v>
      </c>
      <c r="L62" s="462">
        <v>-1.6E-2</v>
      </c>
      <c r="M62" s="463">
        <v>0</v>
      </c>
      <c r="N62" s="463">
        <v>0</v>
      </c>
      <c r="O62" s="463">
        <v>0</v>
      </c>
      <c r="P62" s="462">
        <v>0</v>
      </c>
    </row>
    <row r="63" spans="4:19" x14ac:dyDescent="0.25">
      <c r="F63" s="99" t="s">
        <v>1047</v>
      </c>
      <c r="G63" s="92"/>
      <c r="H63" s="92" t="s">
        <v>147</v>
      </c>
      <c r="I63" s="92"/>
      <c r="J63" s="462">
        <v>-5.6890000000000001</v>
      </c>
      <c r="K63" s="462">
        <v>-0.54800000000000004</v>
      </c>
      <c r="L63" s="462">
        <v>-1.4E-2</v>
      </c>
      <c r="M63" s="463">
        <v>0</v>
      </c>
      <c r="N63" s="463">
        <v>0</v>
      </c>
      <c r="O63" s="463">
        <v>0</v>
      </c>
      <c r="P63" s="462">
        <v>0</v>
      </c>
    </row>
    <row r="64" spans="4:19" x14ac:dyDescent="0.25">
      <c r="F64" s="99" t="s">
        <v>1048</v>
      </c>
      <c r="G64" s="92"/>
      <c r="H64" s="92" t="s">
        <v>147</v>
      </c>
      <c r="I64" s="92"/>
      <c r="J64" s="462">
        <v>-6.4409999999999998</v>
      </c>
      <c r="K64" s="462">
        <v>-0.63100000000000001</v>
      </c>
      <c r="L64" s="462">
        <v>-1.6E-2</v>
      </c>
      <c r="M64" s="463">
        <v>0</v>
      </c>
      <c r="N64" s="463">
        <v>0</v>
      </c>
      <c r="O64" s="463">
        <v>0</v>
      </c>
      <c r="P64" s="462">
        <v>0.20300000000000001</v>
      </c>
    </row>
    <row r="65" spans="3:19" x14ac:dyDescent="0.25">
      <c r="F65" s="99" t="s">
        <v>1049</v>
      </c>
      <c r="G65" s="92"/>
      <c r="H65" s="92" t="s">
        <v>147</v>
      </c>
      <c r="I65" s="92"/>
      <c r="J65" s="464">
        <v>0</v>
      </c>
      <c r="K65" s="464">
        <v>0</v>
      </c>
      <c r="L65" s="464">
        <v>0</v>
      </c>
      <c r="M65" s="465">
        <v>0</v>
      </c>
      <c r="N65" s="465">
        <v>0</v>
      </c>
      <c r="O65" s="465">
        <v>0</v>
      </c>
      <c r="P65" s="464">
        <v>0</v>
      </c>
    </row>
    <row r="66" spans="3:19" x14ac:dyDescent="0.25">
      <c r="F66" s="99" t="s">
        <v>1050</v>
      </c>
      <c r="G66" s="92"/>
      <c r="H66" s="92" t="s">
        <v>147</v>
      </c>
      <c r="I66" s="92"/>
      <c r="J66" s="462">
        <v>-5.6890000000000001</v>
      </c>
      <c r="K66" s="462">
        <v>-0.54800000000000004</v>
      </c>
      <c r="L66" s="462">
        <v>-1.4E-2</v>
      </c>
      <c r="M66" s="463">
        <v>0</v>
      </c>
      <c r="N66" s="463">
        <v>0</v>
      </c>
      <c r="O66" s="463">
        <v>0</v>
      </c>
      <c r="P66" s="462">
        <v>0.182</v>
      </c>
    </row>
    <row r="67" spans="3:19" x14ac:dyDescent="0.25">
      <c r="F67" s="99" t="s">
        <v>1051</v>
      </c>
      <c r="G67" s="92"/>
      <c r="H67" s="92" t="s">
        <v>147</v>
      </c>
      <c r="I67" s="92"/>
      <c r="J67" s="464">
        <v>0</v>
      </c>
      <c r="K67" s="464">
        <v>0</v>
      </c>
      <c r="L67" s="464">
        <v>0</v>
      </c>
      <c r="M67" s="465">
        <v>0</v>
      </c>
      <c r="N67" s="465">
        <v>0</v>
      </c>
      <c r="O67" s="465">
        <v>0</v>
      </c>
      <c r="P67" s="464">
        <v>0</v>
      </c>
    </row>
    <row r="68" spans="3:19" x14ac:dyDescent="0.25">
      <c r="F68" s="99" t="s">
        <v>1052</v>
      </c>
      <c r="G68" s="92"/>
      <c r="H68" s="92" t="s">
        <v>147</v>
      </c>
      <c r="I68" s="92"/>
      <c r="J68" s="462">
        <v>-3.7330000000000001</v>
      </c>
      <c r="K68" s="462">
        <v>-0.316</v>
      </c>
      <c r="L68" s="462">
        <v>-6.0000000000000001E-3</v>
      </c>
      <c r="M68" s="463">
        <v>0</v>
      </c>
      <c r="N68" s="463">
        <v>0</v>
      </c>
      <c r="O68" s="463">
        <v>0</v>
      </c>
      <c r="P68" s="462">
        <v>0.156</v>
      </c>
    </row>
    <row r="69" spans="3:19" x14ac:dyDescent="0.25">
      <c r="F69" s="100" t="s">
        <v>1053</v>
      </c>
      <c r="G69" s="93"/>
      <c r="H69" s="93" t="s">
        <v>147</v>
      </c>
      <c r="I69" s="93"/>
      <c r="J69" s="448">
        <v>0</v>
      </c>
      <c r="K69" s="448">
        <v>0</v>
      </c>
      <c r="L69" s="448">
        <v>0</v>
      </c>
      <c r="M69" s="347">
        <v>0</v>
      </c>
      <c r="N69" s="347">
        <v>0</v>
      </c>
      <c r="O69" s="347">
        <v>0</v>
      </c>
      <c r="P69" s="448">
        <v>0</v>
      </c>
    </row>
    <row r="70" spans="3:19" x14ac:dyDescent="0.25">
      <c r="D70" s="96"/>
      <c r="E70" s="96"/>
      <c r="F70" s="96"/>
      <c r="G70" s="96"/>
      <c r="H70" s="96"/>
      <c r="I70" s="96"/>
      <c r="J70" s="449"/>
      <c r="K70" s="449"/>
      <c r="L70" s="449"/>
      <c r="M70" s="216"/>
      <c r="N70" s="216"/>
      <c r="O70" s="216"/>
      <c r="P70" s="449"/>
      <c r="Q70" s="96"/>
      <c r="R70" s="96"/>
      <c r="S70" s="96"/>
    </row>
    <row r="71" spans="3:19" s="195" customFormat="1" x14ac:dyDescent="0.25">
      <c r="C71" s="7" t="str">
        <f ca="1">INDEX('Version control'!$H$34:$H$60,MATCH($A$1,'Version control'!$F$34:$F$60,0),1)&amp;"-B: tariff forecast results for charging year " &amp; charging_year</f>
        <v>Input 506-B: tariff forecast results for charging year 2021/22</v>
      </c>
      <c r="D71" s="7"/>
      <c r="E71" s="7"/>
      <c r="F71" s="7"/>
      <c r="G71" s="7"/>
      <c r="H71" s="7"/>
      <c r="I71" s="7"/>
      <c r="J71" s="450"/>
      <c r="K71" s="450"/>
      <c r="L71" s="450"/>
      <c r="M71" s="7"/>
      <c r="N71" s="7"/>
      <c r="O71" s="7"/>
      <c r="P71" s="450"/>
      <c r="Q71" s="7"/>
      <c r="R71" s="7"/>
    </row>
    <row r="72" spans="3:19" x14ac:dyDescent="0.25">
      <c r="D72" s="85"/>
      <c r="E72" s="195"/>
      <c r="F72" s="195"/>
      <c r="J72" s="451"/>
      <c r="K72" s="451"/>
      <c r="L72" s="451"/>
      <c r="M72" s="214"/>
      <c r="N72" s="214"/>
      <c r="O72" s="214"/>
      <c r="P72" s="451"/>
    </row>
    <row r="73" spans="3:19" x14ac:dyDescent="0.25">
      <c r="D73" s="96"/>
      <c r="E73" s="96" t="str">
        <f>"All the way tariff forecast " &amp; charging_year</f>
        <v>All the way tariff forecast 2021/22</v>
      </c>
      <c r="F73" s="195"/>
      <c r="J73" s="451"/>
      <c r="K73" s="451"/>
      <c r="L73" s="451"/>
      <c r="M73" s="214"/>
      <c r="N73" s="214"/>
      <c r="O73" s="214"/>
      <c r="P73" s="451"/>
    </row>
    <row r="74" spans="3:19" x14ac:dyDescent="0.25">
      <c r="F74" s="103" t="s">
        <v>1038</v>
      </c>
      <c r="G74" s="91"/>
      <c r="H74" s="91" t="s">
        <v>318</v>
      </c>
      <c r="I74" s="91"/>
      <c r="J74" s="443">
        <v>10.154999999999999</v>
      </c>
      <c r="K74" s="443">
        <v>2.0299999999999998</v>
      </c>
      <c r="L74" s="443">
        <v>1.17</v>
      </c>
      <c r="M74" s="342">
        <v>4.76</v>
      </c>
      <c r="N74" s="342">
        <v>0</v>
      </c>
      <c r="O74" s="342">
        <v>0</v>
      </c>
      <c r="P74" s="443">
        <v>0</v>
      </c>
    </row>
    <row r="75" spans="3:19" x14ac:dyDescent="0.25">
      <c r="F75" s="99" t="s">
        <v>1039</v>
      </c>
      <c r="G75" s="196"/>
      <c r="H75" s="196" t="s">
        <v>318</v>
      </c>
      <c r="I75" s="196"/>
      <c r="J75" s="444">
        <v>10.154999999999999</v>
      </c>
      <c r="K75" s="444">
        <v>2.0299999999999998</v>
      </c>
      <c r="L75" s="444">
        <v>1.17</v>
      </c>
      <c r="M75" s="343">
        <v>0</v>
      </c>
      <c r="N75" s="343">
        <v>0</v>
      </c>
      <c r="O75" s="343">
        <v>0</v>
      </c>
      <c r="P75" s="444">
        <v>0</v>
      </c>
    </row>
    <row r="76" spans="3:19" x14ac:dyDescent="0.25">
      <c r="F76" s="99" t="s">
        <v>1040</v>
      </c>
      <c r="G76" s="196"/>
      <c r="H76" s="196" t="s">
        <v>318</v>
      </c>
      <c r="I76" s="196"/>
      <c r="J76" s="444">
        <v>11.609</v>
      </c>
      <c r="K76" s="444">
        <v>2.173</v>
      </c>
      <c r="L76" s="444">
        <v>1.1739999999999999</v>
      </c>
      <c r="M76" s="343">
        <v>6.04</v>
      </c>
      <c r="N76" s="343">
        <v>0</v>
      </c>
      <c r="O76" s="343">
        <v>0</v>
      </c>
      <c r="P76" s="444">
        <v>0</v>
      </c>
    </row>
    <row r="77" spans="3:19" x14ac:dyDescent="0.25">
      <c r="F77" s="99" t="s">
        <v>1041</v>
      </c>
      <c r="G77" s="196"/>
      <c r="H77" s="196" t="s">
        <v>318</v>
      </c>
      <c r="I77" s="196"/>
      <c r="J77" s="444">
        <v>11.609</v>
      </c>
      <c r="K77" s="444">
        <v>2.173</v>
      </c>
      <c r="L77" s="444">
        <v>1.1739999999999999</v>
      </c>
      <c r="M77" s="343">
        <v>0</v>
      </c>
      <c r="N77" s="343">
        <v>0</v>
      </c>
      <c r="O77" s="343">
        <v>0</v>
      </c>
      <c r="P77" s="444">
        <v>0</v>
      </c>
    </row>
    <row r="78" spans="3:19" x14ac:dyDescent="0.25">
      <c r="F78" s="99" t="s">
        <v>1042</v>
      </c>
      <c r="G78" s="196"/>
      <c r="H78" s="196" t="s">
        <v>318</v>
      </c>
      <c r="I78" s="196"/>
      <c r="J78" s="444">
        <v>8.1809999999999992</v>
      </c>
      <c r="K78" s="444">
        <v>1.8129999999999999</v>
      </c>
      <c r="L78" s="444">
        <v>1.163</v>
      </c>
      <c r="M78" s="343">
        <v>23.42</v>
      </c>
      <c r="N78" s="343">
        <v>2.5</v>
      </c>
      <c r="O78" s="343">
        <v>3.69</v>
      </c>
      <c r="P78" s="444">
        <v>0.23499999999999999</v>
      </c>
    </row>
    <row r="79" spans="3:19" x14ac:dyDescent="0.25">
      <c r="F79" s="99" t="s">
        <v>1043</v>
      </c>
      <c r="G79" s="196"/>
      <c r="H79" s="196" t="s">
        <v>318</v>
      </c>
      <c r="I79" s="196"/>
      <c r="J79" s="444">
        <v>5.3090000000000002</v>
      </c>
      <c r="K79" s="444">
        <v>1.5009999999999999</v>
      </c>
      <c r="L79" s="444">
        <v>1.1539999999999999</v>
      </c>
      <c r="M79" s="343">
        <v>8.39</v>
      </c>
      <c r="N79" s="343">
        <v>4.51</v>
      </c>
      <c r="O79" s="343">
        <v>5.14</v>
      </c>
      <c r="P79" s="444">
        <v>0.13700000000000001</v>
      </c>
    </row>
    <row r="80" spans="3:19" x14ac:dyDescent="0.25">
      <c r="F80" s="99" t="s">
        <v>1044</v>
      </c>
      <c r="G80" s="196"/>
      <c r="H80" s="196" t="s">
        <v>318</v>
      </c>
      <c r="I80" s="196"/>
      <c r="J80" s="444">
        <v>4.3010000000000002</v>
      </c>
      <c r="K80" s="444">
        <v>1.4</v>
      </c>
      <c r="L80" s="444">
        <v>1.151</v>
      </c>
      <c r="M80" s="343">
        <v>124.35</v>
      </c>
      <c r="N80" s="343">
        <v>4.96</v>
      </c>
      <c r="O80" s="343">
        <v>6.12</v>
      </c>
      <c r="P80" s="444">
        <v>0.10199999999999999</v>
      </c>
    </row>
    <row r="81" spans="4:16" x14ac:dyDescent="0.25">
      <c r="F81" s="99" t="s">
        <v>1045</v>
      </c>
      <c r="G81" s="196"/>
      <c r="H81" s="196" t="s">
        <v>318</v>
      </c>
      <c r="I81" s="196"/>
      <c r="J81" s="444">
        <v>22.728000000000002</v>
      </c>
      <c r="K81" s="444">
        <v>2.3420000000000001</v>
      </c>
      <c r="L81" s="444">
        <v>1.5960000000000001</v>
      </c>
      <c r="M81" s="343">
        <v>0</v>
      </c>
      <c r="N81" s="343">
        <v>0</v>
      </c>
      <c r="O81" s="343">
        <v>0</v>
      </c>
      <c r="P81" s="444">
        <v>0</v>
      </c>
    </row>
    <row r="82" spans="4:16" x14ac:dyDescent="0.25">
      <c r="F82" s="99" t="s">
        <v>1046</v>
      </c>
      <c r="G82" s="196"/>
      <c r="H82" s="196" t="s">
        <v>318</v>
      </c>
      <c r="I82" s="196"/>
      <c r="J82" s="444">
        <v>-6.4409999999999998</v>
      </c>
      <c r="K82" s="444">
        <v>-0.63100000000000001</v>
      </c>
      <c r="L82" s="444">
        <v>-1.6E-2</v>
      </c>
      <c r="M82" s="343">
        <v>0</v>
      </c>
      <c r="N82" s="343">
        <v>0</v>
      </c>
      <c r="O82" s="343">
        <v>0</v>
      </c>
      <c r="P82" s="444">
        <v>0</v>
      </c>
    </row>
    <row r="83" spans="4:16" x14ac:dyDescent="0.25">
      <c r="F83" s="99" t="s">
        <v>1047</v>
      </c>
      <c r="G83" s="196"/>
      <c r="H83" s="196" t="s">
        <v>318</v>
      </c>
      <c r="I83" s="196"/>
      <c r="J83" s="444">
        <v>-5.6890000000000001</v>
      </c>
      <c r="K83" s="444">
        <v>-0.54800000000000004</v>
      </c>
      <c r="L83" s="444">
        <v>-1.4E-2</v>
      </c>
      <c r="M83" s="343">
        <v>0</v>
      </c>
      <c r="N83" s="343">
        <v>0</v>
      </c>
      <c r="O83" s="343">
        <v>0</v>
      </c>
      <c r="P83" s="444">
        <v>0</v>
      </c>
    </row>
    <row r="84" spans="4:16" x14ac:dyDescent="0.25">
      <c r="F84" s="99" t="s">
        <v>1048</v>
      </c>
      <c r="G84" s="196"/>
      <c r="H84" s="196" t="s">
        <v>318</v>
      </c>
      <c r="I84" s="196"/>
      <c r="J84" s="444">
        <v>-6.4409999999999998</v>
      </c>
      <c r="K84" s="444">
        <v>-0.63100000000000001</v>
      </c>
      <c r="L84" s="444">
        <v>-1.6E-2</v>
      </c>
      <c r="M84" s="343">
        <v>0</v>
      </c>
      <c r="N84" s="343">
        <v>0</v>
      </c>
      <c r="O84" s="343">
        <v>0</v>
      </c>
      <c r="P84" s="444">
        <v>0.20300000000000001</v>
      </c>
    </row>
    <row r="85" spans="4:16" x14ac:dyDescent="0.25">
      <c r="F85" s="99" t="s">
        <v>1049</v>
      </c>
      <c r="G85" s="196"/>
      <c r="H85" s="196" t="s">
        <v>318</v>
      </c>
      <c r="I85" s="196"/>
      <c r="J85" s="444">
        <v>-6.4409999999999998</v>
      </c>
      <c r="K85" s="444">
        <v>-0.63100000000000001</v>
      </c>
      <c r="L85" s="444">
        <v>-1.6E-2</v>
      </c>
      <c r="M85" s="343">
        <v>0</v>
      </c>
      <c r="N85" s="343">
        <v>0</v>
      </c>
      <c r="O85" s="343">
        <v>0</v>
      </c>
      <c r="P85" s="444">
        <v>0</v>
      </c>
    </row>
    <row r="86" spans="4:16" x14ac:dyDescent="0.25">
      <c r="F86" s="99" t="s">
        <v>1050</v>
      </c>
      <c r="G86" s="196"/>
      <c r="H86" s="196" t="s">
        <v>318</v>
      </c>
      <c r="I86" s="196"/>
      <c r="J86" s="444">
        <v>-5.6890000000000001</v>
      </c>
      <c r="K86" s="444">
        <v>-0.54800000000000004</v>
      </c>
      <c r="L86" s="444">
        <v>-1.4E-2</v>
      </c>
      <c r="M86" s="343">
        <v>0</v>
      </c>
      <c r="N86" s="343">
        <v>0</v>
      </c>
      <c r="O86" s="343">
        <v>0</v>
      </c>
      <c r="P86" s="444">
        <v>0.182</v>
      </c>
    </row>
    <row r="87" spans="4:16" x14ac:dyDescent="0.25">
      <c r="F87" s="99" t="s">
        <v>1051</v>
      </c>
      <c r="G87" s="196"/>
      <c r="H87" s="196" t="s">
        <v>318</v>
      </c>
      <c r="I87" s="196"/>
      <c r="J87" s="444">
        <v>-5.6890000000000001</v>
      </c>
      <c r="K87" s="444">
        <v>-0.54800000000000004</v>
      </c>
      <c r="L87" s="444">
        <v>-1.4E-2</v>
      </c>
      <c r="M87" s="343">
        <v>0</v>
      </c>
      <c r="N87" s="343">
        <v>0</v>
      </c>
      <c r="O87" s="343">
        <v>0</v>
      </c>
      <c r="P87" s="444">
        <v>0</v>
      </c>
    </row>
    <row r="88" spans="4:16" x14ac:dyDescent="0.25">
      <c r="F88" s="99" t="s">
        <v>1052</v>
      </c>
      <c r="G88" s="196"/>
      <c r="H88" s="196" t="s">
        <v>318</v>
      </c>
      <c r="I88" s="196"/>
      <c r="J88" s="444">
        <v>-3.7330000000000001</v>
      </c>
      <c r="K88" s="444">
        <v>-0.316</v>
      </c>
      <c r="L88" s="444">
        <v>-6.0000000000000001E-3</v>
      </c>
      <c r="M88" s="343">
        <v>90.67</v>
      </c>
      <c r="N88" s="343">
        <v>0</v>
      </c>
      <c r="O88" s="343">
        <v>0</v>
      </c>
      <c r="P88" s="444">
        <v>0.156</v>
      </c>
    </row>
    <row r="89" spans="4:16" x14ac:dyDescent="0.25">
      <c r="F89" s="100" t="s">
        <v>1053</v>
      </c>
      <c r="G89" s="93"/>
      <c r="H89" s="93" t="s">
        <v>318</v>
      </c>
      <c r="I89" s="93"/>
      <c r="J89" s="445">
        <v>-3.7330000000000001</v>
      </c>
      <c r="K89" s="445">
        <v>-0.316</v>
      </c>
      <c r="L89" s="445">
        <v>-6.0000000000000001E-3</v>
      </c>
      <c r="M89" s="344">
        <v>90.67</v>
      </c>
      <c r="N89" s="344">
        <v>0</v>
      </c>
      <c r="O89" s="344">
        <v>0</v>
      </c>
      <c r="P89" s="445">
        <v>0</v>
      </c>
    </row>
    <row r="90" spans="4:16" x14ac:dyDescent="0.25">
      <c r="F90" s="98"/>
      <c r="G90" s="295"/>
      <c r="H90" s="295"/>
      <c r="I90" s="295"/>
      <c r="J90" s="446"/>
      <c r="K90" s="446"/>
      <c r="L90" s="446"/>
      <c r="M90" s="345"/>
      <c r="N90" s="345"/>
      <c r="O90" s="345"/>
      <c r="P90" s="446"/>
    </row>
    <row r="91" spans="4:16" x14ac:dyDescent="0.25">
      <c r="D91" s="96"/>
      <c r="E91" s="96" t="str">
        <f>"LDNO LV tariff forecast " &amp; charging_year</f>
        <v>LDNO LV tariff forecast 2021/22</v>
      </c>
      <c r="F91" s="98"/>
      <c r="G91" s="295"/>
      <c r="H91" s="295"/>
      <c r="I91" s="295"/>
      <c r="J91" s="446"/>
      <c r="K91" s="446"/>
      <c r="L91" s="446"/>
      <c r="M91" s="345"/>
      <c r="N91" s="345"/>
      <c r="O91" s="345"/>
      <c r="P91" s="446"/>
    </row>
    <row r="92" spans="4:16" x14ac:dyDescent="0.25">
      <c r="F92" s="103" t="s">
        <v>1038</v>
      </c>
      <c r="G92" s="91"/>
      <c r="H92" s="91" t="s">
        <v>146</v>
      </c>
      <c r="I92" s="91"/>
      <c r="J92" s="443">
        <v>6.1879999999999997</v>
      </c>
      <c r="K92" s="443">
        <v>1.2370000000000001</v>
      </c>
      <c r="L92" s="443">
        <v>0.71299999999999997</v>
      </c>
      <c r="M92" s="342">
        <v>2.98</v>
      </c>
      <c r="N92" s="342">
        <v>0</v>
      </c>
      <c r="O92" s="342">
        <v>0</v>
      </c>
      <c r="P92" s="443">
        <v>0</v>
      </c>
    </row>
    <row r="93" spans="4:16" x14ac:dyDescent="0.25">
      <c r="F93" s="99" t="s">
        <v>1039</v>
      </c>
      <c r="G93" s="196"/>
      <c r="H93" s="196" t="s">
        <v>146</v>
      </c>
      <c r="I93" s="196"/>
      <c r="J93" s="444">
        <v>6.1879999999999997</v>
      </c>
      <c r="K93" s="444">
        <v>1.2370000000000001</v>
      </c>
      <c r="L93" s="444">
        <v>0.71299999999999997</v>
      </c>
      <c r="M93" s="343">
        <v>0</v>
      </c>
      <c r="N93" s="343">
        <v>0</v>
      </c>
      <c r="O93" s="343">
        <v>0</v>
      </c>
      <c r="P93" s="444">
        <v>0</v>
      </c>
    </row>
    <row r="94" spans="4:16" x14ac:dyDescent="0.25">
      <c r="F94" s="99" t="s">
        <v>1040</v>
      </c>
      <c r="G94" s="196"/>
      <c r="H94" s="196" t="s">
        <v>146</v>
      </c>
      <c r="I94" s="196"/>
      <c r="J94" s="444">
        <v>7.0739999999999998</v>
      </c>
      <c r="K94" s="444">
        <v>1.3240000000000001</v>
      </c>
      <c r="L94" s="444">
        <v>0.71499999999999997</v>
      </c>
      <c r="M94" s="343">
        <v>3.75</v>
      </c>
      <c r="N94" s="343">
        <v>0</v>
      </c>
      <c r="O94" s="343">
        <v>0</v>
      </c>
      <c r="P94" s="444">
        <v>0</v>
      </c>
    </row>
    <row r="95" spans="4:16" x14ac:dyDescent="0.25">
      <c r="F95" s="99" t="s">
        <v>1041</v>
      </c>
      <c r="G95" s="196"/>
      <c r="H95" s="196" t="s">
        <v>146</v>
      </c>
      <c r="I95" s="196"/>
      <c r="J95" s="444">
        <v>7.0739999999999998</v>
      </c>
      <c r="K95" s="444">
        <v>1.3240000000000001</v>
      </c>
      <c r="L95" s="444">
        <v>0.71499999999999997</v>
      </c>
      <c r="M95" s="343">
        <v>0</v>
      </c>
      <c r="N95" s="343">
        <v>0</v>
      </c>
      <c r="O95" s="343">
        <v>0</v>
      </c>
      <c r="P95" s="444">
        <v>0</v>
      </c>
    </row>
    <row r="96" spans="4:16" x14ac:dyDescent="0.25">
      <c r="F96" s="99" t="s">
        <v>1042</v>
      </c>
      <c r="G96" s="196"/>
      <c r="H96" s="196" t="s">
        <v>146</v>
      </c>
      <c r="I96" s="196"/>
      <c r="J96" s="444">
        <v>4.9850000000000003</v>
      </c>
      <c r="K96" s="444">
        <v>1.105</v>
      </c>
      <c r="L96" s="444">
        <v>0.70899999999999996</v>
      </c>
      <c r="M96" s="343">
        <v>14.34</v>
      </c>
      <c r="N96" s="343">
        <v>1.52</v>
      </c>
      <c r="O96" s="343">
        <v>2.25</v>
      </c>
      <c r="P96" s="444">
        <v>0.14299999999999999</v>
      </c>
    </row>
    <row r="97" spans="4:19" x14ac:dyDescent="0.25">
      <c r="F97" s="99" t="s">
        <v>1043</v>
      </c>
      <c r="G97" s="196"/>
      <c r="H97" s="196" t="s">
        <v>146</v>
      </c>
      <c r="I97" s="196"/>
      <c r="J97" s="447">
        <v>0</v>
      </c>
      <c r="K97" s="447">
        <v>0</v>
      </c>
      <c r="L97" s="447">
        <v>0</v>
      </c>
      <c r="M97" s="346">
        <v>0</v>
      </c>
      <c r="N97" s="346">
        <v>0</v>
      </c>
      <c r="O97" s="346">
        <v>0</v>
      </c>
      <c r="P97" s="447">
        <v>0</v>
      </c>
    </row>
    <row r="98" spans="4:19" x14ac:dyDescent="0.25">
      <c r="F98" s="99" t="s">
        <v>1044</v>
      </c>
      <c r="G98" s="196"/>
      <c r="H98" s="196" t="s">
        <v>146</v>
      </c>
      <c r="I98" s="196"/>
      <c r="J98" s="447">
        <v>0</v>
      </c>
      <c r="K98" s="447">
        <v>0</v>
      </c>
      <c r="L98" s="447">
        <v>0</v>
      </c>
      <c r="M98" s="346">
        <v>0</v>
      </c>
      <c r="N98" s="346">
        <v>0</v>
      </c>
      <c r="O98" s="346">
        <v>0</v>
      </c>
      <c r="P98" s="447">
        <v>0</v>
      </c>
    </row>
    <row r="99" spans="4:19" x14ac:dyDescent="0.25">
      <c r="F99" s="99" t="s">
        <v>1045</v>
      </c>
      <c r="G99" s="196"/>
      <c r="H99" s="196" t="s">
        <v>146</v>
      </c>
      <c r="I99" s="196"/>
      <c r="J99" s="444">
        <v>13.849</v>
      </c>
      <c r="K99" s="444">
        <v>1.427</v>
      </c>
      <c r="L99" s="444">
        <v>0.97299999999999998</v>
      </c>
      <c r="M99" s="343">
        <v>0</v>
      </c>
      <c r="N99" s="343">
        <v>0</v>
      </c>
      <c r="O99" s="343">
        <v>0</v>
      </c>
      <c r="P99" s="444">
        <v>0</v>
      </c>
    </row>
    <row r="100" spans="4:19" x14ac:dyDescent="0.25">
      <c r="F100" s="99" t="s">
        <v>1046</v>
      </c>
      <c r="G100" s="196"/>
      <c r="H100" s="196" t="s">
        <v>146</v>
      </c>
      <c r="I100" s="196"/>
      <c r="J100" s="444">
        <v>-6.4409999999999998</v>
      </c>
      <c r="K100" s="444">
        <v>-0.63100000000000001</v>
      </c>
      <c r="L100" s="444">
        <v>-1.6E-2</v>
      </c>
      <c r="M100" s="343">
        <v>0</v>
      </c>
      <c r="N100" s="343">
        <v>0</v>
      </c>
      <c r="O100" s="343">
        <v>0</v>
      </c>
      <c r="P100" s="444">
        <v>0</v>
      </c>
    </row>
    <row r="101" spans="4:19" x14ac:dyDescent="0.25">
      <c r="F101" s="99" t="s">
        <v>1047</v>
      </c>
      <c r="G101" s="196"/>
      <c r="H101" s="196" t="s">
        <v>146</v>
      </c>
      <c r="I101" s="196"/>
      <c r="J101" s="447">
        <v>0</v>
      </c>
      <c r="K101" s="447">
        <v>0</v>
      </c>
      <c r="L101" s="447">
        <v>0</v>
      </c>
      <c r="M101" s="346">
        <v>0</v>
      </c>
      <c r="N101" s="346">
        <v>0</v>
      </c>
      <c r="O101" s="346">
        <v>0</v>
      </c>
      <c r="P101" s="447">
        <v>0</v>
      </c>
    </row>
    <row r="102" spans="4:19" x14ac:dyDescent="0.25">
      <c r="F102" s="99" t="s">
        <v>1048</v>
      </c>
      <c r="G102" s="196"/>
      <c r="H102" s="196" t="s">
        <v>146</v>
      </c>
      <c r="I102" s="196"/>
      <c r="J102" s="444">
        <v>-6.4409999999999998</v>
      </c>
      <c r="K102" s="444">
        <v>-0.63100000000000001</v>
      </c>
      <c r="L102" s="444">
        <v>-1.6E-2</v>
      </c>
      <c r="M102" s="343">
        <v>0</v>
      </c>
      <c r="N102" s="343">
        <v>0</v>
      </c>
      <c r="O102" s="343">
        <v>0</v>
      </c>
      <c r="P102" s="444">
        <v>0.20300000000000001</v>
      </c>
    </row>
    <row r="103" spans="4:19" x14ac:dyDescent="0.25">
      <c r="F103" s="99" t="s">
        <v>1049</v>
      </c>
      <c r="G103" s="196"/>
      <c r="H103" s="196" t="s">
        <v>146</v>
      </c>
      <c r="I103" s="196"/>
      <c r="J103" s="447">
        <v>0</v>
      </c>
      <c r="K103" s="447">
        <v>0</v>
      </c>
      <c r="L103" s="447">
        <v>0</v>
      </c>
      <c r="M103" s="346">
        <v>0</v>
      </c>
      <c r="N103" s="346">
        <v>0</v>
      </c>
      <c r="O103" s="346">
        <v>0</v>
      </c>
      <c r="P103" s="447">
        <v>0</v>
      </c>
    </row>
    <row r="104" spans="4:19" x14ac:dyDescent="0.25">
      <c r="F104" s="99" t="s">
        <v>1050</v>
      </c>
      <c r="G104" s="196"/>
      <c r="H104" s="196" t="s">
        <v>146</v>
      </c>
      <c r="I104" s="196"/>
      <c r="J104" s="447">
        <v>0</v>
      </c>
      <c r="K104" s="447">
        <v>0</v>
      </c>
      <c r="L104" s="447">
        <v>0</v>
      </c>
      <c r="M104" s="346">
        <v>0</v>
      </c>
      <c r="N104" s="346">
        <v>0</v>
      </c>
      <c r="O104" s="346">
        <v>0</v>
      </c>
      <c r="P104" s="447">
        <v>0</v>
      </c>
    </row>
    <row r="105" spans="4:19" x14ac:dyDescent="0.25">
      <c r="F105" s="99" t="s">
        <v>1051</v>
      </c>
      <c r="G105" s="196"/>
      <c r="H105" s="196" t="s">
        <v>146</v>
      </c>
      <c r="I105" s="196"/>
      <c r="J105" s="447">
        <v>0</v>
      </c>
      <c r="K105" s="447">
        <v>0</v>
      </c>
      <c r="L105" s="447">
        <v>0</v>
      </c>
      <c r="M105" s="346">
        <v>0</v>
      </c>
      <c r="N105" s="346">
        <v>0</v>
      </c>
      <c r="O105" s="346">
        <v>0</v>
      </c>
      <c r="P105" s="447">
        <v>0</v>
      </c>
    </row>
    <row r="106" spans="4:19" x14ac:dyDescent="0.25">
      <c r="F106" s="99" t="s">
        <v>1052</v>
      </c>
      <c r="G106" s="196"/>
      <c r="H106" s="196" t="s">
        <v>146</v>
      </c>
      <c r="I106" s="196"/>
      <c r="J106" s="447">
        <v>0</v>
      </c>
      <c r="K106" s="447">
        <v>0</v>
      </c>
      <c r="L106" s="447">
        <v>0</v>
      </c>
      <c r="M106" s="346">
        <v>0</v>
      </c>
      <c r="N106" s="346">
        <v>0</v>
      </c>
      <c r="O106" s="346">
        <v>0</v>
      </c>
      <c r="P106" s="447">
        <v>0</v>
      </c>
    </row>
    <row r="107" spans="4:19" x14ac:dyDescent="0.25">
      <c r="F107" s="100" t="s">
        <v>1053</v>
      </c>
      <c r="G107" s="93"/>
      <c r="H107" s="93" t="s">
        <v>146</v>
      </c>
      <c r="I107" s="93"/>
      <c r="J107" s="448">
        <v>0</v>
      </c>
      <c r="K107" s="448">
        <v>0</v>
      </c>
      <c r="L107" s="448">
        <v>0</v>
      </c>
      <c r="M107" s="347">
        <v>0</v>
      </c>
      <c r="N107" s="347">
        <v>0</v>
      </c>
      <c r="O107" s="347">
        <v>0</v>
      </c>
      <c r="P107" s="448">
        <v>0</v>
      </c>
    </row>
    <row r="108" spans="4:19" x14ac:dyDescent="0.25">
      <c r="D108" s="195"/>
      <c r="E108" s="195"/>
      <c r="F108" s="295"/>
      <c r="G108" s="295"/>
      <c r="H108" s="295"/>
      <c r="I108" s="295"/>
      <c r="J108" s="446"/>
      <c r="K108" s="446"/>
      <c r="L108" s="446"/>
      <c r="M108" s="345"/>
      <c r="N108" s="345"/>
      <c r="O108" s="345"/>
      <c r="P108" s="446"/>
      <c r="Q108" s="195"/>
      <c r="R108" s="5"/>
      <c r="S108" s="5"/>
    </row>
    <row r="109" spans="4:19" x14ac:dyDescent="0.25">
      <c r="D109" s="96"/>
      <c r="E109" s="96" t="str">
        <f>"LDNO HV tariff forecast " &amp; charging_year</f>
        <v>LDNO HV tariff forecast 2021/22</v>
      </c>
      <c r="F109" s="295"/>
      <c r="G109" s="295"/>
      <c r="H109" s="295"/>
      <c r="I109" s="295"/>
      <c r="J109" s="446"/>
      <c r="K109" s="446"/>
      <c r="L109" s="446"/>
      <c r="M109" s="345"/>
      <c r="N109" s="345"/>
      <c r="O109" s="345"/>
      <c r="P109" s="446"/>
      <c r="Q109" s="195"/>
      <c r="R109" s="195"/>
      <c r="S109" s="195"/>
    </row>
    <row r="110" spans="4:19" x14ac:dyDescent="0.25">
      <c r="F110" s="103" t="s">
        <v>1038</v>
      </c>
      <c r="G110" s="91"/>
      <c r="H110" s="91" t="s">
        <v>147</v>
      </c>
      <c r="I110" s="91"/>
      <c r="J110" s="443">
        <v>4.0250000000000004</v>
      </c>
      <c r="K110" s="443">
        <v>0.80500000000000005</v>
      </c>
      <c r="L110" s="443">
        <v>0.46400000000000002</v>
      </c>
      <c r="M110" s="342">
        <v>2</v>
      </c>
      <c r="N110" s="342">
        <v>0</v>
      </c>
      <c r="O110" s="342">
        <v>0</v>
      </c>
      <c r="P110" s="443">
        <v>0</v>
      </c>
    </row>
    <row r="111" spans="4:19" x14ac:dyDescent="0.25">
      <c r="F111" s="99" t="s">
        <v>1039</v>
      </c>
      <c r="G111" s="196"/>
      <c r="H111" s="196" t="s">
        <v>147</v>
      </c>
      <c r="I111" s="196"/>
      <c r="J111" s="444">
        <v>4.0250000000000004</v>
      </c>
      <c r="K111" s="444">
        <v>0.80500000000000005</v>
      </c>
      <c r="L111" s="444">
        <v>0.46400000000000002</v>
      </c>
      <c r="M111" s="343">
        <v>0</v>
      </c>
      <c r="N111" s="343">
        <v>0</v>
      </c>
      <c r="O111" s="343">
        <v>0</v>
      </c>
      <c r="P111" s="444">
        <v>0</v>
      </c>
    </row>
    <row r="112" spans="4:19" x14ac:dyDescent="0.25">
      <c r="F112" s="99" t="s">
        <v>1040</v>
      </c>
      <c r="G112" s="196"/>
      <c r="H112" s="196" t="s">
        <v>147</v>
      </c>
      <c r="I112" s="196"/>
      <c r="J112" s="444">
        <v>4.6020000000000003</v>
      </c>
      <c r="K112" s="444">
        <v>0.86099999999999999</v>
      </c>
      <c r="L112" s="444">
        <v>0.46500000000000002</v>
      </c>
      <c r="M112" s="343">
        <v>2.5</v>
      </c>
      <c r="N112" s="343">
        <v>0</v>
      </c>
      <c r="O112" s="343">
        <v>0</v>
      </c>
      <c r="P112" s="444">
        <v>0</v>
      </c>
    </row>
    <row r="113" spans="3:19" x14ac:dyDescent="0.25">
      <c r="F113" s="99" t="s">
        <v>1041</v>
      </c>
      <c r="G113" s="196"/>
      <c r="H113" s="196" t="s">
        <v>147</v>
      </c>
      <c r="I113" s="196"/>
      <c r="J113" s="444">
        <v>4.6020000000000003</v>
      </c>
      <c r="K113" s="444">
        <v>0.86099999999999999</v>
      </c>
      <c r="L113" s="444">
        <v>0.46500000000000002</v>
      </c>
      <c r="M113" s="343">
        <v>0</v>
      </c>
      <c r="N113" s="343">
        <v>0</v>
      </c>
      <c r="O113" s="343">
        <v>0</v>
      </c>
      <c r="P113" s="444">
        <v>0</v>
      </c>
    </row>
    <row r="114" spans="3:19" x14ac:dyDescent="0.25">
      <c r="F114" s="99" t="s">
        <v>1042</v>
      </c>
      <c r="G114" s="196"/>
      <c r="H114" s="196" t="s">
        <v>147</v>
      </c>
      <c r="I114" s="196"/>
      <c r="J114" s="444">
        <v>3.2429999999999999</v>
      </c>
      <c r="K114" s="444">
        <v>0.71899999999999997</v>
      </c>
      <c r="L114" s="444">
        <v>0.46100000000000002</v>
      </c>
      <c r="M114" s="343">
        <v>9.4</v>
      </c>
      <c r="N114" s="343">
        <v>0.99</v>
      </c>
      <c r="O114" s="343">
        <v>1.46</v>
      </c>
      <c r="P114" s="444">
        <v>9.2999999999999999E-2</v>
      </c>
    </row>
    <row r="115" spans="3:19" x14ac:dyDescent="0.25">
      <c r="F115" s="99" t="s">
        <v>1043</v>
      </c>
      <c r="G115" s="196"/>
      <c r="H115" s="196" t="s">
        <v>147</v>
      </c>
      <c r="I115" s="196"/>
      <c r="J115" s="444">
        <v>3.4609999999999999</v>
      </c>
      <c r="K115" s="444">
        <v>0.97799999999999998</v>
      </c>
      <c r="L115" s="444">
        <v>0.752</v>
      </c>
      <c r="M115" s="343">
        <v>5.53</v>
      </c>
      <c r="N115" s="343">
        <v>2.94</v>
      </c>
      <c r="O115" s="343">
        <v>3.35</v>
      </c>
      <c r="P115" s="444">
        <v>8.8999999999999996E-2</v>
      </c>
    </row>
    <row r="116" spans="3:19" x14ac:dyDescent="0.25">
      <c r="F116" s="99" t="s">
        <v>1044</v>
      </c>
      <c r="G116" s="196"/>
      <c r="H116" s="196" t="s">
        <v>147</v>
      </c>
      <c r="I116" s="196"/>
      <c r="J116" s="444">
        <v>3.218</v>
      </c>
      <c r="K116" s="444">
        <v>1.0469999999999999</v>
      </c>
      <c r="L116" s="444">
        <v>0.86099999999999999</v>
      </c>
      <c r="M116" s="343">
        <v>93.09</v>
      </c>
      <c r="N116" s="343">
        <v>3.71</v>
      </c>
      <c r="O116" s="343">
        <v>4.58</v>
      </c>
      <c r="P116" s="444">
        <v>7.5999999999999998E-2</v>
      </c>
    </row>
    <row r="117" spans="3:19" x14ac:dyDescent="0.25">
      <c r="F117" s="99" t="s">
        <v>1045</v>
      </c>
      <c r="G117" s="196"/>
      <c r="H117" s="196" t="s">
        <v>147</v>
      </c>
      <c r="I117" s="196"/>
      <c r="J117" s="444">
        <v>9.0090000000000003</v>
      </c>
      <c r="K117" s="444">
        <v>0.92800000000000005</v>
      </c>
      <c r="L117" s="444">
        <v>0.63300000000000001</v>
      </c>
      <c r="M117" s="343">
        <v>0</v>
      </c>
      <c r="N117" s="343">
        <v>0</v>
      </c>
      <c r="O117" s="343">
        <v>0</v>
      </c>
      <c r="P117" s="444">
        <v>0</v>
      </c>
    </row>
    <row r="118" spans="3:19" x14ac:dyDescent="0.25">
      <c r="F118" s="99" t="s">
        <v>1046</v>
      </c>
      <c r="G118" s="196"/>
      <c r="H118" s="196" t="s">
        <v>147</v>
      </c>
      <c r="I118" s="196"/>
      <c r="J118" s="444">
        <v>-6.4409999999999998</v>
      </c>
      <c r="K118" s="444">
        <v>-0.63100000000000001</v>
      </c>
      <c r="L118" s="444">
        <v>-1.6E-2</v>
      </c>
      <c r="M118" s="343">
        <v>0</v>
      </c>
      <c r="N118" s="343">
        <v>0</v>
      </c>
      <c r="O118" s="343">
        <v>0</v>
      </c>
      <c r="P118" s="444">
        <v>0</v>
      </c>
    </row>
    <row r="119" spans="3:19" x14ac:dyDescent="0.25">
      <c r="F119" s="99" t="s">
        <v>1047</v>
      </c>
      <c r="G119" s="196"/>
      <c r="H119" s="196" t="s">
        <v>147</v>
      </c>
      <c r="I119" s="196"/>
      <c r="J119" s="444">
        <v>-5.6890000000000001</v>
      </c>
      <c r="K119" s="444">
        <v>-0.54800000000000004</v>
      </c>
      <c r="L119" s="444">
        <v>-1.4E-2</v>
      </c>
      <c r="M119" s="343">
        <v>0</v>
      </c>
      <c r="N119" s="343">
        <v>0</v>
      </c>
      <c r="O119" s="343">
        <v>0</v>
      </c>
      <c r="P119" s="444">
        <v>0</v>
      </c>
    </row>
    <row r="120" spans="3:19" x14ac:dyDescent="0.25">
      <c r="F120" s="99" t="s">
        <v>1048</v>
      </c>
      <c r="G120" s="196"/>
      <c r="H120" s="196" t="s">
        <v>147</v>
      </c>
      <c r="I120" s="196"/>
      <c r="J120" s="444">
        <v>-6.4409999999999998</v>
      </c>
      <c r="K120" s="444">
        <v>-0.63100000000000001</v>
      </c>
      <c r="L120" s="444">
        <v>-1.6E-2</v>
      </c>
      <c r="M120" s="343">
        <v>0</v>
      </c>
      <c r="N120" s="343">
        <v>0</v>
      </c>
      <c r="O120" s="343">
        <v>0</v>
      </c>
      <c r="P120" s="444">
        <v>0.20300000000000001</v>
      </c>
    </row>
    <row r="121" spans="3:19" x14ac:dyDescent="0.25">
      <c r="F121" s="99" t="s">
        <v>1049</v>
      </c>
      <c r="G121" s="196"/>
      <c r="H121" s="196" t="s">
        <v>147</v>
      </c>
      <c r="I121" s="196"/>
      <c r="J121" s="447">
        <v>0</v>
      </c>
      <c r="K121" s="447">
        <v>0</v>
      </c>
      <c r="L121" s="447">
        <v>0</v>
      </c>
      <c r="M121" s="346">
        <v>0</v>
      </c>
      <c r="N121" s="346">
        <v>0</v>
      </c>
      <c r="O121" s="346">
        <v>0</v>
      </c>
      <c r="P121" s="447">
        <v>0</v>
      </c>
    </row>
    <row r="122" spans="3:19" x14ac:dyDescent="0.25">
      <c r="F122" s="99" t="s">
        <v>1050</v>
      </c>
      <c r="G122" s="196"/>
      <c r="H122" s="196" t="s">
        <v>147</v>
      </c>
      <c r="I122" s="196"/>
      <c r="J122" s="444">
        <v>-5.6890000000000001</v>
      </c>
      <c r="K122" s="444">
        <v>-0.54800000000000004</v>
      </c>
      <c r="L122" s="444">
        <v>-1.4E-2</v>
      </c>
      <c r="M122" s="343">
        <v>0</v>
      </c>
      <c r="N122" s="343">
        <v>0</v>
      </c>
      <c r="O122" s="343">
        <v>0</v>
      </c>
      <c r="P122" s="444">
        <v>0.182</v>
      </c>
    </row>
    <row r="123" spans="3:19" x14ac:dyDescent="0.25">
      <c r="F123" s="99" t="s">
        <v>1051</v>
      </c>
      <c r="G123" s="196"/>
      <c r="H123" s="196" t="s">
        <v>147</v>
      </c>
      <c r="I123" s="196"/>
      <c r="J123" s="447">
        <v>0</v>
      </c>
      <c r="K123" s="447">
        <v>0</v>
      </c>
      <c r="L123" s="447">
        <v>0</v>
      </c>
      <c r="M123" s="346">
        <v>0</v>
      </c>
      <c r="N123" s="346">
        <v>0</v>
      </c>
      <c r="O123" s="346">
        <v>0</v>
      </c>
      <c r="P123" s="447">
        <v>0</v>
      </c>
    </row>
    <row r="124" spans="3:19" x14ac:dyDescent="0.25">
      <c r="F124" s="99" t="s">
        <v>1052</v>
      </c>
      <c r="G124" s="196"/>
      <c r="H124" s="196" t="s">
        <v>147</v>
      </c>
      <c r="I124" s="196"/>
      <c r="J124" s="444">
        <v>-3.7330000000000001</v>
      </c>
      <c r="K124" s="444">
        <v>-0.316</v>
      </c>
      <c r="L124" s="444">
        <v>-6.0000000000000001E-3</v>
      </c>
      <c r="M124" s="343">
        <v>0</v>
      </c>
      <c r="N124" s="343">
        <v>0</v>
      </c>
      <c r="O124" s="343">
        <v>0</v>
      </c>
      <c r="P124" s="444">
        <v>0.156</v>
      </c>
    </row>
    <row r="125" spans="3:19" x14ac:dyDescent="0.25">
      <c r="F125" s="100" t="s">
        <v>1053</v>
      </c>
      <c r="G125" s="93"/>
      <c r="H125" s="93" t="s">
        <v>147</v>
      </c>
      <c r="I125" s="93"/>
      <c r="J125" s="448">
        <v>0</v>
      </c>
      <c r="K125" s="448">
        <v>0</v>
      </c>
      <c r="L125" s="448">
        <v>0</v>
      </c>
      <c r="M125" s="347">
        <v>0</v>
      </c>
      <c r="N125" s="347">
        <v>0</v>
      </c>
      <c r="O125" s="347">
        <v>0</v>
      </c>
      <c r="P125" s="448">
        <v>0</v>
      </c>
    </row>
    <row r="126" spans="3:19" x14ac:dyDescent="0.25">
      <c r="D126" s="195"/>
      <c r="E126" s="195"/>
      <c r="F126" s="195"/>
      <c r="G126" s="195"/>
      <c r="H126" s="195"/>
      <c r="I126" s="195"/>
      <c r="J126" s="352"/>
      <c r="K126" s="352"/>
      <c r="L126" s="352"/>
      <c r="M126" s="215"/>
      <c r="N126" s="215"/>
      <c r="O126" s="215"/>
      <c r="P126" s="352"/>
      <c r="Q126" s="5"/>
      <c r="R126" s="5"/>
      <c r="S126" s="5"/>
    </row>
    <row r="127" spans="3:19" s="195" customFormat="1" x14ac:dyDescent="0.25">
      <c r="C127" s="7" t="str">
        <f ca="1">INDEX('Version control'!$H$34:$H$60,MATCH($A$1,'Version control'!$F$34:$F$60,0),1)&amp;"-C: Tariff results for charging year " &amp; 'ARP_User control'!G32</f>
        <v>Input 506-C: Tariff results for charging year 2022/23</v>
      </c>
      <c r="D127" s="7"/>
      <c r="E127" s="7"/>
      <c r="F127" s="7"/>
      <c r="G127" s="7"/>
      <c r="H127" s="7"/>
      <c r="I127" s="7"/>
      <c r="J127" s="450"/>
      <c r="K127" s="450"/>
      <c r="L127" s="450"/>
      <c r="M127" s="7"/>
      <c r="N127" s="7"/>
      <c r="O127" s="7"/>
      <c r="P127" s="450"/>
      <c r="Q127" s="7"/>
      <c r="R127" s="7"/>
    </row>
    <row r="128" spans="3:19" x14ac:dyDescent="0.25">
      <c r="D128" s="85"/>
      <c r="E128" s="195"/>
      <c r="F128" s="195"/>
      <c r="J128" s="451"/>
      <c r="K128" s="451"/>
      <c r="L128" s="451"/>
      <c r="M128" s="214"/>
      <c r="N128" s="214"/>
      <c r="O128" s="214"/>
      <c r="P128" s="451"/>
    </row>
    <row r="129" spans="4:16" x14ac:dyDescent="0.25">
      <c r="D129" s="96"/>
      <c r="E129" s="96" t="str">
        <f>"All the way tariff forecast " &amp; 'ARP_User control'!G32</f>
        <v>All the way tariff forecast 2022/23</v>
      </c>
      <c r="F129" s="195"/>
      <c r="J129" s="451"/>
      <c r="K129" s="451"/>
      <c r="L129" s="451"/>
      <c r="M129" s="214"/>
      <c r="N129" s="214"/>
      <c r="O129" s="214"/>
      <c r="P129" s="451"/>
    </row>
    <row r="130" spans="4:16" x14ac:dyDescent="0.25">
      <c r="F130" s="103" t="s">
        <v>1038</v>
      </c>
      <c r="G130" s="91"/>
      <c r="H130" s="91" t="s">
        <v>318</v>
      </c>
      <c r="I130" s="91"/>
      <c r="J130" s="443">
        <v>10.534000000000001</v>
      </c>
      <c r="K130" s="443">
        <v>2.1269999999999998</v>
      </c>
      <c r="L130" s="443">
        <v>1.2370000000000001</v>
      </c>
      <c r="M130" s="342">
        <v>4.66</v>
      </c>
      <c r="N130" s="342">
        <v>0</v>
      </c>
      <c r="O130" s="342">
        <v>0</v>
      </c>
      <c r="P130" s="443">
        <v>0</v>
      </c>
    </row>
    <row r="131" spans="4:16" x14ac:dyDescent="0.25">
      <c r="F131" s="99" t="s">
        <v>1039</v>
      </c>
      <c r="G131" s="196"/>
      <c r="H131" s="196" t="s">
        <v>318</v>
      </c>
      <c r="I131" s="196"/>
      <c r="J131" s="444">
        <v>10.534000000000001</v>
      </c>
      <c r="K131" s="444">
        <v>2.1269999999999998</v>
      </c>
      <c r="L131" s="444">
        <v>1.2370000000000001</v>
      </c>
      <c r="M131" s="343">
        <v>0</v>
      </c>
      <c r="N131" s="343">
        <v>0</v>
      </c>
      <c r="O131" s="343">
        <v>0</v>
      </c>
      <c r="P131" s="444">
        <v>0</v>
      </c>
    </row>
    <row r="132" spans="4:16" x14ac:dyDescent="0.25">
      <c r="F132" s="99" t="s">
        <v>1040</v>
      </c>
      <c r="G132" s="196"/>
      <c r="H132" s="196" t="s">
        <v>318</v>
      </c>
      <c r="I132" s="196"/>
      <c r="J132" s="444">
        <v>12.039</v>
      </c>
      <c r="K132" s="444">
        <v>2.2749999999999999</v>
      </c>
      <c r="L132" s="444">
        <v>1.2410000000000001</v>
      </c>
      <c r="M132" s="343">
        <v>5.93</v>
      </c>
      <c r="N132" s="343">
        <v>0</v>
      </c>
      <c r="O132" s="343">
        <v>0</v>
      </c>
      <c r="P132" s="444">
        <v>0</v>
      </c>
    </row>
    <row r="133" spans="4:16" x14ac:dyDescent="0.25">
      <c r="F133" s="99" t="s">
        <v>1041</v>
      </c>
      <c r="G133" s="196"/>
      <c r="H133" s="196" t="s">
        <v>318</v>
      </c>
      <c r="I133" s="196"/>
      <c r="J133" s="444">
        <v>12.039</v>
      </c>
      <c r="K133" s="444">
        <v>2.2749999999999999</v>
      </c>
      <c r="L133" s="444">
        <v>1.2410000000000001</v>
      </c>
      <c r="M133" s="343">
        <v>0</v>
      </c>
      <c r="N133" s="343">
        <v>0</v>
      </c>
      <c r="O133" s="343">
        <v>0</v>
      </c>
      <c r="P133" s="444">
        <v>0</v>
      </c>
    </row>
    <row r="134" spans="4:16" x14ac:dyDescent="0.25">
      <c r="F134" s="99" t="s">
        <v>1042</v>
      </c>
      <c r="G134" s="196"/>
      <c r="H134" s="196" t="s">
        <v>318</v>
      </c>
      <c r="I134" s="196"/>
      <c r="J134" s="444">
        <v>8.49</v>
      </c>
      <c r="K134" s="444">
        <v>1.903</v>
      </c>
      <c r="L134" s="444">
        <v>1.23</v>
      </c>
      <c r="M134" s="343">
        <v>23.42</v>
      </c>
      <c r="N134" s="343">
        <v>2.59</v>
      </c>
      <c r="O134" s="343">
        <v>3.82</v>
      </c>
      <c r="P134" s="444">
        <v>0.24399999999999999</v>
      </c>
    </row>
    <row r="135" spans="4:16" x14ac:dyDescent="0.25">
      <c r="F135" s="99" t="s">
        <v>1043</v>
      </c>
      <c r="G135" s="196"/>
      <c r="H135" s="196" t="s">
        <v>318</v>
      </c>
      <c r="I135" s="196"/>
      <c r="J135" s="444">
        <v>5.5170000000000003</v>
      </c>
      <c r="K135" s="444">
        <v>1.58</v>
      </c>
      <c r="L135" s="444">
        <v>1.22</v>
      </c>
      <c r="M135" s="343">
        <v>8.27</v>
      </c>
      <c r="N135" s="343">
        <v>4.67</v>
      </c>
      <c r="O135" s="343">
        <v>5.32</v>
      </c>
      <c r="P135" s="444">
        <v>0.14199999999999999</v>
      </c>
    </row>
    <row r="136" spans="4:16" x14ac:dyDescent="0.25">
      <c r="F136" s="99" t="s">
        <v>1044</v>
      </c>
      <c r="G136" s="196"/>
      <c r="H136" s="196" t="s">
        <v>318</v>
      </c>
      <c r="I136" s="196"/>
      <c r="J136" s="444">
        <v>4.4729999999999999</v>
      </c>
      <c r="K136" s="444">
        <v>1.4750000000000001</v>
      </c>
      <c r="L136" s="444">
        <v>1.218</v>
      </c>
      <c r="M136" s="343">
        <v>125.17</v>
      </c>
      <c r="N136" s="343">
        <v>5.14</v>
      </c>
      <c r="O136" s="343">
        <v>6.34</v>
      </c>
      <c r="P136" s="444">
        <v>0.105</v>
      </c>
    </row>
    <row r="137" spans="4:16" x14ac:dyDescent="0.25">
      <c r="F137" s="99" t="s">
        <v>1045</v>
      </c>
      <c r="G137" s="196"/>
      <c r="H137" s="196" t="s">
        <v>318</v>
      </c>
      <c r="I137" s="196"/>
      <c r="J137" s="444">
        <v>23.539000000000001</v>
      </c>
      <c r="K137" s="444">
        <v>2.4390000000000001</v>
      </c>
      <c r="L137" s="444">
        <v>1.667</v>
      </c>
      <c r="M137" s="343">
        <v>0</v>
      </c>
      <c r="N137" s="343">
        <v>0</v>
      </c>
      <c r="O137" s="343">
        <v>0</v>
      </c>
      <c r="P137" s="444">
        <v>0</v>
      </c>
    </row>
    <row r="138" spans="4:16" x14ac:dyDescent="0.25">
      <c r="F138" s="99" t="s">
        <v>1046</v>
      </c>
      <c r="G138" s="196"/>
      <c r="H138" s="196" t="s">
        <v>318</v>
      </c>
      <c r="I138" s="196"/>
      <c r="J138" s="444">
        <v>-6.665</v>
      </c>
      <c r="K138" s="444">
        <v>-0.65300000000000002</v>
      </c>
      <c r="L138" s="444">
        <v>-1.7000000000000001E-2</v>
      </c>
      <c r="M138" s="343">
        <v>0</v>
      </c>
      <c r="N138" s="343">
        <v>0</v>
      </c>
      <c r="O138" s="343">
        <v>0</v>
      </c>
      <c r="P138" s="444">
        <v>0</v>
      </c>
    </row>
    <row r="139" spans="4:16" x14ac:dyDescent="0.25">
      <c r="F139" s="99" t="s">
        <v>1047</v>
      </c>
      <c r="G139" s="196"/>
      <c r="H139" s="196" t="s">
        <v>318</v>
      </c>
      <c r="I139" s="196"/>
      <c r="J139" s="444">
        <v>-5.8860000000000001</v>
      </c>
      <c r="K139" s="444">
        <v>-0.56699999999999995</v>
      </c>
      <c r="L139" s="444">
        <v>-1.4E-2</v>
      </c>
      <c r="M139" s="343">
        <v>0</v>
      </c>
      <c r="N139" s="343">
        <v>0</v>
      </c>
      <c r="O139" s="343">
        <v>0</v>
      </c>
      <c r="P139" s="444">
        <v>0</v>
      </c>
    </row>
    <row r="140" spans="4:16" x14ac:dyDescent="0.25">
      <c r="F140" s="99" t="s">
        <v>1048</v>
      </c>
      <c r="G140" s="196"/>
      <c r="H140" s="196" t="s">
        <v>318</v>
      </c>
      <c r="I140" s="196"/>
      <c r="J140" s="444">
        <v>-6.665</v>
      </c>
      <c r="K140" s="444">
        <v>-0.65300000000000002</v>
      </c>
      <c r="L140" s="444">
        <v>-1.7000000000000001E-2</v>
      </c>
      <c r="M140" s="343">
        <v>0</v>
      </c>
      <c r="N140" s="343">
        <v>0</v>
      </c>
      <c r="O140" s="343">
        <v>0</v>
      </c>
      <c r="P140" s="444">
        <v>0.21</v>
      </c>
    </row>
    <row r="141" spans="4:16" x14ac:dyDescent="0.25">
      <c r="F141" s="99" t="s">
        <v>1049</v>
      </c>
      <c r="G141" s="196"/>
      <c r="H141" s="196" t="s">
        <v>318</v>
      </c>
      <c r="I141" s="196"/>
      <c r="J141" s="444">
        <v>-6.665</v>
      </c>
      <c r="K141" s="444">
        <v>-0.65300000000000002</v>
      </c>
      <c r="L141" s="444">
        <v>-1.7000000000000001E-2</v>
      </c>
      <c r="M141" s="343">
        <v>0</v>
      </c>
      <c r="N141" s="343">
        <v>0</v>
      </c>
      <c r="O141" s="343">
        <v>0</v>
      </c>
      <c r="P141" s="444">
        <v>0</v>
      </c>
    </row>
    <row r="142" spans="4:16" x14ac:dyDescent="0.25">
      <c r="F142" s="99" t="s">
        <v>1050</v>
      </c>
      <c r="G142" s="196"/>
      <c r="H142" s="196" t="s">
        <v>318</v>
      </c>
      <c r="I142" s="196"/>
      <c r="J142" s="444">
        <v>-5.8860000000000001</v>
      </c>
      <c r="K142" s="444">
        <v>-0.56699999999999995</v>
      </c>
      <c r="L142" s="444">
        <v>-1.4E-2</v>
      </c>
      <c r="M142" s="343">
        <v>0</v>
      </c>
      <c r="N142" s="343">
        <v>0</v>
      </c>
      <c r="O142" s="343">
        <v>0</v>
      </c>
      <c r="P142" s="444">
        <v>0.188</v>
      </c>
    </row>
    <row r="143" spans="4:16" x14ac:dyDescent="0.25">
      <c r="F143" s="99" t="s">
        <v>1051</v>
      </c>
      <c r="G143" s="196"/>
      <c r="H143" s="196" t="s">
        <v>318</v>
      </c>
      <c r="I143" s="196"/>
      <c r="J143" s="444">
        <v>-5.8860000000000001</v>
      </c>
      <c r="K143" s="444">
        <v>-0.56699999999999995</v>
      </c>
      <c r="L143" s="444">
        <v>-1.4E-2</v>
      </c>
      <c r="M143" s="343">
        <v>0</v>
      </c>
      <c r="N143" s="343">
        <v>0</v>
      </c>
      <c r="O143" s="343">
        <v>0</v>
      </c>
      <c r="P143" s="444">
        <v>0</v>
      </c>
    </row>
    <row r="144" spans="4:16" x14ac:dyDescent="0.25">
      <c r="F144" s="99" t="s">
        <v>1052</v>
      </c>
      <c r="G144" s="196"/>
      <c r="H144" s="196" t="s">
        <v>318</v>
      </c>
      <c r="I144" s="196"/>
      <c r="J144" s="444">
        <v>-3.86</v>
      </c>
      <c r="K144" s="444">
        <v>-0.32700000000000001</v>
      </c>
      <c r="L144" s="444">
        <v>-6.0000000000000001E-3</v>
      </c>
      <c r="M144" s="343">
        <v>91.4</v>
      </c>
      <c r="N144" s="343">
        <v>0</v>
      </c>
      <c r="O144" s="343">
        <v>0</v>
      </c>
      <c r="P144" s="444">
        <v>0.161</v>
      </c>
    </row>
    <row r="145" spans="4:16" x14ac:dyDescent="0.25">
      <c r="F145" s="100" t="s">
        <v>1053</v>
      </c>
      <c r="G145" s="93"/>
      <c r="H145" s="93" t="s">
        <v>318</v>
      </c>
      <c r="I145" s="93"/>
      <c r="J145" s="445">
        <v>-3.86</v>
      </c>
      <c r="K145" s="445">
        <v>-0.32700000000000001</v>
      </c>
      <c r="L145" s="445">
        <v>-6.0000000000000001E-3</v>
      </c>
      <c r="M145" s="344">
        <v>91.4</v>
      </c>
      <c r="N145" s="344">
        <v>0</v>
      </c>
      <c r="O145" s="344">
        <v>0</v>
      </c>
      <c r="P145" s="445">
        <v>0</v>
      </c>
    </row>
    <row r="146" spans="4:16" x14ac:dyDescent="0.25">
      <c r="F146" s="98"/>
      <c r="G146" s="295"/>
      <c r="H146" s="295"/>
      <c r="I146" s="295"/>
      <c r="J146" s="446"/>
      <c r="K146" s="446"/>
      <c r="L146" s="446"/>
      <c r="M146" s="345"/>
      <c r="N146" s="345"/>
      <c r="O146" s="345"/>
      <c r="P146" s="446"/>
    </row>
    <row r="147" spans="4:16" x14ac:dyDescent="0.25">
      <c r="D147" s="96"/>
      <c r="E147" s="96" t="str">
        <f>"LDNO LV tariff forecast "&amp; 'ARP_User control'!G32</f>
        <v>LDNO LV tariff forecast 2022/23</v>
      </c>
      <c r="F147" s="98"/>
      <c r="G147" s="295"/>
      <c r="H147" s="295"/>
      <c r="I147" s="295"/>
      <c r="J147" s="446"/>
      <c r="K147" s="446"/>
      <c r="L147" s="446"/>
      <c r="M147" s="345"/>
      <c r="N147" s="345"/>
      <c r="O147" s="345"/>
      <c r="P147" s="446"/>
    </row>
    <row r="148" spans="4:16" x14ac:dyDescent="0.25">
      <c r="F148" s="103" t="s">
        <v>1038</v>
      </c>
      <c r="G148" s="91"/>
      <c r="H148" s="91" t="s">
        <v>146</v>
      </c>
      <c r="I148" s="91"/>
      <c r="J148" s="443">
        <v>6.4189999999999996</v>
      </c>
      <c r="K148" s="443">
        <v>1.296</v>
      </c>
      <c r="L148" s="443">
        <v>0.754</v>
      </c>
      <c r="M148" s="342">
        <v>2.84</v>
      </c>
      <c r="N148" s="342">
        <v>0</v>
      </c>
      <c r="O148" s="342">
        <v>0</v>
      </c>
      <c r="P148" s="443">
        <v>0</v>
      </c>
    </row>
    <row r="149" spans="4:16" x14ac:dyDescent="0.25">
      <c r="F149" s="99" t="s">
        <v>1039</v>
      </c>
      <c r="G149" s="196"/>
      <c r="H149" s="196" t="s">
        <v>146</v>
      </c>
      <c r="I149" s="196"/>
      <c r="J149" s="444">
        <v>6.4189999999999996</v>
      </c>
      <c r="K149" s="444">
        <v>1.296</v>
      </c>
      <c r="L149" s="444">
        <v>0.754</v>
      </c>
      <c r="M149" s="343">
        <v>0</v>
      </c>
      <c r="N149" s="343">
        <v>0</v>
      </c>
      <c r="O149" s="343">
        <v>0</v>
      </c>
      <c r="P149" s="444">
        <v>0</v>
      </c>
    </row>
    <row r="150" spans="4:16" x14ac:dyDescent="0.25">
      <c r="F150" s="99" t="s">
        <v>1040</v>
      </c>
      <c r="G150" s="196"/>
      <c r="H150" s="196" t="s">
        <v>146</v>
      </c>
      <c r="I150" s="196"/>
      <c r="J150" s="444">
        <v>7.3360000000000003</v>
      </c>
      <c r="K150" s="444">
        <v>1.3859999999999999</v>
      </c>
      <c r="L150" s="444">
        <v>0.75600000000000001</v>
      </c>
      <c r="M150" s="343">
        <v>3.61</v>
      </c>
      <c r="N150" s="343">
        <v>0</v>
      </c>
      <c r="O150" s="343">
        <v>0</v>
      </c>
      <c r="P150" s="444">
        <v>0</v>
      </c>
    </row>
    <row r="151" spans="4:16" x14ac:dyDescent="0.25">
      <c r="F151" s="99" t="s">
        <v>1041</v>
      </c>
      <c r="G151" s="196"/>
      <c r="H151" s="196" t="s">
        <v>146</v>
      </c>
      <c r="I151" s="196"/>
      <c r="J151" s="444">
        <v>7.3360000000000003</v>
      </c>
      <c r="K151" s="444">
        <v>1.3859999999999999</v>
      </c>
      <c r="L151" s="444">
        <v>0.75600000000000001</v>
      </c>
      <c r="M151" s="343">
        <v>0</v>
      </c>
      <c r="N151" s="343">
        <v>0</v>
      </c>
      <c r="O151" s="343">
        <v>0</v>
      </c>
      <c r="P151" s="444">
        <v>0</v>
      </c>
    </row>
    <row r="152" spans="4:16" x14ac:dyDescent="0.25">
      <c r="F152" s="99" t="s">
        <v>1042</v>
      </c>
      <c r="G152" s="196"/>
      <c r="H152" s="196" t="s">
        <v>146</v>
      </c>
      <c r="I152" s="196"/>
      <c r="J152" s="444">
        <v>5.173</v>
      </c>
      <c r="K152" s="444">
        <v>1.159</v>
      </c>
      <c r="L152" s="444">
        <v>0.75</v>
      </c>
      <c r="M152" s="343">
        <v>14.27</v>
      </c>
      <c r="N152" s="343">
        <v>1.58</v>
      </c>
      <c r="O152" s="343">
        <v>2.33</v>
      </c>
      <c r="P152" s="444">
        <v>0.14799999999999999</v>
      </c>
    </row>
    <row r="153" spans="4:16" x14ac:dyDescent="0.25">
      <c r="F153" s="99" t="s">
        <v>1043</v>
      </c>
      <c r="G153" s="196"/>
      <c r="H153" s="196" t="s">
        <v>146</v>
      </c>
      <c r="I153" s="196"/>
      <c r="J153" s="447">
        <v>0</v>
      </c>
      <c r="K153" s="447">
        <v>0</v>
      </c>
      <c r="L153" s="447">
        <v>0</v>
      </c>
      <c r="M153" s="346">
        <v>0</v>
      </c>
      <c r="N153" s="346">
        <v>0</v>
      </c>
      <c r="O153" s="346">
        <v>0</v>
      </c>
      <c r="P153" s="447">
        <v>0</v>
      </c>
    </row>
    <row r="154" spans="4:16" x14ac:dyDescent="0.25">
      <c r="F154" s="99" t="s">
        <v>1044</v>
      </c>
      <c r="G154" s="196"/>
      <c r="H154" s="196" t="s">
        <v>146</v>
      </c>
      <c r="I154" s="196"/>
      <c r="J154" s="447">
        <v>0</v>
      </c>
      <c r="K154" s="447">
        <v>0</v>
      </c>
      <c r="L154" s="447">
        <v>0</v>
      </c>
      <c r="M154" s="346">
        <v>0</v>
      </c>
      <c r="N154" s="346">
        <v>0</v>
      </c>
      <c r="O154" s="346">
        <v>0</v>
      </c>
      <c r="P154" s="447">
        <v>0</v>
      </c>
    </row>
    <row r="155" spans="4:16" x14ac:dyDescent="0.25">
      <c r="F155" s="99" t="s">
        <v>1045</v>
      </c>
      <c r="G155" s="196"/>
      <c r="H155" s="196" t="s">
        <v>146</v>
      </c>
      <c r="I155" s="196"/>
      <c r="J155" s="444">
        <v>14.343</v>
      </c>
      <c r="K155" s="444">
        <v>1.486</v>
      </c>
      <c r="L155" s="444">
        <v>1.016</v>
      </c>
      <c r="M155" s="343">
        <v>0</v>
      </c>
      <c r="N155" s="343">
        <v>0</v>
      </c>
      <c r="O155" s="343">
        <v>0</v>
      </c>
      <c r="P155" s="444">
        <v>0</v>
      </c>
    </row>
    <row r="156" spans="4:16" x14ac:dyDescent="0.25">
      <c r="F156" s="99" t="s">
        <v>1046</v>
      </c>
      <c r="G156" s="196"/>
      <c r="H156" s="196" t="s">
        <v>146</v>
      </c>
      <c r="I156" s="196"/>
      <c r="J156" s="444">
        <v>-6.665</v>
      </c>
      <c r="K156" s="444">
        <v>-0.65300000000000002</v>
      </c>
      <c r="L156" s="444">
        <v>-1.7000000000000001E-2</v>
      </c>
      <c r="M156" s="343">
        <v>0</v>
      </c>
      <c r="N156" s="343">
        <v>0</v>
      </c>
      <c r="O156" s="343">
        <v>0</v>
      </c>
      <c r="P156" s="444">
        <v>0</v>
      </c>
    </row>
    <row r="157" spans="4:16" x14ac:dyDescent="0.25">
      <c r="F157" s="99" t="s">
        <v>1047</v>
      </c>
      <c r="G157" s="196"/>
      <c r="H157" s="196" t="s">
        <v>146</v>
      </c>
      <c r="I157" s="196"/>
      <c r="J157" s="447">
        <v>0</v>
      </c>
      <c r="K157" s="447">
        <v>0</v>
      </c>
      <c r="L157" s="447">
        <v>0</v>
      </c>
      <c r="M157" s="346">
        <v>0</v>
      </c>
      <c r="N157" s="346">
        <v>0</v>
      </c>
      <c r="O157" s="346">
        <v>0</v>
      </c>
      <c r="P157" s="447">
        <v>0</v>
      </c>
    </row>
    <row r="158" spans="4:16" x14ac:dyDescent="0.25">
      <c r="F158" s="99" t="s">
        <v>1048</v>
      </c>
      <c r="G158" s="196"/>
      <c r="H158" s="196" t="s">
        <v>146</v>
      </c>
      <c r="I158" s="196"/>
      <c r="J158" s="444">
        <v>-6.665</v>
      </c>
      <c r="K158" s="444">
        <v>-0.65300000000000002</v>
      </c>
      <c r="L158" s="444">
        <v>-1.7000000000000001E-2</v>
      </c>
      <c r="M158" s="343">
        <v>0</v>
      </c>
      <c r="N158" s="343">
        <v>0</v>
      </c>
      <c r="O158" s="343">
        <v>0</v>
      </c>
      <c r="P158" s="444">
        <v>0.21</v>
      </c>
    </row>
    <row r="159" spans="4:16" x14ac:dyDescent="0.25">
      <c r="F159" s="99" t="s">
        <v>1049</v>
      </c>
      <c r="G159" s="196"/>
      <c r="H159" s="196" t="s">
        <v>146</v>
      </c>
      <c r="I159" s="196"/>
      <c r="J159" s="447">
        <v>0</v>
      </c>
      <c r="K159" s="447">
        <v>0</v>
      </c>
      <c r="L159" s="447">
        <v>0</v>
      </c>
      <c r="M159" s="346">
        <v>0</v>
      </c>
      <c r="N159" s="346">
        <v>0</v>
      </c>
      <c r="O159" s="346">
        <v>0</v>
      </c>
      <c r="P159" s="447">
        <v>0</v>
      </c>
    </row>
    <row r="160" spans="4:16" x14ac:dyDescent="0.25">
      <c r="F160" s="99" t="s">
        <v>1050</v>
      </c>
      <c r="G160" s="196"/>
      <c r="H160" s="196" t="s">
        <v>146</v>
      </c>
      <c r="I160" s="196"/>
      <c r="J160" s="447">
        <v>0</v>
      </c>
      <c r="K160" s="447">
        <v>0</v>
      </c>
      <c r="L160" s="447">
        <v>0</v>
      </c>
      <c r="M160" s="346">
        <v>0</v>
      </c>
      <c r="N160" s="346">
        <v>0</v>
      </c>
      <c r="O160" s="346">
        <v>0</v>
      </c>
      <c r="P160" s="447">
        <v>0</v>
      </c>
    </row>
    <row r="161" spans="4:19" x14ac:dyDescent="0.25">
      <c r="F161" s="99" t="s">
        <v>1051</v>
      </c>
      <c r="G161" s="196"/>
      <c r="H161" s="196" t="s">
        <v>146</v>
      </c>
      <c r="I161" s="196"/>
      <c r="J161" s="447">
        <v>0</v>
      </c>
      <c r="K161" s="447">
        <v>0</v>
      </c>
      <c r="L161" s="447">
        <v>0</v>
      </c>
      <c r="M161" s="346">
        <v>0</v>
      </c>
      <c r="N161" s="346">
        <v>0</v>
      </c>
      <c r="O161" s="346">
        <v>0</v>
      </c>
      <c r="P161" s="447">
        <v>0</v>
      </c>
    </row>
    <row r="162" spans="4:19" x14ac:dyDescent="0.25">
      <c r="F162" s="99" t="s">
        <v>1052</v>
      </c>
      <c r="G162" s="196"/>
      <c r="H162" s="196" t="s">
        <v>146</v>
      </c>
      <c r="I162" s="196"/>
      <c r="J162" s="447">
        <v>0</v>
      </c>
      <c r="K162" s="447">
        <v>0</v>
      </c>
      <c r="L162" s="447">
        <v>0</v>
      </c>
      <c r="M162" s="346">
        <v>0</v>
      </c>
      <c r="N162" s="346">
        <v>0</v>
      </c>
      <c r="O162" s="346">
        <v>0</v>
      </c>
      <c r="P162" s="447">
        <v>0</v>
      </c>
    </row>
    <row r="163" spans="4:19" x14ac:dyDescent="0.25">
      <c r="F163" s="100" t="s">
        <v>1053</v>
      </c>
      <c r="G163" s="93"/>
      <c r="H163" s="93" t="s">
        <v>146</v>
      </c>
      <c r="I163" s="93"/>
      <c r="J163" s="448">
        <v>0</v>
      </c>
      <c r="K163" s="448">
        <v>0</v>
      </c>
      <c r="L163" s="448">
        <v>0</v>
      </c>
      <c r="M163" s="347">
        <v>0</v>
      </c>
      <c r="N163" s="347">
        <v>0</v>
      </c>
      <c r="O163" s="347">
        <v>0</v>
      </c>
      <c r="P163" s="448">
        <v>0</v>
      </c>
    </row>
    <row r="164" spans="4:19" x14ac:dyDescent="0.25">
      <c r="D164" s="195"/>
      <c r="E164" s="195"/>
      <c r="F164" s="295"/>
      <c r="G164" s="295"/>
      <c r="H164" s="295"/>
      <c r="I164" s="295"/>
      <c r="J164" s="446"/>
      <c r="K164" s="446"/>
      <c r="L164" s="446"/>
      <c r="M164" s="345"/>
      <c r="N164" s="345"/>
      <c r="O164" s="345"/>
      <c r="P164" s="446"/>
      <c r="Q164" s="195"/>
      <c r="R164" s="195"/>
      <c r="S164" s="195"/>
    </row>
    <row r="165" spans="4:19" x14ac:dyDescent="0.25">
      <c r="D165" s="96"/>
      <c r="E165" s="96" t="str">
        <f>"LDNO HV tariff forecast "&amp; 'ARP_User control'!G32</f>
        <v>LDNO HV tariff forecast 2022/23</v>
      </c>
      <c r="F165" s="295"/>
      <c r="G165" s="295"/>
      <c r="H165" s="295"/>
      <c r="I165" s="295"/>
      <c r="J165" s="446"/>
      <c r="K165" s="446"/>
      <c r="L165" s="446"/>
      <c r="M165" s="345"/>
      <c r="N165" s="345"/>
      <c r="O165" s="345"/>
      <c r="P165" s="446"/>
      <c r="Q165" s="195"/>
      <c r="R165" s="195"/>
      <c r="S165" s="195"/>
    </row>
    <row r="166" spans="4:19" x14ac:dyDescent="0.25">
      <c r="F166" s="103" t="s">
        <v>1038</v>
      </c>
      <c r="G166" s="91"/>
      <c r="H166" s="91" t="s">
        <v>147</v>
      </c>
      <c r="I166" s="91"/>
      <c r="J166" s="443">
        <v>4.1749999999999998</v>
      </c>
      <c r="K166" s="443">
        <v>0.84299999999999997</v>
      </c>
      <c r="L166" s="443">
        <v>0.49</v>
      </c>
      <c r="M166" s="342">
        <v>1.86</v>
      </c>
      <c r="N166" s="342">
        <v>0</v>
      </c>
      <c r="O166" s="342">
        <v>0</v>
      </c>
      <c r="P166" s="443">
        <v>0</v>
      </c>
    </row>
    <row r="167" spans="4:19" x14ac:dyDescent="0.25">
      <c r="F167" s="99" t="s">
        <v>1039</v>
      </c>
      <c r="G167" s="196"/>
      <c r="H167" s="196" t="s">
        <v>147</v>
      </c>
      <c r="I167" s="196"/>
      <c r="J167" s="444">
        <v>4.1749999999999998</v>
      </c>
      <c r="K167" s="444">
        <v>0.84299999999999997</v>
      </c>
      <c r="L167" s="444">
        <v>0.49</v>
      </c>
      <c r="M167" s="343">
        <v>0</v>
      </c>
      <c r="N167" s="343">
        <v>0</v>
      </c>
      <c r="O167" s="343">
        <v>0</v>
      </c>
      <c r="P167" s="444">
        <v>0</v>
      </c>
    </row>
    <row r="168" spans="4:19" x14ac:dyDescent="0.25">
      <c r="F168" s="99" t="s">
        <v>1040</v>
      </c>
      <c r="G168" s="196"/>
      <c r="H168" s="196" t="s">
        <v>147</v>
      </c>
      <c r="I168" s="196"/>
      <c r="J168" s="444">
        <v>4.7720000000000002</v>
      </c>
      <c r="K168" s="444">
        <v>0.90200000000000002</v>
      </c>
      <c r="L168" s="444">
        <v>0.49199999999999999</v>
      </c>
      <c r="M168" s="343">
        <v>2.35</v>
      </c>
      <c r="N168" s="343">
        <v>0</v>
      </c>
      <c r="O168" s="343">
        <v>0</v>
      </c>
      <c r="P168" s="444">
        <v>0</v>
      </c>
    </row>
    <row r="169" spans="4:19" x14ac:dyDescent="0.25">
      <c r="F169" s="99" t="s">
        <v>1041</v>
      </c>
      <c r="G169" s="196"/>
      <c r="H169" s="196" t="s">
        <v>147</v>
      </c>
      <c r="I169" s="196"/>
      <c r="J169" s="444">
        <v>4.7720000000000002</v>
      </c>
      <c r="K169" s="444">
        <v>0.90200000000000002</v>
      </c>
      <c r="L169" s="444">
        <v>0.49199999999999999</v>
      </c>
      <c r="M169" s="343">
        <v>0</v>
      </c>
      <c r="N169" s="343">
        <v>0</v>
      </c>
      <c r="O169" s="343">
        <v>0</v>
      </c>
      <c r="P169" s="444">
        <v>0</v>
      </c>
    </row>
    <row r="170" spans="4:19" x14ac:dyDescent="0.25">
      <c r="F170" s="99" t="s">
        <v>1042</v>
      </c>
      <c r="G170" s="196"/>
      <c r="H170" s="196" t="s">
        <v>147</v>
      </c>
      <c r="I170" s="196"/>
      <c r="J170" s="444">
        <v>3.3650000000000002</v>
      </c>
      <c r="K170" s="444">
        <v>0.754</v>
      </c>
      <c r="L170" s="444">
        <v>0.48799999999999999</v>
      </c>
      <c r="M170" s="343">
        <v>9.2799999999999994</v>
      </c>
      <c r="N170" s="343">
        <v>1.03</v>
      </c>
      <c r="O170" s="343">
        <v>1.51</v>
      </c>
      <c r="P170" s="444">
        <v>9.7000000000000003E-2</v>
      </c>
    </row>
    <row r="171" spans="4:19" x14ac:dyDescent="0.25">
      <c r="F171" s="99" t="s">
        <v>1043</v>
      </c>
      <c r="G171" s="196"/>
      <c r="H171" s="196" t="s">
        <v>147</v>
      </c>
      <c r="I171" s="196"/>
      <c r="J171" s="444">
        <v>3.5960000000000001</v>
      </c>
      <c r="K171" s="444">
        <v>1.03</v>
      </c>
      <c r="L171" s="444">
        <v>0.79600000000000004</v>
      </c>
      <c r="M171" s="343">
        <v>5.39</v>
      </c>
      <c r="N171" s="343">
        <v>3.04</v>
      </c>
      <c r="O171" s="343">
        <v>3.47</v>
      </c>
      <c r="P171" s="444">
        <v>9.1999999999999998E-2</v>
      </c>
    </row>
    <row r="172" spans="4:19" x14ac:dyDescent="0.25">
      <c r="F172" s="99" t="s">
        <v>1044</v>
      </c>
      <c r="G172" s="196"/>
      <c r="H172" s="196" t="s">
        <v>147</v>
      </c>
      <c r="I172" s="196"/>
      <c r="J172" s="444">
        <v>3.347</v>
      </c>
      <c r="K172" s="444">
        <v>1.103</v>
      </c>
      <c r="L172" s="444">
        <v>0.91100000000000003</v>
      </c>
      <c r="M172" s="343">
        <v>93.66</v>
      </c>
      <c r="N172" s="343">
        <v>3.85</v>
      </c>
      <c r="O172" s="343">
        <v>4.74</v>
      </c>
      <c r="P172" s="444">
        <v>7.9000000000000001E-2</v>
      </c>
    </row>
    <row r="173" spans="4:19" x14ac:dyDescent="0.25">
      <c r="F173" s="99" t="s">
        <v>1045</v>
      </c>
      <c r="G173" s="196"/>
      <c r="H173" s="196" t="s">
        <v>147</v>
      </c>
      <c r="I173" s="196"/>
      <c r="J173" s="444">
        <v>9.33</v>
      </c>
      <c r="K173" s="444">
        <v>0.96699999999999997</v>
      </c>
      <c r="L173" s="444">
        <v>0.66100000000000003</v>
      </c>
      <c r="M173" s="343">
        <v>0</v>
      </c>
      <c r="N173" s="343">
        <v>0</v>
      </c>
      <c r="O173" s="343">
        <v>0</v>
      </c>
      <c r="P173" s="444">
        <v>0</v>
      </c>
    </row>
    <row r="174" spans="4:19" x14ac:dyDescent="0.25">
      <c r="F174" s="99" t="s">
        <v>1046</v>
      </c>
      <c r="G174" s="196"/>
      <c r="H174" s="196" t="s">
        <v>147</v>
      </c>
      <c r="I174" s="196"/>
      <c r="J174" s="444">
        <v>-6.665</v>
      </c>
      <c r="K174" s="444">
        <v>-0.65300000000000002</v>
      </c>
      <c r="L174" s="444">
        <v>-1.7000000000000001E-2</v>
      </c>
      <c r="M174" s="343">
        <v>0</v>
      </c>
      <c r="N174" s="343">
        <v>0</v>
      </c>
      <c r="O174" s="343">
        <v>0</v>
      </c>
      <c r="P174" s="444">
        <v>0</v>
      </c>
    </row>
    <row r="175" spans="4:19" x14ac:dyDescent="0.25">
      <c r="F175" s="99" t="s">
        <v>1047</v>
      </c>
      <c r="G175" s="196"/>
      <c r="H175" s="196" t="s">
        <v>147</v>
      </c>
      <c r="I175" s="196"/>
      <c r="J175" s="444">
        <v>-5.8860000000000001</v>
      </c>
      <c r="K175" s="444">
        <v>-0.56699999999999995</v>
      </c>
      <c r="L175" s="444">
        <v>-1.4E-2</v>
      </c>
      <c r="M175" s="343">
        <v>0</v>
      </c>
      <c r="N175" s="343">
        <v>0</v>
      </c>
      <c r="O175" s="343">
        <v>0</v>
      </c>
      <c r="P175" s="444">
        <v>0</v>
      </c>
    </row>
    <row r="176" spans="4:19" x14ac:dyDescent="0.25">
      <c r="F176" s="99" t="s">
        <v>1048</v>
      </c>
      <c r="G176" s="196"/>
      <c r="H176" s="196" t="s">
        <v>147</v>
      </c>
      <c r="I176" s="196"/>
      <c r="J176" s="444">
        <v>-6.665</v>
      </c>
      <c r="K176" s="444">
        <v>-0.65300000000000002</v>
      </c>
      <c r="L176" s="444">
        <v>-1.7000000000000001E-2</v>
      </c>
      <c r="M176" s="343">
        <v>0</v>
      </c>
      <c r="N176" s="343">
        <v>0</v>
      </c>
      <c r="O176" s="343">
        <v>0</v>
      </c>
      <c r="P176" s="444">
        <v>0.21</v>
      </c>
    </row>
    <row r="177" spans="3:19" x14ac:dyDescent="0.25">
      <c r="F177" s="99" t="s">
        <v>1049</v>
      </c>
      <c r="G177" s="196"/>
      <c r="H177" s="196" t="s">
        <v>147</v>
      </c>
      <c r="I177" s="196"/>
      <c r="J177" s="447">
        <v>0</v>
      </c>
      <c r="K177" s="447">
        <v>0</v>
      </c>
      <c r="L177" s="447">
        <v>0</v>
      </c>
      <c r="M177" s="346">
        <v>0</v>
      </c>
      <c r="N177" s="346">
        <v>0</v>
      </c>
      <c r="O177" s="346">
        <v>0</v>
      </c>
      <c r="P177" s="447">
        <v>0</v>
      </c>
    </row>
    <row r="178" spans="3:19" x14ac:dyDescent="0.25">
      <c r="F178" s="99" t="s">
        <v>1050</v>
      </c>
      <c r="G178" s="196"/>
      <c r="H178" s="196" t="s">
        <v>147</v>
      </c>
      <c r="I178" s="196"/>
      <c r="J178" s="444">
        <v>-5.8860000000000001</v>
      </c>
      <c r="K178" s="444">
        <v>-0.56699999999999995</v>
      </c>
      <c r="L178" s="444">
        <v>-1.4E-2</v>
      </c>
      <c r="M178" s="343">
        <v>0</v>
      </c>
      <c r="N178" s="343">
        <v>0</v>
      </c>
      <c r="O178" s="343">
        <v>0</v>
      </c>
      <c r="P178" s="444">
        <v>0.188</v>
      </c>
    </row>
    <row r="179" spans="3:19" x14ac:dyDescent="0.25">
      <c r="F179" s="99" t="s">
        <v>1051</v>
      </c>
      <c r="G179" s="196"/>
      <c r="H179" s="196" t="s">
        <v>147</v>
      </c>
      <c r="I179" s="196"/>
      <c r="J179" s="447">
        <v>0</v>
      </c>
      <c r="K179" s="447">
        <v>0</v>
      </c>
      <c r="L179" s="447">
        <v>0</v>
      </c>
      <c r="M179" s="346">
        <v>0</v>
      </c>
      <c r="N179" s="346">
        <v>0</v>
      </c>
      <c r="O179" s="346">
        <v>0</v>
      </c>
      <c r="P179" s="447">
        <v>0</v>
      </c>
    </row>
    <row r="180" spans="3:19" x14ac:dyDescent="0.25">
      <c r="F180" s="99" t="s">
        <v>1052</v>
      </c>
      <c r="G180" s="196"/>
      <c r="H180" s="196" t="s">
        <v>147</v>
      </c>
      <c r="I180" s="196"/>
      <c r="J180" s="444">
        <v>-3.86</v>
      </c>
      <c r="K180" s="444">
        <v>-0.32700000000000001</v>
      </c>
      <c r="L180" s="444">
        <v>-6.0000000000000001E-3</v>
      </c>
      <c r="M180" s="343">
        <v>0</v>
      </c>
      <c r="N180" s="343">
        <v>0</v>
      </c>
      <c r="O180" s="343">
        <v>0</v>
      </c>
      <c r="P180" s="444">
        <v>0.161</v>
      </c>
    </row>
    <row r="181" spans="3:19" x14ac:dyDescent="0.25">
      <c r="F181" s="100" t="s">
        <v>1053</v>
      </c>
      <c r="G181" s="93"/>
      <c r="H181" s="93" t="s">
        <v>147</v>
      </c>
      <c r="I181" s="93"/>
      <c r="J181" s="448">
        <v>0</v>
      </c>
      <c r="K181" s="448">
        <v>0</v>
      </c>
      <c r="L181" s="448">
        <v>0</v>
      </c>
      <c r="M181" s="347">
        <v>0</v>
      </c>
      <c r="N181" s="347">
        <v>0</v>
      </c>
      <c r="O181" s="347">
        <v>0</v>
      </c>
      <c r="P181" s="448">
        <v>0</v>
      </c>
    </row>
    <row r="182" spans="3:19" x14ac:dyDescent="0.25">
      <c r="D182" s="195"/>
      <c r="E182" s="195"/>
      <c r="F182" s="195"/>
      <c r="G182" s="195"/>
      <c r="H182" s="195"/>
      <c r="I182" s="195"/>
      <c r="J182" s="352"/>
      <c r="K182" s="352"/>
      <c r="L182" s="352"/>
      <c r="M182" s="215"/>
      <c r="N182" s="215"/>
      <c r="O182" s="215"/>
      <c r="P182" s="352"/>
      <c r="Q182" s="195"/>
      <c r="R182" s="195"/>
      <c r="S182" s="195"/>
    </row>
    <row r="183" spans="3:19" s="195" customFormat="1" x14ac:dyDescent="0.25">
      <c r="C183" s="7" t="str">
        <f ca="1">INDEX('Version control'!$H$34:$H$60,MATCH($A$1,'Version control'!$F$34:$F$60,0),1)&amp;"-D: Tariff results for charging year " &amp; 'ARP_User control'!G33</f>
        <v>Input 506-D: Tariff results for charging year 2023/24</v>
      </c>
      <c r="D183" s="7"/>
      <c r="E183" s="7"/>
      <c r="F183" s="7"/>
      <c r="G183" s="7"/>
      <c r="H183" s="7"/>
      <c r="I183" s="7"/>
      <c r="J183" s="450"/>
      <c r="K183" s="450"/>
      <c r="L183" s="450"/>
      <c r="M183" s="7"/>
      <c r="N183" s="7"/>
      <c r="O183" s="7"/>
      <c r="P183" s="450"/>
      <c r="Q183" s="7"/>
      <c r="R183" s="7"/>
    </row>
    <row r="184" spans="3:19" x14ac:dyDescent="0.25">
      <c r="D184" s="85"/>
      <c r="E184" s="195"/>
      <c r="F184" s="195"/>
      <c r="J184" s="451"/>
      <c r="K184" s="451"/>
      <c r="L184" s="451"/>
      <c r="M184" s="214"/>
      <c r="N184" s="214"/>
      <c r="O184" s="214"/>
      <c r="P184" s="451"/>
    </row>
    <row r="185" spans="3:19" x14ac:dyDescent="0.25">
      <c r="D185" s="96"/>
      <c r="E185" s="96" t="str">
        <f>"All the way tariff forecast "&amp; 'ARP_User control'!G33</f>
        <v>All the way tariff forecast 2023/24</v>
      </c>
      <c r="F185" s="195"/>
      <c r="J185" s="451"/>
      <c r="K185" s="451"/>
      <c r="L185" s="451"/>
      <c r="M185" s="214"/>
      <c r="N185" s="214"/>
      <c r="O185" s="214"/>
      <c r="P185" s="451"/>
    </row>
    <row r="186" spans="3:19" x14ac:dyDescent="0.25">
      <c r="F186" s="103" t="s">
        <v>1038</v>
      </c>
      <c r="G186" s="91"/>
      <c r="H186" s="91" t="s">
        <v>318</v>
      </c>
      <c r="I186" s="91"/>
      <c r="J186" s="443">
        <v>10.863</v>
      </c>
      <c r="K186" s="443">
        <v>2.266</v>
      </c>
      <c r="L186" s="443">
        <v>1.3580000000000001</v>
      </c>
      <c r="M186" s="342">
        <v>4.67</v>
      </c>
      <c r="N186" s="342">
        <v>0</v>
      </c>
      <c r="O186" s="342">
        <v>0</v>
      </c>
      <c r="P186" s="443">
        <v>0</v>
      </c>
    </row>
    <row r="187" spans="3:19" x14ac:dyDescent="0.25">
      <c r="F187" s="99" t="s">
        <v>1039</v>
      </c>
      <c r="G187" s="196"/>
      <c r="H187" s="196" t="s">
        <v>318</v>
      </c>
      <c r="I187" s="196"/>
      <c r="J187" s="444">
        <v>10.863</v>
      </c>
      <c r="K187" s="444">
        <v>2.266</v>
      </c>
      <c r="L187" s="444">
        <v>1.3580000000000001</v>
      </c>
      <c r="M187" s="343">
        <v>0</v>
      </c>
      <c r="N187" s="343">
        <v>0</v>
      </c>
      <c r="O187" s="343">
        <v>0</v>
      </c>
      <c r="P187" s="444">
        <v>0</v>
      </c>
    </row>
    <row r="188" spans="3:19" x14ac:dyDescent="0.25">
      <c r="F188" s="99" t="s">
        <v>1040</v>
      </c>
      <c r="G188" s="196"/>
      <c r="H188" s="196" t="s">
        <v>318</v>
      </c>
      <c r="I188" s="196"/>
      <c r="J188" s="444">
        <v>12.401999999999999</v>
      </c>
      <c r="K188" s="444">
        <v>2.4169999999999998</v>
      </c>
      <c r="L188" s="444">
        <v>1.3620000000000001</v>
      </c>
      <c r="M188" s="343">
        <v>5.97</v>
      </c>
      <c r="N188" s="343">
        <v>0</v>
      </c>
      <c r="O188" s="343">
        <v>0</v>
      </c>
      <c r="P188" s="444">
        <v>0</v>
      </c>
    </row>
    <row r="189" spans="3:19" x14ac:dyDescent="0.25">
      <c r="F189" s="99" t="s">
        <v>1041</v>
      </c>
      <c r="G189" s="196"/>
      <c r="H189" s="196" t="s">
        <v>318</v>
      </c>
      <c r="I189" s="196"/>
      <c r="J189" s="444">
        <v>12.401999999999999</v>
      </c>
      <c r="K189" s="444">
        <v>2.4169999999999998</v>
      </c>
      <c r="L189" s="444">
        <v>1.3620000000000001</v>
      </c>
      <c r="M189" s="343">
        <v>0</v>
      </c>
      <c r="N189" s="343">
        <v>0</v>
      </c>
      <c r="O189" s="343">
        <v>0</v>
      </c>
      <c r="P189" s="444">
        <v>0</v>
      </c>
    </row>
    <row r="190" spans="3:19" x14ac:dyDescent="0.25">
      <c r="F190" s="99" t="s">
        <v>1042</v>
      </c>
      <c r="G190" s="196"/>
      <c r="H190" s="196" t="s">
        <v>318</v>
      </c>
      <c r="I190" s="196"/>
      <c r="J190" s="444">
        <v>8.7729999999999997</v>
      </c>
      <c r="K190" s="444">
        <v>2.0369999999999999</v>
      </c>
      <c r="L190" s="444">
        <v>1.351</v>
      </c>
      <c r="M190" s="343">
        <v>23.54</v>
      </c>
      <c r="N190" s="343">
        <v>2.65</v>
      </c>
      <c r="O190" s="343">
        <v>3.9</v>
      </c>
      <c r="P190" s="444">
        <v>0.249</v>
      </c>
    </row>
    <row r="191" spans="3:19" x14ac:dyDescent="0.25">
      <c r="F191" s="99" t="s">
        <v>1043</v>
      </c>
      <c r="G191" s="196"/>
      <c r="H191" s="196" t="s">
        <v>318</v>
      </c>
      <c r="I191" s="196"/>
      <c r="J191" s="444">
        <v>5.734</v>
      </c>
      <c r="K191" s="444">
        <v>1.708</v>
      </c>
      <c r="L191" s="444">
        <v>1.3420000000000001</v>
      </c>
      <c r="M191" s="343">
        <v>8.31</v>
      </c>
      <c r="N191" s="343">
        <v>4.7699999999999996</v>
      </c>
      <c r="O191" s="343">
        <v>5.44</v>
      </c>
      <c r="P191" s="444">
        <v>0.14499999999999999</v>
      </c>
    </row>
    <row r="192" spans="3:19" x14ac:dyDescent="0.25">
      <c r="F192" s="99" t="s">
        <v>1044</v>
      </c>
      <c r="G192" s="196"/>
      <c r="H192" s="196" t="s">
        <v>318</v>
      </c>
      <c r="I192" s="196"/>
      <c r="J192" s="444">
        <v>4.6669999999999998</v>
      </c>
      <c r="K192" s="444">
        <v>1.601</v>
      </c>
      <c r="L192" s="444">
        <v>1.339</v>
      </c>
      <c r="M192" s="343">
        <v>125.79</v>
      </c>
      <c r="N192" s="343">
        <v>5.26</v>
      </c>
      <c r="O192" s="343">
        <v>6.48</v>
      </c>
      <c r="P192" s="444">
        <v>0.107</v>
      </c>
    </row>
    <row r="193" spans="4:16" x14ac:dyDescent="0.25">
      <c r="F193" s="99" t="s">
        <v>1045</v>
      </c>
      <c r="G193" s="196"/>
      <c r="H193" s="196" t="s">
        <v>318</v>
      </c>
      <c r="I193" s="196"/>
      <c r="J193" s="444">
        <v>24.157</v>
      </c>
      <c r="K193" s="444">
        <v>2.593</v>
      </c>
      <c r="L193" s="444">
        <v>1.792</v>
      </c>
      <c r="M193" s="343">
        <v>0</v>
      </c>
      <c r="N193" s="343">
        <v>0</v>
      </c>
      <c r="O193" s="343">
        <v>0</v>
      </c>
      <c r="P193" s="444">
        <v>0</v>
      </c>
    </row>
    <row r="194" spans="4:16" x14ac:dyDescent="0.25">
      <c r="F194" s="99" t="s">
        <v>1046</v>
      </c>
      <c r="G194" s="196"/>
      <c r="H194" s="196" t="s">
        <v>318</v>
      </c>
      <c r="I194" s="196"/>
      <c r="J194" s="444">
        <v>-6.859</v>
      </c>
      <c r="K194" s="444">
        <v>-0.67100000000000004</v>
      </c>
      <c r="L194" s="444">
        <v>-1.7000000000000001E-2</v>
      </c>
      <c r="M194" s="343">
        <v>0</v>
      </c>
      <c r="N194" s="343">
        <v>0</v>
      </c>
      <c r="O194" s="343">
        <v>0</v>
      </c>
      <c r="P194" s="444">
        <v>0</v>
      </c>
    </row>
    <row r="195" spans="4:16" x14ac:dyDescent="0.25">
      <c r="F195" s="99" t="s">
        <v>1047</v>
      </c>
      <c r="G195" s="196"/>
      <c r="H195" s="196" t="s">
        <v>318</v>
      </c>
      <c r="I195" s="196"/>
      <c r="J195" s="444">
        <v>-6.0570000000000004</v>
      </c>
      <c r="K195" s="444">
        <v>-0.58199999999999996</v>
      </c>
      <c r="L195" s="444">
        <v>-1.4E-2</v>
      </c>
      <c r="M195" s="343">
        <v>0</v>
      </c>
      <c r="N195" s="343">
        <v>0</v>
      </c>
      <c r="O195" s="343">
        <v>0</v>
      </c>
      <c r="P195" s="444">
        <v>0</v>
      </c>
    </row>
    <row r="196" spans="4:16" x14ac:dyDescent="0.25">
      <c r="F196" s="99" t="s">
        <v>1048</v>
      </c>
      <c r="G196" s="196"/>
      <c r="H196" s="196" t="s">
        <v>318</v>
      </c>
      <c r="I196" s="196"/>
      <c r="J196" s="444">
        <v>-6.859</v>
      </c>
      <c r="K196" s="444">
        <v>-0.67100000000000004</v>
      </c>
      <c r="L196" s="444">
        <v>-1.7000000000000001E-2</v>
      </c>
      <c r="M196" s="343">
        <v>0</v>
      </c>
      <c r="N196" s="343">
        <v>0</v>
      </c>
      <c r="O196" s="343">
        <v>0</v>
      </c>
      <c r="P196" s="444">
        <v>0.215</v>
      </c>
    </row>
    <row r="197" spans="4:16" x14ac:dyDescent="0.25">
      <c r="F197" s="99" t="s">
        <v>1049</v>
      </c>
      <c r="G197" s="196"/>
      <c r="H197" s="196" t="s">
        <v>318</v>
      </c>
      <c r="I197" s="196"/>
      <c r="J197" s="444">
        <v>-6.859</v>
      </c>
      <c r="K197" s="444">
        <v>-0.67100000000000004</v>
      </c>
      <c r="L197" s="444">
        <v>-1.7000000000000001E-2</v>
      </c>
      <c r="M197" s="343">
        <v>0</v>
      </c>
      <c r="N197" s="343">
        <v>0</v>
      </c>
      <c r="O197" s="343">
        <v>0</v>
      </c>
      <c r="P197" s="444">
        <v>0</v>
      </c>
    </row>
    <row r="198" spans="4:16" x14ac:dyDescent="0.25">
      <c r="F198" s="99" t="s">
        <v>1050</v>
      </c>
      <c r="G198" s="196"/>
      <c r="H198" s="196" t="s">
        <v>318</v>
      </c>
      <c r="I198" s="196"/>
      <c r="J198" s="444">
        <v>-6.0570000000000004</v>
      </c>
      <c r="K198" s="444">
        <v>-0.58199999999999996</v>
      </c>
      <c r="L198" s="444">
        <v>-1.4E-2</v>
      </c>
      <c r="M198" s="343">
        <v>0</v>
      </c>
      <c r="N198" s="343">
        <v>0</v>
      </c>
      <c r="O198" s="343">
        <v>0</v>
      </c>
      <c r="P198" s="444">
        <v>0.192</v>
      </c>
    </row>
    <row r="199" spans="4:16" x14ac:dyDescent="0.25">
      <c r="F199" s="99" t="s">
        <v>1051</v>
      </c>
      <c r="G199" s="196"/>
      <c r="H199" s="196" t="s">
        <v>318</v>
      </c>
      <c r="I199" s="196"/>
      <c r="J199" s="444">
        <v>-6.0570000000000004</v>
      </c>
      <c r="K199" s="444">
        <v>-0.58199999999999996</v>
      </c>
      <c r="L199" s="444">
        <v>-1.4E-2</v>
      </c>
      <c r="M199" s="343">
        <v>0</v>
      </c>
      <c r="N199" s="343">
        <v>0</v>
      </c>
      <c r="O199" s="343">
        <v>0</v>
      </c>
      <c r="P199" s="444">
        <v>0</v>
      </c>
    </row>
    <row r="200" spans="4:16" x14ac:dyDescent="0.25">
      <c r="F200" s="99" t="s">
        <v>1052</v>
      </c>
      <c r="G200" s="196"/>
      <c r="H200" s="196" t="s">
        <v>318</v>
      </c>
      <c r="I200" s="196"/>
      <c r="J200" s="444">
        <v>-3.972</v>
      </c>
      <c r="K200" s="444">
        <v>-0.33600000000000002</v>
      </c>
      <c r="L200" s="444">
        <v>-6.0000000000000001E-3</v>
      </c>
      <c r="M200" s="343">
        <v>91.85</v>
      </c>
      <c r="N200" s="343">
        <v>0</v>
      </c>
      <c r="O200" s="343">
        <v>0</v>
      </c>
      <c r="P200" s="444">
        <v>0.16500000000000001</v>
      </c>
    </row>
    <row r="201" spans="4:16" x14ac:dyDescent="0.25">
      <c r="F201" s="100" t="s">
        <v>1053</v>
      </c>
      <c r="G201" s="93"/>
      <c r="H201" s="93" t="s">
        <v>318</v>
      </c>
      <c r="I201" s="93"/>
      <c r="J201" s="445">
        <v>-3.972</v>
      </c>
      <c r="K201" s="445">
        <v>-0.33600000000000002</v>
      </c>
      <c r="L201" s="445">
        <v>-6.0000000000000001E-3</v>
      </c>
      <c r="M201" s="344">
        <v>91.85</v>
      </c>
      <c r="N201" s="344">
        <v>0</v>
      </c>
      <c r="O201" s="344">
        <v>0</v>
      </c>
      <c r="P201" s="445">
        <v>0</v>
      </c>
    </row>
    <row r="202" spans="4:16" x14ac:dyDescent="0.25">
      <c r="F202" s="98"/>
      <c r="G202" s="295"/>
      <c r="H202" s="295"/>
      <c r="I202" s="295"/>
      <c r="J202" s="446"/>
      <c r="K202" s="446"/>
      <c r="L202" s="446"/>
      <c r="M202" s="345"/>
      <c r="N202" s="345"/>
      <c r="O202" s="345"/>
      <c r="P202" s="446"/>
    </row>
    <row r="203" spans="4:16" x14ac:dyDescent="0.25">
      <c r="D203" s="96"/>
      <c r="E203" s="96" t="str">
        <f>"LDNO LV tariff forecast "&amp; 'ARP_User control'!G33</f>
        <v>LDNO LV tariff forecast 2023/24</v>
      </c>
      <c r="F203" s="98"/>
      <c r="G203" s="295"/>
      <c r="H203" s="295"/>
      <c r="I203" s="295"/>
      <c r="J203" s="446"/>
      <c r="K203" s="446"/>
      <c r="L203" s="446"/>
      <c r="M203" s="345"/>
      <c r="N203" s="345"/>
      <c r="O203" s="345"/>
      <c r="P203" s="446"/>
    </row>
    <row r="204" spans="4:16" x14ac:dyDescent="0.25">
      <c r="F204" s="103" t="s">
        <v>1038</v>
      </c>
      <c r="G204" s="91"/>
      <c r="H204" s="91" t="s">
        <v>146</v>
      </c>
      <c r="I204" s="91"/>
      <c r="J204" s="443">
        <v>6.6189999999999998</v>
      </c>
      <c r="K204" s="443">
        <v>1.381</v>
      </c>
      <c r="L204" s="443">
        <v>0.82799999999999996</v>
      </c>
      <c r="M204" s="342">
        <v>2.85</v>
      </c>
      <c r="N204" s="342">
        <v>0</v>
      </c>
      <c r="O204" s="342">
        <v>0</v>
      </c>
      <c r="P204" s="443">
        <v>0</v>
      </c>
    </row>
    <row r="205" spans="4:16" x14ac:dyDescent="0.25">
      <c r="F205" s="99" t="s">
        <v>1039</v>
      </c>
      <c r="G205" s="196"/>
      <c r="H205" s="196" t="s">
        <v>146</v>
      </c>
      <c r="I205" s="196"/>
      <c r="J205" s="444">
        <v>6.6189999999999998</v>
      </c>
      <c r="K205" s="444">
        <v>1.381</v>
      </c>
      <c r="L205" s="444">
        <v>0.82799999999999996</v>
      </c>
      <c r="M205" s="343">
        <v>0</v>
      </c>
      <c r="N205" s="343">
        <v>0</v>
      </c>
      <c r="O205" s="343">
        <v>0</v>
      </c>
      <c r="P205" s="444">
        <v>0</v>
      </c>
    </row>
    <row r="206" spans="4:16" x14ac:dyDescent="0.25">
      <c r="F206" s="99" t="s">
        <v>1040</v>
      </c>
      <c r="G206" s="196"/>
      <c r="H206" s="196" t="s">
        <v>146</v>
      </c>
      <c r="I206" s="196"/>
      <c r="J206" s="444">
        <v>7.5570000000000004</v>
      </c>
      <c r="K206" s="444">
        <v>1.472</v>
      </c>
      <c r="L206" s="444">
        <v>0.83</v>
      </c>
      <c r="M206" s="343">
        <v>3.64</v>
      </c>
      <c r="N206" s="343">
        <v>0</v>
      </c>
      <c r="O206" s="343">
        <v>0</v>
      </c>
      <c r="P206" s="444">
        <v>0</v>
      </c>
    </row>
    <row r="207" spans="4:16" x14ac:dyDescent="0.25">
      <c r="F207" s="99" t="s">
        <v>1041</v>
      </c>
      <c r="G207" s="196"/>
      <c r="H207" s="196" t="s">
        <v>146</v>
      </c>
      <c r="I207" s="196"/>
      <c r="J207" s="444">
        <v>7.5570000000000004</v>
      </c>
      <c r="K207" s="444">
        <v>1.472</v>
      </c>
      <c r="L207" s="444">
        <v>0.83</v>
      </c>
      <c r="M207" s="343">
        <v>0</v>
      </c>
      <c r="N207" s="343">
        <v>0</v>
      </c>
      <c r="O207" s="343">
        <v>0</v>
      </c>
      <c r="P207" s="444">
        <v>0</v>
      </c>
    </row>
    <row r="208" spans="4:16" x14ac:dyDescent="0.25">
      <c r="F208" s="99" t="s">
        <v>1042</v>
      </c>
      <c r="G208" s="196"/>
      <c r="H208" s="196" t="s">
        <v>146</v>
      </c>
      <c r="I208" s="196"/>
      <c r="J208" s="444">
        <v>5.3460000000000001</v>
      </c>
      <c r="K208" s="444">
        <v>1.2410000000000001</v>
      </c>
      <c r="L208" s="444">
        <v>0.82299999999999995</v>
      </c>
      <c r="M208" s="343">
        <v>14.34</v>
      </c>
      <c r="N208" s="343">
        <v>1.61</v>
      </c>
      <c r="O208" s="343">
        <v>2.38</v>
      </c>
      <c r="P208" s="444">
        <v>0.152</v>
      </c>
    </row>
    <row r="209" spans="4:19" x14ac:dyDescent="0.25">
      <c r="F209" s="99" t="s">
        <v>1043</v>
      </c>
      <c r="G209" s="196"/>
      <c r="H209" s="196" t="s">
        <v>146</v>
      </c>
      <c r="I209" s="196"/>
      <c r="J209" s="447">
        <v>0</v>
      </c>
      <c r="K209" s="447">
        <v>0</v>
      </c>
      <c r="L209" s="447">
        <v>0</v>
      </c>
      <c r="M209" s="346">
        <v>0</v>
      </c>
      <c r="N209" s="346">
        <v>0</v>
      </c>
      <c r="O209" s="346">
        <v>0</v>
      </c>
      <c r="P209" s="447">
        <v>0</v>
      </c>
    </row>
    <row r="210" spans="4:19" x14ac:dyDescent="0.25">
      <c r="F210" s="99" t="s">
        <v>1044</v>
      </c>
      <c r="G210" s="196"/>
      <c r="H210" s="196" t="s">
        <v>146</v>
      </c>
      <c r="I210" s="196"/>
      <c r="J210" s="447">
        <v>0</v>
      </c>
      <c r="K210" s="447">
        <v>0</v>
      </c>
      <c r="L210" s="447">
        <v>0</v>
      </c>
      <c r="M210" s="346">
        <v>0</v>
      </c>
      <c r="N210" s="346">
        <v>0</v>
      </c>
      <c r="O210" s="346">
        <v>0</v>
      </c>
      <c r="P210" s="447">
        <v>0</v>
      </c>
    </row>
    <row r="211" spans="4:19" x14ac:dyDescent="0.25">
      <c r="F211" s="99" t="s">
        <v>1045</v>
      </c>
      <c r="G211" s="196"/>
      <c r="H211" s="196" t="s">
        <v>146</v>
      </c>
      <c r="I211" s="196"/>
      <c r="J211" s="444">
        <v>14.72</v>
      </c>
      <c r="K211" s="444">
        <v>1.58</v>
      </c>
      <c r="L211" s="444">
        <v>1.0920000000000001</v>
      </c>
      <c r="M211" s="343">
        <v>0</v>
      </c>
      <c r="N211" s="343">
        <v>0</v>
      </c>
      <c r="O211" s="343">
        <v>0</v>
      </c>
      <c r="P211" s="444">
        <v>0</v>
      </c>
    </row>
    <row r="212" spans="4:19" x14ac:dyDescent="0.25">
      <c r="F212" s="99" t="s">
        <v>1046</v>
      </c>
      <c r="G212" s="196"/>
      <c r="H212" s="196" t="s">
        <v>146</v>
      </c>
      <c r="I212" s="196"/>
      <c r="J212" s="444">
        <v>-6.859</v>
      </c>
      <c r="K212" s="444">
        <v>-0.67100000000000004</v>
      </c>
      <c r="L212" s="444">
        <v>-1.7000000000000001E-2</v>
      </c>
      <c r="M212" s="343">
        <v>0</v>
      </c>
      <c r="N212" s="343">
        <v>0</v>
      </c>
      <c r="O212" s="343">
        <v>0</v>
      </c>
      <c r="P212" s="444">
        <v>0</v>
      </c>
    </row>
    <row r="213" spans="4:19" x14ac:dyDescent="0.25">
      <c r="F213" s="99" t="s">
        <v>1047</v>
      </c>
      <c r="G213" s="196"/>
      <c r="H213" s="196" t="s">
        <v>146</v>
      </c>
      <c r="I213" s="196"/>
      <c r="J213" s="447">
        <v>0</v>
      </c>
      <c r="K213" s="447">
        <v>0</v>
      </c>
      <c r="L213" s="447">
        <v>0</v>
      </c>
      <c r="M213" s="346">
        <v>0</v>
      </c>
      <c r="N213" s="346">
        <v>0</v>
      </c>
      <c r="O213" s="346">
        <v>0</v>
      </c>
      <c r="P213" s="447">
        <v>0</v>
      </c>
    </row>
    <row r="214" spans="4:19" x14ac:dyDescent="0.25">
      <c r="F214" s="99" t="s">
        <v>1048</v>
      </c>
      <c r="G214" s="196"/>
      <c r="H214" s="196" t="s">
        <v>146</v>
      </c>
      <c r="I214" s="196"/>
      <c r="J214" s="444">
        <v>-6.859</v>
      </c>
      <c r="K214" s="444">
        <v>-0.67100000000000004</v>
      </c>
      <c r="L214" s="444">
        <v>-1.7000000000000001E-2</v>
      </c>
      <c r="M214" s="343">
        <v>0</v>
      </c>
      <c r="N214" s="343">
        <v>0</v>
      </c>
      <c r="O214" s="343">
        <v>0</v>
      </c>
      <c r="P214" s="444">
        <v>0.215</v>
      </c>
    </row>
    <row r="215" spans="4:19" x14ac:dyDescent="0.25">
      <c r="F215" s="99" t="s">
        <v>1049</v>
      </c>
      <c r="G215" s="196"/>
      <c r="H215" s="196" t="s">
        <v>146</v>
      </c>
      <c r="I215" s="196"/>
      <c r="J215" s="447">
        <v>0</v>
      </c>
      <c r="K215" s="447">
        <v>0</v>
      </c>
      <c r="L215" s="447">
        <v>0</v>
      </c>
      <c r="M215" s="346">
        <v>0</v>
      </c>
      <c r="N215" s="346">
        <v>0</v>
      </c>
      <c r="O215" s="346">
        <v>0</v>
      </c>
      <c r="P215" s="447">
        <v>0</v>
      </c>
    </row>
    <row r="216" spans="4:19" x14ac:dyDescent="0.25">
      <c r="F216" s="99" t="s">
        <v>1050</v>
      </c>
      <c r="G216" s="196"/>
      <c r="H216" s="196" t="s">
        <v>146</v>
      </c>
      <c r="I216" s="196"/>
      <c r="J216" s="447">
        <v>0</v>
      </c>
      <c r="K216" s="447">
        <v>0</v>
      </c>
      <c r="L216" s="447">
        <v>0</v>
      </c>
      <c r="M216" s="346">
        <v>0</v>
      </c>
      <c r="N216" s="346">
        <v>0</v>
      </c>
      <c r="O216" s="346">
        <v>0</v>
      </c>
      <c r="P216" s="447">
        <v>0</v>
      </c>
    </row>
    <row r="217" spans="4:19" x14ac:dyDescent="0.25">
      <c r="F217" s="99" t="s">
        <v>1051</v>
      </c>
      <c r="G217" s="196"/>
      <c r="H217" s="196" t="s">
        <v>146</v>
      </c>
      <c r="I217" s="196"/>
      <c r="J217" s="447">
        <v>0</v>
      </c>
      <c r="K217" s="447">
        <v>0</v>
      </c>
      <c r="L217" s="447">
        <v>0</v>
      </c>
      <c r="M217" s="346">
        <v>0</v>
      </c>
      <c r="N217" s="346">
        <v>0</v>
      </c>
      <c r="O217" s="346">
        <v>0</v>
      </c>
      <c r="P217" s="447">
        <v>0</v>
      </c>
    </row>
    <row r="218" spans="4:19" x14ac:dyDescent="0.25">
      <c r="F218" s="99" t="s">
        <v>1052</v>
      </c>
      <c r="G218" s="196"/>
      <c r="H218" s="196" t="s">
        <v>146</v>
      </c>
      <c r="I218" s="196"/>
      <c r="J218" s="447">
        <v>0</v>
      </c>
      <c r="K218" s="447">
        <v>0</v>
      </c>
      <c r="L218" s="447">
        <v>0</v>
      </c>
      <c r="M218" s="346">
        <v>0</v>
      </c>
      <c r="N218" s="346">
        <v>0</v>
      </c>
      <c r="O218" s="346">
        <v>0</v>
      </c>
      <c r="P218" s="447">
        <v>0</v>
      </c>
    </row>
    <row r="219" spans="4:19" x14ac:dyDescent="0.25">
      <c r="F219" s="100" t="s">
        <v>1053</v>
      </c>
      <c r="G219" s="93"/>
      <c r="H219" s="93" t="s">
        <v>146</v>
      </c>
      <c r="I219" s="93"/>
      <c r="J219" s="448">
        <v>0</v>
      </c>
      <c r="K219" s="448">
        <v>0</v>
      </c>
      <c r="L219" s="448">
        <v>0</v>
      </c>
      <c r="M219" s="347">
        <v>0</v>
      </c>
      <c r="N219" s="347">
        <v>0</v>
      </c>
      <c r="O219" s="347">
        <v>0</v>
      </c>
      <c r="P219" s="448">
        <v>0</v>
      </c>
    </row>
    <row r="220" spans="4:19" x14ac:dyDescent="0.25">
      <c r="D220" s="195"/>
      <c r="E220" s="195"/>
      <c r="F220" s="295"/>
      <c r="G220" s="295"/>
      <c r="H220" s="295"/>
      <c r="I220" s="295"/>
      <c r="J220" s="446"/>
      <c r="K220" s="446"/>
      <c r="L220" s="446"/>
      <c r="M220" s="345"/>
      <c r="N220" s="345"/>
      <c r="O220" s="345"/>
      <c r="P220" s="446"/>
      <c r="Q220" s="195"/>
      <c r="R220" s="195"/>
      <c r="S220" s="195"/>
    </row>
    <row r="221" spans="4:19" x14ac:dyDescent="0.25">
      <c r="D221" s="96"/>
      <c r="E221" s="96" t="str">
        <f>"LDNO HV tariff forecast "&amp; 'ARP_User control'!G33</f>
        <v>LDNO HV tariff forecast 2023/24</v>
      </c>
      <c r="F221" s="295"/>
      <c r="G221" s="295"/>
      <c r="H221" s="295"/>
      <c r="I221" s="295"/>
      <c r="J221" s="446"/>
      <c r="K221" s="446"/>
      <c r="L221" s="446"/>
      <c r="M221" s="345"/>
      <c r="N221" s="345"/>
      <c r="O221" s="345"/>
      <c r="P221" s="446"/>
      <c r="Q221" s="195"/>
      <c r="R221" s="195"/>
      <c r="S221" s="195"/>
    </row>
    <row r="222" spans="4:19" x14ac:dyDescent="0.25">
      <c r="F222" s="103" t="s">
        <v>1038</v>
      </c>
      <c r="G222" s="91"/>
      <c r="H222" s="91" t="s">
        <v>147</v>
      </c>
      <c r="I222" s="91"/>
      <c r="J222" s="443">
        <v>4.306</v>
      </c>
      <c r="K222" s="443">
        <v>0.89800000000000002</v>
      </c>
      <c r="L222" s="443">
        <v>0.53800000000000003</v>
      </c>
      <c r="M222" s="342">
        <v>1.85</v>
      </c>
      <c r="N222" s="342">
        <v>0</v>
      </c>
      <c r="O222" s="342">
        <v>0</v>
      </c>
      <c r="P222" s="443">
        <v>0</v>
      </c>
    </row>
    <row r="223" spans="4:19" x14ac:dyDescent="0.25">
      <c r="F223" s="99" t="s">
        <v>1039</v>
      </c>
      <c r="G223" s="196"/>
      <c r="H223" s="196" t="s">
        <v>147</v>
      </c>
      <c r="I223" s="196"/>
      <c r="J223" s="444">
        <v>4.306</v>
      </c>
      <c r="K223" s="444">
        <v>0.89800000000000002</v>
      </c>
      <c r="L223" s="444">
        <v>0.53800000000000003</v>
      </c>
      <c r="M223" s="343">
        <v>0</v>
      </c>
      <c r="N223" s="343">
        <v>0</v>
      </c>
      <c r="O223" s="343">
        <v>0</v>
      </c>
      <c r="P223" s="444">
        <v>0</v>
      </c>
    </row>
    <row r="224" spans="4:19" x14ac:dyDescent="0.25">
      <c r="F224" s="99" t="s">
        <v>1040</v>
      </c>
      <c r="G224" s="196"/>
      <c r="H224" s="196" t="s">
        <v>147</v>
      </c>
      <c r="I224" s="196"/>
      <c r="J224" s="444">
        <v>4.9160000000000004</v>
      </c>
      <c r="K224" s="444">
        <v>0.95799999999999996</v>
      </c>
      <c r="L224" s="444">
        <v>0.54</v>
      </c>
      <c r="M224" s="343">
        <v>2.37</v>
      </c>
      <c r="N224" s="343">
        <v>0</v>
      </c>
      <c r="O224" s="343">
        <v>0</v>
      </c>
      <c r="P224" s="444">
        <v>0</v>
      </c>
    </row>
    <row r="225" spans="3:19" x14ac:dyDescent="0.25">
      <c r="F225" s="99" t="s">
        <v>1041</v>
      </c>
      <c r="G225" s="196"/>
      <c r="H225" s="196" t="s">
        <v>147</v>
      </c>
      <c r="I225" s="196"/>
      <c r="J225" s="444">
        <v>4.9160000000000004</v>
      </c>
      <c r="K225" s="444">
        <v>0.95799999999999996</v>
      </c>
      <c r="L225" s="444">
        <v>0.54</v>
      </c>
      <c r="M225" s="343">
        <v>0</v>
      </c>
      <c r="N225" s="343">
        <v>0</v>
      </c>
      <c r="O225" s="343">
        <v>0</v>
      </c>
      <c r="P225" s="444">
        <v>0</v>
      </c>
    </row>
    <row r="226" spans="3:19" x14ac:dyDescent="0.25">
      <c r="F226" s="99" t="s">
        <v>1042</v>
      </c>
      <c r="G226" s="196"/>
      <c r="H226" s="196" t="s">
        <v>147</v>
      </c>
      <c r="I226" s="196"/>
      <c r="J226" s="444">
        <v>3.4780000000000002</v>
      </c>
      <c r="K226" s="444">
        <v>0.80700000000000005</v>
      </c>
      <c r="L226" s="444">
        <v>0.53600000000000003</v>
      </c>
      <c r="M226" s="343">
        <v>9.33</v>
      </c>
      <c r="N226" s="343">
        <v>1.05</v>
      </c>
      <c r="O226" s="343">
        <v>1.55</v>
      </c>
      <c r="P226" s="444">
        <v>9.9000000000000005E-2</v>
      </c>
    </row>
    <row r="227" spans="3:19" x14ac:dyDescent="0.25">
      <c r="F227" s="99" t="s">
        <v>1043</v>
      </c>
      <c r="G227" s="196"/>
      <c r="H227" s="196" t="s">
        <v>147</v>
      </c>
      <c r="I227" s="196"/>
      <c r="J227" s="444">
        <v>3.738</v>
      </c>
      <c r="K227" s="444">
        <v>1.113</v>
      </c>
      <c r="L227" s="444">
        <v>0.874</v>
      </c>
      <c r="M227" s="343">
        <v>5.42</v>
      </c>
      <c r="N227" s="343">
        <v>3.11</v>
      </c>
      <c r="O227" s="343">
        <v>3.54</v>
      </c>
      <c r="P227" s="444">
        <v>9.4E-2</v>
      </c>
    </row>
    <row r="228" spans="3:19" x14ac:dyDescent="0.25">
      <c r="F228" s="99" t="s">
        <v>1044</v>
      </c>
      <c r="G228" s="196"/>
      <c r="H228" s="196" t="s">
        <v>147</v>
      </c>
      <c r="I228" s="196"/>
      <c r="J228" s="444">
        <v>3.492</v>
      </c>
      <c r="K228" s="444">
        <v>1.198</v>
      </c>
      <c r="L228" s="444">
        <v>1.002</v>
      </c>
      <c r="M228" s="343">
        <v>94.12</v>
      </c>
      <c r="N228" s="343">
        <v>3.94</v>
      </c>
      <c r="O228" s="343">
        <v>4.8499999999999996</v>
      </c>
      <c r="P228" s="444">
        <v>0.08</v>
      </c>
    </row>
    <row r="229" spans="3:19" x14ac:dyDescent="0.25">
      <c r="F229" s="99" t="s">
        <v>1045</v>
      </c>
      <c r="G229" s="196"/>
      <c r="H229" s="196" t="s">
        <v>147</v>
      </c>
      <c r="I229" s="196"/>
      <c r="J229" s="444">
        <v>9.5749999999999993</v>
      </c>
      <c r="K229" s="444">
        <v>1.028</v>
      </c>
      <c r="L229" s="444">
        <v>0.71</v>
      </c>
      <c r="M229" s="343">
        <v>0</v>
      </c>
      <c r="N229" s="343">
        <v>0</v>
      </c>
      <c r="O229" s="343">
        <v>0</v>
      </c>
      <c r="P229" s="444">
        <v>0</v>
      </c>
    </row>
    <row r="230" spans="3:19" x14ac:dyDescent="0.25">
      <c r="F230" s="99" t="s">
        <v>1046</v>
      </c>
      <c r="G230" s="196"/>
      <c r="H230" s="196" t="s">
        <v>147</v>
      </c>
      <c r="I230" s="196"/>
      <c r="J230" s="444">
        <v>-6.859</v>
      </c>
      <c r="K230" s="444">
        <v>-0.67100000000000004</v>
      </c>
      <c r="L230" s="444">
        <v>-1.7000000000000001E-2</v>
      </c>
      <c r="M230" s="343">
        <v>0</v>
      </c>
      <c r="N230" s="343">
        <v>0</v>
      </c>
      <c r="O230" s="343">
        <v>0</v>
      </c>
      <c r="P230" s="444">
        <v>0</v>
      </c>
    </row>
    <row r="231" spans="3:19" x14ac:dyDescent="0.25">
      <c r="F231" s="99" t="s">
        <v>1047</v>
      </c>
      <c r="G231" s="196"/>
      <c r="H231" s="196" t="s">
        <v>147</v>
      </c>
      <c r="I231" s="196"/>
      <c r="J231" s="444">
        <v>-6.0570000000000004</v>
      </c>
      <c r="K231" s="444">
        <v>-0.58199999999999996</v>
      </c>
      <c r="L231" s="444">
        <v>-1.4E-2</v>
      </c>
      <c r="M231" s="343">
        <v>0</v>
      </c>
      <c r="N231" s="343">
        <v>0</v>
      </c>
      <c r="O231" s="343">
        <v>0</v>
      </c>
      <c r="P231" s="444">
        <v>0</v>
      </c>
    </row>
    <row r="232" spans="3:19" x14ac:dyDescent="0.25">
      <c r="F232" s="99" t="s">
        <v>1048</v>
      </c>
      <c r="G232" s="196"/>
      <c r="H232" s="196" t="s">
        <v>147</v>
      </c>
      <c r="I232" s="196"/>
      <c r="J232" s="444">
        <v>-6.859</v>
      </c>
      <c r="K232" s="444">
        <v>-0.67100000000000004</v>
      </c>
      <c r="L232" s="444">
        <v>-1.7000000000000001E-2</v>
      </c>
      <c r="M232" s="343">
        <v>0</v>
      </c>
      <c r="N232" s="343">
        <v>0</v>
      </c>
      <c r="O232" s="343">
        <v>0</v>
      </c>
      <c r="P232" s="444">
        <v>0.215</v>
      </c>
    </row>
    <row r="233" spans="3:19" x14ac:dyDescent="0.25">
      <c r="F233" s="99" t="s">
        <v>1049</v>
      </c>
      <c r="G233" s="196"/>
      <c r="H233" s="196" t="s">
        <v>147</v>
      </c>
      <c r="I233" s="196"/>
      <c r="J233" s="447">
        <v>0</v>
      </c>
      <c r="K233" s="447">
        <v>0</v>
      </c>
      <c r="L233" s="447">
        <v>0</v>
      </c>
      <c r="M233" s="346">
        <v>0</v>
      </c>
      <c r="N233" s="346">
        <v>0</v>
      </c>
      <c r="O233" s="346">
        <v>0</v>
      </c>
      <c r="P233" s="447">
        <v>0</v>
      </c>
    </row>
    <row r="234" spans="3:19" x14ac:dyDescent="0.25">
      <c r="F234" s="99" t="s">
        <v>1050</v>
      </c>
      <c r="G234" s="196"/>
      <c r="H234" s="196" t="s">
        <v>147</v>
      </c>
      <c r="I234" s="196"/>
      <c r="J234" s="444">
        <v>-6.0570000000000004</v>
      </c>
      <c r="K234" s="444">
        <v>-0.58199999999999996</v>
      </c>
      <c r="L234" s="444">
        <v>-1.4E-2</v>
      </c>
      <c r="M234" s="343">
        <v>0</v>
      </c>
      <c r="N234" s="343">
        <v>0</v>
      </c>
      <c r="O234" s="343">
        <v>0</v>
      </c>
      <c r="P234" s="444">
        <v>0.192</v>
      </c>
    </row>
    <row r="235" spans="3:19" x14ac:dyDescent="0.25">
      <c r="F235" s="99" t="s">
        <v>1051</v>
      </c>
      <c r="G235" s="196"/>
      <c r="H235" s="196" t="s">
        <v>147</v>
      </c>
      <c r="I235" s="196"/>
      <c r="J235" s="447">
        <v>0</v>
      </c>
      <c r="K235" s="447">
        <v>0</v>
      </c>
      <c r="L235" s="447">
        <v>0</v>
      </c>
      <c r="M235" s="346">
        <v>0</v>
      </c>
      <c r="N235" s="346">
        <v>0</v>
      </c>
      <c r="O235" s="346">
        <v>0</v>
      </c>
      <c r="P235" s="447">
        <v>0</v>
      </c>
    </row>
    <row r="236" spans="3:19" x14ac:dyDescent="0.25">
      <c r="F236" s="99" t="s">
        <v>1052</v>
      </c>
      <c r="G236" s="196"/>
      <c r="H236" s="196" t="s">
        <v>147</v>
      </c>
      <c r="I236" s="196"/>
      <c r="J236" s="444">
        <v>-3.972</v>
      </c>
      <c r="K236" s="444">
        <v>-0.33600000000000002</v>
      </c>
      <c r="L236" s="444">
        <v>-6.0000000000000001E-3</v>
      </c>
      <c r="M236" s="343">
        <v>0</v>
      </c>
      <c r="N236" s="343">
        <v>0</v>
      </c>
      <c r="O236" s="343">
        <v>0</v>
      </c>
      <c r="P236" s="444">
        <v>0.16500000000000001</v>
      </c>
    </row>
    <row r="237" spans="3:19" x14ac:dyDescent="0.25">
      <c r="F237" s="100" t="s">
        <v>1053</v>
      </c>
      <c r="G237" s="93"/>
      <c r="H237" s="93" t="s">
        <v>147</v>
      </c>
      <c r="I237" s="93"/>
      <c r="J237" s="448">
        <v>0</v>
      </c>
      <c r="K237" s="448">
        <v>0</v>
      </c>
      <c r="L237" s="448">
        <v>0</v>
      </c>
      <c r="M237" s="347">
        <v>0</v>
      </c>
      <c r="N237" s="347">
        <v>0</v>
      </c>
      <c r="O237" s="347">
        <v>0</v>
      </c>
      <c r="P237" s="448">
        <v>0</v>
      </c>
    </row>
    <row r="238" spans="3:19" x14ac:dyDescent="0.25">
      <c r="D238" s="96"/>
      <c r="E238" s="96"/>
      <c r="F238" s="96"/>
      <c r="G238" s="96"/>
      <c r="H238" s="96"/>
      <c r="I238" s="96"/>
      <c r="J238" s="449"/>
      <c r="K238" s="449"/>
      <c r="L238" s="449"/>
      <c r="M238" s="216"/>
      <c r="N238" s="216"/>
      <c r="O238" s="216"/>
      <c r="P238" s="449"/>
      <c r="Q238" s="96"/>
      <c r="R238" s="96"/>
      <c r="S238" s="96"/>
    </row>
    <row r="239" spans="3:19" s="195" customFormat="1" x14ac:dyDescent="0.25">
      <c r="C239" s="7" t="str">
        <f ca="1">INDEX('Version control'!$H$34:$H$60,MATCH($A$1,'Version control'!$F$34:$F$60,0),1)&amp;"-E: Tariff results for charging year " &amp; 'ARP_User control'!G34</f>
        <v>Input 506-E: Tariff results for charging year 2024/25</v>
      </c>
      <c r="D239" s="7"/>
      <c r="E239" s="7"/>
      <c r="F239" s="7"/>
      <c r="G239" s="7"/>
      <c r="H239" s="7"/>
      <c r="I239" s="7"/>
      <c r="J239" s="450"/>
      <c r="K239" s="450"/>
      <c r="L239" s="450"/>
      <c r="M239" s="7"/>
      <c r="N239" s="7"/>
      <c r="O239" s="7"/>
      <c r="P239" s="450"/>
      <c r="Q239" s="7"/>
      <c r="R239" s="7"/>
    </row>
    <row r="240" spans="3:19" x14ac:dyDescent="0.25">
      <c r="D240" s="85"/>
      <c r="E240" s="195"/>
      <c r="F240" s="195"/>
      <c r="J240" s="451"/>
      <c r="K240" s="451"/>
      <c r="L240" s="451"/>
      <c r="M240" s="214"/>
      <c r="N240" s="214"/>
      <c r="O240" s="214"/>
      <c r="P240" s="451"/>
    </row>
    <row r="241" spans="4:16" x14ac:dyDescent="0.25">
      <c r="D241" s="96"/>
      <c r="E241" s="96" t="str">
        <f>"All the way tariff forecast "&amp; 'ARP_User control'!G34</f>
        <v>All the way tariff forecast 2024/25</v>
      </c>
      <c r="F241" s="195"/>
      <c r="J241" s="451"/>
      <c r="K241" s="451"/>
      <c r="L241" s="451"/>
      <c r="M241" s="214"/>
      <c r="N241" s="214"/>
      <c r="O241" s="214"/>
      <c r="P241" s="451"/>
    </row>
    <row r="242" spans="4:16" x14ac:dyDescent="0.25">
      <c r="F242" s="103" t="s">
        <v>1038</v>
      </c>
      <c r="G242" s="91"/>
      <c r="H242" s="91" t="s">
        <v>318</v>
      </c>
      <c r="I242" s="91"/>
      <c r="J242" s="443">
        <v>11.093999999999999</v>
      </c>
      <c r="K242" s="443">
        <v>2.302</v>
      </c>
      <c r="L242" s="443">
        <v>1.371</v>
      </c>
      <c r="M242" s="342">
        <v>4.72</v>
      </c>
      <c r="N242" s="342">
        <v>0</v>
      </c>
      <c r="O242" s="342">
        <v>0</v>
      </c>
      <c r="P242" s="443">
        <v>0</v>
      </c>
    </row>
    <row r="243" spans="4:16" x14ac:dyDescent="0.25">
      <c r="F243" s="99" t="s">
        <v>1039</v>
      </c>
      <c r="G243" s="196"/>
      <c r="H243" s="196" t="s">
        <v>318</v>
      </c>
      <c r="I243" s="196"/>
      <c r="J243" s="444">
        <v>11.093999999999999</v>
      </c>
      <c r="K243" s="444">
        <v>2.302</v>
      </c>
      <c r="L243" s="444">
        <v>1.371</v>
      </c>
      <c r="M243" s="343">
        <v>0</v>
      </c>
      <c r="N243" s="343">
        <v>0</v>
      </c>
      <c r="O243" s="343">
        <v>0</v>
      </c>
      <c r="P243" s="444">
        <v>0</v>
      </c>
    </row>
    <row r="244" spans="4:16" x14ac:dyDescent="0.25">
      <c r="F244" s="99" t="s">
        <v>1040</v>
      </c>
      <c r="G244" s="196"/>
      <c r="H244" s="196" t="s">
        <v>318</v>
      </c>
      <c r="I244" s="196"/>
      <c r="J244" s="444">
        <v>12.667999999999999</v>
      </c>
      <c r="K244" s="444">
        <v>2.4569999999999999</v>
      </c>
      <c r="L244" s="444">
        <v>1.375</v>
      </c>
      <c r="M244" s="343">
        <v>6.03</v>
      </c>
      <c r="N244" s="343">
        <v>0</v>
      </c>
      <c r="O244" s="343">
        <v>0</v>
      </c>
      <c r="P244" s="444">
        <v>0</v>
      </c>
    </row>
    <row r="245" spans="4:16" x14ac:dyDescent="0.25">
      <c r="F245" s="99" t="s">
        <v>1041</v>
      </c>
      <c r="G245" s="196"/>
      <c r="H245" s="196" t="s">
        <v>318</v>
      </c>
      <c r="I245" s="196"/>
      <c r="J245" s="444">
        <v>12.667999999999999</v>
      </c>
      <c r="K245" s="444">
        <v>2.4569999999999999</v>
      </c>
      <c r="L245" s="444">
        <v>1.375</v>
      </c>
      <c r="M245" s="343">
        <v>0</v>
      </c>
      <c r="N245" s="343">
        <v>0</v>
      </c>
      <c r="O245" s="343">
        <v>0</v>
      </c>
      <c r="P245" s="444">
        <v>0</v>
      </c>
    </row>
    <row r="246" spans="4:16" x14ac:dyDescent="0.25">
      <c r="F246" s="99" t="s">
        <v>1042</v>
      </c>
      <c r="G246" s="196"/>
      <c r="H246" s="196" t="s">
        <v>318</v>
      </c>
      <c r="I246" s="196"/>
      <c r="J246" s="444">
        <v>8.9550000000000001</v>
      </c>
      <c r="K246" s="444">
        <v>2.0670000000000002</v>
      </c>
      <c r="L246" s="444">
        <v>1.3640000000000001</v>
      </c>
      <c r="M246" s="343">
        <v>23.67</v>
      </c>
      <c r="N246" s="343">
        <v>2.72</v>
      </c>
      <c r="O246" s="343">
        <v>4</v>
      </c>
      <c r="P246" s="444">
        <v>0.255</v>
      </c>
    </row>
    <row r="247" spans="4:16" x14ac:dyDescent="0.25">
      <c r="F247" s="99" t="s">
        <v>1043</v>
      </c>
      <c r="G247" s="196"/>
      <c r="H247" s="196" t="s">
        <v>318</v>
      </c>
      <c r="I247" s="196"/>
      <c r="J247" s="444">
        <v>5.8440000000000003</v>
      </c>
      <c r="K247" s="444">
        <v>1.7290000000000001</v>
      </c>
      <c r="L247" s="444">
        <v>1.3540000000000001</v>
      </c>
      <c r="M247" s="343">
        <v>8.35</v>
      </c>
      <c r="N247" s="343">
        <v>4.8899999999999997</v>
      </c>
      <c r="O247" s="343">
        <v>5.57</v>
      </c>
      <c r="P247" s="444">
        <v>0.14799999999999999</v>
      </c>
    </row>
    <row r="248" spans="4:16" x14ac:dyDescent="0.25">
      <c r="F248" s="99" t="s">
        <v>1044</v>
      </c>
      <c r="G248" s="196"/>
      <c r="H248" s="196" t="s">
        <v>318</v>
      </c>
      <c r="I248" s="196"/>
      <c r="J248" s="444">
        <v>4.7519999999999998</v>
      </c>
      <c r="K248" s="444">
        <v>1.619</v>
      </c>
      <c r="L248" s="444">
        <v>1.351</v>
      </c>
      <c r="M248" s="343">
        <v>126.47</v>
      </c>
      <c r="N248" s="343">
        <v>5.39</v>
      </c>
      <c r="O248" s="343">
        <v>6.64</v>
      </c>
      <c r="P248" s="444">
        <v>0.11</v>
      </c>
    </row>
    <row r="249" spans="4:16" x14ac:dyDescent="0.25">
      <c r="F249" s="99" t="s">
        <v>1045</v>
      </c>
      <c r="G249" s="196"/>
      <c r="H249" s="196" t="s">
        <v>318</v>
      </c>
      <c r="I249" s="196"/>
      <c r="J249" s="444">
        <v>24.687999999999999</v>
      </c>
      <c r="K249" s="444">
        <v>2.6139999999999999</v>
      </c>
      <c r="L249" s="444">
        <v>1.806</v>
      </c>
      <c r="M249" s="343">
        <v>0</v>
      </c>
      <c r="N249" s="343">
        <v>0</v>
      </c>
      <c r="O249" s="343">
        <v>0</v>
      </c>
      <c r="P249" s="444">
        <v>0</v>
      </c>
    </row>
    <row r="250" spans="4:16" x14ac:dyDescent="0.25">
      <c r="F250" s="99" t="s">
        <v>1046</v>
      </c>
      <c r="G250" s="196"/>
      <c r="H250" s="196" t="s">
        <v>318</v>
      </c>
      <c r="I250" s="196"/>
      <c r="J250" s="444">
        <v>-6.9710000000000001</v>
      </c>
      <c r="K250" s="444">
        <v>-0.68400000000000005</v>
      </c>
      <c r="L250" s="444">
        <v>-1.7999999999999999E-2</v>
      </c>
      <c r="M250" s="343">
        <v>0</v>
      </c>
      <c r="N250" s="343">
        <v>0</v>
      </c>
      <c r="O250" s="343">
        <v>0</v>
      </c>
      <c r="P250" s="444">
        <v>0</v>
      </c>
    </row>
    <row r="251" spans="4:16" x14ac:dyDescent="0.25">
      <c r="F251" s="99" t="s">
        <v>1047</v>
      </c>
      <c r="G251" s="196"/>
      <c r="H251" s="196" t="s">
        <v>318</v>
      </c>
      <c r="I251" s="196"/>
      <c r="J251" s="444">
        <v>-6.1550000000000002</v>
      </c>
      <c r="K251" s="444">
        <v>-0.59299999999999997</v>
      </c>
      <c r="L251" s="444">
        <v>-1.4999999999999999E-2</v>
      </c>
      <c r="M251" s="343">
        <v>0</v>
      </c>
      <c r="N251" s="343">
        <v>0</v>
      </c>
      <c r="O251" s="343">
        <v>0</v>
      </c>
      <c r="P251" s="444">
        <v>0</v>
      </c>
    </row>
    <row r="252" spans="4:16" x14ac:dyDescent="0.25">
      <c r="F252" s="99" t="s">
        <v>1048</v>
      </c>
      <c r="G252" s="196"/>
      <c r="H252" s="196" t="s">
        <v>318</v>
      </c>
      <c r="I252" s="196"/>
      <c r="J252" s="444">
        <v>-6.9710000000000001</v>
      </c>
      <c r="K252" s="444">
        <v>-0.68400000000000005</v>
      </c>
      <c r="L252" s="444">
        <v>-1.7999999999999999E-2</v>
      </c>
      <c r="M252" s="343">
        <v>0</v>
      </c>
      <c r="N252" s="343">
        <v>0</v>
      </c>
      <c r="O252" s="343">
        <v>0</v>
      </c>
      <c r="P252" s="444">
        <v>0.22</v>
      </c>
    </row>
    <row r="253" spans="4:16" x14ac:dyDescent="0.25">
      <c r="F253" s="99" t="s">
        <v>1049</v>
      </c>
      <c r="G253" s="196"/>
      <c r="H253" s="196" t="s">
        <v>318</v>
      </c>
      <c r="I253" s="196"/>
      <c r="J253" s="444">
        <v>-6.9710000000000001</v>
      </c>
      <c r="K253" s="444">
        <v>-0.68400000000000005</v>
      </c>
      <c r="L253" s="444">
        <v>-1.7999999999999999E-2</v>
      </c>
      <c r="M253" s="343">
        <v>0</v>
      </c>
      <c r="N253" s="343">
        <v>0</v>
      </c>
      <c r="O253" s="343">
        <v>0</v>
      </c>
      <c r="P253" s="444">
        <v>0</v>
      </c>
    </row>
    <row r="254" spans="4:16" x14ac:dyDescent="0.25">
      <c r="F254" s="99" t="s">
        <v>1050</v>
      </c>
      <c r="G254" s="196"/>
      <c r="H254" s="196" t="s">
        <v>318</v>
      </c>
      <c r="I254" s="196"/>
      <c r="J254" s="444">
        <v>-6.1550000000000002</v>
      </c>
      <c r="K254" s="444">
        <v>-0.59299999999999997</v>
      </c>
      <c r="L254" s="444">
        <v>-1.4999999999999999E-2</v>
      </c>
      <c r="M254" s="343">
        <v>0</v>
      </c>
      <c r="N254" s="343">
        <v>0</v>
      </c>
      <c r="O254" s="343">
        <v>0</v>
      </c>
      <c r="P254" s="444">
        <v>0.19700000000000001</v>
      </c>
    </row>
    <row r="255" spans="4:16" x14ac:dyDescent="0.25">
      <c r="F255" s="99" t="s">
        <v>1051</v>
      </c>
      <c r="G255" s="196"/>
      <c r="H255" s="196" t="s">
        <v>318</v>
      </c>
      <c r="I255" s="196"/>
      <c r="J255" s="444">
        <v>-6.1550000000000002</v>
      </c>
      <c r="K255" s="444">
        <v>-0.59299999999999997</v>
      </c>
      <c r="L255" s="444">
        <v>-1.4999999999999999E-2</v>
      </c>
      <c r="M255" s="343">
        <v>0</v>
      </c>
      <c r="N255" s="343">
        <v>0</v>
      </c>
      <c r="O255" s="343">
        <v>0</v>
      </c>
      <c r="P255" s="444">
        <v>0</v>
      </c>
    </row>
    <row r="256" spans="4:16" x14ac:dyDescent="0.25">
      <c r="F256" s="99" t="s">
        <v>1052</v>
      </c>
      <c r="G256" s="196"/>
      <c r="H256" s="196" t="s">
        <v>318</v>
      </c>
      <c r="I256" s="196"/>
      <c r="J256" s="444">
        <v>-4.0339999999999998</v>
      </c>
      <c r="K256" s="444">
        <v>-0.34200000000000003</v>
      </c>
      <c r="L256" s="444">
        <v>-6.0000000000000001E-3</v>
      </c>
      <c r="M256" s="343">
        <v>92.35</v>
      </c>
      <c r="N256" s="343">
        <v>0</v>
      </c>
      <c r="O256" s="343">
        <v>0</v>
      </c>
      <c r="P256" s="444">
        <v>0.16900000000000001</v>
      </c>
    </row>
    <row r="257" spans="4:16" x14ac:dyDescent="0.25">
      <c r="F257" s="100" t="s">
        <v>1053</v>
      </c>
      <c r="G257" s="93"/>
      <c r="H257" s="93" t="s">
        <v>318</v>
      </c>
      <c r="I257" s="93"/>
      <c r="J257" s="445">
        <v>-4.0339999999999998</v>
      </c>
      <c r="K257" s="445">
        <v>-0.34200000000000003</v>
      </c>
      <c r="L257" s="445">
        <v>-6.0000000000000001E-3</v>
      </c>
      <c r="M257" s="344">
        <v>92.35</v>
      </c>
      <c r="N257" s="344">
        <v>0</v>
      </c>
      <c r="O257" s="344">
        <v>0</v>
      </c>
      <c r="P257" s="445">
        <v>0</v>
      </c>
    </row>
    <row r="258" spans="4:16" x14ac:dyDescent="0.25">
      <c r="F258" s="98"/>
      <c r="G258" s="295"/>
      <c r="H258" s="295"/>
      <c r="I258" s="295"/>
      <c r="J258" s="446"/>
      <c r="K258" s="446"/>
      <c r="L258" s="446"/>
      <c r="M258" s="345"/>
      <c r="N258" s="345"/>
      <c r="O258" s="345"/>
      <c r="P258" s="446"/>
    </row>
    <row r="259" spans="4:16" x14ac:dyDescent="0.25">
      <c r="D259" s="96"/>
      <c r="E259" s="96" t="str">
        <f>"LDNO LV tariff forecast "&amp; 'ARP_User control'!G34</f>
        <v>LDNO LV tariff forecast 2024/25</v>
      </c>
      <c r="F259" s="98"/>
      <c r="G259" s="295"/>
      <c r="H259" s="295"/>
      <c r="I259" s="295"/>
      <c r="J259" s="446"/>
      <c r="K259" s="446"/>
      <c r="L259" s="446"/>
      <c r="M259" s="345"/>
      <c r="N259" s="345"/>
      <c r="O259" s="345"/>
      <c r="P259" s="446"/>
    </row>
    <row r="260" spans="4:16" x14ac:dyDescent="0.25">
      <c r="F260" s="103" t="s">
        <v>1038</v>
      </c>
      <c r="G260" s="91"/>
      <c r="H260" s="91" t="s">
        <v>146</v>
      </c>
      <c r="I260" s="91"/>
      <c r="J260" s="443">
        <v>6.76</v>
      </c>
      <c r="K260" s="443">
        <v>1.403</v>
      </c>
      <c r="L260" s="443">
        <v>0.83599999999999997</v>
      </c>
      <c r="M260" s="342">
        <v>2.88</v>
      </c>
      <c r="N260" s="342">
        <v>0</v>
      </c>
      <c r="O260" s="342">
        <v>0</v>
      </c>
      <c r="P260" s="443">
        <v>0</v>
      </c>
    </row>
    <row r="261" spans="4:16" x14ac:dyDescent="0.25">
      <c r="F261" s="99" t="s">
        <v>1039</v>
      </c>
      <c r="G261" s="196"/>
      <c r="H261" s="196" t="s">
        <v>146</v>
      </c>
      <c r="I261" s="196"/>
      <c r="J261" s="444">
        <v>6.76</v>
      </c>
      <c r="K261" s="444">
        <v>1.403</v>
      </c>
      <c r="L261" s="444">
        <v>0.83599999999999997</v>
      </c>
      <c r="M261" s="343">
        <v>0</v>
      </c>
      <c r="N261" s="343">
        <v>0</v>
      </c>
      <c r="O261" s="343">
        <v>0</v>
      </c>
      <c r="P261" s="444">
        <v>0</v>
      </c>
    </row>
    <row r="262" spans="4:16" x14ac:dyDescent="0.25">
      <c r="F262" s="99" t="s">
        <v>1040</v>
      </c>
      <c r="G262" s="196"/>
      <c r="H262" s="196" t="s">
        <v>146</v>
      </c>
      <c r="I262" s="196"/>
      <c r="J262" s="444">
        <v>7.7190000000000003</v>
      </c>
      <c r="K262" s="444">
        <v>1.4970000000000001</v>
      </c>
      <c r="L262" s="444">
        <v>0.83799999999999997</v>
      </c>
      <c r="M262" s="343">
        <v>3.67</v>
      </c>
      <c r="N262" s="343">
        <v>0</v>
      </c>
      <c r="O262" s="343">
        <v>0</v>
      </c>
      <c r="P262" s="444">
        <v>0</v>
      </c>
    </row>
    <row r="263" spans="4:16" x14ac:dyDescent="0.25">
      <c r="F263" s="99" t="s">
        <v>1041</v>
      </c>
      <c r="G263" s="196"/>
      <c r="H263" s="196" t="s">
        <v>146</v>
      </c>
      <c r="I263" s="196"/>
      <c r="J263" s="444">
        <v>7.7190000000000003</v>
      </c>
      <c r="K263" s="444">
        <v>1.4970000000000001</v>
      </c>
      <c r="L263" s="444">
        <v>0.83799999999999997</v>
      </c>
      <c r="M263" s="343">
        <v>0</v>
      </c>
      <c r="N263" s="343">
        <v>0</v>
      </c>
      <c r="O263" s="343">
        <v>0</v>
      </c>
      <c r="P263" s="444">
        <v>0</v>
      </c>
    </row>
    <row r="264" spans="4:16" x14ac:dyDescent="0.25">
      <c r="F264" s="99" t="s">
        <v>1042</v>
      </c>
      <c r="G264" s="196"/>
      <c r="H264" s="196" t="s">
        <v>146</v>
      </c>
      <c r="I264" s="196"/>
      <c r="J264" s="444">
        <v>5.4569999999999999</v>
      </c>
      <c r="K264" s="444">
        <v>1.26</v>
      </c>
      <c r="L264" s="444">
        <v>0.83099999999999996</v>
      </c>
      <c r="M264" s="343">
        <v>14.42</v>
      </c>
      <c r="N264" s="343">
        <v>1.66</v>
      </c>
      <c r="O264" s="343">
        <v>2.44</v>
      </c>
      <c r="P264" s="444">
        <v>0.155</v>
      </c>
    </row>
    <row r="265" spans="4:16" x14ac:dyDescent="0.25">
      <c r="F265" s="99" t="s">
        <v>1043</v>
      </c>
      <c r="G265" s="196"/>
      <c r="H265" s="196" t="s">
        <v>146</v>
      </c>
      <c r="I265" s="196"/>
      <c r="J265" s="447">
        <v>0</v>
      </c>
      <c r="K265" s="447">
        <v>0</v>
      </c>
      <c r="L265" s="447">
        <v>0</v>
      </c>
      <c r="M265" s="346">
        <v>0</v>
      </c>
      <c r="N265" s="346">
        <v>0</v>
      </c>
      <c r="O265" s="346">
        <v>0</v>
      </c>
      <c r="P265" s="447">
        <v>0</v>
      </c>
    </row>
    <row r="266" spans="4:16" x14ac:dyDescent="0.25">
      <c r="F266" s="99" t="s">
        <v>1044</v>
      </c>
      <c r="G266" s="196"/>
      <c r="H266" s="196" t="s">
        <v>146</v>
      </c>
      <c r="I266" s="196"/>
      <c r="J266" s="447">
        <v>0</v>
      </c>
      <c r="K266" s="447">
        <v>0</v>
      </c>
      <c r="L266" s="447">
        <v>0</v>
      </c>
      <c r="M266" s="346">
        <v>0</v>
      </c>
      <c r="N266" s="346">
        <v>0</v>
      </c>
      <c r="O266" s="346">
        <v>0</v>
      </c>
      <c r="P266" s="447">
        <v>0</v>
      </c>
    </row>
    <row r="267" spans="4:16" x14ac:dyDescent="0.25">
      <c r="F267" s="99" t="s">
        <v>1045</v>
      </c>
      <c r="G267" s="196"/>
      <c r="H267" s="196" t="s">
        <v>146</v>
      </c>
      <c r="I267" s="196"/>
      <c r="J267" s="444">
        <v>15.042999999999999</v>
      </c>
      <c r="K267" s="444">
        <v>1.5920000000000001</v>
      </c>
      <c r="L267" s="444">
        <v>1.1000000000000001</v>
      </c>
      <c r="M267" s="343">
        <v>0</v>
      </c>
      <c r="N267" s="343">
        <v>0</v>
      </c>
      <c r="O267" s="343">
        <v>0</v>
      </c>
      <c r="P267" s="444">
        <v>0</v>
      </c>
    </row>
    <row r="268" spans="4:16" x14ac:dyDescent="0.25">
      <c r="F268" s="99" t="s">
        <v>1046</v>
      </c>
      <c r="G268" s="196"/>
      <c r="H268" s="196" t="s">
        <v>146</v>
      </c>
      <c r="I268" s="196"/>
      <c r="J268" s="444">
        <v>-6.9710000000000001</v>
      </c>
      <c r="K268" s="444">
        <v>-0.68400000000000005</v>
      </c>
      <c r="L268" s="444">
        <v>-1.7999999999999999E-2</v>
      </c>
      <c r="M268" s="343">
        <v>0</v>
      </c>
      <c r="N268" s="343">
        <v>0</v>
      </c>
      <c r="O268" s="343">
        <v>0</v>
      </c>
      <c r="P268" s="444">
        <v>0</v>
      </c>
    </row>
    <row r="269" spans="4:16" x14ac:dyDescent="0.25">
      <c r="F269" s="99" t="s">
        <v>1047</v>
      </c>
      <c r="G269" s="196"/>
      <c r="H269" s="196" t="s">
        <v>146</v>
      </c>
      <c r="I269" s="196"/>
      <c r="J269" s="447">
        <v>0</v>
      </c>
      <c r="K269" s="447">
        <v>0</v>
      </c>
      <c r="L269" s="447">
        <v>0</v>
      </c>
      <c r="M269" s="346">
        <v>0</v>
      </c>
      <c r="N269" s="346">
        <v>0</v>
      </c>
      <c r="O269" s="346">
        <v>0</v>
      </c>
      <c r="P269" s="447">
        <v>0</v>
      </c>
    </row>
    <row r="270" spans="4:16" x14ac:dyDescent="0.25">
      <c r="F270" s="99" t="s">
        <v>1048</v>
      </c>
      <c r="G270" s="196"/>
      <c r="H270" s="196" t="s">
        <v>146</v>
      </c>
      <c r="I270" s="196"/>
      <c r="J270" s="444">
        <v>-6.9710000000000001</v>
      </c>
      <c r="K270" s="444">
        <v>-0.68400000000000005</v>
      </c>
      <c r="L270" s="444">
        <v>-1.7999999999999999E-2</v>
      </c>
      <c r="M270" s="343">
        <v>0</v>
      </c>
      <c r="N270" s="343">
        <v>0</v>
      </c>
      <c r="O270" s="343">
        <v>0</v>
      </c>
      <c r="P270" s="444">
        <v>0.22</v>
      </c>
    </row>
    <row r="271" spans="4:16" x14ac:dyDescent="0.25">
      <c r="F271" s="99" t="s">
        <v>1049</v>
      </c>
      <c r="G271" s="196"/>
      <c r="H271" s="196" t="s">
        <v>146</v>
      </c>
      <c r="I271" s="196"/>
      <c r="J271" s="447">
        <v>0</v>
      </c>
      <c r="K271" s="447">
        <v>0</v>
      </c>
      <c r="L271" s="447">
        <v>0</v>
      </c>
      <c r="M271" s="346">
        <v>0</v>
      </c>
      <c r="N271" s="346">
        <v>0</v>
      </c>
      <c r="O271" s="346">
        <v>0</v>
      </c>
      <c r="P271" s="447">
        <v>0</v>
      </c>
    </row>
    <row r="272" spans="4:16" x14ac:dyDescent="0.25">
      <c r="F272" s="99" t="s">
        <v>1050</v>
      </c>
      <c r="G272" s="196"/>
      <c r="H272" s="196" t="s">
        <v>146</v>
      </c>
      <c r="I272" s="196"/>
      <c r="J272" s="447">
        <v>0</v>
      </c>
      <c r="K272" s="447">
        <v>0</v>
      </c>
      <c r="L272" s="447">
        <v>0</v>
      </c>
      <c r="M272" s="346">
        <v>0</v>
      </c>
      <c r="N272" s="346">
        <v>0</v>
      </c>
      <c r="O272" s="346">
        <v>0</v>
      </c>
      <c r="P272" s="447">
        <v>0</v>
      </c>
    </row>
    <row r="273" spans="4:19" x14ac:dyDescent="0.25">
      <c r="F273" s="99" t="s">
        <v>1051</v>
      </c>
      <c r="G273" s="196"/>
      <c r="H273" s="196" t="s">
        <v>146</v>
      </c>
      <c r="I273" s="196"/>
      <c r="J273" s="447">
        <v>0</v>
      </c>
      <c r="K273" s="447">
        <v>0</v>
      </c>
      <c r="L273" s="447">
        <v>0</v>
      </c>
      <c r="M273" s="346">
        <v>0</v>
      </c>
      <c r="N273" s="346">
        <v>0</v>
      </c>
      <c r="O273" s="346">
        <v>0</v>
      </c>
      <c r="P273" s="447">
        <v>0</v>
      </c>
    </row>
    <row r="274" spans="4:19" x14ac:dyDescent="0.25">
      <c r="F274" s="99" t="s">
        <v>1052</v>
      </c>
      <c r="G274" s="196"/>
      <c r="H274" s="196" t="s">
        <v>146</v>
      </c>
      <c r="I274" s="196"/>
      <c r="J274" s="447">
        <v>0</v>
      </c>
      <c r="K274" s="447">
        <v>0</v>
      </c>
      <c r="L274" s="447">
        <v>0</v>
      </c>
      <c r="M274" s="346">
        <v>0</v>
      </c>
      <c r="N274" s="346">
        <v>0</v>
      </c>
      <c r="O274" s="346">
        <v>0</v>
      </c>
      <c r="P274" s="447">
        <v>0</v>
      </c>
    </row>
    <row r="275" spans="4:19" x14ac:dyDescent="0.25">
      <c r="F275" s="100" t="s">
        <v>1053</v>
      </c>
      <c r="G275" s="93"/>
      <c r="H275" s="93" t="s">
        <v>146</v>
      </c>
      <c r="I275" s="93"/>
      <c r="J275" s="448">
        <v>0</v>
      </c>
      <c r="K275" s="448">
        <v>0</v>
      </c>
      <c r="L275" s="448">
        <v>0</v>
      </c>
      <c r="M275" s="347">
        <v>0</v>
      </c>
      <c r="N275" s="347">
        <v>0</v>
      </c>
      <c r="O275" s="347">
        <v>0</v>
      </c>
      <c r="P275" s="448">
        <v>0</v>
      </c>
    </row>
    <row r="276" spans="4:19" x14ac:dyDescent="0.25">
      <c r="D276" s="96"/>
      <c r="E276" s="96"/>
      <c r="F276" s="295"/>
      <c r="G276" s="295"/>
      <c r="H276" s="295"/>
      <c r="I276" s="295"/>
      <c r="J276" s="446"/>
      <c r="K276" s="446"/>
      <c r="L276" s="446"/>
      <c r="M276" s="345"/>
      <c r="N276" s="345"/>
      <c r="O276" s="345"/>
      <c r="P276" s="446"/>
      <c r="Q276" s="96"/>
      <c r="R276" s="96"/>
      <c r="S276" s="96"/>
    </row>
    <row r="277" spans="4:19" x14ac:dyDescent="0.25">
      <c r="D277" s="96"/>
      <c r="E277" s="96" t="str">
        <f>"LDNO HV tariff forecast "&amp; 'ARP_User control'!G34</f>
        <v>LDNO HV tariff forecast 2024/25</v>
      </c>
      <c r="F277" s="295"/>
      <c r="G277" s="295"/>
      <c r="H277" s="295"/>
      <c r="I277" s="295"/>
      <c r="J277" s="446"/>
      <c r="K277" s="446"/>
      <c r="L277" s="446"/>
      <c r="M277" s="345"/>
      <c r="N277" s="345"/>
      <c r="O277" s="345"/>
      <c r="P277" s="446"/>
      <c r="Q277" s="96"/>
      <c r="R277" s="96"/>
      <c r="S277" s="96"/>
    </row>
    <row r="278" spans="4:19" x14ac:dyDescent="0.25">
      <c r="F278" s="103" t="s">
        <v>1038</v>
      </c>
      <c r="G278" s="91"/>
      <c r="H278" s="91" t="s">
        <v>147</v>
      </c>
      <c r="I278" s="91"/>
      <c r="J278" s="443">
        <v>4.3979999999999997</v>
      </c>
      <c r="K278" s="443">
        <v>0.91300000000000003</v>
      </c>
      <c r="L278" s="443">
        <v>0.54400000000000004</v>
      </c>
      <c r="M278" s="342">
        <v>1.87</v>
      </c>
      <c r="N278" s="342">
        <v>0</v>
      </c>
      <c r="O278" s="342">
        <v>0</v>
      </c>
      <c r="P278" s="443">
        <v>0</v>
      </c>
    </row>
    <row r="279" spans="4:19" x14ac:dyDescent="0.25">
      <c r="F279" s="99" t="s">
        <v>1039</v>
      </c>
      <c r="G279" s="196"/>
      <c r="H279" s="196" t="s">
        <v>147</v>
      </c>
      <c r="I279" s="196"/>
      <c r="J279" s="444">
        <v>4.3979999999999997</v>
      </c>
      <c r="K279" s="444">
        <v>0.91300000000000003</v>
      </c>
      <c r="L279" s="444">
        <v>0.54400000000000004</v>
      </c>
      <c r="M279" s="343">
        <v>0</v>
      </c>
      <c r="N279" s="343">
        <v>0</v>
      </c>
      <c r="O279" s="343">
        <v>0</v>
      </c>
      <c r="P279" s="444">
        <v>0</v>
      </c>
    </row>
    <row r="280" spans="4:19" x14ac:dyDescent="0.25">
      <c r="F280" s="99" t="s">
        <v>1040</v>
      </c>
      <c r="G280" s="196"/>
      <c r="H280" s="196" t="s">
        <v>147</v>
      </c>
      <c r="I280" s="196"/>
      <c r="J280" s="444">
        <v>5.0220000000000002</v>
      </c>
      <c r="K280" s="444">
        <v>0.97399999999999998</v>
      </c>
      <c r="L280" s="444">
        <v>0.54500000000000004</v>
      </c>
      <c r="M280" s="343">
        <v>2.39</v>
      </c>
      <c r="N280" s="343">
        <v>0</v>
      </c>
      <c r="O280" s="343">
        <v>0</v>
      </c>
      <c r="P280" s="444">
        <v>0</v>
      </c>
    </row>
    <row r="281" spans="4:19" x14ac:dyDescent="0.25">
      <c r="F281" s="99" t="s">
        <v>1041</v>
      </c>
      <c r="G281" s="196"/>
      <c r="H281" s="196" t="s">
        <v>147</v>
      </c>
      <c r="I281" s="196"/>
      <c r="J281" s="444">
        <v>5.0220000000000002</v>
      </c>
      <c r="K281" s="444">
        <v>0.97399999999999998</v>
      </c>
      <c r="L281" s="444">
        <v>0.54500000000000004</v>
      </c>
      <c r="M281" s="343">
        <v>0</v>
      </c>
      <c r="N281" s="343">
        <v>0</v>
      </c>
      <c r="O281" s="343">
        <v>0</v>
      </c>
      <c r="P281" s="444">
        <v>0</v>
      </c>
    </row>
    <row r="282" spans="4:19" x14ac:dyDescent="0.25">
      <c r="F282" s="99" t="s">
        <v>1042</v>
      </c>
      <c r="G282" s="196"/>
      <c r="H282" s="196" t="s">
        <v>147</v>
      </c>
      <c r="I282" s="196"/>
      <c r="J282" s="444">
        <v>3.55</v>
      </c>
      <c r="K282" s="444">
        <v>0.81899999999999995</v>
      </c>
      <c r="L282" s="444">
        <v>0.54100000000000004</v>
      </c>
      <c r="M282" s="343">
        <v>9.3800000000000008</v>
      </c>
      <c r="N282" s="343">
        <v>1.08</v>
      </c>
      <c r="O282" s="343">
        <v>1.59</v>
      </c>
      <c r="P282" s="444">
        <v>0.10100000000000001</v>
      </c>
    </row>
    <row r="283" spans="4:19" x14ac:dyDescent="0.25">
      <c r="F283" s="99" t="s">
        <v>1043</v>
      </c>
      <c r="G283" s="196"/>
      <c r="H283" s="196" t="s">
        <v>147</v>
      </c>
      <c r="I283" s="196"/>
      <c r="J283" s="444">
        <v>3.8090000000000002</v>
      </c>
      <c r="K283" s="444">
        <v>1.127</v>
      </c>
      <c r="L283" s="444">
        <v>0.88200000000000001</v>
      </c>
      <c r="M283" s="343">
        <v>5.44</v>
      </c>
      <c r="N283" s="343">
        <v>3.19</v>
      </c>
      <c r="O283" s="343">
        <v>3.63</v>
      </c>
      <c r="P283" s="444">
        <v>9.7000000000000003E-2</v>
      </c>
    </row>
    <row r="284" spans="4:19" x14ac:dyDescent="0.25">
      <c r="F284" s="99" t="s">
        <v>1044</v>
      </c>
      <c r="G284" s="196"/>
      <c r="H284" s="196" t="s">
        <v>147</v>
      </c>
      <c r="I284" s="196"/>
      <c r="J284" s="444">
        <v>3.556</v>
      </c>
      <c r="K284" s="444">
        <v>1.212</v>
      </c>
      <c r="L284" s="444">
        <v>1.0109999999999999</v>
      </c>
      <c r="M284" s="343">
        <v>94.64</v>
      </c>
      <c r="N284" s="343">
        <v>4.03</v>
      </c>
      <c r="O284" s="343">
        <v>4.97</v>
      </c>
      <c r="P284" s="444">
        <v>8.2000000000000003E-2</v>
      </c>
    </row>
    <row r="285" spans="4:19" x14ac:dyDescent="0.25">
      <c r="F285" s="99" t="s">
        <v>1045</v>
      </c>
      <c r="G285" s="196"/>
      <c r="H285" s="196" t="s">
        <v>147</v>
      </c>
      <c r="I285" s="196"/>
      <c r="J285" s="444">
        <v>9.7859999999999996</v>
      </c>
      <c r="K285" s="444">
        <v>1.036</v>
      </c>
      <c r="L285" s="444">
        <v>0.71599999999999997</v>
      </c>
      <c r="M285" s="343">
        <v>0</v>
      </c>
      <c r="N285" s="343">
        <v>0</v>
      </c>
      <c r="O285" s="343">
        <v>0</v>
      </c>
      <c r="P285" s="444">
        <v>0</v>
      </c>
    </row>
    <row r="286" spans="4:19" x14ac:dyDescent="0.25">
      <c r="F286" s="99" t="s">
        <v>1046</v>
      </c>
      <c r="G286" s="196"/>
      <c r="H286" s="196" t="s">
        <v>147</v>
      </c>
      <c r="I286" s="196"/>
      <c r="J286" s="444">
        <v>-6.9710000000000001</v>
      </c>
      <c r="K286" s="444">
        <v>-0.68400000000000005</v>
      </c>
      <c r="L286" s="444">
        <v>-1.7999999999999999E-2</v>
      </c>
      <c r="M286" s="343">
        <v>0</v>
      </c>
      <c r="N286" s="343">
        <v>0</v>
      </c>
      <c r="O286" s="343">
        <v>0</v>
      </c>
      <c r="P286" s="444">
        <v>0</v>
      </c>
    </row>
    <row r="287" spans="4:19" x14ac:dyDescent="0.25">
      <c r="F287" s="99" t="s">
        <v>1047</v>
      </c>
      <c r="G287" s="196"/>
      <c r="H287" s="196" t="s">
        <v>147</v>
      </c>
      <c r="I287" s="196"/>
      <c r="J287" s="444">
        <v>-6.1550000000000002</v>
      </c>
      <c r="K287" s="444">
        <v>-0.59299999999999997</v>
      </c>
      <c r="L287" s="444">
        <v>-1.4999999999999999E-2</v>
      </c>
      <c r="M287" s="343">
        <v>0</v>
      </c>
      <c r="N287" s="343">
        <v>0</v>
      </c>
      <c r="O287" s="343">
        <v>0</v>
      </c>
      <c r="P287" s="444">
        <v>0</v>
      </c>
    </row>
    <row r="288" spans="4:19" x14ac:dyDescent="0.25">
      <c r="F288" s="99" t="s">
        <v>1048</v>
      </c>
      <c r="G288" s="196"/>
      <c r="H288" s="196" t="s">
        <v>147</v>
      </c>
      <c r="I288" s="196"/>
      <c r="J288" s="444">
        <v>-6.9710000000000001</v>
      </c>
      <c r="K288" s="444">
        <v>-0.68400000000000005</v>
      </c>
      <c r="L288" s="444">
        <v>-1.7999999999999999E-2</v>
      </c>
      <c r="M288" s="343">
        <v>0</v>
      </c>
      <c r="N288" s="343">
        <v>0</v>
      </c>
      <c r="O288" s="343">
        <v>0</v>
      </c>
      <c r="P288" s="444">
        <v>0.22</v>
      </c>
    </row>
    <row r="289" spans="3:19" x14ac:dyDescent="0.25">
      <c r="F289" s="99" t="s">
        <v>1049</v>
      </c>
      <c r="G289" s="196"/>
      <c r="H289" s="196" t="s">
        <v>147</v>
      </c>
      <c r="I289" s="196"/>
      <c r="J289" s="447">
        <v>0</v>
      </c>
      <c r="K289" s="447">
        <v>0</v>
      </c>
      <c r="L289" s="447">
        <v>0</v>
      </c>
      <c r="M289" s="346">
        <v>0</v>
      </c>
      <c r="N289" s="346">
        <v>0</v>
      </c>
      <c r="O289" s="346">
        <v>0</v>
      </c>
      <c r="P289" s="447">
        <v>0</v>
      </c>
    </row>
    <row r="290" spans="3:19" x14ac:dyDescent="0.25">
      <c r="F290" s="99" t="s">
        <v>1050</v>
      </c>
      <c r="G290" s="196"/>
      <c r="H290" s="196" t="s">
        <v>147</v>
      </c>
      <c r="I290" s="196"/>
      <c r="J290" s="444">
        <v>-6.1550000000000002</v>
      </c>
      <c r="K290" s="444">
        <v>-0.59299999999999997</v>
      </c>
      <c r="L290" s="444">
        <v>-1.4999999999999999E-2</v>
      </c>
      <c r="M290" s="343">
        <v>0</v>
      </c>
      <c r="N290" s="343">
        <v>0</v>
      </c>
      <c r="O290" s="343">
        <v>0</v>
      </c>
      <c r="P290" s="444">
        <v>0.19700000000000001</v>
      </c>
    </row>
    <row r="291" spans="3:19" x14ac:dyDescent="0.25">
      <c r="F291" s="99" t="s">
        <v>1051</v>
      </c>
      <c r="G291" s="196"/>
      <c r="H291" s="196" t="s">
        <v>147</v>
      </c>
      <c r="I291" s="196"/>
      <c r="J291" s="447">
        <v>0</v>
      </c>
      <c r="K291" s="447">
        <v>0</v>
      </c>
      <c r="L291" s="447">
        <v>0</v>
      </c>
      <c r="M291" s="346">
        <v>0</v>
      </c>
      <c r="N291" s="346">
        <v>0</v>
      </c>
      <c r="O291" s="346">
        <v>0</v>
      </c>
      <c r="P291" s="447">
        <v>0</v>
      </c>
    </row>
    <row r="292" spans="3:19" x14ac:dyDescent="0.25">
      <c r="F292" s="99" t="s">
        <v>1052</v>
      </c>
      <c r="G292" s="196"/>
      <c r="H292" s="196" t="s">
        <v>147</v>
      </c>
      <c r="I292" s="196"/>
      <c r="J292" s="444">
        <v>-4.0339999999999998</v>
      </c>
      <c r="K292" s="444">
        <v>-0.34200000000000003</v>
      </c>
      <c r="L292" s="444">
        <v>-6.0000000000000001E-3</v>
      </c>
      <c r="M292" s="343">
        <v>0</v>
      </c>
      <c r="N292" s="343">
        <v>0</v>
      </c>
      <c r="O292" s="343">
        <v>0</v>
      </c>
      <c r="P292" s="444">
        <v>0.16900000000000001</v>
      </c>
    </row>
    <row r="293" spans="3:19" x14ac:dyDescent="0.25">
      <c r="F293" s="100" t="s">
        <v>1053</v>
      </c>
      <c r="G293" s="93"/>
      <c r="H293" s="93" t="s">
        <v>147</v>
      </c>
      <c r="I293" s="93"/>
      <c r="J293" s="448">
        <v>0</v>
      </c>
      <c r="K293" s="448">
        <v>0</v>
      </c>
      <c r="L293" s="448">
        <v>0</v>
      </c>
      <c r="M293" s="347">
        <v>0</v>
      </c>
      <c r="N293" s="347">
        <v>0</v>
      </c>
      <c r="O293" s="347">
        <v>0</v>
      </c>
      <c r="P293" s="448">
        <v>0</v>
      </c>
    </row>
    <row r="294" spans="3:19" x14ac:dyDescent="0.25">
      <c r="D294" s="96"/>
      <c r="E294" s="96"/>
      <c r="F294" s="96"/>
      <c r="G294" s="96"/>
      <c r="H294" s="96"/>
      <c r="I294" s="96"/>
      <c r="J294" s="449"/>
      <c r="K294" s="449"/>
      <c r="L294" s="449"/>
      <c r="M294" s="216"/>
      <c r="N294" s="216"/>
      <c r="O294" s="216"/>
      <c r="P294" s="449"/>
      <c r="Q294" s="96"/>
      <c r="R294" s="96"/>
      <c r="S294" s="96"/>
    </row>
    <row r="295" spans="3:19" s="195" customFormat="1" x14ac:dyDescent="0.25">
      <c r="C295" s="7" t="str">
        <f ca="1">INDEX('Version control'!$H$34:$H$60,MATCH($A$1,'Version control'!$F$34:$F$60,0),1)&amp;"-F: Tariff results for charging year " &amp; 'ARP_User control'!G35</f>
        <v>Input 506-F: Tariff results for charging year 2025/26</v>
      </c>
      <c r="D295" s="7"/>
      <c r="E295" s="7"/>
      <c r="F295" s="7"/>
      <c r="G295" s="7"/>
      <c r="H295" s="7"/>
      <c r="I295" s="7"/>
      <c r="J295" s="450"/>
      <c r="K295" s="450"/>
      <c r="L295" s="450"/>
      <c r="M295" s="7"/>
      <c r="N295" s="7"/>
      <c r="O295" s="7"/>
      <c r="P295" s="450"/>
      <c r="Q295" s="7"/>
      <c r="R295" s="7"/>
    </row>
    <row r="296" spans="3:19" x14ac:dyDescent="0.25">
      <c r="D296" s="85"/>
      <c r="E296" s="195"/>
      <c r="F296" s="195"/>
      <c r="J296" s="451"/>
      <c r="K296" s="451"/>
      <c r="L296" s="451"/>
      <c r="M296" s="214"/>
      <c r="N296" s="214"/>
      <c r="O296" s="214"/>
      <c r="P296" s="451"/>
    </row>
    <row r="297" spans="3:19" x14ac:dyDescent="0.25">
      <c r="D297" s="96"/>
      <c r="E297" s="96" t="str">
        <f>"All the way tariff forecast "&amp; 'ARP_User control'!G35</f>
        <v>All the way tariff forecast 2025/26</v>
      </c>
      <c r="F297" s="195"/>
      <c r="J297" s="451"/>
      <c r="K297" s="451"/>
      <c r="L297" s="451"/>
      <c r="M297" s="214"/>
      <c r="N297" s="214"/>
      <c r="O297" s="214"/>
      <c r="P297" s="451"/>
    </row>
    <row r="298" spans="3:19" x14ac:dyDescent="0.25">
      <c r="C298" s="86"/>
      <c r="F298" s="103" t="s">
        <v>1038</v>
      </c>
      <c r="G298" s="91"/>
      <c r="H298" s="91" t="s">
        <v>318</v>
      </c>
      <c r="I298" s="91"/>
      <c r="J298" s="443">
        <v>11.308999999999999</v>
      </c>
      <c r="K298" s="443">
        <v>2.3260000000000001</v>
      </c>
      <c r="L298" s="443">
        <v>1.3740000000000001</v>
      </c>
      <c r="M298" s="342">
        <v>4.76</v>
      </c>
      <c r="N298" s="342">
        <v>0</v>
      </c>
      <c r="O298" s="342">
        <v>0</v>
      </c>
      <c r="P298" s="443">
        <v>0</v>
      </c>
    </row>
    <row r="299" spans="3:19" x14ac:dyDescent="0.25">
      <c r="C299" s="86"/>
      <c r="F299" s="99" t="s">
        <v>1039</v>
      </c>
      <c r="G299" s="196"/>
      <c r="H299" s="196" t="s">
        <v>318</v>
      </c>
      <c r="I299" s="196"/>
      <c r="J299" s="444">
        <v>11.308999999999999</v>
      </c>
      <c r="K299" s="444">
        <v>2.3260000000000001</v>
      </c>
      <c r="L299" s="444">
        <v>1.3740000000000001</v>
      </c>
      <c r="M299" s="343">
        <v>0</v>
      </c>
      <c r="N299" s="343">
        <v>0</v>
      </c>
      <c r="O299" s="343">
        <v>0</v>
      </c>
      <c r="P299" s="444">
        <v>0</v>
      </c>
    </row>
    <row r="300" spans="3:19" x14ac:dyDescent="0.25">
      <c r="C300" s="86"/>
      <c r="F300" s="99" t="s">
        <v>1040</v>
      </c>
      <c r="G300" s="196"/>
      <c r="H300" s="196" t="s">
        <v>318</v>
      </c>
      <c r="I300" s="196"/>
      <c r="J300" s="444">
        <v>12.917999999999999</v>
      </c>
      <c r="K300" s="444">
        <v>2.4830000000000001</v>
      </c>
      <c r="L300" s="444">
        <v>1.3779999999999999</v>
      </c>
      <c r="M300" s="343">
        <v>6.07</v>
      </c>
      <c r="N300" s="343">
        <v>0</v>
      </c>
      <c r="O300" s="343">
        <v>0</v>
      </c>
      <c r="P300" s="444">
        <v>0</v>
      </c>
    </row>
    <row r="301" spans="3:19" x14ac:dyDescent="0.25">
      <c r="C301" s="86"/>
      <c r="F301" s="99" t="s">
        <v>1041</v>
      </c>
      <c r="G301" s="196"/>
      <c r="H301" s="196" t="s">
        <v>318</v>
      </c>
      <c r="I301" s="196"/>
      <c r="J301" s="444">
        <v>12.917999999999999</v>
      </c>
      <c r="K301" s="444">
        <v>2.4830000000000001</v>
      </c>
      <c r="L301" s="444">
        <v>1.3779999999999999</v>
      </c>
      <c r="M301" s="343">
        <v>0</v>
      </c>
      <c r="N301" s="343">
        <v>0</v>
      </c>
      <c r="O301" s="343">
        <v>0</v>
      </c>
      <c r="P301" s="444">
        <v>0</v>
      </c>
    </row>
    <row r="302" spans="3:19" x14ac:dyDescent="0.25">
      <c r="C302" s="86"/>
      <c r="F302" s="99" t="s">
        <v>1042</v>
      </c>
      <c r="G302" s="196"/>
      <c r="H302" s="196" t="s">
        <v>318</v>
      </c>
      <c r="I302" s="196"/>
      <c r="J302" s="444">
        <v>9.1219999999999999</v>
      </c>
      <c r="K302" s="444">
        <v>2.085</v>
      </c>
      <c r="L302" s="444">
        <v>1.367</v>
      </c>
      <c r="M302" s="343">
        <v>23.78</v>
      </c>
      <c r="N302" s="343">
        <v>2.78</v>
      </c>
      <c r="O302" s="343">
        <v>4.09</v>
      </c>
      <c r="P302" s="444">
        <v>0.26</v>
      </c>
    </row>
    <row r="303" spans="3:19" x14ac:dyDescent="0.25">
      <c r="C303" s="86"/>
      <c r="F303" s="99" t="s">
        <v>1043</v>
      </c>
      <c r="G303" s="196"/>
      <c r="H303" s="196" t="s">
        <v>318</v>
      </c>
      <c r="I303" s="196"/>
      <c r="J303" s="444">
        <v>5.9429999999999996</v>
      </c>
      <c r="K303" s="444">
        <v>1.74</v>
      </c>
      <c r="L303" s="444">
        <v>1.3560000000000001</v>
      </c>
      <c r="M303" s="343">
        <v>8.39</v>
      </c>
      <c r="N303" s="343">
        <v>5</v>
      </c>
      <c r="O303" s="343">
        <v>5.69</v>
      </c>
      <c r="P303" s="444">
        <v>0.151</v>
      </c>
    </row>
    <row r="304" spans="3:19" x14ac:dyDescent="0.25">
      <c r="C304" s="86"/>
      <c r="F304" s="99" t="s">
        <v>1044</v>
      </c>
      <c r="G304" s="196"/>
      <c r="H304" s="196" t="s">
        <v>318</v>
      </c>
      <c r="I304" s="196"/>
      <c r="J304" s="444">
        <v>4.8259999999999996</v>
      </c>
      <c r="K304" s="444">
        <v>1.627</v>
      </c>
      <c r="L304" s="444">
        <v>1.353</v>
      </c>
      <c r="M304" s="343">
        <v>127.1</v>
      </c>
      <c r="N304" s="343">
        <v>5.51</v>
      </c>
      <c r="O304" s="343">
        <v>6.78</v>
      </c>
      <c r="P304" s="444">
        <v>0.112</v>
      </c>
    </row>
    <row r="305" spans="3:16" x14ac:dyDescent="0.25">
      <c r="C305" s="86"/>
      <c r="F305" s="99" t="s">
        <v>1045</v>
      </c>
      <c r="G305" s="196"/>
      <c r="H305" s="196" t="s">
        <v>318</v>
      </c>
      <c r="I305" s="196"/>
      <c r="J305" s="444">
        <v>25.196999999999999</v>
      </c>
      <c r="K305" s="444">
        <v>2.6259999999999999</v>
      </c>
      <c r="L305" s="444">
        <v>1.81</v>
      </c>
      <c r="M305" s="343">
        <v>0</v>
      </c>
      <c r="N305" s="343">
        <v>0</v>
      </c>
      <c r="O305" s="343">
        <v>0</v>
      </c>
      <c r="P305" s="444">
        <v>0</v>
      </c>
    </row>
    <row r="306" spans="3:16" x14ac:dyDescent="0.25">
      <c r="C306" s="86"/>
      <c r="F306" s="99" t="s">
        <v>1046</v>
      </c>
      <c r="G306" s="196"/>
      <c r="H306" s="196" t="s">
        <v>318</v>
      </c>
      <c r="I306" s="196"/>
      <c r="J306" s="444">
        <v>-7.1230000000000002</v>
      </c>
      <c r="K306" s="444">
        <v>-0.69899999999999995</v>
      </c>
      <c r="L306" s="444">
        <v>-1.7999999999999999E-2</v>
      </c>
      <c r="M306" s="343">
        <v>0</v>
      </c>
      <c r="N306" s="343">
        <v>0</v>
      </c>
      <c r="O306" s="343">
        <v>0</v>
      </c>
      <c r="P306" s="444">
        <v>0</v>
      </c>
    </row>
    <row r="307" spans="3:16" x14ac:dyDescent="0.25">
      <c r="C307" s="86"/>
      <c r="F307" s="99" t="s">
        <v>1047</v>
      </c>
      <c r="G307" s="196"/>
      <c r="H307" s="196" t="s">
        <v>318</v>
      </c>
      <c r="I307" s="196"/>
      <c r="J307" s="444">
        <v>-6.2889999999999997</v>
      </c>
      <c r="K307" s="444">
        <v>-0.60599999999999998</v>
      </c>
      <c r="L307" s="444">
        <v>-1.4999999999999999E-2</v>
      </c>
      <c r="M307" s="343">
        <v>0</v>
      </c>
      <c r="N307" s="343">
        <v>0</v>
      </c>
      <c r="O307" s="343">
        <v>0</v>
      </c>
      <c r="P307" s="444">
        <v>0</v>
      </c>
    </row>
    <row r="308" spans="3:16" x14ac:dyDescent="0.25">
      <c r="C308" s="86"/>
      <c r="F308" s="99" t="s">
        <v>1048</v>
      </c>
      <c r="G308" s="196"/>
      <c r="H308" s="196" t="s">
        <v>318</v>
      </c>
      <c r="I308" s="196"/>
      <c r="J308" s="444">
        <v>-7.1230000000000002</v>
      </c>
      <c r="K308" s="444">
        <v>-0.69899999999999995</v>
      </c>
      <c r="L308" s="444">
        <v>-1.7999999999999999E-2</v>
      </c>
      <c r="M308" s="343">
        <v>0</v>
      </c>
      <c r="N308" s="343">
        <v>0</v>
      </c>
      <c r="O308" s="343">
        <v>0</v>
      </c>
      <c r="P308" s="444">
        <v>0.22500000000000001</v>
      </c>
    </row>
    <row r="309" spans="3:16" x14ac:dyDescent="0.25">
      <c r="C309" s="86"/>
      <c r="F309" s="99" t="s">
        <v>1049</v>
      </c>
      <c r="G309" s="196"/>
      <c r="H309" s="196" t="s">
        <v>318</v>
      </c>
      <c r="I309" s="196"/>
      <c r="J309" s="444">
        <v>-7.1230000000000002</v>
      </c>
      <c r="K309" s="444">
        <v>-0.69899999999999995</v>
      </c>
      <c r="L309" s="444">
        <v>-1.7999999999999999E-2</v>
      </c>
      <c r="M309" s="343">
        <v>0</v>
      </c>
      <c r="N309" s="343">
        <v>0</v>
      </c>
      <c r="O309" s="343">
        <v>0</v>
      </c>
      <c r="P309" s="444">
        <v>0</v>
      </c>
    </row>
    <row r="310" spans="3:16" x14ac:dyDescent="0.25">
      <c r="C310" s="86"/>
      <c r="F310" s="99" t="s">
        <v>1050</v>
      </c>
      <c r="G310" s="196"/>
      <c r="H310" s="196" t="s">
        <v>318</v>
      </c>
      <c r="I310" s="196"/>
      <c r="J310" s="444">
        <v>-6.2889999999999997</v>
      </c>
      <c r="K310" s="444">
        <v>-0.60599999999999998</v>
      </c>
      <c r="L310" s="444">
        <v>-1.4999999999999999E-2</v>
      </c>
      <c r="M310" s="343">
        <v>0</v>
      </c>
      <c r="N310" s="343">
        <v>0</v>
      </c>
      <c r="O310" s="343">
        <v>0</v>
      </c>
      <c r="P310" s="444">
        <v>0.20100000000000001</v>
      </c>
    </row>
    <row r="311" spans="3:16" x14ac:dyDescent="0.25">
      <c r="C311" s="86"/>
      <c r="F311" s="99" t="s">
        <v>1051</v>
      </c>
      <c r="G311" s="196"/>
      <c r="H311" s="196" t="s">
        <v>318</v>
      </c>
      <c r="I311" s="196"/>
      <c r="J311" s="444">
        <v>-6.2889999999999997</v>
      </c>
      <c r="K311" s="444">
        <v>-0.60599999999999998</v>
      </c>
      <c r="L311" s="444">
        <v>-1.4999999999999999E-2</v>
      </c>
      <c r="M311" s="343">
        <v>0</v>
      </c>
      <c r="N311" s="343">
        <v>0</v>
      </c>
      <c r="O311" s="343">
        <v>0</v>
      </c>
      <c r="P311" s="444">
        <v>0</v>
      </c>
    </row>
    <row r="312" spans="3:16" x14ac:dyDescent="0.25">
      <c r="C312" s="86"/>
      <c r="F312" s="99" t="s">
        <v>1052</v>
      </c>
      <c r="G312" s="196"/>
      <c r="H312" s="196" t="s">
        <v>318</v>
      </c>
      <c r="I312" s="196"/>
      <c r="J312" s="444">
        <v>-4.1210000000000004</v>
      </c>
      <c r="K312" s="444">
        <v>-0.34899999999999998</v>
      </c>
      <c r="L312" s="444">
        <v>-7.0000000000000001E-3</v>
      </c>
      <c r="M312" s="343">
        <v>92.81</v>
      </c>
      <c r="N312" s="343">
        <v>0</v>
      </c>
      <c r="O312" s="343">
        <v>0</v>
      </c>
      <c r="P312" s="444">
        <v>0.17199999999999999</v>
      </c>
    </row>
    <row r="313" spans="3:16" x14ac:dyDescent="0.25">
      <c r="C313" s="86"/>
      <c r="F313" s="100" t="s">
        <v>1053</v>
      </c>
      <c r="G313" s="93"/>
      <c r="H313" s="93" t="s">
        <v>318</v>
      </c>
      <c r="I313" s="93"/>
      <c r="J313" s="445">
        <v>-4.1210000000000004</v>
      </c>
      <c r="K313" s="445">
        <v>-0.34899999999999998</v>
      </c>
      <c r="L313" s="445">
        <v>-7.0000000000000001E-3</v>
      </c>
      <c r="M313" s="344">
        <v>92.81</v>
      </c>
      <c r="N313" s="344">
        <v>0</v>
      </c>
      <c r="O313" s="344">
        <v>0</v>
      </c>
      <c r="P313" s="445">
        <v>0</v>
      </c>
    </row>
    <row r="314" spans="3:16" x14ac:dyDescent="0.25">
      <c r="F314" s="98"/>
      <c r="G314" s="295"/>
      <c r="H314" s="295"/>
      <c r="I314" s="295"/>
      <c r="J314" s="446"/>
      <c r="K314" s="446"/>
      <c r="L314" s="446"/>
      <c r="M314" s="345"/>
      <c r="N314" s="345"/>
      <c r="O314" s="345"/>
      <c r="P314" s="446"/>
    </row>
    <row r="315" spans="3:16" x14ac:dyDescent="0.25">
      <c r="D315" s="96"/>
      <c r="E315" s="96" t="str">
        <f>"LDNO LV tariff forecast "&amp; 'ARP_User control'!G35</f>
        <v>LDNO LV tariff forecast 2025/26</v>
      </c>
      <c r="F315" s="98"/>
      <c r="G315" s="295"/>
      <c r="H315" s="295"/>
      <c r="I315" s="295"/>
      <c r="J315" s="446"/>
      <c r="K315" s="446"/>
      <c r="L315" s="446"/>
      <c r="M315" s="345"/>
      <c r="N315" s="345"/>
      <c r="O315" s="345"/>
      <c r="P315" s="446"/>
    </row>
    <row r="316" spans="3:16" x14ac:dyDescent="0.25">
      <c r="C316" s="86"/>
      <c r="F316" s="103" t="s">
        <v>1038</v>
      </c>
      <c r="G316" s="91"/>
      <c r="H316" s="91" t="s">
        <v>146</v>
      </c>
      <c r="I316" s="91"/>
      <c r="J316" s="443">
        <v>6.891</v>
      </c>
      <c r="K316" s="443">
        <v>1.417</v>
      </c>
      <c r="L316" s="443">
        <v>0.83699999999999997</v>
      </c>
      <c r="M316" s="342">
        <v>2.9</v>
      </c>
      <c r="N316" s="342">
        <v>0</v>
      </c>
      <c r="O316" s="342">
        <v>0</v>
      </c>
      <c r="P316" s="443">
        <v>0</v>
      </c>
    </row>
    <row r="317" spans="3:16" x14ac:dyDescent="0.25">
      <c r="C317" s="86"/>
      <c r="F317" s="99" t="s">
        <v>1039</v>
      </c>
      <c r="G317" s="196"/>
      <c r="H317" s="196" t="s">
        <v>146</v>
      </c>
      <c r="I317" s="196"/>
      <c r="J317" s="444">
        <v>6.891</v>
      </c>
      <c r="K317" s="444">
        <v>1.417</v>
      </c>
      <c r="L317" s="444">
        <v>0.83699999999999997</v>
      </c>
      <c r="M317" s="343">
        <v>0</v>
      </c>
      <c r="N317" s="343">
        <v>0</v>
      </c>
      <c r="O317" s="343">
        <v>0</v>
      </c>
      <c r="P317" s="444">
        <v>0</v>
      </c>
    </row>
    <row r="318" spans="3:16" x14ac:dyDescent="0.25">
      <c r="C318" s="86"/>
      <c r="F318" s="99" t="s">
        <v>1040</v>
      </c>
      <c r="G318" s="196"/>
      <c r="H318" s="196" t="s">
        <v>146</v>
      </c>
      <c r="I318" s="196"/>
      <c r="J318" s="444">
        <v>7.8710000000000004</v>
      </c>
      <c r="K318" s="444">
        <v>1.5129999999999999</v>
      </c>
      <c r="L318" s="444">
        <v>0.84</v>
      </c>
      <c r="M318" s="343">
        <v>3.7</v>
      </c>
      <c r="N318" s="343">
        <v>0</v>
      </c>
      <c r="O318" s="343">
        <v>0</v>
      </c>
      <c r="P318" s="444">
        <v>0</v>
      </c>
    </row>
    <row r="319" spans="3:16" x14ac:dyDescent="0.25">
      <c r="C319" s="86"/>
      <c r="F319" s="99" t="s">
        <v>1041</v>
      </c>
      <c r="G319" s="196"/>
      <c r="H319" s="196" t="s">
        <v>146</v>
      </c>
      <c r="I319" s="196"/>
      <c r="J319" s="444">
        <v>7.8710000000000004</v>
      </c>
      <c r="K319" s="444">
        <v>1.5129999999999999</v>
      </c>
      <c r="L319" s="444">
        <v>0.84</v>
      </c>
      <c r="M319" s="343">
        <v>0</v>
      </c>
      <c r="N319" s="343">
        <v>0</v>
      </c>
      <c r="O319" s="343">
        <v>0</v>
      </c>
      <c r="P319" s="444">
        <v>0</v>
      </c>
    </row>
    <row r="320" spans="3:16" x14ac:dyDescent="0.25">
      <c r="C320" s="86"/>
      <c r="F320" s="99" t="s">
        <v>1042</v>
      </c>
      <c r="G320" s="196"/>
      <c r="H320" s="196" t="s">
        <v>146</v>
      </c>
      <c r="I320" s="196"/>
      <c r="J320" s="444">
        <v>5.5590000000000002</v>
      </c>
      <c r="K320" s="444">
        <v>1.27</v>
      </c>
      <c r="L320" s="444">
        <v>0.83299999999999996</v>
      </c>
      <c r="M320" s="343">
        <v>14.49</v>
      </c>
      <c r="N320" s="343">
        <v>1.69</v>
      </c>
      <c r="O320" s="343">
        <v>2.4900000000000002</v>
      </c>
      <c r="P320" s="444">
        <v>0.159</v>
      </c>
    </row>
    <row r="321" spans="3:19" x14ac:dyDescent="0.25">
      <c r="C321" s="86"/>
      <c r="F321" s="99" t="s">
        <v>1043</v>
      </c>
      <c r="G321" s="196"/>
      <c r="H321" s="196" t="s">
        <v>146</v>
      </c>
      <c r="I321" s="196"/>
      <c r="J321" s="447">
        <v>0</v>
      </c>
      <c r="K321" s="447">
        <v>0</v>
      </c>
      <c r="L321" s="447">
        <v>0</v>
      </c>
      <c r="M321" s="346">
        <v>0</v>
      </c>
      <c r="N321" s="346">
        <v>0</v>
      </c>
      <c r="O321" s="346">
        <v>0</v>
      </c>
      <c r="P321" s="447">
        <v>0</v>
      </c>
    </row>
    <row r="322" spans="3:19" x14ac:dyDescent="0.25">
      <c r="C322" s="86"/>
      <c r="F322" s="99" t="s">
        <v>1044</v>
      </c>
      <c r="G322" s="196"/>
      <c r="H322" s="196" t="s">
        <v>146</v>
      </c>
      <c r="I322" s="196"/>
      <c r="J322" s="447">
        <v>0</v>
      </c>
      <c r="K322" s="447">
        <v>0</v>
      </c>
      <c r="L322" s="447">
        <v>0</v>
      </c>
      <c r="M322" s="346">
        <v>0</v>
      </c>
      <c r="N322" s="346">
        <v>0</v>
      </c>
      <c r="O322" s="346">
        <v>0</v>
      </c>
      <c r="P322" s="447">
        <v>0</v>
      </c>
    </row>
    <row r="323" spans="3:19" x14ac:dyDescent="0.25">
      <c r="C323" s="86"/>
      <c r="F323" s="99" t="s">
        <v>1045</v>
      </c>
      <c r="G323" s="196"/>
      <c r="H323" s="196" t="s">
        <v>146</v>
      </c>
      <c r="I323" s="196"/>
      <c r="J323" s="444">
        <v>15.353</v>
      </c>
      <c r="K323" s="444">
        <v>1.6</v>
      </c>
      <c r="L323" s="444">
        <v>1.103</v>
      </c>
      <c r="M323" s="343">
        <v>0</v>
      </c>
      <c r="N323" s="343">
        <v>0</v>
      </c>
      <c r="O323" s="343">
        <v>0</v>
      </c>
      <c r="P323" s="444">
        <v>0</v>
      </c>
    </row>
    <row r="324" spans="3:19" x14ac:dyDescent="0.25">
      <c r="C324" s="86"/>
      <c r="F324" s="99" t="s">
        <v>1046</v>
      </c>
      <c r="G324" s="196"/>
      <c r="H324" s="196" t="s">
        <v>146</v>
      </c>
      <c r="I324" s="196"/>
      <c r="J324" s="444">
        <v>-7.1230000000000002</v>
      </c>
      <c r="K324" s="444">
        <v>-0.69899999999999995</v>
      </c>
      <c r="L324" s="444">
        <v>-1.7999999999999999E-2</v>
      </c>
      <c r="M324" s="343">
        <v>0</v>
      </c>
      <c r="N324" s="343">
        <v>0</v>
      </c>
      <c r="O324" s="343">
        <v>0</v>
      </c>
      <c r="P324" s="444">
        <v>0</v>
      </c>
    </row>
    <row r="325" spans="3:19" x14ac:dyDescent="0.25">
      <c r="C325" s="86"/>
      <c r="F325" s="99" t="s">
        <v>1047</v>
      </c>
      <c r="G325" s="196"/>
      <c r="H325" s="196" t="s">
        <v>146</v>
      </c>
      <c r="I325" s="196"/>
      <c r="J325" s="447">
        <v>0</v>
      </c>
      <c r="K325" s="447">
        <v>0</v>
      </c>
      <c r="L325" s="447">
        <v>0</v>
      </c>
      <c r="M325" s="346">
        <v>0</v>
      </c>
      <c r="N325" s="346">
        <v>0</v>
      </c>
      <c r="O325" s="346">
        <v>0</v>
      </c>
      <c r="P325" s="447">
        <v>0</v>
      </c>
    </row>
    <row r="326" spans="3:19" x14ac:dyDescent="0.25">
      <c r="C326" s="86"/>
      <c r="F326" s="99" t="s">
        <v>1048</v>
      </c>
      <c r="G326" s="196"/>
      <c r="H326" s="196" t="s">
        <v>146</v>
      </c>
      <c r="I326" s="196"/>
      <c r="J326" s="444">
        <v>-7.1230000000000002</v>
      </c>
      <c r="K326" s="444">
        <v>-0.69899999999999995</v>
      </c>
      <c r="L326" s="444">
        <v>-1.7999999999999999E-2</v>
      </c>
      <c r="M326" s="343">
        <v>0</v>
      </c>
      <c r="N326" s="343">
        <v>0</v>
      </c>
      <c r="O326" s="343">
        <v>0</v>
      </c>
      <c r="P326" s="444">
        <v>0.22500000000000001</v>
      </c>
    </row>
    <row r="327" spans="3:19" x14ac:dyDescent="0.25">
      <c r="C327" s="86"/>
      <c r="F327" s="99" t="s">
        <v>1049</v>
      </c>
      <c r="G327" s="196"/>
      <c r="H327" s="196" t="s">
        <v>146</v>
      </c>
      <c r="I327" s="196"/>
      <c r="J327" s="447">
        <v>0</v>
      </c>
      <c r="K327" s="447">
        <v>0</v>
      </c>
      <c r="L327" s="447">
        <v>0</v>
      </c>
      <c r="M327" s="346">
        <v>0</v>
      </c>
      <c r="N327" s="346">
        <v>0</v>
      </c>
      <c r="O327" s="346">
        <v>0</v>
      </c>
      <c r="P327" s="447">
        <v>0</v>
      </c>
    </row>
    <row r="328" spans="3:19" x14ac:dyDescent="0.25">
      <c r="C328" s="86"/>
      <c r="F328" s="99" t="s">
        <v>1050</v>
      </c>
      <c r="G328" s="196"/>
      <c r="H328" s="196" t="s">
        <v>146</v>
      </c>
      <c r="I328" s="196"/>
      <c r="J328" s="447">
        <v>0</v>
      </c>
      <c r="K328" s="447">
        <v>0</v>
      </c>
      <c r="L328" s="447">
        <v>0</v>
      </c>
      <c r="M328" s="346">
        <v>0</v>
      </c>
      <c r="N328" s="346">
        <v>0</v>
      </c>
      <c r="O328" s="346">
        <v>0</v>
      </c>
      <c r="P328" s="447">
        <v>0</v>
      </c>
    </row>
    <row r="329" spans="3:19" x14ac:dyDescent="0.25">
      <c r="C329" s="86"/>
      <c r="F329" s="99" t="s">
        <v>1051</v>
      </c>
      <c r="G329" s="196"/>
      <c r="H329" s="196" t="s">
        <v>146</v>
      </c>
      <c r="I329" s="196"/>
      <c r="J329" s="447">
        <v>0</v>
      </c>
      <c r="K329" s="447">
        <v>0</v>
      </c>
      <c r="L329" s="447">
        <v>0</v>
      </c>
      <c r="M329" s="346">
        <v>0</v>
      </c>
      <c r="N329" s="346">
        <v>0</v>
      </c>
      <c r="O329" s="346">
        <v>0</v>
      </c>
      <c r="P329" s="447">
        <v>0</v>
      </c>
    </row>
    <row r="330" spans="3:19" x14ac:dyDescent="0.25">
      <c r="C330" s="86"/>
      <c r="F330" s="99" t="s">
        <v>1052</v>
      </c>
      <c r="G330" s="196"/>
      <c r="H330" s="196" t="s">
        <v>146</v>
      </c>
      <c r="I330" s="196"/>
      <c r="J330" s="447">
        <v>0</v>
      </c>
      <c r="K330" s="447">
        <v>0</v>
      </c>
      <c r="L330" s="447">
        <v>0</v>
      </c>
      <c r="M330" s="346">
        <v>0</v>
      </c>
      <c r="N330" s="346">
        <v>0</v>
      </c>
      <c r="O330" s="346">
        <v>0</v>
      </c>
      <c r="P330" s="447">
        <v>0</v>
      </c>
    </row>
    <row r="331" spans="3:19" x14ac:dyDescent="0.25">
      <c r="C331" s="86"/>
      <c r="F331" s="100" t="s">
        <v>1053</v>
      </c>
      <c r="G331" s="93"/>
      <c r="H331" s="93" t="s">
        <v>146</v>
      </c>
      <c r="I331" s="93"/>
      <c r="J331" s="448">
        <v>0</v>
      </c>
      <c r="K331" s="448">
        <v>0</v>
      </c>
      <c r="L331" s="448">
        <v>0</v>
      </c>
      <c r="M331" s="347">
        <v>0</v>
      </c>
      <c r="N331" s="347">
        <v>0</v>
      </c>
      <c r="O331" s="347">
        <v>0</v>
      </c>
      <c r="P331" s="448">
        <v>0</v>
      </c>
    </row>
    <row r="332" spans="3:19" x14ac:dyDescent="0.25">
      <c r="C332" s="96"/>
      <c r="D332" s="96"/>
      <c r="E332" s="96"/>
      <c r="F332" s="295"/>
      <c r="G332" s="295"/>
      <c r="H332" s="295"/>
      <c r="I332" s="295"/>
      <c r="J332" s="446"/>
      <c r="K332" s="446"/>
      <c r="L332" s="446"/>
      <c r="M332" s="345"/>
      <c r="N332" s="345"/>
      <c r="O332" s="345"/>
      <c r="P332" s="446"/>
      <c r="Q332" s="96"/>
      <c r="R332" s="96"/>
      <c r="S332" s="96"/>
    </row>
    <row r="333" spans="3:19" x14ac:dyDescent="0.25">
      <c r="C333" s="96"/>
      <c r="D333" s="96"/>
      <c r="E333" s="96" t="str">
        <f>"LDNO HV tariff forecast "&amp; 'ARP_User control'!G35</f>
        <v>LDNO HV tariff forecast 2025/26</v>
      </c>
      <c r="F333" s="295"/>
      <c r="G333" s="295"/>
      <c r="H333" s="295"/>
      <c r="I333" s="295"/>
      <c r="J333" s="446"/>
      <c r="K333" s="446"/>
      <c r="L333" s="446"/>
      <c r="M333" s="345"/>
      <c r="N333" s="345"/>
      <c r="O333" s="345"/>
      <c r="P333" s="446"/>
      <c r="Q333" s="96"/>
      <c r="R333" s="96"/>
      <c r="S333" s="96"/>
    </row>
    <row r="334" spans="3:19" x14ac:dyDescent="0.25">
      <c r="C334" s="86"/>
      <c r="F334" s="103" t="s">
        <v>1038</v>
      </c>
      <c r="G334" s="91"/>
      <c r="H334" s="91" t="s">
        <v>147</v>
      </c>
      <c r="I334" s="91"/>
      <c r="J334" s="443">
        <v>4.4829999999999997</v>
      </c>
      <c r="K334" s="443">
        <v>0.92200000000000004</v>
      </c>
      <c r="L334" s="443">
        <v>0.54500000000000004</v>
      </c>
      <c r="M334" s="342">
        <v>1.89</v>
      </c>
      <c r="N334" s="342">
        <v>0</v>
      </c>
      <c r="O334" s="342">
        <v>0</v>
      </c>
      <c r="P334" s="443">
        <v>0</v>
      </c>
    </row>
    <row r="335" spans="3:19" x14ac:dyDescent="0.25">
      <c r="C335" s="86"/>
      <c r="F335" s="99" t="s">
        <v>1039</v>
      </c>
      <c r="G335" s="196"/>
      <c r="H335" s="196" t="s">
        <v>147</v>
      </c>
      <c r="I335" s="196"/>
      <c r="J335" s="444">
        <v>4.4829999999999997</v>
      </c>
      <c r="K335" s="444">
        <v>0.92200000000000004</v>
      </c>
      <c r="L335" s="444">
        <v>0.54500000000000004</v>
      </c>
      <c r="M335" s="343">
        <v>0</v>
      </c>
      <c r="N335" s="343">
        <v>0</v>
      </c>
      <c r="O335" s="343">
        <v>0</v>
      </c>
      <c r="P335" s="444">
        <v>0</v>
      </c>
    </row>
    <row r="336" spans="3:19" x14ac:dyDescent="0.25">
      <c r="C336" s="86"/>
      <c r="F336" s="99" t="s">
        <v>1040</v>
      </c>
      <c r="G336" s="196"/>
      <c r="H336" s="196" t="s">
        <v>147</v>
      </c>
      <c r="I336" s="196"/>
      <c r="J336" s="444">
        <v>5.12</v>
      </c>
      <c r="K336" s="444">
        <v>0.98399999999999999</v>
      </c>
      <c r="L336" s="444">
        <v>0.54600000000000004</v>
      </c>
      <c r="M336" s="343">
        <v>2.41</v>
      </c>
      <c r="N336" s="343">
        <v>0</v>
      </c>
      <c r="O336" s="343">
        <v>0</v>
      </c>
      <c r="P336" s="444">
        <v>0</v>
      </c>
    </row>
    <row r="337" spans="2:19" x14ac:dyDescent="0.25">
      <c r="C337" s="86"/>
      <c r="F337" s="99" t="s">
        <v>1041</v>
      </c>
      <c r="G337" s="196"/>
      <c r="H337" s="196" t="s">
        <v>147</v>
      </c>
      <c r="I337" s="196"/>
      <c r="J337" s="444">
        <v>5.12</v>
      </c>
      <c r="K337" s="444">
        <v>0.98399999999999999</v>
      </c>
      <c r="L337" s="444">
        <v>0.54600000000000004</v>
      </c>
      <c r="M337" s="343">
        <v>0</v>
      </c>
      <c r="N337" s="343">
        <v>0</v>
      </c>
      <c r="O337" s="343">
        <v>0</v>
      </c>
      <c r="P337" s="444">
        <v>0</v>
      </c>
    </row>
    <row r="338" spans="2:19" x14ac:dyDescent="0.25">
      <c r="C338" s="86"/>
      <c r="F338" s="99" t="s">
        <v>1042</v>
      </c>
      <c r="G338" s="196"/>
      <c r="H338" s="196" t="s">
        <v>147</v>
      </c>
      <c r="I338" s="196"/>
      <c r="J338" s="444">
        <v>3.6160000000000001</v>
      </c>
      <c r="K338" s="444">
        <v>0.82599999999999996</v>
      </c>
      <c r="L338" s="444">
        <v>0.54200000000000004</v>
      </c>
      <c r="M338" s="343">
        <v>9.43</v>
      </c>
      <c r="N338" s="343">
        <v>1.1000000000000001</v>
      </c>
      <c r="O338" s="343">
        <v>1.62</v>
      </c>
      <c r="P338" s="444">
        <v>0.10299999999999999</v>
      </c>
    </row>
    <row r="339" spans="2:19" x14ac:dyDescent="0.25">
      <c r="C339" s="86"/>
      <c r="F339" s="99" t="s">
        <v>1043</v>
      </c>
      <c r="G339" s="196"/>
      <c r="H339" s="196" t="s">
        <v>147</v>
      </c>
      <c r="I339" s="196"/>
      <c r="J339" s="444">
        <v>3.8740000000000001</v>
      </c>
      <c r="K339" s="444">
        <v>1.1339999999999999</v>
      </c>
      <c r="L339" s="444">
        <v>0.88400000000000001</v>
      </c>
      <c r="M339" s="343">
        <v>5.47</v>
      </c>
      <c r="N339" s="343">
        <v>3.26</v>
      </c>
      <c r="O339" s="343">
        <v>3.71</v>
      </c>
      <c r="P339" s="444">
        <v>9.9000000000000005E-2</v>
      </c>
    </row>
    <row r="340" spans="2:19" x14ac:dyDescent="0.25">
      <c r="C340" s="86"/>
      <c r="F340" s="99" t="s">
        <v>1044</v>
      </c>
      <c r="G340" s="196"/>
      <c r="H340" s="196" t="s">
        <v>147</v>
      </c>
      <c r="I340" s="196"/>
      <c r="J340" s="444">
        <v>3.6110000000000002</v>
      </c>
      <c r="K340" s="444">
        <v>1.218</v>
      </c>
      <c r="L340" s="444">
        <v>1.0129999999999999</v>
      </c>
      <c r="M340" s="343">
        <v>95.1</v>
      </c>
      <c r="N340" s="343">
        <v>4.12</v>
      </c>
      <c r="O340" s="343">
        <v>5.08</v>
      </c>
      <c r="P340" s="444">
        <v>8.4000000000000005E-2</v>
      </c>
    </row>
    <row r="341" spans="2:19" x14ac:dyDescent="0.25">
      <c r="C341" s="86"/>
      <c r="F341" s="99" t="s">
        <v>1045</v>
      </c>
      <c r="G341" s="196"/>
      <c r="H341" s="196" t="s">
        <v>147</v>
      </c>
      <c r="I341" s="196"/>
      <c r="J341" s="444">
        <v>9.9879999999999995</v>
      </c>
      <c r="K341" s="444">
        <v>1.0409999999999999</v>
      </c>
      <c r="L341" s="444">
        <v>0.71699999999999997</v>
      </c>
      <c r="M341" s="343">
        <v>0</v>
      </c>
      <c r="N341" s="343">
        <v>0</v>
      </c>
      <c r="O341" s="343">
        <v>0</v>
      </c>
      <c r="P341" s="444">
        <v>0</v>
      </c>
    </row>
    <row r="342" spans="2:19" x14ac:dyDescent="0.25">
      <c r="C342" s="86"/>
      <c r="F342" s="99" t="s">
        <v>1046</v>
      </c>
      <c r="G342" s="196"/>
      <c r="H342" s="196" t="s">
        <v>147</v>
      </c>
      <c r="I342" s="196"/>
      <c r="J342" s="444">
        <v>-7.1230000000000002</v>
      </c>
      <c r="K342" s="444">
        <v>-0.69899999999999995</v>
      </c>
      <c r="L342" s="444">
        <v>-1.7999999999999999E-2</v>
      </c>
      <c r="M342" s="343">
        <v>0</v>
      </c>
      <c r="N342" s="343">
        <v>0</v>
      </c>
      <c r="O342" s="343">
        <v>0</v>
      </c>
      <c r="P342" s="444">
        <v>0</v>
      </c>
    </row>
    <row r="343" spans="2:19" x14ac:dyDescent="0.25">
      <c r="C343" s="86"/>
      <c r="F343" s="99" t="s">
        <v>1047</v>
      </c>
      <c r="G343" s="196"/>
      <c r="H343" s="196" t="s">
        <v>147</v>
      </c>
      <c r="I343" s="196"/>
      <c r="J343" s="444">
        <v>-6.2889999999999997</v>
      </c>
      <c r="K343" s="444">
        <v>-0.60599999999999998</v>
      </c>
      <c r="L343" s="444">
        <v>-1.4999999999999999E-2</v>
      </c>
      <c r="M343" s="343">
        <v>0</v>
      </c>
      <c r="N343" s="343">
        <v>0</v>
      </c>
      <c r="O343" s="343">
        <v>0</v>
      </c>
      <c r="P343" s="444">
        <v>0</v>
      </c>
    </row>
    <row r="344" spans="2:19" x14ac:dyDescent="0.25">
      <c r="C344" s="86"/>
      <c r="F344" s="99" t="s">
        <v>1048</v>
      </c>
      <c r="G344" s="196"/>
      <c r="H344" s="196" t="s">
        <v>147</v>
      </c>
      <c r="I344" s="196"/>
      <c r="J344" s="444">
        <v>-7.1230000000000002</v>
      </c>
      <c r="K344" s="444">
        <v>-0.69899999999999995</v>
      </c>
      <c r="L344" s="444">
        <v>-1.7999999999999999E-2</v>
      </c>
      <c r="M344" s="343">
        <v>0</v>
      </c>
      <c r="N344" s="343">
        <v>0</v>
      </c>
      <c r="O344" s="343">
        <v>0</v>
      </c>
      <c r="P344" s="444">
        <v>0.22500000000000001</v>
      </c>
    </row>
    <row r="345" spans="2:19" x14ac:dyDescent="0.25">
      <c r="C345" s="86"/>
      <c r="F345" s="99" t="s">
        <v>1049</v>
      </c>
      <c r="G345" s="196"/>
      <c r="H345" s="196" t="s">
        <v>147</v>
      </c>
      <c r="I345" s="196"/>
      <c r="J345" s="447">
        <v>0</v>
      </c>
      <c r="K345" s="447">
        <v>0</v>
      </c>
      <c r="L345" s="447">
        <v>0</v>
      </c>
      <c r="M345" s="346">
        <v>0</v>
      </c>
      <c r="N345" s="346">
        <v>0</v>
      </c>
      <c r="O345" s="346">
        <v>0</v>
      </c>
      <c r="P345" s="447">
        <v>0</v>
      </c>
    </row>
    <row r="346" spans="2:19" x14ac:dyDescent="0.25">
      <c r="C346" s="86"/>
      <c r="F346" s="99" t="s">
        <v>1050</v>
      </c>
      <c r="G346" s="196"/>
      <c r="H346" s="196" t="s">
        <v>147</v>
      </c>
      <c r="I346" s="196"/>
      <c r="J346" s="444">
        <v>-6.2889999999999997</v>
      </c>
      <c r="K346" s="444">
        <v>-0.60599999999999998</v>
      </c>
      <c r="L346" s="444">
        <v>-1.4999999999999999E-2</v>
      </c>
      <c r="M346" s="343">
        <v>0</v>
      </c>
      <c r="N346" s="343">
        <v>0</v>
      </c>
      <c r="O346" s="343">
        <v>0</v>
      </c>
      <c r="P346" s="444">
        <v>0.20100000000000001</v>
      </c>
    </row>
    <row r="347" spans="2:19" x14ac:dyDescent="0.25">
      <c r="C347" s="86"/>
      <c r="F347" s="99" t="s">
        <v>1051</v>
      </c>
      <c r="G347" s="196"/>
      <c r="H347" s="196" t="s">
        <v>147</v>
      </c>
      <c r="I347" s="196"/>
      <c r="J347" s="447">
        <v>0</v>
      </c>
      <c r="K347" s="447">
        <v>0</v>
      </c>
      <c r="L347" s="447">
        <v>0</v>
      </c>
      <c r="M347" s="346">
        <v>0</v>
      </c>
      <c r="N347" s="346">
        <v>0</v>
      </c>
      <c r="O347" s="346">
        <v>0</v>
      </c>
      <c r="P347" s="447">
        <v>0</v>
      </c>
    </row>
    <row r="348" spans="2:19" x14ac:dyDescent="0.25">
      <c r="C348" s="86"/>
      <c r="F348" s="99" t="s">
        <v>1052</v>
      </c>
      <c r="G348" s="196"/>
      <c r="H348" s="196" t="s">
        <v>147</v>
      </c>
      <c r="I348" s="196"/>
      <c r="J348" s="444">
        <v>-4.1210000000000004</v>
      </c>
      <c r="K348" s="444">
        <v>-0.34899999999999998</v>
      </c>
      <c r="L348" s="444">
        <v>-7.0000000000000001E-3</v>
      </c>
      <c r="M348" s="343">
        <v>0</v>
      </c>
      <c r="N348" s="343">
        <v>0</v>
      </c>
      <c r="O348" s="343">
        <v>0</v>
      </c>
      <c r="P348" s="444">
        <v>0.17199999999999999</v>
      </c>
    </row>
    <row r="349" spans="2:19" x14ac:dyDescent="0.25">
      <c r="C349" s="86"/>
      <c r="F349" s="100" t="s">
        <v>1053</v>
      </c>
      <c r="G349" s="93"/>
      <c r="H349" s="93" t="s">
        <v>147</v>
      </c>
      <c r="I349" s="93"/>
      <c r="J349" s="448">
        <v>0</v>
      </c>
      <c r="K349" s="448">
        <v>0</v>
      </c>
      <c r="L349" s="448">
        <v>0</v>
      </c>
      <c r="M349" s="347">
        <v>0</v>
      </c>
      <c r="N349" s="347">
        <v>0</v>
      </c>
      <c r="O349" s="347">
        <v>0</v>
      </c>
      <c r="P349" s="448">
        <v>0</v>
      </c>
    </row>
    <row r="350" spans="2:19" x14ac:dyDescent="0.25">
      <c r="C350" s="96"/>
      <c r="D350" s="96"/>
      <c r="E350" s="96"/>
      <c r="F350" s="96"/>
      <c r="G350" s="96"/>
      <c r="H350" s="96"/>
      <c r="I350" s="96"/>
      <c r="J350" s="96"/>
      <c r="K350" s="96"/>
      <c r="L350" s="96"/>
      <c r="M350" s="216"/>
      <c r="N350" s="216"/>
      <c r="O350" s="216"/>
      <c r="P350" s="96"/>
      <c r="Q350" s="96"/>
      <c r="R350" s="96"/>
      <c r="S350" s="96"/>
    </row>
    <row r="351" spans="2:19" x14ac:dyDescent="0.25">
      <c r="B351" s="95" t="s">
        <v>109</v>
      </c>
      <c r="C351" s="95"/>
      <c r="D351" s="95"/>
      <c r="E351" s="95"/>
      <c r="F351" s="95"/>
      <c r="G351" s="95"/>
      <c r="H351" s="95"/>
      <c r="I351" s="95"/>
      <c r="J351" s="95"/>
      <c r="K351" s="95"/>
      <c r="L351" s="71"/>
      <c r="M351" s="217"/>
      <c r="N351" s="217"/>
      <c r="O351" s="217"/>
      <c r="P351" s="71"/>
      <c r="Q351" s="71"/>
      <c r="R351" s="71"/>
    </row>
    <row r="352" spans="2:19" x14ac:dyDescent="0.25">
      <c r="M352" s="215"/>
      <c r="N352" s="215"/>
      <c r="O352" s="215"/>
    </row>
    <row r="353" spans="2:18" x14ac:dyDescent="0.25">
      <c r="D353" s="85"/>
      <c r="E353" s="85" t="s">
        <v>516</v>
      </c>
      <c r="G353" s="60" t="s">
        <v>692</v>
      </c>
      <c r="H353" s="212">
        <f t="array" ref="H353">SUM(IF(ISERROR(J18:P69), 1))</f>
        <v>0</v>
      </c>
      <c r="M353" s="215"/>
      <c r="N353" s="215"/>
      <c r="O353" s="215"/>
    </row>
    <row r="354" spans="2:18" x14ac:dyDescent="0.25">
      <c r="M354" s="215"/>
      <c r="N354" s="215"/>
      <c r="O354" s="215"/>
    </row>
    <row r="355" spans="2:18" x14ac:dyDescent="0.25">
      <c r="B355" s="95" t="s">
        <v>110</v>
      </c>
      <c r="C355" s="95"/>
      <c r="D355" s="95"/>
      <c r="E355" s="95"/>
      <c r="F355" s="95"/>
      <c r="G355" s="95"/>
      <c r="H355" s="95"/>
      <c r="I355" s="95"/>
      <c r="J355" s="95"/>
      <c r="K355" s="95"/>
      <c r="L355" s="71"/>
      <c r="M355" s="217"/>
      <c r="N355" s="217"/>
      <c r="O355" s="217"/>
      <c r="P355" s="71"/>
      <c r="Q355" s="71"/>
      <c r="R355" s="71"/>
    </row>
    <row r="356" spans="2:18" x14ac:dyDescent="0.25">
      <c r="M356" s="215"/>
      <c r="N356" s="215"/>
      <c r="O356" s="215"/>
    </row>
    <row r="357" spans="2:18" x14ac:dyDescent="0.25">
      <c r="D357" s="85"/>
    </row>
  </sheetData>
  <sheetProtection formatCells="0" formatColumns="0" formatRows="0" sort="0" autoFilter="0"/>
  <conditionalFormatting sqref="H353">
    <cfRule type="cellIs" dxfId="3" priority="13" operator="greaterThan">
      <formula>0</formula>
    </cfRule>
  </conditionalFormatting>
  <conditionalFormatting sqref="A4:XFD4">
    <cfRule type="expression" dxfId="2" priority="2">
      <formula>LEFT($A$4,1) &lt;&gt; "0"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2">
    <tabColor theme="9" tint="0.39997558519241921"/>
    <pageSetUpPr fitToPage="1"/>
  </sheetPr>
  <dimension ref="A1:XFD7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85" customWidth="1"/>
    <col min="4" max="5" width="2.5703125" style="98" customWidth="1"/>
    <col min="6" max="6" width="59.5703125" style="85" customWidth="1"/>
    <col min="7" max="8" width="20.7109375" style="85" customWidth="1"/>
    <col min="9" max="9" width="2.28515625" style="85" customWidth="1"/>
    <col min="10" max="10" width="17" style="85" customWidth="1"/>
    <col min="11" max="11" width="2.42578125" style="85" customWidth="1"/>
    <col min="12" max="16" width="17" style="85" customWidth="1"/>
    <col min="17" max="17" width="2.28515625" style="85" customWidth="1"/>
    <col min="18" max="18" width="50.7109375" style="85" customWidth="1"/>
    <col min="19" max="19" width="2.28515625" style="85" customWidth="1"/>
    <col min="20" max="27" width="0" style="85" hidden="1" customWidth="1"/>
    <col min="28" max="28" width="24.5703125" style="85" hidden="1" customWidth="1"/>
    <col min="29" max="29" width="3.5703125" style="85" hidden="1" customWidth="1"/>
    <col min="30" max="30" width="15.42578125" style="85" hidden="1" customWidth="1"/>
    <col min="31" max="284" width="24.5703125" style="85" hidden="1" customWidth="1"/>
    <col min="285" max="16384" width="8.7109375" style="85" hidden="1"/>
  </cols>
  <sheetData>
    <row r="1" spans="1:16384" s="10" customFormat="1" x14ac:dyDescent="0.25">
      <c r="A1" s="10" t="str">
        <f ca="1">MID(CELL("filename",A1),FIND("]",CELL("filename",A1))+1,255)</f>
        <v>Typical bills</v>
      </c>
    </row>
    <row r="2" spans="1:16384" s="10" customFormat="1" x14ac:dyDescent="0.25">
      <c r="A2" s="10" t="str">
        <f>Cover!D21&amp;" - "&amp;Cover!D23</f>
        <v>SP Distribution - One</v>
      </c>
    </row>
    <row r="3" spans="1:16384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16384" s="195" customFormat="1" x14ac:dyDescent="0.25">
      <c r="A4" s="229" t="str">
        <f>H73 &amp; IF(H73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16384" ht="30" x14ac:dyDescent="0.25">
      <c r="B5" s="134" t="s">
        <v>552</v>
      </c>
      <c r="C5" s="9"/>
      <c r="D5" s="9"/>
      <c r="E5" s="9"/>
      <c r="F5" s="9"/>
      <c r="G5" s="1" t="s">
        <v>91</v>
      </c>
      <c r="H5" s="1" t="s">
        <v>635</v>
      </c>
      <c r="J5" s="154" t="str">
        <f>"Live results (" &amp; charging_year_selected &amp; ")"</f>
        <v>Live results (2021/22)</v>
      </c>
      <c r="L5" s="154" t="str">
        <f t="array" ref="L5:P5">TRANSPOSE('ARP_User control'!G31:G35)</f>
        <v>2021/22</v>
      </c>
      <c r="M5" s="154" t="str">
        <v>2022/23</v>
      </c>
      <c r="N5" s="154" t="str">
        <v>2023/24</v>
      </c>
      <c r="O5" s="154" t="str">
        <v>2024/25</v>
      </c>
      <c r="P5" s="154" t="str">
        <v>2025/26</v>
      </c>
      <c r="R5" s="1" t="s">
        <v>93</v>
      </c>
    </row>
    <row r="7" spans="1:16384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</row>
    <row r="9" spans="1:16384" x14ac:dyDescent="0.25">
      <c r="C9" s="82" t="s">
        <v>588</v>
      </c>
    </row>
    <row r="10" spans="1:16384" x14ac:dyDescent="0.25">
      <c r="C10" s="82" t="s">
        <v>589</v>
      </c>
    </row>
    <row r="11" spans="1:16384" x14ac:dyDescent="0.25">
      <c r="A11" s="75"/>
      <c r="B11" s="75"/>
      <c r="C11" s="82" t="s">
        <v>609</v>
      </c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5"/>
      <c r="CG11" s="75"/>
      <c r="CH11" s="75"/>
      <c r="CI11" s="75"/>
      <c r="CJ11" s="75"/>
      <c r="CK11" s="75"/>
      <c r="CL11" s="75"/>
      <c r="CM11" s="75"/>
      <c r="CN11" s="75"/>
      <c r="CO11" s="75"/>
      <c r="CP11" s="75"/>
      <c r="CQ11" s="75"/>
      <c r="CR11" s="75"/>
      <c r="CS11" s="75"/>
      <c r="CT11" s="75"/>
      <c r="CU11" s="75"/>
      <c r="CV11" s="75"/>
      <c r="CW11" s="75"/>
      <c r="CX11" s="75"/>
      <c r="CY11" s="75"/>
      <c r="CZ11" s="75"/>
      <c r="DA11" s="75"/>
      <c r="DB11" s="75"/>
      <c r="DC11" s="75"/>
      <c r="DD11" s="75"/>
      <c r="DE11" s="75"/>
      <c r="DF11" s="75"/>
      <c r="DG11" s="75"/>
      <c r="DH11" s="75"/>
      <c r="DI11" s="75"/>
      <c r="DJ11" s="75"/>
      <c r="DK11" s="75"/>
      <c r="DL11" s="75"/>
      <c r="DM11" s="75"/>
      <c r="DN11" s="75"/>
      <c r="DO11" s="75"/>
      <c r="DP11" s="75"/>
      <c r="DQ11" s="75"/>
      <c r="DR11" s="75"/>
      <c r="DS11" s="75"/>
      <c r="DT11" s="75"/>
      <c r="DU11" s="75"/>
      <c r="DV11" s="75"/>
      <c r="DW11" s="75"/>
      <c r="DX11" s="75"/>
      <c r="DY11" s="75"/>
      <c r="DZ11" s="75"/>
      <c r="EA11" s="75"/>
      <c r="EB11" s="75"/>
      <c r="EC11" s="75"/>
      <c r="ED11" s="75"/>
      <c r="EE11" s="75"/>
      <c r="EF11" s="75"/>
      <c r="EG11" s="75"/>
      <c r="EH11" s="75"/>
      <c r="EI11" s="75"/>
      <c r="EJ11" s="75"/>
      <c r="EK11" s="75"/>
      <c r="EL11" s="75"/>
      <c r="EM11" s="75"/>
      <c r="EN11" s="75"/>
      <c r="EO11" s="75"/>
      <c r="EP11" s="75"/>
      <c r="EQ11" s="75"/>
      <c r="ER11" s="75"/>
      <c r="ES11" s="75"/>
      <c r="ET11" s="75"/>
      <c r="EU11" s="75"/>
      <c r="EV11" s="75"/>
      <c r="EW11" s="75"/>
      <c r="EX11" s="75"/>
      <c r="EY11" s="75"/>
      <c r="EZ11" s="75"/>
      <c r="FA11" s="75"/>
      <c r="FB11" s="75"/>
      <c r="FC11" s="75"/>
      <c r="FD11" s="75"/>
      <c r="FE11" s="75"/>
      <c r="FF11" s="75"/>
      <c r="FG11" s="75"/>
      <c r="FH11" s="75"/>
      <c r="FI11" s="75"/>
      <c r="FJ11" s="75"/>
      <c r="FK11" s="75"/>
      <c r="FL11" s="75"/>
      <c r="FM11" s="75"/>
      <c r="FN11" s="75"/>
      <c r="FO11" s="75"/>
      <c r="FP11" s="75"/>
      <c r="FQ11" s="75"/>
      <c r="FR11" s="75"/>
      <c r="FS11" s="75"/>
      <c r="FT11" s="75"/>
      <c r="FU11" s="75"/>
      <c r="FV11" s="75"/>
      <c r="FW11" s="75"/>
      <c r="FX11" s="75"/>
      <c r="FY11" s="75"/>
      <c r="FZ11" s="75"/>
      <c r="GA11" s="75"/>
      <c r="GB11" s="75"/>
      <c r="GC11" s="75"/>
      <c r="GD11" s="75"/>
      <c r="GE11" s="75"/>
      <c r="GF11" s="75"/>
      <c r="GG11" s="75"/>
      <c r="GH11" s="75"/>
      <c r="GI11" s="75"/>
      <c r="GJ11" s="75"/>
      <c r="GK11" s="75"/>
      <c r="GL11" s="75"/>
      <c r="GM11" s="75"/>
      <c r="GN11" s="75"/>
      <c r="GO11" s="75"/>
      <c r="GP11" s="75"/>
      <c r="GQ11" s="75"/>
      <c r="GR11" s="75"/>
      <c r="GS11" s="75"/>
      <c r="GT11" s="75"/>
      <c r="GU11" s="75"/>
      <c r="GV11" s="75"/>
      <c r="GW11" s="75"/>
      <c r="GX11" s="75"/>
      <c r="GY11" s="75"/>
      <c r="GZ11" s="75"/>
      <c r="HA11" s="75"/>
      <c r="HB11" s="75"/>
      <c r="HC11" s="75"/>
      <c r="HD11" s="75"/>
      <c r="HE11" s="75"/>
      <c r="HF11" s="75"/>
      <c r="HG11" s="75"/>
      <c r="HH11" s="75"/>
      <c r="HI11" s="75"/>
      <c r="HJ11" s="75"/>
      <c r="HK11" s="75"/>
      <c r="HL11" s="75"/>
      <c r="HM11" s="75"/>
      <c r="HN11" s="75"/>
      <c r="HO11" s="75"/>
      <c r="HP11" s="75"/>
      <c r="HQ11" s="75"/>
      <c r="HR11" s="75"/>
      <c r="HS11" s="75"/>
      <c r="HT11" s="75"/>
      <c r="HU11" s="75"/>
      <c r="HV11" s="75"/>
      <c r="HW11" s="75"/>
      <c r="HX11" s="75"/>
      <c r="HY11" s="75"/>
      <c r="HZ11" s="75"/>
      <c r="IA11" s="75"/>
      <c r="IB11" s="75"/>
      <c r="IC11" s="75"/>
      <c r="ID11" s="75"/>
      <c r="IE11" s="75"/>
      <c r="IF11" s="75"/>
      <c r="IG11" s="75"/>
      <c r="IH11" s="75"/>
      <c r="II11" s="75"/>
      <c r="IJ11" s="75"/>
      <c r="IK11" s="75"/>
      <c r="IL11" s="75"/>
      <c r="IM11" s="75"/>
      <c r="IN11" s="75"/>
      <c r="IO11" s="75"/>
      <c r="IP11" s="75"/>
      <c r="IQ11" s="75"/>
      <c r="IR11" s="75"/>
      <c r="IS11" s="75"/>
      <c r="IT11" s="75"/>
      <c r="IU11" s="75"/>
      <c r="IV11" s="75"/>
      <c r="IW11" s="75"/>
      <c r="IX11" s="75"/>
      <c r="IY11" s="75"/>
      <c r="IZ11" s="75"/>
      <c r="JA11" s="75"/>
      <c r="JB11" s="75"/>
      <c r="JC11" s="75"/>
      <c r="JD11" s="75"/>
      <c r="JE11" s="75"/>
      <c r="JF11" s="75"/>
      <c r="JG11" s="75"/>
      <c r="JH11" s="75"/>
      <c r="JI11" s="75"/>
      <c r="JJ11" s="75"/>
      <c r="JK11" s="75"/>
      <c r="JL11" s="75"/>
      <c r="JM11" s="75"/>
      <c r="JN11" s="75"/>
      <c r="JO11" s="75"/>
      <c r="JP11" s="75"/>
      <c r="JQ11" s="75"/>
      <c r="JR11" s="75"/>
      <c r="JS11" s="75"/>
      <c r="JT11" s="75"/>
      <c r="JU11" s="75"/>
      <c r="JV11" s="75"/>
      <c r="JW11" s="75"/>
      <c r="JX11" s="75"/>
      <c r="JY11" s="75"/>
      <c r="JZ11" s="75"/>
      <c r="KA11" s="75"/>
      <c r="KB11" s="75"/>
      <c r="KC11" s="75"/>
      <c r="KD11" s="75"/>
      <c r="KE11" s="75"/>
      <c r="KF11" s="75"/>
      <c r="KG11" s="75"/>
      <c r="KH11" s="75"/>
      <c r="KI11" s="75"/>
      <c r="KJ11" s="75"/>
      <c r="KK11" s="75"/>
      <c r="KL11" s="75"/>
      <c r="KM11" s="75"/>
      <c r="KN11" s="75"/>
      <c r="KO11" s="75"/>
      <c r="KP11" s="75"/>
      <c r="KQ11" s="75"/>
      <c r="KR11" s="75"/>
      <c r="KS11" s="75"/>
      <c r="KT11" s="75"/>
      <c r="KU11" s="75"/>
      <c r="KV11" s="75"/>
      <c r="KW11" s="75"/>
      <c r="KX11" s="75"/>
      <c r="KY11" s="75"/>
      <c r="KZ11" s="75"/>
      <c r="LA11" s="75"/>
      <c r="LB11" s="75"/>
      <c r="LC11" s="75"/>
      <c r="LD11" s="75"/>
      <c r="LE11" s="75"/>
      <c r="LF11" s="75"/>
      <c r="LG11" s="75"/>
      <c r="LH11" s="75"/>
      <c r="LI11" s="75"/>
      <c r="LJ11" s="75"/>
      <c r="LK11" s="75"/>
      <c r="LL11" s="75"/>
      <c r="LM11" s="75"/>
      <c r="LN11" s="75"/>
      <c r="LO11" s="75"/>
      <c r="LP11" s="75"/>
      <c r="LQ11" s="75"/>
      <c r="LR11" s="75"/>
      <c r="LS11" s="75"/>
      <c r="LT11" s="75"/>
      <c r="LU11" s="75"/>
      <c r="LV11" s="75"/>
      <c r="LW11" s="75"/>
      <c r="LX11" s="75"/>
      <c r="LY11" s="75"/>
      <c r="LZ11" s="75"/>
      <c r="MA11" s="75"/>
      <c r="MB11" s="75"/>
      <c r="MC11" s="75"/>
      <c r="MD11" s="75"/>
      <c r="ME11" s="75"/>
      <c r="MF11" s="75"/>
      <c r="MG11" s="75"/>
      <c r="MH11" s="75"/>
      <c r="MI11" s="75"/>
      <c r="MJ11" s="75"/>
      <c r="MK11" s="75"/>
      <c r="ML11" s="75"/>
      <c r="MM11" s="75"/>
      <c r="MN11" s="75"/>
      <c r="MO11" s="75"/>
      <c r="MP11" s="75"/>
      <c r="MQ11" s="75"/>
      <c r="MR11" s="75"/>
      <c r="MS11" s="75"/>
      <c r="MT11" s="75"/>
      <c r="MU11" s="75"/>
      <c r="MV11" s="75"/>
      <c r="MW11" s="75"/>
      <c r="MX11" s="75"/>
      <c r="MY11" s="75"/>
      <c r="MZ11" s="75"/>
      <c r="NA11" s="75"/>
      <c r="NB11" s="75"/>
      <c r="NC11" s="75"/>
      <c r="ND11" s="75"/>
      <c r="NE11" s="75"/>
      <c r="NF11" s="75"/>
      <c r="NG11" s="75"/>
      <c r="NH11" s="75"/>
      <c r="NI11" s="75"/>
      <c r="NJ11" s="75"/>
      <c r="NK11" s="75"/>
      <c r="NL11" s="75"/>
      <c r="NM11" s="75"/>
      <c r="NN11" s="75"/>
      <c r="NO11" s="75"/>
      <c r="NP11" s="75"/>
      <c r="NQ11" s="75"/>
      <c r="NR11" s="75"/>
      <c r="NS11" s="75"/>
      <c r="NT11" s="75"/>
      <c r="NU11" s="75"/>
      <c r="NV11" s="75"/>
      <c r="NW11" s="75"/>
      <c r="NX11" s="75"/>
      <c r="NY11" s="75"/>
      <c r="NZ11" s="75"/>
      <c r="OA11" s="75"/>
      <c r="OB11" s="75"/>
      <c r="OC11" s="75"/>
      <c r="OD11" s="75"/>
      <c r="OE11" s="75"/>
      <c r="OF11" s="75"/>
      <c r="OG11" s="75"/>
      <c r="OH11" s="75"/>
      <c r="OI11" s="75"/>
      <c r="OJ11" s="75"/>
      <c r="OK11" s="75"/>
      <c r="OL11" s="75"/>
      <c r="OM11" s="75"/>
      <c r="ON11" s="75"/>
      <c r="OO11" s="75"/>
      <c r="OP11" s="75"/>
      <c r="OQ11" s="75"/>
      <c r="OR11" s="75"/>
      <c r="OS11" s="75"/>
      <c r="OT11" s="75"/>
      <c r="OU11" s="75"/>
      <c r="OV11" s="75"/>
      <c r="OW11" s="75"/>
      <c r="OX11" s="75"/>
      <c r="OY11" s="75"/>
      <c r="OZ11" s="75"/>
      <c r="PA11" s="75"/>
      <c r="PB11" s="75"/>
      <c r="PC11" s="75"/>
      <c r="PD11" s="75"/>
      <c r="PE11" s="75"/>
      <c r="PF11" s="75"/>
      <c r="PG11" s="75"/>
      <c r="PH11" s="75"/>
      <c r="PI11" s="75"/>
      <c r="PJ11" s="75"/>
      <c r="PK11" s="75"/>
      <c r="PL11" s="75"/>
      <c r="PM11" s="75"/>
      <c r="PN11" s="75"/>
      <c r="PO11" s="75"/>
      <c r="PP11" s="75"/>
      <c r="PQ11" s="75"/>
      <c r="PR11" s="75"/>
      <c r="PS11" s="75"/>
      <c r="PT11" s="75"/>
      <c r="PU11" s="75"/>
      <c r="PV11" s="75"/>
      <c r="PW11" s="75"/>
      <c r="PX11" s="75"/>
      <c r="PY11" s="75"/>
      <c r="PZ11" s="75"/>
      <c r="QA11" s="75"/>
      <c r="QB11" s="75"/>
      <c r="QC11" s="75"/>
      <c r="QD11" s="75"/>
      <c r="QE11" s="75"/>
      <c r="QF11" s="75"/>
      <c r="QG11" s="75"/>
      <c r="QH11" s="75"/>
      <c r="QI11" s="75"/>
      <c r="QJ11" s="75"/>
      <c r="QK11" s="75"/>
      <c r="QL11" s="75"/>
      <c r="QM11" s="75"/>
      <c r="QN11" s="75"/>
      <c r="QO11" s="75"/>
      <c r="QP11" s="75"/>
      <c r="QQ11" s="75"/>
      <c r="QR11" s="75"/>
      <c r="QS11" s="75"/>
      <c r="QT11" s="75"/>
      <c r="QU11" s="75"/>
      <c r="QV11" s="75"/>
      <c r="QW11" s="75"/>
      <c r="QX11" s="75"/>
      <c r="QY11" s="75"/>
      <c r="QZ11" s="75"/>
      <c r="RA11" s="75"/>
      <c r="RB11" s="75"/>
      <c r="RC11" s="75"/>
      <c r="RD11" s="75"/>
      <c r="RE11" s="75"/>
      <c r="RF11" s="75"/>
      <c r="RG11" s="75"/>
      <c r="RH11" s="75"/>
      <c r="RI11" s="75"/>
      <c r="RJ11" s="75"/>
      <c r="RK11" s="75"/>
      <c r="RL11" s="75"/>
      <c r="RM11" s="75"/>
      <c r="RN11" s="75"/>
      <c r="RO11" s="75"/>
      <c r="RP11" s="75"/>
      <c r="RQ11" s="75"/>
      <c r="RR11" s="75"/>
      <c r="RS11" s="75"/>
      <c r="RT11" s="75"/>
      <c r="RU11" s="75"/>
      <c r="RV11" s="75"/>
      <c r="RW11" s="75"/>
      <c r="RX11" s="75"/>
      <c r="RY11" s="75"/>
      <c r="RZ11" s="75"/>
      <c r="SA11" s="75"/>
      <c r="SB11" s="75"/>
      <c r="SC11" s="75"/>
      <c r="SD11" s="75"/>
      <c r="SE11" s="75"/>
      <c r="SF11" s="75"/>
      <c r="SG11" s="75"/>
      <c r="SH11" s="75"/>
      <c r="SI11" s="75"/>
      <c r="SJ11" s="75"/>
      <c r="SK11" s="75"/>
      <c r="SL11" s="75"/>
      <c r="SM11" s="75"/>
      <c r="SN11" s="75"/>
      <c r="SO11" s="75"/>
      <c r="SP11" s="75"/>
      <c r="SQ11" s="75"/>
      <c r="SR11" s="75"/>
      <c r="SS11" s="75"/>
      <c r="ST11" s="75"/>
      <c r="SU11" s="75"/>
      <c r="SV11" s="75"/>
      <c r="SW11" s="75"/>
      <c r="SX11" s="75"/>
      <c r="SY11" s="75"/>
      <c r="SZ11" s="75"/>
      <c r="TA11" s="75"/>
      <c r="TB11" s="75"/>
      <c r="TC11" s="75"/>
      <c r="TD11" s="75"/>
      <c r="TE11" s="75"/>
      <c r="TF11" s="75"/>
      <c r="TG11" s="75"/>
      <c r="TH11" s="75"/>
      <c r="TI11" s="75"/>
      <c r="TJ11" s="75"/>
      <c r="TK11" s="75"/>
      <c r="TL11" s="75"/>
      <c r="TM11" s="75"/>
      <c r="TN11" s="75"/>
      <c r="TO11" s="75"/>
      <c r="TP11" s="75"/>
      <c r="TQ11" s="75"/>
      <c r="TR11" s="75"/>
      <c r="TS11" s="75"/>
      <c r="TT11" s="75"/>
      <c r="TU11" s="75"/>
      <c r="TV11" s="75"/>
      <c r="TW11" s="75"/>
      <c r="TX11" s="75"/>
      <c r="TY11" s="75"/>
      <c r="TZ11" s="75"/>
      <c r="UA11" s="75"/>
      <c r="UB11" s="75"/>
      <c r="UC11" s="75"/>
      <c r="UD11" s="75"/>
      <c r="UE11" s="75"/>
      <c r="UF11" s="75"/>
      <c r="UG11" s="75"/>
      <c r="UH11" s="75"/>
      <c r="UI11" s="75"/>
      <c r="UJ11" s="75"/>
      <c r="UK11" s="75"/>
      <c r="UL11" s="75"/>
      <c r="UM11" s="75"/>
      <c r="UN11" s="75"/>
      <c r="UO11" s="75"/>
      <c r="UP11" s="75"/>
      <c r="UQ11" s="75"/>
      <c r="UR11" s="75"/>
      <c r="US11" s="75"/>
      <c r="UT11" s="75"/>
      <c r="UU11" s="75"/>
      <c r="UV11" s="75"/>
      <c r="UW11" s="75"/>
      <c r="UX11" s="75"/>
      <c r="UY11" s="75"/>
      <c r="UZ11" s="75"/>
      <c r="VA11" s="75"/>
      <c r="VB11" s="75"/>
      <c r="VC11" s="75"/>
      <c r="VD11" s="75"/>
      <c r="VE11" s="75"/>
      <c r="VF11" s="75"/>
      <c r="VG11" s="75"/>
      <c r="VH11" s="75"/>
      <c r="VI11" s="75"/>
      <c r="VJ11" s="75"/>
      <c r="VK11" s="75"/>
      <c r="VL11" s="75"/>
      <c r="VM11" s="75"/>
      <c r="VN11" s="75"/>
      <c r="VO11" s="75"/>
      <c r="VP11" s="75"/>
      <c r="VQ11" s="75"/>
      <c r="VR11" s="75"/>
      <c r="VS11" s="75"/>
      <c r="VT11" s="75"/>
      <c r="VU11" s="75"/>
      <c r="VV11" s="75"/>
      <c r="VW11" s="75"/>
      <c r="VX11" s="75"/>
      <c r="VY11" s="75"/>
      <c r="VZ11" s="75"/>
      <c r="WA11" s="75"/>
      <c r="WB11" s="75"/>
      <c r="WC11" s="75"/>
      <c r="WD11" s="75"/>
      <c r="WE11" s="75"/>
      <c r="WF11" s="75"/>
      <c r="WG11" s="75"/>
      <c r="WH11" s="75"/>
      <c r="WI11" s="75"/>
      <c r="WJ11" s="75"/>
      <c r="WK11" s="75"/>
      <c r="WL11" s="75"/>
      <c r="WM11" s="75"/>
      <c r="WN11" s="75"/>
      <c r="WO11" s="75"/>
      <c r="WP11" s="75"/>
      <c r="WQ11" s="75"/>
      <c r="WR11" s="75"/>
      <c r="WS11" s="75"/>
      <c r="WT11" s="75"/>
      <c r="WU11" s="75"/>
      <c r="WV11" s="75"/>
      <c r="WW11" s="75"/>
      <c r="WX11" s="75"/>
      <c r="WY11" s="75"/>
      <c r="WZ11" s="75"/>
      <c r="XA11" s="75"/>
      <c r="XB11" s="75"/>
      <c r="XC11" s="75"/>
      <c r="XD11" s="75"/>
      <c r="XE11" s="75"/>
      <c r="XF11" s="75"/>
      <c r="XG11" s="75"/>
      <c r="XH11" s="75"/>
      <c r="XI11" s="75"/>
      <c r="XJ11" s="75"/>
      <c r="XK11" s="75"/>
      <c r="XL11" s="75"/>
      <c r="XM11" s="75"/>
      <c r="XN11" s="75"/>
      <c r="XO11" s="75"/>
      <c r="XP11" s="75"/>
      <c r="XQ11" s="75"/>
      <c r="XR11" s="75"/>
      <c r="XS11" s="75"/>
      <c r="XT11" s="75"/>
      <c r="XU11" s="75"/>
      <c r="XV11" s="75"/>
      <c r="XW11" s="75"/>
      <c r="XX11" s="75"/>
      <c r="XY11" s="75"/>
      <c r="XZ11" s="75"/>
      <c r="YA11" s="75"/>
      <c r="YB11" s="75"/>
      <c r="YC11" s="75"/>
      <c r="YD11" s="75"/>
      <c r="YE11" s="75"/>
      <c r="YF11" s="75"/>
      <c r="YG11" s="75"/>
      <c r="YH11" s="75"/>
      <c r="YI11" s="75"/>
      <c r="YJ11" s="75"/>
      <c r="YK11" s="75"/>
      <c r="YL11" s="75"/>
      <c r="YM11" s="75"/>
      <c r="YN11" s="75"/>
      <c r="YO11" s="75"/>
      <c r="YP11" s="75"/>
      <c r="YQ11" s="75"/>
      <c r="YR11" s="75"/>
      <c r="YS11" s="75"/>
      <c r="YT11" s="75"/>
      <c r="YU11" s="75"/>
      <c r="YV11" s="75"/>
      <c r="YW11" s="75"/>
      <c r="YX11" s="75"/>
      <c r="YY11" s="75"/>
      <c r="YZ11" s="75"/>
      <c r="ZA11" s="75"/>
      <c r="ZB11" s="75"/>
      <c r="ZC11" s="75"/>
      <c r="ZD11" s="75"/>
      <c r="ZE11" s="75"/>
      <c r="ZF11" s="75"/>
      <c r="ZG11" s="75"/>
      <c r="ZH11" s="75"/>
      <c r="ZI11" s="75"/>
      <c r="ZJ11" s="75"/>
      <c r="ZK11" s="75"/>
      <c r="ZL11" s="75"/>
      <c r="ZM11" s="75"/>
      <c r="ZN11" s="75"/>
      <c r="ZO11" s="75"/>
      <c r="ZP11" s="75"/>
      <c r="ZQ11" s="75"/>
      <c r="ZR11" s="75"/>
      <c r="ZS11" s="75"/>
      <c r="ZT11" s="75"/>
      <c r="ZU11" s="75"/>
      <c r="ZV11" s="75"/>
      <c r="ZW11" s="75"/>
      <c r="ZX11" s="75"/>
      <c r="ZY11" s="75"/>
      <c r="ZZ11" s="75"/>
      <c r="AAA11" s="75"/>
      <c r="AAB11" s="75"/>
      <c r="AAC11" s="75"/>
      <c r="AAD11" s="75"/>
      <c r="AAE11" s="75"/>
      <c r="AAF11" s="75"/>
      <c r="AAG11" s="75"/>
      <c r="AAH11" s="75"/>
      <c r="AAI11" s="75"/>
      <c r="AAJ11" s="75"/>
      <c r="AAK11" s="75"/>
      <c r="AAL11" s="75"/>
      <c r="AAM11" s="75"/>
      <c r="AAN11" s="75"/>
      <c r="AAO11" s="75"/>
      <c r="AAP11" s="75"/>
      <c r="AAQ11" s="75"/>
      <c r="AAR11" s="75"/>
      <c r="AAS11" s="75"/>
      <c r="AAT11" s="75"/>
      <c r="AAU11" s="75"/>
      <c r="AAV11" s="75"/>
      <c r="AAW11" s="75"/>
      <c r="AAX11" s="75"/>
      <c r="AAY11" s="75"/>
      <c r="AAZ11" s="75"/>
      <c r="ABA11" s="75"/>
      <c r="ABB11" s="75"/>
      <c r="ABC11" s="75"/>
      <c r="ABD11" s="75"/>
      <c r="ABE11" s="75"/>
      <c r="ABF11" s="75"/>
      <c r="ABG11" s="75"/>
      <c r="ABH11" s="75"/>
      <c r="ABI11" s="75"/>
      <c r="ABJ11" s="75"/>
      <c r="ABK11" s="75"/>
      <c r="ABL11" s="75"/>
      <c r="ABM11" s="75"/>
      <c r="ABN11" s="75"/>
      <c r="ABO11" s="75"/>
      <c r="ABP11" s="75"/>
      <c r="ABQ11" s="75"/>
      <c r="ABR11" s="75"/>
      <c r="ABS11" s="75"/>
      <c r="ABT11" s="75"/>
      <c r="ABU11" s="75"/>
      <c r="ABV11" s="75"/>
      <c r="ABW11" s="75"/>
      <c r="ABX11" s="75"/>
      <c r="ABY11" s="75"/>
      <c r="ABZ11" s="75"/>
      <c r="ACA11" s="75"/>
      <c r="ACB11" s="75"/>
      <c r="ACC11" s="75"/>
      <c r="ACD11" s="75"/>
      <c r="ACE11" s="75"/>
      <c r="ACF11" s="75"/>
      <c r="ACG11" s="75"/>
      <c r="ACH11" s="75"/>
      <c r="ACI11" s="75"/>
      <c r="ACJ11" s="75"/>
      <c r="ACK11" s="75"/>
      <c r="ACL11" s="75"/>
      <c r="ACM11" s="75"/>
      <c r="ACN11" s="75"/>
      <c r="ACO11" s="75"/>
      <c r="ACP11" s="75"/>
      <c r="ACQ11" s="75"/>
      <c r="ACR11" s="75"/>
      <c r="ACS11" s="75"/>
      <c r="ACT11" s="75"/>
      <c r="ACU11" s="75"/>
      <c r="ACV11" s="75"/>
      <c r="ACW11" s="75"/>
      <c r="ACX11" s="75"/>
      <c r="ACY11" s="75"/>
      <c r="ACZ11" s="75"/>
      <c r="ADA11" s="75"/>
      <c r="ADB11" s="75"/>
      <c r="ADC11" s="75"/>
      <c r="ADD11" s="75"/>
      <c r="ADE11" s="75"/>
      <c r="ADF11" s="75"/>
      <c r="ADG11" s="75"/>
      <c r="ADH11" s="75"/>
      <c r="ADI11" s="75"/>
      <c r="ADJ11" s="75"/>
      <c r="ADK11" s="75"/>
      <c r="ADL11" s="75"/>
      <c r="ADM11" s="75"/>
      <c r="ADN11" s="75"/>
      <c r="ADO11" s="75"/>
      <c r="ADP11" s="75"/>
      <c r="ADQ11" s="75"/>
      <c r="ADR11" s="75"/>
      <c r="ADS11" s="75"/>
      <c r="ADT11" s="75"/>
      <c r="ADU11" s="75"/>
      <c r="ADV11" s="75"/>
      <c r="ADW11" s="75"/>
      <c r="ADX11" s="75"/>
      <c r="ADY11" s="75"/>
      <c r="ADZ11" s="75"/>
      <c r="AEA11" s="75"/>
      <c r="AEB11" s="75"/>
      <c r="AEC11" s="75"/>
      <c r="AED11" s="75"/>
      <c r="AEE11" s="75"/>
      <c r="AEF11" s="75"/>
      <c r="AEG11" s="75"/>
      <c r="AEH11" s="75"/>
      <c r="AEI11" s="75"/>
      <c r="AEJ11" s="75"/>
      <c r="AEK11" s="75"/>
      <c r="AEL11" s="75"/>
      <c r="AEM11" s="75"/>
      <c r="AEN11" s="75"/>
      <c r="AEO11" s="75"/>
      <c r="AEP11" s="75"/>
      <c r="AEQ11" s="75"/>
      <c r="AER11" s="75"/>
      <c r="AES11" s="75"/>
      <c r="AET11" s="75"/>
      <c r="AEU11" s="75"/>
      <c r="AEV11" s="75"/>
      <c r="AEW11" s="75"/>
      <c r="AEX11" s="75"/>
      <c r="AEY11" s="75"/>
      <c r="AEZ11" s="75"/>
      <c r="AFA11" s="75"/>
      <c r="AFB11" s="75"/>
      <c r="AFC11" s="75"/>
      <c r="AFD11" s="75"/>
      <c r="AFE11" s="75"/>
      <c r="AFF11" s="75"/>
      <c r="AFG11" s="75"/>
      <c r="AFH11" s="75"/>
      <c r="AFI11" s="75"/>
      <c r="AFJ11" s="75"/>
      <c r="AFK11" s="75"/>
      <c r="AFL11" s="75"/>
      <c r="AFM11" s="75"/>
      <c r="AFN11" s="75"/>
      <c r="AFO11" s="75"/>
      <c r="AFP11" s="75"/>
      <c r="AFQ11" s="75"/>
      <c r="AFR11" s="75"/>
      <c r="AFS11" s="75"/>
      <c r="AFT11" s="75"/>
      <c r="AFU11" s="75"/>
      <c r="AFV11" s="75"/>
      <c r="AFW11" s="75"/>
      <c r="AFX11" s="75"/>
      <c r="AFY11" s="75"/>
      <c r="AFZ11" s="75"/>
      <c r="AGA11" s="75"/>
      <c r="AGB11" s="75"/>
      <c r="AGC11" s="75"/>
      <c r="AGD11" s="75"/>
      <c r="AGE11" s="75"/>
      <c r="AGF11" s="75"/>
      <c r="AGG11" s="75"/>
      <c r="AGH11" s="75"/>
      <c r="AGI11" s="75"/>
      <c r="AGJ11" s="75"/>
      <c r="AGK11" s="75"/>
      <c r="AGL11" s="75"/>
      <c r="AGM11" s="75"/>
      <c r="AGN11" s="75"/>
      <c r="AGO11" s="75"/>
      <c r="AGP11" s="75"/>
      <c r="AGQ11" s="75"/>
      <c r="AGR11" s="75"/>
      <c r="AGS11" s="75"/>
      <c r="AGT11" s="75"/>
      <c r="AGU11" s="75"/>
      <c r="AGV11" s="75"/>
      <c r="AGW11" s="75"/>
      <c r="AGX11" s="75"/>
      <c r="AGY11" s="75"/>
      <c r="AGZ11" s="75"/>
      <c r="AHA11" s="75"/>
      <c r="AHB11" s="75"/>
      <c r="AHC11" s="75"/>
      <c r="AHD11" s="75"/>
      <c r="AHE11" s="75"/>
      <c r="AHF11" s="75"/>
      <c r="AHG11" s="75"/>
      <c r="AHH11" s="75"/>
      <c r="AHI11" s="75"/>
      <c r="AHJ11" s="75"/>
      <c r="AHK11" s="75"/>
      <c r="AHL11" s="75"/>
      <c r="AHM11" s="75"/>
      <c r="AHN11" s="75"/>
      <c r="AHO11" s="75"/>
      <c r="AHP11" s="75"/>
      <c r="AHQ11" s="75"/>
      <c r="AHR11" s="75"/>
      <c r="AHS11" s="75"/>
      <c r="AHT11" s="75"/>
      <c r="AHU11" s="75"/>
      <c r="AHV11" s="75"/>
      <c r="AHW11" s="75"/>
      <c r="AHX11" s="75"/>
      <c r="AHY11" s="75"/>
      <c r="AHZ11" s="75"/>
      <c r="AIA11" s="75"/>
      <c r="AIB11" s="75"/>
      <c r="AIC11" s="75"/>
      <c r="AID11" s="75"/>
      <c r="AIE11" s="75"/>
      <c r="AIF11" s="75"/>
      <c r="AIG11" s="75"/>
      <c r="AIH11" s="75"/>
      <c r="AII11" s="75"/>
      <c r="AIJ11" s="75"/>
      <c r="AIK11" s="75"/>
      <c r="AIL11" s="75"/>
      <c r="AIM11" s="75"/>
      <c r="AIN11" s="75"/>
      <c r="AIO11" s="75"/>
      <c r="AIP11" s="75"/>
      <c r="AIQ11" s="75"/>
      <c r="AIR11" s="75"/>
      <c r="AIS11" s="75"/>
      <c r="AIT11" s="75"/>
      <c r="AIU11" s="75"/>
      <c r="AIV11" s="75"/>
      <c r="AIW11" s="75"/>
      <c r="AIX11" s="75"/>
      <c r="AIY11" s="75"/>
      <c r="AIZ11" s="75"/>
      <c r="AJA11" s="75"/>
      <c r="AJB11" s="75"/>
      <c r="AJC11" s="75"/>
      <c r="AJD11" s="75"/>
      <c r="AJE11" s="75"/>
      <c r="AJF11" s="75"/>
      <c r="AJG11" s="75"/>
      <c r="AJH11" s="75"/>
      <c r="AJI11" s="75"/>
      <c r="AJJ11" s="75"/>
      <c r="AJK11" s="75"/>
      <c r="AJL11" s="75"/>
      <c r="AJM11" s="75"/>
      <c r="AJN11" s="75"/>
      <c r="AJO11" s="75"/>
      <c r="AJP11" s="75"/>
      <c r="AJQ11" s="75"/>
      <c r="AJR11" s="75"/>
      <c r="AJS11" s="75"/>
      <c r="AJT11" s="75"/>
      <c r="AJU11" s="75"/>
      <c r="AJV11" s="75"/>
      <c r="AJW11" s="75"/>
      <c r="AJX11" s="75"/>
      <c r="AJY11" s="75"/>
      <c r="AJZ11" s="75"/>
      <c r="AKA11" s="75"/>
      <c r="AKB11" s="75"/>
      <c r="AKC11" s="75"/>
      <c r="AKD11" s="75"/>
      <c r="AKE11" s="75"/>
      <c r="AKF11" s="75"/>
      <c r="AKG11" s="75"/>
      <c r="AKH11" s="75"/>
      <c r="AKI11" s="75"/>
      <c r="AKJ11" s="75"/>
      <c r="AKK11" s="75"/>
      <c r="AKL11" s="75"/>
      <c r="AKM11" s="75"/>
      <c r="AKN11" s="75"/>
      <c r="AKO11" s="75"/>
      <c r="AKP11" s="75"/>
      <c r="AKQ11" s="75"/>
      <c r="AKR11" s="75"/>
      <c r="AKS11" s="75"/>
      <c r="AKT11" s="75"/>
      <c r="AKU11" s="75"/>
      <c r="AKV11" s="75"/>
      <c r="AKW11" s="75"/>
      <c r="AKX11" s="75"/>
      <c r="AKY11" s="75"/>
      <c r="AKZ11" s="75"/>
      <c r="ALA11" s="75"/>
      <c r="ALB11" s="75"/>
      <c r="ALC11" s="75"/>
      <c r="ALD11" s="75"/>
      <c r="ALE11" s="75"/>
      <c r="ALF11" s="75"/>
      <c r="ALG11" s="75"/>
      <c r="ALH11" s="75"/>
      <c r="ALI11" s="75"/>
      <c r="ALJ11" s="75"/>
      <c r="ALK11" s="75"/>
      <c r="ALL11" s="75"/>
      <c r="ALM11" s="75"/>
      <c r="ALN11" s="75"/>
      <c r="ALO11" s="75"/>
      <c r="ALP11" s="75"/>
      <c r="ALQ11" s="75"/>
      <c r="ALR11" s="75"/>
      <c r="ALS11" s="75"/>
      <c r="ALT11" s="75"/>
      <c r="ALU11" s="75"/>
      <c r="ALV11" s="75"/>
      <c r="ALW11" s="75"/>
      <c r="ALX11" s="75"/>
      <c r="ALY11" s="75"/>
      <c r="ALZ11" s="75"/>
      <c r="AMA11" s="75"/>
      <c r="AMB11" s="75"/>
      <c r="AMC11" s="75"/>
      <c r="AMD11" s="75"/>
      <c r="AME11" s="75"/>
      <c r="AMF11" s="75"/>
      <c r="AMG11" s="75"/>
      <c r="AMH11" s="75"/>
      <c r="AMI11" s="75"/>
      <c r="AMJ11" s="75"/>
      <c r="AMK11" s="75"/>
      <c r="AML11" s="75"/>
      <c r="AMM11" s="75"/>
      <c r="AMN11" s="75"/>
      <c r="AMO11" s="75"/>
      <c r="AMP11" s="75"/>
      <c r="AMQ11" s="75"/>
      <c r="AMR11" s="75"/>
      <c r="AMS11" s="75"/>
      <c r="AMT11" s="75"/>
      <c r="AMU11" s="75"/>
      <c r="AMV11" s="75"/>
      <c r="AMW11" s="75"/>
      <c r="AMX11" s="75"/>
      <c r="AMY11" s="75"/>
      <c r="AMZ11" s="75"/>
      <c r="ANA11" s="75"/>
      <c r="ANB11" s="75"/>
      <c r="ANC11" s="75"/>
      <c r="AND11" s="75"/>
      <c r="ANE11" s="75"/>
      <c r="ANF11" s="75"/>
      <c r="ANG11" s="75"/>
      <c r="ANH11" s="75"/>
      <c r="ANI11" s="75"/>
      <c r="ANJ11" s="75"/>
      <c r="ANK11" s="75"/>
      <c r="ANL11" s="75"/>
      <c r="ANM11" s="75"/>
      <c r="ANN11" s="75"/>
      <c r="ANO11" s="75"/>
      <c r="ANP11" s="75"/>
      <c r="ANQ11" s="75"/>
      <c r="ANR11" s="75"/>
      <c r="ANS11" s="75"/>
      <c r="ANT11" s="75"/>
      <c r="ANU11" s="75"/>
      <c r="ANV11" s="75"/>
      <c r="ANW11" s="75"/>
      <c r="ANX11" s="75"/>
      <c r="ANY11" s="75"/>
      <c r="ANZ11" s="75"/>
      <c r="AOA11" s="75"/>
      <c r="AOB11" s="75"/>
      <c r="AOC11" s="75"/>
      <c r="AOD11" s="75"/>
      <c r="AOE11" s="75"/>
      <c r="AOF11" s="75"/>
      <c r="AOG11" s="75"/>
      <c r="AOH11" s="75"/>
      <c r="AOI11" s="75"/>
      <c r="AOJ11" s="75"/>
      <c r="AOK11" s="75"/>
      <c r="AOL11" s="75"/>
      <c r="AOM11" s="75"/>
      <c r="AON11" s="75"/>
      <c r="AOO11" s="75"/>
      <c r="AOP11" s="75"/>
      <c r="AOQ11" s="75"/>
      <c r="AOR11" s="75"/>
      <c r="AOS11" s="75"/>
      <c r="AOT11" s="75"/>
      <c r="AOU11" s="75"/>
      <c r="AOV11" s="75"/>
      <c r="AOW11" s="75"/>
      <c r="AOX11" s="75"/>
      <c r="AOY11" s="75"/>
      <c r="AOZ11" s="75"/>
      <c r="APA11" s="75"/>
      <c r="APB11" s="75"/>
      <c r="APC11" s="75"/>
      <c r="APD11" s="75"/>
      <c r="APE11" s="75"/>
      <c r="APF11" s="75"/>
      <c r="APG11" s="75"/>
      <c r="APH11" s="75"/>
      <c r="API11" s="75"/>
      <c r="APJ11" s="75"/>
      <c r="APK11" s="75"/>
      <c r="APL11" s="75"/>
      <c r="APM11" s="75"/>
      <c r="APN11" s="75"/>
      <c r="APO11" s="75"/>
      <c r="APP11" s="75"/>
      <c r="APQ11" s="75"/>
      <c r="APR11" s="75"/>
      <c r="APS11" s="75"/>
      <c r="APT11" s="75"/>
      <c r="APU11" s="75"/>
      <c r="APV11" s="75"/>
      <c r="APW11" s="75"/>
      <c r="APX11" s="75"/>
      <c r="APY11" s="75"/>
      <c r="APZ11" s="75"/>
      <c r="AQA11" s="75"/>
      <c r="AQB11" s="75"/>
      <c r="AQC11" s="75"/>
      <c r="AQD11" s="75"/>
      <c r="AQE11" s="75"/>
      <c r="AQF11" s="75"/>
      <c r="AQG11" s="75"/>
      <c r="AQH11" s="75"/>
      <c r="AQI11" s="75"/>
      <c r="AQJ11" s="75"/>
      <c r="AQK11" s="75"/>
      <c r="AQL11" s="75"/>
      <c r="AQM11" s="75"/>
      <c r="AQN11" s="75"/>
      <c r="AQO11" s="75"/>
      <c r="AQP11" s="75"/>
      <c r="AQQ11" s="75"/>
      <c r="AQR11" s="75"/>
      <c r="AQS11" s="75"/>
      <c r="AQT11" s="75"/>
      <c r="AQU11" s="75"/>
      <c r="AQV11" s="75"/>
      <c r="AQW11" s="75"/>
      <c r="AQX11" s="75"/>
      <c r="AQY11" s="75"/>
      <c r="AQZ11" s="75"/>
      <c r="ARA11" s="75"/>
      <c r="ARB11" s="75"/>
      <c r="ARC11" s="75"/>
      <c r="ARD11" s="75"/>
      <c r="ARE11" s="75"/>
      <c r="ARF11" s="75"/>
      <c r="ARG11" s="75"/>
      <c r="ARH11" s="75"/>
      <c r="ARI11" s="75"/>
      <c r="ARJ11" s="75"/>
      <c r="ARK11" s="75"/>
      <c r="ARL11" s="75"/>
      <c r="ARM11" s="75"/>
      <c r="ARN11" s="75"/>
      <c r="ARO11" s="75"/>
      <c r="ARP11" s="75"/>
      <c r="ARQ11" s="75"/>
      <c r="ARR11" s="75"/>
      <c r="ARS11" s="75"/>
      <c r="ART11" s="75"/>
      <c r="ARU11" s="75"/>
      <c r="ARV11" s="75"/>
      <c r="ARW11" s="75"/>
      <c r="ARX11" s="75"/>
      <c r="ARY11" s="75"/>
      <c r="ARZ11" s="75"/>
      <c r="ASA11" s="75"/>
      <c r="ASB11" s="75"/>
      <c r="ASC11" s="75"/>
      <c r="ASD11" s="75"/>
      <c r="ASE11" s="75"/>
      <c r="ASF11" s="75"/>
      <c r="ASG11" s="75"/>
      <c r="ASH11" s="75"/>
      <c r="ASI11" s="75"/>
      <c r="ASJ11" s="75"/>
      <c r="ASK11" s="75"/>
      <c r="ASL11" s="75"/>
      <c r="ASM11" s="75"/>
      <c r="ASN11" s="75"/>
      <c r="ASO11" s="75"/>
      <c r="ASP11" s="75"/>
      <c r="ASQ11" s="75"/>
      <c r="ASR11" s="75"/>
      <c r="ASS11" s="75"/>
      <c r="AST11" s="75"/>
      <c r="ASU11" s="75"/>
      <c r="ASV11" s="75"/>
      <c r="ASW11" s="75"/>
      <c r="ASX11" s="75"/>
      <c r="ASY11" s="75"/>
      <c r="ASZ11" s="75"/>
      <c r="ATA11" s="75"/>
      <c r="ATB11" s="75"/>
      <c r="ATC11" s="75"/>
      <c r="ATD11" s="75"/>
      <c r="ATE11" s="75"/>
      <c r="ATF11" s="75"/>
      <c r="ATG11" s="75"/>
      <c r="ATH11" s="75"/>
      <c r="ATI11" s="75"/>
      <c r="ATJ11" s="75"/>
      <c r="ATK11" s="75"/>
      <c r="ATL11" s="75"/>
      <c r="ATM11" s="75"/>
      <c r="ATN11" s="75"/>
      <c r="ATO11" s="75"/>
      <c r="ATP11" s="75"/>
      <c r="ATQ11" s="75"/>
      <c r="ATR11" s="75"/>
      <c r="ATS11" s="75"/>
      <c r="ATT11" s="75"/>
      <c r="ATU11" s="75"/>
      <c r="ATV11" s="75"/>
      <c r="ATW11" s="75"/>
      <c r="ATX11" s="75"/>
      <c r="ATY11" s="75"/>
      <c r="ATZ11" s="75"/>
      <c r="AUA11" s="75"/>
      <c r="AUB11" s="75"/>
      <c r="AUC11" s="75"/>
      <c r="AUD11" s="75"/>
      <c r="AUE11" s="75"/>
      <c r="AUF11" s="75"/>
      <c r="AUG11" s="75"/>
      <c r="AUH11" s="75"/>
      <c r="AUI11" s="75"/>
      <c r="AUJ11" s="75"/>
      <c r="AUK11" s="75"/>
      <c r="AUL11" s="75"/>
      <c r="AUM11" s="75"/>
      <c r="AUN11" s="75"/>
      <c r="AUO11" s="75"/>
      <c r="AUP11" s="75"/>
      <c r="AUQ11" s="75"/>
      <c r="AUR11" s="75"/>
      <c r="AUS11" s="75"/>
      <c r="AUT11" s="75"/>
      <c r="AUU11" s="75"/>
      <c r="AUV11" s="75"/>
      <c r="AUW11" s="75"/>
      <c r="AUX11" s="75"/>
      <c r="AUY11" s="75"/>
      <c r="AUZ11" s="75"/>
      <c r="AVA11" s="75"/>
      <c r="AVB11" s="75"/>
      <c r="AVC11" s="75"/>
      <c r="AVD11" s="75"/>
      <c r="AVE11" s="75"/>
      <c r="AVF11" s="75"/>
      <c r="AVG11" s="75"/>
      <c r="AVH11" s="75"/>
      <c r="AVI11" s="75"/>
      <c r="AVJ11" s="75"/>
      <c r="AVK11" s="75"/>
      <c r="AVL11" s="75"/>
      <c r="AVM11" s="75"/>
      <c r="AVN11" s="75"/>
      <c r="AVO11" s="75"/>
      <c r="AVP11" s="75"/>
      <c r="AVQ11" s="75"/>
      <c r="AVR11" s="75"/>
      <c r="AVS11" s="75"/>
      <c r="AVT11" s="75"/>
      <c r="AVU11" s="75"/>
      <c r="AVV11" s="75"/>
      <c r="AVW11" s="75"/>
      <c r="AVX11" s="75"/>
      <c r="AVY11" s="75"/>
      <c r="AVZ11" s="75"/>
      <c r="AWA11" s="75"/>
      <c r="AWB11" s="75"/>
      <c r="AWC11" s="75"/>
      <c r="AWD11" s="75"/>
      <c r="AWE11" s="75"/>
      <c r="AWF11" s="75"/>
      <c r="AWG11" s="75"/>
      <c r="AWH11" s="75"/>
      <c r="AWI11" s="75"/>
      <c r="AWJ11" s="75"/>
      <c r="AWK11" s="75"/>
      <c r="AWL11" s="75"/>
      <c r="AWM11" s="75"/>
      <c r="AWN11" s="75"/>
      <c r="AWO11" s="75"/>
      <c r="AWP11" s="75"/>
      <c r="AWQ11" s="75"/>
      <c r="AWR11" s="75"/>
      <c r="AWS11" s="75"/>
      <c r="AWT11" s="75"/>
      <c r="AWU11" s="75"/>
      <c r="AWV11" s="75"/>
      <c r="AWW11" s="75"/>
      <c r="AWX11" s="75"/>
      <c r="AWY11" s="75"/>
      <c r="AWZ11" s="75"/>
      <c r="AXA11" s="75"/>
      <c r="AXB11" s="75"/>
      <c r="AXC11" s="75"/>
      <c r="AXD11" s="75"/>
      <c r="AXE11" s="75"/>
      <c r="AXF11" s="75"/>
      <c r="AXG11" s="75"/>
      <c r="AXH11" s="75"/>
      <c r="AXI11" s="75"/>
      <c r="AXJ11" s="75"/>
      <c r="AXK11" s="75"/>
      <c r="AXL11" s="75"/>
      <c r="AXM11" s="75"/>
      <c r="AXN11" s="75"/>
      <c r="AXO11" s="75"/>
      <c r="AXP11" s="75"/>
      <c r="AXQ11" s="75"/>
      <c r="AXR11" s="75"/>
      <c r="AXS11" s="75"/>
      <c r="AXT11" s="75"/>
      <c r="AXU11" s="75"/>
      <c r="AXV11" s="75"/>
      <c r="AXW11" s="75"/>
      <c r="AXX11" s="75"/>
      <c r="AXY11" s="75"/>
      <c r="AXZ11" s="75"/>
      <c r="AYA11" s="75"/>
      <c r="AYB11" s="75"/>
      <c r="AYC11" s="75"/>
      <c r="AYD11" s="75"/>
      <c r="AYE11" s="75"/>
      <c r="AYF11" s="75"/>
      <c r="AYG11" s="75"/>
      <c r="AYH11" s="75"/>
      <c r="AYI11" s="75"/>
      <c r="AYJ11" s="75"/>
      <c r="AYK11" s="75"/>
      <c r="AYL11" s="75"/>
      <c r="AYM11" s="75"/>
      <c r="AYN11" s="75"/>
      <c r="AYO11" s="75"/>
      <c r="AYP11" s="75"/>
      <c r="AYQ11" s="75"/>
      <c r="AYR11" s="75"/>
      <c r="AYS11" s="75"/>
      <c r="AYT11" s="75"/>
      <c r="AYU11" s="75"/>
      <c r="AYV11" s="75"/>
      <c r="AYW11" s="75"/>
      <c r="AYX11" s="75"/>
      <c r="AYY11" s="75"/>
      <c r="AYZ11" s="75"/>
      <c r="AZA11" s="75"/>
      <c r="AZB11" s="75"/>
      <c r="AZC11" s="75"/>
      <c r="AZD11" s="75"/>
      <c r="AZE11" s="75"/>
      <c r="AZF11" s="75"/>
      <c r="AZG11" s="75"/>
      <c r="AZH11" s="75"/>
      <c r="AZI11" s="75"/>
      <c r="AZJ11" s="75"/>
      <c r="AZK11" s="75"/>
      <c r="AZL11" s="75"/>
      <c r="AZM11" s="75"/>
      <c r="AZN11" s="75"/>
      <c r="AZO11" s="75"/>
      <c r="AZP11" s="75"/>
      <c r="AZQ11" s="75"/>
      <c r="AZR11" s="75"/>
      <c r="AZS11" s="75"/>
      <c r="AZT11" s="75"/>
      <c r="AZU11" s="75"/>
      <c r="AZV11" s="75"/>
      <c r="AZW11" s="75"/>
      <c r="AZX11" s="75"/>
      <c r="AZY11" s="75"/>
      <c r="AZZ11" s="75"/>
      <c r="BAA11" s="75"/>
      <c r="BAB11" s="75"/>
      <c r="BAC11" s="75"/>
      <c r="BAD11" s="75"/>
      <c r="BAE11" s="75"/>
      <c r="BAF11" s="75"/>
      <c r="BAG11" s="75"/>
      <c r="BAH11" s="75"/>
      <c r="BAI11" s="75"/>
      <c r="BAJ11" s="75"/>
      <c r="BAK11" s="75"/>
      <c r="BAL11" s="75"/>
      <c r="BAM11" s="75"/>
      <c r="BAN11" s="75"/>
      <c r="BAO11" s="75"/>
      <c r="BAP11" s="75"/>
      <c r="BAQ11" s="75"/>
      <c r="BAR11" s="75"/>
      <c r="BAS11" s="75"/>
      <c r="BAT11" s="75"/>
      <c r="BAU11" s="75"/>
      <c r="BAV11" s="75"/>
      <c r="BAW11" s="75"/>
      <c r="BAX11" s="75"/>
      <c r="BAY11" s="75"/>
      <c r="BAZ11" s="75"/>
      <c r="BBA11" s="75"/>
      <c r="BBB11" s="75"/>
      <c r="BBC11" s="75"/>
      <c r="BBD11" s="75"/>
      <c r="BBE11" s="75"/>
      <c r="BBF11" s="75"/>
      <c r="BBG11" s="75"/>
      <c r="BBH11" s="75"/>
      <c r="BBI11" s="75"/>
      <c r="BBJ11" s="75"/>
      <c r="BBK11" s="75"/>
      <c r="BBL11" s="75"/>
      <c r="BBM11" s="75"/>
      <c r="BBN11" s="75"/>
      <c r="BBO11" s="75"/>
      <c r="BBP11" s="75"/>
      <c r="BBQ11" s="75"/>
      <c r="BBR11" s="75"/>
      <c r="BBS11" s="75"/>
      <c r="BBT11" s="75"/>
      <c r="BBU11" s="75"/>
      <c r="BBV11" s="75"/>
      <c r="BBW11" s="75"/>
      <c r="BBX11" s="75"/>
      <c r="BBY11" s="75"/>
      <c r="BBZ11" s="75"/>
      <c r="BCA11" s="75"/>
      <c r="BCB11" s="75"/>
      <c r="BCC11" s="75"/>
      <c r="BCD11" s="75"/>
      <c r="BCE11" s="75"/>
      <c r="BCF11" s="75"/>
      <c r="BCG11" s="75"/>
      <c r="BCH11" s="75"/>
      <c r="BCI11" s="75"/>
      <c r="BCJ11" s="75"/>
      <c r="BCK11" s="75"/>
      <c r="BCL11" s="75"/>
      <c r="BCM11" s="75"/>
      <c r="BCN11" s="75"/>
      <c r="BCO11" s="75"/>
      <c r="BCP11" s="75"/>
      <c r="BCQ11" s="75"/>
      <c r="BCR11" s="75"/>
      <c r="BCS11" s="75"/>
      <c r="BCT11" s="75"/>
      <c r="BCU11" s="75"/>
      <c r="BCV11" s="75"/>
      <c r="BCW11" s="75"/>
      <c r="BCX11" s="75"/>
      <c r="BCY11" s="75"/>
      <c r="BCZ11" s="75"/>
      <c r="BDA11" s="75"/>
      <c r="BDB11" s="75"/>
      <c r="BDC11" s="75"/>
      <c r="BDD11" s="75"/>
      <c r="BDE11" s="75"/>
      <c r="BDF11" s="75"/>
      <c r="BDG11" s="75"/>
      <c r="BDH11" s="75"/>
      <c r="BDI11" s="75"/>
      <c r="BDJ11" s="75"/>
      <c r="BDK11" s="75"/>
      <c r="BDL11" s="75"/>
      <c r="BDM11" s="75"/>
      <c r="BDN11" s="75"/>
      <c r="BDO11" s="75"/>
      <c r="BDP11" s="75"/>
      <c r="BDQ11" s="75"/>
      <c r="BDR11" s="75"/>
      <c r="BDS11" s="75"/>
      <c r="BDT11" s="75"/>
      <c r="BDU11" s="75"/>
      <c r="BDV11" s="75"/>
      <c r="BDW11" s="75"/>
      <c r="BDX11" s="75"/>
      <c r="BDY11" s="75"/>
      <c r="BDZ11" s="75"/>
      <c r="BEA11" s="75"/>
      <c r="BEB11" s="75"/>
      <c r="BEC11" s="75"/>
      <c r="BED11" s="75"/>
      <c r="BEE11" s="75"/>
      <c r="BEF11" s="75"/>
      <c r="BEG11" s="75"/>
      <c r="BEH11" s="75"/>
      <c r="BEI11" s="75"/>
      <c r="BEJ11" s="75"/>
      <c r="BEK11" s="75"/>
      <c r="BEL11" s="75"/>
      <c r="BEM11" s="75"/>
      <c r="BEN11" s="75"/>
      <c r="BEO11" s="75"/>
      <c r="BEP11" s="75"/>
      <c r="BEQ11" s="75"/>
      <c r="BER11" s="75"/>
      <c r="BES11" s="75"/>
      <c r="BET11" s="75"/>
      <c r="BEU11" s="75"/>
      <c r="BEV11" s="75"/>
      <c r="BEW11" s="75"/>
      <c r="BEX11" s="75"/>
      <c r="BEY11" s="75"/>
      <c r="BEZ11" s="75"/>
      <c r="BFA11" s="75"/>
      <c r="BFB11" s="75"/>
      <c r="BFC11" s="75"/>
      <c r="BFD11" s="75"/>
      <c r="BFE11" s="75"/>
      <c r="BFF11" s="75"/>
      <c r="BFG11" s="75"/>
      <c r="BFH11" s="75"/>
      <c r="BFI11" s="75"/>
      <c r="BFJ11" s="75"/>
      <c r="BFK11" s="75"/>
      <c r="BFL11" s="75"/>
      <c r="BFM11" s="75"/>
      <c r="BFN11" s="75"/>
      <c r="BFO11" s="75"/>
      <c r="BFP11" s="75"/>
      <c r="BFQ11" s="75"/>
      <c r="BFR11" s="75"/>
      <c r="BFS11" s="75"/>
      <c r="BFT11" s="75"/>
      <c r="BFU11" s="75"/>
      <c r="BFV11" s="75"/>
      <c r="BFW11" s="75"/>
      <c r="BFX11" s="75"/>
      <c r="BFY11" s="75"/>
      <c r="BFZ11" s="75"/>
      <c r="BGA11" s="75"/>
      <c r="BGB11" s="75"/>
      <c r="BGC11" s="75"/>
      <c r="BGD11" s="75"/>
      <c r="BGE11" s="75"/>
      <c r="BGF11" s="75"/>
      <c r="BGG11" s="75"/>
      <c r="BGH11" s="75"/>
      <c r="BGI11" s="75"/>
      <c r="BGJ11" s="75"/>
      <c r="BGK11" s="75"/>
      <c r="BGL11" s="75"/>
      <c r="BGM11" s="75"/>
      <c r="BGN11" s="75"/>
      <c r="BGO11" s="75"/>
      <c r="BGP11" s="75"/>
      <c r="BGQ11" s="75"/>
      <c r="BGR11" s="75"/>
      <c r="BGS11" s="75"/>
      <c r="BGT11" s="75"/>
      <c r="BGU11" s="75"/>
      <c r="BGV11" s="75"/>
      <c r="BGW11" s="75"/>
      <c r="BGX11" s="75"/>
      <c r="BGY11" s="75"/>
      <c r="BGZ11" s="75"/>
      <c r="BHA11" s="75"/>
      <c r="BHB11" s="75"/>
      <c r="BHC11" s="75"/>
      <c r="BHD11" s="75"/>
      <c r="BHE11" s="75"/>
      <c r="BHF11" s="75"/>
      <c r="BHG11" s="75"/>
      <c r="BHH11" s="75"/>
      <c r="BHI11" s="75"/>
      <c r="BHJ11" s="75"/>
      <c r="BHK11" s="75"/>
      <c r="BHL11" s="75"/>
      <c r="BHM11" s="75"/>
      <c r="BHN11" s="75"/>
      <c r="BHO11" s="75"/>
      <c r="BHP11" s="75"/>
      <c r="BHQ11" s="75"/>
      <c r="BHR11" s="75"/>
      <c r="BHS11" s="75"/>
      <c r="BHT11" s="75"/>
      <c r="BHU11" s="75"/>
      <c r="BHV11" s="75"/>
      <c r="BHW11" s="75"/>
      <c r="BHX11" s="75"/>
      <c r="BHY11" s="75"/>
      <c r="BHZ11" s="75"/>
      <c r="BIA11" s="75"/>
      <c r="BIB11" s="75"/>
      <c r="BIC11" s="75"/>
      <c r="BID11" s="75"/>
      <c r="BIE11" s="75"/>
      <c r="BIF11" s="75"/>
      <c r="BIG11" s="75"/>
      <c r="BIH11" s="75"/>
      <c r="BII11" s="75"/>
      <c r="BIJ11" s="75"/>
      <c r="BIK11" s="75"/>
      <c r="BIL11" s="75"/>
      <c r="BIM11" s="75"/>
      <c r="BIN11" s="75"/>
      <c r="BIO11" s="75"/>
      <c r="BIP11" s="75"/>
      <c r="BIQ11" s="75"/>
      <c r="BIR11" s="75"/>
      <c r="BIS11" s="75"/>
      <c r="BIT11" s="75"/>
      <c r="BIU11" s="75"/>
      <c r="BIV11" s="75"/>
      <c r="BIW11" s="75"/>
      <c r="BIX11" s="75"/>
      <c r="BIY11" s="75"/>
      <c r="BIZ11" s="75"/>
      <c r="BJA11" s="75"/>
      <c r="BJB11" s="75"/>
      <c r="BJC11" s="75"/>
      <c r="BJD11" s="75"/>
      <c r="BJE11" s="75"/>
      <c r="BJF11" s="75"/>
      <c r="BJG11" s="75"/>
      <c r="BJH11" s="75"/>
      <c r="BJI11" s="75"/>
      <c r="BJJ11" s="75"/>
      <c r="BJK11" s="75"/>
      <c r="BJL11" s="75"/>
      <c r="BJM11" s="75"/>
      <c r="BJN11" s="75"/>
      <c r="BJO11" s="75"/>
      <c r="BJP11" s="75"/>
      <c r="BJQ11" s="75"/>
      <c r="BJR11" s="75"/>
      <c r="BJS11" s="75"/>
      <c r="BJT11" s="75"/>
      <c r="BJU11" s="75"/>
      <c r="BJV11" s="75"/>
      <c r="BJW11" s="75"/>
      <c r="BJX11" s="75"/>
      <c r="BJY11" s="75"/>
      <c r="BJZ11" s="75"/>
      <c r="BKA11" s="75"/>
      <c r="BKB11" s="75"/>
      <c r="BKC11" s="75"/>
      <c r="BKD11" s="75"/>
      <c r="BKE11" s="75"/>
      <c r="BKF11" s="75"/>
      <c r="BKG11" s="75"/>
      <c r="BKH11" s="75"/>
      <c r="BKI11" s="75"/>
      <c r="BKJ11" s="75"/>
      <c r="BKK11" s="75"/>
      <c r="BKL11" s="75"/>
      <c r="BKM11" s="75"/>
      <c r="BKN11" s="75"/>
      <c r="BKO11" s="75"/>
      <c r="BKP11" s="75"/>
      <c r="BKQ11" s="75"/>
      <c r="BKR11" s="75"/>
      <c r="BKS11" s="75"/>
      <c r="BKT11" s="75"/>
      <c r="BKU11" s="75"/>
      <c r="BKV11" s="75"/>
      <c r="BKW11" s="75"/>
      <c r="BKX11" s="75"/>
      <c r="BKY11" s="75"/>
      <c r="BKZ11" s="75"/>
      <c r="BLA11" s="75"/>
      <c r="BLB11" s="75"/>
      <c r="BLC11" s="75"/>
      <c r="BLD11" s="75"/>
      <c r="BLE11" s="75"/>
      <c r="BLF11" s="75"/>
      <c r="BLG11" s="75"/>
      <c r="BLH11" s="75"/>
      <c r="BLI11" s="75"/>
      <c r="BLJ11" s="75"/>
      <c r="BLK11" s="75"/>
      <c r="BLL11" s="75"/>
      <c r="BLM11" s="75"/>
      <c r="BLN11" s="75"/>
      <c r="BLO11" s="75"/>
      <c r="BLP11" s="75"/>
      <c r="BLQ11" s="75"/>
      <c r="BLR11" s="75"/>
      <c r="BLS11" s="75"/>
      <c r="BLT11" s="75"/>
      <c r="BLU11" s="75"/>
      <c r="BLV11" s="75"/>
      <c r="BLW11" s="75"/>
      <c r="BLX11" s="75"/>
      <c r="BLY11" s="75"/>
      <c r="BLZ11" s="75"/>
      <c r="BMA11" s="75"/>
      <c r="BMB11" s="75"/>
      <c r="BMC11" s="75"/>
      <c r="BMD11" s="75"/>
      <c r="BME11" s="75"/>
      <c r="BMF11" s="75"/>
      <c r="BMG11" s="75"/>
      <c r="BMH11" s="75"/>
      <c r="BMI11" s="75"/>
      <c r="BMJ11" s="75"/>
      <c r="BMK11" s="75"/>
      <c r="BML11" s="75"/>
      <c r="BMM11" s="75"/>
      <c r="BMN11" s="75"/>
      <c r="BMO11" s="75"/>
      <c r="BMP11" s="75"/>
      <c r="BMQ11" s="75"/>
      <c r="BMR11" s="75"/>
      <c r="BMS11" s="75"/>
      <c r="BMT11" s="75"/>
      <c r="BMU11" s="75"/>
      <c r="BMV11" s="75"/>
      <c r="BMW11" s="75"/>
      <c r="BMX11" s="75"/>
      <c r="BMY11" s="75"/>
      <c r="BMZ11" s="75"/>
      <c r="BNA11" s="75"/>
      <c r="BNB11" s="75"/>
      <c r="BNC11" s="75"/>
      <c r="BND11" s="75"/>
      <c r="BNE11" s="75"/>
      <c r="BNF11" s="75"/>
      <c r="BNG11" s="75"/>
      <c r="BNH11" s="75"/>
      <c r="BNI11" s="75"/>
      <c r="BNJ11" s="75"/>
      <c r="BNK11" s="75"/>
      <c r="BNL11" s="75"/>
      <c r="BNM11" s="75"/>
      <c r="BNN11" s="75"/>
      <c r="BNO11" s="75"/>
      <c r="BNP11" s="75"/>
      <c r="BNQ11" s="75"/>
      <c r="BNR11" s="75"/>
      <c r="BNS11" s="75"/>
      <c r="BNT11" s="75"/>
      <c r="BNU11" s="75"/>
      <c r="BNV11" s="75"/>
      <c r="BNW11" s="75"/>
      <c r="BNX11" s="75"/>
      <c r="BNY11" s="75"/>
      <c r="BNZ11" s="75"/>
      <c r="BOA11" s="75"/>
      <c r="BOB11" s="75"/>
      <c r="BOC11" s="75"/>
      <c r="BOD11" s="75"/>
      <c r="BOE11" s="75"/>
      <c r="BOF11" s="75"/>
      <c r="BOG11" s="75"/>
      <c r="BOH11" s="75"/>
      <c r="BOI11" s="75"/>
      <c r="BOJ11" s="75"/>
      <c r="BOK11" s="75"/>
      <c r="BOL11" s="75"/>
      <c r="BOM11" s="75"/>
      <c r="BON11" s="75"/>
      <c r="BOO11" s="75"/>
      <c r="BOP11" s="75"/>
      <c r="BOQ11" s="75"/>
      <c r="BOR11" s="75"/>
      <c r="BOS11" s="75"/>
      <c r="BOT11" s="75"/>
      <c r="BOU11" s="75"/>
      <c r="BOV11" s="75"/>
      <c r="BOW11" s="75"/>
      <c r="BOX11" s="75"/>
      <c r="BOY11" s="75"/>
      <c r="BOZ11" s="75"/>
      <c r="BPA11" s="75"/>
      <c r="BPB11" s="75"/>
      <c r="BPC11" s="75"/>
      <c r="BPD11" s="75"/>
      <c r="BPE11" s="75"/>
      <c r="BPF11" s="75"/>
      <c r="BPG11" s="75"/>
      <c r="BPH11" s="75"/>
      <c r="BPI11" s="75"/>
      <c r="BPJ11" s="75"/>
      <c r="BPK11" s="75"/>
      <c r="BPL11" s="75"/>
      <c r="BPM11" s="75"/>
      <c r="BPN11" s="75"/>
      <c r="BPO11" s="75"/>
      <c r="BPP11" s="75"/>
      <c r="BPQ11" s="75"/>
      <c r="BPR11" s="75"/>
      <c r="BPS11" s="75"/>
      <c r="BPT11" s="75"/>
      <c r="BPU11" s="75"/>
      <c r="BPV11" s="75"/>
      <c r="BPW11" s="75"/>
      <c r="BPX11" s="75"/>
      <c r="BPY11" s="75"/>
      <c r="BPZ11" s="75"/>
      <c r="BQA11" s="75"/>
      <c r="BQB11" s="75"/>
      <c r="BQC11" s="75"/>
      <c r="BQD11" s="75"/>
      <c r="BQE11" s="75"/>
      <c r="BQF11" s="75"/>
      <c r="BQG11" s="75"/>
      <c r="BQH11" s="75"/>
      <c r="BQI11" s="75"/>
      <c r="BQJ11" s="75"/>
      <c r="BQK11" s="75"/>
      <c r="BQL11" s="75"/>
      <c r="BQM11" s="75"/>
      <c r="BQN11" s="75"/>
      <c r="BQO11" s="75"/>
      <c r="BQP11" s="75"/>
      <c r="BQQ11" s="75"/>
      <c r="BQR11" s="75"/>
      <c r="BQS11" s="75"/>
      <c r="BQT11" s="75"/>
      <c r="BQU11" s="75"/>
      <c r="BQV11" s="75"/>
      <c r="BQW11" s="75"/>
      <c r="BQX11" s="75"/>
      <c r="BQY11" s="75"/>
      <c r="BQZ11" s="75"/>
      <c r="BRA11" s="75"/>
      <c r="BRB11" s="75"/>
      <c r="BRC11" s="75"/>
      <c r="BRD11" s="75"/>
      <c r="BRE11" s="75"/>
      <c r="BRF11" s="75"/>
      <c r="BRG11" s="75"/>
      <c r="BRH11" s="75"/>
      <c r="BRI11" s="75"/>
      <c r="BRJ11" s="75"/>
      <c r="BRK11" s="75"/>
      <c r="BRL11" s="75"/>
      <c r="BRM11" s="75"/>
      <c r="BRN11" s="75"/>
      <c r="BRO11" s="75"/>
      <c r="BRP11" s="75"/>
      <c r="BRQ11" s="75"/>
      <c r="BRR11" s="75"/>
      <c r="BRS11" s="75"/>
      <c r="BRT11" s="75"/>
      <c r="BRU11" s="75"/>
      <c r="BRV11" s="75"/>
      <c r="BRW11" s="75"/>
      <c r="BRX11" s="75"/>
      <c r="BRY11" s="75"/>
      <c r="BRZ11" s="75"/>
      <c r="BSA11" s="75"/>
      <c r="BSB11" s="75"/>
      <c r="BSC11" s="75"/>
      <c r="BSD11" s="75"/>
      <c r="BSE11" s="75"/>
      <c r="BSF11" s="75"/>
      <c r="BSG11" s="75"/>
      <c r="BSH11" s="75"/>
      <c r="BSI11" s="75"/>
      <c r="BSJ11" s="75"/>
      <c r="BSK11" s="75"/>
      <c r="BSL11" s="75"/>
      <c r="BSM11" s="75"/>
      <c r="BSN11" s="75"/>
      <c r="BSO11" s="75"/>
      <c r="BSP11" s="75"/>
      <c r="BSQ11" s="75"/>
      <c r="BSR11" s="75"/>
      <c r="BSS11" s="75"/>
      <c r="BST11" s="75"/>
      <c r="BSU11" s="75"/>
      <c r="BSV11" s="75"/>
      <c r="BSW11" s="75"/>
      <c r="BSX11" s="75"/>
      <c r="BSY11" s="75"/>
      <c r="BSZ11" s="75"/>
      <c r="BTA11" s="75"/>
      <c r="BTB11" s="75"/>
      <c r="BTC11" s="75"/>
      <c r="BTD11" s="75"/>
      <c r="BTE11" s="75"/>
      <c r="BTF11" s="75"/>
      <c r="BTG11" s="75"/>
      <c r="BTH11" s="75"/>
      <c r="BTI11" s="75"/>
      <c r="BTJ11" s="75"/>
      <c r="BTK11" s="75"/>
      <c r="BTL11" s="75"/>
      <c r="BTM11" s="75"/>
      <c r="BTN11" s="75"/>
      <c r="BTO11" s="75"/>
      <c r="BTP11" s="75"/>
      <c r="BTQ11" s="75"/>
      <c r="BTR11" s="75"/>
      <c r="BTS11" s="75"/>
      <c r="BTT11" s="75"/>
      <c r="BTU11" s="75"/>
      <c r="BTV11" s="75"/>
      <c r="BTW11" s="75"/>
      <c r="BTX11" s="75"/>
      <c r="BTY11" s="75"/>
      <c r="BTZ11" s="75"/>
      <c r="BUA11" s="75"/>
      <c r="BUB11" s="75"/>
      <c r="BUC11" s="75"/>
      <c r="BUD11" s="75"/>
      <c r="BUE11" s="75"/>
      <c r="BUF11" s="75"/>
      <c r="BUG11" s="75"/>
      <c r="BUH11" s="75"/>
      <c r="BUI11" s="75"/>
      <c r="BUJ11" s="75"/>
      <c r="BUK11" s="75"/>
      <c r="BUL11" s="75"/>
      <c r="BUM11" s="75"/>
      <c r="BUN11" s="75"/>
      <c r="BUO11" s="75"/>
      <c r="BUP11" s="75"/>
      <c r="BUQ11" s="75"/>
      <c r="BUR11" s="75"/>
      <c r="BUS11" s="75"/>
      <c r="BUT11" s="75"/>
      <c r="BUU11" s="75"/>
      <c r="BUV11" s="75"/>
      <c r="BUW11" s="75"/>
      <c r="BUX11" s="75"/>
      <c r="BUY11" s="75"/>
      <c r="BUZ11" s="75"/>
      <c r="BVA11" s="75"/>
      <c r="BVB11" s="75"/>
      <c r="BVC11" s="75"/>
      <c r="BVD11" s="75"/>
      <c r="BVE11" s="75"/>
      <c r="BVF11" s="75"/>
      <c r="BVG11" s="75"/>
      <c r="BVH11" s="75"/>
      <c r="BVI11" s="75"/>
      <c r="BVJ11" s="75"/>
      <c r="BVK11" s="75"/>
      <c r="BVL11" s="75"/>
      <c r="BVM11" s="75"/>
      <c r="BVN11" s="75"/>
      <c r="BVO11" s="75"/>
      <c r="BVP11" s="75"/>
      <c r="BVQ11" s="75"/>
      <c r="BVR11" s="75"/>
      <c r="BVS11" s="75"/>
      <c r="BVT11" s="75"/>
      <c r="BVU11" s="75"/>
      <c r="BVV11" s="75"/>
      <c r="BVW11" s="75"/>
      <c r="BVX11" s="75"/>
      <c r="BVY11" s="75"/>
      <c r="BVZ11" s="75"/>
      <c r="BWA11" s="75"/>
      <c r="BWB11" s="75"/>
      <c r="BWC11" s="75"/>
      <c r="BWD11" s="75"/>
      <c r="BWE11" s="75"/>
      <c r="BWF11" s="75"/>
      <c r="BWG11" s="75"/>
      <c r="BWH11" s="75"/>
      <c r="BWI11" s="75"/>
      <c r="BWJ11" s="75"/>
      <c r="BWK11" s="75"/>
      <c r="BWL11" s="75"/>
      <c r="BWM11" s="75"/>
      <c r="BWN11" s="75"/>
      <c r="BWO11" s="75"/>
      <c r="BWP11" s="75"/>
      <c r="BWQ11" s="75"/>
      <c r="BWR11" s="75"/>
      <c r="BWS11" s="75"/>
      <c r="BWT11" s="75"/>
      <c r="BWU11" s="75"/>
      <c r="BWV11" s="75"/>
      <c r="BWW11" s="75"/>
      <c r="BWX11" s="75"/>
      <c r="BWY11" s="75"/>
      <c r="BWZ11" s="75"/>
      <c r="BXA11" s="75"/>
      <c r="BXB11" s="75"/>
      <c r="BXC11" s="75"/>
      <c r="BXD11" s="75"/>
      <c r="BXE11" s="75"/>
      <c r="BXF11" s="75"/>
      <c r="BXG11" s="75"/>
      <c r="BXH11" s="75"/>
      <c r="BXI11" s="75"/>
      <c r="BXJ11" s="75"/>
      <c r="BXK11" s="75"/>
      <c r="BXL11" s="75"/>
      <c r="BXM11" s="75"/>
      <c r="BXN11" s="75"/>
      <c r="BXO11" s="75"/>
      <c r="BXP11" s="75"/>
      <c r="BXQ11" s="75"/>
      <c r="BXR11" s="75"/>
      <c r="BXS11" s="75"/>
      <c r="BXT11" s="75"/>
      <c r="BXU11" s="75"/>
      <c r="BXV11" s="75"/>
      <c r="BXW11" s="75"/>
      <c r="BXX11" s="75"/>
      <c r="BXY11" s="75"/>
      <c r="BXZ11" s="75"/>
      <c r="BYA11" s="75"/>
      <c r="BYB11" s="75"/>
      <c r="BYC11" s="75"/>
      <c r="BYD11" s="75"/>
      <c r="BYE11" s="75"/>
      <c r="BYF11" s="75"/>
      <c r="BYG11" s="75"/>
      <c r="BYH11" s="75"/>
      <c r="BYI11" s="75"/>
      <c r="BYJ11" s="75"/>
      <c r="BYK11" s="75"/>
      <c r="BYL11" s="75"/>
      <c r="BYM11" s="75"/>
      <c r="BYN11" s="75"/>
      <c r="BYO11" s="75"/>
      <c r="BYP11" s="75"/>
      <c r="BYQ11" s="75"/>
      <c r="BYR11" s="75"/>
      <c r="BYS11" s="75"/>
      <c r="BYT11" s="75"/>
      <c r="BYU11" s="75"/>
      <c r="BYV11" s="75"/>
      <c r="BYW11" s="75"/>
      <c r="BYX11" s="75"/>
      <c r="BYY11" s="75"/>
      <c r="BYZ11" s="75"/>
      <c r="BZA11" s="75"/>
      <c r="BZB11" s="75"/>
      <c r="BZC11" s="75"/>
      <c r="BZD11" s="75"/>
      <c r="BZE11" s="75"/>
      <c r="BZF11" s="75"/>
      <c r="BZG11" s="75"/>
      <c r="BZH11" s="75"/>
      <c r="BZI11" s="75"/>
      <c r="BZJ11" s="75"/>
      <c r="BZK11" s="75"/>
      <c r="BZL11" s="75"/>
      <c r="BZM11" s="75"/>
      <c r="BZN11" s="75"/>
      <c r="BZO11" s="75"/>
      <c r="BZP11" s="75"/>
      <c r="BZQ11" s="75"/>
      <c r="BZR11" s="75"/>
      <c r="BZS11" s="75"/>
      <c r="BZT11" s="75"/>
      <c r="BZU11" s="75"/>
      <c r="BZV11" s="75"/>
      <c r="BZW11" s="75"/>
      <c r="BZX11" s="75"/>
      <c r="BZY11" s="75"/>
      <c r="BZZ11" s="75"/>
      <c r="CAA11" s="75"/>
      <c r="CAB11" s="75"/>
      <c r="CAC11" s="75"/>
      <c r="CAD11" s="75"/>
      <c r="CAE11" s="75"/>
      <c r="CAF11" s="75"/>
      <c r="CAG11" s="75"/>
      <c r="CAH11" s="75"/>
      <c r="CAI11" s="75"/>
      <c r="CAJ11" s="75"/>
      <c r="CAK11" s="75"/>
      <c r="CAL11" s="75"/>
      <c r="CAM11" s="75"/>
      <c r="CAN11" s="75"/>
      <c r="CAO11" s="75"/>
      <c r="CAP11" s="75"/>
      <c r="CAQ11" s="75"/>
      <c r="CAR11" s="75"/>
      <c r="CAS11" s="75"/>
      <c r="CAT11" s="75"/>
      <c r="CAU11" s="75"/>
      <c r="CAV11" s="75"/>
      <c r="CAW11" s="75"/>
      <c r="CAX11" s="75"/>
      <c r="CAY11" s="75"/>
      <c r="CAZ11" s="75"/>
      <c r="CBA11" s="75"/>
      <c r="CBB11" s="75"/>
      <c r="CBC11" s="75"/>
      <c r="CBD11" s="75"/>
      <c r="CBE11" s="75"/>
      <c r="CBF11" s="75"/>
      <c r="CBG11" s="75"/>
      <c r="CBH11" s="75"/>
      <c r="CBI11" s="75"/>
      <c r="CBJ11" s="75"/>
      <c r="CBK11" s="75"/>
      <c r="CBL11" s="75"/>
      <c r="CBM11" s="75"/>
      <c r="CBN11" s="75"/>
      <c r="CBO11" s="75"/>
      <c r="CBP11" s="75"/>
      <c r="CBQ11" s="75"/>
      <c r="CBR11" s="75"/>
      <c r="CBS11" s="75"/>
      <c r="CBT11" s="75"/>
      <c r="CBU11" s="75"/>
      <c r="CBV11" s="75"/>
      <c r="CBW11" s="75"/>
      <c r="CBX11" s="75"/>
      <c r="CBY11" s="75"/>
      <c r="CBZ11" s="75"/>
      <c r="CCA11" s="75"/>
      <c r="CCB11" s="75"/>
      <c r="CCC11" s="75"/>
      <c r="CCD11" s="75"/>
      <c r="CCE11" s="75"/>
      <c r="CCF11" s="75"/>
      <c r="CCG11" s="75"/>
      <c r="CCH11" s="75"/>
      <c r="CCI11" s="75"/>
      <c r="CCJ11" s="75"/>
      <c r="CCK11" s="75"/>
      <c r="CCL11" s="75"/>
      <c r="CCM11" s="75"/>
      <c r="CCN11" s="75"/>
      <c r="CCO11" s="75"/>
      <c r="CCP11" s="75"/>
      <c r="CCQ11" s="75"/>
      <c r="CCR11" s="75"/>
      <c r="CCS11" s="75"/>
      <c r="CCT11" s="75"/>
      <c r="CCU11" s="75"/>
      <c r="CCV11" s="75"/>
      <c r="CCW11" s="75"/>
      <c r="CCX11" s="75"/>
      <c r="CCY11" s="75"/>
      <c r="CCZ11" s="75"/>
      <c r="CDA11" s="75"/>
      <c r="CDB11" s="75"/>
      <c r="CDC11" s="75"/>
      <c r="CDD11" s="75"/>
      <c r="CDE11" s="75"/>
      <c r="CDF11" s="75"/>
      <c r="CDG11" s="75"/>
      <c r="CDH11" s="75"/>
      <c r="CDI11" s="75"/>
      <c r="CDJ11" s="75"/>
      <c r="CDK11" s="75"/>
      <c r="CDL11" s="75"/>
      <c r="CDM11" s="75"/>
      <c r="CDN11" s="75"/>
      <c r="CDO11" s="75"/>
      <c r="CDP11" s="75"/>
      <c r="CDQ11" s="75"/>
      <c r="CDR11" s="75"/>
      <c r="CDS11" s="75"/>
      <c r="CDT11" s="75"/>
      <c r="CDU11" s="75"/>
      <c r="CDV11" s="75"/>
      <c r="CDW11" s="75"/>
      <c r="CDX11" s="75"/>
      <c r="CDY11" s="75"/>
      <c r="CDZ11" s="75"/>
      <c r="CEA11" s="75"/>
      <c r="CEB11" s="75"/>
      <c r="CEC11" s="75"/>
      <c r="CED11" s="75"/>
      <c r="CEE11" s="75"/>
      <c r="CEF11" s="75"/>
      <c r="CEG11" s="75"/>
      <c r="CEH11" s="75"/>
      <c r="CEI11" s="75"/>
      <c r="CEJ11" s="75"/>
      <c r="CEK11" s="75"/>
      <c r="CEL11" s="75"/>
      <c r="CEM11" s="75"/>
      <c r="CEN11" s="75"/>
      <c r="CEO11" s="75"/>
      <c r="CEP11" s="75"/>
      <c r="CEQ11" s="75"/>
      <c r="CER11" s="75"/>
      <c r="CES11" s="75"/>
      <c r="CET11" s="75"/>
      <c r="CEU11" s="75"/>
      <c r="CEV11" s="75"/>
      <c r="CEW11" s="75"/>
      <c r="CEX11" s="75"/>
      <c r="CEY11" s="75"/>
      <c r="CEZ11" s="75"/>
      <c r="CFA11" s="75"/>
      <c r="CFB11" s="75"/>
      <c r="CFC11" s="75"/>
      <c r="CFD11" s="75"/>
      <c r="CFE11" s="75"/>
      <c r="CFF11" s="75"/>
      <c r="CFG11" s="75"/>
      <c r="CFH11" s="75"/>
      <c r="CFI11" s="75"/>
      <c r="CFJ11" s="75"/>
      <c r="CFK11" s="75"/>
      <c r="CFL11" s="75"/>
      <c r="CFM11" s="75"/>
      <c r="CFN11" s="75"/>
      <c r="CFO11" s="75"/>
      <c r="CFP11" s="75"/>
      <c r="CFQ11" s="75"/>
      <c r="CFR11" s="75"/>
      <c r="CFS11" s="75"/>
      <c r="CFT11" s="75"/>
      <c r="CFU11" s="75"/>
      <c r="CFV11" s="75"/>
      <c r="CFW11" s="75"/>
      <c r="CFX11" s="75"/>
      <c r="CFY11" s="75"/>
      <c r="CFZ11" s="75"/>
      <c r="CGA11" s="75"/>
      <c r="CGB11" s="75"/>
      <c r="CGC11" s="75"/>
      <c r="CGD11" s="75"/>
      <c r="CGE11" s="75"/>
      <c r="CGF11" s="75"/>
      <c r="CGG11" s="75"/>
      <c r="CGH11" s="75"/>
      <c r="CGI11" s="75"/>
      <c r="CGJ11" s="75"/>
      <c r="CGK11" s="75"/>
      <c r="CGL11" s="75"/>
      <c r="CGM11" s="75"/>
      <c r="CGN11" s="75"/>
      <c r="CGO11" s="75"/>
      <c r="CGP11" s="75"/>
      <c r="CGQ11" s="75"/>
      <c r="CGR11" s="75"/>
      <c r="CGS11" s="75"/>
      <c r="CGT11" s="75"/>
      <c r="CGU11" s="75"/>
      <c r="CGV11" s="75"/>
      <c r="CGW11" s="75"/>
      <c r="CGX11" s="75"/>
      <c r="CGY11" s="75"/>
      <c r="CGZ11" s="75"/>
      <c r="CHA11" s="75"/>
      <c r="CHB11" s="75"/>
      <c r="CHC11" s="75"/>
      <c r="CHD11" s="75"/>
      <c r="CHE11" s="75"/>
      <c r="CHF11" s="75"/>
      <c r="CHG11" s="75"/>
      <c r="CHH11" s="75"/>
      <c r="CHI11" s="75"/>
      <c r="CHJ11" s="75"/>
      <c r="CHK11" s="75"/>
      <c r="CHL11" s="75"/>
      <c r="CHM11" s="75"/>
      <c r="CHN11" s="75"/>
      <c r="CHO11" s="75"/>
      <c r="CHP11" s="75"/>
      <c r="CHQ11" s="75"/>
      <c r="CHR11" s="75"/>
      <c r="CHS11" s="75"/>
      <c r="CHT11" s="75"/>
      <c r="CHU11" s="75"/>
      <c r="CHV11" s="75"/>
      <c r="CHW11" s="75"/>
      <c r="CHX11" s="75"/>
      <c r="CHY11" s="75"/>
      <c r="CHZ11" s="75"/>
      <c r="CIA11" s="75"/>
      <c r="CIB11" s="75"/>
      <c r="CIC11" s="75"/>
      <c r="CID11" s="75"/>
      <c r="CIE11" s="75"/>
      <c r="CIF11" s="75"/>
      <c r="CIG11" s="75"/>
      <c r="CIH11" s="75"/>
      <c r="CII11" s="75"/>
      <c r="CIJ11" s="75"/>
      <c r="CIK11" s="75"/>
      <c r="CIL11" s="75"/>
      <c r="CIM11" s="75"/>
      <c r="CIN11" s="75"/>
      <c r="CIO11" s="75"/>
      <c r="CIP11" s="75"/>
      <c r="CIQ11" s="75"/>
      <c r="CIR11" s="75"/>
      <c r="CIS11" s="75"/>
      <c r="CIT11" s="75"/>
      <c r="CIU11" s="75"/>
      <c r="CIV11" s="75"/>
      <c r="CIW11" s="75"/>
      <c r="CIX11" s="75"/>
      <c r="CIY11" s="75"/>
      <c r="CIZ11" s="75"/>
      <c r="CJA11" s="75"/>
      <c r="CJB11" s="75"/>
      <c r="CJC11" s="75"/>
      <c r="CJD11" s="75"/>
      <c r="CJE11" s="75"/>
      <c r="CJF11" s="75"/>
      <c r="CJG11" s="75"/>
      <c r="CJH11" s="75"/>
      <c r="CJI11" s="75"/>
      <c r="CJJ11" s="75"/>
      <c r="CJK11" s="75"/>
      <c r="CJL11" s="75"/>
      <c r="CJM11" s="75"/>
      <c r="CJN11" s="75"/>
      <c r="CJO11" s="75"/>
      <c r="CJP11" s="75"/>
      <c r="CJQ11" s="75"/>
      <c r="CJR11" s="75"/>
      <c r="CJS11" s="75"/>
      <c r="CJT11" s="75"/>
      <c r="CJU11" s="75"/>
      <c r="CJV11" s="75"/>
      <c r="CJW11" s="75"/>
      <c r="CJX11" s="75"/>
      <c r="CJY11" s="75"/>
      <c r="CJZ11" s="75"/>
      <c r="CKA11" s="75"/>
      <c r="CKB11" s="75"/>
      <c r="CKC11" s="75"/>
      <c r="CKD11" s="75"/>
      <c r="CKE11" s="75"/>
      <c r="CKF11" s="75"/>
      <c r="CKG11" s="75"/>
      <c r="CKH11" s="75"/>
      <c r="CKI11" s="75"/>
      <c r="CKJ11" s="75"/>
      <c r="CKK11" s="75"/>
      <c r="CKL11" s="75"/>
      <c r="CKM11" s="75"/>
      <c r="CKN11" s="75"/>
      <c r="CKO11" s="75"/>
      <c r="CKP11" s="75"/>
      <c r="CKQ11" s="75"/>
      <c r="CKR11" s="75"/>
      <c r="CKS11" s="75"/>
      <c r="CKT11" s="75"/>
      <c r="CKU11" s="75"/>
      <c r="CKV11" s="75"/>
      <c r="CKW11" s="75"/>
      <c r="CKX11" s="75"/>
      <c r="CKY11" s="75"/>
      <c r="CKZ11" s="75"/>
      <c r="CLA11" s="75"/>
      <c r="CLB11" s="75"/>
      <c r="CLC11" s="75"/>
      <c r="CLD11" s="75"/>
      <c r="CLE11" s="75"/>
      <c r="CLF11" s="75"/>
      <c r="CLG11" s="75"/>
      <c r="CLH11" s="75"/>
      <c r="CLI11" s="75"/>
      <c r="CLJ11" s="75"/>
      <c r="CLK11" s="75"/>
      <c r="CLL11" s="75"/>
      <c r="CLM11" s="75"/>
      <c r="CLN11" s="75"/>
      <c r="CLO11" s="75"/>
      <c r="CLP11" s="75"/>
      <c r="CLQ11" s="75"/>
      <c r="CLR11" s="75"/>
      <c r="CLS11" s="75"/>
      <c r="CLT11" s="75"/>
      <c r="CLU11" s="75"/>
      <c r="CLV11" s="75"/>
      <c r="CLW11" s="75"/>
      <c r="CLX11" s="75"/>
      <c r="CLY11" s="75"/>
      <c r="CLZ11" s="75"/>
      <c r="CMA11" s="75"/>
      <c r="CMB11" s="75"/>
      <c r="CMC11" s="75"/>
      <c r="CMD11" s="75"/>
      <c r="CME11" s="75"/>
      <c r="CMF11" s="75"/>
      <c r="CMG11" s="75"/>
      <c r="CMH11" s="75"/>
      <c r="CMI11" s="75"/>
      <c r="CMJ11" s="75"/>
      <c r="CMK11" s="75"/>
      <c r="CML11" s="75"/>
      <c r="CMM11" s="75"/>
      <c r="CMN11" s="75"/>
      <c r="CMO11" s="75"/>
      <c r="CMP11" s="75"/>
      <c r="CMQ11" s="75"/>
      <c r="CMR11" s="75"/>
      <c r="CMS11" s="75"/>
      <c r="CMT11" s="75"/>
      <c r="CMU11" s="75"/>
      <c r="CMV11" s="75"/>
      <c r="CMW11" s="75"/>
      <c r="CMX11" s="75"/>
      <c r="CMY11" s="75"/>
      <c r="CMZ11" s="75"/>
      <c r="CNA11" s="75"/>
      <c r="CNB11" s="75"/>
      <c r="CNC11" s="75"/>
      <c r="CND11" s="75"/>
      <c r="CNE11" s="75"/>
      <c r="CNF11" s="75"/>
      <c r="CNG11" s="75"/>
      <c r="CNH11" s="75"/>
      <c r="CNI11" s="75"/>
      <c r="CNJ11" s="75"/>
      <c r="CNK11" s="75"/>
      <c r="CNL11" s="75"/>
      <c r="CNM11" s="75"/>
      <c r="CNN11" s="75"/>
      <c r="CNO11" s="75"/>
      <c r="CNP11" s="75"/>
      <c r="CNQ11" s="75"/>
      <c r="CNR11" s="75"/>
      <c r="CNS11" s="75"/>
      <c r="CNT11" s="75"/>
      <c r="CNU11" s="75"/>
      <c r="CNV11" s="75"/>
      <c r="CNW11" s="75"/>
      <c r="CNX11" s="75"/>
      <c r="CNY11" s="75"/>
      <c r="CNZ11" s="75"/>
      <c r="COA11" s="75"/>
      <c r="COB11" s="75"/>
      <c r="COC11" s="75"/>
      <c r="COD11" s="75"/>
      <c r="COE11" s="75"/>
      <c r="COF11" s="75"/>
      <c r="COG11" s="75"/>
      <c r="COH11" s="75"/>
      <c r="COI11" s="75"/>
      <c r="COJ11" s="75"/>
      <c r="COK11" s="75"/>
      <c r="COL11" s="75"/>
      <c r="COM11" s="75"/>
      <c r="CON11" s="75"/>
      <c r="COO11" s="75"/>
      <c r="COP11" s="75"/>
      <c r="COQ11" s="75"/>
      <c r="COR11" s="75"/>
      <c r="COS11" s="75"/>
      <c r="COT11" s="75"/>
      <c r="COU11" s="75"/>
      <c r="COV11" s="75"/>
      <c r="COW11" s="75"/>
      <c r="COX11" s="75"/>
      <c r="COY11" s="75"/>
      <c r="COZ11" s="75"/>
      <c r="CPA11" s="75"/>
      <c r="CPB11" s="75"/>
      <c r="CPC11" s="75"/>
      <c r="CPD11" s="75"/>
      <c r="CPE11" s="75"/>
      <c r="CPF11" s="75"/>
      <c r="CPG11" s="75"/>
      <c r="CPH11" s="75"/>
      <c r="CPI11" s="75"/>
      <c r="CPJ11" s="75"/>
      <c r="CPK11" s="75"/>
      <c r="CPL11" s="75"/>
      <c r="CPM11" s="75"/>
      <c r="CPN11" s="75"/>
      <c r="CPO11" s="75"/>
      <c r="CPP11" s="75"/>
      <c r="CPQ11" s="75"/>
      <c r="CPR11" s="75"/>
      <c r="CPS11" s="75"/>
      <c r="CPT11" s="75"/>
      <c r="CPU11" s="75"/>
      <c r="CPV11" s="75"/>
      <c r="CPW11" s="75"/>
      <c r="CPX11" s="75"/>
      <c r="CPY11" s="75"/>
      <c r="CPZ11" s="75"/>
      <c r="CQA11" s="75"/>
      <c r="CQB11" s="75"/>
      <c r="CQC11" s="75"/>
      <c r="CQD11" s="75"/>
      <c r="CQE11" s="75"/>
      <c r="CQF11" s="75"/>
      <c r="CQG11" s="75"/>
      <c r="CQH11" s="75"/>
      <c r="CQI11" s="75"/>
      <c r="CQJ11" s="75"/>
      <c r="CQK11" s="75"/>
      <c r="CQL11" s="75"/>
      <c r="CQM11" s="75"/>
      <c r="CQN11" s="75"/>
      <c r="CQO11" s="75"/>
      <c r="CQP11" s="75"/>
      <c r="CQQ11" s="75"/>
      <c r="CQR11" s="75"/>
      <c r="CQS11" s="75"/>
      <c r="CQT11" s="75"/>
      <c r="CQU11" s="75"/>
      <c r="CQV11" s="75"/>
      <c r="CQW11" s="75"/>
      <c r="CQX11" s="75"/>
      <c r="CQY11" s="75"/>
      <c r="CQZ11" s="75"/>
      <c r="CRA11" s="75"/>
      <c r="CRB11" s="75"/>
      <c r="CRC11" s="75"/>
      <c r="CRD11" s="75"/>
      <c r="CRE11" s="75"/>
      <c r="CRF11" s="75"/>
      <c r="CRG11" s="75"/>
      <c r="CRH11" s="75"/>
      <c r="CRI11" s="75"/>
      <c r="CRJ11" s="75"/>
      <c r="CRK11" s="75"/>
      <c r="CRL11" s="75"/>
      <c r="CRM11" s="75"/>
      <c r="CRN11" s="75"/>
      <c r="CRO11" s="75"/>
      <c r="CRP11" s="75"/>
      <c r="CRQ11" s="75"/>
      <c r="CRR11" s="75"/>
      <c r="CRS11" s="75"/>
      <c r="CRT11" s="75"/>
      <c r="CRU11" s="75"/>
      <c r="CRV11" s="75"/>
      <c r="CRW11" s="75"/>
      <c r="CRX11" s="75"/>
      <c r="CRY11" s="75"/>
      <c r="CRZ11" s="75"/>
      <c r="CSA11" s="75"/>
      <c r="CSB11" s="75"/>
      <c r="CSC11" s="75"/>
      <c r="CSD11" s="75"/>
      <c r="CSE11" s="75"/>
      <c r="CSF11" s="75"/>
      <c r="CSG11" s="75"/>
      <c r="CSH11" s="75"/>
      <c r="CSI11" s="75"/>
      <c r="CSJ11" s="75"/>
      <c r="CSK11" s="75"/>
      <c r="CSL11" s="75"/>
      <c r="CSM11" s="75"/>
      <c r="CSN11" s="75"/>
      <c r="CSO11" s="75"/>
      <c r="CSP11" s="75"/>
      <c r="CSQ11" s="75"/>
      <c r="CSR11" s="75"/>
      <c r="CSS11" s="75"/>
      <c r="CST11" s="75"/>
      <c r="CSU11" s="75"/>
      <c r="CSV11" s="75"/>
      <c r="CSW11" s="75"/>
      <c r="CSX11" s="75"/>
      <c r="CSY11" s="75"/>
      <c r="CSZ11" s="75"/>
      <c r="CTA11" s="75"/>
      <c r="CTB11" s="75"/>
      <c r="CTC11" s="75"/>
      <c r="CTD11" s="75"/>
      <c r="CTE11" s="75"/>
      <c r="CTF11" s="75"/>
      <c r="CTG11" s="75"/>
      <c r="CTH11" s="75"/>
      <c r="CTI11" s="75"/>
      <c r="CTJ11" s="75"/>
      <c r="CTK11" s="75"/>
      <c r="CTL11" s="75"/>
      <c r="CTM11" s="75"/>
      <c r="CTN11" s="75"/>
      <c r="CTO11" s="75"/>
      <c r="CTP11" s="75"/>
      <c r="CTQ11" s="75"/>
      <c r="CTR11" s="75"/>
      <c r="CTS11" s="75"/>
      <c r="CTT11" s="75"/>
      <c r="CTU11" s="75"/>
      <c r="CTV11" s="75"/>
      <c r="CTW11" s="75"/>
      <c r="CTX11" s="75"/>
      <c r="CTY11" s="75"/>
      <c r="CTZ11" s="75"/>
      <c r="CUA11" s="75"/>
      <c r="CUB11" s="75"/>
      <c r="CUC11" s="75"/>
      <c r="CUD11" s="75"/>
      <c r="CUE11" s="75"/>
      <c r="CUF11" s="75"/>
      <c r="CUG11" s="75"/>
      <c r="CUH11" s="75"/>
      <c r="CUI11" s="75"/>
      <c r="CUJ11" s="75"/>
      <c r="CUK11" s="75"/>
      <c r="CUL11" s="75"/>
      <c r="CUM11" s="75"/>
      <c r="CUN11" s="75"/>
      <c r="CUO11" s="75"/>
      <c r="CUP11" s="75"/>
      <c r="CUQ11" s="75"/>
      <c r="CUR11" s="75"/>
      <c r="CUS11" s="75"/>
      <c r="CUT11" s="75"/>
      <c r="CUU11" s="75"/>
      <c r="CUV11" s="75"/>
      <c r="CUW11" s="75"/>
      <c r="CUX11" s="75"/>
      <c r="CUY11" s="75"/>
      <c r="CUZ11" s="75"/>
      <c r="CVA11" s="75"/>
      <c r="CVB11" s="75"/>
      <c r="CVC11" s="75"/>
      <c r="CVD11" s="75"/>
      <c r="CVE11" s="75"/>
      <c r="CVF11" s="75"/>
      <c r="CVG11" s="75"/>
      <c r="CVH11" s="75"/>
      <c r="CVI11" s="75"/>
      <c r="CVJ11" s="75"/>
      <c r="CVK11" s="75"/>
      <c r="CVL11" s="75"/>
      <c r="CVM11" s="75"/>
      <c r="CVN11" s="75"/>
      <c r="CVO11" s="75"/>
      <c r="CVP11" s="75"/>
      <c r="CVQ11" s="75"/>
      <c r="CVR11" s="75"/>
      <c r="CVS11" s="75"/>
      <c r="CVT11" s="75"/>
      <c r="CVU11" s="75"/>
      <c r="CVV11" s="75"/>
      <c r="CVW11" s="75"/>
      <c r="CVX11" s="75"/>
      <c r="CVY11" s="75"/>
      <c r="CVZ11" s="75"/>
      <c r="CWA11" s="75"/>
      <c r="CWB11" s="75"/>
      <c r="CWC11" s="75"/>
      <c r="CWD11" s="75"/>
      <c r="CWE11" s="75"/>
      <c r="CWF11" s="75"/>
      <c r="CWG11" s="75"/>
      <c r="CWH11" s="75"/>
      <c r="CWI11" s="75"/>
      <c r="CWJ11" s="75"/>
      <c r="CWK11" s="75"/>
      <c r="CWL11" s="75"/>
      <c r="CWM11" s="75"/>
      <c r="CWN11" s="75"/>
      <c r="CWO11" s="75"/>
      <c r="CWP11" s="75"/>
      <c r="CWQ11" s="75"/>
      <c r="CWR11" s="75"/>
      <c r="CWS11" s="75"/>
      <c r="CWT11" s="75"/>
      <c r="CWU11" s="75"/>
      <c r="CWV11" s="75"/>
      <c r="CWW11" s="75"/>
      <c r="CWX11" s="75"/>
      <c r="CWY11" s="75"/>
      <c r="CWZ11" s="75"/>
      <c r="CXA11" s="75"/>
      <c r="CXB11" s="75"/>
      <c r="CXC11" s="75"/>
      <c r="CXD11" s="75"/>
      <c r="CXE11" s="75"/>
      <c r="CXF11" s="75"/>
      <c r="CXG11" s="75"/>
      <c r="CXH11" s="75"/>
      <c r="CXI11" s="75"/>
      <c r="CXJ11" s="75"/>
      <c r="CXK11" s="75"/>
      <c r="CXL11" s="75"/>
      <c r="CXM11" s="75"/>
      <c r="CXN11" s="75"/>
      <c r="CXO11" s="75"/>
      <c r="CXP11" s="75"/>
      <c r="CXQ11" s="75"/>
      <c r="CXR11" s="75"/>
      <c r="CXS11" s="75"/>
      <c r="CXT11" s="75"/>
      <c r="CXU11" s="75"/>
      <c r="CXV11" s="75"/>
      <c r="CXW11" s="75"/>
      <c r="CXX11" s="75"/>
      <c r="CXY11" s="75"/>
      <c r="CXZ11" s="75"/>
      <c r="CYA11" s="75"/>
      <c r="CYB11" s="75"/>
      <c r="CYC11" s="75"/>
      <c r="CYD11" s="75"/>
      <c r="CYE11" s="75"/>
      <c r="CYF11" s="75"/>
      <c r="CYG11" s="75"/>
      <c r="CYH11" s="75"/>
      <c r="CYI11" s="75"/>
      <c r="CYJ11" s="75"/>
      <c r="CYK11" s="75"/>
      <c r="CYL11" s="75"/>
      <c r="CYM11" s="75"/>
      <c r="CYN11" s="75"/>
      <c r="CYO11" s="75"/>
      <c r="CYP11" s="75"/>
      <c r="CYQ11" s="75"/>
      <c r="CYR11" s="75"/>
      <c r="CYS11" s="75"/>
      <c r="CYT11" s="75"/>
      <c r="CYU11" s="75"/>
      <c r="CYV11" s="75"/>
      <c r="CYW11" s="75"/>
      <c r="CYX11" s="75"/>
      <c r="CYY11" s="75"/>
      <c r="CYZ11" s="75"/>
      <c r="CZA11" s="75"/>
      <c r="CZB11" s="75"/>
      <c r="CZC11" s="75"/>
      <c r="CZD11" s="75"/>
      <c r="CZE11" s="75"/>
      <c r="CZF11" s="75"/>
      <c r="CZG11" s="75"/>
      <c r="CZH11" s="75"/>
      <c r="CZI11" s="75"/>
      <c r="CZJ11" s="75"/>
      <c r="CZK11" s="75"/>
      <c r="CZL11" s="75"/>
      <c r="CZM11" s="75"/>
      <c r="CZN11" s="75"/>
      <c r="CZO11" s="75"/>
      <c r="CZP11" s="75"/>
      <c r="CZQ11" s="75"/>
      <c r="CZR11" s="75"/>
      <c r="CZS11" s="75"/>
      <c r="CZT11" s="75"/>
      <c r="CZU11" s="75"/>
      <c r="CZV11" s="75"/>
      <c r="CZW11" s="75"/>
      <c r="CZX11" s="75"/>
      <c r="CZY11" s="75"/>
      <c r="CZZ11" s="75"/>
      <c r="DAA11" s="75"/>
      <c r="DAB11" s="75"/>
      <c r="DAC11" s="75"/>
      <c r="DAD11" s="75"/>
      <c r="DAE11" s="75"/>
      <c r="DAF11" s="75"/>
      <c r="DAG11" s="75"/>
      <c r="DAH11" s="75"/>
      <c r="DAI11" s="75"/>
      <c r="DAJ11" s="75"/>
      <c r="DAK11" s="75"/>
      <c r="DAL11" s="75"/>
      <c r="DAM11" s="75"/>
      <c r="DAN11" s="75"/>
      <c r="DAO11" s="75"/>
      <c r="DAP11" s="75"/>
      <c r="DAQ11" s="75"/>
      <c r="DAR11" s="75"/>
      <c r="DAS11" s="75"/>
      <c r="DAT11" s="75"/>
      <c r="DAU11" s="75"/>
      <c r="DAV11" s="75"/>
      <c r="DAW11" s="75"/>
      <c r="DAX11" s="75"/>
      <c r="DAY11" s="75"/>
      <c r="DAZ11" s="75"/>
      <c r="DBA11" s="75"/>
      <c r="DBB11" s="75"/>
      <c r="DBC11" s="75"/>
      <c r="DBD11" s="75"/>
      <c r="DBE11" s="75"/>
      <c r="DBF11" s="75"/>
      <c r="DBG11" s="75"/>
      <c r="DBH11" s="75"/>
      <c r="DBI11" s="75"/>
      <c r="DBJ11" s="75"/>
      <c r="DBK11" s="75"/>
      <c r="DBL11" s="75"/>
      <c r="DBM11" s="75"/>
      <c r="DBN11" s="75"/>
      <c r="DBO11" s="75"/>
      <c r="DBP11" s="75"/>
      <c r="DBQ11" s="75"/>
      <c r="DBR11" s="75"/>
      <c r="DBS11" s="75"/>
      <c r="DBT11" s="75"/>
      <c r="DBU11" s="75"/>
      <c r="DBV11" s="75"/>
      <c r="DBW11" s="75"/>
      <c r="DBX11" s="75"/>
      <c r="DBY11" s="75"/>
      <c r="DBZ11" s="75"/>
      <c r="DCA11" s="75"/>
      <c r="DCB11" s="75"/>
      <c r="DCC11" s="75"/>
      <c r="DCD11" s="75"/>
      <c r="DCE11" s="75"/>
      <c r="DCF11" s="75"/>
      <c r="DCG11" s="75"/>
      <c r="DCH11" s="75"/>
      <c r="DCI11" s="75"/>
      <c r="DCJ11" s="75"/>
      <c r="DCK11" s="75"/>
      <c r="DCL11" s="75"/>
      <c r="DCM11" s="75"/>
      <c r="DCN11" s="75"/>
      <c r="DCO11" s="75"/>
      <c r="DCP11" s="75"/>
      <c r="DCQ11" s="75"/>
      <c r="DCR11" s="75"/>
      <c r="DCS11" s="75"/>
      <c r="DCT11" s="75"/>
      <c r="DCU11" s="75"/>
      <c r="DCV11" s="75"/>
      <c r="DCW11" s="75"/>
      <c r="DCX11" s="75"/>
      <c r="DCY11" s="75"/>
      <c r="DCZ11" s="75"/>
      <c r="DDA11" s="75"/>
      <c r="DDB11" s="75"/>
      <c r="DDC11" s="75"/>
      <c r="DDD11" s="75"/>
      <c r="DDE11" s="75"/>
      <c r="DDF11" s="75"/>
      <c r="DDG11" s="75"/>
      <c r="DDH11" s="75"/>
      <c r="DDI11" s="75"/>
      <c r="DDJ11" s="75"/>
      <c r="DDK11" s="75"/>
      <c r="DDL11" s="75"/>
      <c r="DDM11" s="75"/>
      <c r="DDN11" s="75"/>
      <c r="DDO11" s="75"/>
      <c r="DDP11" s="75"/>
      <c r="DDQ11" s="75"/>
      <c r="DDR11" s="75"/>
      <c r="DDS11" s="75"/>
      <c r="DDT11" s="75"/>
      <c r="DDU11" s="75"/>
      <c r="DDV11" s="75"/>
      <c r="DDW11" s="75"/>
      <c r="DDX11" s="75"/>
      <c r="DDY11" s="75"/>
      <c r="DDZ11" s="75"/>
      <c r="DEA11" s="75"/>
      <c r="DEB11" s="75"/>
      <c r="DEC11" s="75"/>
      <c r="DED11" s="75"/>
      <c r="DEE11" s="75"/>
      <c r="DEF11" s="75"/>
      <c r="DEG11" s="75"/>
      <c r="DEH11" s="75"/>
      <c r="DEI11" s="75"/>
      <c r="DEJ11" s="75"/>
      <c r="DEK11" s="75"/>
      <c r="DEL11" s="75"/>
      <c r="DEM11" s="75"/>
      <c r="DEN11" s="75"/>
      <c r="DEO11" s="75"/>
      <c r="DEP11" s="75"/>
      <c r="DEQ11" s="75"/>
      <c r="DER11" s="75"/>
      <c r="DES11" s="75"/>
      <c r="DET11" s="75"/>
      <c r="DEU11" s="75"/>
      <c r="DEV11" s="75"/>
      <c r="DEW11" s="75"/>
      <c r="DEX11" s="75"/>
      <c r="DEY11" s="75"/>
      <c r="DEZ11" s="75"/>
      <c r="DFA11" s="75"/>
      <c r="DFB11" s="75"/>
      <c r="DFC11" s="75"/>
      <c r="DFD11" s="75"/>
      <c r="DFE11" s="75"/>
      <c r="DFF11" s="75"/>
      <c r="DFG11" s="75"/>
      <c r="DFH11" s="75"/>
      <c r="DFI11" s="75"/>
      <c r="DFJ11" s="75"/>
      <c r="DFK11" s="75"/>
      <c r="DFL11" s="75"/>
      <c r="DFM11" s="75"/>
      <c r="DFN11" s="75"/>
      <c r="DFO11" s="75"/>
      <c r="DFP11" s="75"/>
      <c r="DFQ11" s="75"/>
      <c r="DFR11" s="75"/>
      <c r="DFS11" s="75"/>
      <c r="DFT11" s="75"/>
      <c r="DFU11" s="75"/>
      <c r="DFV11" s="75"/>
      <c r="DFW11" s="75"/>
      <c r="DFX11" s="75"/>
      <c r="DFY11" s="75"/>
      <c r="DFZ11" s="75"/>
      <c r="DGA11" s="75"/>
      <c r="DGB11" s="75"/>
      <c r="DGC11" s="75"/>
      <c r="DGD11" s="75"/>
      <c r="DGE11" s="75"/>
      <c r="DGF11" s="75"/>
      <c r="DGG11" s="75"/>
      <c r="DGH11" s="75"/>
      <c r="DGI11" s="75"/>
      <c r="DGJ11" s="75"/>
      <c r="DGK11" s="75"/>
      <c r="DGL11" s="75"/>
      <c r="DGM11" s="75"/>
      <c r="DGN11" s="75"/>
      <c r="DGO11" s="75"/>
      <c r="DGP11" s="75"/>
      <c r="DGQ11" s="75"/>
      <c r="DGR11" s="75"/>
      <c r="DGS11" s="75"/>
      <c r="DGT11" s="75"/>
      <c r="DGU11" s="75"/>
      <c r="DGV11" s="75"/>
      <c r="DGW11" s="75"/>
      <c r="DGX11" s="75"/>
      <c r="DGY11" s="75"/>
      <c r="DGZ11" s="75"/>
      <c r="DHA11" s="75"/>
      <c r="DHB11" s="75"/>
      <c r="DHC11" s="75"/>
      <c r="DHD11" s="75"/>
      <c r="DHE11" s="75"/>
      <c r="DHF11" s="75"/>
      <c r="DHG11" s="75"/>
      <c r="DHH11" s="75"/>
      <c r="DHI11" s="75"/>
      <c r="DHJ11" s="75"/>
      <c r="DHK11" s="75"/>
      <c r="DHL11" s="75"/>
      <c r="DHM11" s="75"/>
      <c r="DHN11" s="75"/>
      <c r="DHO11" s="75"/>
      <c r="DHP11" s="75"/>
      <c r="DHQ11" s="75"/>
      <c r="DHR11" s="75"/>
      <c r="DHS11" s="75"/>
      <c r="DHT11" s="75"/>
      <c r="DHU11" s="75"/>
      <c r="DHV11" s="75"/>
      <c r="DHW11" s="75"/>
      <c r="DHX11" s="75"/>
      <c r="DHY11" s="75"/>
      <c r="DHZ11" s="75"/>
      <c r="DIA11" s="75"/>
      <c r="DIB11" s="75"/>
      <c r="DIC11" s="75"/>
      <c r="DID11" s="75"/>
      <c r="DIE11" s="75"/>
      <c r="DIF11" s="75"/>
      <c r="DIG11" s="75"/>
      <c r="DIH11" s="75"/>
      <c r="DII11" s="75"/>
      <c r="DIJ11" s="75"/>
      <c r="DIK11" s="75"/>
      <c r="DIL11" s="75"/>
      <c r="DIM11" s="75"/>
      <c r="DIN11" s="75"/>
      <c r="DIO11" s="75"/>
      <c r="DIP11" s="75"/>
      <c r="DIQ11" s="75"/>
      <c r="DIR11" s="75"/>
      <c r="DIS11" s="75"/>
      <c r="DIT11" s="75"/>
      <c r="DIU11" s="75"/>
      <c r="DIV11" s="75"/>
      <c r="DIW11" s="75"/>
      <c r="DIX11" s="75"/>
      <c r="DIY11" s="75"/>
      <c r="DIZ11" s="75"/>
      <c r="DJA11" s="75"/>
      <c r="DJB11" s="75"/>
      <c r="DJC11" s="75"/>
      <c r="DJD11" s="75"/>
      <c r="DJE11" s="75"/>
      <c r="DJF11" s="75"/>
      <c r="DJG11" s="75"/>
      <c r="DJH11" s="75"/>
      <c r="DJI11" s="75"/>
      <c r="DJJ11" s="75"/>
      <c r="DJK11" s="75"/>
      <c r="DJL11" s="75"/>
      <c r="DJM11" s="75"/>
      <c r="DJN11" s="75"/>
      <c r="DJO11" s="75"/>
      <c r="DJP11" s="75"/>
      <c r="DJQ11" s="75"/>
      <c r="DJR11" s="75"/>
      <c r="DJS11" s="75"/>
      <c r="DJT11" s="75"/>
      <c r="DJU11" s="75"/>
      <c r="DJV11" s="75"/>
      <c r="DJW11" s="75"/>
      <c r="DJX11" s="75"/>
      <c r="DJY11" s="75"/>
      <c r="DJZ11" s="75"/>
      <c r="DKA11" s="75"/>
      <c r="DKB11" s="75"/>
      <c r="DKC11" s="75"/>
      <c r="DKD11" s="75"/>
      <c r="DKE11" s="75"/>
      <c r="DKF11" s="75"/>
      <c r="DKG11" s="75"/>
      <c r="DKH11" s="75"/>
      <c r="DKI11" s="75"/>
      <c r="DKJ11" s="75"/>
      <c r="DKK11" s="75"/>
      <c r="DKL11" s="75"/>
      <c r="DKM11" s="75"/>
      <c r="DKN11" s="75"/>
      <c r="DKO11" s="75"/>
      <c r="DKP11" s="75"/>
      <c r="DKQ11" s="75"/>
      <c r="DKR11" s="75"/>
      <c r="DKS11" s="75"/>
      <c r="DKT11" s="75"/>
      <c r="DKU11" s="75"/>
      <c r="DKV11" s="75"/>
      <c r="DKW11" s="75"/>
      <c r="DKX11" s="75"/>
      <c r="DKY11" s="75"/>
      <c r="DKZ11" s="75"/>
      <c r="DLA11" s="75"/>
      <c r="DLB11" s="75"/>
      <c r="DLC11" s="75"/>
      <c r="DLD11" s="75"/>
      <c r="DLE11" s="75"/>
      <c r="DLF11" s="75"/>
      <c r="DLG11" s="75"/>
      <c r="DLH11" s="75"/>
      <c r="DLI11" s="75"/>
      <c r="DLJ11" s="75"/>
      <c r="DLK11" s="75"/>
      <c r="DLL11" s="75"/>
      <c r="DLM11" s="75"/>
      <c r="DLN11" s="75"/>
      <c r="DLO11" s="75"/>
      <c r="DLP11" s="75"/>
      <c r="DLQ11" s="75"/>
      <c r="DLR11" s="75"/>
      <c r="DLS11" s="75"/>
      <c r="DLT11" s="75"/>
      <c r="DLU11" s="75"/>
      <c r="DLV11" s="75"/>
      <c r="DLW11" s="75"/>
      <c r="DLX11" s="75"/>
      <c r="DLY11" s="75"/>
      <c r="DLZ11" s="75"/>
      <c r="DMA11" s="75"/>
      <c r="DMB11" s="75"/>
      <c r="DMC11" s="75"/>
      <c r="DMD11" s="75"/>
      <c r="DME11" s="75"/>
      <c r="DMF11" s="75"/>
      <c r="DMG11" s="75"/>
      <c r="DMH11" s="75"/>
      <c r="DMI11" s="75"/>
      <c r="DMJ11" s="75"/>
      <c r="DMK11" s="75"/>
      <c r="DML11" s="75"/>
      <c r="DMM11" s="75"/>
      <c r="DMN11" s="75"/>
      <c r="DMO11" s="75"/>
      <c r="DMP11" s="75"/>
      <c r="DMQ11" s="75"/>
      <c r="DMR11" s="75"/>
      <c r="DMS11" s="75"/>
      <c r="DMT11" s="75"/>
      <c r="DMU11" s="75"/>
      <c r="DMV11" s="75"/>
      <c r="DMW11" s="75"/>
      <c r="DMX11" s="75"/>
      <c r="DMY11" s="75"/>
      <c r="DMZ11" s="75"/>
      <c r="DNA11" s="75"/>
      <c r="DNB11" s="75"/>
      <c r="DNC11" s="75"/>
      <c r="DND11" s="75"/>
      <c r="DNE11" s="75"/>
      <c r="DNF11" s="75"/>
      <c r="DNG11" s="75"/>
      <c r="DNH11" s="75"/>
      <c r="DNI11" s="75"/>
      <c r="DNJ11" s="75"/>
      <c r="DNK11" s="75"/>
      <c r="DNL11" s="75"/>
      <c r="DNM11" s="75"/>
      <c r="DNN11" s="75"/>
      <c r="DNO11" s="75"/>
      <c r="DNP11" s="75"/>
      <c r="DNQ11" s="75"/>
      <c r="DNR11" s="75"/>
      <c r="DNS11" s="75"/>
      <c r="DNT11" s="75"/>
      <c r="DNU11" s="75"/>
      <c r="DNV11" s="75"/>
      <c r="DNW11" s="75"/>
      <c r="DNX11" s="75"/>
      <c r="DNY11" s="75"/>
      <c r="DNZ11" s="75"/>
      <c r="DOA11" s="75"/>
      <c r="DOB11" s="75"/>
      <c r="DOC11" s="75"/>
      <c r="DOD11" s="75"/>
      <c r="DOE11" s="75"/>
      <c r="DOF11" s="75"/>
      <c r="DOG11" s="75"/>
      <c r="DOH11" s="75"/>
      <c r="DOI11" s="75"/>
      <c r="DOJ11" s="75"/>
      <c r="DOK11" s="75"/>
      <c r="DOL11" s="75"/>
      <c r="DOM11" s="75"/>
      <c r="DON11" s="75"/>
      <c r="DOO11" s="75"/>
      <c r="DOP11" s="75"/>
      <c r="DOQ11" s="75"/>
      <c r="DOR11" s="75"/>
      <c r="DOS11" s="75"/>
      <c r="DOT11" s="75"/>
      <c r="DOU11" s="75"/>
      <c r="DOV11" s="75"/>
      <c r="DOW11" s="75"/>
      <c r="DOX11" s="75"/>
      <c r="DOY11" s="75"/>
      <c r="DOZ11" s="75"/>
      <c r="DPA11" s="75"/>
      <c r="DPB11" s="75"/>
      <c r="DPC11" s="75"/>
      <c r="DPD11" s="75"/>
      <c r="DPE11" s="75"/>
      <c r="DPF11" s="75"/>
      <c r="DPG11" s="75"/>
      <c r="DPH11" s="75"/>
      <c r="DPI11" s="75"/>
      <c r="DPJ11" s="75"/>
      <c r="DPK11" s="75"/>
      <c r="DPL11" s="75"/>
      <c r="DPM11" s="75"/>
      <c r="DPN11" s="75"/>
      <c r="DPO11" s="75"/>
      <c r="DPP11" s="75"/>
      <c r="DPQ11" s="75"/>
      <c r="DPR11" s="75"/>
      <c r="DPS11" s="75"/>
      <c r="DPT11" s="75"/>
      <c r="DPU11" s="75"/>
      <c r="DPV11" s="75"/>
      <c r="DPW11" s="75"/>
      <c r="DPX11" s="75"/>
      <c r="DPY11" s="75"/>
      <c r="DPZ11" s="75"/>
      <c r="DQA11" s="75"/>
      <c r="DQB11" s="75"/>
      <c r="DQC11" s="75"/>
      <c r="DQD11" s="75"/>
      <c r="DQE11" s="75"/>
      <c r="DQF11" s="75"/>
      <c r="DQG11" s="75"/>
      <c r="DQH11" s="75"/>
      <c r="DQI11" s="75"/>
      <c r="DQJ11" s="75"/>
      <c r="DQK11" s="75"/>
      <c r="DQL11" s="75"/>
      <c r="DQM11" s="75"/>
      <c r="DQN11" s="75"/>
      <c r="DQO11" s="75"/>
      <c r="DQP11" s="75"/>
      <c r="DQQ11" s="75"/>
      <c r="DQR11" s="75"/>
      <c r="DQS11" s="75"/>
      <c r="DQT11" s="75"/>
      <c r="DQU11" s="75"/>
      <c r="DQV11" s="75"/>
      <c r="DQW11" s="75"/>
      <c r="DQX11" s="75"/>
      <c r="DQY11" s="75"/>
      <c r="DQZ11" s="75"/>
      <c r="DRA11" s="75"/>
      <c r="DRB11" s="75"/>
      <c r="DRC11" s="75"/>
      <c r="DRD11" s="75"/>
      <c r="DRE11" s="75"/>
      <c r="DRF11" s="75"/>
      <c r="DRG11" s="75"/>
      <c r="DRH11" s="75"/>
      <c r="DRI11" s="75"/>
      <c r="DRJ11" s="75"/>
      <c r="DRK11" s="75"/>
      <c r="DRL11" s="75"/>
      <c r="DRM11" s="75"/>
      <c r="DRN11" s="75"/>
      <c r="DRO11" s="75"/>
      <c r="DRP11" s="75"/>
      <c r="DRQ11" s="75"/>
      <c r="DRR11" s="75"/>
      <c r="DRS11" s="75"/>
      <c r="DRT11" s="75"/>
      <c r="DRU11" s="75"/>
      <c r="DRV11" s="75"/>
      <c r="DRW11" s="75"/>
      <c r="DRX11" s="75"/>
      <c r="DRY11" s="75"/>
      <c r="DRZ11" s="75"/>
      <c r="DSA11" s="75"/>
      <c r="DSB11" s="75"/>
      <c r="DSC11" s="75"/>
      <c r="DSD11" s="75"/>
      <c r="DSE11" s="75"/>
      <c r="DSF11" s="75"/>
      <c r="DSG11" s="75"/>
      <c r="DSH11" s="75"/>
      <c r="DSI11" s="75"/>
      <c r="DSJ11" s="75"/>
      <c r="DSK11" s="75"/>
      <c r="DSL11" s="75"/>
      <c r="DSM11" s="75"/>
      <c r="DSN11" s="75"/>
      <c r="DSO11" s="75"/>
      <c r="DSP11" s="75"/>
      <c r="DSQ11" s="75"/>
      <c r="DSR11" s="75"/>
      <c r="DSS11" s="75"/>
      <c r="DST11" s="75"/>
      <c r="DSU11" s="75"/>
      <c r="DSV11" s="75"/>
      <c r="DSW11" s="75"/>
      <c r="DSX11" s="75"/>
      <c r="DSY11" s="75"/>
      <c r="DSZ11" s="75"/>
      <c r="DTA11" s="75"/>
      <c r="DTB11" s="75"/>
      <c r="DTC11" s="75"/>
      <c r="DTD11" s="75"/>
      <c r="DTE11" s="75"/>
      <c r="DTF11" s="75"/>
      <c r="DTG11" s="75"/>
      <c r="DTH11" s="75"/>
      <c r="DTI11" s="75"/>
      <c r="DTJ11" s="75"/>
      <c r="DTK11" s="75"/>
      <c r="DTL11" s="75"/>
      <c r="DTM11" s="75"/>
      <c r="DTN11" s="75"/>
      <c r="DTO11" s="75"/>
      <c r="DTP11" s="75"/>
      <c r="DTQ11" s="75"/>
      <c r="DTR11" s="75"/>
      <c r="DTS11" s="75"/>
      <c r="DTT11" s="75"/>
      <c r="DTU11" s="75"/>
      <c r="DTV11" s="75"/>
      <c r="DTW11" s="75"/>
      <c r="DTX11" s="75"/>
      <c r="DTY11" s="75"/>
      <c r="DTZ11" s="75"/>
      <c r="DUA11" s="75"/>
      <c r="DUB11" s="75"/>
      <c r="DUC11" s="75"/>
      <c r="DUD11" s="75"/>
      <c r="DUE11" s="75"/>
      <c r="DUF11" s="75"/>
      <c r="DUG11" s="75"/>
      <c r="DUH11" s="75"/>
      <c r="DUI11" s="75"/>
      <c r="DUJ11" s="75"/>
      <c r="DUK11" s="75"/>
      <c r="DUL11" s="75"/>
      <c r="DUM11" s="75"/>
      <c r="DUN11" s="75"/>
      <c r="DUO11" s="75"/>
      <c r="DUP11" s="75"/>
      <c r="DUQ11" s="75"/>
      <c r="DUR11" s="75"/>
      <c r="DUS11" s="75"/>
      <c r="DUT11" s="75"/>
      <c r="DUU11" s="75"/>
      <c r="DUV11" s="75"/>
      <c r="DUW11" s="75"/>
      <c r="DUX11" s="75"/>
      <c r="DUY11" s="75"/>
      <c r="DUZ11" s="75"/>
      <c r="DVA11" s="75"/>
      <c r="DVB11" s="75"/>
      <c r="DVC11" s="75"/>
      <c r="DVD11" s="75"/>
      <c r="DVE11" s="75"/>
      <c r="DVF11" s="75"/>
      <c r="DVG11" s="75"/>
      <c r="DVH11" s="75"/>
      <c r="DVI11" s="75"/>
      <c r="DVJ11" s="75"/>
      <c r="DVK11" s="75"/>
      <c r="DVL11" s="75"/>
      <c r="DVM11" s="75"/>
      <c r="DVN11" s="75"/>
      <c r="DVO11" s="75"/>
      <c r="DVP11" s="75"/>
      <c r="DVQ11" s="75"/>
      <c r="DVR11" s="75"/>
      <c r="DVS11" s="75"/>
      <c r="DVT11" s="75"/>
      <c r="DVU11" s="75"/>
      <c r="DVV11" s="75"/>
      <c r="DVW11" s="75"/>
      <c r="DVX11" s="75"/>
      <c r="DVY11" s="75"/>
      <c r="DVZ11" s="75"/>
      <c r="DWA11" s="75"/>
      <c r="DWB11" s="75"/>
      <c r="DWC11" s="75"/>
      <c r="DWD11" s="75"/>
      <c r="DWE11" s="75"/>
      <c r="DWF11" s="75"/>
      <c r="DWG11" s="75"/>
      <c r="DWH11" s="75"/>
      <c r="DWI11" s="75"/>
      <c r="DWJ11" s="75"/>
      <c r="DWK11" s="75"/>
      <c r="DWL11" s="75"/>
      <c r="DWM11" s="75"/>
      <c r="DWN11" s="75"/>
      <c r="DWO11" s="75"/>
      <c r="DWP11" s="75"/>
      <c r="DWQ11" s="75"/>
      <c r="DWR11" s="75"/>
      <c r="DWS11" s="75"/>
      <c r="DWT11" s="75"/>
      <c r="DWU11" s="75"/>
      <c r="DWV11" s="75"/>
      <c r="DWW11" s="75"/>
      <c r="DWX11" s="75"/>
      <c r="DWY11" s="75"/>
      <c r="DWZ11" s="75"/>
      <c r="DXA11" s="75"/>
      <c r="DXB11" s="75"/>
      <c r="DXC11" s="75"/>
      <c r="DXD11" s="75"/>
      <c r="DXE11" s="75"/>
      <c r="DXF11" s="75"/>
      <c r="DXG11" s="75"/>
      <c r="DXH11" s="75"/>
      <c r="DXI11" s="75"/>
      <c r="DXJ11" s="75"/>
      <c r="DXK11" s="75"/>
      <c r="DXL11" s="75"/>
      <c r="DXM11" s="75"/>
      <c r="DXN11" s="75"/>
      <c r="DXO11" s="75"/>
      <c r="DXP11" s="75"/>
      <c r="DXQ11" s="75"/>
      <c r="DXR11" s="75"/>
      <c r="DXS11" s="75"/>
      <c r="DXT11" s="75"/>
      <c r="DXU11" s="75"/>
      <c r="DXV11" s="75"/>
      <c r="DXW11" s="75"/>
      <c r="DXX11" s="75"/>
      <c r="DXY11" s="75"/>
      <c r="DXZ11" s="75"/>
      <c r="DYA11" s="75"/>
      <c r="DYB11" s="75"/>
      <c r="DYC11" s="75"/>
      <c r="DYD11" s="75"/>
      <c r="DYE11" s="75"/>
      <c r="DYF11" s="75"/>
      <c r="DYG11" s="75"/>
      <c r="DYH11" s="75"/>
      <c r="DYI11" s="75"/>
      <c r="DYJ11" s="75"/>
      <c r="DYK11" s="75"/>
      <c r="DYL11" s="75"/>
      <c r="DYM11" s="75"/>
      <c r="DYN11" s="75"/>
      <c r="DYO11" s="75"/>
      <c r="DYP11" s="75"/>
      <c r="DYQ11" s="75"/>
      <c r="DYR11" s="75"/>
      <c r="DYS11" s="75"/>
      <c r="DYT11" s="75"/>
      <c r="DYU11" s="75"/>
      <c r="DYV11" s="75"/>
      <c r="DYW11" s="75"/>
      <c r="DYX11" s="75"/>
      <c r="DYY11" s="75"/>
      <c r="DYZ11" s="75"/>
      <c r="DZA11" s="75"/>
      <c r="DZB11" s="75"/>
      <c r="DZC11" s="75"/>
      <c r="DZD11" s="75"/>
      <c r="DZE11" s="75"/>
      <c r="DZF11" s="75"/>
      <c r="DZG11" s="75"/>
      <c r="DZH11" s="75"/>
      <c r="DZI11" s="75"/>
      <c r="DZJ11" s="75"/>
      <c r="DZK11" s="75"/>
      <c r="DZL11" s="75"/>
      <c r="DZM11" s="75"/>
      <c r="DZN11" s="75"/>
      <c r="DZO11" s="75"/>
      <c r="DZP11" s="75"/>
      <c r="DZQ11" s="75"/>
      <c r="DZR11" s="75"/>
      <c r="DZS11" s="75"/>
      <c r="DZT11" s="75"/>
      <c r="DZU11" s="75"/>
      <c r="DZV11" s="75"/>
      <c r="DZW11" s="75"/>
      <c r="DZX11" s="75"/>
      <c r="DZY11" s="75"/>
      <c r="DZZ11" s="75"/>
      <c r="EAA11" s="75"/>
      <c r="EAB11" s="75"/>
      <c r="EAC11" s="75"/>
      <c r="EAD11" s="75"/>
      <c r="EAE11" s="75"/>
      <c r="EAF11" s="75"/>
      <c r="EAG11" s="75"/>
      <c r="EAH11" s="75"/>
      <c r="EAI11" s="75"/>
      <c r="EAJ11" s="75"/>
      <c r="EAK11" s="75"/>
      <c r="EAL11" s="75"/>
      <c r="EAM11" s="75"/>
      <c r="EAN11" s="75"/>
      <c r="EAO11" s="75"/>
      <c r="EAP11" s="75"/>
      <c r="EAQ11" s="75"/>
      <c r="EAR11" s="75"/>
      <c r="EAS11" s="75"/>
      <c r="EAT11" s="75"/>
      <c r="EAU11" s="75"/>
      <c r="EAV11" s="75"/>
      <c r="EAW11" s="75"/>
      <c r="EAX11" s="75"/>
      <c r="EAY11" s="75"/>
      <c r="EAZ11" s="75"/>
      <c r="EBA11" s="75"/>
      <c r="EBB11" s="75"/>
      <c r="EBC11" s="75"/>
      <c r="EBD11" s="75"/>
      <c r="EBE11" s="75"/>
      <c r="EBF11" s="75"/>
      <c r="EBG11" s="75"/>
      <c r="EBH11" s="75"/>
      <c r="EBI11" s="75"/>
      <c r="EBJ11" s="75"/>
      <c r="EBK11" s="75"/>
      <c r="EBL11" s="75"/>
      <c r="EBM11" s="75"/>
      <c r="EBN11" s="75"/>
      <c r="EBO11" s="75"/>
      <c r="EBP11" s="75"/>
      <c r="EBQ11" s="75"/>
      <c r="EBR11" s="75"/>
      <c r="EBS11" s="75"/>
      <c r="EBT11" s="75"/>
      <c r="EBU11" s="75"/>
      <c r="EBV11" s="75"/>
      <c r="EBW11" s="75"/>
      <c r="EBX11" s="75"/>
      <c r="EBY11" s="75"/>
      <c r="EBZ11" s="75"/>
      <c r="ECA11" s="75"/>
      <c r="ECB11" s="75"/>
      <c r="ECC11" s="75"/>
      <c r="ECD11" s="75"/>
      <c r="ECE11" s="75"/>
      <c r="ECF11" s="75"/>
      <c r="ECG11" s="75"/>
      <c r="ECH11" s="75"/>
      <c r="ECI11" s="75"/>
      <c r="ECJ11" s="75"/>
      <c r="ECK11" s="75"/>
      <c r="ECL11" s="75"/>
      <c r="ECM11" s="75"/>
      <c r="ECN11" s="75"/>
      <c r="ECO11" s="75"/>
      <c r="ECP11" s="75"/>
      <c r="ECQ11" s="75"/>
      <c r="ECR11" s="75"/>
      <c r="ECS11" s="75"/>
      <c r="ECT11" s="75"/>
      <c r="ECU11" s="75"/>
      <c r="ECV11" s="75"/>
      <c r="ECW11" s="75"/>
      <c r="ECX11" s="75"/>
      <c r="ECY11" s="75"/>
      <c r="ECZ11" s="75"/>
      <c r="EDA11" s="75"/>
      <c r="EDB11" s="75"/>
      <c r="EDC11" s="75"/>
      <c r="EDD11" s="75"/>
      <c r="EDE11" s="75"/>
      <c r="EDF11" s="75"/>
      <c r="EDG11" s="75"/>
      <c r="EDH11" s="75"/>
      <c r="EDI11" s="75"/>
      <c r="EDJ11" s="75"/>
      <c r="EDK11" s="75"/>
      <c r="EDL11" s="75"/>
      <c r="EDM11" s="75"/>
      <c r="EDN11" s="75"/>
      <c r="EDO11" s="75"/>
      <c r="EDP11" s="75"/>
      <c r="EDQ11" s="75"/>
      <c r="EDR11" s="75"/>
      <c r="EDS11" s="75"/>
      <c r="EDT11" s="75"/>
      <c r="EDU11" s="75"/>
      <c r="EDV11" s="75"/>
      <c r="EDW11" s="75"/>
      <c r="EDX11" s="75"/>
      <c r="EDY11" s="75"/>
      <c r="EDZ11" s="75"/>
      <c r="EEA11" s="75"/>
      <c r="EEB11" s="75"/>
      <c r="EEC11" s="75"/>
      <c r="EED11" s="75"/>
      <c r="EEE11" s="75"/>
      <c r="EEF11" s="75"/>
      <c r="EEG11" s="75"/>
      <c r="EEH11" s="75"/>
      <c r="EEI11" s="75"/>
      <c r="EEJ11" s="75"/>
      <c r="EEK11" s="75"/>
      <c r="EEL11" s="75"/>
      <c r="EEM11" s="75"/>
      <c r="EEN11" s="75"/>
      <c r="EEO11" s="75"/>
      <c r="EEP11" s="75"/>
      <c r="EEQ11" s="75"/>
      <c r="EER11" s="75"/>
      <c r="EES11" s="75"/>
      <c r="EET11" s="75"/>
      <c r="EEU11" s="75"/>
      <c r="EEV11" s="75"/>
      <c r="EEW11" s="75"/>
      <c r="EEX11" s="75"/>
      <c r="EEY11" s="75"/>
      <c r="EEZ11" s="75"/>
      <c r="EFA11" s="75"/>
      <c r="EFB11" s="75"/>
      <c r="EFC11" s="75"/>
      <c r="EFD11" s="75"/>
      <c r="EFE11" s="75"/>
      <c r="EFF11" s="75"/>
      <c r="EFG11" s="75"/>
      <c r="EFH11" s="75"/>
      <c r="EFI11" s="75"/>
      <c r="EFJ11" s="75"/>
      <c r="EFK11" s="75"/>
      <c r="EFL11" s="75"/>
      <c r="EFM11" s="75"/>
      <c r="EFN11" s="75"/>
      <c r="EFO11" s="75"/>
      <c r="EFP11" s="75"/>
      <c r="EFQ11" s="75"/>
      <c r="EFR11" s="75"/>
      <c r="EFS11" s="75"/>
      <c r="EFT11" s="75"/>
      <c r="EFU11" s="75"/>
      <c r="EFV11" s="75"/>
      <c r="EFW11" s="75"/>
      <c r="EFX11" s="75"/>
      <c r="EFY11" s="75"/>
      <c r="EFZ11" s="75"/>
      <c r="EGA11" s="75"/>
      <c r="EGB11" s="75"/>
      <c r="EGC11" s="75"/>
      <c r="EGD11" s="75"/>
      <c r="EGE11" s="75"/>
      <c r="EGF11" s="75"/>
      <c r="EGG11" s="75"/>
      <c r="EGH11" s="75"/>
      <c r="EGI11" s="75"/>
      <c r="EGJ11" s="75"/>
      <c r="EGK11" s="75"/>
      <c r="EGL11" s="75"/>
      <c r="EGM11" s="75"/>
      <c r="EGN11" s="75"/>
      <c r="EGO11" s="75"/>
      <c r="EGP11" s="75"/>
      <c r="EGQ11" s="75"/>
      <c r="EGR11" s="75"/>
      <c r="EGS11" s="75"/>
      <c r="EGT11" s="75"/>
      <c r="EGU11" s="75"/>
      <c r="EGV11" s="75"/>
      <c r="EGW11" s="75"/>
      <c r="EGX11" s="75"/>
      <c r="EGY11" s="75"/>
      <c r="EGZ11" s="75"/>
      <c r="EHA11" s="75"/>
      <c r="EHB11" s="75"/>
      <c r="EHC11" s="75"/>
      <c r="EHD11" s="75"/>
      <c r="EHE11" s="75"/>
      <c r="EHF11" s="75"/>
      <c r="EHG11" s="75"/>
      <c r="EHH11" s="75"/>
      <c r="EHI11" s="75"/>
      <c r="EHJ11" s="75"/>
      <c r="EHK11" s="75"/>
      <c r="EHL11" s="75"/>
      <c r="EHM11" s="75"/>
      <c r="EHN11" s="75"/>
      <c r="EHO11" s="75"/>
      <c r="EHP11" s="75"/>
      <c r="EHQ11" s="75"/>
      <c r="EHR11" s="75"/>
      <c r="EHS11" s="75"/>
      <c r="EHT11" s="75"/>
      <c r="EHU11" s="75"/>
      <c r="EHV11" s="75"/>
      <c r="EHW11" s="75"/>
      <c r="EHX11" s="75"/>
      <c r="EHY11" s="75"/>
      <c r="EHZ11" s="75"/>
      <c r="EIA11" s="75"/>
      <c r="EIB11" s="75"/>
      <c r="EIC11" s="75"/>
      <c r="EID11" s="75"/>
      <c r="EIE11" s="75"/>
      <c r="EIF11" s="75"/>
      <c r="EIG11" s="75"/>
      <c r="EIH11" s="75"/>
      <c r="EII11" s="75"/>
      <c r="EIJ11" s="75"/>
      <c r="EIK11" s="75"/>
      <c r="EIL11" s="75"/>
      <c r="EIM11" s="75"/>
      <c r="EIN11" s="75"/>
      <c r="EIO11" s="75"/>
      <c r="EIP11" s="75"/>
      <c r="EIQ11" s="75"/>
      <c r="EIR11" s="75"/>
      <c r="EIS11" s="75"/>
      <c r="EIT11" s="75"/>
      <c r="EIU11" s="75"/>
      <c r="EIV11" s="75"/>
      <c r="EIW11" s="75"/>
      <c r="EIX11" s="75"/>
      <c r="EIY11" s="75"/>
      <c r="EIZ11" s="75"/>
      <c r="EJA11" s="75"/>
      <c r="EJB11" s="75"/>
      <c r="EJC11" s="75"/>
      <c r="EJD11" s="75"/>
      <c r="EJE11" s="75"/>
      <c r="EJF11" s="75"/>
      <c r="EJG11" s="75"/>
      <c r="EJH11" s="75"/>
      <c r="EJI11" s="75"/>
      <c r="EJJ11" s="75"/>
      <c r="EJK11" s="75"/>
      <c r="EJL11" s="75"/>
      <c r="EJM11" s="75"/>
      <c r="EJN11" s="75"/>
      <c r="EJO11" s="75"/>
      <c r="EJP11" s="75"/>
      <c r="EJQ11" s="75"/>
      <c r="EJR11" s="75"/>
      <c r="EJS11" s="75"/>
      <c r="EJT11" s="75"/>
      <c r="EJU11" s="75"/>
      <c r="EJV11" s="75"/>
      <c r="EJW11" s="75"/>
      <c r="EJX11" s="75"/>
      <c r="EJY11" s="75"/>
      <c r="EJZ11" s="75"/>
      <c r="EKA11" s="75"/>
      <c r="EKB11" s="75"/>
      <c r="EKC11" s="75"/>
      <c r="EKD11" s="75"/>
      <c r="EKE11" s="75"/>
      <c r="EKF11" s="75"/>
      <c r="EKG11" s="75"/>
      <c r="EKH11" s="75"/>
      <c r="EKI11" s="75"/>
      <c r="EKJ11" s="75"/>
      <c r="EKK11" s="75"/>
      <c r="EKL11" s="75"/>
      <c r="EKM11" s="75"/>
      <c r="EKN11" s="75"/>
      <c r="EKO11" s="75"/>
      <c r="EKP11" s="75"/>
      <c r="EKQ11" s="75"/>
      <c r="EKR11" s="75"/>
      <c r="EKS11" s="75"/>
      <c r="EKT11" s="75"/>
      <c r="EKU11" s="75"/>
      <c r="EKV11" s="75"/>
      <c r="EKW11" s="75"/>
      <c r="EKX11" s="75"/>
      <c r="EKY11" s="75"/>
      <c r="EKZ11" s="75"/>
      <c r="ELA11" s="75"/>
      <c r="ELB11" s="75"/>
      <c r="ELC11" s="75"/>
      <c r="ELD11" s="75"/>
      <c r="ELE11" s="75"/>
      <c r="ELF11" s="75"/>
      <c r="ELG11" s="75"/>
      <c r="ELH11" s="75"/>
      <c r="ELI11" s="75"/>
      <c r="ELJ11" s="75"/>
      <c r="ELK11" s="75"/>
      <c r="ELL11" s="75"/>
      <c r="ELM11" s="75"/>
      <c r="ELN11" s="75"/>
      <c r="ELO11" s="75"/>
      <c r="ELP11" s="75"/>
      <c r="ELQ11" s="75"/>
      <c r="ELR11" s="75"/>
      <c r="ELS11" s="75"/>
      <c r="ELT11" s="75"/>
      <c r="ELU11" s="75"/>
      <c r="ELV11" s="75"/>
      <c r="ELW11" s="75"/>
      <c r="ELX11" s="75"/>
      <c r="ELY11" s="75"/>
      <c r="ELZ11" s="75"/>
      <c r="EMA11" s="75"/>
      <c r="EMB11" s="75"/>
      <c r="EMC11" s="75"/>
      <c r="EMD11" s="75"/>
      <c r="EME11" s="75"/>
      <c r="EMF11" s="75"/>
      <c r="EMG11" s="75"/>
      <c r="EMH11" s="75"/>
      <c r="EMI11" s="75"/>
      <c r="EMJ11" s="75"/>
      <c r="EMK11" s="75"/>
      <c r="EML11" s="75"/>
      <c r="EMM11" s="75"/>
      <c r="EMN11" s="75"/>
      <c r="EMO11" s="75"/>
      <c r="EMP11" s="75"/>
      <c r="EMQ11" s="75"/>
      <c r="EMR11" s="75"/>
      <c r="EMS11" s="75"/>
      <c r="EMT11" s="75"/>
      <c r="EMU11" s="75"/>
      <c r="EMV11" s="75"/>
      <c r="EMW11" s="75"/>
      <c r="EMX11" s="75"/>
      <c r="EMY11" s="75"/>
      <c r="EMZ11" s="75"/>
      <c r="ENA11" s="75"/>
      <c r="ENB11" s="75"/>
      <c r="ENC11" s="75"/>
      <c r="END11" s="75"/>
      <c r="ENE11" s="75"/>
      <c r="ENF11" s="75"/>
      <c r="ENG11" s="75"/>
      <c r="ENH11" s="75"/>
      <c r="ENI11" s="75"/>
      <c r="ENJ11" s="75"/>
      <c r="ENK11" s="75"/>
      <c r="ENL11" s="75"/>
      <c r="ENM11" s="75"/>
      <c r="ENN11" s="75"/>
      <c r="ENO11" s="75"/>
      <c r="ENP11" s="75"/>
      <c r="ENQ11" s="75"/>
      <c r="ENR11" s="75"/>
      <c r="ENS11" s="75"/>
      <c r="ENT11" s="75"/>
      <c r="ENU11" s="75"/>
      <c r="ENV11" s="75"/>
      <c r="ENW11" s="75"/>
      <c r="ENX11" s="75"/>
      <c r="ENY11" s="75"/>
      <c r="ENZ11" s="75"/>
      <c r="EOA11" s="75"/>
      <c r="EOB11" s="75"/>
      <c r="EOC11" s="75"/>
      <c r="EOD11" s="75"/>
      <c r="EOE11" s="75"/>
      <c r="EOF11" s="75"/>
      <c r="EOG11" s="75"/>
      <c r="EOH11" s="75"/>
      <c r="EOI11" s="75"/>
      <c r="EOJ11" s="75"/>
      <c r="EOK11" s="75"/>
      <c r="EOL11" s="75"/>
      <c r="EOM11" s="75"/>
      <c r="EON11" s="75"/>
      <c r="EOO11" s="75"/>
      <c r="EOP11" s="75"/>
      <c r="EOQ11" s="75"/>
      <c r="EOR11" s="75"/>
      <c r="EOS11" s="75"/>
      <c r="EOT11" s="75"/>
      <c r="EOU11" s="75"/>
      <c r="EOV11" s="75"/>
      <c r="EOW11" s="75"/>
      <c r="EOX11" s="75"/>
      <c r="EOY11" s="75"/>
      <c r="EOZ11" s="75"/>
      <c r="EPA11" s="75"/>
      <c r="EPB11" s="75"/>
      <c r="EPC11" s="75"/>
      <c r="EPD11" s="75"/>
      <c r="EPE11" s="75"/>
      <c r="EPF11" s="75"/>
      <c r="EPG11" s="75"/>
      <c r="EPH11" s="75"/>
      <c r="EPI11" s="75"/>
      <c r="EPJ11" s="75"/>
      <c r="EPK11" s="75"/>
      <c r="EPL11" s="75"/>
      <c r="EPM11" s="75"/>
      <c r="EPN11" s="75"/>
      <c r="EPO11" s="75"/>
      <c r="EPP11" s="75"/>
      <c r="EPQ11" s="75"/>
      <c r="EPR11" s="75"/>
      <c r="EPS11" s="75"/>
      <c r="EPT11" s="75"/>
      <c r="EPU11" s="75"/>
      <c r="EPV11" s="75"/>
      <c r="EPW11" s="75"/>
      <c r="EPX11" s="75"/>
      <c r="EPY11" s="75"/>
      <c r="EPZ11" s="75"/>
      <c r="EQA11" s="75"/>
      <c r="EQB11" s="75"/>
      <c r="EQC11" s="75"/>
      <c r="EQD11" s="75"/>
      <c r="EQE11" s="75"/>
      <c r="EQF11" s="75"/>
      <c r="EQG11" s="75"/>
      <c r="EQH11" s="75"/>
      <c r="EQI11" s="75"/>
      <c r="EQJ11" s="75"/>
      <c r="EQK11" s="75"/>
      <c r="EQL11" s="75"/>
      <c r="EQM11" s="75"/>
      <c r="EQN11" s="75"/>
      <c r="EQO11" s="75"/>
      <c r="EQP11" s="75"/>
      <c r="EQQ11" s="75"/>
      <c r="EQR11" s="75"/>
      <c r="EQS11" s="75"/>
      <c r="EQT11" s="75"/>
      <c r="EQU11" s="75"/>
      <c r="EQV11" s="75"/>
      <c r="EQW11" s="75"/>
      <c r="EQX11" s="75"/>
      <c r="EQY11" s="75"/>
      <c r="EQZ11" s="75"/>
      <c r="ERA11" s="75"/>
      <c r="ERB11" s="75"/>
      <c r="ERC11" s="75"/>
      <c r="ERD11" s="75"/>
      <c r="ERE11" s="75"/>
      <c r="ERF11" s="75"/>
      <c r="ERG11" s="75"/>
      <c r="ERH11" s="75"/>
      <c r="ERI11" s="75"/>
      <c r="ERJ11" s="75"/>
      <c r="ERK11" s="75"/>
      <c r="ERL11" s="75"/>
      <c r="ERM11" s="75"/>
      <c r="ERN11" s="75"/>
      <c r="ERO11" s="75"/>
      <c r="ERP11" s="75"/>
      <c r="ERQ11" s="75"/>
      <c r="ERR11" s="75"/>
      <c r="ERS11" s="75"/>
      <c r="ERT11" s="75"/>
      <c r="ERU11" s="75"/>
      <c r="ERV11" s="75"/>
      <c r="ERW11" s="75"/>
      <c r="ERX11" s="75"/>
      <c r="ERY11" s="75"/>
      <c r="ERZ11" s="75"/>
      <c r="ESA11" s="75"/>
      <c r="ESB11" s="75"/>
      <c r="ESC11" s="75"/>
      <c r="ESD11" s="75"/>
      <c r="ESE11" s="75"/>
      <c r="ESF11" s="75"/>
      <c r="ESG11" s="75"/>
      <c r="ESH11" s="75"/>
      <c r="ESI11" s="75"/>
      <c r="ESJ11" s="75"/>
      <c r="ESK11" s="75"/>
      <c r="ESL11" s="75"/>
      <c r="ESM11" s="75"/>
      <c r="ESN11" s="75"/>
      <c r="ESO11" s="75"/>
      <c r="ESP11" s="75"/>
      <c r="ESQ11" s="75"/>
      <c r="ESR11" s="75"/>
      <c r="ESS11" s="75"/>
      <c r="EST11" s="75"/>
      <c r="ESU11" s="75"/>
      <c r="ESV11" s="75"/>
      <c r="ESW11" s="75"/>
      <c r="ESX11" s="75"/>
      <c r="ESY11" s="75"/>
      <c r="ESZ11" s="75"/>
      <c r="ETA11" s="75"/>
      <c r="ETB11" s="75"/>
      <c r="ETC11" s="75"/>
      <c r="ETD11" s="75"/>
      <c r="ETE11" s="75"/>
      <c r="ETF11" s="75"/>
      <c r="ETG11" s="75"/>
      <c r="ETH11" s="75"/>
      <c r="ETI11" s="75"/>
      <c r="ETJ11" s="75"/>
      <c r="ETK11" s="75"/>
      <c r="ETL11" s="75"/>
      <c r="ETM11" s="75"/>
      <c r="ETN11" s="75"/>
      <c r="ETO11" s="75"/>
      <c r="ETP11" s="75"/>
      <c r="ETQ11" s="75"/>
      <c r="ETR11" s="75"/>
      <c r="ETS11" s="75"/>
      <c r="ETT11" s="75"/>
      <c r="ETU11" s="75"/>
      <c r="ETV11" s="75"/>
      <c r="ETW11" s="75"/>
      <c r="ETX11" s="75"/>
      <c r="ETY11" s="75"/>
      <c r="ETZ11" s="75"/>
      <c r="EUA11" s="75"/>
      <c r="EUB11" s="75"/>
      <c r="EUC11" s="75"/>
      <c r="EUD11" s="75"/>
      <c r="EUE11" s="75"/>
      <c r="EUF11" s="75"/>
      <c r="EUG11" s="75"/>
      <c r="EUH11" s="75"/>
      <c r="EUI11" s="75"/>
      <c r="EUJ11" s="75"/>
      <c r="EUK11" s="75"/>
      <c r="EUL11" s="75"/>
      <c r="EUM11" s="75"/>
      <c r="EUN11" s="75"/>
      <c r="EUO11" s="75"/>
      <c r="EUP11" s="75"/>
      <c r="EUQ11" s="75"/>
      <c r="EUR11" s="75"/>
      <c r="EUS11" s="75"/>
      <c r="EUT11" s="75"/>
      <c r="EUU11" s="75"/>
      <c r="EUV11" s="75"/>
      <c r="EUW11" s="75"/>
      <c r="EUX11" s="75"/>
      <c r="EUY11" s="75"/>
      <c r="EUZ11" s="75"/>
      <c r="EVA11" s="75"/>
      <c r="EVB11" s="75"/>
      <c r="EVC11" s="75"/>
      <c r="EVD11" s="75"/>
      <c r="EVE11" s="75"/>
      <c r="EVF11" s="75"/>
      <c r="EVG11" s="75"/>
      <c r="EVH11" s="75"/>
      <c r="EVI11" s="75"/>
      <c r="EVJ11" s="75"/>
      <c r="EVK11" s="75"/>
      <c r="EVL11" s="75"/>
      <c r="EVM11" s="75"/>
      <c r="EVN11" s="75"/>
      <c r="EVO11" s="75"/>
      <c r="EVP11" s="75"/>
      <c r="EVQ11" s="75"/>
      <c r="EVR11" s="75"/>
      <c r="EVS11" s="75"/>
      <c r="EVT11" s="75"/>
      <c r="EVU11" s="75"/>
      <c r="EVV11" s="75"/>
      <c r="EVW11" s="75"/>
      <c r="EVX11" s="75"/>
      <c r="EVY11" s="75"/>
      <c r="EVZ11" s="75"/>
      <c r="EWA11" s="75"/>
      <c r="EWB11" s="75"/>
      <c r="EWC11" s="75"/>
      <c r="EWD11" s="75"/>
      <c r="EWE11" s="75"/>
      <c r="EWF11" s="75"/>
      <c r="EWG11" s="75"/>
      <c r="EWH11" s="75"/>
      <c r="EWI11" s="75"/>
      <c r="EWJ11" s="75"/>
      <c r="EWK11" s="75"/>
      <c r="EWL11" s="75"/>
      <c r="EWM11" s="75"/>
      <c r="EWN11" s="75"/>
      <c r="EWO11" s="75"/>
      <c r="EWP11" s="75"/>
      <c r="EWQ11" s="75"/>
      <c r="EWR11" s="75"/>
      <c r="EWS11" s="75"/>
      <c r="EWT11" s="75"/>
      <c r="EWU11" s="75"/>
      <c r="EWV11" s="75"/>
      <c r="EWW11" s="75"/>
      <c r="EWX11" s="75"/>
      <c r="EWY11" s="75"/>
      <c r="EWZ11" s="75"/>
      <c r="EXA11" s="75"/>
      <c r="EXB11" s="75"/>
      <c r="EXC11" s="75"/>
      <c r="EXD11" s="75"/>
      <c r="EXE11" s="75"/>
      <c r="EXF11" s="75"/>
      <c r="EXG11" s="75"/>
      <c r="EXH11" s="75"/>
      <c r="EXI11" s="75"/>
      <c r="EXJ11" s="75"/>
      <c r="EXK11" s="75"/>
      <c r="EXL11" s="75"/>
      <c r="EXM11" s="75"/>
      <c r="EXN11" s="75"/>
      <c r="EXO11" s="75"/>
      <c r="EXP11" s="75"/>
      <c r="EXQ11" s="75"/>
      <c r="EXR11" s="75"/>
      <c r="EXS11" s="75"/>
      <c r="EXT11" s="75"/>
      <c r="EXU11" s="75"/>
      <c r="EXV11" s="75"/>
      <c r="EXW11" s="75"/>
      <c r="EXX11" s="75"/>
      <c r="EXY11" s="75"/>
      <c r="EXZ11" s="75"/>
      <c r="EYA11" s="75"/>
      <c r="EYB11" s="75"/>
      <c r="EYC11" s="75"/>
      <c r="EYD11" s="75"/>
      <c r="EYE11" s="75"/>
      <c r="EYF11" s="75"/>
      <c r="EYG11" s="75"/>
      <c r="EYH11" s="75"/>
      <c r="EYI11" s="75"/>
      <c r="EYJ11" s="75"/>
      <c r="EYK11" s="75"/>
      <c r="EYL11" s="75"/>
      <c r="EYM11" s="75"/>
      <c r="EYN11" s="75"/>
      <c r="EYO11" s="75"/>
      <c r="EYP11" s="75"/>
      <c r="EYQ11" s="75"/>
      <c r="EYR11" s="75"/>
      <c r="EYS11" s="75"/>
      <c r="EYT11" s="75"/>
      <c r="EYU11" s="75"/>
      <c r="EYV11" s="75"/>
      <c r="EYW11" s="75"/>
      <c r="EYX11" s="75"/>
      <c r="EYY11" s="75"/>
      <c r="EYZ11" s="75"/>
      <c r="EZA11" s="75"/>
      <c r="EZB11" s="75"/>
      <c r="EZC11" s="75"/>
      <c r="EZD11" s="75"/>
      <c r="EZE11" s="75"/>
      <c r="EZF11" s="75"/>
      <c r="EZG11" s="75"/>
      <c r="EZH11" s="75"/>
      <c r="EZI11" s="75"/>
      <c r="EZJ11" s="75"/>
      <c r="EZK11" s="75"/>
      <c r="EZL11" s="75"/>
      <c r="EZM11" s="75"/>
      <c r="EZN11" s="75"/>
      <c r="EZO11" s="75"/>
      <c r="EZP11" s="75"/>
      <c r="EZQ11" s="75"/>
      <c r="EZR11" s="75"/>
      <c r="EZS11" s="75"/>
      <c r="EZT11" s="75"/>
      <c r="EZU11" s="75"/>
      <c r="EZV11" s="75"/>
      <c r="EZW11" s="75"/>
      <c r="EZX11" s="75"/>
      <c r="EZY11" s="75"/>
      <c r="EZZ11" s="75"/>
      <c r="FAA11" s="75"/>
      <c r="FAB11" s="75"/>
      <c r="FAC11" s="75"/>
      <c r="FAD11" s="75"/>
      <c r="FAE11" s="75"/>
      <c r="FAF11" s="75"/>
      <c r="FAG11" s="75"/>
      <c r="FAH11" s="75"/>
      <c r="FAI11" s="75"/>
      <c r="FAJ11" s="75"/>
      <c r="FAK11" s="75"/>
      <c r="FAL11" s="75"/>
      <c r="FAM11" s="75"/>
      <c r="FAN11" s="75"/>
      <c r="FAO11" s="75"/>
      <c r="FAP11" s="75"/>
      <c r="FAQ11" s="75"/>
      <c r="FAR11" s="75"/>
      <c r="FAS11" s="75"/>
      <c r="FAT11" s="75"/>
      <c r="FAU11" s="75"/>
      <c r="FAV11" s="75"/>
      <c r="FAW11" s="75"/>
      <c r="FAX11" s="75"/>
      <c r="FAY11" s="75"/>
      <c r="FAZ11" s="75"/>
      <c r="FBA11" s="75"/>
      <c r="FBB11" s="75"/>
      <c r="FBC11" s="75"/>
      <c r="FBD11" s="75"/>
      <c r="FBE11" s="75"/>
      <c r="FBF11" s="75"/>
      <c r="FBG11" s="75"/>
      <c r="FBH11" s="75"/>
      <c r="FBI11" s="75"/>
      <c r="FBJ11" s="75"/>
      <c r="FBK11" s="75"/>
      <c r="FBL11" s="75"/>
      <c r="FBM11" s="75"/>
      <c r="FBN11" s="75"/>
      <c r="FBO11" s="75"/>
      <c r="FBP11" s="75"/>
      <c r="FBQ11" s="75"/>
      <c r="FBR11" s="75"/>
      <c r="FBS11" s="75"/>
      <c r="FBT11" s="75"/>
      <c r="FBU11" s="75"/>
      <c r="FBV11" s="75"/>
      <c r="FBW11" s="75"/>
      <c r="FBX11" s="75"/>
      <c r="FBY11" s="75"/>
      <c r="FBZ11" s="75"/>
      <c r="FCA11" s="75"/>
      <c r="FCB11" s="75"/>
      <c r="FCC11" s="75"/>
      <c r="FCD11" s="75"/>
      <c r="FCE11" s="75"/>
      <c r="FCF11" s="75"/>
      <c r="FCG11" s="75"/>
      <c r="FCH11" s="75"/>
      <c r="FCI11" s="75"/>
      <c r="FCJ11" s="75"/>
      <c r="FCK11" s="75"/>
      <c r="FCL11" s="75"/>
      <c r="FCM11" s="75"/>
      <c r="FCN11" s="75"/>
      <c r="FCO11" s="75"/>
      <c r="FCP11" s="75"/>
      <c r="FCQ11" s="75"/>
      <c r="FCR11" s="75"/>
      <c r="FCS11" s="75"/>
      <c r="FCT11" s="75"/>
      <c r="FCU11" s="75"/>
      <c r="FCV11" s="75"/>
      <c r="FCW11" s="75"/>
      <c r="FCX11" s="75"/>
      <c r="FCY11" s="75"/>
      <c r="FCZ11" s="75"/>
      <c r="FDA11" s="75"/>
      <c r="FDB11" s="75"/>
      <c r="FDC11" s="75"/>
      <c r="FDD11" s="75"/>
      <c r="FDE11" s="75"/>
      <c r="FDF11" s="75"/>
      <c r="FDG11" s="75"/>
      <c r="FDH11" s="75"/>
      <c r="FDI11" s="75"/>
      <c r="FDJ11" s="75"/>
      <c r="FDK11" s="75"/>
      <c r="FDL11" s="75"/>
      <c r="FDM11" s="75"/>
      <c r="FDN11" s="75"/>
      <c r="FDO11" s="75"/>
      <c r="FDP11" s="75"/>
      <c r="FDQ11" s="75"/>
      <c r="FDR11" s="75"/>
      <c r="FDS11" s="75"/>
      <c r="FDT11" s="75"/>
      <c r="FDU11" s="75"/>
      <c r="FDV11" s="75"/>
      <c r="FDW11" s="75"/>
      <c r="FDX11" s="75"/>
      <c r="FDY11" s="75"/>
      <c r="FDZ11" s="75"/>
      <c r="FEA11" s="75"/>
      <c r="FEB11" s="75"/>
      <c r="FEC11" s="75"/>
      <c r="FED11" s="75"/>
      <c r="FEE11" s="75"/>
      <c r="FEF11" s="75"/>
      <c r="FEG11" s="75"/>
      <c r="FEH11" s="75"/>
      <c r="FEI11" s="75"/>
      <c r="FEJ11" s="75"/>
      <c r="FEK11" s="75"/>
      <c r="FEL11" s="75"/>
      <c r="FEM11" s="75"/>
      <c r="FEN11" s="75"/>
      <c r="FEO11" s="75"/>
      <c r="FEP11" s="75"/>
      <c r="FEQ11" s="75"/>
      <c r="FER11" s="75"/>
      <c r="FES11" s="75"/>
      <c r="FET11" s="75"/>
      <c r="FEU11" s="75"/>
      <c r="FEV11" s="75"/>
      <c r="FEW11" s="75"/>
      <c r="FEX11" s="75"/>
      <c r="FEY11" s="75"/>
      <c r="FEZ11" s="75"/>
      <c r="FFA11" s="75"/>
      <c r="FFB11" s="75"/>
      <c r="FFC11" s="75"/>
      <c r="FFD11" s="75"/>
      <c r="FFE11" s="75"/>
      <c r="FFF11" s="75"/>
      <c r="FFG11" s="75"/>
      <c r="FFH11" s="75"/>
      <c r="FFI11" s="75"/>
      <c r="FFJ11" s="75"/>
      <c r="FFK11" s="75"/>
      <c r="FFL11" s="75"/>
      <c r="FFM11" s="75"/>
      <c r="FFN11" s="75"/>
      <c r="FFO11" s="75"/>
      <c r="FFP11" s="75"/>
      <c r="FFQ11" s="75"/>
      <c r="FFR11" s="75"/>
      <c r="FFS11" s="75"/>
      <c r="FFT11" s="75"/>
      <c r="FFU11" s="75"/>
      <c r="FFV11" s="75"/>
      <c r="FFW11" s="75"/>
      <c r="FFX11" s="75"/>
      <c r="FFY11" s="75"/>
      <c r="FFZ11" s="75"/>
      <c r="FGA11" s="75"/>
      <c r="FGB11" s="75"/>
      <c r="FGC11" s="75"/>
      <c r="FGD11" s="75"/>
      <c r="FGE11" s="75"/>
      <c r="FGF11" s="75"/>
      <c r="FGG11" s="75"/>
      <c r="FGH11" s="75"/>
      <c r="FGI11" s="75"/>
      <c r="FGJ11" s="75"/>
      <c r="FGK11" s="75"/>
      <c r="FGL11" s="75"/>
      <c r="FGM11" s="75"/>
      <c r="FGN11" s="75"/>
      <c r="FGO11" s="75"/>
      <c r="FGP11" s="75"/>
      <c r="FGQ11" s="75"/>
      <c r="FGR11" s="75"/>
      <c r="FGS11" s="75"/>
      <c r="FGT11" s="75"/>
      <c r="FGU11" s="75"/>
      <c r="FGV11" s="75"/>
      <c r="FGW11" s="75"/>
      <c r="FGX11" s="75"/>
      <c r="FGY11" s="75"/>
      <c r="FGZ11" s="75"/>
      <c r="FHA11" s="75"/>
      <c r="FHB11" s="75"/>
      <c r="FHC11" s="75"/>
      <c r="FHD11" s="75"/>
      <c r="FHE11" s="75"/>
      <c r="FHF11" s="75"/>
      <c r="FHG11" s="75"/>
      <c r="FHH11" s="75"/>
      <c r="FHI11" s="75"/>
      <c r="FHJ11" s="75"/>
      <c r="FHK11" s="75"/>
      <c r="FHL11" s="75"/>
      <c r="FHM11" s="75"/>
      <c r="FHN11" s="75"/>
      <c r="FHO11" s="75"/>
      <c r="FHP11" s="75"/>
      <c r="FHQ11" s="75"/>
      <c r="FHR11" s="75"/>
      <c r="FHS11" s="75"/>
      <c r="FHT11" s="75"/>
      <c r="FHU11" s="75"/>
      <c r="FHV11" s="75"/>
      <c r="FHW11" s="75"/>
      <c r="FHX11" s="75"/>
      <c r="FHY11" s="75"/>
      <c r="FHZ11" s="75"/>
      <c r="FIA11" s="75"/>
      <c r="FIB11" s="75"/>
      <c r="FIC11" s="75"/>
      <c r="FID11" s="75"/>
      <c r="FIE11" s="75"/>
      <c r="FIF11" s="75"/>
      <c r="FIG11" s="75"/>
      <c r="FIH11" s="75"/>
      <c r="FII11" s="75"/>
      <c r="FIJ11" s="75"/>
      <c r="FIK11" s="75"/>
      <c r="FIL11" s="75"/>
      <c r="FIM11" s="75"/>
      <c r="FIN11" s="75"/>
      <c r="FIO11" s="75"/>
      <c r="FIP11" s="75"/>
      <c r="FIQ11" s="75"/>
      <c r="FIR11" s="75"/>
      <c r="FIS11" s="75"/>
      <c r="FIT11" s="75"/>
      <c r="FIU11" s="75"/>
      <c r="FIV11" s="75"/>
      <c r="FIW11" s="75"/>
      <c r="FIX11" s="75"/>
      <c r="FIY11" s="75"/>
      <c r="FIZ11" s="75"/>
      <c r="FJA11" s="75"/>
      <c r="FJB11" s="75"/>
      <c r="FJC11" s="75"/>
      <c r="FJD11" s="75"/>
      <c r="FJE11" s="75"/>
      <c r="FJF11" s="75"/>
      <c r="FJG11" s="75"/>
      <c r="FJH11" s="75"/>
      <c r="FJI11" s="75"/>
      <c r="FJJ11" s="75"/>
      <c r="FJK11" s="75"/>
      <c r="FJL11" s="75"/>
      <c r="FJM11" s="75"/>
      <c r="FJN11" s="75"/>
      <c r="FJO11" s="75"/>
      <c r="FJP11" s="75"/>
      <c r="FJQ11" s="75"/>
      <c r="FJR11" s="75"/>
      <c r="FJS11" s="75"/>
      <c r="FJT11" s="75"/>
      <c r="FJU11" s="75"/>
      <c r="FJV11" s="75"/>
      <c r="FJW11" s="75"/>
      <c r="FJX11" s="75"/>
      <c r="FJY11" s="75"/>
      <c r="FJZ11" s="75"/>
      <c r="FKA11" s="75"/>
      <c r="FKB11" s="75"/>
      <c r="FKC11" s="75"/>
      <c r="FKD11" s="75"/>
      <c r="FKE11" s="75"/>
      <c r="FKF11" s="75"/>
      <c r="FKG11" s="75"/>
      <c r="FKH11" s="75"/>
      <c r="FKI11" s="75"/>
      <c r="FKJ11" s="75"/>
      <c r="FKK11" s="75"/>
      <c r="FKL11" s="75"/>
      <c r="FKM11" s="75"/>
      <c r="FKN11" s="75"/>
      <c r="FKO11" s="75"/>
      <c r="FKP11" s="75"/>
      <c r="FKQ11" s="75"/>
      <c r="FKR11" s="75"/>
      <c r="FKS11" s="75"/>
      <c r="FKT11" s="75"/>
      <c r="FKU11" s="75"/>
      <c r="FKV11" s="75"/>
      <c r="FKW11" s="75"/>
      <c r="FKX11" s="75"/>
      <c r="FKY11" s="75"/>
      <c r="FKZ11" s="75"/>
      <c r="FLA11" s="75"/>
      <c r="FLB11" s="75"/>
      <c r="FLC11" s="75"/>
      <c r="FLD11" s="75"/>
      <c r="FLE11" s="75"/>
      <c r="FLF11" s="75"/>
      <c r="FLG11" s="75"/>
      <c r="FLH11" s="75"/>
      <c r="FLI11" s="75"/>
      <c r="FLJ11" s="75"/>
      <c r="FLK11" s="75"/>
      <c r="FLL11" s="75"/>
      <c r="FLM11" s="75"/>
      <c r="FLN11" s="75"/>
      <c r="FLO11" s="75"/>
      <c r="FLP11" s="75"/>
      <c r="FLQ11" s="75"/>
      <c r="FLR11" s="75"/>
      <c r="FLS11" s="75"/>
      <c r="FLT11" s="75"/>
      <c r="FLU11" s="75"/>
      <c r="FLV11" s="75"/>
      <c r="FLW11" s="75"/>
      <c r="FLX11" s="75"/>
      <c r="FLY11" s="75"/>
      <c r="FLZ11" s="75"/>
      <c r="FMA11" s="75"/>
      <c r="FMB11" s="75"/>
      <c r="FMC11" s="75"/>
      <c r="FMD11" s="75"/>
      <c r="FME11" s="75"/>
      <c r="FMF11" s="75"/>
      <c r="FMG11" s="75"/>
      <c r="FMH11" s="75"/>
      <c r="FMI11" s="75"/>
      <c r="FMJ11" s="75"/>
      <c r="FMK11" s="75"/>
      <c r="FML11" s="75"/>
      <c r="FMM11" s="75"/>
      <c r="FMN11" s="75"/>
      <c r="FMO11" s="75"/>
      <c r="FMP11" s="75"/>
      <c r="FMQ11" s="75"/>
      <c r="FMR11" s="75"/>
      <c r="FMS11" s="75"/>
      <c r="FMT11" s="75"/>
      <c r="FMU11" s="75"/>
      <c r="FMV11" s="75"/>
      <c r="FMW11" s="75"/>
      <c r="FMX11" s="75"/>
      <c r="FMY11" s="75"/>
      <c r="FMZ11" s="75"/>
      <c r="FNA11" s="75"/>
      <c r="FNB11" s="75"/>
      <c r="FNC11" s="75"/>
      <c r="FND11" s="75"/>
      <c r="FNE11" s="75"/>
      <c r="FNF11" s="75"/>
      <c r="FNG11" s="75"/>
      <c r="FNH11" s="75"/>
      <c r="FNI11" s="75"/>
      <c r="FNJ11" s="75"/>
      <c r="FNK11" s="75"/>
      <c r="FNL11" s="75"/>
      <c r="FNM11" s="75"/>
      <c r="FNN11" s="75"/>
      <c r="FNO11" s="75"/>
      <c r="FNP11" s="75"/>
      <c r="FNQ11" s="75"/>
      <c r="FNR11" s="75"/>
      <c r="FNS11" s="75"/>
      <c r="FNT11" s="75"/>
      <c r="FNU11" s="75"/>
      <c r="FNV11" s="75"/>
      <c r="FNW11" s="75"/>
      <c r="FNX11" s="75"/>
      <c r="FNY11" s="75"/>
      <c r="FNZ11" s="75"/>
      <c r="FOA11" s="75"/>
      <c r="FOB11" s="75"/>
      <c r="FOC11" s="75"/>
      <c r="FOD11" s="75"/>
      <c r="FOE11" s="75"/>
      <c r="FOF11" s="75"/>
      <c r="FOG11" s="75"/>
      <c r="FOH11" s="75"/>
      <c r="FOI11" s="75"/>
      <c r="FOJ11" s="75"/>
      <c r="FOK11" s="75"/>
      <c r="FOL11" s="75"/>
      <c r="FOM11" s="75"/>
      <c r="FON11" s="75"/>
      <c r="FOO11" s="75"/>
      <c r="FOP11" s="75"/>
      <c r="FOQ11" s="75"/>
      <c r="FOR11" s="75"/>
      <c r="FOS11" s="75"/>
      <c r="FOT11" s="75"/>
      <c r="FOU11" s="75"/>
      <c r="FOV11" s="75"/>
      <c r="FOW11" s="75"/>
      <c r="FOX11" s="75"/>
      <c r="FOY11" s="75"/>
      <c r="FOZ11" s="75"/>
      <c r="FPA11" s="75"/>
      <c r="FPB11" s="75"/>
      <c r="FPC11" s="75"/>
      <c r="FPD11" s="75"/>
      <c r="FPE11" s="75"/>
      <c r="FPF11" s="75"/>
      <c r="FPG11" s="75"/>
      <c r="FPH11" s="75"/>
      <c r="FPI11" s="75"/>
      <c r="FPJ11" s="75"/>
      <c r="FPK11" s="75"/>
      <c r="FPL11" s="75"/>
      <c r="FPM11" s="75"/>
      <c r="FPN11" s="75"/>
      <c r="FPO11" s="75"/>
      <c r="FPP11" s="75"/>
      <c r="FPQ11" s="75"/>
      <c r="FPR11" s="75"/>
      <c r="FPS11" s="75"/>
      <c r="FPT11" s="75"/>
      <c r="FPU11" s="75"/>
      <c r="FPV11" s="75"/>
      <c r="FPW11" s="75"/>
      <c r="FPX11" s="75"/>
      <c r="FPY11" s="75"/>
      <c r="FPZ11" s="75"/>
      <c r="FQA11" s="75"/>
      <c r="FQB11" s="75"/>
      <c r="FQC11" s="75"/>
      <c r="FQD11" s="75"/>
      <c r="FQE11" s="75"/>
      <c r="FQF11" s="75"/>
      <c r="FQG11" s="75"/>
      <c r="FQH11" s="75"/>
      <c r="FQI11" s="75"/>
      <c r="FQJ11" s="75"/>
      <c r="FQK11" s="75"/>
      <c r="FQL11" s="75"/>
      <c r="FQM11" s="75"/>
      <c r="FQN11" s="75"/>
      <c r="FQO11" s="75"/>
      <c r="FQP11" s="75"/>
      <c r="FQQ11" s="75"/>
      <c r="FQR11" s="75"/>
      <c r="FQS11" s="75"/>
      <c r="FQT11" s="75"/>
      <c r="FQU11" s="75"/>
      <c r="FQV11" s="75"/>
      <c r="FQW11" s="75"/>
      <c r="FQX11" s="75"/>
      <c r="FQY11" s="75"/>
      <c r="FQZ11" s="75"/>
      <c r="FRA11" s="75"/>
      <c r="FRB11" s="75"/>
      <c r="FRC11" s="75"/>
      <c r="FRD11" s="75"/>
      <c r="FRE11" s="75"/>
      <c r="FRF11" s="75"/>
      <c r="FRG11" s="75"/>
      <c r="FRH11" s="75"/>
      <c r="FRI11" s="75"/>
      <c r="FRJ11" s="75"/>
      <c r="FRK11" s="75"/>
      <c r="FRL11" s="75"/>
      <c r="FRM11" s="75"/>
      <c r="FRN11" s="75"/>
      <c r="FRO11" s="75"/>
      <c r="FRP11" s="75"/>
      <c r="FRQ11" s="75"/>
      <c r="FRR11" s="75"/>
      <c r="FRS11" s="75"/>
      <c r="FRT11" s="75"/>
      <c r="FRU11" s="75"/>
      <c r="FRV11" s="75"/>
      <c r="FRW11" s="75"/>
      <c r="FRX11" s="75"/>
      <c r="FRY11" s="75"/>
      <c r="FRZ11" s="75"/>
      <c r="FSA11" s="75"/>
      <c r="FSB11" s="75"/>
      <c r="FSC11" s="75"/>
      <c r="FSD11" s="75"/>
      <c r="FSE11" s="75"/>
      <c r="FSF11" s="75"/>
      <c r="FSG11" s="75"/>
      <c r="FSH11" s="75"/>
      <c r="FSI11" s="75"/>
      <c r="FSJ11" s="75"/>
      <c r="FSK11" s="75"/>
      <c r="FSL11" s="75"/>
      <c r="FSM11" s="75"/>
      <c r="FSN11" s="75"/>
      <c r="FSO11" s="75"/>
      <c r="FSP11" s="75"/>
      <c r="FSQ11" s="75"/>
      <c r="FSR11" s="75"/>
      <c r="FSS11" s="75"/>
      <c r="FST11" s="75"/>
      <c r="FSU11" s="75"/>
      <c r="FSV11" s="75"/>
      <c r="FSW11" s="75"/>
      <c r="FSX11" s="75"/>
      <c r="FSY11" s="75"/>
      <c r="FSZ11" s="75"/>
      <c r="FTA11" s="75"/>
      <c r="FTB11" s="75"/>
      <c r="FTC11" s="75"/>
      <c r="FTD11" s="75"/>
      <c r="FTE11" s="75"/>
      <c r="FTF11" s="75"/>
      <c r="FTG11" s="75"/>
      <c r="FTH11" s="75"/>
      <c r="FTI11" s="75"/>
      <c r="FTJ11" s="75"/>
      <c r="FTK11" s="75"/>
      <c r="FTL11" s="75"/>
      <c r="FTM11" s="75"/>
      <c r="FTN11" s="75"/>
      <c r="FTO11" s="75"/>
      <c r="FTP11" s="75"/>
      <c r="FTQ11" s="75"/>
      <c r="FTR11" s="75"/>
      <c r="FTS11" s="75"/>
      <c r="FTT11" s="75"/>
      <c r="FTU11" s="75"/>
      <c r="FTV11" s="75"/>
      <c r="FTW11" s="75"/>
      <c r="FTX11" s="75"/>
      <c r="FTY11" s="75"/>
      <c r="FTZ11" s="75"/>
      <c r="FUA11" s="75"/>
      <c r="FUB11" s="75"/>
      <c r="FUC11" s="75"/>
      <c r="FUD11" s="75"/>
      <c r="FUE11" s="75"/>
      <c r="FUF11" s="75"/>
      <c r="FUG11" s="75"/>
      <c r="FUH11" s="75"/>
      <c r="FUI11" s="75"/>
      <c r="FUJ11" s="75"/>
      <c r="FUK11" s="75"/>
      <c r="FUL11" s="75"/>
      <c r="FUM11" s="75"/>
      <c r="FUN11" s="75"/>
      <c r="FUO11" s="75"/>
      <c r="FUP11" s="75"/>
      <c r="FUQ11" s="75"/>
      <c r="FUR11" s="75"/>
      <c r="FUS11" s="75"/>
      <c r="FUT11" s="75"/>
      <c r="FUU11" s="75"/>
      <c r="FUV11" s="75"/>
      <c r="FUW11" s="75"/>
      <c r="FUX11" s="75"/>
      <c r="FUY11" s="75"/>
      <c r="FUZ11" s="75"/>
      <c r="FVA11" s="75"/>
      <c r="FVB11" s="75"/>
      <c r="FVC11" s="75"/>
      <c r="FVD11" s="75"/>
      <c r="FVE11" s="75"/>
      <c r="FVF11" s="75"/>
      <c r="FVG11" s="75"/>
      <c r="FVH11" s="75"/>
      <c r="FVI11" s="75"/>
      <c r="FVJ11" s="75"/>
      <c r="FVK11" s="75"/>
      <c r="FVL11" s="75"/>
      <c r="FVM11" s="75"/>
      <c r="FVN11" s="75"/>
      <c r="FVO11" s="75"/>
      <c r="FVP11" s="75"/>
      <c r="FVQ11" s="75"/>
      <c r="FVR11" s="75"/>
      <c r="FVS11" s="75"/>
      <c r="FVT11" s="75"/>
      <c r="FVU11" s="75"/>
      <c r="FVV11" s="75"/>
      <c r="FVW11" s="75"/>
      <c r="FVX11" s="75"/>
      <c r="FVY11" s="75"/>
      <c r="FVZ11" s="75"/>
      <c r="FWA11" s="75"/>
      <c r="FWB11" s="75"/>
      <c r="FWC11" s="75"/>
      <c r="FWD11" s="75"/>
      <c r="FWE11" s="75"/>
      <c r="FWF11" s="75"/>
      <c r="FWG11" s="75"/>
      <c r="FWH11" s="75"/>
      <c r="FWI11" s="75"/>
      <c r="FWJ11" s="75"/>
      <c r="FWK11" s="75"/>
      <c r="FWL11" s="75"/>
      <c r="FWM11" s="75"/>
      <c r="FWN11" s="75"/>
      <c r="FWO11" s="75"/>
      <c r="FWP11" s="75"/>
      <c r="FWQ11" s="75"/>
      <c r="FWR11" s="75"/>
      <c r="FWS11" s="75"/>
      <c r="FWT11" s="75"/>
      <c r="FWU11" s="75"/>
      <c r="FWV11" s="75"/>
      <c r="FWW11" s="75"/>
      <c r="FWX11" s="75"/>
      <c r="FWY11" s="75"/>
      <c r="FWZ11" s="75"/>
      <c r="FXA11" s="75"/>
      <c r="FXB11" s="75"/>
      <c r="FXC11" s="75"/>
      <c r="FXD11" s="75"/>
      <c r="FXE11" s="75"/>
      <c r="FXF11" s="75"/>
      <c r="FXG11" s="75"/>
      <c r="FXH11" s="75"/>
      <c r="FXI11" s="75"/>
      <c r="FXJ11" s="75"/>
      <c r="FXK11" s="75"/>
      <c r="FXL11" s="75"/>
      <c r="FXM11" s="75"/>
      <c r="FXN11" s="75"/>
      <c r="FXO11" s="75"/>
      <c r="FXP11" s="75"/>
      <c r="FXQ11" s="75"/>
      <c r="FXR11" s="75"/>
      <c r="FXS11" s="75"/>
      <c r="FXT11" s="75"/>
      <c r="FXU11" s="75"/>
      <c r="FXV11" s="75"/>
      <c r="FXW11" s="75"/>
      <c r="FXX11" s="75"/>
      <c r="FXY11" s="75"/>
      <c r="FXZ11" s="75"/>
      <c r="FYA11" s="75"/>
      <c r="FYB11" s="75"/>
      <c r="FYC11" s="75"/>
      <c r="FYD11" s="75"/>
      <c r="FYE11" s="75"/>
      <c r="FYF11" s="75"/>
      <c r="FYG11" s="75"/>
      <c r="FYH11" s="75"/>
      <c r="FYI11" s="75"/>
      <c r="FYJ11" s="75"/>
      <c r="FYK11" s="75"/>
      <c r="FYL11" s="75"/>
      <c r="FYM11" s="75"/>
      <c r="FYN11" s="75"/>
      <c r="FYO11" s="75"/>
      <c r="FYP11" s="75"/>
      <c r="FYQ11" s="75"/>
      <c r="FYR11" s="75"/>
      <c r="FYS11" s="75"/>
      <c r="FYT11" s="75"/>
      <c r="FYU11" s="75"/>
      <c r="FYV11" s="75"/>
      <c r="FYW11" s="75"/>
      <c r="FYX11" s="75"/>
      <c r="FYY11" s="75"/>
      <c r="FYZ11" s="75"/>
      <c r="FZA11" s="75"/>
      <c r="FZB11" s="75"/>
      <c r="FZC11" s="75"/>
      <c r="FZD11" s="75"/>
      <c r="FZE11" s="75"/>
      <c r="FZF11" s="75"/>
      <c r="FZG11" s="75"/>
      <c r="FZH11" s="75"/>
      <c r="FZI11" s="75"/>
      <c r="FZJ11" s="75"/>
      <c r="FZK11" s="75"/>
      <c r="FZL11" s="75"/>
      <c r="FZM11" s="75"/>
      <c r="FZN11" s="75"/>
      <c r="FZO11" s="75"/>
      <c r="FZP11" s="75"/>
      <c r="FZQ11" s="75"/>
      <c r="FZR11" s="75"/>
      <c r="FZS11" s="75"/>
      <c r="FZT11" s="75"/>
      <c r="FZU11" s="75"/>
      <c r="FZV11" s="75"/>
      <c r="FZW11" s="75"/>
      <c r="FZX11" s="75"/>
      <c r="FZY11" s="75"/>
      <c r="FZZ11" s="75"/>
      <c r="GAA11" s="75"/>
      <c r="GAB11" s="75"/>
      <c r="GAC11" s="75"/>
      <c r="GAD11" s="75"/>
      <c r="GAE11" s="75"/>
      <c r="GAF11" s="75"/>
      <c r="GAG11" s="75"/>
      <c r="GAH11" s="75"/>
      <c r="GAI11" s="75"/>
      <c r="GAJ11" s="75"/>
      <c r="GAK11" s="75"/>
      <c r="GAL11" s="75"/>
      <c r="GAM11" s="75"/>
      <c r="GAN11" s="75"/>
      <c r="GAO11" s="75"/>
      <c r="GAP11" s="75"/>
      <c r="GAQ11" s="75"/>
      <c r="GAR11" s="75"/>
      <c r="GAS11" s="75"/>
      <c r="GAT11" s="75"/>
      <c r="GAU11" s="75"/>
      <c r="GAV11" s="75"/>
      <c r="GAW11" s="75"/>
      <c r="GAX11" s="75"/>
      <c r="GAY11" s="75"/>
      <c r="GAZ11" s="75"/>
      <c r="GBA11" s="75"/>
      <c r="GBB11" s="75"/>
      <c r="GBC11" s="75"/>
      <c r="GBD11" s="75"/>
      <c r="GBE11" s="75"/>
      <c r="GBF11" s="75"/>
      <c r="GBG11" s="75"/>
      <c r="GBH11" s="75"/>
      <c r="GBI11" s="75"/>
      <c r="GBJ11" s="75"/>
      <c r="GBK11" s="75"/>
      <c r="GBL11" s="75"/>
      <c r="GBM11" s="75"/>
      <c r="GBN11" s="75"/>
      <c r="GBO11" s="75"/>
      <c r="GBP11" s="75"/>
      <c r="GBQ11" s="75"/>
      <c r="GBR11" s="75"/>
      <c r="GBS11" s="75"/>
      <c r="GBT11" s="75"/>
      <c r="GBU11" s="75"/>
      <c r="GBV11" s="75"/>
      <c r="GBW11" s="75"/>
      <c r="GBX11" s="75"/>
      <c r="GBY11" s="75"/>
      <c r="GBZ11" s="75"/>
      <c r="GCA11" s="75"/>
      <c r="GCB11" s="75"/>
      <c r="GCC11" s="75"/>
      <c r="GCD11" s="75"/>
      <c r="GCE11" s="75"/>
      <c r="GCF11" s="75"/>
      <c r="GCG11" s="75"/>
      <c r="GCH11" s="75"/>
      <c r="GCI11" s="75"/>
      <c r="GCJ11" s="75"/>
      <c r="GCK11" s="75"/>
      <c r="GCL11" s="75"/>
      <c r="GCM11" s="75"/>
      <c r="GCN11" s="75"/>
      <c r="GCO11" s="75"/>
      <c r="GCP11" s="75"/>
      <c r="GCQ11" s="75"/>
      <c r="GCR11" s="75"/>
      <c r="GCS11" s="75"/>
      <c r="GCT11" s="75"/>
      <c r="GCU11" s="75"/>
      <c r="GCV11" s="75"/>
      <c r="GCW11" s="75"/>
      <c r="GCX11" s="75"/>
      <c r="GCY11" s="75"/>
      <c r="GCZ11" s="75"/>
      <c r="GDA11" s="75"/>
      <c r="GDB11" s="75"/>
      <c r="GDC11" s="75"/>
      <c r="GDD11" s="75"/>
      <c r="GDE11" s="75"/>
      <c r="GDF11" s="75"/>
      <c r="GDG11" s="75"/>
      <c r="GDH11" s="75"/>
      <c r="GDI11" s="75"/>
      <c r="GDJ11" s="75"/>
      <c r="GDK11" s="75"/>
      <c r="GDL11" s="75"/>
      <c r="GDM11" s="75"/>
      <c r="GDN11" s="75"/>
      <c r="GDO11" s="75"/>
      <c r="GDP11" s="75"/>
      <c r="GDQ11" s="75"/>
      <c r="GDR11" s="75"/>
      <c r="GDS11" s="75"/>
      <c r="GDT11" s="75"/>
      <c r="GDU11" s="75"/>
      <c r="GDV11" s="75"/>
      <c r="GDW11" s="75"/>
      <c r="GDX11" s="75"/>
      <c r="GDY11" s="75"/>
      <c r="GDZ11" s="75"/>
      <c r="GEA11" s="75"/>
      <c r="GEB11" s="75"/>
      <c r="GEC11" s="75"/>
      <c r="GED11" s="75"/>
      <c r="GEE11" s="75"/>
      <c r="GEF11" s="75"/>
      <c r="GEG11" s="75"/>
      <c r="GEH11" s="75"/>
      <c r="GEI11" s="75"/>
      <c r="GEJ11" s="75"/>
      <c r="GEK11" s="75"/>
      <c r="GEL11" s="75"/>
      <c r="GEM11" s="75"/>
      <c r="GEN11" s="75"/>
      <c r="GEO11" s="75"/>
      <c r="GEP11" s="75"/>
      <c r="GEQ11" s="75"/>
      <c r="GER11" s="75"/>
      <c r="GES11" s="75"/>
      <c r="GET11" s="75"/>
      <c r="GEU11" s="75"/>
      <c r="GEV11" s="75"/>
      <c r="GEW11" s="75"/>
      <c r="GEX11" s="75"/>
      <c r="GEY11" s="75"/>
      <c r="GEZ11" s="75"/>
      <c r="GFA11" s="75"/>
      <c r="GFB11" s="75"/>
      <c r="GFC11" s="75"/>
      <c r="GFD11" s="75"/>
      <c r="GFE11" s="75"/>
      <c r="GFF11" s="75"/>
      <c r="GFG11" s="75"/>
      <c r="GFH11" s="75"/>
      <c r="GFI11" s="75"/>
      <c r="GFJ11" s="75"/>
      <c r="GFK11" s="75"/>
      <c r="GFL11" s="75"/>
      <c r="GFM11" s="75"/>
      <c r="GFN11" s="75"/>
      <c r="GFO11" s="75"/>
      <c r="GFP11" s="75"/>
      <c r="GFQ11" s="75"/>
      <c r="GFR11" s="75"/>
      <c r="GFS11" s="75"/>
      <c r="GFT11" s="75"/>
      <c r="GFU11" s="75"/>
      <c r="GFV11" s="75"/>
      <c r="GFW11" s="75"/>
      <c r="GFX11" s="75"/>
      <c r="GFY11" s="75"/>
      <c r="GFZ11" s="75"/>
      <c r="GGA11" s="75"/>
      <c r="GGB11" s="75"/>
      <c r="GGC11" s="75"/>
      <c r="GGD11" s="75"/>
      <c r="GGE11" s="75"/>
      <c r="GGF11" s="75"/>
      <c r="GGG11" s="75"/>
      <c r="GGH11" s="75"/>
      <c r="GGI11" s="75"/>
      <c r="GGJ11" s="75"/>
      <c r="GGK11" s="75"/>
      <c r="GGL11" s="75"/>
      <c r="GGM11" s="75"/>
      <c r="GGN11" s="75"/>
      <c r="GGO11" s="75"/>
      <c r="GGP11" s="75"/>
      <c r="GGQ11" s="75"/>
      <c r="GGR11" s="75"/>
      <c r="GGS11" s="75"/>
      <c r="GGT11" s="75"/>
      <c r="GGU11" s="75"/>
      <c r="GGV11" s="75"/>
      <c r="GGW11" s="75"/>
      <c r="GGX11" s="75"/>
      <c r="GGY11" s="75"/>
      <c r="GGZ11" s="75"/>
      <c r="GHA11" s="75"/>
      <c r="GHB11" s="75"/>
      <c r="GHC11" s="75"/>
      <c r="GHD11" s="75"/>
      <c r="GHE11" s="75"/>
      <c r="GHF11" s="75"/>
      <c r="GHG11" s="75"/>
      <c r="GHH11" s="75"/>
      <c r="GHI11" s="75"/>
      <c r="GHJ11" s="75"/>
      <c r="GHK11" s="75"/>
      <c r="GHL11" s="75"/>
      <c r="GHM11" s="75"/>
      <c r="GHN11" s="75"/>
      <c r="GHO11" s="75"/>
      <c r="GHP11" s="75"/>
      <c r="GHQ11" s="75"/>
      <c r="GHR11" s="75"/>
      <c r="GHS11" s="75"/>
      <c r="GHT11" s="75"/>
      <c r="GHU11" s="75"/>
      <c r="GHV11" s="75"/>
      <c r="GHW11" s="75"/>
      <c r="GHX11" s="75"/>
      <c r="GHY11" s="75"/>
      <c r="GHZ11" s="75"/>
      <c r="GIA11" s="75"/>
      <c r="GIB11" s="75"/>
      <c r="GIC11" s="75"/>
      <c r="GID11" s="75"/>
      <c r="GIE11" s="75"/>
      <c r="GIF11" s="75"/>
      <c r="GIG11" s="75"/>
      <c r="GIH11" s="75"/>
      <c r="GII11" s="75"/>
      <c r="GIJ11" s="75"/>
      <c r="GIK11" s="75"/>
      <c r="GIL11" s="75"/>
      <c r="GIM11" s="75"/>
      <c r="GIN11" s="75"/>
      <c r="GIO11" s="75"/>
      <c r="GIP11" s="75"/>
      <c r="GIQ11" s="75"/>
      <c r="GIR11" s="75"/>
      <c r="GIS11" s="75"/>
      <c r="GIT11" s="75"/>
      <c r="GIU11" s="75"/>
      <c r="GIV11" s="75"/>
      <c r="GIW11" s="75"/>
      <c r="GIX11" s="75"/>
      <c r="GIY11" s="75"/>
      <c r="GIZ11" s="75"/>
      <c r="GJA11" s="75"/>
      <c r="GJB11" s="75"/>
      <c r="GJC11" s="75"/>
      <c r="GJD11" s="75"/>
      <c r="GJE11" s="75"/>
      <c r="GJF11" s="75"/>
      <c r="GJG11" s="75"/>
      <c r="GJH11" s="75"/>
      <c r="GJI11" s="75"/>
      <c r="GJJ11" s="75"/>
      <c r="GJK11" s="75"/>
      <c r="GJL11" s="75"/>
      <c r="GJM11" s="75"/>
      <c r="GJN11" s="75"/>
      <c r="GJO11" s="75"/>
      <c r="GJP11" s="75"/>
      <c r="GJQ11" s="75"/>
      <c r="GJR11" s="75"/>
      <c r="GJS11" s="75"/>
      <c r="GJT11" s="75"/>
      <c r="GJU11" s="75"/>
      <c r="GJV11" s="75"/>
      <c r="GJW11" s="75"/>
      <c r="GJX11" s="75"/>
      <c r="GJY11" s="75"/>
      <c r="GJZ11" s="75"/>
      <c r="GKA11" s="75"/>
      <c r="GKB11" s="75"/>
      <c r="GKC11" s="75"/>
      <c r="GKD11" s="75"/>
      <c r="GKE11" s="75"/>
      <c r="GKF11" s="75"/>
      <c r="GKG11" s="75"/>
      <c r="GKH11" s="75"/>
      <c r="GKI11" s="75"/>
      <c r="GKJ11" s="75"/>
      <c r="GKK11" s="75"/>
      <c r="GKL11" s="75"/>
      <c r="GKM11" s="75"/>
      <c r="GKN11" s="75"/>
      <c r="GKO11" s="75"/>
      <c r="GKP11" s="75"/>
      <c r="GKQ11" s="75"/>
      <c r="GKR11" s="75"/>
      <c r="GKS11" s="75"/>
      <c r="GKT11" s="75"/>
      <c r="GKU11" s="75"/>
      <c r="GKV11" s="75"/>
      <c r="GKW11" s="75"/>
      <c r="GKX11" s="75"/>
      <c r="GKY11" s="75"/>
      <c r="GKZ11" s="75"/>
      <c r="GLA11" s="75"/>
      <c r="GLB11" s="75"/>
      <c r="GLC11" s="75"/>
      <c r="GLD11" s="75"/>
      <c r="GLE11" s="75"/>
      <c r="GLF11" s="75"/>
      <c r="GLG11" s="75"/>
      <c r="GLH11" s="75"/>
      <c r="GLI11" s="75"/>
      <c r="GLJ11" s="75"/>
      <c r="GLK11" s="75"/>
      <c r="GLL11" s="75"/>
      <c r="GLM11" s="75"/>
      <c r="GLN11" s="75"/>
      <c r="GLO11" s="75"/>
      <c r="GLP11" s="75"/>
      <c r="GLQ11" s="75"/>
      <c r="GLR11" s="75"/>
      <c r="GLS11" s="75"/>
      <c r="GLT11" s="75"/>
      <c r="GLU11" s="75"/>
      <c r="GLV11" s="75"/>
      <c r="GLW11" s="75"/>
      <c r="GLX11" s="75"/>
      <c r="GLY11" s="75"/>
      <c r="GLZ11" s="75"/>
      <c r="GMA11" s="75"/>
      <c r="GMB11" s="75"/>
      <c r="GMC11" s="75"/>
      <c r="GMD11" s="75"/>
      <c r="GME11" s="75"/>
      <c r="GMF11" s="75"/>
      <c r="GMG11" s="75"/>
      <c r="GMH11" s="75"/>
      <c r="GMI11" s="75"/>
      <c r="GMJ11" s="75"/>
      <c r="GMK11" s="75"/>
      <c r="GML11" s="75"/>
      <c r="GMM11" s="75"/>
      <c r="GMN11" s="75"/>
      <c r="GMO11" s="75"/>
      <c r="GMP11" s="75"/>
      <c r="GMQ11" s="75"/>
      <c r="GMR11" s="75"/>
      <c r="GMS11" s="75"/>
      <c r="GMT11" s="75"/>
      <c r="GMU11" s="75"/>
      <c r="GMV11" s="75"/>
      <c r="GMW11" s="75"/>
      <c r="GMX11" s="75"/>
      <c r="GMY11" s="75"/>
      <c r="GMZ11" s="75"/>
      <c r="GNA11" s="75"/>
      <c r="GNB11" s="75"/>
      <c r="GNC11" s="75"/>
      <c r="GND11" s="75"/>
      <c r="GNE11" s="75"/>
      <c r="GNF11" s="75"/>
      <c r="GNG11" s="75"/>
      <c r="GNH11" s="75"/>
      <c r="GNI11" s="75"/>
      <c r="GNJ11" s="75"/>
      <c r="GNK11" s="75"/>
      <c r="GNL11" s="75"/>
      <c r="GNM11" s="75"/>
      <c r="GNN11" s="75"/>
      <c r="GNO11" s="75"/>
      <c r="GNP11" s="75"/>
      <c r="GNQ11" s="75"/>
      <c r="GNR11" s="75"/>
      <c r="GNS11" s="75"/>
      <c r="GNT11" s="75"/>
      <c r="GNU11" s="75"/>
      <c r="GNV11" s="75"/>
      <c r="GNW11" s="75"/>
      <c r="GNX11" s="75"/>
      <c r="GNY11" s="75"/>
      <c r="GNZ11" s="75"/>
      <c r="GOA11" s="75"/>
      <c r="GOB11" s="75"/>
      <c r="GOC11" s="75"/>
      <c r="GOD11" s="75"/>
      <c r="GOE11" s="75"/>
      <c r="GOF11" s="75"/>
      <c r="GOG11" s="75"/>
      <c r="GOH11" s="75"/>
      <c r="GOI11" s="75"/>
      <c r="GOJ11" s="75"/>
      <c r="GOK11" s="75"/>
      <c r="GOL11" s="75"/>
      <c r="GOM11" s="75"/>
      <c r="GON11" s="75"/>
      <c r="GOO11" s="75"/>
      <c r="GOP11" s="75"/>
      <c r="GOQ11" s="75"/>
      <c r="GOR11" s="75"/>
      <c r="GOS11" s="75"/>
      <c r="GOT11" s="75"/>
      <c r="GOU11" s="75"/>
      <c r="GOV11" s="75"/>
      <c r="GOW11" s="75"/>
      <c r="GOX11" s="75"/>
      <c r="GOY11" s="75"/>
      <c r="GOZ11" s="75"/>
      <c r="GPA11" s="75"/>
      <c r="GPB11" s="75"/>
      <c r="GPC11" s="75"/>
      <c r="GPD11" s="75"/>
      <c r="GPE11" s="75"/>
      <c r="GPF11" s="75"/>
      <c r="GPG11" s="75"/>
      <c r="GPH11" s="75"/>
      <c r="GPI11" s="75"/>
      <c r="GPJ11" s="75"/>
      <c r="GPK11" s="75"/>
      <c r="GPL11" s="75"/>
      <c r="GPM11" s="75"/>
      <c r="GPN11" s="75"/>
      <c r="GPO11" s="75"/>
      <c r="GPP11" s="75"/>
      <c r="GPQ11" s="75"/>
      <c r="GPR11" s="75"/>
      <c r="GPS11" s="75"/>
      <c r="GPT11" s="75"/>
      <c r="GPU11" s="75"/>
      <c r="GPV11" s="75"/>
      <c r="GPW11" s="75"/>
      <c r="GPX11" s="75"/>
      <c r="GPY11" s="75"/>
      <c r="GPZ11" s="75"/>
      <c r="GQA11" s="75"/>
      <c r="GQB11" s="75"/>
      <c r="GQC11" s="75"/>
      <c r="GQD11" s="75"/>
      <c r="GQE11" s="75"/>
      <c r="GQF11" s="75"/>
      <c r="GQG11" s="75"/>
      <c r="GQH11" s="75"/>
      <c r="GQI11" s="75"/>
      <c r="GQJ11" s="75"/>
      <c r="GQK11" s="75"/>
      <c r="GQL11" s="75"/>
      <c r="GQM11" s="75"/>
      <c r="GQN11" s="75"/>
      <c r="GQO11" s="75"/>
      <c r="GQP11" s="75"/>
      <c r="GQQ11" s="75"/>
      <c r="GQR11" s="75"/>
      <c r="GQS11" s="75"/>
      <c r="GQT11" s="75"/>
      <c r="GQU11" s="75"/>
      <c r="GQV11" s="75"/>
      <c r="GQW11" s="75"/>
      <c r="GQX11" s="75"/>
      <c r="GQY11" s="75"/>
      <c r="GQZ11" s="75"/>
      <c r="GRA11" s="75"/>
      <c r="GRB11" s="75"/>
      <c r="GRC11" s="75"/>
      <c r="GRD11" s="75"/>
      <c r="GRE11" s="75"/>
      <c r="GRF11" s="75"/>
      <c r="GRG11" s="75"/>
      <c r="GRH11" s="75"/>
      <c r="GRI11" s="75"/>
      <c r="GRJ11" s="75"/>
      <c r="GRK11" s="75"/>
      <c r="GRL11" s="75"/>
      <c r="GRM11" s="75"/>
      <c r="GRN11" s="75"/>
      <c r="GRO11" s="75"/>
      <c r="GRP11" s="75"/>
      <c r="GRQ11" s="75"/>
      <c r="GRR11" s="75"/>
      <c r="GRS11" s="75"/>
      <c r="GRT11" s="75"/>
      <c r="GRU11" s="75"/>
      <c r="GRV11" s="75"/>
      <c r="GRW11" s="75"/>
      <c r="GRX11" s="75"/>
      <c r="GRY11" s="75"/>
      <c r="GRZ11" s="75"/>
      <c r="GSA11" s="75"/>
      <c r="GSB11" s="75"/>
      <c r="GSC11" s="75"/>
      <c r="GSD11" s="75"/>
      <c r="GSE11" s="75"/>
      <c r="GSF11" s="75"/>
      <c r="GSG11" s="75"/>
      <c r="GSH11" s="75"/>
      <c r="GSI11" s="75"/>
      <c r="GSJ11" s="75"/>
      <c r="GSK11" s="75"/>
      <c r="GSL11" s="75"/>
      <c r="GSM11" s="75"/>
      <c r="GSN11" s="75"/>
      <c r="GSO11" s="75"/>
      <c r="GSP11" s="75"/>
      <c r="GSQ11" s="75"/>
      <c r="GSR11" s="75"/>
      <c r="GSS11" s="75"/>
      <c r="GST11" s="75"/>
      <c r="GSU11" s="75"/>
      <c r="GSV11" s="75"/>
      <c r="GSW11" s="75"/>
      <c r="GSX11" s="75"/>
      <c r="GSY11" s="75"/>
      <c r="GSZ11" s="75"/>
      <c r="GTA11" s="75"/>
      <c r="GTB11" s="75"/>
      <c r="GTC11" s="75"/>
      <c r="GTD11" s="75"/>
      <c r="GTE11" s="75"/>
      <c r="GTF11" s="75"/>
      <c r="GTG11" s="75"/>
      <c r="GTH11" s="75"/>
      <c r="GTI11" s="75"/>
      <c r="GTJ11" s="75"/>
      <c r="GTK11" s="75"/>
      <c r="GTL11" s="75"/>
      <c r="GTM11" s="75"/>
      <c r="GTN11" s="75"/>
      <c r="GTO11" s="75"/>
      <c r="GTP11" s="75"/>
      <c r="GTQ11" s="75"/>
      <c r="GTR11" s="75"/>
      <c r="GTS11" s="75"/>
      <c r="GTT11" s="75"/>
      <c r="GTU11" s="75"/>
      <c r="GTV11" s="75"/>
      <c r="GTW11" s="75"/>
      <c r="GTX11" s="75"/>
      <c r="GTY11" s="75"/>
      <c r="GTZ11" s="75"/>
      <c r="GUA11" s="75"/>
      <c r="GUB11" s="75"/>
      <c r="GUC11" s="75"/>
      <c r="GUD11" s="75"/>
      <c r="GUE11" s="75"/>
      <c r="GUF11" s="75"/>
      <c r="GUG11" s="75"/>
      <c r="GUH11" s="75"/>
      <c r="GUI11" s="75"/>
      <c r="GUJ11" s="75"/>
      <c r="GUK11" s="75"/>
      <c r="GUL11" s="75"/>
      <c r="GUM11" s="75"/>
      <c r="GUN11" s="75"/>
      <c r="GUO11" s="75"/>
      <c r="GUP11" s="75"/>
      <c r="GUQ11" s="75"/>
      <c r="GUR11" s="75"/>
      <c r="GUS11" s="75"/>
      <c r="GUT11" s="75"/>
      <c r="GUU11" s="75"/>
      <c r="GUV11" s="75"/>
      <c r="GUW11" s="75"/>
      <c r="GUX11" s="75"/>
      <c r="GUY11" s="75"/>
      <c r="GUZ11" s="75"/>
      <c r="GVA11" s="75"/>
      <c r="GVB11" s="75"/>
      <c r="GVC11" s="75"/>
      <c r="GVD11" s="75"/>
      <c r="GVE11" s="75"/>
      <c r="GVF11" s="75"/>
      <c r="GVG11" s="75"/>
      <c r="GVH11" s="75"/>
      <c r="GVI11" s="75"/>
      <c r="GVJ11" s="75"/>
      <c r="GVK11" s="75"/>
      <c r="GVL11" s="75"/>
      <c r="GVM11" s="75"/>
      <c r="GVN11" s="75"/>
      <c r="GVO11" s="75"/>
      <c r="GVP11" s="75"/>
      <c r="GVQ11" s="75"/>
      <c r="GVR11" s="75"/>
      <c r="GVS11" s="75"/>
      <c r="GVT11" s="75"/>
      <c r="GVU11" s="75"/>
      <c r="GVV11" s="75"/>
      <c r="GVW11" s="75"/>
      <c r="GVX11" s="75"/>
      <c r="GVY11" s="75"/>
      <c r="GVZ11" s="75"/>
      <c r="GWA11" s="75"/>
      <c r="GWB11" s="75"/>
      <c r="GWC11" s="75"/>
      <c r="GWD11" s="75"/>
      <c r="GWE11" s="75"/>
      <c r="GWF11" s="75"/>
      <c r="GWG11" s="75"/>
      <c r="GWH11" s="75"/>
      <c r="GWI11" s="75"/>
      <c r="GWJ11" s="75"/>
      <c r="GWK11" s="75"/>
      <c r="GWL11" s="75"/>
      <c r="GWM11" s="75"/>
      <c r="GWN11" s="75"/>
      <c r="GWO11" s="75"/>
      <c r="GWP11" s="75"/>
      <c r="GWQ11" s="75"/>
      <c r="GWR11" s="75"/>
      <c r="GWS11" s="75"/>
      <c r="GWT11" s="75"/>
      <c r="GWU11" s="75"/>
      <c r="GWV11" s="75"/>
      <c r="GWW11" s="75"/>
      <c r="GWX11" s="75"/>
      <c r="GWY11" s="75"/>
      <c r="GWZ11" s="75"/>
      <c r="GXA11" s="75"/>
      <c r="GXB11" s="75"/>
      <c r="GXC11" s="75"/>
      <c r="GXD11" s="75"/>
      <c r="GXE11" s="75"/>
      <c r="GXF11" s="75"/>
      <c r="GXG11" s="75"/>
      <c r="GXH11" s="75"/>
      <c r="GXI11" s="75"/>
      <c r="GXJ11" s="75"/>
      <c r="GXK11" s="75"/>
      <c r="GXL11" s="75"/>
      <c r="GXM11" s="75"/>
      <c r="GXN11" s="75"/>
      <c r="GXO11" s="75"/>
      <c r="GXP11" s="75"/>
      <c r="GXQ11" s="75"/>
      <c r="GXR11" s="75"/>
      <c r="GXS11" s="75"/>
      <c r="GXT11" s="75"/>
      <c r="GXU11" s="75"/>
      <c r="GXV11" s="75"/>
      <c r="GXW11" s="75"/>
      <c r="GXX11" s="75"/>
      <c r="GXY11" s="75"/>
      <c r="GXZ11" s="75"/>
      <c r="GYA11" s="75"/>
      <c r="GYB11" s="75"/>
      <c r="GYC11" s="75"/>
      <c r="GYD11" s="75"/>
      <c r="GYE11" s="75"/>
      <c r="GYF11" s="75"/>
      <c r="GYG11" s="75"/>
      <c r="GYH11" s="75"/>
      <c r="GYI11" s="75"/>
      <c r="GYJ11" s="75"/>
      <c r="GYK11" s="75"/>
      <c r="GYL11" s="75"/>
      <c r="GYM11" s="75"/>
      <c r="GYN11" s="75"/>
      <c r="GYO11" s="75"/>
      <c r="GYP11" s="75"/>
      <c r="GYQ11" s="75"/>
      <c r="GYR11" s="75"/>
      <c r="GYS11" s="75"/>
      <c r="GYT11" s="75"/>
      <c r="GYU11" s="75"/>
      <c r="GYV11" s="75"/>
      <c r="GYW11" s="75"/>
      <c r="GYX11" s="75"/>
      <c r="GYY11" s="75"/>
      <c r="GYZ11" s="75"/>
      <c r="GZA11" s="75"/>
      <c r="GZB11" s="75"/>
      <c r="GZC11" s="75"/>
      <c r="GZD11" s="75"/>
      <c r="GZE11" s="75"/>
      <c r="GZF11" s="75"/>
      <c r="GZG11" s="75"/>
      <c r="GZH11" s="75"/>
      <c r="GZI11" s="75"/>
      <c r="GZJ11" s="75"/>
      <c r="GZK11" s="75"/>
      <c r="GZL11" s="75"/>
      <c r="GZM11" s="75"/>
      <c r="GZN11" s="75"/>
      <c r="GZO11" s="75"/>
      <c r="GZP11" s="75"/>
      <c r="GZQ11" s="75"/>
      <c r="GZR11" s="75"/>
      <c r="GZS11" s="75"/>
      <c r="GZT11" s="75"/>
      <c r="GZU11" s="75"/>
      <c r="GZV11" s="75"/>
      <c r="GZW11" s="75"/>
      <c r="GZX11" s="75"/>
      <c r="GZY11" s="75"/>
      <c r="GZZ11" s="75"/>
      <c r="HAA11" s="75"/>
      <c r="HAB11" s="75"/>
      <c r="HAC11" s="75"/>
      <c r="HAD11" s="75"/>
      <c r="HAE11" s="75"/>
      <c r="HAF11" s="75"/>
      <c r="HAG11" s="75"/>
      <c r="HAH11" s="75"/>
      <c r="HAI11" s="75"/>
      <c r="HAJ11" s="75"/>
      <c r="HAK11" s="75"/>
      <c r="HAL11" s="75"/>
      <c r="HAM11" s="75"/>
      <c r="HAN11" s="75"/>
      <c r="HAO11" s="75"/>
      <c r="HAP11" s="75"/>
      <c r="HAQ11" s="75"/>
      <c r="HAR11" s="75"/>
      <c r="HAS11" s="75"/>
      <c r="HAT11" s="75"/>
      <c r="HAU11" s="75"/>
      <c r="HAV11" s="75"/>
      <c r="HAW11" s="75"/>
      <c r="HAX11" s="75"/>
      <c r="HAY11" s="75"/>
      <c r="HAZ11" s="75"/>
      <c r="HBA11" s="75"/>
      <c r="HBB11" s="75"/>
      <c r="HBC11" s="75"/>
      <c r="HBD11" s="75"/>
      <c r="HBE11" s="75"/>
      <c r="HBF11" s="75"/>
      <c r="HBG11" s="75"/>
      <c r="HBH11" s="75"/>
      <c r="HBI11" s="75"/>
      <c r="HBJ11" s="75"/>
      <c r="HBK11" s="75"/>
      <c r="HBL11" s="75"/>
      <c r="HBM11" s="75"/>
      <c r="HBN11" s="75"/>
      <c r="HBO11" s="75"/>
      <c r="HBP11" s="75"/>
      <c r="HBQ11" s="75"/>
      <c r="HBR11" s="75"/>
      <c r="HBS11" s="75"/>
      <c r="HBT11" s="75"/>
      <c r="HBU11" s="75"/>
      <c r="HBV11" s="75"/>
      <c r="HBW11" s="75"/>
      <c r="HBX11" s="75"/>
      <c r="HBY11" s="75"/>
      <c r="HBZ11" s="75"/>
      <c r="HCA11" s="75"/>
      <c r="HCB11" s="75"/>
      <c r="HCC11" s="75"/>
      <c r="HCD11" s="75"/>
      <c r="HCE11" s="75"/>
      <c r="HCF11" s="75"/>
      <c r="HCG11" s="75"/>
      <c r="HCH11" s="75"/>
      <c r="HCI11" s="75"/>
      <c r="HCJ11" s="75"/>
      <c r="HCK11" s="75"/>
      <c r="HCL11" s="75"/>
      <c r="HCM11" s="75"/>
      <c r="HCN11" s="75"/>
      <c r="HCO11" s="75"/>
      <c r="HCP11" s="75"/>
      <c r="HCQ11" s="75"/>
      <c r="HCR11" s="75"/>
      <c r="HCS11" s="75"/>
      <c r="HCT11" s="75"/>
      <c r="HCU11" s="75"/>
      <c r="HCV11" s="75"/>
      <c r="HCW11" s="75"/>
      <c r="HCX11" s="75"/>
      <c r="HCY11" s="75"/>
      <c r="HCZ11" s="75"/>
      <c r="HDA11" s="75"/>
      <c r="HDB11" s="75"/>
      <c r="HDC11" s="75"/>
      <c r="HDD11" s="75"/>
      <c r="HDE11" s="75"/>
      <c r="HDF11" s="75"/>
      <c r="HDG11" s="75"/>
      <c r="HDH11" s="75"/>
      <c r="HDI11" s="75"/>
      <c r="HDJ11" s="75"/>
      <c r="HDK11" s="75"/>
      <c r="HDL11" s="75"/>
      <c r="HDM11" s="75"/>
      <c r="HDN11" s="75"/>
      <c r="HDO11" s="75"/>
      <c r="HDP11" s="75"/>
      <c r="HDQ11" s="75"/>
      <c r="HDR11" s="75"/>
      <c r="HDS11" s="75"/>
      <c r="HDT11" s="75"/>
      <c r="HDU11" s="75"/>
      <c r="HDV11" s="75"/>
      <c r="HDW11" s="75"/>
      <c r="HDX11" s="75"/>
      <c r="HDY11" s="75"/>
      <c r="HDZ11" s="75"/>
      <c r="HEA11" s="75"/>
      <c r="HEB11" s="75"/>
      <c r="HEC11" s="75"/>
      <c r="HED11" s="75"/>
      <c r="HEE11" s="75"/>
      <c r="HEF11" s="75"/>
      <c r="HEG11" s="75"/>
      <c r="HEH11" s="75"/>
      <c r="HEI11" s="75"/>
      <c r="HEJ11" s="75"/>
      <c r="HEK11" s="75"/>
      <c r="HEL11" s="75"/>
      <c r="HEM11" s="75"/>
      <c r="HEN11" s="75"/>
      <c r="HEO11" s="75"/>
      <c r="HEP11" s="75"/>
      <c r="HEQ11" s="75"/>
      <c r="HER11" s="75"/>
      <c r="HES11" s="75"/>
      <c r="HET11" s="75"/>
      <c r="HEU11" s="75"/>
      <c r="HEV11" s="75"/>
      <c r="HEW11" s="75"/>
      <c r="HEX11" s="75"/>
      <c r="HEY11" s="75"/>
      <c r="HEZ11" s="75"/>
      <c r="HFA11" s="75"/>
      <c r="HFB11" s="75"/>
      <c r="HFC11" s="75"/>
      <c r="HFD11" s="75"/>
      <c r="HFE11" s="75"/>
      <c r="HFF11" s="75"/>
      <c r="HFG11" s="75"/>
      <c r="HFH11" s="75"/>
      <c r="HFI11" s="75"/>
      <c r="HFJ11" s="75"/>
      <c r="HFK11" s="75"/>
      <c r="HFL11" s="75"/>
      <c r="HFM11" s="75"/>
      <c r="HFN11" s="75"/>
      <c r="HFO11" s="75"/>
      <c r="HFP11" s="75"/>
      <c r="HFQ11" s="75"/>
      <c r="HFR11" s="75"/>
      <c r="HFS11" s="75"/>
      <c r="HFT11" s="75"/>
      <c r="HFU11" s="75"/>
      <c r="HFV11" s="75"/>
      <c r="HFW11" s="75"/>
      <c r="HFX11" s="75"/>
      <c r="HFY11" s="75"/>
      <c r="HFZ11" s="75"/>
      <c r="HGA11" s="75"/>
      <c r="HGB11" s="75"/>
      <c r="HGC11" s="75"/>
      <c r="HGD11" s="75"/>
      <c r="HGE11" s="75"/>
      <c r="HGF11" s="75"/>
      <c r="HGG11" s="75"/>
      <c r="HGH11" s="75"/>
      <c r="HGI11" s="75"/>
      <c r="HGJ11" s="75"/>
      <c r="HGK11" s="75"/>
      <c r="HGL11" s="75"/>
      <c r="HGM11" s="75"/>
      <c r="HGN11" s="75"/>
      <c r="HGO11" s="75"/>
      <c r="HGP11" s="75"/>
      <c r="HGQ11" s="75"/>
      <c r="HGR11" s="75"/>
      <c r="HGS11" s="75"/>
      <c r="HGT11" s="75"/>
      <c r="HGU11" s="75"/>
      <c r="HGV11" s="75"/>
      <c r="HGW11" s="75"/>
      <c r="HGX11" s="75"/>
      <c r="HGY11" s="75"/>
      <c r="HGZ11" s="75"/>
      <c r="HHA11" s="75"/>
      <c r="HHB11" s="75"/>
      <c r="HHC11" s="75"/>
      <c r="HHD11" s="75"/>
      <c r="HHE11" s="75"/>
      <c r="HHF11" s="75"/>
      <c r="HHG11" s="75"/>
      <c r="HHH11" s="75"/>
      <c r="HHI11" s="75"/>
      <c r="HHJ11" s="75"/>
      <c r="HHK11" s="75"/>
      <c r="HHL11" s="75"/>
      <c r="HHM11" s="75"/>
      <c r="HHN11" s="75"/>
      <c r="HHO11" s="75"/>
      <c r="HHP11" s="75"/>
      <c r="HHQ11" s="75"/>
      <c r="HHR11" s="75"/>
      <c r="HHS11" s="75"/>
      <c r="HHT11" s="75"/>
      <c r="HHU11" s="75"/>
      <c r="HHV11" s="75"/>
      <c r="HHW11" s="75"/>
      <c r="HHX11" s="75"/>
      <c r="HHY11" s="75"/>
      <c r="HHZ11" s="75"/>
      <c r="HIA11" s="75"/>
      <c r="HIB11" s="75"/>
      <c r="HIC11" s="75"/>
      <c r="HID11" s="75"/>
      <c r="HIE11" s="75"/>
      <c r="HIF11" s="75"/>
      <c r="HIG11" s="75"/>
      <c r="HIH11" s="75"/>
      <c r="HII11" s="75"/>
      <c r="HIJ11" s="75"/>
      <c r="HIK11" s="75"/>
      <c r="HIL11" s="75"/>
      <c r="HIM11" s="75"/>
      <c r="HIN11" s="75"/>
      <c r="HIO11" s="75"/>
      <c r="HIP11" s="75"/>
      <c r="HIQ11" s="75"/>
      <c r="HIR11" s="75"/>
      <c r="HIS11" s="75"/>
      <c r="HIT11" s="75"/>
      <c r="HIU11" s="75"/>
      <c r="HIV11" s="75"/>
      <c r="HIW11" s="75"/>
      <c r="HIX11" s="75"/>
      <c r="HIY11" s="75"/>
      <c r="HIZ11" s="75"/>
      <c r="HJA11" s="75"/>
      <c r="HJB11" s="75"/>
      <c r="HJC11" s="75"/>
      <c r="HJD11" s="75"/>
      <c r="HJE11" s="75"/>
      <c r="HJF11" s="75"/>
      <c r="HJG11" s="75"/>
      <c r="HJH11" s="75"/>
      <c r="HJI11" s="75"/>
      <c r="HJJ11" s="75"/>
      <c r="HJK11" s="75"/>
      <c r="HJL11" s="75"/>
      <c r="HJM11" s="75"/>
      <c r="HJN11" s="75"/>
      <c r="HJO11" s="75"/>
      <c r="HJP11" s="75"/>
      <c r="HJQ11" s="75"/>
      <c r="HJR11" s="75"/>
      <c r="HJS11" s="75"/>
      <c r="HJT11" s="75"/>
      <c r="HJU11" s="75"/>
      <c r="HJV11" s="75"/>
      <c r="HJW11" s="75"/>
      <c r="HJX11" s="75"/>
      <c r="HJY11" s="75"/>
      <c r="HJZ11" s="75"/>
      <c r="HKA11" s="75"/>
      <c r="HKB11" s="75"/>
      <c r="HKC11" s="75"/>
      <c r="HKD11" s="75"/>
      <c r="HKE11" s="75"/>
      <c r="HKF11" s="75"/>
      <c r="HKG11" s="75"/>
      <c r="HKH11" s="75"/>
      <c r="HKI11" s="75"/>
      <c r="HKJ11" s="75"/>
      <c r="HKK11" s="75"/>
      <c r="HKL11" s="75"/>
      <c r="HKM11" s="75"/>
      <c r="HKN11" s="75"/>
      <c r="HKO11" s="75"/>
      <c r="HKP11" s="75"/>
      <c r="HKQ11" s="75"/>
      <c r="HKR11" s="75"/>
      <c r="HKS11" s="75"/>
      <c r="HKT11" s="75"/>
      <c r="HKU11" s="75"/>
      <c r="HKV11" s="75"/>
      <c r="HKW11" s="75"/>
      <c r="HKX11" s="75"/>
      <c r="HKY11" s="75"/>
      <c r="HKZ11" s="75"/>
      <c r="HLA11" s="75"/>
      <c r="HLB11" s="75"/>
      <c r="HLC11" s="75"/>
      <c r="HLD11" s="75"/>
      <c r="HLE11" s="75"/>
      <c r="HLF11" s="75"/>
      <c r="HLG11" s="75"/>
      <c r="HLH11" s="75"/>
      <c r="HLI11" s="75"/>
      <c r="HLJ11" s="75"/>
      <c r="HLK11" s="75"/>
      <c r="HLL11" s="75"/>
      <c r="HLM11" s="75"/>
      <c r="HLN11" s="75"/>
      <c r="HLO11" s="75"/>
      <c r="HLP11" s="75"/>
      <c r="HLQ11" s="75"/>
      <c r="HLR11" s="75"/>
      <c r="HLS11" s="75"/>
      <c r="HLT11" s="75"/>
      <c r="HLU11" s="75"/>
      <c r="HLV11" s="75"/>
      <c r="HLW11" s="75"/>
      <c r="HLX11" s="75"/>
      <c r="HLY11" s="75"/>
      <c r="HLZ11" s="75"/>
      <c r="HMA11" s="75"/>
      <c r="HMB11" s="75"/>
      <c r="HMC11" s="75"/>
      <c r="HMD11" s="75"/>
      <c r="HME11" s="75"/>
      <c r="HMF11" s="75"/>
      <c r="HMG11" s="75"/>
      <c r="HMH11" s="75"/>
      <c r="HMI11" s="75"/>
      <c r="HMJ11" s="75"/>
      <c r="HMK11" s="75"/>
      <c r="HML11" s="75"/>
      <c r="HMM11" s="75"/>
      <c r="HMN11" s="75"/>
      <c r="HMO11" s="75"/>
      <c r="HMP11" s="75"/>
      <c r="HMQ11" s="75"/>
      <c r="HMR11" s="75"/>
      <c r="HMS11" s="75"/>
      <c r="HMT11" s="75"/>
      <c r="HMU11" s="75"/>
      <c r="HMV11" s="75"/>
      <c r="HMW11" s="75"/>
      <c r="HMX11" s="75"/>
      <c r="HMY11" s="75"/>
      <c r="HMZ11" s="75"/>
      <c r="HNA11" s="75"/>
      <c r="HNB11" s="75"/>
      <c r="HNC11" s="75"/>
      <c r="HND11" s="75"/>
      <c r="HNE11" s="75"/>
      <c r="HNF11" s="75"/>
      <c r="HNG11" s="75"/>
      <c r="HNH11" s="75"/>
      <c r="HNI11" s="75"/>
      <c r="HNJ11" s="75"/>
      <c r="HNK11" s="75"/>
      <c r="HNL11" s="75"/>
      <c r="HNM11" s="75"/>
      <c r="HNN11" s="75"/>
      <c r="HNO11" s="75"/>
      <c r="HNP11" s="75"/>
      <c r="HNQ11" s="75"/>
      <c r="HNR11" s="75"/>
      <c r="HNS11" s="75"/>
      <c r="HNT11" s="75"/>
      <c r="HNU11" s="75"/>
      <c r="HNV11" s="75"/>
      <c r="HNW11" s="75"/>
      <c r="HNX11" s="75"/>
      <c r="HNY11" s="75"/>
      <c r="HNZ11" s="75"/>
      <c r="HOA11" s="75"/>
      <c r="HOB11" s="75"/>
      <c r="HOC11" s="75"/>
      <c r="HOD11" s="75"/>
      <c r="HOE11" s="75"/>
      <c r="HOF11" s="75"/>
      <c r="HOG11" s="75"/>
      <c r="HOH11" s="75"/>
      <c r="HOI11" s="75"/>
      <c r="HOJ11" s="75"/>
      <c r="HOK11" s="75"/>
      <c r="HOL11" s="75"/>
      <c r="HOM11" s="75"/>
      <c r="HON11" s="75"/>
      <c r="HOO11" s="75"/>
      <c r="HOP11" s="75"/>
      <c r="HOQ11" s="75"/>
      <c r="HOR11" s="75"/>
      <c r="HOS11" s="75"/>
      <c r="HOT11" s="75"/>
      <c r="HOU11" s="75"/>
      <c r="HOV11" s="75"/>
      <c r="HOW11" s="75"/>
      <c r="HOX11" s="75"/>
      <c r="HOY11" s="75"/>
      <c r="HOZ11" s="75"/>
      <c r="HPA11" s="75"/>
      <c r="HPB11" s="75"/>
      <c r="HPC11" s="75"/>
      <c r="HPD11" s="75"/>
      <c r="HPE11" s="75"/>
      <c r="HPF11" s="75"/>
      <c r="HPG11" s="75"/>
      <c r="HPH11" s="75"/>
      <c r="HPI11" s="75"/>
      <c r="HPJ11" s="75"/>
      <c r="HPK11" s="75"/>
      <c r="HPL11" s="75"/>
      <c r="HPM11" s="75"/>
      <c r="HPN11" s="75"/>
      <c r="HPO11" s="75"/>
      <c r="HPP11" s="75"/>
      <c r="HPQ11" s="75"/>
      <c r="HPR11" s="75"/>
      <c r="HPS11" s="75"/>
      <c r="HPT11" s="75"/>
      <c r="HPU11" s="75"/>
      <c r="HPV11" s="75"/>
      <c r="HPW11" s="75"/>
      <c r="HPX11" s="75"/>
      <c r="HPY11" s="75"/>
      <c r="HPZ11" s="75"/>
      <c r="HQA11" s="75"/>
      <c r="HQB11" s="75"/>
      <c r="HQC11" s="75"/>
      <c r="HQD11" s="75"/>
      <c r="HQE11" s="75"/>
      <c r="HQF11" s="75"/>
      <c r="HQG11" s="75"/>
      <c r="HQH11" s="75"/>
      <c r="HQI11" s="75"/>
      <c r="HQJ11" s="75"/>
      <c r="HQK11" s="75"/>
      <c r="HQL11" s="75"/>
      <c r="HQM11" s="75"/>
      <c r="HQN11" s="75"/>
      <c r="HQO11" s="75"/>
      <c r="HQP11" s="75"/>
      <c r="HQQ11" s="75"/>
      <c r="HQR11" s="75"/>
      <c r="HQS11" s="75"/>
      <c r="HQT11" s="75"/>
      <c r="HQU11" s="75"/>
      <c r="HQV11" s="75"/>
      <c r="HQW11" s="75"/>
      <c r="HQX11" s="75"/>
      <c r="HQY11" s="75"/>
      <c r="HQZ11" s="75"/>
      <c r="HRA11" s="75"/>
      <c r="HRB11" s="75"/>
      <c r="HRC11" s="75"/>
      <c r="HRD11" s="75"/>
      <c r="HRE11" s="75"/>
      <c r="HRF11" s="75"/>
      <c r="HRG11" s="75"/>
      <c r="HRH11" s="75"/>
      <c r="HRI11" s="75"/>
      <c r="HRJ11" s="75"/>
      <c r="HRK11" s="75"/>
      <c r="HRL11" s="75"/>
      <c r="HRM11" s="75"/>
      <c r="HRN11" s="75"/>
      <c r="HRO11" s="75"/>
      <c r="HRP11" s="75"/>
      <c r="HRQ11" s="75"/>
      <c r="HRR11" s="75"/>
      <c r="HRS11" s="75"/>
      <c r="HRT11" s="75"/>
      <c r="HRU11" s="75"/>
      <c r="HRV11" s="75"/>
      <c r="HRW11" s="75"/>
      <c r="HRX11" s="75"/>
      <c r="HRY11" s="75"/>
      <c r="HRZ11" s="75"/>
      <c r="HSA11" s="75"/>
      <c r="HSB11" s="75"/>
      <c r="HSC11" s="75"/>
      <c r="HSD11" s="75"/>
      <c r="HSE11" s="75"/>
      <c r="HSF11" s="75"/>
      <c r="HSG11" s="75"/>
      <c r="HSH11" s="75"/>
      <c r="HSI11" s="75"/>
      <c r="HSJ11" s="75"/>
      <c r="HSK11" s="75"/>
      <c r="HSL11" s="75"/>
      <c r="HSM11" s="75"/>
      <c r="HSN11" s="75"/>
      <c r="HSO11" s="75"/>
      <c r="HSP11" s="75"/>
      <c r="HSQ11" s="75"/>
      <c r="HSR11" s="75"/>
      <c r="HSS11" s="75"/>
      <c r="HST11" s="75"/>
      <c r="HSU11" s="75"/>
      <c r="HSV11" s="75"/>
      <c r="HSW11" s="75"/>
      <c r="HSX11" s="75"/>
      <c r="HSY11" s="75"/>
      <c r="HSZ11" s="75"/>
      <c r="HTA11" s="75"/>
      <c r="HTB11" s="75"/>
      <c r="HTC11" s="75"/>
      <c r="HTD11" s="75"/>
      <c r="HTE11" s="75"/>
      <c r="HTF11" s="75"/>
      <c r="HTG11" s="75"/>
      <c r="HTH11" s="75"/>
      <c r="HTI11" s="75"/>
      <c r="HTJ11" s="75"/>
      <c r="HTK11" s="75"/>
      <c r="HTL11" s="75"/>
      <c r="HTM11" s="75"/>
      <c r="HTN11" s="75"/>
      <c r="HTO11" s="75"/>
      <c r="HTP11" s="75"/>
      <c r="HTQ11" s="75"/>
      <c r="HTR11" s="75"/>
      <c r="HTS11" s="75"/>
      <c r="HTT11" s="75"/>
      <c r="HTU11" s="75"/>
      <c r="HTV11" s="75"/>
      <c r="HTW11" s="75"/>
      <c r="HTX11" s="75"/>
      <c r="HTY11" s="75"/>
      <c r="HTZ11" s="75"/>
      <c r="HUA11" s="75"/>
      <c r="HUB11" s="75"/>
      <c r="HUC11" s="75"/>
      <c r="HUD11" s="75"/>
      <c r="HUE11" s="75"/>
      <c r="HUF11" s="75"/>
      <c r="HUG11" s="75"/>
      <c r="HUH11" s="75"/>
      <c r="HUI11" s="75"/>
      <c r="HUJ11" s="75"/>
      <c r="HUK11" s="75"/>
      <c r="HUL11" s="75"/>
      <c r="HUM11" s="75"/>
      <c r="HUN11" s="75"/>
      <c r="HUO11" s="75"/>
      <c r="HUP11" s="75"/>
      <c r="HUQ11" s="75"/>
      <c r="HUR11" s="75"/>
      <c r="HUS11" s="75"/>
      <c r="HUT11" s="75"/>
      <c r="HUU11" s="75"/>
      <c r="HUV11" s="75"/>
      <c r="HUW11" s="75"/>
      <c r="HUX11" s="75"/>
      <c r="HUY11" s="75"/>
      <c r="HUZ11" s="75"/>
      <c r="HVA11" s="75"/>
      <c r="HVB11" s="75"/>
      <c r="HVC11" s="75"/>
      <c r="HVD11" s="75"/>
      <c r="HVE11" s="75"/>
      <c r="HVF11" s="75"/>
      <c r="HVG11" s="75"/>
      <c r="HVH11" s="75"/>
      <c r="HVI11" s="75"/>
      <c r="HVJ11" s="75"/>
      <c r="HVK11" s="75"/>
      <c r="HVL11" s="75"/>
      <c r="HVM11" s="75"/>
      <c r="HVN11" s="75"/>
      <c r="HVO11" s="75"/>
      <c r="HVP11" s="75"/>
      <c r="HVQ11" s="75"/>
      <c r="HVR11" s="75"/>
      <c r="HVS11" s="75"/>
      <c r="HVT11" s="75"/>
      <c r="HVU11" s="75"/>
      <c r="HVV11" s="75"/>
      <c r="HVW11" s="75"/>
      <c r="HVX11" s="75"/>
      <c r="HVY11" s="75"/>
      <c r="HVZ11" s="75"/>
      <c r="HWA11" s="75"/>
      <c r="HWB11" s="75"/>
      <c r="HWC11" s="75"/>
      <c r="HWD11" s="75"/>
      <c r="HWE11" s="75"/>
      <c r="HWF11" s="75"/>
      <c r="HWG11" s="75"/>
      <c r="HWH11" s="75"/>
      <c r="HWI11" s="75"/>
      <c r="HWJ11" s="75"/>
      <c r="HWK11" s="75"/>
      <c r="HWL11" s="75"/>
      <c r="HWM11" s="75"/>
      <c r="HWN11" s="75"/>
      <c r="HWO11" s="75"/>
      <c r="HWP11" s="75"/>
      <c r="HWQ11" s="75"/>
      <c r="HWR11" s="75"/>
      <c r="HWS11" s="75"/>
      <c r="HWT11" s="75"/>
      <c r="HWU11" s="75"/>
      <c r="HWV11" s="75"/>
      <c r="HWW11" s="75"/>
      <c r="HWX11" s="75"/>
      <c r="HWY11" s="75"/>
      <c r="HWZ11" s="75"/>
      <c r="HXA11" s="75"/>
      <c r="HXB11" s="75"/>
      <c r="HXC11" s="75"/>
      <c r="HXD11" s="75"/>
      <c r="HXE11" s="75"/>
      <c r="HXF11" s="75"/>
      <c r="HXG11" s="75"/>
      <c r="HXH11" s="75"/>
      <c r="HXI11" s="75"/>
      <c r="HXJ11" s="75"/>
      <c r="HXK11" s="75"/>
      <c r="HXL11" s="75"/>
      <c r="HXM11" s="75"/>
      <c r="HXN11" s="75"/>
      <c r="HXO11" s="75"/>
      <c r="HXP11" s="75"/>
      <c r="HXQ11" s="75"/>
      <c r="HXR11" s="75"/>
      <c r="HXS11" s="75"/>
      <c r="HXT11" s="75"/>
      <c r="HXU11" s="75"/>
      <c r="HXV11" s="75"/>
      <c r="HXW11" s="75"/>
      <c r="HXX11" s="75"/>
      <c r="HXY11" s="75"/>
      <c r="HXZ11" s="75"/>
      <c r="HYA11" s="75"/>
      <c r="HYB11" s="75"/>
      <c r="HYC11" s="75"/>
      <c r="HYD11" s="75"/>
      <c r="HYE11" s="75"/>
      <c r="HYF11" s="75"/>
      <c r="HYG11" s="75"/>
      <c r="HYH11" s="75"/>
      <c r="HYI11" s="75"/>
      <c r="HYJ11" s="75"/>
      <c r="HYK11" s="75"/>
      <c r="HYL11" s="75"/>
      <c r="HYM11" s="75"/>
      <c r="HYN11" s="75"/>
      <c r="HYO11" s="75"/>
      <c r="HYP11" s="75"/>
      <c r="HYQ11" s="75"/>
      <c r="HYR11" s="75"/>
      <c r="HYS11" s="75"/>
      <c r="HYT11" s="75"/>
      <c r="HYU11" s="75"/>
      <c r="HYV11" s="75"/>
      <c r="HYW11" s="75"/>
      <c r="HYX11" s="75"/>
      <c r="HYY11" s="75"/>
      <c r="HYZ11" s="75"/>
      <c r="HZA11" s="75"/>
      <c r="HZB11" s="75"/>
      <c r="HZC11" s="75"/>
      <c r="HZD11" s="75"/>
      <c r="HZE11" s="75"/>
      <c r="HZF11" s="75"/>
      <c r="HZG11" s="75"/>
      <c r="HZH11" s="75"/>
      <c r="HZI11" s="75"/>
      <c r="HZJ11" s="75"/>
      <c r="HZK11" s="75"/>
      <c r="HZL11" s="75"/>
      <c r="HZM11" s="75"/>
      <c r="HZN11" s="75"/>
      <c r="HZO11" s="75"/>
      <c r="HZP11" s="75"/>
      <c r="HZQ11" s="75"/>
      <c r="HZR11" s="75"/>
      <c r="HZS11" s="75"/>
      <c r="HZT11" s="75"/>
      <c r="HZU11" s="75"/>
      <c r="HZV11" s="75"/>
      <c r="HZW11" s="75"/>
      <c r="HZX11" s="75"/>
      <c r="HZY11" s="75"/>
      <c r="HZZ11" s="75"/>
      <c r="IAA11" s="75"/>
      <c r="IAB11" s="75"/>
      <c r="IAC11" s="75"/>
      <c r="IAD11" s="75"/>
      <c r="IAE11" s="75"/>
      <c r="IAF11" s="75"/>
      <c r="IAG11" s="75"/>
      <c r="IAH11" s="75"/>
      <c r="IAI11" s="75"/>
      <c r="IAJ11" s="75"/>
      <c r="IAK11" s="75"/>
      <c r="IAL11" s="75"/>
      <c r="IAM11" s="75"/>
      <c r="IAN11" s="75"/>
      <c r="IAO11" s="75"/>
      <c r="IAP11" s="75"/>
      <c r="IAQ11" s="75"/>
      <c r="IAR11" s="75"/>
      <c r="IAS11" s="75"/>
      <c r="IAT11" s="75"/>
      <c r="IAU11" s="75"/>
      <c r="IAV11" s="75"/>
      <c r="IAW11" s="75"/>
      <c r="IAX11" s="75"/>
      <c r="IAY11" s="75"/>
      <c r="IAZ11" s="75"/>
      <c r="IBA11" s="75"/>
      <c r="IBB11" s="75"/>
      <c r="IBC11" s="75"/>
      <c r="IBD11" s="75"/>
      <c r="IBE11" s="75"/>
      <c r="IBF11" s="75"/>
      <c r="IBG11" s="75"/>
      <c r="IBH11" s="75"/>
      <c r="IBI11" s="75"/>
      <c r="IBJ11" s="75"/>
      <c r="IBK11" s="75"/>
      <c r="IBL11" s="75"/>
      <c r="IBM11" s="75"/>
      <c r="IBN11" s="75"/>
      <c r="IBO11" s="75"/>
      <c r="IBP11" s="75"/>
      <c r="IBQ11" s="75"/>
      <c r="IBR11" s="75"/>
      <c r="IBS11" s="75"/>
      <c r="IBT11" s="75"/>
      <c r="IBU11" s="75"/>
      <c r="IBV11" s="75"/>
      <c r="IBW11" s="75"/>
      <c r="IBX11" s="75"/>
      <c r="IBY11" s="75"/>
      <c r="IBZ11" s="75"/>
      <c r="ICA11" s="75"/>
      <c r="ICB11" s="75"/>
      <c r="ICC11" s="75"/>
      <c r="ICD11" s="75"/>
      <c r="ICE11" s="75"/>
      <c r="ICF11" s="75"/>
      <c r="ICG11" s="75"/>
      <c r="ICH11" s="75"/>
      <c r="ICI11" s="75"/>
      <c r="ICJ11" s="75"/>
      <c r="ICK11" s="75"/>
      <c r="ICL11" s="75"/>
      <c r="ICM11" s="75"/>
      <c r="ICN11" s="75"/>
      <c r="ICO11" s="75"/>
      <c r="ICP11" s="75"/>
      <c r="ICQ11" s="75"/>
      <c r="ICR11" s="75"/>
      <c r="ICS11" s="75"/>
      <c r="ICT11" s="75"/>
      <c r="ICU11" s="75"/>
      <c r="ICV11" s="75"/>
      <c r="ICW11" s="75"/>
      <c r="ICX11" s="75"/>
      <c r="ICY11" s="75"/>
      <c r="ICZ11" s="75"/>
      <c r="IDA11" s="75"/>
      <c r="IDB11" s="75"/>
      <c r="IDC11" s="75"/>
      <c r="IDD11" s="75"/>
      <c r="IDE11" s="75"/>
      <c r="IDF11" s="75"/>
      <c r="IDG11" s="75"/>
      <c r="IDH11" s="75"/>
      <c r="IDI11" s="75"/>
      <c r="IDJ11" s="75"/>
      <c r="IDK11" s="75"/>
      <c r="IDL11" s="75"/>
      <c r="IDM11" s="75"/>
      <c r="IDN11" s="75"/>
      <c r="IDO11" s="75"/>
      <c r="IDP11" s="75"/>
      <c r="IDQ11" s="75"/>
      <c r="IDR11" s="75"/>
      <c r="IDS11" s="75"/>
      <c r="IDT11" s="75"/>
      <c r="IDU11" s="75"/>
      <c r="IDV11" s="75"/>
      <c r="IDW11" s="75"/>
      <c r="IDX11" s="75"/>
      <c r="IDY11" s="75"/>
      <c r="IDZ11" s="75"/>
      <c r="IEA11" s="75"/>
      <c r="IEB11" s="75"/>
      <c r="IEC11" s="75"/>
      <c r="IED11" s="75"/>
      <c r="IEE11" s="75"/>
      <c r="IEF11" s="75"/>
      <c r="IEG11" s="75"/>
      <c r="IEH11" s="75"/>
      <c r="IEI11" s="75"/>
      <c r="IEJ11" s="75"/>
      <c r="IEK11" s="75"/>
      <c r="IEL11" s="75"/>
      <c r="IEM11" s="75"/>
      <c r="IEN11" s="75"/>
      <c r="IEO11" s="75"/>
      <c r="IEP11" s="75"/>
      <c r="IEQ11" s="75"/>
      <c r="IER11" s="75"/>
      <c r="IES11" s="75"/>
      <c r="IET11" s="75"/>
      <c r="IEU11" s="75"/>
      <c r="IEV11" s="75"/>
      <c r="IEW11" s="75"/>
      <c r="IEX11" s="75"/>
      <c r="IEY11" s="75"/>
      <c r="IEZ11" s="75"/>
      <c r="IFA11" s="75"/>
      <c r="IFB11" s="75"/>
      <c r="IFC11" s="75"/>
      <c r="IFD11" s="75"/>
      <c r="IFE11" s="75"/>
      <c r="IFF11" s="75"/>
      <c r="IFG11" s="75"/>
      <c r="IFH11" s="75"/>
      <c r="IFI11" s="75"/>
      <c r="IFJ11" s="75"/>
      <c r="IFK11" s="75"/>
      <c r="IFL11" s="75"/>
      <c r="IFM11" s="75"/>
      <c r="IFN11" s="75"/>
      <c r="IFO11" s="75"/>
      <c r="IFP11" s="75"/>
      <c r="IFQ11" s="75"/>
      <c r="IFR11" s="75"/>
      <c r="IFS11" s="75"/>
      <c r="IFT11" s="75"/>
      <c r="IFU11" s="75"/>
      <c r="IFV11" s="75"/>
      <c r="IFW11" s="75"/>
      <c r="IFX11" s="75"/>
      <c r="IFY11" s="75"/>
      <c r="IFZ11" s="75"/>
      <c r="IGA11" s="75"/>
      <c r="IGB11" s="75"/>
      <c r="IGC11" s="75"/>
      <c r="IGD11" s="75"/>
      <c r="IGE11" s="75"/>
      <c r="IGF11" s="75"/>
      <c r="IGG11" s="75"/>
      <c r="IGH11" s="75"/>
      <c r="IGI11" s="75"/>
      <c r="IGJ11" s="75"/>
      <c r="IGK11" s="75"/>
      <c r="IGL11" s="75"/>
      <c r="IGM11" s="75"/>
      <c r="IGN11" s="75"/>
      <c r="IGO11" s="75"/>
      <c r="IGP11" s="75"/>
      <c r="IGQ11" s="75"/>
      <c r="IGR11" s="75"/>
      <c r="IGS11" s="75"/>
      <c r="IGT11" s="75"/>
      <c r="IGU11" s="75"/>
      <c r="IGV11" s="75"/>
      <c r="IGW11" s="75"/>
      <c r="IGX11" s="75"/>
      <c r="IGY11" s="75"/>
      <c r="IGZ11" s="75"/>
      <c r="IHA11" s="75"/>
      <c r="IHB11" s="75"/>
      <c r="IHC11" s="75"/>
      <c r="IHD11" s="75"/>
      <c r="IHE11" s="75"/>
      <c r="IHF11" s="75"/>
      <c r="IHG11" s="75"/>
      <c r="IHH11" s="75"/>
      <c r="IHI11" s="75"/>
      <c r="IHJ11" s="75"/>
      <c r="IHK11" s="75"/>
      <c r="IHL11" s="75"/>
      <c r="IHM11" s="75"/>
      <c r="IHN11" s="75"/>
      <c r="IHO11" s="75"/>
      <c r="IHP11" s="75"/>
      <c r="IHQ11" s="75"/>
      <c r="IHR11" s="75"/>
      <c r="IHS11" s="75"/>
      <c r="IHT11" s="75"/>
      <c r="IHU11" s="75"/>
      <c r="IHV11" s="75"/>
      <c r="IHW11" s="75"/>
      <c r="IHX11" s="75"/>
      <c r="IHY11" s="75"/>
      <c r="IHZ11" s="75"/>
      <c r="IIA11" s="75"/>
      <c r="IIB11" s="75"/>
      <c r="IIC11" s="75"/>
      <c r="IID11" s="75"/>
      <c r="IIE11" s="75"/>
      <c r="IIF11" s="75"/>
      <c r="IIG11" s="75"/>
      <c r="IIH11" s="75"/>
      <c r="III11" s="75"/>
      <c r="IIJ11" s="75"/>
      <c r="IIK11" s="75"/>
      <c r="IIL11" s="75"/>
      <c r="IIM11" s="75"/>
      <c r="IIN11" s="75"/>
      <c r="IIO11" s="75"/>
      <c r="IIP11" s="75"/>
      <c r="IIQ11" s="75"/>
      <c r="IIR11" s="75"/>
      <c r="IIS11" s="75"/>
      <c r="IIT11" s="75"/>
      <c r="IIU11" s="75"/>
      <c r="IIV11" s="75"/>
      <c r="IIW11" s="75"/>
      <c r="IIX11" s="75"/>
      <c r="IIY11" s="75"/>
      <c r="IIZ11" s="75"/>
      <c r="IJA11" s="75"/>
      <c r="IJB11" s="75"/>
      <c r="IJC11" s="75"/>
      <c r="IJD11" s="75"/>
      <c r="IJE11" s="75"/>
      <c r="IJF11" s="75"/>
      <c r="IJG11" s="75"/>
      <c r="IJH11" s="75"/>
      <c r="IJI11" s="75"/>
      <c r="IJJ11" s="75"/>
      <c r="IJK11" s="75"/>
      <c r="IJL11" s="75"/>
      <c r="IJM11" s="75"/>
      <c r="IJN11" s="75"/>
      <c r="IJO11" s="75"/>
      <c r="IJP11" s="75"/>
      <c r="IJQ11" s="75"/>
      <c r="IJR11" s="75"/>
      <c r="IJS11" s="75"/>
      <c r="IJT11" s="75"/>
      <c r="IJU11" s="75"/>
      <c r="IJV11" s="75"/>
      <c r="IJW11" s="75"/>
      <c r="IJX11" s="75"/>
      <c r="IJY11" s="75"/>
      <c r="IJZ11" s="75"/>
      <c r="IKA11" s="75"/>
      <c r="IKB11" s="75"/>
      <c r="IKC11" s="75"/>
      <c r="IKD11" s="75"/>
      <c r="IKE11" s="75"/>
      <c r="IKF11" s="75"/>
      <c r="IKG11" s="75"/>
      <c r="IKH11" s="75"/>
      <c r="IKI11" s="75"/>
      <c r="IKJ11" s="75"/>
      <c r="IKK11" s="75"/>
      <c r="IKL11" s="75"/>
      <c r="IKM11" s="75"/>
      <c r="IKN11" s="75"/>
      <c r="IKO11" s="75"/>
      <c r="IKP11" s="75"/>
      <c r="IKQ11" s="75"/>
      <c r="IKR11" s="75"/>
      <c r="IKS11" s="75"/>
      <c r="IKT11" s="75"/>
      <c r="IKU11" s="75"/>
      <c r="IKV11" s="75"/>
      <c r="IKW11" s="75"/>
      <c r="IKX11" s="75"/>
      <c r="IKY11" s="75"/>
      <c r="IKZ11" s="75"/>
      <c r="ILA11" s="75"/>
      <c r="ILB11" s="75"/>
      <c r="ILC11" s="75"/>
      <c r="ILD11" s="75"/>
      <c r="ILE11" s="75"/>
      <c r="ILF11" s="75"/>
      <c r="ILG11" s="75"/>
      <c r="ILH11" s="75"/>
      <c r="ILI11" s="75"/>
      <c r="ILJ11" s="75"/>
      <c r="ILK11" s="75"/>
      <c r="ILL11" s="75"/>
      <c r="ILM11" s="75"/>
      <c r="ILN11" s="75"/>
      <c r="ILO11" s="75"/>
      <c r="ILP11" s="75"/>
      <c r="ILQ11" s="75"/>
      <c r="ILR11" s="75"/>
      <c r="ILS11" s="75"/>
      <c r="ILT11" s="75"/>
      <c r="ILU11" s="75"/>
      <c r="ILV11" s="75"/>
      <c r="ILW11" s="75"/>
      <c r="ILX11" s="75"/>
      <c r="ILY11" s="75"/>
      <c r="ILZ11" s="75"/>
      <c r="IMA11" s="75"/>
      <c r="IMB11" s="75"/>
      <c r="IMC11" s="75"/>
      <c r="IMD11" s="75"/>
      <c r="IME11" s="75"/>
      <c r="IMF11" s="75"/>
      <c r="IMG11" s="75"/>
      <c r="IMH11" s="75"/>
      <c r="IMI11" s="75"/>
      <c r="IMJ11" s="75"/>
      <c r="IMK11" s="75"/>
      <c r="IML11" s="75"/>
      <c r="IMM11" s="75"/>
      <c r="IMN11" s="75"/>
      <c r="IMO11" s="75"/>
      <c r="IMP11" s="75"/>
      <c r="IMQ11" s="75"/>
      <c r="IMR11" s="75"/>
      <c r="IMS11" s="75"/>
      <c r="IMT11" s="75"/>
      <c r="IMU11" s="75"/>
      <c r="IMV11" s="75"/>
      <c r="IMW11" s="75"/>
      <c r="IMX11" s="75"/>
      <c r="IMY11" s="75"/>
      <c r="IMZ11" s="75"/>
      <c r="INA11" s="75"/>
      <c r="INB11" s="75"/>
      <c r="INC11" s="75"/>
      <c r="IND11" s="75"/>
      <c r="INE11" s="75"/>
      <c r="INF11" s="75"/>
      <c r="ING11" s="75"/>
      <c r="INH11" s="75"/>
      <c r="INI11" s="75"/>
      <c r="INJ11" s="75"/>
      <c r="INK11" s="75"/>
      <c r="INL11" s="75"/>
      <c r="INM11" s="75"/>
      <c r="INN11" s="75"/>
      <c r="INO11" s="75"/>
      <c r="INP11" s="75"/>
      <c r="INQ11" s="75"/>
      <c r="INR11" s="75"/>
      <c r="INS11" s="75"/>
      <c r="INT11" s="75"/>
      <c r="INU11" s="75"/>
      <c r="INV11" s="75"/>
      <c r="INW11" s="75"/>
      <c r="INX11" s="75"/>
      <c r="INY11" s="75"/>
      <c r="INZ11" s="75"/>
      <c r="IOA11" s="75"/>
      <c r="IOB11" s="75"/>
      <c r="IOC11" s="75"/>
      <c r="IOD11" s="75"/>
      <c r="IOE11" s="75"/>
      <c r="IOF11" s="75"/>
      <c r="IOG11" s="75"/>
      <c r="IOH11" s="75"/>
      <c r="IOI11" s="75"/>
      <c r="IOJ11" s="75"/>
      <c r="IOK11" s="75"/>
      <c r="IOL11" s="75"/>
      <c r="IOM11" s="75"/>
      <c r="ION11" s="75"/>
      <c r="IOO11" s="75"/>
      <c r="IOP11" s="75"/>
      <c r="IOQ11" s="75"/>
      <c r="IOR11" s="75"/>
      <c r="IOS11" s="75"/>
      <c r="IOT11" s="75"/>
      <c r="IOU11" s="75"/>
      <c r="IOV11" s="75"/>
      <c r="IOW11" s="75"/>
      <c r="IOX11" s="75"/>
      <c r="IOY11" s="75"/>
      <c r="IOZ11" s="75"/>
      <c r="IPA11" s="75"/>
      <c r="IPB11" s="75"/>
      <c r="IPC11" s="75"/>
      <c r="IPD11" s="75"/>
      <c r="IPE11" s="75"/>
      <c r="IPF11" s="75"/>
      <c r="IPG11" s="75"/>
      <c r="IPH11" s="75"/>
      <c r="IPI11" s="75"/>
      <c r="IPJ11" s="75"/>
      <c r="IPK11" s="75"/>
      <c r="IPL11" s="75"/>
      <c r="IPM11" s="75"/>
      <c r="IPN11" s="75"/>
      <c r="IPO11" s="75"/>
      <c r="IPP11" s="75"/>
      <c r="IPQ11" s="75"/>
      <c r="IPR11" s="75"/>
      <c r="IPS11" s="75"/>
      <c r="IPT11" s="75"/>
      <c r="IPU11" s="75"/>
      <c r="IPV11" s="75"/>
      <c r="IPW11" s="75"/>
      <c r="IPX11" s="75"/>
      <c r="IPY11" s="75"/>
      <c r="IPZ11" s="75"/>
      <c r="IQA11" s="75"/>
      <c r="IQB11" s="75"/>
      <c r="IQC11" s="75"/>
      <c r="IQD11" s="75"/>
      <c r="IQE11" s="75"/>
      <c r="IQF11" s="75"/>
      <c r="IQG11" s="75"/>
      <c r="IQH11" s="75"/>
      <c r="IQI11" s="75"/>
      <c r="IQJ11" s="75"/>
      <c r="IQK11" s="75"/>
      <c r="IQL11" s="75"/>
      <c r="IQM11" s="75"/>
      <c r="IQN11" s="75"/>
      <c r="IQO11" s="75"/>
      <c r="IQP11" s="75"/>
      <c r="IQQ11" s="75"/>
      <c r="IQR11" s="75"/>
      <c r="IQS11" s="75"/>
      <c r="IQT11" s="75"/>
      <c r="IQU11" s="75"/>
      <c r="IQV11" s="75"/>
      <c r="IQW11" s="75"/>
      <c r="IQX11" s="75"/>
      <c r="IQY11" s="75"/>
      <c r="IQZ11" s="75"/>
      <c r="IRA11" s="75"/>
      <c r="IRB11" s="75"/>
      <c r="IRC11" s="75"/>
      <c r="IRD11" s="75"/>
      <c r="IRE11" s="75"/>
      <c r="IRF11" s="75"/>
      <c r="IRG11" s="75"/>
      <c r="IRH11" s="75"/>
      <c r="IRI11" s="75"/>
      <c r="IRJ11" s="75"/>
      <c r="IRK11" s="75"/>
      <c r="IRL11" s="75"/>
      <c r="IRM11" s="75"/>
      <c r="IRN11" s="75"/>
      <c r="IRO11" s="75"/>
      <c r="IRP11" s="75"/>
      <c r="IRQ11" s="75"/>
      <c r="IRR11" s="75"/>
      <c r="IRS11" s="75"/>
      <c r="IRT11" s="75"/>
      <c r="IRU11" s="75"/>
      <c r="IRV11" s="75"/>
      <c r="IRW11" s="75"/>
      <c r="IRX11" s="75"/>
      <c r="IRY11" s="75"/>
      <c r="IRZ11" s="75"/>
      <c r="ISA11" s="75"/>
      <c r="ISB11" s="75"/>
      <c r="ISC11" s="75"/>
      <c r="ISD11" s="75"/>
      <c r="ISE11" s="75"/>
      <c r="ISF11" s="75"/>
      <c r="ISG11" s="75"/>
      <c r="ISH11" s="75"/>
      <c r="ISI11" s="75"/>
      <c r="ISJ11" s="75"/>
      <c r="ISK11" s="75"/>
      <c r="ISL11" s="75"/>
      <c r="ISM11" s="75"/>
      <c r="ISN11" s="75"/>
      <c r="ISO11" s="75"/>
      <c r="ISP11" s="75"/>
      <c r="ISQ11" s="75"/>
      <c r="ISR11" s="75"/>
      <c r="ISS11" s="75"/>
      <c r="IST11" s="75"/>
      <c r="ISU11" s="75"/>
      <c r="ISV11" s="75"/>
      <c r="ISW11" s="75"/>
      <c r="ISX11" s="75"/>
      <c r="ISY11" s="75"/>
      <c r="ISZ11" s="75"/>
      <c r="ITA11" s="75"/>
      <c r="ITB11" s="75"/>
      <c r="ITC11" s="75"/>
      <c r="ITD11" s="75"/>
      <c r="ITE11" s="75"/>
      <c r="ITF11" s="75"/>
      <c r="ITG11" s="75"/>
      <c r="ITH11" s="75"/>
      <c r="ITI11" s="75"/>
      <c r="ITJ11" s="75"/>
      <c r="ITK11" s="75"/>
      <c r="ITL11" s="75"/>
      <c r="ITM11" s="75"/>
      <c r="ITN11" s="75"/>
      <c r="ITO11" s="75"/>
      <c r="ITP11" s="75"/>
      <c r="ITQ11" s="75"/>
      <c r="ITR11" s="75"/>
      <c r="ITS11" s="75"/>
      <c r="ITT11" s="75"/>
      <c r="ITU11" s="75"/>
      <c r="ITV11" s="75"/>
      <c r="ITW11" s="75"/>
      <c r="ITX11" s="75"/>
      <c r="ITY11" s="75"/>
      <c r="ITZ11" s="75"/>
      <c r="IUA11" s="75"/>
      <c r="IUB11" s="75"/>
      <c r="IUC11" s="75"/>
      <c r="IUD11" s="75"/>
      <c r="IUE11" s="75"/>
      <c r="IUF11" s="75"/>
      <c r="IUG11" s="75"/>
      <c r="IUH11" s="75"/>
      <c r="IUI11" s="75"/>
      <c r="IUJ11" s="75"/>
      <c r="IUK11" s="75"/>
      <c r="IUL11" s="75"/>
      <c r="IUM11" s="75"/>
      <c r="IUN11" s="75"/>
      <c r="IUO11" s="75"/>
      <c r="IUP11" s="75"/>
      <c r="IUQ11" s="75"/>
      <c r="IUR11" s="75"/>
      <c r="IUS11" s="75"/>
      <c r="IUT11" s="75"/>
      <c r="IUU11" s="75"/>
      <c r="IUV11" s="75"/>
      <c r="IUW11" s="75"/>
      <c r="IUX11" s="75"/>
      <c r="IUY11" s="75"/>
      <c r="IUZ11" s="75"/>
      <c r="IVA11" s="75"/>
      <c r="IVB11" s="75"/>
      <c r="IVC11" s="75"/>
      <c r="IVD11" s="75"/>
      <c r="IVE11" s="75"/>
      <c r="IVF11" s="75"/>
      <c r="IVG11" s="75"/>
      <c r="IVH11" s="75"/>
      <c r="IVI11" s="75"/>
      <c r="IVJ11" s="75"/>
      <c r="IVK11" s="75"/>
      <c r="IVL11" s="75"/>
      <c r="IVM11" s="75"/>
      <c r="IVN11" s="75"/>
      <c r="IVO11" s="75"/>
      <c r="IVP11" s="75"/>
      <c r="IVQ11" s="75"/>
      <c r="IVR11" s="75"/>
      <c r="IVS11" s="75"/>
      <c r="IVT11" s="75"/>
      <c r="IVU11" s="75"/>
      <c r="IVV11" s="75"/>
      <c r="IVW11" s="75"/>
      <c r="IVX11" s="75"/>
      <c r="IVY11" s="75"/>
      <c r="IVZ11" s="75"/>
      <c r="IWA11" s="75"/>
      <c r="IWB11" s="75"/>
      <c r="IWC11" s="75"/>
      <c r="IWD11" s="75"/>
      <c r="IWE11" s="75"/>
      <c r="IWF11" s="75"/>
      <c r="IWG11" s="75"/>
      <c r="IWH11" s="75"/>
      <c r="IWI11" s="75"/>
      <c r="IWJ11" s="75"/>
      <c r="IWK11" s="75"/>
      <c r="IWL11" s="75"/>
      <c r="IWM11" s="75"/>
      <c r="IWN11" s="75"/>
      <c r="IWO11" s="75"/>
      <c r="IWP11" s="75"/>
      <c r="IWQ11" s="75"/>
      <c r="IWR11" s="75"/>
      <c r="IWS11" s="75"/>
      <c r="IWT11" s="75"/>
      <c r="IWU11" s="75"/>
      <c r="IWV11" s="75"/>
      <c r="IWW11" s="75"/>
      <c r="IWX11" s="75"/>
      <c r="IWY11" s="75"/>
      <c r="IWZ11" s="75"/>
      <c r="IXA11" s="75"/>
      <c r="IXB11" s="75"/>
      <c r="IXC11" s="75"/>
      <c r="IXD11" s="75"/>
      <c r="IXE11" s="75"/>
      <c r="IXF11" s="75"/>
      <c r="IXG11" s="75"/>
      <c r="IXH11" s="75"/>
      <c r="IXI11" s="75"/>
      <c r="IXJ11" s="75"/>
      <c r="IXK11" s="75"/>
      <c r="IXL11" s="75"/>
      <c r="IXM11" s="75"/>
      <c r="IXN11" s="75"/>
      <c r="IXO11" s="75"/>
      <c r="IXP11" s="75"/>
      <c r="IXQ11" s="75"/>
      <c r="IXR11" s="75"/>
      <c r="IXS11" s="75"/>
      <c r="IXT11" s="75"/>
      <c r="IXU11" s="75"/>
      <c r="IXV11" s="75"/>
      <c r="IXW11" s="75"/>
      <c r="IXX11" s="75"/>
      <c r="IXY11" s="75"/>
      <c r="IXZ11" s="75"/>
      <c r="IYA11" s="75"/>
      <c r="IYB11" s="75"/>
      <c r="IYC11" s="75"/>
      <c r="IYD11" s="75"/>
      <c r="IYE11" s="75"/>
      <c r="IYF11" s="75"/>
      <c r="IYG11" s="75"/>
      <c r="IYH11" s="75"/>
      <c r="IYI11" s="75"/>
      <c r="IYJ11" s="75"/>
      <c r="IYK11" s="75"/>
      <c r="IYL11" s="75"/>
      <c r="IYM11" s="75"/>
      <c r="IYN11" s="75"/>
      <c r="IYO11" s="75"/>
      <c r="IYP11" s="75"/>
      <c r="IYQ11" s="75"/>
      <c r="IYR11" s="75"/>
      <c r="IYS11" s="75"/>
      <c r="IYT11" s="75"/>
      <c r="IYU11" s="75"/>
      <c r="IYV11" s="75"/>
      <c r="IYW11" s="75"/>
      <c r="IYX11" s="75"/>
      <c r="IYY11" s="75"/>
      <c r="IYZ11" s="75"/>
      <c r="IZA11" s="75"/>
      <c r="IZB11" s="75"/>
      <c r="IZC11" s="75"/>
      <c r="IZD11" s="75"/>
      <c r="IZE11" s="75"/>
      <c r="IZF11" s="75"/>
      <c r="IZG11" s="75"/>
      <c r="IZH11" s="75"/>
      <c r="IZI11" s="75"/>
      <c r="IZJ11" s="75"/>
      <c r="IZK11" s="75"/>
      <c r="IZL11" s="75"/>
      <c r="IZM11" s="75"/>
      <c r="IZN11" s="75"/>
      <c r="IZO11" s="75"/>
      <c r="IZP11" s="75"/>
      <c r="IZQ11" s="75"/>
      <c r="IZR11" s="75"/>
      <c r="IZS11" s="75"/>
      <c r="IZT11" s="75"/>
      <c r="IZU11" s="75"/>
      <c r="IZV11" s="75"/>
      <c r="IZW11" s="75"/>
      <c r="IZX11" s="75"/>
      <c r="IZY11" s="75"/>
      <c r="IZZ11" s="75"/>
      <c r="JAA11" s="75"/>
      <c r="JAB11" s="75"/>
      <c r="JAC11" s="75"/>
      <c r="JAD11" s="75"/>
      <c r="JAE11" s="75"/>
      <c r="JAF11" s="75"/>
      <c r="JAG11" s="75"/>
      <c r="JAH11" s="75"/>
      <c r="JAI11" s="75"/>
      <c r="JAJ11" s="75"/>
      <c r="JAK11" s="75"/>
      <c r="JAL11" s="75"/>
      <c r="JAM11" s="75"/>
      <c r="JAN11" s="75"/>
      <c r="JAO11" s="75"/>
      <c r="JAP11" s="75"/>
      <c r="JAQ11" s="75"/>
      <c r="JAR11" s="75"/>
      <c r="JAS11" s="75"/>
      <c r="JAT11" s="75"/>
      <c r="JAU11" s="75"/>
      <c r="JAV11" s="75"/>
      <c r="JAW11" s="75"/>
      <c r="JAX11" s="75"/>
      <c r="JAY11" s="75"/>
      <c r="JAZ11" s="75"/>
      <c r="JBA11" s="75"/>
      <c r="JBB11" s="75"/>
      <c r="JBC11" s="75"/>
      <c r="JBD11" s="75"/>
      <c r="JBE11" s="75"/>
      <c r="JBF11" s="75"/>
      <c r="JBG11" s="75"/>
      <c r="JBH11" s="75"/>
      <c r="JBI11" s="75"/>
      <c r="JBJ11" s="75"/>
      <c r="JBK11" s="75"/>
      <c r="JBL11" s="75"/>
      <c r="JBM11" s="75"/>
      <c r="JBN11" s="75"/>
      <c r="JBO11" s="75"/>
      <c r="JBP11" s="75"/>
      <c r="JBQ11" s="75"/>
      <c r="JBR11" s="75"/>
      <c r="JBS11" s="75"/>
      <c r="JBT11" s="75"/>
      <c r="JBU11" s="75"/>
      <c r="JBV11" s="75"/>
      <c r="JBW11" s="75"/>
      <c r="JBX11" s="75"/>
      <c r="JBY11" s="75"/>
      <c r="JBZ11" s="75"/>
      <c r="JCA11" s="75"/>
      <c r="JCB11" s="75"/>
      <c r="JCC11" s="75"/>
      <c r="JCD11" s="75"/>
      <c r="JCE11" s="75"/>
      <c r="JCF11" s="75"/>
      <c r="JCG11" s="75"/>
      <c r="JCH11" s="75"/>
      <c r="JCI11" s="75"/>
      <c r="JCJ11" s="75"/>
      <c r="JCK11" s="75"/>
      <c r="JCL11" s="75"/>
      <c r="JCM11" s="75"/>
      <c r="JCN11" s="75"/>
      <c r="JCO11" s="75"/>
      <c r="JCP11" s="75"/>
      <c r="JCQ11" s="75"/>
      <c r="JCR11" s="75"/>
      <c r="JCS11" s="75"/>
      <c r="JCT11" s="75"/>
      <c r="JCU11" s="75"/>
      <c r="JCV11" s="75"/>
      <c r="JCW11" s="75"/>
      <c r="JCX11" s="75"/>
      <c r="JCY11" s="75"/>
      <c r="JCZ11" s="75"/>
      <c r="JDA11" s="75"/>
      <c r="JDB11" s="75"/>
      <c r="JDC11" s="75"/>
      <c r="JDD11" s="75"/>
      <c r="JDE11" s="75"/>
      <c r="JDF11" s="75"/>
      <c r="JDG11" s="75"/>
      <c r="JDH11" s="75"/>
      <c r="JDI11" s="75"/>
      <c r="JDJ11" s="75"/>
      <c r="JDK11" s="75"/>
      <c r="JDL11" s="75"/>
      <c r="JDM11" s="75"/>
      <c r="JDN11" s="75"/>
      <c r="JDO11" s="75"/>
      <c r="JDP11" s="75"/>
      <c r="JDQ11" s="75"/>
      <c r="JDR11" s="75"/>
      <c r="JDS11" s="75"/>
      <c r="JDT11" s="75"/>
      <c r="JDU11" s="75"/>
      <c r="JDV11" s="75"/>
      <c r="JDW11" s="75"/>
      <c r="JDX11" s="75"/>
      <c r="JDY11" s="75"/>
      <c r="JDZ11" s="75"/>
      <c r="JEA11" s="75"/>
      <c r="JEB11" s="75"/>
      <c r="JEC11" s="75"/>
      <c r="JED11" s="75"/>
      <c r="JEE11" s="75"/>
      <c r="JEF11" s="75"/>
      <c r="JEG11" s="75"/>
      <c r="JEH11" s="75"/>
      <c r="JEI11" s="75"/>
      <c r="JEJ11" s="75"/>
      <c r="JEK11" s="75"/>
      <c r="JEL11" s="75"/>
      <c r="JEM11" s="75"/>
      <c r="JEN11" s="75"/>
      <c r="JEO11" s="75"/>
      <c r="JEP11" s="75"/>
      <c r="JEQ11" s="75"/>
      <c r="JER11" s="75"/>
      <c r="JES11" s="75"/>
      <c r="JET11" s="75"/>
      <c r="JEU11" s="75"/>
      <c r="JEV11" s="75"/>
      <c r="JEW11" s="75"/>
      <c r="JEX11" s="75"/>
      <c r="JEY11" s="75"/>
      <c r="JEZ11" s="75"/>
      <c r="JFA11" s="75"/>
      <c r="JFB11" s="75"/>
      <c r="JFC11" s="75"/>
      <c r="JFD11" s="75"/>
      <c r="JFE11" s="75"/>
      <c r="JFF11" s="75"/>
      <c r="JFG11" s="75"/>
      <c r="JFH11" s="75"/>
      <c r="JFI11" s="75"/>
      <c r="JFJ11" s="75"/>
      <c r="JFK11" s="75"/>
      <c r="JFL11" s="75"/>
      <c r="JFM11" s="75"/>
      <c r="JFN11" s="75"/>
      <c r="JFO11" s="75"/>
      <c r="JFP11" s="75"/>
      <c r="JFQ11" s="75"/>
      <c r="JFR11" s="75"/>
      <c r="JFS11" s="75"/>
      <c r="JFT11" s="75"/>
      <c r="JFU11" s="75"/>
      <c r="JFV11" s="75"/>
      <c r="JFW11" s="75"/>
      <c r="JFX11" s="75"/>
      <c r="JFY11" s="75"/>
      <c r="JFZ11" s="75"/>
      <c r="JGA11" s="75"/>
      <c r="JGB11" s="75"/>
      <c r="JGC11" s="75"/>
      <c r="JGD11" s="75"/>
      <c r="JGE11" s="75"/>
      <c r="JGF11" s="75"/>
      <c r="JGG11" s="75"/>
      <c r="JGH11" s="75"/>
      <c r="JGI11" s="75"/>
      <c r="JGJ11" s="75"/>
      <c r="JGK11" s="75"/>
      <c r="JGL11" s="75"/>
      <c r="JGM11" s="75"/>
      <c r="JGN11" s="75"/>
      <c r="JGO11" s="75"/>
      <c r="JGP11" s="75"/>
      <c r="JGQ11" s="75"/>
      <c r="JGR11" s="75"/>
      <c r="JGS11" s="75"/>
      <c r="JGT11" s="75"/>
      <c r="JGU11" s="75"/>
      <c r="JGV11" s="75"/>
      <c r="JGW11" s="75"/>
      <c r="JGX11" s="75"/>
      <c r="JGY11" s="75"/>
      <c r="JGZ11" s="75"/>
      <c r="JHA11" s="75"/>
      <c r="JHB11" s="75"/>
      <c r="JHC11" s="75"/>
      <c r="JHD11" s="75"/>
      <c r="JHE11" s="75"/>
      <c r="JHF11" s="75"/>
      <c r="JHG11" s="75"/>
      <c r="JHH11" s="75"/>
      <c r="JHI11" s="75"/>
      <c r="JHJ11" s="75"/>
      <c r="JHK11" s="75"/>
      <c r="JHL11" s="75"/>
      <c r="JHM11" s="75"/>
      <c r="JHN11" s="75"/>
      <c r="JHO11" s="75"/>
      <c r="JHP11" s="75"/>
      <c r="JHQ11" s="75"/>
      <c r="JHR11" s="75"/>
      <c r="JHS11" s="75"/>
      <c r="JHT11" s="75"/>
      <c r="JHU11" s="75"/>
      <c r="JHV11" s="75"/>
      <c r="JHW11" s="75"/>
      <c r="JHX11" s="75"/>
      <c r="JHY11" s="75"/>
      <c r="JHZ11" s="75"/>
      <c r="JIA11" s="75"/>
      <c r="JIB11" s="75"/>
      <c r="JIC11" s="75"/>
      <c r="JID11" s="75"/>
      <c r="JIE11" s="75"/>
      <c r="JIF11" s="75"/>
      <c r="JIG11" s="75"/>
      <c r="JIH11" s="75"/>
      <c r="JII11" s="75"/>
      <c r="JIJ11" s="75"/>
      <c r="JIK11" s="75"/>
      <c r="JIL11" s="75"/>
      <c r="JIM11" s="75"/>
      <c r="JIN11" s="75"/>
      <c r="JIO11" s="75"/>
      <c r="JIP11" s="75"/>
      <c r="JIQ11" s="75"/>
      <c r="JIR11" s="75"/>
      <c r="JIS11" s="75"/>
      <c r="JIT11" s="75"/>
      <c r="JIU11" s="75"/>
      <c r="JIV11" s="75"/>
      <c r="JIW11" s="75"/>
      <c r="JIX11" s="75"/>
      <c r="JIY11" s="75"/>
      <c r="JIZ11" s="75"/>
      <c r="JJA11" s="75"/>
      <c r="JJB11" s="75"/>
      <c r="JJC11" s="75"/>
      <c r="JJD11" s="75"/>
      <c r="JJE11" s="75"/>
      <c r="JJF11" s="75"/>
      <c r="JJG11" s="75"/>
      <c r="JJH11" s="75"/>
      <c r="JJI11" s="75"/>
      <c r="JJJ11" s="75"/>
      <c r="JJK11" s="75"/>
      <c r="JJL11" s="75"/>
      <c r="JJM11" s="75"/>
      <c r="JJN11" s="75"/>
      <c r="JJO11" s="75"/>
      <c r="JJP11" s="75"/>
      <c r="JJQ11" s="75"/>
      <c r="JJR11" s="75"/>
      <c r="JJS11" s="75"/>
      <c r="JJT11" s="75"/>
      <c r="JJU11" s="75"/>
      <c r="JJV11" s="75"/>
      <c r="JJW11" s="75"/>
      <c r="JJX11" s="75"/>
      <c r="JJY11" s="75"/>
      <c r="JJZ11" s="75"/>
      <c r="JKA11" s="75"/>
      <c r="JKB11" s="75"/>
      <c r="JKC11" s="75"/>
      <c r="JKD11" s="75"/>
      <c r="JKE11" s="75"/>
      <c r="JKF11" s="75"/>
      <c r="JKG11" s="75"/>
      <c r="JKH11" s="75"/>
      <c r="JKI11" s="75"/>
      <c r="JKJ11" s="75"/>
      <c r="JKK11" s="75"/>
      <c r="JKL11" s="75"/>
      <c r="JKM11" s="75"/>
      <c r="JKN11" s="75"/>
      <c r="JKO11" s="75"/>
      <c r="JKP11" s="75"/>
      <c r="JKQ11" s="75"/>
      <c r="JKR11" s="75"/>
      <c r="JKS11" s="75"/>
      <c r="JKT11" s="75"/>
      <c r="JKU11" s="75"/>
      <c r="JKV11" s="75"/>
      <c r="JKW11" s="75"/>
      <c r="JKX11" s="75"/>
      <c r="JKY11" s="75"/>
      <c r="JKZ11" s="75"/>
      <c r="JLA11" s="75"/>
      <c r="JLB11" s="75"/>
      <c r="JLC11" s="75"/>
      <c r="JLD11" s="75"/>
      <c r="JLE11" s="75"/>
      <c r="JLF11" s="75"/>
      <c r="JLG11" s="75"/>
      <c r="JLH11" s="75"/>
      <c r="JLI11" s="75"/>
      <c r="JLJ11" s="75"/>
      <c r="JLK11" s="75"/>
      <c r="JLL11" s="75"/>
      <c r="JLM11" s="75"/>
      <c r="JLN11" s="75"/>
      <c r="JLO11" s="75"/>
      <c r="JLP11" s="75"/>
      <c r="JLQ11" s="75"/>
      <c r="JLR11" s="75"/>
      <c r="JLS11" s="75"/>
      <c r="JLT11" s="75"/>
      <c r="JLU11" s="75"/>
      <c r="JLV11" s="75"/>
      <c r="JLW11" s="75"/>
      <c r="JLX11" s="75"/>
      <c r="JLY11" s="75"/>
      <c r="JLZ11" s="75"/>
      <c r="JMA11" s="75"/>
      <c r="JMB11" s="75"/>
      <c r="JMC11" s="75"/>
      <c r="JMD11" s="75"/>
      <c r="JME11" s="75"/>
      <c r="JMF11" s="75"/>
      <c r="JMG11" s="75"/>
      <c r="JMH11" s="75"/>
      <c r="JMI11" s="75"/>
      <c r="JMJ11" s="75"/>
      <c r="JMK11" s="75"/>
      <c r="JML11" s="75"/>
      <c r="JMM11" s="75"/>
      <c r="JMN11" s="75"/>
      <c r="JMO11" s="75"/>
      <c r="JMP11" s="75"/>
      <c r="JMQ11" s="75"/>
      <c r="JMR11" s="75"/>
      <c r="JMS11" s="75"/>
      <c r="JMT11" s="75"/>
      <c r="JMU11" s="75"/>
      <c r="JMV11" s="75"/>
      <c r="JMW11" s="75"/>
      <c r="JMX11" s="75"/>
      <c r="JMY11" s="75"/>
      <c r="JMZ11" s="75"/>
      <c r="JNA11" s="75"/>
      <c r="JNB11" s="75"/>
      <c r="JNC11" s="75"/>
      <c r="JND11" s="75"/>
      <c r="JNE11" s="75"/>
      <c r="JNF11" s="75"/>
      <c r="JNG11" s="75"/>
      <c r="JNH11" s="75"/>
      <c r="JNI11" s="75"/>
      <c r="JNJ11" s="75"/>
      <c r="JNK11" s="75"/>
      <c r="JNL11" s="75"/>
      <c r="JNM11" s="75"/>
      <c r="JNN11" s="75"/>
      <c r="JNO11" s="75"/>
      <c r="JNP11" s="75"/>
      <c r="JNQ11" s="75"/>
      <c r="JNR11" s="75"/>
      <c r="JNS11" s="75"/>
      <c r="JNT11" s="75"/>
      <c r="JNU11" s="75"/>
      <c r="JNV11" s="75"/>
      <c r="JNW11" s="75"/>
      <c r="JNX11" s="75"/>
      <c r="JNY11" s="75"/>
      <c r="JNZ11" s="75"/>
      <c r="JOA11" s="75"/>
      <c r="JOB11" s="75"/>
      <c r="JOC11" s="75"/>
      <c r="JOD11" s="75"/>
      <c r="JOE11" s="75"/>
      <c r="JOF11" s="75"/>
      <c r="JOG11" s="75"/>
      <c r="JOH11" s="75"/>
      <c r="JOI11" s="75"/>
      <c r="JOJ11" s="75"/>
      <c r="JOK11" s="75"/>
      <c r="JOL11" s="75"/>
      <c r="JOM11" s="75"/>
      <c r="JON11" s="75"/>
      <c r="JOO11" s="75"/>
      <c r="JOP11" s="75"/>
      <c r="JOQ11" s="75"/>
      <c r="JOR11" s="75"/>
      <c r="JOS11" s="75"/>
      <c r="JOT11" s="75"/>
      <c r="JOU11" s="75"/>
      <c r="JOV11" s="75"/>
      <c r="JOW11" s="75"/>
      <c r="JOX11" s="75"/>
      <c r="JOY11" s="75"/>
      <c r="JOZ11" s="75"/>
      <c r="JPA11" s="75"/>
      <c r="JPB11" s="75"/>
      <c r="JPC11" s="75"/>
      <c r="JPD11" s="75"/>
      <c r="JPE11" s="75"/>
      <c r="JPF11" s="75"/>
      <c r="JPG11" s="75"/>
      <c r="JPH11" s="75"/>
      <c r="JPI11" s="75"/>
      <c r="JPJ11" s="75"/>
      <c r="JPK11" s="75"/>
      <c r="JPL11" s="75"/>
      <c r="JPM11" s="75"/>
      <c r="JPN11" s="75"/>
      <c r="JPO11" s="75"/>
      <c r="JPP11" s="75"/>
      <c r="JPQ11" s="75"/>
      <c r="JPR11" s="75"/>
      <c r="JPS11" s="75"/>
      <c r="JPT11" s="75"/>
      <c r="JPU11" s="75"/>
      <c r="JPV11" s="75"/>
      <c r="JPW11" s="75"/>
      <c r="JPX11" s="75"/>
      <c r="JPY11" s="75"/>
      <c r="JPZ11" s="75"/>
      <c r="JQA11" s="75"/>
      <c r="JQB11" s="75"/>
      <c r="JQC11" s="75"/>
      <c r="JQD11" s="75"/>
      <c r="JQE11" s="75"/>
      <c r="JQF11" s="75"/>
      <c r="JQG11" s="75"/>
      <c r="JQH11" s="75"/>
      <c r="JQI11" s="75"/>
      <c r="JQJ11" s="75"/>
      <c r="JQK11" s="75"/>
      <c r="JQL11" s="75"/>
      <c r="JQM11" s="75"/>
      <c r="JQN11" s="75"/>
      <c r="JQO11" s="75"/>
      <c r="JQP11" s="75"/>
      <c r="JQQ11" s="75"/>
      <c r="JQR11" s="75"/>
      <c r="JQS11" s="75"/>
      <c r="JQT11" s="75"/>
      <c r="JQU11" s="75"/>
      <c r="JQV11" s="75"/>
      <c r="JQW11" s="75"/>
      <c r="JQX11" s="75"/>
      <c r="JQY11" s="75"/>
      <c r="JQZ11" s="75"/>
      <c r="JRA11" s="75"/>
      <c r="JRB11" s="75"/>
      <c r="JRC11" s="75"/>
      <c r="JRD11" s="75"/>
      <c r="JRE11" s="75"/>
      <c r="JRF11" s="75"/>
      <c r="JRG11" s="75"/>
      <c r="JRH11" s="75"/>
      <c r="JRI11" s="75"/>
      <c r="JRJ11" s="75"/>
      <c r="JRK11" s="75"/>
      <c r="JRL11" s="75"/>
      <c r="JRM11" s="75"/>
      <c r="JRN11" s="75"/>
      <c r="JRO11" s="75"/>
      <c r="JRP11" s="75"/>
      <c r="JRQ11" s="75"/>
      <c r="JRR11" s="75"/>
      <c r="JRS11" s="75"/>
      <c r="JRT11" s="75"/>
      <c r="JRU11" s="75"/>
      <c r="JRV11" s="75"/>
      <c r="JRW11" s="75"/>
      <c r="JRX11" s="75"/>
      <c r="JRY11" s="75"/>
      <c r="JRZ11" s="75"/>
      <c r="JSA11" s="75"/>
      <c r="JSB11" s="75"/>
      <c r="JSC11" s="75"/>
      <c r="JSD11" s="75"/>
      <c r="JSE11" s="75"/>
      <c r="JSF11" s="75"/>
      <c r="JSG11" s="75"/>
      <c r="JSH11" s="75"/>
      <c r="JSI11" s="75"/>
      <c r="JSJ11" s="75"/>
      <c r="JSK11" s="75"/>
      <c r="JSL11" s="75"/>
      <c r="JSM11" s="75"/>
      <c r="JSN11" s="75"/>
      <c r="JSO11" s="75"/>
      <c r="JSP11" s="75"/>
      <c r="JSQ11" s="75"/>
      <c r="JSR11" s="75"/>
      <c r="JSS11" s="75"/>
      <c r="JST11" s="75"/>
      <c r="JSU11" s="75"/>
      <c r="JSV11" s="75"/>
      <c r="JSW11" s="75"/>
      <c r="JSX11" s="75"/>
      <c r="JSY11" s="75"/>
      <c r="JSZ11" s="75"/>
      <c r="JTA11" s="75"/>
      <c r="JTB11" s="75"/>
      <c r="JTC11" s="75"/>
      <c r="JTD11" s="75"/>
      <c r="JTE11" s="75"/>
      <c r="JTF11" s="75"/>
      <c r="JTG11" s="75"/>
      <c r="JTH11" s="75"/>
      <c r="JTI11" s="75"/>
      <c r="JTJ11" s="75"/>
      <c r="JTK11" s="75"/>
      <c r="JTL11" s="75"/>
      <c r="JTM11" s="75"/>
      <c r="JTN11" s="75"/>
      <c r="JTO11" s="75"/>
      <c r="JTP11" s="75"/>
      <c r="JTQ11" s="75"/>
      <c r="JTR11" s="75"/>
      <c r="JTS11" s="75"/>
      <c r="JTT11" s="75"/>
      <c r="JTU11" s="75"/>
      <c r="JTV11" s="75"/>
      <c r="JTW11" s="75"/>
      <c r="JTX11" s="75"/>
      <c r="JTY11" s="75"/>
      <c r="JTZ11" s="75"/>
      <c r="JUA11" s="75"/>
      <c r="JUB11" s="75"/>
      <c r="JUC11" s="75"/>
      <c r="JUD11" s="75"/>
      <c r="JUE11" s="75"/>
      <c r="JUF11" s="75"/>
      <c r="JUG11" s="75"/>
      <c r="JUH11" s="75"/>
      <c r="JUI11" s="75"/>
      <c r="JUJ11" s="75"/>
      <c r="JUK11" s="75"/>
      <c r="JUL11" s="75"/>
      <c r="JUM11" s="75"/>
      <c r="JUN11" s="75"/>
      <c r="JUO11" s="75"/>
      <c r="JUP11" s="75"/>
      <c r="JUQ11" s="75"/>
      <c r="JUR11" s="75"/>
      <c r="JUS11" s="75"/>
      <c r="JUT11" s="75"/>
      <c r="JUU11" s="75"/>
      <c r="JUV11" s="75"/>
      <c r="JUW11" s="75"/>
      <c r="JUX11" s="75"/>
      <c r="JUY11" s="75"/>
      <c r="JUZ11" s="75"/>
      <c r="JVA11" s="75"/>
      <c r="JVB11" s="75"/>
      <c r="JVC11" s="75"/>
      <c r="JVD11" s="75"/>
      <c r="JVE11" s="75"/>
      <c r="JVF11" s="75"/>
      <c r="JVG11" s="75"/>
      <c r="JVH11" s="75"/>
      <c r="JVI11" s="75"/>
      <c r="JVJ11" s="75"/>
      <c r="JVK11" s="75"/>
      <c r="JVL11" s="75"/>
      <c r="JVM11" s="75"/>
      <c r="JVN11" s="75"/>
      <c r="JVO11" s="75"/>
      <c r="JVP11" s="75"/>
      <c r="JVQ11" s="75"/>
      <c r="JVR11" s="75"/>
      <c r="JVS11" s="75"/>
      <c r="JVT11" s="75"/>
      <c r="JVU11" s="75"/>
      <c r="JVV11" s="75"/>
      <c r="JVW11" s="75"/>
      <c r="JVX11" s="75"/>
      <c r="JVY11" s="75"/>
      <c r="JVZ11" s="75"/>
      <c r="JWA11" s="75"/>
      <c r="JWB11" s="75"/>
      <c r="JWC11" s="75"/>
      <c r="JWD11" s="75"/>
      <c r="JWE11" s="75"/>
      <c r="JWF11" s="75"/>
      <c r="JWG11" s="75"/>
      <c r="JWH11" s="75"/>
      <c r="JWI11" s="75"/>
      <c r="JWJ11" s="75"/>
      <c r="JWK11" s="75"/>
      <c r="JWL11" s="75"/>
      <c r="JWM11" s="75"/>
      <c r="JWN11" s="75"/>
      <c r="JWO11" s="75"/>
      <c r="JWP11" s="75"/>
      <c r="JWQ11" s="75"/>
      <c r="JWR11" s="75"/>
      <c r="JWS11" s="75"/>
      <c r="JWT11" s="75"/>
      <c r="JWU11" s="75"/>
      <c r="JWV11" s="75"/>
      <c r="JWW11" s="75"/>
      <c r="JWX11" s="75"/>
      <c r="JWY11" s="75"/>
      <c r="JWZ11" s="75"/>
      <c r="JXA11" s="75"/>
      <c r="JXB11" s="75"/>
      <c r="JXC11" s="75"/>
      <c r="JXD11" s="75"/>
      <c r="JXE11" s="75"/>
      <c r="JXF11" s="75"/>
      <c r="JXG11" s="75"/>
      <c r="JXH11" s="75"/>
      <c r="JXI11" s="75"/>
      <c r="JXJ11" s="75"/>
      <c r="JXK11" s="75"/>
      <c r="JXL11" s="75"/>
      <c r="JXM11" s="75"/>
      <c r="JXN11" s="75"/>
      <c r="JXO11" s="75"/>
      <c r="JXP11" s="75"/>
      <c r="JXQ11" s="75"/>
      <c r="JXR11" s="75"/>
      <c r="JXS11" s="75"/>
      <c r="JXT11" s="75"/>
      <c r="JXU11" s="75"/>
      <c r="JXV11" s="75"/>
      <c r="JXW11" s="75"/>
      <c r="JXX11" s="75"/>
      <c r="JXY11" s="75"/>
      <c r="JXZ11" s="75"/>
      <c r="JYA11" s="75"/>
      <c r="JYB11" s="75"/>
      <c r="JYC11" s="75"/>
      <c r="JYD11" s="75"/>
      <c r="JYE11" s="75"/>
      <c r="JYF11" s="75"/>
      <c r="JYG11" s="75"/>
      <c r="JYH11" s="75"/>
      <c r="JYI11" s="75"/>
      <c r="JYJ11" s="75"/>
      <c r="JYK11" s="75"/>
      <c r="JYL11" s="75"/>
      <c r="JYM11" s="75"/>
      <c r="JYN11" s="75"/>
      <c r="JYO11" s="75"/>
      <c r="JYP11" s="75"/>
      <c r="JYQ11" s="75"/>
      <c r="JYR11" s="75"/>
      <c r="JYS11" s="75"/>
      <c r="JYT11" s="75"/>
      <c r="JYU11" s="75"/>
      <c r="JYV11" s="75"/>
      <c r="JYW11" s="75"/>
      <c r="JYX11" s="75"/>
      <c r="JYY11" s="75"/>
      <c r="JYZ11" s="75"/>
      <c r="JZA11" s="75"/>
      <c r="JZB11" s="75"/>
      <c r="JZC11" s="75"/>
      <c r="JZD11" s="75"/>
      <c r="JZE11" s="75"/>
      <c r="JZF11" s="75"/>
      <c r="JZG11" s="75"/>
      <c r="JZH11" s="75"/>
      <c r="JZI11" s="75"/>
      <c r="JZJ11" s="75"/>
      <c r="JZK11" s="75"/>
      <c r="JZL11" s="75"/>
      <c r="JZM11" s="75"/>
      <c r="JZN11" s="75"/>
      <c r="JZO11" s="75"/>
      <c r="JZP11" s="75"/>
      <c r="JZQ11" s="75"/>
      <c r="JZR11" s="75"/>
      <c r="JZS11" s="75"/>
      <c r="JZT11" s="75"/>
      <c r="JZU11" s="75"/>
      <c r="JZV11" s="75"/>
      <c r="JZW11" s="75"/>
      <c r="JZX11" s="75"/>
      <c r="JZY11" s="75"/>
      <c r="JZZ11" s="75"/>
      <c r="KAA11" s="75"/>
      <c r="KAB11" s="75"/>
      <c r="KAC11" s="75"/>
      <c r="KAD11" s="75"/>
      <c r="KAE11" s="75"/>
      <c r="KAF11" s="75"/>
      <c r="KAG11" s="75"/>
      <c r="KAH11" s="75"/>
      <c r="KAI11" s="75"/>
      <c r="KAJ11" s="75"/>
      <c r="KAK11" s="75"/>
      <c r="KAL11" s="75"/>
      <c r="KAM11" s="75"/>
      <c r="KAN11" s="75"/>
      <c r="KAO11" s="75"/>
      <c r="KAP11" s="75"/>
      <c r="KAQ11" s="75"/>
      <c r="KAR11" s="75"/>
      <c r="KAS11" s="75"/>
      <c r="KAT11" s="75"/>
      <c r="KAU11" s="75"/>
      <c r="KAV11" s="75"/>
      <c r="KAW11" s="75"/>
      <c r="KAX11" s="75"/>
      <c r="KAY11" s="75"/>
      <c r="KAZ11" s="75"/>
      <c r="KBA11" s="75"/>
      <c r="KBB11" s="75"/>
      <c r="KBC11" s="75"/>
      <c r="KBD11" s="75"/>
      <c r="KBE11" s="75"/>
      <c r="KBF11" s="75"/>
      <c r="KBG11" s="75"/>
      <c r="KBH11" s="75"/>
      <c r="KBI11" s="75"/>
      <c r="KBJ11" s="75"/>
      <c r="KBK11" s="75"/>
      <c r="KBL11" s="75"/>
      <c r="KBM11" s="75"/>
      <c r="KBN11" s="75"/>
      <c r="KBO11" s="75"/>
      <c r="KBP11" s="75"/>
      <c r="KBQ11" s="75"/>
      <c r="KBR11" s="75"/>
      <c r="KBS11" s="75"/>
      <c r="KBT11" s="75"/>
      <c r="KBU11" s="75"/>
      <c r="KBV11" s="75"/>
      <c r="KBW11" s="75"/>
      <c r="KBX11" s="75"/>
      <c r="KBY11" s="75"/>
      <c r="KBZ11" s="75"/>
      <c r="KCA11" s="75"/>
      <c r="KCB11" s="75"/>
      <c r="KCC11" s="75"/>
      <c r="KCD11" s="75"/>
      <c r="KCE11" s="75"/>
      <c r="KCF11" s="75"/>
      <c r="KCG11" s="75"/>
      <c r="KCH11" s="75"/>
      <c r="KCI11" s="75"/>
      <c r="KCJ11" s="75"/>
      <c r="KCK11" s="75"/>
      <c r="KCL11" s="75"/>
      <c r="KCM11" s="75"/>
      <c r="KCN11" s="75"/>
      <c r="KCO11" s="75"/>
      <c r="KCP11" s="75"/>
      <c r="KCQ11" s="75"/>
      <c r="KCR11" s="75"/>
      <c r="KCS11" s="75"/>
      <c r="KCT11" s="75"/>
      <c r="KCU11" s="75"/>
      <c r="KCV11" s="75"/>
      <c r="KCW11" s="75"/>
      <c r="KCX11" s="75"/>
      <c r="KCY11" s="75"/>
      <c r="KCZ11" s="75"/>
      <c r="KDA11" s="75"/>
      <c r="KDB11" s="75"/>
      <c r="KDC11" s="75"/>
      <c r="KDD11" s="75"/>
      <c r="KDE11" s="75"/>
      <c r="KDF11" s="75"/>
      <c r="KDG11" s="75"/>
      <c r="KDH11" s="75"/>
      <c r="KDI11" s="75"/>
      <c r="KDJ11" s="75"/>
      <c r="KDK11" s="75"/>
      <c r="KDL11" s="75"/>
      <c r="KDM11" s="75"/>
      <c r="KDN11" s="75"/>
      <c r="KDO11" s="75"/>
      <c r="KDP11" s="75"/>
      <c r="KDQ11" s="75"/>
      <c r="KDR11" s="75"/>
      <c r="KDS11" s="75"/>
      <c r="KDT11" s="75"/>
      <c r="KDU11" s="75"/>
      <c r="KDV11" s="75"/>
      <c r="KDW11" s="75"/>
      <c r="KDX11" s="75"/>
      <c r="KDY11" s="75"/>
      <c r="KDZ11" s="75"/>
      <c r="KEA11" s="75"/>
      <c r="KEB11" s="75"/>
      <c r="KEC11" s="75"/>
      <c r="KED11" s="75"/>
      <c r="KEE11" s="75"/>
      <c r="KEF11" s="75"/>
      <c r="KEG11" s="75"/>
      <c r="KEH11" s="75"/>
      <c r="KEI11" s="75"/>
      <c r="KEJ11" s="75"/>
      <c r="KEK11" s="75"/>
      <c r="KEL11" s="75"/>
      <c r="KEM11" s="75"/>
      <c r="KEN11" s="75"/>
      <c r="KEO11" s="75"/>
      <c r="KEP11" s="75"/>
      <c r="KEQ11" s="75"/>
      <c r="KER11" s="75"/>
      <c r="KES11" s="75"/>
      <c r="KET11" s="75"/>
      <c r="KEU11" s="75"/>
      <c r="KEV11" s="75"/>
      <c r="KEW11" s="75"/>
      <c r="KEX11" s="75"/>
      <c r="KEY11" s="75"/>
      <c r="KEZ11" s="75"/>
      <c r="KFA11" s="75"/>
      <c r="KFB11" s="75"/>
      <c r="KFC11" s="75"/>
      <c r="KFD11" s="75"/>
      <c r="KFE11" s="75"/>
      <c r="KFF11" s="75"/>
      <c r="KFG11" s="75"/>
      <c r="KFH11" s="75"/>
      <c r="KFI11" s="75"/>
      <c r="KFJ11" s="75"/>
      <c r="KFK11" s="75"/>
      <c r="KFL11" s="75"/>
      <c r="KFM11" s="75"/>
      <c r="KFN11" s="75"/>
      <c r="KFO11" s="75"/>
      <c r="KFP11" s="75"/>
      <c r="KFQ11" s="75"/>
      <c r="KFR11" s="75"/>
      <c r="KFS11" s="75"/>
      <c r="KFT11" s="75"/>
      <c r="KFU11" s="75"/>
      <c r="KFV11" s="75"/>
      <c r="KFW11" s="75"/>
      <c r="KFX11" s="75"/>
      <c r="KFY11" s="75"/>
      <c r="KFZ11" s="75"/>
      <c r="KGA11" s="75"/>
      <c r="KGB11" s="75"/>
      <c r="KGC11" s="75"/>
      <c r="KGD11" s="75"/>
      <c r="KGE11" s="75"/>
      <c r="KGF11" s="75"/>
      <c r="KGG11" s="75"/>
      <c r="KGH11" s="75"/>
      <c r="KGI11" s="75"/>
      <c r="KGJ11" s="75"/>
      <c r="KGK11" s="75"/>
      <c r="KGL11" s="75"/>
      <c r="KGM11" s="75"/>
      <c r="KGN11" s="75"/>
      <c r="KGO11" s="75"/>
      <c r="KGP11" s="75"/>
      <c r="KGQ11" s="75"/>
      <c r="KGR11" s="75"/>
      <c r="KGS11" s="75"/>
      <c r="KGT11" s="75"/>
      <c r="KGU11" s="75"/>
      <c r="KGV11" s="75"/>
      <c r="KGW11" s="75"/>
      <c r="KGX11" s="75"/>
      <c r="KGY11" s="75"/>
      <c r="KGZ11" s="75"/>
      <c r="KHA11" s="75"/>
      <c r="KHB11" s="75"/>
      <c r="KHC11" s="75"/>
      <c r="KHD11" s="75"/>
      <c r="KHE11" s="75"/>
      <c r="KHF11" s="75"/>
      <c r="KHG11" s="75"/>
      <c r="KHH11" s="75"/>
      <c r="KHI11" s="75"/>
      <c r="KHJ11" s="75"/>
      <c r="KHK11" s="75"/>
      <c r="KHL11" s="75"/>
      <c r="KHM11" s="75"/>
      <c r="KHN11" s="75"/>
      <c r="KHO11" s="75"/>
      <c r="KHP11" s="75"/>
      <c r="KHQ11" s="75"/>
      <c r="KHR11" s="75"/>
      <c r="KHS11" s="75"/>
      <c r="KHT11" s="75"/>
      <c r="KHU11" s="75"/>
      <c r="KHV11" s="75"/>
      <c r="KHW11" s="75"/>
      <c r="KHX11" s="75"/>
      <c r="KHY11" s="75"/>
      <c r="KHZ11" s="75"/>
      <c r="KIA11" s="75"/>
      <c r="KIB11" s="75"/>
      <c r="KIC11" s="75"/>
      <c r="KID11" s="75"/>
      <c r="KIE11" s="75"/>
      <c r="KIF11" s="75"/>
      <c r="KIG11" s="75"/>
      <c r="KIH11" s="75"/>
      <c r="KII11" s="75"/>
      <c r="KIJ11" s="75"/>
      <c r="KIK11" s="75"/>
      <c r="KIL11" s="75"/>
      <c r="KIM11" s="75"/>
      <c r="KIN11" s="75"/>
      <c r="KIO11" s="75"/>
      <c r="KIP11" s="75"/>
      <c r="KIQ11" s="75"/>
      <c r="KIR11" s="75"/>
      <c r="KIS11" s="75"/>
      <c r="KIT11" s="75"/>
      <c r="KIU11" s="75"/>
      <c r="KIV11" s="75"/>
      <c r="KIW11" s="75"/>
      <c r="KIX11" s="75"/>
      <c r="KIY11" s="75"/>
      <c r="KIZ11" s="75"/>
      <c r="KJA11" s="75"/>
      <c r="KJB11" s="75"/>
      <c r="KJC11" s="75"/>
      <c r="KJD11" s="75"/>
      <c r="KJE11" s="75"/>
      <c r="KJF11" s="75"/>
      <c r="KJG11" s="75"/>
      <c r="KJH11" s="75"/>
      <c r="KJI11" s="75"/>
      <c r="KJJ11" s="75"/>
      <c r="KJK11" s="75"/>
      <c r="KJL11" s="75"/>
      <c r="KJM11" s="75"/>
      <c r="KJN11" s="75"/>
      <c r="KJO11" s="75"/>
      <c r="KJP11" s="75"/>
      <c r="KJQ11" s="75"/>
      <c r="KJR11" s="75"/>
      <c r="KJS11" s="75"/>
      <c r="KJT11" s="75"/>
      <c r="KJU11" s="75"/>
      <c r="KJV11" s="75"/>
      <c r="KJW11" s="75"/>
      <c r="KJX11" s="75"/>
      <c r="KJY11" s="75"/>
      <c r="KJZ11" s="75"/>
      <c r="KKA11" s="75"/>
      <c r="KKB11" s="75"/>
      <c r="KKC11" s="75"/>
      <c r="KKD11" s="75"/>
      <c r="KKE11" s="75"/>
      <c r="KKF11" s="75"/>
      <c r="KKG11" s="75"/>
      <c r="KKH11" s="75"/>
      <c r="KKI11" s="75"/>
      <c r="KKJ11" s="75"/>
      <c r="KKK11" s="75"/>
      <c r="KKL11" s="75"/>
      <c r="KKM11" s="75"/>
      <c r="KKN11" s="75"/>
      <c r="KKO11" s="75"/>
      <c r="KKP11" s="75"/>
      <c r="KKQ11" s="75"/>
      <c r="KKR11" s="75"/>
      <c r="KKS11" s="75"/>
      <c r="KKT11" s="75"/>
      <c r="KKU11" s="75"/>
      <c r="KKV11" s="75"/>
      <c r="KKW11" s="75"/>
      <c r="KKX11" s="75"/>
      <c r="KKY11" s="75"/>
      <c r="KKZ11" s="75"/>
      <c r="KLA11" s="75"/>
      <c r="KLB11" s="75"/>
      <c r="KLC11" s="75"/>
      <c r="KLD11" s="75"/>
      <c r="KLE11" s="75"/>
      <c r="KLF11" s="75"/>
      <c r="KLG11" s="75"/>
      <c r="KLH11" s="75"/>
      <c r="KLI11" s="75"/>
      <c r="KLJ11" s="75"/>
      <c r="KLK11" s="75"/>
      <c r="KLL11" s="75"/>
      <c r="KLM11" s="75"/>
      <c r="KLN11" s="75"/>
      <c r="KLO11" s="75"/>
      <c r="KLP11" s="75"/>
      <c r="KLQ11" s="75"/>
      <c r="KLR11" s="75"/>
      <c r="KLS11" s="75"/>
      <c r="KLT11" s="75"/>
      <c r="KLU11" s="75"/>
      <c r="KLV11" s="75"/>
      <c r="KLW11" s="75"/>
      <c r="KLX11" s="75"/>
      <c r="KLY11" s="75"/>
      <c r="KLZ11" s="75"/>
      <c r="KMA11" s="75"/>
      <c r="KMB11" s="75"/>
      <c r="KMC11" s="75"/>
      <c r="KMD11" s="75"/>
      <c r="KME11" s="75"/>
      <c r="KMF11" s="75"/>
      <c r="KMG11" s="75"/>
      <c r="KMH11" s="75"/>
      <c r="KMI11" s="75"/>
      <c r="KMJ11" s="75"/>
      <c r="KMK11" s="75"/>
      <c r="KML11" s="75"/>
      <c r="KMM11" s="75"/>
      <c r="KMN11" s="75"/>
      <c r="KMO11" s="75"/>
      <c r="KMP11" s="75"/>
      <c r="KMQ11" s="75"/>
      <c r="KMR11" s="75"/>
      <c r="KMS11" s="75"/>
      <c r="KMT11" s="75"/>
      <c r="KMU11" s="75"/>
      <c r="KMV11" s="75"/>
      <c r="KMW11" s="75"/>
      <c r="KMX11" s="75"/>
      <c r="KMY11" s="75"/>
      <c r="KMZ11" s="75"/>
      <c r="KNA11" s="75"/>
      <c r="KNB11" s="75"/>
      <c r="KNC11" s="75"/>
      <c r="KND11" s="75"/>
      <c r="KNE11" s="75"/>
      <c r="KNF11" s="75"/>
      <c r="KNG11" s="75"/>
      <c r="KNH11" s="75"/>
      <c r="KNI11" s="75"/>
      <c r="KNJ11" s="75"/>
      <c r="KNK11" s="75"/>
      <c r="KNL11" s="75"/>
      <c r="KNM11" s="75"/>
      <c r="KNN11" s="75"/>
      <c r="KNO11" s="75"/>
      <c r="KNP11" s="75"/>
      <c r="KNQ11" s="75"/>
      <c r="KNR11" s="75"/>
      <c r="KNS11" s="75"/>
      <c r="KNT11" s="75"/>
      <c r="KNU11" s="75"/>
      <c r="KNV11" s="75"/>
      <c r="KNW11" s="75"/>
      <c r="KNX11" s="75"/>
      <c r="KNY11" s="75"/>
      <c r="KNZ11" s="75"/>
      <c r="KOA11" s="75"/>
      <c r="KOB11" s="75"/>
      <c r="KOC11" s="75"/>
      <c r="KOD11" s="75"/>
      <c r="KOE11" s="75"/>
      <c r="KOF11" s="75"/>
      <c r="KOG11" s="75"/>
      <c r="KOH11" s="75"/>
      <c r="KOI11" s="75"/>
      <c r="KOJ11" s="75"/>
      <c r="KOK11" s="75"/>
      <c r="KOL11" s="75"/>
      <c r="KOM11" s="75"/>
      <c r="KON11" s="75"/>
      <c r="KOO11" s="75"/>
      <c r="KOP11" s="75"/>
      <c r="KOQ11" s="75"/>
      <c r="KOR11" s="75"/>
      <c r="KOS11" s="75"/>
      <c r="KOT11" s="75"/>
      <c r="KOU11" s="75"/>
      <c r="KOV11" s="75"/>
      <c r="KOW11" s="75"/>
      <c r="KOX11" s="75"/>
      <c r="KOY11" s="75"/>
      <c r="KOZ11" s="75"/>
      <c r="KPA11" s="75"/>
      <c r="KPB11" s="75"/>
      <c r="KPC11" s="75"/>
      <c r="KPD11" s="75"/>
      <c r="KPE11" s="75"/>
      <c r="KPF11" s="75"/>
      <c r="KPG11" s="75"/>
      <c r="KPH11" s="75"/>
      <c r="KPI11" s="75"/>
      <c r="KPJ11" s="75"/>
      <c r="KPK11" s="75"/>
      <c r="KPL11" s="75"/>
      <c r="KPM11" s="75"/>
      <c r="KPN11" s="75"/>
      <c r="KPO11" s="75"/>
      <c r="KPP11" s="75"/>
      <c r="KPQ11" s="75"/>
      <c r="KPR11" s="75"/>
      <c r="KPS11" s="75"/>
      <c r="KPT11" s="75"/>
      <c r="KPU11" s="75"/>
      <c r="KPV11" s="75"/>
      <c r="KPW11" s="75"/>
      <c r="KPX11" s="75"/>
      <c r="KPY11" s="75"/>
      <c r="KPZ11" s="75"/>
      <c r="KQA11" s="75"/>
      <c r="KQB11" s="75"/>
      <c r="KQC11" s="75"/>
      <c r="KQD11" s="75"/>
      <c r="KQE11" s="75"/>
      <c r="KQF11" s="75"/>
      <c r="KQG11" s="75"/>
      <c r="KQH11" s="75"/>
      <c r="KQI11" s="75"/>
      <c r="KQJ11" s="75"/>
      <c r="KQK11" s="75"/>
      <c r="KQL11" s="75"/>
      <c r="KQM11" s="75"/>
      <c r="KQN11" s="75"/>
      <c r="KQO11" s="75"/>
      <c r="KQP11" s="75"/>
      <c r="KQQ11" s="75"/>
      <c r="KQR11" s="75"/>
      <c r="KQS11" s="75"/>
      <c r="KQT11" s="75"/>
      <c r="KQU11" s="75"/>
      <c r="KQV11" s="75"/>
      <c r="KQW11" s="75"/>
      <c r="KQX11" s="75"/>
      <c r="KQY11" s="75"/>
      <c r="KQZ11" s="75"/>
      <c r="KRA11" s="75"/>
      <c r="KRB11" s="75"/>
      <c r="KRC11" s="75"/>
      <c r="KRD11" s="75"/>
      <c r="KRE11" s="75"/>
      <c r="KRF11" s="75"/>
      <c r="KRG11" s="75"/>
      <c r="KRH11" s="75"/>
      <c r="KRI11" s="75"/>
      <c r="KRJ11" s="75"/>
      <c r="KRK11" s="75"/>
      <c r="KRL11" s="75"/>
      <c r="KRM11" s="75"/>
      <c r="KRN11" s="75"/>
      <c r="KRO11" s="75"/>
      <c r="KRP11" s="75"/>
      <c r="KRQ11" s="75"/>
      <c r="KRR11" s="75"/>
      <c r="KRS11" s="75"/>
      <c r="KRT11" s="75"/>
      <c r="KRU11" s="75"/>
      <c r="KRV11" s="75"/>
      <c r="KRW11" s="75"/>
      <c r="KRX11" s="75"/>
      <c r="KRY11" s="75"/>
      <c r="KRZ11" s="75"/>
      <c r="KSA11" s="75"/>
      <c r="KSB11" s="75"/>
      <c r="KSC11" s="75"/>
      <c r="KSD11" s="75"/>
      <c r="KSE11" s="75"/>
      <c r="KSF11" s="75"/>
      <c r="KSG11" s="75"/>
      <c r="KSH11" s="75"/>
      <c r="KSI11" s="75"/>
      <c r="KSJ11" s="75"/>
      <c r="KSK11" s="75"/>
      <c r="KSL11" s="75"/>
      <c r="KSM11" s="75"/>
      <c r="KSN11" s="75"/>
      <c r="KSO11" s="75"/>
      <c r="KSP11" s="75"/>
      <c r="KSQ11" s="75"/>
      <c r="KSR11" s="75"/>
      <c r="KSS11" s="75"/>
      <c r="KST11" s="75"/>
      <c r="KSU11" s="75"/>
      <c r="KSV11" s="75"/>
      <c r="KSW11" s="75"/>
      <c r="KSX11" s="75"/>
      <c r="KSY11" s="75"/>
      <c r="KSZ11" s="75"/>
      <c r="KTA11" s="75"/>
      <c r="KTB11" s="75"/>
      <c r="KTC11" s="75"/>
      <c r="KTD11" s="75"/>
      <c r="KTE11" s="75"/>
      <c r="KTF11" s="75"/>
      <c r="KTG11" s="75"/>
      <c r="KTH11" s="75"/>
      <c r="KTI11" s="75"/>
      <c r="KTJ11" s="75"/>
      <c r="KTK11" s="75"/>
      <c r="KTL11" s="75"/>
      <c r="KTM11" s="75"/>
      <c r="KTN11" s="75"/>
      <c r="KTO11" s="75"/>
      <c r="KTP11" s="75"/>
      <c r="KTQ11" s="75"/>
      <c r="KTR11" s="75"/>
      <c r="KTS11" s="75"/>
      <c r="KTT11" s="75"/>
      <c r="KTU11" s="75"/>
      <c r="KTV11" s="75"/>
      <c r="KTW11" s="75"/>
      <c r="KTX11" s="75"/>
      <c r="KTY11" s="75"/>
      <c r="KTZ11" s="75"/>
      <c r="KUA11" s="75"/>
      <c r="KUB11" s="75"/>
      <c r="KUC11" s="75"/>
      <c r="KUD11" s="75"/>
      <c r="KUE11" s="75"/>
      <c r="KUF11" s="75"/>
      <c r="KUG11" s="75"/>
      <c r="KUH11" s="75"/>
      <c r="KUI11" s="75"/>
      <c r="KUJ11" s="75"/>
      <c r="KUK11" s="75"/>
      <c r="KUL11" s="75"/>
      <c r="KUM11" s="75"/>
      <c r="KUN11" s="75"/>
      <c r="KUO11" s="75"/>
      <c r="KUP11" s="75"/>
      <c r="KUQ11" s="75"/>
      <c r="KUR11" s="75"/>
      <c r="KUS11" s="75"/>
      <c r="KUT11" s="75"/>
      <c r="KUU11" s="75"/>
      <c r="KUV11" s="75"/>
      <c r="KUW11" s="75"/>
      <c r="KUX11" s="75"/>
      <c r="KUY11" s="75"/>
      <c r="KUZ11" s="75"/>
      <c r="KVA11" s="75"/>
      <c r="KVB11" s="75"/>
      <c r="KVC11" s="75"/>
      <c r="KVD11" s="75"/>
      <c r="KVE11" s="75"/>
      <c r="KVF11" s="75"/>
      <c r="KVG11" s="75"/>
      <c r="KVH11" s="75"/>
      <c r="KVI11" s="75"/>
      <c r="KVJ11" s="75"/>
      <c r="KVK11" s="75"/>
      <c r="KVL11" s="75"/>
      <c r="KVM11" s="75"/>
      <c r="KVN11" s="75"/>
      <c r="KVO11" s="75"/>
      <c r="KVP11" s="75"/>
      <c r="KVQ11" s="75"/>
      <c r="KVR11" s="75"/>
      <c r="KVS11" s="75"/>
      <c r="KVT11" s="75"/>
      <c r="KVU11" s="75"/>
      <c r="KVV11" s="75"/>
      <c r="KVW11" s="75"/>
      <c r="KVX11" s="75"/>
      <c r="KVY11" s="75"/>
      <c r="KVZ11" s="75"/>
      <c r="KWA11" s="75"/>
      <c r="KWB11" s="75"/>
      <c r="KWC11" s="75"/>
      <c r="KWD11" s="75"/>
      <c r="KWE11" s="75"/>
      <c r="KWF11" s="75"/>
      <c r="KWG11" s="75"/>
      <c r="KWH11" s="75"/>
      <c r="KWI11" s="75"/>
      <c r="KWJ11" s="75"/>
      <c r="KWK11" s="75"/>
      <c r="KWL11" s="75"/>
      <c r="KWM11" s="75"/>
      <c r="KWN11" s="75"/>
      <c r="KWO11" s="75"/>
      <c r="KWP11" s="75"/>
      <c r="KWQ11" s="75"/>
      <c r="KWR11" s="75"/>
      <c r="KWS11" s="75"/>
      <c r="KWT11" s="75"/>
      <c r="KWU11" s="75"/>
      <c r="KWV11" s="75"/>
      <c r="KWW11" s="75"/>
      <c r="KWX11" s="75"/>
      <c r="KWY11" s="75"/>
      <c r="KWZ11" s="75"/>
      <c r="KXA11" s="75"/>
      <c r="KXB11" s="75"/>
      <c r="KXC11" s="75"/>
      <c r="KXD11" s="75"/>
      <c r="KXE11" s="75"/>
      <c r="KXF11" s="75"/>
      <c r="KXG11" s="75"/>
      <c r="KXH11" s="75"/>
      <c r="KXI11" s="75"/>
      <c r="KXJ11" s="75"/>
      <c r="KXK11" s="75"/>
      <c r="KXL11" s="75"/>
      <c r="KXM11" s="75"/>
      <c r="KXN11" s="75"/>
      <c r="KXO11" s="75"/>
      <c r="KXP11" s="75"/>
      <c r="KXQ11" s="75"/>
      <c r="KXR11" s="75"/>
      <c r="KXS11" s="75"/>
      <c r="KXT11" s="75"/>
      <c r="KXU11" s="75"/>
      <c r="KXV11" s="75"/>
      <c r="KXW11" s="75"/>
      <c r="KXX11" s="75"/>
      <c r="KXY11" s="75"/>
      <c r="KXZ11" s="75"/>
      <c r="KYA11" s="75"/>
      <c r="KYB11" s="75"/>
      <c r="KYC11" s="75"/>
      <c r="KYD11" s="75"/>
      <c r="KYE11" s="75"/>
      <c r="KYF11" s="75"/>
      <c r="KYG11" s="75"/>
      <c r="KYH11" s="75"/>
      <c r="KYI11" s="75"/>
      <c r="KYJ11" s="75"/>
      <c r="KYK11" s="75"/>
      <c r="KYL11" s="75"/>
      <c r="KYM11" s="75"/>
      <c r="KYN11" s="75"/>
      <c r="KYO11" s="75"/>
      <c r="KYP11" s="75"/>
      <c r="KYQ11" s="75"/>
      <c r="KYR11" s="75"/>
      <c r="KYS11" s="75"/>
      <c r="KYT11" s="75"/>
      <c r="KYU11" s="75"/>
      <c r="KYV11" s="75"/>
      <c r="KYW11" s="75"/>
      <c r="KYX11" s="75"/>
      <c r="KYY11" s="75"/>
      <c r="KYZ11" s="75"/>
      <c r="KZA11" s="75"/>
      <c r="KZB11" s="75"/>
      <c r="KZC11" s="75"/>
      <c r="KZD11" s="75"/>
      <c r="KZE11" s="75"/>
      <c r="KZF11" s="75"/>
      <c r="KZG11" s="75"/>
      <c r="KZH11" s="75"/>
      <c r="KZI11" s="75"/>
      <c r="KZJ11" s="75"/>
      <c r="KZK11" s="75"/>
      <c r="KZL11" s="75"/>
      <c r="KZM11" s="75"/>
      <c r="KZN11" s="75"/>
      <c r="KZO11" s="75"/>
      <c r="KZP11" s="75"/>
      <c r="KZQ11" s="75"/>
      <c r="KZR11" s="75"/>
      <c r="KZS11" s="75"/>
      <c r="KZT11" s="75"/>
      <c r="KZU11" s="75"/>
      <c r="KZV11" s="75"/>
      <c r="KZW11" s="75"/>
      <c r="KZX11" s="75"/>
      <c r="KZY11" s="75"/>
      <c r="KZZ11" s="75"/>
      <c r="LAA11" s="75"/>
      <c r="LAB11" s="75"/>
      <c r="LAC11" s="75"/>
      <c r="LAD11" s="75"/>
      <c r="LAE11" s="75"/>
      <c r="LAF11" s="75"/>
      <c r="LAG11" s="75"/>
      <c r="LAH11" s="75"/>
      <c r="LAI11" s="75"/>
      <c r="LAJ11" s="75"/>
      <c r="LAK11" s="75"/>
      <c r="LAL11" s="75"/>
      <c r="LAM11" s="75"/>
      <c r="LAN11" s="75"/>
      <c r="LAO11" s="75"/>
      <c r="LAP11" s="75"/>
      <c r="LAQ11" s="75"/>
      <c r="LAR11" s="75"/>
      <c r="LAS11" s="75"/>
      <c r="LAT11" s="75"/>
      <c r="LAU11" s="75"/>
      <c r="LAV11" s="75"/>
      <c r="LAW11" s="75"/>
      <c r="LAX11" s="75"/>
      <c r="LAY11" s="75"/>
      <c r="LAZ11" s="75"/>
      <c r="LBA11" s="75"/>
      <c r="LBB11" s="75"/>
      <c r="LBC11" s="75"/>
      <c r="LBD11" s="75"/>
      <c r="LBE11" s="75"/>
      <c r="LBF11" s="75"/>
      <c r="LBG11" s="75"/>
      <c r="LBH11" s="75"/>
      <c r="LBI11" s="75"/>
      <c r="LBJ11" s="75"/>
      <c r="LBK11" s="75"/>
      <c r="LBL11" s="75"/>
      <c r="LBM11" s="75"/>
      <c r="LBN11" s="75"/>
      <c r="LBO11" s="75"/>
      <c r="LBP11" s="75"/>
      <c r="LBQ11" s="75"/>
      <c r="LBR11" s="75"/>
      <c r="LBS11" s="75"/>
      <c r="LBT11" s="75"/>
      <c r="LBU11" s="75"/>
      <c r="LBV11" s="75"/>
      <c r="LBW11" s="75"/>
      <c r="LBX11" s="75"/>
      <c r="LBY11" s="75"/>
      <c r="LBZ11" s="75"/>
      <c r="LCA11" s="75"/>
      <c r="LCB11" s="75"/>
      <c r="LCC11" s="75"/>
      <c r="LCD11" s="75"/>
      <c r="LCE11" s="75"/>
      <c r="LCF11" s="75"/>
      <c r="LCG11" s="75"/>
      <c r="LCH11" s="75"/>
      <c r="LCI11" s="75"/>
      <c r="LCJ11" s="75"/>
      <c r="LCK11" s="75"/>
      <c r="LCL11" s="75"/>
      <c r="LCM11" s="75"/>
      <c r="LCN11" s="75"/>
      <c r="LCO11" s="75"/>
      <c r="LCP11" s="75"/>
      <c r="LCQ11" s="75"/>
      <c r="LCR11" s="75"/>
      <c r="LCS11" s="75"/>
      <c r="LCT11" s="75"/>
      <c r="LCU11" s="75"/>
      <c r="LCV11" s="75"/>
      <c r="LCW11" s="75"/>
      <c r="LCX11" s="75"/>
      <c r="LCY11" s="75"/>
      <c r="LCZ11" s="75"/>
      <c r="LDA11" s="75"/>
      <c r="LDB11" s="75"/>
      <c r="LDC11" s="75"/>
      <c r="LDD11" s="75"/>
      <c r="LDE11" s="75"/>
      <c r="LDF11" s="75"/>
      <c r="LDG11" s="75"/>
      <c r="LDH11" s="75"/>
      <c r="LDI11" s="75"/>
      <c r="LDJ11" s="75"/>
      <c r="LDK11" s="75"/>
      <c r="LDL11" s="75"/>
      <c r="LDM11" s="75"/>
      <c r="LDN11" s="75"/>
      <c r="LDO11" s="75"/>
      <c r="LDP11" s="75"/>
      <c r="LDQ11" s="75"/>
      <c r="LDR11" s="75"/>
      <c r="LDS11" s="75"/>
      <c r="LDT11" s="75"/>
      <c r="LDU11" s="75"/>
      <c r="LDV11" s="75"/>
      <c r="LDW11" s="75"/>
      <c r="LDX11" s="75"/>
      <c r="LDY11" s="75"/>
      <c r="LDZ11" s="75"/>
      <c r="LEA11" s="75"/>
      <c r="LEB11" s="75"/>
      <c r="LEC11" s="75"/>
      <c r="LED11" s="75"/>
      <c r="LEE11" s="75"/>
      <c r="LEF11" s="75"/>
      <c r="LEG11" s="75"/>
      <c r="LEH11" s="75"/>
      <c r="LEI11" s="75"/>
      <c r="LEJ11" s="75"/>
      <c r="LEK11" s="75"/>
      <c r="LEL11" s="75"/>
      <c r="LEM11" s="75"/>
      <c r="LEN11" s="75"/>
      <c r="LEO11" s="75"/>
      <c r="LEP11" s="75"/>
      <c r="LEQ11" s="75"/>
      <c r="LER11" s="75"/>
      <c r="LES11" s="75"/>
      <c r="LET11" s="75"/>
      <c r="LEU11" s="75"/>
      <c r="LEV11" s="75"/>
      <c r="LEW11" s="75"/>
      <c r="LEX11" s="75"/>
      <c r="LEY11" s="75"/>
      <c r="LEZ11" s="75"/>
      <c r="LFA11" s="75"/>
      <c r="LFB11" s="75"/>
      <c r="LFC11" s="75"/>
      <c r="LFD11" s="75"/>
      <c r="LFE11" s="75"/>
      <c r="LFF11" s="75"/>
      <c r="LFG11" s="75"/>
      <c r="LFH11" s="75"/>
      <c r="LFI11" s="75"/>
      <c r="LFJ11" s="75"/>
      <c r="LFK11" s="75"/>
      <c r="LFL11" s="75"/>
      <c r="LFM11" s="75"/>
      <c r="LFN11" s="75"/>
      <c r="LFO11" s="75"/>
      <c r="LFP11" s="75"/>
      <c r="LFQ11" s="75"/>
      <c r="LFR11" s="75"/>
      <c r="LFS11" s="75"/>
      <c r="LFT11" s="75"/>
      <c r="LFU11" s="75"/>
      <c r="LFV11" s="75"/>
      <c r="LFW11" s="75"/>
      <c r="LFX11" s="75"/>
      <c r="LFY11" s="75"/>
      <c r="LFZ11" s="75"/>
      <c r="LGA11" s="75"/>
      <c r="LGB11" s="75"/>
      <c r="LGC11" s="75"/>
      <c r="LGD11" s="75"/>
      <c r="LGE11" s="75"/>
      <c r="LGF11" s="75"/>
      <c r="LGG11" s="75"/>
      <c r="LGH11" s="75"/>
      <c r="LGI11" s="75"/>
      <c r="LGJ11" s="75"/>
      <c r="LGK11" s="75"/>
      <c r="LGL11" s="75"/>
      <c r="LGM11" s="75"/>
      <c r="LGN11" s="75"/>
      <c r="LGO11" s="75"/>
      <c r="LGP11" s="75"/>
      <c r="LGQ11" s="75"/>
      <c r="LGR11" s="75"/>
      <c r="LGS11" s="75"/>
      <c r="LGT11" s="75"/>
      <c r="LGU11" s="75"/>
      <c r="LGV11" s="75"/>
      <c r="LGW11" s="75"/>
      <c r="LGX11" s="75"/>
      <c r="LGY11" s="75"/>
      <c r="LGZ11" s="75"/>
      <c r="LHA11" s="75"/>
      <c r="LHB11" s="75"/>
      <c r="LHC11" s="75"/>
      <c r="LHD11" s="75"/>
      <c r="LHE11" s="75"/>
      <c r="LHF11" s="75"/>
      <c r="LHG11" s="75"/>
      <c r="LHH11" s="75"/>
      <c r="LHI11" s="75"/>
      <c r="LHJ11" s="75"/>
      <c r="LHK11" s="75"/>
      <c r="LHL11" s="75"/>
      <c r="LHM11" s="75"/>
      <c r="LHN11" s="75"/>
      <c r="LHO11" s="75"/>
      <c r="LHP11" s="75"/>
      <c r="LHQ11" s="75"/>
      <c r="LHR11" s="75"/>
      <c r="LHS11" s="75"/>
      <c r="LHT11" s="75"/>
      <c r="LHU11" s="75"/>
      <c r="LHV11" s="75"/>
      <c r="LHW11" s="75"/>
      <c r="LHX11" s="75"/>
      <c r="LHY11" s="75"/>
      <c r="LHZ11" s="75"/>
      <c r="LIA11" s="75"/>
      <c r="LIB11" s="75"/>
      <c r="LIC11" s="75"/>
      <c r="LID11" s="75"/>
      <c r="LIE11" s="75"/>
      <c r="LIF11" s="75"/>
      <c r="LIG11" s="75"/>
      <c r="LIH11" s="75"/>
      <c r="LII11" s="75"/>
      <c r="LIJ11" s="75"/>
      <c r="LIK11" s="75"/>
      <c r="LIL11" s="75"/>
      <c r="LIM11" s="75"/>
      <c r="LIN11" s="75"/>
      <c r="LIO11" s="75"/>
      <c r="LIP11" s="75"/>
      <c r="LIQ11" s="75"/>
      <c r="LIR11" s="75"/>
      <c r="LIS11" s="75"/>
      <c r="LIT11" s="75"/>
      <c r="LIU11" s="75"/>
      <c r="LIV11" s="75"/>
      <c r="LIW11" s="75"/>
      <c r="LIX11" s="75"/>
      <c r="LIY11" s="75"/>
      <c r="LIZ11" s="75"/>
      <c r="LJA11" s="75"/>
      <c r="LJB11" s="75"/>
      <c r="LJC11" s="75"/>
      <c r="LJD11" s="75"/>
      <c r="LJE11" s="75"/>
      <c r="LJF11" s="75"/>
      <c r="LJG11" s="75"/>
      <c r="LJH11" s="75"/>
      <c r="LJI11" s="75"/>
      <c r="LJJ11" s="75"/>
      <c r="LJK11" s="75"/>
      <c r="LJL11" s="75"/>
      <c r="LJM11" s="75"/>
      <c r="LJN11" s="75"/>
      <c r="LJO11" s="75"/>
      <c r="LJP11" s="75"/>
      <c r="LJQ11" s="75"/>
      <c r="LJR11" s="75"/>
      <c r="LJS11" s="75"/>
      <c r="LJT11" s="75"/>
      <c r="LJU11" s="75"/>
      <c r="LJV11" s="75"/>
      <c r="LJW11" s="75"/>
      <c r="LJX11" s="75"/>
      <c r="LJY11" s="75"/>
      <c r="LJZ11" s="75"/>
      <c r="LKA11" s="75"/>
      <c r="LKB11" s="75"/>
      <c r="LKC11" s="75"/>
      <c r="LKD11" s="75"/>
      <c r="LKE11" s="75"/>
      <c r="LKF11" s="75"/>
      <c r="LKG11" s="75"/>
      <c r="LKH11" s="75"/>
      <c r="LKI11" s="75"/>
      <c r="LKJ11" s="75"/>
      <c r="LKK11" s="75"/>
      <c r="LKL11" s="75"/>
      <c r="LKM11" s="75"/>
      <c r="LKN11" s="75"/>
      <c r="LKO11" s="75"/>
      <c r="LKP11" s="75"/>
      <c r="LKQ11" s="75"/>
      <c r="LKR11" s="75"/>
      <c r="LKS11" s="75"/>
      <c r="LKT11" s="75"/>
      <c r="LKU11" s="75"/>
      <c r="LKV11" s="75"/>
      <c r="LKW11" s="75"/>
      <c r="LKX11" s="75"/>
      <c r="LKY11" s="75"/>
      <c r="LKZ11" s="75"/>
      <c r="LLA11" s="75"/>
      <c r="LLB11" s="75"/>
      <c r="LLC11" s="75"/>
      <c r="LLD11" s="75"/>
      <c r="LLE11" s="75"/>
      <c r="LLF11" s="75"/>
      <c r="LLG11" s="75"/>
      <c r="LLH11" s="75"/>
      <c r="LLI11" s="75"/>
      <c r="LLJ11" s="75"/>
      <c r="LLK11" s="75"/>
      <c r="LLL11" s="75"/>
      <c r="LLM11" s="75"/>
      <c r="LLN11" s="75"/>
      <c r="LLO11" s="75"/>
      <c r="LLP11" s="75"/>
      <c r="LLQ11" s="75"/>
      <c r="LLR11" s="75"/>
      <c r="LLS11" s="75"/>
      <c r="LLT11" s="75"/>
      <c r="LLU11" s="75"/>
      <c r="LLV11" s="75"/>
      <c r="LLW11" s="75"/>
      <c r="LLX11" s="75"/>
      <c r="LLY11" s="75"/>
      <c r="LLZ11" s="75"/>
      <c r="LMA11" s="75"/>
      <c r="LMB11" s="75"/>
      <c r="LMC11" s="75"/>
      <c r="LMD11" s="75"/>
      <c r="LME11" s="75"/>
      <c r="LMF11" s="75"/>
      <c r="LMG11" s="75"/>
      <c r="LMH11" s="75"/>
      <c r="LMI11" s="75"/>
      <c r="LMJ11" s="75"/>
      <c r="LMK11" s="75"/>
      <c r="LML11" s="75"/>
      <c r="LMM11" s="75"/>
      <c r="LMN11" s="75"/>
      <c r="LMO11" s="75"/>
      <c r="LMP11" s="75"/>
      <c r="LMQ11" s="75"/>
      <c r="LMR11" s="75"/>
      <c r="LMS11" s="75"/>
      <c r="LMT11" s="75"/>
      <c r="LMU11" s="75"/>
      <c r="LMV11" s="75"/>
      <c r="LMW11" s="75"/>
      <c r="LMX11" s="75"/>
      <c r="LMY11" s="75"/>
      <c r="LMZ11" s="75"/>
      <c r="LNA11" s="75"/>
      <c r="LNB11" s="75"/>
      <c r="LNC11" s="75"/>
      <c r="LND11" s="75"/>
      <c r="LNE11" s="75"/>
      <c r="LNF11" s="75"/>
      <c r="LNG11" s="75"/>
      <c r="LNH11" s="75"/>
      <c r="LNI11" s="75"/>
      <c r="LNJ11" s="75"/>
      <c r="LNK11" s="75"/>
      <c r="LNL11" s="75"/>
      <c r="LNM11" s="75"/>
      <c r="LNN11" s="75"/>
      <c r="LNO11" s="75"/>
      <c r="LNP11" s="75"/>
      <c r="LNQ11" s="75"/>
      <c r="LNR11" s="75"/>
      <c r="LNS11" s="75"/>
      <c r="LNT11" s="75"/>
      <c r="LNU11" s="75"/>
      <c r="LNV11" s="75"/>
      <c r="LNW11" s="75"/>
      <c r="LNX11" s="75"/>
      <c r="LNY11" s="75"/>
      <c r="LNZ11" s="75"/>
      <c r="LOA11" s="75"/>
      <c r="LOB11" s="75"/>
      <c r="LOC11" s="75"/>
      <c r="LOD11" s="75"/>
      <c r="LOE11" s="75"/>
      <c r="LOF11" s="75"/>
      <c r="LOG11" s="75"/>
      <c r="LOH11" s="75"/>
      <c r="LOI11" s="75"/>
      <c r="LOJ11" s="75"/>
      <c r="LOK11" s="75"/>
      <c r="LOL11" s="75"/>
      <c r="LOM11" s="75"/>
      <c r="LON11" s="75"/>
      <c r="LOO11" s="75"/>
      <c r="LOP11" s="75"/>
      <c r="LOQ11" s="75"/>
      <c r="LOR11" s="75"/>
      <c r="LOS11" s="75"/>
      <c r="LOT11" s="75"/>
      <c r="LOU11" s="75"/>
      <c r="LOV11" s="75"/>
      <c r="LOW11" s="75"/>
      <c r="LOX11" s="75"/>
      <c r="LOY11" s="75"/>
      <c r="LOZ11" s="75"/>
      <c r="LPA11" s="75"/>
      <c r="LPB11" s="75"/>
      <c r="LPC11" s="75"/>
      <c r="LPD11" s="75"/>
      <c r="LPE11" s="75"/>
      <c r="LPF11" s="75"/>
      <c r="LPG11" s="75"/>
      <c r="LPH11" s="75"/>
      <c r="LPI11" s="75"/>
      <c r="LPJ11" s="75"/>
      <c r="LPK11" s="75"/>
      <c r="LPL11" s="75"/>
      <c r="LPM11" s="75"/>
      <c r="LPN11" s="75"/>
      <c r="LPO11" s="75"/>
      <c r="LPP11" s="75"/>
      <c r="LPQ11" s="75"/>
      <c r="LPR11" s="75"/>
      <c r="LPS11" s="75"/>
      <c r="LPT11" s="75"/>
      <c r="LPU11" s="75"/>
      <c r="LPV11" s="75"/>
      <c r="LPW11" s="75"/>
      <c r="LPX11" s="75"/>
      <c r="LPY11" s="75"/>
      <c r="LPZ11" s="75"/>
      <c r="LQA11" s="75"/>
      <c r="LQB11" s="75"/>
      <c r="LQC11" s="75"/>
      <c r="LQD11" s="75"/>
      <c r="LQE11" s="75"/>
      <c r="LQF11" s="75"/>
      <c r="LQG11" s="75"/>
      <c r="LQH11" s="75"/>
      <c r="LQI11" s="75"/>
      <c r="LQJ11" s="75"/>
      <c r="LQK11" s="75"/>
      <c r="LQL11" s="75"/>
      <c r="LQM11" s="75"/>
      <c r="LQN11" s="75"/>
      <c r="LQO11" s="75"/>
      <c r="LQP11" s="75"/>
      <c r="LQQ11" s="75"/>
      <c r="LQR11" s="75"/>
      <c r="LQS11" s="75"/>
      <c r="LQT11" s="75"/>
      <c r="LQU11" s="75"/>
      <c r="LQV11" s="75"/>
      <c r="LQW11" s="75"/>
      <c r="LQX11" s="75"/>
      <c r="LQY11" s="75"/>
      <c r="LQZ11" s="75"/>
      <c r="LRA11" s="75"/>
      <c r="LRB11" s="75"/>
      <c r="LRC11" s="75"/>
      <c r="LRD11" s="75"/>
      <c r="LRE11" s="75"/>
      <c r="LRF11" s="75"/>
      <c r="LRG11" s="75"/>
      <c r="LRH11" s="75"/>
      <c r="LRI11" s="75"/>
      <c r="LRJ11" s="75"/>
      <c r="LRK11" s="75"/>
      <c r="LRL11" s="75"/>
      <c r="LRM11" s="75"/>
      <c r="LRN11" s="75"/>
      <c r="LRO11" s="75"/>
      <c r="LRP11" s="75"/>
      <c r="LRQ11" s="75"/>
      <c r="LRR11" s="75"/>
      <c r="LRS11" s="75"/>
      <c r="LRT11" s="75"/>
      <c r="LRU11" s="75"/>
      <c r="LRV11" s="75"/>
      <c r="LRW11" s="75"/>
      <c r="LRX11" s="75"/>
      <c r="LRY11" s="75"/>
      <c r="LRZ11" s="75"/>
      <c r="LSA11" s="75"/>
      <c r="LSB11" s="75"/>
      <c r="LSC11" s="75"/>
      <c r="LSD11" s="75"/>
      <c r="LSE11" s="75"/>
      <c r="LSF11" s="75"/>
      <c r="LSG11" s="75"/>
      <c r="LSH11" s="75"/>
      <c r="LSI11" s="75"/>
      <c r="LSJ11" s="75"/>
      <c r="LSK11" s="75"/>
      <c r="LSL11" s="75"/>
      <c r="LSM11" s="75"/>
      <c r="LSN11" s="75"/>
      <c r="LSO11" s="75"/>
      <c r="LSP11" s="75"/>
      <c r="LSQ11" s="75"/>
      <c r="LSR11" s="75"/>
      <c r="LSS11" s="75"/>
      <c r="LST11" s="75"/>
      <c r="LSU11" s="75"/>
      <c r="LSV11" s="75"/>
      <c r="LSW11" s="75"/>
      <c r="LSX11" s="75"/>
      <c r="LSY11" s="75"/>
      <c r="LSZ11" s="75"/>
      <c r="LTA11" s="75"/>
      <c r="LTB11" s="75"/>
      <c r="LTC11" s="75"/>
      <c r="LTD11" s="75"/>
      <c r="LTE11" s="75"/>
      <c r="LTF11" s="75"/>
      <c r="LTG11" s="75"/>
      <c r="LTH11" s="75"/>
      <c r="LTI11" s="75"/>
      <c r="LTJ11" s="75"/>
      <c r="LTK11" s="75"/>
      <c r="LTL11" s="75"/>
      <c r="LTM11" s="75"/>
      <c r="LTN11" s="75"/>
      <c r="LTO11" s="75"/>
      <c r="LTP11" s="75"/>
      <c r="LTQ11" s="75"/>
      <c r="LTR11" s="75"/>
      <c r="LTS11" s="75"/>
      <c r="LTT11" s="75"/>
      <c r="LTU11" s="75"/>
      <c r="LTV11" s="75"/>
      <c r="LTW11" s="75"/>
      <c r="LTX11" s="75"/>
      <c r="LTY11" s="75"/>
      <c r="LTZ11" s="75"/>
      <c r="LUA11" s="75"/>
      <c r="LUB11" s="75"/>
      <c r="LUC11" s="75"/>
      <c r="LUD11" s="75"/>
      <c r="LUE11" s="75"/>
      <c r="LUF11" s="75"/>
      <c r="LUG11" s="75"/>
      <c r="LUH11" s="75"/>
      <c r="LUI11" s="75"/>
      <c r="LUJ11" s="75"/>
      <c r="LUK11" s="75"/>
      <c r="LUL11" s="75"/>
      <c r="LUM11" s="75"/>
      <c r="LUN11" s="75"/>
      <c r="LUO11" s="75"/>
      <c r="LUP11" s="75"/>
      <c r="LUQ11" s="75"/>
      <c r="LUR11" s="75"/>
      <c r="LUS11" s="75"/>
      <c r="LUT11" s="75"/>
      <c r="LUU11" s="75"/>
      <c r="LUV11" s="75"/>
      <c r="LUW11" s="75"/>
      <c r="LUX11" s="75"/>
      <c r="LUY11" s="75"/>
      <c r="LUZ11" s="75"/>
      <c r="LVA11" s="75"/>
      <c r="LVB11" s="75"/>
      <c r="LVC11" s="75"/>
      <c r="LVD11" s="75"/>
      <c r="LVE11" s="75"/>
      <c r="LVF11" s="75"/>
      <c r="LVG11" s="75"/>
      <c r="LVH11" s="75"/>
      <c r="LVI11" s="75"/>
      <c r="LVJ11" s="75"/>
      <c r="LVK11" s="75"/>
      <c r="LVL11" s="75"/>
      <c r="LVM11" s="75"/>
      <c r="LVN11" s="75"/>
      <c r="LVO11" s="75"/>
      <c r="LVP11" s="75"/>
      <c r="LVQ11" s="75"/>
      <c r="LVR11" s="75"/>
      <c r="LVS11" s="75"/>
      <c r="LVT11" s="75"/>
      <c r="LVU11" s="75"/>
      <c r="LVV11" s="75"/>
      <c r="LVW11" s="75"/>
      <c r="LVX11" s="75"/>
      <c r="LVY11" s="75"/>
      <c r="LVZ11" s="75"/>
      <c r="LWA11" s="75"/>
      <c r="LWB11" s="75"/>
      <c r="LWC11" s="75"/>
      <c r="LWD11" s="75"/>
      <c r="LWE11" s="75"/>
      <c r="LWF11" s="75"/>
      <c r="LWG11" s="75"/>
      <c r="LWH11" s="75"/>
      <c r="LWI11" s="75"/>
      <c r="LWJ11" s="75"/>
      <c r="LWK11" s="75"/>
      <c r="LWL11" s="75"/>
      <c r="LWM11" s="75"/>
      <c r="LWN11" s="75"/>
      <c r="LWO11" s="75"/>
      <c r="LWP11" s="75"/>
      <c r="LWQ11" s="75"/>
      <c r="LWR11" s="75"/>
      <c r="LWS11" s="75"/>
      <c r="LWT11" s="75"/>
      <c r="LWU11" s="75"/>
      <c r="LWV11" s="75"/>
      <c r="LWW11" s="75"/>
      <c r="LWX11" s="75"/>
      <c r="LWY11" s="75"/>
      <c r="LWZ11" s="75"/>
      <c r="LXA11" s="75"/>
      <c r="LXB11" s="75"/>
      <c r="LXC11" s="75"/>
      <c r="LXD11" s="75"/>
      <c r="LXE11" s="75"/>
      <c r="LXF11" s="75"/>
      <c r="LXG11" s="75"/>
      <c r="LXH11" s="75"/>
      <c r="LXI11" s="75"/>
      <c r="LXJ11" s="75"/>
      <c r="LXK11" s="75"/>
      <c r="LXL11" s="75"/>
      <c r="LXM11" s="75"/>
      <c r="LXN11" s="75"/>
      <c r="LXO11" s="75"/>
      <c r="LXP11" s="75"/>
      <c r="LXQ11" s="75"/>
      <c r="LXR11" s="75"/>
      <c r="LXS11" s="75"/>
      <c r="LXT11" s="75"/>
      <c r="LXU11" s="75"/>
      <c r="LXV11" s="75"/>
      <c r="LXW11" s="75"/>
      <c r="LXX11" s="75"/>
      <c r="LXY11" s="75"/>
      <c r="LXZ11" s="75"/>
      <c r="LYA11" s="75"/>
      <c r="LYB11" s="75"/>
      <c r="LYC11" s="75"/>
      <c r="LYD11" s="75"/>
      <c r="LYE11" s="75"/>
      <c r="LYF11" s="75"/>
      <c r="LYG11" s="75"/>
      <c r="LYH11" s="75"/>
      <c r="LYI11" s="75"/>
      <c r="LYJ11" s="75"/>
      <c r="LYK11" s="75"/>
      <c r="LYL11" s="75"/>
      <c r="LYM11" s="75"/>
      <c r="LYN11" s="75"/>
      <c r="LYO11" s="75"/>
      <c r="LYP11" s="75"/>
      <c r="LYQ11" s="75"/>
      <c r="LYR11" s="75"/>
      <c r="LYS11" s="75"/>
      <c r="LYT11" s="75"/>
      <c r="LYU11" s="75"/>
      <c r="LYV11" s="75"/>
      <c r="LYW11" s="75"/>
      <c r="LYX11" s="75"/>
      <c r="LYY11" s="75"/>
      <c r="LYZ11" s="75"/>
      <c r="LZA11" s="75"/>
      <c r="LZB11" s="75"/>
      <c r="LZC11" s="75"/>
      <c r="LZD11" s="75"/>
      <c r="LZE11" s="75"/>
      <c r="LZF11" s="75"/>
      <c r="LZG11" s="75"/>
      <c r="LZH11" s="75"/>
      <c r="LZI11" s="75"/>
      <c r="LZJ11" s="75"/>
      <c r="LZK11" s="75"/>
      <c r="LZL11" s="75"/>
      <c r="LZM11" s="75"/>
      <c r="LZN11" s="75"/>
      <c r="LZO11" s="75"/>
      <c r="LZP11" s="75"/>
      <c r="LZQ11" s="75"/>
      <c r="LZR11" s="75"/>
      <c r="LZS11" s="75"/>
      <c r="LZT11" s="75"/>
      <c r="LZU11" s="75"/>
      <c r="LZV11" s="75"/>
      <c r="LZW11" s="75"/>
      <c r="LZX11" s="75"/>
      <c r="LZY11" s="75"/>
      <c r="LZZ11" s="75"/>
      <c r="MAA11" s="75"/>
      <c r="MAB11" s="75"/>
      <c r="MAC11" s="75"/>
      <c r="MAD11" s="75"/>
      <c r="MAE11" s="75"/>
      <c r="MAF11" s="75"/>
      <c r="MAG11" s="75"/>
      <c r="MAH11" s="75"/>
      <c r="MAI11" s="75"/>
      <c r="MAJ11" s="75"/>
      <c r="MAK11" s="75"/>
      <c r="MAL11" s="75"/>
      <c r="MAM11" s="75"/>
      <c r="MAN11" s="75"/>
      <c r="MAO11" s="75"/>
      <c r="MAP11" s="75"/>
      <c r="MAQ11" s="75"/>
      <c r="MAR11" s="75"/>
      <c r="MAS11" s="75"/>
      <c r="MAT11" s="75"/>
      <c r="MAU11" s="75"/>
      <c r="MAV11" s="75"/>
      <c r="MAW11" s="75"/>
      <c r="MAX11" s="75"/>
      <c r="MAY11" s="75"/>
      <c r="MAZ11" s="75"/>
      <c r="MBA11" s="75"/>
      <c r="MBB11" s="75"/>
      <c r="MBC11" s="75"/>
      <c r="MBD11" s="75"/>
      <c r="MBE11" s="75"/>
      <c r="MBF11" s="75"/>
      <c r="MBG11" s="75"/>
      <c r="MBH11" s="75"/>
      <c r="MBI11" s="75"/>
      <c r="MBJ11" s="75"/>
      <c r="MBK11" s="75"/>
      <c r="MBL11" s="75"/>
      <c r="MBM11" s="75"/>
      <c r="MBN11" s="75"/>
      <c r="MBO11" s="75"/>
      <c r="MBP11" s="75"/>
      <c r="MBQ11" s="75"/>
      <c r="MBR11" s="75"/>
      <c r="MBS11" s="75"/>
      <c r="MBT11" s="75"/>
      <c r="MBU11" s="75"/>
      <c r="MBV11" s="75"/>
      <c r="MBW11" s="75"/>
      <c r="MBX11" s="75"/>
      <c r="MBY11" s="75"/>
      <c r="MBZ11" s="75"/>
      <c r="MCA11" s="75"/>
      <c r="MCB11" s="75"/>
      <c r="MCC11" s="75"/>
      <c r="MCD11" s="75"/>
      <c r="MCE11" s="75"/>
      <c r="MCF11" s="75"/>
      <c r="MCG11" s="75"/>
      <c r="MCH11" s="75"/>
      <c r="MCI11" s="75"/>
      <c r="MCJ11" s="75"/>
      <c r="MCK11" s="75"/>
      <c r="MCL11" s="75"/>
      <c r="MCM11" s="75"/>
      <c r="MCN11" s="75"/>
      <c r="MCO11" s="75"/>
      <c r="MCP11" s="75"/>
      <c r="MCQ11" s="75"/>
      <c r="MCR11" s="75"/>
      <c r="MCS11" s="75"/>
      <c r="MCT11" s="75"/>
      <c r="MCU11" s="75"/>
      <c r="MCV11" s="75"/>
      <c r="MCW11" s="75"/>
      <c r="MCX11" s="75"/>
      <c r="MCY11" s="75"/>
      <c r="MCZ11" s="75"/>
      <c r="MDA11" s="75"/>
      <c r="MDB11" s="75"/>
      <c r="MDC11" s="75"/>
      <c r="MDD11" s="75"/>
      <c r="MDE11" s="75"/>
      <c r="MDF11" s="75"/>
      <c r="MDG11" s="75"/>
      <c r="MDH11" s="75"/>
      <c r="MDI11" s="75"/>
      <c r="MDJ11" s="75"/>
      <c r="MDK11" s="75"/>
      <c r="MDL11" s="75"/>
      <c r="MDM11" s="75"/>
      <c r="MDN11" s="75"/>
      <c r="MDO11" s="75"/>
      <c r="MDP11" s="75"/>
      <c r="MDQ11" s="75"/>
      <c r="MDR11" s="75"/>
      <c r="MDS11" s="75"/>
      <c r="MDT11" s="75"/>
      <c r="MDU11" s="75"/>
      <c r="MDV11" s="75"/>
      <c r="MDW11" s="75"/>
      <c r="MDX11" s="75"/>
      <c r="MDY11" s="75"/>
      <c r="MDZ11" s="75"/>
      <c r="MEA11" s="75"/>
      <c r="MEB11" s="75"/>
      <c r="MEC11" s="75"/>
      <c r="MED11" s="75"/>
      <c r="MEE11" s="75"/>
      <c r="MEF11" s="75"/>
      <c r="MEG11" s="75"/>
      <c r="MEH11" s="75"/>
      <c r="MEI11" s="75"/>
      <c r="MEJ11" s="75"/>
      <c r="MEK11" s="75"/>
      <c r="MEL11" s="75"/>
      <c r="MEM11" s="75"/>
      <c r="MEN11" s="75"/>
      <c r="MEO11" s="75"/>
      <c r="MEP11" s="75"/>
      <c r="MEQ11" s="75"/>
      <c r="MER11" s="75"/>
      <c r="MES11" s="75"/>
      <c r="MET11" s="75"/>
      <c r="MEU11" s="75"/>
      <c r="MEV11" s="75"/>
      <c r="MEW11" s="75"/>
      <c r="MEX11" s="75"/>
      <c r="MEY11" s="75"/>
      <c r="MEZ11" s="75"/>
      <c r="MFA11" s="75"/>
      <c r="MFB11" s="75"/>
      <c r="MFC11" s="75"/>
      <c r="MFD11" s="75"/>
      <c r="MFE11" s="75"/>
      <c r="MFF11" s="75"/>
      <c r="MFG11" s="75"/>
      <c r="MFH11" s="75"/>
      <c r="MFI11" s="75"/>
      <c r="MFJ11" s="75"/>
      <c r="MFK11" s="75"/>
      <c r="MFL11" s="75"/>
      <c r="MFM11" s="75"/>
      <c r="MFN11" s="75"/>
      <c r="MFO11" s="75"/>
      <c r="MFP11" s="75"/>
      <c r="MFQ11" s="75"/>
      <c r="MFR11" s="75"/>
      <c r="MFS11" s="75"/>
      <c r="MFT11" s="75"/>
      <c r="MFU11" s="75"/>
      <c r="MFV11" s="75"/>
      <c r="MFW11" s="75"/>
      <c r="MFX11" s="75"/>
      <c r="MFY11" s="75"/>
      <c r="MFZ11" s="75"/>
      <c r="MGA11" s="75"/>
      <c r="MGB11" s="75"/>
      <c r="MGC11" s="75"/>
      <c r="MGD11" s="75"/>
      <c r="MGE11" s="75"/>
      <c r="MGF11" s="75"/>
      <c r="MGG11" s="75"/>
      <c r="MGH11" s="75"/>
      <c r="MGI11" s="75"/>
      <c r="MGJ11" s="75"/>
      <c r="MGK11" s="75"/>
      <c r="MGL11" s="75"/>
      <c r="MGM11" s="75"/>
      <c r="MGN11" s="75"/>
      <c r="MGO11" s="75"/>
      <c r="MGP11" s="75"/>
      <c r="MGQ11" s="75"/>
      <c r="MGR11" s="75"/>
      <c r="MGS11" s="75"/>
      <c r="MGT11" s="75"/>
      <c r="MGU11" s="75"/>
      <c r="MGV11" s="75"/>
      <c r="MGW11" s="75"/>
      <c r="MGX11" s="75"/>
      <c r="MGY11" s="75"/>
      <c r="MGZ11" s="75"/>
      <c r="MHA11" s="75"/>
      <c r="MHB11" s="75"/>
      <c r="MHC11" s="75"/>
      <c r="MHD11" s="75"/>
      <c r="MHE11" s="75"/>
      <c r="MHF11" s="75"/>
      <c r="MHG11" s="75"/>
      <c r="MHH11" s="75"/>
      <c r="MHI11" s="75"/>
      <c r="MHJ11" s="75"/>
      <c r="MHK11" s="75"/>
      <c r="MHL11" s="75"/>
      <c r="MHM11" s="75"/>
      <c r="MHN11" s="75"/>
      <c r="MHO11" s="75"/>
      <c r="MHP11" s="75"/>
      <c r="MHQ11" s="75"/>
      <c r="MHR11" s="75"/>
      <c r="MHS11" s="75"/>
      <c r="MHT11" s="75"/>
      <c r="MHU11" s="75"/>
      <c r="MHV11" s="75"/>
      <c r="MHW11" s="75"/>
      <c r="MHX11" s="75"/>
      <c r="MHY11" s="75"/>
      <c r="MHZ11" s="75"/>
      <c r="MIA11" s="75"/>
      <c r="MIB11" s="75"/>
      <c r="MIC11" s="75"/>
      <c r="MID11" s="75"/>
      <c r="MIE11" s="75"/>
      <c r="MIF11" s="75"/>
      <c r="MIG11" s="75"/>
      <c r="MIH11" s="75"/>
      <c r="MII11" s="75"/>
      <c r="MIJ11" s="75"/>
      <c r="MIK11" s="75"/>
      <c r="MIL11" s="75"/>
      <c r="MIM11" s="75"/>
      <c r="MIN11" s="75"/>
      <c r="MIO11" s="75"/>
      <c r="MIP11" s="75"/>
      <c r="MIQ11" s="75"/>
      <c r="MIR11" s="75"/>
      <c r="MIS11" s="75"/>
      <c r="MIT11" s="75"/>
      <c r="MIU11" s="75"/>
      <c r="MIV11" s="75"/>
      <c r="MIW11" s="75"/>
      <c r="MIX11" s="75"/>
      <c r="MIY11" s="75"/>
      <c r="MIZ11" s="75"/>
      <c r="MJA11" s="75"/>
      <c r="MJB11" s="75"/>
      <c r="MJC11" s="75"/>
      <c r="MJD11" s="75"/>
      <c r="MJE11" s="75"/>
      <c r="MJF11" s="75"/>
      <c r="MJG11" s="75"/>
      <c r="MJH11" s="75"/>
      <c r="MJI11" s="75"/>
      <c r="MJJ11" s="75"/>
      <c r="MJK11" s="75"/>
      <c r="MJL11" s="75"/>
      <c r="MJM11" s="75"/>
      <c r="MJN11" s="75"/>
      <c r="MJO11" s="75"/>
      <c r="MJP11" s="75"/>
      <c r="MJQ11" s="75"/>
      <c r="MJR11" s="75"/>
      <c r="MJS11" s="75"/>
      <c r="MJT11" s="75"/>
      <c r="MJU11" s="75"/>
      <c r="MJV11" s="75"/>
      <c r="MJW11" s="75"/>
      <c r="MJX11" s="75"/>
      <c r="MJY11" s="75"/>
      <c r="MJZ11" s="75"/>
      <c r="MKA11" s="75"/>
      <c r="MKB11" s="75"/>
      <c r="MKC11" s="75"/>
      <c r="MKD11" s="75"/>
      <c r="MKE11" s="75"/>
      <c r="MKF11" s="75"/>
      <c r="MKG11" s="75"/>
      <c r="MKH11" s="75"/>
      <c r="MKI11" s="75"/>
      <c r="MKJ11" s="75"/>
      <c r="MKK11" s="75"/>
      <c r="MKL11" s="75"/>
      <c r="MKM11" s="75"/>
      <c r="MKN11" s="75"/>
      <c r="MKO11" s="75"/>
      <c r="MKP11" s="75"/>
      <c r="MKQ11" s="75"/>
      <c r="MKR11" s="75"/>
      <c r="MKS11" s="75"/>
      <c r="MKT11" s="75"/>
      <c r="MKU11" s="75"/>
      <c r="MKV11" s="75"/>
      <c r="MKW11" s="75"/>
      <c r="MKX11" s="75"/>
      <c r="MKY11" s="75"/>
      <c r="MKZ11" s="75"/>
      <c r="MLA11" s="75"/>
      <c r="MLB11" s="75"/>
      <c r="MLC11" s="75"/>
      <c r="MLD11" s="75"/>
      <c r="MLE11" s="75"/>
      <c r="MLF11" s="75"/>
      <c r="MLG11" s="75"/>
      <c r="MLH11" s="75"/>
      <c r="MLI11" s="75"/>
      <c r="MLJ11" s="75"/>
      <c r="MLK11" s="75"/>
      <c r="MLL11" s="75"/>
      <c r="MLM11" s="75"/>
      <c r="MLN11" s="75"/>
      <c r="MLO11" s="75"/>
      <c r="MLP11" s="75"/>
      <c r="MLQ11" s="75"/>
      <c r="MLR11" s="75"/>
      <c r="MLS11" s="75"/>
      <c r="MLT11" s="75"/>
      <c r="MLU11" s="75"/>
      <c r="MLV11" s="75"/>
      <c r="MLW11" s="75"/>
      <c r="MLX11" s="75"/>
      <c r="MLY11" s="75"/>
      <c r="MLZ11" s="75"/>
      <c r="MMA11" s="75"/>
      <c r="MMB11" s="75"/>
      <c r="MMC11" s="75"/>
      <c r="MMD11" s="75"/>
      <c r="MME11" s="75"/>
      <c r="MMF11" s="75"/>
      <c r="MMG11" s="75"/>
      <c r="MMH11" s="75"/>
      <c r="MMI11" s="75"/>
      <c r="MMJ11" s="75"/>
      <c r="MMK11" s="75"/>
      <c r="MML11" s="75"/>
      <c r="MMM11" s="75"/>
      <c r="MMN11" s="75"/>
      <c r="MMO11" s="75"/>
      <c r="MMP11" s="75"/>
      <c r="MMQ11" s="75"/>
      <c r="MMR11" s="75"/>
      <c r="MMS11" s="75"/>
      <c r="MMT11" s="75"/>
      <c r="MMU11" s="75"/>
      <c r="MMV11" s="75"/>
      <c r="MMW11" s="75"/>
      <c r="MMX11" s="75"/>
      <c r="MMY11" s="75"/>
      <c r="MMZ11" s="75"/>
      <c r="MNA11" s="75"/>
      <c r="MNB11" s="75"/>
      <c r="MNC11" s="75"/>
      <c r="MND11" s="75"/>
      <c r="MNE11" s="75"/>
      <c r="MNF11" s="75"/>
      <c r="MNG11" s="75"/>
      <c r="MNH11" s="75"/>
      <c r="MNI11" s="75"/>
      <c r="MNJ11" s="75"/>
      <c r="MNK11" s="75"/>
      <c r="MNL11" s="75"/>
      <c r="MNM11" s="75"/>
      <c r="MNN11" s="75"/>
      <c r="MNO11" s="75"/>
      <c r="MNP11" s="75"/>
      <c r="MNQ11" s="75"/>
      <c r="MNR11" s="75"/>
      <c r="MNS11" s="75"/>
      <c r="MNT11" s="75"/>
      <c r="MNU11" s="75"/>
      <c r="MNV11" s="75"/>
      <c r="MNW11" s="75"/>
      <c r="MNX11" s="75"/>
      <c r="MNY11" s="75"/>
      <c r="MNZ11" s="75"/>
      <c r="MOA11" s="75"/>
      <c r="MOB11" s="75"/>
      <c r="MOC11" s="75"/>
      <c r="MOD11" s="75"/>
      <c r="MOE11" s="75"/>
      <c r="MOF11" s="75"/>
      <c r="MOG11" s="75"/>
      <c r="MOH11" s="75"/>
      <c r="MOI11" s="75"/>
      <c r="MOJ11" s="75"/>
      <c r="MOK11" s="75"/>
      <c r="MOL11" s="75"/>
      <c r="MOM11" s="75"/>
      <c r="MON11" s="75"/>
      <c r="MOO11" s="75"/>
      <c r="MOP11" s="75"/>
      <c r="MOQ11" s="75"/>
      <c r="MOR11" s="75"/>
      <c r="MOS11" s="75"/>
      <c r="MOT11" s="75"/>
      <c r="MOU11" s="75"/>
      <c r="MOV11" s="75"/>
      <c r="MOW11" s="75"/>
      <c r="MOX11" s="75"/>
      <c r="MOY11" s="75"/>
      <c r="MOZ11" s="75"/>
      <c r="MPA11" s="75"/>
      <c r="MPB11" s="75"/>
      <c r="MPC11" s="75"/>
      <c r="MPD11" s="75"/>
      <c r="MPE11" s="75"/>
      <c r="MPF11" s="75"/>
      <c r="MPG11" s="75"/>
      <c r="MPH11" s="75"/>
      <c r="MPI11" s="75"/>
      <c r="MPJ11" s="75"/>
      <c r="MPK11" s="75"/>
      <c r="MPL11" s="75"/>
      <c r="MPM11" s="75"/>
      <c r="MPN11" s="75"/>
      <c r="MPO11" s="75"/>
      <c r="MPP11" s="75"/>
      <c r="MPQ11" s="75"/>
      <c r="MPR11" s="75"/>
      <c r="MPS11" s="75"/>
      <c r="MPT11" s="75"/>
      <c r="MPU11" s="75"/>
      <c r="MPV11" s="75"/>
      <c r="MPW11" s="75"/>
      <c r="MPX11" s="75"/>
      <c r="MPY11" s="75"/>
      <c r="MPZ11" s="75"/>
      <c r="MQA11" s="75"/>
      <c r="MQB11" s="75"/>
      <c r="MQC11" s="75"/>
      <c r="MQD11" s="75"/>
      <c r="MQE11" s="75"/>
      <c r="MQF11" s="75"/>
      <c r="MQG11" s="75"/>
      <c r="MQH11" s="75"/>
      <c r="MQI11" s="75"/>
      <c r="MQJ11" s="75"/>
      <c r="MQK11" s="75"/>
      <c r="MQL11" s="75"/>
      <c r="MQM11" s="75"/>
      <c r="MQN11" s="75"/>
      <c r="MQO11" s="75"/>
      <c r="MQP11" s="75"/>
      <c r="MQQ11" s="75"/>
      <c r="MQR11" s="75"/>
      <c r="MQS11" s="75"/>
      <c r="MQT11" s="75"/>
      <c r="MQU11" s="75"/>
      <c r="MQV11" s="75"/>
      <c r="MQW11" s="75"/>
      <c r="MQX11" s="75"/>
      <c r="MQY11" s="75"/>
      <c r="MQZ11" s="75"/>
      <c r="MRA11" s="75"/>
      <c r="MRB11" s="75"/>
      <c r="MRC11" s="75"/>
      <c r="MRD11" s="75"/>
      <c r="MRE11" s="75"/>
      <c r="MRF11" s="75"/>
      <c r="MRG11" s="75"/>
      <c r="MRH11" s="75"/>
      <c r="MRI11" s="75"/>
      <c r="MRJ11" s="75"/>
      <c r="MRK11" s="75"/>
      <c r="MRL11" s="75"/>
      <c r="MRM11" s="75"/>
      <c r="MRN11" s="75"/>
      <c r="MRO11" s="75"/>
      <c r="MRP11" s="75"/>
      <c r="MRQ11" s="75"/>
      <c r="MRR11" s="75"/>
      <c r="MRS11" s="75"/>
      <c r="MRT11" s="75"/>
      <c r="MRU11" s="75"/>
      <c r="MRV11" s="75"/>
      <c r="MRW11" s="75"/>
      <c r="MRX11" s="75"/>
      <c r="MRY11" s="75"/>
      <c r="MRZ11" s="75"/>
      <c r="MSA11" s="75"/>
      <c r="MSB11" s="75"/>
      <c r="MSC11" s="75"/>
      <c r="MSD11" s="75"/>
      <c r="MSE11" s="75"/>
      <c r="MSF11" s="75"/>
      <c r="MSG11" s="75"/>
      <c r="MSH11" s="75"/>
      <c r="MSI11" s="75"/>
      <c r="MSJ11" s="75"/>
      <c r="MSK11" s="75"/>
      <c r="MSL11" s="75"/>
      <c r="MSM11" s="75"/>
      <c r="MSN11" s="75"/>
      <c r="MSO11" s="75"/>
      <c r="MSP11" s="75"/>
      <c r="MSQ11" s="75"/>
      <c r="MSR11" s="75"/>
      <c r="MSS11" s="75"/>
      <c r="MST11" s="75"/>
      <c r="MSU11" s="75"/>
      <c r="MSV11" s="75"/>
      <c r="MSW11" s="75"/>
      <c r="MSX11" s="75"/>
      <c r="MSY11" s="75"/>
      <c r="MSZ11" s="75"/>
      <c r="MTA11" s="75"/>
      <c r="MTB11" s="75"/>
      <c r="MTC11" s="75"/>
      <c r="MTD11" s="75"/>
      <c r="MTE11" s="75"/>
      <c r="MTF11" s="75"/>
      <c r="MTG11" s="75"/>
      <c r="MTH11" s="75"/>
      <c r="MTI11" s="75"/>
      <c r="MTJ11" s="75"/>
      <c r="MTK11" s="75"/>
      <c r="MTL11" s="75"/>
      <c r="MTM11" s="75"/>
      <c r="MTN11" s="75"/>
      <c r="MTO11" s="75"/>
      <c r="MTP11" s="75"/>
      <c r="MTQ11" s="75"/>
      <c r="MTR11" s="75"/>
      <c r="MTS11" s="75"/>
      <c r="MTT11" s="75"/>
      <c r="MTU11" s="75"/>
      <c r="MTV11" s="75"/>
      <c r="MTW11" s="75"/>
      <c r="MTX11" s="75"/>
      <c r="MTY11" s="75"/>
      <c r="MTZ11" s="75"/>
      <c r="MUA11" s="75"/>
      <c r="MUB11" s="75"/>
      <c r="MUC11" s="75"/>
      <c r="MUD11" s="75"/>
      <c r="MUE11" s="75"/>
      <c r="MUF11" s="75"/>
      <c r="MUG11" s="75"/>
      <c r="MUH11" s="75"/>
      <c r="MUI11" s="75"/>
      <c r="MUJ11" s="75"/>
      <c r="MUK11" s="75"/>
      <c r="MUL11" s="75"/>
      <c r="MUM11" s="75"/>
      <c r="MUN11" s="75"/>
      <c r="MUO11" s="75"/>
      <c r="MUP11" s="75"/>
      <c r="MUQ11" s="75"/>
      <c r="MUR11" s="75"/>
      <c r="MUS11" s="75"/>
      <c r="MUT11" s="75"/>
      <c r="MUU11" s="75"/>
      <c r="MUV11" s="75"/>
      <c r="MUW11" s="75"/>
      <c r="MUX11" s="75"/>
      <c r="MUY11" s="75"/>
      <c r="MUZ11" s="75"/>
      <c r="MVA11" s="75"/>
      <c r="MVB11" s="75"/>
      <c r="MVC11" s="75"/>
      <c r="MVD11" s="75"/>
      <c r="MVE11" s="75"/>
      <c r="MVF11" s="75"/>
      <c r="MVG11" s="75"/>
      <c r="MVH11" s="75"/>
      <c r="MVI11" s="75"/>
      <c r="MVJ11" s="75"/>
      <c r="MVK11" s="75"/>
      <c r="MVL11" s="75"/>
      <c r="MVM11" s="75"/>
      <c r="MVN11" s="75"/>
      <c r="MVO11" s="75"/>
      <c r="MVP11" s="75"/>
      <c r="MVQ11" s="75"/>
      <c r="MVR11" s="75"/>
      <c r="MVS11" s="75"/>
      <c r="MVT11" s="75"/>
      <c r="MVU11" s="75"/>
      <c r="MVV11" s="75"/>
      <c r="MVW11" s="75"/>
      <c r="MVX11" s="75"/>
      <c r="MVY11" s="75"/>
      <c r="MVZ11" s="75"/>
      <c r="MWA11" s="75"/>
      <c r="MWB11" s="75"/>
      <c r="MWC11" s="75"/>
      <c r="MWD11" s="75"/>
      <c r="MWE11" s="75"/>
      <c r="MWF11" s="75"/>
      <c r="MWG11" s="75"/>
      <c r="MWH11" s="75"/>
      <c r="MWI11" s="75"/>
      <c r="MWJ11" s="75"/>
      <c r="MWK11" s="75"/>
      <c r="MWL11" s="75"/>
      <c r="MWM11" s="75"/>
      <c r="MWN11" s="75"/>
      <c r="MWO11" s="75"/>
      <c r="MWP11" s="75"/>
      <c r="MWQ11" s="75"/>
      <c r="MWR11" s="75"/>
      <c r="MWS11" s="75"/>
      <c r="MWT11" s="75"/>
      <c r="MWU11" s="75"/>
      <c r="MWV11" s="75"/>
      <c r="MWW11" s="75"/>
      <c r="MWX11" s="75"/>
      <c r="MWY11" s="75"/>
      <c r="MWZ11" s="75"/>
      <c r="MXA11" s="75"/>
      <c r="MXB11" s="75"/>
      <c r="MXC11" s="75"/>
      <c r="MXD11" s="75"/>
      <c r="MXE11" s="75"/>
      <c r="MXF11" s="75"/>
      <c r="MXG11" s="75"/>
      <c r="MXH11" s="75"/>
      <c r="MXI11" s="75"/>
      <c r="MXJ11" s="75"/>
      <c r="MXK11" s="75"/>
      <c r="MXL11" s="75"/>
      <c r="MXM11" s="75"/>
      <c r="MXN11" s="75"/>
      <c r="MXO11" s="75"/>
      <c r="MXP11" s="75"/>
      <c r="MXQ11" s="75"/>
      <c r="MXR11" s="75"/>
      <c r="MXS11" s="75"/>
      <c r="MXT11" s="75"/>
      <c r="MXU11" s="75"/>
      <c r="MXV11" s="75"/>
      <c r="MXW11" s="75"/>
      <c r="MXX11" s="75"/>
      <c r="MXY11" s="75"/>
      <c r="MXZ11" s="75"/>
      <c r="MYA11" s="75"/>
      <c r="MYB11" s="75"/>
      <c r="MYC11" s="75"/>
      <c r="MYD11" s="75"/>
      <c r="MYE11" s="75"/>
      <c r="MYF11" s="75"/>
      <c r="MYG11" s="75"/>
      <c r="MYH11" s="75"/>
      <c r="MYI11" s="75"/>
      <c r="MYJ11" s="75"/>
      <c r="MYK11" s="75"/>
      <c r="MYL11" s="75"/>
      <c r="MYM11" s="75"/>
      <c r="MYN11" s="75"/>
      <c r="MYO11" s="75"/>
      <c r="MYP11" s="75"/>
      <c r="MYQ11" s="75"/>
      <c r="MYR11" s="75"/>
      <c r="MYS11" s="75"/>
      <c r="MYT11" s="75"/>
      <c r="MYU11" s="75"/>
      <c r="MYV11" s="75"/>
      <c r="MYW11" s="75"/>
      <c r="MYX11" s="75"/>
      <c r="MYY11" s="75"/>
      <c r="MYZ11" s="75"/>
      <c r="MZA11" s="75"/>
      <c r="MZB11" s="75"/>
      <c r="MZC11" s="75"/>
      <c r="MZD11" s="75"/>
      <c r="MZE11" s="75"/>
      <c r="MZF11" s="75"/>
      <c r="MZG11" s="75"/>
      <c r="MZH11" s="75"/>
      <c r="MZI11" s="75"/>
      <c r="MZJ11" s="75"/>
      <c r="MZK11" s="75"/>
      <c r="MZL11" s="75"/>
      <c r="MZM11" s="75"/>
      <c r="MZN11" s="75"/>
      <c r="MZO11" s="75"/>
      <c r="MZP11" s="75"/>
      <c r="MZQ11" s="75"/>
      <c r="MZR11" s="75"/>
      <c r="MZS11" s="75"/>
      <c r="MZT11" s="75"/>
      <c r="MZU11" s="75"/>
      <c r="MZV11" s="75"/>
      <c r="MZW11" s="75"/>
      <c r="MZX11" s="75"/>
      <c r="MZY11" s="75"/>
      <c r="MZZ11" s="75"/>
      <c r="NAA11" s="75"/>
      <c r="NAB11" s="75"/>
      <c r="NAC11" s="75"/>
      <c r="NAD11" s="75"/>
      <c r="NAE11" s="75"/>
      <c r="NAF11" s="75"/>
      <c r="NAG11" s="75"/>
      <c r="NAH11" s="75"/>
      <c r="NAI11" s="75"/>
      <c r="NAJ11" s="75"/>
      <c r="NAK11" s="75"/>
      <c r="NAL11" s="75"/>
      <c r="NAM11" s="75"/>
      <c r="NAN11" s="75"/>
      <c r="NAO11" s="75"/>
      <c r="NAP11" s="75"/>
      <c r="NAQ11" s="75"/>
      <c r="NAR11" s="75"/>
      <c r="NAS11" s="75"/>
      <c r="NAT11" s="75"/>
      <c r="NAU11" s="75"/>
      <c r="NAV11" s="75"/>
      <c r="NAW11" s="75"/>
      <c r="NAX11" s="75"/>
      <c r="NAY11" s="75"/>
      <c r="NAZ11" s="75"/>
      <c r="NBA11" s="75"/>
      <c r="NBB11" s="75"/>
      <c r="NBC11" s="75"/>
      <c r="NBD11" s="75"/>
      <c r="NBE11" s="75"/>
      <c r="NBF11" s="75"/>
      <c r="NBG11" s="75"/>
      <c r="NBH11" s="75"/>
      <c r="NBI11" s="75"/>
      <c r="NBJ11" s="75"/>
      <c r="NBK11" s="75"/>
      <c r="NBL11" s="75"/>
      <c r="NBM11" s="75"/>
      <c r="NBN11" s="75"/>
      <c r="NBO11" s="75"/>
      <c r="NBP11" s="75"/>
      <c r="NBQ11" s="75"/>
      <c r="NBR11" s="75"/>
      <c r="NBS11" s="75"/>
      <c r="NBT11" s="75"/>
      <c r="NBU11" s="75"/>
      <c r="NBV11" s="75"/>
      <c r="NBW11" s="75"/>
      <c r="NBX11" s="75"/>
      <c r="NBY11" s="75"/>
      <c r="NBZ11" s="75"/>
      <c r="NCA11" s="75"/>
      <c r="NCB11" s="75"/>
      <c r="NCC11" s="75"/>
      <c r="NCD11" s="75"/>
      <c r="NCE11" s="75"/>
      <c r="NCF11" s="75"/>
      <c r="NCG11" s="75"/>
      <c r="NCH11" s="75"/>
      <c r="NCI11" s="75"/>
      <c r="NCJ11" s="75"/>
      <c r="NCK11" s="75"/>
      <c r="NCL11" s="75"/>
      <c r="NCM11" s="75"/>
      <c r="NCN11" s="75"/>
      <c r="NCO11" s="75"/>
      <c r="NCP11" s="75"/>
      <c r="NCQ11" s="75"/>
      <c r="NCR11" s="75"/>
      <c r="NCS11" s="75"/>
      <c r="NCT11" s="75"/>
      <c r="NCU11" s="75"/>
      <c r="NCV11" s="75"/>
      <c r="NCW11" s="75"/>
      <c r="NCX11" s="75"/>
      <c r="NCY11" s="75"/>
      <c r="NCZ11" s="75"/>
      <c r="NDA11" s="75"/>
      <c r="NDB11" s="75"/>
      <c r="NDC11" s="75"/>
      <c r="NDD11" s="75"/>
      <c r="NDE11" s="75"/>
      <c r="NDF11" s="75"/>
      <c r="NDG11" s="75"/>
      <c r="NDH11" s="75"/>
      <c r="NDI11" s="75"/>
      <c r="NDJ11" s="75"/>
      <c r="NDK11" s="75"/>
      <c r="NDL11" s="75"/>
      <c r="NDM11" s="75"/>
      <c r="NDN11" s="75"/>
      <c r="NDO11" s="75"/>
      <c r="NDP11" s="75"/>
      <c r="NDQ11" s="75"/>
      <c r="NDR11" s="75"/>
      <c r="NDS11" s="75"/>
      <c r="NDT11" s="75"/>
      <c r="NDU11" s="75"/>
      <c r="NDV11" s="75"/>
      <c r="NDW11" s="75"/>
      <c r="NDX11" s="75"/>
      <c r="NDY11" s="75"/>
      <c r="NDZ11" s="75"/>
      <c r="NEA11" s="75"/>
      <c r="NEB11" s="75"/>
      <c r="NEC11" s="75"/>
      <c r="NED11" s="75"/>
      <c r="NEE11" s="75"/>
      <c r="NEF11" s="75"/>
      <c r="NEG11" s="75"/>
      <c r="NEH11" s="75"/>
      <c r="NEI11" s="75"/>
      <c r="NEJ11" s="75"/>
      <c r="NEK11" s="75"/>
      <c r="NEL11" s="75"/>
      <c r="NEM11" s="75"/>
      <c r="NEN11" s="75"/>
      <c r="NEO11" s="75"/>
      <c r="NEP11" s="75"/>
      <c r="NEQ11" s="75"/>
      <c r="NER11" s="75"/>
      <c r="NES11" s="75"/>
      <c r="NET11" s="75"/>
      <c r="NEU11" s="75"/>
      <c r="NEV11" s="75"/>
      <c r="NEW11" s="75"/>
      <c r="NEX11" s="75"/>
      <c r="NEY11" s="75"/>
      <c r="NEZ11" s="75"/>
      <c r="NFA11" s="75"/>
      <c r="NFB11" s="75"/>
      <c r="NFC11" s="75"/>
      <c r="NFD11" s="75"/>
      <c r="NFE11" s="75"/>
      <c r="NFF11" s="75"/>
      <c r="NFG11" s="75"/>
      <c r="NFH11" s="75"/>
      <c r="NFI11" s="75"/>
      <c r="NFJ11" s="75"/>
      <c r="NFK11" s="75"/>
      <c r="NFL11" s="75"/>
      <c r="NFM11" s="75"/>
      <c r="NFN11" s="75"/>
      <c r="NFO11" s="75"/>
      <c r="NFP11" s="75"/>
      <c r="NFQ11" s="75"/>
      <c r="NFR11" s="75"/>
      <c r="NFS11" s="75"/>
      <c r="NFT11" s="75"/>
      <c r="NFU11" s="75"/>
      <c r="NFV11" s="75"/>
      <c r="NFW11" s="75"/>
      <c r="NFX11" s="75"/>
      <c r="NFY11" s="75"/>
      <c r="NFZ11" s="75"/>
      <c r="NGA11" s="75"/>
      <c r="NGB11" s="75"/>
      <c r="NGC11" s="75"/>
      <c r="NGD11" s="75"/>
      <c r="NGE11" s="75"/>
      <c r="NGF11" s="75"/>
      <c r="NGG11" s="75"/>
      <c r="NGH11" s="75"/>
      <c r="NGI11" s="75"/>
      <c r="NGJ11" s="75"/>
      <c r="NGK11" s="75"/>
      <c r="NGL11" s="75"/>
      <c r="NGM11" s="75"/>
      <c r="NGN11" s="75"/>
      <c r="NGO11" s="75"/>
      <c r="NGP11" s="75"/>
      <c r="NGQ11" s="75"/>
      <c r="NGR11" s="75"/>
      <c r="NGS11" s="75"/>
      <c r="NGT11" s="75"/>
      <c r="NGU11" s="75"/>
      <c r="NGV11" s="75"/>
      <c r="NGW11" s="75"/>
      <c r="NGX11" s="75"/>
      <c r="NGY11" s="75"/>
      <c r="NGZ11" s="75"/>
      <c r="NHA11" s="75"/>
      <c r="NHB11" s="75"/>
      <c r="NHC11" s="75"/>
      <c r="NHD11" s="75"/>
      <c r="NHE11" s="75"/>
      <c r="NHF11" s="75"/>
      <c r="NHG11" s="75"/>
      <c r="NHH11" s="75"/>
      <c r="NHI11" s="75"/>
      <c r="NHJ11" s="75"/>
      <c r="NHK11" s="75"/>
      <c r="NHL11" s="75"/>
      <c r="NHM11" s="75"/>
      <c r="NHN11" s="75"/>
      <c r="NHO11" s="75"/>
      <c r="NHP11" s="75"/>
      <c r="NHQ11" s="75"/>
      <c r="NHR11" s="75"/>
      <c r="NHS11" s="75"/>
      <c r="NHT11" s="75"/>
      <c r="NHU11" s="75"/>
      <c r="NHV11" s="75"/>
      <c r="NHW11" s="75"/>
      <c r="NHX11" s="75"/>
      <c r="NHY11" s="75"/>
      <c r="NHZ11" s="75"/>
      <c r="NIA11" s="75"/>
      <c r="NIB11" s="75"/>
      <c r="NIC11" s="75"/>
      <c r="NID11" s="75"/>
      <c r="NIE11" s="75"/>
      <c r="NIF11" s="75"/>
      <c r="NIG11" s="75"/>
      <c r="NIH11" s="75"/>
      <c r="NII11" s="75"/>
      <c r="NIJ11" s="75"/>
      <c r="NIK11" s="75"/>
      <c r="NIL11" s="75"/>
      <c r="NIM11" s="75"/>
      <c r="NIN11" s="75"/>
      <c r="NIO11" s="75"/>
      <c r="NIP11" s="75"/>
      <c r="NIQ11" s="75"/>
      <c r="NIR11" s="75"/>
      <c r="NIS11" s="75"/>
      <c r="NIT11" s="75"/>
      <c r="NIU11" s="75"/>
      <c r="NIV11" s="75"/>
      <c r="NIW11" s="75"/>
      <c r="NIX11" s="75"/>
      <c r="NIY11" s="75"/>
      <c r="NIZ11" s="75"/>
      <c r="NJA11" s="75"/>
      <c r="NJB11" s="75"/>
      <c r="NJC11" s="75"/>
      <c r="NJD11" s="75"/>
      <c r="NJE11" s="75"/>
      <c r="NJF11" s="75"/>
      <c r="NJG11" s="75"/>
      <c r="NJH11" s="75"/>
      <c r="NJI11" s="75"/>
      <c r="NJJ11" s="75"/>
      <c r="NJK11" s="75"/>
      <c r="NJL11" s="75"/>
      <c r="NJM11" s="75"/>
      <c r="NJN11" s="75"/>
      <c r="NJO11" s="75"/>
      <c r="NJP11" s="75"/>
      <c r="NJQ11" s="75"/>
      <c r="NJR11" s="75"/>
      <c r="NJS11" s="75"/>
      <c r="NJT11" s="75"/>
      <c r="NJU11" s="75"/>
      <c r="NJV11" s="75"/>
      <c r="NJW11" s="75"/>
      <c r="NJX11" s="75"/>
      <c r="NJY11" s="75"/>
      <c r="NJZ11" s="75"/>
      <c r="NKA11" s="75"/>
      <c r="NKB11" s="75"/>
      <c r="NKC11" s="75"/>
      <c r="NKD11" s="75"/>
      <c r="NKE11" s="75"/>
      <c r="NKF11" s="75"/>
      <c r="NKG11" s="75"/>
      <c r="NKH11" s="75"/>
      <c r="NKI11" s="75"/>
      <c r="NKJ11" s="75"/>
      <c r="NKK11" s="75"/>
      <c r="NKL11" s="75"/>
      <c r="NKM11" s="75"/>
      <c r="NKN11" s="75"/>
      <c r="NKO11" s="75"/>
      <c r="NKP11" s="75"/>
      <c r="NKQ11" s="75"/>
      <c r="NKR11" s="75"/>
      <c r="NKS11" s="75"/>
      <c r="NKT11" s="75"/>
      <c r="NKU11" s="75"/>
      <c r="NKV11" s="75"/>
      <c r="NKW11" s="75"/>
      <c r="NKX11" s="75"/>
      <c r="NKY11" s="75"/>
      <c r="NKZ11" s="75"/>
      <c r="NLA11" s="75"/>
      <c r="NLB11" s="75"/>
      <c r="NLC11" s="75"/>
      <c r="NLD11" s="75"/>
      <c r="NLE11" s="75"/>
      <c r="NLF11" s="75"/>
      <c r="NLG11" s="75"/>
      <c r="NLH11" s="75"/>
      <c r="NLI11" s="75"/>
      <c r="NLJ11" s="75"/>
      <c r="NLK11" s="75"/>
      <c r="NLL11" s="75"/>
      <c r="NLM11" s="75"/>
      <c r="NLN11" s="75"/>
      <c r="NLO11" s="75"/>
      <c r="NLP11" s="75"/>
      <c r="NLQ11" s="75"/>
      <c r="NLR11" s="75"/>
      <c r="NLS11" s="75"/>
      <c r="NLT11" s="75"/>
      <c r="NLU11" s="75"/>
      <c r="NLV11" s="75"/>
      <c r="NLW11" s="75"/>
      <c r="NLX11" s="75"/>
      <c r="NLY11" s="75"/>
      <c r="NLZ11" s="75"/>
      <c r="NMA11" s="75"/>
      <c r="NMB11" s="75"/>
      <c r="NMC11" s="75"/>
      <c r="NMD11" s="75"/>
      <c r="NME11" s="75"/>
      <c r="NMF11" s="75"/>
      <c r="NMG11" s="75"/>
      <c r="NMH11" s="75"/>
      <c r="NMI11" s="75"/>
      <c r="NMJ11" s="75"/>
      <c r="NMK11" s="75"/>
      <c r="NML11" s="75"/>
      <c r="NMM11" s="75"/>
      <c r="NMN11" s="75"/>
      <c r="NMO11" s="75"/>
      <c r="NMP11" s="75"/>
      <c r="NMQ11" s="75"/>
      <c r="NMR11" s="75"/>
      <c r="NMS11" s="75"/>
      <c r="NMT11" s="75"/>
      <c r="NMU11" s="75"/>
      <c r="NMV11" s="75"/>
      <c r="NMW11" s="75"/>
      <c r="NMX11" s="75"/>
      <c r="NMY11" s="75"/>
      <c r="NMZ11" s="75"/>
      <c r="NNA11" s="75"/>
      <c r="NNB11" s="75"/>
      <c r="NNC11" s="75"/>
      <c r="NND11" s="75"/>
      <c r="NNE11" s="75"/>
      <c r="NNF11" s="75"/>
      <c r="NNG11" s="75"/>
      <c r="NNH11" s="75"/>
      <c r="NNI11" s="75"/>
      <c r="NNJ11" s="75"/>
      <c r="NNK11" s="75"/>
      <c r="NNL11" s="75"/>
      <c r="NNM11" s="75"/>
      <c r="NNN11" s="75"/>
      <c r="NNO11" s="75"/>
      <c r="NNP11" s="75"/>
      <c r="NNQ11" s="75"/>
      <c r="NNR11" s="75"/>
      <c r="NNS11" s="75"/>
      <c r="NNT11" s="75"/>
      <c r="NNU11" s="75"/>
      <c r="NNV11" s="75"/>
      <c r="NNW11" s="75"/>
      <c r="NNX11" s="75"/>
      <c r="NNY11" s="75"/>
      <c r="NNZ11" s="75"/>
      <c r="NOA11" s="75"/>
      <c r="NOB11" s="75"/>
      <c r="NOC11" s="75"/>
      <c r="NOD11" s="75"/>
      <c r="NOE11" s="75"/>
      <c r="NOF11" s="75"/>
      <c r="NOG11" s="75"/>
      <c r="NOH11" s="75"/>
      <c r="NOI11" s="75"/>
      <c r="NOJ11" s="75"/>
      <c r="NOK11" s="75"/>
      <c r="NOL11" s="75"/>
      <c r="NOM11" s="75"/>
      <c r="NON11" s="75"/>
      <c r="NOO11" s="75"/>
      <c r="NOP11" s="75"/>
      <c r="NOQ11" s="75"/>
      <c r="NOR11" s="75"/>
      <c r="NOS11" s="75"/>
      <c r="NOT11" s="75"/>
      <c r="NOU11" s="75"/>
      <c r="NOV11" s="75"/>
      <c r="NOW11" s="75"/>
      <c r="NOX11" s="75"/>
      <c r="NOY11" s="75"/>
      <c r="NOZ11" s="75"/>
      <c r="NPA11" s="75"/>
      <c r="NPB11" s="75"/>
      <c r="NPC11" s="75"/>
      <c r="NPD11" s="75"/>
      <c r="NPE11" s="75"/>
      <c r="NPF11" s="75"/>
      <c r="NPG11" s="75"/>
      <c r="NPH11" s="75"/>
      <c r="NPI11" s="75"/>
      <c r="NPJ11" s="75"/>
      <c r="NPK11" s="75"/>
      <c r="NPL11" s="75"/>
      <c r="NPM11" s="75"/>
      <c r="NPN11" s="75"/>
      <c r="NPO11" s="75"/>
      <c r="NPP11" s="75"/>
      <c r="NPQ11" s="75"/>
      <c r="NPR11" s="75"/>
      <c r="NPS11" s="75"/>
      <c r="NPT11" s="75"/>
      <c r="NPU11" s="75"/>
      <c r="NPV11" s="75"/>
      <c r="NPW11" s="75"/>
      <c r="NPX11" s="75"/>
      <c r="NPY11" s="75"/>
      <c r="NPZ11" s="75"/>
      <c r="NQA11" s="75"/>
      <c r="NQB11" s="75"/>
      <c r="NQC11" s="75"/>
      <c r="NQD11" s="75"/>
      <c r="NQE11" s="75"/>
      <c r="NQF11" s="75"/>
      <c r="NQG11" s="75"/>
      <c r="NQH11" s="75"/>
      <c r="NQI11" s="75"/>
      <c r="NQJ11" s="75"/>
      <c r="NQK11" s="75"/>
      <c r="NQL11" s="75"/>
      <c r="NQM11" s="75"/>
      <c r="NQN11" s="75"/>
      <c r="NQO11" s="75"/>
      <c r="NQP11" s="75"/>
      <c r="NQQ11" s="75"/>
      <c r="NQR11" s="75"/>
      <c r="NQS11" s="75"/>
      <c r="NQT11" s="75"/>
      <c r="NQU11" s="75"/>
      <c r="NQV11" s="75"/>
      <c r="NQW11" s="75"/>
      <c r="NQX11" s="75"/>
      <c r="NQY11" s="75"/>
      <c r="NQZ11" s="75"/>
      <c r="NRA11" s="75"/>
      <c r="NRB11" s="75"/>
      <c r="NRC11" s="75"/>
      <c r="NRD11" s="75"/>
      <c r="NRE11" s="75"/>
      <c r="NRF11" s="75"/>
      <c r="NRG11" s="75"/>
      <c r="NRH11" s="75"/>
      <c r="NRI11" s="75"/>
      <c r="NRJ11" s="75"/>
      <c r="NRK11" s="75"/>
      <c r="NRL11" s="75"/>
      <c r="NRM11" s="75"/>
      <c r="NRN11" s="75"/>
      <c r="NRO11" s="75"/>
      <c r="NRP11" s="75"/>
      <c r="NRQ11" s="75"/>
      <c r="NRR11" s="75"/>
      <c r="NRS11" s="75"/>
      <c r="NRT11" s="75"/>
      <c r="NRU11" s="75"/>
      <c r="NRV11" s="75"/>
      <c r="NRW11" s="75"/>
      <c r="NRX11" s="75"/>
      <c r="NRY11" s="75"/>
      <c r="NRZ11" s="75"/>
      <c r="NSA11" s="75"/>
      <c r="NSB11" s="75"/>
      <c r="NSC11" s="75"/>
      <c r="NSD11" s="75"/>
      <c r="NSE11" s="75"/>
      <c r="NSF11" s="75"/>
      <c r="NSG11" s="75"/>
      <c r="NSH11" s="75"/>
      <c r="NSI11" s="75"/>
      <c r="NSJ11" s="75"/>
      <c r="NSK11" s="75"/>
      <c r="NSL11" s="75"/>
      <c r="NSM11" s="75"/>
      <c r="NSN11" s="75"/>
      <c r="NSO11" s="75"/>
      <c r="NSP11" s="75"/>
      <c r="NSQ11" s="75"/>
      <c r="NSR11" s="75"/>
      <c r="NSS11" s="75"/>
      <c r="NST11" s="75"/>
      <c r="NSU11" s="75"/>
      <c r="NSV11" s="75"/>
      <c r="NSW11" s="75"/>
      <c r="NSX11" s="75"/>
      <c r="NSY11" s="75"/>
      <c r="NSZ11" s="75"/>
      <c r="NTA11" s="75"/>
      <c r="NTB11" s="75"/>
      <c r="NTC11" s="75"/>
      <c r="NTD11" s="75"/>
      <c r="NTE11" s="75"/>
      <c r="NTF11" s="75"/>
      <c r="NTG11" s="75"/>
      <c r="NTH11" s="75"/>
      <c r="NTI11" s="75"/>
      <c r="NTJ11" s="75"/>
      <c r="NTK11" s="75"/>
      <c r="NTL11" s="75"/>
      <c r="NTM11" s="75"/>
      <c r="NTN11" s="75"/>
      <c r="NTO11" s="75"/>
      <c r="NTP11" s="75"/>
      <c r="NTQ11" s="75"/>
      <c r="NTR11" s="75"/>
      <c r="NTS11" s="75"/>
      <c r="NTT11" s="75"/>
      <c r="NTU11" s="75"/>
      <c r="NTV11" s="75"/>
      <c r="NTW11" s="75"/>
      <c r="NTX11" s="75"/>
      <c r="NTY11" s="75"/>
      <c r="NTZ11" s="75"/>
      <c r="NUA11" s="75"/>
      <c r="NUB11" s="75"/>
      <c r="NUC11" s="75"/>
      <c r="NUD11" s="75"/>
      <c r="NUE11" s="75"/>
      <c r="NUF11" s="75"/>
      <c r="NUG11" s="75"/>
      <c r="NUH11" s="75"/>
      <c r="NUI11" s="75"/>
      <c r="NUJ11" s="75"/>
      <c r="NUK11" s="75"/>
      <c r="NUL11" s="75"/>
      <c r="NUM11" s="75"/>
      <c r="NUN11" s="75"/>
      <c r="NUO11" s="75"/>
      <c r="NUP11" s="75"/>
      <c r="NUQ11" s="75"/>
      <c r="NUR11" s="75"/>
      <c r="NUS11" s="75"/>
      <c r="NUT11" s="75"/>
      <c r="NUU11" s="75"/>
      <c r="NUV11" s="75"/>
      <c r="NUW11" s="75"/>
      <c r="NUX11" s="75"/>
      <c r="NUY11" s="75"/>
      <c r="NUZ11" s="75"/>
      <c r="NVA11" s="75"/>
      <c r="NVB11" s="75"/>
      <c r="NVC11" s="75"/>
      <c r="NVD11" s="75"/>
      <c r="NVE11" s="75"/>
      <c r="NVF11" s="75"/>
      <c r="NVG11" s="75"/>
      <c r="NVH11" s="75"/>
      <c r="NVI11" s="75"/>
      <c r="NVJ11" s="75"/>
      <c r="NVK11" s="75"/>
      <c r="NVL11" s="75"/>
      <c r="NVM11" s="75"/>
      <c r="NVN11" s="75"/>
      <c r="NVO11" s="75"/>
      <c r="NVP11" s="75"/>
      <c r="NVQ11" s="75"/>
      <c r="NVR11" s="75"/>
      <c r="NVS11" s="75"/>
      <c r="NVT11" s="75"/>
      <c r="NVU11" s="75"/>
      <c r="NVV11" s="75"/>
      <c r="NVW11" s="75"/>
      <c r="NVX11" s="75"/>
      <c r="NVY11" s="75"/>
      <c r="NVZ11" s="75"/>
      <c r="NWA11" s="75"/>
      <c r="NWB11" s="75"/>
      <c r="NWC11" s="75"/>
      <c r="NWD11" s="75"/>
      <c r="NWE11" s="75"/>
      <c r="NWF11" s="75"/>
      <c r="NWG11" s="75"/>
      <c r="NWH11" s="75"/>
      <c r="NWI11" s="75"/>
      <c r="NWJ11" s="75"/>
      <c r="NWK11" s="75"/>
      <c r="NWL11" s="75"/>
      <c r="NWM11" s="75"/>
      <c r="NWN11" s="75"/>
      <c r="NWO11" s="75"/>
      <c r="NWP11" s="75"/>
      <c r="NWQ11" s="75"/>
      <c r="NWR11" s="75"/>
      <c r="NWS11" s="75"/>
      <c r="NWT11" s="75"/>
      <c r="NWU11" s="75"/>
      <c r="NWV11" s="75"/>
      <c r="NWW11" s="75"/>
      <c r="NWX11" s="75"/>
      <c r="NWY11" s="75"/>
      <c r="NWZ11" s="75"/>
      <c r="NXA11" s="75"/>
      <c r="NXB11" s="75"/>
      <c r="NXC11" s="75"/>
      <c r="NXD11" s="75"/>
      <c r="NXE11" s="75"/>
      <c r="NXF11" s="75"/>
      <c r="NXG11" s="75"/>
      <c r="NXH11" s="75"/>
      <c r="NXI11" s="75"/>
      <c r="NXJ11" s="75"/>
      <c r="NXK11" s="75"/>
      <c r="NXL11" s="75"/>
      <c r="NXM11" s="75"/>
      <c r="NXN11" s="75"/>
      <c r="NXO11" s="75"/>
      <c r="NXP11" s="75"/>
      <c r="NXQ11" s="75"/>
      <c r="NXR11" s="75"/>
      <c r="NXS11" s="75"/>
      <c r="NXT11" s="75"/>
      <c r="NXU11" s="75"/>
      <c r="NXV11" s="75"/>
      <c r="NXW11" s="75"/>
      <c r="NXX11" s="75"/>
      <c r="NXY11" s="75"/>
      <c r="NXZ11" s="75"/>
      <c r="NYA11" s="75"/>
      <c r="NYB11" s="75"/>
      <c r="NYC11" s="75"/>
      <c r="NYD11" s="75"/>
      <c r="NYE11" s="75"/>
      <c r="NYF11" s="75"/>
      <c r="NYG11" s="75"/>
      <c r="NYH11" s="75"/>
      <c r="NYI11" s="75"/>
      <c r="NYJ11" s="75"/>
      <c r="NYK11" s="75"/>
      <c r="NYL11" s="75"/>
      <c r="NYM11" s="75"/>
      <c r="NYN11" s="75"/>
      <c r="NYO11" s="75"/>
      <c r="NYP11" s="75"/>
      <c r="NYQ11" s="75"/>
      <c r="NYR11" s="75"/>
      <c r="NYS11" s="75"/>
      <c r="NYT11" s="75"/>
      <c r="NYU11" s="75"/>
      <c r="NYV11" s="75"/>
      <c r="NYW11" s="75"/>
      <c r="NYX11" s="75"/>
      <c r="NYY11" s="75"/>
      <c r="NYZ11" s="75"/>
      <c r="NZA11" s="75"/>
      <c r="NZB11" s="75"/>
      <c r="NZC11" s="75"/>
      <c r="NZD11" s="75"/>
      <c r="NZE11" s="75"/>
      <c r="NZF11" s="75"/>
      <c r="NZG11" s="75"/>
      <c r="NZH11" s="75"/>
      <c r="NZI11" s="75"/>
      <c r="NZJ11" s="75"/>
      <c r="NZK11" s="75"/>
      <c r="NZL11" s="75"/>
      <c r="NZM11" s="75"/>
      <c r="NZN11" s="75"/>
      <c r="NZO11" s="75"/>
      <c r="NZP11" s="75"/>
      <c r="NZQ11" s="75"/>
      <c r="NZR11" s="75"/>
      <c r="NZS11" s="75"/>
      <c r="NZT11" s="75"/>
      <c r="NZU11" s="75"/>
      <c r="NZV11" s="75"/>
      <c r="NZW11" s="75"/>
      <c r="NZX11" s="75"/>
      <c r="NZY11" s="75"/>
      <c r="NZZ11" s="75"/>
      <c r="OAA11" s="75"/>
      <c r="OAB11" s="75"/>
      <c r="OAC11" s="75"/>
      <c r="OAD11" s="75"/>
      <c r="OAE11" s="75"/>
      <c r="OAF11" s="75"/>
      <c r="OAG11" s="75"/>
      <c r="OAH11" s="75"/>
      <c r="OAI11" s="75"/>
      <c r="OAJ11" s="75"/>
      <c r="OAK11" s="75"/>
      <c r="OAL11" s="75"/>
      <c r="OAM11" s="75"/>
      <c r="OAN11" s="75"/>
      <c r="OAO11" s="75"/>
      <c r="OAP11" s="75"/>
      <c r="OAQ11" s="75"/>
      <c r="OAR11" s="75"/>
      <c r="OAS11" s="75"/>
      <c r="OAT11" s="75"/>
      <c r="OAU11" s="75"/>
      <c r="OAV11" s="75"/>
      <c r="OAW11" s="75"/>
      <c r="OAX11" s="75"/>
      <c r="OAY11" s="75"/>
      <c r="OAZ11" s="75"/>
      <c r="OBA11" s="75"/>
      <c r="OBB11" s="75"/>
      <c r="OBC11" s="75"/>
      <c r="OBD11" s="75"/>
      <c r="OBE11" s="75"/>
      <c r="OBF11" s="75"/>
      <c r="OBG11" s="75"/>
      <c r="OBH11" s="75"/>
      <c r="OBI11" s="75"/>
      <c r="OBJ11" s="75"/>
      <c r="OBK11" s="75"/>
      <c r="OBL11" s="75"/>
      <c r="OBM11" s="75"/>
      <c r="OBN11" s="75"/>
      <c r="OBO11" s="75"/>
      <c r="OBP11" s="75"/>
      <c r="OBQ11" s="75"/>
      <c r="OBR11" s="75"/>
      <c r="OBS11" s="75"/>
      <c r="OBT11" s="75"/>
      <c r="OBU11" s="75"/>
      <c r="OBV11" s="75"/>
      <c r="OBW11" s="75"/>
      <c r="OBX11" s="75"/>
      <c r="OBY11" s="75"/>
      <c r="OBZ11" s="75"/>
      <c r="OCA11" s="75"/>
      <c r="OCB11" s="75"/>
      <c r="OCC11" s="75"/>
      <c r="OCD11" s="75"/>
      <c r="OCE11" s="75"/>
      <c r="OCF11" s="75"/>
      <c r="OCG11" s="75"/>
      <c r="OCH11" s="75"/>
      <c r="OCI11" s="75"/>
      <c r="OCJ11" s="75"/>
      <c r="OCK11" s="75"/>
      <c r="OCL11" s="75"/>
      <c r="OCM11" s="75"/>
      <c r="OCN11" s="75"/>
      <c r="OCO11" s="75"/>
      <c r="OCP11" s="75"/>
      <c r="OCQ11" s="75"/>
      <c r="OCR11" s="75"/>
      <c r="OCS11" s="75"/>
      <c r="OCT11" s="75"/>
      <c r="OCU11" s="75"/>
      <c r="OCV11" s="75"/>
      <c r="OCW11" s="75"/>
      <c r="OCX11" s="75"/>
      <c r="OCY11" s="75"/>
      <c r="OCZ11" s="75"/>
      <c r="ODA11" s="75"/>
      <c r="ODB11" s="75"/>
      <c r="ODC11" s="75"/>
      <c r="ODD11" s="75"/>
      <c r="ODE11" s="75"/>
      <c r="ODF11" s="75"/>
      <c r="ODG11" s="75"/>
      <c r="ODH11" s="75"/>
      <c r="ODI11" s="75"/>
      <c r="ODJ11" s="75"/>
      <c r="ODK11" s="75"/>
      <c r="ODL11" s="75"/>
      <c r="ODM11" s="75"/>
      <c r="ODN11" s="75"/>
      <c r="ODO11" s="75"/>
      <c r="ODP11" s="75"/>
      <c r="ODQ11" s="75"/>
      <c r="ODR11" s="75"/>
      <c r="ODS11" s="75"/>
      <c r="ODT11" s="75"/>
      <c r="ODU11" s="75"/>
      <c r="ODV11" s="75"/>
      <c r="ODW11" s="75"/>
      <c r="ODX11" s="75"/>
      <c r="ODY11" s="75"/>
      <c r="ODZ11" s="75"/>
      <c r="OEA11" s="75"/>
      <c r="OEB11" s="75"/>
      <c r="OEC11" s="75"/>
      <c r="OED11" s="75"/>
      <c r="OEE11" s="75"/>
      <c r="OEF11" s="75"/>
      <c r="OEG11" s="75"/>
      <c r="OEH11" s="75"/>
      <c r="OEI11" s="75"/>
      <c r="OEJ11" s="75"/>
      <c r="OEK11" s="75"/>
      <c r="OEL11" s="75"/>
      <c r="OEM11" s="75"/>
      <c r="OEN11" s="75"/>
      <c r="OEO11" s="75"/>
      <c r="OEP11" s="75"/>
      <c r="OEQ11" s="75"/>
      <c r="OER11" s="75"/>
      <c r="OES11" s="75"/>
      <c r="OET11" s="75"/>
      <c r="OEU11" s="75"/>
      <c r="OEV11" s="75"/>
      <c r="OEW11" s="75"/>
      <c r="OEX11" s="75"/>
      <c r="OEY11" s="75"/>
      <c r="OEZ11" s="75"/>
      <c r="OFA11" s="75"/>
      <c r="OFB11" s="75"/>
      <c r="OFC11" s="75"/>
      <c r="OFD11" s="75"/>
      <c r="OFE11" s="75"/>
      <c r="OFF11" s="75"/>
      <c r="OFG11" s="75"/>
      <c r="OFH11" s="75"/>
      <c r="OFI11" s="75"/>
      <c r="OFJ11" s="75"/>
      <c r="OFK11" s="75"/>
      <c r="OFL11" s="75"/>
      <c r="OFM11" s="75"/>
      <c r="OFN11" s="75"/>
      <c r="OFO11" s="75"/>
      <c r="OFP11" s="75"/>
      <c r="OFQ11" s="75"/>
      <c r="OFR11" s="75"/>
      <c r="OFS11" s="75"/>
      <c r="OFT11" s="75"/>
      <c r="OFU11" s="75"/>
      <c r="OFV11" s="75"/>
      <c r="OFW11" s="75"/>
      <c r="OFX11" s="75"/>
      <c r="OFY11" s="75"/>
      <c r="OFZ11" s="75"/>
      <c r="OGA11" s="75"/>
      <c r="OGB11" s="75"/>
      <c r="OGC11" s="75"/>
      <c r="OGD11" s="75"/>
      <c r="OGE11" s="75"/>
      <c r="OGF11" s="75"/>
      <c r="OGG11" s="75"/>
      <c r="OGH11" s="75"/>
      <c r="OGI11" s="75"/>
      <c r="OGJ11" s="75"/>
      <c r="OGK11" s="75"/>
      <c r="OGL11" s="75"/>
      <c r="OGM11" s="75"/>
      <c r="OGN11" s="75"/>
      <c r="OGO11" s="75"/>
      <c r="OGP11" s="75"/>
      <c r="OGQ11" s="75"/>
      <c r="OGR11" s="75"/>
      <c r="OGS11" s="75"/>
      <c r="OGT11" s="75"/>
      <c r="OGU11" s="75"/>
      <c r="OGV11" s="75"/>
      <c r="OGW11" s="75"/>
      <c r="OGX11" s="75"/>
      <c r="OGY11" s="75"/>
      <c r="OGZ11" s="75"/>
      <c r="OHA11" s="75"/>
      <c r="OHB11" s="75"/>
      <c r="OHC11" s="75"/>
      <c r="OHD11" s="75"/>
      <c r="OHE11" s="75"/>
      <c r="OHF11" s="75"/>
      <c r="OHG11" s="75"/>
      <c r="OHH11" s="75"/>
      <c r="OHI11" s="75"/>
      <c r="OHJ11" s="75"/>
      <c r="OHK11" s="75"/>
      <c r="OHL11" s="75"/>
      <c r="OHM11" s="75"/>
      <c r="OHN11" s="75"/>
      <c r="OHO11" s="75"/>
      <c r="OHP11" s="75"/>
      <c r="OHQ11" s="75"/>
      <c r="OHR11" s="75"/>
      <c r="OHS11" s="75"/>
      <c r="OHT11" s="75"/>
      <c r="OHU11" s="75"/>
      <c r="OHV11" s="75"/>
      <c r="OHW11" s="75"/>
      <c r="OHX11" s="75"/>
      <c r="OHY11" s="75"/>
      <c r="OHZ11" s="75"/>
      <c r="OIA11" s="75"/>
      <c r="OIB11" s="75"/>
      <c r="OIC11" s="75"/>
      <c r="OID11" s="75"/>
      <c r="OIE11" s="75"/>
      <c r="OIF11" s="75"/>
      <c r="OIG11" s="75"/>
      <c r="OIH11" s="75"/>
      <c r="OII11" s="75"/>
      <c r="OIJ11" s="75"/>
      <c r="OIK11" s="75"/>
      <c r="OIL11" s="75"/>
      <c r="OIM11" s="75"/>
      <c r="OIN11" s="75"/>
      <c r="OIO11" s="75"/>
      <c r="OIP11" s="75"/>
      <c r="OIQ11" s="75"/>
      <c r="OIR11" s="75"/>
      <c r="OIS11" s="75"/>
      <c r="OIT11" s="75"/>
      <c r="OIU11" s="75"/>
      <c r="OIV11" s="75"/>
      <c r="OIW11" s="75"/>
      <c r="OIX11" s="75"/>
      <c r="OIY11" s="75"/>
      <c r="OIZ11" s="75"/>
      <c r="OJA11" s="75"/>
      <c r="OJB11" s="75"/>
      <c r="OJC11" s="75"/>
      <c r="OJD11" s="75"/>
      <c r="OJE11" s="75"/>
      <c r="OJF11" s="75"/>
      <c r="OJG11" s="75"/>
      <c r="OJH11" s="75"/>
      <c r="OJI11" s="75"/>
      <c r="OJJ11" s="75"/>
      <c r="OJK11" s="75"/>
      <c r="OJL11" s="75"/>
      <c r="OJM11" s="75"/>
      <c r="OJN11" s="75"/>
      <c r="OJO11" s="75"/>
      <c r="OJP11" s="75"/>
      <c r="OJQ11" s="75"/>
      <c r="OJR11" s="75"/>
      <c r="OJS11" s="75"/>
      <c r="OJT11" s="75"/>
      <c r="OJU11" s="75"/>
      <c r="OJV11" s="75"/>
      <c r="OJW11" s="75"/>
      <c r="OJX11" s="75"/>
      <c r="OJY11" s="75"/>
      <c r="OJZ11" s="75"/>
      <c r="OKA11" s="75"/>
      <c r="OKB11" s="75"/>
      <c r="OKC11" s="75"/>
      <c r="OKD11" s="75"/>
      <c r="OKE11" s="75"/>
      <c r="OKF11" s="75"/>
      <c r="OKG11" s="75"/>
      <c r="OKH11" s="75"/>
      <c r="OKI11" s="75"/>
      <c r="OKJ11" s="75"/>
      <c r="OKK11" s="75"/>
      <c r="OKL11" s="75"/>
      <c r="OKM11" s="75"/>
      <c r="OKN11" s="75"/>
      <c r="OKO11" s="75"/>
      <c r="OKP11" s="75"/>
      <c r="OKQ11" s="75"/>
      <c r="OKR11" s="75"/>
      <c r="OKS11" s="75"/>
      <c r="OKT11" s="75"/>
      <c r="OKU11" s="75"/>
      <c r="OKV11" s="75"/>
      <c r="OKW11" s="75"/>
      <c r="OKX11" s="75"/>
      <c r="OKY11" s="75"/>
      <c r="OKZ11" s="75"/>
      <c r="OLA11" s="75"/>
      <c r="OLB11" s="75"/>
      <c r="OLC11" s="75"/>
      <c r="OLD11" s="75"/>
      <c r="OLE11" s="75"/>
      <c r="OLF11" s="75"/>
      <c r="OLG11" s="75"/>
      <c r="OLH11" s="75"/>
      <c r="OLI11" s="75"/>
      <c r="OLJ11" s="75"/>
      <c r="OLK11" s="75"/>
      <c r="OLL11" s="75"/>
      <c r="OLM11" s="75"/>
      <c r="OLN11" s="75"/>
      <c r="OLO11" s="75"/>
      <c r="OLP11" s="75"/>
      <c r="OLQ11" s="75"/>
      <c r="OLR11" s="75"/>
      <c r="OLS11" s="75"/>
      <c r="OLT11" s="75"/>
      <c r="OLU11" s="75"/>
      <c r="OLV11" s="75"/>
      <c r="OLW11" s="75"/>
      <c r="OLX11" s="75"/>
      <c r="OLY11" s="75"/>
      <c r="OLZ11" s="75"/>
      <c r="OMA11" s="75"/>
      <c r="OMB11" s="75"/>
      <c r="OMC11" s="75"/>
      <c r="OMD11" s="75"/>
      <c r="OME11" s="75"/>
      <c r="OMF11" s="75"/>
      <c r="OMG11" s="75"/>
      <c r="OMH11" s="75"/>
      <c r="OMI11" s="75"/>
      <c r="OMJ11" s="75"/>
      <c r="OMK11" s="75"/>
      <c r="OML11" s="75"/>
      <c r="OMM11" s="75"/>
      <c r="OMN11" s="75"/>
      <c r="OMO11" s="75"/>
      <c r="OMP11" s="75"/>
      <c r="OMQ11" s="75"/>
      <c r="OMR11" s="75"/>
      <c r="OMS11" s="75"/>
      <c r="OMT11" s="75"/>
      <c r="OMU11" s="75"/>
      <c r="OMV11" s="75"/>
      <c r="OMW11" s="75"/>
      <c r="OMX11" s="75"/>
      <c r="OMY11" s="75"/>
      <c r="OMZ11" s="75"/>
      <c r="ONA11" s="75"/>
      <c r="ONB11" s="75"/>
      <c r="ONC11" s="75"/>
      <c r="OND11" s="75"/>
      <c r="ONE11" s="75"/>
      <c r="ONF11" s="75"/>
      <c r="ONG11" s="75"/>
      <c r="ONH11" s="75"/>
      <c r="ONI11" s="75"/>
      <c r="ONJ11" s="75"/>
      <c r="ONK11" s="75"/>
      <c r="ONL11" s="75"/>
      <c r="ONM11" s="75"/>
      <c r="ONN11" s="75"/>
      <c r="ONO11" s="75"/>
      <c r="ONP11" s="75"/>
      <c r="ONQ11" s="75"/>
      <c r="ONR11" s="75"/>
      <c r="ONS11" s="75"/>
      <c r="ONT11" s="75"/>
      <c r="ONU11" s="75"/>
      <c r="ONV11" s="75"/>
      <c r="ONW11" s="75"/>
      <c r="ONX11" s="75"/>
      <c r="ONY11" s="75"/>
      <c r="ONZ11" s="75"/>
      <c r="OOA11" s="75"/>
      <c r="OOB11" s="75"/>
      <c r="OOC11" s="75"/>
      <c r="OOD11" s="75"/>
      <c r="OOE11" s="75"/>
      <c r="OOF11" s="75"/>
      <c r="OOG11" s="75"/>
      <c r="OOH11" s="75"/>
      <c r="OOI11" s="75"/>
      <c r="OOJ11" s="75"/>
      <c r="OOK11" s="75"/>
      <c r="OOL11" s="75"/>
      <c r="OOM11" s="75"/>
      <c r="OON11" s="75"/>
      <c r="OOO11" s="75"/>
      <c r="OOP11" s="75"/>
      <c r="OOQ11" s="75"/>
      <c r="OOR11" s="75"/>
      <c r="OOS11" s="75"/>
      <c r="OOT11" s="75"/>
      <c r="OOU11" s="75"/>
      <c r="OOV11" s="75"/>
      <c r="OOW11" s="75"/>
      <c r="OOX11" s="75"/>
      <c r="OOY11" s="75"/>
      <c r="OOZ11" s="75"/>
      <c r="OPA11" s="75"/>
      <c r="OPB11" s="75"/>
      <c r="OPC11" s="75"/>
      <c r="OPD11" s="75"/>
      <c r="OPE11" s="75"/>
      <c r="OPF11" s="75"/>
      <c r="OPG11" s="75"/>
      <c r="OPH11" s="75"/>
      <c r="OPI11" s="75"/>
      <c r="OPJ11" s="75"/>
      <c r="OPK11" s="75"/>
      <c r="OPL11" s="75"/>
      <c r="OPM11" s="75"/>
      <c r="OPN11" s="75"/>
      <c r="OPO11" s="75"/>
      <c r="OPP11" s="75"/>
      <c r="OPQ11" s="75"/>
      <c r="OPR11" s="75"/>
      <c r="OPS11" s="75"/>
      <c r="OPT11" s="75"/>
      <c r="OPU11" s="75"/>
      <c r="OPV11" s="75"/>
      <c r="OPW11" s="75"/>
      <c r="OPX11" s="75"/>
      <c r="OPY11" s="75"/>
      <c r="OPZ11" s="75"/>
      <c r="OQA11" s="75"/>
      <c r="OQB11" s="75"/>
      <c r="OQC11" s="75"/>
      <c r="OQD11" s="75"/>
      <c r="OQE11" s="75"/>
      <c r="OQF11" s="75"/>
      <c r="OQG11" s="75"/>
      <c r="OQH11" s="75"/>
      <c r="OQI11" s="75"/>
      <c r="OQJ11" s="75"/>
      <c r="OQK11" s="75"/>
      <c r="OQL11" s="75"/>
      <c r="OQM11" s="75"/>
      <c r="OQN11" s="75"/>
      <c r="OQO11" s="75"/>
      <c r="OQP11" s="75"/>
      <c r="OQQ11" s="75"/>
      <c r="OQR11" s="75"/>
      <c r="OQS11" s="75"/>
      <c r="OQT11" s="75"/>
      <c r="OQU11" s="75"/>
      <c r="OQV11" s="75"/>
      <c r="OQW11" s="75"/>
      <c r="OQX11" s="75"/>
      <c r="OQY11" s="75"/>
      <c r="OQZ11" s="75"/>
      <c r="ORA11" s="75"/>
      <c r="ORB11" s="75"/>
      <c r="ORC11" s="75"/>
      <c r="ORD11" s="75"/>
      <c r="ORE11" s="75"/>
      <c r="ORF11" s="75"/>
      <c r="ORG11" s="75"/>
      <c r="ORH11" s="75"/>
      <c r="ORI11" s="75"/>
      <c r="ORJ11" s="75"/>
      <c r="ORK11" s="75"/>
      <c r="ORL11" s="75"/>
      <c r="ORM11" s="75"/>
      <c r="ORN11" s="75"/>
      <c r="ORO11" s="75"/>
      <c r="ORP11" s="75"/>
      <c r="ORQ11" s="75"/>
      <c r="ORR11" s="75"/>
      <c r="ORS11" s="75"/>
      <c r="ORT11" s="75"/>
      <c r="ORU11" s="75"/>
      <c r="ORV11" s="75"/>
      <c r="ORW11" s="75"/>
      <c r="ORX11" s="75"/>
      <c r="ORY11" s="75"/>
      <c r="ORZ11" s="75"/>
      <c r="OSA11" s="75"/>
      <c r="OSB11" s="75"/>
      <c r="OSC11" s="75"/>
      <c r="OSD11" s="75"/>
      <c r="OSE11" s="75"/>
      <c r="OSF11" s="75"/>
      <c r="OSG11" s="75"/>
      <c r="OSH11" s="75"/>
      <c r="OSI11" s="75"/>
      <c r="OSJ11" s="75"/>
      <c r="OSK11" s="75"/>
      <c r="OSL11" s="75"/>
      <c r="OSM11" s="75"/>
      <c r="OSN11" s="75"/>
      <c r="OSO11" s="75"/>
      <c r="OSP11" s="75"/>
      <c r="OSQ11" s="75"/>
      <c r="OSR11" s="75"/>
      <c r="OSS11" s="75"/>
      <c r="OST11" s="75"/>
      <c r="OSU11" s="75"/>
      <c r="OSV11" s="75"/>
      <c r="OSW11" s="75"/>
      <c r="OSX11" s="75"/>
      <c r="OSY11" s="75"/>
      <c r="OSZ11" s="75"/>
      <c r="OTA11" s="75"/>
      <c r="OTB11" s="75"/>
      <c r="OTC11" s="75"/>
      <c r="OTD11" s="75"/>
      <c r="OTE11" s="75"/>
      <c r="OTF11" s="75"/>
      <c r="OTG11" s="75"/>
      <c r="OTH11" s="75"/>
      <c r="OTI11" s="75"/>
      <c r="OTJ11" s="75"/>
      <c r="OTK11" s="75"/>
      <c r="OTL11" s="75"/>
      <c r="OTM11" s="75"/>
      <c r="OTN11" s="75"/>
      <c r="OTO11" s="75"/>
      <c r="OTP11" s="75"/>
      <c r="OTQ11" s="75"/>
      <c r="OTR11" s="75"/>
      <c r="OTS11" s="75"/>
      <c r="OTT11" s="75"/>
      <c r="OTU11" s="75"/>
      <c r="OTV11" s="75"/>
      <c r="OTW11" s="75"/>
      <c r="OTX11" s="75"/>
      <c r="OTY11" s="75"/>
      <c r="OTZ11" s="75"/>
      <c r="OUA11" s="75"/>
      <c r="OUB11" s="75"/>
      <c r="OUC11" s="75"/>
      <c r="OUD11" s="75"/>
      <c r="OUE11" s="75"/>
      <c r="OUF11" s="75"/>
      <c r="OUG11" s="75"/>
      <c r="OUH11" s="75"/>
      <c r="OUI11" s="75"/>
      <c r="OUJ11" s="75"/>
      <c r="OUK11" s="75"/>
      <c r="OUL11" s="75"/>
      <c r="OUM11" s="75"/>
      <c r="OUN11" s="75"/>
      <c r="OUO11" s="75"/>
      <c r="OUP11" s="75"/>
      <c r="OUQ11" s="75"/>
      <c r="OUR11" s="75"/>
      <c r="OUS11" s="75"/>
      <c r="OUT11" s="75"/>
      <c r="OUU11" s="75"/>
      <c r="OUV11" s="75"/>
      <c r="OUW11" s="75"/>
      <c r="OUX11" s="75"/>
      <c r="OUY11" s="75"/>
      <c r="OUZ11" s="75"/>
      <c r="OVA11" s="75"/>
      <c r="OVB11" s="75"/>
      <c r="OVC11" s="75"/>
      <c r="OVD11" s="75"/>
      <c r="OVE11" s="75"/>
      <c r="OVF11" s="75"/>
      <c r="OVG11" s="75"/>
      <c r="OVH11" s="75"/>
      <c r="OVI11" s="75"/>
      <c r="OVJ11" s="75"/>
      <c r="OVK11" s="75"/>
      <c r="OVL11" s="75"/>
      <c r="OVM11" s="75"/>
      <c r="OVN11" s="75"/>
      <c r="OVO11" s="75"/>
      <c r="OVP11" s="75"/>
      <c r="OVQ11" s="75"/>
      <c r="OVR11" s="75"/>
      <c r="OVS11" s="75"/>
      <c r="OVT11" s="75"/>
      <c r="OVU11" s="75"/>
      <c r="OVV11" s="75"/>
      <c r="OVW11" s="75"/>
      <c r="OVX11" s="75"/>
      <c r="OVY11" s="75"/>
      <c r="OVZ11" s="75"/>
      <c r="OWA11" s="75"/>
      <c r="OWB11" s="75"/>
      <c r="OWC11" s="75"/>
      <c r="OWD11" s="75"/>
      <c r="OWE11" s="75"/>
      <c r="OWF11" s="75"/>
      <c r="OWG11" s="75"/>
      <c r="OWH11" s="75"/>
      <c r="OWI11" s="75"/>
      <c r="OWJ11" s="75"/>
      <c r="OWK11" s="75"/>
      <c r="OWL11" s="75"/>
      <c r="OWM11" s="75"/>
      <c r="OWN11" s="75"/>
      <c r="OWO11" s="75"/>
      <c r="OWP11" s="75"/>
      <c r="OWQ11" s="75"/>
      <c r="OWR11" s="75"/>
      <c r="OWS11" s="75"/>
      <c r="OWT11" s="75"/>
      <c r="OWU11" s="75"/>
      <c r="OWV11" s="75"/>
      <c r="OWW11" s="75"/>
      <c r="OWX11" s="75"/>
      <c r="OWY11" s="75"/>
      <c r="OWZ11" s="75"/>
      <c r="OXA11" s="75"/>
      <c r="OXB11" s="75"/>
      <c r="OXC11" s="75"/>
      <c r="OXD11" s="75"/>
      <c r="OXE11" s="75"/>
      <c r="OXF11" s="75"/>
      <c r="OXG11" s="75"/>
      <c r="OXH11" s="75"/>
      <c r="OXI11" s="75"/>
      <c r="OXJ11" s="75"/>
      <c r="OXK11" s="75"/>
      <c r="OXL11" s="75"/>
      <c r="OXM11" s="75"/>
      <c r="OXN11" s="75"/>
      <c r="OXO11" s="75"/>
      <c r="OXP11" s="75"/>
      <c r="OXQ11" s="75"/>
      <c r="OXR11" s="75"/>
      <c r="OXS11" s="75"/>
      <c r="OXT11" s="75"/>
      <c r="OXU11" s="75"/>
      <c r="OXV11" s="75"/>
      <c r="OXW11" s="75"/>
      <c r="OXX11" s="75"/>
      <c r="OXY11" s="75"/>
      <c r="OXZ11" s="75"/>
      <c r="OYA11" s="75"/>
      <c r="OYB11" s="75"/>
      <c r="OYC11" s="75"/>
      <c r="OYD11" s="75"/>
      <c r="OYE11" s="75"/>
      <c r="OYF11" s="75"/>
      <c r="OYG11" s="75"/>
      <c r="OYH11" s="75"/>
      <c r="OYI11" s="75"/>
      <c r="OYJ11" s="75"/>
      <c r="OYK11" s="75"/>
      <c r="OYL11" s="75"/>
      <c r="OYM11" s="75"/>
      <c r="OYN11" s="75"/>
      <c r="OYO11" s="75"/>
      <c r="OYP11" s="75"/>
      <c r="OYQ11" s="75"/>
      <c r="OYR11" s="75"/>
      <c r="OYS11" s="75"/>
      <c r="OYT11" s="75"/>
      <c r="OYU11" s="75"/>
      <c r="OYV11" s="75"/>
      <c r="OYW11" s="75"/>
      <c r="OYX11" s="75"/>
      <c r="OYY11" s="75"/>
      <c r="OYZ11" s="75"/>
      <c r="OZA11" s="75"/>
      <c r="OZB11" s="75"/>
      <c r="OZC11" s="75"/>
      <c r="OZD11" s="75"/>
      <c r="OZE11" s="75"/>
      <c r="OZF11" s="75"/>
      <c r="OZG11" s="75"/>
      <c r="OZH11" s="75"/>
      <c r="OZI11" s="75"/>
      <c r="OZJ11" s="75"/>
      <c r="OZK11" s="75"/>
      <c r="OZL11" s="75"/>
      <c r="OZM11" s="75"/>
      <c r="OZN11" s="75"/>
      <c r="OZO11" s="75"/>
      <c r="OZP11" s="75"/>
      <c r="OZQ11" s="75"/>
      <c r="OZR11" s="75"/>
      <c r="OZS11" s="75"/>
      <c r="OZT11" s="75"/>
      <c r="OZU11" s="75"/>
      <c r="OZV11" s="75"/>
      <c r="OZW11" s="75"/>
      <c r="OZX11" s="75"/>
      <c r="OZY11" s="75"/>
      <c r="OZZ11" s="75"/>
      <c r="PAA11" s="75"/>
      <c r="PAB11" s="75"/>
      <c r="PAC11" s="75"/>
      <c r="PAD11" s="75"/>
      <c r="PAE11" s="75"/>
      <c r="PAF11" s="75"/>
      <c r="PAG11" s="75"/>
      <c r="PAH11" s="75"/>
      <c r="PAI11" s="75"/>
      <c r="PAJ11" s="75"/>
      <c r="PAK11" s="75"/>
      <c r="PAL11" s="75"/>
      <c r="PAM11" s="75"/>
      <c r="PAN11" s="75"/>
      <c r="PAO11" s="75"/>
      <c r="PAP11" s="75"/>
      <c r="PAQ11" s="75"/>
      <c r="PAR11" s="75"/>
      <c r="PAS11" s="75"/>
      <c r="PAT11" s="75"/>
      <c r="PAU11" s="75"/>
      <c r="PAV11" s="75"/>
      <c r="PAW11" s="75"/>
      <c r="PAX11" s="75"/>
      <c r="PAY11" s="75"/>
      <c r="PAZ11" s="75"/>
      <c r="PBA11" s="75"/>
      <c r="PBB11" s="75"/>
      <c r="PBC11" s="75"/>
      <c r="PBD11" s="75"/>
      <c r="PBE11" s="75"/>
      <c r="PBF11" s="75"/>
      <c r="PBG11" s="75"/>
      <c r="PBH11" s="75"/>
      <c r="PBI11" s="75"/>
      <c r="PBJ11" s="75"/>
      <c r="PBK11" s="75"/>
      <c r="PBL11" s="75"/>
      <c r="PBM11" s="75"/>
      <c r="PBN11" s="75"/>
      <c r="PBO11" s="75"/>
      <c r="PBP11" s="75"/>
      <c r="PBQ11" s="75"/>
      <c r="PBR11" s="75"/>
      <c r="PBS11" s="75"/>
      <c r="PBT11" s="75"/>
      <c r="PBU11" s="75"/>
      <c r="PBV11" s="75"/>
      <c r="PBW11" s="75"/>
      <c r="PBX11" s="75"/>
      <c r="PBY11" s="75"/>
      <c r="PBZ11" s="75"/>
      <c r="PCA11" s="75"/>
      <c r="PCB11" s="75"/>
      <c r="PCC11" s="75"/>
      <c r="PCD11" s="75"/>
      <c r="PCE11" s="75"/>
      <c r="PCF11" s="75"/>
      <c r="PCG11" s="75"/>
      <c r="PCH11" s="75"/>
      <c r="PCI11" s="75"/>
      <c r="PCJ11" s="75"/>
      <c r="PCK11" s="75"/>
      <c r="PCL11" s="75"/>
      <c r="PCM11" s="75"/>
      <c r="PCN11" s="75"/>
      <c r="PCO11" s="75"/>
      <c r="PCP11" s="75"/>
      <c r="PCQ11" s="75"/>
      <c r="PCR11" s="75"/>
      <c r="PCS11" s="75"/>
      <c r="PCT11" s="75"/>
      <c r="PCU11" s="75"/>
      <c r="PCV11" s="75"/>
      <c r="PCW11" s="75"/>
      <c r="PCX11" s="75"/>
      <c r="PCY11" s="75"/>
      <c r="PCZ11" s="75"/>
      <c r="PDA11" s="75"/>
      <c r="PDB11" s="75"/>
      <c r="PDC11" s="75"/>
      <c r="PDD11" s="75"/>
      <c r="PDE11" s="75"/>
      <c r="PDF11" s="75"/>
      <c r="PDG11" s="75"/>
      <c r="PDH11" s="75"/>
      <c r="PDI11" s="75"/>
      <c r="PDJ11" s="75"/>
      <c r="PDK11" s="75"/>
      <c r="PDL11" s="75"/>
      <c r="PDM11" s="75"/>
      <c r="PDN11" s="75"/>
      <c r="PDO11" s="75"/>
      <c r="PDP11" s="75"/>
      <c r="PDQ11" s="75"/>
      <c r="PDR11" s="75"/>
      <c r="PDS11" s="75"/>
      <c r="PDT11" s="75"/>
      <c r="PDU11" s="75"/>
      <c r="PDV11" s="75"/>
      <c r="PDW11" s="75"/>
      <c r="PDX11" s="75"/>
      <c r="PDY11" s="75"/>
      <c r="PDZ11" s="75"/>
      <c r="PEA11" s="75"/>
      <c r="PEB11" s="75"/>
      <c r="PEC11" s="75"/>
      <c r="PED11" s="75"/>
      <c r="PEE11" s="75"/>
      <c r="PEF11" s="75"/>
      <c r="PEG11" s="75"/>
      <c r="PEH11" s="75"/>
      <c r="PEI11" s="75"/>
      <c r="PEJ11" s="75"/>
      <c r="PEK11" s="75"/>
      <c r="PEL11" s="75"/>
      <c r="PEM11" s="75"/>
      <c r="PEN11" s="75"/>
      <c r="PEO11" s="75"/>
      <c r="PEP11" s="75"/>
      <c r="PEQ11" s="75"/>
      <c r="PER11" s="75"/>
      <c r="PES11" s="75"/>
      <c r="PET11" s="75"/>
      <c r="PEU11" s="75"/>
      <c r="PEV11" s="75"/>
      <c r="PEW11" s="75"/>
      <c r="PEX11" s="75"/>
      <c r="PEY11" s="75"/>
      <c r="PEZ11" s="75"/>
      <c r="PFA11" s="75"/>
      <c r="PFB11" s="75"/>
      <c r="PFC11" s="75"/>
      <c r="PFD11" s="75"/>
      <c r="PFE11" s="75"/>
      <c r="PFF11" s="75"/>
      <c r="PFG11" s="75"/>
      <c r="PFH11" s="75"/>
      <c r="PFI11" s="75"/>
      <c r="PFJ11" s="75"/>
      <c r="PFK11" s="75"/>
      <c r="PFL11" s="75"/>
      <c r="PFM11" s="75"/>
      <c r="PFN11" s="75"/>
      <c r="PFO11" s="75"/>
      <c r="PFP11" s="75"/>
      <c r="PFQ11" s="75"/>
      <c r="PFR11" s="75"/>
      <c r="PFS11" s="75"/>
      <c r="PFT11" s="75"/>
      <c r="PFU11" s="75"/>
      <c r="PFV11" s="75"/>
      <c r="PFW11" s="75"/>
      <c r="PFX11" s="75"/>
      <c r="PFY11" s="75"/>
      <c r="PFZ11" s="75"/>
      <c r="PGA11" s="75"/>
      <c r="PGB11" s="75"/>
      <c r="PGC11" s="75"/>
      <c r="PGD11" s="75"/>
      <c r="PGE11" s="75"/>
      <c r="PGF11" s="75"/>
      <c r="PGG11" s="75"/>
      <c r="PGH11" s="75"/>
      <c r="PGI11" s="75"/>
      <c r="PGJ11" s="75"/>
      <c r="PGK11" s="75"/>
      <c r="PGL11" s="75"/>
      <c r="PGM11" s="75"/>
      <c r="PGN11" s="75"/>
      <c r="PGO11" s="75"/>
      <c r="PGP11" s="75"/>
      <c r="PGQ11" s="75"/>
      <c r="PGR11" s="75"/>
      <c r="PGS11" s="75"/>
      <c r="PGT11" s="75"/>
      <c r="PGU11" s="75"/>
      <c r="PGV11" s="75"/>
      <c r="PGW11" s="75"/>
      <c r="PGX11" s="75"/>
      <c r="PGY11" s="75"/>
      <c r="PGZ11" s="75"/>
      <c r="PHA11" s="75"/>
      <c r="PHB11" s="75"/>
      <c r="PHC11" s="75"/>
      <c r="PHD11" s="75"/>
      <c r="PHE11" s="75"/>
      <c r="PHF11" s="75"/>
      <c r="PHG11" s="75"/>
      <c r="PHH11" s="75"/>
      <c r="PHI11" s="75"/>
      <c r="PHJ11" s="75"/>
      <c r="PHK11" s="75"/>
      <c r="PHL11" s="75"/>
      <c r="PHM11" s="75"/>
      <c r="PHN11" s="75"/>
      <c r="PHO11" s="75"/>
      <c r="PHP11" s="75"/>
      <c r="PHQ11" s="75"/>
      <c r="PHR11" s="75"/>
      <c r="PHS11" s="75"/>
      <c r="PHT11" s="75"/>
      <c r="PHU11" s="75"/>
      <c r="PHV11" s="75"/>
      <c r="PHW11" s="75"/>
      <c r="PHX11" s="75"/>
      <c r="PHY11" s="75"/>
      <c r="PHZ11" s="75"/>
      <c r="PIA11" s="75"/>
      <c r="PIB11" s="75"/>
      <c r="PIC11" s="75"/>
      <c r="PID11" s="75"/>
      <c r="PIE11" s="75"/>
      <c r="PIF11" s="75"/>
      <c r="PIG11" s="75"/>
      <c r="PIH11" s="75"/>
      <c r="PII11" s="75"/>
      <c r="PIJ11" s="75"/>
      <c r="PIK11" s="75"/>
      <c r="PIL11" s="75"/>
      <c r="PIM11" s="75"/>
      <c r="PIN11" s="75"/>
      <c r="PIO11" s="75"/>
      <c r="PIP11" s="75"/>
      <c r="PIQ11" s="75"/>
      <c r="PIR11" s="75"/>
      <c r="PIS11" s="75"/>
      <c r="PIT11" s="75"/>
      <c r="PIU11" s="75"/>
      <c r="PIV11" s="75"/>
      <c r="PIW11" s="75"/>
      <c r="PIX11" s="75"/>
      <c r="PIY11" s="75"/>
      <c r="PIZ11" s="75"/>
      <c r="PJA11" s="75"/>
      <c r="PJB11" s="75"/>
      <c r="PJC11" s="75"/>
      <c r="PJD11" s="75"/>
      <c r="PJE11" s="75"/>
      <c r="PJF11" s="75"/>
      <c r="PJG11" s="75"/>
      <c r="PJH11" s="75"/>
      <c r="PJI11" s="75"/>
      <c r="PJJ11" s="75"/>
      <c r="PJK11" s="75"/>
      <c r="PJL11" s="75"/>
      <c r="PJM11" s="75"/>
      <c r="PJN11" s="75"/>
      <c r="PJO11" s="75"/>
      <c r="PJP11" s="75"/>
      <c r="PJQ11" s="75"/>
      <c r="PJR11" s="75"/>
      <c r="PJS11" s="75"/>
      <c r="PJT11" s="75"/>
      <c r="PJU11" s="75"/>
      <c r="PJV11" s="75"/>
      <c r="PJW11" s="75"/>
      <c r="PJX11" s="75"/>
      <c r="PJY11" s="75"/>
      <c r="PJZ11" s="75"/>
      <c r="PKA11" s="75"/>
      <c r="PKB11" s="75"/>
      <c r="PKC11" s="75"/>
      <c r="PKD11" s="75"/>
      <c r="PKE11" s="75"/>
      <c r="PKF11" s="75"/>
      <c r="PKG11" s="75"/>
      <c r="PKH11" s="75"/>
      <c r="PKI11" s="75"/>
      <c r="PKJ11" s="75"/>
      <c r="PKK11" s="75"/>
      <c r="PKL11" s="75"/>
      <c r="PKM11" s="75"/>
      <c r="PKN11" s="75"/>
      <c r="PKO11" s="75"/>
      <c r="PKP11" s="75"/>
      <c r="PKQ11" s="75"/>
      <c r="PKR11" s="75"/>
      <c r="PKS11" s="75"/>
      <c r="PKT11" s="75"/>
      <c r="PKU11" s="75"/>
      <c r="PKV11" s="75"/>
      <c r="PKW11" s="75"/>
      <c r="PKX11" s="75"/>
      <c r="PKY11" s="75"/>
      <c r="PKZ11" s="75"/>
      <c r="PLA11" s="75"/>
      <c r="PLB11" s="75"/>
      <c r="PLC11" s="75"/>
      <c r="PLD11" s="75"/>
      <c r="PLE11" s="75"/>
      <c r="PLF11" s="75"/>
      <c r="PLG11" s="75"/>
      <c r="PLH11" s="75"/>
      <c r="PLI11" s="75"/>
      <c r="PLJ11" s="75"/>
      <c r="PLK11" s="75"/>
      <c r="PLL11" s="75"/>
      <c r="PLM11" s="75"/>
      <c r="PLN11" s="75"/>
      <c r="PLO11" s="75"/>
      <c r="PLP11" s="75"/>
      <c r="PLQ11" s="75"/>
      <c r="PLR11" s="75"/>
      <c r="PLS11" s="75"/>
      <c r="PLT11" s="75"/>
      <c r="PLU11" s="75"/>
      <c r="PLV11" s="75"/>
      <c r="PLW11" s="75"/>
      <c r="PLX11" s="75"/>
      <c r="PLY11" s="75"/>
      <c r="PLZ11" s="75"/>
      <c r="PMA11" s="75"/>
      <c r="PMB11" s="75"/>
      <c r="PMC11" s="75"/>
      <c r="PMD11" s="75"/>
      <c r="PME11" s="75"/>
      <c r="PMF11" s="75"/>
      <c r="PMG11" s="75"/>
      <c r="PMH11" s="75"/>
      <c r="PMI11" s="75"/>
      <c r="PMJ11" s="75"/>
      <c r="PMK11" s="75"/>
      <c r="PML11" s="75"/>
      <c r="PMM11" s="75"/>
      <c r="PMN11" s="75"/>
      <c r="PMO11" s="75"/>
      <c r="PMP11" s="75"/>
      <c r="PMQ11" s="75"/>
      <c r="PMR11" s="75"/>
      <c r="PMS11" s="75"/>
      <c r="PMT11" s="75"/>
      <c r="PMU11" s="75"/>
      <c r="PMV11" s="75"/>
      <c r="PMW11" s="75"/>
      <c r="PMX11" s="75"/>
      <c r="PMY11" s="75"/>
      <c r="PMZ11" s="75"/>
      <c r="PNA11" s="75"/>
      <c r="PNB11" s="75"/>
      <c r="PNC11" s="75"/>
      <c r="PND11" s="75"/>
      <c r="PNE11" s="75"/>
      <c r="PNF11" s="75"/>
      <c r="PNG11" s="75"/>
      <c r="PNH11" s="75"/>
      <c r="PNI11" s="75"/>
      <c r="PNJ11" s="75"/>
      <c r="PNK11" s="75"/>
      <c r="PNL11" s="75"/>
      <c r="PNM11" s="75"/>
      <c r="PNN11" s="75"/>
      <c r="PNO11" s="75"/>
      <c r="PNP11" s="75"/>
      <c r="PNQ11" s="75"/>
      <c r="PNR11" s="75"/>
      <c r="PNS11" s="75"/>
      <c r="PNT11" s="75"/>
      <c r="PNU11" s="75"/>
      <c r="PNV11" s="75"/>
      <c r="PNW11" s="75"/>
      <c r="PNX11" s="75"/>
      <c r="PNY11" s="75"/>
      <c r="PNZ11" s="75"/>
      <c r="POA11" s="75"/>
      <c r="POB11" s="75"/>
      <c r="POC11" s="75"/>
      <c r="POD11" s="75"/>
      <c r="POE11" s="75"/>
      <c r="POF11" s="75"/>
      <c r="POG11" s="75"/>
      <c r="POH11" s="75"/>
      <c r="POI11" s="75"/>
      <c r="POJ11" s="75"/>
      <c r="POK11" s="75"/>
      <c r="POL11" s="75"/>
      <c r="POM11" s="75"/>
      <c r="PON11" s="75"/>
      <c r="POO11" s="75"/>
      <c r="POP11" s="75"/>
      <c r="POQ11" s="75"/>
      <c r="POR11" s="75"/>
      <c r="POS11" s="75"/>
      <c r="POT11" s="75"/>
      <c r="POU11" s="75"/>
      <c r="POV11" s="75"/>
      <c r="POW11" s="75"/>
      <c r="POX11" s="75"/>
      <c r="POY11" s="75"/>
      <c r="POZ11" s="75"/>
      <c r="PPA11" s="75"/>
      <c r="PPB11" s="75"/>
      <c r="PPC11" s="75"/>
      <c r="PPD11" s="75"/>
      <c r="PPE11" s="75"/>
      <c r="PPF11" s="75"/>
      <c r="PPG11" s="75"/>
      <c r="PPH11" s="75"/>
      <c r="PPI11" s="75"/>
      <c r="PPJ11" s="75"/>
      <c r="PPK11" s="75"/>
      <c r="PPL11" s="75"/>
      <c r="PPM11" s="75"/>
      <c r="PPN11" s="75"/>
      <c r="PPO11" s="75"/>
      <c r="PPP11" s="75"/>
      <c r="PPQ11" s="75"/>
      <c r="PPR11" s="75"/>
      <c r="PPS11" s="75"/>
      <c r="PPT11" s="75"/>
      <c r="PPU11" s="75"/>
      <c r="PPV11" s="75"/>
      <c r="PPW11" s="75"/>
      <c r="PPX11" s="75"/>
      <c r="PPY11" s="75"/>
      <c r="PPZ11" s="75"/>
      <c r="PQA11" s="75"/>
      <c r="PQB11" s="75"/>
      <c r="PQC11" s="75"/>
      <c r="PQD11" s="75"/>
      <c r="PQE11" s="75"/>
      <c r="PQF11" s="75"/>
      <c r="PQG11" s="75"/>
      <c r="PQH11" s="75"/>
      <c r="PQI11" s="75"/>
      <c r="PQJ11" s="75"/>
      <c r="PQK11" s="75"/>
      <c r="PQL11" s="75"/>
      <c r="PQM11" s="75"/>
      <c r="PQN11" s="75"/>
      <c r="PQO11" s="75"/>
      <c r="PQP11" s="75"/>
      <c r="PQQ11" s="75"/>
      <c r="PQR11" s="75"/>
      <c r="PQS11" s="75"/>
      <c r="PQT11" s="75"/>
      <c r="PQU11" s="75"/>
      <c r="PQV11" s="75"/>
      <c r="PQW11" s="75"/>
      <c r="PQX11" s="75"/>
      <c r="PQY11" s="75"/>
      <c r="PQZ11" s="75"/>
      <c r="PRA11" s="75"/>
      <c r="PRB11" s="75"/>
      <c r="PRC11" s="75"/>
      <c r="PRD11" s="75"/>
      <c r="PRE11" s="75"/>
      <c r="PRF11" s="75"/>
      <c r="PRG11" s="75"/>
      <c r="PRH11" s="75"/>
      <c r="PRI11" s="75"/>
      <c r="PRJ11" s="75"/>
      <c r="PRK11" s="75"/>
      <c r="PRL11" s="75"/>
      <c r="PRM11" s="75"/>
      <c r="PRN11" s="75"/>
      <c r="PRO11" s="75"/>
      <c r="PRP11" s="75"/>
      <c r="PRQ11" s="75"/>
      <c r="PRR11" s="75"/>
      <c r="PRS11" s="75"/>
      <c r="PRT11" s="75"/>
      <c r="PRU11" s="75"/>
      <c r="PRV11" s="75"/>
      <c r="PRW11" s="75"/>
      <c r="PRX11" s="75"/>
      <c r="PRY11" s="75"/>
      <c r="PRZ11" s="75"/>
      <c r="PSA11" s="75"/>
      <c r="PSB11" s="75"/>
      <c r="PSC11" s="75"/>
      <c r="PSD11" s="75"/>
      <c r="PSE11" s="75"/>
      <c r="PSF11" s="75"/>
      <c r="PSG11" s="75"/>
      <c r="PSH11" s="75"/>
      <c r="PSI11" s="75"/>
      <c r="PSJ11" s="75"/>
      <c r="PSK11" s="75"/>
      <c r="PSL11" s="75"/>
      <c r="PSM11" s="75"/>
      <c r="PSN11" s="75"/>
      <c r="PSO11" s="75"/>
      <c r="PSP11" s="75"/>
      <c r="PSQ11" s="75"/>
      <c r="PSR11" s="75"/>
      <c r="PSS11" s="75"/>
      <c r="PST11" s="75"/>
      <c r="PSU11" s="75"/>
      <c r="PSV11" s="75"/>
      <c r="PSW11" s="75"/>
      <c r="PSX11" s="75"/>
      <c r="PSY11" s="75"/>
      <c r="PSZ11" s="75"/>
      <c r="PTA11" s="75"/>
      <c r="PTB11" s="75"/>
      <c r="PTC11" s="75"/>
      <c r="PTD11" s="75"/>
      <c r="PTE11" s="75"/>
      <c r="PTF11" s="75"/>
      <c r="PTG11" s="75"/>
      <c r="PTH11" s="75"/>
      <c r="PTI11" s="75"/>
      <c r="PTJ11" s="75"/>
      <c r="PTK11" s="75"/>
      <c r="PTL11" s="75"/>
      <c r="PTM11" s="75"/>
      <c r="PTN11" s="75"/>
      <c r="PTO11" s="75"/>
      <c r="PTP11" s="75"/>
      <c r="PTQ11" s="75"/>
      <c r="PTR11" s="75"/>
      <c r="PTS11" s="75"/>
      <c r="PTT11" s="75"/>
      <c r="PTU11" s="75"/>
      <c r="PTV11" s="75"/>
      <c r="PTW11" s="75"/>
      <c r="PTX11" s="75"/>
      <c r="PTY11" s="75"/>
      <c r="PTZ11" s="75"/>
      <c r="PUA11" s="75"/>
      <c r="PUB11" s="75"/>
      <c r="PUC11" s="75"/>
      <c r="PUD11" s="75"/>
      <c r="PUE11" s="75"/>
      <c r="PUF11" s="75"/>
      <c r="PUG11" s="75"/>
      <c r="PUH11" s="75"/>
      <c r="PUI11" s="75"/>
      <c r="PUJ11" s="75"/>
      <c r="PUK11" s="75"/>
      <c r="PUL11" s="75"/>
      <c r="PUM11" s="75"/>
      <c r="PUN11" s="75"/>
      <c r="PUO11" s="75"/>
      <c r="PUP11" s="75"/>
      <c r="PUQ11" s="75"/>
      <c r="PUR11" s="75"/>
      <c r="PUS11" s="75"/>
      <c r="PUT11" s="75"/>
      <c r="PUU11" s="75"/>
      <c r="PUV11" s="75"/>
      <c r="PUW11" s="75"/>
      <c r="PUX11" s="75"/>
      <c r="PUY11" s="75"/>
      <c r="PUZ11" s="75"/>
      <c r="PVA11" s="75"/>
      <c r="PVB11" s="75"/>
      <c r="PVC11" s="75"/>
      <c r="PVD11" s="75"/>
      <c r="PVE11" s="75"/>
      <c r="PVF11" s="75"/>
      <c r="PVG11" s="75"/>
      <c r="PVH11" s="75"/>
      <c r="PVI11" s="75"/>
      <c r="PVJ11" s="75"/>
      <c r="PVK11" s="75"/>
      <c r="PVL11" s="75"/>
      <c r="PVM11" s="75"/>
      <c r="PVN11" s="75"/>
      <c r="PVO11" s="75"/>
      <c r="PVP11" s="75"/>
      <c r="PVQ11" s="75"/>
      <c r="PVR11" s="75"/>
      <c r="PVS11" s="75"/>
      <c r="PVT11" s="75"/>
      <c r="PVU11" s="75"/>
      <c r="PVV11" s="75"/>
      <c r="PVW11" s="75"/>
      <c r="PVX11" s="75"/>
      <c r="PVY11" s="75"/>
      <c r="PVZ11" s="75"/>
      <c r="PWA11" s="75"/>
      <c r="PWB11" s="75"/>
      <c r="PWC11" s="75"/>
      <c r="PWD11" s="75"/>
      <c r="PWE11" s="75"/>
      <c r="PWF11" s="75"/>
      <c r="PWG11" s="75"/>
      <c r="PWH11" s="75"/>
      <c r="PWI11" s="75"/>
      <c r="PWJ11" s="75"/>
      <c r="PWK11" s="75"/>
      <c r="PWL11" s="75"/>
      <c r="PWM11" s="75"/>
      <c r="PWN11" s="75"/>
      <c r="PWO11" s="75"/>
      <c r="PWP11" s="75"/>
      <c r="PWQ11" s="75"/>
      <c r="PWR11" s="75"/>
      <c r="PWS11" s="75"/>
      <c r="PWT11" s="75"/>
      <c r="PWU11" s="75"/>
      <c r="PWV11" s="75"/>
      <c r="PWW11" s="75"/>
      <c r="PWX11" s="75"/>
      <c r="PWY11" s="75"/>
      <c r="PWZ11" s="75"/>
      <c r="PXA11" s="75"/>
      <c r="PXB11" s="75"/>
      <c r="PXC11" s="75"/>
      <c r="PXD11" s="75"/>
      <c r="PXE11" s="75"/>
      <c r="PXF11" s="75"/>
      <c r="PXG11" s="75"/>
      <c r="PXH11" s="75"/>
      <c r="PXI11" s="75"/>
      <c r="PXJ11" s="75"/>
      <c r="PXK11" s="75"/>
      <c r="PXL11" s="75"/>
      <c r="PXM11" s="75"/>
      <c r="PXN11" s="75"/>
      <c r="PXO11" s="75"/>
      <c r="PXP11" s="75"/>
      <c r="PXQ11" s="75"/>
      <c r="PXR11" s="75"/>
      <c r="PXS11" s="75"/>
      <c r="PXT11" s="75"/>
      <c r="PXU11" s="75"/>
      <c r="PXV11" s="75"/>
      <c r="PXW11" s="75"/>
      <c r="PXX11" s="75"/>
      <c r="PXY11" s="75"/>
      <c r="PXZ11" s="75"/>
      <c r="PYA11" s="75"/>
      <c r="PYB11" s="75"/>
      <c r="PYC11" s="75"/>
      <c r="PYD11" s="75"/>
      <c r="PYE11" s="75"/>
      <c r="PYF11" s="75"/>
      <c r="PYG11" s="75"/>
      <c r="PYH11" s="75"/>
      <c r="PYI11" s="75"/>
      <c r="PYJ11" s="75"/>
      <c r="PYK11" s="75"/>
      <c r="PYL11" s="75"/>
      <c r="PYM11" s="75"/>
      <c r="PYN11" s="75"/>
      <c r="PYO11" s="75"/>
      <c r="PYP11" s="75"/>
      <c r="PYQ11" s="75"/>
      <c r="PYR11" s="75"/>
      <c r="PYS11" s="75"/>
      <c r="PYT11" s="75"/>
      <c r="PYU11" s="75"/>
      <c r="PYV11" s="75"/>
      <c r="PYW11" s="75"/>
      <c r="PYX11" s="75"/>
      <c r="PYY11" s="75"/>
      <c r="PYZ11" s="75"/>
      <c r="PZA11" s="75"/>
      <c r="PZB11" s="75"/>
      <c r="PZC11" s="75"/>
      <c r="PZD11" s="75"/>
      <c r="PZE11" s="75"/>
      <c r="PZF11" s="75"/>
      <c r="PZG11" s="75"/>
      <c r="PZH11" s="75"/>
      <c r="PZI11" s="75"/>
      <c r="PZJ11" s="75"/>
      <c r="PZK11" s="75"/>
      <c r="PZL11" s="75"/>
      <c r="PZM11" s="75"/>
      <c r="PZN11" s="75"/>
      <c r="PZO11" s="75"/>
      <c r="PZP11" s="75"/>
      <c r="PZQ11" s="75"/>
      <c r="PZR11" s="75"/>
      <c r="PZS11" s="75"/>
      <c r="PZT11" s="75"/>
      <c r="PZU11" s="75"/>
      <c r="PZV11" s="75"/>
      <c r="PZW11" s="75"/>
      <c r="PZX11" s="75"/>
      <c r="PZY11" s="75"/>
      <c r="PZZ11" s="75"/>
      <c r="QAA11" s="75"/>
      <c r="QAB11" s="75"/>
      <c r="QAC11" s="75"/>
      <c r="QAD11" s="75"/>
      <c r="QAE11" s="75"/>
      <c r="QAF11" s="75"/>
      <c r="QAG11" s="75"/>
      <c r="QAH11" s="75"/>
      <c r="QAI11" s="75"/>
      <c r="QAJ11" s="75"/>
      <c r="QAK11" s="75"/>
      <c r="QAL11" s="75"/>
      <c r="QAM11" s="75"/>
      <c r="QAN11" s="75"/>
      <c r="QAO11" s="75"/>
      <c r="QAP11" s="75"/>
      <c r="QAQ11" s="75"/>
      <c r="QAR11" s="75"/>
      <c r="QAS11" s="75"/>
      <c r="QAT11" s="75"/>
      <c r="QAU11" s="75"/>
      <c r="QAV11" s="75"/>
      <c r="QAW11" s="75"/>
      <c r="QAX11" s="75"/>
      <c r="QAY11" s="75"/>
      <c r="QAZ11" s="75"/>
      <c r="QBA11" s="75"/>
      <c r="QBB11" s="75"/>
      <c r="QBC11" s="75"/>
      <c r="QBD11" s="75"/>
      <c r="QBE11" s="75"/>
      <c r="QBF11" s="75"/>
      <c r="QBG11" s="75"/>
      <c r="QBH11" s="75"/>
      <c r="QBI11" s="75"/>
      <c r="QBJ11" s="75"/>
      <c r="QBK11" s="75"/>
      <c r="QBL11" s="75"/>
      <c r="QBM11" s="75"/>
      <c r="QBN11" s="75"/>
      <c r="QBO11" s="75"/>
      <c r="QBP11" s="75"/>
      <c r="QBQ11" s="75"/>
      <c r="QBR11" s="75"/>
      <c r="QBS11" s="75"/>
      <c r="QBT11" s="75"/>
      <c r="QBU11" s="75"/>
      <c r="QBV11" s="75"/>
      <c r="QBW11" s="75"/>
      <c r="QBX11" s="75"/>
      <c r="QBY11" s="75"/>
      <c r="QBZ11" s="75"/>
      <c r="QCA11" s="75"/>
      <c r="QCB11" s="75"/>
      <c r="QCC11" s="75"/>
      <c r="QCD11" s="75"/>
      <c r="QCE11" s="75"/>
      <c r="QCF11" s="75"/>
      <c r="QCG11" s="75"/>
      <c r="QCH11" s="75"/>
      <c r="QCI11" s="75"/>
      <c r="QCJ11" s="75"/>
      <c r="QCK11" s="75"/>
      <c r="QCL11" s="75"/>
      <c r="QCM11" s="75"/>
      <c r="QCN11" s="75"/>
      <c r="QCO11" s="75"/>
      <c r="QCP11" s="75"/>
      <c r="QCQ11" s="75"/>
      <c r="QCR11" s="75"/>
      <c r="QCS11" s="75"/>
      <c r="QCT11" s="75"/>
      <c r="QCU11" s="75"/>
      <c r="QCV11" s="75"/>
      <c r="QCW11" s="75"/>
      <c r="QCX11" s="75"/>
      <c r="QCY11" s="75"/>
      <c r="QCZ11" s="75"/>
      <c r="QDA11" s="75"/>
      <c r="QDB11" s="75"/>
      <c r="QDC11" s="75"/>
      <c r="QDD11" s="75"/>
      <c r="QDE11" s="75"/>
      <c r="QDF11" s="75"/>
      <c r="QDG11" s="75"/>
      <c r="QDH11" s="75"/>
      <c r="QDI11" s="75"/>
      <c r="QDJ11" s="75"/>
      <c r="QDK11" s="75"/>
      <c r="QDL11" s="75"/>
      <c r="QDM11" s="75"/>
      <c r="QDN11" s="75"/>
      <c r="QDO11" s="75"/>
      <c r="QDP11" s="75"/>
      <c r="QDQ11" s="75"/>
      <c r="QDR11" s="75"/>
      <c r="QDS11" s="75"/>
      <c r="QDT11" s="75"/>
      <c r="QDU11" s="75"/>
      <c r="QDV11" s="75"/>
      <c r="QDW11" s="75"/>
      <c r="QDX11" s="75"/>
      <c r="QDY11" s="75"/>
      <c r="QDZ11" s="75"/>
      <c r="QEA11" s="75"/>
      <c r="QEB11" s="75"/>
      <c r="QEC11" s="75"/>
      <c r="QED11" s="75"/>
      <c r="QEE11" s="75"/>
      <c r="QEF11" s="75"/>
      <c r="QEG11" s="75"/>
      <c r="QEH11" s="75"/>
      <c r="QEI11" s="75"/>
      <c r="QEJ11" s="75"/>
      <c r="QEK11" s="75"/>
      <c r="QEL11" s="75"/>
      <c r="QEM11" s="75"/>
      <c r="QEN11" s="75"/>
      <c r="QEO11" s="75"/>
      <c r="QEP11" s="75"/>
      <c r="QEQ11" s="75"/>
      <c r="QER11" s="75"/>
      <c r="QES11" s="75"/>
      <c r="QET11" s="75"/>
      <c r="QEU11" s="75"/>
      <c r="QEV11" s="75"/>
      <c r="QEW11" s="75"/>
      <c r="QEX11" s="75"/>
      <c r="QEY11" s="75"/>
      <c r="QEZ11" s="75"/>
      <c r="QFA11" s="75"/>
      <c r="QFB11" s="75"/>
      <c r="QFC11" s="75"/>
      <c r="QFD11" s="75"/>
      <c r="QFE11" s="75"/>
      <c r="QFF11" s="75"/>
      <c r="QFG11" s="75"/>
      <c r="QFH11" s="75"/>
      <c r="QFI11" s="75"/>
      <c r="QFJ11" s="75"/>
      <c r="QFK11" s="75"/>
      <c r="QFL11" s="75"/>
      <c r="QFM11" s="75"/>
      <c r="QFN11" s="75"/>
      <c r="QFO11" s="75"/>
      <c r="QFP11" s="75"/>
      <c r="QFQ11" s="75"/>
      <c r="QFR11" s="75"/>
      <c r="QFS11" s="75"/>
      <c r="QFT11" s="75"/>
      <c r="QFU11" s="75"/>
      <c r="QFV11" s="75"/>
      <c r="QFW11" s="75"/>
      <c r="QFX11" s="75"/>
      <c r="QFY11" s="75"/>
      <c r="QFZ11" s="75"/>
      <c r="QGA11" s="75"/>
      <c r="QGB11" s="75"/>
      <c r="QGC11" s="75"/>
      <c r="QGD11" s="75"/>
      <c r="QGE11" s="75"/>
      <c r="QGF11" s="75"/>
      <c r="QGG11" s="75"/>
      <c r="QGH11" s="75"/>
      <c r="QGI11" s="75"/>
      <c r="QGJ11" s="75"/>
      <c r="QGK11" s="75"/>
      <c r="QGL11" s="75"/>
      <c r="QGM11" s="75"/>
      <c r="QGN11" s="75"/>
      <c r="QGO11" s="75"/>
      <c r="QGP11" s="75"/>
      <c r="QGQ11" s="75"/>
      <c r="QGR11" s="75"/>
      <c r="QGS11" s="75"/>
      <c r="QGT11" s="75"/>
      <c r="QGU11" s="75"/>
      <c r="QGV11" s="75"/>
      <c r="QGW11" s="75"/>
      <c r="QGX11" s="75"/>
      <c r="QGY11" s="75"/>
      <c r="QGZ11" s="75"/>
      <c r="QHA11" s="75"/>
      <c r="QHB11" s="75"/>
      <c r="QHC11" s="75"/>
      <c r="QHD11" s="75"/>
      <c r="QHE11" s="75"/>
      <c r="QHF11" s="75"/>
      <c r="QHG11" s="75"/>
      <c r="QHH11" s="75"/>
      <c r="QHI11" s="75"/>
      <c r="QHJ11" s="75"/>
      <c r="QHK11" s="75"/>
      <c r="QHL11" s="75"/>
      <c r="QHM11" s="75"/>
      <c r="QHN11" s="75"/>
      <c r="QHO11" s="75"/>
      <c r="QHP11" s="75"/>
      <c r="QHQ11" s="75"/>
      <c r="QHR11" s="75"/>
      <c r="QHS11" s="75"/>
      <c r="QHT11" s="75"/>
      <c r="QHU11" s="75"/>
      <c r="QHV11" s="75"/>
      <c r="QHW11" s="75"/>
      <c r="QHX11" s="75"/>
      <c r="QHY11" s="75"/>
      <c r="QHZ11" s="75"/>
      <c r="QIA11" s="75"/>
      <c r="QIB11" s="75"/>
      <c r="QIC11" s="75"/>
      <c r="QID11" s="75"/>
      <c r="QIE11" s="75"/>
      <c r="QIF11" s="75"/>
      <c r="QIG11" s="75"/>
      <c r="QIH11" s="75"/>
      <c r="QII11" s="75"/>
      <c r="QIJ11" s="75"/>
      <c r="QIK11" s="75"/>
      <c r="QIL11" s="75"/>
      <c r="QIM11" s="75"/>
      <c r="QIN11" s="75"/>
      <c r="QIO11" s="75"/>
      <c r="QIP11" s="75"/>
      <c r="QIQ11" s="75"/>
      <c r="QIR11" s="75"/>
      <c r="QIS11" s="75"/>
      <c r="QIT11" s="75"/>
      <c r="QIU11" s="75"/>
      <c r="QIV11" s="75"/>
      <c r="QIW11" s="75"/>
      <c r="QIX11" s="75"/>
      <c r="QIY11" s="75"/>
      <c r="QIZ11" s="75"/>
      <c r="QJA11" s="75"/>
      <c r="QJB11" s="75"/>
      <c r="QJC11" s="75"/>
      <c r="QJD11" s="75"/>
      <c r="QJE11" s="75"/>
      <c r="QJF11" s="75"/>
      <c r="QJG11" s="75"/>
      <c r="QJH11" s="75"/>
      <c r="QJI11" s="75"/>
      <c r="QJJ11" s="75"/>
      <c r="QJK11" s="75"/>
      <c r="QJL11" s="75"/>
      <c r="QJM11" s="75"/>
      <c r="QJN11" s="75"/>
      <c r="QJO11" s="75"/>
      <c r="QJP11" s="75"/>
      <c r="QJQ11" s="75"/>
      <c r="QJR11" s="75"/>
      <c r="QJS11" s="75"/>
      <c r="QJT11" s="75"/>
      <c r="QJU11" s="75"/>
      <c r="QJV11" s="75"/>
      <c r="QJW11" s="75"/>
      <c r="QJX11" s="75"/>
      <c r="QJY11" s="75"/>
      <c r="QJZ11" s="75"/>
      <c r="QKA11" s="75"/>
      <c r="QKB11" s="75"/>
      <c r="QKC11" s="75"/>
      <c r="QKD11" s="75"/>
      <c r="QKE11" s="75"/>
      <c r="QKF11" s="75"/>
      <c r="QKG11" s="75"/>
      <c r="QKH11" s="75"/>
      <c r="QKI11" s="75"/>
      <c r="QKJ11" s="75"/>
      <c r="QKK11" s="75"/>
      <c r="QKL11" s="75"/>
      <c r="QKM11" s="75"/>
      <c r="QKN11" s="75"/>
      <c r="QKO11" s="75"/>
      <c r="QKP11" s="75"/>
      <c r="QKQ11" s="75"/>
      <c r="QKR11" s="75"/>
      <c r="QKS11" s="75"/>
      <c r="QKT11" s="75"/>
      <c r="QKU11" s="75"/>
      <c r="QKV11" s="75"/>
      <c r="QKW11" s="75"/>
      <c r="QKX11" s="75"/>
      <c r="QKY11" s="75"/>
      <c r="QKZ11" s="75"/>
      <c r="QLA11" s="75"/>
      <c r="QLB11" s="75"/>
      <c r="QLC11" s="75"/>
      <c r="QLD11" s="75"/>
      <c r="QLE11" s="75"/>
      <c r="QLF11" s="75"/>
      <c r="QLG11" s="75"/>
      <c r="QLH11" s="75"/>
      <c r="QLI11" s="75"/>
      <c r="QLJ11" s="75"/>
      <c r="QLK11" s="75"/>
      <c r="QLL11" s="75"/>
      <c r="QLM11" s="75"/>
      <c r="QLN11" s="75"/>
      <c r="QLO11" s="75"/>
      <c r="QLP11" s="75"/>
      <c r="QLQ11" s="75"/>
      <c r="QLR11" s="75"/>
      <c r="QLS11" s="75"/>
      <c r="QLT11" s="75"/>
      <c r="QLU11" s="75"/>
      <c r="QLV11" s="75"/>
      <c r="QLW11" s="75"/>
      <c r="QLX11" s="75"/>
      <c r="QLY11" s="75"/>
      <c r="QLZ11" s="75"/>
      <c r="QMA11" s="75"/>
      <c r="QMB11" s="75"/>
      <c r="QMC11" s="75"/>
      <c r="QMD11" s="75"/>
      <c r="QME11" s="75"/>
      <c r="QMF11" s="75"/>
      <c r="QMG11" s="75"/>
      <c r="QMH11" s="75"/>
      <c r="QMI11" s="75"/>
      <c r="QMJ11" s="75"/>
      <c r="QMK11" s="75"/>
      <c r="QML11" s="75"/>
      <c r="QMM11" s="75"/>
      <c r="QMN11" s="75"/>
      <c r="QMO11" s="75"/>
      <c r="QMP11" s="75"/>
      <c r="QMQ11" s="75"/>
      <c r="QMR11" s="75"/>
      <c r="QMS11" s="75"/>
      <c r="QMT11" s="75"/>
      <c r="QMU11" s="75"/>
      <c r="QMV11" s="75"/>
      <c r="QMW11" s="75"/>
      <c r="QMX11" s="75"/>
      <c r="QMY11" s="75"/>
      <c r="QMZ11" s="75"/>
      <c r="QNA11" s="75"/>
      <c r="QNB11" s="75"/>
      <c r="QNC11" s="75"/>
      <c r="QND11" s="75"/>
      <c r="QNE11" s="75"/>
      <c r="QNF11" s="75"/>
      <c r="QNG11" s="75"/>
      <c r="QNH11" s="75"/>
      <c r="QNI11" s="75"/>
      <c r="QNJ11" s="75"/>
      <c r="QNK11" s="75"/>
      <c r="QNL11" s="75"/>
      <c r="QNM11" s="75"/>
      <c r="QNN11" s="75"/>
      <c r="QNO11" s="75"/>
      <c r="QNP11" s="75"/>
      <c r="QNQ11" s="75"/>
      <c r="QNR11" s="75"/>
      <c r="QNS11" s="75"/>
      <c r="QNT11" s="75"/>
      <c r="QNU11" s="75"/>
      <c r="QNV11" s="75"/>
      <c r="QNW11" s="75"/>
      <c r="QNX11" s="75"/>
      <c r="QNY11" s="75"/>
      <c r="QNZ11" s="75"/>
      <c r="QOA11" s="75"/>
      <c r="QOB11" s="75"/>
      <c r="QOC11" s="75"/>
      <c r="QOD11" s="75"/>
      <c r="QOE11" s="75"/>
      <c r="QOF11" s="75"/>
      <c r="QOG11" s="75"/>
      <c r="QOH11" s="75"/>
      <c r="QOI11" s="75"/>
      <c r="QOJ11" s="75"/>
      <c r="QOK11" s="75"/>
      <c r="QOL11" s="75"/>
      <c r="QOM11" s="75"/>
      <c r="QON11" s="75"/>
      <c r="QOO11" s="75"/>
      <c r="QOP11" s="75"/>
      <c r="QOQ11" s="75"/>
      <c r="QOR11" s="75"/>
      <c r="QOS11" s="75"/>
      <c r="QOT11" s="75"/>
      <c r="QOU11" s="75"/>
      <c r="QOV11" s="75"/>
      <c r="QOW11" s="75"/>
      <c r="QOX11" s="75"/>
      <c r="QOY11" s="75"/>
      <c r="QOZ11" s="75"/>
      <c r="QPA11" s="75"/>
      <c r="QPB11" s="75"/>
      <c r="QPC11" s="75"/>
      <c r="QPD11" s="75"/>
      <c r="QPE11" s="75"/>
      <c r="QPF11" s="75"/>
      <c r="QPG11" s="75"/>
      <c r="QPH11" s="75"/>
      <c r="QPI11" s="75"/>
      <c r="QPJ11" s="75"/>
      <c r="QPK11" s="75"/>
      <c r="QPL11" s="75"/>
      <c r="QPM11" s="75"/>
      <c r="QPN11" s="75"/>
      <c r="QPO11" s="75"/>
      <c r="QPP11" s="75"/>
      <c r="QPQ11" s="75"/>
      <c r="QPR11" s="75"/>
      <c r="QPS11" s="75"/>
      <c r="QPT11" s="75"/>
      <c r="QPU11" s="75"/>
      <c r="QPV11" s="75"/>
      <c r="QPW11" s="75"/>
      <c r="QPX11" s="75"/>
      <c r="QPY11" s="75"/>
      <c r="QPZ11" s="75"/>
      <c r="QQA11" s="75"/>
      <c r="QQB11" s="75"/>
      <c r="QQC11" s="75"/>
      <c r="QQD11" s="75"/>
      <c r="QQE11" s="75"/>
      <c r="QQF11" s="75"/>
      <c r="QQG11" s="75"/>
      <c r="QQH11" s="75"/>
      <c r="QQI11" s="75"/>
      <c r="QQJ11" s="75"/>
      <c r="QQK11" s="75"/>
      <c r="QQL11" s="75"/>
      <c r="QQM11" s="75"/>
      <c r="QQN11" s="75"/>
      <c r="QQO11" s="75"/>
      <c r="QQP11" s="75"/>
      <c r="QQQ11" s="75"/>
      <c r="QQR11" s="75"/>
      <c r="QQS11" s="75"/>
      <c r="QQT11" s="75"/>
      <c r="QQU11" s="75"/>
      <c r="QQV11" s="75"/>
      <c r="QQW11" s="75"/>
      <c r="QQX11" s="75"/>
      <c r="QQY11" s="75"/>
      <c r="QQZ11" s="75"/>
      <c r="QRA11" s="75"/>
      <c r="QRB11" s="75"/>
      <c r="QRC11" s="75"/>
      <c r="QRD11" s="75"/>
      <c r="QRE11" s="75"/>
      <c r="QRF11" s="75"/>
      <c r="QRG11" s="75"/>
      <c r="QRH11" s="75"/>
      <c r="QRI11" s="75"/>
      <c r="QRJ11" s="75"/>
      <c r="QRK11" s="75"/>
      <c r="QRL11" s="75"/>
      <c r="QRM11" s="75"/>
      <c r="QRN11" s="75"/>
      <c r="QRO11" s="75"/>
      <c r="QRP11" s="75"/>
      <c r="QRQ11" s="75"/>
      <c r="QRR11" s="75"/>
      <c r="QRS11" s="75"/>
      <c r="QRT11" s="75"/>
      <c r="QRU11" s="75"/>
      <c r="QRV11" s="75"/>
      <c r="QRW11" s="75"/>
      <c r="QRX11" s="75"/>
      <c r="QRY11" s="75"/>
      <c r="QRZ11" s="75"/>
      <c r="QSA11" s="75"/>
      <c r="QSB11" s="75"/>
      <c r="QSC11" s="75"/>
      <c r="QSD11" s="75"/>
      <c r="QSE11" s="75"/>
      <c r="QSF11" s="75"/>
      <c r="QSG11" s="75"/>
      <c r="QSH11" s="75"/>
      <c r="QSI11" s="75"/>
      <c r="QSJ11" s="75"/>
      <c r="QSK11" s="75"/>
      <c r="QSL11" s="75"/>
      <c r="QSM11" s="75"/>
      <c r="QSN11" s="75"/>
      <c r="QSO11" s="75"/>
      <c r="QSP11" s="75"/>
      <c r="QSQ11" s="75"/>
      <c r="QSR11" s="75"/>
      <c r="QSS11" s="75"/>
      <c r="QST11" s="75"/>
      <c r="QSU11" s="75"/>
      <c r="QSV11" s="75"/>
      <c r="QSW11" s="75"/>
      <c r="QSX11" s="75"/>
      <c r="QSY11" s="75"/>
      <c r="QSZ11" s="75"/>
      <c r="QTA11" s="75"/>
      <c r="QTB11" s="75"/>
      <c r="QTC11" s="75"/>
      <c r="QTD11" s="75"/>
      <c r="QTE11" s="75"/>
      <c r="QTF11" s="75"/>
      <c r="QTG11" s="75"/>
      <c r="QTH11" s="75"/>
      <c r="QTI11" s="75"/>
      <c r="QTJ11" s="75"/>
      <c r="QTK11" s="75"/>
      <c r="QTL11" s="75"/>
      <c r="QTM11" s="75"/>
      <c r="QTN11" s="75"/>
      <c r="QTO11" s="75"/>
      <c r="QTP11" s="75"/>
      <c r="QTQ11" s="75"/>
      <c r="QTR11" s="75"/>
      <c r="QTS11" s="75"/>
      <c r="QTT11" s="75"/>
      <c r="QTU11" s="75"/>
      <c r="QTV11" s="75"/>
      <c r="QTW11" s="75"/>
      <c r="QTX11" s="75"/>
      <c r="QTY11" s="75"/>
      <c r="QTZ11" s="75"/>
      <c r="QUA11" s="75"/>
      <c r="QUB11" s="75"/>
      <c r="QUC11" s="75"/>
      <c r="QUD11" s="75"/>
      <c r="QUE11" s="75"/>
      <c r="QUF11" s="75"/>
      <c r="QUG11" s="75"/>
      <c r="QUH11" s="75"/>
      <c r="QUI11" s="75"/>
      <c r="QUJ11" s="75"/>
      <c r="QUK11" s="75"/>
      <c r="QUL11" s="75"/>
      <c r="QUM11" s="75"/>
      <c r="QUN11" s="75"/>
      <c r="QUO11" s="75"/>
      <c r="QUP11" s="75"/>
      <c r="QUQ11" s="75"/>
      <c r="QUR11" s="75"/>
      <c r="QUS11" s="75"/>
      <c r="QUT11" s="75"/>
      <c r="QUU11" s="75"/>
      <c r="QUV11" s="75"/>
      <c r="QUW11" s="75"/>
      <c r="QUX11" s="75"/>
      <c r="QUY11" s="75"/>
      <c r="QUZ11" s="75"/>
      <c r="QVA11" s="75"/>
      <c r="QVB11" s="75"/>
      <c r="QVC11" s="75"/>
      <c r="QVD11" s="75"/>
      <c r="QVE11" s="75"/>
      <c r="QVF11" s="75"/>
      <c r="QVG11" s="75"/>
      <c r="QVH11" s="75"/>
      <c r="QVI11" s="75"/>
      <c r="QVJ11" s="75"/>
      <c r="QVK11" s="75"/>
      <c r="QVL11" s="75"/>
      <c r="QVM11" s="75"/>
      <c r="QVN11" s="75"/>
      <c r="QVO11" s="75"/>
      <c r="QVP11" s="75"/>
      <c r="QVQ11" s="75"/>
      <c r="QVR11" s="75"/>
      <c r="QVS11" s="75"/>
      <c r="QVT11" s="75"/>
      <c r="QVU11" s="75"/>
      <c r="QVV11" s="75"/>
      <c r="QVW11" s="75"/>
      <c r="QVX11" s="75"/>
      <c r="QVY11" s="75"/>
      <c r="QVZ11" s="75"/>
      <c r="QWA11" s="75"/>
      <c r="QWB11" s="75"/>
      <c r="QWC11" s="75"/>
      <c r="QWD11" s="75"/>
      <c r="QWE11" s="75"/>
      <c r="QWF11" s="75"/>
      <c r="QWG11" s="75"/>
      <c r="QWH11" s="75"/>
      <c r="QWI11" s="75"/>
      <c r="QWJ11" s="75"/>
      <c r="QWK11" s="75"/>
      <c r="QWL11" s="75"/>
      <c r="QWM11" s="75"/>
      <c r="QWN11" s="75"/>
      <c r="QWO11" s="75"/>
      <c r="QWP11" s="75"/>
      <c r="QWQ11" s="75"/>
      <c r="QWR11" s="75"/>
      <c r="QWS11" s="75"/>
      <c r="QWT11" s="75"/>
      <c r="QWU11" s="75"/>
      <c r="QWV11" s="75"/>
      <c r="QWW11" s="75"/>
      <c r="QWX11" s="75"/>
      <c r="QWY11" s="75"/>
      <c r="QWZ11" s="75"/>
      <c r="QXA11" s="75"/>
      <c r="QXB11" s="75"/>
      <c r="QXC11" s="75"/>
      <c r="QXD11" s="75"/>
      <c r="QXE11" s="75"/>
      <c r="QXF11" s="75"/>
      <c r="QXG11" s="75"/>
      <c r="QXH11" s="75"/>
      <c r="QXI11" s="75"/>
      <c r="QXJ11" s="75"/>
      <c r="QXK11" s="75"/>
      <c r="QXL11" s="75"/>
      <c r="QXM11" s="75"/>
      <c r="QXN11" s="75"/>
      <c r="QXO11" s="75"/>
      <c r="QXP11" s="75"/>
      <c r="QXQ11" s="75"/>
      <c r="QXR11" s="75"/>
      <c r="QXS11" s="75"/>
      <c r="QXT11" s="75"/>
      <c r="QXU11" s="75"/>
      <c r="QXV11" s="75"/>
      <c r="QXW11" s="75"/>
      <c r="QXX11" s="75"/>
      <c r="QXY11" s="75"/>
      <c r="QXZ11" s="75"/>
      <c r="QYA11" s="75"/>
      <c r="QYB11" s="75"/>
      <c r="QYC11" s="75"/>
      <c r="QYD11" s="75"/>
      <c r="QYE11" s="75"/>
      <c r="QYF11" s="75"/>
      <c r="QYG11" s="75"/>
      <c r="QYH11" s="75"/>
      <c r="QYI11" s="75"/>
      <c r="QYJ11" s="75"/>
      <c r="QYK11" s="75"/>
      <c r="QYL11" s="75"/>
      <c r="QYM11" s="75"/>
      <c r="QYN11" s="75"/>
      <c r="QYO11" s="75"/>
      <c r="QYP11" s="75"/>
      <c r="QYQ11" s="75"/>
      <c r="QYR11" s="75"/>
      <c r="QYS11" s="75"/>
      <c r="QYT11" s="75"/>
      <c r="QYU11" s="75"/>
      <c r="QYV11" s="75"/>
      <c r="QYW11" s="75"/>
      <c r="QYX11" s="75"/>
      <c r="QYY11" s="75"/>
      <c r="QYZ11" s="75"/>
      <c r="QZA11" s="75"/>
      <c r="QZB11" s="75"/>
      <c r="QZC11" s="75"/>
      <c r="QZD11" s="75"/>
      <c r="QZE11" s="75"/>
      <c r="QZF11" s="75"/>
      <c r="QZG11" s="75"/>
      <c r="QZH11" s="75"/>
      <c r="QZI11" s="75"/>
      <c r="QZJ11" s="75"/>
      <c r="QZK11" s="75"/>
      <c r="QZL11" s="75"/>
      <c r="QZM11" s="75"/>
      <c r="QZN11" s="75"/>
      <c r="QZO11" s="75"/>
      <c r="QZP11" s="75"/>
      <c r="QZQ11" s="75"/>
      <c r="QZR11" s="75"/>
      <c r="QZS11" s="75"/>
      <c r="QZT11" s="75"/>
      <c r="QZU11" s="75"/>
      <c r="QZV11" s="75"/>
      <c r="QZW11" s="75"/>
      <c r="QZX11" s="75"/>
      <c r="QZY11" s="75"/>
      <c r="QZZ11" s="75"/>
      <c r="RAA11" s="75"/>
      <c r="RAB11" s="75"/>
      <c r="RAC11" s="75"/>
      <c r="RAD11" s="75"/>
      <c r="RAE11" s="75"/>
      <c r="RAF11" s="75"/>
      <c r="RAG11" s="75"/>
      <c r="RAH11" s="75"/>
      <c r="RAI11" s="75"/>
      <c r="RAJ11" s="75"/>
      <c r="RAK11" s="75"/>
      <c r="RAL11" s="75"/>
      <c r="RAM11" s="75"/>
      <c r="RAN11" s="75"/>
      <c r="RAO11" s="75"/>
      <c r="RAP11" s="75"/>
      <c r="RAQ11" s="75"/>
      <c r="RAR11" s="75"/>
      <c r="RAS11" s="75"/>
      <c r="RAT11" s="75"/>
      <c r="RAU11" s="75"/>
      <c r="RAV11" s="75"/>
      <c r="RAW11" s="75"/>
      <c r="RAX11" s="75"/>
      <c r="RAY11" s="75"/>
      <c r="RAZ11" s="75"/>
      <c r="RBA11" s="75"/>
      <c r="RBB11" s="75"/>
      <c r="RBC11" s="75"/>
      <c r="RBD11" s="75"/>
      <c r="RBE11" s="75"/>
      <c r="RBF11" s="75"/>
      <c r="RBG11" s="75"/>
      <c r="RBH11" s="75"/>
      <c r="RBI11" s="75"/>
      <c r="RBJ11" s="75"/>
      <c r="RBK11" s="75"/>
      <c r="RBL11" s="75"/>
      <c r="RBM11" s="75"/>
      <c r="RBN11" s="75"/>
      <c r="RBO11" s="75"/>
      <c r="RBP11" s="75"/>
      <c r="RBQ11" s="75"/>
      <c r="RBR11" s="75"/>
      <c r="RBS11" s="75"/>
      <c r="RBT11" s="75"/>
      <c r="RBU11" s="75"/>
      <c r="RBV11" s="75"/>
      <c r="RBW11" s="75"/>
      <c r="RBX11" s="75"/>
      <c r="RBY11" s="75"/>
      <c r="RBZ11" s="75"/>
      <c r="RCA11" s="75"/>
      <c r="RCB11" s="75"/>
      <c r="RCC11" s="75"/>
      <c r="RCD11" s="75"/>
      <c r="RCE11" s="75"/>
      <c r="RCF11" s="75"/>
      <c r="RCG11" s="75"/>
      <c r="RCH11" s="75"/>
      <c r="RCI11" s="75"/>
      <c r="RCJ11" s="75"/>
      <c r="RCK11" s="75"/>
      <c r="RCL11" s="75"/>
      <c r="RCM11" s="75"/>
      <c r="RCN11" s="75"/>
      <c r="RCO11" s="75"/>
      <c r="RCP11" s="75"/>
      <c r="RCQ11" s="75"/>
      <c r="RCR11" s="75"/>
      <c r="RCS11" s="75"/>
      <c r="RCT11" s="75"/>
      <c r="RCU11" s="75"/>
      <c r="RCV11" s="75"/>
      <c r="RCW11" s="75"/>
      <c r="RCX11" s="75"/>
      <c r="RCY11" s="75"/>
      <c r="RCZ11" s="75"/>
      <c r="RDA11" s="75"/>
      <c r="RDB11" s="75"/>
      <c r="RDC11" s="75"/>
      <c r="RDD11" s="75"/>
      <c r="RDE11" s="75"/>
      <c r="RDF11" s="75"/>
      <c r="RDG11" s="75"/>
      <c r="RDH11" s="75"/>
      <c r="RDI11" s="75"/>
      <c r="RDJ11" s="75"/>
      <c r="RDK11" s="75"/>
      <c r="RDL11" s="75"/>
      <c r="RDM11" s="75"/>
      <c r="RDN11" s="75"/>
      <c r="RDO11" s="75"/>
      <c r="RDP11" s="75"/>
      <c r="RDQ11" s="75"/>
      <c r="RDR11" s="75"/>
      <c r="RDS11" s="75"/>
      <c r="RDT11" s="75"/>
      <c r="RDU11" s="75"/>
      <c r="RDV11" s="75"/>
      <c r="RDW11" s="75"/>
      <c r="RDX11" s="75"/>
      <c r="RDY11" s="75"/>
      <c r="RDZ11" s="75"/>
      <c r="REA11" s="75"/>
      <c r="REB11" s="75"/>
      <c r="REC11" s="75"/>
      <c r="RED11" s="75"/>
      <c r="REE11" s="75"/>
      <c r="REF11" s="75"/>
      <c r="REG11" s="75"/>
      <c r="REH11" s="75"/>
      <c r="REI11" s="75"/>
      <c r="REJ11" s="75"/>
      <c r="REK11" s="75"/>
      <c r="REL11" s="75"/>
      <c r="REM11" s="75"/>
      <c r="REN11" s="75"/>
      <c r="REO11" s="75"/>
      <c r="REP11" s="75"/>
      <c r="REQ11" s="75"/>
      <c r="RER11" s="75"/>
      <c r="RES11" s="75"/>
      <c r="RET11" s="75"/>
      <c r="REU11" s="75"/>
      <c r="REV11" s="75"/>
      <c r="REW11" s="75"/>
      <c r="REX11" s="75"/>
      <c r="REY11" s="75"/>
      <c r="REZ11" s="75"/>
      <c r="RFA11" s="75"/>
      <c r="RFB11" s="75"/>
      <c r="RFC11" s="75"/>
      <c r="RFD11" s="75"/>
      <c r="RFE11" s="75"/>
      <c r="RFF11" s="75"/>
      <c r="RFG11" s="75"/>
      <c r="RFH11" s="75"/>
      <c r="RFI11" s="75"/>
      <c r="RFJ11" s="75"/>
      <c r="RFK11" s="75"/>
      <c r="RFL11" s="75"/>
      <c r="RFM11" s="75"/>
      <c r="RFN11" s="75"/>
      <c r="RFO11" s="75"/>
      <c r="RFP11" s="75"/>
      <c r="RFQ11" s="75"/>
      <c r="RFR11" s="75"/>
      <c r="RFS11" s="75"/>
      <c r="RFT11" s="75"/>
      <c r="RFU11" s="75"/>
      <c r="RFV11" s="75"/>
      <c r="RFW11" s="75"/>
      <c r="RFX11" s="75"/>
      <c r="RFY11" s="75"/>
      <c r="RFZ11" s="75"/>
      <c r="RGA11" s="75"/>
      <c r="RGB11" s="75"/>
      <c r="RGC11" s="75"/>
      <c r="RGD11" s="75"/>
      <c r="RGE11" s="75"/>
      <c r="RGF11" s="75"/>
      <c r="RGG11" s="75"/>
      <c r="RGH11" s="75"/>
      <c r="RGI11" s="75"/>
      <c r="RGJ11" s="75"/>
      <c r="RGK11" s="75"/>
      <c r="RGL11" s="75"/>
      <c r="RGM11" s="75"/>
      <c r="RGN11" s="75"/>
      <c r="RGO11" s="75"/>
      <c r="RGP11" s="75"/>
      <c r="RGQ11" s="75"/>
      <c r="RGR11" s="75"/>
      <c r="RGS11" s="75"/>
      <c r="RGT11" s="75"/>
      <c r="RGU11" s="75"/>
      <c r="RGV11" s="75"/>
      <c r="RGW11" s="75"/>
      <c r="RGX11" s="75"/>
      <c r="RGY11" s="75"/>
      <c r="RGZ11" s="75"/>
      <c r="RHA11" s="75"/>
      <c r="RHB11" s="75"/>
      <c r="RHC11" s="75"/>
      <c r="RHD11" s="75"/>
      <c r="RHE11" s="75"/>
      <c r="RHF11" s="75"/>
      <c r="RHG11" s="75"/>
      <c r="RHH11" s="75"/>
      <c r="RHI11" s="75"/>
      <c r="RHJ11" s="75"/>
      <c r="RHK11" s="75"/>
      <c r="RHL11" s="75"/>
      <c r="RHM11" s="75"/>
      <c r="RHN11" s="75"/>
      <c r="RHO11" s="75"/>
      <c r="RHP11" s="75"/>
      <c r="RHQ11" s="75"/>
      <c r="RHR11" s="75"/>
      <c r="RHS11" s="75"/>
      <c r="RHT11" s="75"/>
      <c r="RHU11" s="75"/>
      <c r="RHV11" s="75"/>
      <c r="RHW11" s="75"/>
      <c r="RHX11" s="75"/>
      <c r="RHY11" s="75"/>
      <c r="RHZ11" s="75"/>
      <c r="RIA11" s="75"/>
      <c r="RIB11" s="75"/>
      <c r="RIC11" s="75"/>
      <c r="RID11" s="75"/>
      <c r="RIE11" s="75"/>
      <c r="RIF11" s="75"/>
      <c r="RIG11" s="75"/>
      <c r="RIH11" s="75"/>
      <c r="RII11" s="75"/>
      <c r="RIJ11" s="75"/>
      <c r="RIK11" s="75"/>
      <c r="RIL11" s="75"/>
      <c r="RIM11" s="75"/>
      <c r="RIN11" s="75"/>
      <c r="RIO11" s="75"/>
      <c r="RIP11" s="75"/>
      <c r="RIQ11" s="75"/>
      <c r="RIR11" s="75"/>
      <c r="RIS11" s="75"/>
      <c r="RIT11" s="75"/>
      <c r="RIU11" s="75"/>
      <c r="RIV11" s="75"/>
      <c r="RIW11" s="75"/>
      <c r="RIX11" s="75"/>
      <c r="RIY11" s="75"/>
      <c r="RIZ11" s="75"/>
      <c r="RJA11" s="75"/>
      <c r="RJB11" s="75"/>
      <c r="RJC11" s="75"/>
      <c r="RJD11" s="75"/>
      <c r="RJE11" s="75"/>
      <c r="RJF11" s="75"/>
      <c r="RJG11" s="75"/>
      <c r="RJH11" s="75"/>
      <c r="RJI11" s="75"/>
      <c r="RJJ11" s="75"/>
      <c r="RJK11" s="75"/>
      <c r="RJL11" s="75"/>
      <c r="RJM11" s="75"/>
      <c r="RJN11" s="75"/>
      <c r="RJO11" s="75"/>
      <c r="RJP11" s="75"/>
      <c r="RJQ11" s="75"/>
      <c r="RJR11" s="75"/>
      <c r="RJS11" s="75"/>
      <c r="RJT11" s="75"/>
      <c r="RJU11" s="75"/>
      <c r="RJV11" s="75"/>
      <c r="RJW11" s="75"/>
      <c r="RJX11" s="75"/>
      <c r="RJY11" s="75"/>
      <c r="RJZ11" s="75"/>
      <c r="RKA11" s="75"/>
      <c r="RKB11" s="75"/>
      <c r="RKC11" s="75"/>
      <c r="RKD11" s="75"/>
      <c r="RKE11" s="75"/>
      <c r="RKF11" s="75"/>
      <c r="RKG11" s="75"/>
      <c r="RKH11" s="75"/>
      <c r="RKI11" s="75"/>
      <c r="RKJ11" s="75"/>
      <c r="RKK11" s="75"/>
      <c r="RKL11" s="75"/>
      <c r="RKM11" s="75"/>
      <c r="RKN11" s="75"/>
      <c r="RKO11" s="75"/>
      <c r="RKP11" s="75"/>
      <c r="RKQ11" s="75"/>
      <c r="RKR11" s="75"/>
      <c r="RKS11" s="75"/>
      <c r="RKT11" s="75"/>
      <c r="RKU11" s="75"/>
      <c r="RKV11" s="75"/>
      <c r="RKW11" s="75"/>
      <c r="RKX11" s="75"/>
      <c r="RKY11" s="75"/>
      <c r="RKZ11" s="75"/>
      <c r="RLA11" s="75"/>
      <c r="RLB11" s="75"/>
      <c r="RLC11" s="75"/>
      <c r="RLD11" s="75"/>
      <c r="RLE11" s="75"/>
      <c r="RLF11" s="75"/>
      <c r="RLG11" s="75"/>
      <c r="RLH11" s="75"/>
      <c r="RLI11" s="75"/>
      <c r="RLJ11" s="75"/>
      <c r="RLK11" s="75"/>
      <c r="RLL11" s="75"/>
      <c r="RLM11" s="75"/>
      <c r="RLN11" s="75"/>
      <c r="RLO11" s="75"/>
      <c r="RLP11" s="75"/>
      <c r="RLQ11" s="75"/>
      <c r="RLR11" s="75"/>
      <c r="RLS11" s="75"/>
      <c r="RLT11" s="75"/>
      <c r="RLU11" s="75"/>
      <c r="RLV11" s="75"/>
      <c r="RLW11" s="75"/>
      <c r="RLX11" s="75"/>
      <c r="RLY11" s="75"/>
      <c r="RLZ11" s="75"/>
      <c r="RMA11" s="75"/>
      <c r="RMB11" s="75"/>
      <c r="RMC11" s="75"/>
      <c r="RMD11" s="75"/>
      <c r="RME11" s="75"/>
      <c r="RMF11" s="75"/>
      <c r="RMG11" s="75"/>
      <c r="RMH11" s="75"/>
      <c r="RMI11" s="75"/>
      <c r="RMJ11" s="75"/>
      <c r="RMK11" s="75"/>
      <c r="RML11" s="75"/>
      <c r="RMM11" s="75"/>
      <c r="RMN11" s="75"/>
      <c r="RMO11" s="75"/>
      <c r="RMP11" s="75"/>
      <c r="RMQ11" s="75"/>
      <c r="RMR11" s="75"/>
      <c r="RMS11" s="75"/>
      <c r="RMT11" s="75"/>
      <c r="RMU11" s="75"/>
      <c r="RMV11" s="75"/>
      <c r="RMW11" s="75"/>
      <c r="RMX11" s="75"/>
      <c r="RMY11" s="75"/>
      <c r="RMZ11" s="75"/>
      <c r="RNA11" s="75"/>
      <c r="RNB11" s="75"/>
      <c r="RNC11" s="75"/>
      <c r="RND11" s="75"/>
      <c r="RNE11" s="75"/>
      <c r="RNF11" s="75"/>
      <c r="RNG11" s="75"/>
      <c r="RNH11" s="75"/>
      <c r="RNI11" s="75"/>
      <c r="RNJ11" s="75"/>
      <c r="RNK11" s="75"/>
      <c r="RNL11" s="75"/>
      <c r="RNM11" s="75"/>
      <c r="RNN11" s="75"/>
      <c r="RNO11" s="75"/>
      <c r="RNP11" s="75"/>
      <c r="RNQ11" s="75"/>
      <c r="RNR11" s="75"/>
      <c r="RNS11" s="75"/>
      <c r="RNT11" s="75"/>
      <c r="RNU11" s="75"/>
      <c r="RNV11" s="75"/>
      <c r="RNW11" s="75"/>
      <c r="RNX11" s="75"/>
      <c r="RNY11" s="75"/>
      <c r="RNZ11" s="75"/>
      <c r="ROA11" s="75"/>
      <c r="ROB11" s="75"/>
      <c r="ROC11" s="75"/>
      <c r="ROD11" s="75"/>
      <c r="ROE11" s="75"/>
      <c r="ROF11" s="75"/>
      <c r="ROG11" s="75"/>
      <c r="ROH11" s="75"/>
      <c r="ROI11" s="75"/>
      <c r="ROJ11" s="75"/>
      <c r="ROK11" s="75"/>
      <c r="ROL11" s="75"/>
      <c r="ROM11" s="75"/>
      <c r="RON11" s="75"/>
      <c r="ROO11" s="75"/>
      <c r="ROP11" s="75"/>
      <c r="ROQ11" s="75"/>
      <c r="ROR11" s="75"/>
      <c r="ROS11" s="75"/>
      <c r="ROT11" s="75"/>
      <c r="ROU11" s="75"/>
      <c r="ROV11" s="75"/>
      <c r="ROW11" s="75"/>
      <c r="ROX11" s="75"/>
      <c r="ROY11" s="75"/>
      <c r="ROZ11" s="75"/>
      <c r="RPA11" s="75"/>
      <c r="RPB11" s="75"/>
      <c r="RPC11" s="75"/>
      <c r="RPD11" s="75"/>
      <c r="RPE11" s="75"/>
      <c r="RPF11" s="75"/>
      <c r="RPG11" s="75"/>
      <c r="RPH11" s="75"/>
      <c r="RPI11" s="75"/>
      <c r="RPJ11" s="75"/>
      <c r="RPK11" s="75"/>
      <c r="RPL11" s="75"/>
      <c r="RPM11" s="75"/>
      <c r="RPN11" s="75"/>
      <c r="RPO11" s="75"/>
      <c r="RPP11" s="75"/>
      <c r="RPQ11" s="75"/>
      <c r="RPR11" s="75"/>
      <c r="RPS11" s="75"/>
      <c r="RPT11" s="75"/>
      <c r="RPU11" s="75"/>
      <c r="RPV11" s="75"/>
      <c r="RPW11" s="75"/>
      <c r="RPX11" s="75"/>
      <c r="RPY11" s="75"/>
      <c r="RPZ11" s="75"/>
      <c r="RQA11" s="75"/>
      <c r="RQB11" s="75"/>
      <c r="RQC11" s="75"/>
      <c r="RQD11" s="75"/>
      <c r="RQE11" s="75"/>
      <c r="RQF11" s="75"/>
      <c r="RQG11" s="75"/>
      <c r="RQH11" s="75"/>
      <c r="RQI11" s="75"/>
      <c r="RQJ11" s="75"/>
      <c r="RQK11" s="75"/>
      <c r="RQL11" s="75"/>
      <c r="RQM11" s="75"/>
      <c r="RQN11" s="75"/>
      <c r="RQO11" s="75"/>
      <c r="RQP11" s="75"/>
      <c r="RQQ11" s="75"/>
      <c r="RQR11" s="75"/>
      <c r="RQS11" s="75"/>
      <c r="RQT11" s="75"/>
      <c r="RQU11" s="75"/>
      <c r="RQV11" s="75"/>
      <c r="RQW11" s="75"/>
      <c r="RQX11" s="75"/>
      <c r="RQY11" s="75"/>
      <c r="RQZ11" s="75"/>
      <c r="RRA11" s="75"/>
      <c r="RRB11" s="75"/>
      <c r="RRC11" s="75"/>
      <c r="RRD11" s="75"/>
      <c r="RRE11" s="75"/>
      <c r="RRF11" s="75"/>
      <c r="RRG11" s="75"/>
      <c r="RRH11" s="75"/>
      <c r="RRI11" s="75"/>
      <c r="RRJ11" s="75"/>
      <c r="RRK11" s="75"/>
      <c r="RRL11" s="75"/>
      <c r="RRM11" s="75"/>
      <c r="RRN11" s="75"/>
      <c r="RRO11" s="75"/>
      <c r="RRP11" s="75"/>
      <c r="RRQ11" s="75"/>
      <c r="RRR11" s="75"/>
      <c r="RRS11" s="75"/>
      <c r="RRT11" s="75"/>
      <c r="RRU11" s="75"/>
      <c r="RRV11" s="75"/>
      <c r="RRW11" s="75"/>
      <c r="RRX11" s="75"/>
      <c r="RRY11" s="75"/>
      <c r="RRZ11" s="75"/>
      <c r="RSA11" s="75"/>
      <c r="RSB11" s="75"/>
      <c r="RSC11" s="75"/>
      <c r="RSD11" s="75"/>
      <c r="RSE11" s="75"/>
      <c r="RSF11" s="75"/>
      <c r="RSG11" s="75"/>
      <c r="RSH11" s="75"/>
      <c r="RSI11" s="75"/>
      <c r="RSJ11" s="75"/>
      <c r="RSK11" s="75"/>
      <c r="RSL11" s="75"/>
      <c r="RSM11" s="75"/>
      <c r="RSN11" s="75"/>
      <c r="RSO11" s="75"/>
      <c r="RSP11" s="75"/>
      <c r="RSQ11" s="75"/>
      <c r="RSR11" s="75"/>
      <c r="RSS11" s="75"/>
      <c r="RST11" s="75"/>
      <c r="RSU11" s="75"/>
      <c r="RSV11" s="75"/>
      <c r="RSW11" s="75"/>
      <c r="RSX11" s="75"/>
      <c r="RSY11" s="75"/>
      <c r="RSZ11" s="75"/>
      <c r="RTA11" s="75"/>
      <c r="RTB11" s="75"/>
      <c r="RTC11" s="75"/>
      <c r="RTD11" s="75"/>
      <c r="RTE11" s="75"/>
      <c r="RTF11" s="75"/>
      <c r="RTG11" s="75"/>
      <c r="RTH11" s="75"/>
      <c r="RTI11" s="75"/>
      <c r="RTJ11" s="75"/>
      <c r="RTK11" s="75"/>
      <c r="RTL11" s="75"/>
      <c r="RTM11" s="75"/>
      <c r="RTN11" s="75"/>
      <c r="RTO11" s="75"/>
      <c r="RTP11" s="75"/>
      <c r="RTQ11" s="75"/>
      <c r="RTR11" s="75"/>
      <c r="RTS11" s="75"/>
      <c r="RTT11" s="75"/>
      <c r="RTU11" s="75"/>
      <c r="RTV11" s="75"/>
      <c r="RTW11" s="75"/>
      <c r="RTX11" s="75"/>
      <c r="RTY11" s="75"/>
      <c r="RTZ11" s="75"/>
      <c r="RUA11" s="75"/>
      <c r="RUB11" s="75"/>
      <c r="RUC11" s="75"/>
      <c r="RUD11" s="75"/>
      <c r="RUE11" s="75"/>
      <c r="RUF11" s="75"/>
      <c r="RUG11" s="75"/>
      <c r="RUH11" s="75"/>
      <c r="RUI11" s="75"/>
      <c r="RUJ11" s="75"/>
      <c r="RUK11" s="75"/>
      <c r="RUL11" s="75"/>
      <c r="RUM11" s="75"/>
      <c r="RUN11" s="75"/>
      <c r="RUO11" s="75"/>
      <c r="RUP11" s="75"/>
      <c r="RUQ11" s="75"/>
      <c r="RUR11" s="75"/>
      <c r="RUS11" s="75"/>
      <c r="RUT11" s="75"/>
      <c r="RUU11" s="75"/>
      <c r="RUV11" s="75"/>
      <c r="RUW11" s="75"/>
      <c r="RUX11" s="75"/>
      <c r="RUY11" s="75"/>
      <c r="RUZ11" s="75"/>
      <c r="RVA11" s="75"/>
      <c r="RVB11" s="75"/>
      <c r="RVC11" s="75"/>
      <c r="RVD11" s="75"/>
      <c r="RVE11" s="75"/>
      <c r="RVF11" s="75"/>
      <c r="RVG11" s="75"/>
      <c r="RVH11" s="75"/>
      <c r="RVI11" s="75"/>
      <c r="RVJ11" s="75"/>
      <c r="RVK11" s="75"/>
      <c r="RVL11" s="75"/>
      <c r="RVM11" s="75"/>
      <c r="RVN11" s="75"/>
      <c r="RVO11" s="75"/>
      <c r="RVP11" s="75"/>
      <c r="RVQ11" s="75"/>
      <c r="RVR11" s="75"/>
      <c r="RVS11" s="75"/>
      <c r="RVT11" s="75"/>
      <c r="RVU11" s="75"/>
      <c r="RVV11" s="75"/>
      <c r="RVW11" s="75"/>
      <c r="RVX11" s="75"/>
      <c r="RVY11" s="75"/>
      <c r="RVZ11" s="75"/>
      <c r="RWA11" s="75"/>
      <c r="RWB11" s="75"/>
      <c r="RWC11" s="75"/>
      <c r="RWD11" s="75"/>
      <c r="RWE11" s="75"/>
      <c r="RWF11" s="75"/>
      <c r="RWG11" s="75"/>
      <c r="RWH11" s="75"/>
      <c r="RWI11" s="75"/>
      <c r="RWJ11" s="75"/>
      <c r="RWK11" s="75"/>
      <c r="RWL11" s="75"/>
      <c r="RWM11" s="75"/>
      <c r="RWN11" s="75"/>
      <c r="RWO11" s="75"/>
      <c r="RWP11" s="75"/>
      <c r="RWQ11" s="75"/>
      <c r="RWR11" s="75"/>
      <c r="RWS11" s="75"/>
      <c r="RWT11" s="75"/>
      <c r="RWU11" s="75"/>
      <c r="RWV11" s="75"/>
      <c r="RWW11" s="75"/>
      <c r="RWX11" s="75"/>
      <c r="RWY11" s="75"/>
      <c r="RWZ11" s="75"/>
      <c r="RXA11" s="75"/>
      <c r="RXB11" s="75"/>
      <c r="RXC11" s="75"/>
      <c r="RXD11" s="75"/>
      <c r="RXE11" s="75"/>
      <c r="RXF11" s="75"/>
      <c r="RXG11" s="75"/>
      <c r="RXH11" s="75"/>
      <c r="RXI11" s="75"/>
      <c r="RXJ11" s="75"/>
      <c r="RXK11" s="75"/>
      <c r="RXL11" s="75"/>
      <c r="RXM11" s="75"/>
      <c r="RXN11" s="75"/>
      <c r="RXO11" s="75"/>
      <c r="RXP11" s="75"/>
      <c r="RXQ11" s="75"/>
      <c r="RXR11" s="75"/>
      <c r="RXS11" s="75"/>
      <c r="RXT11" s="75"/>
      <c r="RXU11" s="75"/>
      <c r="RXV11" s="75"/>
      <c r="RXW11" s="75"/>
      <c r="RXX11" s="75"/>
      <c r="RXY11" s="75"/>
      <c r="RXZ11" s="75"/>
      <c r="RYA11" s="75"/>
      <c r="RYB11" s="75"/>
      <c r="RYC11" s="75"/>
      <c r="RYD11" s="75"/>
      <c r="RYE11" s="75"/>
      <c r="RYF11" s="75"/>
      <c r="RYG11" s="75"/>
      <c r="RYH11" s="75"/>
      <c r="RYI11" s="75"/>
      <c r="RYJ11" s="75"/>
      <c r="RYK11" s="75"/>
      <c r="RYL11" s="75"/>
      <c r="RYM11" s="75"/>
      <c r="RYN11" s="75"/>
      <c r="RYO11" s="75"/>
      <c r="RYP11" s="75"/>
      <c r="RYQ11" s="75"/>
      <c r="RYR11" s="75"/>
      <c r="RYS11" s="75"/>
      <c r="RYT11" s="75"/>
      <c r="RYU11" s="75"/>
      <c r="RYV11" s="75"/>
      <c r="RYW11" s="75"/>
      <c r="RYX11" s="75"/>
      <c r="RYY11" s="75"/>
      <c r="RYZ11" s="75"/>
      <c r="RZA11" s="75"/>
      <c r="RZB11" s="75"/>
      <c r="RZC11" s="75"/>
      <c r="RZD11" s="75"/>
      <c r="RZE11" s="75"/>
      <c r="RZF11" s="75"/>
      <c r="RZG11" s="75"/>
      <c r="RZH11" s="75"/>
      <c r="RZI11" s="75"/>
      <c r="RZJ11" s="75"/>
      <c r="RZK11" s="75"/>
      <c r="RZL11" s="75"/>
      <c r="RZM11" s="75"/>
      <c r="RZN11" s="75"/>
      <c r="RZO11" s="75"/>
      <c r="RZP11" s="75"/>
      <c r="RZQ11" s="75"/>
      <c r="RZR11" s="75"/>
      <c r="RZS11" s="75"/>
      <c r="RZT11" s="75"/>
      <c r="RZU11" s="75"/>
      <c r="RZV11" s="75"/>
      <c r="RZW11" s="75"/>
      <c r="RZX11" s="75"/>
      <c r="RZY11" s="75"/>
      <c r="RZZ11" s="75"/>
      <c r="SAA11" s="75"/>
      <c r="SAB11" s="75"/>
      <c r="SAC11" s="75"/>
      <c r="SAD11" s="75"/>
      <c r="SAE11" s="75"/>
      <c r="SAF11" s="75"/>
      <c r="SAG11" s="75"/>
      <c r="SAH11" s="75"/>
      <c r="SAI11" s="75"/>
      <c r="SAJ11" s="75"/>
      <c r="SAK11" s="75"/>
      <c r="SAL11" s="75"/>
      <c r="SAM11" s="75"/>
      <c r="SAN11" s="75"/>
      <c r="SAO11" s="75"/>
      <c r="SAP11" s="75"/>
      <c r="SAQ11" s="75"/>
      <c r="SAR11" s="75"/>
      <c r="SAS11" s="75"/>
      <c r="SAT11" s="75"/>
      <c r="SAU11" s="75"/>
      <c r="SAV11" s="75"/>
      <c r="SAW11" s="75"/>
      <c r="SAX11" s="75"/>
      <c r="SAY11" s="75"/>
      <c r="SAZ11" s="75"/>
      <c r="SBA11" s="75"/>
      <c r="SBB11" s="75"/>
      <c r="SBC11" s="75"/>
      <c r="SBD11" s="75"/>
      <c r="SBE11" s="75"/>
      <c r="SBF11" s="75"/>
      <c r="SBG11" s="75"/>
      <c r="SBH11" s="75"/>
      <c r="SBI11" s="75"/>
      <c r="SBJ11" s="75"/>
      <c r="SBK11" s="75"/>
      <c r="SBL11" s="75"/>
      <c r="SBM11" s="75"/>
      <c r="SBN11" s="75"/>
      <c r="SBO11" s="75"/>
      <c r="SBP11" s="75"/>
      <c r="SBQ11" s="75"/>
      <c r="SBR11" s="75"/>
      <c r="SBS11" s="75"/>
      <c r="SBT11" s="75"/>
      <c r="SBU11" s="75"/>
      <c r="SBV11" s="75"/>
      <c r="SBW11" s="75"/>
      <c r="SBX11" s="75"/>
      <c r="SBY11" s="75"/>
      <c r="SBZ11" s="75"/>
      <c r="SCA11" s="75"/>
      <c r="SCB11" s="75"/>
      <c r="SCC11" s="75"/>
      <c r="SCD11" s="75"/>
      <c r="SCE11" s="75"/>
      <c r="SCF11" s="75"/>
      <c r="SCG11" s="75"/>
      <c r="SCH11" s="75"/>
      <c r="SCI11" s="75"/>
      <c r="SCJ11" s="75"/>
      <c r="SCK11" s="75"/>
      <c r="SCL11" s="75"/>
      <c r="SCM11" s="75"/>
      <c r="SCN11" s="75"/>
      <c r="SCO11" s="75"/>
      <c r="SCP11" s="75"/>
      <c r="SCQ11" s="75"/>
      <c r="SCR11" s="75"/>
      <c r="SCS11" s="75"/>
      <c r="SCT11" s="75"/>
      <c r="SCU11" s="75"/>
      <c r="SCV11" s="75"/>
      <c r="SCW11" s="75"/>
      <c r="SCX11" s="75"/>
      <c r="SCY11" s="75"/>
      <c r="SCZ11" s="75"/>
      <c r="SDA11" s="75"/>
      <c r="SDB11" s="75"/>
      <c r="SDC11" s="75"/>
      <c r="SDD11" s="75"/>
      <c r="SDE11" s="75"/>
      <c r="SDF11" s="75"/>
      <c r="SDG11" s="75"/>
      <c r="SDH11" s="75"/>
      <c r="SDI11" s="75"/>
      <c r="SDJ11" s="75"/>
      <c r="SDK11" s="75"/>
      <c r="SDL11" s="75"/>
      <c r="SDM11" s="75"/>
      <c r="SDN11" s="75"/>
      <c r="SDO11" s="75"/>
      <c r="SDP11" s="75"/>
      <c r="SDQ11" s="75"/>
      <c r="SDR11" s="75"/>
      <c r="SDS11" s="75"/>
      <c r="SDT11" s="75"/>
      <c r="SDU11" s="75"/>
      <c r="SDV11" s="75"/>
      <c r="SDW11" s="75"/>
      <c r="SDX11" s="75"/>
      <c r="SDY11" s="75"/>
      <c r="SDZ11" s="75"/>
      <c r="SEA11" s="75"/>
      <c r="SEB11" s="75"/>
      <c r="SEC11" s="75"/>
      <c r="SED11" s="75"/>
      <c r="SEE11" s="75"/>
      <c r="SEF11" s="75"/>
      <c r="SEG11" s="75"/>
      <c r="SEH11" s="75"/>
      <c r="SEI11" s="75"/>
      <c r="SEJ11" s="75"/>
      <c r="SEK11" s="75"/>
      <c r="SEL11" s="75"/>
      <c r="SEM11" s="75"/>
      <c r="SEN11" s="75"/>
      <c r="SEO11" s="75"/>
      <c r="SEP11" s="75"/>
      <c r="SEQ11" s="75"/>
      <c r="SER11" s="75"/>
      <c r="SES11" s="75"/>
      <c r="SET11" s="75"/>
      <c r="SEU11" s="75"/>
      <c r="SEV11" s="75"/>
      <c r="SEW11" s="75"/>
      <c r="SEX11" s="75"/>
      <c r="SEY11" s="75"/>
      <c r="SEZ11" s="75"/>
      <c r="SFA11" s="75"/>
      <c r="SFB11" s="75"/>
      <c r="SFC11" s="75"/>
      <c r="SFD11" s="75"/>
      <c r="SFE11" s="75"/>
      <c r="SFF11" s="75"/>
      <c r="SFG11" s="75"/>
      <c r="SFH11" s="75"/>
      <c r="SFI11" s="75"/>
      <c r="SFJ11" s="75"/>
      <c r="SFK11" s="75"/>
      <c r="SFL11" s="75"/>
      <c r="SFM11" s="75"/>
      <c r="SFN11" s="75"/>
      <c r="SFO11" s="75"/>
      <c r="SFP11" s="75"/>
      <c r="SFQ11" s="75"/>
      <c r="SFR11" s="75"/>
      <c r="SFS11" s="75"/>
      <c r="SFT11" s="75"/>
      <c r="SFU11" s="75"/>
      <c r="SFV11" s="75"/>
      <c r="SFW11" s="75"/>
      <c r="SFX11" s="75"/>
      <c r="SFY11" s="75"/>
      <c r="SFZ11" s="75"/>
      <c r="SGA11" s="75"/>
      <c r="SGB11" s="75"/>
      <c r="SGC11" s="75"/>
      <c r="SGD11" s="75"/>
      <c r="SGE11" s="75"/>
      <c r="SGF11" s="75"/>
      <c r="SGG11" s="75"/>
      <c r="SGH11" s="75"/>
      <c r="SGI11" s="75"/>
      <c r="SGJ11" s="75"/>
      <c r="SGK11" s="75"/>
      <c r="SGL11" s="75"/>
      <c r="SGM11" s="75"/>
      <c r="SGN11" s="75"/>
      <c r="SGO11" s="75"/>
      <c r="SGP11" s="75"/>
      <c r="SGQ11" s="75"/>
      <c r="SGR11" s="75"/>
      <c r="SGS11" s="75"/>
      <c r="SGT11" s="75"/>
      <c r="SGU11" s="75"/>
      <c r="SGV11" s="75"/>
      <c r="SGW11" s="75"/>
      <c r="SGX11" s="75"/>
      <c r="SGY11" s="75"/>
      <c r="SGZ11" s="75"/>
      <c r="SHA11" s="75"/>
      <c r="SHB11" s="75"/>
      <c r="SHC11" s="75"/>
      <c r="SHD11" s="75"/>
      <c r="SHE11" s="75"/>
      <c r="SHF11" s="75"/>
      <c r="SHG11" s="75"/>
      <c r="SHH11" s="75"/>
      <c r="SHI11" s="75"/>
      <c r="SHJ11" s="75"/>
      <c r="SHK11" s="75"/>
      <c r="SHL11" s="75"/>
      <c r="SHM11" s="75"/>
      <c r="SHN11" s="75"/>
      <c r="SHO11" s="75"/>
      <c r="SHP11" s="75"/>
      <c r="SHQ11" s="75"/>
      <c r="SHR11" s="75"/>
      <c r="SHS11" s="75"/>
      <c r="SHT11" s="75"/>
      <c r="SHU11" s="75"/>
      <c r="SHV11" s="75"/>
      <c r="SHW11" s="75"/>
      <c r="SHX11" s="75"/>
      <c r="SHY11" s="75"/>
      <c r="SHZ11" s="75"/>
      <c r="SIA11" s="75"/>
      <c r="SIB11" s="75"/>
      <c r="SIC11" s="75"/>
      <c r="SID11" s="75"/>
      <c r="SIE11" s="75"/>
      <c r="SIF11" s="75"/>
      <c r="SIG11" s="75"/>
      <c r="SIH11" s="75"/>
      <c r="SII11" s="75"/>
      <c r="SIJ11" s="75"/>
      <c r="SIK11" s="75"/>
      <c r="SIL11" s="75"/>
      <c r="SIM11" s="75"/>
      <c r="SIN11" s="75"/>
      <c r="SIO11" s="75"/>
      <c r="SIP11" s="75"/>
      <c r="SIQ11" s="75"/>
      <c r="SIR11" s="75"/>
      <c r="SIS11" s="75"/>
      <c r="SIT11" s="75"/>
      <c r="SIU11" s="75"/>
      <c r="SIV11" s="75"/>
      <c r="SIW11" s="75"/>
      <c r="SIX11" s="75"/>
      <c r="SIY11" s="75"/>
      <c r="SIZ11" s="75"/>
      <c r="SJA11" s="75"/>
      <c r="SJB11" s="75"/>
      <c r="SJC11" s="75"/>
      <c r="SJD11" s="75"/>
      <c r="SJE11" s="75"/>
      <c r="SJF11" s="75"/>
      <c r="SJG11" s="75"/>
      <c r="SJH11" s="75"/>
      <c r="SJI11" s="75"/>
      <c r="SJJ11" s="75"/>
      <c r="SJK11" s="75"/>
      <c r="SJL11" s="75"/>
      <c r="SJM11" s="75"/>
      <c r="SJN11" s="75"/>
      <c r="SJO11" s="75"/>
      <c r="SJP11" s="75"/>
      <c r="SJQ11" s="75"/>
      <c r="SJR11" s="75"/>
      <c r="SJS11" s="75"/>
      <c r="SJT11" s="75"/>
      <c r="SJU11" s="75"/>
      <c r="SJV11" s="75"/>
      <c r="SJW11" s="75"/>
      <c r="SJX11" s="75"/>
      <c r="SJY11" s="75"/>
      <c r="SJZ11" s="75"/>
      <c r="SKA11" s="75"/>
      <c r="SKB11" s="75"/>
      <c r="SKC11" s="75"/>
      <c r="SKD11" s="75"/>
      <c r="SKE11" s="75"/>
      <c r="SKF11" s="75"/>
      <c r="SKG11" s="75"/>
      <c r="SKH11" s="75"/>
      <c r="SKI11" s="75"/>
      <c r="SKJ11" s="75"/>
      <c r="SKK11" s="75"/>
      <c r="SKL11" s="75"/>
      <c r="SKM11" s="75"/>
      <c r="SKN11" s="75"/>
      <c r="SKO11" s="75"/>
      <c r="SKP11" s="75"/>
      <c r="SKQ11" s="75"/>
      <c r="SKR11" s="75"/>
      <c r="SKS11" s="75"/>
      <c r="SKT11" s="75"/>
      <c r="SKU11" s="75"/>
      <c r="SKV11" s="75"/>
      <c r="SKW11" s="75"/>
      <c r="SKX11" s="75"/>
      <c r="SKY11" s="75"/>
      <c r="SKZ11" s="75"/>
      <c r="SLA11" s="75"/>
      <c r="SLB11" s="75"/>
      <c r="SLC11" s="75"/>
      <c r="SLD11" s="75"/>
      <c r="SLE11" s="75"/>
      <c r="SLF11" s="75"/>
      <c r="SLG11" s="75"/>
      <c r="SLH11" s="75"/>
      <c r="SLI11" s="75"/>
      <c r="SLJ11" s="75"/>
      <c r="SLK11" s="75"/>
      <c r="SLL11" s="75"/>
      <c r="SLM11" s="75"/>
      <c r="SLN11" s="75"/>
      <c r="SLO11" s="75"/>
      <c r="SLP11" s="75"/>
      <c r="SLQ11" s="75"/>
      <c r="SLR11" s="75"/>
      <c r="SLS11" s="75"/>
      <c r="SLT11" s="75"/>
      <c r="SLU11" s="75"/>
      <c r="SLV11" s="75"/>
      <c r="SLW11" s="75"/>
      <c r="SLX11" s="75"/>
      <c r="SLY11" s="75"/>
      <c r="SLZ11" s="75"/>
      <c r="SMA11" s="75"/>
      <c r="SMB11" s="75"/>
      <c r="SMC11" s="75"/>
      <c r="SMD11" s="75"/>
      <c r="SME11" s="75"/>
      <c r="SMF11" s="75"/>
      <c r="SMG11" s="75"/>
      <c r="SMH11" s="75"/>
      <c r="SMI11" s="75"/>
      <c r="SMJ11" s="75"/>
      <c r="SMK11" s="75"/>
      <c r="SML11" s="75"/>
      <c r="SMM11" s="75"/>
      <c r="SMN11" s="75"/>
      <c r="SMO11" s="75"/>
      <c r="SMP11" s="75"/>
      <c r="SMQ11" s="75"/>
      <c r="SMR11" s="75"/>
      <c r="SMS11" s="75"/>
      <c r="SMT11" s="75"/>
      <c r="SMU11" s="75"/>
      <c r="SMV11" s="75"/>
      <c r="SMW11" s="75"/>
      <c r="SMX11" s="75"/>
      <c r="SMY11" s="75"/>
      <c r="SMZ11" s="75"/>
      <c r="SNA11" s="75"/>
      <c r="SNB11" s="75"/>
      <c r="SNC11" s="75"/>
      <c r="SND11" s="75"/>
      <c r="SNE11" s="75"/>
      <c r="SNF11" s="75"/>
      <c r="SNG11" s="75"/>
      <c r="SNH11" s="75"/>
      <c r="SNI11" s="75"/>
      <c r="SNJ11" s="75"/>
      <c r="SNK11" s="75"/>
      <c r="SNL11" s="75"/>
      <c r="SNM11" s="75"/>
      <c r="SNN11" s="75"/>
      <c r="SNO11" s="75"/>
      <c r="SNP11" s="75"/>
      <c r="SNQ11" s="75"/>
      <c r="SNR11" s="75"/>
      <c r="SNS11" s="75"/>
      <c r="SNT11" s="75"/>
      <c r="SNU11" s="75"/>
      <c r="SNV11" s="75"/>
      <c r="SNW11" s="75"/>
      <c r="SNX11" s="75"/>
      <c r="SNY11" s="75"/>
      <c r="SNZ11" s="75"/>
      <c r="SOA11" s="75"/>
      <c r="SOB11" s="75"/>
      <c r="SOC11" s="75"/>
      <c r="SOD11" s="75"/>
      <c r="SOE11" s="75"/>
      <c r="SOF11" s="75"/>
      <c r="SOG11" s="75"/>
      <c r="SOH11" s="75"/>
      <c r="SOI11" s="75"/>
      <c r="SOJ11" s="75"/>
      <c r="SOK11" s="75"/>
      <c r="SOL11" s="75"/>
      <c r="SOM11" s="75"/>
      <c r="SON11" s="75"/>
      <c r="SOO11" s="75"/>
      <c r="SOP11" s="75"/>
      <c r="SOQ11" s="75"/>
      <c r="SOR11" s="75"/>
      <c r="SOS11" s="75"/>
      <c r="SOT11" s="75"/>
      <c r="SOU11" s="75"/>
      <c r="SOV11" s="75"/>
      <c r="SOW11" s="75"/>
      <c r="SOX11" s="75"/>
      <c r="SOY11" s="75"/>
      <c r="SOZ11" s="75"/>
      <c r="SPA11" s="75"/>
      <c r="SPB11" s="75"/>
      <c r="SPC11" s="75"/>
      <c r="SPD11" s="75"/>
      <c r="SPE11" s="75"/>
      <c r="SPF11" s="75"/>
      <c r="SPG11" s="75"/>
      <c r="SPH11" s="75"/>
      <c r="SPI11" s="75"/>
      <c r="SPJ11" s="75"/>
      <c r="SPK11" s="75"/>
      <c r="SPL11" s="75"/>
      <c r="SPM11" s="75"/>
      <c r="SPN11" s="75"/>
      <c r="SPO11" s="75"/>
      <c r="SPP11" s="75"/>
      <c r="SPQ11" s="75"/>
      <c r="SPR11" s="75"/>
      <c r="SPS11" s="75"/>
      <c r="SPT11" s="75"/>
      <c r="SPU11" s="75"/>
      <c r="SPV11" s="75"/>
      <c r="SPW11" s="75"/>
      <c r="SPX11" s="75"/>
      <c r="SPY11" s="75"/>
      <c r="SPZ11" s="75"/>
      <c r="SQA11" s="75"/>
      <c r="SQB11" s="75"/>
      <c r="SQC11" s="75"/>
      <c r="SQD11" s="75"/>
      <c r="SQE11" s="75"/>
      <c r="SQF11" s="75"/>
      <c r="SQG11" s="75"/>
      <c r="SQH11" s="75"/>
      <c r="SQI11" s="75"/>
      <c r="SQJ11" s="75"/>
      <c r="SQK11" s="75"/>
      <c r="SQL11" s="75"/>
      <c r="SQM11" s="75"/>
      <c r="SQN11" s="75"/>
      <c r="SQO11" s="75"/>
      <c r="SQP11" s="75"/>
      <c r="SQQ11" s="75"/>
      <c r="SQR11" s="75"/>
      <c r="SQS11" s="75"/>
      <c r="SQT11" s="75"/>
      <c r="SQU11" s="75"/>
      <c r="SQV11" s="75"/>
      <c r="SQW11" s="75"/>
      <c r="SQX11" s="75"/>
      <c r="SQY11" s="75"/>
      <c r="SQZ11" s="75"/>
      <c r="SRA11" s="75"/>
      <c r="SRB11" s="75"/>
      <c r="SRC11" s="75"/>
      <c r="SRD11" s="75"/>
      <c r="SRE11" s="75"/>
      <c r="SRF11" s="75"/>
      <c r="SRG11" s="75"/>
      <c r="SRH11" s="75"/>
      <c r="SRI11" s="75"/>
      <c r="SRJ11" s="75"/>
      <c r="SRK11" s="75"/>
      <c r="SRL11" s="75"/>
      <c r="SRM11" s="75"/>
      <c r="SRN11" s="75"/>
      <c r="SRO11" s="75"/>
      <c r="SRP11" s="75"/>
      <c r="SRQ11" s="75"/>
      <c r="SRR11" s="75"/>
      <c r="SRS11" s="75"/>
      <c r="SRT11" s="75"/>
      <c r="SRU11" s="75"/>
      <c r="SRV11" s="75"/>
      <c r="SRW11" s="75"/>
      <c r="SRX11" s="75"/>
      <c r="SRY11" s="75"/>
      <c r="SRZ11" s="75"/>
      <c r="SSA11" s="75"/>
      <c r="SSB11" s="75"/>
      <c r="SSC11" s="75"/>
      <c r="SSD11" s="75"/>
      <c r="SSE11" s="75"/>
      <c r="SSF11" s="75"/>
      <c r="SSG11" s="75"/>
      <c r="SSH11" s="75"/>
      <c r="SSI11" s="75"/>
      <c r="SSJ11" s="75"/>
      <c r="SSK11" s="75"/>
      <c r="SSL11" s="75"/>
      <c r="SSM11" s="75"/>
      <c r="SSN11" s="75"/>
      <c r="SSO11" s="75"/>
      <c r="SSP11" s="75"/>
      <c r="SSQ11" s="75"/>
      <c r="SSR11" s="75"/>
      <c r="SSS11" s="75"/>
      <c r="SST11" s="75"/>
      <c r="SSU11" s="75"/>
      <c r="SSV11" s="75"/>
      <c r="SSW11" s="75"/>
      <c r="SSX11" s="75"/>
      <c r="SSY11" s="75"/>
      <c r="SSZ11" s="75"/>
      <c r="STA11" s="75"/>
      <c r="STB11" s="75"/>
      <c r="STC11" s="75"/>
      <c r="STD11" s="75"/>
      <c r="STE11" s="75"/>
      <c r="STF11" s="75"/>
      <c r="STG11" s="75"/>
      <c r="STH11" s="75"/>
      <c r="STI11" s="75"/>
      <c r="STJ11" s="75"/>
      <c r="STK11" s="75"/>
      <c r="STL11" s="75"/>
      <c r="STM11" s="75"/>
      <c r="STN11" s="75"/>
      <c r="STO11" s="75"/>
      <c r="STP11" s="75"/>
      <c r="STQ11" s="75"/>
      <c r="STR11" s="75"/>
      <c r="STS11" s="75"/>
      <c r="STT11" s="75"/>
      <c r="STU11" s="75"/>
      <c r="STV11" s="75"/>
      <c r="STW11" s="75"/>
      <c r="STX11" s="75"/>
      <c r="STY11" s="75"/>
      <c r="STZ11" s="75"/>
      <c r="SUA11" s="75"/>
      <c r="SUB11" s="75"/>
      <c r="SUC11" s="75"/>
      <c r="SUD11" s="75"/>
      <c r="SUE11" s="75"/>
      <c r="SUF11" s="75"/>
      <c r="SUG11" s="75"/>
      <c r="SUH11" s="75"/>
      <c r="SUI11" s="75"/>
      <c r="SUJ11" s="75"/>
      <c r="SUK11" s="75"/>
      <c r="SUL11" s="75"/>
      <c r="SUM11" s="75"/>
      <c r="SUN11" s="75"/>
      <c r="SUO11" s="75"/>
      <c r="SUP11" s="75"/>
      <c r="SUQ11" s="75"/>
      <c r="SUR11" s="75"/>
      <c r="SUS11" s="75"/>
      <c r="SUT11" s="75"/>
      <c r="SUU11" s="75"/>
      <c r="SUV11" s="75"/>
      <c r="SUW11" s="75"/>
      <c r="SUX11" s="75"/>
      <c r="SUY11" s="75"/>
      <c r="SUZ11" s="75"/>
      <c r="SVA11" s="75"/>
      <c r="SVB11" s="75"/>
      <c r="SVC11" s="75"/>
      <c r="SVD11" s="75"/>
      <c r="SVE11" s="75"/>
      <c r="SVF11" s="75"/>
      <c r="SVG11" s="75"/>
      <c r="SVH11" s="75"/>
      <c r="SVI11" s="75"/>
      <c r="SVJ11" s="75"/>
      <c r="SVK11" s="75"/>
      <c r="SVL11" s="75"/>
      <c r="SVM11" s="75"/>
      <c r="SVN11" s="75"/>
      <c r="SVO11" s="75"/>
      <c r="SVP11" s="75"/>
      <c r="SVQ11" s="75"/>
      <c r="SVR11" s="75"/>
      <c r="SVS11" s="75"/>
      <c r="SVT11" s="75"/>
      <c r="SVU11" s="75"/>
      <c r="SVV11" s="75"/>
      <c r="SVW11" s="75"/>
      <c r="SVX11" s="75"/>
      <c r="SVY11" s="75"/>
      <c r="SVZ11" s="75"/>
      <c r="SWA11" s="75"/>
      <c r="SWB11" s="75"/>
      <c r="SWC11" s="75"/>
      <c r="SWD11" s="75"/>
      <c r="SWE11" s="75"/>
      <c r="SWF11" s="75"/>
      <c r="SWG11" s="75"/>
      <c r="SWH11" s="75"/>
      <c r="SWI11" s="75"/>
      <c r="SWJ11" s="75"/>
      <c r="SWK11" s="75"/>
      <c r="SWL11" s="75"/>
      <c r="SWM11" s="75"/>
      <c r="SWN11" s="75"/>
      <c r="SWO11" s="75"/>
      <c r="SWP11" s="75"/>
      <c r="SWQ11" s="75"/>
      <c r="SWR11" s="75"/>
      <c r="SWS11" s="75"/>
      <c r="SWT11" s="75"/>
      <c r="SWU11" s="75"/>
      <c r="SWV11" s="75"/>
      <c r="SWW11" s="75"/>
      <c r="SWX11" s="75"/>
      <c r="SWY11" s="75"/>
      <c r="SWZ11" s="75"/>
      <c r="SXA11" s="75"/>
      <c r="SXB11" s="75"/>
      <c r="SXC11" s="75"/>
      <c r="SXD11" s="75"/>
      <c r="SXE11" s="75"/>
      <c r="SXF11" s="75"/>
      <c r="SXG11" s="75"/>
      <c r="SXH11" s="75"/>
      <c r="SXI11" s="75"/>
      <c r="SXJ11" s="75"/>
      <c r="SXK11" s="75"/>
      <c r="SXL11" s="75"/>
      <c r="SXM11" s="75"/>
      <c r="SXN11" s="75"/>
      <c r="SXO11" s="75"/>
      <c r="SXP11" s="75"/>
      <c r="SXQ11" s="75"/>
      <c r="SXR11" s="75"/>
      <c r="SXS11" s="75"/>
      <c r="SXT11" s="75"/>
      <c r="SXU11" s="75"/>
      <c r="SXV11" s="75"/>
      <c r="SXW11" s="75"/>
      <c r="SXX11" s="75"/>
      <c r="SXY11" s="75"/>
      <c r="SXZ11" s="75"/>
      <c r="SYA11" s="75"/>
      <c r="SYB11" s="75"/>
      <c r="SYC11" s="75"/>
      <c r="SYD11" s="75"/>
      <c r="SYE11" s="75"/>
      <c r="SYF11" s="75"/>
      <c r="SYG11" s="75"/>
      <c r="SYH11" s="75"/>
      <c r="SYI11" s="75"/>
      <c r="SYJ11" s="75"/>
      <c r="SYK11" s="75"/>
      <c r="SYL11" s="75"/>
      <c r="SYM11" s="75"/>
      <c r="SYN11" s="75"/>
      <c r="SYO11" s="75"/>
      <c r="SYP11" s="75"/>
      <c r="SYQ11" s="75"/>
      <c r="SYR11" s="75"/>
      <c r="SYS11" s="75"/>
      <c r="SYT11" s="75"/>
      <c r="SYU11" s="75"/>
      <c r="SYV11" s="75"/>
      <c r="SYW11" s="75"/>
      <c r="SYX11" s="75"/>
      <c r="SYY11" s="75"/>
      <c r="SYZ11" s="75"/>
      <c r="SZA11" s="75"/>
      <c r="SZB11" s="75"/>
      <c r="SZC11" s="75"/>
      <c r="SZD11" s="75"/>
      <c r="SZE11" s="75"/>
      <c r="SZF11" s="75"/>
      <c r="SZG11" s="75"/>
      <c r="SZH11" s="75"/>
      <c r="SZI11" s="75"/>
      <c r="SZJ11" s="75"/>
      <c r="SZK11" s="75"/>
      <c r="SZL11" s="75"/>
      <c r="SZM11" s="75"/>
      <c r="SZN11" s="75"/>
      <c r="SZO11" s="75"/>
      <c r="SZP11" s="75"/>
      <c r="SZQ11" s="75"/>
      <c r="SZR11" s="75"/>
      <c r="SZS11" s="75"/>
      <c r="SZT11" s="75"/>
      <c r="SZU11" s="75"/>
      <c r="SZV11" s="75"/>
      <c r="SZW11" s="75"/>
      <c r="SZX11" s="75"/>
      <c r="SZY11" s="75"/>
      <c r="SZZ11" s="75"/>
      <c r="TAA11" s="75"/>
      <c r="TAB11" s="75"/>
      <c r="TAC11" s="75"/>
      <c r="TAD11" s="75"/>
      <c r="TAE11" s="75"/>
      <c r="TAF11" s="75"/>
      <c r="TAG11" s="75"/>
      <c r="TAH11" s="75"/>
      <c r="TAI11" s="75"/>
      <c r="TAJ11" s="75"/>
      <c r="TAK11" s="75"/>
      <c r="TAL11" s="75"/>
      <c r="TAM11" s="75"/>
      <c r="TAN11" s="75"/>
      <c r="TAO11" s="75"/>
      <c r="TAP11" s="75"/>
      <c r="TAQ11" s="75"/>
      <c r="TAR11" s="75"/>
      <c r="TAS11" s="75"/>
      <c r="TAT11" s="75"/>
      <c r="TAU11" s="75"/>
      <c r="TAV11" s="75"/>
      <c r="TAW11" s="75"/>
      <c r="TAX11" s="75"/>
      <c r="TAY11" s="75"/>
      <c r="TAZ11" s="75"/>
      <c r="TBA11" s="75"/>
      <c r="TBB11" s="75"/>
      <c r="TBC11" s="75"/>
      <c r="TBD11" s="75"/>
      <c r="TBE11" s="75"/>
      <c r="TBF11" s="75"/>
      <c r="TBG11" s="75"/>
      <c r="TBH11" s="75"/>
      <c r="TBI11" s="75"/>
      <c r="TBJ11" s="75"/>
      <c r="TBK11" s="75"/>
      <c r="TBL11" s="75"/>
      <c r="TBM11" s="75"/>
      <c r="TBN11" s="75"/>
      <c r="TBO11" s="75"/>
      <c r="TBP11" s="75"/>
      <c r="TBQ11" s="75"/>
      <c r="TBR11" s="75"/>
      <c r="TBS11" s="75"/>
      <c r="TBT11" s="75"/>
      <c r="TBU11" s="75"/>
      <c r="TBV11" s="75"/>
      <c r="TBW11" s="75"/>
      <c r="TBX11" s="75"/>
      <c r="TBY11" s="75"/>
      <c r="TBZ11" s="75"/>
      <c r="TCA11" s="75"/>
      <c r="TCB11" s="75"/>
      <c r="TCC11" s="75"/>
      <c r="TCD11" s="75"/>
      <c r="TCE11" s="75"/>
      <c r="TCF11" s="75"/>
      <c r="TCG11" s="75"/>
      <c r="TCH11" s="75"/>
      <c r="TCI11" s="75"/>
      <c r="TCJ11" s="75"/>
      <c r="TCK11" s="75"/>
      <c r="TCL11" s="75"/>
      <c r="TCM11" s="75"/>
      <c r="TCN11" s="75"/>
      <c r="TCO11" s="75"/>
      <c r="TCP11" s="75"/>
      <c r="TCQ11" s="75"/>
      <c r="TCR11" s="75"/>
      <c r="TCS11" s="75"/>
      <c r="TCT11" s="75"/>
      <c r="TCU11" s="75"/>
      <c r="TCV11" s="75"/>
      <c r="TCW11" s="75"/>
      <c r="TCX11" s="75"/>
      <c r="TCY11" s="75"/>
      <c r="TCZ11" s="75"/>
      <c r="TDA11" s="75"/>
      <c r="TDB11" s="75"/>
      <c r="TDC11" s="75"/>
      <c r="TDD11" s="75"/>
      <c r="TDE11" s="75"/>
      <c r="TDF11" s="75"/>
      <c r="TDG11" s="75"/>
      <c r="TDH11" s="75"/>
      <c r="TDI11" s="75"/>
      <c r="TDJ11" s="75"/>
      <c r="TDK11" s="75"/>
      <c r="TDL11" s="75"/>
      <c r="TDM11" s="75"/>
      <c r="TDN11" s="75"/>
      <c r="TDO11" s="75"/>
      <c r="TDP11" s="75"/>
      <c r="TDQ11" s="75"/>
      <c r="TDR11" s="75"/>
      <c r="TDS11" s="75"/>
      <c r="TDT11" s="75"/>
      <c r="TDU11" s="75"/>
      <c r="TDV11" s="75"/>
      <c r="TDW11" s="75"/>
      <c r="TDX11" s="75"/>
      <c r="TDY11" s="75"/>
      <c r="TDZ11" s="75"/>
      <c r="TEA11" s="75"/>
      <c r="TEB11" s="75"/>
      <c r="TEC11" s="75"/>
      <c r="TED11" s="75"/>
      <c r="TEE11" s="75"/>
      <c r="TEF11" s="75"/>
      <c r="TEG11" s="75"/>
      <c r="TEH11" s="75"/>
      <c r="TEI11" s="75"/>
      <c r="TEJ11" s="75"/>
      <c r="TEK11" s="75"/>
      <c r="TEL11" s="75"/>
      <c r="TEM11" s="75"/>
      <c r="TEN11" s="75"/>
      <c r="TEO11" s="75"/>
      <c r="TEP11" s="75"/>
      <c r="TEQ11" s="75"/>
      <c r="TER11" s="75"/>
      <c r="TES11" s="75"/>
      <c r="TET11" s="75"/>
      <c r="TEU11" s="75"/>
      <c r="TEV11" s="75"/>
      <c r="TEW11" s="75"/>
      <c r="TEX11" s="75"/>
      <c r="TEY11" s="75"/>
      <c r="TEZ11" s="75"/>
      <c r="TFA11" s="75"/>
      <c r="TFB11" s="75"/>
      <c r="TFC11" s="75"/>
      <c r="TFD11" s="75"/>
      <c r="TFE11" s="75"/>
      <c r="TFF11" s="75"/>
      <c r="TFG11" s="75"/>
      <c r="TFH11" s="75"/>
      <c r="TFI11" s="75"/>
      <c r="TFJ11" s="75"/>
      <c r="TFK11" s="75"/>
      <c r="TFL11" s="75"/>
      <c r="TFM11" s="75"/>
      <c r="TFN11" s="75"/>
      <c r="TFO11" s="75"/>
      <c r="TFP11" s="75"/>
      <c r="TFQ11" s="75"/>
      <c r="TFR11" s="75"/>
      <c r="TFS11" s="75"/>
      <c r="TFT11" s="75"/>
      <c r="TFU11" s="75"/>
      <c r="TFV11" s="75"/>
      <c r="TFW11" s="75"/>
      <c r="TFX11" s="75"/>
      <c r="TFY11" s="75"/>
      <c r="TFZ11" s="75"/>
      <c r="TGA11" s="75"/>
      <c r="TGB11" s="75"/>
      <c r="TGC11" s="75"/>
      <c r="TGD11" s="75"/>
      <c r="TGE11" s="75"/>
      <c r="TGF11" s="75"/>
      <c r="TGG11" s="75"/>
      <c r="TGH11" s="75"/>
      <c r="TGI11" s="75"/>
      <c r="TGJ11" s="75"/>
      <c r="TGK11" s="75"/>
      <c r="TGL11" s="75"/>
      <c r="TGM11" s="75"/>
      <c r="TGN11" s="75"/>
      <c r="TGO11" s="75"/>
      <c r="TGP11" s="75"/>
      <c r="TGQ11" s="75"/>
      <c r="TGR11" s="75"/>
      <c r="TGS11" s="75"/>
      <c r="TGT11" s="75"/>
      <c r="TGU11" s="75"/>
      <c r="TGV11" s="75"/>
      <c r="TGW11" s="75"/>
      <c r="TGX11" s="75"/>
      <c r="TGY11" s="75"/>
      <c r="TGZ11" s="75"/>
      <c r="THA11" s="75"/>
      <c r="THB11" s="75"/>
      <c r="THC11" s="75"/>
      <c r="THD11" s="75"/>
      <c r="THE11" s="75"/>
      <c r="THF11" s="75"/>
      <c r="THG11" s="75"/>
      <c r="THH11" s="75"/>
      <c r="THI11" s="75"/>
      <c r="THJ11" s="75"/>
      <c r="THK11" s="75"/>
      <c r="THL11" s="75"/>
      <c r="THM11" s="75"/>
      <c r="THN11" s="75"/>
      <c r="THO11" s="75"/>
      <c r="THP11" s="75"/>
      <c r="THQ11" s="75"/>
      <c r="THR11" s="75"/>
      <c r="THS11" s="75"/>
      <c r="THT11" s="75"/>
      <c r="THU11" s="75"/>
      <c r="THV11" s="75"/>
      <c r="THW11" s="75"/>
      <c r="THX11" s="75"/>
      <c r="THY11" s="75"/>
      <c r="THZ11" s="75"/>
      <c r="TIA11" s="75"/>
      <c r="TIB11" s="75"/>
      <c r="TIC11" s="75"/>
      <c r="TID11" s="75"/>
      <c r="TIE11" s="75"/>
      <c r="TIF11" s="75"/>
      <c r="TIG11" s="75"/>
      <c r="TIH11" s="75"/>
      <c r="TII11" s="75"/>
      <c r="TIJ11" s="75"/>
      <c r="TIK11" s="75"/>
      <c r="TIL11" s="75"/>
      <c r="TIM11" s="75"/>
      <c r="TIN11" s="75"/>
      <c r="TIO11" s="75"/>
      <c r="TIP11" s="75"/>
      <c r="TIQ11" s="75"/>
      <c r="TIR11" s="75"/>
      <c r="TIS11" s="75"/>
      <c r="TIT11" s="75"/>
      <c r="TIU11" s="75"/>
      <c r="TIV11" s="75"/>
      <c r="TIW11" s="75"/>
      <c r="TIX11" s="75"/>
      <c r="TIY11" s="75"/>
      <c r="TIZ11" s="75"/>
      <c r="TJA11" s="75"/>
      <c r="TJB11" s="75"/>
      <c r="TJC11" s="75"/>
      <c r="TJD11" s="75"/>
      <c r="TJE11" s="75"/>
      <c r="TJF11" s="75"/>
      <c r="TJG11" s="75"/>
      <c r="TJH11" s="75"/>
      <c r="TJI11" s="75"/>
      <c r="TJJ11" s="75"/>
      <c r="TJK11" s="75"/>
      <c r="TJL11" s="75"/>
      <c r="TJM11" s="75"/>
      <c r="TJN11" s="75"/>
      <c r="TJO11" s="75"/>
      <c r="TJP11" s="75"/>
      <c r="TJQ11" s="75"/>
      <c r="TJR11" s="75"/>
      <c r="TJS11" s="75"/>
      <c r="TJT11" s="75"/>
      <c r="TJU11" s="75"/>
      <c r="TJV11" s="75"/>
      <c r="TJW11" s="75"/>
      <c r="TJX11" s="75"/>
      <c r="TJY11" s="75"/>
      <c r="TJZ11" s="75"/>
      <c r="TKA11" s="75"/>
      <c r="TKB11" s="75"/>
      <c r="TKC11" s="75"/>
      <c r="TKD11" s="75"/>
      <c r="TKE11" s="75"/>
      <c r="TKF11" s="75"/>
      <c r="TKG11" s="75"/>
      <c r="TKH11" s="75"/>
      <c r="TKI11" s="75"/>
      <c r="TKJ11" s="75"/>
      <c r="TKK11" s="75"/>
      <c r="TKL11" s="75"/>
      <c r="TKM11" s="75"/>
      <c r="TKN11" s="75"/>
      <c r="TKO11" s="75"/>
      <c r="TKP11" s="75"/>
      <c r="TKQ11" s="75"/>
      <c r="TKR11" s="75"/>
      <c r="TKS11" s="75"/>
      <c r="TKT11" s="75"/>
      <c r="TKU11" s="75"/>
      <c r="TKV11" s="75"/>
      <c r="TKW11" s="75"/>
      <c r="TKX11" s="75"/>
      <c r="TKY11" s="75"/>
      <c r="TKZ11" s="75"/>
      <c r="TLA11" s="75"/>
      <c r="TLB11" s="75"/>
      <c r="TLC11" s="75"/>
      <c r="TLD11" s="75"/>
      <c r="TLE11" s="75"/>
      <c r="TLF11" s="75"/>
      <c r="TLG11" s="75"/>
      <c r="TLH11" s="75"/>
      <c r="TLI11" s="75"/>
      <c r="TLJ11" s="75"/>
      <c r="TLK11" s="75"/>
      <c r="TLL11" s="75"/>
      <c r="TLM11" s="75"/>
      <c r="TLN11" s="75"/>
      <c r="TLO11" s="75"/>
      <c r="TLP11" s="75"/>
      <c r="TLQ11" s="75"/>
      <c r="TLR11" s="75"/>
      <c r="TLS11" s="75"/>
      <c r="TLT11" s="75"/>
      <c r="TLU11" s="75"/>
      <c r="TLV11" s="75"/>
      <c r="TLW11" s="75"/>
      <c r="TLX11" s="75"/>
      <c r="TLY11" s="75"/>
      <c r="TLZ11" s="75"/>
      <c r="TMA11" s="75"/>
      <c r="TMB11" s="75"/>
      <c r="TMC11" s="75"/>
      <c r="TMD11" s="75"/>
      <c r="TME11" s="75"/>
      <c r="TMF11" s="75"/>
      <c r="TMG11" s="75"/>
      <c r="TMH11" s="75"/>
      <c r="TMI11" s="75"/>
      <c r="TMJ11" s="75"/>
      <c r="TMK11" s="75"/>
      <c r="TML11" s="75"/>
      <c r="TMM11" s="75"/>
      <c r="TMN11" s="75"/>
      <c r="TMO11" s="75"/>
      <c r="TMP11" s="75"/>
      <c r="TMQ11" s="75"/>
      <c r="TMR11" s="75"/>
      <c r="TMS11" s="75"/>
      <c r="TMT11" s="75"/>
      <c r="TMU11" s="75"/>
      <c r="TMV11" s="75"/>
      <c r="TMW11" s="75"/>
      <c r="TMX11" s="75"/>
      <c r="TMY11" s="75"/>
      <c r="TMZ11" s="75"/>
      <c r="TNA11" s="75"/>
      <c r="TNB11" s="75"/>
      <c r="TNC11" s="75"/>
      <c r="TND11" s="75"/>
      <c r="TNE11" s="75"/>
      <c r="TNF11" s="75"/>
      <c r="TNG11" s="75"/>
      <c r="TNH11" s="75"/>
      <c r="TNI11" s="75"/>
      <c r="TNJ11" s="75"/>
      <c r="TNK11" s="75"/>
      <c r="TNL11" s="75"/>
      <c r="TNM11" s="75"/>
      <c r="TNN11" s="75"/>
      <c r="TNO11" s="75"/>
      <c r="TNP11" s="75"/>
      <c r="TNQ11" s="75"/>
      <c r="TNR11" s="75"/>
      <c r="TNS11" s="75"/>
      <c r="TNT11" s="75"/>
      <c r="TNU11" s="75"/>
      <c r="TNV11" s="75"/>
      <c r="TNW11" s="75"/>
      <c r="TNX11" s="75"/>
      <c r="TNY11" s="75"/>
      <c r="TNZ11" s="75"/>
      <c r="TOA11" s="75"/>
      <c r="TOB11" s="75"/>
      <c r="TOC11" s="75"/>
      <c r="TOD11" s="75"/>
      <c r="TOE11" s="75"/>
      <c r="TOF11" s="75"/>
      <c r="TOG11" s="75"/>
      <c r="TOH11" s="75"/>
      <c r="TOI11" s="75"/>
      <c r="TOJ11" s="75"/>
      <c r="TOK11" s="75"/>
      <c r="TOL11" s="75"/>
      <c r="TOM11" s="75"/>
      <c r="TON11" s="75"/>
      <c r="TOO11" s="75"/>
      <c r="TOP11" s="75"/>
      <c r="TOQ11" s="75"/>
      <c r="TOR11" s="75"/>
      <c r="TOS11" s="75"/>
      <c r="TOT11" s="75"/>
      <c r="TOU11" s="75"/>
      <c r="TOV11" s="75"/>
      <c r="TOW11" s="75"/>
      <c r="TOX11" s="75"/>
      <c r="TOY11" s="75"/>
      <c r="TOZ11" s="75"/>
      <c r="TPA11" s="75"/>
      <c r="TPB11" s="75"/>
      <c r="TPC11" s="75"/>
      <c r="TPD11" s="75"/>
      <c r="TPE11" s="75"/>
      <c r="TPF11" s="75"/>
      <c r="TPG11" s="75"/>
      <c r="TPH11" s="75"/>
      <c r="TPI11" s="75"/>
      <c r="TPJ11" s="75"/>
      <c r="TPK11" s="75"/>
      <c r="TPL11" s="75"/>
      <c r="TPM11" s="75"/>
      <c r="TPN11" s="75"/>
      <c r="TPO11" s="75"/>
      <c r="TPP11" s="75"/>
      <c r="TPQ11" s="75"/>
      <c r="TPR11" s="75"/>
      <c r="TPS11" s="75"/>
      <c r="TPT11" s="75"/>
      <c r="TPU11" s="75"/>
      <c r="TPV11" s="75"/>
      <c r="TPW11" s="75"/>
      <c r="TPX11" s="75"/>
      <c r="TPY11" s="75"/>
      <c r="TPZ11" s="75"/>
      <c r="TQA11" s="75"/>
      <c r="TQB11" s="75"/>
      <c r="TQC11" s="75"/>
      <c r="TQD11" s="75"/>
      <c r="TQE11" s="75"/>
      <c r="TQF11" s="75"/>
      <c r="TQG11" s="75"/>
      <c r="TQH11" s="75"/>
      <c r="TQI11" s="75"/>
      <c r="TQJ11" s="75"/>
      <c r="TQK11" s="75"/>
      <c r="TQL11" s="75"/>
      <c r="TQM11" s="75"/>
      <c r="TQN11" s="75"/>
      <c r="TQO11" s="75"/>
      <c r="TQP11" s="75"/>
      <c r="TQQ11" s="75"/>
      <c r="TQR11" s="75"/>
      <c r="TQS11" s="75"/>
      <c r="TQT11" s="75"/>
      <c r="TQU11" s="75"/>
      <c r="TQV11" s="75"/>
      <c r="TQW11" s="75"/>
      <c r="TQX11" s="75"/>
      <c r="TQY11" s="75"/>
      <c r="TQZ11" s="75"/>
      <c r="TRA11" s="75"/>
      <c r="TRB11" s="75"/>
      <c r="TRC11" s="75"/>
      <c r="TRD11" s="75"/>
      <c r="TRE11" s="75"/>
      <c r="TRF11" s="75"/>
      <c r="TRG11" s="75"/>
      <c r="TRH11" s="75"/>
      <c r="TRI11" s="75"/>
      <c r="TRJ11" s="75"/>
      <c r="TRK11" s="75"/>
      <c r="TRL11" s="75"/>
      <c r="TRM11" s="75"/>
      <c r="TRN11" s="75"/>
      <c r="TRO11" s="75"/>
      <c r="TRP11" s="75"/>
      <c r="TRQ11" s="75"/>
      <c r="TRR11" s="75"/>
      <c r="TRS11" s="75"/>
      <c r="TRT11" s="75"/>
      <c r="TRU11" s="75"/>
      <c r="TRV11" s="75"/>
      <c r="TRW11" s="75"/>
      <c r="TRX11" s="75"/>
      <c r="TRY11" s="75"/>
      <c r="TRZ11" s="75"/>
      <c r="TSA11" s="75"/>
      <c r="TSB11" s="75"/>
      <c r="TSC11" s="75"/>
      <c r="TSD11" s="75"/>
      <c r="TSE11" s="75"/>
      <c r="TSF11" s="75"/>
      <c r="TSG11" s="75"/>
      <c r="TSH11" s="75"/>
      <c r="TSI11" s="75"/>
      <c r="TSJ11" s="75"/>
      <c r="TSK11" s="75"/>
      <c r="TSL11" s="75"/>
      <c r="TSM11" s="75"/>
      <c r="TSN11" s="75"/>
      <c r="TSO11" s="75"/>
      <c r="TSP11" s="75"/>
      <c r="TSQ11" s="75"/>
      <c r="TSR11" s="75"/>
      <c r="TSS11" s="75"/>
      <c r="TST11" s="75"/>
      <c r="TSU11" s="75"/>
      <c r="TSV11" s="75"/>
      <c r="TSW11" s="75"/>
      <c r="TSX11" s="75"/>
      <c r="TSY11" s="75"/>
      <c r="TSZ11" s="75"/>
      <c r="TTA11" s="75"/>
      <c r="TTB11" s="75"/>
      <c r="TTC11" s="75"/>
      <c r="TTD11" s="75"/>
      <c r="TTE11" s="75"/>
      <c r="TTF11" s="75"/>
      <c r="TTG11" s="75"/>
      <c r="TTH11" s="75"/>
      <c r="TTI11" s="75"/>
      <c r="TTJ11" s="75"/>
      <c r="TTK11" s="75"/>
      <c r="TTL11" s="75"/>
      <c r="TTM11" s="75"/>
      <c r="TTN11" s="75"/>
      <c r="TTO11" s="75"/>
      <c r="TTP11" s="75"/>
      <c r="TTQ11" s="75"/>
      <c r="TTR11" s="75"/>
      <c r="TTS11" s="75"/>
      <c r="TTT11" s="75"/>
      <c r="TTU11" s="75"/>
      <c r="TTV11" s="75"/>
      <c r="TTW11" s="75"/>
      <c r="TTX11" s="75"/>
      <c r="TTY11" s="75"/>
      <c r="TTZ11" s="75"/>
      <c r="TUA11" s="75"/>
      <c r="TUB11" s="75"/>
      <c r="TUC11" s="75"/>
      <c r="TUD11" s="75"/>
      <c r="TUE11" s="75"/>
      <c r="TUF11" s="75"/>
      <c r="TUG11" s="75"/>
      <c r="TUH11" s="75"/>
      <c r="TUI11" s="75"/>
      <c r="TUJ11" s="75"/>
      <c r="TUK11" s="75"/>
      <c r="TUL11" s="75"/>
      <c r="TUM11" s="75"/>
      <c r="TUN11" s="75"/>
      <c r="TUO11" s="75"/>
      <c r="TUP11" s="75"/>
      <c r="TUQ11" s="75"/>
      <c r="TUR11" s="75"/>
      <c r="TUS11" s="75"/>
      <c r="TUT11" s="75"/>
      <c r="TUU11" s="75"/>
      <c r="TUV11" s="75"/>
      <c r="TUW11" s="75"/>
      <c r="TUX11" s="75"/>
      <c r="TUY11" s="75"/>
      <c r="TUZ11" s="75"/>
      <c r="TVA11" s="75"/>
      <c r="TVB11" s="75"/>
      <c r="TVC11" s="75"/>
      <c r="TVD11" s="75"/>
      <c r="TVE11" s="75"/>
      <c r="TVF11" s="75"/>
      <c r="TVG11" s="75"/>
      <c r="TVH11" s="75"/>
      <c r="TVI11" s="75"/>
      <c r="TVJ11" s="75"/>
      <c r="TVK11" s="75"/>
      <c r="TVL11" s="75"/>
      <c r="TVM11" s="75"/>
      <c r="TVN11" s="75"/>
      <c r="TVO11" s="75"/>
      <c r="TVP11" s="75"/>
      <c r="TVQ11" s="75"/>
      <c r="TVR11" s="75"/>
      <c r="TVS11" s="75"/>
      <c r="TVT11" s="75"/>
      <c r="TVU11" s="75"/>
      <c r="TVV11" s="75"/>
      <c r="TVW11" s="75"/>
      <c r="TVX11" s="75"/>
      <c r="TVY11" s="75"/>
      <c r="TVZ11" s="75"/>
      <c r="TWA11" s="75"/>
      <c r="TWB11" s="75"/>
      <c r="TWC11" s="75"/>
      <c r="TWD11" s="75"/>
      <c r="TWE11" s="75"/>
      <c r="TWF11" s="75"/>
      <c r="TWG11" s="75"/>
      <c r="TWH11" s="75"/>
      <c r="TWI11" s="75"/>
      <c r="TWJ11" s="75"/>
      <c r="TWK11" s="75"/>
      <c r="TWL11" s="75"/>
      <c r="TWM11" s="75"/>
      <c r="TWN11" s="75"/>
      <c r="TWO11" s="75"/>
      <c r="TWP11" s="75"/>
      <c r="TWQ11" s="75"/>
      <c r="TWR11" s="75"/>
      <c r="TWS11" s="75"/>
      <c r="TWT11" s="75"/>
      <c r="TWU11" s="75"/>
      <c r="TWV11" s="75"/>
      <c r="TWW11" s="75"/>
      <c r="TWX11" s="75"/>
      <c r="TWY11" s="75"/>
      <c r="TWZ11" s="75"/>
      <c r="TXA11" s="75"/>
      <c r="TXB11" s="75"/>
      <c r="TXC11" s="75"/>
      <c r="TXD11" s="75"/>
      <c r="TXE11" s="75"/>
      <c r="TXF11" s="75"/>
      <c r="TXG11" s="75"/>
      <c r="TXH11" s="75"/>
      <c r="TXI11" s="75"/>
      <c r="TXJ11" s="75"/>
      <c r="TXK11" s="75"/>
      <c r="TXL11" s="75"/>
      <c r="TXM11" s="75"/>
      <c r="TXN11" s="75"/>
      <c r="TXO11" s="75"/>
      <c r="TXP11" s="75"/>
      <c r="TXQ11" s="75"/>
      <c r="TXR11" s="75"/>
      <c r="TXS11" s="75"/>
      <c r="TXT11" s="75"/>
      <c r="TXU11" s="75"/>
      <c r="TXV11" s="75"/>
      <c r="TXW11" s="75"/>
      <c r="TXX11" s="75"/>
      <c r="TXY11" s="75"/>
      <c r="TXZ11" s="75"/>
      <c r="TYA11" s="75"/>
      <c r="TYB11" s="75"/>
      <c r="TYC11" s="75"/>
      <c r="TYD11" s="75"/>
      <c r="TYE11" s="75"/>
      <c r="TYF11" s="75"/>
      <c r="TYG11" s="75"/>
      <c r="TYH11" s="75"/>
      <c r="TYI11" s="75"/>
      <c r="TYJ11" s="75"/>
      <c r="TYK11" s="75"/>
      <c r="TYL11" s="75"/>
      <c r="TYM11" s="75"/>
      <c r="TYN11" s="75"/>
      <c r="TYO11" s="75"/>
      <c r="TYP11" s="75"/>
      <c r="TYQ11" s="75"/>
      <c r="TYR11" s="75"/>
      <c r="TYS11" s="75"/>
      <c r="TYT11" s="75"/>
      <c r="TYU11" s="75"/>
      <c r="TYV11" s="75"/>
      <c r="TYW11" s="75"/>
      <c r="TYX11" s="75"/>
      <c r="TYY11" s="75"/>
      <c r="TYZ11" s="75"/>
      <c r="TZA11" s="75"/>
      <c r="TZB11" s="75"/>
      <c r="TZC11" s="75"/>
      <c r="TZD11" s="75"/>
      <c r="TZE11" s="75"/>
      <c r="TZF11" s="75"/>
      <c r="TZG11" s="75"/>
      <c r="TZH11" s="75"/>
      <c r="TZI11" s="75"/>
      <c r="TZJ11" s="75"/>
      <c r="TZK11" s="75"/>
      <c r="TZL11" s="75"/>
      <c r="TZM11" s="75"/>
      <c r="TZN11" s="75"/>
      <c r="TZO11" s="75"/>
      <c r="TZP11" s="75"/>
      <c r="TZQ11" s="75"/>
      <c r="TZR11" s="75"/>
      <c r="TZS11" s="75"/>
      <c r="TZT11" s="75"/>
      <c r="TZU11" s="75"/>
      <c r="TZV11" s="75"/>
      <c r="TZW11" s="75"/>
      <c r="TZX11" s="75"/>
      <c r="TZY11" s="75"/>
      <c r="TZZ11" s="75"/>
      <c r="UAA11" s="75"/>
      <c r="UAB11" s="75"/>
      <c r="UAC11" s="75"/>
      <c r="UAD11" s="75"/>
      <c r="UAE11" s="75"/>
      <c r="UAF11" s="75"/>
      <c r="UAG11" s="75"/>
      <c r="UAH11" s="75"/>
      <c r="UAI11" s="75"/>
      <c r="UAJ11" s="75"/>
      <c r="UAK11" s="75"/>
      <c r="UAL11" s="75"/>
      <c r="UAM11" s="75"/>
      <c r="UAN11" s="75"/>
      <c r="UAO11" s="75"/>
      <c r="UAP11" s="75"/>
      <c r="UAQ11" s="75"/>
      <c r="UAR11" s="75"/>
      <c r="UAS11" s="75"/>
      <c r="UAT11" s="75"/>
      <c r="UAU11" s="75"/>
      <c r="UAV11" s="75"/>
      <c r="UAW11" s="75"/>
      <c r="UAX11" s="75"/>
      <c r="UAY11" s="75"/>
      <c r="UAZ11" s="75"/>
      <c r="UBA11" s="75"/>
      <c r="UBB11" s="75"/>
      <c r="UBC11" s="75"/>
      <c r="UBD11" s="75"/>
      <c r="UBE11" s="75"/>
      <c r="UBF11" s="75"/>
      <c r="UBG11" s="75"/>
      <c r="UBH11" s="75"/>
      <c r="UBI11" s="75"/>
      <c r="UBJ11" s="75"/>
      <c r="UBK11" s="75"/>
      <c r="UBL11" s="75"/>
      <c r="UBM11" s="75"/>
      <c r="UBN11" s="75"/>
      <c r="UBO11" s="75"/>
      <c r="UBP11" s="75"/>
      <c r="UBQ11" s="75"/>
      <c r="UBR11" s="75"/>
      <c r="UBS11" s="75"/>
      <c r="UBT11" s="75"/>
      <c r="UBU11" s="75"/>
      <c r="UBV11" s="75"/>
      <c r="UBW11" s="75"/>
      <c r="UBX11" s="75"/>
      <c r="UBY11" s="75"/>
      <c r="UBZ11" s="75"/>
      <c r="UCA11" s="75"/>
      <c r="UCB11" s="75"/>
      <c r="UCC11" s="75"/>
      <c r="UCD11" s="75"/>
      <c r="UCE11" s="75"/>
      <c r="UCF11" s="75"/>
      <c r="UCG11" s="75"/>
      <c r="UCH11" s="75"/>
      <c r="UCI11" s="75"/>
      <c r="UCJ11" s="75"/>
      <c r="UCK11" s="75"/>
      <c r="UCL11" s="75"/>
      <c r="UCM11" s="75"/>
      <c r="UCN11" s="75"/>
      <c r="UCO11" s="75"/>
      <c r="UCP11" s="75"/>
      <c r="UCQ11" s="75"/>
      <c r="UCR11" s="75"/>
      <c r="UCS11" s="75"/>
      <c r="UCT11" s="75"/>
      <c r="UCU11" s="75"/>
      <c r="UCV11" s="75"/>
      <c r="UCW11" s="75"/>
      <c r="UCX11" s="75"/>
      <c r="UCY11" s="75"/>
      <c r="UCZ11" s="75"/>
      <c r="UDA11" s="75"/>
      <c r="UDB11" s="75"/>
      <c r="UDC11" s="75"/>
      <c r="UDD11" s="75"/>
      <c r="UDE11" s="75"/>
      <c r="UDF11" s="75"/>
      <c r="UDG11" s="75"/>
      <c r="UDH11" s="75"/>
      <c r="UDI11" s="75"/>
      <c r="UDJ11" s="75"/>
      <c r="UDK11" s="75"/>
      <c r="UDL11" s="75"/>
      <c r="UDM11" s="75"/>
      <c r="UDN11" s="75"/>
      <c r="UDO11" s="75"/>
      <c r="UDP11" s="75"/>
      <c r="UDQ11" s="75"/>
      <c r="UDR11" s="75"/>
      <c r="UDS11" s="75"/>
      <c r="UDT11" s="75"/>
      <c r="UDU11" s="75"/>
      <c r="UDV11" s="75"/>
      <c r="UDW11" s="75"/>
      <c r="UDX11" s="75"/>
      <c r="UDY11" s="75"/>
      <c r="UDZ11" s="75"/>
      <c r="UEA11" s="75"/>
      <c r="UEB11" s="75"/>
      <c r="UEC11" s="75"/>
      <c r="UED11" s="75"/>
      <c r="UEE11" s="75"/>
      <c r="UEF11" s="75"/>
      <c r="UEG11" s="75"/>
      <c r="UEH11" s="75"/>
      <c r="UEI11" s="75"/>
      <c r="UEJ11" s="75"/>
      <c r="UEK11" s="75"/>
      <c r="UEL11" s="75"/>
      <c r="UEM11" s="75"/>
      <c r="UEN11" s="75"/>
      <c r="UEO11" s="75"/>
      <c r="UEP11" s="75"/>
      <c r="UEQ11" s="75"/>
      <c r="UER11" s="75"/>
      <c r="UES11" s="75"/>
      <c r="UET11" s="75"/>
      <c r="UEU11" s="75"/>
      <c r="UEV11" s="75"/>
      <c r="UEW11" s="75"/>
      <c r="UEX11" s="75"/>
      <c r="UEY11" s="75"/>
      <c r="UEZ11" s="75"/>
      <c r="UFA11" s="75"/>
      <c r="UFB11" s="75"/>
      <c r="UFC11" s="75"/>
      <c r="UFD11" s="75"/>
      <c r="UFE11" s="75"/>
      <c r="UFF11" s="75"/>
      <c r="UFG11" s="75"/>
      <c r="UFH11" s="75"/>
      <c r="UFI11" s="75"/>
      <c r="UFJ11" s="75"/>
      <c r="UFK11" s="75"/>
      <c r="UFL11" s="75"/>
      <c r="UFM11" s="75"/>
      <c r="UFN11" s="75"/>
      <c r="UFO11" s="75"/>
      <c r="UFP11" s="75"/>
      <c r="UFQ11" s="75"/>
      <c r="UFR11" s="75"/>
      <c r="UFS11" s="75"/>
      <c r="UFT11" s="75"/>
      <c r="UFU11" s="75"/>
      <c r="UFV11" s="75"/>
      <c r="UFW11" s="75"/>
      <c r="UFX11" s="75"/>
      <c r="UFY11" s="75"/>
      <c r="UFZ11" s="75"/>
      <c r="UGA11" s="75"/>
      <c r="UGB11" s="75"/>
      <c r="UGC11" s="75"/>
      <c r="UGD11" s="75"/>
      <c r="UGE11" s="75"/>
      <c r="UGF11" s="75"/>
      <c r="UGG11" s="75"/>
      <c r="UGH11" s="75"/>
      <c r="UGI11" s="75"/>
      <c r="UGJ11" s="75"/>
      <c r="UGK11" s="75"/>
      <c r="UGL11" s="75"/>
      <c r="UGM11" s="75"/>
      <c r="UGN11" s="75"/>
      <c r="UGO11" s="75"/>
      <c r="UGP11" s="75"/>
      <c r="UGQ11" s="75"/>
      <c r="UGR11" s="75"/>
      <c r="UGS11" s="75"/>
      <c r="UGT11" s="75"/>
      <c r="UGU11" s="75"/>
      <c r="UGV11" s="75"/>
      <c r="UGW11" s="75"/>
      <c r="UGX11" s="75"/>
      <c r="UGY11" s="75"/>
      <c r="UGZ11" s="75"/>
      <c r="UHA11" s="75"/>
      <c r="UHB11" s="75"/>
      <c r="UHC11" s="75"/>
      <c r="UHD11" s="75"/>
      <c r="UHE11" s="75"/>
      <c r="UHF11" s="75"/>
      <c r="UHG11" s="75"/>
      <c r="UHH11" s="75"/>
      <c r="UHI11" s="75"/>
      <c r="UHJ11" s="75"/>
      <c r="UHK11" s="75"/>
      <c r="UHL11" s="75"/>
      <c r="UHM11" s="75"/>
      <c r="UHN11" s="75"/>
      <c r="UHO11" s="75"/>
      <c r="UHP11" s="75"/>
      <c r="UHQ11" s="75"/>
      <c r="UHR11" s="75"/>
      <c r="UHS11" s="75"/>
      <c r="UHT11" s="75"/>
      <c r="UHU11" s="75"/>
      <c r="UHV11" s="75"/>
      <c r="UHW11" s="75"/>
      <c r="UHX11" s="75"/>
      <c r="UHY11" s="75"/>
      <c r="UHZ11" s="75"/>
      <c r="UIA11" s="75"/>
      <c r="UIB11" s="75"/>
      <c r="UIC11" s="75"/>
      <c r="UID11" s="75"/>
      <c r="UIE11" s="75"/>
      <c r="UIF11" s="75"/>
      <c r="UIG11" s="75"/>
      <c r="UIH11" s="75"/>
      <c r="UII11" s="75"/>
      <c r="UIJ11" s="75"/>
      <c r="UIK11" s="75"/>
      <c r="UIL11" s="75"/>
      <c r="UIM11" s="75"/>
      <c r="UIN11" s="75"/>
      <c r="UIO11" s="75"/>
      <c r="UIP11" s="75"/>
      <c r="UIQ11" s="75"/>
      <c r="UIR11" s="75"/>
      <c r="UIS11" s="75"/>
      <c r="UIT11" s="75"/>
      <c r="UIU11" s="75"/>
      <c r="UIV11" s="75"/>
      <c r="UIW11" s="75"/>
      <c r="UIX11" s="75"/>
      <c r="UIY11" s="75"/>
      <c r="UIZ11" s="75"/>
      <c r="UJA11" s="75"/>
      <c r="UJB11" s="75"/>
      <c r="UJC11" s="75"/>
      <c r="UJD11" s="75"/>
      <c r="UJE11" s="75"/>
      <c r="UJF11" s="75"/>
      <c r="UJG11" s="75"/>
      <c r="UJH11" s="75"/>
      <c r="UJI11" s="75"/>
      <c r="UJJ11" s="75"/>
      <c r="UJK11" s="75"/>
      <c r="UJL11" s="75"/>
      <c r="UJM11" s="75"/>
      <c r="UJN11" s="75"/>
      <c r="UJO11" s="75"/>
      <c r="UJP11" s="75"/>
      <c r="UJQ11" s="75"/>
      <c r="UJR11" s="75"/>
      <c r="UJS11" s="75"/>
      <c r="UJT11" s="75"/>
      <c r="UJU11" s="75"/>
      <c r="UJV11" s="75"/>
      <c r="UJW11" s="75"/>
      <c r="UJX11" s="75"/>
      <c r="UJY11" s="75"/>
      <c r="UJZ11" s="75"/>
      <c r="UKA11" s="75"/>
      <c r="UKB11" s="75"/>
      <c r="UKC11" s="75"/>
      <c r="UKD11" s="75"/>
      <c r="UKE11" s="75"/>
      <c r="UKF11" s="75"/>
      <c r="UKG11" s="75"/>
      <c r="UKH11" s="75"/>
      <c r="UKI11" s="75"/>
      <c r="UKJ11" s="75"/>
      <c r="UKK11" s="75"/>
      <c r="UKL11" s="75"/>
      <c r="UKM11" s="75"/>
      <c r="UKN11" s="75"/>
      <c r="UKO11" s="75"/>
      <c r="UKP11" s="75"/>
      <c r="UKQ11" s="75"/>
      <c r="UKR11" s="75"/>
      <c r="UKS11" s="75"/>
      <c r="UKT11" s="75"/>
      <c r="UKU11" s="75"/>
      <c r="UKV11" s="75"/>
      <c r="UKW11" s="75"/>
      <c r="UKX11" s="75"/>
      <c r="UKY11" s="75"/>
      <c r="UKZ11" s="75"/>
      <c r="ULA11" s="75"/>
      <c r="ULB11" s="75"/>
      <c r="ULC11" s="75"/>
      <c r="ULD11" s="75"/>
      <c r="ULE11" s="75"/>
      <c r="ULF11" s="75"/>
      <c r="ULG11" s="75"/>
      <c r="ULH11" s="75"/>
      <c r="ULI11" s="75"/>
      <c r="ULJ11" s="75"/>
      <c r="ULK11" s="75"/>
      <c r="ULL11" s="75"/>
      <c r="ULM11" s="75"/>
      <c r="ULN11" s="75"/>
      <c r="ULO11" s="75"/>
      <c r="ULP11" s="75"/>
      <c r="ULQ11" s="75"/>
      <c r="ULR11" s="75"/>
      <c r="ULS11" s="75"/>
      <c r="ULT11" s="75"/>
      <c r="ULU11" s="75"/>
      <c r="ULV11" s="75"/>
      <c r="ULW11" s="75"/>
      <c r="ULX11" s="75"/>
      <c r="ULY11" s="75"/>
      <c r="ULZ11" s="75"/>
      <c r="UMA11" s="75"/>
      <c r="UMB11" s="75"/>
      <c r="UMC11" s="75"/>
      <c r="UMD11" s="75"/>
      <c r="UME11" s="75"/>
      <c r="UMF11" s="75"/>
      <c r="UMG11" s="75"/>
      <c r="UMH11" s="75"/>
      <c r="UMI11" s="75"/>
      <c r="UMJ11" s="75"/>
      <c r="UMK11" s="75"/>
      <c r="UML11" s="75"/>
      <c r="UMM11" s="75"/>
      <c r="UMN11" s="75"/>
      <c r="UMO11" s="75"/>
      <c r="UMP11" s="75"/>
      <c r="UMQ11" s="75"/>
      <c r="UMR11" s="75"/>
      <c r="UMS11" s="75"/>
      <c r="UMT11" s="75"/>
      <c r="UMU11" s="75"/>
      <c r="UMV11" s="75"/>
      <c r="UMW11" s="75"/>
      <c r="UMX11" s="75"/>
      <c r="UMY11" s="75"/>
      <c r="UMZ11" s="75"/>
      <c r="UNA11" s="75"/>
      <c r="UNB11" s="75"/>
      <c r="UNC11" s="75"/>
      <c r="UND11" s="75"/>
      <c r="UNE11" s="75"/>
      <c r="UNF11" s="75"/>
      <c r="UNG11" s="75"/>
      <c r="UNH11" s="75"/>
      <c r="UNI11" s="75"/>
      <c r="UNJ11" s="75"/>
      <c r="UNK11" s="75"/>
      <c r="UNL11" s="75"/>
      <c r="UNM11" s="75"/>
      <c r="UNN11" s="75"/>
      <c r="UNO11" s="75"/>
      <c r="UNP11" s="75"/>
      <c r="UNQ11" s="75"/>
      <c r="UNR11" s="75"/>
      <c r="UNS11" s="75"/>
      <c r="UNT11" s="75"/>
      <c r="UNU11" s="75"/>
      <c r="UNV11" s="75"/>
      <c r="UNW11" s="75"/>
      <c r="UNX11" s="75"/>
      <c r="UNY11" s="75"/>
      <c r="UNZ11" s="75"/>
      <c r="UOA11" s="75"/>
      <c r="UOB11" s="75"/>
      <c r="UOC11" s="75"/>
      <c r="UOD11" s="75"/>
      <c r="UOE11" s="75"/>
      <c r="UOF11" s="75"/>
      <c r="UOG11" s="75"/>
      <c r="UOH11" s="75"/>
      <c r="UOI11" s="75"/>
      <c r="UOJ11" s="75"/>
      <c r="UOK11" s="75"/>
      <c r="UOL11" s="75"/>
      <c r="UOM11" s="75"/>
      <c r="UON11" s="75"/>
      <c r="UOO11" s="75"/>
      <c r="UOP11" s="75"/>
      <c r="UOQ11" s="75"/>
      <c r="UOR11" s="75"/>
      <c r="UOS11" s="75"/>
      <c r="UOT11" s="75"/>
      <c r="UOU11" s="75"/>
      <c r="UOV11" s="75"/>
      <c r="UOW11" s="75"/>
      <c r="UOX11" s="75"/>
      <c r="UOY11" s="75"/>
      <c r="UOZ11" s="75"/>
      <c r="UPA11" s="75"/>
      <c r="UPB11" s="75"/>
      <c r="UPC11" s="75"/>
      <c r="UPD11" s="75"/>
      <c r="UPE11" s="75"/>
      <c r="UPF11" s="75"/>
      <c r="UPG11" s="75"/>
      <c r="UPH11" s="75"/>
      <c r="UPI11" s="75"/>
      <c r="UPJ11" s="75"/>
      <c r="UPK11" s="75"/>
      <c r="UPL11" s="75"/>
      <c r="UPM11" s="75"/>
      <c r="UPN11" s="75"/>
      <c r="UPO11" s="75"/>
      <c r="UPP11" s="75"/>
      <c r="UPQ11" s="75"/>
      <c r="UPR11" s="75"/>
      <c r="UPS11" s="75"/>
      <c r="UPT11" s="75"/>
      <c r="UPU11" s="75"/>
      <c r="UPV11" s="75"/>
      <c r="UPW11" s="75"/>
      <c r="UPX11" s="75"/>
      <c r="UPY11" s="75"/>
      <c r="UPZ11" s="75"/>
      <c r="UQA11" s="75"/>
      <c r="UQB11" s="75"/>
      <c r="UQC11" s="75"/>
      <c r="UQD11" s="75"/>
      <c r="UQE11" s="75"/>
      <c r="UQF11" s="75"/>
      <c r="UQG11" s="75"/>
      <c r="UQH11" s="75"/>
      <c r="UQI11" s="75"/>
      <c r="UQJ11" s="75"/>
      <c r="UQK11" s="75"/>
      <c r="UQL11" s="75"/>
      <c r="UQM11" s="75"/>
      <c r="UQN11" s="75"/>
      <c r="UQO11" s="75"/>
      <c r="UQP11" s="75"/>
      <c r="UQQ11" s="75"/>
      <c r="UQR11" s="75"/>
      <c r="UQS11" s="75"/>
      <c r="UQT11" s="75"/>
      <c r="UQU11" s="75"/>
      <c r="UQV11" s="75"/>
      <c r="UQW11" s="75"/>
      <c r="UQX11" s="75"/>
      <c r="UQY11" s="75"/>
      <c r="UQZ11" s="75"/>
      <c r="URA11" s="75"/>
      <c r="URB11" s="75"/>
      <c r="URC11" s="75"/>
      <c r="URD11" s="75"/>
      <c r="URE11" s="75"/>
      <c r="URF11" s="75"/>
      <c r="URG11" s="75"/>
      <c r="URH11" s="75"/>
      <c r="URI11" s="75"/>
      <c r="URJ11" s="75"/>
      <c r="URK11" s="75"/>
      <c r="URL11" s="75"/>
      <c r="URM11" s="75"/>
      <c r="URN11" s="75"/>
      <c r="URO11" s="75"/>
      <c r="URP11" s="75"/>
      <c r="URQ11" s="75"/>
      <c r="URR11" s="75"/>
      <c r="URS11" s="75"/>
      <c r="URT11" s="75"/>
      <c r="URU11" s="75"/>
      <c r="URV11" s="75"/>
      <c r="URW11" s="75"/>
      <c r="URX11" s="75"/>
      <c r="URY11" s="75"/>
      <c r="URZ11" s="75"/>
      <c r="USA11" s="75"/>
      <c r="USB11" s="75"/>
      <c r="USC11" s="75"/>
      <c r="USD11" s="75"/>
      <c r="USE11" s="75"/>
      <c r="USF11" s="75"/>
      <c r="USG11" s="75"/>
      <c r="USH11" s="75"/>
      <c r="USI11" s="75"/>
      <c r="USJ11" s="75"/>
      <c r="USK11" s="75"/>
      <c r="USL11" s="75"/>
      <c r="USM11" s="75"/>
      <c r="USN11" s="75"/>
      <c r="USO11" s="75"/>
      <c r="USP11" s="75"/>
      <c r="USQ11" s="75"/>
      <c r="USR11" s="75"/>
      <c r="USS11" s="75"/>
      <c r="UST11" s="75"/>
      <c r="USU11" s="75"/>
      <c r="USV11" s="75"/>
      <c r="USW11" s="75"/>
      <c r="USX11" s="75"/>
      <c r="USY11" s="75"/>
      <c r="USZ11" s="75"/>
      <c r="UTA11" s="75"/>
      <c r="UTB11" s="75"/>
      <c r="UTC11" s="75"/>
      <c r="UTD11" s="75"/>
      <c r="UTE11" s="75"/>
      <c r="UTF11" s="75"/>
      <c r="UTG11" s="75"/>
      <c r="UTH11" s="75"/>
      <c r="UTI11" s="75"/>
      <c r="UTJ11" s="75"/>
      <c r="UTK11" s="75"/>
      <c r="UTL11" s="75"/>
      <c r="UTM11" s="75"/>
      <c r="UTN11" s="75"/>
      <c r="UTO11" s="75"/>
      <c r="UTP11" s="75"/>
      <c r="UTQ11" s="75"/>
      <c r="UTR11" s="75"/>
      <c r="UTS11" s="75"/>
      <c r="UTT11" s="75"/>
      <c r="UTU11" s="75"/>
      <c r="UTV11" s="75"/>
      <c r="UTW11" s="75"/>
      <c r="UTX11" s="75"/>
      <c r="UTY11" s="75"/>
      <c r="UTZ11" s="75"/>
      <c r="UUA11" s="75"/>
      <c r="UUB11" s="75"/>
      <c r="UUC11" s="75"/>
      <c r="UUD11" s="75"/>
      <c r="UUE11" s="75"/>
      <c r="UUF11" s="75"/>
      <c r="UUG11" s="75"/>
      <c r="UUH11" s="75"/>
      <c r="UUI11" s="75"/>
      <c r="UUJ11" s="75"/>
      <c r="UUK11" s="75"/>
      <c r="UUL11" s="75"/>
      <c r="UUM11" s="75"/>
      <c r="UUN11" s="75"/>
      <c r="UUO11" s="75"/>
      <c r="UUP11" s="75"/>
      <c r="UUQ11" s="75"/>
      <c r="UUR11" s="75"/>
      <c r="UUS11" s="75"/>
      <c r="UUT11" s="75"/>
      <c r="UUU11" s="75"/>
      <c r="UUV11" s="75"/>
      <c r="UUW11" s="75"/>
      <c r="UUX11" s="75"/>
      <c r="UUY11" s="75"/>
      <c r="UUZ11" s="75"/>
      <c r="UVA11" s="75"/>
      <c r="UVB11" s="75"/>
      <c r="UVC11" s="75"/>
      <c r="UVD11" s="75"/>
      <c r="UVE11" s="75"/>
      <c r="UVF11" s="75"/>
      <c r="UVG11" s="75"/>
      <c r="UVH11" s="75"/>
      <c r="UVI11" s="75"/>
      <c r="UVJ11" s="75"/>
      <c r="UVK11" s="75"/>
      <c r="UVL11" s="75"/>
      <c r="UVM11" s="75"/>
      <c r="UVN11" s="75"/>
      <c r="UVO11" s="75"/>
      <c r="UVP11" s="75"/>
      <c r="UVQ11" s="75"/>
      <c r="UVR11" s="75"/>
      <c r="UVS11" s="75"/>
      <c r="UVT11" s="75"/>
      <c r="UVU11" s="75"/>
      <c r="UVV11" s="75"/>
      <c r="UVW11" s="75"/>
      <c r="UVX11" s="75"/>
      <c r="UVY11" s="75"/>
      <c r="UVZ11" s="75"/>
      <c r="UWA11" s="75"/>
      <c r="UWB11" s="75"/>
      <c r="UWC11" s="75"/>
      <c r="UWD11" s="75"/>
      <c r="UWE11" s="75"/>
      <c r="UWF11" s="75"/>
      <c r="UWG11" s="75"/>
      <c r="UWH11" s="75"/>
      <c r="UWI11" s="75"/>
      <c r="UWJ11" s="75"/>
      <c r="UWK11" s="75"/>
      <c r="UWL11" s="75"/>
      <c r="UWM11" s="75"/>
      <c r="UWN11" s="75"/>
      <c r="UWO11" s="75"/>
      <c r="UWP11" s="75"/>
      <c r="UWQ11" s="75"/>
      <c r="UWR11" s="75"/>
      <c r="UWS11" s="75"/>
      <c r="UWT11" s="75"/>
      <c r="UWU11" s="75"/>
      <c r="UWV11" s="75"/>
      <c r="UWW11" s="75"/>
      <c r="UWX11" s="75"/>
      <c r="UWY11" s="75"/>
      <c r="UWZ11" s="75"/>
      <c r="UXA11" s="75"/>
      <c r="UXB11" s="75"/>
      <c r="UXC11" s="75"/>
      <c r="UXD11" s="75"/>
      <c r="UXE11" s="75"/>
      <c r="UXF11" s="75"/>
      <c r="UXG11" s="75"/>
      <c r="UXH11" s="75"/>
      <c r="UXI11" s="75"/>
      <c r="UXJ11" s="75"/>
      <c r="UXK11" s="75"/>
      <c r="UXL11" s="75"/>
      <c r="UXM11" s="75"/>
      <c r="UXN11" s="75"/>
      <c r="UXO11" s="75"/>
      <c r="UXP11" s="75"/>
      <c r="UXQ11" s="75"/>
      <c r="UXR11" s="75"/>
      <c r="UXS11" s="75"/>
      <c r="UXT11" s="75"/>
      <c r="UXU11" s="75"/>
      <c r="UXV11" s="75"/>
      <c r="UXW11" s="75"/>
      <c r="UXX11" s="75"/>
      <c r="UXY11" s="75"/>
      <c r="UXZ11" s="75"/>
      <c r="UYA11" s="75"/>
      <c r="UYB11" s="75"/>
      <c r="UYC11" s="75"/>
      <c r="UYD11" s="75"/>
      <c r="UYE11" s="75"/>
      <c r="UYF11" s="75"/>
      <c r="UYG11" s="75"/>
      <c r="UYH11" s="75"/>
      <c r="UYI11" s="75"/>
      <c r="UYJ11" s="75"/>
      <c r="UYK11" s="75"/>
      <c r="UYL11" s="75"/>
      <c r="UYM11" s="75"/>
      <c r="UYN11" s="75"/>
      <c r="UYO11" s="75"/>
      <c r="UYP11" s="75"/>
      <c r="UYQ11" s="75"/>
      <c r="UYR11" s="75"/>
      <c r="UYS11" s="75"/>
      <c r="UYT11" s="75"/>
      <c r="UYU11" s="75"/>
      <c r="UYV11" s="75"/>
      <c r="UYW11" s="75"/>
      <c r="UYX11" s="75"/>
      <c r="UYY11" s="75"/>
      <c r="UYZ11" s="75"/>
      <c r="UZA11" s="75"/>
      <c r="UZB11" s="75"/>
      <c r="UZC11" s="75"/>
      <c r="UZD11" s="75"/>
      <c r="UZE11" s="75"/>
      <c r="UZF11" s="75"/>
      <c r="UZG11" s="75"/>
      <c r="UZH11" s="75"/>
      <c r="UZI11" s="75"/>
      <c r="UZJ11" s="75"/>
      <c r="UZK11" s="75"/>
      <c r="UZL11" s="75"/>
      <c r="UZM11" s="75"/>
      <c r="UZN11" s="75"/>
      <c r="UZO11" s="75"/>
      <c r="UZP11" s="75"/>
      <c r="UZQ11" s="75"/>
      <c r="UZR11" s="75"/>
      <c r="UZS11" s="75"/>
      <c r="UZT11" s="75"/>
      <c r="UZU11" s="75"/>
      <c r="UZV11" s="75"/>
      <c r="UZW11" s="75"/>
      <c r="UZX11" s="75"/>
      <c r="UZY11" s="75"/>
      <c r="UZZ11" s="75"/>
      <c r="VAA11" s="75"/>
      <c r="VAB11" s="75"/>
      <c r="VAC11" s="75"/>
      <c r="VAD11" s="75"/>
      <c r="VAE11" s="75"/>
      <c r="VAF11" s="75"/>
      <c r="VAG11" s="75"/>
      <c r="VAH11" s="75"/>
      <c r="VAI11" s="75"/>
      <c r="VAJ11" s="75"/>
      <c r="VAK11" s="75"/>
      <c r="VAL11" s="75"/>
      <c r="VAM11" s="75"/>
      <c r="VAN11" s="75"/>
      <c r="VAO11" s="75"/>
      <c r="VAP11" s="75"/>
      <c r="VAQ11" s="75"/>
      <c r="VAR11" s="75"/>
      <c r="VAS11" s="75"/>
      <c r="VAT11" s="75"/>
      <c r="VAU11" s="75"/>
      <c r="VAV11" s="75"/>
      <c r="VAW11" s="75"/>
      <c r="VAX11" s="75"/>
      <c r="VAY11" s="75"/>
      <c r="VAZ11" s="75"/>
      <c r="VBA11" s="75"/>
      <c r="VBB11" s="75"/>
      <c r="VBC11" s="75"/>
      <c r="VBD11" s="75"/>
      <c r="VBE11" s="75"/>
      <c r="VBF11" s="75"/>
      <c r="VBG11" s="75"/>
      <c r="VBH11" s="75"/>
      <c r="VBI11" s="75"/>
      <c r="VBJ11" s="75"/>
      <c r="VBK11" s="75"/>
      <c r="VBL11" s="75"/>
      <c r="VBM11" s="75"/>
      <c r="VBN11" s="75"/>
      <c r="VBO11" s="75"/>
      <c r="VBP11" s="75"/>
      <c r="VBQ11" s="75"/>
      <c r="VBR11" s="75"/>
      <c r="VBS11" s="75"/>
      <c r="VBT11" s="75"/>
      <c r="VBU11" s="75"/>
      <c r="VBV11" s="75"/>
      <c r="VBW11" s="75"/>
      <c r="VBX11" s="75"/>
      <c r="VBY11" s="75"/>
      <c r="VBZ11" s="75"/>
      <c r="VCA11" s="75"/>
      <c r="VCB11" s="75"/>
      <c r="VCC11" s="75"/>
      <c r="VCD11" s="75"/>
      <c r="VCE11" s="75"/>
      <c r="VCF11" s="75"/>
      <c r="VCG11" s="75"/>
      <c r="VCH11" s="75"/>
      <c r="VCI11" s="75"/>
      <c r="VCJ11" s="75"/>
      <c r="VCK11" s="75"/>
      <c r="VCL11" s="75"/>
      <c r="VCM11" s="75"/>
      <c r="VCN11" s="75"/>
      <c r="VCO11" s="75"/>
      <c r="VCP11" s="75"/>
      <c r="VCQ11" s="75"/>
      <c r="VCR11" s="75"/>
      <c r="VCS11" s="75"/>
      <c r="VCT11" s="75"/>
      <c r="VCU11" s="75"/>
      <c r="VCV11" s="75"/>
      <c r="VCW11" s="75"/>
      <c r="VCX11" s="75"/>
      <c r="VCY11" s="75"/>
      <c r="VCZ11" s="75"/>
      <c r="VDA11" s="75"/>
      <c r="VDB11" s="75"/>
      <c r="VDC11" s="75"/>
      <c r="VDD11" s="75"/>
      <c r="VDE11" s="75"/>
      <c r="VDF11" s="75"/>
      <c r="VDG11" s="75"/>
      <c r="VDH11" s="75"/>
      <c r="VDI11" s="75"/>
      <c r="VDJ11" s="75"/>
      <c r="VDK11" s="75"/>
      <c r="VDL11" s="75"/>
      <c r="VDM11" s="75"/>
      <c r="VDN11" s="75"/>
      <c r="VDO11" s="75"/>
      <c r="VDP11" s="75"/>
      <c r="VDQ11" s="75"/>
      <c r="VDR11" s="75"/>
      <c r="VDS11" s="75"/>
      <c r="VDT11" s="75"/>
      <c r="VDU11" s="75"/>
      <c r="VDV11" s="75"/>
      <c r="VDW11" s="75"/>
      <c r="VDX11" s="75"/>
      <c r="VDY11" s="75"/>
      <c r="VDZ11" s="75"/>
      <c r="VEA11" s="75"/>
      <c r="VEB11" s="75"/>
      <c r="VEC11" s="75"/>
      <c r="VED11" s="75"/>
      <c r="VEE11" s="75"/>
      <c r="VEF11" s="75"/>
      <c r="VEG11" s="75"/>
      <c r="VEH11" s="75"/>
      <c r="VEI11" s="75"/>
      <c r="VEJ11" s="75"/>
      <c r="VEK11" s="75"/>
      <c r="VEL11" s="75"/>
      <c r="VEM11" s="75"/>
      <c r="VEN11" s="75"/>
      <c r="VEO11" s="75"/>
      <c r="VEP11" s="75"/>
      <c r="VEQ11" s="75"/>
      <c r="VER11" s="75"/>
      <c r="VES11" s="75"/>
      <c r="VET11" s="75"/>
      <c r="VEU11" s="75"/>
      <c r="VEV11" s="75"/>
      <c r="VEW11" s="75"/>
      <c r="VEX11" s="75"/>
      <c r="VEY11" s="75"/>
      <c r="VEZ11" s="75"/>
      <c r="VFA11" s="75"/>
      <c r="VFB11" s="75"/>
      <c r="VFC11" s="75"/>
      <c r="VFD11" s="75"/>
      <c r="VFE11" s="75"/>
      <c r="VFF11" s="75"/>
      <c r="VFG11" s="75"/>
      <c r="VFH11" s="75"/>
      <c r="VFI11" s="75"/>
      <c r="VFJ11" s="75"/>
      <c r="VFK11" s="75"/>
      <c r="VFL11" s="75"/>
      <c r="VFM11" s="75"/>
      <c r="VFN11" s="75"/>
      <c r="VFO11" s="75"/>
      <c r="VFP11" s="75"/>
      <c r="VFQ11" s="75"/>
      <c r="VFR11" s="75"/>
      <c r="VFS11" s="75"/>
      <c r="VFT11" s="75"/>
      <c r="VFU11" s="75"/>
      <c r="VFV11" s="75"/>
      <c r="VFW11" s="75"/>
      <c r="VFX11" s="75"/>
      <c r="VFY11" s="75"/>
      <c r="VFZ11" s="75"/>
      <c r="VGA11" s="75"/>
      <c r="VGB11" s="75"/>
      <c r="VGC11" s="75"/>
      <c r="VGD11" s="75"/>
      <c r="VGE11" s="75"/>
      <c r="VGF11" s="75"/>
      <c r="VGG11" s="75"/>
      <c r="VGH11" s="75"/>
      <c r="VGI11" s="75"/>
      <c r="VGJ11" s="75"/>
      <c r="VGK11" s="75"/>
      <c r="VGL11" s="75"/>
      <c r="VGM11" s="75"/>
      <c r="VGN11" s="75"/>
      <c r="VGO11" s="75"/>
      <c r="VGP11" s="75"/>
      <c r="VGQ11" s="75"/>
      <c r="VGR11" s="75"/>
      <c r="VGS11" s="75"/>
      <c r="VGT11" s="75"/>
      <c r="VGU11" s="75"/>
      <c r="VGV11" s="75"/>
      <c r="VGW11" s="75"/>
      <c r="VGX11" s="75"/>
      <c r="VGY11" s="75"/>
      <c r="VGZ11" s="75"/>
      <c r="VHA11" s="75"/>
      <c r="VHB11" s="75"/>
      <c r="VHC11" s="75"/>
      <c r="VHD11" s="75"/>
      <c r="VHE11" s="75"/>
      <c r="VHF11" s="75"/>
      <c r="VHG11" s="75"/>
      <c r="VHH11" s="75"/>
      <c r="VHI11" s="75"/>
      <c r="VHJ11" s="75"/>
      <c r="VHK11" s="75"/>
      <c r="VHL11" s="75"/>
      <c r="VHM11" s="75"/>
      <c r="VHN11" s="75"/>
      <c r="VHO11" s="75"/>
      <c r="VHP11" s="75"/>
      <c r="VHQ11" s="75"/>
      <c r="VHR11" s="75"/>
      <c r="VHS11" s="75"/>
      <c r="VHT11" s="75"/>
      <c r="VHU11" s="75"/>
      <c r="VHV11" s="75"/>
      <c r="VHW11" s="75"/>
      <c r="VHX11" s="75"/>
      <c r="VHY11" s="75"/>
      <c r="VHZ11" s="75"/>
      <c r="VIA11" s="75"/>
      <c r="VIB11" s="75"/>
      <c r="VIC11" s="75"/>
      <c r="VID11" s="75"/>
      <c r="VIE11" s="75"/>
      <c r="VIF11" s="75"/>
      <c r="VIG11" s="75"/>
      <c r="VIH11" s="75"/>
      <c r="VII11" s="75"/>
      <c r="VIJ11" s="75"/>
      <c r="VIK11" s="75"/>
      <c r="VIL11" s="75"/>
      <c r="VIM11" s="75"/>
      <c r="VIN11" s="75"/>
      <c r="VIO11" s="75"/>
      <c r="VIP11" s="75"/>
      <c r="VIQ11" s="75"/>
      <c r="VIR11" s="75"/>
      <c r="VIS11" s="75"/>
      <c r="VIT11" s="75"/>
      <c r="VIU11" s="75"/>
      <c r="VIV11" s="75"/>
      <c r="VIW11" s="75"/>
      <c r="VIX11" s="75"/>
      <c r="VIY11" s="75"/>
      <c r="VIZ11" s="75"/>
      <c r="VJA11" s="75"/>
      <c r="VJB11" s="75"/>
      <c r="VJC11" s="75"/>
      <c r="VJD11" s="75"/>
      <c r="VJE11" s="75"/>
      <c r="VJF11" s="75"/>
      <c r="VJG11" s="75"/>
      <c r="VJH11" s="75"/>
      <c r="VJI11" s="75"/>
      <c r="VJJ11" s="75"/>
      <c r="VJK11" s="75"/>
      <c r="VJL11" s="75"/>
      <c r="VJM11" s="75"/>
      <c r="VJN11" s="75"/>
      <c r="VJO11" s="75"/>
      <c r="VJP11" s="75"/>
      <c r="VJQ11" s="75"/>
      <c r="VJR11" s="75"/>
      <c r="VJS11" s="75"/>
      <c r="VJT11" s="75"/>
      <c r="VJU11" s="75"/>
      <c r="VJV11" s="75"/>
      <c r="VJW11" s="75"/>
      <c r="VJX11" s="75"/>
      <c r="VJY11" s="75"/>
      <c r="VJZ11" s="75"/>
      <c r="VKA11" s="75"/>
      <c r="VKB11" s="75"/>
      <c r="VKC11" s="75"/>
      <c r="VKD11" s="75"/>
      <c r="VKE11" s="75"/>
      <c r="VKF11" s="75"/>
      <c r="VKG11" s="75"/>
      <c r="VKH11" s="75"/>
      <c r="VKI11" s="75"/>
      <c r="VKJ11" s="75"/>
      <c r="VKK11" s="75"/>
      <c r="VKL11" s="75"/>
      <c r="VKM11" s="75"/>
      <c r="VKN11" s="75"/>
      <c r="VKO11" s="75"/>
      <c r="VKP11" s="75"/>
      <c r="VKQ11" s="75"/>
      <c r="VKR11" s="75"/>
      <c r="VKS11" s="75"/>
      <c r="VKT11" s="75"/>
      <c r="VKU11" s="75"/>
      <c r="VKV11" s="75"/>
      <c r="VKW11" s="75"/>
      <c r="VKX11" s="75"/>
      <c r="VKY11" s="75"/>
      <c r="VKZ11" s="75"/>
      <c r="VLA11" s="75"/>
      <c r="VLB11" s="75"/>
      <c r="VLC11" s="75"/>
      <c r="VLD11" s="75"/>
      <c r="VLE11" s="75"/>
      <c r="VLF11" s="75"/>
      <c r="VLG11" s="75"/>
      <c r="VLH11" s="75"/>
      <c r="VLI11" s="75"/>
      <c r="VLJ11" s="75"/>
      <c r="VLK11" s="75"/>
      <c r="VLL11" s="75"/>
      <c r="VLM11" s="75"/>
      <c r="VLN11" s="75"/>
      <c r="VLO11" s="75"/>
      <c r="VLP11" s="75"/>
      <c r="VLQ11" s="75"/>
      <c r="VLR11" s="75"/>
      <c r="VLS11" s="75"/>
      <c r="VLT11" s="75"/>
      <c r="VLU11" s="75"/>
      <c r="VLV11" s="75"/>
      <c r="VLW11" s="75"/>
      <c r="VLX11" s="75"/>
      <c r="VLY11" s="75"/>
      <c r="VLZ11" s="75"/>
      <c r="VMA11" s="75"/>
      <c r="VMB11" s="75"/>
      <c r="VMC11" s="75"/>
      <c r="VMD11" s="75"/>
      <c r="VME11" s="75"/>
      <c r="VMF11" s="75"/>
      <c r="VMG11" s="75"/>
      <c r="VMH11" s="75"/>
      <c r="VMI11" s="75"/>
      <c r="VMJ11" s="75"/>
      <c r="VMK11" s="75"/>
      <c r="VML11" s="75"/>
      <c r="VMM11" s="75"/>
      <c r="VMN11" s="75"/>
      <c r="VMO11" s="75"/>
      <c r="VMP11" s="75"/>
      <c r="VMQ11" s="75"/>
      <c r="VMR11" s="75"/>
      <c r="VMS11" s="75"/>
      <c r="VMT11" s="75"/>
      <c r="VMU11" s="75"/>
      <c r="VMV11" s="75"/>
      <c r="VMW11" s="75"/>
      <c r="VMX11" s="75"/>
      <c r="VMY11" s="75"/>
      <c r="VMZ11" s="75"/>
      <c r="VNA11" s="75"/>
      <c r="VNB11" s="75"/>
      <c r="VNC11" s="75"/>
      <c r="VND11" s="75"/>
      <c r="VNE11" s="75"/>
      <c r="VNF11" s="75"/>
      <c r="VNG11" s="75"/>
      <c r="VNH11" s="75"/>
      <c r="VNI11" s="75"/>
      <c r="VNJ11" s="75"/>
      <c r="VNK11" s="75"/>
      <c r="VNL11" s="75"/>
      <c r="VNM11" s="75"/>
      <c r="VNN11" s="75"/>
      <c r="VNO11" s="75"/>
      <c r="VNP11" s="75"/>
      <c r="VNQ11" s="75"/>
      <c r="VNR11" s="75"/>
      <c r="VNS11" s="75"/>
      <c r="VNT11" s="75"/>
      <c r="VNU11" s="75"/>
      <c r="VNV11" s="75"/>
      <c r="VNW11" s="75"/>
      <c r="VNX11" s="75"/>
      <c r="VNY11" s="75"/>
      <c r="VNZ11" s="75"/>
      <c r="VOA11" s="75"/>
      <c r="VOB11" s="75"/>
      <c r="VOC11" s="75"/>
      <c r="VOD11" s="75"/>
      <c r="VOE11" s="75"/>
      <c r="VOF11" s="75"/>
      <c r="VOG11" s="75"/>
      <c r="VOH11" s="75"/>
      <c r="VOI11" s="75"/>
      <c r="VOJ11" s="75"/>
      <c r="VOK11" s="75"/>
      <c r="VOL11" s="75"/>
      <c r="VOM11" s="75"/>
      <c r="VON11" s="75"/>
      <c r="VOO11" s="75"/>
      <c r="VOP11" s="75"/>
      <c r="VOQ11" s="75"/>
      <c r="VOR11" s="75"/>
      <c r="VOS11" s="75"/>
      <c r="VOT11" s="75"/>
      <c r="VOU11" s="75"/>
      <c r="VOV11" s="75"/>
      <c r="VOW11" s="75"/>
      <c r="VOX11" s="75"/>
      <c r="VOY11" s="75"/>
      <c r="VOZ11" s="75"/>
      <c r="VPA11" s="75"/>
      <c r="VPB11" s="75"/>
      <c r="VPC11" s="75"/>
      <c r="VPD11" s="75"/>
      <c r="VPE11" s="75"/>
      <c r="VPF11" s="75"/>
      <c r="VPG11" s="75"/>
      <c r="VPH11" s="75"/>
      <c r="VPI11" s="75"/>
      <c r="VPJ11" s="75"/>
      <c r="VPK11" s="75"/>
      <c r="VPL11" s="75"/>
      <c r="VPM11" s="75"/>
      <c r="VPN11" s="75"/>
      <c r="VPO11" s="75"/>
      <c r="VPP11" s="75"/>
      <c r="VPQ11" s="75"/>
      <c r="VPR11" s="75"/>
      <c r="VPS11" s="75"/>
      <c r="VPT11" s="75"/>
      <c r="VPU11" s="75"/>
      <c r="VPV11" s="75"/>
      <c r="VPW11" s="75"/>
      <c r="VPX11" s="75"/>
      <c r="VPY11" s="75"/>
      <c r="VPZ11" s="75"/>
      <c r="VQA11" s="75"/>
      <c r="VQB11" s="75"/>
      <c r="VQC11" s="75"/>
      <c r="VQD11" s="75"/>
      <c r="VQE11" s="75"/>
      <c r="VQF11" s="75"/>
      <c r="VQG11" s="75"/>
      <c r="VQH11" s="75"/>
      <c r="VQI11" s="75"/>
      <c r="VQJ11" s="75"/>
      <c r="VQK11" s="75"/>
      <c r="VQL11" s="75"/>
      <c r="VQM11" s="75"/>
      <c r="VQN11" s="75"/>
      <c r="VQO11" s="75"/>
      <c r="VQP11" s="75"/>
      <c r="VQQ11" s="75"/>
      <c r="VQR11" s="75"/>
      <c r="VQS11" s="75"/>
      <c r="VQT11" s="75"/>
      <c r="VQU11" s="75"/>
      <c r="VQV11" s="75"/>
      <c r="VQW11" s="75"/>
      <c r="VQX11" s="75"/>
      <c r="VQY11" s="75"/>
      <c r="VQZ11" s="75"/>
      <c r="VRA11" s="75"/>
      <c r="VRB11" s="75"/>
      <c r="VRC11" s="75"/>
      <c r="VRD11" s="75"/>
      <c r="VRE11" s="75"/>
      <c r="VRF11" s="75"/>
      <c r="VRG11" s="75"/>
      <c r="VRH11" s="75"/>
      <c r="VRI11" s="75"/>
      <c r="VRJ11" s="75"/>
      <c r="VRK11" s="75"/>
      <c r="VRL11" s="75"/>
      <c r="VRM11" s="75"/>
      <c r="VRN11" s="75"/>
      <c r="VRO11" s="75"/>
      <c r="VRP11" s="75"/>
      <c r="VRQ11" s="75"/>
      <c r="VRR11" s="75"/>
      <c r="VRS11" s="75"/>
      <c r="VRT11" s="75"/>
      <c r="VRU11" s="75"/>
      <c r="VRV11" s="75"/>
      <c r="VRW11" s="75"/>
      <c r="VRX11" s="75"/>
      <c r="VRY11" s="75"/>
      <c r="VRZ11" s="75"/>
      <c r="VSA11" s="75"/>
      <c r="VSB11" s="75"/>
      <c r="VSC11" s="75"/>
      <c r="VSD11" s="75"/>
      <c r="VSE11" s="75"/>
      <c r="VSF11" s="75"/>
      <c r="VSG11" s="75"/>
      <c r="VSH11" s="75"/>
      <c r="VSI11" s="75"/>
      <c r="VSJ11" s="75"/>
      <c r="VSK11" s="75"/>
      <c r="VSL11" s="75"/>
      <c r="VSM11" s="75"/>
      <c r="VSN11" s="75"/>
      <c r="VSO11" s="75"/>
      <c r="VSP11" s="75"/>
      <c r="VSQ11" s="75"/>
      <c r="VSR11" s="75"/>
      <c r="VSS11" s="75"/>
      <c r="VST11" s="75"/>
      <c r="VSU11" s="75"/>
      <c r="VSV11" s="75"/>
      <c r="VSW11" s="75"/>
      <c r="VSX11" s="75"/>
      <c r="VSY11" s="75"/>
      <c r="VSZ11" s="75"/>
      <c r="VTA11" s="75"/>
      <c r="VTB11" s="75"/>
      <c r="VTC11" s="75"/>
      <c r="VTD11" s="75"/>
      <c r="VTE11" s="75"/>
      <c r="VTF11" s="75"/>
      <c r="VTG11" s="75"/>
      <c r="VTH11" s="75"/>
      <c r="VTI11" s="75"/>
      <c r="VTJ11" s="75"/>
      <c r="VTK11" s="75"/>
      <c r="VTL11" s="75"/>
      <c r="VTM11" s="75"/>
      <c r="VTN11" s="75"/>
      <c r="VTO11" s="75"/>
      <c r="VTP11" s="75"/>
      <c r="VTQ11" s="75"/>
      <c r="VTR11" s="75"/>
      <c r="VTS11" s="75"/>
      <c r="VTT11" s="75"/>
      <c r="VTU11" s="75"/>
      <c r="VTV11" s="75"/>
      <c r="VTW11" s="75"/>
      <c r="VTX11" s="75"/>
      <c r="VTY11" s="75"/>
      <c r="VTZ11" s="75"/>
      <c r="VUA11" s="75"/>
      <c r="VUB11" s="75"/>
      <c r="VUC11" s="75"/>
      <c r="VUD11" s="75"/>
      <c r="VUE11" s="75"/>
      <c r="VUF11" s="75"/>
      <c r="VUG11" s="75"/>
      <c r="VUH11" s="75"/>
      <c r="VUI11" s="75"/>
      <c r="VUJ11" s="75"/>
      <c r="VUK11" s="75"/>
      <c r="VUL11" s="75"/>
      <c r="VUM11" s="75"/>
      <c r="VUN11" s="75"/>
      <c r="VUO11" s="75"/>
      <c r="VUP11" s="75"/>
      <c r="VUQ11" s="75"/>
      <c r="VUR11" s="75"/>
      <c r="VUS11" s="75"/>
      <c r="VUT11" s="75"/>
      <c r="VUU11" s="75"/>
      <c r="VUV11" s="75"/>
      <c r="VUW11" s="75"/>
      <c r="VUX11" s="75"/>
      <c r="VUY11" s="75"/>
      <c r="VUZ11" s="75"/>
      <c r="VVA11" s="75"/>
      <c r="VVB11" s="75"/>
      <c r="VVC11" s="75"/>
      <c r="VVD11" s="75"/>
      <c r="VVE11" s="75"/>
      <c r="VVF11" s="75"/>
      <c r="VVG11" s="75"/>
      <c r="VVH11" s="75"/>
      <c r="VVI11" s="75"/>
      <c r="VVJ11" s="75"/>
      <c r="VVK11" s="75"/>
      <c r="VVL11" s="75"/>
      <c r="VVM11" s="75"/>
      <c r="VVN11" s="75"/>
      <c r="VVO11" s="75"/>
      <c r="VVP11" s="75"/>
      <c r="VVQ11" s="75"/>
      <c r="VVR11" s="75"/>
      <c r="VVS11" s="75"/>
      <c r="VVT11" s="75"/>
      <c r="VVU11" s="75"/>
      <c r="VVV11" s="75"/>
      <c r="VVW11" s="75"/>
      <c r="VVX11" s="75"/>
      <c r="VVY11" s="75"/>
      <c r="VVZ11" s="75"/>
      <c r="VWA11" s="75"/>
      <c r="VWB11" s="75"/>
      <c r="VWC11" s="75"/>
      <c r="VWD11" s="75"/>
      <c r="VWE11" s="75"/>
      <c r="VWF11" s="75"/>
      <c r="VWG11" s="75"/>
      <c r="VWH11" s="75"/>
      <c r="VWI11" s="75"/>
      <c r="VWJ11" s="75"/>
      <c r="VWK11" s="75"/>
      <c r="VWL11" s="75"/>
      <c r="VWM11" s="75"/>
      <c r="VWN11" s="75"/>
      <c r="VWO11" s="75"/>
      <c r="VWP11" s="75"/>
      <c r="VWQ11" s="75"/>
      <c r="VWR11" s="75"/>
      <c r="VWS11" s="75"/>
      <c r="VWT11" s="75"/>
      <c r="VWU11" s="75"/>
      <c r="VWV11" s="75"/>
      <c r="VWW11" s="75"/>
      <c r="VWX11" s="75"/>
      <c r="VWY11" s="75"/>
      <c r="VWZ11" s="75"/>
      <c r="VXA11" s="75"/>
      <c r="VXB11" s="75"/>
      <c r="VXC11" s="75"/>
      <c r="VXD11" s="75"/>
      <c r="VXE11" s="75"/>
      <c r="VXF11" s="75"/>
      <c r="VXG11" s="75"/>
      <c r="VXH11" s="75"/>
      <c r="VXI11" s="75"/>
      <c r="VXJ11" s="75"/>
      <c r="VXK11" s="75"/>
      <c r="VXL11" s="75"/>
      <c r="VXM11" s="75"/>
      <c r="VXN11" s="75"/>
      <c r="VXO11" s="75"/>
      <c r="VXP11" s="75"/>
      <c r="VXQ11" s="75"/>
      <c r="VXR11" s="75"/>
      <c r="VXS11" s="75"/>
      <c r="VXT11" s="75"/>
      <c r="VXU11" s="75"/>
      <c r="VXV11" s="75"/>
      <c r="VXW11" s="75"/>
      <c r="VXX11" s="75"/>
      <c r="VXY11" s="75"/>
      <c r="VXZ11" s="75"/>
      <c r="VYA11" s="75"/>
      <c r="VYB11" s="75"/>
      <c r="VYC11" s="75"/>
      <c r="VYD11" s="75"/>
      <c r="VYE11" s="75"/>
      <c r="VYF11" s="75"/>
      <c r="VYG11" s="75"/>
      <c r="VYH11" s="75"/>
      <c r="VYI11" s="75"/>
      <c r="VYJ11" s="75"/>
      <c r="VYK11" s="75"/>
      <c r="VYL11" s="75"/>
      <c r="VYM11" s="75"/>
      <c r="VYN11" s="75"/>
      <c r="VYO11" s="75"/>
      <c r="VYP11" s="75"/>
      <c r="VYQ11" s="75"/>
      <c r="VYR11" s="75"/>
      <c r="VYS11" s="75"/>
      <c r="VYT11" s="75"/>
      <c r="VYU11" s="75"/>
      <c r="VYV11" s="75"/>
      <c r="VYW11" s="75"/>
      <c r="VYX11" s="75"/>
      <c r="VYY11" s="75"/>
      <c r="VYZ11" s="75"/>
      <c r="VZA11" s="75"/>
      <c r="VZB11" s="75"/>
      <c r="VZC11" s="75"/>
      <c r="VZD11" s="75"/>
      <c r="VZE11" s="75"/>
      <c r="VZF11" s="75"/>
      <c r="VZG11" s="75"/>
      <c r="VZH11" s="75"/>
      <c r="VZI11" s="75"/>
      <c r="VZJ11" s="75"/>
      <c r="VZK11" s="75"/>
      <c r="VZL11" s="75"/>
      <c r="VZM11" s="75"/>
      <c r="VZN11" s="75"/>
      <c r="VZO11" s="75"/>
      <c r="VZP11" s="75"/>
      <c r="VZQ11" s="75"/>
      <c r="VZR11" s="75"/>
      <c r="VZS11" s="75"/>
      <c r="VZT11" s="75"/>
      <c r="VZU11" s="75"/>
      <c r="VZV11" s="75"/>
      <c r="VZW11" s="75"/>
      <c r="VZX11" s="75"/>
      <c r="VZY11" s="75"/>
      <c r="VZZ11" s="75"/>
      <c r="WAA11" s="75"/>
      <c r="WAB11" s="75"/>
      <c r="WAC11" s="75"/>
      <c r="WAD11" s="75"/>
      <c r="WAE11" s="75"/>
      <c r="WAF11" s="75"/>
      <c r="WAG11" s="75"/>
      <c r="WAH11" s="75"/>
      <c r="WAI11" s="75"/>
      <c r="WAJ11" s="75"/>
      <c r="WAK11" s="75"/>
      <c r="WAL11" s="75"/>
      <c r="WAM11" s="75"/>
      <c r="WAN11" s="75"/>
      <c r="WAO11" s="75"/>
      <c r="WAP11" s="75"/>
      <c r="WAQ11" s="75"/>
      <c r="WAR11" s="75"/>
      <c r="WAS11" s="75"/>
      <c r="WAT11" s="75"/>
      <c r="WAU11" s="75"/>
      <c r="WAV11" s="75"/>
      <c r="WAW11" s="75"/>
      <c r="WAX11" s="75"/>
      <c r="WAY11" s="75"/>
      <c r="WAZ11" s="75"/>
      <c r="WBA11" s="75"/>
      <c r="WBB11" s="75"/>
      <c r="WBC11" s="75"/>
      <c r="WBD11" s="75"/>
      <c r="WBE11" s="75"/>
      <c r="WBF11" s="75"/>
      <c r="WBG11" s="75"/>
      <c r="WBH11" s="75"/>
      <c r="WBI11" s="75"/>
      <c r="WBJ11" s="75"/>
      <c r="WBK11" s="75"/>
      <c r="WBL11" s="75"/>
      <c r="WBM11" s="75"/>
      <c r="WBN11" s="75"/>
      <c r="WBO11" s="75"/>
      <c r="WBP11" s="75"/>
      <c r="WBQ11" s="75"/>
      <c r="WBR11" s="75"/>
      <c r="WBS11" s="75"/>
      <c r="WBT11" s="75"/>
      <c r="WBU11" s="75"/>
      <c r="WBV11" s="75"/>
      <c r="WBW11" s="75"/>
      <c r="WBX11" s="75"/>
      <c r="WBY11" s="75"/>
      <c r="WBZ11" s="75"/>
      <c r="WCA11" s="75"/>
      <c r="WCB11" s="75"/>
      <c r="WCC11" s="75"/>
      <c r="WCD11" s="75"/>
      <c r="WCE11" s="75"/>
      <c r="WCF11" s="75"/>
      <c r="WCG11" s="75"/>
      <c r="WCH11" s="75"/>
      <c r="WCI11" s="75"/>
      <c r="WCJ11" s="75"/>
      <c r="WCK11" s="75"/>
      <c r="WCL11" s="75"/>
      <c r="WCM11" s="75"/>
      <c r="WCN11" s="75"/>
      <c r="WCO11" s="75"/>
      <c r="WCP11" s="75"/>
      <c r="WCQ11" s="75"/>
      <c r="WCR11" s="75"/>
      <c r="WCS11" s="75"/>
      <c r="WCT11" s="75"/>
      <c r="WCU11" s="75"/>
      <c r="WCV11" s="75"/>
      <c r="WCW11" s="75"/>
      <c r="WCX11" s="75"/>
      <c r="WCY11" s="75"/>
      <c r="WCZ11" s="75"/>
      <c r="WDA11" s="75"/>
      <c r="WDB11" s="75"/>
      <c r="WDC11" s="75"/>
      <c r="WDD11" s="75"/>
      <c r="WDE11" s="75"/>
      <c r="WDF11" s="75"/>
      <c r="WDG11" s="75"/>
      <c r="WDH11" s="75"/>
      <c r="WDI11" s="75"/>
      <c r="WDJ11" s="75"/>
      <c r="WDK11" s="75"/>
      <c r="WDL11" s="75"/>
      <c r="WDM11" s="75"/>
      <c r="WDN11" s="75"/>
      <c r="WDO11" s="75"/>
      <c r="WDP11" s="75"/>
      <c r="WDQ11" s="75"/>
      <c r="WDR11" s="75"/>
      <c r="WDS11" s="75"/>
      <c r="WDT11" s="75"/>
      <c r="WDU11" s="75"/>
      <c r="WDV11" s="75"/>
      <c r="WDW11" s="75"/>
      <c r="WDX11" s="75"/>
      <c r="WDY11" s="75"/>
      <c r="WDZ11" s="75"/>
      <c r="WEA11" s="75"/>
      <c r="WEB11" s="75"/>
      <c r="WEC11" s="75"/>
      <c r="WED11" s="75"/>
      <c r="WEE11" s="75"/>
      <c r="WEF11" s="75"/>
      <c r="WEG11" s="75"/>
      <c r="WEH11" s="75"/>
      <c r="WEI11" s="75"/>
      <c r="WEJ11" s="75"/>
      <c r="WEK11" s="75"/>
      <c r="WEL11" s="75"/>
      <c r="WEM11" s="75"/>
      <c r="WEN11" s="75"/>
      <c r="WEO11" s="75"/>
      <c r="WEP11" s="75"/>
      <c r="WEQ11" s="75"/>
      <c r="WER11" s="75"/>
      <c r="WES11" s="75"/>
      <c r="WET11" s="75"/>
      <c r="WEU11" s="75"/>
      <c r="WEV11" s="75"/>
      <c r="WEW11" s="75"/>
      <c r="WEX11" s="75"/>
      <c r="WEY11" s="75"/>
      <c r="WEZ11" s="75"/>
      <c r="WFA11" s="75"/>
      <c r="WFB11" s="75"/>
      <c r="WFC11" s="75"/>
      <c r="WFD11" s="75"/>
      <c r="WFE11" s="75"/>
      <c r="WFF11" s="75"/>
      <c r="WFG11" s="75"/>
      <c r="WFH11" s="75"/>
      <c r="WFI11" s="75"/>
      <c r="WFJ11" s="75"/>
      <c r="WFK11" s="75"/>
      <c r="WFL11" s="75"/>
      <c r="WFM11" s="75"/>
      <c r="WFN11" s="75"/>
      <c r="WFO11" s="75"/>
      <c r="WFP11" s="75"/>
      <c r="WFQ11" s="75"/>
      <c r="WFR11" s="75"/>
      <c r="WFS11" s="75"/>
      <c r="WFT11" s="75"/>
      <c r="WFU11" s="75"/>
      <c r="WFV11" s="75"/>
      <c r="WFW11" s="75"/>
      <c r="WFX11" s="75"/>
      <c r="WFY11" s="75"/>
      <c r="WFZ11" s="75"/>
      <c r="WGA11" s="75"/>
      <c r="WGB11" s="75"/>
      <c r="WGC11" s="75"/>
      <c r="WGD11" s="75"/>
      <c r="WGE11" s="75"/>
      <c r="WGF11" s="75"/>
      <c r="WGG11" s="75"/>
      <c r="WGH11" s="75"/>
      <c r="WGI11" s="75"/>
      <c r="WGJ11" s="75"/>
      <c r="WGK11" s="75"/>
      <c r="WGL11" s="75"/>
      <c r="WGM11" s="75"/>
      <c r="WGN11" s="75"/>
      <c r="WGO11" s="75"/>
      <c r="WGP11" s="75"/>
      <c r="WGQ11" s="75"/>
      <c r="WGR11" s="75"/>
      <c r="WGS11" s="75"/>
      <c r="WGT11" s="75"/>
      <c r="WGU11" s="75"/>
      <c r="WGV11" s="75"/>
      <c r="WGW11" s="75"/>
      <c r="WGX11" s="75"/>
      <c r="WGY11" s="75"/>
      <c r="WGZ11" s="75"/>
      <c r="WHA11" s="75"/>
      <c r="WHB11" s="75"/>
      <c r="WHC11" s="75"/>
      <c r="WHD11" s="75"/>
      <c r="WHE11" s="75"/>
      <c r="WHF11" s="75"/>
      <c r="WHG11" s="75"/>
      <c r="WHH11" s="75"/>
      <c r="WHI11" s="75"/>
      <c r="WHJ11" s="75"/>
      <c r="WHK11" s="75"/>
      <c r="WHL11" s="75"/>
      <c r="WHM11" s="75"/>
      <c r="WHN11" s="75"/>
      <c r="WHO11" s="75"/>
      <c r="WHP11" s="75"/>
      <c r="WHQ11" s="75"/>
      <c r="WHR11" s="75"/>
      <c r="WHS11" s="75"/>
      <c r="WHT11" s="75"/>
      <c r="WHU11" s="75"/>
      <c r="WHV11" s="75"/>
      <c r="WHW11" s="75"/>
      <c r="WHX11" s="75"/>
      <c r="WHY11" s="75"/>
      <c r="WHZ11" s="75"/>
      <c r="WIA11" s="75"/>
      <c r="WIB11" s="75"/>
      <c r="WIC11" s="75"/>
      <c r="WID11" s="75"/>
      <c r="WIE11" s="75"/>
      <c r="WIF11" s="75"/>
      <c r="WIG11" s="75"/>
      <c r="WIH11" s="75"/>
      <c r="WII11" s="75"/>
      <c r="WIJ11" s="75"/>
      <c r="WIK11" s="75"/>
      <c r="WIL11" s="75"/>
      <c r="WIM11" s="75"/>
      <c r="WIN11" s="75"/>
      <c r="WIO11" s="75"/>
      <c r="WIP11" s="75"/>
      <c r="WIQ11" s="75"/>
      <c r="WIR11" s="75"/>
      <c r="WIS11" s="75"/>
      <c r="WIT11" s="75"/>
      <c r="WIU11" s="75"/>
      <c r="WIV11" s="75"/>
      <c r="WIW11" s="75"/>
      <c r="WIX11" s="75"/>
      <c r="WIY11" s="75"/>
      <c r="WIZ11" s="75"/>
      <c r="WJA11" s="75"/>
      <c r="WJB11" s="75"/>
      <c r="WJC11" s="75"/>
      <c r="WJD11" s="75"/>
      <c r="WJE11" s="75"/>
      <c r="WJF11" s="75"/>
      <c r="WJG11" s="75"/>
      <c r="WJH11" s="75"/>
      <c r="WJI11" s="75"/>
      <c r="WJJ11" s="75"/>
      <c r="WJK11" s="75"/>
      <c r="WJL11" s="75"/>
      <c r="WJM11" s="75"/>
      <c r="WJN11" s="75"/>
      <c r="WJO11" s="75"/>
      <c r="WJP11" s="75"/>
      <c r="WJQ11" s="75"/>
      <c r="WJR11" s="75"/>
      <c r="WJS11" s="75"/>
      <c r="WJT11" s="75"/>
      <c r="WJU11" s="75"/>
      <c r="WJV11" s="75"/>
      <c r="WJW11" s="75"/>
      <c r="WJX11" s="75"/>
      <c r="WJY11" s="75"/>
      <c r="WJZ11" s="75"/>
      <c r="WKA11" s="75"/>
      <c r="WKB11" s="75"/>
      <c r="WKC11" s="75"/>
      <c r="WKD11" s="75"/>
      <c r="WKE11" s="75"/>
      <c r="WKF11" s="75"/>
      <c r="WKG11" s="75"/>
      <c r="WKH11" s="75"/>
      <c r="WKI11" s="75"/>
      <c r="WKJ11" s="75"/>
      <c r="WKK11" s="75"/>
      <c r="WKL11" s="75"/>
      <c r="WKM11" s="75"/>
      <c r="WKN11" s="75"/>
      <c r="WKO11" s="75"/>
      <c r="WKP11" s="75"/>
      <c r="WKQ11" s="75"/>
      <c r="WKR11" s="75"/>
      <c r="WKS11" s="75"/>
      <c r="WKT11" s="75"/>
      <c r="WKU11" s="75"/>
      <c r="WKV11" s="75"/>
      <c r="WKW11" s="75"/>
      <c r="WKX11" s="75"/>
      <c r="WKY11" s="75"/>
      <c r="WKZ11" s="75"/>
      <c r="WLA11" s="75"/>
      <c r="WLB11" s="75"/>
      <c r="WLC11" s="75"/>
      <c r="WLD11" s="75"/>
      <c r="WLE11" s="75"/>
      <c r="WLF11" s="75"/>
      <c r="WLG11" s="75"/>
      <c r="WLH11" s="75"/>
      <c r="WLI11" s="75"/>
      <c r="WLJ11" s="75"/>
      <c r="WLK11" s="75"/>
      <c r="WLL11" s="75"/>
      <c r="WLM11" s="75"/>
      <c r="WLN11" s="75"/>
      <c r="WLO11" s="75"/>
      <c r="WLP11" s="75"/>
      <c r="WLQ11" s="75"/>
      <c r="WLR11" s="75"/>
      <c r="WLS11" s="75"/>
      <c r="WLT11" s="75"/>
      <c r="WLU11" s="75"/>
      <c r="WLV11" s="75"/>
      <c r="WLW11" s="75"/>
      <c r="WLX11" s="75"/>
      <c r="WLY11" s="75"/>
      <c r="WLZ11" s="75"/>
      <c r="WMA11" s="75"/>
      <c r="WMB11" s="75"/>
      <c r="WMC11" s="75"/>
      <c r="WMD11" s="75"/>
      <c r="WME11" s="75"/>
      <c r="WMF11" s="75"/>
      <c r="WMG11" s="75"/>
      <c r="WMH11" s="75"/>
      <c r="WMI11" s="75"/>
      <c r="WMJ11" s="75"/>
      <c r="WMK11" s="75"/>
      <c r="WML11" s="75"/>
      <c r="WMM11" s="75"/>
      <c r="WMN11" s="75"/>
      <c r="WMO11" s="75"/>
      <c r="WMP11" s="75"/>
      <c r="WMQ11" s="75"/>
      <c r="WMR11" s="75"/>
      <c r="WMS11" s="75"/>
      <c r="WMT11" s="75"/>
      <c r="WMU11" s="75"/>
      <c r="WMV11" s="75"/>
      <c r="WMW11" s="75"/>
      <c r="WMX11" s="75"/>
      <c r="WMY11" s="75"/>
      <c r="WMZ11" s="75"/>
      <c r="WNA11" s="75"/>
      <c r="WNB11" s="75"/>
      <c r="WNC11" s="75"/>
      <c r="WND11" s="75"/>
      <c r="WNE11" s="75"/>
      <c r="WNF11" s="75"/>
      <c r="WNG11" s="75"/>
      <c r="WNH11" s="75"/>
      <c r="WNI11" s="75"/>
      <c r="WNJ11" s="75"/>
      <c r="WNK11" s="75"/>
      <c r="WNL11" s="75"/>
      <c r="WNM11" s="75"/>
      <c r="WNN11" s="75"/>
      <c r="WNO11" s="75"/>
      <c r="WNP11" s="75"/>
      <c r="WNQ11" s="75"/>
      <c r="WNR11" s="75"/>
      <c r="WNS11" s="75"/>
      <c r="WNT11" s="75"/>
      <c r="WNU11" s="75"/>
      <c r="WNV11" s="75"/>
      <c r="WNW11" s="75"/>
      <c r="WNX11" s="75"/>
      <c r="WNY11" s="75"/>
      <c r="WNZ11" s="75"/>
      <c r="WOA11" s="75"/>
      <c r="WOB11" s="75"/>
      <c r="WOC11" s="75"/>
      <c r="WOD11" s="75"/>
      <c r="WOE11" s="75"/>
      <c r="WOF11" s="75"/>
      <c r="WOG11" s="75"/>
      <c r="WOH11" s="75"/>
      <c r="WOI11" s="75"/>
      <c r="WOJ11" s="75"/>
      <c r="WOK11" s="75"/>
      <c r="WOL11" s="75"/>
      <c r="WOM11" s="75"/>
      <c r="WON11" s="75"/>
      <c r="WOO11" s="75"/>
      <c r="WOP11" s="75"/>
      <c r="WOQ11" s="75"/>
      <c r="WOR11" s="75"/>
      <c r="WOS11" s="75"/>
      <c r="WOT11" s="75"/>
      <c r="WOU11" s="75"/>
      <c r="WOV11" s="75"/>
      <c r="WOW11" s="75"/>
      <c r="WOX11" s="75"/>
      <c r="WOY11" s="75"/>
      <c r="WOZ11" s="75"/>
      <c r="WPA11" s="75"/>
      <c r="WPB11" s="75"/>
      <c r="WPC11" s="75"/>
      <c r="WPD11" s="75"/>
      <c r="WPE11" s="75"/>
      <c r="WPF11" s="75"/>
      <c r="WPG11" s="75"/>
      <c r="WPH11" s="75"/>
      <c r="WPI11" s="75"/>
      <c r="WPJ11" s="75"/>
      <c r="WPK11" s="75"/>
      <c r="WPL11" s="75"/>
      <c r="WPM11" s="75"/>
      <c r="WPN11" s="75"/>
      <c r="WPO11" s="75"/>
      <c r="WPP11" s="75"/>
      <c r="WPQ11" s="75"/>
      <c r="WPR11" s="75"/>
      <c r="WPS11" s="75"/>
      <c r="WPT11" s="75"/>
      <c r="WPU11" s="75"/>
      <c r="WPV11" s="75"/>
      <c r="WPW11" s="75"/>
      <c r="WPX11" s="75"/>
      <c r="WPY11" s="75"/>
      <c r="WPZ11" s="75"/>
      <c r="WQA11" s="75"/>
      <c r="WQB11" s="75"/>
      <c r="WQC11" s="75"/>
      <c r="WQD11" s="75"/>
      <c r="WQE11" s="75"/>
      <c r="WQF11" s="75"/>
      <c r="WQG11" s="75"/>
      <c r="WQH11" s="75"/>
      <c r="WQI11" s="75"/>
      <c r="WQJ11" s="75"/>
      <c r="WQK11" s="75"/>
      <c r="WQL11" s="75"/>
      <c r="WQM11" s="75"/>
      <c r="WQN11" s="75"/>
      <c r="WQO11" s="75"/>
      <c r="WQP11" s="75"/>
      <c r="WQQ11" s="75"/>
      <c r="WQR11" s="75"/>
      <c r="WQS11" s="75"/>
      <c r="WQT11" s="75"/>
      <c r="WQU11" s="75"/>
      <c r="WQV11" s="75"/>
      <c r="WQW11" s="75"/>
      <c r="WQX11" s="75"/>
      <c r="WQY11" s="75"/>
      <c r="WQZ11" s="75"/>
      <c r="WRA11" s="75"/>
      <c r="WRB11" s="75"/>
      <c r="WRC11" s="75"/>
      <c r="WRD11" s="75"/>
      <c r="WRE11" s="75"/>
      <c r="WRF11" s="75"/>
      <c r="WRG11" s="75"/>
      <c r="WRH11" s="75"/>
      <c r="WRI11" s="75"/>
      <c r="WRJ11" s="75"/>
      <c r="WRK11" s="75"/>
      <c r="WRL11" s="75"/>
      <c r="WRM11" s="75"/>
      <c r="WRN11" s="75"/>
      <c r="WRO11" s="75"/>
      <c r="WRP11" s="75"/>
      <c r="WRQ11" s="75"/>
      <c r="WRR11" s="75"/>
      <c r="WRS11" s="75"/>
      <c r="WRT11" s="75"/>
      <c r="WRU11" s="75"/>
      <c r="WRV11" s="75"/>
      <c r="WRW11" s="75"/>
      <c r="WRX11" s="75"/>
      <c r="WRY11" s="75"/>
      <c r="WRZ11" s="75"/>
      <c r="WSA11" s="75"/>
      <c r="WSB11" s="75"/>
      <c r="WSC11" s="75"/>
      <c r="WSD11" s="75"/>
      <c r="WSE11" s="75"/>
      <c r="WSF11" s="75"/>
      <c r="WSG11" s="75"/>
      <c r="WSH11" s="75"/>
      <c r="WSI11" s="75"/>
      <c r="WSJ11" s="75"/>
      <c r="WSK11" s="75"/>
      <c r="WSL11" s="75"/>
      <c r="WSM11" s="75"/>
      <c r="WSN11" s="75"/>
      <c r="WSO11" s="75"/>
      <c r="WSP11" s="75"/>
      <c r="WSQ11" s="75"/>
      <c r="WSR11" s="75"/>
      <c r="WSS11" s="75"/>
      <c r="WST11" s="75"/>
      <c r="WSU11" s="75"/>
      <c r="WSV11" s="75"/>
      <c r="WSW11" s="75"/>
      <c r="WSX11" s="75"/>
      <c r="WSY11" s="75"/>
      <c r="WSZ11" s="75"/>
      <c r="WTA11" s="75"/>
      <c r="WTB11" s="75"/>
      <c r="WTC11" s="75"/>
      <c r="WTD11" s="75"/>
      <c r="WTE11" s="75"/>
      <c r="WTF11" s="75"/>
      <c r="WTG11" s="75"/>
      <c r="WTH11" s="75"/>
      <c r="WTI11" s="75"/>
      <c r="WTJ11" s="75"/>
      <c r="WTK11" s="75"/>
      <c r="WTL11" s="75"/>
      <c r="WTM11" s="75"/>
      <c r="WTN11" s="75"/>
      <c r="WTO11" s="75"/>
      <c r="WTP11" s="75"/>
      <c r="WTQ11" s="75"/>
      <c r="WTR11" s="75"/>
      <c r="WTS11" s="75"/>
      <c r="WTT11" s="75"/>
      <c r="WTU11" s="75"/>
      <c r="WTV11" s="75"/>
      <c r="WTW11" s="75"/>
      <c r="WTX11" s="75"/>
      <c r="WTY11" s="75"/>
      <c r="WTZ11" s="75"/>
      <c r="WUA11" s="75"/>
      <c r="WUB11" s="75"/>
      <c r="WUC11" s="75"/>
      <c r="WUD11" s="75"/>
      <c r="WUE11" s="75"/>
      <c r="WUF11" s="75"/>
      <c r="WUG11" s="75"/>
      <c r="WUH11" s="75"/>
      <c r="WUI11" s="75"/>
      <c r="WUJ11" s="75"/>
      <c r="WUK11" s="75"/>
      <c r="WUL11" s="75"/>
      <c r="WUM11" s="75"/>
      <c r="WUN11" s="75"/>
      <c r="WUO11" s="75"/>
      <c r="WUP11" s="75"/>
      <c r="WUQ11" s="75"/>
      <c r="WUR11" s="75"/>
      <c r="WUS11" s="75"/>
      <c r="WUT11" s="75"/>
      <c r="WUU11" s="75"/>
      <c r="WUV11" s="75"/>
      <c r="WUW11" s="75"/>
      <c r="WUX11" s="75"/>
      <c r="WUY11" s="75"/>
      <c r="WUZ11" s="75"/>
      <c r="WVA11" s="75"/>
      <c r="WVB11" s="75"/>
      <c r="WVC11" s="75"/>
      <c r="WVD11" s="75"/>
      <c r="WVE11" s="75"/>
      <c r="WVF11" s="75"/>
      <c r="WVG11" s="75"/>
      <c r="WVH11" s="75"/>
      <c r="WVI11" s="75"/>
      <c r="WVJ11" s="75"/>
      <c r="WVK11" s="75"/>
      <c r="WVL11" s="75"/>
      <c r="WVM11" s="75"/>
      <c r="WVN11" s="75"/>
      <c r="WVO11" s="75"/>
      <c r="WVP11" s="75"/>
      <c r="WVQ11" s="75"/>
      <c r="WVR11" s="75"/>
      <c r="WVS11" s="75"/>
      <c r="WVT11" s="75"/>
      <c r="WVU11" s="75"/>
      <c r="WVV11" s="75"/>
      <c r="WVW11" s="75"/>
      <c r="WVX11" s="75"/>
      <c r="WVY11" s="75"/>
      <c r="WVZ11" s="75"/>
      <c r="WWA11" s="75"/>
      <c r="WWB11" s="75"/>
      <c r="WWC11" s="75"/>
      <c r="WWD11" s="75"/>
      <c r="WWE11" s="75"/>
      <c r="WWF11" s="75"/>
      <c r="WWG11" s="75"/>
      <c r="WWH11" s="75"/>
      <c r="WWI11" s="75"/>
      <c r="WWJ11" s="75"/>
      <c r="WWK11" s="75"/>
      <c r="WWL11" s="75"/>
      <c r="WWM11" s="75"/>
      <c r="WWN11" s="75"/>
      <c r="WWO11" s="75"/>
      <c r="WWP11" s="75"/>
      <c r="WWQ11" s="75"/>
      <c r="WWR11" s="75"/>
      <c r="WWS11" s="75"/>
      <c r="WWT11" s="75"/>
      <c r="WWU11" s="75"/>
      <c r="WWV11" s="75"/>
      <c r="WWW11" s="75"/>
      <c r="WWX11" s="75"/>
      <c r="WWY11" s="75"/>
      <c r="WWZ11" s="75"/>
      <c r="WXA11" s="75"/>
      <c r="WXB11" s="75"/>
      <c r="WXC11" s="75"/>
      <c r="WXD11" s="75"/>
      <c r="WXE11" s="75"/>
      <c r="WXF11" s="75"/>
      <c r="WXG11" s="75"/>
      <c r="WXH11" s="75"/>
      <c r="WXI11" s="75"/>
      <c r="WXJ11" s="75"/>
      <c r="WXK11" s="75"/>
      <c r="WXL11" s="75"/>
      <c r="WXM11" s="75"/>
      <c r="WXN11" s="75"/>
      <c r="WXO11" s="75"/>
      <c r="WXP11" s="75"/>
      <c r="WXQ11" s="75"/>
      <c r="WXR11" s="75"/>
      <c r="WXS11" s="75"/>
      <c r="WXT11" s="75"/>
      <c r="WXU11" s="75"/>
      <c r="WXV11" s="75"/>
      <c r="WXW11" s="75"/>
      <c r="WXX11" s="75"/>
      <c r="WXY11" s="75"/>
      <c r="WXZ11" s="75"/>
      <c r="WYA11" s="75"/>
      <c r="WYB11" s="75"/>
      <c r="WYC11" s="75"/>
      <c r="WYD11" s="75"/>
      <c r="WYE11" s="75"/>
      <c r="WYF11" s="75"/>
      <c r="WYG11" s="75"/>
      <c r="WYH11" s="75"/>
      <c r="WYI11" s="75"/>
      <c r="WYJ11" s="75"/>
      <c r="WYK11" s="75"/>
      <c r="WYL11" s="75"/>
      <c r="WYM11" s="75"/>
      <c r="WYN11" s="75"/>
      <c r="WYO11" s="75"/>
      <c r="WYP11" s="75"/>
      <c r="WYQ11" s="75"/>
      <c r="WYR11" s="75"/>
      <c r="WYS11" s="75"/>
      <c r="WYT11" s="75"/>
      <c r="WYU11" s="75"/>
      <c r="WYV11" s="75"/>
      <c r="WYW11" s="75"/>
      <c r="WYX11" s="75"/>
      <c r="WYY11" s="75"/>
      <c r="WYZ11" s="75"/>
      <c r="WZA11" s="75"/>
      <c r="WZB11" s="75"/>
      <c r="WZC11" s="75"/>
      <c r="WZD11" s="75"/>
      <c r="WZE11" s="75"/>
      <c r="WZF11" s="75"/>
      <c r="WZG11" s="75"/>
      <c r="WZH11" s="75"/>
      <c r="WZI11" s="75"/>
      <c r="WZJ11" s="75"/>
      <c r="WZK11" s="75"/>
      <c r="WZL11" s="75"/>
      <c r="WZM11" s="75"/>
      <c r="WZN11" s="75"/>
      <c r="WZO11" s="75"/>
      <c r="WZP11" s="75"/>
      <c r="WZQ11" s="75"/>
      <c r="WZR11" s="75"/>
      <c r="WZS11" s="75"/>
      <c r="WZT11" s="75"/>
      <c r="WZU11" s="75"/>
      <c r="WZV11" s="75"/>
      <c r="WZW11" s="75"/>
      <c r="WZX11" s="75"/>
      <c r="WZY11" s="75"/>
      <c r="WZZ11" s="75"/>
      <c r="XAA11" s="75"/>
      <c r="XAB11" s="75"/>
      <c r="XAC11" s="75"/>
      <c r="XAD11" s="75"/>
      <c r="XAE11" s="75"/>
      <c r="XAF11" s="75"/>
      <c r="XAG11" s="75"/>
      <c r="XAH11" s="75"/>
      <c r="XAI11" s="75"/>
      <c r="XAJ11" s="75"/>
      <c r="XAK11" s="75"/>
      <c r="XAL11" s="75"/>
      <c r="XAM11" s="75"/>
      <c r="XAN11" s="75"/>
      <c r="XAO11" s="75"/>
      <c r="XAP11" s="75"/>
      <c r="XAQ11" s="75"/>
      <c r="XAR11" s="75"/>
      <c r="XAS11" s="75"/>
      <c r="XAT11" s="75"/>
      <c r="XAU11" s="75"/>
      <c r="XAV11" s="75"/>
      <c r="XAW11" s="75"/>
      <c r="XAX11" s="75"/>
      <c r="XAY11" s="75"/>
      <c r="XAZ11" s="75"/>
      <c r="XBA11" s="75"/>
      <c r="XBB11" s="75"/>
      <c r="XBC11" s="75"/>
      <c r="XBD11" s="75"/>
      <c r="XBE11" s="75"/>
      <c r="XBF11" s="75"/>
      <c r="XBG11" s="75"/>
      <c r="XBH11" s="75"/>
      <c r="XBI11" s="75"/>
      <c r="XBJ11" s="75"/>
      <c r="XBK11" s="75"/>
      <c r="XBL11" s="75"/>
      <c r="XBM11" s="75"/>
      <c r="XBN11" s="75"/>
      <c r="XBO11" s="75"/>
      <c r="XBP11" s="75"/>
      <c r="XBQ11" s="75"/>
      <c r="XBR11" s="75"/>
      <c r="XBS11" s="75"/>
      <c r="XBT11" s="75"/>
      <c r="XBU11" s="75"/>
      <c r="XBV11" s="75"/>
      <c r="XBW11" s="75"/>
      <c r="XBX11" s="75"/>
      <c r="XBY11" s="75"/>
      <c r="XBZ11" s="75"/>
      <c r="XCA11" s="75"/>
      <c r="XCB11" s="75"/>
      <c r="XCC11" s="75"/>
      <c r="XCD11" s="75"/>
      <c r="XCE11" s="75"/>
      <c r="XCF11" s="75"/>
      <c r="XCG11" s="75"/>
      <c r="XCH11" s="75"/>
      <c r="XCI11" s="75"/>
      <c r="XCJ11" s="75"/>
      <c r="XCK11" s="75"/>
      <c r="XCL11" s="75"/>
      <c r="XCM11" s="75"/>
      <c r="XCN11" s="75"/>
      <c r="XCO11" s="75"/>
      <c r="XCP11" s="75"/>
      <c r="XCQ11" s="75"/>
      <c r="XCR11" s="75"/>
      <c r="XCS11" s="75"/>
      <c r="XCT11" s="75"/>
      <c r="XCU11" s="75"/>
      <c r="XCV11" s="75"/>
      <c r="XCW11" s="75"/>
      <c r="XCX11" s="75"/>
      <c r="XCY11" s="75"/>
      <c r="XCZ11" s="75"/>
      <c r="XDA11" s="75"/>
      <c r="XDB11" s="75"/>
      <c r="XDC11" s="75"/>
      <c r="XDD11" s="75"/>
      <c r="XDE11" s="75"/>
      <c r="XDF11" s="75"/>
      <c r="XDG11" s="75"/>
      <c r="XDH11" s="75"/>
      <c r="XDI11" s="75"/>
      <c r="XDJ11" s="75"/>
      <c r="XDK11" s="75"/>
      <c r="XDL11" s="75"/>
      <c r="XDM11" s="75"/>
      <c r="XDN11" s="75"/>
      <c r="XDO11" s="75"/>
      <c r="XDP11" s="75"/>
      <c r="XDQ11" s="75"/>
      <c r="XDR11" s="75"/>
      <c r="XDS11" s="75"/>
      <c r="XDT11" s="75"/>
      <c r="XDU11" s="75"/>
      <c r="XDV11" s="75"/>
      <c r="XDW11" s="75"/>
      <c r="XDX11" s="75"/>
      <c r="XDY11" s="75"/>
      <c r="XDZ11" s="75"/>
      <c r="XEA11" s="75"/>
      <c r="XEB11" s="75"/>
      <c r="XEC11" s="75"/>
      <c r="XED11" s="75"/>
      <c r="XEE11" s="75"/>
      <c r="XEF11" s="75"/>
      <c r="XEG11" s="75"/>
      <c r="XEH11" s="75"/>
      <c r="XEI11" s="75"/>
      <c r="XEJ11" s="75"/>
      <c r="XEK11" s="75"/>
      <c r="XEL11" s="75"/>
      <c r="XEM11" s="75"/>
      <c r="XEN11" s="75"/>
      <c r="XEO11" s="75"/>
      <c r="XEP11" s="75"/>
      <c r="XEQ11" s="75"/>
      <c r="XER11" s="75"/>
      <c r="XES11" s="75"/>
      <c r="XET11" s="75"/>
      <c r="XEU11" s="75"/>
      <c r="XEV11" s="75"/>
      <c r="XEW11" s="75"/>
      <c r="XEX11" s="75"/>
      <c r="XEY11" s="75"/>
      <c r="XEZ11" s="75"/>
      <c r="XFA11" s="75"/>
      <c r="XFB11" s="75"/>
      <c r="XFC11" s="75"/>
      <c r="XFD11" s="75"/>
    </row>
    <row r="13" spans="1:16384" s="195" customFormat="1" x14ac:dyDescent="0.25">
      <c r="B13" s="95" t="s">
        <v>584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</row>
    <row r="14" spans="1:16384" s="195" customFormat="1" x14ac:dyDescent="0.25">
      <c r="D14" s="98"/>
      <c r="E14" s="98"/>
    </row>
    <row r="15" spans="1:16384" x14ac:dyDescent="0.25">
      <c r="C15" s="7" t="str">
        <f ca="1">INDEX('Version control'!$H$34:$H$60,MATCH($A$1,'Version control'!$F$34:$F$60,0),1)&amp;"-A: Typical bill results"</f>
        <v>Input 507-A: Typical bill results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6384" x14ac:dyDescent="0.25">
      <c r="D16" s="85"/>
      <c r="E16" s="85"/>
    </row>
    <row r="17" spans="3:18" x14ac:dyDescent="0.25">
      <c r="E17" s="96" t="s">
        <v>585</v>
      </c>
      <c r="F17" s="96"/>
      <c r="I17" s="85" t="s">
        <v>431</v>
      </c>
      <c r="R17" s="85" t="s">
        <v>865</v>
      </c>
    </row>
    <row r="18" spans="3:18" x14ac:dyDescent="0.25">
      <c r="C18" s="86"/>
      <c r="F18" s="103" t="s">
        <v>1038</v>
      </c>
      <c r="G18" s="91" t="s">
        <v>107</v>
      </c>
      <c r="H18" s="91" t="s">
        <v>318</v>
      </c>
      <c r="I18" s="91"/>
      <c r="J18" s="289">
        <f t="array" ref="J18:J33">TRANSPOSE('Net revenue summary'!J128:Y128)</f>
        <v>100.68392017625378</v>
      </c>
      <c r="K18" s="290"/>
      <c r="L18" s="342">
        <v>100.68392017625378</v>
      </c>
      <c r="M18" s="342">
        <v>104.02481644663889</v>
      </c>
      <c r="N18" s="342">
        <v>108.89833505534754</v>
      </c>
      <c r="O18" s="342">
        <v>110.6120162449497</v>
      </c>
      <c r="P18" s="342">
        <v>111.97683254341824</v>
      </c>
    </row>
    <row r="19" spans="3:18" x14ac:dyDescent="0.25">
      <c r="C19" s="86"/>
      <c r="F19" s="99" t="s">
        <v>1039</v>
      </c>
      <c r="G19" s="92" t="s">
        <v>107</v>
      </c>
      <c r="H19" s="92" t="s">
        <v>318</v>
      </c>
      <c r="I19" s="92"/>
      <c r="J19" s="466">
        <v>34.888232738206554</v>
      </c>
      <c r="K19" s="291"/>
      <c r="L19" s="343">
        <v>34.888232738206554</v>
      </c>
      <c r="M19" s="343">
        <v>36.813091807047719</v>
      </c>
      <c r="N19" s="343">
        <v>40.155430479859149</v>
      </c>
      <c r="O19" s="343">
        <v>40.590990200435812</v>
      </c>
      <c r="P19" s="343">
        <v>40.750577129292253</v>
      </c>
    </row>
    <row r="20" spans="3:18" x14ac:dyDescent="0.25">
      <c r="C20" s="86"/>
      <c r="F20" s="99" t="s">
        <v>1040</v>
      </c>
      <c r="G20" s="92" t="s">
        <v>107</v>
      </c>
      <c r="H20" s="92" t="s">
        <v>318</v>
      </c>
      <c r="I20" s="92"/>
      <c r="J20" s="466">
        <v>465.43767957090228</v>
      </c>
      <c r="K20" s="291"/>
      <c r="L20" s="343">
        <v>465.43767957090228</v>
      </c>
      <c r="M20" s="343">
        <v>485.05736815009965</v>
      </c>
      <c r="N20" s="343">
        <v>511.7754967862121</v>
      </c>
      <c r="O20" s="343">
        <v>520.20556482131292</v>
      </c>
      <c r="P20" s="343">
        <v>526.45726428743865</v>
      </c>
    </row>
    <row r="21" spans="3:18" x14ac:dyDescent="0.25">
      <c r="C21" s="86"/>
      <c r="F21" s="99" t="s">
        <v>1041</v>
      </c>
      <c r="G21" s="92" t="s">
        <v>107</v>
      </c>
      <c r="H21" s="92" t="s">
        <v>318</v>
      </c>
      <c r="I21" s="92"/>
      <c r="J21" s="466">
        <v>221.96134368468037</v>
      </c>
      <c r="K21" s="291"/>
      <c r="L21" s="343">
        <v>221.96134368468037</v>
      </c>
      <c r="M21" s="343">
        <v>232.57583316605931</v>
      </c>
      <c r="N21" s="343">
        <v>247.99013315963663</v>
      </c>
      <c r="O21" s="343">
        <v>251.76098088922544</v>
      </c>
      <c r="P21" s="343">
        <v>254.25936624273115</v>
      </c>
    </row>
    <row r="22" spans="3:18" x14ac:dyDescent="0.25">
      <c r="C22" s="86"/>
      <c r="F22" s="99" t="s">
        <v>1042</v>
      </c>
      <c r="G22" s="92" t="s">
        <v>107</v>
      </c>
      <c r="H22" s="92" t="s">
        <v>318</v>
      </c>
      <c r="I22" s="92"/>
      <c r="J22" s="466">
        <v>7168.5520506952917</v>
      </c>
      <c r="K22" s="291"/>
      <c r="L22" s="343">
        <v>7168.5520506952917</v>
      </c>
      <c r="M22" s="343">
        <v>7486.2859480681354</v>
      </c>
      <c r="N22" s="343">
        <v>7899.843529664633</v>
      </c>
      <c r="O22" s="343">
        <v>8034.3455279646269</v>
      </c>
      <c r="P22" s="343">
        <v>8137.3120182044977</v>
      </c>
    </row>
    <row r="23" spans="3:18" x14ac:dyDescent="0.25">
      <c r="C23" s="86"/>
      <c r="F23" s="99" t="s">
        <v>1043</v>
      </c>
      <c r="G23" s="92" t="s">
        <v>107</v>
      </c>
      <c r="H23" s="92" t="s">
        <v>318</v>
      </c>
      <c r="I23" s="92"/>
      <c r="J23" s="466">
        <v>24685.315070093893</v>
      </c>
      <c r="K23" s="291"/>
      <c r="L23" s="343">
        <v>24685.315070093893</v>
      </c>
      <c r="M23" s="343">
        <v>25813.409630645925</v>
      </c>
      <c r="N23" s="343">
        <v>27360.429349396487</v>
      </c>
      <c r="O23" s="343">
        <v>27790.906393877962</v>
      </c>
      <c r="P23" s="343">
        <v>28123.181590655669</v>
      </c>
    </row>
    <row r="24" spans="3:18" x14ac:dyDescent="0.25">
      <c r="C24" s="86"/>
      <c r="F24" s="99" t="s">
        <v>1044</v>
      </c>
      <c r="G24" s="92" t="s">
        <v>107</v>
      </c>
      <c r="H24" s="92" t="s">
        <v>318</v>
      </c>
      <c r="I24" s="92"/>
      <c r="J24" s="466">
        <v>61802.352112175802</v>
      </c>
      <c r="K24" s="291"/>
      <c r="L24" s="343">
        <v>61802.352112175802</v>
      </c>
      <c r="M24" s="343">
        <v>64680.792327115458</v>
      </c>
      <c r="N24" s="343">
        <v>68737.20984487269</v>
      </c>
      <c r="O24" s="343">
        <v>69767.110295426886</v>
      </c>
      <c r="P24" s="343">
        <v>70537.628330417749</v>
      </c>
    </row>
    <row r="25" spans="3:18" x14ac:dyDescent="0.25">
      <c r="C25" s="86"/>
      <c r="F25" s="99" t="s">
        <v>1045</v>
      </c>
      <c r="G25" s="92" t="s">
        <v>107</v>
      </c>
      <c r="H25" s="92" t="s">
        <v>318</v>
      </c>
      <c r="I25" s="92"/>
      <c r="J25" s="466">
        <v>1518.9926959471811</v>
      </c>
      <c r="K25" s="291"/>
      <c r="L25" s="343">
        <v>1518.9926959471811</v>
      </c>
      <c r="M25" s="343">
        <v>1580.100947905866</v>
      </c>
      <c r="N25" s="343">
        <v>1662.8445035784846</v>
      </c>
      <c r="O25" s="343">
        <v>1685.6496319189671</v>
      </c>
      <c r="P25" s="343">
        <v>1702.974023983825</v>
      </c>
    </row>
    <row r="26" spans="3:18" x14ac:dyDescent="0.25">
      <c r="C26" s="86"/>
      <c r="F26" s="99" t="s">
        <v>1046</v>
      </c>
      <c r="G26" s="92" t="s">
        <v>107</v>
      </c>
      <c r="H26" s="92" t="s">
        <v>318</v>
      </c>
      <c r="I26" s="92"/>
      <c r="J26" s="466">
        <v>-77.999909975132709</v>
      </c>
      <c r="K26" s="291"/>
      <c r="L26" s="343">
        <v>-77.999909975132709</v>
      </c>
      <c r="M26" s="343">
        <v>-80.733155167085044</v>
      </c>
      <c r="N26" s="343">
        <v>-83.024665948651176</v>
      </c>
      <c r="O26" s="343">
        <v>-84.487112728782463</v>
      </c>
      <c r="P26" s="343">
        <v>-86.31612176652979</v>
      </c>
    </row>
    <row r="27" spans="3:18" x14ac:dyDescent="0.25">
      <c r="C27" s="86"/>
      <c r="F27" s="99" t="s">
        <v>1047</v>
      </c>
      <c r="G27" s="92" t="s">
        <v>107</v>
      </c>
      <c r="H27" s="92" t="s">
        <v>318</v>
      </c>
      <c r="I27" s="92"/>
      <c r="J27" s="466">
        <v>-57.73277344149318</v>
      </c>
      <c r="K27" s="291"/>
      <c r="L27" s="343">
        <v>-57.73277344149318</v>
      </c>
      <c r="M27" s="343">
        <v>-59.71326115781099</v>
      </c>
      <c r="N27" s="343">
        <v>-61.388122876694908</v>
      </c>
      <c r="O27" s="343">
        <v>-62.459253146636357</v>
      </c>
      <c r="P27" s="343">
        <v>-63.808644159535795</v>
      </c>
    </row>
    <row r="28" spans="3:18" x14ac:dyDescent="0.25">
      <c r="C28" s="86"/>
      <c r="F28" s="99" t="s">
        <v>1048</v>
      </c>
      <c r="G28" s="92" t="s">
        <v>107</v>
      </c>
      <c r="H28" s="92" t="s">
        <v>318</v>
      </c>
      <c r="I28" s="92"/>
      <c r="J28" s="466">
        <v>-1196.0325207902247</v>
      </c>
      <c r="K28" s="291"/>
      <c r="L28" s="343">
        <v>-1196.0325207902247</v>
      </c>
      <c r="M28" s="343">
        <v>-1237.9563926086257</v>
      </c>
      <c r="N28" s="343">
        <v>-1273.1827952816907</v>
      </c>
      <c r="O28" s="343">
        <v>-1295.4977725187025</v>
      </c>
      <c r="P28" s="343">
        <v>-1323.5187856155792</v>
      </c>
    </row>
    <row r="29" spans="3:18" x14ac:dyDescent="0.25">
      <c r="C29" s="86"/>
      <c r="F29" s="99" t="s">
        <v>1049</v>
      </c>
      <c r="G29" s="92" t="s">
        <v>107</v>
      </c>
      <c r="H29" s="92" t="s">
        <v>318</v>
      </c>
      <c r="I29" s="92"/>
      <c r="J29" s="466" t="str">
        <v/>
      </c>
      <c r="K29" s="291"/>
      <c r="L29" s="343"/>
      <c r="M29" s="343"/>
      <c r="N29" s="343"/>
      <c r="O29" s="343"/>
      <c r="P29" s="343"/>
    </row>
    <row r="30" spans="3:18" x14ac:dyDescent="0.25">
      <c r="C30" s="86"/>
      <c r="F30" s="99" t="s">
        <v>1050</v>
      </c>
      <c r="G30" s="92" t="s">
        <v>107</v>
      </c>
      <c r="H30" s="92" t="s">
        <v>318</v>
      </c>
      <c r="I30" s="92"/>
      <c r="J30" s="466">
        <v>-1358.8780393739776</v>
      </c>
      <c r="K30" s="291"/>
      <c r="L30" s="343">
        <v>-1358.8780393739776</v>
      </c>
      <c r="M30" s="343">
        <v>-1405.6162854266536</v>
      </c>
      <c r="N30" s="343">
        <v>-1445.6878323664853</v>
      </c>
      <c r="O30" s="343">
        <v>-1470.07569750109</v>
      </c>
      <c r="P30" s="343">
        <v>-1501.9654703076287</v>
      </c>
    </row>
    <row r="31" spans="3:18" x14ac:dyDescent="0.25">
      <c r="C31" s="86"/>
      <c r="F31" s="99" t="s">
        <v>1051</v>
      </c>
      <c r="G31" s="92" t="s">
        <v>107</v>
      </c>
      <c r="H31" s="92" t="s">
        <v>318</v>
      </c>
      <c r="I31" s="92"/>
      <c r="J31" s="466" t="str">
        <v/>
      </c>
      <c r="K31" s="291"/>
      <c r="L31" s="343"/>
      <c r="M31" s="343"/>
      <c r="N31" s="343"/>
      <c r="O31" s="343"/>
      <c r="P31" s="343"/>
    </row>
    <row r="32" spans="3:18" x14ac:dyDescent="0.25">
      <c r="C32" s="86"/>
      <c r="F32" s="99" t="s">
        <v>1052</v>
      </c>
      <c r="G32" s="92" t="s">
        <v>107</v>
      </c>
      <c r="H32" s="92" t="s">
        <v>318</v>
      </c>
      <c r="I32" s="92"/>
      <c r="J32" s="466">
        <v>-22197.491012965707</v>
      </c>
      <c r="K32" s="291"/>
      <c r="L32" s="343">
        <v>-22197.491012965707</v>
      </c>
      <c r="M32" s="343">
        <v>-22961.753796920493</v>
      </c>
      <c r="N32" s="343">
        <v>-23623.567212198188</v>
      </c>
      <c r="O32" s="343">
        <v>-24007.057549955432</v>
      </c>
      <c r="P32" s="343">
        <v>-24541.58444893828</v>
      </c>
    </row>
    <row r="33" spans="3:18" x14ac:dyDescent="0.25">
      <c r="C33" s="86"/>
      <c r="F33" s="100" t="s">
        <v>1053</v>
      </c>
      <c r="G33" s="93" t="s">
        <v>107</v>
      </c>
      <c r="H33" s="93" t="s">
        <v>318</v>
      </c>
      <c r="I33" s="93"/>
      <c r="J33" s="292" t="str">
        <v/>
      </c>
      <c r="K33" s="293"/>
      <c r="L33" s="344"/>
      <c r="M33" s="344"/>
      <c r="N33" s="344"/>
      <c r="O33" s="344"/>
      <c r="P33" s="344"/>
    </row>
    <row r="34" spans="3:18" x14ac:dyDescent="0.25">
      <c r="D34" s="85"/>
      <c r="E34" s="85"/>
      <c r="J34" s="294"/>
      <c r="K34" s="294"/>
      <c r="L34" s="345"/>
      <c r="M34" s="345"/>
      <c r="N34" s="345"/>
      <c r="O34" s="345"/>
      <c r="P34" s="345"/>
    </row>
    <row r="35" spans="3:18" x14ac:dyDescent="0.25">
      <c r="E35" s="96" t="s">
        <v>586</v>
      </c>
      <c r="F35" s="96"/>
      <c r="I35" s="85" t="s">
        <v>431</v>
      </c>
      <c r="J35" s="294"/>
      <c r="K35" s="294"/>
      <c r="L35" s="345"/>
      <c r="M35" s="345"/>
      <c r="N35" s="345"/>
      <c r="O35" s="345"/>
      <c r="P35" s="345"/>
      <c r="R35" s="295" t="s">
        <v>865</v>
      </c>
    </row>
    <row r="36" spans="3:18" x14ac:dyDescent="0.25">
      <c r="C36" s="86"/>
      <c r="F36" s="103" t="s">
        <v>1038</v>
      </c>
      <c r="G36" s="91" t="s">
        <v>107</v>
      </c>
      <c r="H36" s="91" t="s">
        <v>146</v>
      </c>
      <c r="I36" s="91"/>
      <c r="J36" s="289">
        <f t="array" ref="J36:J51">TRANSPOSE('Net revenue summary'!J129:Y129)</f>
        <v>53.929466829318805</v>
      </c>
      <c r="K36" s="290"/>
      <c r="L36" s="342">
        <v>53.929466829318805</v>
      </c>
      <c r="M36" s="342">
        <v>55.334636509584371</v>
      </c>
      <c r="N36" s="342">
        <v>57.881010687010424</v>
      </c>
      <c r="O36" s="342">
        <v>58.779653128102332</v>
      </c>
      <c r="P36" s="342">
        <v>59.46575237892845</v>
      </c>
    </row>
    <row r="37" spans="3:18" x14ac:dyDescent="0.25">
      <c r="C37" s="86"/>
      <c r="F37" s="99" t="s">
        <v>1039</v>
      </c>
      <c r="G37" s="92" t="s">
        <v>107</v>
      </c>
      <c r="H37" s="92" t="s">
        <v>146</v>
      </c>
      <c r="I37" s="92"/>
      <c r="J37" s="466">
        <v>33.367349585947899</v>
      </c>
      <c r="K37" s="291"/>
      <c r="L37" s="343">
        <v>33.367349585947899</v>
      </c>
      <c r="M37" s="343">
        <v>35.214175321975638</v>
      </c>
      <c r="N37" s="343">
        <v>38.420968340803014</v>
      </c>
      <c r="O37" s="343">
        <v>38.840991463973374</v>
      </c>
      <c r="P37" s="343">
        <v>38.959683696347689</v>
      </c>
    </row>
    <row r="38" spans="3:18" x14ac:dyDescent="0.25">
      <c r="C38" s="86"/>
      <c r="F38" s="99" t="s">
        <v>1040</v>
      </c>
      <c r="G38" s="92" t="s">
        <v>107</v>
      </c>
      <c r="H38" s="92" t="s">
        <v>146</v>
      </c>
      <c r="I38" s="92"/>
      <c r="J38" s="466">
        <v>117.90624020878636</v>
      </c>
      <c r="K38" s="291"/>
      <c r="L38" s="343">
        <v>117.90624020878636</v>
      </c>
      <c r="M38" s="343">
        <v>122.10176154898083</v>
      </c>
      <c r="N38" s="343">
        <v>128.46922256241726</v>
      </c>
      <c r="O38" s="343">
        <v>130.50838522091652</v>
      </c>
      <c r="P38" s="343">
        <v>132.06180240208158</v>
      </c>
    </row>
    <row r="39" spans="3:18" x14ac:dyDescent="0.25">
      <c r="C39" s="86"/>
      <c r="F39" s="99" t="s">
        <v>1041</v>
      </c>
      <c r="G39" s="92" t="s">
        <v>107</v>
      </c>
      <c r="H39" s="92" t="s">
        <v>146</v>
      </c>
      <c r="I39" s="92"/>
      <c r="J39" s="466" t="str">
        <v/>
      </c>
      <c r="K39" s="291"/>
      <c r="L39" s="343"/>
      <c r="M39" s="343"/>
      <c r="N39" s="343"/>
      <c r="O39" s="343"/>
      <c r="P39" s="343"/>
    </row>
    <row r="40" spans="3:18" x14ac:dyDescent="0.25">
      <c r="C40" s="86"/>
      <c r="F40" s="99" t="s">
        <v>1042</v>
      </c>
      <c r="G40" s="92" t="s">
        <v>107</v>
      </c>
      <c r="H40" s="92" t="s">
        <v>146</v>
      </c>
      <c r="I40" s="92"/>
      <c r="J40" s="466">
        <v>3531.9987538157898</v>
      </c>
      <c r="K40" s="291"/>
      <c r="L40" s="343">
        <v>3531.9987538157898</v>
      </c>
      <c r="M40" s="343">
        <v>3688.1391293947372</v>
      </c>
      <c r="N40" s="343">
        <v>3882.7494915736843</v>
      </c>
      <c r="O40" s="343">
        <v>3954.2468287105262</v>
      </c>
      <c r="P40" s="343">
        <v>4002.6472314736839</v>
      </c>
    </row>
    <row r="41" spans="3:18" x14ac:dyDescent="0.25">
      <c r="C41" s="86"/>
      <c r="F41" s="99" t="s">
        <v>1043</v>
      </c>
      <c r="G41" s="92" t="s">
        <v>107</v>
      </c>
      <c r="H41" s="92" t="s">
        <v>146</v>
      </c>
      <c r="I41" s="92"/>
      <c r="J41" s="280" t="str">
        <v/>
      </c>
      <c r="K41" s="291"/>
      <c r="L41" s="346"/>
      <c r="M41" s="346"/>
      <c r="N41" s="346"/>
      <c r="O41" s="346"/>
      <c r="P41" s="346"/>
    </row>
    <row r="42" spans="3:18" x14ac:dyDescent="0.25">
      <c r="C42" s="86"/>
      <c r="F42" s="99" t="s">
        <v>1044</v>
      </c>
      <c r="G42" s="92" t="s">
        <v>107</v>
      </c>
      <c r="H42" s="92" t="s">
        <v>146</v>
      </c>
      <c r="I42" s="92"/>
      <c r="J42" s="280" t="str">
        <v/>
      </c>
      <c r="K42" s="291"/>
      <c r="L42" s="346"/>
      <c r="M42" s="346"/>
      <c r="N42" s="346"/>
      <c r="O42" s="346"/>
      <c r="P42" s="346"/>
    </row>
    <row r="43" spans="3:18" x14ac:dyDescent="0.25">
      <c r="C43" s="86"/>
      <c r="F43" s="99" t="s">
        <v>1045</v>
      </c>
      <c r="G43" s="92" t="s">
        <v>107</v>
      </c>
      <c r="H43" s="92" t="s">
        <v>146</v>
      </c>
      <c r="I43" s="92"/>
      <c r="J43" s="466">
        <v>284.9834789337587</v>
      </c>
      <c r="K43" s="291"/>
      <c r="L43" s="343">
        <v>284.9834789337587</v>
      </c>
      <c r="M43" s="343">
        <v>296.54114081729227</v>
      </c>
      <c r="N43" s="343">
        <v>313.15930315389693</v>
      </c>
      <c r="O43" s="343">
        <v>316.78061575785085</v>
      </c>
      <c r="P43" s="343">
        <v>319.5555446630708</v>
      </c>
    </row>
    <row r="44" spans="3:18" x14ac:dyDescent="0.25">
      <c r="C44" s="86"/>
      <c r="F44" s="99" t="s">
        <v>1046</v>
      </c>
      <c r="G44" s="92" t="s">
        <v>107</v>
      </c>
      <c r="H44" s="92" t="s">
        <v>146</v>
      </c>
      <c r="I44" s="92"/>
      <c r="J44" s="466">
        <v>-16.728462906100102</v>
      </c>
      <c r="K44" s="291"/>
      <c r="L44" s="343">
        <v>-16.728462906100102</v>
      </c>
      <c r="M44" s="343">
        <v>-17.313494517619855</v>
      </c>
      <c r="N44" s="343">
        <v>-17.807241946546586</v>
      </c>
      <c r="O44" s="343">
        <v>-18.116887040944945</v>
      </c>
      <c r="P44" s="343">
        <v>-18.509968314448717</v>
      </c>
    </row>
    <row r="45" spans="3:18" x14ac:dyDescent="0.25">
      <c r="C45" s="86"/>
      <c r="F45" s="99" t="s">
        <v>1047</v>
      </c>
      <c r="G45" s="92" t="s">
        <v>107</v>
      </c>
      <c r="H45" s="92" t="s">
        <v>146</v>
      </c>
      <c r="I45" s="92"/>
      <c r="J45" s="280" t="str">
        <v/>
      </c>
      <c r="K45" s="291"/>
      <c r="L45" s="346"/>
      <c r="M45" s="346"/>
      <c r="N45" s="346"/>
      <c r="O45" s="346"/>
      <c r="P45" s="346"/>
    </row>
    <row r="46" spans="3:18" x14ac:dyDescent="0.25">
      <c r="C46" s="86"/>
      <c r="F46" s="99" t="s">
        <v>1048</v>
      </c>
      <c r="G46" s="92" t="s">
        <v>107</v>
      </c>
      <c r="H46" s="92" t="s">
        <v>146</v>
      </c>
      <c r="I46" s="92"/>
      <c r="J46" s="466" t="str">
        <v/>
      </c>
      <c r="K46" s="291"/>
      <c r="L46" s="343"/>
      <c r="M46" s="343"/>
      <c r="N46" s="343"/>
      <c r="O46" s="343"/>
      <c r="P46" s="343"/>
    </row>
    <row r="47" spans="3:18" x14ac:dyDescent="0.25">
      <c r="C47" s="86"/>
      <c r="F47" s="99" t="s">
        <v>1049</v>
      </c>
      <c r="G47" s="92" t="s">
        <v>107</v>
      </c>
      <c r="H47" s="92" t="s">
        <v>146</v>
      </c>
      <c r="I47" s="92"/>
      <c r="J47" s="280" t="str">
        <v/>
      </c>
      <c r="K47" s="291"/>
      <c r="L47" s="346"/>
      <c r="M47" s="346"/>
      <c r="N47" s="346"/>
      <c r="O47" s="346"/>
      <c r="P47" s="346"/>
    </row>
    <row r="48" spans="3:18" x14ac:dyDescent="0.25">
      <c r="C48" s="86"/>
      <c r="F48" s="99" t="s">
        <v>1050</v>
      </c>
      <c r="G48" s="92" t="s">
        <v>107</v>
      </c>
      <c r="H48" s="92" t="s">
        <v>146</v>
      </c>
      <c r="I48" s="92"/>
      <c r="J48" s="280" t="str">
        <v/>
      </c>
      <c r="K48" s="291"/>
      <c r="L48" s="346"/>
      <c r="M48" s="346"/>
      <c r="N48" s="346"/>
      <c r="O48" s="346"/>
      <c r="P48" s="346"/>
    </row>
    <row r="49" spans="3:18" x14ac:dyDescent="0.25">
      <c r="C49" s="86"/>
      <c r="F49" s="99" t="s">
        <v>1051</v>
      </c>
      <c r="G49" s="92" t="s">
        <v>107</v>
      </c>
      <c r="H49" s="92" t="s">
        <v>146</v>
      </c>
      <c r="I49" s="92"/>
      <c r="J49" s="280" t="str">
        <v/>
      </c>
      <c r="K49" s="291"/>
      <c r="L49" s="346"/>
      <c r="M49" s="346"/>
      <c r="N49" s="346"/>
      <c r="O49" s="346"/>
      <c r="P49" s="346"/>
    </row>
    <row r="50" spans="3:18" x14ac:dyDescent="0.25">
      <c r="C50" s="86"/>
      <c r="F50" s="99" t="s">
        <v>1052</v>
      </c>
      <c r="G50" s="92" t="s">
        <v>107</v>
      </c>
      <c r="H50" s="92" t="s">
        <v>146</v>
      </c>
      <c r="I50" s="92"/>
      <c r="J50" s="280" t="str">
        <v/>
      </c>
      <c r="K50" s="291"/>
      <c r="L50" s="346"/>
      <c r="M50" s="346"/>
      <c r="N50" s="346"/>
      <c r="O50" s="346"/>
      <c r="P50" s="346"/>
    </row>
    <row r="51" spans="3:18" x14ac:dyDescent="0.25">
      <c r="C51" s="86"/>
      <c r="F51" s="100" t="s">
        <v>1053</v>
      </c>
      <c r="G51" s="93" t="s">
        <v>107</v>
      </c>
      <c r="H51" s="93" t="s">
        <v>146</v>
      </c>
      <c r="I51" s="93"/>
      <c r="J51" s="241" t="str">
        <v/>
      </c>
      <c r="K51" s="293"/>
      <c r="L51" s="347"/>
      <c r="M51" s="347"/>
      <c r="N51" s="347"/>
      <c r="O51" s="347"/>
      <c r="P51" s="347"/>
    </row>
    <row r="52" spans="3:18" x14ac:dyDescent="0.25">
      <c r="E52" s="85"/>
      <c r="H52" s="195"/>
      <c r="J52" s="294"/>
      <c r="K52" s="294"/>
      <c r="L52" s="345"/>
      <c r="M52" s="345"/>
      <c r="N52" s="345"/>
      <c r="O52" s="345"/>
      <c r="P52" s="345"/>
    </row>
    <row r="53" spans="3:18" x14ac:dyDescent="0.25">
      <c r="E53" s="96" t="s">
        <v>587</v>
      </c>
      <c r="F53" s="96"/>
      <c r="I53" s="85" t="s">
        <v>431</v>
      </c>
      <c r="J53" s="294"/>
      <c r="K53" s="294"/>
      <c r="L53" s="345"/>
      <c r="M53" s="345"/>
      <c r="N53" s="345"/>
      <c r="O53" s="345"/>
      <c r="P53" s="345"/>
      <c r="R53" s="295" t="s">
        <v>865</v>
      </c>
    </row>
    <row r="54" spans="3:18" x14ac:dyDescent="0.25">
      <c r="C54" s="86"/>
      <c r="F54" s="103" t="s">
        <v>1038</v>
      </c>
      <c r="G54" s="91" t="s">
        <v>107</v>
      </c>
      <c r="H54" s="91" t="s">
        <v>147</v>
      </c>
      <c r="I54" s="91"/>
      <c r="J54" s="289">
        <f t="array" ref="J54:J69">TRANSPOSE('Net revenue summary'!J130:Y130)</f>
        <v>36.096692410316081</v>
      </c>
      <c r="K54" s="290"/>
      <c r="L54" s="342">
        <v>36.096692410316081</v>
      </c>
      <c r="M54" s="342">
        <v>36.85413690037548</v>
      </c>
      <c r="N54" s="342">
        <v>38.49375904363631</v>
      </c>
      <c r="O54" s="342">
        <v>39.113318340937937</v>
      </c>
      <c r="P54" s="342">
        <v>39.598153260086562</v>
      </c>
    </row>
    <row r="55" spans="3:18" x14ac:dyDescent="0.25">
      <c r="C55" s="86"/>
      <c r="F55" s="99" t="s">
        <v>1039</v>
      </c>
      <c r="G55" s="92" t="s">
        <v>107</v>
      </c>
      <c r="H55" s="92" t="s">
        <v>147</v>
      </c>
      <c r="I55" s="92"/>
      <c r="J55" s="466">
        <v>27.245250581614364</v>
      </c>
      <c r="K55" s="291"/>
      <c r="L55" s="343">
        <v>27.245250581614364</v>
      </c>
      <c r="M55" s="343">
        <v>28.718442484383907</v>
      </c>
      <c r="N55" s="343">
        <v>31.328106826282003</v>
      </c>
      <c r="O55" s="343">
        <v>31.712650792523057</v>
      </c>
      <c r="P55" s="343">
        <v>31.825803279688447</v>
      </c>
    </row>
    <row r="56" spans="3:18" x14ac:dyDescent="0.25">
      <c r="C56" s="86"/>
      <c r="F56" s="99" t="s">
        <v>1040</v>
      </c>
      <c r="G56" s="92" t="s">
        <v>107</v>
      </c>
      <c r="H56" s="92" t="s">
        <v>147</v>
      </c>
      <c r="I56" s="92"/>
      <c r="J56" s="466">
        <v>170.34191248658666</v>
      </c>
      <c r="K56" s="291"/>
      <c r="L56" s="343">
        <v>170.34191248658666</v>
      </c>
      <c r="M56" s="343">
        <v>177.14388628161566</v>
      </c>
      <c r="N56" s="343">
        <v>186.8644169445171</v>
      </c>
      <c r="O56" s="343">
        <v>189.92959642055825</v>
      </c>
      <c r="P56" s="343">
        <v>192.17213391473445</v>
      </c>
    </row>
    <row r="57" spans="3:18" x14ac:dyDescent="0.25">
      <c r="C57" s="86"/>
      <c r="F57" s="99" t="s">
        <v>1041</v>
      </c>
      <c r="G57" s="92" t="s">
        <v>107</v>
      </c>
      <c r="H57" s="92" t="s">
        <v>147</v>
      </c>
      <c r="I57" s="92"/>
      <c r="J57" s="466" t="str">
        <v/>
      </c>
      <c r="K57" s="291"/>
      <c r="L57" s="343"/>
      <c r="M57" s="343"/>
      <c r="N57" s="343"/>
      <c r="O57" s="343"/>
      <c r="P57" s="343"/>
    </row>
    <row r="58" spans="3:18" x14ac:dyDescent="0.25">
      <c r="C58" s="86"/>
      <c r="F58" s="99" t="s">
        <v>1042</v>
      </c>
      <c r="G58" s="92" t="s">
        <v>107</v>
      </c>
      <c r="H58" s="92" t="s">
        <v>147</v>
      </c>
      <c r="I58" s="92"/>
      <c r="J58" s="466">
        <v>3754.5353832598425</v>
      </c>
      <c r="K58" s="291"/>
      <c r="L58" s="343">
        <v>3754.5353832598425</v>
      </c>
      <c r="M58" s="343">
        <v>3921.6844634435702</v>
      </c>
      <c r="N58" s="343">
        <v>4127.4674962834652</v>
      </c>
      <c r="O58" s="343">
        <v>4201.3336578950129</v>
      </c>
      <c r="P58" s="343">
        <v>4254.1127602729657</v>
      </c>
    </row>
    <row r="59" spans="3:18" x14ac:dyDescent="0.25">
      <c r="C59" s="86"/>
      <c r="F59" s="99" t="s">
        <v>1043</v>
      </c>
      <c r="G59" s="92" t="s">
        <v>107</v>
      </c>
      <c r="H59" s="92" t="s">
        <v>147</v>
      </c>
      <c r="I59" s="92"/>
      <c r="J59" s="466">
        <v>14833.339485384611</v>
      </c>
      <c r="K59" s="291"/>
      <c r="L59" s="343">
        <v>14833.339485384611</v>
      </c>
      <c r="M59" s="343">
        <v>15480.074400000001</v>
      </c>
      <c r="N59" s="343">
        <v>16314.965231538461</v>
      </c>
      <c r="O59" s="343">
        <v>16595.061486923074</v>
      </c>
      <c r="P59" s="343">
        <v>16821.461230769226</v>
      </c>
    </row>
    <row r="60" spans="3:18" x14ac:dyDescent="0.25">
      <c r="C60" s="86"/>
      <c r="F60" s="99" t="s">
        <v>1044</v>
      </c>
      <c r="G60" s="92" t="s">
        <v>107</v>
      </c>
      <c r="H60" s="92" t="s">
        <v>147</v>
      </c>
      <c r="I60" s="92"/>
      <c r="J60" s="466">
        <v>34143.030364433333</v>
      </c>
      <c r="K60" s="291"/>
      <c r="L60" s="343">
        <v>34143.030364433333</v>
      </c>
      <c r="M60" s="343">
        <v>35708.412344299999</v>
      </c>
      <c r="N60" s="343">
        <v>37810.075772633332</v>
      </c>
      <c r="O60" s="343">
        <v>38381.452144149996</v>
      </c>
      <c r="P60" s="343">
        <v>38855.088206266657</v>
      </c>
    </row>
    <row r="61" spans="3:18" x14ac:dyDescent="0.25">
      <c r="C61" s="86"/>
      <c r="F61" s="99" t="s">
        <v>1045</v>
      </c>
      <c r="G61" s="92" t="s">
        <v>107</v>
      </c>
      <c r="H61" s="92" t="s">
        <v>147</v>
      </c>
      <c r="I61" s="92"/>
      <c r="J61" s="466">
        <v>211.06564364582482</v>
      </c>
      <c r="K61" s="291"/>
      <c r="L61" s="343">
        <v>211.06564364582482</v>
      </c>
      <c r="M61" s="343">
        <v>219.69208518656274</v>
      </c>
      <c r="N61" s="343">
        <v>231.99142236234752</v>
      </c>
      <c r="O61" s="343">
        <v>234.76158086964321</v>
      </c>
      <c r="P61" s="343">
        <v>236.68237585439584</v>
      </c>
    </row>
    <row r="62" spans="3:18" x14ac:dyDescent="0.25">
      <c r="C62" s="86"/>
      <c r="F62" s="99" t="s">
        <v>1046</v>
      </c>
      <c r="G62" s="92" t="s">
        <v>107</v>
      </c>
      <c r="H62" s="92" t="s">
        <v>147</v>
      </c>
      <c r="I62" s="92"/>
      <c r="J62" s="466">
        <v>-4.5148945586532516</v>
      </c>
      <c r="K62" s="291"/>
      <c r="L62" s="343">
        <v>-4.5148945586532516</v>
      </c>
      <c r="M62" s="343">
        <v>-4.6727840545701156</v>
      </c>
      <c r="N62" s="343">
        <v>-4.8060392972184882</v>
      </c>
      <c r="O62" s="343">
        <v>-4.8896218081045344</v>
      </c>
      <c r="P62" s="343">
        <v>-4.995718920367235</v>
      </c>
    </row>
    <row r="63" spans="3:18" x14ac:dyDescent="0.25">
      <c r="C63" s="86"/>
      <c r="F63" s="99" t="s">
        <v>1047</v>
      </c>
      <c r="G63" s="92" t="s">
        <v>107</v>
      </c>
      <c r="H63" s="92" t="s">
        <v>147</v>
      </c>
      <c r="I63" s="92"/>
      <c r="J63" s="466" t="str">
        <v/>
      </c>
      <c r="K63" s="291"/>
      <c r="L63" s="343"/>
      <c r="M63" s="343"/>
      <c r="N63" s="343"/>
      <c r="O63" s="343"/>
      <c r="P63" s="343"/>
    </row>
    <row r="64" spans="3:18" x14ac:dyDescent="0.25">
      <c r="C64" s="86"/>
      <c r="F64" s="99" t="s">
        <v>1048</v>
      </c>
      <c r="G64" s="92" t="s">
        <v>107</v>
      </c>
      <c r="H64" s="92" t="s">
        <v>147</v>
      </c>
      <c r="I64" s="92"/>
      <c r="J64" s="466" t="str">
        <v/>
      </c>
      <c r="K64" s="291"/>
      <c r="L64" s="343"/>
      <c r="M64" s="343"/>
      <c r="N64" s="343"/>
      <c r="O64" s="343"/>
      <c r="P64" s="343"/>
    </row>
    <row r="65" spans="2:18" x14ac:dyDescent="0.25">
      <c r="C65" s="86"/>
      <c r="F65" s="99" t="s">
        <v>1049</v>
      </c>
      <c r="G65" s="92" t="s">
        <v>107</v>
      </c>
      <c r="H65" s="92" t="s">
        <v>147</v>
      </c>
      <c r="I65" s="92"/>
      <c r="J65" s="280" t="str">
        <v/>
      </c>
      <c r="K65" s="291"/>
      <c r="L65" s="346"/>
      <c r="M65" s="346"/>
      <c r="N65" s="346"/>
      <c r="O65" s="346"/>
      <c r="P65" s="346"/>
    </row>
    <row r="66" spans="2:18" x14ac:dyDescent="0.25">
      <c r="C66" s="86"/>
      <c r="F66" s="99" t="s">
        <v>1050</v>
      </c>
      <c r="G66" s="92" t="s">
        <v>107</v>
      </c>
      <c r="H66" s="92" t="s">
        <v>147</v>
      </c>
      <c r="I66" s="92"/>
      <c r="J66" s="466" t="str">
        <v/>
      </c>
      <c r="K66" s="291"/>
      <c r="L66" s="343"/>
      <c r="M66" s="343"/>
      <c r="N66" s="343"/>
      <c r="O66" s="343"/>
      <c r="P66" s="343"/>
    </row>
    <row r="67" spans="2:18" x14ac:dyDescent="0.25">
      <c r="C67" s="86"/>
      <c r="F67" s="99" t="s">
        <v>1051</v>
      </c>
      <c r="G67" s="92" t="s">
        <v>107</v>
      </c>
      <c r="H67" s="92" t="s">
        <v>147</v>
      </c>
      <c r="I67" s="92"/>
      <c r="J67" s="280" t="str">
        <v/>
      </c>
      <c r="K67" s="291"/>
      <c r="L67" s="346"/>
      <c r="M67" s="346"/>
      <c r="N67" s="346"/>
      <c r="O67" s="346"/>
      <c r="P67" s="346"/>
    </row>
    <row r="68" spans="2:18" x14ac:dyDescent="0.25">
      <c r="C68" s="86"/>
      <c r="F68" s="99" t="s">
        <v>1052</v>
      </c>
      <c r="G68" s="92" t="s">
        <v>107</v>
      </c>
      <c r="H68" s="92" t="s">
        <v>147</v>
      </c>
      <c r="I68" s="92"/>
      <c r="J68" s="466" t="str">
        <v/>
      </c>
      <c r="K68" s="291"/>
      <c r="L68" s="343"/>
      <c r="M68" s="343"/>
      <c r="N68" s="343"/>
      <c r="O68" s="343"/>
      <c r="P68" s="343"/>
    </row>
    <row r="69" spans="2:18" x14ac:dyDescent="0.25">
      <c r="C69" s="86"/>
      <c r="F69" s="100" t="s">
        <v>1053</v>
      </c>
      <c r="G69" s="93" t="s">
        <v>107</v>
      </c>
      <c r="H69" s="93" t="s">
        <v>147</v>
      </c>
      <c r="I69" s="93"/>
      <c r="J69" s="241" t="str">
        <v/>
      </c>
      <c r="K69" s="293"/>
      <c r="L69" s="347"/>
      <c r="M69" s="347"/>
      <c r="N69" s="347"/>
      <c r="O69" s="347"/>
      <c r="P69" s="347"/>
    </row>
    <row r="70" spans="2:18" x14ac:dyDescent="0.25">
      <c r="D70" s="85"/>
      <c r="E70" s="85"/>
    </row>
    <row r="71" spans="2:18" x14ac:dyDescent="0.25">
      <c r="B71" s="95" t="s">
        <v>109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71"/>
      <c r="O71" s="71"/>
      <c r="P71" s="71"/>
      <c r="Q71" s="71"/>
      <c r="R71" s="71"/>
    </row>
    <row r="73" spans="2:18" x14ac:dyDescent="0.25">
      <c r="D73" s="85"/>
      <c r="E73" s="85" t="s">
        <v>516</v>
      </c>
      <c r="G73" s="60" t="s">
        <v>692</v>
      </c>
      <c r="H73" s="212">
        <f t="array" ref="H73">SUM(IF(ISERROR($I$17:$Q$70), 1))</f>
        <v>0</v>
      </c>
    </row>
    <row r="75" spans="2:18" x14ac:dyDescent="0.25">
      <c r="B75" s="95" t="s">
        <v>110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71"/>
      <c r="O75" s="71"/>
      <c r="P75" s="71"/>
      <c r="Q75" s="71"/>
      <c r="R75" s="71"/>
    </row>
  </sheetData>
  <sheetProtection sheet="1" objects="1" formatCells="0" formatColumns="0" formatRows="0" sort="0" autoFilter="0"/>
  <conditionalFormatting sqref="H73">
    <cfRule type="cellIs" dxfId="1" priority="2" operator="greaterThan">
      <formula>0</formula>
    </cfRule>
  </conditionalFormatting>
  <conditionalFormatting sqref="A4:XFD4">
    <cfRule type="expression" dxfId="0" priority="1">
      <formula>LEFT($A$4,1) &lt;&gt; "0"</formula>
    </cfRule>
  </conditionalFormatting>
  <hyperlinks>
    <hyperlink ref="B5:F5" location="'Model map'!A1" display="Click here to return to model map" xr:uid="{00000000-0004-0000-24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2" ma:contentTypeDescription="Create a new document." ma:contentTypeScope="" ma:versionID="05721c098920905ee0a7627685c8e168">
  <xsd:schema xmlns:xsd="http://www.w3.org/2001/XMLSchema" xmlns:xs="http://www.w3.org/2001/XMLSchema" xmlns:p="http://schemas.microsoft.com/office/2006/metadata/properties" xmlns:ns2="56525fcc-fd9b-4a18-b571-66fa38027e5b" targetNamespace="http://schemas.microsoft.com/office/2006/metadata/properties" ma:root="true" ma:fieldsID="738160ac3861714b7c51957dc4679198" ns2:_="">
    <xsd:import namespace="56525fcc-fd9b-4a18-b571-66fa38027e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0433340-7BEC-4F3D-99D4-81DABA0ADC90}">
  <ds:schemaRefs>
    <ds:schemaRef ds:uri="http://schemas.microsoft.com/office/infopath/2007/PartnerControls"/>
    <ds:schemaRef ds:uri="56525fcc-fd9b-4a18-b571-66fa38027e5b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D33ECD-38AF-4436-90E5-FA3F4A75B1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525fcc-fd9b-4a18-b571-66fa38027e5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24</vt:i4>
      </vt:variant>
    </vt:vector>
  </HeadingPairs>
  <TitlesOfParts>
    <vt:vector size="61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Reactive power charges</vt:lpstr>
      <vt:lpstr>Capacity charges</vt:lpstr>
      <vt:lpstr>Fixed charges</vt:lpstr>
      <vt:lpstr>Revenue matching</vt:lpstr>
      <vt:lpstr>Fixed charge adder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Gordon McFadzean</dc:creator>
  <cp:lastModifiedBy>Iberdrola S.A.</cp:lastModifiedBy>
  <cp:revision/>
  <cp:lastPrinted>2018-05-04T14:21:24Z</cp:lastPrinted>
  <dcterms:created xsi:type="dcterms:W3CDTF">2017-07-12T09:37:31Z</dcterms:created>
  <dcterms:modified xsi:type="dcterms:W3CDTF">2019-12-18T16:05:29Z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  <property fmtid="{D5CDD505-2E9C-101B-9397-08002B2CF9AE}" pid="3" name="_AdHocReviewCycleID">
    <vt:i4>706332252</vt:i4>
  </property>
  <property fmtid="{D5CDD505-2E9C-101B-9397-08002B2CF9AE}" pid="4" name="_NewReviewCycle">
    <vt:lpwstr/>
  </property>
  <property fmtid="{D5CDD505-2E9C-101B-9397-08002B2CF9AE}" pid="5" name="_EmailSubject">
    <vt:lpwstr>Web Development Task Submitted</vt:lpwstr>
  </property>
  <property fmtid="{D5CDD505-2E9C-101B-9397-08002B2CF9AE}" pid="6" name="_AuthorEmail">
    <vt:lpwstr>James.Rawson@ScottishPower.com</vt:lpwstr>
  </property>
  <property fmtid="{D5CDD505-2E9C-101B-9397-08002B2CF9AE}" pid="7" name="_AuthorEmailDisplayName">
    <vt:lpwstr>Rawson, James</vt:lpwstr>
  </property>
  <property fmtid="{D5CDD505-2E9C-101B-9397-08002B2CF9AE}" pid="8" name="_PreviousAdHocReviewCycleID">
    <vt:i4>1596959614</vt:i4>
  </property>
</Properties>
</file>